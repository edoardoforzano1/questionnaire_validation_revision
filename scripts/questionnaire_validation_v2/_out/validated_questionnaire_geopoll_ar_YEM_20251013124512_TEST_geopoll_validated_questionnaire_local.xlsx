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8610" windowWidth="29040" windowHeight="15720" tabRatio="600" firstSheet="0" activeTab="0" autoFilterDateGrouping="1"/>
  </bookViews>
  <sheets>
    <sheet name="survey" sheetId="1" state="visible" r:id="rId1"/>
    <sheet name="Crop list" sheetId="2" state="visible" r:id="rId2"/>
    <sheet name="Additional information" sheetId="3" state="hidden" r:id="rId3"/>
    <sheet name="Admin 2 info" sheetId="4" state="hidden" r:id="rId4"/>
  </sheets>
  <externalReferences>
    <externalReference r:id="rId5"/>
  </externalReference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3">
    <numFmt numFmtId="164" formatCode="0.0"/>
    <numFmt numFmtId="165" formatCode="[$-1170000]B2dd/mm/yyyy;@"/>
    <numFmt numFmtId="166" formatCode="0.0%"/>
  </numFmts>
  <fonts count="54">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sz val="10.5"/>
      <scheme val="minor"/>
    </font>
    <font>
      <name val="Calibri"/>
      <family val="2"/>
      <color rgb="FF00B050"/>
      <sz val="12"/>
      <scheme val="minor"/>
    </font>
    <font>
      <name val="Calibri"/>
      <family val="2"/>
      <b val="1"/>
      <color theme="9" tint="-0.499984740745262"/>
      <sz val="12"/>
      <scheme val="minor"/>
    </font>
    <font>
      <name val="Calibri"/>
      <family val="2"/>
      <color theme="9" tint="-0.499984740745262"/>
      <sz val="12"/>
      <scheme val="minor"/>
    </font>
    <font>
      <name val="Calibri (Body)"/>
      <color theme="9" tint="-0.499984740745262"/>
      <sz val="12"/>
    </font>
    <font>
      <name val="Calibri (Body)"/>
      <b val="1"/>
      <color theme="9" tint="-0.499984740745262"/>
      <sz val="12"/>
    </font>
    <font>
      <name val="Calibri (Body)"/>
      <color theme="9" tint="-0.499984740745262"/>
      <sz val="11"/>
    </font>
    <font>
      <name val="Calibri (Body)"/>
      <sz val="12"/>
    </font>
    <font>
      <name val="Calibri"/>
      <family val="2"/>
      <sz val="12"/>
    </font>
    <font>
      <name val="Calibri (Body)"/>
      <b val="1"/>
      <color theme="4"/>
      <sz val="12"/>
    </font>
    <font>
      <name val="Calibri (Body)"/>
      <sz val="11"/>
    </font>
    <font>
      <name val="Calibri (Body)"/>
      <b val="1"/>
      <sz val="12"/>
    </font>
    <font>
      <name val="Calibri"/>
      <family val="2"/>
      <sz val="14"/>
      <scheme val="minor"/>
    </font>
    <font>
      <name val="Inherit"/>
      <color theme="9" tint="-0.499984740745262"/>
      <sz val="14"/>
    </font>
    <font>
      <name val="Calibri"/>
      <family val="2"/>
      <i val="1"/>
      <sz val="10.5"/>
    </font>
    <font>
      <name val="Calibri"/>
      <family val="2"/>
      <color rgb="FF000000"/>
      <sz val="12"/>
    </font>
    <font>
      <name val="Calibri"/>
      <family val="2"/>
      <color theme="1"/>
      <sz val="12"/>
    </font>
    <font>
      <name val="Calibri"/>
      <family val="2"/>
      <color rgb="FF375623"/>
      <sz val="12"/>
    </font>
    <font>
      <name val="Calibri"/>
      <family val="2"/>
      <color theme="8" tint="-0.499984740745262"/>
      <sz val="12"/>
      <scheme val="minor"/>
    </font>
    <font>
      <name val="Calibri"/>
      <family val="2"/>
      <sz val="13"/>
      <scheme val="minor"/>
    </font>
    <font>
      <name val="Calibri"/>
      <family val="2"/>
      <color theme="1"/>
      <sz val="13"/>
      <scheme val="minor"/>
    </font>
    <font>
      <name val="Calibri"/>
      <family val="2"/>
      <color rgb="FF000000"/>
      <sz val="13"/>
      <scheme val="minor"/>
    </font>
    <font>
      <name val="Calibri"/>
      <family val="2"/>
      <color rgb="FF000000"/>
      <sz val="13"/>
    </font>
    <font>
      <name val="Calibri"/>
      <family val="2"/>
      <i val="1"/>
      <color rgb="FF000000"/>
      <sz val="12"/>
      <scheme val="minor"/>
    </font>
    <font>
      <name val="Calibri"/>
      <family val="2"/>
      <sz val="13"/>
    </font>
    <font>
      <name val="Calibri"/>
      <family val="2"/>
      <sz val="20"/>
      <scheme val="minor"/>
    </font>
    <font>
      <name val="Calibri"/>
      <family val="2"/>
      <sz val="20"/>
    </font>
    <font>
      <name val="Calibri"/>
      <family val="2"/>
      <b val="1"/>
      <sz val="20"/>
      <scheme val="minor"/>
    </font>
    <font>
      <name val="Calibri"/>
      <family val="2"/>
      <b val="1"/>
      <color rgb="FFFF0000"/>
      <sz val="12"/>
      <scheme val="minor"/>
    </font>
  </fonts>
  <fills count="20">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5" tint="0.3999755851924192"/>
        <bgColor indexed="64"/>
      </patternFill>
    </fill>
    <fill>
      <patternFill patternType="solid">
        <fgColor rgb="FFFF0000"/>
        <bgColor indexed="64"/>
      </patternFill>
    </fill>
    <fill>
      <patternFill patternType="solid">
        <fgColor theme="9" tint="0.7999816888943144"/>
        <bgColor indexed="64"/>
      </patternFill>
    </fill>
    <fill>
      <patternFill patternType="solid">
        <fgColor rgb="FFF504E7"/>
        <bgColor indexed="64"/>
      </patternFill>
    </fill>
    <fill>
      <patternFill patternType="solid">
        <fgColor rgb="FFE2EFDA"/>
        <bgColor rgb="FF000000"/>
      </patternFill>
    </fill>
    <fill>
      <patternFill patternType="solid">
        <fgColor rgb="FFFFFF00"/>
        <bgColor indexed="64"/>
      </patternFill>
    </fill>
  </fills>
  <borders count="86">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auto="1"/>
      </left>
      <right style="thin">
        <color auto="1"/>
      </right>
      <top style="thin">
        <color auto="1"/>
      </top>
      <bottom style="thin">
        <color auto="1"/>
      </bottom>
      <diagonal/>
    </border>
    <border>
      <left/>
      <right/>
      <top style="medium">
        <color indexed="64"/>
      </top>
      <bottom/>
      <diagonal/>
    </border>
    <border>
      <left/>
      <right/>
      <top style="thin">
        <color auto="1"/>
      </top>
      <bottom/>
      <diagonal/>
    </border>
    <border>
      <left/>
      <right style="medium">
        <color indexed="64"/>
      </right>
      <top/>
      <bottom/>
      <diagonal/>
    </border>
    <border>
      <left style="thin">
        <color auto="1"/>
      </left>
      <right style="thin">
        <color auto="1"/>
      </right>
      <top/>
      <bottom/>
      <diagonal/>
    </border>
  </borders>
  <cellStyleXfs count="20">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cellStyleXfs>
  <cellXfs count="709">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7" fillId="0" borderId="34" applyAlignment="1" applyProtection="1" pivotButton="0" quotePrefix="0" xfId="3">
      <alignment horizontal="left" vertical="center" wrapText="1"/>
      <protection locked="0" hidden="0"/>
    </xf>
    <xf numFmtId="0" fontId="7" fillId="0" borderId="35" applyAlignment="1" applyProtection="1" pivotButton="0" quotePrefix="0" xfId="3">
      <alignment horizontal="left" vertical="center" wrapText="1"/>
      <protection locked="0" hidden="0"/>
    </xf>
    <xf numFmtId="0" fontId="7" fillId="0" borderId="35" applyAlignment="1" applyProtection="1" pivotButton="0" quotePrefix="0" xfId="5">
      <alignment horizontal="left" vertical="center" wrapText="1"/>
      <protection locked="0" hidden="0"/>
    </xf>
    <xf numFmtId="0" fontId="12" fillId="9" borderId="35" applyAlignment="1" applyProtection="1" pivotButton="0" quotePrefix="0" xfId="3">
      <alignment horizontal="left" vertical="center" wrapText="1"/>
      <protection locked="0" hidden="0"/>
    </xf>
    <xf numFmtId="0" fontId="7" fillId="0" borderId="36" applyAlignment="1" applyProtection="1" pivotButton="0" quotePrefix="0" xfId="3">
      <alignment horizontal="left" vertical="center" wrapText="1"/>
      <protection locked="0" hidden="0"/>
    </xf>
    <xf numFmtId="0" fontId="7" fillId="6" borderId="7" applyAlignment="1" applyProtection="1" pivotButton="0" quotePrefix="0" xfId="2">
      <alignment horizontal="center" vertical="center"/>
      <protection locked="0" hidden="0"/>
    </xf>
    <xf numFmtId="0" fontId="7" fillId="6" borderId="12" applyAlignment="1" applyProtection="1" pivotButton="0" quotePrefix="0" xfId="0">
      <alignment horizontal="left" vertical="center" wrapText="1"/>
      <protection locked="0" hidden="0"/>
    </xf>
    <xf numFmtId="0" fontId="7" fillId="6" borderId="2" applyAlignment="1" applyProtection="1" pivotButton="0" quotePrefix="0" xfId="2">
      <alignment horizontal="center" vertical="center" wrapText="1"/>
      <protection locked="0" hidden="0"/>
    </xf>
    <xf numFmtId="0" fontId="7" fillId="6" borderId="2" applyAlignment="1" applyProtection="1" pivotButton="0" quotePrefix="0" xfId="0">
      <alignment horizontal="center" vertical="center" wrapText="1"/>
      <protection locked="0" hidden="0"/>
    </xf>
    <xf numFmtId="0" fontId="7" fillId="6" borderId="1" applyAlignment="1" applyProtection="1" pivotButton="0" quotePrefix="0" xfId="2">
      <alignment horizontal="center" vertical="center" wrapText="1"/>
      <protection locked="0" hidden="0"/>
    </xf>
    <xf numFmtId="0" fontId="7" fillId="6" borderId="12" applyAlignment="1" applyProtection="1" pivotButton="0" quotePrefix="0" xfId="2">
      <alignment horizontal="center" vertical="center" wrapText="1"/>
      <protection locked="0" hidden="0"/>
    </xf>
    <xf numFmtId="0" fontId="7" fillId="0" borderId="33" applyAlignment="1" applyProtection="1" pivotButton="0" quotePrefix="0" xfId="3">
      <alignment horizontal="left" vertical="center" wrapText="1"/>
      <protection locked="0" hidden="0"/>
    </xf>
    <xf numFmtId="0" fontId="7" fillId="6" borderId="1" applyAlignment="1" applyProtection="1" pivotButton="0" quotePrefix="0" xfId="0">
      <alignment horizontal="left" vertical="center" wrapText="1"/>
      <protection locked="0" hidden="0"/>
    </xf>
    <xf numFmtId="0" fontId="7" fillId="6" borderId="19" applyAlignment="1" applyProtection="1" pivotButton="0" quotePrefix="0" xfId="3">
      <alignment horizontal="left" vertical="center" wrapText="1"/>
      <protection locked="0" hidden="0"/>
    </xf>
    <xf numFmtId="0" fontId="7" fillId="10" borderId="16" applyAlignment="1" applyProtection="1" pivotButton="0" quotePrefix="0" xfId="0">
      <alignment horizontal="left" vertical="center" wrapText="1"/>
      <protection locked="0" hidden="0"/>
    </xf>
    <xf numFmtId="0" fontId="7" fillId="6" borderId="13" applyAlignment="1" applyProtection="1" pivotButton="0" quotePrefix="0" xfId="3">
      <alignment horizontal="left" vertical="center" wrapText="1"/>
      <protection locked="0" hidden="0"/>
    </xf>
    <xf numFmtId="0" fontId="7" fillId="6" borderId="16" applyAlignment="1" applyProtection="1" pivotButton="0" quotePrefix="0" xfId="3">
      <alignment horizontal="left" vertical="center" wrapText="1"/>
      <protection locked="0" hidden="0"/>
    </xf>
    <xf numFmtId="0" fontId="7" fillId="6" borderId="5" applyAlignment="1" applyProtection="1" pivotButton="0" quotePrefix="0" xfId="2">
      <alignment horizontal="center" vertical="center"/>
      <protection locked="0" hidden="0"/>
    </xf>
    <xf numFmtId="0" fontId="7" fillId="6" borderId="1" applyAlignment="1" applyProtection="1" pivotButton="0" quotePrefix="0" xfId="3">
      <alignment horizontal="left" vertical="center" wrapText="1"/>
      <protection locked="0" hidden="0"/>
    </xf>
    <xf numFmtId="0" fontId="7" fillId="6" borderId="14" applyAlignment="1" applyProtection="1" pivotButton="0" quotePrefix="0" xfId="3">
      <alignment horizontal="left" vertical="center" wrapText="1"/>
      <protection locked="0" hidden="0"/>
    </xf>
    <xf numFmtId="0" fontId="7" fillId="9" borderId="13" applyAlignment="1" applyProtection="1" pivotButton="0" quotePrefix="0" xfId="0">
      <alignment horizontal="left" vertical="center" wrapText="1"/>
      <protection locked="0" hidden="0"/>
    </xf>
    <xf numFmtId="0" fontId="7" fillId="9" borderId="16" applyAlignment="1" applyProtection="1" pivotButton="0" quotePrefix="0" xfId="3">
      <alignment horizontal="left" vertical="center" wrapText="1"/>
      <protection locked="0" hidden="0"/>
    </xf>
    <xf numFmtId="0" fontId="7" fillId="9" borderId="19" applyAlignment="1" applyProtection="1" pivotButton="0" quotePrefix="0" xfId="3">
      <alignment horizontal="left" vertical="center" wrapText="1"/>
      <protection locked="0" hidden="0"/>
    </xf>
    <xf numFmtId="0" fontId="7" fillId="0" borderId="7" applyAlignment="1" applyProtection="1" pivotButton="0" quotePrefix="0" xfId="2">
      <alignment horizontal="center" vertical="center"/>
      <protection locked="0" hidden="0"/>
    </xf>
    <xf numFmtId="0" fontId="7" fillId="0" borderId="48" applyAlignment="1" applyProtection="1" pivotButton="0" quotePrefix="0" xfId="3">
      <alignment horizontal="left" vertical="center" wrapText="1"/>
      <protection locked="0" hidden="0"/>
    </xf>
    <xf numFmtId="0" fontId="20" fillId="10" borderId="16" applyAlignment="1" applyProtection="1" pivotButton="0" quotePrefix="0" xfId="0">
      <alignment horizontal="left" vertical="center" wrapText="1"/>
      <protection locked="0" hidden="0"/>
    </xf>
    <xf numFmtId="0" fontId="9" fillId="6" borderId="47" applyAlignment="1" applyProtection="1" pivotButton="0" quotePrefix="0" xfId="0">
      <alignment horizontal="center" vertical="center"/>
      <protection locked="0" hidden="0"/>
    </xf>
    <xf numFmtId="0" fontId="7" fillId="6" borderId="47" applyAlignment="1" applyProtection="1" pivotButton="0" quotePrefix="0" xfId="3">
      <alignment vertical="center" wrapText="1"/>
      <protection locked="0" hidden="0"/>
    </xf>
    <xf numFmtId="0" fontId="7" fillId="6" borderId="6" applyAlignment="1" applyProtection="1" pivotButton="0" quotePrefix="0" xfId="2">
      <alignment horizontal="center" vertical="center"/>
      <protection locked="0" hidden="0"/>
    </xf>
    <xf numFmtId="0" fontId="7" fillId="0" borderId="13" applyAlignment="1" applyProtection="1" pivotButton="0" quotePrefix="0" xfId="2">
      <alignment horizontal="left" vertical="center" wrapText="1"/>
      <protection locked="0" hidden="0"/>
    </xf>
    <xf numFmtId="0" fontId="7" fillId="9" borderId="13" applyAlignment="1" applyProtection="1" pivotButton="0" quotePrefix="0" xfId="3">
      <alignment horizontal="left" vertical="center" wrapText="1"/>
      <protection locked="0" hidden="0"/>
    </xf>
    <xf numFmtId="0" fontId="14" fillId="12" borderId="16" applyAlignment="1" applyProtection="1" pivotButton="0" quotePrefix="0" xfId="0">
      <alignment horizontal="center" vertical="center" wrapText="1"/>
      <protection locked="0" hidden="0"/>
    </xf>
    <xf numFmtId="0" fontId="7" fillId="9" borderId="13" applyAlignment="1" applyProtection="1" pivotButton="0" quotePrefix="0" xfId="3">
      <alignment vertical="center" wrapText="1"/>
      <protection locked="0" hidden="0"/>
    </xf>
    <xf numFmtId="0" fontId="7" fillId="0" borderId="48" applyAlignment="1" applyProtection="1" pivotButton="0" quotePrefix="0" xfId="3">
      <alignment horizontal="left" vertical="center"/>
      <protection locked="0" hidden="0"/>
    </xf>
    <xf numFmtId="0" fontId="3" fillId="9" borderId="51" applyAlignment="1" applyProtection="1" pivotButton="0" quotePrefix="0" xfId="2">
      <alignment horizontal="left" vertical="center" wrapText="1"/>
      <protection locked="0" hidden="0"/>
    </xf>
    <xf numFmtId="0" fontId="26" fillId="4" borderId="35" applyAlignment="1" applyProtection="1" pivotButton="0" quotePrefix="0" xfId="3">
      <alignment horizontal="left" vertical="center" wrapText="1"/>
      <protection locked="0" hidden="0"/>
    </xf>
    <xf numFmtId="0" fontId="12" fillId="0" borderId="35" applyAlignment="1" applyProtection="1" pivotButton="0" quotePrefix="0" xfId="3">
      <alignment horizontal="left" vertical="center" wrapText="1"/>
      <protection locked="0" hidden="0"/>
    </xf>
    <xf numFmtId="0" fontId="7" fillId="0" borderId="28" applyAlignment="1" applyProtection="1" pivotButton="0" quotePrefix="0" xfId="3">
      <alignment horizontal="left" vertical="center" wrapText="1"/>
      <protection locked="0" hidden="0"/>
    </xf>
    <xf numFmtId="0" fontId="26" fillId="4" borderId="6" applyAlignment="1" applyProtection="1" pivotButton="0" quotePrefix="0" xfId="2">
      <alignment horizontal="center" vertical="center"/>
      <protection locked="0" hidden="0"/>
    </xf>
    <xf numFmtId="0" fontId="28" fillId="4" borderId="2" applyAlignment="1" applyProtection="1" pivotButton="0" quotePrefix="0" xfId="2">
      <alignment horizontal="center" vertical="center" wrapText="1"/>
      <protection locked="0" hidden="0"/>
    </xf>
    <xf numFmtId="0" fontId="28" fillId="4" borderId="2" applyAlignment="1" applyProtection="1" pivotButton="0" quotePrefix="0" xfId="3">
      <alignment horizontal="center" vertical="center" wrapText="1"/>
      <protection locked="0" hidden="0"/>
    </xf>
    <xf numFmtId="0" fontId="28" fillId="4" borderId="16" applyAlignment="1" applyProtection="1" pivotButton="0" quotePrefix="0" xfId="3">
      <alignment horizontal="left" vertical="center" wrapText="1"/>
      <protection locked="0" hidden="0"/>
    </xf>
    <xf numFmtId="49" fontId="28" fillId="4" borderId="59" applyAlignment="1" applyProtection="1" pivotButton="0" quotePrefix="0" xfId="0">
      <alignment vertical="center" wrapText="1"/>
      <protection locked="0" hidden="0"/>
    </xf>
    <xf numFmtId="0" fontId="28" fillId="4" borderId="2" applyAlignment="1" applyProtection="1" pivotButton="0" quotePrefix="0" xfId="3">
      <alignment horizontal="left" vertical="center" wrapText="1"/>
      <protection locked="0" hidden="0"/>
    </xf>
    <xf numFmtId="0" fontId="26" fillId="4" borderId="2" applyAlignment="1" applyProtection="1" pivotButton="0" quotePrefix="0" xfId="3">
      <alignment horizontal="left" vertical="center" wrapText="1"/>
      <protection locked="0" hidden="0"/>
    </xf>
    <xf numFmtId="0" fontId="7" fillId="0" borderId="16" applyAlignment="1" applyProtection="1" pivotButton="0" quotePrefix="0" xfId="3">
      <alignment horizontal="center" vertical="center" wrapText="1"/>
      <protection locked="0" hidden="0"/>
    </xf>
    <xf numFmtId="0" fontId="7" fillId="0" borderId="13" applyAlignment="1" applyProtection="1" pivotButton="0" quotePrefix="0" xfId="3">
      <alignment horizontal="center" vertical="center" wrapText="1"/>
      <protection locked="0" hidden="0"/>
    </xf>
    <xf numFmtId="0" fontId="7" fillId="0" borderId="13" applyAlignment="1" applyProtection="1" pivotButton="0" quotePrefix="0" xfId="5">
      <alignment horizontal="center" vertical="center" wrapText="1"/>
      <protection locked="0" hidden="0"/>
    </xf>
    <xf numFmtId="0" fontId="12" fillId="0" borderId="13" applyAlignment="1" applyProtection="1" pivotButton="0" quotePrefix="0" xfId="3">
      <alignment horizontal="left" vertical="center" wrapText="1"/>
      <protection locked="0" hidden="0"/>
    </xf>
    <xf numFmtId="0" fontId="7" fillId="0" borderId="13" applyAlignment="1" applyProtection="1" pivotButton="0" quotePrefix="0" xfId="3">
      <alignment horizontal="left" vertical="center" wrapText="1"/>
      <protection locked="0" hidden="0"/>
    </xf>
    <xf numFmtId="0" fontId="7" fillId="0" borderId="14" applyAlignment="1" applyProtection="1" pivotButton="0" quotePrefix="0" xfId="3">
      <alignment horizontal="center" vertical="center" wrapText="1"/>
      <protection locked="0" hidden="0"/>
    </xf>
    <xf numFmtId="0" fontId="7" fillId="0" borderId="16" applyAlignment="1" applyProtection="1" pivotButton="0" quotePrefix="0" xfId="3">
      <alignment horizontal="left" vertical="center" wrapText="1"/>
      <protection locked="0" hidden="0"/>
    </xf>
    <xf numFmtId="0" fontId="7" fillId="0" borderId="19" applyAlignment="1" applyProtection="1" pivotButton="0" quotePrefix="0" xfId="3">
      <alignment horizontal="left" vertical="center" wrapText="1"/>
      <protection locked="0" hidden="0"/>
    </xf>
    <xf numFmtId="0" fontId="7" fillId="9" borderId="13" applyAlignment="1" applyProtection="1" pivotButton="0" quotePrefix="0" xfId="2">
      <alignment horizontal="left" vertical="center" wrapText="1"/>
      <protection locked="0" hidden="0"/>
    </xf>
    <xf numFmtId="0" fontId="7" fillId="0" borderId="16" applyAlignment="1" applyProtection="1" pivotButton="0" quotePrefix="0" xfId="2">
      <alignment horizontal="left" vertical="center" wrapText="1"/>
      <protection locked="0" hidden="0"/>
    </xf>
    <xf numFmtId="0" fontId="7" fillId="0" borderId="16" applyAlignment="1" applyProtection="1" pivotButton="0" quotePrefix="0" xfId="0">
      <alignment vertical="center"/>
      <protection locked="0" hidden="0"/>
    </xf>
    <xf numFmtId="0" fontId="7" fillId="0" borderId="43" applyAlignment="1" applyProtection="1" pivotButton="0" quotePrefix="0" xfId="3">
      <alignment horizontal="left" vertical="center" wrapText="1"/>
      <protection locked="0" hidden="0"/>
    </xf>
    <xf numFmtId="0" fontId="7" fillId="0" borderId="14" applyAlignment="1" applyProtection="1" pivotButton="0" quotePrefix="0" xfId="0">
      <alignment horizontal="left" vertical="center" wrapText="1"/>
      <protection locked="0" hidden="0"/>
    </xf>
    <xf numFmtId="0" fontId="7" fillId="0" borderId="14" applyAlignment="1" applyProtection="1" pivotButton="0" quotePrefix="0" xfId="3">
      <alignment horizontal="left" vertical="center" wrapText="1"/>
      <protection locked="0" hidden="0"/>
    </xf>
    <xf numFmtId="0" fontId="7" fillId="0" borderId="13" applyAlignment="1" applyProtection="1" pivotButton="0" quotePrefix="0" xfId="0">
      <alignment horizontal="left" vertical="center" wrapText="1"/>
      <protection locked="0" hidden="0"/>
    </xf>
    <xf numFmtId="0" fontId="7" fillId="0" borderId="15" applyAlignment="1" applyProtection="1" pivotButton="0" quotePrefix="0" xfId="2">
      <alignment horizontal="center" vertical="center" wrapText="1"/>
      <protection locked="0" hidden="0"/>
    </xf>
    <xf numFmtId="0" fontId="7" fillId="0" borderId="27" applyAlignment="1" applyProtection="1" pivotButton="0" quotePrefix="0" xfId="3">
      <alignment horizontal="left" vertical="center" wrapText="1"/>
      <protection locked="0" hidden="0"/>
    </xf>
    <xf numFmtId="0" fontId="7" fillId="0" borderId="6" applyAlignment="1" applyProtection="1" pivotButton="0" quotePrefix="0" xfId="2">
      <alignment horizontal="center" vertical="center"/>
      <protection locked="0" hidden="0"/>
    </xf>
    <xf numFmtId="0" fontId="7" fillId="0" borderId="2" applyAlignment="1" applyProtection="1" pivotButton="0" quotePrefix="0" xfId="0">
      <alignment horizontal="center" vertical="center" wrapText="1"/>
      <protection locked="0" hidden="0"/>
    </xf>
    <xf numFmtId="0" fontId="7" fillId="0" borderId="1" applyAlignment="1" applyProtection="1" pivotButton="0" quotePrefix="0" xfId="2">
      <alignment horizontal="center" vertical="center" wrapText="1"/>
      <protection locked="0" hidden="0"/>
    </xf>
    <xf numFmtId="0" fontId="7" fillId="0" borderId="2" applyAlignment="1" applyProtection="1" pivotButton="0" quotePrefix="0" xfId="0">
      <alignment horizontal="left" vertical="center" wrapText="1"/>
      <protection locked="0" hidden="0"/>
    </xf>
    <xf numFmtId="0" fontId="7" fillId="0" borderId="2" applyAlignment="1" applyProtection="1" pivotButton="0" quotePrefix="0" xfId="2">
      <alignment horizontal="center" vertical="center" wrapText="1"/>
      <protection locked="0" hidden="0"/>
    </xf>
    <xf numFmtId="0" fontId="9" fillId="0" borderId="2" applyAlignment="1" applyProtection="1" pivotButton="0" quotePrefix="0" xfId="0">
      <alignment horizontal="center" vertical="center" wrapText="1"/>
      <protection locked="0" hidden="0"/>
    </xf>
    <xf numFmtId="0" fontId="7" fillId="0" borderId="2" applyAlignment="1" applyProtection="1" pivotButton="0" quotePrefix="0" xfId="3">
      <alignment vertical="center" wrapText="1"/>
      <protection locked="0" hidden="0"/>
    </xf>
    <xf numFmtId="0" fontId="7" fillId="0" borderId="2" applyAlignment="1" applyProtection="1" pivotButton="0" quotePrefix="0" xfId="3">
      <alignment horizontal="center" vertical="center" wrapText="1"/>
      <protection locked="0" hidden="0"/>
    </xf>
    <xf numFmtId="0" fontId="7" fillId="0" borderId="0" applyAlignment="1" applyProtection="1" pivotButton="0" quotePrefix="0" xfId="3">
      <alignment horizontal="center" vertical="center"/>
      <protection locked="0" hidden="0"/>
    </xf>
    <xf numFmtId="0" fontId="7" fillId="0" borderId="5" applyAlignment="1" applyProtection="1" pivotButton="0" quotePrefix="0" xfId="2">
      <alignment horizontal="center" vertical="center"/>
      <protection locked="0" hidden="0"/>
    </xf>
    <xf numFmtId="0" fontId="7" fillId="0" borderId="1"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9" fontId="18" fillId="0" borderId="41" applyAlignment="1" pivotButton="0" quotePrefix="0" xfId="11">
      <alignment horizontal="center" vertical="center" wrapText="1"/>
    </xf>
    <xf numFmtId="9" fontId="18" fillId="0" borderId="46" applyAlignment="1" pivotButton="0" quotePrefix="0" xfId="11">
      <alignment horizontal="center" vertical="center" wrapText="1"/>
    </xf>
    <xf numFmtId="0" fontId="13" fillId="0" borderId="2" applyAlignment="1" applyProtection="1" pivotButton="0" quotePrefix="0" xfId="3">
      <alignment vertical="center" wrapText="1"/>
      <protection locked="0" hidden="0"/>
    </xf>
    <xf numFmtId="0" fontId="25" fillId="0" borderId="1" applyAlignment="1" applyProtection="1" pivotButton="0" quotePrefix="0" xfId="3">
      <alignment horizontal="left" vertical="center" wrapText="1"/>
      <protection locked="0" hidden="0"/>
    </xf>
    <xf numFmtId="0" fontId="14" fillId="9" borderId="35" applyAlignment="1" applyProtection="1" pivotButton="0" quotePrefix="0" xfId="3">
      <alignment horizontal="left" vertical="center" wrapText="1"/>
      <protection locked="0" hidden="0"/>
    </xf>
    <xf numFmtId="0" fontId="12" fillId="12" borderId="16" applyAlignment="1" applyProtection="1" pivotButton="0" quotePrefix="0" xfId="0">
      <alignment horizontal="left" vertical="center" wrapText="1"/>
      <protection locked="0" hidden="0"/>
    </xf>
    <xf numFmtId="0" fontId="7" fillId="6" borderId="16" applyAlignment="1" applyProtection="1" pivotButton="0" quotePrefix="0" xfId="2">
      <alignment horizontal="left" vertical="center" wrapText="1"/>
      <protection locked="0" hidden="0"/>
    </xf>
    <xf numFmtId="0" fontId="7" fillId="0" borderId="35" applyAlignment="1" applyProtection="1" pivotButton="0" quotePrefix="0" xfId="3">
      <alignment horizontal="center" vertical="center" wrapText="1"/>
      <protection locked="0" hidden="0"/>
    </xf>
    <xf numFmtId="0" fontId="7" fillId="0" borderId="48" applyAlignment="1" applyProtection="1" pivotButton="0" quotePrefix="0" xfId="3">
      <alignment horizontal="center" vertical="center" wrapText="1"/>
      <protection locked="0" hidden="0"/>
    </xf>
    <xf numFmtId="0" fontId="7" fillId="0" borderId="0" applyAlignment="1" applyProtection="1" pivotButton="0" quotePrefix="0" xfId="3">
      <alignment horizontal="left" vertical="center" wrapText="1"/>
      <protection locked="0" hidden="0"/>
    </xf>
    <xf numFmtId="0" fontId="7" fillId="0" borderId="15" applyAlignment="1" pivotButton="0" quotePrefix="0" xfId="2">
      <alignment horizontal="center" vertical="center" wrapText="1"/>
    </xf>
    <xf numFmtId="0" fontId="7" fillId="0" borderId="15" applyAlignment="1" pivotButton="0" quotePrefix="0" xfId="2">
      <alignment horizontal="left" vertical="center" wrapText="1"/>
    </xf>
    <xf numFmtId="0" fontId="7" fillId="0" borderId="3" applyAlignment="1" pivotButton="0" quotePrefix="0" xfId="2">
      <alignment horizontal="center" vertical="center" wrapText="1"/>
    </xf>
    <xf numFmtId="0" fontId="7" fillId="0" borderId="3" applyAlignment="1" pivotButton="0" quotePrefix="0" xfId="3">
      <alignment horizontal="left" vertical="center" wrapText="1"/>
    </xf>
    <xf numFmtId="0" fontId="7" fillId="0" borderId="3" applyAlignment="1" pivotButton="0" quotePrefix="0" xfId="0">
      <alignment horizontal="center" vertical="center" wrapText="1"/>
    </xf>
    <xf numFmtId="0" fontId="7" fillId="0" borderId="1" applyAlignment="1" pivotButton="0" quotePrefix="0" xfId="2">
      <alignment horizontal="center" vertical="center" wrapText="1"/>
    </xf>
    <xf numFmtId="0" fontId="7" fillId="0" borderId="12" applyAlignment="1" pivotButton="0" quotePrefix="0" xfId="2">
      <alignment horizontal="center" vertical="center" wrapText="1"/>
    </xf>
    <xf numFmtId="0" fontId="7" fillId="0" borderId="12" applyAlignment="1" pivotButton="0" quotePrefix="0" xfId="0">
      <alignment horizontal="center" vertical="center" wrapText="1"/>
    </xf>
    <xf numFmtId="0" fontId="26" fillId="0" borderId="0" applyProtection="1" pivotButton="0" quotePrefix="0" xfId="3">
      <protection locked="0" hidden="0"/>
    </xf>
    <xf numFmtId="0" fontId="26" fillId="0" borderId="0" applyProtection="1" pivotButton="0" quotePrefix="0" xfId="0">
      <protection locked="0" hidden="0"/>
    </xf>
    <xf numFmtId="0" fontId="27" fillId="0" borderId="0" applyAlignment="1" applyProtection="1" pivotButton="0" quotePrefix="0" xfId="3">
      <alignment horizontal="center" vertical="center" wrapText="1"/>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16" applyAlignment="1" pivotButton="0" quotePrefix="0" xfId="3">
      <alignment horizontal="left" vertical="center" wrapText="1"/>
    </xf>
    <xf numFmtId="0" fontId="7" fillId="0" borderId="2" applyAlignment="1" pivotButton="0" quotePrefix="0" xfId="2">
      <alignment horizontal="center" vertical="center" wrapText="1"/>
    </xf>
    <xf numFmtId="0" fontId="7" fillId="0" borderId="2" applyAlignment="1" pivotButton="0" quotePrefix="0" xfId="3">
      <alignment horizontal="left" vertical="center" wrapText="1"/>
    </xf>
    <xf numFmtId="0" fontId="7" fillId="0" borderId="2" applyAlignment="1" pivotButton="0" quotePrefix="0" xfId="0">
      <alignment horizontal="center" vertical="center" wrapText="1"/>
    </xf>
    <xf numFmtId="0" fontId="7" fillId="0" borderId="0" applyProtection="1" pivotButton="0" quotePrefix="0" xfId="3">
      <protection locked="0" hidden="0"/>
    </xf>
    <xf numFmtId="0" fontId="7" fillId="0" borderId="0" applyProtection="1" pivotButton="0" quotePrefix="0" xfId="0">
      <protection locked="0" hidden="0"/>
    </xf>
    <xf numFmtId="0" fontId="9" fillId="0" borderId="0" applyAlignment="1" applyProtection="1" pivotButton="0" quotePrefix="0" xfId="3">
      <alignment horizontal="center" vertical="center"/>
      <protection locked="0" hidden="0"/>
    </xf>
    <xf numFmtId="0" fontId="7" fillId="0" borderId="16" applyAlignment="1" pivotButton="0" quotePrefix="0" xfId="0">
      <alignment horizontal="left" vertical="center" wrapText="1"/>
    </xf>
    <xf numFmtId="0" fontId="7" fillId="0" borderId="13" applyAlignment="1" pivotButton="0" quotePrefix="0" xfId="3">
      <alignment horizontal="left" vertical="center" wrapText="1"/>
    </xf>
    <xf numFmtId="0" fontId="7" fillId="0" borderId="2" applyAlignment="1" pivotButton="0" quotePrefix="0" xfId="3">
      <alignment horizontal="center" vertical="center" wrapText="1"/>
    </xf>
    <xf numFmtId="0" fontId="7" fillId="0" borderId="0" applyAlignment="1" applyProtection="1" pivotButton="0" quotePrefix="0" xfId="3">
      <alignment vertical="center" wrapText="1"/>
      <protection locked="0" hidden="0"/>
    </xf>
    <xf numFmtId="0" fontId="7" fillId="0" borderId="48" applyAlignment="1" applyProtection="1" pivotButton="0" quotePrefix="0" xfId="3">
      <alignment vertical="center" wrapText="1"/>
      <protection locked="0" hidden="0"/>
    </xf>
    <xf numFmtId="0" fontId="7" fillId="0" borderId="19" applyAlignment="1" pivotButton="0" quotePrefix="0" xfId="3">
      <alignment horizontal="left" vertical="center" wrapText="1"/>
    </xf>
    <xf numFmtId="0" fontId="7" fillId="0" borderId="12" applyAlignment="1" pivotButton="0" quotePrefix="0" xfId="3">
      <alignment horizontal="center" vertical="center" wrapText="1"/>
    </xf>
    <xf numFmtId="0" fontId="7" fillId="0" borderId="1" applyAlignment="1" pivotButton="0" quotePrefix="0" xfId="3">
      <alignment horizontal="left" vertical="center" wrapText="1"/>
    </xf>
    <xf numFmtId="0" fontId="7" fillId="0" borderId="35" applyAlignment="1" applyProtection="1" pivotButton="0" quotePrefix="0" xfId="3">
      <alignment vertical="center" wrapText="1"/>
      <protection locked="0" hidden="0"/>
    </xf>
    <xf numFmtId="0" fontId="3" fillId="0" borderId="0" applyProtection="1" pivotButton="0" quotePrefix="0" xfId="0">
      <protection locked="0" hidden="0"/>
    </xf>
    <xf numFmtId="0" fontId="7" fillId="0" borderId="13" applyAlignment="1" pivotButton="0" quotePrefix="0" xfId="0">
      <alignment horizontal="left" vertical="center" wrapText="1"/>
    </xf>
    <xf numFmtId="0" fontId="6" fillId="0" borderId="47" applyAlignment="1" pivotButton="0" quotePrefix="0" xfId="6">
      <alignment vertical="center" wrapText="1"/>
    </xf>
    <xf numFmtId="0" fontId="6" fillId="0" borderId="47" applyAlignment="1" pivotButton="0" quotePrefix="0" xfId="3">
      <alignment vertical="center" wrapText="1"/>
    </xf>
    <xf numFmtId="0" fontId="7" fillId="0" borderId="16" applyAlignment="1" pivotButton="0" quotePrefix="0" xfId="2">
      <alignment horizontal="left" vertical="center" wrapText="1"/>
    </xf>
    <xf numFmtId="0" fontId="7" fillId="0" borderId="2" applyAlignment="1" pivotButton="0" quotePrefix="0" xfId="3">
      <alignment vertical="center" wrapText="1"/>
    </xf>
    <xf numFmtId="0" fontId="7" fillId="0" borderId="13" applyAlignment="1" applyProtection="1" pivotButton="0" quotePrefix="0" xfId="0">
      <alignment vertical="center"/>
      <protection locked="0" hidden="0"/>
    </xf>
    <xf numFmtId="0" fontId="7" fillId="0" borderId="2" applyAlignment="1" applyProtection="1" pivotButton="0" quotePrefix="0" xfId="0">
      <alignment horizontal="center" vertical="center"/>
      <protection locked="0" hidden="0"/>
    </xf>
    <xf numFmtId="0" fontId="7" fillId="0" borderId="2" applyAlignment="1" applyProtection="1" pivotButton="0" quotePrefix="0" xfId="3">
      <alignment horizontal="left" vertical="center" wrapText="1"/>
      <protection locked="0" hidden="0"/>
    </xf>
    <xf numFmtId="0" fontId="9" fillId="0" borderId="2" applyAlignment="1" applyProtection="1" pivotButton="0" quotePrefix="0" xfId="0">
      <alignment horizontal="center" vertical="center"/>
      <protection locked="0" hidden="0"/>
    </xf>
    <xf numFmtId="0" fontId="7" fillId="0" borderId="16" applyAlignment="1" applyProtection="1" pivotButton="0" quotePrefix="0" xfId="0">
      <alignment horizontal="left" vertical="center" wrapText="1"/>
      <protection locked="0" hidden="0"/>
    </xf>
    <xf numFmtId="0" fontId="7" fillId="0" borderId="13" applyAlignment="1" pivotButton="0" quotePrefix="0" xfId="2">
      <alignment horizontal="left" vertical="center" wrapText="1"/>
    </xf>
    <xf numFmtId="0" fontId="24" fillId="9" borderId="0" applyAlignment="1" applyProtection="1" pivotButton="0" quotePrefix="0" xfId="0">
      <alignment horizontal="left" vertical="center" wrapText="1"/>
      <protection locked="0" hidden="0"/>
    </xf>
    <xf numFmtId="0" fontId="24" fillId="0" borderId="49" applyAlignment="1" pivotButton="0" quotePrefix="0" xfId="0">
      <alignment horizontal="left" vertical="center" wrapText="1"/>
    </xf>
    <xf numFmtId="0" fontId="7" fillId="0" borderId="0" applyAlignment="1" applyProtection="1" pivotButton="0" quotePrefix="0" xfId="2">
      <alignment horizontal="left" vertical="center" wrapText="1"/>
      <protection locked="0" hidden="0"/>
    </xf>
    <xf numFmtId="0" fontId="3" fillId="0" borderId="51" applyAlignment="1" applyProtection="1" pivotButton="0" quotePrefix="0" xfId="2">
      <alignment horizontal="left" vertical="center" wrapText="1"/>
      <protection locked="0" hidden="0"/>
    </xf>
    <xf numFmtId="0" fontId="0" fillId="0" borderId="47" applyAlignment="1" pivotButton="0" quotePrefix="0" xfId="2">
      <alignment horizontal="left" vertical="center" wrapText="1"/>
    </xf>
    <xf numFmtId="0" fontId="12" fillId="0" borderId="48" applyAlignment="1" applyProtection="1" pivotButton="0" quotePrefix="0" xfId="3">
      <alignment vertical="center" wrapText="1"/>
      <protection locked="0" hidden="0"/>
    </xf>
    <xf numFmtId="0" fontId="12" fillId="0" borderId="35" applyAlignment="1" applyProtection="1" pivotButton="0" quotePrefix="0" xfId="3">
      <alignment vertical="center" wrapText="1"/>
      <protection locked="0" hidden="0"/>
    </xf>
    <xf numFmtId="0" fontId="14" fillId="0" borderId="16" applyAlignment="1" applyProtection="1" pivotButton="0" quotePrefix="0" xfId="0">
      <alignment horizontal="center" vertical="center" wrapText="1"/>
      <protection locked="0" hidden="0"/>
    </xf>
    <xf numFmtId="0" fontId="9" fillId="0" borderId="35" applyAlignment="1" applyProtection="1" pivotButton="0" quotePrefix="0" xfId="3">
      <alignment horizontal="center" vertical="center" wrapText="1"/>
      <protection locked="0" hidden="0"/>
    </xf>
    <xf numFmtId="0" fontId="9" fillId="0" borderId="2" applyAlignment="1" pivotButton="0" quotePrefix="0" xfId="0">
      <alignment horizontal="center" vertical="center" wrapText="1"/>
    </xf>
    <xf numFmtId="0" fontId="7" fillId="0" borderId="2" applyAlignment="1" applyProtection="1" pivotButton="0" quotePrefix="0" xfId="2">
      <alignment horizontal="center" vertical="center"/>
      <protection locked="0" hidden="0"/>
    </xf>
    <xf numFmtId="0" fontId="7" fillId="0" borderId="2" applyAlignment="1" pivotButton="0" quotePrefix="0" xfId="0">
      <alignment horizontal="left" vertical="center" wrapText="1"/>
    </xf>
    <xf numFmtId="0" fontId="9" fillId="0" borderId="0" applyAlignment="1" applyProtection="1" pivotButton="0" quotePrefix="0" xfId="0">
      <alignment horizontal="center" vertical="center"/>
      <protection locked="0" hidden="0"/>
    </xf>
    <xf numFmtId="0" fontId="7" fillId="0" borderId="0" applyAlignment="1" applyProtection="1" pivotButton="0" quotePrefix="0" xfId="3">
      <alignment horizontal="left" vertical="center"/>
      <protection locked="0" hidden="0"/>
    </xf>
    <xf numFmtId="0" fontId="12" fillId="0" borderId="16" applyAlignment="1" applyProtection="1" pivotButton="0" quotePrefix="0" xfId="3">
      <alignment horizontal="left" vertical="center"/>
      <protection locked="0" hidden="0"/>
    </xf>
    <xf numFmtId="0" fontId="12" fillId="0" borderId="16" applyAlignment="1" pivotButton="0" quotePrefix="0" xfId="3">
      <alignment horizontal="left" vertical="center" wrapText="1"/>
    </xf>
    <xf numFmtId="0" fontId="7" fillId="0" borderId="2" applyAlignment="1" pivotButton="0" quotePrefix="0" xfId="2">
      <alignment horizontal="center" vertical="center"/>
    </xf>
    <xf numFmtId="0" fontId="7" fillId="0" borderId="2" applyAlignment="1" pivotButton="0" quotePrefix="0" xfId="0">
      <alignment horizontal="center" vertical="center"/>
    </xf>
    <xf numFmtId="0" fontId="7" fillId="0" borderId="16" applyAlignment="1" applyProtection="1" pivotButton="0" quotePrefix="0" xfId="2">
      <alignment horizontal="left" vertical="center"/>
      <protection locked="0" hidden="0"/>
    </xf>
    <xf numFmtId="0" fontId="7" fillId="0" borderId="16" applyAlignment="1" pivotButton="0" quotePrefix="0" xfId="2">
      <alignment horizontal="left" vertical="center"/>
    </xf>
    <xf numFmtId="0" fontId="7" fillId="0" borderId="2" applyAlignment="1" pivotButton="0" quotePrefix="0" xfId="2">
      <alignment horizontal="left" vertical="center" wrapText="1"/>
    </xf>
    <xf numFmtId="0" fontId="9" fillId="0" borderId="2" applyAlignment="1" pivotButton="0" quotePrefix="0" xfId="2">
      <alignment horizontal="center" vertical="center"/>
    </xf>
    <xf numFmtId="0" fontId="7" fillId="0" borderId="13" applyAlignment="1" pivotButton="0" quotePrefix="0" xfId="3">
      <alignment horizontal="center" vertical="center" wrapText="1"/>
    </xf>
    <xf numFmtId="0" fontId="7" fillId="0" borderId="17" applyAlignment="1" pivotButton="0" quotePrefix="0" xfId="3">
      <alignment horizontal="left" vertical="center" wrapText="1"/>
    </xf>
    <xf numFmtId="0" fontId="7" fillId="0" borderId="9" applyAlignment="1" pivotButton="0" quotePrefix="0" xfId="2">
      <alignment horizontal="center" vertical="center" wrapText="1"/>
    </xf>
    <xf numFmtId="0" fontId="7" fillId="0" borderId="9" applyAlignment="1" pivotButton="0" quotePrefix="0" xfId="3">
      <alignment horizontal="center" vertical="center" wrapText="1"/>
    </xf>
    <xf numFmtId="0" fontId="7" fillId="0" borderId="9" applyAlignment="1" pivotButton="0" quotePrefix="0" xfId="3">
      <alignment horizontal="left" vertical="center" wrapText="1"/>
    </xf>
    <xf numFmtId="0" fontId="7" fillId="0" borderId="11" applyAlignment="1" pivotButton="0" quotePrefix="0" xfId="0">
      <alignment horizontal="center" vertical="center" wrapText="1"/>
    </xf>
    <xf numFmtId="0" fontId="9" fillId="0" borderId="9" applyAlignment="1" pivotButton="0" quotePrefix="0" xfId="14">
      <alignment horizontal="center" vertical="center" wrapText="1"/>
    </xf>
    <xf numFmtId="0" fontId="12" fillId="0" borderId="13" applyAlignment="1" pivotButton="0" quotePrefix="0" xfId="3">
      <alignment horizontal="left" vertical="center" wrapText="1"/>
    </xf>
    <xf numFmtId="0" fontId="7" fillId="0" borderId="13" applyAlignment="1" pivotButton="0" quotePrefix="0" xfId="5">
      <alignment horizontal="center" vertical="center" wrapText="1"/>
    </xf>
    <xf numFmtId="0" fontId="7" fillId="0" borderId="13" applyAlignment="1" pivotButton="0" quotePrefix="0" xfId="5">
      <alignment horizontal="left" vertical="center" wrapText="1"/>
    </xf>
    <xf numFmtId="0" fontId="7" fillId="0" borderId="16" applyAlignment="1" pivotButton="0" quotePrefix="0" xfId="3">
      <alignment horizontal="center" vertical="center" wrapText="1"/>
    </xf>
    <xf numFmtId="0" fontId="9" fillId="3" borderId="14" applyAlignment="1" pivotButton="0" quotePrefix="0" xfId="2">
      <alignment horizontal="center" vertical="center" wrapText="1"/>
    </xf>
    <xf numFmtId="0" fontId="9" fillId="0" borderId="14" applyAlignment="1" pivotButton="0" quotePrefix="0" xfId="2">
      <alignment horizontal="center" vertical="center" wrapText="1"/>
    </xf>
    <xf numFmtId="0" fontId="9" fillId="0" borderId="1" applyAlignment="1" pivotButton="0" quotePrefix="0" xfId="2">
      <alignment horizontal="center" vertical="center" wrapText="1"/>
    </xf>
    <xf numFmtId="0" fontId="9" fillId="4" borderId="1" applyAlignment="1" pivotButton="0" quotePrefix="0" xfId="2">
      <alignment horizontal="center" vertical="center" wrapText="1"/>
    </xf>
    <xf numFmtId="0" fontId="9" fillId="3" borderId="1" applyAlignment="1" pivotButton="0" quotePrefix="0" xfId="2">
      <alignment horizontal="center" vertical="center" wrapText="1"/>
    </xf>
    <xf numFmtId="0" fontId="9" fillId="0" borderId="5" applyAlignment="1" pivotButton="0" quotePrefix="0" xfId="2">
      <alignment horizontal="center" vertical="center"/>
    </xf>
    <xf numFmtId="0" fontId="7" fillId="0" borderId="0" applyAlignment="1" applyProtection="1" pivotButton="0" quotePrefix="0" xfId="0">
      <alignment wrapText="1"/>
      <protection locked="0" hidden="0"/>
    </xf>
    <xf numFmtId="0" fontId="7" fillId="0" borderId="0" applyAlignment="1" applyProtection="1" pivotButton="0" quotePrefix="0" xfId="0">
      <alignment horizontal="center"/>
      <protection locked="0" hidden="0"/>
    </xf>
    <xf numFmtId="0" fontId="9" fillId="0" borderId="0" applyProtection="1" pivotButton="0" quotePrefix="0" xfId="0">
      <protection locked="0" hidden="0"/>
    </xf>
    <xf numFmtId="0" fontId="9" fillId="0" borderId="31" applyProtection="1" pivotButton="0" quotePrefix="0" xfId="0">
      <protection locked="0" hidden="0"/>
    </xf>
    <xf numFmtId="0" fontId="9" fillId="0" borderId="30" applyAlignment="1" applyProtection="1" pivotButton="0" quotePrefix="0" xfId="0">
      <alignment wrapText="1"/>
      <protection locked="0" hidden="0"/>
    </xf>
    <xf numFmtId="0" fontId="9" fillId="0" borderId="3" applyAlignment="1" pivotButton="0" quotePrefix="0" xfId="14">
      <alignment horizontal="center" vertical="center" wrapText="1"/>
    </xf>
    <xf numFmtId="0" fontId="7" fillId="0" borderId="0" applyAlignment="1" applyProtection="1" pivotButton="0" quotePrefix="0" xfId="3">
      <alignment wrapText="1"/>
      <protection locked="0" hidden="0"/>
    </xf>
    <xf numFmtId="0" fontId="9" fillId="0" borderId="2" applyAlignment="1" pivotButton="0" quotePrefix="0" xfId="14">
      <alignment horizontal="center" vertical="center" wrapText="1"/>
    </xf>
    <xf numFmtId="0" fontId="9" fillId="0" borderId="1" applyAlignment="1" pivotButton="0" quotePrefix="0" xfId="14">
      <alignment horizontal="center" vertical="center" wrapText="1"/>
    </xf>
    <xf numFmtId="0" fontId="9" fillId="6" borderId="1" applyAlignment="1" applyProtection="1" pivotButton="0" quotePrefix="0" xfId="14">
      <alignment horizontal="center" vertical="center" wrapText="1"/>
      <protection locked="0" hidden="0"/>
    </xf>
    <xf numFmtId="0" fontId="7" fillId="6" borderId="1" applyAlignment="1" applyProtection="1" pivotButton="0" quotePrefix="0" xfId="14">
      <alignment horizontal="center" vertical="center" wrapText="1"/>
      <protection locked="0" hidden="0"/>
    </xf>
    <xf numFmtId="0" fontId="7" fillId="6" borderId="12" applyAlignment="1" applyProtection="1" pivotButton="0" quotePrefix="0" xfId="14">
      <alignment horizontal="center" vertical="center" wrapText="1"/>
      <protection locked="0" hidden="0"/>
    </xf>
    <xf numFmtId="0" fontId="9" fillId="6" borderId="12" applyAlignment="1" applyProtection="1" pivotButton="0" quotePrefix="0" xfId="14">
      <alignment horizontal="center" vertical="center" wrapText="1"/>
      <protection locked="0" hidden="0"/>
    </xf>
    <xf numFmtId="0" fontId="10" fillId="0" borderId="0" applyProtection="1" pivotButton="0" quotePrefix="0" xfId="3">
      <protection locked="0" hidden="0"/>
    </xf>
    <xf numFmtId="0" fontId="7" fillId="0" borderId="2" applyAlignment="1" pivotButton="0" quotePrefix="0" xfId="14">
      <alignment horizontal="center" vertical="center" wrapText="1"/>
    </xf>
    <xf numFmtId="0" fontId="13" fillId="0" borderId="1" applyAlignment="1" applyProtection="1" pivotButton="0" quotePrefix="0" xfId="3">
      <alignment vertical="center" wrapText="1"/>
      <protection locked="0" hidden="0"/>
    </xf>
    <xf numFmtId="0" fontId="27" fillId="4" borderId="2" applyAlignment="1" applyProtection="1" pivotButton="0" quotePrefix="0" xfId="14">
      <alignment horizontal="center" vertical="center" wrapText="1"/>
      <protection locked="0" hidden="0"/>
    </xf>
    <xf numFmtId="0" fontId="9" fillId="0" borderId="2" applyAlignment="1" pivotButton="0" quotePrefix="0" xfId="14">
      <alignment horizontal="center" vertical="center"/>
    </xf>
    <xf numFmtId="0" fontId="9" fillId="0" borderId="0" applyAlignment="1" applyProtection="1" pivotButton="0" quotePrefix="0" xfId="0">
      <alignment horizontal="center" vertical="center" wrapText="1"/>
      <protection locked="0" hidden="0"/>
    </xf>
    <xf numFmtId="0" fontId="7" fillId="0" borderId="19" applyAlignment="1" applyProtection="1" pivotButton="0" quotePrefix="0" xfId="0">
      <alignment horizontal="left" vertical="center" wrapText="1"/>
      <protection locked="0" hidden="0"/>
    </xf>
    <xf numFmtId="0" fontId="9" fillId="0" borderId="2" applyAlignment="1" applyProtection="1" pivotButton="0" quotePrefix="0" xfId="14">
      <alignment horizontal="center" vertical="center" wrapText="1"/>
      <protection locked="0" hidden="0"/>
    </xf>
    <xf numFmtId="0" fontId="9" fillId="0" borderId="1" applyAlignment="1" applyProtection="1" pivotButton="0" quotePrefix="0" xfId="14">
      <alignment horizontal="center" vertical="center" wrapText="1"/>
      <protection locked="0" hidden="0"/>
    </xf>
    <xf numFmtId="0" fontId="7" fillId="0" borderId="59" applyAlignment="1" applyProtection="1" pivotButton="0" quotePrefix="0" xfId="2">
      <alignment horizontal="left" vertical="center" wrapText="1"/>
      <protection locked="0" hidden="0"/>
    </xf>
    <xf numFmtId="0" fontId="7" fillId="0" borderId="2" applyAlignment="1" applyProtection="1" pivotButton="0" quotePrefix="0" xfId="14">
      <alignment horizontal="center" vertical="center" wrapText="1"/>
      <protection locked="0" hidden="0"/>
    </xf>
    <xf numFmtId="0" fontId="7" fillId="0" borderId="47" applyAlignment="1" applyProtection="1" pivotButton="0" quotePrefix="0" xfId="3">
      <alignment vertical="center" wrapText="1"/>
      <protection locked="0" hidden="0"/>
    </xf>
    <xf numFmtId="0" fontId="7" fillId="0" borderId="16" applyAlignment="1" applyProtection="1" pivotButton="0" quotePrefix="0" xfId="3">
      <alignment vertical="center" wrapText="1"/>
      <protection locked="0" hidden="0"/>
    </xf>
    <xf numFmtId="9" fontId="18" fillId="0" borderId="0" applyAlignment="1" pivotButton="0" quotePrefix="0" xfId="11">
      <alignment horizontal="center" vertical="center"/>
    </xf>
    <xf numFmtId="0" fontId="21" fillId="3" borderId="3" applyAlignment="1" pivotButton="0" quotePrefix="0" xfId="2">
      <alignment horizontal="center" vertical="center" wrapText="1"/>
    </xf>
    <xf numFmtId="0" fontId="21" fillId="3" borderId="32" applyAlignment="1" pivotButton="0" quotePrefix="0" xfId="2">
      <alignment horizontal="center" vertical="center" wrapText="1"/>
    </xf>
    <xf numFmtId="164" fontId="18" fillId="0" borderId="0" applyAlignment="1" pivotButton="0" quotePrefix="0" xfId="0">
      <alignment horizontal="center" vertical="center"/>
    </xf>
    <xf numFmtId="164" fontId="18" fillId="0" borderId="0" applyAlignment="1" applyProtection="1" pivotButton="0" quotePrefix="0" xfId="0">
      <alignment horizontal="center" vertical="center"/>
      <protection locked="0" hidden="0"/>
    </xf>
    <xf numFmtId="9" fontId="18" fillId="0" borderId="0" applyAlignment="1" applyProtection="1" pivotButton="0" quotePrefix="0" xfId="11">
      <alignment horizontal="center" vertical="center"/>
      <protection locked="0" hidden="0"/>
    </xf>
    <xf numFmtId="0" fontId="18" fillId="0" borderId="0" applyAlignment="1" applyProtection="1" pivotButton="0" quotePrefix="0" xfId="0">
      <alignment horizontal="center" vertical="center"/>
      <protection locked="0" hidden="0"/>
    </xf>
    <xf numFmtId="164" fontId="18" fillId="0" borderId="0" applyAlignment="1" pivotButton="0" quotePrefix="0" xfId="0">
      <alignment horizontal="center" vertical="center" wrapText="1"/>
    </xf>
    <xf numFmtId="164" fontId="18" fillId="0" borderId="0" applyAlignment="1" pivotButton="0" quotePrefix="0" xfId="0">
      <alignment horizontal="right" vertical="center"/>
    </xf>
    <xf numFmtId="0" fontId="7" fillId="0" borderId="61"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9" fontId="31" fillId="0" borderId="0" applyAlignment="1" pivotButton="0" quotePrefix="0" xfId="11">
      <alignment horizontal="center" vertical="center"/>
    </xf>
    <xf numFmtId="164" fontId="31" fillId="0" borderId="0" applyAlignment="1" pivotButton="0" quotePrefix="0" xfId="0">
      <alignment horizontal="center" vertical="center"/>
    </xf>
    <xf numFmtId="0" fontId="29" fillId="4" borderId="6" applyAlignment="1" applyProtection="1" pivotButton="0" quotePrefix="0" xfId="2">
      <alignment horizontal="center" vertical="center"/>
      <protection locked="0" hidden="0"/>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29" fillId="0" borderId="0" applyProtection="1" pivotButton="0" quotePrefix="0" xfId="0">
      <protection locked="0" hidden="0"/>
    </xf>
    <xf numFmtId="49" fontId="29" fillId="4" borderId="37" applyAlignment="1" pivotButton="0" quotePrefix="0" xfId="0">
      <alignment horizontal="left" vertical="center" wrapText="1"/>
    </xf>
    <xf numFmtId="0" fontId="29" fillId="4" borderId="2" applyAlignment="1" pivotButton="0" quotePrefix="0" xfId="2">
      <alignment horizontal="center" vertical="center" wrapText="1"/>
    </xf>
    <xf numFmtId="0" fontId="29" fillId="4" borderId="13" applyAlignment="1" pivotButton="0" quotePrefix="0" xfId="3">
      <alignment horizontal="left" vertical="center" wrapText="1"/>
    </xf>
    <xf numFmtId="0" fontId="29" fillId="4" borderId="16" applyAlignment="1" pivotButton="0" quotePrefix="0" xfId="3">
      <alignment horizontal="left" vertical="center" wrapText="1"/>
    </xf>
    <xf numFmtId="0" fontId="29" fillId="4" borderId="35" applyAlignment="1" applyProtection="1" pivotButton="0" quotePrefix="0" xfId="3">
      <alignment horizontal="left" vertical="center" wrapText="1"/>
      <protection locked="0" hidden="0"/>
    </xf>
    <xf numFmtId="0" fontId="30" fillId="0" borderId="2" applyAlignment="1" pivotButton="0" quotePrefix="0" xfId="14">
      <alignment horizontal="center" vertical="center" wrapText="1"/>
    </xf>
    <xf numFmtId="0" fontId="29" fillId="0" borderId="2" applyAlignment="1" pivotButton="0" quotePrefix="0" xfId="14">
      <alignment horizontal="center" vertical="center" wrapText="1"/>
    </xf>
    <xf numFmtId="49" fontId="29" fillId="0" borderId="37" applyAlignment="1" pivotButton="0" quotePrefix="0" xfId="0">
      <alignmen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13" applyAlignment="1" applyProtection="1" pivotButton="0" quotePrefix="0" xfId="3">
      <alignment horizontal="left" vertical="center" wrapText="1"/>
      <protection locked="0" hidden="0"/>
    </xf>
    <xf numFmtId="0" fontId="30" fillId="4" borderId="2" applyAlignment="1" pivotButton="0" quotePrefix="0" xfId="14">
      <alignment horizontal="center" vertical="center" wrapText="1"/>
    </xf>
    <xf numFmtId="0" fontId="29" fillId="4" borderId="2" applyAlignment="1" pivotButton="0" quotePrefix="0" xfId="14">
      <alignment horizontal="center" vertical="center" wrapText="1"/>
    </xf>
    <xf numFmtId="49" fontId="29" fillId="4" borderId="37" applyAlignment="1" pivotButton="0" quotePrefix="0" xfId="0">
      <alignmen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13" applyAlignment="1" applyProtection="1" pivotButton="0" quotePrefix="0" xfId="3">
      <alignment horizontal="left" vertical="center" wrapText="1"/>
      <protection locked="0" hidden="0"/>
    </xf>
    <xf numFmtId="0" fontId="3" fillId="0" borderId="47" applyAlignment="1" applyProtection="1" pivotButton="0" quotePrefix="0" xfId="2">
      <alignment horizontal="left" vertical="center" wrapText="1"/>
      <protection locked="0" hidden="0"/>
    </xf>
    <xf numFmtId="0" fontId="6" fillId="0" borderId="24" pivotButton="0" quotePrefix="0" xfId="0"/>
    <xf numFmtId="0" fontId="6" fillId="0" borderId="25" pivotButton="0" quotePrefix="0" xfId="0"/>
    <xf numFmtId="0" fontId="6" fillId="0" borderId="21" pivotButton="0" quotePrefix="0" xfId="0"/>
    <xf numFmtId="0" fontId="7" fillId="4" borderId="7" applyAlignment="1" applyProtection="1" pivotButton="0" quotePrefix="0" xfId="2">
      <alignment horizontal="center" vertical="center"/>
      <protection locked="0" hidden="0"/>
    </xf>
    <xf numFmtId="0" fontId="18" fillId="0" borderId="0" applyAlignment="1" applyProtection="1" pivotButton="0" quotePrefix="0" xfId="0">
      <alignment horizontal="right" vertical="center"/>
      <protection locked="0" hidden="0"/>
    </xf>
    <xf numFmtId="9" fontId="18" fillId="0" borderId="0" applyAlignment="1" applyProtection="1" pivotButton="0" quotePrefix="0" xfId="11">
      <alignment horizontal="right" vertical="center"/>
      <protection locked="0" hidden="0"/>
    </xf>
    <xf numFmtId="9" fontId="21" fillId="0" borderId="31" applyAlignment="1" applyProtection="1" pivotButton="0" quotePrefix="0" xfId="11">
      <alignment horizontal="right" vertical="center"/>
      <protection locked="0" hidden="0"/>
    </xf>
    <xf numFmtId="0" fontId="21" fillId="0" borderId="31" applyAlignment="1" applyProtection="1" pivotButton="0" quotePrefix="0" xfId="0">
      <alignment horizontal="right" vertical="center"/>
      <protection locked="0" hidden="0"/>
    </xf>
    <xf numFmtId="9" fontId="21" fillId="0" borderId="63" applyAlignment="1" applyProtection="1" pivotButton="0" quotePrefix="0" xfId="11">
      <alignment horizontal="right" vertical="center"/>
      <protection locked="0" hidden="0"/>
    </xf>
    <xf numFmtId="0" fontId="21" fillId="0" borderId="63" applyAlignment="1" applyProtection="1" pivotButton="0" quotePrefix="0" xfId="0">
      <alignment horizontal="right" vertical="center"/>
      <protection locked="0" hidden="0"/>
    </xf>
    <xf numFmtId="0" fontId="9" fillId="0" borderId="63" applyProtection="1" pivotButton="0" quotePrefix="0" xfId="0">
      <protection locked="0" hidden="0"/>
    </xf>
    <xf numFmtId="0" fontId="9" fillId="0" borderId="64" applyAlignment="1" applyProtection="1" pivotButton="0" quotePrefix="0" xfId="0">
      <alignment wrapText="1"/>
      <protection locked="0" hidden="0"/>
    </xf>
    <xf numFmtId="164" fontId="18" fillId="0" borderId="0" applyAlignment="1" applyProtection="1" pivotButton="0" quotePrefix="0" xfId="0">
      <alignment horizontal="right" vertical="center"/>
      <protection locked="0" hidden="0"/>
    </xf>
    <xf numFmtId="0" fontId="7" fillId="0" borderId="4" applyAlignment="1" applyProtection="1" pivotButton="0" quotePrefix="0" xfId="2">
      <alignment horizontal="center" vertical="center"/>
      <protection locked="0" hidden="0"/>
    </xf>
    <xf numFmtId="0" fontId="29" fillId="4" borderId="7" applyAlignment="1" applyProtection="1" pivotButton="0" quotePrefix="0" xfId="2">
      <alignment horizontal="center" vertical="center"/>
      <protection locked="0" hidden="0"/>
    </xf>
    <xf numFmtId="0" fontId="7" fillId="0" borderId="6" applyAlignment="1" applyProtection="1" pivotButton="0" quotePrefix="0" xfId="2">
      <alignment horizontal="center" vertical="center" wrapText="1"/>
      <protection locked="0" hidden="0"/>
    </xf>
    <xf numFmtId="0" fontId="7" fillId="0" borderId="18" applyAlignment="1" applyProtection="1" pivotButton="0" quotePrefix="0" xfId="2">
      <alignment horizontal="center" vertical="center"/>
      <protection locked="0" hidden="0"/>
    </xf>
    <xf numFmtId="0" fontId="9" fillId="0" borderId="0" applyProtection="1" pivotButton="0" quotePrefix="0" xfId="3">
      <protection locked="0" hidden="0"/>
    </xf>
    <xf numFmtId="0" fontId="14" fillId="0" borderId="48" applyAlignment="1" applyProtection="1" pivotButton="0" quotePrefix="0" xfId="3">
      <alignment horizontal="center" vertical="center" wrapText="1"/>
      <protection locked="0" hidden="0"/>
    </xf>
    <xf numFmtId="0" fontId="29" fillId="0" borderId="6" applyAlignment="1" applyProtection="1" pivotButton="0" quotePrefix="0" xfId="2">
      <alignment horizontal="center" vertical="center"/>
      <protection locked="0" hidden="0"/>
    </xf>
    <xf numFmtId="0" fontId="7" fillId="0" borderId="42" applyAlignment="1" applyProtection="1" pivotButton="0" quotePrefix="0" xfId="2">
      <alignment horizontal="center" vertical="center"/>
      <protection locked="0" hidden="0"/>
    </xf>
    <xf numFmtId="0" fontId="7" fillId="0" borderId="8" applyAlignment="1" applyProtection="1" pivotButton="0" quotePrefix="0" xfId="2">
      <alignment horizontal="center" vertical="center"/>
      <protection locked="0" hidden="0"/>
    </xf>
    <xf numFmtId="0" fontId="9" fillId="3" borderId="27" applyAlignment="1" applyProtection="1" pivotButton="0" quotePrefix="0" xfId="0">
      <alignment horizontal="center" vertical="center" wrapText="1"/>
      <protection locked="0" hidden="0"/>
    </xf>
    <xf numFmtId="0" fontId="14" fillId="6" borderId="1" applyAlignment="1" applyProtection="1" pivotButton="0" quotePrefix="0" xfId="3">
      <alignment vertical="center" wrapText="1"/>
      <protection locked="0" hidden="0"/>
    </xf>
    <xf numFmtId="0" fontId="9" fillId="6" borderId="2" applyAlignment="1" applyProtection="1" pivotButton="0" quotePrefix="0" xfId="0">
      <alignment horizontal="center" vertical="center" wrapText="1"/>
      <protection locked="0" hidden="0"/>
    </xf>
    <xf numFmtId="0" fontId="12" fillId="0" borderId="48" applyAlignment="1" applyProtection="1" pivotButton="0" quotePrefix="0" xfId="3">
      <alignment horizontal="center" vertical="center" wrapText="1"/>
      <protection locked="0" hidden="0"/>
    </xf>
    <xf numFmtId="0" fontId="7" fillId="0" borderId="5" applyAlignment="1" pivotButton="0" quotePrefix="0" xfId="2">
      <alignment horizontal="center" vertical="center"/>
    </xf>
    <xf numFmtId="0" fontId="7" fillId="0" borderId="65" applyAlignment="1" applyProtection="1" pivotButton="0" quotePrefix="0" xfId="0">
      <alignment horizontal="left" vertical="center" wrapText="1"/>
      <protection locked="0" hidden="0"/>
    </xf>
    <xf numFmtId="0" fontId="7" fillId="6" borderId="65" applyAlignment="1" applyProtection="1" pivotButton="0" quotePrefix="0" xfId="3">
      <alignment horizontal="left" vertical="center" wrapText="1"/>
      <protection locked="0" hidden="0"/>
    </xf>
    <xf numFmtId="0" fontId="7" fillId="12" borderId="16" applyAlignment="1" applyProtection="1" pivotButton="0" quotePrefix="0" xfId="0">
      <alignment horizontal="left" vertical="center" wrapText="1"/>
      <protection locked="0" hidden="0"/>
    </xf>
    <xf numFmtId="49" fontId="28" fillId="0" borderId="37" applyAlignment="1" pivotButton="0" quotePrefix="0" xfId="0">
      <alignment vertical="center" wrapText="1"/>
    </xf>
    <xf numFmtId="9" fontId="35" fillId="0" borderId="0" applyAlignment="1" applyProtection="1" pivotButton="0" quotePrefix="0" xfId="11">
      <alignment horizontal="center" vertical="center"/>
      <protection locked="0" hidden="0"/>
    </xf>
    <xf numFmtId="0" fontId="32" fillId="0" borderId="6" applyAlignment="1" applyProtection="1" pivotButton="0" quotePrefix="0" xfId="2">
      <alignment horizontal="center" vertical="center"/>
      <protection locked="0" hidden="0"/>
    </xf>
    <xf numFmtId="0" fontId="32" fillId="0" borderId="16" applyAlignment="1" applyProtection="1" pivotButton="0" quotePrefix="0" xfId="2">
      <alignment horizontal="center" vertical="center"/>
      <protection locked="0" hidden="0"/>
    </xf>
    <xf numFmtId="0" fontId="32" fillId="0" borderId="48" applyAlignment="1" applyProtection="1" pivotButton="0" quotePrefix="0" xfId="3">
      <alignment horizontal="left" vertical="center" wrapText="1"/>
      <protection locked="0" hidden="0"/>
    </xf>
    <xf numFmtId="0" fontId="32" fillId="0" borderId="0" applyAlignment="1" applyProtection="1" pivotButton="0" quotePrefix="0" xfId="0">
      <alignment horizontal="center" vertical="center"/>
      <protection locked="0" hidden="0"/>
    </xf>
    <xf numFmtId="0" fontId="32" fillId="0" borderId="0" applyProtection="1" pivotButton="0" quotePrefix="0" xfId="3">
      <protection locked="0" hidden="0"/>
    </xf>
    <xf numFmtId="0" fontId="32" fillId="0" borderId="0" applyProtection="1" pivotButton="0" quotePrefix="0" xfId="0">
      <protection locked="0" hidden="0"/>
    </xf>
    <xf numFmtId="0" fontId="9" fillId="6" borderId="2" applyAlignment="1" applyProtection="1" pivotButton="0" quotePrefix="0" xfId="14">
      <alignment horizontal="center" vertical="center" wrapText="1"/>
      <protection locked="0" hidden="0"/>
    </xf>
    <xf numFmtId="0" fontId="7" fillId="6" borderId="2" applyAlignment="1" applyProtection="1" pivotButton="0" quotePrefix="0" xfId="14">
      <alignment horizontal="center" vertical="center" wrapText="1"/>
      <protection locked="0" hidden="0"/>
    </xf>
    <xf numFmtId="0" fontId="20" fillId="0" borderId="2" applyAlignment="1" pivotButton="0" quotePrefix="0" xfId="0">
      <alignment horizontal="center" vertical="center" wrapText="1"/>
    </xf>
    <xf numFmtId="0" fontId="7" fillId="12" borderId="2" applyAlignment="1" applyProtection="1" pivotButton="0" quotePrefix="0" xfId="0">
      <alignment horizontal="center" vertical="center" wrapText="1"/>
      <protection locked="0" hidden="0"/>
    </xf>
    <xf numFmtId="0" fontId="7" fillId="6" borderId="47" applyAlignment="1" applyProtection="1" pivotButton="0" quotePrefix="0" xfId="3">
      <alignment horizontal="left" vertical="center" wrapText="1"/>
      <protection locked="0" hidden="0"/>
    </xf>
    <xf numFmtId="0" fontId="14" fillId="9" borderId="34" applyAlignment="1" applyProtection="1" pivotButton="0" quotePrefix="0" xfId="3">
      <alignment horizontal="left" vertical="center" wrapText="1"/>
      <protection locked="0" hidden="0"/>
    </xf>
    <xf numFmtId="49" fontId="28" fillId="0" borderId="37" applyAlignment="1" pivotButton="0" quotePrefix="0" xfId="0">
      <alignment horizontal="left" vertical="center" wrapText="1"/>
    </xf>
    <xf numFmtId="0" fontId="7" fillId="6" borderId="1" applyAlignment="1" applyProtection="1" pivotButton="0" quotePrefix="0" xfId="0">
      <alignment horizontal="center" vertical="center" wrapText="1"/>
      <protection locked="0" hidden="0"/>
    </xf>
    <xf numFmtId="0" fontId="6" fillId="0" borderId="47" applyAlignment="1" pivotButton="0" quotePrefix="0" xfId="2">
      <alignment horizontal="left" vertical="center" wrapText="1"/>
    </xf>
    <xf numFmtId="0" fontId="7" fillId="0" borderId="65" applyAlignment="1" applyProtection="1" pivotButton="0" quotePrefix="0" xfId="3">
      <alignment horizontal="center" vertical="center" wrapText="1"/>
      <protection locked="0" hidden="0"/>
    </xf>
    <xf numFmtId="9" fontId="18" fillId="0" borderId="0" applyAlignment="1" pivotButton="0" quotePrefix="0" xfId="11">
      <alignment horizontal="center" vertical="center" wrapText="1"/>
    </xf>
    <xf numFmtId="0" fontId="14" fillId="0" borderId="35" applyAlignment="1" applyProtection="1" pivotButton="0" quotePrefix="0" xfId="3">
      <alignment horizontal="left" vertical="center" wrapText="1"/>
      <protection locked="0" hidden="0"/>
    </xf>
    <xf numFmtId="0" fontId="15" fillId="0" borderId="16" applyAlignment="1" pivotButton="0" quotePrefix="0" xfId="3">
      <alignment horizontal="center" vertical="center" wrapText="1"/>
    </xf>
    <xf numFmtId="0" fontId="36" fillId="0" borderId="2" applyAlignment="1" pivotButton="0" quotePrefix="0" xfId="2">
      <alignment horizontal="center" vertical="center"/>
    </xf>
    <xf numFmtId="0" fontId="32" fillId="0" borderId="2" applyAlignment="1" pivotButton="0" quotePrefix="0" xfId="2">
      <alignment horizontal="center" vertical="center"/>
    </xf>
    <xf numFmtId="0" fontId="32" fillId="0" borderId="47" applyAlignment="1" pivotButton="0" quotePrefix="0" xfId="0">
      <alignment wrapText="1"/>
    </xf>
    <xf numFmtId="0" fontId="32" fillId="0" borderId="16" applyAlignment="1" pivotButton="0" quotePrefix="0" xfId="2">
      <alignment horizontal="left" vertical="center" wrapText="1"/>
    </xf>
    <xf numFmtId="0" fontId="34" fillId="0" borderId="16" applyAlignment="1" pivotButton="0" quotePrefix="0" xfId="3">
      <alignment horizontal="left" vertical="center" wrapText="1"/>
    </xf>
    <xf numFmtId="0" fontId="7" fillId="0" borderId="1" applyAlignment="1" pivotButton="0" quotePrefix="0" xfId="0">
      <alignment horizontal="left" vertical="center" wrapText="1"/>
    </xf>
    <xf numFmtId="0" fontId="13" fillId="0" borderId="13" applyAlignment="1" pivotButton="0" quotePrefix="0" xfId="3">
      <alignment horizontal="left" vertical="center" wrapText="1"/>
    </xf>
    <xf numFmtId="0" fontId="7" fillId="0" borderId="1" applyAlignment="1" pivotButton="0" quotePrefix="0" xfId="14">
      <alignment horizontal="center" vertical="center" wrapText="1"/>
    </xf>
    <xf numFmtId="0" fontId="7" fillId="0" borderId="1" applyAlignment="1" pivotButton="0" quotePrefix="0" xfId="3">
      <alignment horizontal="center" vertical="center" wrapText="1"/>
    </xf>
    <xf numFmtId="0" fontId="7" fillId="0" borderId="14" applyAlignment="1" pivotButton="0" quotePrefix="0" xfId="3">
      <alignment horizontal="left" vertical="center" wrapText="1"/>
    </xf>
    <xf numFmtId="0" fontId="7" fillId="0" borderId="47" applyAlignment="1" pivotButton="0" quotePrefix="0" xfId="3">
      <alignment horizontal="left" vertical="center" wrapText="1"/>
    </xf>
    <xf numFmtId="0" fontId="9" fillId="0" borderId="2" applyAlignment="1" pivotButton="0" quotePrefix="0" xfId="2">
      <alignment horizontal="center" vertical="center" wrapText="1"/>
    </xf>
    <xf numFmtId="0" fontId="23" fillId="0" borderId="47" applyAlignment="1" pivotButton="0" quotePrefix="0" xfId="0">
      <alignment horizontal="center" vertical="center"/>
    </xf>
    <xf numFmtId="0" fontId="7" fillId="0" borderId="47" applyAlignment="1" pivotButton="0" quotePrefix="0" xfId="0">
      <alignment vertical="center" wrapText="1"/>
    </xf>
    <xf numFmtId="0" fontId="7" fillId="0" borderId="47" applyAlignment="1" pivotButton="0" quotePrefix="0" xfId="0">
      <alignment horizontal="center" vertical="center" wrapText="1"/>
    </xf>
    <xf numFmtId="0" fontId="7" fillId="0" borderId="13" applyAlignment="1" pivotButton="0" quotePrefix="0" xfId="0">
      <alignment vertical="center"/>
    </xf>
    <xf numFmtId="0" fontId="11" fillId="0" borderId="13" applyAlignment="1" pivotButton="0" quotePrefix="0" xfId="3">
      <alignment horizontal="left" vertical="center" wrapText="1"/>
    </xf>
    <xf numFmtId="0" fontId="7" fillId="0" borderId="47" applyAlignment="1" pivotButton="0" quotePrefix="0" xfId="3">
      <alignment vertical="center" wrapText="1"/>
    </xf>
    <xf numFmtId="0" fontId="7" fillId="0" borderId="58" applyAlignment="1" pivotButton="0" quotePrefix="0" xfId="3">
      <alignment horizontal="left" vertical="center" wrapText="1"/>
    </xf>
    <xf numFmtId="0" fontId="7" fillId="0" borderId="14" applyAlignment="1" pivotButton="0" quotePrefix="0" xfId="0">
      <alignment horizontal="left" vertical="center" wrapText="1"/>
    </xf>
    <xf numFmtId="0" fontId="7" fillId="0" borderId="1" applyAlignment="1" pivotButton="0" quotePrefix="0" xfId="0">
      <alignment horizontal="center" vertical="center" wrapText="1"/>
    </xf>
    <xf numFmtId="0" fontId="9" fillId="0" borderId="47" applyAlignment="1" pivotButton="0" quotePrefix="0" xfId="0">
      <alignment horizontal="center" vertical="center"/>
    </xf>
    <xf numFmtId="0" fontId="7" fillId="0" borderId="47" applyAlignment="1" pivotButton="0" quotePrefix="0" xfId="0">
      <alignment horizontal="center" vertical="center"/>
    </xf>
    <xf numFmtId="0" fontId="32" fillId="0" borderId="1" applyAlignment="1" pivotButton="0" quotePrefix="0" xfId="2">
      <alignment horizontal="center" vertical="center" wrapText="1"/>
    </xf>
    <xf numFmtId="0" fontId="7" fillId="0" borderId="0" pivotButton="0" quotePrefix="0" xfId="3"/>
    <xf numFmtId="0" fontId="7" fillId="6" borderId="47" applyAlignment="1" applyProtection="1" pivotButton="0" quotePrefix="0" xfId="0">
      <alignment horizontal="center" vertical="center" wrapText="1"/>
      <protection locked="0" hidden="0"/>
    </xf>
    <xf numFmtId="0" fontId="32" fillId="6" borderId="1" applyAlignment="1" applyProtection="1" pivotButton="0" quotePrefix="0" xfId="2">
      <alignment horizontal="center" vertical="center" wrapText="1"/>
      <protection locked="0" hidden="0"/>
    </xf>
    <xf numFmtId="0" fontId="9" fillId="0" borderId="0" applyAlignment="1" pivotButton="0" quotePrefix="0" xfId="3">
      <alignment horizontal="center" vertical="center"/>
    </xf>
    <xf numFmtId="0" fontId="30" fillId="0" borderId="0" applyAlignment="1" pivotButton="0" quotePrefix="0" xfId="3">
      <alignment horizontal="center" vertical="center" wrapText="1"/>
    </xf>
    <xf numFmtId="0" fontId="7" fillId="0" borderId="0" applyAlignment="1" pivotButton="0" quotePrefix="0" xfId="0">
      <alignment horizontal="center" vertical="center"/>
    </xf>
    <xf numFmtId="0" fontId="7" fillId="0" borderId="0" pivotButton="0" quotePrefix="0" xfId="0"/>
    <xf numFmtId="0" fontId="9" fillId="0" borderId="0" applyAlignment="1" pivotButton="0" quotePrefix="0" xfId="3">
      <alignment horizontal="center" vertical="center" wrapText="1"/>
    </xf>
    <xf numFmtId="0" fontId="36" fillId="0" borderId="0" applyAlignment="1" pivotButton="0" quotePrefix="0" xfId="3">
      <alignment horizontal="center" vertical="center"/>
    </xf>
    <xf numFmtId="0" fontId="9" fillId="0" borderId="0" applyAlignment="1" pivotButton="0" quotePrefix="0" xfId="0">
      <alignment horizontal="center" vertical="center"/>
    </xf>
    <xf numFmtId="2" fontId="7" fillId="0" borderId="0" applyProtection="1" pivotButton="0" quotePrefix="0" xfId="0">
      <protection locked="0" hidden="0"/>
    </xf>
    <xf numFmtId="2" fontId="21" fillId="0" borderId="32" applyAlignment="1" applyProtection="1" pivotButton="0" quotePrefix="0" xfId="0">
      <alignment horizontal="right" vertical="center"/>
      <protection locked="0" hidden="0"/>
    </xf>
    <xf numFmtId="2" fontId="21" fillId="0" borderId="62" applyAlignment="1" applyProtection="1" pivotButton="0" quotePrefix="0" xfId="0">
      <alignment horizontal="right" vertical="center"/>
      <protection locked="0" hidden="0"/>
    </xf>
    <xf numFmtId="2" fontId="21" fillId="0" borderId="10" applyAlignment="1" applyProtection="1" pivotButton="0" quotePrefix="0" xfId="0">
      <alignment horizontal="right" vertical="center"/>
      <protection locked="0" hidden="0"/>
    </xf>
    <xf numFmtId="164" fontId="31" fillId="0" borderId="0" applyAlignment="1" pivotButton="0" quotePrefix="0" xfId="0">
      <alignment horizontal="center" vertical="center" wrapText="1"/>
    </xf>
    <xf numFmtId="164" fontId="35" fillId="0" borderId="0" applyAlignment="1" pivotButton="0" quotePrefix="0" xfId="0">
      <alignment horizontal="center" vertical="center"/>
    </xf>
    <xf numFmtId="49" fontId="28" fillId="4" borderId="37" applyAlignment="1" pivotButton="0" quotePrefix="0" xfId="0">
      <alignment vertical="center" wrapText="1"/>
    </xf>
    <xf numFmtId="0" fontId="7" fillId="0" borderId="2" applyAlignment="1" applyProtection="1" pivotButton="0" quotePrefix="0" xfId="2">
      <alignment horizontal="left" vertical="center" wrapText="1"/>
      <protection locked="0" hidden="0"/>
    </xf>
    <xf numFmtId="9" fontId="18" fillId="0" borderId="1" applyAlignment="1" pivotButton="0" quotePrefix="0" xfId="11">
      <alignment horizontal="center" vertical="center" wrapText="1"/>
    </xf>
    <xf numFmtId="9" fontId="18" fillId="0" borderId="9" applyAlignment="1" pivotButton="0" quotePrefix="0" xfId="11">
      <alignment horizontal="center" vertical="center" wrapText="1"/>
    </xf>
    <xf numFmtId="9" fontId="18" fillId="0" borderId="72" applyAlignment="1" pivotButton="0" quotePrefix="0" xfId="11">
      <alignment horizontal="center" vertical="center" wrapText="1"/>
    </xf>
    <xf numFmtId="0" fontId="2" fillId="0" borderId="21" pivotButton="0" quotePrefix="0" xfId="10"/>
    <xf numFmtId="0" fontId="16" fillId="0" borderId="4" applyAlignment="1" pivotButton="0" quotePrefix="0" xfId="10">
      <alignment horizontal="center"/>
    </xf>
    <xf numFmtId="0" fontId="16" fillId="0" borderId="3" applyAlignment="1" pivotButton="0" quotePrefix="0" xfId="10">
      <alignment horizontal="center"/>
    </xf>
    <xf numFmtId="0" fontId="16" fillId="0" borderId="15" applyAlignment="1" pivotButton="0" quotePrefix="0" xfId="10">
      <alignment horizontal="center"/>
    </xf>
    <xf numFmtId="0" fontId="16" fillId="0" borderId="38" applyAlignment="1" pivotButton="0" quotePrefix="0" xfId="10">
      <alignment horizontal="center" vertical="center"/>
    </xf>
    <xf numFmtId="0" fontId="16" fillId="0" borderId="67" applyAlignment="1" pivotButton="0" quotePrefix="0" xfId="16">
      <alignment horizontal="center" vertical="center"/>
    </xf>
    <xf numFmtId="0" fontId="16" fillId="0" borderId="32" applyAlignment="1" pivotButton="0" quotePrefix="0" xfId="10">
      <alignment horizontal="center"/>
    </xf>
    <xf numFmtId="0" fontId="17" fillId="0" borderId="42" applyAlignment="1" pivotButton="0" quotePrefix="0" xfId="10">
      <alignment vertical="center"/>
    </xf>
    <xf numFmtId="0" fontId="17" fillId="0" borderId="44" applyAlignment="1" pivotButton="0" quotePrefix="0" xfId="10">
      <alignment horizontal="left" vertical="center" wrapText="1"/>
    </xf>
    <xf numFmtId="0" fontId="17" fillId="0" borderId="43" applyAlignment="1" pivotButton="0" quotePrefix="0" xfId="10">
      <alignment horizontal="center" vertical="center" wrapText="1"/>
    </xf>
    <xf numFmtId="0" fontId="17" fillId="0" borderId="7" applyAlignment="1" pivotButton="0" quotePrefix="0" xfId="10">
      <alignment vertical="center"/>
    </xf>
    <xf numFmtId="0" fontId="17" fillId="0" borderId="40" applyAlignment="1" pivotButton="0" quotePrefix="0" xfId="10">
      <alignment horizontal="left" vertical="center" wrapText="1"/>
    </xf>
    <xf numFmtId="0" fontId="18" fillId="0" borderId="40" applyAlignment="1" pivotButton="0" quotePrefix="0" xfId="10">
      <alignment horizontal="left" vertical="center" wrapText="1"/>
    </xf>
    <xf numFmtId="0" fontId="19" fillId="0" borderId="7" applyAlignment="1" pivotButton="0" quotePrefix="0" xfId="10">
      <alignment vertical="center"/>
    </xf>
    <xf numFmtId="0" fontId="18" fillId="0" borderId="40" applyAlignment="1" pivotButton="0" quotePrefix="0" xfId="12">
      <alignment vertical="center" wrapText="1"/>
    </xf>
    <xf numFmtId="0" fontId="19" fillId="0" borderId="54" applyAlignment="1" pivotButton="0" quotePrefix="0" xfId="10">
      <alignment vertical="center"/>
    </xf>
    <xf numFmtId="0" fontId="18" fillId="0" borderId="55" applyAlignment="1" pivotButton="0" quotePrefix="0" xfId="12">
      <alignment vertical="center" wrapText="1"/>
    </xf>
    <xf numFmtId="2" fontId="18" fillId="0" borderId="11" applyAlignment="1" pivotButton="0" quotePrefix="0" xfId="10">
      <alignment horizontal="center" vertical="center" wrapText="1"/>
    </xf>
    <xf numFmtId="2" fontId="18" fillId="0" borderId="50" applyAlignment="1" pivotButton="0" quotePrefix="0" xfId="16">
      <alignment horizontal="center" vertical="center" wrapText="1"/>
    </xf>
    <xf numFmtId="0" fontId="17" fillId="0" borderId="6" applyAlignment="1" pivotButton="0" quotePrefix="0" xfId="10">
      <alignment vertical="center"/>
    </xf>
    <xf numFmtId="0" fontId="17" fillId="0" borderId="56" applyAlignment="1" pivotButton="0" quotePrefix="0" xfId="10">
      <alignment horizontal="left" vertical="center" wrapText="1"/>
    </xf>
    <xf numFmtId="0" fontId="17" fillId="0" borderId="2" applyAlignment="1" pivotButton="0" quotePrefix="0" xfId="10">
      <alignment horizontal="center" vertical="center" wrapText="1"/>
    </xf>
    <xf numFmtId="0" fontId="17" fillId="0" borderId="7" applyAlignment="1" pivotButton="0" quotePrefix="0" xfId="12">
      <alignment horizontal="left" vertical="center"/>
    </xf>
    <xf numFmtId="0" fontId="18" fillId="0" borderId="40" applyAlignment="1" pivotButton="0" quotePrefix="0" xfId="10">
      <alignment vertical="center" wrapText="1"/>
    </xf>
    <xf numFmtId="0" fontId="18" fillId="4" borderId="0" applyAlignment="1" pivotButton="0" quotePrefix="0" xfId="10">
      <alignment wrapText="1"/>
    </xf>
    <xf numFmtId="0" fontId="19" fillId="0" borderId="8" applyAlignment="1" pivotButton="0" quotePrefix="0" xfId="10">
      <alignment vertical="center"/>
    </xf>
    <xf numFmtId="0" fontId="18" fillId="0" borderId="52" applyAlignment="1" pivotButton="0" quotePrefix="0" xfId="10">
      <alignment horizontal="left" vertical="center" wrapText="1"/>
    </xf>
    <xf numFmtId="0" fontId="18" fillId="0" borderId="9" applyAlignment="1" pivotButton="0" quotePrefix="0" xfId="10">
      <alignment horizontal="center" vertical="center" wrapText="1"/>
    </xf>
    <xf numFmtId="0" fontId="17" fillId="0" borderId="54" applyAlignment="1" pivotButton="0" quotePrefix="0" xfId="10">
      <alignment vertical="center"/>
    </xf>
    <xf numFmtId="0" fontId="18" fillId="0" borderId="55" applyAlignment="1" pivotButton="0" quotePrefix="0" xfId="10">
      <alignment horizontal="left" vertical="center" wrapText="1"/>
    </xf>
    <xf numFmtId="0" fontId="18" fillId="4" borderId="69" applyAlignment="1" pivotButton="0" quotePrefix="0" xfId="16">
      <alignment vertical="center" wrapText="1"/>
    </xf>
    <xf numFmtId="0" fontId="18" fillId="0" borderId="11" applyAlignment="1" pivotButton="0" quotePrefix="0" xfId="10">
      <alignment horizontal="center" vertical="center" wrapText="1"/>
    </xf>
    <xf numFmtId="0" fontId="18" fillId="4" borderId="50" applyAlignment="1" pivotButton="0" quotePrefix="0" xfId="16">
      <alignment horizontal="center" vertical="center" wrapText="1"/>
    </xf>
    <xf numFmtId="0" fontId="19" fillId="0" borderId="7" applyAlignment="1" pivotButton="0" quotePrefix="0" xfId="10">
      <alignment horizontal="left" vertical="center" wrapText="1"/>
    </xf>
    <xf numFmtId="0" fontId="19" fillId="0" borderId="8" applyAlignment="1" pivotButton="0" quotePrefix="0" xfId="10">
      <alignment horizontal="lef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6" fillId="0" borderId="2" applyAlignment="1" pivotButton="0" quotePrefix="0" xfId="0">
      <alignment readingOrder="2"/>
    </xf>
    <xf numFmtId="0" fontId="22" fillId="0" borderId="2" applyAlignment="1" pivotButton="0" quotePrefix="0" xfId="0">
      <alignment readingOrder="2"/>
    </xf>
    <xf numFmtId="0" fontId="18" fillId="0" borderId="68" applyAlignment="1" pivotButton="0" quotePrefix="0" xfId="10">
      <alignment vertical="center" wrapText="1"/>
    </xf>
    <xf numFmtId="0" fontId="18" fillId="0" borderId="73" applyAlignment="1" pivotButton="0" quotePrefix="0" xfId="10">
      <alignment vertical="center" wrapText="1"/>
    </xf>
    <xf numFmtId="0" fontId="18" fillId="0" borderId="70" applyAlignment="1" pivotButton="0" quotePrefix="0" xfId="10">
      <alignment vertical="center" wrapText="1"/>
    </xf>
    <xf numFmtId="0" fontId="18" fillId="0" borderId="71" applyAlignment="1" pivotButton="0" quotePrefix="0" xfId="10">
      <alignment vertical="center" wrapText="1"/>
    </xf>
    <xf numFmtId="0" fontId="17" fillId="0" borderId="45" applyAlignment="1" pivotButton="0" quotePrefix="0" xfId="10">
      <alignment horizontal="center" vertical="center" wrapText="1"/>
    </xf>
    <xf numFmtId="0" fontId="17" fillId="0" borderId="39" applyAlignment="1" pivotButton="0" quotePrefix="0" xfId="10">
      <alignment horizontal="center" vertical="center" wrapText="1"/>
    </xf>
    <xf numFmtId="0" fontId="18" fillId="0" borderId="39" applyAlignment="1" pivotButton="0" quotePrefix="0" xfId="10">
      <alignment horizontal="center" vertical="center" wrapText="1"/>
    </xf>
    <xf numFmtId="0" fontId="18" fillId="0" borderId="41" applyAlignment="1" pivotButton="0" quotePrefix="0" xfId="10">
      <alignment horizontal="center" vertical="center" wrapText="1"/>
    </xf>
    <xf numFmtId="0" fontId="18" fillId="0" borderId="65" applyAlignment="1" pivotButton="0" quotePrefix="0" xfId="10">
      <alignment horizontal="center" vertical="center" wrapText="1"/>
    </xf>
    <xf numFmtId="0" fontId="18" fillId="0" borderId="46" applyAlignment="1" pivotButton="0" quotePrefix="0" xfId="10">
      <alignment horizontal="center" vertical="center" wrapText="1"/>
    </xf>
    <xf numFmtId="0" fontId="17" fillId="0" borderId="57" applyAlignment="1" pivotButton="0" quotePrefix="0" xfId="10">
      <alignment horizontal="center" vertical="center" wrapText="1"/>
    </xf>
    <xf numFmtId="0" fontId="0" fillId="0" borderId="47" applyAlignment="1" pivotButton="0" quotePrefix="0" xfId="3">
      <alignment horizontal="right" vertical="center" wrapText="1"/>
    </xf>
    <xf numFmtId="0" fontId="7" fillId="0" borderId="9" applyAlignment="1" pivotButton="0" quotePrefix="0" xfId="3">
      <alignment horizontal="right" vertical="center" wrapText="1"/>
    </xf>
    <xf numFmtId="0" fontId="7" fillId="0" borderId="2" applyAlignment="1" pivotButton="0" quotePrefix="0" xfId="2">
      <alignment horizontal="right" vertical="center" wrapText="1"/>
    </xf>
    <xf numFmtId="0" fontId="7" fillId="0" borderId="2" applyAlignment="1" pivotButton="0" quotePrefix="0" xfId="3">
      <alignment horizontal="right" vertical="center" wrapText="1"/>
    </xf>
    <xf numFmtId="0" fontId="38" fillId="0" borderId="0" applyAlignment="1" pivotButton="0" quotePrefix="0" xfId="0">
      <alignment horizontal="right" vertical="center" wrapText="1"/>
    </xf>
    <xf numFmtId="165" fontId="7" fillId="0" borderId="1" applyAlignment="1" pivotButton="0" quotePrefix="0" xfId="0">
      <alignment horizontal="right" vertical="center" wrapText="1"/>
    </xf>
    <xf numFmtId="0" fontId="7" fillId="0" borderId="2" applyAlignment="1" pivotButton="0" quotePrefix="0" xfId="0">
      <alignment horizontal="right" vertical="center" wrapText="1"/>
    </xf>
    <xf numFmtId="0" fontId="7" fillId="6" borderId="12" applyAlignment="1" applyProtection="1" pivotButton="0" quotePrefix="0" xfId="0">
      <alignment horizontal="right" vertical="center" wrapText="1"/>
      <protection locked="0" hidden="0"/>
    </xf>
    <xf numFmtId="0" fontId="7" fillId="6" borderId="1" applyAlignment="1" applyProtection="1" pivotButton="0" quotePrefix="0" xfId="0">
      <alignment horizontal="right" vertical="center" wrapText="1"/>
      <protection locked="0" hidden="0"/>
    </xf>
    <xf numFmtId="0" fontId="7" fillId="0" borderId="1" applyAlignment="1" pivotButton="0" quotePrefix="0" xfId="3">
      <alignment horizontal="right" vertical="center" wrapText="1"/>
    </xf>
    <xf numFmtId="0" fontId="7" fillId="6" borderId="1" applyAlignment="1" applyProtection="1" pivotButton="0" quotePrefix="0" xfId="3">
      <alignment horizontal="right" vertical="center" wrapText="1"/>
      <protection locked="0" hidden="0"/>
    </xf>
    <xf numFmtId="0" fontId="7" fillId="0" borderId="2" applyAlignment="1" applyProtection="1" pivotButton="0" quotePrefix="0" xfId="3">
      <alignment horizontal="right" vertical="center" wrapText="1"/>
      <protection locked="0" hidden="0"/>
    </xf>
    <xf numFmtId="49" fontId="28" fillId="4" borderId="37" applyAlignment="1" applyProtection="1" pivotButton="0" quotePrefix="0" xfId="0">
      <alignment horizontal="right" vertical="center" wrapText="1"/>
      <protection locked="0" hidden="0"/>
    </xf>
    <xf numFmtId="0" fontId="7" fillId="0" borderId="3" applyAlignment="1" pivotButton="0" quotePrefix="0" xfId="3">
      <alignment horizontal="right" vertical="center" wrapText="1"/>
    </xf>
    <xf numFmtId="0" fontId="7" fillId="6" borderId="47" applyAlignment="1" applyProtection="1" pivotButton="0" quotePrefix="0" xfId="3">
      <alignment horizontal="right" vertical="center" wrapText="1"/>
      <protection locked="0" hidden="0"/>
    </xf>
    <xf numFmtId="0" fontId="7" fillId="0" borderId="47" applyAlignment="1" pivotButton="0" quotePrefix="0" xfId="3">
      <alignment horizontal="right" vertical="center" wrapText="1"/>
    </xf>
    <xf numFmtId="0" fontId="19" fillId="0" borderId="42" applyAlignment="1" pivotButton="0" quotePrefix="0" xfId="10">
      <alignment horizontal="left" vertical="center" wrapText="1"/>
    </xf>
    <xf numFmtId="0" fontId="18" fillId="0" borderId="76" applyAlignment="1" pivotButton="0" quotePrefix="0" xfId="10">
      <alignment vertical="center" wrapText="1"/>
    </xf>
    <xf numFmtId="9" fontId="18" fillId="0" borderId="77" applyAlignment="1" pivotButton="0" quotePrefix="0" xfId="11">
      <alignment horizontal="center" vertical="center" wrapText="1"/>
    </xf>
    <xf numFmtId="0" fontId="18" fillId="0" borderId="68" applyAlignment="1" pivotButton="0" quotePrefix="0" xfId="16">
      <alignment vertical="center" wrapText="1"/>
    </xf>
    <xf numFmtId="0" fontId="18" fillId="0" borderId="74" applyAlignment="1" pivotButton="0" quotePrefix="0" xfId="10">
      <alignment vertical="center" wrapText="1"/>
    </xf>
    <xf numFmtId="0" fontId="17" fillId="0" borderId="75" applyAlignment="1" pivotButton="0" quotePrefix="0" xfId="10">
      <alignment wrapText="1"/>
    </xf>
    <xf numFmtId="0" fontId="39" fillId="0" borderId="43" applyAlignment="1" pivotButton="0" quotePrefix="0" xfId="12">
      <alignment vertical="center" wrapText="1"/>
    </xf>
    <xf numFmtId="0" fontId="39" fillId="0" borderId="9" applyAlignment="1" pivotButton="0" quotePrefix="0" xfId="12">
      <alignment vertical="center" wrapText="1"/>
    </xf>
    <xf numFmtId="0" fontId="7" fillId="0" borderId="19" applyAlignment="1" pivotButton="0" quotePrefix="0" xfId="0">
      <alignment horizontal="left" vertical="center" wrapText="1"/>
    </xf>
    <xf numFmtId="0" fontId="7" fillId="9" borderId="48" applyAlignment="1" applyProtection="1" pivotButton="0" quotePrefix="0" xfId="3">
      <alignment horizontal="left" vertical="center" wrapText="1"/>
      <protection locked="0" hidden="0"/>
    </xf>
    <xf numFmtId="0" fontId="7" fillId="9" borderId="16" applyAlignment="1" applyProtection="1" pivotButton="0" quotePrefix="0" xfId="0">
      <alignment horizontal="left" vertical="center" wrapText="1"/>
      <protection locked="0" hidden="0"/>
    </xf>
    <xf numFmtId="0" fontId="32" fillId="0" borderId="2" applyAlignment="1" pivotButton="0" quotePrefix="0" xfId="2">
      <alignment horizontal="center" vertical="center" wrapText="1"/>
    </xf>
    <xf numFmtId="49" fontId="42" fillId="0" borderId="37" applyAlignment="1" pivotButton="0" quotePrefix="0" xfId="0">
      <alignment vertical="center" wrapText="1"/>
    </xf>
    <xf numFmtId="0" fontId="7" fillId="5" borderId="30" applyAlignment="1" pivotButton="0" quotePrefix="0" xfId="2">
      <alignment horizontal="center" vertical="center"/>
    </xf>
    <xf numFmtId="0" fontId="14" fillId="0" borderId="33" applyAlignment="1" applyProtection="1" pivotButton="0" quotePrefix="0" xfId="3">
      <alignment horizontal="center" vertical="center" wrapText="1"/>
      <protection locked="0" hidden="0"/>
    </xf>
    <xf numFmtId="0" fontId="43" fillId="9" borderId="16" applyAlignment="1" applyProtection="1" pivotButton="0" quotePrefix="0" xfId="3">
      <alignment horizontal="center" vertical="center" wrapText="1"/>
      <protection locked="0" hidden="0"/>
    </xf>
    <xf numFmtId="0" fontId="12" fillId="13" borderId="33" applyAlignment="1" applyProtection="1" pivotButton="0" quotePrefix="0" xfId="3">
      <alignment horizontal="left" vertical="center" wrapText="1"/>
      <protection locked="0" hidden="0"/>
    </xf>
    <xf numFmtId="0" fontId="0" fillId="0" borderId="47" applyAlignment="1" pivotButton="0" quotePrefix="0" xfId="3">
      <alignment horizontal="left" vertical="center" wrapText="1"/>
    </xf>
    <xf numFmtId="0" fontId="7" fillId="14" borderId="7" applyAlignment="1" applyProtection="1" pivotButton="0" quotePrefix="0" xfId="2">
      <alignment horizontal="center" vertical="center"/>
      <protection locked="0" hidden="0"/>
    </xf>
    <xf numFmtId="0" fontId="7" fillId="14" borderId="12" applyAlignment="1" pivotButton="0" quotePrefix="0" xfId="0">
      <alignment horizontal="center" vertical="center" wrapText="1"/>
    </xf>
    <xf numFmtId="0" fontId="7" fillId="14" borderId="12" applyAlignment="1" pivotButton="0" quotePrefix="0" xfId="2">
      <alignment horizontal="center" vertical="center" wrapText="1"/>
    </xf>
    <xf numFmtId="0" fontId="7" fillId="14" borderId="12" applyAlignment="1" pivotButton="0" quotePrefix="0" xfId="3">
      <alignment horizontal="left" vertical="center" wrapText="1"/>
    </xf>
    <xf numFmtId="0" fontId="7" fillId="14" borderId="19" applyAlignment="1" pivotButton="0" quotePrefix="0" xfId="3">
      <alignment horizontal="center" vertical="center" wrapText="1"/>
    </xf>
    <xf numFmtId="0" fontId="7" fillId="14" borderId="1" applyAlignment="1" pivotButton="0" quotePrefix="0" xfId="3">
      <alignment vertical="center" wrapText="1"/>
    </xf>
    <xf numFmtId="0" fontId="7" fillId="14" borderId="48" applyAlignment="1" applyProtection="1" pivotButton="0" quotePrefix="0" xfId="3">
      <alignment horizontal="left" vertical="center" wrapText="1"/>
      <protection locked="0" hidden="0"/>
    </xf>
    <xf numFmtId="9" fontId="18" fillId="14" borderId="0" applyAlignment="1" applyProtection="1" pivotButton="0" quotePrefix="0" xfId="11">
      <alignment horizontal="center" vertical="center"/>
      <protection locked="0" hidden="0"/>
    </xf>
    <xf numFmtId="0" fontId="7" fillId="14" borderId="0" applyAlignment="1" applyProtection="1" pivotButton="0" quotePrefix="0" xfId="0">
      <alignment horizontal="center" vertical="center"/>
      <protection locked="0" hidden="0"/>
    </xf>
    <xf numFmtId="0" fontId="7" fillId="14" borderId="0" applyProtection="1" pivotButton="0" quotePrefix="0" xfId="3">
      <protection locked="0" hidden="0"/>
    </xf>
    <xf numFmtId="0" fontId="9" fillId="14" borderId="0" applyAlignment="1" applyProtection="1" pivotButton="0" quotePrefix="0" xfId="3">
      <alignment horizontal="center" vertical="center"/>
      <protection locked="0" hidden="0"/>
    </xf>
    <xf numFmtId="0" fontId="7" fillId="14" borderId="0" applyProtection="1" pivotButton="0" quotePrefix="0" xfId="0">
      <protection locked="0" hidden="0"/>
    </xf>
    <xf numFmtId="164" fontId="18" fillId="14" borderId="0" applyAlignment="1" applyProtection="1" pivotButton="0" quotePrefix="0" xfId="0">
      <alignment horizontal="center" vertical="center"/>
      <protection locked="0" hidden="0"/>
    </xf>
    <xf numFmtId="0" fontId="7" fillId="14" borderId="7" applyAlignment="1" applyProtection="1" pivotButton="0" quotePrefix="0" xfId="2">
      <alignment horizontal="center" vertical="center" wrapText="1"/>
      <protection locked="0" hidden="0"/>
    </xf>
    <xf numFmtId="0" fontId="7" fillId="14" borderId="16" applyAlignment="1" applyProtection="1" pivotButton="0" quotePrefix="0" xfId="3">
      <alignment horizontal="center" vertical="center" wrapText="1"/>
      <protection locked="0" hidden="0"/>
    </xf>
    <xf numFmtId="9" fontId="18" fillId="14" borderId="0" applyAlignment="1" applyProtection="1" pivotButton="0" quotePrefix="0" xfId="11">
      <alignment horizontal="center" vertical="center" wrapText="1"/>
      <protection locked="0" hidden="0"/>
    </xf>
    <xf numFmtId="0" fontId="7"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wrapText="1"/>
      <protection locked="0" hidden="0"/>
    </xf>
    <xf numFmtId="0" fontId="9" fillId="14" borderId="0" applyAlignment="1" applyProtection="1" pivotButton="0" quotePrefix="0" xfId="3">
      <alignment horizontal="center" vertical="center" wrapText="1"/>
      <protection locked="0" hidden="0"/>
    </xf>
    <xf numFmtId="0" fontId="7" fillId="14" borderId="0" applyAlignment="1" applyProtection="1" pivotButton="0" quotePrefix="0" xfId="0">
      <alignment wrapText="1"/>
      <protection locked="0" hidden="0"/>
    </xf>
    <xf numFmtId="164" fontId="18"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horizontal="center" vertical="center" wrapText="1"/>
      <protection locked="0" hidden="0"/>
    </xf>
    <xf numFmtId="0" fontId="11" fillId="14" borderId="0" applyAlignment="1" applyProtection="1" pivotButton="0" quotePrefix="0" xfId="3">
      <alignment vertical="top" wrapText="1"/>
      <protection locked="0" hidden="0"/>
    </xf>
    <xf numFmtId="0" fontId="7" fillId="14" borderId="13" applyAlignment="1" applyProtection="1" pivotButton="0" quotePrefix="0" xfId="3">
      <alignment horizontal="left" vertical="center" wrapText="1"/>
      <protection locked="0" hidden="0"/>
    </xf>
    <xf numFmtId="0" fontId="7" fillId="14" borderId="0" applyAlignment="1" applyProtection="1" pivotButton="0" quotePrefix="0" xfId="3">
      <alignment vertical="top" wrapText="1"/>
      <protection locked="0" hidden="0"/>
    </xf>
    <xf numFmtId="0" fontId="7" fillId="14" borderId="5" applyAlignment="1" applyProtection="1" pivotButton="0" quotePrefix="0" xfId="2">
      <alignment horizontal="center" vertical="center" wrapText="1"/>
      <protection locked="0" hidden="0"/>
    </xf>
    <xf numFmtId="0" fontId="9" fillId="14" borderId="1" applyAlignment="1" applyProtection="1" pivotButton="0" quotePrefix="0" xfId="14">
      <alignment horizontal="center" vertical="center" wrapText="1"/>
      <protection locked="0" hidden="0"/>
    </xf>
    <xf numFmtId="0" fontId="7" fillId="14" borderId="13" applyAlignment="1" applyProtection="1" pivotButton="0" quotePrefix="0" xfId="0">
      <alignment horizontal="center" vertical="center" wrapText="1"/>
      <protection locked="0" hidden="0"/>
    </xf>
    <xf numFmtId="0" fontId="7" fillId="14" borderId="1" applyAlignment="1" pivotButton="0" quotePrefix="0" xfId="2">
      <alignment horizontal="center" vertical="center" wrapText="1"/>
    </xf>
    <xf numFmtId="0" fontId="7" fillId="14" borderId="1" applyAlignment="1" applyProtection="1" pivotButton="0" quotePrefix="0" xfId="14">
      <alignment horizontal="center" vertical="center" wrapText="1"/>
      <protection locked="0" hidden="0"/>
    </xf>
    <xf numFmtId="0" fontId="7" fillId="14" borderId="5" applyAlignment="1" applyProtection="1" pivotButton="0" quotePrefix="0" xfId="2">
      <alignment horizontal="center" vertical="center"/>
      <protection locked="0" hidden="0"/>
    </xf>
    <xf numFmtId="0" fontId="9" fillId="14" borderId="1" applyAlignment="1" pivotButton="0" quotePrefix="0" xfId="14">
      <alignment horizontal="center" vertical="center" wrapText="1"/>
    </xf>
    <xf numFmtId="0" fontId="7" fillId="14" borderId="13" applyAlignment="1" pivotButton="0" quotePrefix="0" xfId="14">
      <alignment horizontal="center" vertical="center" wrapText="1"/>
    </xf>
    <xf numFmtId="0" fontId="7" fillId="14" borderId="14" applyAlignment="1" pivotButton="0" quotePrefix="0" xfId="3">
      <alignment horizontal="left" vertical="center" wrapText="1"/>
    </xf>
    <xf numFmtId="0" fontId="7" fillId="14" borderId="16" applyAlignment="1" pivotButton="0" quotePrefix="0" xfId="3">
      <alignment horizontal="center" vertical="center" wrapText="1"/>
    </xf>
    <xf numFmtId="0" fontId="7" fillId="14" borderId="35" applyAlignment="1" applyProtection="1" pivotButton="0" quotePrefix="0" xfId="3">
      <alignment horizontal="left" vertical="center" wrapText="1"/>
      <protection locked="0" hidden="0"/>
    </xf>
    <xf numFmtId="0" fontId="9" fillId="14" borderId="0" applyAlignment="1" pivotButton="0" quotePrefix="0" xfId="3">
      <alignment horizontal="center" vertical="center"/>
    </xf>
    <xf numFmtId="164" fontId="18" fillId="14" borderId="0" applyAlignment="1" pivotButton="0" quotePrefix="0" xfId="0">
      <alignment horizontal="center" vertical="center"/>
    </xf>
    <xf numFmtId="0" fontId="7" fillId="14" borderId="16" applyAlignment="1" applyProtection="1" pivotButton="0" quotePrefix="0" xfId="0">
      <alignment horizontal="center" vertical="center" wrapText="1"/>
      <protection locked="0" hidden="0"/>
    </xf>
    <xf numFmtId="0" fontId="7" fillId="14" borderId="13" applyAlignment="1" applyProtection="1" pivotButton="0" quotePrefix="0" xfId="3">
      <alignment horizontal="center" vertical="center" wrapText="1"/>
      <protection locked="0" hidden="0"/>
    </xf>
    <xf numFmtId="0" fontId="7" fillId="14" borderId="2" applyAlignment="1" pivotButton="0" quotePrefix="0" xfId="0">
      <alignment horizontal="center" vertical="center" wrapText="1"/>
    </xf>
    <xf numFmtId="0" fontId="49" fillId="14" borderId="49" applyAlignment="1" pivotButton="0" quotePrefix="0" xfId="0">
      <alignment horizontal="left" vertical="center" wrapText="1"/>
    </xf>
    <xf numFmtId="0" fontId="7" fillId="14" borderId="0" applyAlignment="1" applyProtection="1" pivotButton="0" quotePrefix="0" xfId="3">
      <alignment horizontal="left" vertical="center" wrapText="1"/>
      <protection locked="0" hidden="0"/>
    </xf>
    <xf numFmtId="0" fontId="7" fillId="14" borderId="0" applyAlignment="1" applyProtection="1" pivotButton="0" quotePrefix="0" xfId="3">
      <alignment horizontal="left" vertical="center"/>
      <protection locked="0" hidden="0"/>
    </xf>
    <xf numFmtId="0" fontId="24" fillId="14" borderId="12" applyAlignment="1" pivotButton="0" quotePrefix="0" xfId="0">
      <alignment horizontal="right" vertical="center" wrapText="1"/>
    </xf>
    <xf numFmtId="9" fontId="51" fillId="15" borderId="0" applyAlignment="1" pivotButton="0" quotePrefix="0" xfId="11">
      <alignment horizontal="left" vertical="center"/>
    </xf>
    <xf numFmtId="0" fontId="50" fillId="15" borderId="0" applyAlignment="1" pivotButton="0" quotePrefix="0" xfId="0">
      <alignment horizontal="left" vertical="center"/>
    </xf>
    <xf numFmtId="0" fontId="50" fillId="15" borderId="0" applyAlignment="1" pivotButton="0" quotePrefix="0" xfId="3">
      <alignment horizontal="left"/>
    </xf>
    <xf numFmtId="0" fontId="52" fillId="15" borderId="0" applyAlignment="1" pivotButton="0" quotePrefix="0" xfId="3">
      <alignment horizontal="left" vertical="center"/>
    </xf>
    <xf numFmtId="0" fontId="50" fillId="15" borderId="0" applyAlignment="1" pivotButton="0" quotePrefix="0" xfId="0">
      <alignment horizontal="left"/>
    </xf>
    <xf numFmtId="164" fontId="51" fillId="15" borderId="0" applyAlignment="1" pivotButton="0" quotePrefix="0" xfId="0">
      <alignment horizontal="left" vertical="center"/>
    </xf>
    <xf numFmtId="0" fontId="7" fillId="16" borderId="16" applyAlignment="1" applyProtection="1" pivotButton="0" quotePrefix="0" xfId="14">
      <alignment horizontal="center" vertical="center" wrapText="1"/>
      <protection locked="0" hidden="0"/>
    </xf>
    <xf numFmtId="0" fontId="44" fillId="16" borderId="78" applyAlignment="1" applyProtection="1" pivotButton="0" quotePrefix="0" xfId="3">
      <alignment horizontal="left" vertical="center" wrapText="1"/>
      <protection locked="0" hidden="0"/>
    </xf>
    <xf numFmtId="0" fontId="7" fillId="16" borderId="79" applyAlignment="1" applyProtection="1" pivotButton="0" quotePrefix="0" xfId="2">
      <alignment horizontal="center" vertical="center" wrapText="1"/>
      <protection locked="0" hidden="0"/>
    </xf>
    <xf numFmtId="0" fontId="7" fillId="16" borderId="43" applyAlignment="1" applyProtection="1" pivotButton="0" quotePrefix="0" xfId="2">
      <alignment horizontal="center" vertical="center" wrapText="1"/>
      <protection locked="0" hidden="0"/>
    </xf>
    <xf numFmtId="0" fontId="7" fillId="16" borderId="19" applyAlignment="1" applyProtection="1" pivotButton="0" quotePrefix="0" xfId="3">
      <alignment horizontal="left" vertical="center" wrapText="1"/>
      <protection locked="0" hidden="0"/>
    </xf>
    <xf numFmtId="0" fontId="7" fillId="0" borderId="16" applyAlignment="1" applyProtection="1" pivotButton="0" quotePrefix="0" xfId="14">
      <alignment horizontal="center" vertical="center" wrapText="1"/>
      <protection locked="0" hidden="0"/>
    </xf>
    <xf numFmtId="0" fontId="7" fillId="16" borderId="77" applyAlignment="1" applyProtection="1" pivotButton="0" quotePrefix="0" xfId="3">
      <alignment horizontal="left" vertical="center" wrapText="1"/>
      <protection locked="0" hidden="0"/>
    </xf>
    <xf numFmtId="0" fontId="9" fillId="16" borderId="0" applyAlignment="1" applyProtection="1" pivotButton="0" quotePrefix="0" xfId="3">
      <alignment horizontal="center" vertical="center"/>
      <protection locked="0" hidden="0"/>
    </xf>
    <xf numFmtId="0" fontId="11" fillId="0" borderId="0" applyAlignment="1" applyProtection="1" pivotButton="0" quotePrefix="0" xfId="3">
      <alignment horizontal="left" vertical="center" wrapText="1"/>
      <protection locked="0" hidden="0"/>
    </xf>
    <xf numFmtId="0" fontId="7" fillId="17" borderId="2" applyAlignment="1" pivotButton="0" quotePrefix="0" xfId="0">
      <alignment horizontal="center" vertical="center" wrapText="1"/>
    </xf>
    <xf numFmtId="0" fontId="44" fillId="17" borderId="16" applyAlignment="1" pivotButton="0" quotePrefix="0" xfId="0">
      <alignment vertical="center" wrapText="1"/>
    </xf>
    <xf numFmtId="0" fontId="7" fillId="16" borderId="13" applyAlignment="1" pivotButton="0" quotePrefix="0" xfId="2">
      <alignment horizontal="left" vertical="center" wrapText="1"/>
    </xf>
    <xf numFmtId="0" fontId="7" fillId="0" borderId="13" applyAlignment="1" pivotButton="0" quotePrefix="0" xfId="2">
      <alignment horizontal="center" vertical="center" wrapText="1"/>
    </xf>
    <xf numFmtId="0" fontId="7" fillId="17" borderId="2" applyAlignment="1" applyProtection="1" pivotButton="0" quotePrefix="0" xfId="0">
      <alignment horizontal="center" vertical="center" wrapText="1"/>
      <protection locked="0" hidden="0"/>
    </xf>
    <xf numFmtId="0" fontId="44" fillId="17" borderId="16" applyAlignment="1" applyProtection="1" pivotButton="0" quotePrefix="0" xfId="0">
      <alignment vertical="center" wrapText="1"/>
      <protection locked="0" hidden="0"/>
    </xf>
    <xf numFmtId="0" fontId="7" fillId="16" borderId="13" applyAlignment="1" applyProtection="1" pivotButton="0" quotePrefix="0" xfId="2">
      <alignment horizontal="left" vertical="center" wrapText="1"/>
      <protection locked="0" hidden="0"/>
    </xf>
    <xf numFmtId="0" fontId="7" fillId="0" borderId="13" applyAlignment="1" applyProtection="1" pivotButton="0" quotePrefix="0" xfId="2">
      <alignment horizontal="center" vertical="center" wrapText="1"/>
      <protection locked="0" hidden="0"/>
    </xf>
    <xf numFmtId="0" fontId="7" fillId="0" borderId="0" applyAlignment="1" applyProtection="1" pivotButton="0" quotePrefix="0" xfId="3">
      <alignment vertical="top" wrapText="1"/>
      <protection locked="0" hidden="0"/>
    </xf>
    <xf numFmtId="0" fontId="46" fillId="17" borderId="13" applyAlignment="1" pivotButton="0" quotePrefix="0" xfId="0">
      <alignment vertical="center" wrapText="1"/>
    </xf>
    <xf numFmtId="0" fontId="7" fillId="16" borderId="2" applyAlignment="1" applyProtection="1" pivotButton="0" quotePrefix="0" xfId="0">
      <alignment horizontal="center" vertical="center" wrapText="1"/>
      <protection locked="0" hidden="0"/>
    </xf>
    <xf numFmtId="0" fontId="47" fillId="16" borderId="0" applyAlignment="1" pivotButton="0" quotePrefix="0" xfId="0">
      <alignment vertical="center" wrapText="1"/>
    </xf>
    <xf numFmtId="0" fontId="33" fillId="0" borderId="1" applyAlignment="1" pivotButton="0" quotePrefix="0" xfId="0">
      <alignment horizontal="right" vertical="center" wrapText="1"/>
    </xf>
    <xf numFmtId="0" fontId="40" fillId="0" borderId="2" applyAlignment="1" pivotButton="0" quotePrefix="0" xfId="3">
      <alignment horizontal="left" vertical="center" wrapText="1"/>
    </xf>
    <xf numFmtId="0" fontId="40" fillId="0" borderId="13" applyAlignment="1" pivotButton="0" quotePrefix="0" xfId="3">
      <alignment horizontal="left" vertical="center" wrapText="1"/>
    </xf>
    <xf numFmtId="0" fontId="40" fillId="0" borderId="47" applyAlignment="1" pivotButton="0" quotePrefix="0" xfId="3">
      <alignment horizontal="left" vertical="center" wrapText="1"/>
    </xf>
    <xf numFmtId="0" fontId="17" fillId="0" borderId="47" applyAlignment="1" pivotButton="0" quotePrefix="0" xfId="3">
      <alignment vertical="center" wrapText="1"/>
    </xf>
    <xf numFmtId="0" fontId="9" fillId="0" borderId="12" applyAlignment="1" applyProtection="1" pivotButton="0" quotePrefix="0" xfId="14">
      <alignment horizontal="center" vertical="center" wrapText="1"/>
      <protection locked="0" hidden="0"/>
    </xf>
    <xf numFmtId="0" fontId="7" fillId="0" borderId="12" applyAlignment="1" applyProtection="1" pivotButton="0" quotePrefix="0" xfId="2">
      <alignment horizontal="center" vertical="center" wrapText="1"/>
      <protection locked="0" hidden="0"/>
    </xf>
    <xf numFmtId="0" fontId="7" fillId="0" borderId="19" applyAlignment="1" applyProtection="1" pivotButton="0" quotePrefix="0" xfId="3">
      <alignment horizontal="center" vertical="center" wrapText="1"/>
      <protection locked="0" hidden="0"/>
    </xf>
    <xf numFmtId="0" fontId="7" fillId="0" borderId="28" applyAlignment="1" applyProtection="1" pivotButton="0" quotePrefix="0" xfId="3">
      <alignment horizontal="center" vertical="center" wrapText="1"/>
      <protection locked="0" hidden="0"/>
    </xf>
    <xf numFmtId="0" fontId="7" fillId="4" borderId="6" applyAlignment="1" applyProtection="1" pivotButton="0" quotePrefix="0" xfId="2">
      <alignment horizontal="center" vertical="center"/>
      <protection locked="0" hidden="0"/>
    </xf>
    <xf numFmtId="0" fontId="7" fillId="0" borderId="59" applyAlignment="1" applyProtection="1" pivotButton="0" quotePrefix="0" xfId="0">
      <alignment horizontal="left" vertical="center" wrapText="1"/>
      <protection locked="0" hidden="0"/>
    </xf>
    <xf numFmtId="0" fontId="9" fillId="0" borderId="2" applyAlignment="1" applyProtection="1" pivotButton="0" quotePrefix="0" xfId="2">
      <alignment horizontal="center" vertical="center" wrapText="1"/>
      <protection locked="0" hidden="0"/>
    </xf>
    <xf numFmtId="0" fontId="7" fillId="0" borderId="0" applyAlignment="1" applyProtection="1" pivotButton="0" quotePrefix="0" xfId="0">
      <alignment horizontal="left" vertical="center" wrapText="1"/>
      <protection locked="0" hidden="0"/>
    </xf>
    <xf numFmtId="0" fontId="33" fillId="0" borderId="2" applyAlignment="1" pivotButton="0" quotePrefix="0" xfId="3">
      <alignment horizontal="left" vertical="center" wrapText="1"/>
    </xf>
    <xf numFmtId="0" fontId="53" fillId="0" borderId="2" applyAlignment="1" pivotButton="0" quotePrefix="0" xfId="14">
      <alignment horizontal="center" vertical="center" wrapText="1"/>
    </xf>
    <xf numFmtId="0" fontId="10" fillId="0" borderId="2" applyAlignment="1" pivotButton="0" quotePrefix="0" xfId="14">
      <alignment horizontal="center" vertical="center" wrapText="1"/>
    </xf>
    <xf numFmtId="0" fontId="10" fillId="0" borderId="2" applyAlignment="1" pivotButton="0" quotePrefix="0" xfId="2">
      <alignment horizontal="center" vertical="center" wrapText="1"/>
    </xf>
    <xf numFmtId="0" fontId="7" fillId="19" borderId="2" applyAlignment="1" pivotButton="0" quotePrefix="0" xfId="3">
      <alignment horizontal="right" vertical="center" wrapText="1"/>
    </xf>
    <xf numFmtId="0" fontId="10" fillId="0" borderId="16" applyAlignment="1" pivotButton="0" quotePrefix="0" xfId="3">
      <alignment horizontal="left" vertical="center" wrapText="1"/>
    </xf>
    <xf numFmtId="0" fontId="10" fillId="0" borderId="16" applyAlignment="1" pivotButton="0" quotePrefix="0" xfId="3">
      <alignment horizontal="center" vertical="center" wrapText="1"/>
    </xf>
    <xf numFmtId="0" fontId="10" fillId="0" borderId="0" applyAlignment="1" pivotButton="0" quotePrefix="0" xfId="3">
      <alignment horizontal="left" vertical="center" wrapText="1"/>
    </xf>
    <xf numFmtId="0" fontId="41" fillId="0" borderId="2" applyAlignment="1" pivotButton="0" quotePrefix="0" xfId="0">
      <alignment horizontal="center" vertical="center" wrapText="1"/>
    </xf>
    <xf numFmtId="0" fontId="7" fillId="6" borderId="2" applyAlignment="1" applyProtection="1" pivotButton="0" quotePrefix="0" xfId="0">
      <alignment horizontal="right" vertical="center" wrapText="1"/>
      <protection locked="0" hidden="0"/>
    </xf>
    <xf numFmtId="0" fontId="1" fillId="9" borderId="13" applyAlignment="1" applyProtection="1" pivotButton="0" quotePrefix="1" xfId="16">
      <alignment horizontal="center" vertical="center" wrapText="1"/>
      <protection locked="0" hidden="0"/>
    </xf>
    <xf numFmtId="0" fontId="7" fillId="0" borderId="81" applyAlignment="1" pivotButton="0" quotePrefix="0" xfId="3">
      <alignment horizontal="left" vertical="center" wrapText="1"/>
    </xf>
    <xf numFmtId="0" fontId="7" fillId="0" borderId="81" applyAlignment="1" pivotButton="0" quotePrefix="0" xfId="3">
      <alignment horizontal="right" vertical="center" wrapText="1"/>
    </xf>
    <xf numFmtId="0" fontId="9" fillId="0" borderId="81" applyAlignment="1" pivotButton="0" quotePrefix="0" xfId="14">
      <alignment horizontal="center" vertical="center" wrapText="1"/>
    </xf>
    <xf numFmtId="0" fontId="7" fillId="0" borderId="81" applyAlignment="1" pivotButton="0" quotePrefix="0" xfId="2">
      <alignment horizontal="center" vertical="center" wrapText="1"/>
    </xf>
    <xf numFmtId="0" fontId="7" fillId="0" borderId="81" applyAlignment="1" pivotButton="0" quotePrefix="0" xfId="0">
      <alignment horizontal="right" vertical="center" wrapText="1"/>
    </xf>
    <xf numFmtId="0" fontId="7" fillId="0" borderId="81" applyAlignment="1" pivotButton="0" quotePrefix="0" xfId="3">
      <alignment horizontal="center" vertical="center" wrapText="1"/>
    </xf>
    <xf numFmtId="0" fontId="7" fillId="0" borderId="81" applyAlignment="1" pivotButton="0" quotePrefix="0" xfId="5">
      <alignment horizontal="left" vertical="center" wrapText="1"/>
    </xf>
    <xf numFmtId="0" fontId="7" fillId="0" borderId="81" applyAlignment="1" pivotButton="0" quotePrefix="0" xfId="5">
      <alignment horizontal="right" vertical="center" wrapText="1"/>
    </xf>
    <xf numFmtId="0" fontId="7" fillId="0" borderId="81" applyAlignment="1" pivotButton="0" quotePrefix="0" xfId="0">
      <alignment horizontal="right" vertical="center"/>
    </xf>
    <xf numFmtId="0" fontId="7" fillId="0" borderId="81" applyAlignment="1" applyProtection="1" pivotButton="0" quotePrefix="0" xfId="0">
      <alignment horizontal="left" vertical="center" wrapText="1"/>
      <protection locked="0" hidden="0"/>
    </xf>
    <xf numFmtId="0" fontId="9" fillId="6" borderId="81" applyAlignment="1" applyProtection="1" pivotButton="0" quotePrefix="0" xfId="14">
      <alignment horizontal="center" vertical="center" wrapText="1"/>
      <protection locked="0" hidden="0"/>
    </xf>
    <xf numFmtId="0" fontId="7" fillId="6" borderId="81" applyAlignment="1" applyProtection="1" pivotButton="0" quotePrefix="0" xfId="3">
      <alignment horizontal="left" vertical="center" wrapText="1"/>
      <protection locked="0" hidden="0"/>
    </xf>
    <xf numFmtId="0" fontId="7" fillId="6" borderId="81" applyAlignment="1" applyProtection="1" pivotButton="0" quotePrefix="0" xfId="2">
      <alignment horizontal="center" vertical="center" wrapText="1"/>
      <protection locked="0" hidden="0"/>
    </xf>
    <xf numFmtId="0" fontId="1" fillId="6" borderId="81" applyAlignment="1" applyProtection="1" pivotButton="0" quotePrefix="0" xfId="0">
      <alignment horizontal="right" vertical="center" wrapText="1"/>
      <protection locked="0" hidden="0"/>
    </xf>
    <xf numFmtId="0" fontId="7" fillId="6" borderId="81" applyAlignment="1" applyProtection="1" pivotButton="0" quotePrefix="0" xfId="3">
      <alignment horizontal="center" vertical="center" wrapText="1"/>
      <protection locked="0" hidden="0"/>
    </xf>
    <xf numFmtId="0" fontId="7" fillId="0" borderId="81" applyAlignment="1" pivotButton="0" quotePrefix="0" xfId="0">
      <alignment horizontal="left" vertical="center" wrapText="1"/>
    </xf>
    <xf numFmtId="0" fontId="7" fillId="0" borderId="81" applyAlignment="1" pivotButton="0" quotePrefix="0" xfId="3">
      <alignment vertical="center" wrapText="1"/>
    </xf>
    <xf numFmtId="0" fontId="7" fillId="0" borderId="81" applyAlignment="1" pivotButton="0" quotePrefix="0" xfId="2">
      <alignment horizontal="center" vertical="center"/>
    </xf>
    <xf numFmtId="0" fontId="7" fillId="0" borderId="81" applyAlignment="1" pivotButton="0" quotePrefix="0" xfId="3">
      <alignment horizontal="center" vertical="center"/>
    </xf>
    <xf numFmtId="0" fontId="7" fillId="0" borderId="81" applyAlignment="1" applyProtection="1" pivotButton="0" quotePrefix="0" xfId="2">
      <alignment horizontal="center" vertical="center" wrapText="1"/>
      <protection locked="0" hidden="0"/>
    </xf>
    <xf numFmtId="0" fontId="7" fillId="0" borderId="81" applyAlignment="1" applyProtection="1" pivotButton="0" quotePrefix="0" xfId="3">
      <alignment horizontal="center" vertical="center" wrapText="1"/>
      <protection locked="0" hidden="0"/>
    </xf>
    <xf numFmtId="0" fontId="29" fillId="0" borderId="81" applyAlignment="1" pivotButton="0" quotePrefix="0" xfId="2">
      <alignment horizontal="center" vertical="center" wrapText="1"/>
    </xf>
    <xf numFmtId="0" fontId="29" fillId="0" borderId="81" applyAlignment="1" pivotButton="0" quotePrefix="0" xfId="3">
      <alignment horizontal="center" vertical="center" wrapText="1"/>
    </xf>
    <xf numFmtId="0" fontId="29" fillId="0" borderId="81" applyAlignment="1" pivotButton="0" quotePrefix="0" xfId="3">
      <alignment horizontal="left" vertical="center" wrapText="1"/>
    </xf>
    <xf numFmtId="0" fontId="29" fillId="4" borderId="81" applyAlignment="1" pivotButton="0" quotePrefix="0" xfId="2">
      <alignment horizontal="center" vertical="center" wrapText="1"/>
    </xf>
    <xf numFmtId="0" fontId="29" fillId="4" borderId="81" applyAlignment="1" pivotButton="0" quotePrefix="0" xfId="3">
      <alignment horizontal="center" vertical="center" wrapText="1"/>
    </xf>
    <xf numFmtId="0" fontId="29" fillId="4" borderId="81" applyAlignment="1" pivotButton="0" quotePrefix="0" xfId="3">
      <alignment horizontal="left" vertical="center" wrapText="1"/>
    </xf>
    <xf numFmtId="0" fontId="28" fillId="0" borderId="81" applyAlignment="1" pivotButton="0" quotePrefix="0" xfId="2">
      <alignment horizontal="center" vertical="center" wrapText="1"/>
    </xf>
    <xf numFmtId="0" fontId="37" fillId="0" borderId="81" applyAlignment="1" pivotButton="0" quotePrefix="0" xfId="2">
      <alignment horizontal="center" vertical="center" wrapText="1"/>
    </xf>
    <xf numFmtId="0" fontId="7" fillId="6" borderId="81" applyAlignment="1" applyProtection="1" pivotButton="0" quotePrefix="0" xfId="3">
      <alignment vertical="center" wrapText="1"/>
      <protection locked="0" hidden="0"/>
    </xf>
    <xf numFmtId="165" fontId="7" fillId="0" borderId="81" applyAlignment="1" pivotButton="0" quotePrefix="0" xfId="0">
      <alignment horizontal="right" vertical="center" wrapText="1"/>
    </xf>
    <xf numFmtId="0" fontId="1" fillId="4" borderId="81" applyAlignment="1" pivotButton="0" quotePrefix="0" xfId="0">
      <alignment horizontal="left" vertical="center" wrapText="1"/>
    </xf>
    <xf numFmtId="0" fontId="1" fillId="4" borderId="81" applyAlignment="1" pivotButton="0" quotePrefix="0" xfId="0">
      <alignment horizontal="right" vertical="center" wrapText="1"/>
    </xf>
    <xf numFmtId="0" fontId="7" fillId="0" borderId="81" applyAlignment="1" pivotButton="0" quotePrefix="0" xfId="0">
      <alignment horizontal="center" vertical="center" wrapText="1"/>
    </xf>
    <xf numFmtId="0" fontId="9" fillId="0" borderId="81" applyAlignment="1" applyProtection="1" pivotButton="0" quotePrefix="0" xfId="14">
      <alignment horizontal="center" vertical="center" wrapText="1"/>
      <protection locked="0" hidden="0"/>
    </xf>
    <xf numFmtId="0" fontId="7" fillId="0" borderId="81" applyAlignment="1" applyProtection="1" pivotButton="0" quotePrefix="0" xfId="0">
      <alignment horizontal="center" vertical="center" wrapText="1"/>
      <protection locked="0" hidden="0"/>
    </xf>
    <xf numFmtId="0" fontId="7" fillId="0" borderId="81" applyAlignment="1" applyProtection="1" pivotButton="0" quotePrefix="0" xfId="14">
      <alignment horizontal="center" vertical="center" wrapText="1"/>
      <protection locked="0" hidden="0"/>
    </xf>
    <xf numFmtId="0" fontId="7" fillId="0" borderId="81" applyAlignment="1" applyProtection="1" pivotButton="0" quotePrefix="0" xfId="0">
      <alignment horizontal="right" vertical="center" wrapText="1"/>
      <protection locked="0" hidden="0"/>
    </xf>
    <xf numFmtId="0" fontId="7" fillId="0" borderId="81" applyAlignment="1" applyProtection="1" pivotButton="0" quotePrefix="0" xfId="3">
      <alignment vertical="center" wrapText="1"/>
      <protection locked="0" hidden="0"/>
    </xf>
    <xf numFmtId="0" fontId="1" fillId="0" borderId="81" applyAlignment="1" applyProtection="1" pivotButton="0" quotePrefix="0" xfId="0">
      <alignment horizontal="left" vertical="center" wrapText="1"/>
      <protection locked="0" hidden="0"/>
    </xf>
    <xf numFmtId="0" fontId="9" fillId="14" borderId="81" applyAlignment="1" pivotButton="0" quotePrefix="0" xfId="14">
      <alignment horizontal="center" vertical="center" wrapText="1"/>
    </xf>
    <xf numFmtId="0" fontId="7" fillId="14" borderId="81" applyAlignment="1" pivotButton="0" quotePrefix="0" xfId="0">
      <alignment horizontal="center" vertical="center" wrapText="1"/>
    </xf>
    <xf numFmtId="0" fontId="44" fillId="14" borderId="81" applyAlignment="1" pivotButton="0" quotePrefix="0" xfId="0">
      <alignment horizontal="left" vertical="center" wrapText="1"/>
    </xf>
    <xf numFmtId="0" fontId="7" fillId="14" borderId="81" applyAlignment="1" pivotButton="0" quotePrefix="0" xfId="2">
      <alignment horizontal="center" vertical="center" wrapText="1"/>
    </xf>
    <xf numFmtId="0" fontId="7" fillId="14" borderId="81" applyAlignment="1" pivotButton="0" quotePrefix="0" xfId="0">
      <alignment horizontal="right" vertical="center" wrapText="1"/>
    </xf>
    <xf numFmtId="0" fontId="7" fillId="14" borderId="81" applyAlignment="1" pivotButton="0" quotePrefix="0" xfId="3">
      <alignment horizontal="left" vertical="center" wrapText="1"/>
    </xf>
    <xf numFmtId="0" fontId="7" fillId="14" borderId="81" applyAlignment="1" applyProtection="1" pivotButton="0" quotePrefix="0" xfId="3">
      <alignment horizontal="center" vertical="center" wrapText="1"/>
      <protection locked="0" hidden="0"/>
    </xf>
    <xf numFmtId="0" fontId="48" fillId="14" borderId="81" applyAlignment="1" applyProtection="1" pivotButton="0" quotePrefix="0" xfId="3">
      <alignment vertical="center" wrapText="1"/>
      <protection locked="0" hidden="0"/>
    </xf>
    <xf numFmtId="0" fontId="12" fillId="14" borderId="81" applyAlignment="1" applyProtection="1" pivotButton="0" quotePrefix="0" xfId="3">
      <alignment vertical="center" wrapText="1"/>
      <protection locked="0" hidden="0"/>
    </xf>
    <xf numFmtId="0" fontId="32" fillId="14" borderId="81" applyAlignment="1" applyProtection="1" pivotButton="0" quotePrefix="0" xfId="3">
      <alignment vertical="center" wrapText="1"/>
      <protection locked="0" hidden="0"/>
    </xf>
    <xf numFmtId="0" fontId="9" fillId="14" borderId="81" applyAlignment="1" applyProtection="1" pivotButton="0" quotePrefix="0" xfId="14">
      <alignment horizontal="center" vertical="center" wrapText="1"/>
      <protection locked="0" hidden="0"/>
    </xf>
    <xf numFmtId="0" fontId="7" fillId="14" borderId="81" applyAlignment="1" applyProtection="1" pivotButton="0" quotePrefix="0" xfId="0">
      <alignment horizontal="center" vertical="center" wrapText="1"/>
      <protection locked="0" hidden="0"/>
    </xf>
    <xf numFmtId="0" fontId="44" fillId="14" borderId="81" applyAlignment="1" applyProtection="1" pivotButton="0" quotePrefix="0" xfId="0">
      <alignment horizontal="left" vertical="center" wrapText="1"/>
      <protection locked="0" hidden="0"/>
    </xf>
    <xf numFmtId="0" fontId="7" fillId="14" borderId="81" applyAlignment="1" applyProtection="1" pivotButton="0" quotePrefix="0" xfId="2">
      <alignment horizontal="center" vertical="center" wrapText="1"/>
      <protection locked="0" hidden="0"/>
    </xf>
    <xf numFmtId="0" fontId="7" fillId="14" borderId="81" applyAlignment="1" applyProtection="1" pivotButton="0" quotePrefix="0" xfId="0">
      <alignment horizontal="right" vertical="center" wrapText="1"/>
      <protection locked="0" hidden="0"/>
    </xf>
    <xf numFmtId="0" fontId="7" fillId="14" borderId="81" applyAlignment="1" applyProtection="1" pivotButton="0" quotePrefix="0" xfId="3">
      <alignment horizontal="left" vertical="center" wrapText="1"/>
      <protection locked="0" hidden="0"/>
    </xf>
    <xf numFmtId="0" fontId="7" fillId="14" borderId="81" applyAlignment="1" applyProtection="1" pivotButton="0" quotePrefix="0" xfId="14">
      <alignment horizontal="center" vertical="center" wrapText="1"/>
      <protection locked="0" hidden="0"/>
    </xf>
    <xf numFmtId="0" fontId="45" fillId="14" borderId="81" applyAlignment="1" pivotButton="0" quotePrefix="0" xfId="0">
      <alignment wrapText="1"/>
    </xf>
    <xf numFmtId="0" fontId="7" fillId="14" borderId="81" applyAlignment="1" applyProtection="1" pivotButton="0" quotePrefix="0" xfId="2">
      <alignment horizontal="right" vertical="center" wrapText="1"/>
      <protection locked="0" hidden="0"/>
    </xf>
    <xf numFmtId="0" fontId="9" fillId="14" borderId="81" applyAlignment="1" applyProtection="1" pivotButton="0" quotePrefix="0" xfId="2">
      <alignment horizontal="center" vertical="center" wrapText="1"/>
      <protection locked="0" hidden="0"/>
    </xf>
    <xf numFmtId="0" fontId="47" fillId="14" borderId="81" applyAlignment="1" pivotButton="0" quotePrefix="0" xfId="0">
      <alignment wrapText="1"/>
    </xf>
    <xf numFmtId="0" fontId="7" fillId="6" borderId="81" applyAlignment="1" applyProtection="1" pivotButton="0" quotePrefix="0" xfId="0">
      <alignment horizontal="center" vertical="center" wrapText="1"/>
      <protection locked="0" hidden="0"/>
    </xf>
    <xf numFmtId="0" fontId="7" fillId="6" borderId="81" applyAlignment="1" applyProtection="1" pivotButton="0" quotePrefix="0" xfId="0">
      <alignment horizontal="left" vertical="center" wrapText="1"/>
      <protection locked="0" hidden="0"/>
    </xf>
    <xf numFmtId="0" fontId="7" fillId="6" borderId="81" applyAlignment="1" applyProtection="1" pivotButton="0" quotePrefix="0" xfId="0">
      <alignment horizontal="right" vertical="center" wrapText="1"/>
      <protection locked="0" hidden="0"/>
    </xf>
    <xf numFmtId="0" fontId="7" fillId="6" borderId="81" applyAlignment="1" applyProtection="1" pivotButton="0" quotePrefix="0" xfId="14">
      <alignment horizontal="center" vertical="center" wrapText="1"/>
      <protection locked="0" hidden="0"/>
    </xf>
    <xf numFmtId="0" fontId="40" fillId="6" borderId="81" applyAlignment="1" applyProtection="1" pivotButton="0" quotePrefix="0" xfId="0">
      <alignment horizontal="left" vertical="center" wrapText="1"/>
      <protection locked="0" hidden="0"/>
    </xf>
    <xf numFmtId="0" fontId="7" fillId="6" borderId="81" applyAlignment="1" applyProtection="1" pivotButton="0" quotePrefix="0" xfId="3">
      <alignment horizontal="right" vertical="center" wrapText="1"/>
      <protection locked="0" hidden="0"/>
    </xf>
    <xf numFmtId="0" fontId="7" fillId="0" borderId="81" applyAlignment="1" applyProtection="1" pivotButton="0" quotePrefix="0" xfId="3">
      <alignment horizontal="left" vertical="center" wrapText="1"/>
      <protection locked="0" hidden="0"/>
    </xf>
    <xf numFmtId="0" fontId="40" fillId="0" borderId="81" applyAlignment="1" pivotButton="0" quotePrefix="0" xfId="3">
      <alignment vertical="center" wrapText="1"/>
    </xf>
    <xf numFmtId="0" fontId="7" fillId="0" borderId="81" applyAlignment="1" pivotButton="0" quotePrefix="0" xfId="0">
      <alignment vertical="center" wrapText="1"/>
    </xf>
    <xf numFmtId="0" fontId="9" fillId="5" borderId="81" applyAlignment="1" applyProtection="1" pivotButton="0" quotePrefix="0" xfId="14">
      <alignment horizontal="center" vertical="center" wrapText="1"/>
      <protection locked="0" hidden="0"/>
    </xf>
    <xf numFmtId="0" fontId="7" fillId="5" borderId="81" applyAlignment="1" applyProtection="1" pivotButton="0" quotePrefix="0" xfId="0">
      <alignment vertical="center" wrapText="1"/>
      <protection locked="0" hidden="0"/>
    </xf>
    <xf numFmtId="0" fontId="7" fillId="5" borderId="81" applyAlignment="1" applyProtection="1" pivotButton="0" quotePrefix="0" xfId="2">
      <alignment horizontal="center" vertical="center" wrapText="1"/>
      <protection locked="0" hidden="0"/>
    </xf>
    <xf numFmtId="0" fontId="7" fillId="5" borderId="81" applyAlignment="1" applyProtection="1" pivotButton="0" quotePrefix="0" xfId="2">
      <alignment horizontal="right" vertical="center" wrapText="1"/>
      <protection locked="0" hidden="0"/>
    </xf>
    <xf numFmtId="0" fontId="7" fillId="5" borderId="81" applyAlignment="1" applyProtection="1" pivotButton="0" quotePrefix="0" xfId="0">
      <alignment vertical="top" wrapText="1"/>
      <protection locked="0" hidden="0"/>
    </xf>
    <xf numFmtId="0" fontId="7" fillId="5" borderId="81" applyAlignment="1" applyProtection="1" pivotButton="0" quotePrefix="0" xfId="2">
      <alignment horizontal="right" vertical="top" wrapText="1"/>
      <protection locked="0" hidden="0"/>
    </xf>
    <xf numFmtId="0" fontId="6" fillId="0" borderId="81" applyAlignment="1" pivotButton="0" quotePrefix="0" xfId="3">
      <alignment vertical="top" wrapText="1"/>
    </xf>
    <xf numFmtId="0" fontId="20" fillId="0" borderId="81" applyAlignment="1" pivotButton="0" quotePrefix="0" xfId="2">
      <alignment horizontal="center" vertical="center" wrapText="1"/>
    </xf>
    <xf numFmtId="0" fontId="7" fillId="6" borderId="81" applyAlignment="1" applyProtection="1" pivotButton="0" quotePrefix="0" xfId="2">
      <alignment horizontal="center" vertical="center"/>
      <protection locked="0" hidden="0"/>
    </xf>
    <xf numFmtId="9" fontId="18" fillId="0" borderId="81" applyAlignment="1" applyProtection="1" pivotButton="0" quotePrefix="0" xfId="11">
      <alignment horizontal="center" vertical="center"/>
      <protection locked="0" hidden="0"/>
    </xf>
    <xf numFmtId="0" fontId="7" fillId="0" borderId="81" applyAlignment="1" applyProtection="1" pivotButton="0" quotePrefix="0" xfId="0">
      <alignment horizontal="center" vertical="center"/>
      <protection locked="0" hidden="0"/>
    </xf>
    <xf numFmtId="0" fontId="9" fillId="16" borderId="81" applyAlignment="1" applyProtection="1" pivotButton="0" quotePrefix="0" xfId="14">
      <alignment horizontal="center" vertical="center" wrapText="1"/>
      <protection locked="0" hidden="0"/>
    </xf>
    <xf numFmtId="0" fontId="7" fillId="16" borderId="81" applyAlignment="1" applyProtection="1" pivotButton="0" quotePrefix="0" xfId="2">
      <alignment horizontal="right" vertical="center" wrapText="1"/>
      <protection locked="0" hidden="0"/>
    </xf>
    <xf numFmtId="0" fontId="7" fillId="16" borderId="81" applyAlignment="1" applyProtection="1" pivotButton="0" quotePrefix="0" xfId="3">
      <alignment horizontal="center" vertical="center" wrapText="1"/>
      <protection locked="0" hidden="0"/>
    </xf>
    <xf numFmtId="0" fontId="7" fillId="16" borderId="81" applyAlignment="1" applyProtection="1" pivotButton="0" quotePrefix="0" xfId="2">
      <alignment horizontal="center" vertical="center" wrapText="1"/>
      <protection locked="0" hidden="0"/>
    </xf>
    <xf numFmtId="0" fontId="9" fillId="17" borderId="81" applyAlignment="1" pivotButton="0" quotePrefix="0" xfId="14">
      <alignment horizontal="center" vertical="center" wrapText="1"/>
    </xf>
    <xf numFmtId="0" fontId="7" fillId="16" borderId="81" applyAlignment="1" pivotButton="0" quotePrefix="0" xfId="2">
      <alignment horizontal="center" vertical="center" wrapText="1"/>
    </xf>
    <xf numFmtId="0" fontId="7" fillId="16" borderId="81" applyAlignment="1" pivotButton="0" quotePrefix="0" xfId="2">
      <alignment horizontal="right" vertical="center" wrapText="1"/>
    </xf>
    <xf numFmtId="0" fontId="7" fillId="16" borderId="81" applyAlignment="1" pivotButton="0" quotePrefix="0" xfId="3">
      <alignment horizontal="center" vertical="center" wrapText="1"/>
    </xf>
    <xf numFmtId="0" fontId="7" fillId="16" borderId="81" applyAlignment="1" pivotButton="0" quotePrefix="0" xfId="2">
      <alignment horizontal="left" vertical="center" wrapText="1"/>
    </xf>
    <xf numFmtId="0" fontId="9" fillId="17" borderId="81" applyAlignment="1" applyProtection="1" pivotButton="0" quotePrefix="0" xfId="14">
      <alignment horizontal="center" vertical="center" wrapText="1"/>
      <protection locked="0" hidden="0"/>
    </xf>
    <xf numFmtId="0" fontId="7" fillId="16" borderId="81" applyAlignment="1" applyProtection="1" pivotButton="0" quotePrefix="0" xfId="2">
      <alignment horizontal="left" vertical="center" wrapText="1"/>
      <protection locked="0" hidden="0"/>
    </xf>
    <xf numFmtId="0" fontId="7" fillId="19" borderId="81" applyAlignment="1" pivotButton="0" quotePrefix="0" xfId="2">
      <alignment horizontal="center" vertical="center" wrapText="1"/>
    </xf>
    <xf numFmtId="0" fontId="7" fillId="18" borderId="81" applyAlignment="1" applyProtection="1" pivotButton="0" quotePrefix="0" xfId="0">
      <alignment horizontal="left" vertical="center" wrapText="1"/>
      <protection locked="0" hidden="0"/>
    </xf>
    <xf numFmtId="0" fontId="9" fillId="0" borderId="81" applyAlignment="1" pivotButton="0" quotePrefix="0" xfId="2">
      <alignment horizontal="center" vertical="center" wrapText="1"/>
    </xf>
    <xf numFmtId="0" fontId="7" fillId="0" borderId="81" applyAlignment="1" applyProtection="1" pivotButton="0" quotePrefix="0" xfId="2">
      <alignment horizontal="left" vertical="center" wrapText="1"/>
      <protection locked="0" hidden="0"/>
    </xf>
    <xf numFmtId="0" fontId="9" fillId="6" borderId="81" applyAlignment="1" applyProtection="1" pivotButton="0" quotePrefix="0" xfId="2">
      <alignment horizontal="center" vertical="center" wrapText="1"/>
      <protection locked="0" hidden="0"/>
    </xf>
    <xf numFmtId="0" fontId="7" fillId="0" borderId="81" applyAlignment="1" pivotButton="0" quotePrefix="0" xfId="14">
      <alignment horizontal="center" vertical="center" wrapText="1"/>
    </xf>
    <xf numFmtId="0" fontId="9" fillId="0" borderId="81" applyAlignment="1" applyProtection="1" pivotButton="0" quotePrefix="0" xfId="2">
      <alignment horizontal="center" vertical="center" wrapText="1"/>
      <protection locked="0" hidden="0"/>
    </xf>
    <xf numFmtId="0" fontId="33" fillId="0" borderId="81" applyAlignment="1" pivotButton="0" quotePrefix="0" xfId="3">
      <alignment horizontal="right" vertical="center" wrapText="1"/>
    </xf>
    <xf numFmtId="0" fontId="1" fillId="0" borderId="0" applyAlignment="1" pivotButton="0" quotePrefix="0" xfId="0">
      <alignment horizontal="left" vertical="center" wrapText="1"/>
    </xf>
    <xf numFmtId="0" fontId="1" fillId="0" borderId="81" applyAlignment="1" applyProtection="1" pivotButton="0" quotePrefix="0" xfId="3">
      <alignment horizontal="left" vertical="center" wrapText="1"/>
      <protection locked="0" hidden="0"/>
    </xf>
    <xf numFmtId="0" fontId="7" fillId="0" borderId="81" applyAlignment="1" applyProtection="1" pivotButton="0" quotePrefix="0" xfId="3">
      <alignment horizontal="center" vertical="center"/>
      <protection locked="0" hidden="0"/>
    </xf>
    <xf numFmtId="0" fontId="1" fillId="0" borderId="81" applyAlignment="1" pivotButton="0" quotePrefix="0" xfId="3">
      <alignment horizontal="right" vertical="center" wrapText="1"/>
    </xf>
    <xf numFmtId="0" fontId="1" fillId="0" borderId="47" applyAlignment="1" pivotButton="0" quotePrefix="0" xfId="0">
      <alignment horizontal="center" vertical="center"/>
    </xf>
    <xf numFmtId="0" fontId="1" fillId="0" borderId="47" applyAlignment="1" pivotButton="0" quotePrefix="0" xfId="0">
      <alignment vertical="center" wrapText="1"/>
    </xf>
    <xf numFmtId="0" fontId="24" fillId="0" borderId="81" applyAlignment="1" applyProtection="1" pivotButton="0" quotePrefix="0" xfId="0">
      <alignment horizontal="left" vertical="center" wrapText="1"/>
      <protection locked="0" hidden="0"/>
    </xf>
    <xf numFmtId="0" fontId="11" fillId="0" borderId="81" applyAlignment="1" pivotButton="0" quotePrefix="0" xfId="3">
      <alignment horizontal="left" vertical="center" wrapText="1"/>
    </xf>
    <xf numFmtId="0" fontId="1" fillId="0" borderId="2" applyAlignment="1" pivotButton="0" quotePrefix="0" xfId="3">
      <alignment horizontal="right" vertical="center" wrapText="1"/>
    </xf>
    <xf numFmtId="0" fontId="1" fillId="0" borderId="2" applyAlignment="1" applyProtection="1" pivotButton="0" quotePrefix="0" xfId="3">
      <alignment horizontal="left" vertical="center" wrapText="1"/>
      <protection locked="0" hidden="0"/>
    </xf>
    <xf numFmtId="0" fontId="9" fillId="0" borderId="81" applyAlignment="1" pivotButton="0" quotePrefix="0" xfId="0">
      <alignment horizontal="center" vertical="center"/>
    </xf>
    <xf numFmtId="0" fontId="7" fillId="0" borderId="81" applyAlignment="1" pivotButton="0" quotePrefix="0" xfId="0">
      <alignment horizontal="center" vertical="center"/>
    </xf>
    <xf numFmtId="0" fontId="1" fillId="0" borderId="1" applyAlignment="1" applyProtection="1" pivotButton="0" quotePrefix="0" xfId="3">
      <alignment horizontal="left" vertical="center" wrapText="1"/>
      <protection locked="0" hidden="0"/>
    </xf>
    <xf numFmtId="0" fontId="7" fillId="6" borderId="81" applyProtection="1" pivotButton="0" quotePrefix="0" xfId="3">
      <protection locked="0" hidden="0"/>
    </xf>
    <xf numFmtId="0" fontId="14" fillId="6" borderId="81" applyAlignment="1" applyProtection="1" pivotButton="0" quotePrefix="0" xfId="3">
      <alignment vertical="center" wrapText="1"/>
      <protection locked="0" hidden="0"/>
    </xf>
    <xf numFmtId="0" fontId="1" fillId="0" borderId="81" applyAlignment="1" pivotButton="0" quotePrefix="0" xfId="3">
      <alignment vertical="center" wrapText="1"/>
    </xf>
    <xf numFmtId="0" fontId="1" fillId="6" borderId="81" applyAlignment="1" applyProtection="1" pivotButton="0" quotePrefix="0" xfId="3">
      <alignment vertical="center" wrapText="1"/>
      <protection locked="0" hidden="0"/>
    </xf>
    <xf numFmtId="0" fontId="40" fillId="6" borderId="81" applyAlignment="1" applyProtection="1" pivotButton="0" quotePrefix="0" xfId="3">
      <alignment vertical="center" wrapText="1"/>
      <protection locked="0" hidden="0"/>
    </xf>
    <xf numFmtId="0" fontId="41" fillId="6" borderId="81" applyAlignment="1" applyProtection="1" pivotButton="0" quotePrefix="0" xfId="3">
      <alignment vertical="center" wrapText="1"/>
      <protection locked="0" hidden="0"/>
    </xf>
    <xf numFmtId="0" fontId="7" fillId="7" borderId="81" applyAlignment="1" applyProtection="1" pivotButton="0" quotePrefix="0" xfId="0">
      <alignment horizontal="center" vertical="center" wrapText="1"/>
      <protection locked="0" hidden="0"/>
    </xf>
    <xf numFmtId="0" fontId="10" fillId="0" borderId="81" applyAlignment="1" pivotButton="0" quotePrefix="0" xfId="3">
      <alignment horizontal="left" vertical="center" wrapText="1"/>
    </xf>
    <xf numFmtId="0" fontId="10" fillId="0" borderId="81" applyAlignment="1" pivotButton="0" quotePrefix="0" xfId="0">
      <alignment horizontal="center" vertical="center" wrapText="1"/>
    </xf>
    <xf numFmtId="0" fontId="10" fillId="0" borderId="81" applyAlignment="1" pivotButton="0" quotePrefix="0" xfId="2">
      <alignment horizontal="center" vertical="center" wrapText="1"/>
    </xf>
    <xf numFmtId="0" fontId="30" fillId="4" borderId="81" applyAlignment="1" pivotButton="0" quotePrefix="0" xfId="0">
      <alignment horizontal="center" vertical="center" wrapText="1"/>
    </xf>
    <xf numFmtId="0" fontId="29" fillId="4" borderId="81" applyAlignment="1" pivotButton="0" quotePrefix="0" xfId="0">
      <alignment horizontal="center" vertical="center" wrapText="1"/>
    </xf>
    <xf numFmtId="0" fontId="1" fillId="0" borderId="80" applyAlignment="1" applyProtection="1" pivotButton="0" quotePrefix="0" xfId="3">
      <alignment horizontal="left" vertical="center" wrapText="1"/>
      <protection locked="0" hidden="0"/>
    </xf>
    <xf numFmtId="0" fontId="1" fillId="0" borderId="47" applyAlignment="1" applyProtection="1" pivotButton="0" quotePrefix="0" xfId="3">
      <alignment horizontal="left" vertical="center" wrapText="1"/>
      <protection locked="0" hidden="0"/>
    </xf>
    <xf numFmtId="0" fontId="22" fillId="0" borderId="81" applyAlignment="1" pivotButton="0" quotePrefix="0" xfId="0">
      <alignment horizontal="center" vertical="center" wrapText="1"/>
    </xf>
    <xf numFmtId="0" fontId="22" fillId="0" borderId="81" applyAlignment="1" pivotButton="0" quotePrefix="0" xfId="0">
      <alignment horizontal="center" vertical="center"/>
    </xf>
    <xf numFmtId="0" fontId="9" fillId="9" borderId="81" applyAlignment="1" applyProtection="1" pivotButton="0" quotePrefix="0" xfId="7">
      <alignment horizontal="center" vertical="center"/>
      <protection locked="0" hidden="0"/>
    </xf>
    <xf numFmtId="0" fontId="6" fillId="0" borderId="81" pivotButton="0" quotePrefix="0" xfId="0"/>
    <xf numFmtId="0" fontId="6" fillId="0" borderId="81" applyAlignment="1" pivotButton="0" quotePrefix="0" xfId="0">
      <alignment horizontal="center"/>
    </xf>
    <xf numFmtId="0" fontId="6" fillId="0" borderId="81" applyAlignment="1" pivotButton="0" quotePrefix="0" xfId="0">
      <alignment readingOrder="2"/>
    </xf>
    <xf numFmtId="0" fontId="9" fillId="0" borderId="81" applyAlignment="1" pivotButton="0" quotePrefix="0" xfId="7">
      <alignment horizontal="center" vertical="center"/>
    </xf>
    <xf numFmtId="0" fontId="22" fillId="0" borderId="81" pivotButton="0" quotePrefix="0" xfId="0"/>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1" fontId="1" fillId="9" borderId="81" applyAlignment="1" pivotButton="0" quotePrefix="0" xfId="12">
      <alignment horizontal="center" vertical="center"/>
    </xf>
    <xf numFmtId="0" fontId="1" fillId="9" borderId="58" applyAlignment="1" applyProtection="1" pivotButton="0" quotePrefix="0" xfId="10">
      <alignment horizontal="center" vertical="center"/>
      <protection locked="0" hidden="0"/>
    </xf>
    <xf numFmtId="0" fontId="17" fillId="0" borderId="81" applyAlignment="1" pivotButton="0" quotePrefix="0" xfId="16">
      <alignment vertical="center" wrapText="1"/>
    </xf>
    <xf numFmtId="0" fontId="1" fillId="9" borderId="13" applyAlignment="1" applyProtection="1" pivotButton="0" quotePrefix="0" xfId="10">
      <alignment horizontal="center" vertical="center"/>
      <protection locked="0" hidden="0"/>
    </xf>
    <xf numFmtId="0" fontId="17" fillId="0" borderId="81" applyAlignment="1" pivotButton="0" quotePrefix="0" xfId="10">
      <alignment horizontal="center" vertical="center" wrapText="1"/>
    </xf>
    <xf numFmtId="0" fontId="1" fillId="0" borderId="81" applyAlignment="1" pivotButton="0" quotePrefix="0" xfId="10">
      <alignment horizontal="center" vertical="center"/>
    </xf>
    <xf numFmtId="0" fontId="1" fillId="9" borderId="81" applyAlignment="1" applyProtection="1" pivotButton="0" quotePrefix="0" xfId="16">
      <alignment horizontal="center" vertical="center"/>
      <protection locked="0" hidden="0"/>
    </xf>
    <xf numFmtId="0" fontId="1" fillId="9" borderId="81" applyAlignment="1" applyProtection="1" pivotButton="0" quotePrefix="0" xfId="10">
      <alignment horizontal="center" vertical="center"/>
      <protection locked="0" hidden="0"/>
    </xf>
    <xf numFmtId="0" fontId="18" fillId="0" borderId="81" applyAlignment="1" pivotButton="0" quotePrefix="0" xfId="16">
      <alignment vertical="center" wrapText="1"/>
    </xf>
    <xf numFmtId="0" fontId="18" fillId="0" borderId="81" applyAlignment="1" pivotButton="0" quotePrefix="0" xfId="10">
      <alignment horizontal="center" vertical="center" wrapText="1"/>
    </xf>
    <xf numFmtId="0" fontId="1" fillId="9" borderId="81" applyAlignment="1" applyProtection="1" pivotButton="0" quotePrefix="0" xfId="16">
      <alignment horizontal="center" vertical="center" wrapText="1"/>
      <protection locked="0" hidden="0"/>
    </xf>
    <xf numFmtId="2" fontId="1" fillId="4" borderId="9"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9" borderId="81" applyAlignment="1" applyProtection="1" pivotButton="0" quotePrefix="0" xfId="12">
      <alignment horizontal="center" vertical="center"/>
      <protection locked="0" hidden="0"/>
    </xf>
    <xf numFmtId="0" fontId="1" fillId="9" borderId="16" applyAlignment="1" applyProtection="1" pivotButton="0" quotePrefix="0" xfId="10">
      <alignment horizontal="center" vertical="center"/>
      <protection locked="0" hidden="0"/>
    </xf>
    <xf numFmtId="1" fontId="1" fillId="0" borderId="81" applyAlignment="1" pivotButton="0" quotePrefix="0" xfId="12">
      <alignment horizontal="center" vertical="center"/>
    </xf>
    <xf numFmtId="1" fontId="1" fillId="9" borderId="13" applyAlignment="1" applyProtection="1" pivotButton="0" quotePrefix="0" xfId="12">
      <alignment horizontal="center" vertical="center"/>
      <protection locked="0" hidden="0"/>
    </xf>
    <xf numFmtId="3" fontId="18" fillId="0" borderId="81" applyAlignment="1" pivotButton="0" quotePrefix="0" xfId="12">
      <alignment horizontal="center" vertical="center" wrapText="1"/>
    </xf>
    <xf numFmtId="3" fontId="1" fillId="4" borderId="65" applyAlignment="1" pivotButton="0" quotePrefix="0" xfId="16">
      <alignment horizontal="center" vertical="center"/>
    </xf>
    <xf numFmtId="3" fontId="18" fillId="0" borderId="81" applyAlignment="1" pivotButton="0" quotePrefix="0" xfId="10">
      <alignment horizontal="center" vertical="center" wrapText="1"/>
    </xf>
    <xf numFmtId="0" fontId="1" fillId="0" borderId="25" pivotButton="0" quotePrefix="0" xfId="10"/>
    <xf numFmtId="0" fontId="1" fillId="9" borderId="9" applyAlignment="1" applyProtection="1" pivotButton="0" quotePrefix="0" xfId="10">
      <alignment horizontal="center" vertical="center"/>
      <protection locked="0" hidden="0"/>
    </xf>
    <xf numFmtId="0" fontId="1" fillId="9" borderId="17" applyAlignment="1" applyProtection="1" pivotButton="0" quotePrefix="0" xfId="10">
      <alignment horizontal="center" vertical="center"/>
      <protection locked="0" hidden="0"/>
    </xf>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6" fontId="1" fillId="0" borderId="43" applyAlignment="1" applyProtection="1" pivotButton="0" quotePrefix="0" xfId="16">
      <alignment horizontal="center" vertical="center"/>
      <protection locked="0" hidden="0"/>
    </xf>
    <xf numFmtId="166" fontId="1" fillId="9" borderId="43" applyAlignment="1" applyProtection="1" pivotButton="0" quotePrefix="0" xfId="10">
      <alignment horizontal="center" vertical="center"/>
      <protection locked="0" hidden="0"/>
    </xf>
    <xf numFmtId="166" fontId="1" fillId="0" borderId="12" applyAlignment="1" applyProtection="1" pivotButton="0" quotePrefix="0" xfId="16">
      <alignment horizontal="center" vertical="center"/>
      <protection locked="0" hidden="0"/>
    </xf>
    <xf numFmtId="166" fontId="1" fillId="9" borderId="81" applyAlignment="1" applyProtection="1" pivotButton="0" quotePrefix="0" xfId="10">
      <alignment horizontal="center" vertical="center"/>
      <protection locked="0" hidden="0"/>
    </xf>
    <xf numFmtId="0" fontId="39" fillId="0" borderId="81" applyAlignment="1" pivotButton="0" quotePrefix="0" xfId="12">
      <alignment vertical="center" wrapText="1"/>
    </xf>
    <xf numFmtId="166" fontId="1" fillId="0" borderId="9" applyAlignment="1" applyProtection="1" pivotButton="0" quotePrefix="0" xfId="16">
      <alignment horizontal="center" vertical="center"/>
      <protection locked="0" hidden="0"/>
    </xf>
    <xf numFmtId="166" fontId="1" fillId="9" borderId="9"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21" fillId="0" borderId="81" applyAlignment="1" pivotButton="0" quotePrefix="0" xfId="0">
      <alignment horizontal="center" vertical="top"/>
    </xf>
    <xf numFmtId="0" fontId="7" fillId="2" borderId="26" applyAlignment="1" pivotButton="0" quotePrefix="0" xfId="14">
      <alignment horizontal="center" vertical="center" wrapText="1"/>
    </xf>
    <xf numFmtId="0" fontId="9" fillId="0" borderId="0" applyProtection="1" pivotButton="0" quotePrefix="0" xfId="0">
      <protection locked="0" hidden="0"/>
    </xf>
    <xf numFmtId="0" fontId="7" fillId="0" borderId="0" applyAlignment="1" applyProtection="1" pivotButton="0" quotePrefix="0" xfId="0">
      <alignment horizontal="center"/>
      <protection locked="0" hidden="0"/>
    </xf>
    <xf numFmtId="0" fontId="7" fillId="0" borderId="0" applyAlignment="1" applyProtection="1" pivotButton="0" quotePrefix="0" xfId="0">
      <alignment wrapText="1"/>
      <protection locked="0" hidden="0"/>
    </xf>
    <xf numFmtId="0" fontId="7" fillId="0" borderId="0" applyProtection="1" pivotButton="0" quotePrefix="0" xfId="0">
      <protection locked="0" hidden="0"/>
    </xf>
    <xf numFmtId="0" fontId="7" fillId="5" borderId="27" applyAlignment="1" pivotButton="0" quotePrefix="0" xfId="2">
      <alignment horizontal="center" vertical="center"/>
    </xf>
    <xf numFmtId="0" fontId="0" fillId="0" borderId="31" pivotButton="0" quotePrefix="0" xfId="0"/>
    <xf numFmtId="0" fontId="0" fillId="0" borderId="32" pivotButton="0" quotePrefix="0" xfId="0"/>
    <xf numFmtId="0" fontId="7" fillId="5" borderId="32" applyAlignment="1" pivotButton="0" quotePrefix="0" xfId="2">
      <alignment horizontal="center" vertical="center"/>
    </xf>
    <xf numFmtId="0" fontId="12" fillId="11" borderId="81" applyAlignment="1" pivotButton="0" quotePrefix="0" xfId="3">
      <alignment horizontal="center" vertical="center" wrapText="1"/>
    </xf>
    <xf numFmtId="0" fontId="0" fillId="0" borderId="2" pivotButton="0" quotePrefix="0" xfId="0"/>
    <xf numFmtId="0" fontId="9" fillId="3" borderId="27" applyAlignment="1" pivotButton="0" quotePrefix="0" xfId="2">
      <alignment horizontal="center" vertical="center" wrapText="1"/>
    </xf>
    <xf numFmtId="0" fontId="0" fillId="0" borderId="29" pivotButton="0" quotePrefix="0" xfId="0"/>
    <xf numFmtId="0" fontId="7" fillId="3" borderId="60" applyAlignment="1" pivotButton="0" quotePrefix="0" xfId="14">
      <alignment horizontal="center" vertical="center" wrapText="1"/>
    </xf>
    <xf numFmtId="0" fontId="0" fillId="0" borderId="61" pivotButton="0" quotePrefix="0" xfId="0"/>
    <xf numFmtId="0" fontId="50" fillId="15" borderId="29" applyAlignment="1" pivotButton="0" quotePrefix="0" xfId="2">
      <alignment horizontal="left" vertical="center"/>
    </xf>
    <xf numFmtId="0" fontId="0" fillId="0" borderId="63" pivotButton="0" quotePrefix="0" xfId="0"/>
    <xf numFmtId="0" fontId="0" fillId="0" borderId="50" pivotButton="0" quotePrefix="0" xfId="0"/>
    <xf numFmtId="0" fontId="1" fillId="0" borderId="27" applyAlignment="1" pivotButton="0" quotePrefix="0" xfId="10">
      <alignment horizontal="center" vertical="top" textRotation="90" wrapText="1"/>
    </xf>
    <xf numFmtId="0" fontId="0" fillId="0" borderId="28" pivotButton="0" quotePrefix="0" xfId="0"/>
    <xf numFmtId="0" fontId="1" fillId="0" borderId="27" applyAlignment="1" pivotButton="0" quotePrefix="0" xfId="10">
      <alignment horizontal="center" vertical="top" textRotation="90"/>
    </xf>
  </cellXfs>
  <cellStyles count="20">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s>
  <dxfs count="2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BA005D"/>
        </patternFill>
      </fill>
    </dxf>
    <dxf>
      <fill>
        <patternFill patternType="solid">
          <fgColor indexed="64"/>
          <bgColor rgb="FFDCC97A"/>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patternType="solid">
          <fgColor indexed="64"/>
          <bgColor theme="6" tint="0.5999938962981048"/>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EEB400"/>
        </patternFill>
      </fill>
    </dxf>
    <dxf>
      <fill>
        <patternFill>
          <bgColor rgb="FFFFD44B"/>
        </patternFill>
      </fill>
    </dxf>
    <dxf>
      <fill>
        <patternFill>
          <bgColor rgb="FFEEB400"/>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patternType="solid">
          <fgColor indexed="64"/>
          <bgColor rgb="FFDCC97A"/>
        </patternFill>
      </fill>
    </dxf>
    <dxf>
      <fill>
        <patternFill patternType="solid">
          <fgColor indexed="64"/>
          <bgColor rgb="FFBA005D"/>
        </patternFill>
      </fill>
    </dxf>
    <dxf>
      <fill>
        <patternFill patternType="solid">
          <fgColor indexed="64"/>
          <bgColor rgb="FF9E004F"/>
        </patternFill>
      </fill>
    </dxf>
    <dxf>
      <fill>
        <patternFill>
          <bgColor theme="6" tint="0.3999450666829432"/>
        </patternFill>
      </fill>
    </dxf>
    <dxf>
      <fill>
        <patternFill>
          <bgColor rgb="FFDDE8C6"/>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4685D2"/>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ont>
        <color rgb="FF9C0006"/>
      </font>
      <fill>
        <patternFill>
          <bgColor rgb="FFFFC7CE"/>
        </patternFill>
      </fill>
    </dxf>
    <dxf>
      <fill>
        <patternFill patternType="solid">
          <fgColor indexed="64"/>
          <bgColor rgb="FFBA005D"/>
        </patternFill>
      </fill>
    </dxf>
    <dxf>
      <fill>
        <patternFill patternType="solid">
          <fgColor indexed="64"/>
          <bgColor rgb="FFE4E3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H232"/>
  <sheetViews>
    <sheetView tabSelected="1" zoomScale="65" zoomScaleNormal="65" workbookViewId="0">
      <pane xSplit="4" ySplit="3" topLeftCell="E84" activePane="bottomRight" state="frozen"/>
      <selection pane="topRight" activeCell="B3" sqref="B3"/>
      <selection pane="bottomLeft" activeCell="B3" sqref="B3"/>
      <selection pane="bottomRight" activeCell="D84" sqref="D84"/>
    </sheetView>
  </sheetViews>
  <sheetFormatPr baseColWidth="8" defaultColWidth="8.453125" defaultRowHeight="15.5"/>
  <cols>
    <col width="7.453125" customWidth="1" style="692" min="1" max="1"/>
    <col width="26" customWidth="1" style="689" min="2" max="2"/>
    <col width="36.453125" customWidth="1" style="690" min="3" max="3"/>
    <col width="99.453125" customWidth="1" style="691" min="4" max="4"/>
    <col width="9.453125" customWidth="1" style="692" min="5" max="5"/>
    <col width="79" customWidth="1" style="691" min="6" max="6"/>
    <col width="76.6328125" customWidth="1" style="692" min="7" max="7"/>
    <col width="15.453125" customWidth="1" style="692" min="8" max="8"/>
    <col width="12.453125" customWidth="1" style="692" min="9" max="9"/>
    <col width="41" customWidth="1" style="692" min="10" max="10"/>
    <col width="33" customWidth="1" style="692" min="11" max="11"/>
    <col width="41.453125" customWidth="1" style="692" min="12" max="12"/>
    <col width="33.08984375" customWidth="1" style="692" min="13" max="13"/>
    <col width="47.453125" customWidth="1" style="692" min="14" max="14"/>
    <col width="22.453125" customWidth="1" style="692" min="15" max="15"/>
    <col width="40.453125" customWidth="1" style="692" min="16" max="16"/>
    <col hidden="1" width="15" customWidth="1" style="239" min="17" max="17"/>
    <col hidden="1" width="8.453125" customWidth="1" style="121" min="18" max="18"/>
    <col hidden="1" width="8.453125" customWidth="1" style="692" min="19" max="19"/>
    <col hidden="1" width="20.453125" customWidth="1" style="145" min="20" max="20"/>
    <col hidden="1" outlineLevel="1" width="8.453125" customWidth="1" style="692" min="21" max="21"/>
    <col hidden="1" collapsed="1" width="8.453125" customWidth="1" style="692" min="22" max="22"/>
    <col hidden="1" width="8.453125" customWidth="1" style="692" min="23" max="23"/>
    <col hidden="1" width="15.453125" customWidth="1" style="238" min="24" max="24"/>
    <col width="11.453125" customWidth="1" style="238" min="25" max="25"/>
    <col hidden="1" outlineLevel="1" width="10.453125" customWidth="1" style="692" min="26" max="26"/>
    <col collapsed="1" width="8.453125" customWidth="1" style="692" min="27" max="27"/>
    <col width="8.453125" customWidth="1" style="692" min="28" max="34"/>
    <col width="8.453125" customWidth="1" style="692" min="35" max="16384"/>
  </cols>
  <sheetData>
    <row r="1" ht="18.75" customHeight="1" thickBot="1">
      <c r="A1" s="688" t="inlineStr">
        <is>
          <t>GeoPoll Submission Form</t>
        </is>
      </c>
      <c r="Q1" s="203" t="n"/>
      <c r="R1" s="103" t="n"/>
      <c r="T1" s="103" t="n"/>
      <c r="X1" s="204" t="n"/>
      <c r="Y1" s="204" t="n"/>
    </row>
    <row r="2" ht="15" customHeight="1" thickBot="1">
      <c r="A2" s="701" t="inlineStr">
        <is>
          <t>FAO - Household Questionnaire</t>
        </is>
      </c>
      <c r="B2" s="702" t="n"/>
      <c r="C2" s="702" t="n"/>
      <c r="D2" s="702" t="n"/>
      <c r="E2" s="702" t="n"/>
      <c r="F2" s="702" t="n"/>
      <c r="G2" s="702" t="n"/>
      <c r="H2" s="702" t="n"/>
      <c r="I2" s="702" t="n"/>
      <c r="J2" s="702" t="n"/>
      <c r="K2" s="702" t="n"/>
      <c r="L2" s="702" t="n"/>
      <c r="M2" s="702" t="n"/>
      <c r="N2" s="702" t="n"/>
      <c r="O2" s="702" t="n"/>
      <c r="P2" s="699" t="inlineStr">
        <is>
          <t>Additional notes</t>
        </is>
      </c>
      <c r="Q2" s="203" t="n"/>
      <c r="R2" s="103" t="n"/>
      <c r="X2" s="204" t="n"/>
      <c r="Y2" s="204" t="n"/>
    </row>
    <row r="3" ht="61.5" customFormat="1" customHeight="1" s="689" thickBot="1">
      <c r="A3" s="171" t="inlineStr">
        <is>
          <t>Q #</t>
        </is>
      </c>
      <c r="B3" s="170" t="inlineStr">
        <is>
          <t>Q Name</t>
        </is>
      </c>
      <c r="C3" s="168" t="inlineStr">
        <is>
          <t>Suggested Qname</t>
        </is>
      </c>
      <c r="D3" s="170" t="inlineStr">
        <is>
          <t>English</t>
        </is>
      </c>
      <c r="E3" s="169" t="inlineStr">
        <is>
          <t>Length</t>
        </is>
      </c>
      <c r="F3" s="170" t="inlineStr">
        <is>
          <t>Arabic</t>
        </is>
      </c>
      <c r="G3" s="169" t="inlineStr">
        <is>
          <t>Length</t>
        </is>
      </c>
      <c r="H3" s="170" t="inlineStr">
        <is>
          <t>Q Type</t>
        </is>
      </c>
      <c r="I3" s="169" t="inlineStr">
        <is>
          <t>Randomize</t>
        </is>
      </c>
      <c r="J3" s="168" t="inlineStr">
        <is>
          <t>Conditional</t>
        </is>
      </c>
      <c r="K3" s="168" t="inlineStr">
        <is>
          <t>Programming Instructions</t>
        </is>
      </c>
      <c r="L3" s="167" t="inlineStr">
        <is>
          <t>Skip Pattern</t>
        </is>
      </c>
      <c r="M3" s="167" t="inlineStr">
        <is>
          <t>Codes</t>
        </is>
      </c>
      <c r="N3" s="166" t="inlineStr">
        <is>
          <t xml:space="preserve">Default skip patterns &amp; conditional </t>
        </is>
      </c>
      <c r="O3" s="166" t="inlineStr">
        <is>
          <t>Specify skip pattern variable (from blue text)</t>
        </is>
      </c>
      <c r="P3" s="700" t="n"/>
      <c r="Q3" s="199" t="inlineStr">
        <is>
          <t>Estimated percentage of repondents</t>
        </is>
      </c>
      <c r="R3" s="190" t="n"/>
      <c r="T3" s="256" t="inlineStr">
        <is>
          <t>Mandatory</t>
        </is>
      </c>
      <c r="X3" s="199" t="inlineStr">
        <is>
          <t>Duration (sec)</t>
        </is>
      </c>
      <c r="Y3" s="200" t="inlineStr">
        <is>
          <t>Weighted duration</t>
        </is>
      </c>
      <c r="Z3" s="200" t="inlineStr">
        <is>
          <t>Core questions only</t>
        </is>
      </c>
    </row>
    <row r="4" ht="18" customHeight="1" thickBot="1">
      <c r="A4" s="693" t="inlineStr">
        <is>
          <t>A. PRESENTATION OF THE SURVEY AND ELIGIBILITY CRITERIA SELECTION</t>
        </is>
      </c>
      <c r="B4" s="694" t="n"/>
      <c r="C4" s="694" t="n"/>
      <c r="D4" s="694" t="n"/>
      <c r="E4" s="694" t="n"/>
      <c r="F4" s="694" t="n"/>
      <c r="G4" s="694" t="n"/>
      <c r="H4" s="694" t="n"/>
      <c r="I4" s="694" t="n"/>
      <c r="J4" s="694" t="n"/>
      <c r="K4" s="694" t="n"/>
      <c r="L4" s="694" t="n"/>
      <c r="M4" s="694" t="n"/>
      <c r="N4" s="694" t="n"/>
      <c r="O4" s="694" t="n"/>
      <c r="P4" s="695" t="n"/>
      <c r="Q4" s="203" t="n"/>
      <c r="R4" s="103" t="n"/>
      <c r="T4" s="145" t="inlineStr">
        <is>
          <t>no</t>
        </is>
      </c>
      <c r="X4" s="204" t="n"/>
      <c r="Y4" s="201">
        <f>IF(X4="","",X4*V4)</f>
        <v/>
      </c>
      <c r="Z4" s="103">
        <f>IF(T4="yes",Y4,"")</f>
        <v/>
      </c>
    </row>
    <row r="5" ht="26.25" customHeight="1">
      <c r="A5" s="70" t="inlineStr">
        <is>
          <t>NA</t>
        </is>
      </c>
      <c r="B5" s="179" t="inlineStr">
        <is>
          <t>Optin</t>
        </is>
      </c>
      <c r="C5" s="186" t="inlineStr"/>
      <c r="D5" s="107" t="inlineStr">
        <is>
          <t>Optin</t>
        </is>
      </c>
      <c r="E5" s="106">
        <f>LEN(D5)</f>
        <v/>
      </c>
      <c r="F5" s="107" t="inlineStr">
        <is>
          <t>Optin</t>
        </is>
      </c>
      <c r="G5" s="106">
        <f>LEN(F5)</f>
        <v/>
      </c>
      <c r="H5" s="106" t="inlineStr">
        <is>
          <t>Open Ended</t>
        </is>
      </c>
      <c r="I5" s="106" t="inlineStr">
        <is>
          <t>NA</t>
        </is>
      </c>
      <c r="J5" s="106" t="inlineStr">
        <is>
          <t>NA</t>
        </is>
      </c>
      <c r="K5" s="106" t="inlineStr">
        <is>
          <t>Form Type - TextBox</t>
        </is>
      </c>
      <c r="L5" s="105" t="inlineStr">
        <is>
          <t>Any Response = phone_number</t>
        </is>
      </c>
      <c r="M5" s="165" t="inlineStr">
        <is>
          <t>NA</t>
        </is>
      </c>
      <c r="N5" s="165" t="inlineStr">
        <is>
          <t>NA</t>
        </is>
      </c>
      <c r="O5" s="53" t="inlineStr"/>
      <c r="P5" s="8" t="n"/>
      <c r="Q5" s="203" t="n"/>
      <c r="R5" s="103" t="n"/>
      <c r="T5" s="145" t="inlineStr">
        <is>
          <t>no</t>
        </is>
      </c>
      <c r="X5" s="202" t="n">
        <v>0</v>
      </c>
      <c r="Y5" s="201">
        <f>IF(X5="","",X5*Q5)</f>
        <v/>
      </c>
      <c r="Z5" s="103">
        <f>IF(T5="yes",Y5,"")</f>
        <v/>
      </c>
    </row>
    <row r="6" ht="17.15" customHeight="1">
      <c r="A6" s="70" t="inlineStr">
        <is>
          <t>NA</t>
        </is>
      </c>
      <c r="B6" s="142" t="inlineStr">
        <is>
          <t>phone_number</t>
        </is>
      </c>
      <c r="C6" s="108" t="inlineStr">
        <is>
          <t>phone_number</t>
        </is>
      </c>
      <c r="D6" s="512" t="inlineStr">
        <is>
          <t>Input the phone number that you are contacting:</t>
        </is>
      </c>
      <c r="E6" s="106">
        <f>LEN(D6)</f>
        <v/>
      </c>
      <c r="F6" s="513" t="inlineStr">
        <is>
          <t>أدخل رقم الهاتف الذي تتصل به:</t>
        </is>
      </c>
      <c r="G6" s="106">
        <f>LEN(F6)</f>
        <v/>
      </c>
      <c r="H6" s="106" t="inlineStr">
        <is>
          <t>Open Ended</t>
        </is>
      </c>
      <c r="I6" s="106" t="inlineStr">
        <is>
          <t>NA</t>
        </is>
      </c>
      <c r="J6" s="106" t="inlineStr">
        <is>
          <t>NA</t>
        </is>
      </c>
      <c r="K6" s="106" t="inlineStr">
        <is>
          <t>Form Type - TextBox</t>
        </is>
      </c>
      <c r="L6" s="105" t="inlineStr">
        <is>
          <t>Any Response = calldispo</t>
        </is>
      </c>
      <c r="M6" s="165" t="inlineStr">
        <is>
          <t>NA</t>
        </is>
      </c>
      <c r="N6" s="165" t="inlineStr">
        <is>
          <t>NA</t>
        </is>
      </c>
      <c r="O6" s="53" t="inlineStr"/>
      <c r="P6" s="32" t="n"/>
      <c r="Q6" s="203" t="n"/>
      <c r="R6" s="103" t="n"/>
      <c r="T6" s="145" t="inlineStr">
        <is>
          <t>yes</t>
        </is>
      </c>
      <c r="X6" s="202" t="n">
        <v>0</v>
      </c>
      <c r="Y6" s="201">
        <f>IF(X6="","",X6*Q6)</f>
        <v/>
      </c>
      <c r="Z6" s="103">
        <f>IF(T6="yes",Y6,"")</f>
        <v/>
      </c>
    </row>
    <row r="7" ht="125.15" customHeight="1">
      <c r="A7" s="31" t="inlineStr">
        <is>
          <t>NA</t>
        </is>
      </c>
      <c r="B7" s="514" t="inlineStr">
        <is>
          <t>calldispo</t>
        </is>
      </c>
      <c r="C7" s="108" t="inlineStr">
        <is>
          <t>calldispo</t>
        </is>
      </c>
      <c r="D7" s="512" t="inlineStr">
        <is>
          <t>Phone number: #CATI_MOBILENUMBER#
1)Someone answers
2)No answer
3)Refusal
4)Call back
5)Non-Working Number</t>
        </is>
      </c>
      <c r="E7" s="515">
        <f>LEN(D7)</f>
        <v/>
      </c>
      <c r="F7" s="516" t="inlineStr">
        <is>
          <t>رقم الهاتف: #CATI_MOBILENUMBER#
1) يجيب شخص ما
2) لا جواب
3) رفض
4) معاودة الاتصال
5) الرقم لا يعمل</t>
        </is>
      </c>
      <c r="G7" s="515">
        <f>LEN(F7)</f>
        <v/>
      </c>
      <c r="H7" s="517" t="inlineStr">
        <is>
          <t>Single Choice</t>
        </is>
      </c>
      <c r="I7" s="515" t="inlineStr">
        <is>
          <t>NA</t>
        </is>
      </c>
      <c r="J7" s="515" t="inlineStr">
        <is>
          <t>NA</t>
        </is>
      </c>
      <c r="K7" s="515" t="inlineStr">
        <is>
          <t>Form Type - Buttons</t>
        </is>
      </c>
      <c r="L7" s="113" t="inlineStr">
        <is>
          <t>1 = resp_language
2 = NoAnswer
3 = Refusal
4 = WhenCallBack
5 = NonWorkingNumber</t>
        </is>
      </c>
      <c r="M7" s="165" t="inlineStr">
        <is>
          <t>NA</t>
        </is>
      </c>
      <c r="N7" s="155" t="inlineStr">
        <is>
          <t>NA</t>
        </is>
      </c>
      <c r="O7" s="54" t="inlineStr"/>
      <c r="P7" s="9" t="n"/>
      <c r="Q7" s="203" t="n"/>
      <c r="R7" s="103" t="n"/>
      <c r="T7" s="145" t="inlineStr">
        <is>
          <t>no</t>
        </is>
      </c>
      <c r="X7" s="202" t="n">
        <v>14.69530773162842</v>
      </c>
      <c r="Y7" s="201">
        <f>IF(X7="","",X7*Q7)</f>
        <v/>
      </c>
      <c r="Z7" s="103">
        <f>IF(T7="yes",Y7,"")</f>
        <v/>
      </c>
    </row>
    <row r="8" ht="37.5" customHeight="1">
      <c r="A8" s="31" t="inlineStr">
        <is>
          <t>NA</t>
        </is>
      </c>
      <c r="B8" s="514" t="inlineStr">
        <is>
          <t>NoAnswer</t>
        </is>
      </c>
      <c r="C8" s="108" t="inlineStr">
        <is>
          <t>calldispo_noanswer</t>
        </is>
      </c>
      <c r="D8" s="518" t="inlineStr">
        <is>
          <t>Phone rang and no one answered.</t>
        </is>
      </c>
      <c r="E8" s="515">
        <f>LEN(D8)</f>
        <v/>
      </c>
      <c r="F8" s="519" t="inlineStr">
        <is>
          <t>رن الهاتف ولم يرد أحد</t>
        </is>
      </c>
      <c r="G8" s="515">
        <f>LEN(F8)</f>
        <v/>
      </c>
      <c r="H8" s="517" t="inlineStr">
        <is>
          <t>NA</t>
        </is>
      </c>
      <c r="I8" s="517" t="inlineStr">
        <is>
          <t>NA</t>
        </is>
      </c>
      <c r="J8" s="517" t="inlineStr">
        <is>
          <t>NA</t>
        </is>
      </c>
      <c r="K8" s="517" t="inlineStr">
        <is>
          <t>NA</t>
        </is>
      </c>
      <c r="L8" s="164" t="inlineStr">
        <is>
          <t>End Poll NoAnswer</t>
        </is>
      </c>
      <c r="M8" s="165" t="inlineStr">
        <is>
          <t>NA</t>
        </is>
      </c>
      <c r="N8" s="163" t="inlineStr">
        <is>
          <t>NA</t>
        </is>
      </c>
      <c r="O8" s="55" t="inlineStr"/>
      <c r="P8" s="10" t="n"/>
      <c r="Q8" s="203" t="n"/>
      <c r="R8" s="103" t="n"/>
      <c r="T8" s="145" t="inlineStr">
        <is>
          <t>no</t>
        </is>
      </c>
      <c r="X8" s="202" t="n">
        <v>0</v>
      </c>
      <c r="Y8" s="201">
        <f>IF(X8="","",X8*Q8)</f>
        <v/>
      </c>
      <c r="Z8" s="103">
        <f>IF(T8="yes",Y8,"")</f>
        <v/>
      </c>
    </row>
    <row r="9" ht="37.5" customHeight="1">
      <c r="A9" s="31" t="inlineStr">
        <is>
          <t>NA</t>
        </is>
      </c>
      <c r="B9" s="514" t="inlineStr">
        <is>
          <t>NonWorkingNumber</t>
        </is>
      </c>
      <c r="C9" s="108" t="inlineStr">
        <is>
          <t>calldispo_NonWorkingNumber</t>
        </is>
      </c>
      <c r="D9" s="518" t="inlineStr">
        <is>
          <t>Phone number is not in service, not working, or not valid.</t>
        </is>
      </c>
      <c r="E9" s="515">
        <f>LEN(D9)</f>
        <v/>
      </c>
      <c r="F9" s="520" t="inlineStr">
        <is>
          <t>رقم الهاتف ليس في الخدمة أو لا يعمل أو غير صالح</t>
        </is>
      </c>
      <c r="G9" s="515">
        <f>LEN(F9)</f>
        <v/>
      </c>
      <c r="H9" s="517" t="inlineStr">
        <is>
          <t>NA</t>
        </is>
      </c>
      <c r="I9" s="517" t="inlineStr">
        <is>
          <t>NA</t>
        </is>
      </c>
      <c r="J9" s="517" t="inlineStr">
        <is>
          <t>NA</t>
        </is>
      </c>
      <c r="K9" s="517" t="inlineStr">
        <is>
          <t>NA</t>
        </is>
      </c>
      <c r="L9" s="164" t="inlineStr">
        <is>
          <t>End Poll NonWorkingNumber</t>
        </is>
      </c>
      <c r="M9" s="165" t="inlineStr"/>
      <c r="N9" s="163" t="inlineStr">
        <is>
          <t>NA</t>
        </is>
      </c>
      <c r="O9" s="55" t="inlineStr">
        <is>
          <t>NA</t>
        </is>
      </c>
      <c r="P9" s="10" t="n"/>
      <c r="Q9" s="203" t="n"/>
      <c r="R9" s="103" t="n"/>
      <c r="T9" t="inlineStr"/>
      <c r="X9" s="202" t="n"/>
      <c r="Y9" s="201" t="n"/>
      <c r="Z9" s="103" t="n"/>
    </row>
    <row r="10" ht="73.40000000000001" customHeight="1">
      <c r="A10" s="31" t="inlineStr">
        <is>
          <t>NA</t>
        </is>
      </c>
      <c r="B10" s="514" t="inlineStr">
        <is>
          <t>resp_language</t>
        </is>
      </c>
      <c r="C10" s="108" t="inlineStr">
        <is>
          <t>resp_language</t>
        </is>
      </c>
      <c r="D10" s="415" t="inlineStr">
        <is>
          <t>Which language do you wish to proceed with?
[OPERATOR: READ ANSWER CHOICES. SINGLE RESPONSE.]
1)Arabic</t>
        </is>
      </c>
      <c r="E10" s="515">
        <f>LEN(D10)</f>
        <v/>
      </c>
      <c r="F10" s="382" t="inlineStr">
        <is>
          <t>ما هي اللغة التي ترغب في المتابعة بها؟
[المُشغل: اقرأ خيارات الإجابة. استجابة واحدة.]
1) عربي</t>
        </is>
      </c>
      <c r="G10" s="515">
        <f>LEN(F10)</f>
        <v/>
      </c>
      <c r="H10" s="517" t="inlineStr">
        <is>
          <t>Single Choice</t>
        </is>
      </c>
      <c r="I10" s="515" t="inlineStr">
        <is>
          <t>NA</t>
        </is>
      </c>
      <c r="J10" s="515" t="inlineStr">
        <is>
          <t>NA</t>
        </is>
      </c>
      <c r="K10" s="515" t="inlineStr">
        <is>
          <t>Form Type - Buttons</t>
        </is>
      </c>
      <c r="L10" s="113" t="inlineStr">
        <is>
          <t>1 = introduction [English]
2 = introduction [languages &amp; add more if needed]</t>
        </is>
      </c>
      <c r="M10" s="165" t="inlineStr">
        <is>
          <t>NA</t>
        </is>
      </c>
      <c r="N10" s="162" t="inlineStr">
        <is>
          <t>For any response, go to introduction</t>
        </is>
      </c>
      <c r="O10" s="56" t="inlineStr"/>
      <c r="P10" s="11" t="inlineStr">
        <is>
          <t>Arabic</t>
        </is>
      </c>
      <c r="Q10" s="203" t="n"/>
      <c r="R10" s="103" t="n"/>
      <c r="T10" s="145" t="inlineStr">
        <is>
          <t>no</t>
        </is>
      </c>
      <c r="X10" s="202" t="n">
        <v>3.103272438049316</v>
      </c>
      <c r="Y10" s="201">
        <f>IF(X10="","",X10*Q10)</f>
        <v/>
      </c>
      <c r="Z10" s="103">
        <f>IF(T10="yes",Y10,"")</f>
        <v/>
      </c>
    </row>
    <row r="11" ht="408.65" customHeight="1">
      <c r="A11" s="31" t="inlineStr">
        <is>
          <t>NA</t>
        </is>
      </c>
      <c r="B11" s="514" t="inlineStr">
        <is>
          <t>introduction</t>
        </is>
      </c>
      <c r="C11" s="108" t="inlineStr">
        <is>
          <t>introduction</t>
        </is>
      </c>
      <c r="D11" s="521"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1" s="515">
        <f>LEN(D11)</f>
        <v/>
      </c>
      <c r="F11" s="382"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1" s="515">
        <f>LEN(F11)</f>
        <v/>
      </c>
      <c r="H11" s="517" t="inlineStr">
        <is>
          <t>Single Choice</t>
        </is>
      </c>
      <c r="I11" s="515" t="inlineStr">
        <is>
          <t>NA</t>
        </is>
      </c>
      <c r="J11" s="515" t="inlineStr">
        <is>
          <t>NA</t>
        </is>
      </c>
      <c r="K11" s="515" t="inlineStr">
        <is>
          <t>Form Type - Buttons</t>
        </is>
      </c>
      <c r="L11" s="113" t="inlineStr">
        <is>
          <t>1 = Agree</t>
        </is>
      </c>
      <c r="M11" s="165" t="inlineStr">
        <is>
          <t>NA</t>
        </is>
      </c>
      <c r="N11" s="162" t="inlineStr">
        <is>
          <t>For any response, go to Agree</t>
        </is>
      </c>
      <c r="O11" s="56" t="inlineStr"/>
      <c r="P11" s="11" t="n">
        <v>0</v>
      </c>
      <c r="Q11" s="203" t="n"/>
      <c r="R11" s="103" t="n"/>
      <c r="T11" s="145" t="inlineStr">
        <is>
          <t>no</t>
        </is>
      </c>
      <c r="X11" s="202" t="n">
        <v>37.41844940185547</v>
      </c>
      <c r="Y11" s="201">
        <f>IF(X11="","",X11*Q11)</f>
        <v/>
      </c>
      <c r="Z11" s="103">
        <f>IF(T11="yes",Y11,"")</f>
        <v/>
      </c>
    </row>
    <row r="12" ht="109.4" customFormat="1" customHeight="1" s="109">
      <c r="A12" s="31" t="inlineStr">
        <is>
          <t>NA</t>
        </is>
      </c>
      <c r="B12" s="514" t="inlineStr">
        <is>
          <t>Agree</t>
        </is>
      </c>
      <c r="C12" s="108" t="inlineStr">
        <is>
          <t>resp_agree</t>
        </is>
      </c>
      <c r="D12" s="512" t="inlineStr">
        <is>
          <t>Are you interested in participating in this survey?
[OPERATOR: SINGLE RESPONSE]
1)Yes 
2)Not now but another time in the week 
3)No</t>
        </is>
      </c>
      <c r="E12" s="515">
        <f>LEN(D12)</f>
        <v/>
      </c>
      <c r="F12" s="382" t="inlineStr">
        <is>
          <t>هل لديك رغبة في بالمشاركة في هذه الدراسة؟
[المشغل: استجابة واحدة]
1) نعم
2) ليس الآن ولكن في وقت آخر في الأسبوع
3) لا</t>
        </is>
      </c>
      <c r="G12" s="515">
        <f>LEN(F12)</f>
        <v/>
      </c>
      <c r="H12" s="517" t="inlineStr">
        <is>
          <t>StartRecording</t>
        </is>
      </c>
      <c r="I12" s="515" t="inlineStr">
        <is>
          <t>NA</t>
        </is>
      </c>
      <c r="J12" s="515" t="inlineStr">
        <is>
          <t>NA</t>
        </is>
      </c>
      <c r="K12" s="515" t="inlineStr">
        <is>
          <t>Form Type - Buttons</t>
        </is>
      </c>
      <c r="L12" s="113" t="inlineStr">
        <is>
          <t>1 = [id_panel OR resp_firstname]
2 = WhenCallBack
3 = resp_refusalwhy</t>
        </is>
      </c>
      <c r="M12" s="165" t="inlineStr">
        <is>
          <t>NA</t>
        </is>
      </c>
      <c r="N12" s="113" t="inlineStr">
        <is>
          <t>if Agree = 1, go to id_panel OR resp_firstname
if Agree = 2, go to WhenCallBack
if Agree = 3, go to resp_refusalwhy</t>
        </is>
      </c>
      <c r="O12" s="38" t="inlineStr">
        <is>
          <t>id_panel</t>
        </is>
      </c>
      <c r="P12" s="9" t="n"/>
      <c r="Q12" s="203" t="n">
        <v>1</v>
      </c>
      <c r="R12" s="103" t="n"/>
      <c r="T12" s="145" t="inlineStr">
        <is>
          <t>no</t>
        </is>
      </c>
      <c r="U12" s="692" t="n"/>
      <c r="X12" s="202" t="n">
        <v>3.805951595306396</v>
      </c>
      <c r="Y12" s="201">
        <f>IF(X12="","",X12*Q12)</f>
        <v/>
      </c>
      <c r="Z12" s="103">
        <f>IF(T12="yes",Y12,"")</f>
        <v/>
      </c>
    </row>
    <row r="13" ht="125.15" customFormat="1" customHeight="1" s="109">
      <c r="A13" s="13" t="inlineStr">
        <is>
          <t>NA</t>
        </is>
      </c>
      <c r="B13" s="522" t="inlineStr">
        <is>
          <t>id_panel</t>
        </is>
      </c>
      <c r="C13" s="16" t="inlineStr">
        <is>
          <t>id_panel</t>
        </is>
      </c>
      <c r="D13" s="523" t="inlineStr">
        <is>
          <t>Have you or any member of your household received a call on behalf of FAO regarding this topic in the past two years?
[OPERATOR: SINGLE RESPONSE.]
1)YES
2)NO
3)DON'T KNOW</t>
        </is>
      </c>
      <c r="E13" s="524">
        <f>LEN(D13)</f>
        <v/>
      </c>
      <c r="F13" s="525"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3" s="15">
        <f>LEN(F13)</f>
        <v/>
      </c>
      <c r="H13" s="526" t="inlineStr">
        <is>
          <t>Single Choice</t>
        </is>
      </c>
      <c r="I13" s="524" t="inlineStr">
        <is>
          <t>NA</t>
        </is>
      </c>
      <c r="J13" s="524" t="inlineStr">
        <is>
          <t>NA</t>
        </is>
      </c>
      <c r="K13" s="524" t="inlineStr">
        <is>
          <t>Form Type - Buttons</t>
        </is>
      </c>
      <c r="L13" s="23" t="inlineStr">
        <is>
          <t>1-3 = resp_firstname</t>
        </is>
      </c>
      <c r="M13" s="53" t="inlineStr">
        <is>
          <t>NA</t>
        </is>
      </c>
      <c r="N13" s="23" t="inlineStr">
        <is>
          <t>For any response, go to resp_firstname</t>
        </is>
      </c>
      <c r="O13" s="23" t="inlineStr"/>
      <c r="P13" s="44" t="inlineStr">
        <is>
          <t xml:space="preserve">It is highly recommended to include the question id_panel if a panelist approach is used. </t>
        </is>
      </c>
      <c r="Q13" s="203" t="n">
        <v>1</v>
      </c>
      <c r="R13" s="103" t="n"/>
      <c r="T13" s="145" t="inlineStr">
        <is>
          <t>no</t>
        </is>
      </c>
      <c r="U13" s="692" t="n"/>
      <c r="X13" s="202" t="n"/>
      <c r="Y13" s="202" t="n"/>
      <c r="Z13" s="103" t="n"/>
    </row>
    <row r="14" ht="109.4" customFormat="1" customHeight="1" s="109">
      <c r="A14" s="31" t="inlineStr">
        <is>
          <t>NA</t>
        </is>
      </c>
      <c r="B14" s="514" t="inlineStr">
        <is>
          <t>resp_refusalwhy</t>
        </is>
      </c>
      <c r="C14" s="108" t="inlineStr">
        <is>
          <t>resp_refusalwhy</t>
        </is>
      </c>
      <c r="D14" s="527" t="inlineStr">
        <is>
          <t>Please let us know why you have REFUSED to take the survey.
[OPERATOR: SINGLE RESPONSE]
1)Not interested
2)Do not want to be recorded
3)Other [specify]</t>
        </is>
      </c>
      <c r="E14" s="515">
        <f>LEN(D14)</f>
        <v/>
      </c>
      <c r="F14" s="516" t="inlineStr">
        <is>
          <t>يرجى إخبارنا سبب رفضك للمشاركة في هذه الدراسة.
[المشغل: استجابة واحدة]
1) غير مهتم
2) لا أريد أن يتم تسجيلي
3) آخر [حدد]</t>
        </is>
      </c>
      <c r="G14" s="515">
        <f>LEN(F14)</f>
        <v/>
      </c>
      <c r="H14" s="517" t="inlineStr">
        <is>
          <t>Open Ended - Single Choice</t>
        </is>
      </c>
      <c r="I14" s="515" t="inlineStr">
        <is>
          <t>NA</t>
        </is>
      </c>
      <c r="J14" s="515" t="inlineStr">
        <is>
          <t>NA</t>
        </is>
      </c>
      <c r="K14" s="515" t="inlineStr">
        <is>
          <t>Form Type - RadioList</t>
        </is>
      </c>
      <c r="L14" s="113" t="inlineStr">
        <is>
          <t>Any Response = Refusal</t>
        </is>
      </c>
      <c r="M14" s="165" t="inlineStr">
        <is>
          <t>NA</t>
        </is>
      </c>
      <c r="N14" s="113" t="inlineStr">
        <is>
          <t>For any response, go to Refusal</t>
        </is>
      </c>
      <c r="O14" s="57" t="inlineStr"/>
      <c r="P14" s="9" t="n"/>
      <c r="Q14" s="203" t="n">
        <v>1</v>
      </c>
      <c r="R14" s="103" t="n"/>
      <c r="T14" s="111" t="inlineStr">
        <is>
          <t>no</t>
        </is>
      </c>
      <c r="U14" s="692" t="n"/>
      <c r="X14" s="202" t="n">
        <v>0</v>
      </c>
      <c r="Y14" s="201">
        <f>IF(X14="","",X14*Q14)</f>
        <v/>
      </c>
      <c r="Z14" s="103">
        <f>IF(T14="yes",Y14,"")</f>
        <v/>
      </c>
    </row>
    <row r="15" ht="47.15" customFormat="1" customHeight="1" s="109">
      <c r="A15" s="31" t="inlineStr">
        <is>
          <t>NA</t>
        </is>
      </c>
      <c r="B15" s="514" t="inlineStr">
        <is>
          <t>WhenCallBack</t>
        </is>
      </c>
      <c r="C15" s="108" t="inlineStr">
        <is>
          <t>resp_whencallback</t>
        </is>
      </c>
      <c r="D15" s="512" t="inlineStr">
        <is>
          <t>When would it be a good time to call you back?
[RECORD HH/MM/DD/MM OF CALLBACK]</t>
        </is>
      </c>
      <c r="E15" s="515">
        <f>LEN(D15)</f>
        <v/>
      </c>
      <c r="F15" s="528" t="inlineStr">
        <is>
          <t>ما هو التاريخ / الوقت المناسب لمعاودة الاتصال بك؟
[RECORD HH / MM / DD / MM of CALLBACK]</t>
        </is>
      </c>
      <c r="G15" s="515">
        <f>LEN(F15)</f>
        <v/>
      </c>
      <c r="H15" s="517" t="inlineStr">
        <is>
          <t>Open Ended</t>
        </is>
      </c>
      <c r="I15" s="515" t="inlineStr">
        <is>
          <t>NA</t>
        </is>
      </c>
      <c r="J15" s="515" t="inlineStr">
        <is>
          <t>NA</t>
        </is>
      </c>
      <c r="K15" s="515" t="inlineStr">
        <is>
          <t>Form Type - TextBox
IsCallBackDemographic</t>
        </is>
      </c>
      <c r="L15" s="113" t="inlineStr">
        <is>
          <t>Any Response = CallbackMessageEN</t>
        </is>
      </c>
      <c r="M15" s="165" t="inlineStr">
        <is>
          <t>NA</t>
        </is>
      </c>
      <c r="N15" s="113" t="inlineStr">
        <is>
          <t>For any response, go to CallbackMessageEN</t>
        </is>
      </c>
      <c r="O15" s="57" t="inlineStr"/>
      <c r="P15" s="9" t="n"/>
      <c r="Q15" s="203" t="n">
        <v>1</v>
      </c>
      <c r="R15" s="103" t="n"/>
      <c r="T15" s="111" t="inlineStr">
        <is>
          <t>no</t>
        </is>
      </c>
      <c r="U15" s="692" t="n"/>
      <c r="X15" s="202" t="n">
        <v>0</v>
      </c>
      <c r="Y15" s="201">
        <f>IF(X15="","",X15*Q15)</f>
        <v/>
      </c>
      <c r="Z15" s="103">
        <f>IF(T15="yes",Y15,"")</f>
        <v/>
      </c>
    </row>
    <row r="16" ht="78" customFormat="1" customHeight="1" s="109">
      <c r="A16" s="31" t="inlineStr">
        <is>
          <t>NA</t>
        </is>
      </c>
      <c r="B16" s="514" t="inlineStr">
        <is>
          <t>CallbackMessageEN</t>
        </is>
      </c>
      <c r="C16" s="108" t="inlineStr">
        <is>
          <t>callbackmessage_en</t>
        </is>
      </c>
      <c r="D16" s="512" t="inlineStr">
        <is>
          <t>Thank you, we will call you back at {WhenCallBack} you requested. Thank you again and have a great day!
[OPERATOR: ENTER CALL NOTES BELOW, WHO YOU SPOKE TO AND WHAT THEY SAID]</t>
        </is>
      </c>
      <c r="E16" s="515">
        <f>LEN(D16)</f>
        <v/>
      </c>
      <c r="F16" s="513"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6" s="515">
        <f>LEN(F16)</f>
        <v/>
      </c>
      <c r="H16" s="517" t="inlineStr">
        <is>
          <t>Open Ended</t>
        </is>
      </c>
      <c r="I16" s="515" t="inlineStr">
        <is>
          <t>NA</t>
        </is>
      </c>
      <c r="J16" s="515" t="inlineStr">
        <is>
          <t>NA</t>
        </is>
      </c>
      <c r="K16" s="515" t="inlineStr">
        <is>
          <t>Form Type - TextBox</t>
        </is>
      </c>
      <c r="L16" s="113" t="inlineStr">
        <is>
          <t>Any Response = End poll callback</t>
        </is>
      </c>
      <c r="M16" s="165" t="inlineStr">
        <is>
          <t>NA</t>
        </is>
      </c>
      <c r="N16" s="155" t="inlineStr">
        <is>
          <t>NA</t>
        </is>
      </c>
      <c r="O16" s="54" t="inlineStr"/>
      <c r="P16" s="9" t="n"/>
      <c r="Q16" s="203" t="n">
        <v>1</v>
      </c>
      <c r="R16" s="103" t="n"/>
      <c r="T16" s="111" t="inlineStr">
        <is>
          <t>no</t>
        </is>
      </c>
      <c r="U16" s="692" t="n"/>
      <c r="X16" s="202" t="n">
        <v>0</v>
      </c>
      <c r="Y16" s="201">
        <f>IF(X16="","",X16*Q16)</f>
        <v/>
      </c>
      <c r="Z16" s="103">
        <f>IF(T16="yes",Y16,"")</f>
        <v/>
      </c>
    </row>
    <row r="17" ht="50.25" customFormat="1" customHeight="1" s="109">
      <c r="A17" s="31" t="inlineStr">
        <is>
          <t>NA</t>
        </is>
      </c>
      <c r="B17" s="514" t="inlineStr">
        <is>
          <t>Ineligible</t>
        </is>
      </c>
      <c r="C17" s="108" t="inlineStr">
        <is>
          <t>NA</t>
        </is>
      </c>
      <c r="D17" s="512" t="inlineStr">
        <is>
          <t>You are ineligible for this survey. Thank you for your time and please look out for future surveys!</t>
        </is>
      </c>
      <c r="E17" s="515">
        <f>LEN(D17)</f>
        <v/>
      </c>
      <c r="F17" s="513" t="inlineStr">
        <is>
          <t>أنت غير مؤهل للمشاركة في هذه الدراسة، شكرًا لك على وقتك. ترقب دراسات GeoPoll المستقبلية!</t>
        </is>
      </c>
      <c r="G17" s="515">
        <f>LEN(F17)</f>
        <v/>
      </c>
      <c r="H17" s="517" t="inlineStr">
        <is>
          <t>NA</t>
        </is>
      </c>
      <c r="I17" s="515" t="inlineStr">
        <is>
          <t>NA</t>
        </is>
      </c>
      <c r="J17" s="515" t="inlineStr">
        <is>
          <t>NA</t>
        </is>
      </c>
      <c r="K17" s="515" t="inlineStr">
        <is>
          <t>NA</t>
        </is>
      </c>
      <c r="L17" s="113" t="inlineStr">
        <is>
          <t>End Poll Ineligible</t>
        </is>
      </c>
      <c r="M17" s="165" t="inlineStr">
        <is>
          <t>NA</t>
        </is>
      </c>
      <c r="N17" s="155" t="inlineStr">
        <is>
          <t>NA</t>
        </is>
      </c>
      <c r="O17" s="54" t="inlineStr"/>
      <c r="P17" s="9" t="n"/>
      <c r="Q17" s="203" t="n">
        <v>1</v>
      </c>
      <c r="R17" s="103" t="n"/>
      <c r="T17" s="111" t="inlineStr">
        <is>
          <t>no</t>
        </is>
      </c>
      <c r="U17" s="692" t="n"/>
      <c r="X17" s="202" t="n">
        <v>0</v>
      </c>
      <c r="Y17" s="201">
        <f>IF(X17="","",X17*Q17)</f>
        <v/>
      </c>
      <c r="Z17" s="103">
        <f>IF(T17="yes",Y17,"")</f>
        <v/>
      </c>
    </row>
    <row r="18" ht="50.25" customFormat="1" customHeight="1" s="109" thickBot="1">
      <c r="A18" s="255" t="inlineStr">
        <is>
          <t>NA</t>
        </is>
      </c>
      <c r="B18" s="161" t="inlineStr">
        <is>
          <t>Refusal</t>
        </is>
      </c>
      <c r="C18" s="160" t="inlineStr">
        <is>
          <t>NA</t>
        </is>
      </c>
      <c r="D18" s="159" t="inlineStr">
        <is>
          <t>Thank you for your time, you will be removed from today's survey.</t>
        </is>
      </c>
      <c r="E18" s="157">
        <f>LEN(D18)</f>
        <v/>
      </c>
      <c r="F18" s="383" t="inlineStr">
        <is>
          <t>شكراً جزيلاً على وقتك، سنقوم بحذف إسمك من دراسة اليوم.</t>
        </is>
      </c>
      <c r="G18" s="157">
        <f>LEN(F18)</f>
        <v/>
      </c>
      <c r="H18" s="158" t="inlineStr">
        <is>
          <t>NA</t>
        </is>
      </c>
      <c r="I18" s="157" t="inlineStr">
        <is>
          <t>NA</t>
        </is>
      </c>
      <c r="J18" s="157" t="inlineStr">
        <is>
          <t>NA</t>
        </is>
      </c>
      <c r="K18" s="157" t="inlineStr">
        <is>
          <t>NA</t>
        </is>
      </c>
      <c r="L18" s="156" t="inlineStr">
        <is>
          <t>End poll declined</t>
        </is>
      </c>
      <c r="M18" s="165" t="inlineStr">
        <is>
          <t>NA</t>
        </is>
      </c>
      <c r="N18" s="155" t="inlineStr">
        <is>
          <t>NA</t>
        </is>
      </c>
      <c r="O18" s="58" t="inlineStr"/>
      <c r="P18" s="12" t="n"/>
      <c r="Q18" s="203" t="n">
        <v>1</v>
      </c>
      <c r="R18" s="103" t="n"/>
      <c r="T18" s="111" t="inlineStr">
        <is>
          <t>no</t>
        </is>
      </c>
      <c r="U18" s="692" t="n"/>
      <c r="X18" s="202" t="n">
        <v>0</v>
      </c>
      <c r="Y18" s="201">
        <f>IF(X18="","",X18*Q18)</f>
        <v/>
      </c>
      <c r="Z18" s="103">
        <f>IF(T18="yes",Y18,"")</f>
        <v/>
      </c>
    </row>
    <row r="19" ht="16.4" customFormat="1" customHeight="1" s="309" thickBot="1">
      <c r="A19" s="693" t="inlineStr">
        <is>
          <t>B. GENERAL INFORMATION &amp; ELIGIBILITY CRITERIA</t>
        </is>
      </c>
      <c r="B19" s="694" t="n"/>
      <c r="C19" s="694" t="n"/>
      <c r="D19" s="694" t="n"/>
      <c r="E19" s="694" t="n"/>
      <c r="F19" s="694" t="n"/>
      <c r="G19" s="694" t="n"/>
      <c r="H19" s="694" t="n"/>
      <c r="I19" s="694" t="n"/>
      <c r="J19" s="694" t="n"/>
      <c r="K19" s="694" t="n"/>
      <c r="L19" s="694" t="n"/>
      <c r="M19" s="694" t="n"/>
      <c r="N19" s="694" t="n"/>
      <c r="O19" s="694" t="n"/>
      <c r="P19" s="695" t="n"/>
      <c r="Q19" s="198" t="n"/>
      <c r="R19" s="314" t="n"/>
      <c r="T19" s="312" t="n"/>
      <c r="U19" s="315" t="n"/>
      <c r="X19" s="201" t="n"/>
      <c r="Y19" s="201">
        <f>IF(X19="","",X19*Q19)</f>
        <v/>
      </c>
      <c r="Z19" s="314">
        <f>IF(T19="yes",Y19,"")</f>
        <v/>
      </c>
    </row>
    <row r="20" ht="68.25" customFormat="1" customHeight="1" s="109">
      <c r="A20" s="254" t="inlineStr">
        <is>
          <t>NA</t>
        </is>
      </c>
      <c r="B20" s="154" t="inlineStr">
        <is>
          <t>resp_firstname</t>
        </is>
      </c>
      <c r="C20" s="149" t="inlineStr">
        <is>
          <t>resp_firstname</t>
        </is>
      </c>
      <c r="D20" s="153" t="inlineStr">
        <is>
          <t>What is your first name?
[OPERATOR: RECORD THE RESPONDENT'S FIRST NAME. ENTER 999 FOR REFUSED.]</t>
        </is>
      </c>
      <c r="E20" s="529">
        <f>LEN(D20)</f>
        <v/>
      </c>
      <c r="F20" s="384" t="inlineStr">
        <is>
          <t>ما اسمك؟
[المُشغل: سجل اسم المجيب. أدخل 999 في حالة الرفض.]</t>
        </is>
      </c>
      <c r="G20" s="529">
        <f>LEN(F20)</f>
        <v/>
      </c>
      <c r="H20" s="530" t="inlineStr">
        <is>
          <t>Open Ended</t>
        </is>
      </c>
      <c r="I20" s="529" t="inlineStr">
        <is>
          <t>NA</t>
        </is>
      </c>
      <c r="J20" s="529" t="inlineStr">
        <is>
          <t>NA</t>
        </is>
      </c>
      <c r="K20" s="529" t="inlineStr">
        <is>
          <t>Form Type - TextBox</t>
        </is>
      </c>
      <c r="L20" s="152" t="inlineStr">
        <is>
          <t>Any Response = resp_lastname</t>
        </is>
      </c>
      <c r="M20" s="165" t="inlineStr">
        <is>
          <t>NA</t>
        </is>
      </c>
      <c r="N20" s="153" t="inlineStr">
        <is>
          <t>For any response, go to resp_lastname</t>
        </is>
      </c>
      <c r="O20" s="151" t="inlineStr"/>
      <c r="P20" s="41" t="n"/>
      <c r="Q20" s="198">
        <f>1</f>
        <v/>
      </c>
      <c r="R20" s="103" t="n"/>
      <c r="T20" s="312" t="inlineStr">
        <is>
          <t>yes</t>
        </is>
      </c>
      <c r="U20" s="692" t="n"/>
      <c r="X20" s="201" t="n">
        <v>25.87402725219727</v>
      </c>
      <c r="Y20" s="201">
        <f>IF(X20="","",X20*Q20)</f>
        <v/>
      </c>
      <c r="Z20" s="103">
        <f>IF(T20="yes",Y20,"")</f>
        <v/>
      </c>
    </row>
    <row r="21" ht="62.9" customFormat="1" customHeight="1" s="109">
      <c r="A21" s="31" t="inlineStr">
        <is>
          <t>NA</t>
        </is>
      </c>
      <c r="B21" s="154" t="inlineStr">
        <is>
          <t>resp_lastname</t>
        </is>
      </c>
      <c r="C21" s="149" t="inlineStr">
        <is>
          <t>resp_lastname</t>
        </is>
      </c>
      <c r="D21" s="153" t="inlineStr">
        <is>
          <t>What is your last name? 
[OPERATOR: RECORD THE RESPONDENT'S LAST NAME. ENTER 999 FOR REFUSED.]</t>
        </is>
      </c>
      <c r="E21" s="529">
        <f>LEN(D21)</f>
        <v/>
      </c>
      <c r="F21" s="384" t="inlineStr">
        <is>
          <t>ما هو اسم عائلتك؟
[المُشغل: سجل اسم عائلة المجيب. أدخل 999 في حالة الرفض.]</t>
        </is>
      </c>
      <c r="G21" s="529">
        <f>LEN(F21)</f>
        <v/>
      </c>
      <c r="H21" s="530" t="inlineStr">
        <is>
          <t>Open Ended</t>
        </is>
      </c>
      <c r="I21" s="529" t="inlineStr">
        <is>
          <t>NA</t>
        </is>
      </c>
      <c r="J21" s="529" t="inlineStr">
        <is>
          <t>NA</t>
        </is>
      </c>
      <c r="K21" s="529" t="inlineStr">
        <is>
          <t>Form Type - TextBox</t>
        </is>
      </c>
      <c r="L21" s="152" t="inlineStr">
        <is>
          <t>Any Response = resp_age</t>
        </is>
      </c>
      <c r="M21" s="165" t="inlineStr">
        <is>
          <t>NA</t>
        </is>
      </c>
      <c r="N21" s="125" t="inlineStr">
        <is>
          <t>For any response, go to resp_age</t>
        </is>
      </c>
      <c r="O21" s="151" t="inlineStr"/>
      <c r="P21" s="41" t="n"/>
      <c r="Q21" s="198">
        <f>1</f>
        <v/>
      </c>
      <c r="R21" s="103" t="n"/>
      <c r="T21" s="312" t="inlineStr">
        <is>
          <t>yes</t>
        </is>
      </c>
      <c r="U21" s="692" t="n"/>
      <c r="X21" s="201" t="n">
        <v>8.599481582641602</v>
      </c>
      <c r="Y21" s="201">
        <f>IF(X21="","",X21*Q21)</f>
        <v/>
      </c>
      <c r="Z21" s="103">
        <f>IF(T21="yes",Y21,"")</f>
        <v/>
      </c>
    </row>
    <row r="22" ht="78" customFormat="1" customHeight="1" s="109">
      <c r="A22" s="70" t="n">
        <v>1</v>
      </c>
      <c r="B22" s="189" t="inlineStr">
        <is>
          <t>resp_age</t>
        </is>
      </c>
      <c r="C22" s="150" t="inlineStr">
        <is>
          <t>resp_age</t>
        </is>
      </c>
      <c r="D22" s="107" t="inlineStr">
        <is>
          <t>How old are you? 
[OPERATOR: RECORD AGE IN NUMBER OF YEARS. ROUND UP TO NEAREST WHOLE NUMBER. IF THE RESPONDENT GIVES BIRTH YEAR, REPEAT THE QUESTION. ENTER 00 FOR DON'T KNOW.]</t>
        </is>
      </c>
      <c r="E22" s="149">
        <f>LEN(D22)</f>
        <v/>
      </c>
      <c r="F22" s="385" t="inlineStr">
        <is>
          <t>كم عمرك؟
[المُشغل: سجل العمر في عدد السنوات. قم بالتقريب لأقرب رقم كامل. إذا أعطى المجيب سنة الميلاد ، فكرر السؤال. أدخل 00 للا أعرف.]</t>
        </is>
      </c>
      <c r="G22" s="149">
        <f>LEN(F22)</f>
        <v/>
      </c>
      <c r="H22" s="149" t="inlineStr">
        <is>
          <t>Range</t>
        </is>
      </c>
      <c r="I22" s="149" t="inlineStr">
        <is>
          <t>NA</t>
        </is>
      </c>
      <c r="J22" s="149" t="inlineStr">
        <is>
          <t>NA</t>
        </is>
      </c>
      <c r="K22" s="149" t="inlineStr">
        <is>
          <t>Form Type - TextBox</t>
        </is>
      </c>
      <c r="L22" s="105" t="inlineStr">
        <is>
          <t>0-17 = Ineligible
18-100 = resp_gender
00 = Ineligible</t>
        </is>
      </c>
      <c r="M22" s="165" t="inlineStr">
        <is>
          <t>NA</t>
        </is>
      </c>
      <c r="N22" s="148" t="inlineStr">
        <is>
          <t>Only respondents from 18-100 will be eligible for the survey.</t>
        </is>
      </c>
      <c r="O22" s="147" t="inlineStr"/>
      <c r="P22" s="41" t="n"/>
      <c r="Q22" s="198">
        <f>1</f>
        <v/>
      </c>
      <c r="R22" s="103" t="n"/>
      <c r="T22" s="318" t="inlineStr">
        <is>
          <t>yes</t>
        </is>
      </c>
      <c r="U22" s="692" t="n"/>
      <c r="X22" s="201" t="n">
        <v>9.890718460083008</v>
      </c>
      <c r="Y22" s="201">
        <f>IF(X22="","",X22*Q22)</f>
        <v/>
      </c>
      <c r="Z22" s="103">
        <f>IF(T22="yes",Y22,"")</f>
        <v/>
      </c>
    </row>
    <row r="23" ht="140.9" customFormat="1" customHeight="1" s="109">
      <c r="A23" s="70">
        <f>A22+1</f>
        <v/>
      </c>
      <c r="B23" s="514" t="inlineStr">
        <is>
          <t>resp_gender</t>
        </is>
      </c>
      <c r="C23" s="108" t="inlineStr">
        <is>
          <t>resp_gender</t>
        </is>
      </c>
      <c r="D23" s="512" t="inlineStr">
        <is>
          <t>What is the gender of the respondent?
[OPERATOR: DO NOT ASK THIS QUESTION OUT LOUD. LISTEN TO THE VOICE AND SELECT THE GENDER.]
1)Male
2)Female
3)DON'T KNOW
4)REFUSED</t>
        </is>
      </c>
      <c r="E23" s="515">
        <f>LEN(D23)</f>
        <v/>
      </c>
      <c r="F23" s="513" t="inlineStr">
        <is>
          <t>ما هو جنس المجيب؟
[المُشغل: لا تطرح هذا السؤال. استمع إلى الصوت وحدد المربع الصحيح.]
1) ذكر
2) أنثى
3) لا أعرف
4) رفض الإجابة</t>
        </is>
      </c>
      <c r="G23" s="515">
        <f>LEN(F23)</f>
        <v/>
      </c>
      <c r="H23" s="517" t="inlineStr">
        <is>
          <t>Single Choice</t>
        </is>
      </c>
      <c r="I23" s="515" t="inlineStr">
        <is>
          <t>NA</t>
        </is>
      </c>
      <c r="J23" s="515" t="inlineStr">
        <is>
          <t>NA</t>
        </is>
      </c>
      <c r="K23" s="515" t="inlineStr">
        <is>
          <t>Form Type - Buttons</t>
        </is>
      </c>
      <c r="L23" s="113" t="inlineStr">
        <is>
          <t>1-4 = phone_number_conf</t>
        </is>
      </c>
      <c r="M23" s="165" t="inlineStr">
        <is>
          <t>NA</t>
        </is>
      </c>
      <c r="N23" s="105" t="inlineStr">
        <is>
          <t>For any response, go to phone_number_conf</t>
        </is>
      </c>
      <c r="O23" s="59" t="inlineStr"/>
      <c r="P23" s="9" t="n"/>
      <c r="Q23" s="198">
        <f>1</f>
        <v/>
      </c>
      <c r="R23" s="103" t="n"/>
      <c r="T23" s="318" t="inlineStr">
        <is>
          <t>yes</t>
        </is>
      </c>
      <c r="U23" s="692" t="n"/>
      <c r="X23" s="201" t="n">
        <v>1.715648174285889</v>
      </c>
      <c r="Y23" s="201">
        <f>IF(X23="","",X23*Q23)</f>
        <v/>
      </c>
      <c r="Z23" s="103">
        <f>IF(T23="yes",Y23,"")</f>
        <v/>
      </c>
    </row>
    <row r="24" customFormat="1" s="109">
      <c r="A24" s="70" t="n"/>
      <c r="B24" s="192" t="n"/>
      <c r="C24" s="71" t="n"/>
      <c r="D24" s="91" t="n"/>
      <c r="E24" s="531" t="n"/>
      <c r="F24" s="531" t="n"/>
      <c r="G24" s="531" t="n"/>
      <c r="H24" s="532" t="n"/>
      <c r="I24" s="531" t="n"/>
      <c r="J24" s="531" t="n"/>
      <c r="K24" s="531" t="n"/>
      <c r="L24" s="59" t="n"/>
      <c r="M24" s="59" t="n"/>
      <c r="N24" s="59" t="n"/>
      <c r="O24" s="59" t="n"/>
      <c r="P24" s="9" t="n"/>
      <c r="Q24" s="203">
        <f>1</f>
        <v/>
      </c>
      <c r="R24" s="103" t="n"/>
      <c r="T24" s="145" t="n"/>
      <c r="U24" s="692" t="n"/>
      <c r="X24" s="202" t="n"/>
      <c r="Y24" s="202">
        <f>IF(X24="","",X24*Q24)</f>
        <v/>
      </c>
      <c r="Z24" s="103">
        <f>IF(T24="yes",Y24,"")</f>
        <v/>
      </c>
    </row>
    <row r="25" ht="135.65" customFormat="1" customHeight="1" s="213">
      <c r="A25" s="253" t="n"/>
      <c r="B25" s="220" t="inlineStr">
        <is>
          <t>phone_number_conf</t>
        </is>
      </c>
      <c r="C25" s="221" t="inlineStr">
        <is>
          <t>phone_number_conf</t>
        </is>
      </c>
      <c r="D25" s="222" t="inlineStr">
        <is>
          <t>Is the phone number I am calling you on yours or a household members?
[OPERATOR: SINGLE RESPONSE.]
1)YES
2)NO
3)DON'T KNOW
4)REFUSED</t>
        </is>
      </c>
      <c r="E25" s="533">
        <f>LEN(D25)</f>
        <v/>
      </c>
      <c r="F25" s="264" t="inlineStr">
        <is>
          <t>هل رقم الهاتف الذي أتصل به هو رقمك أو رقم أحد أفراد أسرتك؟
[المشغل: استجابة واحدة.]
1) نعم
2) لا
3) لا أعرف
4) رفض الإجابة</t>
        </is>
      </c>
      <c r="G25" s="533">
        <f>LEN(F25)</f>
        <v/>
      </c>
      <c r="H25" s="534" t="inlineStr">
        <is>
          <t>Single Choice</t>
        </is>
      </c>
      <c r="I25" s="533" t="inlineStr">
        <is>
          <t>NA</t>
        </is>
      </c>
      <c r="J25" s="533" t="inlineStr">
        <is>
          <t>NA</t>
        </is>
      </c>
      <c r="K25" s="533" t="inlineStr">
        <is>
          <t>Form Type - Buttons</t>
        </is>
      </c>
      <c r="L25" s="223" t="inlineStr">
        <is>
          <t>1 = contact_2
2 = phone_number_personal
3-4 = contact_2</t>
        </is>
      </c>
      <c r="M25" s="165" t="inlineStr">
        <is>
          <t>NA</t>
        </is>
      </c>
      <c r="N25" s="223" t="inlineStr">
        <is>
          <t>if phone_number_conf = 1, go to contact_2
if phone_number_conf = 2, go to phone_number_personal
if phone_number_conf = 3-4, go to contact_2</t>
        </is>
      </c>
      <c r="O25" s="224" t="inlineStr"/>
      <c r="P25" s="225" t="n"/>
      <c r="Q25" s="209">
        <f>1</f>
        <v/>
      </c>
      <c r="R25" s="212" t="n"/>
      <c r="T25" s="313" t="inlineStr">
        <is>
          <t>yes - panel</t>
        </is>
      </c>
      <c r="U25" s="214" t="n"/>
      <c r="X25" s="210" t="n">
        <v>6.375236988067627</v>
      </c>
      <c r="Y25" s="201">
        <f>IF(X25="","",X25*Q25)</f>
        <v/>
      </c>
      <c r="Z25" s="103">
        <f>IF(T25="yes",Y25,"")</f>
        <v/>
      </c>
    </row>
    <row r="26" ht="47.15" customFormat="1" customHeight="1" s="213">
      <c r="A26" s="253" t="n"/>
      <c r="B26" s="220" t="inlineStr">
        <is>
          <t>phone_number_personal</t>
        </is>
      </c>
      <c r="C26" s="221" t="inlineStr">
        <is>
          <t>phone_number_pers</t>
        </is>
      </c>
      <c r="D26" s="264" t="inlineStr">
        <is>
          <t>What is your phone number?
[OPERATOR: RECORD THE NUMBER GIVEN]</t>
        </is>
      </c>
      <c r="E26" s="533">
        <f>LEN(D26)</f>
        <v/>
      </c>
      <c r="F26" s="386" t="inlineStr">
        <is>
          <t>ما هو رقم هاتفك؟
( المشغل: قم بتسجيل الرقم المعطى لك )</t>
        </is>
      </c>
      <c r="G26" s="533">
        <f>LEN(F26)</f>
        <v/>
      </c>
      <c r="H26" s="534" t="inlineStr">
        <is>
          <t>Open Ended</t>
        </is>
      </c>
      <c r="I26" s="533" t="inlineStr">
        <is>
          <t>NA</t>
        </is>
      </c>
      <c r="J26" s="533" t="inlineStr">
        <is>
          <t>NA</t>
        </is>
      </c>
      <c r="K26" s="533" t="inlineStr">
        <is>
          <t>Form Type - TextBox</t>
        </is>
      </c>
      <c r="L26" s="223" t="inlineStr">
        <is>
          <t>Any Response = contact_2</t>
        </is>
      </c>
      <c r="M26" s="165" t="inlineStr">
        <is>
          <t>NA</t>
        </is>
      </c>
      <c r="N26" s="535" t="inlineStr">
        <is>
          <t>For any response, go to contact_2</t>
        </is>
      </c>
      <c r="O26" s="226" t="inlineStr"/>
      <c r="P26" s="225" t="n"/>
      <c r="Q26" s="209">
        <f>1</f>
        <v/>
      </c>
      <c r="R26" s="212" t="n"/>
      <c r="T26" s="313" t="inlineStr">
        <is>
          <t>yes - panel</t>
        </is>
      </c>
      <c r="U26" s="214" t="n"/>
      <c r="X26" s="210" t="n">
        <v>28.70000076293945</v>
      </c>
      <c r="Y26" s="201">
        <f>IF(X26="","",X26*Q26)</f>
        <v/>
      </c>
      <c r="Z26" s="103">
        <f>IF(T26="yes",Y26,"")</f>
        <v/>
      </c>
    </row>
    <row r="27" ht="187.4" customFormat="1" customHeight="1" s="213">
      <c r="A27" s="211" t="n"/>
      <c r="B27" s="227" t="inlineStr">
        <is>
          <t>contact_2</t>
        </is>
      </c>
      <c r="C27" s="228" t="inlineStr">
        <is>
          <t>contact_2</t>
        </is>
      </c>
      <c r="D27" s="410"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7" s="536">
        <f>LEN(D27)</f>
        <v/>
      </c>
      <c r="F27"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7" s="536">
        <f>LEN(F27)</f>
        <v/>
      </c>
      <c r="H27" s="537" t="inlineStr">
        <is>
          <t>Single Choice</t>
        </is>
      </c>
      <c r="I27" s="536" t="inlineStr">
        <is>
          <t>NA</t>
        </is>
      </c>
      <c r="J27" s="536" t="inlineStr">
        <is>
          <t>NA</t>
        </is>
      </c>
      <c r="K27" s="536" t="inlineStr">
        <is>
          <t>Form Type - Buttons</t>
        </is>
      </c>
      <c r="L27" s="218" t="inlineStr">
        <is>
          <t>1-3 = phone_number_2
4-6 = hh_admin1</t>
        </is>
      </c>
      <c r="M27" s="165" t="inlineStr">
        <is>
          <t>NA</t>
        </is>
      </c>
      <c r="N27" s="230" t="inlineStr">
        <is>
          <t>if contact_2 = 1-3, go to phone_number_2
if contact_2 = 4-6, go to contact_3</t>
        </is>
      </c>
      <c r="O27" s="231" t="inlineStr"/>
      <c r="P27" s="219" t="n"/>
      <c r="Q27" s="209">
        <f>1</f>
        <v/>
      </c>
      <c r="R27" s="212" t="n"/>
      <c r="T27" s="313" t="inlineStr">
        <is>
          <t>yes - panel</t>
        </is>
      </c>
      <c r="U27" s="214" t="n"/>
      <c r="X27" s="210" t="n">
        <v>10.14181709289551</v>
      </c>
      <c r="Y27" s="201">
        <f>IF(X27="","",X27*Q27)</f>
        <v/>
      </c>
      <c r="Z27" s="103">
        <f>IF(T27="yes",Y27,"")</f>
        <v/>
      </c>
    </row>
    <row r="28" ht="47.15" customFormat="1" customHeight="1" s="213">
      <c r="A28" s="211" t="n"/>
      <c r="B28" s="227" t="inlineStr">
        <is>
          <t>phone_number_2</t>
        </is>
      </c>
      <c r="C28" s="228" t="inlineStr">
        <is>
          <t>phone_number_2</t>
        </is>
      </c>
      <c r="D28" s="264" t="inlineStr">
        <is>
          <t>What is the additional phone number?
[OPERATOR: RECORD THE NUMBER GIVEN]</t>
        </is>
      </c>
      <c r="E28" s="536">
        <f>LEN(D28)</f>
        <v/>
      </c>
      <c r="F28" s="386" t="inlineStr">
        <is>
          <t>ما هو رقم الهاتف الإضافي؟
( المشغل: قم بتسجيل الرقم المعطى لك )</t>
        </is>
      </c>
      <c r="G28" s="536">
        <f>LEN(F28)</f>
        <v/>
      </c>
      <c r="H28" s="537" t="inlineStr">
        <is>
          <t>Open Ended</t>
        </is>
      </c>
      <c r="I28" s="536" t="inlineStr">
        <is>
          <t>NA</t>
        </is>
      </c>
      <c r="J28" s="536" t="inlineStr">
        <is>
          <t>NA</t>
        </is>
      </c>
      <c r="K28" s="536" t="inlineStr">
        <is>
          <t>Form Type - TextBox</t>
        </is>
      </c>
      <c r="L28" s="218" t="inlineStr">
        <is>
          <t>Any Response = contact_2_name</t>
        </is>
      </c>
      <c r="M28" s="165" t="inlineStr">
        <is>
          <t>NA</t>
        </is>
      </c>
      <c r="N28" s="538" t="inlineStr">
        <is>
          <t>For any response, go to contact_2_name</t>
        </is>
      </c>
      <c r="O28" s="232" t="inlineStr"/>
      <c r="P28" s="219" t="n"/>
      <c r="Q28" s="209">
        <f>1</f>
        <v/>
      </c>
      <c r="R28" s="212" t="n"/>
      <c r="T28" s="313" t="inlineStr">
        <is>
          <t>yes - panel</t>
        </is>
      </c>
      <c r="U28" s="214" t="n"/>
      <c r="X28" s="210" t="n">
        <v>21.65998268127441</v>
      </c>
      <c r="Y28" s="201">
        <f>IF(X28="","",X28*Q28)</f>
        <v/>
      </c>
      <c r="Z28" s="103">
        <f>IF(T28="yes",Y28,"")</f>
        <v/>
      </c>
    </row>
    <row r="29" ht="90" customFormat="1" customHeight="1" s="213">
      <c r="A29" s="211" t="n"/>
      <c r="B29" s="227" t="inlineStr">
        <is>
          <t>contact_2_name</t>
        </is>
      </c>
      <c r="C29" s="228" t="inlineStr">
        <is>
          <t>contact_2_name</t>
        </is>
      </c>
      <c r="D29" s="264" t="inlineStr">
        <is>
          <t>What is the name of the contact?
[OPERATOR: RECORD THE NAME OF THE CONTACT FOR THE PHONE NUMBER.]</t>
        </is>
      </c>
      <c r="E29" s="536">
        <f>LEN(D29)</f>
        <v/>
      </c>
      <c r="F29" s="325" t="inlineStr">
        <is>
          <t>ما هو اسم صاحب رقم الهاتف الإضافي الذي قمت بمشاركته؟
( المشغل: قم بتسجيل اسم صاحب رقم الهاتف )</t>
        </is>
      </c>
      <c r="G29" s="536">
        <f>LEN(F29)</f>
        <v/>
      </c>
      <c r="H29" s="537" t="inlineStr">
        <is>
          <t>Open Ended</t>
        </is>
      </c>
      <c r="I29" s="536" t="inlineStr">
        <is>
          <t>NA</t>
        </is>
      </c>
      <c r="J29" s="539" t="inlineStr">
        <is>
          <t>Send if "contact_2" "Equals" "YES - other household member" Or "contact_2" "Equals" "YES - friend or relative [non-household member]" if not satisfied go to "contact_3"</t>
        </is>
      </c>
      <c r="K29" s="536" t="inlineStr">
        <is>
          <t>Form Type - TextBox</t>
        </is>
      </c>
      <c r="L29" s="218" t="inlineStr">
        <is>
          <t>Any Response = contact_3</t>
        </is>
      </c>
      <c r="M29" s="165" t="inlineStr">
        <is>
          <t>NA</t>
        </is>
      </c>
      <c r="N29" s="538" t="inlineStr">
        <is>
          <t>Asked if response to contact_2 was "YES - other household member" or "YES - friend or relative [non-household member]". Otherwise, it skips to "contact_3".
For any response, go to contact_3</t>
        </is>
      </c>
      <c r="O29" s="208" t="inlineStr"/>
      <c r="P29" s="219" t="n"/>
      <c r="Q29" s="209">
        <f>1</f>
        <v/>
      </c>
      <c r="R29" s="212" t="n"/>
      <c r="T29" s="313" t="inlineStr">
        <is>
          <t>yes - panel</t>
        </is>
      </c>
      <c r="U29" s="214" t="n"/>
      <c r="X29" s="210" t="n">
        <v>11.82179641723633</v>
      </c>
      <c r="Y29" s="201">
        <f>IF(X29="","",X29*Q29)</f>
        <v/>
      </c>
      <c r="Z29" s="103">
        <f>IF(T29="yes",Y29,"")</f>
        <v/>
      </c>
    </row>
    <row r="30" ht="187.4" customFormat="1" customHeight="1" s="213">
      <c r="A30" s="211" t="n"/>
      <c r="B30" s="227" t="inlineStr">
        <is>
          <t>contact_3</t>
        </is>
      </c>
      <c r="C30" s="228" t="inlineStr">
        <is>
          <t>contact_3</t>
        </is>
      </c>
      <c r="D30" s="410"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0" s="536">
        <f>LEN(D30)</f>
        <v/>
      </c>
      <c r="F30"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30" s="536">
        <f>LEN(F30)</f>
        <v/>
      </c>
      <c r="H30" s="537" t="inlineStr">
        <is>
          <t>Single Choice</t>
        </is>
      </c>
      <c r="I30" s="536" t="inlineStr">
        <is>
          <t>NA</t>
        </is>
      </c>
      <c r="J30" s="536" t="inlineStr">
        <is>
          <t>NA</t>
        </is>
      </c>
      <c r="K30" s="536" t="inlineStr">
        <is>
          <t>Form Type - Buttons</t>
        </is>
      </c>
      <c r="L30" s="218" t="inlineStr">
        <is>
          <t>1-3= phone_number_3
4-6 = hh_admin1</t>
        </is>
      </c>
      <c r="M30" s="165" t="inlineStr">
        <is>
          <t>NA</t>
        </is>
      </c>
      <c r="N30" s="230" t="inlineStr">
        <is>
          <t>if contact_3 = 1-3, go to phone_number_3
if contact_3 = 4-6, go to hh_admin1</t>
        </is>
      </c>
      <c r="O30" s="231" t="inlineStr"/>
      <c r="P30" s="219" t="n"/>
      <c r="Q30" s="209">
        <f>1</f>
        <v/>
      </c>
      <c r="R30" s="212" t="n"/>
      <c r="T30" s="313" t="inlineStr">
        <is>
          <t>yes - panel</t>
        </is>
      </c>
      <c r="U30" s="214" t="n"/>
      <c r="X30" s="210" t="n">
        <v>3.163594007492065</v>
      </c>
      <c r="Y30" s="201">
        <f>IF(X30="","",X30*Q30)</f>
        <v/>
      </c>
      <c r="Z30" s="103">
        <f>IF(T30="yes",Y30,"")</f>
        <v/>
      </c>
    </row>
    <row r="31" ht="47.15" customFormat="1" customHeight="1" s="213">
      <c r="A31" s="211" t="n"/>
      <c r="B31" s="227" t="inlineStr">
        <is>
          <t>phone_number_3</t>
        </is>
      </c>
      <c r="C31" s="228" t="inlineStr">
        <is>
          <t>phone_number_3</t>
        </is>
      </c>
      <c r="D31" s="264" t="inlineStr">
        <is>
          <t>What is the additional phone number?
[OPERATOR: RECORD THE NUMBER GIVEN]</t>
        </is>
      </c>
      <c r="E31" s="536">
        <f>LEN(D31)</f>
        <v/>
      </c>
      <c r="F31" s="386" t="inlineStr">
        <is>
          <t>ما هو رقم الهاتف الإضافي؟
( المشغل: قم بتسجيل الرقم المعطى لك )</t>
        </is>
      </c>
      <c r="G31" s="536">
        <f>LEN(F31)</f>
        <v/>
      </c>
      <c r="H31" s="537" t="inlineStr">
        <is>
          <t>Open Ended</t>
        </is>
      </c>
      <c r="I31" s="536" t="inlineStr">
        <is>
          <t>NA</t>
        </is>
      </c>
      <c r="J31" s="536" t="inlineStr">
        <is>
          <t>NA</t>
        </is>
      </c>
      <c r="K31" s="536" t="inlineStr">
        <is>
          <t>Form Type - TextBox</t>
        </is>
      </c>
      <c r="L31" s="218" t="inlineStr">
        <is>
          <t>Any Response = contact_3_name</t>
        </is>
      </c>
      <c r="M31" s="165" t="inlineStr">
        <is>
          <t>NA</t>
        </is>
      </c>
      <c r="N31" s="538" t="inlineStr">
        <is>
          <t>For any response, go to contact_3_name</t>
        </is>
      </c>
      <c r="O31" s="232" t="inlineStr"/>
      <c r="P31" s="219" t="n"/>
      <c r="Q31" s="209">
        <f>1</f>
        <v/>
      </c>
      <c r="R31" s="212" t="n"/>
      <c r="T31" s="313" t="inlineStr">
        <is>
          <t>yes - panel</t>
        </is>
      </c>
      <c r="U31" s="214" t="n"/>
      <c r="X31" s="210" t="n">
        <v>10.83014392852783</v>
      </c>
      <c r="Y31" s="201">
        <f>IF(X31="","",X31*Q31)</f>
        <v/>
      </c>
      <c r="Z31" s="103">
        <f>IF(T31="yes",Y31,"")</f>
        <v/>
      </c>
    </row>
    <row r="32" ht="90" customFormat="1" customHeight="1" s="213">
      <c r="A32" s="211" t="n"/>
      <c r="B32" s="227" t="inlineStr">
        <is>
          <t>contact_3_name</t>
        </is>
      </c>
      <c r="C32" s="227" t="inlineStr">
        <is>
          <t>phone_number_3_name</t>
        </is>
      </c>
      <c r="D32" s="264" t="inlineStr">
        <is>
          <t>What is the name of the contact?
[OPERATOR: RECORD THE NAME OF THE CONTACT FOR THE PHONE NUMBER.]</t>
        </is>
      </c>
      <c r="E32" s="536">
        <f>LEN(D32)</f>
        <v/>
      </c>
      <c r="F32" s="325" t="inlineStr">
        <is>
          <t>ما هو اسم صاحب رقم الهاتف الإضافي الذي قمت بمشاركته؟
(المشغل: قم بتسجيل اسم صاحب رقم الهاتف)</t>
        </is>
      </c>
      <c r="G32" s="536">
        <f>LEN(F32)</f>
        <v/>
      </c>
      <c r="H32" s="537" t="inlineStr">
        <is>
          <t>Open Ended</t>
        </is>
      </c>
      <c r="I32" s="536" t="inlineStr">
        <is>
          <t>NA</t>
        </is>
      </c>
      <c r="J32" s="539" t="inlineStr">
        <is>
          <t>Send if "contact_3" "Equals" "YES - other household member" Or "contact_3" "Equals" "YES - friend or relative [non-household member]" if not satisfied go to "hh_admin1"</t>
        </is>
      </c>
      <c r="K32" s="536" t="inlineStr">
        <is>
          <t>Form Type - TextBox</t>
        </is>
      </c>
      <c r="L32" s="218" t="inlineStr">
        <is>
          <t>Any Response = hh_admin1</t>
        </is>
      </c>
      <c r="M32" s="165" t="inlineStr">
        <is>
          <t>NA</t>
        </is>
      </c>
      <c r="N32" s="538" t="inlineStr">
        <is>
          <t>Asked if response to contact_3 was "YES - other household member" or "YES - friend or relative [non-household member]". Otherwise, it skips to "hh_admin1".
For any response, go to hh_admin1</t>
        </is>
      </c>
      <c r="O32" s="208" t="inlineStr"/>
      <c r="P32" s="219" t="n"/>
      <c r="Q32" s="209">
        <f>1</f>
        <v/>
      </c>
      <c r="R32" s="212" t="n"/>
      <c r="T32" s="313" t="inlineStr">
        <is>
          <t>yes - panel</t>
        </is>
      </c>
      <c r="U32" s="214" t="n"/>
      <c r="X32" s="210" t="n">
        <v>11.26041698455811</v>
      </c>
      <c r="Y32" s="201">
        <f>IF(X32="","",X32*Q32)</f>
        <v/>
      </c>
      <c r="Z32" s="103">
        <f>IF(T32="yes",Y32,"")</f>
        <v/>
      </c>
    </row>
    <row r="33" customFormat="1" s="100">
      <c r="A33" s="46" t="n"/>
      <c r="B33" s="188" t="n"/>
      <c r="C33" s="188" t="n"/>
      <c r="D33" s="50" t="n"/>
      <c r="E33" s="47" t="n"/>
      <c r="F33" s="47" t="n"/>
      <c r="G33" s="47" t="n"/>
      <c r="H33" s="48" t="n"/>
      <c r="I33" s="47" t="n"/>
      <c r="J33" s="47" t="n"/>
      <c r="K33" s="47" t="n"/>
      <c r="L33" s="49" t="n"/>
      <c r="M33" s="53" t="n"/>
      <c r="N33" s="51" t="n"/>
      <c r="O33" s="52" t="n"/>
      <c r="P33" s="43" t="n"/>
      <c r="Q33" s="203">
        <f>1</f>
        <v/>
      </c>
      <c r="R33" s="103" t="n"/>
      <c r="T33" s="102" t="n"/>
      <c r="U33" s="101" t="n"/>
      <c r="X33" s="202" t="n"/>
      <c r="Y33" s="202">
        <f>IF(X33="","",X33*Q33)</f>
        <v/>
      </c>
      <c r="Z33" s="103">
        <f>IF(T33="yes",Y33,"")</f>
        <v/>
      </c>
    </row>
    <row r="34" ht="140.9" customFormat="1" customHeight="1" s="109">
      <c r="A34" s="70" t="n">
        <v>3</v>
      </c>
      <c r="B34" s="179" t="inlineStr">
        <is>
          <t>hh_admin1</t>
        </is>
      </c>
      <c r="C34" s="108" t="inlineStr">
        <is>
          <t>hh_admin1</t>
        </is>
      </c>
      <c r="D34" s="107" t="inlineStr">
        <is>
          <t>Currently, in which Governorate does your household reside?
[OPERATOR: SINGLE SELECTION.]
[HINT: HOUSEHOLD CONSISTS OF ALL MEMBERS LIVING TOGETHER, SHARING RESOURCES &amp; EATING FROM THE SAME POT.]
1)ADMIN1
2)DON'T KNOW
3)REFUSED</t>
        </is>
      </c>
      <c r="E34" s="106">
        <f>LEN(D34)</f>
        <v/>
      </c>
      <c r="F34" s="385"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is>
      </c>
      <c r="G34" s="106">
        <f>LEN(F34)</f>
        <v/>
      </c>
      <c r="H34" s="114" t="inlineStr">
        <is>
          <t>Single Choice</t>
        </is>
      </c>
      <c r="I34" s="106" t="inlineStr">
        <is>
          <t>NA</t>
        </is>
      </c>
      <c r="J34" s="106" t="inlineStr">
        <is>
          <t>NA</t>
        </is>
      </c>
      <c r="K34" s="106" t="inlineStr">
        <is>
          <t>Form Type - Buttons
IsDemographic - ADM1</t>
        </is>
      </c>
      <c r="L34" s="289" t="inlineStr">
        <is>
          <t>1 = hh_admin2_1
2-3 = Ineligible</t>
        </is>
      </c>
      <c r="M34" s="165" t="inlineStr">
        <is>
          <t>NA</t>
        </is>
      </c>
      <c r="N34" s="697" t="inlineStr">
        <is>
          <t xml:space="preserve">The administrative information will be updated by GeoPoll based on the sample design document and the administrative boundaries provided by the dashboard team after the questionnaire validation. </t>
        </is>
      </c>
      <c r="O34" s="207" t="inlineStr"/>
      <c r="P34" s="9" t="n"/>
      <c r="Q34" s="198">
        <f>1</f>
        <v/>
      </c>
      <c r="R34" s="103" t="n"/>
      <c r="T34" s="318" t="inlineStr">
        <is>
          <t>yes</t>
        </is>
      </c>
      <c r="U34" s="692" t="n"/>
      <c r="X34" s="201" t="n">
        <v>13.95725891910985</v>
      </c>
      <c r="Y34" s="201">
        <f>IF(X34="","",X34*Q34)</f>
        <v/>
      </c>
      <c r="Z34" s="103">
        <f>IF(T34="yes",Y34,"")</f>
        <v/>
      </c>
    </row>
    <row r="35" ht="125.15" customFormat="1" customHeight="1" s="109">
      <c r="A35" s="31">
        <f>A34+1</f>
        <v/>
      </c>
      <c r="B35" s="514" t="inlineStr">
        <is>
          <t>hh_admin2_1</t>
        </is>
      </c>
      <c r="C35" s="108" t="inlineStr">
        <is>
          <t>hh_admin2_1</t>
        </is>
      </c>
      <c r="D35" s="290" t="inlineStr">
        <is>
          <t>Currently, in which District does your household reside?
[OPERATOR: SINGLE RESPONSE.]
1)ADMIN2
2)DON'T KNOW
3)REFUSED</t>
        </is>
      </c>
      <c r="E35" s="515">
        <f>LEN(D35)</f>
        <v/>
      </c>
      <c r="F35" s="488" t="inlineStr">
        <is>
          <t>حاليًا ، في أي مديرية تقيم أسرتك؟
[المشغل: استجابة واحدة.]
1) ADMIN 2
2) لا أعرف
3) رفض الإجابة</t>
        </is>
      </c>
      <c r="G35" s="515">
        <f>LEN(F35)</f>
        <v/>
      </c>
      <c r="H35" s="517" t="inlineStr">
        <is>
          <t>Single Choice</t>
        </is>
      </c>
      <c r="I35" s="515" t="inlineStr">
        <is>
          <t>NA</t>
        </is>
      </c>
      <c r="J35" s="515" t="inlineStr">
        <is>
          <t>NA</t>
        </is>
      </c>
      <c r="K35" s="515" t="inlineStr">
        <is>
          <t>Form Type - Buttons
IsDemographic - ADM2</t>
        </is>
      </c>
      <c r="L35" s="291" t="inlineStr">
        <is>
          <t>1 =  hh_agricactivity
2-3 = Ineligible</t>
        </is>
      </c>
      <c r="M35" s="165" t="inlineStr">
        <is>
          <t>NA</t>
        </is>
      </c>
      <c r="N35" s="698" t="n"/>
      <c r="O35" s="281" t="inlineStr"/>
      <c r="P35" s="89" t="n"/>
      <c r="Q35" s="198">
        <f>1</f>
        <v/>
      </c>
      <c r="R35" s="103" t="n"/>
      <c r="T35" s="318" t="inlineStr">
        <is>
          <t>yes</t>
        </is>
      </c>
      <c r="U35" s="692" t="n"/>
      <c r="X35" s="201" t="n">
        <v>7.954998970031738</v>
      </c>
      <c r="Y35" s="201">
        <f>IF(X35="","",X35*Q35)</f>
        <v/>
      </c>
      <c r="Z35" s="103">
        <f>IF(T35="yes",Y35,"")</f>
        <v/>
      </c>
    </row>
    <row r="36" ht="140.9" customFormat="1" customHeight="1" s="109">
      <c r="A36" s="79" t="n"/>
      <c r="B36" s="180" t="inlineStr">
        <is>
          <t>quotareached</t>
        </is>
      </c>
      <c r="C36" s="99" t="inlineStr">
        <is>
          <t>quotareached</t>
        </is>
      </c>
      <c r="D36" s="512" t="inlineStr">
        <is>
          <t>[OPERATOR: DO NOT READ. ANSWER QUESTION BELOW.]
THIS RESPONDENT REPORTED THEY LIVE IN:
{ADM1}
{ADM2}
1)THE GOAL FOR THIS LOCATION HAS BEEN ACHIEVED - END SURVEY
2)THE GOAL FOR THIS LOCATION IS OPEN - CONTINUE SURVEY</t>
        </is>
      </c>
      <c r="E36" s="540">
        <f>LEN(D36)</f>
        <v/>
      </c>
      <c r="F36" s="387"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36" s="540">
        <f>LEN(F36)</f>
        <v/>
      </c>
      <c r="H36" s="517" t="inlineStr">
        <is>
          <t>Single Choice</t>
        </is>
      </c>
      <c r="I36" s="517" t="inlineStr">
        <is>
          <t>NA</t>
        </is>
      </c>
      <c r="J36" s="517" t="inlineStr">
        <is>
          <t>NA</t>
        </is>
      </c>
      <c r="K36" s="517" t="inlineStr">
        <is>
          <t>Form Type - Buttons</t>
        </is>
      </c>
      <c r="L36" s="113" t="inlineStr">
        <is>
          <t>1 = End Poll Quota Reached
2 = hh_agricactivity</t>
        </is>
      </c>
      <c r="M36" s="165" t="inlineStr">
        <is>
          <t>NA</t>
        </is>
      </c>
      <c r="N36" s="288" t="n"/>
      <c r="O36" s="267" t="inlineStr"/>
      <c r="P36" s="268" t="n"/>
      <c r="Q36" s="201" t="n"/>
      <c r="R36" s="201" t="n"/>
      <c r="S36" s="103" t="n"/>
      <c r="T36" t="inlineStr"/>
      <c r="U36" s="145" t="n"/>
      <c r="V36" s="692" t="n"/>
      <c r="Y36" s="201" t="n"/>
      <c r="Z36" s="201" t="n"/>
      <c r="AA36" s="103" t="n"/>
    </row>
    <row r="37" ht="249.65" customFormat="1" customHeight="1" s="109">
      <c r="A37" s="79">
        <f>#REF!+1</f>
        <v/>
      </c>
      <c r="B37" s="180" t="inlineStr">
        <is>
          <t>hh_agricactivity</t>
        </is>
      </c>
      <c r="C37" s="292" t="inlineStr">
        <is>
          <t>hh_agricactivity</t>
        </is>
      </c>
      <c r="D37" s="119"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7" s="97">
        <f>LEN(D37)</f>
        <v/>
      </c>
      <c r="F37" s="387"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37" s="97">
        <f>LEN(F37)</f>
        <v/>
      </c>
      <c r="H37" s="293" t="inlineStr">
        <is>
          <t>Single Choice</t>
        </is>
      </c>
      <c r="I37" s="97" t="inlineStr">
        <is>
          <t>NA</t>
        </is>
      </c>
      <c r="J37" s="97" t="inlineStr">
        <is>
          <t>NA</t>
        </is>
      </c>
      <c r="K37" s="97" t="inlineStr">
        <is>
          <t>Form Type - Buttons</t>
        </is>
      </c>
      <c r="L37" s="512" t="inlineStr">
        <is>
          <t>1-4 = hh_fish
5-6 = Ineligible</t>
        </is>
      </c>
      <c r="M37" s="165" t="inlineStr">
        <is>
          <t>NA</t>
        </is>
      </c>
      <c r="N37" s="406" t="inlineStr">
        <is>
          <t xml:space="preserve">if hh_agricactivity = 1-4, go to  hh_fish. Otherwise, the respondent is ineligible. </t>
        </is>
      </c>
      <c r="O37" s="407" t="inlineStr">
        <is>
          <t>hh_fish</t>
        </is>
      </c>
      <c r="P37" s="19" t="n"/>
      <c r="Q37" s="198">
        <f>1</f>
        <v/>
      </c>
      <c r="R37" s="103" t="n"/>
      <c r="T37" s="318" t="inlineStr">
        <is>
          <t>yes</t>
        </is>
      </c>
      <c r="U37" s="692" t="n"/>
      <c r="X37" s="201" t="n">
        <v>24.41083908081055</v>
      </c>
      <c r="Y37" s="201">
        <f>IF(X37="","",X37*Q37)</f>
        <v/>
      </c>
      <c r="Z37" s="103">
        <f>IF(T37="yes",Y37,"")</f>
        <v/>
      </c>
    </row>
    <row r="38" ht="191.15" customFormat="1" customHeight="1" s="109" thickBot="1">
      <c r="A38" s="13" t="n"/>
      <c r="B38" s="522" t="inlineStr">
        <is>
          <t>hh_fish</t>
        </is>
      </c>
      <c r="C38" s="16" t="inlineStr">
        <is>
          <t>hh_fish</t>
        </is>
      </c>
      <c r="D38" s="1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38" s="15" t="n">
        <v>116</v>
      </c>
      <c r="F38" s="510" t="inlineStr">
        <is>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is>
      </c>
      <c r="G38" s="15" t="n"/>
      <c r="H38" s="15" t="inlineStr">
        <is>
          <t>Single Choice</t>
        </is>
      </c>
      <c r="I38" s="15" t="inlineStr">
        <is>
          <t>NA</t>
        </is>
      </c>
      <c r="J38" s="15" t="inlineStr">
        <is>
          <t>NA</t>
        </is>
      </c>
      <c r="K38" s="15" t="inlineStr">
        <is>
          <t>Form Type - Buttons</t>
        </is>
      </c>
      <c r="L38" s="541" t="inlineStr">
        <is>
          <t>1-4 = resp_id</t>
        </is>
      </c>
      <c r="M38" s="53" t="inlineStr">
        <is>
          <t>NA</t>
        </is>
      </c>
      <c r="N38" s="13" t="inlineStr">
        <is>
          <t>For any response, go to resp_id</t>
        </is>
      </c>
      <c r="O38" s="522" t="inlineStr">
        <is>
          <t>resp_id</t>
        </is>
      </c>
      <c r="P38" s="407" t="inlineStr">
        <is>
          <t xml:space="preserve">Use this question if the survey seeks to gather important information on fisheries and/or aquaculture in the country. </t>
        </is>
      </c>
      <c r="Q38" s="203" t="n"/>
      <c r="R38" s="103" t="n"/>
      <c r="T38" s="111" t="inlineStr"/>
      <c r="U38" s="692" t="n"/>
      <c r="X38" s="202" t="n"/>
      <c r="Y38" s="202" t="n"/>
      <c r="Z38" s="103" t="n"/>
    </row>
    <row r="39" ht="16.4" customFormat="1" customHeight="1" s="109" thickBot="1">
      <c r="A39" s="693" t="inlineStr">
        <is>
          <t>B. GENERAL HOUSEHOLD INFORMATION</t>
        </is>
      </c>
      <c r="B39" s="694" t="n"/>
      <c r="C39" s="694" t="n"/>
      <c r="D39" s="694" t="n"/>
      <c r="E39" s="694" t="n"/>
      <c r="F39" s="694" t="n"/>
      <c r="G39" s="694" t="n"/>
      <c r="H39" s="694" t="n"/>
      <c r="I39" s="694" t="n"/>
      <c r="J39" s="694" t="n"/>
      <c r="K39" s="694" t="n"/>
      <c r="L39" s="694" t="n"/>
      <c r="M39" s="694" t="n"/>
      <c r="N39" s="694" t="n"/>
      <c r="O39" s="694" t="n"/>
      <c r="P39" s="695" t="n"/>
      <c r="Q39" s="203" t="n"/>
      <c r="R39" s="103" t="n"/>
      <c r="T39" s="111" t="n"/>
      <c r="U39" s="692" t="n"/>
      <c r="X39" s="202" t="n"/>
      <c r="Y39" s="201">
        <f>IF(X39="","",X39*Q39)</f>
        <v/>
      </c>
      <c r="Z39" s="103">
        <f>IF(T39="yes",Y39,"")</f>
        <v/>
      </c>
    </row>
    <row r="40" ht="135" customFormat="1" customHeight="1" s="270">
      <c r="A40" s="266">
        <f>A37+1</f>
        <v/>
      </c>
      <c r="B40" s="285" t="inlineStr">
        <is>
          <t>resp_id</t>
        </is>
      </c>
      <c r="C40" s="286" t="inlineStr">
        <is>
          <t>resp_id</t>
        </is>
      </c>
      <c r="D40" s="287" t="inlineStr">
        <is>
          <t>Are you the head of household? 
[OPERATOR: SINGLE RESPONSE.]
1)Yes
2)No
3)DON'T KNOW
4)REFUSED</t>
        </is>
      </c>
      <c r="E40" s="286">
        <f>LEN(D40)</f>
        <v/>
      </c>
      <c r="F40" s="542" t="inlineStr">
        <is>
          <t>هل أنت رب الأسرة ؟
[المشغل: استجابة واحدة.]
1) نعم
2) لا
3) لا أعرف
4) رفض الإجابة</t>
        </is>
      </c>
      <c r="G40" s="286">
        <f>LEN(F40)</f>
        <v/>
      </c>
      <c r="H40" s="286" t="inlineStr">
        <is>
          <t>Single Choice</t>
        </is>
      </c>
      <c r="I40" s="286" t="inlineStr">
        <is>
          <t>NA</t>
        </is>
      </c>
      <c r="J40" s="286" t="inlineStr">
        <is>
          <t>NA</t>
        </is>
      </c>
      <c r="K40" s="286" t="inlineStr">
        <is>
          <t>Form Type - Buttons</t>
        </is>
      </c>
      <c r="L40" s="288" t="inlineStr">
        <is>
          <t>1 = hh_education 
2-4 = hh_gender</t>
        </is>
      </c>
      <c r="M40" s="165" t="inlineStr">
        <is>
          <t>NA</t>
        </is>
      </c>
      <c r="N40" s="288" t="inlineStr">
        <is>
          <t>if resp_id = 1, go to hh_education. 
Otherwise, go to hh_gender.</t>
        </is>
      </c>
      <c r="O40" s="267" t="inlineStr"/>
      <c r="P40" s="268" t="n"/>
      <c r="Q40" s="265" t="n">
        <v>1</v>
      </c>
      <c r="R40" s="269" t="n"/>
      <c r="T40" s="317" t="inlineStr">
        <is>
          <t>yes</t>
        </is>
      </c>
      <c r="U40" s="271" t="n"/>
      <c r="X40" s="324" t="n">
        <v>10.5</v>
      </c>
      <c r="Y40" s="201">
        <f>IF(X40="","",X40*Q40)</f>
        <v/>
      </c>
      <c r="Z40" s="269">
        <f>IF(T40="yes",Y40,"")</f>
        <v/>
      </c>
    </row>
    <row r="41" ht="125.15" customFormat="1" customHeight="1" s="109">
      <c r="A41" s="70">
        <f>A40+1</f>
        <v/>
      </c>
      <c r="B41" s="179" t="inlineStr">
        <is>
          <t>hh_gender</t>
        </is>
      </c>
      <c r="C41" s="108" t="inlineStr">
        <is>
          <t>hh_gender</t>
        </is>
      </c>
      <c r="D41" s="144" t="inlineStr">
        <is>
          <t>Is the head of your household male or female?
[OPERATOR: SINGLE RESPONSE.]
1)Male 
2)Female
3)DON'T KNOW
4)REFUSED</t>
        </is>
      </c>
      <c r="E41" s="106">
        <f>LEN(D41)</f>
        <v/>
      </c>
      <c r="F41" s="388" t="inlineStr">
        <is>
          <t>هل رب أسرتك ذكر أم أنثى؟
[المشغل: استجابة واحدة.]
1) ذكر
2) أنثى
3) لا أعرف
4) رفض الإجابة</t>
        </is>
      </c>
      <c r="G41" s="106">
        <f>LEN(F41)</f>
        <v/>
      </c>
      <c r="H41" s="108" t="inlineStr">
        <is>
          <t>Single Choice</t>
        </is>
      </c>
      <c r="I41" s="106" t="inlineStr">
        <is>
          <t>NA</t>
        </is>
      </c>
      <c r="J41" s="106" t="inlineStr">
        <is>
          <t>NA</t>
        </is>
      </c>
      <c r="K41" s="106" t="inlineStr">
        <is>
          <t>Form Type - Buttons</t>
        </is>
      </c>
      <c r="L41" s="105" t="inlineStr">
        <is>
          <t>1-4 = hh_education</t>
        </is>
      </c>
      <c r="M41" s="165" t="inlineStr">
        <is>
          <t>NA</t>
        </is>
      </c>
      <c r="N41" s="105" t="inlineStr">
        <is>
          <t>if hh_gender = 1-4, go to hh_education.</t>
        </is>
      </c>
      <c r="O41" s="59" t="inlineStr"/>
      <c r="P41" s="32" t="n"/>
      <c r="Q41" s="198">
        <f>1</f>
        <v/>
      </c>
      <c r="R41" s="103" t="n"/>
      <c r="T41" s="312" t="inlineStr">
        <is>
          <t>yes</t>
        </is>
      </c>
      <c r="U41" s="692" t="n"/>
      <c r="X41" s="201" t="n">
        <v>10.5045337677002</v>
      </c>
      <c r="Y41" s="201">
        <f>IF(X41="","",X41*Q41)</f>
        <v/>
      </c>
      <c r="Z41" s="103">
        <f>IF(T41="yes",Y41,"")</f>
        <v/>
      </c>
    </row>
    <row r="42" customFormat="1" s="109">
      <c r="A42" s="70" t="n"/>
      <c r="B42" s="192" t="n"/>
      <c r="C42" s="71" t="n"/>
      <c r="D42" s="73" t="n"/>
      <c r="E42" s="74" t="n"/>
      <c r="F42" s="74" t="n"/>
      <c r="G42" s="74" t="n"/>
      <c r="H42" s="71" t="n"/>
      <c r="I42" s="74" t="n"/>
      <c r="J42" s="74" t="n"/>
      <c r="K42" s="74" t="n"/>
      <c r="L42" s="59" t="n"/>
      <c r="M42" s="59" t="n"/>
      <c r="N42" s="59" t="n"/>
      <c r="O42" s="59" t="n"/>
      <c r="P42" s="32" t="n"/>
      <c r="Q42" s="203">
        <f>1</f>
        <v/>
      </c>
      <c r="R42" s="103" t="n"/>
      <c r="T42" s="111" t="n"/>
      <c r="U42" s="692" t="n"/>
      <c r="X42" s="202" t="n"/>
      <c r="Y42" s="202">
        <f>IF(X42="","",X42*Q42)</f>
        <v/>
      </c>
      <c r="Z42" s="103">
        <f>IF(T42="yes",Y42,"")</f>
        <v/>
      </c>
    </row>
    <row r="43" ht="171.65" customFormat="1" customHeight="1" s="109">
      <c r="A43" s="31">
        <f>A41+1</f>
        <v/>
      </c>
      <c r="B43" s="514" t="inlineStr">
        <is>
          <t>hh_education</t>
        </is>
      </c>
      <c r="C43" s="108" t="inlineStr">
        <is>
          <t>hh_education</t>
        </is>
      </c>
      <c r="D43" s="543"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3" s="515">
        <f>LEN(D43)</f>
        <v/>
      </c>
      <c r="F43" s="544"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43" s="515">
        <f>LEN(F43)</f>
        <v/>
      </c>
      <c r="H43" s="545" t="inlineStr">
        <is>
          <t>Single Choice</t>
        </is>
      </c>
      <c r="I43" s="515" t="inlineStr">
        <is>
          <t>NA</t>
        </is>
      </c>
      <c r="J43" s="515" t="inlineStr">
        <is>
          <t>NA</t>
        </is>
      </c>
      <c r="K43" s="515" t="inlineStr">
        <is>
          <t>Form Type - Buttons</t>
        </is>
      </c>
      <c r="L43" s="113" t="inlineStr">
        <is>
          <t>1-7 = hh_wealth</t>
        </is>
      </c>
      <c r="M43" s="165" t="inlineStr">
        <is>
          <t>NA</t>
        </is>
      </c>
      <c r="N43" s="105" t="inlineStr">
        <is>
          <t>if hh_education = 1-7, go to o_hh_wealth_water.</t>
        </is>
      </c>
      <c r="O43" s="59" t="inlineStr"/>
      <c r="P43" s="19" t="n"/>
      <c r="Q43" s="198">
        <f>1</f>
        <v/>
      </c>
      <c r="R43" s="103" t="n"/>
      <c r="T43" s="312" t="inlineStr">
        <is>
          <t>yes</t>
        </is>
      </c>
      <c r="U43" s="692" t="n"/>
      <c r="X43" s="201" t="n">
        <v>12.42189884185791</v>
      </c>
      <c r="Y43" s="201">
        <f>IF(X43="","",X43*Q43)</f>
        <v/>
      </c>
      <c r="Z43" s="103">
        <f>IF(T43="yes",Y43,"")</f>
        <v/>
      </c>
    </row>
    <row r="44" customFormat="1" s="109">
      <c r="A44" s="31" t="n"/>
      <c r="B44" s="546" t="n"/>
      <c r="C44" s="71" t="n"/>
      <c r="D44" s="521" t="n"/>
      <c r="E44" s="531" t="n"/>
      <c r="F44" s="521" t="n"/>
      <c r="G44" s="531" t="n"/>
      <c r="H44" s="547" t="n"/>
      <c r="I44" s="531" t="n"/>
      <c r="J44" s="531" t="n"/>
      <c r="K44" s="531" t="n"/>
      <c r="L44" s="66" t="n"/>
      <c r="M44" s="59" t="n"/>
      <c r="N44" s="59" t="n"/>
      <c r="O44" s="59" t="n"/>
      <c r="P44" s="19" t="n"/>
      <c r="Q44" s="203">
        <f>1</f>
        <v/>
      </c>
      <c r="R44" s="103" t="n"/>
      <c r="T44" s="111" t="n"/>
      <c r="U44" s="692" t="n"/>
      <c r="X44" s="202" t="n"/>
      <c r="Y44" s="202">
        <f>IF(X44="","",X44*Q44)</f>
        <v/>
      </c>
      <c r="Z44" s="103">
        <f>IF(T44="yes",Y44,"")</f>
        <v/>
      </c>
    </row>
    <row r="45" ht="281.15" customFormat="1" customHeight="1" s="109">
      <c r="A45" s="31" t="n">
        <v>10</v>
      </c>
      <c r="B45" s="546" t="inlineStr">
        <is>
          <t>o_hh_wealth_water</t>
        </is>
      </c>
      <c r="C45" s="548" t="inlineStr">
        <is>
          <t>hh_wealth_water</t>
        </is>
      </c>
      <c r="D45" s="521"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45" s="531">
        <f>LEN(D45)</f>
        <v/>
      </c>
      <c r="F45" s="549"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 وادي أو جدول أو غيل 
9 ) بئر مكشوفة
10) ماء عين مكشوفة
11) شاحنات / عربات/ دواب لنقل المياه
12) صهاريج/ حواجز مائية/ سدود
13) لا أعرف
14) رفض الإجابة</t>
        </is>
      </c>
      <c r="G45" s="531">
        <f>LEN(F45)</f>
        <v/>
      </c>
      <c r="H45" s="547" t="inlineStr">
        <is>
          <t>Single Choice</t>
        </is>
      </c>
      <c r="I45" s="531" t="inlineStr">
        <is>
          <t>NA</t>
        </is>
      </c>
      <c r="J45" s="531" t="inlineStr">
        <is>
          <t>NA</t>
        </is>
      </c>
      <c r="K45" s="531" t="inlineStr">
        <is>
          <t>Form Type - Buttons</t>
        </is>
      </c>
      <c r="L45" s="187" t="inlineStr">
        <is>
          <t>1-14 = [income_main O+L49R other optional question]</t>
        </is>
      </c>
      <c r="M45" s="53" t="inlineStr">
        <is>
          <t>NA</t>
        </is>
      </c>
      <c r="N45" s="550" t="inlineStr">
        <is>
          <t>For any response, go to [income_main OR other optional question]</t>
        </is>
      </c>
      <c r="O45" s="40" t="inlineStr">
        <is>
          <t>1-14 = o_rural_urban</t>
        </is>
      </c>
      <c r="P45" s="412"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Q45" s="203">
        <f>1</f>
        <v/>
      </c>
      <c r="R45" s="103" t="n"/>
      <c r="T45" s="111" t="inlineStr">
        <is>
          <t>yes</t>
        </is>
      </c>
      <c r="U45" s="692" t="n"/>
      <c r="X45" s="202" t="n">
        <v>16.61565589904785</v>
      </c>
      <c r="Y45" s="202">
        <f>IF(X45="","",X45*Q45)</f>
        <v/>
      </c>
      <c r="Z45" s="103">
        <f>IF(T45="yes",Y45,"")</f>
        <v/>
      </c>
    </row>
    <row r="46" ht="89.90000000000001" customFormat="1" customHeight="1" s="109">
      <c r="A46" s="31" t="n"/>
      <c r="B46" s="546" t="inlineStr">
        <is>
          <t>o_rural_urban</t>
        </is>
      </c>
      <c r="C46" s="546" t="inlineStr">
        <is>
          <t>o_rural_urban</t>
        </is>
      </c>
      <c r="D46" s="551" t="inlineStr">
        <is>
          <t>Which of these best describes the area where you live?
[OPERATOR: SINGLE RESPONSE]
1)Rural
2)Urban
3)Sub-urban</t>
        </is>
      </c>
      <c r="E46" s="74" t="n">
        <v>112</v>
      </c>
      <c r="F46" s="549" t="inlineStr">
        <is>
          <t>أي من هؤلاء يصف المنطقة التي تعيش فيها ؟
[المشغل: استجابة واحدة]
1)الريف
2)الحضر
3)ضواحي الحضر</t>
        </is>
      </c>
      <c r="G46" s="74" t="n">
        <v>96</v>
      </c>
      <c r="H46" s="71" t="inlineStr">
        <is>
          <t>Single Choice</t>
        </is>
      </c>
      <c r="I46" s="74" t="inlineStr">
        <is>
          <t>NA</t>
        </is>
      </c>
      <c r="J46" s="74" t="inlineStr">
        <is>
          <t>NA</t>
        </is>
      </c>
      <c r="K46" s="74" t="inlineStr">
        <is>
          <t>Form Type - Buttons</t>
        </is>
      </c>
      <c r="L46" s="84" t="inlineStr">
        <is>
          <t>1-3 = resp_residencetype</t>
        </is>
      </c>
      <c r="M46" s="59" t="inlineStr"/>
      <c r="N46" s="197" t="n"/>
      <c r="O46" s="40" t="inlineStr">
        <is>
          <t>1-3 = resp_residencetype</t>
        </is>
      </c>
      <c r="P46" s="252" t="n"/>
      <c r="Q46" s="203">
        <f>1</f>
        <v/>
      </c>
      <c r="R46" s="103" t="n"/>
      <c r="T46" s="111" t="inlineStr"/>
      <c r="U46" s="692" t="n"/>
      <c r="X46" s="202" t="n"/>
      <c r="Y46" s="202">
        <f>IF(X46="","",X46*Q46)</f>
        <v/>
      </c>
      <c r="Z46" s="103">
        <f>IF(T46="yes",Y46,"")</f>
        <v/>
      </c>
    </row>
    <row r="47" ht="234" customFormat="1" customHeight="1" s="425">
      <c r="A47" s="429" t="n"/>
      <c r="B47" s="552" t="inlineStr">
        <is>
          <t xml:space="preserve">resp_residencetype </t>
        </is>
      </c>
      <c r="C47" s="456" t="inlineStr">
        <is>
          <t>resp_residencetype</t>
        </is>
      </c>
      <c r="D47" s="457"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47" s="418">
        <f>LEN(D47)</f>
        <v/>
      </c>
      <c r="F47" s="460"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47" s="418">
        <f>LEN(F47)</f>
        <v/>
      </c>
      <c r="H47" s="417" t="inlineStr">
        <is>
          <t>Single Choice</t>
        </is>
      </c>
      <c r="I47" s="418" t="inlineStr">
        <is>
          <t>NA</t>
        </is>
      </c>
      <c r="J47" s="418" t="inlineStr">
        <is>
          <t>NA</t>
        </is>
      </c>
      <c r="K47" s="418" t="inlineStr">
        <is>
          <t>Form Type - Buttons</t>
        </is>
      </c>
      <c r="L47" s="419" t="inlineStr">
        <is>
          <t>1 = hh_residencecomp
2-4 = hh_arrivaltime
5-6 = hh_residencecomp</t>
        </is>
      </c>
      <c r="M47" s="420" t="inlineStr">
        <is>
          <t>NA</t>
        </is>
      </c>
      <c r="N47" s="421" t="inlineStr">
        <is>
          <t>1 = hh_residencecomp
2-4 = hh_arrivaltime
5-6 = hh_residencecomp</t>
        </is>
      </c>
      <c r="O47" s="430" t="inlineStr"/>
      <c r="P47" s="422" t="n"/>
      <c r="Q47" s="423">
        <f>1</f>
        <v/>
      </c>
      <c r="R47" s="424" t="n"/>
      <c r="T47" s="426" t="inlineStr">
        <is>
          <t>yes</t>
        </is>
      </c>
      <c r="U47" s="427" t="n"/>
      <c r="X47" s="428" t="n">
        <v>13.22066497802734</v>
      </c>
      <c r="Y47" s="428">
        <f>IF(X47="","",X47*Q47)</f>
        <v/>
      </c>
      <c r="Z47" s="424">
        <f>IF(T47="yes",Y47,"")</f>
        <v/>
      </c>
      <c r="AC47" s="437" t="n"/>
      <c r="AD47" s="458" t="inlineStr">
        <is>
          <t>Important to define different categories in training material</t>
        </is>
      </c>
      <c r="AF47" s="459" t="n"/>
      <c r="AH47" s="440" t="n"/>
    </row>
    <row r="48" ht="184.5" customFormat="1" customHeight="1" s="425">
      <c r="A48" s="416" t="n"/>
      <c r="B48" s="552" t="inlineStr">
        <is>
          <t>hh_arrivaltime</t>
        </is>
      </c>
      <c r="C48" s="553" t="inlineStr">
        <is>
          <t>hh_arivaltime</t>
        </is>
      </c>
      <c r="D48" s="554" t="inlineStr">
        <is>
          <t>How long ago did you arrive in this place?
[OPERATOR: INDICATE THE NUMBER OF MONTHS. YOU MAY NEED TO CALCULATE THIS. ENTER 888 FOR DON'T KNOW &amp; 999 FOR REFUSED.]</t>
        </is>
      </c>
      <c r="E48" s="555">
        <f>LEN(D48)</f>
        <v/>
      </c>
      <c r="F48" s="556" t="inlineStr">
        <is>
          <t>منذ متى وصلت إلى هذا المكان؟
[المشغل: حدد عدد الأشهر. قد تحتاج إلى حساب ذلك. أدخل 888 لـ "لا أعرف" و999 لـ "رفض".]</t>
        </is>
      </c>
      <c r="G48" s="555">
        <f>LEN(F48)</f>
        <v/>
      </c>
      <c r="H48" s="553" t="inlineStr">
        <is>
          <t>Range</t>
        </is>
      </c>
      <c r="I48" s="555" t="inlineStr">
        <is>
          <t>NA</t>
        </is>
      </c>
      <c r="J48" s="555" t="inlineStr">
        <is>
          <t>Send if "resp_residencetype " "Equals" "Internally displaced person [IDP]" Or "resp_residencetype " "Equals" "Returnee" Or "resp_residencetype " "Equals" "Refugee" if not satisfied go to "hh_displacementfreq"</t>
        </is>
      </c>
      <c r="K48" s="555" t="inlineStr">
        <is>
          <t>Form Type - TextBox</t>
        </is>
      </c>
      <c r="L48" s="557" t="inlineStr">
        <is>
          <t>0-200 = hh_displacementfreq
888-888 = hh_displacementfreq
999-999 = hh_displacementfreq</t>
        </is>
      </c>
      <c r="M48" s="558" t="inlineStr">
        <is>
          <t>NA</t>
        </is>
      </c>
      <c r="N48" s="559" t="inlineStr">
        <is>
          <t>Asked to respondents that answered "Returnee", "IDP" or "Refugee" to resp_residencetype . All other respondents will skip to hh_residencecomp. 
For any response, go to hh_displacementfreq.</t>
        </is>
      </c>
      <c r="O48" s="430" t="inlineStr"/>
      <c r="P48" s="422" t="n"/>
      <c r="Q48" s="431" t="n"/>
      <c r="R48" s="432" t="n"/>
      <c r="S48" s="433" t="n"/>
      <c r="T48" s="434" t="inlineStr">
        <is>
          <t>yes</t>
        </is>
      </c>
      <c r="U48" s="435" t="n"/>
      <c r="V48" s="433" t="n"/>
      <c r="W48" s="433" t="n"/>
      <c r="X48" s="436" t="n"/>
      <c r="Y48" s="436" t="n"/>
      <c r="Z48" s="424" t="n"/>
    </row>
    <row r="49" ht="163.5" customFormat="1" customHeight="1" s="433">
      <c r="A49" s="429" t="n"/>
      <c r="B49" s="552" t="inlineStr">
        <is>
          <t>hh_displacementfreq</t>
        </is>
      </c>
      <c r="C49" s="553" t="inlineStr">
        <is>
          <t>hh_displacementfreq</t>
        </is>
      </c>
      <c r="D49" s="554" t="inlineStr">
        <is>
          <t>How many times have you [respondent] been forced to move due to conflict, insecurity or disaster since you were first displaced?
[OPERATOR: ENTER 888 FOR DON'T KNOW &amp; 999 FOR REFUSED.]</t>
        </is>
      </c>
      <c r="E49" s="555">
        <f>LEN(D49)</f>
        <v/>
      </c>
      <c r="F49" s="556"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49" s="555">
        <f>LEN(F49)</f>
        <v/>
      </c>
      <c r="H49" s="553" t="inlineStr">
        <is>
          <t>Range</t>
        </is>
      </c>
      <c r="I49" s="555" t="inlineStr">
        <is>
          <t>NA</t>
        </is>
      </c>
      <c r="J49" s="555" t="inlineStr">
        <is>
          <t>NA</t>
        </is>
      </c>
      <c r="K49" s="555" t="inlineStr">
        <is>
          <t>Form Type - TextBox</t>
        </is>
      </c>
      <c r="L49" s="557" t="inlineStr">
        <is>
          <t>0-100 = hh_residencecomp
888-888 = hh_residencecomp
999-999 = hh_residencecomp</t>
        </is>
      </c>
      <c r="M49" s="558" t="inlineStr">
        <is>
          <t>NA</t>
        </is>
      </c>
      <c r="N49" s="560" t="inlineStr">
        <is>
          <t xml:space="preserve">Asked to respondents that answered "Returnee", "IDP" or "Refugee" to resp_residencetype . All other respondents will skip to hh_residencecomp. 
For any response, go to hh_residencecomp. </t>
        </is>
      </c>
      <c r="O49" s="430" t="inlineStr"/>
      <c r="P49" s="422" t="n"/>
      <c r="Q49" s="431" t="n"/>
      <c r="R49" s="432" t="n"/>
      <c r="T49" s="434" t="inlineStr">
        <is>
          <t>yes</t>
        </is>
      </c>
      <c r="U49" s="435" t="n"/>
      <c r="X49" s="436" t="n"/>
      <c r="Y49" s="436" t="n"/>
      <c r="Z49" s="432" t="n"/>
      <c r="AC49" s="437" t="inlineStr">
        <is>
          <t xml:space="preserve">Necessary for categorization of household residence type. Will depend on country context but these questions allow for flexibility of the definition. </t>
        </is>
      </c>
      <c r="AD49" s="437" t="inlineStr">
        <is>
          <t>
</t>
        </is>
      </c>
      <c r="AH49" s="438" t="n"/>
    </row>
    <row r="50" ht="213.75" customFormat="1" customHeight="1" s="433">
      <c r="A50" s="429" t="n"/>
      <c r="B50" s="552" t="inlineStr">
        <is>
          <t>hh_residencecomp</t>
        </is>
      </c>
      <c r="C50" s="553" t="inlineStr">
        <is>
          <t>hh_residencecomp
1)hh_residencecomp_none
2)hh_residencecomp_permresident
3)hh_residencecomp_returnee
4)hh_residencecomp_idp
5)hh_residencecomp_refugee
6)hh_residencecomp_dk
7)hh_residencecomp_ref</t>
        </is>
      </c>
      <c r="D50" s="554"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50" s="555">
        <f>LEN(D50)</f>
        <v/>
      </c>
      <c r="F50" s="556"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50" s="555">
        <f>LEN(F50)</f>
        <v/>
      </c>
      <c r="H50" s="553" t="inlineStr">
        <is>
          <t>Select All That Apply</t>
        </is>
      </c>
      <c r="I50" s="555" t="inlineStr">
        <is>
          <t>NA</t>
        </is>
      </c>
      <c r="J50" s="555" t="inlineStr">
        <is>
          <t>Send if "resp_residencetype " "Equals" "Internally displaced person [IDP]" Or "resp_residencetype " "Equals" "Returnee" Or "resp_residencetype " "Equals" "Refugee" Or "resp_residencetype " "Equals" "Permanent resident" if not satisfied go to "hh_site"</t>
        </is>
      </c>
      <c r="K50" s="555" t="inlineStr">
        <is>
          <t>Form Type - Checklist
Included unselected "resp_residencetype "
1,2,3= IsNone</t>
        </is>
      </c>
      <c r="L50" s="557" t="inlineStr">
        <is>
          <t>1-7 = hh_site</t>
        </is>
      </c>
      <c r="M50" s="558" t="inlineStr">
        <is>
          <t>1)hh_residencecomp_none
2)hh_residencecomp_permresident
3)hh_residencecomp_returnee
4)hh_residencecomp_idp
5)hh_residencecomp_refugee
6)hh_residencecomp_dk
7)hh_residencecomp_ref</t>
        </is>
      </c>
      <c r="N50" s="561" t="inlineStr">
        <is>
          <t>Asked only to respondents who stated a status in resp_residencetype . Otherwise, go to hh_size .
For any response, go to hh_site</t>
        </is>
      </c>
      <c r="O50" s="439" t="inlineStr"/>
      <c r="P50" s="422" t="n"/>
      <c r="Q50" s="431" t="n"/>
      <c r="R50" s="432" t="n"/>
      <c r="T50" s="434" t="inlineStr">
        <is>
          <t>yes</t>
        </is>
      </c>
      <c r="U50" s="435" t="n"/>
      <c r="X50" s="436" t="n"/>
      <c r="Y50" s="436" t="n"/>
      <c r="Z50" s="432" t="n"/>
      <c r="AC50" s="437" t="inlineStr">
        <is>
          <t xml:space="preserve">Necessary for categorization of household residence type. Will depend on country context but these questions allow for flexibility of the definition. </t>
        </is>
      </c>
      <c r="AD50" s="433" t="inlineStr">
        <is>
          <t>In enumerator training, include explanation of status type</t>
        </is>
      </c>
      <c r="AH50" s="440" t="n"/>
    </row>
    <row r="51" ht="198" customFormat="1" customHeight="1" s="433">
      <c r="A51" s="429" t="n"/>
      <c r="B51" s="562" t="inlineStr">
        <is>
          <t>hh_site</t>
        </is>
      </c>
      <c r="C51" s="563" t="inlineStr">
        <is>
          <t>hh_site</t>
        </is>
      </c>
      <c r="D51" s="564"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1" s="565">
        <f>LEN(D51)</f>
        <v/>
      </c>
      <c r="F51" s="566"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51" s="565">
        <f>LEN(F51)</f>
        <v/>
      </c>
      <c r="H51" s="563" t="inlineStr">
        <is>
          <t>Single Choice</t>
        </is>
      </c>
      <c r="I51" s="565" t="inlineStr">
        <is>
          <t>NA</t>
        </is>
      </c>
      <c r="J51" s="565" t="inlineStr">
        <is>
          <t>Send if "resp_residencetype " "Equals" "Internally displaced person [IDP]" Or "resp_residencetype " "Equals" "Returnee" Or "resp_residencetype " "Equals" "Refugee" if not satisfied go to "hh_shelter"</t>
        </is>
      </c>
      <c r="K51" s="565" t="inlineStr">
        <is>
          <t>Form Type - Buttons</t>
        </is>
      </c>
      <c r="L51" s="567" t="inlineStr">
        <is>
          <t>1-6 = hh_shelter</t>
        </is>
      </c>
      <c r="M51" s="558" t="inlineStr">
        <is>
          <t>NA</t>
        </is>
      </c>
      <c r="N51" s="560" t="inlineStr">
        <is>
          <t>Asked to respondents that answered "Returnee", "IDP" or "Refugee" to resp_residencetype . All other respondents will skip to hh_shelter. 
For any response, go to hh_shelter</t>
        </is>
      </c>
      <c r="O51" s="430" t="inlineStr"/>
      <c r="P51" s="422" t="n"/>
      <c r="Q51" s="431" t="n"/>
      <c r="R51" s="432" t="n"/>
      <c r="T51" s="434" t="inlineStr">
        <is>
          <t>no</t>
        </is>
      </c>
      <c r="U51" s="435" t="n"/>
      <c r="X51" s="436" t="n"/>
      <c r="Y51" s="436" t="n"/>
      <c r="Z51" s="432" t="n"/>
      <c r="AD51" s="433" t="inlineStr">
        <is>
          <t xml:space="preserve">Note to explain to COs the importance of site/shelter for vulnerability assessments </t>
        </is>
      </c>
    </row>
    <row r="52" ht="270" customFormat="1" customHeight="1" s="433">
      <c r="A52" s="429" t="n"/>
      <c r="B52" s="562" t="inlineStr">
        <is>
          <t>hh_shelter</t>
        </is>
      </c>
      <c r="C52" s="563" t="inlineStr">
        <is>
          <t>hh_shelter</t>
        </is>
      </c>
      <c r="D52" s="564"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52" s="565">
        <f>LEN(D52)</f>
        <v/>
      </c>
      <c r="F52" s="566"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52" s="565">
        <f>LEN(F52)</f>
        <v/>
      </c>
      <c r="H52" s="563" t="inlineStr">
        <is>
          <t>Single Choice</t>
        </is>
      </c>
      <c r="I52" s="565" t="inlineStr">
        <is>
          <t>NA</t>
        </is>
      </c>
      <c r="J52" s="565" t="inlineStr">
        <is>
          <t>NA</t>
        </is>
      </c>
      <c r="K52" s="565" t="inlineStr">
        <is>
          <t>Form Type - Buttons</t>
        </is>
      </c>
      <c r="L52" s="567" t="inlineStr">
        <is>
          <t>1-11 = hh_predisp_agricactivity</t>
        </is>
      </c>
      <c r="M52" s="558" t="inlineStr">
        <is>
          <t>NA</t>
        </is>
      </c>
      <c r="N52" s="561" t="inlineStr">
        <is>
          <t>For any response, go to hh_predisp_agricactivity.</t>
        </is>
      </c>
      <c r="O52" s="430" t="inlineStr"/>
      <c r="P52" s="422" t="n"/>
      <c r="Q52" s="431" t="n"/>
      <c r="R52" s="432" t="n"/>
      <c r="T52" s="434" t="inlineStr">
        <is>
          <t>no</t>
        </is>
      </c>
      <c r="U52" s="435" t="n"/>
      <c r="X52" s="436" t="n"/>
      <c r="Y52" s="436" t="n"/>
      <c r="Z52" s="432" t="n"/>
      <c r="AH52" s="437" t="inlineStr">
        <is>
          <t>Consider whether shelter should be mandatory vulnerability proxy</t>
        </is>
      </c>
    </row>
    <row r="53" ht="194.15" customFormat="1" customHeight="1" s="433">
      <c r="A53" s="441" t="n"/>
      <c r="B53" s="442" t="inlineStr">
        <is>
          <t>hh_predisp_agricactivity</t>
        </is>
      </c>
      <c r="C53" s="443" t="inlineStr">
        <is>
          <t>hh_predisp_agricactivity</t>
        </is>
      </c>
      <c r="D53" s="564" t="inlineStr">
        <is>
          <t>Did you or others in your household engage in agricultural activities prior to your displacement?
[OPERATOR: SINGLE RESPONSE.]
1)YES
2)NO
3)DON'T KNOW
4)REFUSED</t>
        </is>
      </c>
      <c r="E53" s="565">
        <f>LEN(D53)</f>
        <v/>
      </c>
      <c r="F53" s="566" t="inlineStr">
        <is>
          <t>هل شاركت أنت أو أي شخص آخر في أسرتك في أنشطة زراعية قبل نزوحك؟
[المشغل: إجابة واحدة.]
1)نعم
2)لا
3)لا أعرف
4) رفض الإجابة</t>
        </is>
      </c>
      <c r="G53" s="565">
        <f>LEN(F53)</f>
        <v/>
      </c>
      <c r="H53" s="563" t="inlineStr">
        <is>
          <t>Single Choice</t>
        </is>
      </c>
      <c r="I53" s="565" t="inlineStr">
        <is>
          <t>NA</t>
        </is>
      </c>
      <c r="J53" s="444" t="inlineStr">
        <is>
          <t>Send if "resp_residencetype " "Equals" "Returnee" OR "resp_residencetype " "Equals" "Internally displaced person [IDP]" OR "resp_residencetype " "Equals" "Refugee" OR "hh_residencecomp" "Contains" "Returnee" OR "hh_residencecomp" "Contains" "Internally displaced person [IDP]" OR "hh_residencecomp" "Contains" "Refugee" if not satisfied go to "hh_size"</t>
        </is>
      </c>
      <c r="K53" s="565" t="inlineStr">
        <is>
          <t>Form Type - Buttons</t>
        </is>
      </c>
      <c r="L53" s="567" t="inlineStr">
        <is>
          <t>1 = hh_disp_agricactivity_type
2-4 = hh_size</t>
        </is>
      </c>
      <c r="M53" s="430" t="inlineStr">
        <is>
          <t>NA</t>
        </is>
      </c>
      <c r="N53" s="561" t="inlineStr">
        <is>
          <t>If hh_disp_agricactivity = 1, go to hh_disp_agricactivity_type; otherwise, go to hh_size.</t>
        </is>
      </c>
      <c r="O53" s="430" t="inlineStr"/>
      <c r="P53" s="422" t="n"/>
      <c r="Q53" s="431" t="n"/>
      <c r="R53" s="432" t="n"/>
      <c r="T53" s="434" t="inlineStr">
        <is>
          <t>no</t>
        </is>
      </c>
      <c r="U53" s="435" t="n"/>
      <c r="X53" s="436" t="n"/>
      <c r="Y53" s="436" t="n"/>
      <c r="Z53" s="432" t="n"/>
      <c r="AH53" s="437" t="n"/>
    </row>
    <row r="54" ht="162" customFormat="1" customHeight="1" s="433">
      <c r="A54" s="441" t="n"/>
      <c r="B54" s="442" t="inlineStr">
        <is>
          <t>hh_predisp_agricactivity_type</t>
        </is>
      </c>
      <c r="C54" s="445" t="inlineStr">
        <is>
          <t>hh_predisp_agricactivity_type
1)hh_predisp_crpprod
2)hh_predisp_lsprod
3)hh_predisp_fishprod
4)hh_predisp_dk
5)hh_predisp_ref</t>
        </is>
      </c>
      <c r="D54" s="564" t="inlineStr">
        <is>
          <t>What type of agricultural activities were they? 
[OPERATOR: MULTIPLE RESPONSES POSSIBLE.]
1)Crop production
2) Livestock production
3)Fisheries or aquaculture production
4)DON'T KNOW
5)REFUSED</t>
        </is>
      </c>
      <c r="E54" s="565">
        <f>LEN(D54)</f>
        <v/>
      </c>
      <c r="F54" s="566"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54" s="565">
        <f>LEN(F54)</f>
        <v/>
      </c>
      <c r="H54" s="563" t="inlineStr">
        <is>
          <t>Select All That Apply</t>
        </is>
      </c>
      <c r="I54" s="565" t="inlineStr">
        <is>
          <t>NA</t>
        </is>
      </c>
      <c r="J54" s="565" t="inlineStr">
        <is>
          <t>NA</t>
        </is>
      </c>
      <c r="K54" s="565" t="inlineStr">
        <is>
          <t>Form Type - Checklist
4,5= IsNone</t>
        </is>
      </c>
      <c r="L54" s="567" t="inlineStr">
        <is>
          <t>1-5 = hh_size</t>
        </is>
      </c>
      <c r="M54" s="568" t="inlineStr">
        <is>
          <t>1)hh_predisp_crpprod
2)hh_predisp_lsprod
3)hh_predisp_fishprod
4)hh_predisp_dk
5)hh_predisp_ref</t>
        </is>
      </c>
      <c r="N54" s="561" t="inlineStr">
        <is>
          <t>For any response, go to hh_size.</t>
        </is>
      </c>
      <c r="O54" s="430" t="inlineStr"/>
      <c r="P54" s="422" t="n"/>
      <c r="Q54" s="431" t="n"/>
      <c r="R54" s="432" t="n"/>
      <c r="T54" s="434" t="inlineStr">
        <is>
          <t>no</t>
        </is>
      </c>
      <c r="U54" s="435" t="n"/>
      <c r="X54" s="436" t="n"/>
      <c r="Y54" s="436" t="n"/>
      <c r="Z54" s="432" t="n"/>
      <c r="AH54" s="437" t="n"/>
    </row>
    <row r="55" ht="180" customFormat="1" customHeight="1" s="425">
      <c r="A55" s="446" t="n"/>
      <c r="B55" s="447" t="inlineStr">
        <is>
          <t>crp_returnee_plotaccess</t>
        </is>
      </c>
      <c r="C55" s="448" t="inlineStr">
        <is>
          <t>crp_returnee_plotaccess</t>
        </is>
      </c>
      <c r="D55" s="569" t="inlineStr">
        <is>
          <t>If you used to cultivate land in this area, fled and have since returned, are you able to access the same land as before?
[OPERATOR: SINGLE RESPONSE.]
1)YES
2)NO
3)I never had land here
4)DON'T KNOW
5)REFUSED</t>
        </is>
      </c>
      <c r="E55" s="555">
        <f>LEN(D55)</f>
        <v/>
      </c>
      <c r="F55" s="570"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55" s="565">
        <f>LEN(F55)</f>
        <v/>
      </c>
      <c r="H55" s="553" t="inlineStr">
        <is>
          <t>Single Choice</t>
        </is>
      </c>
      <c r="I55" s="555" t="inlineStr">
        <is>
          <t>NA</t>
        </is>
      </c>
      <c r="J55" s="444" t="inlineStr">
        <is>
          <t>Send if "resp_residencetype " "Equals" "Returnee" if not satisfied go to "hh_size"</t>
        </is>
      </c>
      <c r="K55" s="444" t="inlineStr">
        <is>
          <t>Form Type - Buttons</t>
        </is>
      </c>
      <c r="L55" s="449" t="inlineStr">
        <is>
          <t>1 = hh_size
2 = crp_orig_plot
3-5 =hh_size</t>
        </is>
      </c>
      <c r="M55" s="450" t="inlineStr">
        <is>
          <t>NA</t>
        </is>
      </c>
      <c r="N55" s="557" t="inlineStr">
        <is>
          <t>Asked only to respondents that indicated returnees as head of household, if non-returnee, proceed to hh_size.
If crp_returnee_plotaccess = 1,3-5, go to hh_size
if crp_returnee_plotaccess = 2, go to crp_orig_plot</t>
        </is>
      </c>
      <c r="O55" s="430" t="inlineStr"/>
      <c r="P55" s="451" t="n"/>
      <c r="Q55" s="423" t="n"/>
      <c r="R55" s="424" t="n"/>
      <c r="T55" s="452" t="inlineStr">
        <is>
          <t>no</t>
        </is>
      </c>
      <c r="U55" s="427" t="n"/>
      <c r="X55" s="453" t="n"/>
      <c r="Y55" s="453" t="n"/>
      <c r="Z55" s="424" t="n"/>
    </row>
    <row r="56" ht="245.15" customFormat="1" customHeight="1" s="425">
      <c r="A56" s="416" t="n"/>
      <c r="B56" s="571" t="inlineStr">
        <is>
          <t>crp_orig_plot</t>
        </is>
      </c>
      <c r="C56" s="454" t="inlineStr">
        <is>
          <t>crp_orig_plot_
1)crp_origplot_occup_comm
2)crp_origplot_occup_displacedppl
3)crp_origplot_occup_armedgps
4)crp_plot_unsafe_armedgps
5)crp_plot_unsafe_explosives
6)crp_orig_plot_distance
7)crp_orig_plot_other
8)crp_orig_plot_dk
9)crp_orig_plot_ref</t>
        </is>
      </c>
      <c r="D56" s="572"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56" s="555">
        <f>LEN(D56)</f>
        <v/>
      </c>
      <c r="F56" s="570"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t>
        </is>
      </c>
      <c r="G56" s="565">
        <f>LEN(F56)</f>
        <v/>
      </c>
      <c r="H56" s="553" t="inlineStr">
        <is>
          <t>Open Ended-Select All That Apply</t>
        </is>
      </c>
      <c r="I56" s="565" t="inlineStr">
        <is>
          <t>NA</t>
        </is>
      </c>
      <c r="J56" s="565" t="inlineStr">
        <is>
          <t>NA</t>
        </is>
      </c>
      <c r="K56" s="565" t="inlineStr">
        <is>
          <t>Form Type - Checklist
7,8= IsNone</t>
        </is>
      </c>
      <c r="L56" s="567" t="inlineStr">
        <is>
          <t>1-8 = hh_size</t>
        </is>
      </c>
      <c r="M56" s="455" t="inlineStr">
        <is>
          <t>1)crp_origplot_occup_comm
2)crp_origplot_occup_displacedppl
3)crp_origplot_occup_armedgps
4)crp_plot_unsafe_armedgps
5)crp_plot_unsafe_explosives
6)crp_orig_plot_distance
7)crp_orig_plot_other
8)crp_orig_plot_dk
9)crp_orig_plot_ref</t>
        </is>
      </c>
      <c r="N56" s="561" t="inlineStr">
        <is>
          <t>For any response, go to hh_size.</t>
        </is>
      </c>
      <c r="O56" s="430" t="inlineStr"/>
      <c r="P56" s="451" t="n"/>
      <c r="Q56" s="423">
        <f>'[1]Additional information'!$D$17</f>
        <v/>
      </c>
      <c r="R56" s="424" t="n"/>
      <c r="T56" s="426" t="inlineStr">
        <is>
          <t>no</t>
        </is>
      </c>
      <c r="U56" s="427" t="n"/>
      <c r="X56" s="428" t="n"/>
      <c r="Y56" s="428">
        <f>IF(X56="","",X56*Q56)</f>
        <v/>
      </c>
      <c r="Z56" s="424">
        <f>IF(T56="yes",Y56,"")</f>
        <v/>
      </c>
    </row>
    <row r="57" ht="142.5" customFormat="1" customHeight="1" s="109">
      <c r="A57" s="13">
        <f>#REF!+1</f>
        <v/>
      </c>
      <c r="B57" s="522" t="inlineStr">
        <is>
          <t>hh_size</t>
        </is>
      </c>
      <c r="C57" s="573" t="inlineStr">
        <is>
          <t>hh_size</t>
        </is>
      </c>
      <c r="D57" s="574"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7" s="524">
        <f>LEN(D57)</f>
        <v/>
      </c>
      <c r="F57" s="575"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57" s="524">
        <f>LEN(F57)</f>
        <v/>
      </c>
      <c r="H57" s="573" t="inlineStr">
        <is>
          <t>Range</t>
        </is>
      </c>
      <c r="I57" s="524" t="inlineStr">
        <is>
          <t>NA</t>
        </is>
      </c>
      <c r="J57" s="524" t="inlineStr">
        <is>
          <t>NA</t>
        </is>
      </c>
      <c r="K57" s="524" t="inlineStr">
        <is>
          <t>Form Type - TextBox</t>
        </is>
      </c>
      <c r="L57" s="523" t="inlineStr">
        <is>
          <t>1-50 = hh_asset_prod
88-88 = hh_asset_prod
99-99 = hh_asset_prod</t>
        </is>
      </c>
      <c r="M57" s="53" t="inlineStr">
        <is>
          <t>NA</t>
        </is>
      </c>
      <c r="N57" s="541" t="inlineStr">
        <is>
          <t>For any response, go to [next question]</t>
        </is>
      </c>
      <c r="O57" s="40" t="inlineStr">
        <is>
          <t>For any response, go to  o_hh_asset</t>
        </is>
      </c>
      <c r="P57" s="9" t="n"/>
      <c r="Q57" s="203">
        <f>1</f>
        <v/>
      </c>
      <c r="R57" s="103" t="n"/>
      <c r="T57" s="111" t="inlineStr">
        <is>
          <t>no</t>
        </is>
      </c>
      <c r="U57" s="692" t="n"/>
      <c r="X57" s="202" t="n">
        <v>16.90229415893555</v>
      </c>
      <c r="Y57" s="202">
        <f>IF(X57="","",X57*Q57)</f>
        <v/>
      </c>
      <c r="Z57" s="103">
        <f>IF(T57="yes",Y57,"")</f>
        <v/>
      </c>
    </row>
    <row r="58" ht="409.5" customFormat="1" customHeight="1" s="109">
      <c r="A58" s="13">
        <f>A57+1</f>
        <v/>
      </c>
      <c r="B58" s="522" t="inlineStr">
        <is>
          <t>o_hh_asset</t>
        </is>
      </c>
      <c r="C58" s="576" t="inlineStr">
        <is>
          <t>hh_asset_prod_
1)hh_asset_prod_process
2)hh_asset_prod_farmmach
3)hh_asset_prod_sewing
4)hh_asset_prod_taxi
5)hh_asset_prod_truck
6)hh_asset_prod_other
7) hh_asset_prod_none
8) hh_asset_prod_dk
9) hh_asset_prod_ref</t>
        </is>
      </c>
      <c r="D58" s="577" t="inlineStr">
        <is>
          <t>Does your household own any of the following assets? 
[OPERATOR: MULTIPLE RESPONSES POSSIBLE. READ ANSWER OPTIONS OUT LOUD.]
1)	Land
2)	Farm/agriculture tools [manual items like a plough, sickle, rake etc.]
3)	Farm/agriculture machinery [e.g. tractor, power harvester, etc.]
4)	Water/irrigation pump
5)	Processing assets [e.g. grinding/crushing machine, mill, oil press]
6)	Fishing net
7)	Fishing boat
8)	Livestock (cattle/goats/sheep)
9)	Taxi/ Truck/Van [small truck]
10)	Car
11)	Motorbike / scooter / auto rickshaw
12)	Bicycle
13)	Sewing machine or weaving tool
14)	Other productive assets
15)	Do not own any productive assets
16)	House/Apartment
17)	Mattress or sofa
18)	Stove
19)	Fridge
20)	Television
21)	Radio
22)	Mobile phone
23)	Internet
24)	Bank savings/jewellery/other savings
25)	Generator
26)	Electric bulbs/solar panels/batteries 
27)	Other household assets
28)	Do not own any household assets
29)	DON’T KNOW
30)	REFUSED</t>
        </is>
      </c>
      <c r="E58" s="524">
        <f>LEN(D58)</f>
        <v/>
      </c>
      <c r="F58" s="575"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58" s="524">
        <f>LEN(F58)</f>
        <v/>
      </c>
      <c r="H58" s="573" t="inlineStr">
        <is>
          <t>Select All That Apply</t>
        </is>
      </c>
      <c r="I58" s="524" t="inlineStr">
        <is>
          <t>NA</t>
        </is>
      </c>
      <c r="J58" s="524" t="inlineStr">
        <is>
          <t>NA</t>
        </is>
      </c>
      <c r="K58" s="524" t="inlineStr">
        <is>
          <t>Form Type - Checklist
28,29,30 = IsNone</t>
        </is>
      </c>
      <c r="L58" s="523" t="inlineStr">
        <is>
          <t>1-30 =  hh_maritalstat</t>
        </is>
      </c>
      <c r="M58" s="53" t="inlineStr"/>
      <c r="N58" s="541" t="inlineStr">
        <is>
          <t>For any response, go to [hh_maritalstat]</t>
        </is>
      </c>
      <c r="O58" s="413" t="inlineStr">
        <is>
          <t>1-30 =  hh_maritalstat</t>
        </is>
      </c>
      <c r="P58" s="44" t="inlineStr">
        <is>
          <t xml:space="preserve">This wealth indicator may be useful to Identify poor households in middle income countries. It could be interesting for F2F surveys, to be used as baseline reference for follow-up surveys. </t>
        </is>
      </c>
      <c r="Q58" s="203">
        <f>1</f>
        <v/>
      </c>
      <c r="R58" s="103" t="n"/>
      <c r="T58" s="111" t="inlineStr">
        <is>
          <t>no</t>
        </is>
      </c>
      <c r="U58" s="692" t="n"/>
      <c r="X58" s="202" t="n">
        <v>16.95780372619629</v>
      </c>
      <c r="Y58" s="202">
        <f>IF(X58="","",X58*Q58)</f>
        <v/>
      </c>
      <c r="Z58" s="103">
        <f>IF(T58="yes",Y58,"")</f>
        <v/>
      </c>
    </row>
    <row r="59" ht="171.65" customFormat="1" customHeight="1" s="109">
      <c r="A59" s="13">
        <f>#REF!+1</f>
        <v/>
      </c>
      <c r="B59" s="184" t="inlineStr">
        <is>
          <t>hh_maritalstat</t>
        </is>
      </c>
      <c r="C59" s="183" t="inlineStr">
        <is>
          <t>hh_maritalstat</t>
        </is>
      </c>
      <c r="D59" s="14" t="inlineStr">
        <is>
          <t>What is the head of household’s current marital status? 
[OPERATOR: SINGLE RESPONSE.]
1)Single / never married 
2)Married
3)Separated
4)Divorced
5)Widowed
6)DON’T KNOW
7)REFUSED</t>
        </is>
      </c>
      <c r="E59" s="17">
        <f>LEN(D59)</f>
        <v/>
      </c>
      <c r="F59" s="389" t="inlineStr">
        <is>
          <t>ما هي الحالة الاجتماعية الحالية لرب الأسرة؟
[المشغل: استجابة واحدة.]
1) أعزب / لم يتزوج قط
2) متزوج
3) منفصل
4) مطلق
5) أرمل
6) لا أعرف
7) رفض الإجابة</t>
        </is>
      </c>
      <c r="G59" s="17">
        <f>LEN(F59)</f>
        <v/>
      </c>
      <c r="H59" s="573" t="inlineStr">
        <is>
          <t>Single Choice</t>
        </is>
      </c>
      <c r="I59" s="18" t="inlineStr">
        <is>
          <t>NA</t>
        </is>
      </c>
      <c r="J59" s="18" t="inlineStr">
        <is>
          <t>NA</t>
        </is>
      </c>
      <c r="K59" s="524" t="inlineStr">
        <is>
          <t>Form Type - Buttons</t>
        </is>
      </c>
      <c r="L59" s="523" t="inlineStr">
        <is>
          <t>1-7 = hh_age</t>
        </is>
      </c>
      <c r="M59" s="53" t="inlineStr">
        <is>
          <t>NA</t>
        </is>
      </c>
      <c r="N59" s="541" t="inlineStr">
        <is>
          <t>For any response, go to [next question]</t>
        </is>
      </c>
      <c r="O59" s="413" t="inlineStr">
        <is>
          <t>1-7 = hh_age</t>
        </is>
      </c>
      <c r="P59" s="19" t="n"/>
      <c r="Q59" s="203">
        <f>1</f>
        <v/>
      </c>
      <c r="R59" s="103" t="n"/>
      <c r="T59" s="111" t="inlineStr">
        <is>
          <t>no</t>
        </is>
      </c>
      <c r="U59" s="692" t="n"/>
      <c r="X59" s="202" t="n">
        <v>9.96186637878418</v>
      </c>
      <c r="Y59" s="202">
        <f>IF(X59="","",X59*Q59)</f>
        <v/>
      </c>
      <c r="Z59" s="103">
        <f>IF(T59="yes",Y59,"")</f>
        <v/>
      </c>
    </row>
    <row r="60" ht="156.65" customFormat="1" customHeight="1" s="109" thickBot="1">
      <c r="A60" s="13">
        <f>A59+1</f>
        <v/>
      </c>
      <c r="B60" s="181" t="inlineStr">
        <is>
          <t>hh_age</t>
        </is>
      </c>
      <c r="C60" s="182" t="inlineStr">
        <is>
          <t>hh_age</t>
        </is>
      </c>
      <c r="D60" s="20" t="inlineStr">
        <is>
          <t>How old is the head of household? 
[OPERATOR: SINGLE RESPONSE.]
1)Under 18
2)18 to 40 
3)41 to 65 
4)Over 65
5)DON'T KNOW
6)REFUSED</t>
        </is>
      </c>
      <c r="E60" s="17">
        <f>LEN(D60)</f>
        <v/>
      </c>
      <c r="F60" s="390" t="inlineStr">
        <is>
          <t>كم عمر رب الاسرة؟
[المشغل: استجابة واحدة.]
1) أقل من 18 عامًا
2) بين 18 و 40 عامًا
3) بين 41 و 65 عامًا
4) فوق 65 عامًا
5) لا أعرف
6) رفض الإجابة</t>
        </is>
      </c>
      <c r="G60" s="17">
        <f>LEN(F60)</f>
        <v/>
      </c>
      <c r="H60" s="573" t="inlineStr">
        <is>
          <t>Single Choice</t>
        </is>
      </c>
      <c r="I60" s="17" t="inlineStr">
        <is>
          <t>NA</t>
        </is>
      </c>
      <c r="J60" s="17" t="inlineStr">
        <is>
          <t>NA</t>
        </is>
      </c>
      <c r="K60" s="524" t="inlineStr">
        <is>
          <t>Form Type - Buttons</t>
        </is>
      </c>
      <c r="L60" s="523" t="inlineStr">
        <is>
          <t>1-6 = income_main</t>
        </is>
      </c>
      <c r="M60" s="53" t="inlineStr">
        <is>
          <t>NA</t>
        </is>
      </c>
      <c r="N60" s="541" t="inlineStr">
        <is>
          <t>For any response, go to [next question]</t>
        </is>
      </c>
      <c r="O60" s="413" t="inlineStr">
        <is>
          <t>1-6 = income_main</t>
        </is>
      </c>
      <c r="P60" s="9" t="n"/>
      <c r="Q60" s="203">
        <f>1</f>
        <v/>
      </c>
      <c r="R60" s="103" t="n"/>
      <c r="T60" s="111" t="inlineStr">
        <is>
          <t>no</t>
        </is>
      </c>
      <c r="U60" s="692" t="n"/>
      <c r="X60" s="202" t="n">
        <v>7.02484130859375</v>
      </c>
      <c r="Y60" s="202">
        <f>IF(X60="","",X60*Q60)</f>
        <v/>
      </c>
      <c r="Z60" s="103">
        <f>IF(T60="yes",Y60,"")</f>
        <v/>
      </c>
    </row>
    <row r="61" ht="16.4" customFormat="1" customHeight="1" s="309" thickBot="1">
      <c r="A61" s="411" t="inlineStr">
        <is>
          <t>C. INCOME SOURCES, LIVELIHOOD AND SHOCKS</t>
        </is>
      </c>
      <c r="B61" s="696" t="inlineStr">
        <is>
          <t>C. INCOME &amp; SHOCKS</t>
        </is>
      </c>
      <c r="C61" s="694" t="n"/>
      <c r="D61" s="694" t="n"/>
      <c r="E61" s="694" t="n"/>
      <c r="F61" s="694" t="n"/>
      <c r="G61" s="694" t="n"/>
      <c r="H61" s="694" t="n"/>
      <c r="I61" s="694" t="n"/>
      <c r="J61" s="694" t="n"/>
      <c r="K61" s="694" t="n"/>
      <c r="L61" s="694" t="n"/>
      <c r="M61" s="694" t="n"/>
      <c r="N61" s="694" t="n"/>
      <c r="O61" s="694" t="n"/>
      <c r="P61" s="695" t="n"/>
      <c r="Q61" s="198" t="n"/>
      <c r="R61" s="314" t="n"/>
      <c r="T61" s="312" t="inlineStr"/>
      <c r="U61" s="315" t="n"/>
      <c r="X61" s="201" t="n"/>
      <c r="Y61" s="201">
        <f>IF(X61="","",X61*Q61)</f>
        <v/>
      </c>
      <c r="Z61" s="314">
        <f>IF(T61="yes",Y61,"")</f>
        <v/>
      </c>
    </row>
    <row r="62" customFormat="1" s="109">
      <c r="A62" s="143" t="n"/>
      <c r="B62" s="143" t="n"/>
      <c r="C62" s="143" t="n"/>
      <c r="D62" s="74" t="n"/>
      <c r="E62" s="143" t="n"/>
      <c r="F62" s="143" t="n"/>
      <c r="G62" s="143" t="n"/>
      <c r="H62" s="143" t="n"/>
      <c r="I62" s="143" t="n"/>
      <c r="J62" s="143" t="n"/>
      <c r="K62" s="143" t="n"/>
      <c r="L62" s="143" t="n"/>
      <c r="M62" s="59" t="n"/>
      <c r="N62" s="143" t="n"/>
      <c r="O62" s="143" t="n"/>
      <c r="P62" s="32" t="n"/>
      <c r="Q62" s="203">
        <f>1</f>
        <v/>
      </c>
      <c r="R62" s="103" t="n"/>
      <c r="T62" s="111" t="n"/>
      <c r="U62" s="692" t="n"/>
      <c r="X62" s="202" t="n"/>
      <c r="Y62" s="202">
        <f>IF(X62="","",X62*Q62)</f>
        <v/>
      </c>
      <c r="Z62" s="103">
        <f>IF(T62="yes",Y62,"")</f>
        <v/>
      </c>
    </row>
    <row r="63" ht="409.5" customFormat="1" customHeight="1" s="109">
      <c r="A63" s="70">
        <f>A60+1</f>
        <v/>
      </c>
      <c r="B63" s="179" t="inlineStr">
        <is>
          <t>income_main</t>
        </is>
      </c>
      <c r="C63" s="108" t="inlineStr">
        <is>
          <t>income_main</t>
        </is>
      </c>
      <c r="D63" s="489"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3" s="106">
        <f>LEN(D63)</f>
        <v/>
      </c>
      <c r="F63" s="302"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63" s="106">
        <f>LEN(F63)</f>
        <v/>
      </c>
      <c r="H63" s="108" t="inlineStr">
        <is>
          <t>Single Choice</t>
        </is>
      </c>
      <c r="I63" s="106" t="inlineStr">
        <is>
          <t>NA</t>
        </is>
      </c>
      <c r="J63" s="106" t="inlineStr">
        <is>
          <t>NA</t>
        </is>
      </c>
      <c r="K63" s="106" t="inlineStr">
        <is>
          <t>Form Type - Buttons
IsDemographic</t>
        </is>
      </c>
      <c r="L63" s="105" t="inlineStr">
        <is>
          <t>1-3 = income_main_crop_check
4 = income_main_ls_check 
5 = income_main_comp OR optional question
6 = income_main_fish_check 
7-18 = income_main_comp OR optional question
19-20 = o_debt</t>
        </is>
      </c>
      <c r="M63" s="165" t="inlineStr">
        <is>
          <t>NA</t>
        </is>
      </c>
      <c r="N63" s="11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O63" s="33" t="inlineStr">
        <is>
          <t>income_main_gender</t>
        </is>
      </c>
      <c r="P63" s="32" t="n"/>
      <c r="Q63" s="198">
        <f>1</f>
        <v/>
      </c>
      <c r="R63" s="103" t="n"/>
      <c r="T63" s="312" t="inlineStr">
        <is>
          <t>yes</t>
        </is>
      </c>
      <c r="U63" s="692" t="n"/>
      <c r="X63" s="201" t="n">
        <v>31.88833427429199</v>
      </c>
      <c r="Y63" s="201">
        <f>IF(X63="","",X63*Q63)</f>
        <v/>
      </c>
      <c r="Z63" s="103">
        <f>IF(T63="yes",Y63,"")</f>
        <v/>
      </c>
    </row>
    <row r="64" ht="125.15" customFormat="1" customHeight="1" s="109">
      <c r="A64" s="70" t="n"/>
      <c r="B64" s="179" t="inlineStr">
        <is>
          <t>income_main_crop_check</t>
        </is>
      </c>
      <c r="C64" s="186" t="inlineStr">
        <is>
          <t>income_main_crop_check</t>
        </is>
      </c>
      <c r="D64" s="113" t="inlineStr">
        <is>
          <t>Are the crops sold also produced by you or anyone in your household?
[OPERATOR: SINGLE RESPONSE.]
1)YES
2)NO
3)DON'T KNOW
4)REFUSED</t>
        </is>
      </c>
      <c r="E64" s="106">
        <f>LEN(D64)</f>
        <v/>
      </c>
      <c r="F64" s="302" t="inlineStr">
        <is>
          <t>هل تم إنتاج المحاصيل التي تبيعها أنت أو أي شخص في منزلك أيضًا؟
[المشغل: استجابة واحدة.]
1) نعم
2) لا
3) لا أعرف
4) رفض الإجابة</t>
        </is>
      </c>
      <c r="G64" s="106">
        <f>LEN(F64)</f>
        <v/>
      </c>
      <c r="H64" s="108" t="inlineStr">
        <is>
          <t>Single Choice</t>
        </is>
      </c>
      <c r="I64" s="106" t="inlineStr">
        <is>
          <t>NA</t>
        </is>
      </c>
      <c r="J64" s="106" t="inlineStr">
        <is>
          <t>NA</t>
        </is>
      </c>
      <c r="K64" s="106" t="inlineStr">
        <is>
          <t>Form Type - Buttons</t>
        </is>
      </c>
      <c r="L64" s="105" t="inlineStr">
        <is>
          <t>1-4 = income_main_comp OR optional question</t>
        </is>
      </c>
      <c r="M64" s="165" t="inlineStr">
        <is>
          <t>NA</t>
        </is>
      </c>
      <c r="N64" s="112" t="inlineStr">
        <is>
          <t>if income_main_crop_check = 1-4, go to [income_main_comp OR optional question]</t>
        </is>
      </c>
      <c r="O64" s="33" t="inlineStr">
        <is>
          <t>1-4 = income_main_gender</t>
        </is>
      </c>
      <c r="P64" s="32" t="n"/>
      <c r="Q64" s="198">
        <f>1</f>
        <v/>
      </c>
      <c r="R64" s="103" t="n"/>
      <c r="T64" s="312" t="inlineStr">
        <is>
          <t>yes</t>
        </is>
      </c>
      <c r="U64" s="692" t="n"/>
      <c r="X64" s="201" t="n">
        <v>8</v>
      </c>
      <c r="Y64" s="201">
        <f>IF(X64="","",X64*Q64)</f>
        <v/>
      </c>
      <c r="Z64" s="103">
        <f>IF(T64="yes",Y64,"")</f>
        <v/>
      </c>
    </row>
    <row r="65" ht="140.9" customFormat="1" customHeight="1" s="109">
      <c r="A65" s="70" t="n"/>
      <c r="B65" s="179" t="inlineStr">
        <is>
          <t>income_main_ls_check</t>
        </is>
      </c>
      <c r="C65" s="186" t="inlineStr">
        <is>
          <t>income_main_ls_check</t>
        </is>
      </c>
      <c r="D65" s="490" t="inlineStr">
        <is>
          <t>Are the livestock or livestock products sold also produced by you or anyone in your household?
[OPERATOR: SINGLE RESPONSE.]
1)YES
2)NO
3)DON'T KNOW
4)REFUSED</t>
        </is>
      </c>
      <c r="E65" s="106">
        <f>LEN(D65)</f>
        <v/>
      </c>
      <c r="F65" s="302" t="inlineStr">
        <is>
          <t>هل تم إنتاج المواشي ومنتجاتها التي تبيعها أنت أو أي شخص في منزلك أيضًا؟
[المشغل: استجابة واحدة.]
1) نعم
2) لا
3) لا أعرف
4) رفض الإجابة</t>
        </is>
      </c>
      <c r="G65" s="106">
        <f>LEN(F65)</f>
        <v/>
      </c>
      <c r="H65" s="108" t="inlineStr">
        <is>
          <t>Single Choice</t>
        </is>
      </c>
      <c r="I65" s="106" t="inlineStr">
        <is>
          <t>NA</t>
        </is>
      </c>
      <c r="J65" s="106" t="inlineStr">
        <is>
          <t>NA</t>
        </is>
      </c>
      <c r="K65" s="106" t="inlineStr">
        <is>
          <t>Form Type - Buttons</t>
        </is>
      </c>
      <c r="L65" s="105" t="inlineStr">
        <is>
          <t>1-4 = income_main_comp OR optional question</t>
        </is>
      </c>
      <c r="M65" s="165" t="inlineStr">
        <is>
          <t>NA</t>
        </is>
      </c>
      <c r="N65" s="112" t="inlineStr">
        <is>
          <t>if income_main_ls_check = 1-4, go to [income_main_comp OR optional question]</t>
        </is>
      </c>
      <c r="O65" s="33" t="inlineStr">
        <is>
          <t>1-4 = income_main_gender</t>
        </is>
      </c>
      <c r="P65" s="32" t="n"/>
      <c r="Q65" s="198">
        <f>1</f>
        <v/>
      </c>
      <c r="R65" s="103" t="n"/>
      <c r="T65" s="312" t="inlineStr">
        <is>
          <t>yes</t>
        </is>
      </c>
      <c r="U65" s="692" t="n"/>
      <c r="X65" s="201" t="n">
        <v>8</v>
      </c>
      <c r="Y65" s="201">
        <f>IF(X65="","",X65*Q65)</f>
        <v/>
      </c>
      <c r="Z65" s="103">
        <f>IF(T65="yes",Y65,"")</f>
        <v/>
      </c>
    </row>
    <row r="66" ht="140.9" customFormat="1" customHeight="1" s="109">
      <c r="A66" s="70" t="n"/>
      <c r="B66" s="179" t="inlineStr">
        <is>
          <t>income_main_fish_check</t>
        </is>
      </c>
      <c r="C66" s="186" t="inlineStr">
        <is>
          <t>income_main_fish_check</t>
        </is>
      </c>
      <c r="D66" s="113" t="inlineStr">
        <is>
          <t>Are the fish or aquatic products sold also captured/harvested by you or anyone in your household?
[OPERATOR: SINGLE RESPONSE.]
1)YES
2)NO
3)DON'T KNOW
4)REFUSED</t>
        </is>
      </c>
      <c r="E66" s="106">
        <f>LEN(D66)</f>
        <v/>
      </c>
      <c r="F66"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66" s="106">
        <f>LEN(F66)</f>
        <v/>
      </c>
      <c r="H66" s="108" t="inlineStr">
        <is>
          <t>Single Choice</t>
        </is>
      </c>
      <c r="I66" s="106" t="inlineStr">
        <is>
          <t>NA</t>
        </is>
      </c>
      <c r="J66" s="106" t="inlineStr">
        <is>
          <t>NA</t>
        </is>
      </c>
      <c r="K66" s="106" t="inlineStr">
        <is>
          <t>Form Type - Buttons</t>
        </is>
      </c>
      <c r="L66" s="105" t="inlineStr">
        <is>
          <t>1-4 = income_main_comp OR optional question</t>
        </is>
      </c>
      <c r="M66" s="165" t="inlineStr">
        <is>
          <t>NA</t>
        </is>
      </c>
      <c r="N66" s="112" t="inlineStr">
        <is>
          <t>if income_main_fish_check = 1-4, go to [income_main_comp OR optional question]</t>
        </is>
      </c>
      <c r="O66" s="33" t="inlineStr">
        <is>
          <t>1-4 = income_main_gender</t>
        </is>
      </c>
      <c r="P66" s="32" t="n"/>
      <c r="Q66" s="198">
        <f>1</f>
        <v/>
      </c>
      <c r="R66" s="103" t="n"/>
      <c r="T66" s="312" t="inlineStr">
        <is>
          <t>yes</t>
        </is>
      </c>
      <c r="U66" s="692" t="n"/>
      <c r="X66" s="201" t="n">
        <v>8</v>
      </c>
      <c r="Y66" s="201">
        <f>IF(X66="","",X66*Q66)</f>
        <v/>
      </c>
      <c r="Z66" s="103">
        <f>IF(T66="yes",Y66,"")</f>
        <v/>
      </c>
    </row>
    <row r="67" customFormat="1" s="109">
      <c r="A67" s="70" t="n"/>
      <c r="B67" s="192" t="n"/>
      <c r="C67" s="195" t="n"/>
      <c r="D67" s="196" t="n"/>
      <c r="E67" s="74" t="n"/>
      <c r="G67" s="74" t="n"/>
      <c r="H67" s="71" t="n"/>
      <c r="I67" s="74" t="n"/>
      <c r="J67" s="74" t="n"/>
      <c r="K67" s="74" t="n"/>
      <c r="L67" s="59" t="n"/>
      <c r="M67" s="37" t="n"/>
      <c r="N67" s="131" t="n"/>
      <c r="O67" s="131" t="n"/>
      <c r="P67" s="32" t="n"/>
      <c r="Q67" s="203">
        <f>1</f>
        <v/>
      </c>
      <c r="R67" s="103" t="n"/>
      <c r="T67" s="111" t="n"/>
      <c r="U67" s="692" t="n"/>
      <c r="X67" s="202" t="n"/>
      <c r="Y67" s="202">
        <f>IF(X67="","",X67*Q67)</f>
        <v/>
      </c>
      <c r="Z67" s="103">
        <f>IF(T67="yes",Y67,"")</f>
        <v/>
      </c>
    </row>
    <row r="68" ht="156" customFormat="1" customHeight="1" s="109">
      <c r="A68" s="36" t="n">
        <v>19</v>
      </c>
      <c r="B68" s="272" t="inlineStr">
        <is>
          <t>income_main_gender</t>
        </is>
      </c>
      <c r="C68" s="273" t="inlineStr">
        <is>
          <t>income_main_gender</t>
        </is>
      </c>
      <c r="D68" s="35" t="inlineStr">
        <is>
          <t>What is the gender of the household member[s] generating income from this source? 
[OPERATOR: SINGLE RESPONSE.]
1)Male
2)Female
3)Joint [both male &amp; female]
4)DON'T KNOW
5)REFUSED</t>
        </is>
      </c>
      <c r="E68" s="15">
        <f>LEN(D68)</f>
        <v/>
      </c>
      <c r="F68" s="578"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68" s="524">
        <f>LEN(F68)</f>
        <v/>
      </c>
      <c r="H68" s="16" t="inlineStr">
        <is>
          <t>Single Choice</t>
        </is>
      </c>
      <c r="I68" s="15" t="inlineStr">
        <is>
          <t>NA</t>
        </is>
      </c>
      <c r="J68" s="15" t="inlineStr">
        <is>
          <t>NA</t>
        </is>
      </c>
      <c r="K68" s="15" t="inlineStr">
        <is>
          <t>Form Type - Buttons</t>
        </is>
      </c>
      <c r="L68" s="24" t="inlineStr">
        <is>
          <t>1-5 = [income_main_comp OR optional question]</t>
        </is>
      </c>
      <c r="M68" s="53" t="inlineStr">
        <is>
          <t>NA</t>
        </is>
      </c>
      <c r="N68" s="263" t="inlineStr">
        <is>
          <t>if income_main_gender = 1-5, go to income_main_comp or optional question</t>
        </is>
      </c>
      <c r="O68" s="33" t="inlineStr">
        <is>
          <t>1-5 = income_main_comp</t>
        </is>
      </c>
      <c r="P68" s="32" t="n"/>
      <c r="Q68" s="203">
        <f>1</f>
        <v/>
      </c>
      <c r="R68" s="103" t="n"/>
      <c r="T68" s="111" t="inlineStr">
        <is>
          <t>no</t>
        </is>
      </c>
      <c r="U68" s="692" t="n"/>
      <c r="X68" s="202" t="n">
        <v>4.787401676177979</v>
      </c>
      <c r="Y68" s="202">
        <f>IF(X68="","",X68*Q68)</f>
        <v/>
      </c>
      <c r="Z68" s="103">
        <f>IF(T68="yes",Y68,"")</f>
        <v/>
      </c>
    </row>
    <row r="69" customFormat="1" s="109">
      <c r="A69" s="31" t="n"/>
      <c r="B69" s="546" t="n"/>
      <c r="C69" s="195" t="n"/>
      <c r="D69" s="579" t="n"/>
      <c r="E69" s="531" t="n"/>
      <c r="F69" s="326" t="n"/>
      <c r="G69" s="531" t="n"/>
      <c r="H69" s="77" t="n"/>
      <c r="I69" s="74" t="n"/>
      <c r="J69" s="74" t="n"/>
      <c r="K69" s="74" t="n"/>
      <c r="L69" s="59" t="n"/>
      <c r="M69" s="37" t="n"/>
      <c r="N69" s="131" t="n"/>
      <c r="O69" s="131" t="n"/>
      <c r="P69" s="259" t="n"/>
      <c r="Q69" s="203">
        <f>1</f>
        <v/>
      </c>
      <c r="R69" s="103" t="n"/>
      <c r="T69" s="111" t="n"/>
      <c r="U69" s="692" t="n"/>
      <c r="X69" s="202" t="n"/>
      <c r="Y69" s="202">
        <f>IF(X69="","",X69*Q69)</f>
        <v/>
      </c>
      <c r="Z69" s="103">
        <f>IF(T69="yes",Y69,"")</f>
        <v/>
      </c>
    </row>
    <row r="70" ht="187.4" customFormat="1" customHeight="1" s="109">
      <c r="A70" s="31" t="n">
        <v>21</v>
      </c>
      <c r="B70" s="514" t="inlineStr">
        <is>
          <t>income_main_comp</t>
        </is>
      </c>
      <c r="C70" s="108" t="inlineStr">
        <is>
          <t>income_main_comp</t>
        </is>
      </c>
      <c r="D70" s="5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0" s="515">
        <f>LEN(D70)</f>
        <v/>
      </c>
      <c r="F70" s="528"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70" s="515">
        <f>LEN(F70)</f>
        <v/>
      </c>
      <c r="H70" s="517" t="inlineStr">
        <is>
          <t>Single Choice</t>
        </is>
      </c>
      <c r="I70" s="515" t="inlineStr">
        <is>
          <t>NA</t>
        </is>
      </c>
      <c r="J70" s="515" t="inlineStr">
        <is>
          <t>NA</t>
        </is>
      </c>
      <c r="K70" s="515" t="inlineStr">
        <is>
          <t>Form Type - Buttons</t>
        </is>
      </c>
      <c r="L70" s="132" t="inlineStr">
        <is>
          <t>1-7= income_sec</t>
        </is>
      </c>
      <c r="M70" s="165" t="inlineStr">
        <is>
          <t>NA</t>
        </is>
      </c>
      <c r="N70" s="132" t="inlineStr">
        <is>
          <t>if income_main_comp = 1-7, go to income_sec</t>
        </is>
      </c>
      <c r="O70" s="37" t="inlineStr"/>
      <c r="P70" s="9" t="n"/>
      <c r="Q70" s="198">
        <f>1</f>
        <v/>
      </c>
      <c r="R70" s="103" t="n"/>
      <c r="T70" s="312" t="inlineStr">
        <is>
          <t>yes</t>
        </is>
      </c>
      <c r="U70" s="692" t="n"/>
      <c r="X70" s="201" t="n">
        <v>22.1262149810791</v>
      </c>
      <c r="Y70" s="201">
        <f>IF(X70="","",X70*Q70)</f>
        <v/>
      </c>
      <c r="Z70" s="103">
        <f>IF(T70="yes",Y70,"")</f>
        <v/>
      </c>
    </row>
    <row r="71" customFormat="1" s="109">
      <c r="A71" s="31" t="n"/>
      <c r="B71" s="546" t="n"/>
      <c r="C71" s="71" t="n"/>
      <c r="D71" s="550" t="n"/>
      <c r="E71" s="531" t="n"/>
      <c r="F71" s="531" t="n"/>
      <c r="G71" s="531" t="n"/>
      <c r="H71" s="532" t="n"/>
      <c r="I71" s="531" t="n"/>
      <c r="J71" s="531" t="n"/>
      <c r="K71" s="531" t="n"/>
      <c r="L71" s="62" t="n"/>
      <c r="M71" s="37" t="n"/>
      <c r="N71" s="62" t="n"/>
      <c r="O71" s="62" t="n"/>
      <c r="P71" s="9" t="n"/>
      <c r="Q71" s="203">
        <f>1</f>
        <v/>
      </c>
      <c r="R71" s="103" t="n"/>
      <c r="T71" s="111" t="n"/>
      <c r="U71" s="692" t="n"/>
      <c r="X71" s="202" t="n"/>
      <c r="Y71" s="202">
        <f>IF(X71="","",X71*Q71)</f>
        <v/>
      </c>
      <c r="Z71" s="103">
        <f>IF(T71="yes",Y71,"")</f>
        <v/>
      </c>
    </row>
    <row r="72" ht="409.4" customFormat="1" customHeight="1" s="109">
      <c r="A72" s="31">
        <f>A70+1</f>
        <v/>
      </c>
      <c r="B72" s="514" t="inlineStr">
        <is>
          <t>income_sec</t>
        </is>
      </c>
      <c r="C72" s="108" t="inlineStr">
        <is>
          <t>income_sec</t>
        </is>
      </c>
      <c r="D72" s="580"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2" s="515">
        <f>LEN(D72)</f>
        <v/>
      </c>
      <c r="F72" s="528"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72" s="515">
        <f>LEN(F72)</f>
        <v/>
      </c>
      <c r="H72" s="517" t="inlineStr">
        <is>
          <t>Single Choice</t>
        </is>
      </c>
      <c r="I72" s="515" t="inlineStr">
        <is>
          <t>NA</t>
        </is>
      </c>
      <c r="J72" s="515" t="inlineStr">
        <is>
          <t>NA</t>
        </is>
      </c>
      <c r="K72" s="515" t="inlineStr">
        <is>
          <t>Form Type - Buttons
exclude selected "income_main"
IsDemographic</t>
        </is>
      </c>
      <c r="L72" s="105" t="inlineStr">
        <is>
          <t>1-3 = income_sec_crop_check
4 = income_sec_ls_check
5 = income_sec_comp OR optional question
6 = income_sec_fish_check
7-18 = income_sec_comp OR optional question
19-21 = o_debt</t>
        </is>
      </c>
      <c r="M72" s="165" t="inlineStr">
        <is>
          <t>NA</t>
        </is>
      </c>
      <c r="N72" s="11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O72" s="33" t="inlineStr">
        <is>
          <t>income_sec_gender</t>
        </is>
      </c>
      <c r="P72" s="9" t="n"/>
      <c r="Q72" s="198">
        <f>1</f>
        <v/>
      </c>
      <c r="R72" s="103" t="n"/>
      <c r="T72" s="312" t="inlineStr">
        <is>
          <t>yes</t>
        </is>
      </c>
      <c r="U72" s="692" t="n"/>
      <c r="X72" s="201" t="n">
        <v>18.71065330505371</v>
      </c>
      <c r="Y72" s="201">
        <f>IF(X72="","",X72*Q72)</f>
        <v/>
      </c>
      <c r="Z72" s="103">
        <f>IF(T72="yes",Y72,"")</f>
        <v/>
      </c>
    </row>
    <row r="73" ht="182.15" customFormat="1" customHeight="1" s="178">
      <c r="A73" s="31" t="n"/>
      <c r="B73" s="179" t="inlineStr">
        <is>
          <t>income_sec_crop_check</t>
        </is>
      </c>
      <c r="C73" s="186" t="inlineStr">
        <is>
          <t>income_sec_crop_check</t>
        </is>
      </c>
      <c r="D73" s="113" t="inlineStr">
        <is>
          <t>Are the crops sold also produced by you or anyone in your household?
[OPERATOR: SINGLE RESPONSE.]
1)YES
2)NO
3)DON'T KNOW
4)REFUSED</t>
        </is>
      </c>
      <c r="E73" s="106">
        <f>LEN(D73)</f>
        <v/>
      </c>
      <c r="F73" s="302" t="inlineStr">
        <is>
          <t>هل تم إنتاج المحاصيل التي تبيعها أنت أو أي شخص في منزلك أيضًا؟
[المشغل: استجابة واحدة.]
1) نعم
2) لا
3) لا أعرف
4) رفض الإجابة</t>
        </is>
      </c>
      <c r="G73" s="515">
        <f>LEN(F73)</f>
        <v/>
      </c>
      <c r="H73" s="108" t="inlineStr">
        <is>
          <t>Single Choice</t>
        </is>
      </c>
      <c r="I73" s="106" t="inlineStr">
        <is>
          <t>NA</t>
        </is>
      </c>
      <c r="J73" s="106" t="inlineStr">
        <is>
          <t>NA</t>
        </is>
      </c>
      <c r="K73" s="106" t="inlineStr">
        <is>
          <t>Form Type - Buttons</t>
        </is>
      </c>
      <c r="L73" s="105" t="inlineStr">
        <is>
          <t>1-4 = income_sec_comp OR optional question</t>
        </is>
      </c>
      <c r="M73" s="165" t="inlineStr">
        <is>
          <t>NA</t>
        </is>
      </c>
      <c r="N73" s="112" t="inlineStr">
        <is>
          <t>if income_sec_crop_check = 1-4, go to [income_sec_comp OR optional question]</t>
        </is>
      </c>
      <c r="O73" s="33" t="inlineStr">
        <is>
          <t>1-4 = income_sec_gender</t>
        </is>
      </c>
      <c r="P73" s="32" t="n"/>
      <c r="Q73" s="282">
        <f>1</f>
        <v/>
      </c>
      <c r="R73" s="104" t="n"/>
      <c r="T73" s="316" t="inlineStr">
        <is>
          <t>yes</t>
        </is>
      </c>
      <c r="U73" s="691" t="n"/>
      <c r="X73" s="205" t="n">
        <v>8</v>
      </c>
      <c r="Y73" s="205">
        <f>IF(X73="","",X73*Q73)</f>
        <v/>
      </c>
      <c r="Z73" s="104">
        <f>IF(T73="yes",Y73,"")</f>
        <v/>
      </c>
    </row>
    <row r="74" ht="182.15" customFormat="1" customHeight="1" s="178">
      <c r="A74" s="31" t="n"/>
      <c r="B74" s="179" t="inlineStr">
        <is>
          <t>income_sec_ls_check</t>
        </is>
      </c>
      <c r="C74" s="186" t="inlineStr">
        <is>
          <t>income_sec_ls_check</t>
        </is>
      </c>
      <c r="D74" s="490" t="inlineStr">
        <is>
          <t>Are the livestock or livestock products sold also produced by you or anyone in your household?
[OPERATOR: SINGLE RESPONSE.]
1)YES
2)NO
3)DON'T KNOW
4)REFUSED</t>
        </is>
      </c>
      <c r="E74" s="106">
        <f>LEN(D74)</f>
        <v/>
      </c>
      <c r="F74" s="302" t="inlineStr">
        <is>
          <t>هل تم إنتاج المواشي ومنتجاتها التي تبيعها أنت أو أي شخص في منزلك أيضًا؟
[المشغل: استجابة واحدة.]
1) نعم
2) لا
3) لا أعرف
4) رفض الإجابة</t>
        </is>
      </c>
      <c r="G74" s="515">
        <f>LEN(F74)</f>
        <v/>
      </c>
      <c r="H74" s="108" t="inlineStr">
        <is>
          <t>Single Choice</t>
        </is>
      </c>
      <c r="I74" s="106" t="inlineStr">
        <is>
          <t>NA</t>
        </is>
      </c>
      <c r="J74" s="106" t="inlineStr">
        <is>
          <t>NA</t>
        </is>
      </c>
      <c r="K74" s="106" t="inlineStr">
        <is>
          <t>Form Type - Buttons</t>
        </is>
      </c>
      <c r="L74" s="105" t="inlineStr">
        <is>
          <t>1-4 = income_sec_comp OR optional question</t>
        </is>
      </c>
      <c r="M74" s="165" t="inlineStr">
        <is>
          <t>NA</t>
        </is>
      </c>
      <c r="N74" s="112" t="inlineStr">
        <is>
          <t>if income_sec_ls_check = 1-4, go to [income_sec_comp OR optional question]</t>
        </is>
      </c>
      <c r="O74" s="33" t="inlineStr">
        <is>
          <t>1-4 = income_sec_gender</t>
        </is>
      </c>
      <c r="P74" s="32" t="n"/>
      <c r="Q74" s="282">
        <f>1</f>
        <v/>
      </c>
      <c r="R74" s="104" t="n"/>
      <c r="T74" s="316" t="inlineStr">
        <is>
          <t>yes</t>
        </is>
      </c>
      <c r="U74" s="691" t="n"/>
      <c r="X74" s="205" t="n">
        <v>8</v>
      </c>
      <c r="Y74" s="205">
        <f>IF(X74="","",X74*Q74)</f>
        <v/>
      </c>
      <c r="Z74" s="104">
        <f>IF(T74="yes",Y74,"")</f>
        <v/>
      </c>
    </row>
    <row r="75" ht="182.15" customFormat="1" customHeight="1" s="109">
      <c r="A75" s="31" t="n"/>
      <c r="B75" s="179" t="inlineStr">
        <is>
          <t>income_sec_fish_check</t>
        </is>
      </c>
      <c r="C75" s="186" t="inlineStr">
        <is>
          <t>income_sec_fish_check</t>
        </is>
      </c>
      <c r="D75" s="113" t="inlineStr">
        <is>
          <t>Are the fish or aquatic products sold also captured/harvested by you or anyone in your household?
[OPERATOR: SINGLE RESPONSE.]
1)YES
2)NO
3)DON'T KNOW
4)REFUSED</t>
        </is>
      </c>
      <c r="E75" s="106">
        <f>LEN(D75)</f>
        <v/>
      </c>
      <c r="F75"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75" s="515">
        <f>LEN(F75)</f>
        <v/>
      </c>
      <c r="H75" s="108" t="inlineStr">
        <is>
          <t>Single Choice</t>
        </is>
      </c>
      <c r="I75" s="106" t="inlineStr">
        <is>
          <t>NA</t>
        </is>
      </c>
      <c r="J75" s="106" t="inlineStr">
        <is>
          <t>NA</t>
        </is>
      </c>
      <c r="K75" s="106" t="inlineStr">
        <is>
          <t>Form Type - Buttons</t>
        </is>
      </c>
      <c r="L75" s="105" t="inlineStr">
        <is>
          <t>1-4 = income_sec_comp OR optional question</t>
        </is>
      </c>
      <c r="M75" s="165" t="inlineStr">
        <is>
          <t>NA</t>
        </is>
      </c>
      <c r="N75" s="112" t="inlineStr">
        <is>
          <t>if income_sec_fish_check = 1-4, go to [income_sec_comp OR optional question]</t>
        </is>
      </c>
      <c r="O75" s="33" t="inlineStr">
        <is>
          <t>1-4 = income_sec_gender</t>
        </is>
      </c>
      <c r="P75" s="32" t="n"/>
      <c r="Q75" s="198">
        <f>1</f>
        <v/>
      </c>
      <c r="R75" s="103" t="n"/>
      <c r="T75" s="312" t="inlineStr">
        <is>
          <t>yes</t>
        </is>
      </c>
      <c r="U75" s="692" t="n"/>
      <c r="X75" s="201" t="n">
        <v>8</v>
      </c>
      <c r="Y75" s="201">
        <f>IF(X75="","",X75*Q75)</f>
        <v/>
      </c>
      <c r="Z75" s="103">
        <f>IF(T75="yes",Y75,"")</f>
        <v/>
      </c>
    </row>
    <row r="76" customFormat="1" s="109">
      <c r="A76" s="70" t="n"/>
      <c r="B76" s="192" t="n"/>
      <c r="C76" s="195" t="n"/>
      <c r="D76" s="196" t="n"/>
      <c r="E76" s="74" t="n"/>
      <c r="G76" s="74" t="n"/>
      <c r="H76" s="71" t="n"/>
      <c r="I76" s="74" t="n"/>
      <c r="J76" s="74" t="n"/>
      <c r="K76" s="74" t="n"/>
      <c r="L76" s="59" t="n"/>
      <c r="M76" s="37" t="n"/>
      <c r="N76" s="131" t="n"/>
      <c r="O76" s="131" t="n"/>
      <c r="P76" s="32" t="n"/>
      <c r="Q76" s="203">
        <f>1</f>
        <v/>
      </c>
      <c r="R76" s="103" t="n"/>
      <c r="T76" s="111" t="n"/>
      <c r="U76" s="692" t="n"/>
      <c r="X76" s="202" t="n"/>
      <c r="Y76" s="202">
        <f>IF(X76="","",X76*Q76)</f>
        <v/>
      </c>
      <c r="Z76" s="103">
        <f>IF(T76="yes",Y76,"")</f>
        <v/>
      </c>
    </row>
    <row r="77" ht="156" customFormat="1" customHeight="1" s="109">
      <c r="A77" s="36" t="n">
        <v>24</v>
      </c>
      <c r="B77" s="272" t="inlineStr">
        <is>
          <t>income_sec_gender</t>
        </is>
      </c>
      <c r="C77" s="273" t="inlineStr">
        <is>
          <t>income_sec_gender</t>
        </is>
      </c>
      <c r="D77" s="35" t="inlineStr">
        <is>
          <t>What is the gender of the household member[s] generating income from this source? 
[OPERATOR: SINGLE RESPONSE.]
1)Male
2)Female
3)Joint [both male &amp; female]
4)DON'T KNOW
5)REFUSED</t>
        </is>
      </c>
      <c r="E77" s="15">
        <f>LEN(D77)</f>
        <v/>
      </c>
      <c r="F77" s="578"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7" s="524">
        <f>LEN(F77)</f>
        <v/>
      </c>
      <c r="H77" s="16" t="inlineStr">
        <is>
          <t>Single Choice</t>
        </is>
      </c>
      <c r="I77" s="15" t="inlineStr">
        <is>
          <t>NA</t>
        </is>
      </c>
      <c r="J77" s="15" t="inlineStr">
        <is>
          <t>NA</t>
        </is>
      </c>
      <c r="K77" s="15" t="inlineStr">
        <is>
          <t>Form Type - Buttons</t>
        </is>
      </c>
      <c r="L77" s="24" t="inlineStr">
        <is>
          <t>1-5 = [income_sec_comp OR optional question]</t>
        </is>
      </c>
      <c r="M77" s="53" t="inlineStr">
        <is>
          <t>NA</t>
        </is>
      </c>
      <c r="N77" s="263" t="inlineStr">
        <is>
          <t>if income_sec_gender = 1-5, go to income_sec_comp or optional question</t>
        </is>
      </c>
      <c r="O77" s="33" t="inlineStr">
        <is>
          <t>1-5 = income_sec_comp</t>
        </is>
      </c>
      <c r="P77" s="32" t="n"/>
      <c r="Q77" s="203">
        <f>1</f>
        <v/>
      </c>
      <c r="R77" s="103" t="n"/>
      <c r="T77" s="111" t="inlineStr">
        <is>
          <t>no</t>
        </is>
      </c>
      <c r="U77" s="692" t="n"/>
      <c r="X77" s="202" t="n">
        <v>4.787401676177979</v>
      </c>
      <c r="Y77" s="202">
        <f>IF(X77="","",X77*Q77)</f>
        <v/>
      </c>
      <c r="Z77" s="103">
        <f>IF(T77="yes",Y77,"")</f>
        <v/>
      </c>
    </row>
    <row r="78" customFormat="1" s="109">
      <c r="A78" s="31" t="n"/>
      <c r="B78" s="546" t="n"/>
      <c r="C78" s="195" t="n"/>
      <c r="D78" s="579" t="n"/>
      <c r="E78" s="531" t="n"/>
      <c r="F78" s="74" t="n"/>
      <c r="G78" s="531" t="n"/>
      <c r="H78" s="77" t="n"/>
      <c r="I78" s="74" t="n"/>
      <c r="J78" s="74" t="n"/>
      <c r="K78" s="74" t="n"/>
      <c r="L78" s="59" t="n"/>
      <c r="M78" s="37" t="n"/>
      <c r="N78" s="59" t="n"/>
      <c r="O78" s="59" t="n"/>
      <c r="P78" s="259" t="n"/>
      <c r="Q78" s="203">
        <f>1</f>
        <v/>
      </c>
      <c r="R78" s="103" t="n"/>
      <c r="T78" s="111" t="n"/>
      <c r="U78" s="692" t="n"/>
      <c r="X78" s="202" t="n"/>
      <c r="Y78" s="202">
        <f>IF(X78="","",X78*Q78)</f>
        <v/>
      </c>
      <c r="Z78" s="103">
        <f>IF(T78="yes",Y78,"")</f>
        <v/>
      </c>
    </row>
    <row r="79" ht="187.4" customFormat="1" customHeight="1" s="109">
      <c r="A79" s="31">
        <f>#REF!+1</f>
        <v/>
      </c>
      <c r="B79" s="514" t="inlineStr">
        <is>
          <t>income_sec_comp</t>
        </is>
      </c>
      <c r="C79" s="108" t="inlineStr">
        <is>
          <t>income_sec_comp</t>
        </is>
      </c>
      <c r="D79" s="5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79" s="515">
        <f>LEN(D79)</f>
        <v/>
      </c>
      <c r="F79" s="528"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79" s="515">
        <f>LEN(F79)</f>
        <v/>
      </c>
      <c r="H79" s="517" t="inlineStr">
        <is>
          <t>Single Choice</t>
        </is>
      </c>
      <c r="I79" s="515" t="inlineStr">
        <is>
          <t>NA</t>
        </is>
      </c>
      <c r="J79" s="515" t="inlineStr">
        <is>
          <t>NA</t>
        </is>
      </c>
      <c r="K79" s="515" t="inlineStr">
        <is>
          <t>Form Type - Buttons</t>
        </is>
      </c>
      <c r="L79" s="132" t="inlineStr">
        <is>
          <t>1-7= income_third</t>
        </is>
      </c>
      <c r="M79" s="165" t="inlineStr">
        <is>
          <t>NA</t>
        </is>
      </c>
      <c r="N79" s="132" t="inlineStr">
        <is>
          <t>if income_sec_comp = 1-7, go to income_third</t>
        </is>
      </c>
      <c r="O79" s="37" t="inlineStr"/>
      <c r="P79" s="9" t="n"/>
      <c r="Q79" s="198">
        <f>1</f>
        <v/>
      </c>
      <c r="R79" s="103" t="n"/>
      <c r="T79" s="312" t="inlineStr">
        <is>
          <t>yes</t>
        </is>
      </c>
      <c r="U79" s="692" t="n"/>
      <c r="X79" s="201" t="n">
        <v>17.26140213012695</v>
      </c>
      <c r="Y79" s="201">
        <f>IF(X79="","",X79*Q79)</f>
        <v/>
      </c>
      <c r="Z79" s="103">
        <f>IF(T79="yes",Y79,"")</f>
        <v/>
      </c>
    </row>
    <row r="80" customFormat="1" s="109">
      <c r="A80" s="31" t="n"/>
      <c r="B80" s="546" t="n"/>
      <c r="C80" s="71" t="n"/>
      <c r="D80" s="550" t="n"/>
      <c r="E80" s="531" t="n"/>
      <c r="F80" s="531" t="n"/>
      <c r="G80" s="531" t="n"/>
      <c r="H80" s="532" t="n"/>
      <c r="I80" s="531" t="n"/>
      <c r="J80" s="531" t="n"/>
      <c r="K80" s="531" t="n"/>
      <c r="L80" s="62" t="n"/>
      <c r="M80" s="37" t="n"/>
      <c r="N80" s="62" t="n"/>
      <c r="O80" s="62" t="n"/>
      <c r="P80" s="9" t="n"/>
      <c r="Q80" s="203">
        <f>1</f>
        <v/>
      </c>
      <c r="R80" s="103" t="n"/>
      <c r="T80" s="111" t="n"/>
      <c r="U80" s="692" t="n"/>
      <c r="X80" s="202" t="n"/>
      <c r="Y80" s="202">
        <f>IF(X80="","",X80*Q80)</f>
        <v/>
      </c>
      <c r="Z80" s="103">
        <f>IF(T80="yes",Y80,"")</f>
        <v/>
      </c>
    </row>
    <row r="81" ht="409.5" customFormat="1" customHeight="1" s="109">
      <c r="A81" s="31">
        <f>A79+1</f>
        <v/>
      </c>
      <c r="B81" s="514" t="inlineStr">
        <is>
          <t>income_third</t>
        </is>
      </c>
      <c r="C81" s="108" t="inlineStr">
        <is>
          <t>income_third</t>
        </is>
      </c>
      <c r="D81" s="580"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1" s="515">
        <f>LEN(D81)</f>
        <v/>
      </c>
      <c r="F81" s="528"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81" s="515">
        <f>LEN(F81)</f>
        <v/>
      </c>
      <c r="H81" s="517" t="inlineStr">
        <is>
          <t>Single Choice</t>
        </is>
      </c>
      <c r="I81" s="515" t="inlineStr">
        <is>
          <t>NA</t>
        </is>
      </c>
      <c r="J81" s="515" t="inlineStr">
        <is>
          <t>NA</t>
        </is>
      </c>
      <c r="K81" s="515" t="inlineStr">
        <is>
          <t>Form Type - Buttons
exclude selected "income_main"
exclude selected "income_sec"
IsDemographic</t>
        </is>
      </c>
      <c r="L81" s="105" t="inlineStr">
        <is>
          <t>1-3 = income_third_crop_check
4 = income_third_ls_check
5 = income_third_comp OR optional question
6 = income_third_fish_check
7-18 = income_third_comp OR optional question
19-21 = o_debt</t>
        </is>
      </c>
      <c r="M81" s="165" t="inlineStr">
        <is>
          <t>NA</t>
        </is>
      </c>
      <c r="N81" s="11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O81" s="33" t="inlineStr">
        <is>
          <t>income_third_gender</t>
        </is>
      </c>
      <c r="P81" s="9" t="n"/>
      <c r="Q81" s="198">
        <f>1</f>
        <v/>
      </c>
      <c r="R81" s="103" t="n"/>
      <c r="T81" s="312" t="inlineStr">
        <is>
          <t>yes</t>
        </is>
      </c>
      <c r="U81" s="692" t="n"/>
      <c r="X81" s="201" t="n">
        <v>14.47539234161377</v>
      </c>
      <c r="Y81" s="201">
        <f>IF(X81="","",X81*Q81)</f>
        <v/>
      </c>
      <c r="Z81" s="103">
        <f>IF(T81="yes",Y81,"")</f>
        <v/>
      </c>
    </row>
    <row r="82" ht="182.15" customFormat="1" customHeight="1" s="178">
      <c r="A82" s="249" t="n"/>
      <c r="B82" s="179" t="inlineStr">
        <is>
          <t>income_third_crop_check</t>
        </is>
      </c>
      <c r="C82" s="186" t="inlineStr">
        <is>
          <t>income_third_crop_check</t>
        </is>
      </c>
      <c r="D82" s="113" t="inlineStr">
        <is>
          <t>Are the crops sold also produced by you or anyone in your household?
[OPERATOR: SINGLE RESPONSE.]
1)YES
2)NO
3)DON'T KNOW
4)REFUSED</t>
        </is>
      </c>
      <c r="E82" s="106">
        <f>LEN(D82)</f>
        <v/>
      </c>
      <c r="F82" s="302" t="inlineStr">
        <is>
          <t>هل تم إنتاج المحاصيل التي تبيعها أنت أو أي شخص في منزلك أيضًا؟
[المشغل: استجابة واحدة.]
1) نعم
2) لا
3) لا أعرف
4) رفض الإجابة</t>
        </is>
      </c>
      <c r="G82" s="515">
        <f>LEN(F82)</f>
        <v/>
      </c>
      <c r="H82" s="108" t="inlineStr">
        <is>
          <t>Single Choice</t>
        </is>
      </c>
      <c r="I82" s="106" t="inlineStr">
        <is>
          <t>NA</t>
        </is>
      </c>
      <c r="J82" s="106" t="inlineStr">
        <is>
          <t>NA</t>
        </is>
      </c>
      <c r="K82" s="106" t="inlineStr">
        <is>
          <t>Form Type - Buttons</t>
        </is>
      </c>
      <c r="L82" s="105" t="inlineStr">
        <is>
          <t>1-4 = income_third_comp OR optional question</t>
        </is>
      </c>
      <c r="M82" s="165" t="inlineStr">
        <is>
          <t>NA</t>
        </is>
      </c>
      <c r="N82" s="112" t="inlineStr">
        <is>
          <t>if income_third_crop_check = 1-4, go to [income_third_comp OR optional question]</t>
        </is>
      </c>
      <c r="O82" s="33" t="inlineStr">
        <is>
          <t>1-4 = income_third_gender</t>
        </is>
      </c>
      <c r="P82" s="32" t="n"/>
      <c r="Q82" s="282">
        <f>1</f>
        <v/>
      </c>
      <c r="R82" s="104" t="n"/>
      <c r="T82" s="316" t="inlineStr">
        <is>
          <t>yes</t>
        </is>
      </c>
      <c r="U82" s="691" t="n"/>
      <c r="X82" s="205" t="n">
        <v>8</v>
      </c>
      <c r="Y82" s="205">
        <f>IF(X82="","",X82*Q82)</f>
        <v/>
      </c>
      <c r="Z82" s="104">
        <f>IF(T82="yes",Y82,"")</f>
        <v/>
      </c>
    </row>
    <row r="83" ht="182.15" customFormat="1" customHeight="1" s="178">
      <c r="A83" s="249" t="n"/>
      <c r="B83" s="179" t="inlineStr">
        <is>
          <t>income_third_ls_check</t>
        </is>
      </c>
      <c r="C83" s="186" t="inlineStr">
        <is>
          <t>income_third_ls_check</t>
        </is>
      </c>
      <c r="D83" s="490" t="inlineStr">
        <is>
          <t>Are the livestock or livestock products sold also produced by you or anyone in your household?
[OPERATOR: SINGLE RESPONSE.]
1)YES
2)NO
3)DON'T KNOW
4)REFUSED</t>
        </is>
      </c>
      <c r="E83" s="106">
        <f>LEN(D83)</f>
        <v/>
      </c>
      <c r="F83" s="302" t="inlineStr">
        <is>
          <t>هل تم إنتاج المواشي ومنتجاتها التي تبيعها أنت أو أي شخص في منزلك أيضًا؟
[المشغل: استجابة واحدة.]
1) نعم
2) لا
3) لا أعرف
4) رفض الإجابة</t>
        </is>
      </c>
      <c r="G83" s="515">
        <f>LEN(F83)</f>
        <v/>
      </c>
      <c r="H83" s="108" t="inlineStr">
        <is>
          <t>Single Choice</t>
        </is>
      </c>
      <c r="I83" s="106" t="inlineStr">
        <is>
          <t>NA</t>
        </is>
      </c>
      <c r="J83" s="106" t="inlineStr">
        <is>
          <t>NA</t>
        </is>
      </c>
      <c r="K83" s="106" t="inlineStr">
        <is>
          <t>Form Type - Buttons</t>
        </is>
      </c>
      <c r="L83" s="105" t="inlineStr">
        <is>
          <t>1-4 = income_third_comp OR optional question</t>
        </is>
      </c>
      <c r="M83" s="165" t="inlineStr">
        <is>
          <t>NA</t>
        </is>
      </c>
      <c r="N83" s="112" t="inlineStr">
        <is>
          <t>if income_third_ls_check = 1-4, go to [income_third_comp OR optional question]</t>
        </is>
      </c>
      <c r="O83" s="33" t="inlineStr">
        <is>
          <t>1-4 = income_third_gender</t>
        </is>
      </c>
      <c r="P83" s="32" t="n"/>
      <c r="Q83" s="282">
        <f>1</f>
        <v/>
      </c>
      <c r="R83" s="104" t="n"/>
      <c r="T83" s="316" t="inlineStr">
        <is>
          <t>yes</t>
        </is>
      </c>
      <c r="U83" s="691" t="n"/>
      <c r="X83" s="205" t="n">
        <v>8</v>
      </c>
      <c r="Y83" s="205">
        <f>IF(X83="","",X83*Q83)</f>
        <v/>
      </c>
      <c r="Z83" s="104">
        <f>IF(T83="yes",Y83,"")</f>
        <v/>
      </c>
    </row>
    <row r="84" ht="182.15" customFormat="1" customHeight="1" s="109">
      <c r="A84" s="249" t="n"/>
      <c r="B84" s="179" t="inlineStr">
        <is>
          <t>income_third_fish_check</t>
        </is>
      </c>
      <c r="C84" s="186" t="inlineStr">
        <is>
          <t>income_third_fish_check</t>
        </is>
      </c>
      <c r="D84" s="113" t="inlineStr">
        <is>
          <t>Are the fish or aquatic products sold also captured/harvested by you or anyone in your household?
[OPERATOR: SINGLE RESPONSE.]
2)NO
3)DON'T KNOW
4)REFUSED</t>
        </is>
      </c>
      <c r="E84" s="106">
        <f>LEN(D84)</f>
        <v/>
      </c>
      <c r="F84"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4" s="515">
        <f>LEN(F84)</f>
        <v/>
      </c>
      <c r="H84" s="108" t="inlineStr">
        <is>
          <t>Single Choice</t>
        </is>
      </c>
      <c r="I84" s="106" t="inlineStr">
        <is>
          <t>NA</t>
        </is>
      </c>
      <c r="J84" s="106" t="inlineStr">
        <is>
          <t>NA</t>
        </is>
      </c>
      <c r="K84" s="106" t="inlineStr">
        <is>
          <t>Form Type - Buttons</t>
        </is>
      </c>
      <c r="L84" s="105" t="inlineStr">
        <is>
          <t>1-4 = income_third_comp OR optional question</t>
        </is>
      </c>
      <c r="M84" s="165" t="inlineStr">
        <is>
          <t>NA</t>
        </is>
      </c>
      <c r="N84" s="112" t="inlineStr">
        <is>
          <t>if income_third_fish_check = 1-4, go to [income_third_comp OR optional question]</t>
        </is>
      </c>
      <c r="O84" s="33" t="inlineStr">
        <is>
          <t>1-4 = income_third_gender</t>
        </is>
      </c>
      <c r="P84" s="32" t="n"/>
      <c r="Q84" s="198">
        <f>1</f>
        <v/>
      </c>
      <c r="R84" s="103" t="n"/>
      <c r="T84" s="312" t="inlineStr">
        <is>
          <t>yes</t>
        </is>
      </c>
      <c r="U84" s="692" t="n"/>
      <c r="X84" s="201" t="n">
        <v>8</v>
      </c>
      <c r="Y84" s="201">
        <f>IF(X84="","",X84*Q84)</f>
        <v/>
      </c>
      <c r="Z84" s="103">
        <f>IF(T84="yes",Y84,"")</f>
        <v/>
      </c>
    </row>
    <row r="85" customFormat="1" s="109">
      <c r="A85" s="70" t="n"/>
      <c r="B85" s="192" t="n"/>
      <c r="C85" s="195" t="n"/>
      <c r="D85" s="196" t="n"/>
      <c r="E85" s="74" t="n"/>
      <c r="G85" s="74" t="n"/>
      <c r="H85" s="71" t="n"/>
      <c r="I85" s="74" t="n"/>
      <c r="J85" s="74" t="n"/>
      <c r="K85" s="74" t="n"/>
      <c r="L85" s="59" t="n"/>
      <c r="M85" s="37" t="n"/>
      <c r="N85" s="131" t="n"/>
      <c r="O85" s="131" t="n"/>
      <c r="P85" s="32" t="n"/>
      <c r="Q85" s="203">
        <f>1</f>
        <v/>
      </c>
      <c r="R85" s="103" t="n"/>
      <c r="T85" s="111" t="n"/>
      <c r="U85" s="692" t="n"/>
      <c r="X85" s="202" t="n"/>
      <c r="Y85" s="202">
        <f>IF(X85="","",X85*Q85)</f>
        <v/>
      </c>
      <c r="Z85" s="103">
        <f>IF(T85="yes",Y85,"")</f>
        <v/>
      </c>
    </row>
    <row r="86" ht="156" customFormat="1" customHeight="1" s="109">
      <c r="A86" s="36" t="n">
        <v>18</v>
      </c>
      <c r="B86" s="272" t="inlineStr">
        <is>
          <t>income_third_gender</t>
        </is>
      </c>
      <c r="C86" s="273" t="inlineStr">
        <is>
          <t>income_third_gender</t>
        </is>
      </c>
      <c r="D86" s="35" t="inlineStr">
        <is>
          <t>What is the gender of the household member[s] generating income from this sourcaaaaaaaaaaaaaaaaaaaaaaaaaaaaaaaaaaaaaaaaaaaaaaaaaaaaaaaaaaaae? 
[OPERATOR: SINGLE RESPONSE.]
1)Male
2)Female
3)Joint [both male &amp; female]
4)DON'T KNOW
5)REFUSED</t>
        </is>
      </c>
      <c r="E86" s="15">
        <f>LEN(D86)</f>
        <v/>
      </c>
      <c r="F86" s="578" t="inlineStr">
        <is>
          <t>ما هو جنس الفرد ( الأفراد ) داخل الاسرة الذين يحصلون علي الدخل من 
[المشغل: استجابة واحدة.]
1) ذكر
2) أنثى 
3) مختلط ( ذكر و أنثى )
4) لا أعرف
5) رفض الإجابة</t>
        </is>
      </c>
      <c r="G86" s="524">
        <f>LEN(F86)</f>
        <v/>
      </c>
      <c r="H86" s="16" t="inlineStr">
        <is>
          <t>Single Choice</t>
        </is>
      </c>
      <c r="I86" s="15" t="inlineStr">
        <is>
          <t>NA</t>
        </is>
      </c>
      <c r="J86" s="15" t="inlineStr">
        <is>
          <t>NA</t>
        </is>
      </c>
      <c r="K86" s="15" t="inlineStr">
        <is>
          <t>Form Type - Buttons</t>
        </is>
      </c>
      <c r="L86" s="24" t="inlineStr">
        <is>
          <t>1-5 = income_third_comp or optional question</t>
        </is>
      </c>
      <c r="M86" s="53" t="inlineStr">
        <is>
          <t>NA</t>
        </is>
      </c>
      <c r="N86" s="263" t="inlineStr">
        <is>
          <t>if income_third_gender = 1-5, go to [income_third_comp or optional question]</t>
        </is>
      </c>
      <c r="O86" s="33" t="inlineStr">
        <is>
          <t>1-5 = income_third_comp</t>
        </is>
      </c>
      <c r="P86" s="32" t="n"/>
      <c r="Q86" s="203">
        <f>1</f>
        <v/>
      </c>
      <c r="R86" s="103" t="n"/>
      <c r="T86" s="111" t="inlineStr">
        <is>
          <t>no</t>
        </is>
      </c>
      <c r="U86" s="692" t="n"/>
      <c r="X86" s="202" t="n">
        <v>4.787401676177979</v>
      </c>
      <c r="Y86" s="202">
        <f>IF(X86="","",X86*Q86)</f>
        <v/>
      </c>
      <c r="Z86" s="103">
        <f>IF(T86="yes",Y86,"")</f>
        <v/>
      </c>
    </row>
    <row r="87" customFormat="1" s="109">
      <c r="A87" s="31" t="n"/>
      <c r="B87" s="546" t="n"/>
      <c r="C87" s="195" t="n"/>
      <c r="D87" s="579" t="n"/>
      <c r="E87" s="531" t="n"/>
      <c r="F87" s="74" t="n"/>
      <c r="G87" s="531" t="n"/>
      <c r="H87" s="77" t="n"/>
      <c r="I87" s="74" t="n"/>
      <c r="J87" s="74" t="n"/>
      <c r="K87" s="74" t="n"/>
      <c r="L87" s="59" t="n"/>
      <c r="M87" s="37" t="n"/>
      <c r="N87" s="59" t="n"/>
      <c r="O87" s="59" t="n"/>
      <c r="P87" s="259" t="n"/>
      <c r="Q87" s="203">
        <f>1</f>
        <v/>
      </c>
      <c r="R87" s="103" t="n"/>
      <c r="T87" s="111" t="n"/>
      <c r="U87" s="692" t="n"/>
      <c r="X87" s="202" t="n"/>
      <c r="Y87" s="202">
        <f>IF(X87="","",X87*Q87)</f>
        <v/>
      </c>
      <c r="Z87" s="103">
        <f>IF(T87="yes",Y87,"")</f>
        <v/>
      </c>
    </row>
    <row r="88" ht="187.4" customFormat="1" customHeight="1" s="109">
      <c r="A88" s="31">
        <f>#REF!+1</f>
        <v/>
      </c>
      <c r="B88" s="514" t="inlineStr">
        <is>
          <t>income_third_comp</t>
        </is>
      </c>
      <c r="C88" s="108" t="inlineStr">
        <is>
          <t>income_third_comp</t>
        </is>
      </c>
      <c r="D88" s="581" t="inlineStr">
        <is>
          <t>Has your household's income from {income_third} changed in the last 3 months compaaaaaaaaaaaaaaaaaaaaaaaaaaaaaaaaaaaaaaaaaaaaaaaaaaaaaaaaaaaaaaaaaaaaaared to the same period of  last year?
aaaaaaaaaa
[OPERATOR: SINGLE RESPONSE.]
1)A lot more [increased by more than 50%]
2)Slightly more
3)Same
4)Slightly less
5)A lot less [less than half as much]
6)DON'T KNOW
7)REFUSED</t>
        </is>
      </c>
      <c r="E88" s="515">
        <f>LEN(D88)</f>
        <v/>
      </c>
      <c r="F88" s="581"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8" s="515">
        <f>LEN(F88)</f>
        <v/>
      </c>
      <c r="H88" s="517" t="inlineStr">
        <is>
          <t>Single Choice</t>
        </is>
      </c>
      <c r="I88" s="515" t="inlineStr">
        <is>
          <t>NA</t>
        </is>
      </c>
      <c r="J88" s="515" t="inlineStr">
        <is>
          <t>NA</t>
        </is>
      </c>
      <c r="K88" s="515" t="inlineStr">
        <is>
          <t>Form Type - Buttons</t>
        </is>
      </c>
      <c r="L88" s="132" t="inlineStr">
        <is>
          <t>1-7= shock</t>
        </is>
      </c>
      <c r="M88" s="165" t="inlineStr">
        <is>
          <t>NA</t>
        </is>
      </c>
      <c r="N88" s="132" t="inlineStr">
        <is>
          <t>if income_third_comp = 1-7, go to shock</t>
        </is>
      </c>
      <c r="O88" s="33" t="inlineStr">
        <is>
          <t>1-7 = o_debt</t>
        </is>
      </c>
      <c r="P88" s="9" t="n"/>
      <c r="Q88" s="198">
        <f>1</f>
        <v/>
      </c>
      <c r="R88" s="103" t="n"/>
      <c r="T88" s="312" t="inlineStr">
        <is>
          <t>yes</t>
        </is>
      </c>
      <c r="U88" s="692" t="n"/>
      <c r="X88" s="201" t="n">
        <v>15.87650299072266</v>
      </c>
      <c r="Y88" s="201">
        <f>IF(X88="","",X88*Q88)</f>
        <v/>
      </c>
      <c r="Z88" s="103">
        <f>IF(T88="yes",Y88,"")</f>
        <v/>
      </c>
    </row>
    <row r="89" ht="156" customFormat="1" customHeight="1" s="109">
      <c r="A89" s="31" t="n"/>
      <c r="B89" s="582" t="inlineStr">
        <is>
          <t>o_debt</t>
        </is>
      </c>
      <c r="C89" s="71" t="inlineStr">
        <is>
          <t>o_debt</t>
        </is>
      </c>
      <c r="D89" s="583" t="inlineStr">
        <is>
          <t>Have you incurred any new debt in the past three months which you have not repaid?
[OPERATOR: SINGLE RESPONSE.]
1)YES
2)NO
3)DON’T KNOW
4)REFUSED</t>
        </is>
      </c>
      <c r="E89" s="584" t="n"/>
      <c r="F89" s="585" t="inlineStr">
        <is>
          <t>هل تكبدت أي ديون جديدة في الأشهر الثلاثة الماضية لم تسددها؟
[المشغل: استجابة واحدة.]
1) نعم
2) لا
3) لا أعرف
4) رفض الإجابة</t>
        </is>
      </c>
      <c r="G89" s="531" t="n"/>
      <c r="H89" s="532" t="inlineStr">
        <is>
          <t>Single Choice</t>
        </is>
      </c>
      <c r="I89" s="531" t="n"/>
      <c r="J89" s="531" t="n"/>
      <c r="K89" s="531" t="n"/>
      <c r="L89" s="37" t="inlineStr">
        <is>
          <t>1 = o_debt_amount;
2-4 = shock</t>
        </is>
      </c>
      <c r="M89" s="37" t="inlineStr"/>
      <c r="N89" s="37" t="n"/>
      <c r="O89" s="33" t="inlineStr">
        <is>
          <t>1 = o_debt_amount;
2-4 = shock</t>
        </is>
      </c>
      <c r="P89" s="9" t="n"/>
      <c r="Q89" s="203">
        <f>1</f>
        <v/>
      </c>
      <c r="R89" s="103" t="n"/>
      <c r="T89" s="111" t="inlineStr"/>
      <c r="U89" s="692" t="n"/>
      <c r="X89" s="202" t="n"/>
      <c r="Y89" s="202">
        <f>IF(X89="","",X89*Q89)</f>
        <v/>
      </c>
      <c r="Z89" s="103">
        <f>IF(T89="yes",Y89,"")</f>
        <v/>
      </c>
    </row>
    <row r="90" ht="105.65" customFormat="1" customHeight="1" s="109">
      <c r="A90" s="31" t="n"/>
      <c r="B90" s="582" t="inlineStr">
        <is>
          <t>o_debt_amount</t>
        </is>
      </c>
      <c r="C90" s="71" t="inlineStr"/>
      <c r="D90" s="586" t="inlineStr">
        <is>
          <t>What is the total amount of debt you currently have [in Rial]?
[OPERATOR: DOUBLE CHECK FOR OUTLIERS &amp; MAKE SURE THE INFORMATION IS RECORDED IN THE CORRECT CURRENCY. ENTER 8888888 FOR DON'T KNOW AND 9999999 FOR REFUSED.]</t>
        </is>
      </c>
      <c r="E90" s="584" t="n"/>
      <c r="F90" s="587"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0" s="531" t="n"/>
      <c r="H90" s="532" t="inlineStr">
        <is>
          <t>Range</t>
        </is>
      </c>
      <c r="I90" s="531" t="n"/>
      <c r="J90" s="531" t="n"/>
      <c r="K90" s="531" t="n"/>
      <c r="L90" s="37" t="inlineStr">
        <is>
          <t>Any response go to shock</t>
        </is>
      </c>
      <c r="M90" s="62" t="inlineStr"/>
      <c r="N90" s="37" t="inlineStr">
        <is>
          <t>
</t>
        </is>
      </c>
      <c r="O90" s="33" t="inlineStr">
        <is>
          <t>Any response go to shock</t>
        </is>
      </c>
      <c r="P90" s="414" t="inlineStr">
        <is>
          <t>Debt minimum: YER 1000
Debt Maximum: YER 1000000</t>
        </is>
      </c>
      <c r="Q90" s="203" t="n"/>
      <c r="R90" s="103" t="n"/>
      <c r="T90" s="111" t="inlineStr"/>
      <c r="U90" s="692" t="n"/>
      <c r="X90" s="202" t="n"/>
      <c r="Y90" s="202" t="n"/>
      <c r="Z90" s="103" t="n"/>
    </row>
    <row r="91" ht="409.4" customFormat="1" customHeight="1" s="109">
      <c r="A91" s="31">
        <f>#REF!+1</f>
        <v/>
      </c>
      <c r="B91" s="514" t="inlineStr">
        <is>
          <t>shock</t>
        </is>
      </c>
      <c r="C91" s="274"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1" s="588"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1" s="515">
        <f>LEN(D91)</f>
        <v/>
      </c>
      <c r="F91" s="581"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1" s="515">
        <f>LEN(F91)</f>
        <v/>
      </c>
      <c r="H91" s="517" t="inlineStr">
        <is>
          <t>Select All That Apply</t>
        </is>
      </c>
      <c r="I91" s="515" t="inlineStr">
        <is>
          <t>NA</t>
        </is>
      </c>
      <c r="J91" s="515" t="inlineStr">
        <is>
          <t>NA</t>
        </is>
      </c>
      <c r="K91" s="589" t="inlineStr">
        <is>
          <t>Form Type - Checklist 
1,26,27 = IsNone</t>
        </is>
      </c>
      <c r="L91" s="132" t="inlineStr">
        <is>
          <t>1-27 = [confl_wellbeing]</t>
        </is>
      </c>
      <c r="M91" s="165" t="inlineStr">
        <is>
          <t>1)shock_noshock
2)shock_sicknessordeathofhh
3)shock_lostemplorwork
4)shock_otherintrahhshock
5)shock_higherfoodprices
6)shock_higherfuelprices
7)shock_mvtrestrict
8)shock_othereconomicshock
9)shock_pestoutbreak
10)shock_plantdisease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N91" s="132" t="inlineStr">
        <is>
          <t>if shock = 1-27, go to [confl_wellbeing]</t>
        </is>
      </c>
      <c r="O91" s="61" t="inlineStr">
        <is>
          <t>1-27 = confl_wellbeing</t>
        </is>
      </c>
      <c r="P91" s="9" t="n"/>
      <c r="Q91" s="198">
        <f>1</f>
        <v/>
      </c>
      <c r="R91" s="103" t="n"/>
      <c r="T91" s="312" t="inlineStr">
        <is>
          <t>yes</t>
        </is>
      </c>
      <c r="U91" s="692" t="n"/>
      <c r="X91" s="201" t="n">
        <v>37.85363006591797</v>
      </c>
      <c r="Y91" s="201">
        <f>IF(X91="","",X91*Q91)</f>
        <v/>
      </c>
      <c r="Z91" s="103">
        <f>IF(T91="yes",Y91,"")</f>
        <v/>
      </c>
    </row>
    <row r="92" ht="153" customFormat="1" customHeight="1" s="109">
      <c r="A92" s="590" t="n"/>
      <c r="B92" s="522" t="inlineStr">
        <is>
          <t>o_flood_loss_agri_assets</t>
        </is>
      </c>
      <c r="C92" s="576" t="inlineStr">
        <is>
          <t>o_flood_loss_agri_assets</t>
        </is>
      </c>
      <c r="D92" s="523" t="inlineStr">
        <is>
          <t>Did your household lose any agricultural land, crops, livestock, or fishery assets due to the recent floods?
[OPERATOR: SINGLE RESPONSE.]
1)YES
2)NO
3)DON’T KNOW
4)REFUSED</t>
        </is>
      </c>
      <c r="E92" s="524">
        <f>LEN(D92)</f>
        <v/>
      </c>
      <c r="F92" s="578" t="inlineStr">
        <is>
          <t>هل فقدت أسرتك أي أراضي زراعية أو محاصيل أو ثروة حيوانية أو أصول سمكية بسبب الفيضانات الأخيرة؟
[المشغل: استجابة واحدة.]
1) نعم
2) لا
3) لا أعرف
4) رفض الإجابة</t>
        </is>
      </c>
      <c r="G92" s="524" t="n"/>
      <c r="H92" s="524" t="inlineStr">
        <is>
          <t>Single Choice</t>
        </is>
      </c>
      <c r="I92" s="524" t="inlineStr">
        <is>
          <t>NA</t>
        </is>
      </c>
      <c r="J92" s="523" t="inlineStr">
        <is>
          <t>Send if "shock" "Equals" "Flood / riverbank erosion" Or "shock" "Equals" "Hurricane / cyclone / tornado" if not satisfied go to "confl_wellbeing"</t>
        </is>
      </c>
      <c r="K92" s="532" t="n"/>
      <c r="L92" s="523" t="inlineStr">
        <is>
          <t>1 = o_flood_asset_loss_type
2-4 = confl_wellbeing</t>
        </is>
      </c>
      <c r="M92" s="523" t="inlineStr"/>
      <c r="N92" s="579" t="n"/>
      <c r="O92" s="591" t="inlineStr"/>
      <c r="P92" s="592" t="n"/>
      <c r="R92" s="111" t="n"/>
      <c r="S92" s="692" t="n"/>
      <c r="T92" t="inlineStr"/>
      <c r="V92" s="202" t="n"/>
      <c r="W92" s="202" t="n"/>
      <c r="X92" s="103" t="n"/>
    </row>
    <row r="93" ht="170.15" customFormat="1" customHeight="1" s="109">
      <c r="A93" s="590" t="n"/>
      <c r="B93" s="522" t="inlineStr">
        <is>
          <t>o_flood_asset_loss_type</t>
        </is>
      </c>
      <c r="C93" s="576" t="inlineStr">
        <is>
          <t>o_flood_asset_loss_type</t>
        </is>
      </c>
      <c r="D93" s="523" t="inlineStr">
        <is>
          <t>What type of loss did your household experience?
[OPERATOR: MULTIPLE RESPONSES POSSIBLE. SELECT ALL THAT APPLY.]
1)Agricultural land
2)Crops
3)Livestock
4)Fishery assets
5)DON'T KNOW
6)REFUSED</t>
        </is>
      </c>
      <c r="E93" s="524">
        <f>LEN(D93)</f>
        <v/>
      </c>
      <c r="F93" s="578" t="inlineStr">
        <is>
          <t>ما نوع الخسارة التي تعرضت لها أسرتك؟
[المشغل: إجابات متعددة ممكنة. حدد كل ما ينطبق.]
1) الأراضي الزراعية
2ية
4) أصول الثروة السمكية
5) لا أعرف
6) رفض الإجابة</t>
        </is>
      </c>
      <c r="G93" s="524" t="n"/>
      <c r="H93" s="524" t="inlineStr">
        <is>
          <t>Select All That Apply</t>
        </is>
      </c>
      <c r="I93" s="524" t="inlineStr">
        <is>
          <t>NA</t>
        </is>
      </c>
      <c r="J93" s="523" t="inlineStr">
        <is>
          <t>NA</t>
        </is>
      </c>
      <c r="K93" s="532" t="n"/>
      <c r="L93" s="523" t="inlineStr">
        <is>
          <t>1-6 = confl_wellbeing</t>
        </is>
      </c>
      <c r="M93" s="523" t="inlineStr"/>
      <c r="N93" s="579" t="n"/>
      <c r="O93" s="591" t="inlineStr"/>
      <c r="P93" s="592" t="n"/>
      <c r="R93" s="111" t="n"/>
      <c r="S93" s="692" t="n"/>
      <c r="T93" t="inlineStr"/>
      <c r="V93" s="202" t="n"/>
      <c r="W93" s="202" t="n"/>
      <c r="X93" s="103" t="n"/>
    </row>
    <row r="94" ht="30" customFormat="1" customHeight="1" s="463" thickBot="1">
      <c r="A94" s="703" t="inlineStr">
        <is>
          <t>CONFLICT MODULE</t>
        </is>
      </c>
      <c r="B94" s="704" t="n"/>
      <c r="C94" s="704" t="n"/>
      <c r="D94" s="704" t="n"/>
      <c r="E94" s="704" t="n"/>
      <c r="F94" s="704" t="n"/>
      <c r="G94" s="704" t="n"/>
      <c r="H94" s="704" t="n"/>
      <c r="I94" s="704" t="n"/>
      <c r="J94" s="704" t="n"/>
      <c r="K94" s="704" t="n"/>
      <c r="L94" s="704" t="n"/>
      <c r="M94" s="704" t="n"/>
      <c r="N94" s="704" t="n"/>
      <c r="O94" s="704" t="n"/>
      <c r="P94" s="705" t="n"/>
      <c r="Q94" s="461" t="n"/>
      <c r="R94" s="462" t="n"/>
      <c r="T94" s="464" t="n"/>
      <c r="U94" s="465" t="n"/>
      <c r="X94" s="466" t="n"/>
      <c r="Y94" s="466">
        <f>IF(X94="","",X94*Q94)</f>
        <v/>
      </c>
      <c r="Z94" s="462">
        <f>IF(T94="yes",Y94,"")</f>
        <v/>
      </c>
    </row>
    <row r="95" ht="393.75" customFormat="1" customHeight="1" s="109">
      <c r="B95" s="593" t="inlineStr">
        <is>
          <t>confl_wellbeing</t>
        </is>
      </c>
      <c r="C95" s="467"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5" s="468" t="inlineStr">
        <is>
          <t>What are the main problems affecting the community's wellbeing?
[OPERATOR: UP TO THREE RESPONSES ALLOWED]
1)There are no issues or concerns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5" s="469">
        <f>LEN(D95)</f>
        <v/>
      </c>
      <c r="F95" s="594"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1113) آخر [حدد]
14) لا أعرف
15) رفض الإجابة</t>
        </is>
      </c>
      <c r="G95" s="470">
        <f>LEN(F95)</f>
        <v/>
      </c>
      <c r="H95" s="595" t="inlineStr">
        <is>
          <t>Select All That Apply</t>
        </is>
      </c>
      <c r="I95" s="596" t="inlineStr">
        <is>
          <t>NA</t>
        </is>
      </c>
      <c r="J95" s="596" t="inlineStr">
        <is>
          <t>NA</t>
        </is>
      </c>
      <c r="K95" s="596" t="inlineStr">
        <is>
          <t>Form Type - Checklist
1,14,15 = IsNone
Min = 1
Max = 3</t>
        </is>
      </c>
      <c r="L95" s="471" t="inlineStr">
        <is>
          <t>1-15 = confl_yn</t>
        </is>
      </c>
      <c r="M95" s="472" t="inlineStr">
        <is>
          <t>1)confl_wb_none
2)confl_wb_livelihood
3)confl_wb_health
4)confl_wb_transport
5)confl_wb_edu
6)confl_wb_food_water
7)confl_wb_safety
8)confl_wb_land_sec
9)confl_wb_lack_justice
10)confl_wb_corrupt
11)confl_wb_lack_gov
12)confl_wb_assistance
13)confl_wb_other
14)confl_wb_daaaaaaaaaaaaaaaaaaaaaak
15)confl_wb_ref</t>
        </is>
      </c>
      <c r="N95" s="473" t="inlineStr">
        <is>
          <t>For any response, go to confl_yn.</t>
        </is>
      </c>
      <c r="O95" s="23" t="inlineStr"/>
      <c r="P95" s="9" t="n"/>
      <c r="Q95" s="203" t="n"/>
      <c r="R95" s="103" t="n"/>
      <c r="T95" s="474" t="inlineStr">
        <is>
          <t>no</t>
        </is>
      </c>
      <c r="U95" s="692" t="n"/>
      <c r="X95" s="202" t="n"/>
      <c r="Y95" s="202" t="n"/>
      <c r="Z95" s="103" t="n"/>
      <c r="AH95" s="475" t="inlineStr">
        <is>
          <t>Better if optional. Some options might be a bit sensitive in some contexts (e.g. corruption)</t>
        </is>
      </c>
    </row>
    <row r="96" ht="162.75" customFormat="1" customHeight="1" s="109">
      <c r="B96" s="597" t="inlineStr">
        <is>
          <t>confl_yn</t>
        </is>
      </c>
      <c r="C96" s="476" t="inlineStr">
        <is>
          <t>confl_yn</t>
        </is>
      </c>
      <c r="D96" s="477" t="inlineStr">
        <is>
          <t>Have you or anyone within your household been affected by any form of insecurity or conflict during the past 3 months?
[OPERATOR: SINGLE RESPONSE.]
1)YES
2)NO
3)DON'T KNOW
4)REFUSED</t>
        </is>
      </c>
      <c r="E96" s="598">
        <f>LEN(D96)</f>
        <v/>
      </c>
      <c r="F96" s="599" t="inlineStr">
        <is>
          <t>هل تأثرت أنت أو أي شخص في أسرتك بأي شكل من أشكال انعدام الأمن أو الصراع خلال الأشهر الثلاثة الماضية؟
1)نعم
2)لا
3) لا أعرف
4) رفض الإجابة</t>
        </is>
      </c>
      <c r="G96" s="598">
        <f>LEN(F96)</f>
        <v/>
      </c>
      <c r="H96" s="600" t="inlineStr">
        <is>
          <t>Single Choice</t>
        </is>
      </c>
      <c r="I96" s="598" t="inlineStr">
        <is>
          <t>NA</t>
        </is>
      </c>
      <c r="J96" s="598" t="inlineStr">
        <is>
          <t>NA</t>
        </is>
      </c>
      <c r="K96" s="598" t="inlineStr">
        <is>
          <t>Form Type - Buttons</t>
        </is>
      </c>
      <c r="L96" s="478" t="inlineStr">
        <is>
          <t>1 = confl_prim_insec
2-4 = crp_intro</t>
        </is>
      </c>
      <c r="M96" s="479" t="inlineStr">
        <is>
          <t>NA</t>
        </is>
      </c>
      <c r="N96" s="601" t="inlineStr">
        <is>
          <t>if confl_yn = 1, go to confl_prim_insec.
Otherwise, go to crp_intro</t>
        </is>
      </c>
      <c r="O96" s="61" t="inlineStr"/>
      <c r="P96" s="9" t="n"/>
      <c r="Q96" s="203" t="n"/>
      <c r="R96" s="103" t="n"/>
      <c r="T96" s="474" t="inlineStr">
        <is>
          <t>yes</t>
        </is>
      </c>
      <c r="U96" s="692" t="n"/>
      <c r="X96" s="202" t="n"/>
      <c r="Y96" s="202" t="n"/>
      <c r="Z96" s="103" t="n"/>
      <c r="AH96" s="475" t="inlineStr">
        <is>
          <t>Better with 3 months recall period indeed</t>
        </is>
      </c>
    </row>
    <row r="97" ht="223.5" customFormat="1" customHeight="1" s="109">
      <c r="B97" s="602" t="inlineStr">
        <is>
          <t>confl_pimary_insec</t>
        </is>
      </c>
      <c r="C97" s="480" t="inlineStr">
        <is>
          <t>confl_prim_insec</t>
        </is>
      </c>
      <c r="D97" s="481"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7" s="596">
        <f>LEN(D97)</f>
        <v/>
      </c>
      <c r="F97" s="594"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97" s="596">
        <f>LEN(F97)</f>
        <v/>
      </c>
      <c r="H97" s="595" t="inlineStr">
        <is>
          <t>Single Choice</t>
        </is>
      </c>
      <c r="I97" s="596" t="inlineStr">
        <is>
          <t>NA</t>
        </is>
      </c>
      <c r="J97" s="596" t="inlineStr">
        <is>
          <t>NA</t>
        </is>
      </c>
      <c r="K97" s="596" t="inlineStr">
        <is>
          <t>Form Type - Buttons</t>
        </is>
      </c>
      <c r="L97" s="482" t="inlineStr">
        <is>
          <t>1-8 = confl_agri_imp</t>
        </is>
      </c>
      <c r="M97" s="483" t="inlineStr">
        <is>
          <t>NA</t>
        </is>
      </c>
      <c r="N97" s="603" t="inlineStr">
        <is>
          <t>if confl_prim_insec = 1-8, go to confl_agri_imp.</t>
        </is>
      </c>
      <c r="O97" s="23" t="inlineStr"/>
      <c r="P97" s="32" t="n"/>
      <c r="Q97" s="203" t="n"/>
      <c r="R97" s="103" t="n"/>
      <c r="T97" s="474" t="inlineStr">
        <is>
          <t>no</t>
        </is>
      </c>
      <c r="U97" s="692" t="n"/>
      <c r="X97" s="202" t="n"/>
      <c r="Y97" s="202" t="n"/>
      <c r="Z97" s="103" t="n"/>
      <c r="AD97" s="178" t="inlineStr">
        <is>
          <t>In enumerator training, include explanation/examples of ''insecurity''</t>
        </is>
      </c>
      <c r="AH97" s="484" t="n"/>
    </row>
    <row r="98" ht="335.25" customFormat="1" customHeight="1" s="109">
      <c r="B98" s="597" t="inlineStr">
        <is>
          <t>confl_agri_imp</t>
        </is>
      </c>
      <c r="C98" s="476"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485"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8" s="598">
        <f>LEN(D98)</f>
        <v/>
      </c>
      <c r="F98" s="599"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98" s="598">
        <f>LEN(F98)</f>
        <v/>
      </c>
      <c r="H98" s="600" t="inlineStr">
        <is>
          <t>Open-Ended - Select All That Apply</t>
        </is>
      </c>
      <c r="I98" s="598" t="inlineStr">
        <is>
          <t>NA</t>
        </is>
      </c>
      <c r="J98" s="604"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"confl_foodsec_imp"</t>
        </is>
      </c>
      <c r="K98" s="598" t="inlineStr">
        <is>
          <t>Form Type - Checklist
14,15 = IsNone
Min = 1
Max = 3</t>
        </is>
      </c>
      <c r="L98" s="478" t="inlineStr">
        <is>
          <t>1-15 = confl_foodsec_imp</t>
        </is>
      </c>
      <c r="M98" s="108" t="inlineStr">
        <is>
          <t>1)confl_agri_none
2)confl_agri_access_field
3)confl_agri_inputs
4)confl_agri_prod_asset
5)confl_agri_water_infra
6)confl_agri_crp_damage
7)confl_cup
8)confl_agri_ls_reduce_mob
9)confl_agri_ls_damage
10)confl_agri_ls_theft
11)confl_agri_land_contam
12)confl_agri_extortion
13)confl_agri_other
14)confl_agri_dk
15)confl_agri_ref</t>
        </is>
      </c>
      <c r="N98" s="601" t="inlineStr">
        <is>
          <t>if confl_agri_imp = 1-15, go to confl_foodsec_imp.</t>
        </is>
      </c>
      <c r="O98" s="61" t="inlineStr"/>
      <c r="P98" s="32" t="n"/>
      <c r="Q98" s="203" t="n"/>
      <c r="R98" s="103" t="n"/>
      <c r="T98" s="474" t="inlineStr">
        <is>
          <t>yes</t>
        </is>
      </c>
      <c r="U98" s="692" t="n"/>
      <c r="X98" s="202" t="n"/>
      <c r="Y98" s="202" t="n"/>
      <c r="Z98" s="103" t="n"/>
      <c r="AH98" s="484" t="n"/>
    </row>
    <row r="99" ht="335.25" customFormat="1" customHeight="1" s="109">
      <c r="B99" s="593" t="inlineStr">
        <is>
          <t>confl_foodsec_imp</t>
        </is>
      </c>
      <c r="C99" s="486" t="inlineStr">
        <is>
          <t>confl_foodsec_imp
1)confl_fs_none
2)confl_fs_high_cost
3)confl_fs_lack_food_mkt
4)confl_fs_access_mkt
5)confl_fs_reduced_income
6)confl_fs_access_assistance
7)confl_fs_theft_damage
8)confl_fs_illicit_pay
9)confl_fs_other
10)confl_fs_dk
11)confl_fs_ref</t>
        </is>
      </c>
      <c r="D99" s="487"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99" s="596">
        <f>LEN(D99)</f>
        <v/>
      </c>
      <c r="F99" s="594"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99" s="596">
        <f>LEN(F99)</f>
        <v/>
      </c>
      <c r="H99" s="595" t="inlineStr">
        <is>
          <t>Open-Ended - Select All That Apply</t>
        </is>
      </c>
      <c r="I99" s="596" t="inlineStr">
        <is>
          <t>NA</t>
        </is>
      </c>
      <c r="J99" s="596" t="inlineStr">
        <is>
          <t>NA</t>
        </is>
      </c>
      <c r="K99" s="596" t="inlineStr">
        <is>
          <t>Form Type - Checklist
10,11 = IsNone
Min = 1
Max = 3</t>
        </is>
      </c>
      <c r="L99" s="482" t="inlineStr">
        <is>
          <t>1-11 = crp_intro</t>
        </is>
      </c>
      <c r="M99" s="71" t="inlineStr">
        <is>
          <t>1)confl_fs_none
2)confl_fs_high_cost
3)confl_fs_lack_food_mkt
4)confl_fs_access_mkt
5)confl_fs_reduced_income
6)confl_fs_access_assistance
7)confl_fs_theft_damage
8)confl_fs_illicit_pay
9)confl_fs_other
10)confl_fs_dk
11)confl_fs_ref</t>
        </is>
      </c>
      <c r="N99" s="605" t="inlineStr">
        <is>
          <t>if confl_foodsec_imp = 1-11, go to crp_intro.</t>
        </is>
      </c>
      <c r="O99" s="23" t="inlineStr"/>
      <c r="P99" s="32" t="n"/>
      <c r="Q99" s="203" t="n"/>
      <c r="R99" s="103" t="n"/>
      <c r="T99" s="474" t="inlineStr">
        <is>
          <t>no</t>
        </is>
      </c>
      <c r="U99" s="692" t="n"/>
      <c r="X99" s="202" t="n"/>
      <c r="Y99" s="202" t="n"/>
      <c r="Z99" s="103" t="n"/>
    </row>
    <row r="100" ht="16.4" customFormat="1" customHeight="1" s="109" thickBot="1">
      <c r="A100" s="31" t="n"/>
      <c r="B100" s="546" t="n"/>
      <c r="C100" s="71" t="n"/>
      <c r="D100" s="579" t="n"/>
      <c r="E100" s="531" t="n"/>
      <c r="F100" s="579" t="n"/>
      <c r="G100" s="531" t="n"/>
      <c r="H100" s="532" t="n"/>
      <c r="I100" s="531" t="n"/>
      <c r="J100" s="531" t="n"/>
      <c r="K100" s="531" t="n"/>
      <c r="L100" s="37" t="n"/>
      <c r="M100" s="37" t="n"/>
      <c r="N100" s="37" t="n"/>
      <c r="O100" s="62" t="n"/>
      <c r="P100" s="32" t="n"/>
      <c r="Q100" s="203">
        <f>1</f>
        <v/>
      </c>
      <c r="R100" s="103" t="n"/>
      <c r="T100" s="111" t="n"/>
      <c r="U100" s="692" t="n"/>
      <c r="X100" s="202" t="n"/>
      <c r="Y100" s="202">
        <f>IF(X100="","",X100*Q100)</f>
        <v/>
      </c>
      <c r="Z100" s="103">
        <f>IF(T100="yes",Y100,"")</f>
        <v/>
      </c>
    </row>
    <row r="101" ht="16.4" customFormat="1" customHeight="1" s="309" thickBot="1">
      <c r="A101" s="693" t="inlineStr">
        <is>
          <t>D. CROP PRODUCTION</t>
        </is>
      </c>
      <c r="B101" s="694" t="n"/>
      <c r="C101" s="694" t="n"/>
      <c r="D101" s="694" t="n"/>
      <c r="E101" s="694" t="n"/>
      <c r="F101" s="694" t="n"/>
      <c r="G101" s="694" t="n"/>
      <c r="H101" s="694" t="n"/>
      <c r="I101" s="694" t="n"/>
      <c r="J101" s="694" t="n"/>
      <c r="K101" s="694" t="n"/>
      <c r="L101" s="694" t="n"/>
      <c r="M101" s="694" t="n"/>
      <c r="N101" s="694" t="n"/>
      <c r="O101" s="694" t="n"/>
      <c r="P101" s="695" t="n"/>
      <c r="Q101" s="198" t="n"/>
      <c r="R101" s="314" t="n"/>
      <c r="T101" s="312" t="n"/>
      <c r="U101" s="315" t="n"/>
      <c r="X101" s="201" t="n"/>
      <c r="Y101" s="201">
        <f>IF(X101="","",X101*Q101)</f>
        <v/>
      </c>
      <c r="Z101" s="314">
        <f>IF(T101="yes",Y101,"")</f>
        <v/>
      </c>
    </row>
    <row r="102" ht="156" customFormat="1" customHeight="1" s="109">
      <c r="A102" s="70">
        <f>#REF!+1</f>
        <v/>
      </c>
      <c r="B102" s="142" t="inlineStr">
        <is>
          <t>crp_intro</t>
        </is>
      </c>
      <c r="C102" s="108" t="inlineStr">
        <is>
          <t>crp_intro</t>
        </is>
      </c>
      <c r="D102" s="126" t="inlineStr">
        <is>
          <t>We will now ask you some questions about crop production which apply to you and anyone in your household that is involved in crop production or sales. All questions refer to the crops grown during Ongoing season.
1)CONTINUE</t>
        </is>
      </c>
      <c r="E102" s="106">
        <f>LEN(D102)</f>
        <v/>
      </c>
      <c r="F102" s="126"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2" s="106">
        <f>LEN(F102)</f>
        <v/>
      </c>
      <c r="H102" s="114" t="inlineStr">
        <is>
          <t>Single Choice</t>
        </is>
      </c>
      <c r="I102" s="106" t="inlineStr">
        <is>
          <t>NA</t>
        </is>
      </c>
      <c r="J102" s="10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2" s="515" t="inlineStr">
        <is>
          <t>Form Type - Buttons</t>
        </is>
      </c>
      <c r="L102" s="125" t="inlineStr">
        <is>
          <t>1 = crp_landsize_num</t>
        </is>
      </c>
      <c r="M102" s="165" t="inlineStr">
        <is>
          <t>NA</t>
        </is>
      </c>
      <c r="N102" s="11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O102" s="131" t="inlineStr"/>
      <c r="P102" s="141" t="n"/>
      <c r="Q102" s="203">
        <f>'Additional information'!$D$17</f>
        <v/>
      </c>
      <c r="R102" s="103" t="n"/>
      <c r="T102" s="312" t="inlineStr">
        <is>
          <t>yes</t>
        </is>
      </c>
      <c r="U102" s="692" t="n"/>
      <c r="X102" s="201" t="n">
        <v>7.304072856903076</v>
      </c>
      <c r="Y102" s="201">
        <f>IF(X102="","",X102*Q102)</f>
        <v/>
      </c>
      <c r="Z102" s="103">
        <f>IF(T102="yes",Y102,"")</f>
        <v/>
      </c>
    </row>
    <row r="103" customFormat="1" s="109">
      <c r="A103" s="70" t="n"/>
      <c r="B103" s="75" t="n"/>
      <c r="C103" s="71" t="n"/>
      <c r="D103" s="76" t="n"/>
      <c r="E103" s="74" t="n"/>
      <c r="F103" s="76" t="n"/>
      <c r="G103" s="74" t="n"/>
      <c r="H103" s="77" t="n"/>
      <c r="I103" s="74" t="n"/>
      <c r="J103" s="74" t="n"/>
      <c r="K103" s="531" t="n"/>
      <c r="L103" s="62" t="n"/>
      <c r="M103" s="579" t="n"/>
      <c r="N103" s="131" t="n"/>
      <c r="O103" s="131" t="n"/>
      <c r="P103" s="141" t="n"/>
      <c r="Q103" s="203">
        <f>'Additional information'!$D$17</f>
        <v/>
      </c>
      <c r="R103" s="103" t="n"/>
      <c r="T103" s="111" t="n"/>
      <c r="U103" s="692" t="n"/>
      <c r="X103" s="202" t="n"/>
      <c r="Y103" s="202">
        <f>IF(X103="","",X103*Q103)</f>
        <v/>
      </c>
      <c r="Z103" s="103">
        <f>IF(T103="yes",Y103,"")</f>
        <v/>
      </c>
    </row>
    <row r="104" ht="93.65000000000001" customFormat="1" customHeight="1" s="185">
      <c r="A104" s="237" t="n"/>
      <c r="B104" s="606" t="inlineStr">
        <is>
          <t>crp_landsize_num</t>
        </is>
      </c>
      <c r="C104" s="515" t="inlineStr">
        <is>
          <t>crp_landsize_num</t>
        </is>
      </c>
      <c r="D104" s="528" t="inlineStr">
        <is>
          <t>What is the total size of the land you can cultivate?
[OPERATOR: RECORD THE TOTAL LAND SIZE PROVIDED BY THE RESPONDENT. WRITE 8888888 FOR DON'T KNOW AND 9999999 FOR REFUSED. MEASUREMENT UNIT WILL BE SPECIFIED IN THE FOLLOWING QUESTION.]</t>
        </is>
      </c>
      <c r="E104" s="515">
        <f>LEN(D104)</f>
        <v/>
      </c>
      <c r="F104" s="528"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4" s="515">
        <f>LEN(F104)</f>
        <v/>
      </c>
      <c r="H104" s="545" t="inlineStr">
        <is>
          <t>Range</t>
        </is>
      </c>
      <c r="I104" s="515" t="inlineStr">
        <is>
          <t>NA</t>
        </is>
      </c>
      <c r="J104" s="515" t="inlineStr">
        <is>
          <t>NA</t>
        </is>
      </c>
      <c r="K104" s="515" t="inlineStr">
        <is>
          <t>Form Type - TextBox</t>
        </is>
      </c>
      <c r="L104" s="132" t="inlineStr">
        <is>
          <t>0-1000000 = crp_landsize_unit
8888888-8888888 = crp_main
9999999-9999999 = crp_main</t>
        </is>
      </c>
      <c r="M104" s="165" t="inlineStr">
        <is>
          <t>NA</t>
        </is>
      </c>
      <c r="N104" s="112" t="inlineStr">
        <is>
          <t>For any response, go to crp_landsize_unit. Range is between 0 and 1000000. For "Don't know" and "Refused", go to crp_main.</t>
        </is>
      </c>
      <c r="O104" s="140" t="inlineStr"/>
      <c r="P104" s="139" t="n"/>
      <c r="Q104" s="203">
        <f>'Additional information'!$D$17</f>
        <v/>
      </c>
      <c r="R104" s="103" t="n"/>
      <c r="T104" s="312" t="inlineStr">
        <is>
          <t>yes</t>
        </is>
      </c>
      <c r="U104" s="692" t="n"/>
      <c r="X104" s="201" t="n">
        <v>23.93990516662598</v>
      </c>
      <c r="Y104" s="201">
        <f>IF(X104="","",X104*Q104)</f>
        <v/>
      </c>
      <c r="Z104" s="103">
        <f>IF(T104="yes",Y104,"")</f>
        <v/>
      </c>
    </row>
    <row r="105" ht="171.65" customFormat="1" customHeight="1" s="185">
      <c r="A105" s="237" t="n"/>
      <c r="B105" s="606" t="inlineStr">
        <is>
          <t>crp_landsize_unit</t>
        </is>
      </c>
      <c r="C105" s="515" t="inlineStr">
        <is>
          <t>crp_landsize_unit</t>
        </is>
      </c>
      <c r="D105" s="528" t="inlineStr">
        <is>
          <t>Unit of measurement for land size: 
[OPERATOR: DO NOT READ. SINGLE RESPONSE.]
1)Acres
2)Hectares
3)Square meters
4)Square feet
5)5)Labneh
6)Qassabh
7)Hablah
8)Ma'ad
9)Salook
10)Shaklah
11)Neiha
12)Matreh
13)Wadan
14)Oqum
15)Asaoo
16)Shagan
17)Arfad
18)Aber
19)Taleem
20)Magabi
21)Hediah
22)Thera'a
23)Materah</t>
        </is>
      </c>
      <c r="E105" s="515">
        <f>LEN(D105)</f>
        <v/>
      </c>
      <c r="F105" s="528" t="inlineStr">
        <is>
          <t>وحدة قياس مساحة الارض:
[المُشغل: لا تقرأ. استجابة واحدة.]
1) فدان
2) هكتار
3) متر مربع
4) قدم مربع
5) 5)لبنة
6)قصبة
7) حبل/حبلة
8) معاد
9)سلوق
10) شكلة
11) نيحة
12) مطرح
13)ودن
14) عقم
15)اسعاو
16) شجن
17)رفد/ارفاد
19) عبر
20) تليم
21)مجابي
22) حدية
23) ذراع
24) مطبرة</t>
        </is>
      </c>
      <c r="G105" s="515">
        <f>LEN(F105)</f>
        <v/>
      </c>
      <c r="H105" s="545" t="inlineStr">
        <is>
          <t>Single Choice</t>
        </is>
      </c>
      <c r="I105" s="515" t="inlineStr">
        <is>
          <t>NA</t>
        </is>
      </c>
      <c r="J105" s="515" t="inlineStr">
        <is>
          <t>NA</t>
        </is>
      </c>
      <c r="K105" s="515" t="inlineStr">
        <is>
          <t>Form Type - Buttons</t>
        </is>
      </c>
      <c r="L105" s="132" t="inlineStr">
        <is>
          <t>1-5 = crp_main</t>
        </is>
      </c>
      <c r="M105" s="165" t="inlineStr">
        <is>
          <t>NA</t>
        </is>
      </c>
      <c r="N105" s="112" t="inlineStr">
        <is>
          <t>if crp_landsize_unit = 1-5, go to crp_main</t>
        </is>
      </c>
      <c r="O105" s="131" t="inlineStr"/>
      <c r="P105" s="138" t="n"/>
      <c r="Q105" s="203">
        <f>'Additional information'!$D$17</f>
        <v/>
      </c>
      <c r="R105" s="103" t="n"/>
      <c r="T105" s="312" t="inlineStr">
        <is>
          <t>yes</t>
        </is>
      </c>
      <c r="U105" s="692" t="n"/>
      <c r="X105" s="201" t="n">
        <v>2.249462604522705</v>
      </c>
      <c r="Y105" s="201">
        <f>IF(X105="","",X105*Q105)</f>
        <v/>
      </c>
      <c r="Z105" s="103">
        <f>IF(T105="yes",Y105,"")</f>
        <v/>
      </c>
    </row>
    <row r="106" customFormat="1" s="185">
      <c r="A106" s="497" t="n"/>
      <c r="B106" s="499" t="n"/>
      <c r="C106" s="74" t="n"/>
      <c r="D106" s="76" t="n"/>
      <c r="E106" s="74" t="n"/>
      <c r="F106" s="71" t="n"/>
      <c r="G106" s="74" t="n"/>
      <c r="H106" s="74" t="n"/>
      <c r="I106" s="74" t="n"/>
      <c r="J106" s="62" t="n"/>
      <c r="K106" s="579" t="n"/>
      <c r="L106" s="500" t="n"/>
      <c r="M106" s="498" t="n"/>
      <c r="N106" s="138" t="n"/>
      <c r="O106" s="203">
        <f>'[1]Additional information'!$D$17</f>
        <v/>
      </c>
      <c r="P106" s="103" t="n"/>
      <c r="R106" s="111" t="n"/>
      <c r="S106" s="692" t="n"/>
      <c r="V106" s="202" t="n"/>
      <c r="W106" s="202">
        <f>IF(V106="","",V106*O106)</f>
        <v/>
      </c>
      <c r="X106" s="103">
        <f>IF(R106="yes",W106,"")</f>
        <v/>
      </c>
    </row>
    <row r="107" ht="118.4" customFormat="1" customHeight="1" s="109">
      <c r="A107" s="70">
        <f>A102+1</f>
        <v/>
      </c>
      <c r="B107" s="179" t="inlineStr">
        <is>
          <t>crp_main</t>
        </is>
      </c>
      <c r="C107" s="108" t="inlineStr">
        <is>
          <t>crp_main</t>
        </is>
      </c>
      <c r="D107" s="126"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07" s="106">
        <f>LEN(D107)</f>
        <v/>
      </c>
      <c r="F107" s="126"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07" s="106">
        <f>LEN(F107)</f>
        <v/>
      </c>
      <c r="H107" s="114" t="inlineStr">
        <is>
          <t>Single Choice</t>
        </is>
      </c>
      <c r="I107" s="106" t="inlineStr">
        <is>
          <t>NA</t>
        </is>
      </c>
      <c r="J107" s="106" t="inlineStr">
        <is>
          <t>NA</t>
        </is>
      </c>
      <c r="K107" s="108" t="inlineStr">
        <is>
          <t>Form Type - Dropdown
IsDemographic</t>
        </is>
      </c>
      <c r="L107" s="125" t="inlineStr">
        <is>
          <t>1-90 = crp_irrig_source
91 = crp_main_check
92-93 = crp_salesmain</t>
        </is>
      </c>
      <c r="M107"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N107" s="280" t="inlineStr">
        <is>
          <t>if crp_main = any type of crop, go to crp_irrig_source;
if crp_main = "No crop production", go to crp_main_check
if crp_main = "Don't know" or "Refused", go to crp_salesmain</t>
        </is>
      </c>
      <c r="O107" s="136" t="inlineStr"/>
      <c r="P107" s="32" t="n"/>
      <c r="Q107" s="203">
        <f>'Additional information'!$D$17</f>
        <v/>
      </c>
      <c r="R107" s="103" t="n"/>
      <c r="T107" s="312" t="inlineStr">
        <is>
          <t>yes</t>
        </is>
      </c>
      <c r="U107" s="692" t="n"/>
      <c r="X107" s="201" t="n">
        <v>23.44011688232422</v>
      </c>
      <c r="Y107" s="201">
        <f>IF(X107="","",X107*Q107)</f>
        <v/>
      </c>
      <c r="Z107" s="103">
        <f>IF(T107="yes",Y107,"")</f>
        <v/>
      </c>
    </row>
    <row r="108" ht="93.65000000000001" customFormat="1" customHeight="1" s="109">
      <c r="A108" s="70" t="n"/>
      <c r="B108" s="179" t="inlineStr">
        <is>
          <t>crp_main_check</t>
        </is>
      </c>
      <c r="C108" s="108" t="inlineStr">
        <is>
          <t>crp_main_check</t>
        </is>
      </c>
      <c r="D108" s="126" t="inlineStr">
        <is>
          <t>Why did you not produce any crops in Ongoing season?
[OPERATOR: SINGLE RESPONSE.]
1)Don’t usually produce during this season 
2)Wasn't able to produce [e.g. due to difficulties]</t>
        </is>
      </c>
      <c r="E108" s="106">
        <f>LEN(D108)</f>
        <v/>
      </c>
      <c r="F108" s="126"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08" s="106">
        <f>LEN(F108)</f>
        <v/>
      </c>
      <c r="H108" s="114" t="inlineStr">
        <is>
          <t>Single Choice</t>
        </is>
      </c>
      <c r="I108" s="106" t="inlineStr">
        <is>
          <t>NA</t>
        </is>
      </c>
      <c r="J108" s="106" t="inlineStr">
        <is>
          <t>NA</t>
        </is>
      </c>
      <c r="K108" s="108" t="inlineStr">
        <is>
          <t>Form Type - Buttons</t>
        </is>
      </c>
      <c r="L108" s="125" t="inlineStr">
        <is>
          <t>1 = crp_salesmain
2 = crp_proddif</t>
        </is>
      </c>
      <c r="M108" s="165" t="inlineStr">
        <is>
          <t>NA</t>
        </is>
      </c>
      <c r="N108" s="137" t="inlineStr">
        <is>
          <t>if crp_main_check = 1, go to crp_salesmain
if crp_main_check = 2, go to crp_proddif</t>
        </is>
      </c>
      <c r="O108" s="136" t="inlineStr"/>
      <c r="P108" s="32" t="n"/>
      <c r="Q108" s="203">
        <f>'Additional information'!$D$17</f>
        <v/>
      </c>
      <c r="R108" s="103" t="n"/>
      <c r="T108" s="312" t="inlineStr">
        <is>
          <t>yes</t>
        </is>
      </c>
      <c r="U108" s="692" t="n"/>
      <c r="X108" s="201" t="n">
        <v>7.765957355499268</v>
      </c>
      <c r="Y108" s="201">
        <f>IF(X108="","",X108*Q108)</f>
        <v/>
      </c>
      <c r="Z108" s="103">
        <f>IF(T108="yes",Y108,"")</f>
        <v/>
      </c>
    </row>
    <row r="109" customFormat="1" s="109">
      <c r="A109" s="70" t="n"/>
      <c r="B109" s="192" t="n"/>
      <c r="C109" s="71" t="n"/>
      <c r="D109" s="76" t="n"/>
      <c r="E109" s="74" t="n"/>
      <c r="F109" s="74" t="n"/>
      <c r="G109" s="74" t="n"/>
      <c r="H109" s="77" t="n"/>
      <c r="I109" s="74" t="n"/>
      <c r="J109" s="74" t="n"/>
      <c r="K109" s="71" t="n"/>
      <c r="L109" s="62" t="n"/>
      <c r="M109" s="579" t="n"/>
      <c r="N109" s="233" t="n"/>
      <c r="O109" s="136" t="n"/>
      <c r="P109" s="32" t="n"/>
      <c r="Q109" s="203">
        <f>'Additional information'!$D$17</f>
        <v/>
      </c>
      <c r="R109" s="103" t="n"/>
      <c r="T109" s="111" t="n"/>
      <c r="U109" s="692" t="n"/>
      <c r="X109" s="202" t="n"/>
      <c r="Y109" s="202">
        <f>IF(X109="","",X109*Q109)</f>
        <v/>
      </c>
      <c r="Z109" s="103">
        <f>IF(T109="yes",Y109,"")</f>
        <v/>
      </c>
    </row>
    <row r="110" ht="201" customFormat="1" customHeight="1" s="109">
      <c r="A110" s="31">
        <f>A107+1</f>
        <v/>
      </c>
      <c r="B110" s="606" t="inlineStr">
        <is>
          <t>crp_irrig_source</t>
        </is>
      </c>
      <c r="C110" s="515" t="inlineStr">
        <is>
          <t>crp_irrig_source</t>
        </is>
      </c>
      <c r="D110" s="52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10" s="515">
        <f>LEN(D110)</f>
        <v/>
      </c>
      <c r="F110" s="126"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10" s="515">
        <f>LEN(F110)</f>
        <v/>
      </c>
      <c r="H110" s="545" t="inlineStr">
        <is>
          <t>Open Ended - Single Choice</t>
        </is>
      </c>
      <c r="I110" s="515" t="inlineStr">
        <is>
          <t>NA</t>
        </is>
      </c>
      <c r="J110" s="515" t="inlineStr">
        <is>
          <t>NA</t>
        </is>
      </c>
      <c r="K110" s="515" t="inlineStr">
        <is>
          <t>Form Type - RadioList</t>
        </is>
      </c>
      <c r="L110" s="132" t="inlineStr">
        <is>
          <t>1-8 = crp_seed_supply</t>
        </is>
      </c>
      <c r="M110" s="165" t="inlineStr">
        <is>
          <t>NA</t>
        </is>
      </c>
      <c r="N110" s="137" t="inlineStr">
        <is>
          <t>if crp_irrig_source = crp_seed_supply</t>
        </is>
      </c>
      <c r="O110" s="42" t="inlineStr">
        <is>
          <t>1-8=crp_seed_supply</t>
        </is>
      </c>
      <c r="P110" s="9" t="n"/>
      <c r="Q110" s="203">
        <f>'Additional information'!$D$17</f>
        <v/>
      </c>
      <c r="R110" s="103" t="n"/>
      <c r="T110" s="312" t="inlineStr">
        <is>
          <t>yes</t>
        </is>
      </c>
      <c r="U110" s="692" t="n"/>
      <c r="X110" s="201" t="n">
        <v>16.48175621032715</v>
      </c>
      <c r="Y110" s="201">
        <f>IF(X110="","",X110*Q110)</f>
        <v/>
      </c>
      <c r="Z110" s="103">
        <f>IF(T110="yes",Y110,"")</f>
        <v/>
      </c>
    </row>
    <row r="111" ht="14.15" customFormat="1" customHeight="1" s="109">
      <c r="A111" s="31" t="n"/>
      <c r="B111" s="546" t="n"/>
      <c r="C111" s="548" t="n"/>
      <c r="D111" s="550" t="n"/>
      <c r="E111" s="531" t="n"/>
      <c r="F111" s="531" t="n"/>
      <c r="G111" s="531" t="n"/>
      <c r="H111" s="532" t="n"/>
      <c r="I111" s="531" t="n"/>
      <c r="J111" s="531" t="n"/>
      <c r="K111" s="531" t="n"/>
      <c r="L111" s="607" t="n"/>
      <c r="M111" s="579" t="n"/>
      <c r="N111" s="194" t="n"/>
      <c r="O111" s="607" t="n"/>
      <c r="P111" s="9" t="n"/>
      <c r="Q111" s="203">
        <f>'Additional information'!$D$17</f>
        <v/>
      </c>
      <c r="R111" s="103" t="n"/>
      <c r="T111" s="111" t="n"/>
      <c r="U111" s="692" t="n"/>
      <c r="X111" s="202" t="n"/>
      <c r="Y111" s="202">
        <f>IF(X111="","",X111*Q111)</f>
        <v/>
      </c>
      <c r="Z111" s="103">
        <f>IF(T111="yes",Y111,"")</f>
        <v/>
      </c>
    </row>
    <row r="112" ht="218.9" customFormat="1" customHeight="1" s="109">
      <c r="A112" s="13">
        <f>A110+1</f>
        <v/>
      </c>
      <c r="B112" s="608" t="inlineStr">
        <is>
          <t>crp_seed_supply</t>
        </is>
      </c>
      <c r="C112" s="524" t="inlineStr">
        <is>
          <t>crp_seed_supply
1) crp_seed_ownprod
2) crp_seed_market
3) crp_seed_company
4) crp_seed_ngo
5) crp_seed_organized_community
6) crp_seed_gov
7) crp_seed_relatives_friends
8) crp_seed_other
9) crp_seed_dk
10) crp_seed_ref</t>
        </is>
      </c>
      <c r="D112" s="54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2" s="524">
        <f>LEN(D112)</f>
        <v/>
      </c>
      <c r="F112" s="541"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2" s="524">
        <f>LEN(F112)</f>
        <v/>
      </c>
      <c r="H112" s="16" t="inlineStr">
        <is>
          <t>Select All That Apply</t>
        </is>
      </c>
      <c r="I112" s="15" t="inlineStr">
        <is>
          <t>NA</t>
        </is>
      </c>
      <c r="J112" s="15" t="inlineStr">
        <is>
          <t>NA</t>
        </is>
      </c>
      <c r="K112" s="15" t="inlineStr">
        <is>
          <t>Form Type - Checklist
9,10 = IsNone</t>
        </is>
      </c>
      <c r="L112" s="88" t="inlineStr">
        <is>
          <t>1-10 = crp_area_change</t>
        </is>
      </c>
      <c r="M112" s="53" t="inlineStr">
        <is>
          <t>1)crp_seed_ownprod
2)crp_seed_market
3)crp_seed_company
4)crp_seed_ngo
5)crp_seed_organized_community
6)crp_seed_gov
7)crp_seed_relatives_friends
8)crp_seed_other
9)crp_seed_dk
10)crp_seed_ref</t>
        </is>
      </c>
      <c r="N112" s="87" t="inlineStr">
        <is>
          <t>if crp_seed_supply = 1-10, go to crp_area_change</t>
        </is>
      </c>
      <c r="O112" s="39" t="inlineStr"/>
      <c r="P112" s="9" t="n"/>
      <c r="Q112" s="203">
        <f>'Additional information'!$D$17</f>
        <v/>
      </c>
      <c r="R112" s="103" t="n"/>
      <c r="T112" s="111" t="inlineStr">
        <is>
          <t>no</t>
        </is>
      </c>
      <c r="U112" s="692" t="n"/>
      <c r="X112" s="202" t="n">
        <v>18.51111030578613</v>
      </c>
      <c r="Y112" s="202">
        <f>IF(X112="","",X112*Q112)</f>
        <v/>
      </c>
      <c r="Z112" s="103">
        <f>IF(T112="yes",Y112,"")</f>
        <v/>
      </c>
    </row>
    <row r="113" customFormat="1" s="109">
      <c r="A113" s="31" t="n"/>
      <c r="B113" s="546" t="n"/>
      <c r="C113" s="548" t="n"/>
      <c r="D113" s="550" t="n"/>
      <c r="E113" s="531" t="n"/>
      <c r="F113" s="531" t="n"/>
      <c r="G113" s="531" t="n"/>
      <c r="H113" s="532" t="n"/>
      <c r="I113" s="531" t="n"/>
      <c r="J113" s="531" t="n"/>
      <c r="K113" s="531" t="n"/>
      <c r="L113" s="607" t="n"/>
      <c r="M113" s="579" t="n"/>
      <c r="N113" s="135" t="n"/>
      <c r="O113" s="607" t="n"/>
      <c r="P113" s="9" t="n"/>
      <c r="Q113" s="203">
        <f>'Additional information'!$D$17</f>
        <v/>
      </c>
      <c r="R113" s="103" t="n"/>
      <c r="T113" s="111" t="n"/>
      <c r="U113" s="692" t="n"/>
      <c r="X113" s="202" t="n"/>
      <c r="Y113" s="202">
        <f>IF(X113="","",X113*Q113)</f>
        <v/>
      </c>
      <c r="Z113" s="103">
        <f>IF(T113="yes",Y113,"")</f>
        <v/>
      </c>
    </row>
    <row r="114" ht="187.4" customFormat="1" customHeight="1" s="109">
      <c r="A114" s="31">
        <f>A112+1</f>
        <v/>
      </c>
      <c r="B114" s="514" t="inlineStr">
        <is>
          <t>crp_area_change</t>
        </is>
      </c>
      <c r="C114" s="609" t="inlineStr">
        <is>
          <t>crp_area_change</t>
        </is>
      </c>
      <c r="D114" s="528" t="inlineStr">
        <is>
          <t>How did the area planted for {crp_main} from Ongoing season compare to  last year?
[OPERATOR: SINGLE RESPONSE.]
1)A lot more [increased by more than 50%]
2)Slightly more
3)Same
4)Slightly less
5)A lot less [less than half as much]
6)DON'T KNOW
7)REFUSED</t>
        </is>
      </c>
      <c r="E114" s="515">
        <f>LEN(D114)</f>
        <v/>
      </c>
      <c r="F114" s="528"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4" s="515">
        <f>LEN(F114)</f>
        <v/>
      </c>
      <c r="H114" s="517" t="inlineStr">
        <is>
          <t>Single Choice</t>
        </is>
      </c>
      <c r="I114" s="515" t="inlineStr">
        <is>
          <t>NA</t>
        </is>
      </c>
      <c r="J114" s="515" t="inlineStr">
        <is>
          <t>NA</t>
        </is>
      </c>
      <c r="K114" s="515" t="inlineStr">
        <is>
          <t>Form Type - Buttons</t>
        </is>
      </c>
      <c r="L114" s="132" t="inlineStr">
        <is>
          <t>1-7 = crp_harv_change</t>
        </is>
      </c>
      <c r="M114" s="165" t="inlineStr">
        <is>
          <t>NA</t>
        </is>
      </c>
      <c r="N114" s="132" t="inlineStr">
        <is>
          <t>if crp_area_change = 1-7, go to crp_harv_change</t>
        </is>
      </c>
      <c r="O114" s="37" t="inlineStr"/>
      <c r="P114" s="9" t="n"/>
      <c r="Q114" s="203">
        <f>'Additional information'!$D$17</f>
        <v/>
      </c>
      <c r="R114" s="103" t="n"/>
      <c r="T114" s="312" t="inlineStr">
        <is>
          <t>yes</t>
        </is>
      </c>
      <c r="U114" s="692" t="n"/>
      <c r="X114" s="201" t="n">
        <v>20.30868148803711</v>
      </c>
      <c r="Y114" s="201">
        <f>IF(X114="","",X114*Q114)</f>
        <v/>
      </c>
      <c r="Z114" s="103">
        <f>IF(T114="yes",Y114,"")</f>
        <v/>
      </c>
    </row>
    <row r="115" customFormat="1" s="109">
      <c r="A115" s="31" t="n"/>
      <c r="B115" s="546" t="n"/>
      <c r="C115" s="548" t="n"/>
      <c r="D115" s="550" t="n"/>
      <c r="E115" s="531" t="n"/>
      <c r="F115" s="550" t="n"/>
      <c r="G115" s="531" t="n"/>
      <c r="H115" s="532" t="n"/>
      <c r="I115" s="531" t="n"/>
      <c r="J115" s="531" t="n"/>
      <c r="K115" s="531" t="n"/>
      <c r="L115" s="607" t="n"/>
      <c r="M115" s="579" t="n"/>
      <c r="N115" s="135" t="n"/>
      <c r="O115" s="607" t="n"/>
      <c r="P115" s="9" t="n"/>
      <c r="Q115" s="203">
        <f>'Additional information'!$D$17</f>
        <v/>
      </c>
      <c r="R115" s="103" t="n"/>
      <c r="T115" s="111" t="n"/>
      <c r="U115" s="692" t="n"/>
      <c r="X115" s="202" t="n"/>
      <c r="Y115" s="202">
        <f>IF(X115="","",X115*Q115)</f>
        <v/>
      </c>
      <c r="Z115" s="103">
        <f>IF(T115="yes",Y115,"")</f>
        <v/>
      </c>
    </row>
    <row r="116" ht="187.4" customFormat="1" customHeight="1" s="109">
      <c r="A116" s="31">
        <f>A114+1</f>
        <v/>
      </c>
      <c r="B116" s="606" t="inlineStr">
        <is>
          <t>crp_harv_change</t>
        </is>
      </c>
      <c r="C116" s="515" t="inlineStr">
        <is>
          <t>crp_harv_change</t>
        </is>
      </c>
      <c r="D116" s="528" t="inlineStr">
        <is>
          <t>How does the  harvest of {crp_main} in the Ongoing season compare to  last year? 
[OPERATOR: SINGLE RESPONSE.]
1)A lot more [increased by more than 50%]
2)Slightly more
3)Same
4)Slightly less
5)A lot less [less than half as much]
6)DON'T KNOW
7)REFUSED</t>
        </is>
      </c>
      <c r="E116" s="515">
        <f>LEN(D116)</f>
        <v/>
      </c>
      <c r="F116" s="528"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6" s="515">
        <f>LEN(F116)</f>
        <v/>
      </c>
      <c r="H116" s="517" t="inlineStr">
        <is>
          <t>Single Choice</t>
        </is>
      </c>
      <c r="I116" s="515" t="inlineStr">
        <is>
          <t>NA</t>
        </is>
      </c>
      <c r="J116" s="515" t="inlineStr">
        <is>
          <t>NA</t>
        </is>
      </c>
      <c r="K116" s="515" t="inlineStr">
        <is>
          <t>Form Type - Buttons</t>
        </is>
      </c>
      <c r="L116" s="113" t="inlineStr">
        <is>
          <t>1-7 = crp_proddif OR crp_harv_vol</t>
        </is>
      </c>
      <c r="M116" s="165" t="inlineStr">
        <is>
          <t>NA</t>
        </is>
      </c>
      <c r="N116" s="134" t="inlineStr">
        <is>
          <t>if crp_harv_change = 1-7, go to [crp_proddif or crp_harv_vol]</t>
        </is>
      </c>
      <c r="O116" s="133" t="inlineStr">
        <is>
          <t>1-7 = crp_proddif</t>
        </is>
      </c>
      <c r="P116" s="89" t="n"/>
      <c r="Q116" s="203">
        <f>'Additional information'!$D$17</f>
        <v/>
      </c>
      <c r="R116" s="103" t="n"/>
      <c r="T116" s="312" t="inlineStr">
        <is>
          <t>yes</t>
        </is>
      </c>
      <c r="U116" s="692" t="n"/>
      <c r="X116" s="201" t="n">
        <v>15.44861221313477</v>
      </c>
      <c r="Y116" s="201">
        <f>IF(X116="","",X116*Q116)</f>
        <v/>
      </c>
      <c r="Z116" s="103">
        <f>IF(T116="yes",Y116,"")</f>
        <v/>
      </c>
    </row>
    <row r="117" customFormat="1" s="109">
      <c r="A117" s="31" t="n"/>
      <c r="B117" s="610" t="n"/>
      <c r="C117" s="71" t="n"/>
      <c r="D117" s="579" t="n"/>
      <c r="E117" s="531" t="n"/>
      <c r="F117" s="531" t="n"/>
      <c r="G117" s="531" t="n"/>
      <c r="H117" s="532" t="n"/>
      <c r="I117" s="531" t="n"/>
      <c r="J117" s="531" t="n"/>
      <c r="K117" s="531" t="n"/>
      <c r="L117" s="57" t="n"/>
      <c r="M117" s="57" t="n"/>
      <c r="N117" s="57" t="n"/>
      <c r="O117" s="57" t="n"/>
      <c r="P117" s="9" t="n"/>
      <c r="Q117" s="203">
        <f>'Additional information'!$D$17</f>
        <v/>
      </c>
      <c r="R117" s="103" t="n"/>
      <c r="T117" s="111" t="n"/>
      <c r="U117" s="692" t="n"/>
      <c r="X117" s="202" t="n"/>
      <c r="Y117" s="202">
        <f>IF(X117="","",X117*Q117)</f>
        <v/>
      </c>
      <c r="Z117" s="103">
        <f>IF(T117="yes",Y117,"")</f>
        <v/>
      </c>
    </row>
    <row r="118" ht="140.9" customFormat="1" customHeight="1" s="109">
      <c r="A118" s="31">
        <f>#REF!+1</f>
        <v/>
      </c>
      <c r="B118" s="606" t="inlineStr">
        <is>
          <t>crp_proddif</t>
        </is>
      </c>
      <c r="C118" s="108" t="inlineStr">
        <is>
          <t>crp_proddif</t>
        </is>
      </c>
      <c r="D118" s="512" t="inlineStr">
        <is>
          <t>Has your household faced any significant difficulty in terms of crop production in Ongoing season?
[OPERATOR: SINGLE RESPONSE.]
1)YES
2)NO
3)DON'T KNOW
4)REFUSED</t>
        </is>
      </c>
      <c r="E118" s="515">
        <f>LEN(D118)</f>
        <v/>
      </c>
      <c r="F118" s="611" t="inlineStr">
        <is>
          <t>هل واجهت أسرتك أي صعوبة في إنتاج المحاصيل في الموسم الحالي؟
[المشغل: استجابة واحدة.]
1) نعم
2) لا
3) لا أعرف
4) رفض الإجابة</t>
        </is>
      </c>
      <c r="G118" s="515">
        <f>LEN(F118)</f>
        <v/>
      </c>
      <c r="H118" s="517" t="inlineStr">
        <is>
          <t>Single Choice</t>
        </is>
      </c>
      <c r="I118" s="515" t="inlineStr">
        <is>
          <t>NA</t>
        </is>
      </c>
      <c r="J118" s="515" t="inlineStr">
        <is>
          <t>NA</t>
        </is>
      </c>
      <c r="K118" s="515" t="inlineStr">
        <is>
          <t>Form Type - Buttons</t>
        </is>
      </c>
      <c r="L118" s="113" t="inlineStr">
        <is>
          <t>1 = crp_proddif_2
2-4 = [crp_salesmain or optional question]</t>
        </is>
      </c>
      <c r="M118" s="165" t="inlineStr">
        <is>
          <t>NA</t>
        </is>
      </c>
      <c r="N118" s="113" t="inlineStr">
        <is>
          <t>if crp_proddif = 1, go to crp_proddif_2 ; 
if crp_proddif = 2-4, go to [crp_salesmain or optional question]</t>
        </is>
      </c>
      <c r="O118" s="38" t="inlineStr">
        <is>
          <t>1 = crp_proddif_2
2-4 = crp_salesmain</t>
        </is>
      </c>
      <c r="P118" s="9" t="n"/>
      <c r="Q118" s="203">
        <f>'Additional information'!$D$17</f>
        <v/>
      </c>
      <c r="R118" s="103" t="n"/>
      <c r="T118" s="312" t="inlineStr">
        <is>
          <t>yes</t>
        </is>
      </c>
      <c r="U118" s="692" t="n"/>
      <c r="X118" s="201" t="n">
        <v>11.37532997131348</v>
      </c>
      <c r="Y118" s="201">
        <f>IF(X118="","",X118*Q118)</f>
        <v/>
      </c>
      <c r="Z118" s="103">
        <f>IF(T118="yes",Y118,"")</f>
        <v/>
      </c>
    </row>
    <row r="119" ht="375" customFormat="1" customHeight="1" s="109" thickBot="1">
      <c r="A119" s="79">
        <f>A118+1</f>
        <v/>
      </c>
      <c r="B119" s="180" t="inlineStr">
        <is>
          <t>crp_proddif_2</t>
        </is>
      </c>
      <c r="C119" s="545"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9" s="295"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9" s="97">
        <f>LEN(D119)</f>
        <v/>
      </c>
      <c r="F119" s="513"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9" s="97">
        <f>LEN(F119)</f>
        <v/>
      </c>
      <c r="H119" s="108" t="inlineStr">
        <is>
          <t>Select All That Apply</t>
        </is>
      </c>
      <c r="I119" s="97" t="inlineStr">
        <is>
          <t>NA</t>
        </is>
      </c>
      <c r="J119" s="97" t="inlineStr">
        <is>
          <t>NA</t>
        </is>
      </c>
      <c r="K119" s="97" t="inlineStr">
        <is>
          <t>Form Type - Checklist
17,18 = IsNone</t>
        </is>
      </c>
      <c r="L119" s="294" t="inlineStr">
        <is>
          <t>1-18 = [crp_salesmain OR optional question]</t>
        </is>
      </c>
      <c r="M119" s="165"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N119" s="512" t="inlineStr">
        <is>
          <t>if crp_proddif_2 = 1-18, go to [crp_salesmain OR optional question]</t>
        </is>
      </c>
      <c r="O119" s="38" t="inlineStr">
        <is>
          <t>1-18 = crp_salesmain</t>
        </is>
      </c>
      <c r="P119" s="9" t="n"/>
      <c r="Q119" s="203">
        <f>'Additional information'!$D$17</f>
        <v/>
      </c>
      <c r="R119" s="103" t="n"/>
      <c r="T119" s="312" t="inlineStr">
        <is>
          <t>yes</t>
        </is>
      </c>
      <c r="U119" s="692" t="n"/>
      <c r="X119" s="201" t="n">
        <v>25.84499931335449</v>
      </c>
      <c r="Y119" s="201">
        <f>IF(X119="","",X119*Q119)</f>
        <v/>
      </c>
      <c r="Z119" s="103">
        <f>IF(T119="yes",Y119,"")</f>
        <v/>
      </c>
    </row>
    <row r="120" ht="16.4" customFormat="1" customHeight="1" s="309" thickBot="1">
      <c r="A120" s="693" t="inlineStr">
        <is>
          <t>D. CROP MARKETING</t>
        </is>
      </c>
      <c r="B120" s="694" t="n"/>
      <c r="C120" s="694" t="n"/>
      <c r="D120" s="694" t="n"/>
      <c r="E120" s="694" t="n"/>
      <c r="F120" s="694" t="n"/>
      <c r="G120" s="694" t="n"/>
      <c r="H120" s="694" t="n"/>
      <c r="I120" s="694" t="n"/>
      <c r="J120" s="694" t="n"/>
      <c r="K120" s="694" t="n"/>
      <c r="L120" s="694" t="n"/>
      <c r="M120" s="694" t="n"/>
      <c r="N120" s="694" t="n"/>
      <c r="O120" s="694" t="n"/>
      <c r="P120" s="695" t="n"/>
      <c r="Q120" s="198" t="n"/>
      <c r="R120" s="314" t="n"/>
      <c r="T120" s="312" t="n"/>
      <c r="U120" s="315" t="n"/>
      <c r="X120" s="201" t="n"/>
      <c r="Y120" s="201">
        <f>IF(X120="","",X120*Q120)</f>
        <v/>
      </c>
      <c r="Z120" s="314">
        <f>IF(T120="yes",Y120,"")</f>
        <v/>
      </c>
    </row>
    <row r="121" ht="265.4" customFormat="1" customHeight="1" s="109">
      <c r="A121" s="31" t="n"/>
      <c r="B121" s="514" t="inlineStr">
        <is>
          <t>crp_salesmain</t>
        </is>
      </c>
      <c r="C121" s="609" t="inlineStr">
        <is>
          <t>crp_salesmain</t>
        </is>
      </c>
      <c r="D121" s="612"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1" s="106">
        <f>LEN(D121)</f>
        <v/>
      </c>
      <c r="F121" s="385"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1" s="106">
        <f>LEN(F121)</f>
        <v/>
      </c>
      <c r="H121" s="114" t="inlineStr">
        <is>
          <t>Single Choice</t>
        </is>
      </c>
      <c r="I121" s="515" t="inlineStr">
        <is>
          <t>NA</t>
        </is>
      </c>
      <c r="J121" s="108"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K121" s="106" t="inlineStr">
        <is>
          <t>Form Type - Buttons</t>
        </is>
      </c>
      <c r="L121" s="113" t="inlineStr">
        <is>
          <t>1-90 = crp_salesdif
91-92 = ls_intro</t>
        </is>
      </c>
      <c r="M121"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N121" s="113"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O121" s="57" t="inlineStr"/>
      <c r="P121" s="9" t="n"/>
      <c r="Q121" s="203">
        <f>'Additional information'!$D$17</f>
        <v/>
      </c>
      <c r="R121" s="103" t="n"/>
      <c r="T121" s="312" t="inlineStr">
        <is>
          <t>yes</t>
        </is>
      </c>
      <c r="U121" s="692" t="n"/>
      <c r="X121" s="201" t="n">
        <v>17.61201477050781</v>
      </c>
      <c r="Y121" s="201">
        <f>IF(X121="","",X121*Q121)</f>
        <v/>
      </c>
      <c r="Z121" s="103">
        <f>IF(T121="yes",Y121,"")</f>
        <v/>
      </c>
    </row>
    <row r="122" customFormat="1" s="109">
      <c r="A122" s="31" t="n"/>
      <c r="B122" s="546" t="n"/>
      <c r="C122" s="71" t="n"/>
      <c r="D122" s="613" t="n"/>
      <c r="E122" s="74" t="n"/>
      <c r="F122" s="613" t="n"/>
      <c r="G122" s="74" t="n"/>
      <c r="H122" s="547" t="n"/>
      <c r="I122" s="531" t="n"/>
      <c r="J122" s="614" t="n"/>
      <c r="K122" s="531" t="n"/>
      <c r="L122" s="57" t="n"/>
      <c r="M122" s="57" t="n"/>
      <c r="N122" s="59" t="n"/>
      <c r="O122" s="59" t="n"/>
      <c r="P122" s="9" t="n"/>
      <c r="Q122" s="203">
        <f>'Additional information'!$D$17</f>
        <v/>
      </c>
      <c r="R122" s="111" t="n"/>
      <c r="S122" s="692" t="n"/>
      <c r="V122" s="115" t="n"/>
      <c r="W122" s="146" t="n"/>
      <c r="X122" s="202" t="n"/>
      <c r="Y122" s="202">
        <f>IF(X122="","",X122*Q122)</f>
        <v/>
      </c>
      <c r="Z122" s="103">
        <f>IF(T122="yes",Y122,"")</f>
        <v/>
      </c>
    </row>
    <row r="123" ht="222" customFormat="1" customHeight="1" s="109">
      <c r="A123" s="70">
        <f>A119+1</f>
        <v/>
      </c>
      <c r="B123" s="296" t="inlineStr">
        <is>
          <t>crp_salesdif</t>
        </is>
      </c>
      <c r="C123" s="108" t="inlineStr">
        <is>
          <t>crp_salesdif</t>
        </is>
      </c>
      <c r="D123" s="107" t="inlineStr">
        <is>
          <t>Has your household faced any significant difficulty in the last 3 months selling your {crp_salesmain}?
[OPERATOR: SINGLE RESPONSE.]
1)YES
2)NO
3)DON'T KNOW
4)REFUSED</t>
        </is>
      </c>
      <c r="E123" s="106">
        <f>LEN(D123)</f>
        <v/>
      </c>
      <c r="F123" s="385" t="inlineStr">
        <is>
          <t>هل واجهت أسرتك أي صعوبة خلال الأشهر الثلاثة الماضية في بيع {crp_salesmain}؟
[المشغل: استجابة واحدة.]
1) نعم
2) لا
3) لا أعرف
4) رفض الإجابة</t>
        </is>
      </c>
      <c r="G123" s="106">
        <f>LEN(F123)</f>
        <v/>
      </c>
      <c r="H123" s="114" t="inlineStr">
        <is>
          <t>Single Choice</t>
        </is>
      </c>
      <c r="I123" s="106" t="inlineStr">
        <is>
          <t>NA</t>
        </is>
      </c>
      <c r="J123" s="108" t="inlineStr">
        <is>
          <t>NA</t>
        </is>
      </c>
      <c r="K123" s="106" t="inlineStr">
        <is>
          <t>Form Type - Buttons</t>
        </is>
      </c>
      <c r="L123" s="105" t="inlineStr">
        <is>
          <t>1 = crp_salesdif_2
2-4 = crp_salesprice</t>
        </is>
      </c>
      <c r="M123" s="165" t="inlineStr">
        <is>
          <t>NA</t>
        </is>
      </c>
      <c r="N123" s="105" t="inlineStr">
        <is>
          <t>if crp_salesdif = 1, go to crp_salesdif_2 ; 
if crp_salesdif = 2-4, go to crp_salesprice</t>
        </is>
      </c>
      <c r="O123" s="59" t="inlineStr"/>
      <c r="P123" s="32" t="n"/>
      <c r="Q123" s="203">
        <f>'Additional information'!$D$17</f>
        <v/>
      </c>
      <c r="R123" s="103" t="n"/>
      <c r="T123" s="312" t="inlineStr">
        <is>
          <t>yes</t>
        </is>
      </c>
      <c r="U123" s="692" t="n"/>
      <c r="X123" s="201" t="n">
        <v>10.45715618133545</v>
      </c>
      <c r="Y123" s="201">
        <f>IF(X123="","",X123*Q123)</f>
        <v/>
      </c>
      <c r="Z123" s="103">
        <f>IF(T123="yes",Y123,"")</f>
        <v/>
      </c>
    </row>
    <row r="124" ht="264.65" customFormat="1" customHeight="1" s="109">
      <c r="A124" s="31">
        <f>A123+1</f>
        <v/>
      </c>
      <c r="B124" s="514" t="inlineStr">
        <is>
          <t>crp_salesdif_2</t>
        </is>
      </c>
      <c r="C124" s="108" t="inlineStr">
        <is>
          <t>crp_saledif_
1) crp_saledif_marketing_cost
2) crp_saledif_damage_losses
3) crp_saledif_low_demand
4) crp_saledif_pay_delay
5) crp_saledif_low_price
6) crp_saledif_processing
7) crp_saledif_competition
8) crp_saledif_other
9) crp_saledif_dk
10) crp_saledif_ref</t>
        </is>
      </c>
      <c r="D124" s="295"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4" s="106">
        <f>LEN(D124)</f>
        <v/>
      </c>
      <c r="F124" s="385" t="inlineStr">
        <is>
          <t>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t>
        </is>
      </c>
      <c r="G124" s="106">
        <f>LEN(F124)</f>
        <v/>
      </c>
      <c r="H124" s="108" t="inlineStr">
        <is>
          <t>Select All That Apply</t>
        </is>
      </c>
      <c r="I124" s="515" t="inlineStr">
        <is>
          <t>NA</t>
        </is>
      </c>
      <c r="J124" s="530" t="inlineStr">
        <is>
          <t>NA</t>
        </is>
      </c>
      <c r="K124" s="515" t="inlineStr">
        <is>
          <t>Form Type - Checklist
9,10 = IsNone</t>
        </is>
      </c>
      <c r="L124" s="113" t="inlineStr">
        <is>
          <t>1-10 = crp_salesprice</t>
        </is>
      </c>
      <c r="M124" s="165" t="inlineStr">
        <is>
          <t>1)crp_saledif_marketing_cost
2)crp_saledif_damage_losses
3)crp_saledif_low_demand
4)crp_saledif_pay_delay
5)crp_saledif_low_price
6)crp_saledif_processing
7)crp_saledif_competition
8)crp_saledif_other
9)crp_saledif_dk
10)crp_saledif_ref</t>
        </is>
      </c>
      <c r="N124" s="113" t="inlineStr">
        <is>
          <t>if crp_salesdif_2 = 1-10, go to crp_salesprice</t>
        </is>
      </c>
      <c r="O124" s="57" t="inlineStr"/>
      <c r="P124" s="9" t="n"/>
      <c r="Q124" s="203">
        <f>'Additional information'!$D$17</f>
        <v/>
      </c>
      <c r="R124" s="103" t="n"/>
      <c r="T124" s="312" t="inlineStr">
        <is>
          <t>yes</t>
        </is>
      </c>
      <c r="U124" s="692" t="n"/>
      <c r="X124" s="201" t="n">
        <v>20.76996231079102</v>
      </c>
      <c r="Y124" s="201">
        <f>IF(X124="","",X124*Q124)</f>
        <v/>
      </c>
      <c r="Z124" s="103">
        <f>IF(T124="yes",Y124,"")</f>
        <v/>
      </c>
    </row>
    <row r="125" ht="261" customFormat="1" customHeight="1" s="109">
      <c r="A125" s="31">
        <f>A124+1</f>
        <v/>
      </c>
      <c r="B125" s="514" t="inlineStr">
        <is>
          <t>crp_salesprice</t>
        </is>
      </c>
      <c r="C125" s="108" t="inlineStr">
        <is>
          <t>crp_salesprice</t>
        </is>
      </c>
      <c r="D125" s="512"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5" s="515">
        <f>LEN(D125)</f>
        <v/>
      </c>
      <c r="F125" s="615"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5" s="515">
        <f>LEN(F125)</f>
        <v/>
      </c>
      <c r="H125" s="517" t="inlineStr">
        <is>
          <t>Single Choice</t>
        </is>
      </c>
      <c r="I125" s="515" t="inlineStr">
        <is>
          <t>NA</t>
        </is>
      </c>
      <c r="J125" s="515" t="inlineStr">
        <is>
          <t>NA</t>
        </is>
      </c>
      <c r="K125" s="515" t="inlineStr">
        <is>
          <t>Form Type - Buttons</t>
        </is>
      </c>
      <c r="L125" s="132" t="inlineStr">
        <is>
          <t>1-7 = ls_intro</t>
        </is>
      </c>
      <c r="M125" s="165" t="inlineStr">
        <is>
          <t>NA</t>
        </is>
      </c>
      <c r="N125" s="112" t="inlineStr">
        <is>
          <t>if crp_salesprice = 1-7, go to ls_intro</t>
        </is>
      </c>
      <c r="O125" s="131" t="inlineStr"/>
      <c r="P125" s="9" t="n"/>
      <c r="Q125" s="203">
        <f>'Additional information'!$D$17</f>
        <v/>
      </c>
      <c r="R125" s="103" t="n"/>
      <c r="T125" s="312" t="inlineStr">
        <is>
          <t>yes</t>
        </is>
      </c>
      <c r="U125" s="692" t="n"/>
      <c r="X125" s="201" t="n">
        <v>23.56972122192383</v>
      </c>
      <c r="Y125" s="201">
        <f>IF(X125="","",X125*Q125)</f>
        <v/>
      </c>
      <c r="Z125" s="103">
        <f>IF(T125="yes",Y125,"")</f>
        <v/>
      </c>
    </row>
    <row r="126" ht="16.4" customFormat="1" customHeight="1" s="109" thickBot="1">
      <c r="A126" s="31" t="n"/>
      <c r="B126" s="546" t="n"/>
      <c r="C126" s="71" t="n"/>
      <c r="D126" s="613" t="n"/>
      <c r="E126" s="74" t="n"/>
      <c r="F126" s="613" t="n"/>
      <c r="G126" s="74" t="n"/>
      <c r="H126" s="547" t="n"/>
      <c r="I126" s="531" t="n"/>
      <c r="J126" s="78" t="n"/>
      <c r="K126" s="531" t="n"/>
      <c r="L126" s="57" t="n"/>
      <c r="M126" s="57" t="n"/>
      <c r="N126" s="59" t="n"/>
      <c r="O126" s="59" t="n"/>
      <c r="P126" s="9" t="n"/>
      <c r="Q126" s="203">
        <f>'Additional information'!$D$17</f>
        <v/>
      </c>
      <c r="R126" s="103" t="n"/>
      <c r="T126" s="111" t="n"/>
      <c r="U126" s="692" t="n"/>
      <c r="X126" s="202" t="n"/>
      <c r="Y126" s="202">
        <f>IF(X126="","",X126*Q126)</f>
        <v/>
      </c>
      <c r="Z126" s="103">
        <f>IF(T126="yes",Y126,"")</f>
        <v/>
      </c>
    </row>
    <row r="127" ht="16.4" customFormat="1" customHeight="1" s="309" thickBot="1">
      <c r="A127" s="693" t="inlineStr">
        <is>
          <t>E. LIVESTOCK PRODUCTION</t>
        </is>
      </c>
      <c r="B127" s="694" t="n"/>
      <c r="C127" s="694" t="n"/>
      <c r="D127" s="694" t="n"/>
      <c r="E127" s="694" t="n"/>
      <c r="F127" s="694" t="n"/>
      <c r="G127" s="694" t="n"/>
      <c r="H127" s="694" t="n"/>
      <c r="I127" s="694" t="n"/>
      <c r="J127" s="694" t="n"/>
      <c r="K127" s="694" t="n"/>
      <c r="L127" s="694" t="n"/>
      <c r="M127" s="694" t="n"/>
      <c r="N127" s="694" t="n"/>
      <c r="O127" s="694" t="n"/>
      <c r="P127" s="695" t="n"/>
      <c r="Q127" s="198" t="n"/>
      <c r="R127" s="314" t="n"/>
      <c r="T127" s="312" t="n"/>
      <c r="U127" s="315" t="n"/>
      <c r="X127" s="201" t="n"/>
      <c r="Y127" s="201">
        <f>IF(X127="","",X127*Q127)</f>
        <v/>
      </c>
      <c r="Z127" s="314">
        <f>IF(T127="yes",Y127,"")</f>
        <v/>
      </c>
    </row>
    <row r="128" ht="125.15" customFormat="1" customHeight="1" s="109">
      <c r="A128" s="70">
        <f>A125+1</f>
        <v/>
      </c>
      <c r="B128" s="297" t="inlineStr">
        <is>
          <t>ls_intro</t>
        </is>
      </c>
      <c r="C128" s="616" t="inlineStr">
        <is>
          <t>ls_intro</t>
        </is>
      </c>
      <c r="D128" s="617" t="inlineStr">
        <is>
          <t>We will now ask you some questions about livestock production which apply to you and anyone in your household that is involved in livestock production or sales. 
1)CONTINUE</t>
        </is>
      </c>
      <c r="E128" s="106">
        <f>LEN(D128)</f>
        <v/>
      </c>
      <c r="F128" s="617" t="inlineStr">
        <is>
          <t>سنطرح عليك الآن بعض الأسئلة حول إنتاج الماشية التي تنطبق عليك وعلى أي شخص في أسرتك يشارك في إنتاج الماشية أو بيعها.
1) تابع</t>
        </is>
      </c>
      <c r="G128" s="106">
        <f>LEN(F128)</f>
        <v/>
      </c>
      <c r="H128" s="106" t="inlineStr">
        <is>
          <t>Single Choice</t>
        </is>
      </c>
      <c r="I128" s="106" t="inlineStr">
        <is>
          <t>NA</t>
        </is>
      </c>
      <c r="J128" s="10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8" s="106" t="inlineStr">
        <is>
          <t>Form Type - Buttons</t>
        </is>
      </c>
      <c r="L128" s="105" t="inlineStr">
        <is>
          <t>1 = ls_main</t>
        </is>
      </c>
      <c r="M128" s="165" t="inlineStr">
        <is>
          <t>NA</t>
        </is>
      </c>
      <c r="N128" s="11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O128" s="131" t="inlineStr"/>
      <c r="P128" s="8" t="n"/>
      <c r="Q128" s="198">
        <f>'Additional information'!$D$18</f>
        <v/>
      </c>
      <c r="R128" s="103" t="n"/>
      <c r="T128" s="312" t="inlineStr">
        <is>
          <t>yes</t>
        </is>
      </c>
      <c r="U128" s="692" t="n"/>
      <c r="X128" s="201" t="n">
        <v>4.50195837020874</v>
      </c>
      <c r="Y128" s="201">
        <f>IF(X128="","",X128*Q128)</f>
        <v/>
      </c>
      <c r="Z128" s="103">
        <f>IF(T128="yes",Y128,"")</f>
        <v/>
      </c>
    </row>
    <row r="129" customFormat="1" s="109">
      <c r="A129" s="31" t="n"/>
      <c r="B129" s="546" t="n"/>
      <c r="C129" s="71" t="n"/>
      <c r="D129" s="613" t="n"/>
      <c r="E129" s="74" t="n"/>
      <c r="F129" s="618" t="n"/>
      <c r="G129" s="74" t="n"/>
      <c r="H129" s="547" t="n"/>
      <c r="I129" s="531" t="n"/>
      <c r="J129" s="614" t="n"/>
      <c r="K129" s="531" t="n"/>
      <c r="L129" s="57" t="n"/>
      <c r="M129" s="57" t="n"/>
      <c r="N129" s="59" t="n"/>
      <c r="O129" s="59" t="n"/>
      <c r="P129" s="9" t="n"/>
      <c r="Q129" s="203">
        <f>'Additional information'!$D$18</f>
        <v/>
      </c>
      <c r="R129" s="103" t="n"/>
      <c r="T129" s="111" t="n"/>
      <c r="U129" s="692" t="n"/>
      <c r="X129" s="202" t="n"/>
      <c r="Y129" s="202">
        <f>IF(X129="","",X129*Q129)</f>
        <v/>
      </c>
      <c r="Z129" s="103">
        <f>IF(T129="yes",Y129,"")</f>
        <v/>
      </c>
    </row>
    <row r="130" ht="281.15" customFormat="1" customHeight="1" s="109">
      <c r="A130" s="70">
        <f>A128+1</f>
        <v/>
      </c>
      <c r="B130" s="179" t="inlineStr">
        <is>
          <t>ls_main</t>
        </is>
      </c>
      <c r="C130" s="108" t="inlineStr">
        <is>
          <t>ls_main</t>
        </is>
      </c>
      <c r="D130" s="10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30" s="106">
        <f>LEN(D130)</f>
        <v/>
      </c>
      <c r="F130" s="385"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30" s="106">
        <f>LEN(F130)</f>
        <v/>
      </c>
      <c r="H130" s="106" t="inlineStr">
        <is>
          <t>Single Choice</t>
        </is>
      </c>
      <c r="I130" s="106" t="inlineStr">
        <is>
          <t>NA</t>
        </is>
      </c>
      <c r="J130" s="106" t="inlineStr">
        <is>
          <t>NA</t>
        </is>
      </c>
      <c r="K130" s="108" t="inlineStr">
        <is>
          <t>Form Type - Buttons
set demographic</t>
        </is>
      </c>
      <c r="L130" s="105" t="inlineStr">
        <is>
          <t>1-9 = ls_num_lastyr
10-11 = ls_proddif</t>
        </is>
      </c>
      <c r="M130" s="165" t="inlineStr">
        <is>
          <t>NA</t>
        </is>
      </c>
      <c r="N130" s="112" t="inlineStr">
        <is>
          <t>if ls_main = 1-9, go to ls_num_lastyr ; 
If ls_main = 10-11, go to ls_proddif</t>
        </is>
      </c>
      <c r="O130" s="131" t="inlineStr"/>
      <c r="P130" s="32" t="n"/>
      <c r="Q130" s="198">
        <f>'Additional information'!$D$18</f>
        <v/>
      </c>
      <c r="R130" s="103" t="n"/>
      <c r="T130" s="312" t="inlineStr">
        <is>
          <t>yes</t>
        </is>
      </c>
      <c r="U130" s="692" t="n"/>
      <c r="X130" s="201" t="n">
        <v>17.40248489379883</v>
      </c>
      <c r="Y130" s="201">
        <f>IF(X130="","",X130*Q130)</f>
        <v/>
      </c>
      <c r="Z130" s="103">
        <f>IF(T130="yes",Y130,"")</f>
        <v/>
      </c>
    </row>
    <row r="131" customFormat="1" s="109">
      <c r="A131" s="70" t="n"/>
      <c r="B131" s="192" t="n"/>
      <c r="C131" s="71" t="n"/>
      <c r="D131" s="129" t="n"/>
      <c r="E131" s="74" t="n"/>
      <c r="F131" s="73" t="n"/>
      <c r="G131" s="74" t="n"/>
      <c r="H131" s="74" t="n"/>
      <c r="I131" s="74" t="n"/>
      <c r="J131" s="74" t="n"/>
      <c r="K131" s="71" t="n"/>
      <c r="L131" s="59" t="n"/>
      <c r="M131" s="57" t="n"/>
      <c r="N131" s="131" t="n"/>
      <c r="O131" s="131" t="n"/>
      <c r="P131" s="32" t="n"/>
      <c r="Q131" s="203">
        <f>'Additional information'!$D$18</f>
        <v/>
      </c>
      <c r="R131" s="103" t="n"/>
      <c r="T131" s="111" t="n"/>
      <c r="U131" s="692" t="n"/>
      <c r="X131" s="202" t="n"/>
      <c r="Y131" s="202">
        <f>IF(X131="","",X131*Q131)</f>
        <v/>
      </c>
      <c r="Z131" s="103">
        <f>IF(T131="yes",Y131,"")</f>
        <v/>
      </c>
    </row>
    <row r="132" ht="62.9" customFormat="1" customHeight="1" s="109">
      <c r="A132" s="31">
        <f>A130+1</f>
        <v/>
      </c>
      <c r="B132" s="514" t="inlineStr">
        <is>
          <t>ls_num_lastyr</t>
        </is>
      </c>
      <c r="C132" s="108" t="inlineStr">
        <is>
          <t>ls_num_lastyr</t>
        </is>
      </c>
      <c r="D132" s="512" t="inlineStr">
        <is>
          <t>How many {ls_main] did you have at the same time last year?
[OPERATOR: RECORD THE NUMBER OF ANIMALS. ENTER 88888 FOR DON'T KNOW AND 99999 FOR REFUSED.]</t>
        </is>
      </c>
      <c r="E132" s="515">
        <f>LEN(D132)</f>
        <v/>
      </c>
      <c r="F132" s="513" t="inlineStr">
        <is>
          <t>كم {ls_main] كان لديك في نفس الوقت من العام الماضي؟
[المُشغل: سجل عدد الحيوانات. أدخل 88888 للا أعرف و 99999 في حالة الرفض.]</t>
        </is>
      </c>
      <c r="G132" s="515">
        <f>LEN(F132)</f>
        <v/>
      </c>
      <c r="H132" s="517" t="inlineStr">
        <is>
          <t>Range</t>
        </is>
      </c>
      <c r="I132" s="515" t="inlineStr">
        <is>
          <t>NA</t>
        </is>
      </c>
      <c r="J132" s="515" t="inlineStr">
        <is>
          <t>NA</t>
        </is>
      </c>
      <c r="K132" s="515" t="inlineStr">
        <is>
          <t>Form Type - TextBox</t>
        </is>
      </c>
      <c r="L132" s="113" t="inlineStr">
        <is>
          <t>0-10000 = ls_num_now
88888-88888 = ls_num_now
99999-99999 = ls_num_now</t>
        </is>
      </c>
      <c r="M132" s="165" t="inlineStr">
        <is>
          <t>NA</t>
        </is>
      </c>
      <c r="N132" s="113" t="inlineStr">
        <is>
          <t>answers can range from 0-10000; any response goes to ls_num_now</t>
        </is>
      </c>
      <c r="O132" s="59" t="inlineStr"/>
      <c r="P132" s="9" t="n"/>
      <c r="Q132" s="198">
        <f>'Additional information'!$D$18</f>
        <v/>
      </c>
      <c r="R132" s="103" t="n"/>
      <c r="T132" s="312" t="inlineStr">
        <is>
          <t>yes</t>
        </is>
      </c>
      <c r="U132" s="692" t="n"/>
      <c r="X132" s="201" t="n">
        <v>16.33288192749023</v>
      </c>
      <c r="Y132" s="201">
        <f>IF(X132="","",X132*Q132)</f>
        <v/>
      </c>
      <c r="Z132" s="103">
        <f>IF(T132="yes",Y132,"")</f>
        <v/>
      </c>
    </row>
    <row r="133" ht="62.9" customFormat="1" customHeight="1" s="109">
      <c r="A133" s="31">
        <f>A132+1</f>
        <v/>
      </c>
      <c r="B133" s="514" t="inlineStr">
        <is>
          <t>ls_num_now</t>
        </is>
      </c>
      <c r="C133" s="108" t="inlineStr">
        <is>
          <t>ls_num_now</t>
        </is>
      </c>
      <c r="D133" s="528" t="inlineStr">
        <is>
          <t>How many {ls_main} do you have now?
[OPERATOR: RECORD THE NUMBER OF ANIMALS. ENTER 88888 FOR DON'T KNOW AND 99999 FOR REFUSED.]</t>
        </is>
      </c>
      <c r="E133" s="515">
        <f>LEN(D133)</f>
        <v/>
      </c>
      <c r="F133" s="528" t="inlineStr">
        <is>
          <t>كم {ls_main} لديك الآن؟
[المُشغل: سجل عدد الحيوانات. أدخل 88888 للا أعرف و 99999 في حالة الرفض.]</t>
        </is>
      </c>
      <c r="G133" s="515">
        <f>LEN(F133)</f>
        <v/>
      </c>
      <c r="H133" s="517" t="inlineStr">
        <is>
          <t>Range</t>
        </is>
      </c>
      <c r="I133" s="515" t="inlineStr">
        <is>
          <t>NA</t>
        </is>
      </c>
      <c r="J133" s="515" t="inlineStr">
        <is>
          <t>NA</t>
        </is>
      </c>
      <c r="K133" s="515" t="inlineStr">
        <is>
          <t>Form Type - TextBox</t>
        </is>
      </c>
      <c r="L133" s="113" t="inlineStr">
        <is>
          <t>0-10000 = ls_num_change
88888-88888 = ls_num_change
99999-99999 = ls_num_change</t>
        </is>
      </c>
      <c r="M133" s="165" t="inlineStr">
        <is>
          <t>NA</t>
        </is>
      </c>
      <c r="N133" s="113" t="inlineStr">
        <is>
          <t>answers can range from 0-10000; any response goes to ls_num_change</t>
        </is>
      </c>
      <c r="O133" s="59" t="inlineStr"/>
      <c r="P133" s="9" t="n"/>
      <c r="Q133" s="198">
        <f>'Additional information'!$D$18</f>
        <v/>
      </c>
      <c r="R133" s="103" t="n"/>
      <c r="T133" s="312" t="inlineStr">
        <is>
          <t>yes</t>
        </is>
      </c>
      <c r="U133" s="692" t="n"/>
      <c r="X133" s="201" t="n">
        <v>7.41445255279541</v>
      </c>
      <c r="Y133" s="201">
        <f>IF(X133="","",X133*Q133)</f>
        <v/>
      </c>
      <c r="Z133" s="103">
        <f>IF(T133="yes",Y133,"")</f>
        <v/>
      </c>
    </row>
    <row r="134" ht="383.25" customFormat="1" customHeight="1" s="109">
      <c r="A134" s="31" t="n">
        <v>44</v>
      </c>
      <c r="B134" s="514" t="inlineStr">
        <is>
          <t>ls_num_change</t>
        </is>
      </c>
      <c r="C134" s="10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4" s="295"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34" s="515">
        <f>LEN(D134)</f>
        <v/>
      </c>
      <c r="F134" s="528"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34" s="515">
        <f>LEN(F134)</f>
        <v/>
      </c>
      <c r="H134" s="108" t="inlineStr">
        <is>
          <t>Select All That Apply</t>
        </is>
      </c>
      <c r="I134" s="515" t="inlineStr">
        <is>
          <t>NA</t>
        </is>
      </c>
      <c r="J134" s="515" t="inlineStr">
        <is>
          <t>NA</t>
        </is>
      </c>
      <c r="K134" s="515" t="inlineStr">
        <is>
          <t>Form Type - Checklist
1,13,14 = IsNone</t>
        </is>
      </c>
      <c r="L134" s="113" t="inlineStr">
        <is>
          <t>1-14 = [ls_feed]</t>
        </is>
      </c>
      <c r="M134" s="165"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N134" s="112" t="inlineStr">
        <is>
          <t>If ls_num_change 1-14 = [ls_feed]</t>
        </is>
      </c>
      <c r="O134" s="22" t="inlineStr">
        <is>
          <t>1-14 = ls_feed</t>
        </is>
      </c>
      <c r="P134" s="9" t="n"/>
      <c r="Q134" s="198">
        <f>'Additional information'!$D$18</f>
        <v/>
      </c>
      <c r="R134" s="103" t="n"/>
      <c r="T134" s="312" t="inlineStr">
        <is>
          <t>yes</t>
        </is>
      </c>
      <c r="U134" s="692" t="n"/>
      <c r="X134" s="201" t="n">
        <v>17.79113578796387</v>
      </c>
      <c r="Y134" s="201">
        <f>IF(X134="","",X134*Q134)</f>
        <v/>
      </c>
      <c r="Z134" s="103">
        <f>IF(T134="yes",Y134,"")</f>
        <v/>
      </c>
    </row>
    <row r="135" ht="238.4" customFormat="1" customHeight="1" s="109">
      <c r="A135" s="13" t="n">
        <v>45</v>
      </c>
      <c r="B135" s="522" t="inlineStr">
        <is>
          <t>ls_feed</t>
        </is>
      </c>
      <c r="C135" s="16" t="inlineStr">
        <is>
          <t>ls_feed
1) ls_feed_open_pasture
2) ls_feed_common_pasture
3) ls_feed_self_produced
4) ls_feed_purchased
5) ls_feed_free_dist
6) ls_feed_other
7) ls_feed_dk
8) ls_feed_ref</t>
        </is>
      </c>
      <c r="D135" s="523"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5" s="524">
        <f>LEN(D135)</f>
        <v/>
      </c>
      <c r="F135" s="578"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5" s="524">
        <f>LEN(F135)</f>
        <v/>
      </c>
      <c r="H135" s="275" t="inlineStr">
        <is>
          <t>Select All That Apply</t>
        </is>
      </c>
      <c r="I135" s="524" t="inlineStr">
        <is>
          <t>NA</t>
        </is>
      </c>
      <c r="J135" s="524" t="inlineStr">
        <is>
          <t>NA</t>
        </is>
      </c>
      <c r="K135" s="524" t="inlineStr">
        <is>
          <t>Form Type - Checklist
7,8 = IsNone</t>
        </is>
      </c>
      <c r="L135" s="23" t="inlineStr">
        <is>
          <t>1-8 = ls_proddif</t>
        </is>
      </c>
      <c r="M135" s="53" t="inlineStr">
        <is>
          <t>1)ls_feed_open_pasture
2)ls_feed_common_pasture
3)ls_feed_self_produced
4)ls_feed_purchased
5)ls_feed_free_dist
6)ls_feed_other
7)ls_feed_dk
8)ls_feed_ref</t>
        </is>
      </c>
      <c r="N135" s="87" t="inlineStr">
        <is>
          <t>For any response, go to ls_proddif</t>
        </is>
      </c>
      <c r="O135" s="39" t="inlineStr"/>
      <c r="P135" s="9" t="n"/>
      <c r="Q135" s="203">
        <f>'Additional information'!$D$18</f>
        <v/>
      </c>
      <c r="R135" s="103" t="n"/>
      <c r="T135" s="111" t="inlineStr">
        <is>
          <t>no</t>
        </is>
      </c>
      <c r="U135" s="692" t="n"/>
      <c r="X135" s="202" t="n">
        <v>18.08681678771973</v>
      </c>
      <c r="Y135" s="202">
        <f>IF(X135="","",X135*Q135)</f>
        <v/>
      </c>
      <c r="Z135" s="103">
        <f>IF(T135="yes",Y135,"")</f>
        <v/>
      </c>
    </row>
    <row r="136" customFormat="1" s="109">
      <c r="A136" s="31" t="n"/>
      <c r="B136" s="546" t="n"/>
      <c r="C136" s="71" t="n"/>
      <c r="D136" s="579" t="n"/>
      <c r="E136" s="531" t="n"/>
      <c r="G136" s="531" t="n"/>
      <c r="H136" s="532" t="n"/>
      <c r="I136" s="531" t="n"/>
      <c r="J136" s="531" t="n"/>
      <c r="K136" s="531" t="n"/>
      <c r="L136" s="57" t="n"/>
      <c r="M136" s="57" t="n"/>
      <c r="N136" s="57" t="n"/>
      <c r="O136" s="59" t="n"/>
      <c r="P136" s="9" t="n"/>
      <c r="Q136" s="203">
        <f>'Additional information'!$D$18</f>
        <v/>
      </c>
      <c r="R136" s="103" t="n"/>
      <c r="T136" s="111" t="n"/>
      <c r="U136" s="692" t="n"/>
      <c r="X136" s="202" t="n"/>
      <c r="Y136" s="202">
        <f>IF(X136="","",X136*Q136)</f>
        <v/>
      </c>
      <c r="Z136" s="103">
        <f>IF(T136="yes",Y136,"")</f>
        <v/>
      </c>
    </row>
    <row r="137" ht="140.9" customFormat="1" customHeight="1" s="109">
      <c r="A137" s="31">
        <f>A135+1</f>
        <v/>
      </c>
      <c r="B137" s="514" t="inlineStr">
        <is>
          <t>ls_proddif</t>
        </is>
      </c>
      <c r="C137" s="108" t="inlineStr">
        <is>
          <t>ls_proddif</t>
        </is>
      </c>
      <c r="D137" s="512" t="inlineStr">
        <is>
          <t>Has your household faced any significant difficulty with livestock production over the last 3 months?
[OPERATOR: SINGLE RESPONSE.]
1)YES 
2)NO
3)DON'T KNOW
4)REFUSED</t>
        </is>
      </c>
      <c r="E137" s="515">
        <f>LEN(D137)</f>
        <v/>
      </c>
      <c r="F137" s="513" t="inlineStr">
        <is>
          <t>هل واجهت أسرتك أي صعوبة في إنتاج الماشية خلال الأشهر الثلاثة الماضية؟
[المشغل: استجابة واحدة.]
1) نعم
2) لا
3) لا أعرف
4) رفض الإجابة</t>
        </is>
      </c>
      <c r="G137" s="515">
        <f>LEN(F137)</f>
        <v/>
      </c>
      <c r="H137" s="517" t="inlineStr">
        <is>
          <t>Single Choice</t>
        </is>
      </c>
      <c r="I137" s="515" t="inlineStr">
        <is>
          <t>NA</t>
        </is>
      </c>
      <c r="J137" s="515" t="inlineStr">
        <is>
          <t>NA</t>
        </is>
      </c>
      <c r="K137" s="515" t="inlineStr">
        <is>
          <t>Form Type - Buttons</t>
        </is>
      </c>
      <c r="L137" s="113" t="inlineStr">
        <is>
          <t>1=ls_proddif_2
2-4= [ls_salesmain OR optional question]</t>
        </is>
      </c>
      <c r="M137" s="165" t="inlineStr">
        <is>
          <t>NA</t>
        </is>
      </c>
      <c r="N137" s="113" t="inlineStr">
        <is>
          <t>if ls_proddif = 1, go to ls_proddif_2 ; 
if ls_proddif = 2-4, go to [ls_salesmain OR optional question]</t>
        </is>
      </c>
      <c r="O137" s="29" t="inlineStr">
        <is>
          <t>1=ls_proddif_2
2-4= ls_salesmain</t>
        </is>
      </c>
      <c r="P137" s="9" t="n"/>
      <c r="Q137" s="198">
        <f>'Additional information'!$D$18</f>
        <v/>
      </c>
      <c r="R137" s="103" t="n"/>
      <c r="T137" s="312" t="inlineStr">
        <is>
          <t>yes</t>
        </is>
      </c>
      <c r="U137" s="692" t="n"/>
      <c r="X137" s="201" t="n">
        <v>10.37455940246582</v>
      </c>
      <c r="Y137" s="201">
        <f>IF(X137="","",X137*Q137)</f>
        <v/>
      </c>
      <c r="Z137" s="103">
        <f>IF(T137="yes",Y137,"")</f>
        <v/>
      </c>
    </row>
    <row r="138" ht="327.65" customFormat="1" customHeight="1" s="109">
      <c r="A138" s="79">
        <f>A137+1</f>
        <v/>
      </c>
      <c r="B138" s="180" t="inlineStr">
        <is>
          <t>ls_proddif_2</t>
        </is>
      </c>
      <c r="C138" s="99"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8" s="512"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8" s="515">
        <f>LEN(D138)</f>
        <v/>
      </c>
      <c r="F138" s="513"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8" s="515">
        <f>LEN(F138)</f>
        <v/>
      </c>
      <c r="H138" s="108" t="inlineStr">
        <is>
          <t>Select All That Apply</t>
        </is>
      </c>
      <c r="I138" s="515" t="inlineStr">
        <is>
          <t>NA</t>
        </is>
      </c>
      <c r="J138" s="515" t="inlineStr">
        <is>
          <t>NA</t>
        </is>
      </c>
      <c r="K138" s="515" t="inlineStr">
        <is>
          <t>Form Type - Checklist
12,13 = IsNone</t>
        </is>
      </c>
      <c r="L138" s="619" t="inlineStr">
        <is>
          <t>1-13 = [ls_salesmain OR optional question]</t>
        </is>
      </c>
      <c r="M138" s="165"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N138" s="512" t="inlineStr">
        <is>
          <t>if ls_proddif_2 = 1-13, go to ls_salesmain OR optional question</t>
        </is>
      </c>
      <c r="O138" s="38" t="inlineStr">
        <is>
          <t>1-13 = ls_salesmain</t>
        </is>
      </c>
      <c r="P138" s="9" t="n"/>
      <c r="Q138" s="198">
        <f>'Additional information'!$D$18</f>
        <v/>
      </c>
      <c r="R138" s="103" t="n"/>
      <c r="T138" s="312" t="inlineStr">
        <is>
          <t>yes</t>
        </is>
      </c>
      <c r="U138" s="692" t="n"/>
      <c r="X138" s="201" t="n">
        <v>19.61676216125488</v>
      </c>
      <c r="Y138" s="201">
        <f>IF(X138="","",X138*Q138)</f>
        <v/>
      </c>
      <c r="Z138" s="103">
        <f>IF(T138="yes",Y138,"")</f>
        <v/>
      </c>
    </row>
    <row r="139" ht="16.4" customFormat="1" customHeight="1" s="109" thickBot="1">
      <c r="A139" s="31" t="n"/>
      <c r="B139" s="546" t="n"/>
      <c r="C139" s="71" t="n"/>
      <c r="D139" s="579" t="n"/>
      <c r="E139" s="531" t="n"/>
      <c r="F139" s="531" t="n"/>
      <c r="G139" s="531" t="n"/>
      <c r="H139" s="532" t="n"/>
      <c r="I139" s="531" t="n"/>
      <c r="J139" s="531" t="n"/>
      <c r="K139" s="531" t="n"/>
      <c r="L139" s="57" t="n"/>
      <c r="M139" s="57" t="n"/>
      <c r="N139" s="57" t="n"/>
      <c r="O139" s="59" t="n"/>
      <c r="P139" s="32" t="n"/>
      <c r="Q139" s="203">
        <f>'Additional information'!$D$18</f>
        <v/>
      </c>
      <c r="R139" s="103" t="n"/>
      <c r="T139" s="111" t="n"/>
      <c r="U139" s="692" t="n"/>
      <c r="X139" s="202" t="n"/>
      <c r="Y139" s="202">
        <f>IF(X139="","",X139*Q139)</f>
        <v/>
      </c>
      <c r="Z139" s="103">
        <f>IF(T139="yes",Y139,"")</f>
        <v/>
      </c>
    </row>
    <row r="140" ht="16.4" customFormat="1" customHeight="1" s="309" thickBot="1">
      <c r="A140" s="693" t="inlineStr">
        <is>
          <t>E. LIVESTOCK MARKETING</t>
        </is>
      </c>
      <c r="B140" s="694" t="n"/>
      <c r="C140" s="694" t="n"/>
      <c r="D140" s="694" t="n"/>
      <c r="E140" s="694" t="n"/>
      <c r="F140" s="694" t="n"/>
      <c r="G140" s="694" t="n"/>
      <c r="H140" s="694" t="n"/>
      <c r="I140" s="694" t="n"/>
      <c r="J140" s="694" t="n"/>
      <c r="K140" s="694" t="n"/>
      <c r="L140" s="694" t="n"/>
      <c r="M140" s="694" t="n"/>
      <c r="N140" s="694" t="n"/>
      <c r="O140" s="694" t="n"/>
      <c r="P140" s="695" t="n"/>
      <c r="Q140" s="198" t="n"/>
      <c r="R140" s="314" t="n"/>
      <c r="T140" s="312" t="n"/>
      <c r="U140" s="315" t="n"/>
      <c r="X140" s="201" t="n"/>
      <c r="Y140" s="201">
        <f>IF(X140="","",X140*Q140)</f>
        <v/>
      </c>
      <c r="Z140" s="314">
        <f>IF(T140="yes",Y140,"")</f>
        <v/>
      </c>
    </row>
    <row r="141" ht="281.15" customFormat="1" customHeight="1" s="109">
      <c r="A141" s="70">
        <f>A138+1</f>
        <v/>
      </c>
      <c r="B141" s="179" t="inlineStr">
        <is>
          <t>ls_salesmain</t>
        </is>
      </c>
      <c r="C141" s="108" t="inlineStr">
        <is>
          <t>ls_salesmain</t>
        </is>
      </c>
      <c r="D141" s="126"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41" s="106">
        <f>LEN(D141)</f>
        <v/>
      </c>
      <c r="F141" s="126"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41" s="106">
        <f>LEN(F141)</f>
        <v/>
      </c>
      <c r="H141" s="114" t="inlineStr">
        <is>
          <t>Single Choice</t>
        </is>
      </c>
      <c r="I141" s="106" t="inlineStr">
        <is>
          <t>NA</t>
        </is>
      </c>
      <c r="J141" s="10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41" s="108" t="inlineStr">
        <is>
          <t>Form Type - Buttons
IsDemographic</t>
        </is>
      </c>
      <c r="L141" s="105" t="inlineStr">
        <is>
          <t>1-11 = ls_salesdif
12-13 = fish_intro</t>
        </is>
      </c>
      <c r="M141" s="165" t="inlineStr">
        <is>
          <t>NA</t>
        </is>
      </c>
      <c r="N141" s="10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O141" s="59" t="inlineStr"/>
      <c r="P141" s="8" t="n"/>
      <c r="Q141" s="198">
        <f>'Additional information'!$D$18</f>
        <v/>
      </c>
      <c r="R141" s="103" t="n"/>
      <c r="T141" s="312" t="inlineStr">
        <is>
          <t>yes</t>
        </is>
      </c>
      <c r="U141" s="692" t="n"/>
      <c r="X141" s="201" t="n">
        <v>12.99236297607422</v>
      </c>
      <c r="Y141" s="201">
        <f>IF(X141="","",X141*Q141)</f>
        <v/>
      </c>
      <c r="Z141" s="103">
        <f>IF(T141="yes",Y141,"")</f>
        <v/>
      </c>
    </row>
    <row r="142" customFormat="1" s="109">
      <c r="A142" s="70" t="n"/>
      <c r="B142" s="192" t="n"/>
      <c r="C142" s="71" t="n"/>
      <c r="D142" s="76" t="n"/>
      <c r="E142" s="74" t="n"/>
      <c r="F142" s="74" t="n"/>
      <c r="G142" s="74" t="n"/>
      <c r="H142" s="77" t="n"/>
      <c r="I142" s="74" t="n"/>
      <c r="J142" s="74" t="n"/>
      <c r="K142" s="71" t="n"/>
      <c r="L142" s="59" t="n"/>
      <c r="M142" s="57" t="n"/>
      <c r="N142" s="59" t="n"/>
      <c r="O142" s="59" t="n"/>
      <c r="P142" s="32" t="n"/>
      <c r="Q142" s="203">
        <f>'Additional information'!$D$18</f>
        <v/>
      </c>
      <c r="R142" s="103" t="n"/>
      <c r="T142" s="111" t="n"/>
      <c r="U142" s="692" t="n"/>
      <c r="X142" s="202" t="n"/>
      <c r="Y142" s="202">
        <f>IF(X142="","",X142*Q142)</f>
        <v/>
      </c>
      <c r="Z142" s="103">
        <f>IF(T142="yes",Y142,"")</f>
        <v/>
      </c>
    </row>
    <row r="143" ht="140.9" customFormat="1" customHeight="1" s="109">
      <c r="A143" s="31">
        <f>A141+1</f>
        <v/>
      </c>
      <c r="B143" s="606" t="inlineStr">
        <is>
          <t>ls_salesdif</t>
        </is>
      </c>
      <c r="C143" s="108" t="inlineStr">
        <is>
          <t>ls_salesdif</t>
        </is>
      </c>
      <c r="D143" s="512" t="inlineStr">
        <is>
          <t>Has your household faced any significant difficulty in the last 3 months selling your {ls_salesmain}?
[OPERATOR: SINGLE RESPONSE.]
1)YES
2)NO
3)DON'T KNOW
4)REFUSED</t>
        </is>
      </c>
      <c r="E143" s="515">
        <f>LEN(D143)</f>
        <v/>
      </c>
      <c r="F143" s="513" t="inlineStr">
        <is>
          <t>هل واجهت أسرتك أي صعوبة خلال الأشهر الثلاثة الماضية في بيع {ls_salesmain}؟
[المشغل: استجابة واحدة.]
1) نعم
2) لا
3) لا أعرف
4) رفض الإجابة</t>
        </is>
      </c>
      <c r="G143" s="515">
        <f>LEN(F143)</f>
        <v/>
      </c>
      <c r="H143" s="517" t="inlineStr">
        <is>
          <t>Single Choice</t>
        </is>
      </c>
      <c r="I143" s="515" t="inlineStr">
        <is>
          <t>NA</t>
        </is>
      </c>
      <c r="J143" s="515" t="inlineStr">
        <is>
          <t>NA</t>
        </is>
      </c>
      <c r="K143" s="515" t="inlineStr">
        <is>
          <t>Form Type - Buttons</t>
        </is>
      </c>
      <c r="L143" s="113" t="inlineStr">
        <is>
          <t>1 = ls_salesdif_2
2-4 = ls_salesprice</t>
        </is>
      </c>
      <c r="M143" s="165" t="inlineStr">
        <is>
          <t>NA</t>
        </is>
      </c>
      <c r="N143" s="113" t="inlineStr">
        <is>
          <t>if ls_salesdif = 1, go to ls_salesdif_2 ; 
if ls_salesdif = 2-4, go to ls_salesprice</t>
        </is>
      </c>
      <c r="O143" s="57" t="inlineStr"/>
      <c r="P143" s="9" t="n"/>
      <c r="Q143" s="198">
        <f>'Additional information'!$D$18</f>
        <v/>
      </c>
      <c r="R143" s="103" t="n"/>
      <c r="T143" s="312" t="inlineStr">
        <is>
          <t>yes</t>
        </is>
      </c>
      <c r="U143" s="692" t="n"/>
      <c r="X143" s="201" t="n">
        <v>8.629570960998535</v>
      </c>
      <c r="Y143" s="201">
        <f>IF(X143="","",X143*Q143)</f>
        <v/>
      </c>
      <c r="Z143" s="103">
        <f>IF(T143="yes",Y143,"")</f>
        <v/>
      </c>
    </row>
    <row r="144" ht="296.9" customFormat="1" customHeight="1" s="109">
      <c r="A144" s="31">
        <f>A143+1</f>
        <v/>
      </c>
      <c r="B144" s="514" t="inlineStr">
        <is>
          <t>ls_salesdif_2</t>
        </is>
      </c>
      <c r="C144" s="10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4" s="295"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4" s="515">
        <f>LEN(D144)</f>
        <v/>
      </c>
      <c r="F144" s="397"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44" s="515">
        <f>LEN(F144)</f>
        <v/>
      </c>
      <c r="H144" s="108" t="inlineStr">
        <is>
          <t>Select All That Apply</t>
        </is>
      </c>
      <c r="I144" s="515" t="inlineStr">
        <is>
          <t>NA</t>
        </is>
      </c>
      <c r="J144" s="515" t="inlineStr">
        <is>
          <t>NA</t>
        </is>
      </c>
      <c r="K144" s="515" t="inlineStr">
        <is>
          <t>Form Type - Checklist
10,11 = IsNone</t>
        </is>
      </c>
      <c r="L144" s="113" t="inlineStr">
        <is>
          <t>1-11 = ls_salesprice</t>
        </is>
      </c>
      <c r="M144" s="165"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N144" s="113" t="inlineStr">
        <is>
          <t>if ls_salesdif_2 = 1-11, go to ls_salesprice</t>
        </is>
      </c>
      <c r="O144" s="57" t="inlineStr"/>
      <c r="P144" s="9" t="n"/>
      <c r="Q144" s="198">
        <f>'Additional information'!$D$18</f>
        <v/>
      </c>
      <c r="R144" s="103" t="n"/>
      <c r="T144" s="312" t="inlineStr">
        <is>
          <t>yes</t>
        </is>
      </c>
      <c r="U144" s="692" t="n"/>
      <c r="X144" s="201" t="n">
        <v>18.25617218017578</v>
      </c>
      <c r="Y144" s="201">
        <f>IF(X144="","",X144*Q144)</f>
        <v/>
      </c>
      <c r="Z144" s="103">
        <f>IF(T144="yes",Y144,"")</f>
        <v/>
      </c>
    </row>
    <row r="145" customFormat="1" s="109">
      <c r="A145" s="31" t="n"/>
      <c r="B145" s="546" t="n"/>
      <c r="C145" s="71" t="n"/>
      <c r="D145" s="91" t="n"/>
      <c r="E145" s="531" t="n"/>
      <c r="F145" s="531" t="n"/>
      <c r="G145" s="531" t="n"/>
      <c r="H145" s="547" t="n"/>
      <c r="I145" s="531" t="n"/>
      <c r="J145" s="531" t="n"/>
      <c r="K145" s="531" t="n"/>
      <c r="L145" s="57" t="n"/>
      <c r="M145" s="57" t="n"/>
      <c r="N145" s="57" t="n"/>
      <c r="O145" s="57" t="n"/>
      <c r="P145" s="9" t="n"/>
      <c r="Q145" s="203">
        <f>'Additional information'!$D$18</f>
        <v/>
      </c>
      <c r="R145" s="103" t="n"/>
      <c r="T145" s="111" t="n"/>
      <c r="U145" s="692" t="n"/>
      <c r="X145" s="202" t="n"/>
      <c r="Y145" s="202">
        <f>IF(X145="","",X145*Q145)</f>
        <v/>
      </c>
      <c r="Z145" s="103">
        <f>IF(T145="yes",Y145,"")</f>
        <v/>
      </c>
    </row>
    <row r="146" ht="203.15" customFormat="1" customHeight="1" s="109">
      <c r="A146" s="31">
        <f>A144+1</f>
        <v/>
      </c>
      <c r="B146" s="514" t="inlineStr">
        <is>
          <t>ls_salesprice</t>
        </is>
      </c>
      <c r="C146" s="108" t="inlineStr">
        <is>
          <t>ls_salesprice</t>
        </is>
      </c>
      <c r="D146" s="512"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6" s="515">
        <f>LEN(D146)</f>
        <v/>
      </c>
      <c r="F146" s="513"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6" s="515">
        <f>LEN(F146)</f>
        <v/>
      </c>
      <c r="H146" s="517" t="inlineStr">
        <is>
          <t>Single Choice</t>
        </is>
      </c>
      <c r="I146" s="515" t="inlineStr">
        <is>
          <t>NA</t>
        </is>
      </c>
      <c r="J146" s="515" t="inlineStr">
        <is>
          <t>NA</t>
        </is>
      </c>
      <c r="K146" s="515" t="inlineStr">
        <is>
          <t>Form Type - Buttons</t>
        </is>
      </c>
      <c r="L146" s="132" t="inlineStr">
        <is>
          <t>1-7 = fish_intro</t>
        </is>
      </c>
      <c r="M146" s="165" t="inlineStr">
        <is>
          <t>NA</t>
        </is>
      </c>
      <c r="N146" s="132" t="inlineStr">
        <is>
          <t>For options #1-7, go to fish_intro</t>
        </is>
      </c>
      <c r="O146" s="37" t="inlineStr"/>
      <c r="P146" s="9" t="n"/>
      <c r="Q146" s="198">
        <f>'Additional information'!$D$18</f>
        <v/>
      </c>
      <c r="R146" s="103" t="n"/>
      <c r="T146" s="312" t="inlineStr">
        <is>
          <t>yes</t>
        </is>
      </c>
      <c r="U146" s="692" t="n"/>
      <c r="X146" s="201" t="n">
        <v>15.45627975463867</v>
      </c>
      <c r="Y146" s="201">
        <f>IF(X146="","",X146*Q146)</f>
        <v/>
      </c>
      <c r="Z146" s="103">
        <f>IF(T146="yes",Y146,"")</f>
        <v/>
      </c>
    </row>
    <row r="147" ht="16.4" customFormat="1" customHeight="1" s="109" thickBot="1">
      <c r="A147" s="31" t="n"/>
      <c r="B147" s="546" t="n"/>
      <c r="C147" s="71" t="n"/>
      <c r="D147" s="579" t="n"/>
      <c r="E147" s="531" t="n"/>
      <c r="F147" s="531" t="n"/>
      <c r="G147" s="531" t="n"/>
      <c r="H147" s="532" t="n"/>
      <c r="I147" s="531" t="n"/>
      <c r="J147" s="531" t="n"/>
      <c r="K147" s="531" t="n"/>
      <c r="L147" s="37" t="n"/>
      <c r="M147" s="57" t="n"/>
      <c r="N147" s="37" t="n"/>
      <c r="O147" s="37" t="n"/>
      <c r="P147" s="9" t="n"/>
      <c r="Q147" s="203">
        <f>'Additional information'!$D$18</f>
        <v/>
      </c>
      <c r="R147" s="103" t="n"/>
      <c r="T147" s="111" t="n"/>
      <c r="U147" s="692" t="n"/>
      <c r="X147" s="202" t="n"/>
      <c r="Y147" s="202">
        <f>IF(X147="","",X147*Q147)</f>
        <v/>
      </c>
      <c r="Z147" s="103">
        <f>IF(T147="yes",Y147,"")</f>
        <v/>
      </c>
    </row>
    <row r="148" ht="16.4" customFormat="1" customHeight="1" s="309" thickBot="1">
      <c r="A148" s="693" t="inlineStr">
        <is>
          <t>F. FISHERIES PRODUCTION</t>
        </is>
      </c>
      <c r="B148" s="694" t="n"/>
      <c r="C148" s="694" t="n"/>
      <c r="D148" s="694" t="n"/>
      <c r="E148" s="694" t="n"/>
      <c r="F148" s="694" t="n"/>
      <c r="G148" s="694" t="n"/>
      <c r="H148" s="694" t="n"/>
      <c r="I148" s="694" t="n"/>
      <c r="J148" s="694" t="n"/>
      <c r="K148" s="694" t="n"/>
      <c r="L148" s="694" t="n"/>
      <c r="M148" s="694" t="n"/>
      <c r="N148" s="694" t="n"/>
      <c r="O148" s="694" t="n"/>
      <c r="P148" s="695" t="n"/>
      <c r="Q148" s="198" t="n"/>
      <c r="R148" s="314" t="n"/>
      <c r="T148" s="312" t="n"/>
      <c r="U148" s="315" t="n"/>
      <c r="X148" s="201" t="n"/>
      <c r="Y148" s="201">
        <f>IF(X148="","",X148*Q148)</f>
        <v/>
      </c>
      <c r="Z148" s="314">
        <f>IF(T148="yes",Y148,"")</f>
        <v/>
      </c>
    </row>
    <row r="149" ht="120" customFormat="1" customHeight="1" s="109">
      <c r="A149" s="70">
        <f>A146+1</f>
        <v/>
      </c>
      <c r="B149" s="179" t="inlineStr">
        <is>
          <t>fish_intro</t>
        </is>
      </c>
      <c r="C149" s="108" t="inlineStr">
        <is>
          <t>fish_intro</t>
        </is>
      </c>
      <c r="D149" s="298" t="inlineStr">
        <is>
          <t>We will now ask you some questions about fishing and aquaculture production which apply to you and anyone in your household that is involved in the capture, culture, or harvest of fish and aquatic products.
1)CONTINUE</t>
        </is>
      </c>
      <c r="E149" s="106">
        <f>LEN(D149)</f>
        <v/>
      </c>
      <c r="F149" s="620"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49" s="106">
        <f>LEN(F149)</f>
        <v/>
      </c>
      <c r="H149" s="106" t="inlineStr">
        <is>
          <t>Single Choice</t>
        </is>
      </c>
      <c r="I149" s="106" t="inlineStr">
        <is>
          <t>NA</t>
        </is>
      </c>
      <c r="J149" s="106" t="inlineStr">
        <is>
          <t>Send if "income_main_fish_check" "Equals" "YES" Or "income_sec_fish_check" "Equals" "YES" Or "income_third_fish_check" "Equals" "YES" Or "hh_fish" "Equals" "YES" if not satisfied go to "fies"</t>
        </is>
      </c>
      <c r="K149" s="515" t="inlineStr">
        <is>
          <t>Form Type - Buttons</t>
        </is>
      </c>
      <c r="L149" s="105" t="inlineStr">
        <is>
          <t>1 = fish_main</t>
        </is>
      </c>
      <c r="M149" s="165" t="inlineStr">
        <is>
          <t>NA</t>
        </is>
      </c>
      <c r="N149" s="11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O149" s="408" t="inlineStr"/>
      <c r="P149" s="8" t="n"/>
      <c r="Q149" s="198">
        <f>'Additional information'!$D$19</f>
        <v/>
      </c>
      <c r="R149" s="103" t="n"/>
      <c r="T149" s="312" t="inlineStr">
        <is>
          <t>yes</t>
        </is>
      </c>
      <c r="U149" s="692" t="n"/>
      <c r="X149" s="201" t="n">
        <v>2.480132341384888</v>
      </c>
      <c r="Y149" s="201">
        <f>IF(X149="","",X149*Q149)</f>
        <v/>
      </c>
      <c r="Z149" s="103">
        <f>IF(T149="yes",Y149,"")</f>
        <v/>
      </c>
    </row>
    <row r="150" customFormat="1" s="109">
      <c r="A150" s="31" t="n"/>
      <c r="B150" s="546" t="n"/>
      <c r="C150" s="71" t="n"/>
      <c r="D150" s="579" t="n"/>
      <c r="E150" s="531" t="n"/>
      <c r="F150" s="579" t="n"/>
      <c r="G150" s="531" t="n"/>
      <c r="H150" s="532" t="n"/>
      <c r="I150" s="531" t="n"/>
      <c r="J150" s="531" t="n"/>
      <c r="K150" s="531" t="n"/>
      <c r="L150" s="37" t="n"/>
      <c r="M150" s="63" t="n"/>
      <c r="N150" s="37" t="n"/>
      <c r="O150" s="37" t="n"/>
      <c r="P150" s="9" t="n"/>
      <c r="Q150" s="203">
        <f>'Additional information'!$D$19</f>
        <v/>
      </c>
      <c r="R150" s="103" t="n"/>
      <c r="T150" s="111" t="n"/>
      <c r="U150" s="692" t="n"/>
      <c r="X150" s="202" t="n"/>
      <c r="Y150" s="202">
        <f>IF(X150="","",X150*Q150)</f>
        <v/>
      </c>
      <c r="Z150" s="103">
        <f>IF(T150="yes",Y150,"")</f>
        <v/>
      </c>
    </row>
    <row r="151" ht="156" customFormat="1" customHeight="1" s="109">
      <c r="A151" s="70">
        <f>A149+1</f>
        <v/>
      </c>
      <c r="B151" s="179" t="inlineStr">
        <is>
          <t>fish_main</t>
        </is>
      </c>
      <c r="C151" s="299" t="inlineStr">
        <is>
          <t>fish_main_
1) fish_main_coastal
2) fish_main_offshore_sea
3) fish_main_freshwater
4) fish_main_aquaculture
5) fish_main_dk
6) fish_main_ref</t>
        </is>
      </c>
      <c r="D151" s="295"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51" s="106">
        <f>LEN(D151)</f>
        <v/>
      </c>
      <c r="F151" s="620"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51" s="106">
        <f>LEN(F151)</f>
        <v/>
      </c>
      <c r="H151" s="108" t="inlineStr">
        <is>
          <t>Select All That Apply</t>
        </is>
      </c>
      <c r="I151" s="106" t="inlineStr">
        <is>
          <t>NA</t>
        </is>
      </c>
      <c r="J151" s="106" t="inlineStr">
        <is>
          <t>NA</t>
        </is>
      </c>
      <c r="K151" s="106" t="inlineStr">
        <is>
          <t>Form Type - Checklist
5,6 = IsNone</t>
        </is>
      </c>
      <c r="L151" s="105" t="inlineStr">
        <is>
          <t>1-6 = fish_change</t>
        </is>
      </c>
      <c r="M151" s="165" t="inlineStr">
        <is>
          <t>1)fish_main_coastal
2)fish_main_offshore_sea
3)fish_main_freshwater
4)fish_main_aquaculture
5)fish_main_dk
6)fish_main_ref</t>
        </is>
      </c>
      <c r="N151" s="105" t="inlineStr">
        <is>
          <t>if fish_main = 1-6, go to fish_change</t>
        </is>
      </c>
      <c r="O151" s="59" t="inlineStr"/>
      <c r="P151" s="32" t="n"/>
      <c r="Q151" s="198">
        <f>'Additional information'!$D$19</f>
        <v/>
      </c>
      <c r="R151" s="103" t="n"/>
      <c r="T151" s="312" t="inlineStr">
        <is>
          <t>yes</t>
        </is>
      </c>
      <c r="U151" s="692" t="n"/>
      <c r="X151" s="201" t="n">
        <v>12.71689510345459</v>
      </c>
      <c r="Y151" s="201">
        <f>IF(X151="","",X151*Q151)</f>
        <v/>
      </c>
      <c r="Z151" s="103">
        <f>IF(T151="yes",Y151,"")</f>
        <v/>
      </c>
    </row>
    <row r="152" customFormat="1" s="109">
      <c r="A152" s="70" t="n"/>
      <c r="B152" s="192" t="n"/>
      <c r="C152" s="71" t="n"/>
      <c r="D152" s="621" t="n"/>
      <c r="E152" s="74" t="n"/>
      <c r="F152" s="621" t="n"/>
      <c r="G152" s="74" t="n"/>
      <c r="H152" s="71" t="n"/>
      <c r="I152" s="74" t="n"/>
      <c r="J152" s="74" t="n"/>
      <c r="K152" s="74" t="n"/>
      <c r="L152" s="59" t="n"/>
      <c r="M152" s="63" t="n"/>
      <c r="N152" s="59" t="n"/>
      <c r="O152" s="59" t="n"/>
      <c r="P152" s="32" t="n"/>
      <c r="Q152" s="203">
        <f>'Additional information'!$D$19</f>
        <v/>
      </c>
      <c r="R152" s="103" t="n"/>
      <c r="T152" s="111" t="n"/>
      <c r="U152" s="692" t="n"/>
      <c r="X152" s="202" t="n"/>
      <c r="Y152" s="202">
        <f>IF(X152="","",X152*Q152)</f>
        <v/>
      </c>
      <c r="Z152" s="103">
        <f>IF(T152="yes",Y152,"")</f>
        <v/>
      </c>
    </row>
    <row r="153" ht="187.4" customHeight="1">
      <c r="A153" s="70">
        <f>A151+1</f>
        <v/>
      </c>
      <c r="B153" s="622" t="inlineStr">
        <is>
          <t>fish_change</t>
        </is>
      </c>
      <c r="C153" s="623" t="inlineStr">
        <is>
          <t>fish_change</t>
        </is>
      </c>
      <c r="D153" s="295"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53" s="106">
        <f>LEN(D153)</f>
        <v/>
      </c>
      <c r="F153" s="513"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53" s="106">
        <f>LEN(F153)</f>
        <v/>
      </c>
      <c r="H153" s="623" t="inlineStr">
        <is>
          <t>Single Choice</t>
        </is>
      </c>
      <c r="I153" s="623" t="inlineStr">
        <is>
          <t>NA</t>
        </is>
      </c>
      <c r="J153" s="623" t="inlineStr">
        <is>
          <t>NA</t>
        </is>
      </c>
      <c r="K153" s="623" t="inlineStr">
        <is>
          <t>Form Type - Buttons</t>
        </is>
      </c>
      <c r="L153" s="300" t="inlineStr">
        <is>
          <t>1-7 = fish_proddif</t>
        </is>
      </c>
      <c r="M153" s="165" t="inlineStr">
        <is>
          <t>NA</t>
        </is>
      </c>
      <c r="N153" s="300" t="inlineStr">
        <is>
          <t>if fish_change = 1-7, go to fish_proddif</t>
        </is>
      </c>
      <c r="O153" s="63" t="inlineStr"/>
      <c r="P153" s="9" t="n"/>
      <c r="Q153" s="198">
        <f>'Additional information'!$D$19</f>
        <v/>
      </c>
      <c r="R153" s="103" t="n"/>
      <c r="T153" s="312" t="inlineStr">
        <is>
          <t>yes</t>
        </is>
      </c>
      <c r="X153" s="201" t="n">
        <v>10.51750373840332</v>
      </c>
      <c r="Y153" s="201">
        <f>IF(X153="","",X153*Q153)</f>
        <v/>
      </c>
      <c r="Z153" s="103">
        <f>IF(T153="yes",Y153,"")</f>
        <v/>
      </c>
    </row>
    <row r="154">
      <c r="A154" s="70" t="n"/>
      <c r="B154" s="130" t="n"/>
      <c r="C154" s="128" t="n"/>
      <c r="D154" s="129" t="n"/>
      <c r="E154" s="74" t="n"/>
      <c r="F154" s="129" t="n"/>
      <c r="G154" s="74" t="n"/>
      <c r="H154" s="128" t="n"/>
      <c r="I154" s="128" t="n"/>
      <c r="J154" s="128" t="n"/>
      <c r="K154" s="128" t="n"/>
      <c r="L154" s="63" t="n"/>
      <c r="M154" s="63" t="n"/>
      <c r="N154" s="127" t="n"/>
      <c r="O154" s="63" t="n"/>
      <c r="P154" s="9" t="n"/>
      <c r="Q154" s="203">
        <f>'Additional information'!$D$19</f>
        <v/>
      </c>
      <c r="R154" s="103" t="n"/>
      <c r="T154" s="111" t="n"/>
      <c r="X154" s="202" t="n"/>
      <c r="Y154" s="202">
        <f>IF(X154="","",X154*Q154)</f>
        <v/>
      </c>
      <c r="Z154" s="103">
        <f>IF(T154="yes",Y154,"")</f>
        <v/>
      </c>
    </row>
    <row r="155" ht="140.9" customFormat="1" customHeight="1" s="109">
      <c r="A155" s="70">
        <f>A153+1</f>
        <v/>
      </c>
      <c r="B155" s="179" t="inlineStr">
        <is>
          <t>fish_proddif</t>
        </is>
      </c>
      <c r="C155" s="108" t="inlineStr">
        <is>
          <t>fish_proddif</t>
        </is>
      </c>
      <c r="D155" s="295" t="inlineStr">
        <is>
          <t>Has your household faced any significant difficulty with fish catch / harvest / farming in the last 3 months?
[OPERATOR: SINGLE RESPONSE.]
1)YES
2)NO
3)DON'T KNOW
4)REFUSED</t>
        </is>
      </c>
      <c r="E155" s="106">
        <f>LEN(D155)</f>
        <v/>
      </c>
      <c r="F155" s="385"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55" s="106">
        <f>LEN(F155)</f>
        <v/>
      </c>
      <c r="H155" s="114" t="inlineStr">
        <is>
          <t>Single Choice</t>
        </is>
      </c>
      <c r="I155" s="106" t="inlineStr">
        <is>
          <t>NA</t>
        </is>
      </c>
      <c r="J155" s="106" t="inlineStr">
        <is>
          <t>NA</t>
        </is>
      </c>
      <c r="K155" s="106" t="inlineStr">
        <is>
          <t>Form Type - Buttons</t>
        </is>
      </c>
      <c r="L155" s="105" t="inlineStr">
        <is>
          <t>1=fish_proddif_2
2-4= [fish_salesmain OR optional question]</t>
        </is>
      </c>
      <c r="M155" s="165" t="inlineStr">
        <is>
          <t>NA</t>
        </is>
      </c>
      <c r="N155" s="113" t="inlineStr">
        <is>
          <t>if fish_proddif = 1, go to fish_proddif_2 ; 
if fish_proddif = 2-4, go to fish_salesmain OR optional question</t>
        </is>
      </c>
      <c r="O155" s="29" t="inlineStr">
        <is>
          <t>1=fish_proddif_2
2-4= fish_salesmain</t>
        </is>
      </c>
      <c r="P155" s="9" t="n"/>
      <c r="Q155" s="198">
        <f>'Additional information'!$D$19</f>
        <v/>
      </c>
      <c r="R155" s="103" t="n"/>
      <c r="T155" s="312" t="inlineStr">
        <is>
          <t>yes</t>
        </is>
      </c>
      <c r="U155" s="692" t="n"/>
      <c r="X155" s="201" t="n">
        <v>6.48249626159668</v>
      </c>
      <c r="Y155" s="201">
        <f>IF(X155="","",X155*Q155)</f>
        <v/>
      </c>
      <c r="Z155" s="103">
        <f>IF(T155="yes",Y155,"")</f>
        <v/>
      </c>
    </row>
    <row r="156" ht="296.9" customFormat="1" customHeight="1" s="109">
      <c r="A156" s="31">
        <f>A155+1</f>
        <v/>
      </c>
      <c r="B156" s="179" t="inlineStr">
        <is>
          <t>fish_proddif_2</t>
        </is>
      </c>
      <c r="C156" s="10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56" s="491"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56" s="515">
        <f>LEN(D156)</f>
        <v/>
      </c>
      <c r="F156" s="385"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56" s="515">
        <f>LEN(F156)</f>
        <v/>
      </c>
      <c r="H156" s="108" t="inlineStr">
        <is>
          <t>Select All That Apply</t>
        </is>
      </c>
      <c r="I156" s="515" t="inlineStr">
        <is>
          <t>NA</t>
        </is>
      </c>
      <c r="J156" s="515" t="inlineStr">
        <is>
          <t>NA</t>
        </is>
      </c>
      <c r="K156" s="515" t="inlineStr">
        <is>
          <t>Form Type - Checklist
10,11 = IsNone</t>
        </is>
      </c>
      <c r="L156" s="301" t="inlineStr">
        <is>
          <t>1-11 = [fish_salesmain OR optional question]</t>
        </is>
      </c>
      <c r="M156" s="165" t="inlineStr">
        <is>
          <t>1)fish_proddif_find_fish
2)fish_proddif_pests
3)fish_proddif_access_area
4)fish_proddif_fuel
5)fish_proddif_input_access
6)fish_proddif_labour
7)fish_proddif_infrastructure
8)fish_proddif_damage_equip
9)fish_proddif_other
10)fish_proddif_dk
11)fish_proddif_ref</t>
        </is>
      </c>
      <c r="N156" s="113" t="inlineStr">
        <is>
          <t>If fish_proddif_2 = 1-11, go to fish_salesmain OR optional question</t>
        </is>
      </c>
      <c r="O156" s="38" t="inlineStr">
        <is>
          <t>5=  fish_inputdif
 1-4, 6-11 = fish_salesmain</t>
        </is>
      </c>
      <c r="P156" s="9" t="n"/>
      <c r="Q156" s="198">
        <f>'Additional information'!$D$19</f>
        <v/>
      </c>
      <c r="R156" s="103" t="n"/>
      <c r="T156" s="312" t="inlineStr">
        <is>
          <t>yes</t>
        </is>
      </c>
      <c r="U156" s="692" t="n"/>
      <c r="X156" s="201" t="n">
        <v>23.64215660095215</v>
      </c>
      <c r="Y156" s="201">
        <f>IF(X156="","",X156*Q156)</f>
        <v/>
      </c>
      <c r="Z156" s="103">
        <f>IF(T156="yes",Y156,"")</f>
        <v/>
      </c>
    </row>
    <row r="157" ht="234" customFormat="1" customHeight="1" s="109">
      <c r="A157" s="13">
        <f>A156+1</f>
        <v/>
      </c>
      <c r="B157" s="522" t="inlineStr">
        <is>
          <t>fish_inputdif</t>
        </is>
      </c>
      <c r="C157" s="573" t="inlineStr">
        <is>
          <t>fish_inputdif_
1) fish_inputdif_bait_feed
2)fish_inputdif_fingerling
3) fish_inputdif_gear
4) fish_inputdif_ice
5) fish_inputdif_fuel
6) fish_inputdif_repairs
7) fish_inputdif_labour
8) fish_inputdif_other 
9)fish_inputdif_dk
10) fish_inputdif_ref</t>
        </is>
      </c>
      <c r="D157" s="276"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57" s="524">
        <f>LEN(D157)</f>
        <v/>
      </c>
      <c r="F157" s="396"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57" s="524">
        <f>LEN(F157)</f>
        <v/>
      </c>
      <c r="H157" s="573" t="inlineStr">
        <is>
          <t>Open Ended - Select All That Apply</t>
        </is>
      </c>
      <c r="I157" s="524" t="inlineStr">
        <is>
          <t>NA</t>
        </is>
      </c>
      <c r="J157" s="524" t="inlineStr">
        <is>
          <t>Send if "fish_proddif_2" "Contains" "Access to other fishing or culture inputs [prices higher or not available]" if not satisfied go to "fish_salesmain"</t>
        </is>
      </c>
      <c r="K157" s="524" t="inlineStr">
        <is>
          <t>Form Type - Checklist
9,10= IsNone</t>
        </is>
      </c>
      <c r="L157" s="23" t="inlineStr">
        <is>
          <t>1-10 = [fish_salesmain]</t>
        </is>
      </c>
      <c r="M157" s="53" t="inlineStr">
        <is>
          <t>1)fish_inputdif_bait_feed
2)fish_inputdif_fingerling
3)fish_inputdif_gear
4)fish_inputdif_ice
5)fish_inputdif_fuel
6)fish_inputdif_repairs
7)fish_inputdif_labour
8)fish_inputdif_other 
9)fish_inputdif_dk
10) fish_inputdif_ref</t>
        </is>
      </c>
      <c r="N157" s="23" t="inlineStr">
        <is>
          <t>Asked only to respondents that answered fish_proddif_2 = 4.
if fish_inputdif = 1-10, go to fish_salesmain</t>
        </is>
      </c>
      <c r="O157" s="23" t="inlineStr"/>
      <c r="P157" s="283" t="n"/>
      <c r="Q157" s="203">
        <f>'Additional information'!$D$19</f>
        <v/>
      </c>
      <c r="R157" s="103" t="n"/>
      <c r="T157" s="111" t="inlineStr">
        <is>
          <t>no</t>
        </is>
      </c>
      <c r="U157" s="692" t="n"/>
      <c r="X157" s="202" t="n">
        <v>19.20000076293945</v>
      </c>
      <c r="Y157" s="202">
        <f>IF(X157="","",X157*Q157)</f>
        <v/>
      </c>
      <c r="Z157" s="103">
        <f>IF(T157="yes",Y157,"")</f>
        <v/>
      </c>
    </row>
    <row r="158" ht="16.4" customFormat="1" customHeight="1" s="109" thickBot="1">
      <c r="A158" s="70" t="n"/>
      <c r="B158" s="192" t="n"/>
      <c r="C158" s="71" t="n"/>
      <c r="D158" s="129" t="n"/>
      <c r="E158" s="74" t="n"/>
      <c r="F158" s="74" t="n"/>
      <c r="G158" s="74" t="n"/>
      <c r="H158" s="77" t="n"/>
      <c r="I158" s="74" t="n"/>
      <c r="J158" s="74" t="n"/>
      <c r="K158" s="74" t="n"/>
      <c r="L158" s="59" t="n"/>
      <c r="M158" s="63" t="n"/>
      <c r="N158" s="59" t="n"/>
      <c r="O158" s="59" t="n"/>
      <c r="P158" s="32" t="n"/>
      <c r="Q158" s="203">
        <f>'Additional information'!$D$19</f>
        <v/>
      </c>
      <c r="R158" s="103" t="n"/>
      <c r="T158" s="111" t="n"/>
      <c r="U158" s="692" t="n"/>
      <c r="X158" s="202" t="n"/>
      <c r="Y158" s="202">
        <f>IF(X158="","",X158*Q158)</f>
        <v/>
      </c>
      <c r="Z158" s="103">
        <f>IF(T158="yes",Y158,"")</f>
        <v/>
      </c>
    </row>
    <row r="159" ht="16.4" customFormat="1" customHeight="1" s="309" thickBot="1">
      <c r="A159" s="693" t="inlineStr">
        <is>
          <t>F. FISHERIES MARKETING</t>
        </is>
      </c>
      <c r="B159" s="694" t="n"/>
      <c r="C159" s="694" t="n"/>
      <c r="D159" s="694" t="n"/>
      <c r="E159" s="694" t="n"/>
      <c r="F159" s="694" t="n"/>
      <c r="G159" s="694" t="n"/>
      <c r="H159" s="694" t="n"/>
      <c r="I159" s="694" t="n"/>
      <c r="J159" s="694" t="n"/>
      <c r="K159" s="694" t="n"/>
      <c r="L159" s="694" t="n"/>
      <c r="M159" s="694" t="n"/>
      <c r="N159" s="694" t="n"/>
      <c r="O159" s="694" t="n"/>
      <c r="P159" s="695" t="n"/>
      <c r="Q159" s="198" t="n"/>
      <c r="R159" s="314" t="n"/>
      <c r="T159" s="312" t="n"/>
      <c r="U159" s="315" t="n"/>
      <c r="X159" s="201" t="n"/>
      <c r="Y159" s="201">
        <f>IF(X159="","",X159*Q159)</f>
        <v/>
      </c>
      <c r="Z159" s="314">
        <f>IF(T159="yes",Y159,"")</f>
        <v/>
      </c>
    </row>
    <row r="160" ht="186.65" customFormat="1" customHeight="1" s="109">
      <c r="A160" s="70">
        <f>A157+1</f>
        <v/>
      </c>
      <c r="B160" s="179" t="inlineStr">
        <is>
          <t>fish_salesmain</t>
        </is>
      </c>
      <c r="C160" s="108" t="inlineStr">
        <is>
          <t>fish_salesmain</t>
        </is>
      </c>
      <c r="D160" s="30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0" s="106">
        <f>LEN(D160)</f>
        <v/>
      </c>
      <c r="F160" s="513"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60" s="106">
        <f>LEN(F160)</f>
        <v/>
      </c>
      <c r="H160" s="114" t="inlineStr">
        <is>
          <t>Open Ended - Single Choice</t>
        </is>
      </c>
      <c r="I160" s="106" t="inlineStr">
        <is>
          <t>NA</t>
        </is>
      </c>
      <c r="J160" s="409" t="inlineStr">
        <is>
          <t>Send if "income_main" "Equals" "Production and sale of fish or aquatic products" Or "income_sec" "Equals" "Production and sale of fish or aquatic products" Or "income_third" "Equals" "Production and sale of fish or aquatic products" if not satisfied go to "fies"</t>
        </is>
      </c>
      <c r="K160" s="106" t="inlineStr">
        <is>
          <t>Form Type - RadioList
IsDemographic</t>
        </is>
      </c>
      <c r="L160" s="125" t="inlineStr">
        <is>
          <t>1-5 = fish_salesdif
6-7 = fies</t>
        </is>
      </c>
      <c r="M160" s="165" t="inlineStr">
        <is>
          <t>NA</t>
        </is>
      </c>
      <c r="N160" s="303" t="inlineStr">
        <is>
          <t>If either income_main or income_sec or income_third = "Production and sale of fish or aquatic products", then this section will be asked to respondents.
Otherwise, skip to fies.
if fish_salesmain = 1-5, go to fish_salesdif
if fish_salesmain = 6-7, go to fies</t>
        </is>
      </c>
      <c r="O160" s="64" t="inlineStr"/>
      <c r="P160" s="8" t="n"/>
      <c r="Q160" s="198">
        <f>'Additional information'!$D$19</f>
        <v/>
      </c>
      <c r="R160" s="103" t="n"/>
      <c r="T160" s="312" t="inlineStr">
        <is>
          <t>yes</t>
        </is>
      </c>
      <c r="U160" s="692" t="n"/>
      <c r="X160" s="201" t="n">
        <v>9.275494575500488</v>
      </c>
      <c r="Y160" s="201">
        <f>IF(X160="","",X160*Q160)</f>
        <v/>
      </c>
      <c r="Z160" s="103">
        <f>IF(T160="yes",Y160,"")</f>
        <v/>
      </c>
    </row>
    <row r="161" customFormat="1" s="109">
      <c r="A161" s="70" t="n"/>
      <c r="B161" s="192" t="n"/>
      <c r="C161" s="71" t="n"/>
      <c r="D161" s="76" t="n"/>
      <c r="E161" s="74" t="n"/>
      <c r="F161" s="76" t="n"/>
      <c r="G161" s="74" t="n"/>
      <c r="H161" s="77" t="n"/>
      <c r="I161" s="74" t="n"/>
      <c r="J161" s="74" t="n"/>
      <c r="K161" s="74" t="n"/>
      <c r="L161" s="62" t="n"/>
      <c r="M161" s="579" t="n"/>
      <c r="N161" s="60" t="n"/>
      <c r="O161" s="60" t="n"/>
      <c r="P161" s="32" t="n"/>
      <c r="Q161" s="203">
        <f>'Additional information'!$D$19</f>
        <v/>
      </c>
      <c r="R161" s="103" t="n"/>
      <c r="T161" s="111" t="n"/>
      <c r="U161" s="692" t="n"/>
      <c r="X161" s="202" t="n"/>
      <c r="Y161" s="202">
        <f>IF(X161="","",X161*Q161)</f>
        <v/>
      </c>
      <c r="Z161" s="103">
        <f>IF(T161="yes",Y161,"")</f>
        <v/>
      </c>
    </row>
    <row r="162" ht="140.9" customFormat="1" customHeight="1" s="109">
      <c r="A162" s="31">
        <f>A160+1</f>
        <v/>
      </c>
      <c r="B162" s="606" t="inlineStr">
        <is>
          <t>fish_salesdif</t>
        </is>
      </c>
      <c r="C162" s="515" t="inlineStr">
        <is>
          <t>fish_salesdif</t>
        </is>
      </c>
      <c r="D162" s="295" t="inlineStr">
        <is>
          <t>Has your household faced any significant difficulty marketing / selling your {fish_salesmain} in the last 3 months?
[OPERATOR: SINGLE RESPONSE]
1)YES
2)NO
3)DON'T KNOW
4)REFUSED</t>
        </is>
      </c>
      <c r="E162" s="515">
        <f>LEN(D162)</f>
        <v/>
      </c>
      <c r="F162" s="513" t="inlineStr">
        <is>
          <t>هل واجهت أسرتك أي صعوبة خلال الأشهر الثلاثة الماضية في بيع  و تسويق  {fish_salesmain}؟
[المشغل: استجابة واحدة]
1) نعم
2) لا
3) لا أعرف
4) رفض الإجابة</t>
        </is>
      </c>
      <c r="G162" s="515">
        <f>LEN(F162)</f>
        <v/>
      </c>
      <c r="H162" s="517" t="inlineStr">
        <is>
          <t>Single Choice</t>
        </is>
      </c>
      <c r="I162" s="515" t="inlineStr">
        <is>
          <t>NA</t>
        </is>
      </c>
      <c r="J162" s="515" t="inlineStr">
        <is>
          <t>NA</t>
        </is>
      </c>
      <c r="K162" s="515" t="inlineStr">
        <is>
          <t>Form Type - Buttons</t>
        </is>
      </c>
      <c r="L162" s="113" t="inlineStr">
        <is>
          <t>1 = fish_salesdif_2
2-4 = fish_salesprice</t>
        </is>
      </c>
      <c r="M162" s="165" t="inlineStr">
        <is>
          <t>NA</t>
        </is>
      </c>
      <c r="N162" s="304" t="inlineStr">
        <is>
          <t>if fish_salesdif = 1, go to fish_salesdif_2 ;
if fish_salesdif = 2-4, go to fish_salesprice</t>
        </is>
      </c>
      <c r="O162" s="65" t="inlineStr"/>
      <c r="P162" s="9" t="n"/>
      <c r="Q162" s="198">
        <f>'Additional information'!$D$19</f>
        <v/>
      </c>
      <c r="R162" s="103" t="n"/>
      <c r="T162" s="312" t="inlineStr">
        <is>
          <t>yes</t>
        </is>
      </c>
      <c r="U162" s="692" t="n"/>
      <c r="X162" s="201" t="n">
        <v>6.415841579437256</v>
      </c>
      <c r="Y162" s="201">
        <f>IF(X162="","",X162*Q162)</f>
        <v/>
      </c>
      <c r="Z162" s="103">
        <f>IF(T162="yes",Y162,"")</f>
        <v/>
      </c>
    </row>
    <row r="163" ht="281.15" customFormat="1" customHeight="1" s="109">
      <c r="A163" s="31">
        <f>A162+1</f>
        <v/>
      </c>
      <c r="B163" s="514" t="inlineStr">
        <is>
          <t>fish_salesdif_2</t>
        </is>
      </c>
      <c r="C163" s="10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3" s="295"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3" s="515">
        <f>LEN(D163)</f>
        <v/>
      </c>
      <c r="F163" s="513"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63" s="515">
        <f>LEN(F163)</f>
        <v/>
      </c>
      <c r="H163" s="108" t="inlineStr">
        <is>
          <t>Select All That Apply</t>
        </is>
      </c>
      <c r="I163" s="515" t="inlineStr">
        <is>
          <t>NA</t>
        </is>
      </c>
      <c r="J163" s="515" t="inlineStr">
        <is>
          <t>NA</t>
        </is>
      </c>
      <c r="K163" s="515" t="inlineStr">
        <is>
          <t>Form Type - Checklist
9,10 = IsNone</t>
        </is>
      </c>
      <c r="L163" s="113" t="inlineStr">
        <is>
          <t>1-10 = fish_salesprice</t>
        </is>
      </c>
      <c r="M163" s="165" t="inlineStr">
        <is>
          <t>1)fish_saledif_marketing_cost
2)fish_saledif_damage_losses
3)fish_saledif_low_demand
4)fish_saledif_pay_delay
5)fish_saledif_low_prices
6)fish_saledif_processing
7)fish_saledif_competition
8)fish_saledif_other
9)fish_saledif_dk
10)fish_saledif_ref</t>
        </is>
      </c>
      <c r="N163" s="294" t="inlineStr">
        <is>
          <t>if fish_salesdif = 1-10, go to fish_salesprice</t>
        </is>
      </c>
      <c r="O163" s="66" t="inlineStr"/>
      <c r="P163" s="9" t="n"/>
      <c r="Q163" s="198">
        <f>'Additional information'!$D$19</f>
        <v/>
      </c>
      <c r="R163" s="103" t="n"/>
      <c r="T163" s="312" t="inlineStr">
        <is>
          <t>yes</t>
        </is>
      </c>
      <c r="U163" s="692" t="n"/>
      <c r="X163" s="201" t="n">
        <v>20.53435134887695</v>
      </c>
      <c r="Y163" s="201">
        <f>IF(X163="","",X163*Q163)</f>
        <v/>
      </c>
      <c r="Z163" s="103">
        <f>IF(T163="yes",Y163,"")</f>
        <v/>
      </c>
    </row>
    <row r="164" customFormat="1" s="109">
      <c r="A164" s="79" t="n"/>
      <c r="B164" s="193" t="n"/>
      <c r="C164" s="547" t="n"/>
      <c r="D164" s="624" t="n"/>
      <c r="E164" s="72" t="n"/>
      <c r="F164" s="72" t="n"/>
      <c r="G164" s="72" t="n"/>
      <c r="H164" s="80" t="n"/>
      <c r="I164" s="72" t="n"/>
      <c r="J164" s="72" t="n"/>
      <c r="K164" s="72" t="n"/>
      <c r="L164" s="66" t="n"/>
      <c r="M164" s="579" t="n"/>
      <c r="N164" s="66" t="n"/>
      <c r="O164" s="66" t="n"/>
      <c r="P164" s="19" t="n"/>
      <c r="Q164" s="203">
        <f>'Additional information'!$D$19</f>
        <v/>
      </c>
      <c r="R164" s="103" t="n"/>
      <c r="T164" s="111" t="n"/>
      <c r="U164" s="692" t="n"/>
      <c r="X164" s="202" t="n"/>
      <c r="Y164" s="202">
        <f>IF(X164="","",X164*Q164)</f>
        <v/>
      </c>
      <c r="Z164" s="103">
        <f>IF(T164="yes",Y164,"")</f>
        <v/>
      </c>
    </row>
    <row r="165" ht="212.9" customFormat="1" customHeight="1" s="109">
      <c r="A165" s="79">
        <f>A163+1</f>
        <v/>
      </c>
      <c r="B165" s="180" t="inlineStr">
        <is>
          <t>fish_salesprice</t>
        </is>
      </c>
      <c r="C165" s="545" t="inlineStr">
        <is>
          <t>fish_salesprice</t>
        </is>
      </c>
      <c r="D165" s="295"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65" s="97">
        <f>LEN(D165)</f>
        <v/>
      </c>
      <c r="F165" s="391"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65" s="97">
        <f>LEN(F165)</f>
        <v/>
      </c>
      <c r="H165" s="293" t="inlineStr">
        <is>
          <t>Single Choice</t>
        </is>
      </c>
      <c r="I165" s="97" t="inlineStr">
        <is>
          <t>NA</t>
        </is>
      </c>
      <c r="J165" s="97" t="inlineStr">
        <is>
          <t>NA</t>
        </is>
      </c>
      <c r="K165" s="97" t="inlineStr">
        <is>
          <t>Form Type - Buttons</t>
        </is>
      </c>
      <c r="L165" s="294" t="inlineStr">
        <is>
          <t>1-7 = fies</t>
        </is>
      </c>
      <c r="M165" s="165" t="inlineStr">
        <is>
          <t>NA</t>
        </is>
      </c>
      <c r="N165" s="294" t="inlineStr">
        <is>
          <t>if fish_salesprice = 1-7, go to fies</t>
        </is>
      </c>
      <c r="O165" s="66" t="inlineStr"/>
      <c r="P165" s="9" t="n"/>
      <c r="Q165" s="198">
        <f>'Additional information'!$D$19</f>
        <v/>
      </c>
      <c r="R165" s="103" t="n"/>
      <c r="T165" s="312" t="inlineStr">
        <is>
          <t>yes</t>
        </is>
      </c>
      <c r="U165" s="692" t="n"/>
      <c r="X165" s="201" t="n">
        <v>8.306930541992188</v>
      </c>
      <c r="Y165" s="201">
        <f>IF(X165="","",X165*Q165)</f>
        <v/>
      </c>
      <c r="Z165" s="103">
        <f>IF(T165="yes",Y165,"")</f>
        <v/>
      </c>
    </row>
    <row r="166" ht="16.4" customFormat="1" customHeight="1" s="109" thickBot="1">
      <c r="A166" s="79" t="n"/>
      <c r="B166" s="193" t="n"/>
      <c r="C166" s="81" t="n"/>
      <c r="D166" s="624" t="n"/>
      <c r="E166" s="72" t="n"/>
      <c r="F166" s="72" t="n"/>
      <c r="G166" s="72" t="n"/>
      <c r="H166" s="80" t="n"/>
      <c r="I166" s="72" t="n"/>
      <c r="J166" s="72" t="n"/>
      <c r="K166" s="72" t="n"/>
      <c r="L166" s="66" t="n"/>
      <c r="M166" s="66" t="n"/>
      <c r="N166" s="66" t="n"/>
      <c r="O166" s="66" t="n"/>
      <c r="P166" s="45" t="n"/>
      <c r="Q166" s="203">
        <f>'Additional information'!$D$19</f>
        <v/>
      </c>
      <c r="R166" s="103" t="n"/>
      <c r="T166" s="111" t="n"/>
      <c r="U166" s="692" t="n"/>
      <c r="X166" s="202" t="n"/>
      <c r="Y166" s="202">
        <f>IF(X166="","",X166*Q166)</f>
        <v/>
      </c>
      <c r="Z166" s="103">
        <f>IF(T166="yes",Y166,"")</f>
        <v/>
      </c>
    </row>
    <row r="167" ht="16.4" customFormat="1" customHeight="1" s="309" thickBot="1">
      <c r="A167" s="693" t="inlineStr">
        <is>
          <t>G. FOOD SECURITY AND CONSUMPTION</t>
        </is>
      </c>
      <c r="B167" s="694" t="n"/>
      <c r="C167" s="694" t="n"/>
      <c r="D167" s="694" t="n"/>
      <c r="E167" s="694" t="n"/>
      <c r="F167" s="694" t="n"/>
      <c r="G167" s="694" t="n"/>
      <c r="H167" s="694" t="n"/>
      <c r="I167" s="694" t="n"/>
      <c r="J167" s="694" t="n"/>
      <c r="K167" s="694" t="n"/>
      <c r="L167" s="694" t="n"/>
      <c r="M167" s="694" t="n"/>
      <c r="N167" s="694" t="n"/>
      <c r="O167" s="694" t="n"/>
      <c r="P167" s="695" t="n"/>
      <c r="Q167" s="198" t="n"/>
      <c r="R167" s="314" t="n"/>
      <c r="T167" s="312" t="n"/>
      <c r="U167" s="315" t="n"/>
      <c r="X167" s="201" t="n"/>
      <c r="Y167" s="201">
        <f>IF(X167="","",X167*Q167)</f>
        <v/>
      </c>
      <c r="Z167" s="314">
        <f>IF(T167="yes",Y167,"")</f>
        <v/>
      </c>
    </row>
    <row r="168" ht="140.9" customFormat="1" customHeight="1" s="109">
      <c r="A168" s="70">
        <f>A165+1</f>
        <v/>
      </c>
      <c r="B168" s="179" t="inlineStr">
        <is>
          <t>fies_intro</t>
        </is>
      </c>
      <c r="C168" s="186" t="inlineStr">
        <is>
          <t>fies_intro</t>
        </is>
      </c>
      <c r="D168" s="10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68" s="106">
        <f>LEN(D168)</f>
        <v/>
      </c>
      <c r="F168" s="385"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68" s="106">
        <f>LEN(F168)</f>
        <v/>
      </c>
      <c r="H168" s="114" t="inlineStr">
        <is>
          <t>Single Choice</t>
        </is>
      </c>
      <c r="I168" s="106" t="inlineStr">
        <is>
          <t>NA</t>
        </is>
      </c>
      <c r="J168" s="106" t="inlineStr">
        <is>
          <t>NA</t>
        </is>
      </c>
      <c r="K168" s="106" t="inlineStr">
        <is>
          <t>Form Type - Buttons</t>
        </is>
      </c>
      <c r="L168" s="105" t="inlineStr">
        <is>
          <t>1 = fies_worried</t>
        </is>
      </c>
      <c r="M168" s="165" t="inlineStr">
        <is>
          <t>NA</t>
        </is>
      </c>
      <c r="N168" s="105" t="inlineStr">
        <is>
          <t>if fies = 1, go to fies_worried</t>
        </is>
      </c>
      <c r="O168" s="59" t="inlineStr"/>
      <c r="P168" s="277" t="inlineStr">
        <is>
          <t>Check if the ESS team has an official translation.</t>
        </is>
      </c>
      <c r="Q168" s="198" t="n">
        <v>1</v>
      </c>
      <c r="R168" s="103" t="n"/>
      <c r="T168" s="312" t="inlineStr">
        <is>
          <t>yes</t>
        </is>
      </c>
      <c r="U168" s="692" t="n"/>
      <c r="X168" s="201" t="n">
        <v>8.088166236877441</v>
      </c>
      <c r="Y168" s="201">
        <f>IF(X168="","",X168*Q168)</f>
        <v/>
      </c>
      <c r="Z168" s="103">
        <f>IF(T168="yes",Y168,"")</f>
        <v/>
      </c>
    </row>
    <row r="169" ht="156" customFormat="1" customHeight="1" s="109">
      <c r="A169" s="31">
        <f>A168+1</f>
        <v/>
      </c>
      <c r="B169" s="514" t="inlineStr">
        <is>
          <t>fies_worried</t>
        </is>
      </c>
      <c r="C169" s="108" t="inlineStr">
        <is>
          <t>fies_worried</t>
        </is>
      </c>
      <c r="D169" s="528" t="inlineStr">
        <is>
          <t>During the last 30 days, was there a time when you or others in your household were worried about not having enough food to eat because of lack of money or other resources?
[OPERATOR: SINGLE RESPONSE]
1)YES
2)NO
3)DON'T KNOW
4)REFUSED</t>
        </is>
      </c>
      <c r="E169" s="515">
        <f>LEN(D169)</f>
        <v/>
      </c>
      <c r="F169" s="580"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69" s="515">
        <f>LEN(F169)</f>
        <v/>
      </c>
      <c r="H169" s="517" t="inlineStr">
        <is>
          <t>Single Choice</t>
        </is>
      </c>
      <c r="I169" s="515" t="inlineStr">
        <is>
          <t>NA</t>
        </is>
      </c>
      <c r="J169" s="515" t="inlineStr">
        <is>
          <t>NA</t>
        </is>
      </c>
      <c r="K169" s="515" t="inlineStr">
        <is>
          <t>Form Type - Buttons</t>
        </is>
      </c>
      <c r="L169" s="113" t="inlineStr">
        <is>
          <t>1-4 = fies_healthy</t>
        </is>
      </c>
      <c r="M169" s="165" t="inlineStr">
        <is>
          <t>NA</t>
        </is>
      </c>
      <c r="N169" s="122" t="inlineStr">
        <is>
          <t>if fies_worried = 1-4, go to fies_healthy</t>
        </is>
      </c>
      <c r="O169" s="67" t="inlineStr"/>
      <c r="P169" s="9" t="n"/>
      <c r="Q169" s="198" t="n">
        <v>1</v>
      </c>
      <c r="R169" s="103" t="n"/>
      <c r="T169" s="312" t="inlineStr">
        <is>
          <t>yes</t>
        </is>
      </c>
      <c r="U169" s="692" t="n"/>
      <c r="X169" s="201" t="n">
        <v>20.22456741333008</v>
      </c>
      <c r="Y169" s="201">
        <f>IF(X169="","",X169*Q169)</f>
        <v/>
      </c>
      <c r="Z169" s="103">
        <f>IF(T169="yes",Y169,"")</f>
        <v/>
      </c>
    </row>
    <row r="170" ht="156" customFormat="1" customHeight="1" s="109">
      <c r="A170" s="31">
        <f>A169+1</f>
        <v/>
      </c>
      <c r="B170" s="514" t="inlineStr">
        <is>
          <t>fies_healthy</t>
        </is>
      </c>
      <c r="C170" s="108" t="inlineStr">
        <is>
          <t>fies_healthy</t>
        </is>
      </c>
      <c r="D170" s="528" t="inlineStr">
        <is>
          <t>During the last 30 days, was there a time when you or others in your household were unable to eat healthy and nutritious food because of lack of money or other resources?
[OPERATOR: SINGLE RESPONSE]
1)YES
2)NO
3)DON'T KNOW
4)REFUSED</t>
        </is>
      </c>
      <c r="E170" s="515">
        <f>LEN(D170)</f>
        <v/>
      </c>
      <c r="F170" s="580"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70" s="515">
        <f>LEN(F170)</f>
        <v/>
      </c>
      <c r="H170" s="517" t="inlineStr">
        <is>
          <t>Single Choice</t>
        </is>
      </c>
      <c r="I170" s="515" t="inlineStr">
        <is>
          <t>NA</t>
        </is>
      </c>
      <c r="J170" s="515" t="inlineStr">
        <is>
          <t>NA</t>
        </is>
      </c>
      <c r="K170" s="515" t="inlineStr">
        <is>
          <t>Form Type - Buttons</t>
        </is>
      </c>
      <c r="L170" s="113" t="inlineStr">
        <is>
          <t>1-4 = fies_fewfoods</t>
        </is>
      </c>
      <c r="M170" s="165" t="inlineStr">
        <is>
          <t>NA</t>
        </is>
      </c>
      <c r="N170" s="122" t="inlineStr">
        <is>
          <t>if fies_healthy = 1-4, go to fies_fewfoods</t>
        </is>
      </c>
      <c r="O170" s="67" t="inlineStr"/>
      <c r="P170" s="9" t="n"/>
      <c r="Q170" s="198" t="n">
        <v>1</v>
      </c>
      <c r="R170" s="103" t="n"/>
      <c r="T170" s="312" t="inlineStr">
        <is>
          <t>yes</t>
        </is>
      </c>
      <c r="U170" s="692" t="n"/>
      <c r="X170" s="201" t="n">
        <v>14.02606105804443</v>
      </c>
      <c r="Y170" s="201">
        <f>IF(X170="","",X170*Q170)</f>
        <v/>
      </c>
      <c r="Z170" s="103">
        <f>IF(T170="yes",Y170,"")</f>
        <v/>
      </c>
    </row>
    <row r="171" ht="156" customFormat="1" customHeight="1" s="109">
      <c r="A171" s="31">
        <f>A170+1</f>
        <v/>
      </c>
      <c r="B171" s="514" t="inlineStr">
        <is>
          <t>fies_fewfoods</t>
        </is>
      </c>
      <c r="C171" s="108" t="inlineStr">
        <is>
          <t>fies_fewfoods</t>
        </is>
      </c>
      <c r="D171" s="528" t="inlineStr">
        <is>
          <t>During the last 30 days, was there a time when you or others in your household ate only a few kinds of foods because of lack of money or other resources?
[OPERATOR: SINGLE RESPONSE]
1)YES
2)NO
3)DON'T KNOW
4)REFUSED</t>
        </is>
      </c>
      <c r="E171" s="515">
        <f>LEN(D171)</f>
        <v/>
      </c>
      <c r="F171" s="580"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71" s="515">
        <f>LEN(F171)</f>
        <v/>
      </c>
      <c r="H171" s="517" t="inlineStr">
        <is>
          <t>Single Choice</t>
        </is>
      </c>
      <c r="I171" s="515" t="inlineStr">
        <is>
          <t>NA</t>
        </is>
      </c>
      <c r="J171" s="515" t="inlineStr">
        <is>
          <t>NA</t>
        </is>
      </c>
      <c r="K171" s="515" t="inlineStr">
        <is>
          <t>Form Type - Buttons</t>
        </is>
      </c>
      <c r="L171" s="113" t="inlineStr">
        <is>
          <t>1-4 = fies_skipped</t>
        </is>
      </c>
      <c r="M171" s="165" t="inlineStr">
        <is>
          <t>NA</t>
        </is>
      </c>
      <c r="N171" s="122" t="inlineStr">
        <is>
          <t>if fies_fewfoods = 1-4, go to fies_skipped</t>
        </is>
      </c>
      <c r="O171" s="67" t="inlineStr"/>
      <c r="P171" s="9" t="n"/>
      <c r="Q171" s="198" t="n">
        <v>1</v>
      </c>
      <c r="R171" s="103" t="n"/>
      <c r="T171" s="312" t="inlineStr">
        <is>
          <t>yes</t>
        </is>
      </c>
      <c r="U171" s="692" t="n"/>
      <c r="X171" s="201" t="n">
        <v>11.55850505828857</v>
      </c>
      <c r="Y171" s="201">
        <f>IF(X171="","",X171*Q171)</f>
        <v/>
      </c>
      <c r="Z171" s="103">
        <f>IF(T171="yes",Y171,"")</f>
        <v/>
      </c>
    </row>
    <row r="172" ht="156" customFormat="1" customHeight="1" s="109">
      <c r="A172" s="31">
        <f>A171+1</f>
        <v/>
      </c>
      <c r="B172" s="514" t="inlineStr">
        <is>
          <t>fies_skipped</t>
        </is>
      </c>
      <c r="C172" s="108" t="inlineStr">
        <is>
          <t>fies_skipped</t>
        </is>
      </c>
      <c r="D172" s="528" t="inlineStr">
        <is>
          <t>During the last 30 days, was there a time when you or others in your household had to skip a meal because of lack of money or other resources to get food?
[OPERATOR: SINGLE RESPONSE]
1)YES
2)NO
3)DON'T KNOW
4)REFUSED</t>
        </is>
      </c>
      <c r="E172" s="515">
        <f>LEN(D172)</f>
        <v/>
      </c>
      <c r="F172" s="580"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72" s="515">
        <f>LEN(F172)</f>
        <v/>
      </c>
      <c r="H172" s="517" t="inlineStr">
        <is>
          <t>Single Choice</t>
        </is>
      </c>
      <c r="I172" s="515" t="inlineStr">
        <is>
          <t>NA</t>
        </is>
      </c>
      <c r="J172" s="515" t="inlineStr">
        <is>
          <t>NA</t>
        </is>
      </c>
      <c r="K172" s="515" t="inlineStr">
        <is>
          <t>Form Type - Buttons</t>
        </is>
      </c>
      <c r="L172" s="113" t="inlineStr">
        <is>
          <t>1-4 = fies_ateless</t>
        </is>
      </c>
      <c r="M172" s="165" t="inlineStr">
        <is>
          <t>NA</t>
        </is>
      </c>
      <c r="N172" s="113" t="inlineStr">
        <is>
          <t>if fies_skipped = 1-4, go to fies_ateless</t>
        </is>
      </c>
      <c r="O172" s="57" t="inlineStr"/>
      <c r="P172" s="9" t="n"/>
      <c r="Q172" s="198" t="n">
        <v>1</v>
      </c>
      <c r="R172" s="103" t="n"/>
      <c r="T172" s="312" t="inlineStr">
        <is>
          <t>yes</t>
        </is>
      </c>
      <c r="U172" s="692" t="n"/>
      <c r="X172" s="201" t="n">
        <v>11.37925720214844</v>
      </c>
      <c r="Y172" s="201">
        <f>IF(X172="","",X172*Q172)</f>
        <v/>
      </c>
      <c r="Z172" s="103">
        <f>IF(T172="yes",Y172,"")</f>
        <v/>
      </c>
    </row>
    <row r="173" ht="156" customFormat="1" customHeight="1" s="109">
      <c r="A173" s="31">
        <f>A172+1</f>
        <v/>
      </c>
      <c r="B173" s="514" t="inlineStr">
        <is>
          <t>fies_ateless</t>
        </is>
      </c>
      <c r="C173" s="108" t="inlineStr">
        <is>
          <t>fies_ateless</t>
        </is>
      </c>
      <c r="D173" s="528" t="inlineStr">
        <is>
          <t>During the last 30 days, was there a time when you or others in your household ate less than you thought you should because of lack of money or other resources?
[OPERATOR: SINGLE RESPONSE]
1)YES
2)NO
3)DON'T KNOW
4)REFUSED</t>
        </is>
      </c>
      <c r="E173" s="515">
        <f>LEN(D173)</f>
        <v/>
      </c>
      <c r="F173" s="580"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73" s="515">
        <f>LEN(F173)</f>
        <v/>
      </c>
      <c r="H173" s="517" t="inlineStr">
        <is>
          <t>Single Choice</t>
        </is>
      </c>
      <c r="I173" s="515" t="inlineStr">
        <is>
          <t>NA</t>
        </is>
      </c>
      <c r="J173" s="515" t="inlineStr">
        <is>
          <t>NA</t>
        </is>
      </c>
      <c r="K173" s="515" t="inlineStr">
        <is>
          <t>Form Type - Buttons</t>
        </is>
      </c>
      <c r="L173" s="113" t="inlineStr">
        <is>
          <t>1-4 = fies_ranout</t>
        </is>
      </c>
      <c r="M173" s="165" t="inlineStr">
        <is>
          <t>NA</t>
        </is>
      </c>
      <c r="N173" s="113" t="inlineStr">
        <is>
          <t>if fies_ateless = 1-4, go to fies_ranout</t>
        </is>
      </c>
      <c r="O173" s="57" t="inlineStr"/>
      <c r="P173" s="9" t="n"/>
      <c r="Q173" s="198" t="n">
        <v>1</v>
      </c>
      <c r="R173" s="103" t="n"/>
      <c r="T173" s="312" t="inlineStr">
        <is>
          <t>yes</t>
        </is>
      </c>
      <c r="U173" s="692" t="n"/>
      <c r="X173" s="201" t="n">
        <v>10.44321727752686</v>
      </c>
      <c r="Y173" s="201">
        <f>IF(X173="","",X173*Q173)</f>
        <v/>
      </c>
      <c r="Z173" s="103">
        <f>IF(T173="yes",Y173,"")</f>
        <v/>
      </c>
    </row>
    <row r="174" ht="132" customFormat="1" customHeight="1" s="109">
      <c r="A174" s="31">
        <f>A173+1</f>
        <v/>
      </c>
      <c r="B174" s="514" t="inlineStr">
        <is>
          <t>fies_ranout</t>
        </is>
      </c>
      <c r="C174" s="609" t="inlineStr">
        <is>
          <t>fies_ranout</t>
        </is>
      </c>
      <c r="D174" s="124" t="inlineStr">
        <is>
          <t>In the past 30 days, was there ever no food to eat of any kind in your house because of lack of resources to get food?
[OPERATOR: SINGLE RESPONSE]
1)YES
2)NO
3)DON'T KNOW
4)REFUSED</t>
        </is>
      </c>
      <c r="E174" s="515">
        <f>LEN(D174)</f>
        <v/>
      </c>
      <c r="F174" s="492"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74" s="515">
        <f>LEN(F174)</f>
        <v/>
      </c>
      <c r="H174" s="517" t="inlineStr">
        <is>
          <t>Single Choice</t>
        </is>
      </c>
      <c r="I174" s="515" t="inlineStr">
        <is>
          <t>NA</t>
        </is>
      </c>
      <c r="J174" s="515" t="inlineStr">
        <is>
          <t>NA</t>
        </is>
      </c>
      <c r="K174" s="515" t="inlineStr">
        <is>
          <t>Form Type - Buttons</t>
        </is>
      </c>
      <c r="L174" s="113" t="inlineStr">
        <is>
          <t>1=fies_ranout_hhs
2-4 = fies_hungry</t>
        </is>
      </c>
      <c r="M174" s="165" t="inlineStr">
        <is>
          <t>NA</t>
        </is>
      </c>
      <c r="N174" s="122" t="inlineStr">
        <is>
          <t>if fies_ranout = 1, go to fies_ranout_hhs. Otherwise, go to fies_hungry</t>
        </is>
      </c>
      <c r="O174" s="67" t="inlineStr"/>
      <c r="P174" s="9" t="n"/>
      <c r="Q174" s="198" t="n">
        <v>1</v>
      </c>
      <c r="R174" s="103" t="n"/>
      <c r="T174" s="312" t="inlineStr">
        <is>
          <t>yes</t>
        </is>
      </c>
      <c r="U174" s="692" t="n"/>
      <c r="X174" s="201" t="n">
        <v>10.73201084136963</v>
      </c>
      <c r="Y174" s="201">
        <f>IF(X174="","",X174*Q174)</f>
        <v/>
      </c>
      <c r="Z174" s="103">
        <f>IF(T174="yes",Y174,"")</f>
        <v/>
      </c>
    </row>
    <row r="175" ht="133.4" customFormat="1" customHeight="1" s="251">
      <c r="A175" s="31">
        <f>A174+1</f>
        <v/>
      </c>
      <c r="B175" s="514" t="inlineStr">
        <is>
          <t>fies_ranout_hhs</t>
        </is>
      </c>
      <c r="C175" s="609" t="inlineStr">
        <is>
          <t>fies_ranout_hhs</t>
        </is>
      </c>
      <c r="D175" s="123" t="inlineStr">
        <is>
          <t>How often did this happen?
[OPERATOR: SINGLE RESPONSE]
1)Rarely [1-2 times in the past 30 days]
2)Sometimes [3-10 times in the past 30 days]
3)Often [more than 10 times in the last 30 days]
4)DON'T KNOW
5)REFUSED</t>
        </is>
      </c>
      <c r="E175" s="515">
        <f>LEN(D175)</f>
        <v/>
      </c>
      <c r="F175"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5" s="515">
        <f>LEN(F175)</f>
        <v/>
      </c>
      <c r="H175" s="517" t="inlineStr">
        <is>
          <t>Single Choice</t>
        </is>
      </c>
      <c r="I175" s="515" t="inlineStr">
        <is>
          <t>NA</t>
        </is>
      </c>
      <c r="J175" s="515" t="inlineStr">
        <is>
          <t>NA</t>
        </is>
      </c>
      <c r="K175" s="515" t="inlineStr">
        <is>
          <t>Form Type - Buttons</t>
        </is>
      </c>
      <c r="L175" s="113" t="inlineStr">
        <is>
          <t>1-5 = fies_hungry</t>
        </is>
      </c>
      <c r="M175" s="165" t="inlineStr">
        <is>
          <t>NA</t>
        </is>
      </c>
      <c r="N175" s="113" t="inlineStr">
        <is>
          <t>if fies_ranout_hhs = 1-5, go to fies_hungry</t>
        </is>
      </c>
      <c r="O175" s="57" t="inlineStr"/>
      <c r="P175" s="9" t="n"/>
      <c r="Q175" s="198" t="n">
        <v>1</v>
      </c>
      <c r="R175" s="103" t="n"/>
      <c r="T175" s="312" t="inlineStr">
        <is>
          <t>yes</t>
        </is>
      </c>
      <c r="U175" s="692" t="n"/>
      <c r="X175" s="201" t="n">
        <v>11.58613967895508</v>
      </c>
      <c r="Y175" s="201">
        <f>IF(X175="","",X175*Q175)</f>
        <v/>
      </c>
      <c r="Z175" s="103">
        <f>IF(T175="yes",Y175,"")</f>
        <v/>
      </c>
    </row>
    <row r="176" ht="132" customFormat="1" customHeight="1" s="109">
      <c r="A176" s="31">
        <f>A175+1</f>
        <v/>
      </c>
      <c r="B176" s="514" t="inlineStr">
        <is>
          <t>fies_hungry</t>
        </is>
      </c>
      <c r="C176" s="108" t="inlineStr">
        <is>
          <t>fies_hungry</t>
        </is>
      </c>
      <c r="D176" s="124" t="inlineStr">
        <is>
          <t>In the past 30 days, did you or any household member ever go to sleep at night hungry because there was not enough food?
[OPERATOR: SINGLE RESPONSE]
1)YES
2)NO
3)DON'T KNOW
4)REFUSED</t>
        </is>
      </c>
      <c r="E176" s="515">
        <f>LEN(D176)</f>
        <v/>
      </c>
      <c r="F176" s="492"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76" s="515">
        <f>LEN(F176)</f>
        <v/>
      </c>
      <c r="H176" s="517" t="inlineStr">
        <is>
          <t>Single Choice</t>
        </is>
      </c>
      <c r="I176" s="515" t="inlineStr">
        <is>
          <t>NA</t>
        </is>
      </c>
      <c r="J176" s="515" t="inlineStr">
        <is>
          <t>NA</t>
        </is>
      </c>
      <c r="K176" s="515" t="inlineStr">
        <is>
          <t>Form Type - Buttons</t>
        </is>
      </c>
      <c r="L176" s="113" t="inlineStr">
        <is>
          <t>1=fies_hungry_hhs
2-4 = fies_whlday</t>
        </is>
      </c>
      <c r="M176" s="165" t="inlineStr">
        <is>
          <t>NA</t>
        </is>
      </c>
      <c r="N176" s="122" t="inlineStr">
        <is>
          <t>if fies_hungry = 1, go to fies_hungry_hhs. Otherwise, go to fies_whlday</t>
        </is>
      </c>
      <c r="O176" s="67" t="inlineStr"/>
      <c r="P176" s="9" t="n"/>
      <c r="Q176" s="198" t="n">
        <v>1</v>
      </c>
      <c r="R176" s="103" t="n"/>
      <c r="T176" s="312" t="inlineStr">
        <is>
          <t>yes</t>
        </is>
      </c>
      <c r="U176" s="692" t="n"/>
      <c r="X176" s="201" t="n">
        <v>9.75520133972168</v>
      </c>
      <c r="Y176" s="201">
        <f>IF(X176="","",X176*Q176)</f>
        <v/>
      </c>
      <c r="Z176" s="103">
        <f>IF(T176="yes",Y176,"")</f>
        <v/>
      </c>
    </row>
    <row r="177" ht="133.4" customFormat="1" customHeight="1" s="109">
      <c r="A177" s="31">
        <f>A176+1</f>
        <v/>
      </c>
      <c r="B177" s="514" t="inlineStr">
        <is>
          <t>fies_hungry_hhs</t>
        </is>
      </c>
      <c r="C177" s="609" t="inlineStr">
        <is>
          <t>fies_hungry_hhs</t>
        </is>
      </c>
      <c r="D177" s="123" t="inlineStr">
        <is>
          <t>How often did this happen?
[OPERATOR: SINGLE RESPONSE]
1)Rarely [1-2 times in the past 30 days]
2)Sometimes [3-10 times in the past 30 days]
3)Often [more than 10 times in the last 30 days]
4)DON'T KNOW
5)REFUSED</t>
        </is>
      </c>
      <c r="E177" s="515">
        <f>LEN(D177)</f>
        <v/>
      </c>
      <c r="F177"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7" s="515">
        <f>LEN(F177)</f>
        <v/>
      </c>
      <c r="H177" s="517" t="inlineStr">
        <is>
          <t>Single Choice</t>
        </is>
      </c>
      <c r="I177" s="515" t="inlineStr">
        <is>
          <t>NA</t>
        </is>
      </c>
      <c r="J177" s="515" t="inlineStr">
        <is>
          <t>NA</t>
        </is>
      </c>
      <c r="K177" s="515" t="inlineStr">
        <is>
          <t>Form Type - Buttons</t>
        </is>
      </c>
      <c r="L177" s="113" t="inlineStr">
        <is>
          <t>1-5 = fies_whlday</t>
        </is>
      </c>
      <c r="M177" s="165" t="inlineStr">
        <is>
          <t>NA</t>
        </is>
      </c>
      <c r="N177" s="113" t="inlineStr">
        <is>
          <t>if fies_hungry_hhs = 1-5, go to fies_whlday</t>
        </is>
      </c>
      <c r="O177" s="57" t="inlineStr"/>
      <c r="P177" s="9" t="n"/>
      <c r="Q177" s="198" t="n">
        <v>1</v>
      </c>
      <c r="R177" s="103" t="n"/>
      <c r="T177" s="312" t="inlineStr">
        <is>
          <t>yes</t>
        </is>
      </c>
      <c r="U177" s="692" t="n"/>
      <c r="X177" s="201" t="n">
        <v>7.94479513168335</v>
      </c>
      <c r="Y177" s="201">
        <f>IF(X177="","",X177*Q177)</f>
        <v/>
      </c>
      <c r="Z177" s="103">
        <f>IF(T177="yes",Y177,"")</f>
        <v/>
      </c>
    </row>
    <row r="178" ht="147.65" customFormat="1" customHeight="1" s="109">
      <c r="A178" s="31">
        <f>A177+1</f>
        <v/>
      </c>
      <c r="B178" s="514" t="inlineStr">
        <is>
          <t>fies_whlday</t>
        </is>
      </c>
      <c r="C178" s="108" t="inlineStr">
        <is>
          <t>fies_whlday</t>
        </is>
      </c>
      <c r="D178" s="124" t="inlineStr">
        <is>
          <t>In the past 30 days, did you or any household member ever go a whole day and night without eating anything at all because there was not enough food?
[OPERATOR: SINGLE RESPONSE]
1)YES
2)NO
3)DON'T KNOW
4)REFUSED</t>
        </is>
      </c>
      <c r="E178" s="515">
        <f>LEN(D178)</f>
        <v/>
      </c>
      <c r="F178" s="492"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78" s="515">
        <f>LEN(F178)</f>
        <v/>
      </c>
      <c r="H178" s="517" t="inlineStr">
        <is>
          <t>Single Choice</t>
        </is>
      </c>
      <c r="I178" s="515" t="inlineStr">
        <is>
          <t>NA</t>
        </is>
      </c>
      <c r="J178" s="515" t="inlineStr">
        <is>
          <t>NA</t>
        </is>
      </c>
      <c r="K178" s="515" t="inlineStr">
        <is>
          <t>Form Type - Buttons</t>
        </is>
      </c>
      <c r="L178" s="113" t="inlineStr">
        <is>
          <t>1=fies_whlday_hhs
2-4 = [lcsi_intro OR hdds]</t>
        </is>
      </c>
      <c r="M178" s="165" t="inlineStr">
        <is>
          <t>NA</t>
        </is>
      </c>
      <c r="N178" s="122" t="inlineStr">
        <is>
          <t>if fies_whlday = 1, go to fies_whlday_hhs. Otherwise, go to lcsi_intro OR hdds</t>
        </is>
      </c>
      <c r="O178" s="28" t="inlineStr">
        <is>
          <t>2-4 = lcsi_intro</t>
        </is>
      </c>
      <c r="P178" s="9" t="n"/>
      <c r="Q178" s="198" t="n">
        <v>1</v>
      </c>
      <c r="R178" s="103" t="n"/>
      <c r="T178" s="312" t="inlineStr">
        <is>
          <t>yes</t>
        </is>
      </c>
      <c r="U178" s="692" t="n"/>
      <c r="X178" s="201" t="n">
        <v>7.931224822998047</v>
      </c>
      <c r="Y178" s="201">
        <f>IF(X178="","",X178*Q178)</f>
        <v/>
      </c>
      <c r="Z178" s="103">
        <f>IF(T178="yes",Y178,"")</f>
        <v/>
      </c>
    </row>
    <row r="179" ht="133.4" customFormat="1" customHeight="1" s="109">
      <c r="A179" s="31">
        <f>A178+1</f>
        <v/>
      </c>
      <c r="B179" s="514" t="inlineStr">
        <is>
          <t>fies_whlday_hhs</t>
        </is>
      </c>
      <c r="C179" s="609" t="inlineStr">
        <is>
          <t>fies_whlday_hhs</t>
        </is>
      </c>
      <c r="D179" s="123" t="inlineStr">
        <is>
          <t>How often did this happen?
[OPERATOR: SINGLE RESPONSE]
1)Rarely [1-2 times in the past 30 days]
2)Sometimes [3-10 times in the past 30 days]
3)Often [more than 10 times in the last 30 days]
4)DON'T KNOW
5)REFUSED</t>
        </is>
      </c>
      <c r="E179" s="515">
        <f>LEN(D179)</f>
        <v/>
      </c>
      <c r="F179"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9" s="515">
        <f>LEN(F179)</f>
        <v/>
      </c>
      <c r="H179" s="517" t="inlineStr">
        <is>
          <t>Single Choice</t>
        </is>
      </c>
      <c r="I179" s="515" t="inlineStr">
        <is>
          <t>NA</t>
        </is>
      </c>
      <c r="J179" s="515" t="inlineStr">
        <is>
          <t>NA</t>
        </is>
      </c>
      <c r="K179" s="515" t="inlineStr">
        <is>
          <t>Form Type - Buttons</t>
        </is>
      </c>
      <c r="L179" s="113" t="inlineStr">
        <is>
          <t>1-5 = [lcsi_intro OR hdds]</t>
        </is>
      </c>
      <c r="M179" s="165" t="inlineStr">
        <is>
          <t>NA</t>
        </is>
      </c>
      <c r="N179" s="122" t="inlineStr">
        <is>
          <t>if fies_whlday_hhs = 1-5, go to lcsi_intro OR hdds</t>
        </is>
      </c>
      <c r="O179" s="28" t="inlineStr">
        <is>
          <t>1-5 = lcsi_intro</t>
        </is>
      </c>
      <c r="P179" s="9" t="n"/>
      <c r="Q179" s="198" t="n">
        <v>1</v>
      </c>
      <c r="R179" s="103" t="n"/>
      <c r="T179" s="312" t="inlineStr">
        <is>
          <t>yes</t>
        </is>
      </c>
      <c r="U179" s="692" t="n"/>
      <c r="X179" s="201" t="n">
        <v>5.339005947113037</v>
      </c>
      <c r="Y179" s="201">
        <f>IF(X179="","",X179*Q179)</f>
        <v/>
      </c>
      <c r="Z179" s="103">
        <f>IF(T179="yes",Y179,"")</f>
        <v/>
      </c>
    </row>
    <row r="180" ht="156" customFormat="1" customHeight="1" s="109">
      <c r="A180" s="13">
        <f>A179+1</f>
        <v/>
      </c>
      <c r="B180" s="522" t="inlineStr">
        <is>
          <t>lcsi_intro</t>
        </is>
      </c>
      <c r="C180" s="16" t="inlineStr">
        <is>
          <t>lcsi_intro</t>
        </is>
      </c>
      <c r="D180" s="541" t="inlineStr">
        <is>
          <t>Now I would like to ask you another set of questions on coping strategies, referring to the past 30 days.
[OPERATOR: SINGLE RESPONSE]
1)NEXT</t>
        </is>
      </c>
      <c r="E180" s="524">
        <f>LEN(D180)</f>
        <v/>
      </c>
      <c r="F180" s="541"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80" s="524">
        <f>LEN(F180)</f>
        <v/>
      </c>
      <c r="H180" s="526" t="inlineStr">
        <is>
          <t>Single Choice</t>
        </is>
      </c>
      <c r="I180" s="524" t="inlineStr">
        <is>
          <t>NA</t>
        </is>
      </c>
      <c r="J180" s="524" t="inlineStr">
        <is>
          <t>NA</t>
        </is>
      </c>
      <c r="K180" s="524" t="inlineStr">
        <is>
          <t>Form Type - Buttons</t>
        </is>
      </c>
      <c r="L180" s="23" t="inlineStr">
        <is>
          <t>1 = [next question]</t>
        </is>
      </c>
      <c r="M180" s="53" t="inlineStr">
        <is>
          <t>NA</t>
        </is>
      </c>
      <c r="N180" s="257" t="n"/>
      <c r="O180" s="28" t="inlineStr">
        <is>
          <t>1 = cs_stress_hh_assets</t>
        </is>
      </c>
      <c r="P180" s="86"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Q180" s="203" t="n">
        <v>1</v>
      </c>
      <c r="R180" s="103" t="n"/>
      <c r="T180" s="111" t="inlineStr">
        <is>
          <t>no</t>
        </is>
      </c>
      <c r="U180" s="692" t="n"/>
      <c r="X180" s="202" t="n">
        <v>3.816555500030518</v>
      </c>
      <c r="Y180" s="202">
        <f>IF(X180="","",X180*Q180)</f>
        <v/>
      </c>
      <c r="Z180" s="103">
        <f>IF(T180="yes",Y180,"")</f>
        <v/>
      </c>
    </row>
    <row r="181" ht="203.15" customFormat="1" customHeight="1" s="109">
      <c r="A181" s="13">
        <f>A180+1</f>
        <v/>
      </c>
      <c r="B181" s="258" t="inlineStr">
        <is>
          <t>cs_stress_hh_assets</t>
        </is>
      </c>
      <c r="C181" s="16" t="inlineStr">
        <is>
          <t>cs_stress_hh_assets</t>
        </is>
      </c>
      <c r="D181" s="523"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1" s="524">
        <f>LEN(D181)</f>
        <v/>
      </c>
      <c r="F181" s="578"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1" s="524">
        <f>LEN(F181)</f>
        <v/>
      </c>
      <c r="H181" s="526" t="inlineStr">
        <is>
          <t>Single Choice</t>
        </is>
      </c>
      <c r="I181" s="524" t="inlineStr">
        <is>
          <t>NA</t>
        </is>
      </c>
      <c r="J181" s="524" t="inlineStr">
        <is>
          <t>NA</t>
        </is>
      </c>
      <c r="K181" s="524" t="inlineStr">
        <is>
          <t>Form Type - Buttons</t>
        </is>
      </c>
      <c r="L181" s="23" t="inlineStr">
        <is>
          <t>1-6 = [next question]</t>
        </is>
      </c>
      <c r="M181" s="53" t="inlineStr">
        <is>
          <t>NA</t>
        </is>
      </c>
      <c r="N181" s="27" t="n"/>
      <c r="O181" s="28" t="inlineStr">
        <is>
          <t>1-6 = cs_stress_spent_savings</t>
        </is>
      </c>
      <c r="P181" s="9" t="n"/>
      <c r="Q181" s="203" t="n">
        <v>1</v>
      </c>
      <c r="R181" s="103" t="n"/>
      <c r="T181" s="111" t="inlineStr">
        <is>
          <t>no</t>
        </is>
      </c>
      <c r="U181" s="692" t="n"/>
      <c r="X181" s="202" t="n">
        <v>16.82703018188477</v>
      </c>
      <c r="Y181" s="202">
        <f>IF(X181="","",X181*Q181)</f>
        <v/>
      </c>
      <c r="Z181" s="103">
        <f>IF(T181="yes",Y181,"")</f>
        <v/>
      </c>
    </row>
    <row r="182" ht="187.4" customFormat="1" customHeight="1" s="109">
      <c r="A182" s="13">
        <f>A181+1</f>
        <v/>
      </c>
      <c r="B182" s="258" t="inlineStr">
        <is>
          <t>cs_stress_spent_savings</t>
        </is>
      </c>
      <c r="C182" s="16" t="inlineStr">
        <is>
          <t>cs_stress_spent_savings</t>
        </is>
      </c>
      <c r="D182" s="523"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2" s="524">
        <f>LEN(D182)</f>
        <v/>
      </c>
      <c r="F182" s="578"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2" s="524">
        <f>LEN(F182)</f>
        <v/>
      </c>
      <c r="H182" s="526" t="inlineStr">
        <is>
          <t>Single Choice</t>
        </is>
      </c>
      <c r="I182" s="524" t="inlineStr">
        <is>
          <t>NA</t>
        </is>
      </c>
      <c r="J182" s="524" t="inlineStr">
        <is>
          <t>NA</t>
        </is>
      </c>
      <c r="K182" s="524" t="inlineStr">
        <is>
          <t>Form Type - Buttons</t>
        </is>
      </c>
      <c r="L182" s="23" t="inlineStr">
        <is>
          <t>1-6 = [next question]</t>
        </is>
      </c>
      <c r="M182" s="53" t="inlineStr">
        <is>
          <t>NA</t>
        </is>
      </c>
      <c r="N182" s="27" t="n"/>
      <c r="O182" s="28" t="inlineStr">
        <is>
          <t>1-6 = cs_stress_credit</t>
        </is>
      </c>
      <c r="P182" s="9" t="n"/>
      <c r="Q182" s="203" t="n">
        <v>1</v>
      </c>
      <c r="R182" s="103" t="n"/>
      <c r="T182" s="111" t="inlineStr">
        <is>
          <t>no</t>
        </is>
      </c>
      <c r="U182" s="692" t="n"/>
      <c r="X182" s="202" t="n">
        <v>12.21140480041504</v>
      </c>
      <c r="Y182" s="202">
        <f>IF(X182="","",X182*Q182)</f>
        <v/>
      </c>
      <c r="Z182" s="103">
        <f>IF(T182="yes",Y182,"")</f>
        <v/>
      </c>
    </row>
    <row r="183" ht="187.4" customFormat="1" customHeight="1" s="109">
      <c r="A183" s="13">
        <f>#REF!+1</f>
        <v/>
      </c>
      <c r="B183" s="258" t="inlineStr">
        <is>
          <t>cs_stress_credit</t>
        </is>
      </c>
      <c r="C183" s="16" t="inlineStr">
        <is>
          <t>cs_stress_credit</t>
        </is>
      </c>
      <c r="D183" s="523"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83" s="524">
        <f>LEN(D183)</f>
        <v/>
      </c>
      <c r="F183" s="578"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3" s="524">
        <f>LEN(F183)</f>
        <v/>
      </c>
      <c r="H183" s="526" t="inlineStr">
        <is>
          <t>Single Choice</t>
        </is>
      </c>
      <c r="I183" s="524" t="inlineStr">
        <is>
          <t>NA</t>
        </is>
      </c>
      <c r="J183" s="524" t="inlineStr">
        <is>
          <t>NA</t>
        </is>
      </c>
      <c r="K183" s="524" t="inlineStr">
        <is>
          <t>Form Type - Buttons</t>
        </is>
      </c>
      <c r="L183" s="23" t="inlineStr">
        <is>
          <t>1-6 = [next question]</t>
        </is>
      </c>
      <c r="M183" s="53" t="inlineStr">
        <is>
          <t>NA</t>
        </is>
      </c>
      <c r="N183" s="27" t="n"/>
      <c r="O183" s="28" t="inlineStr">
        <is>
          <t>1-6 = cs_stress_borrowed_money</t>
        </is>
      </c>
      <c r="P183" s="9" t="n"/>
      <c r="Q183" s="203" t="n">
        <v>1</v>
      </c>
      <c r="R183" s="103" t="n"/>
      <c r="T183" s="111" t="inlineStr">
        <is>
          <t>no</t>
        </is>
      </c>
      <c r="U183" s="692" t="n"/>
      <c r="X183" s="202" t="n">
        <v>10.84387874603271</v>
      </c>
      <c r="Y183" s="202">
        <f>IF(X183="","",X183*Q183)</f>
        <v/>
      </c>
      <c r="Z183" s="103">
        <f>IF(T183="yes",Y183,"")</f>
        <v/>
      </c>
    </row>
    <row r="184" ht="187.4" customFormat="1" customHeight="1" s="109">
      <c r="A184" s="13">
        <f>A183+1</f>
        <v/>
      </c>
      <c r="B184" s="258" t="inlineStr">
        <is>
          <t>cs_stress_borrowed_money</t>
        </is>
      </c>
      <c r="C184" s="16" t="inlineStr">
        <is>
          <t>cs_stress_borrowed_money</t>
        </is>
      </c>
      <c r="D184" s="523"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84" s="524">
        <f>LEN(D184)</f>
        <v/>
      </c>
      <c r="F184" s="578"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4" s="524">
        <f>LEN(F184)</f>
        <v/>
      </c>
      <c r="H184" s="526" t="inlineStr">
        <is>
          <t>Single Choice</t>
        </is>
      </c>
      <c r="I184" s="524" t="inlineStr">
        <is>
          <t>NA</t>
        </is>
      </c>
      <c r="J184" s="524" t="inlineStr">
        <is>
          <t>NA</t>
        </is>
      </c>
      <c r="K184" s="524" t="inlineStr">
        <is>
          <t>Form Type - Buttons</t>
        </is>
      </c>
      <c r="L184" s="23" t="inlineStr">
        <is>
          <t>1-6 = [next question]</t>
        </is>
      </c>
      <c r="M184" s="53" t="inlineStr">
        <is>
          <t>NA</t>
        </is>
      </c>
      <c r="N184" s="27" t="n"/>
      <c r="O184" s="28" t="inlineStr">
        <is>
          <t>1-6 = cs_crisis_no_school</t>
        </is>
      </c>
      <c r="P184" s="9" t="n"/>
      <c r="Q184" s="203" t="n">
        <v>1</v>
      </c>
      <c r="R184" s="103" t="n"/>
      <c r="T184" s="111" t="inlineStr">
        <is>
          <t>no</t>
        </is>
      </c>
      <c r="U184" s="692" t="n"/>
      <c r="X184" s="202" t="n">
        <v>8.231814384460449</v>
      </c>
      <c r="Y184" s="202">
        <f>IF(X184="","",X184*Q184)</f>
        <v/>
      </c>
      <c r="Z184" s="103">
        <f>IF(T184="yes",Y184,"")</f>
        <v/>
      </c>
    </row>
    <row r="185" ht="187.4" customFormat="1" customHeight="1" s="109">
      <c r="A185" s="13">
        <f>#REF!+1</f>
        <v/>
      </c>
      <c r="B185" s="258" t="inlineStr">
        <is>
          <t>cs_crisis_no_school</t>
        </is>
      </c>
      <c r="C185" s="16" t="inlineStr">
        <is>
          <t>cs_crisis_no_school</t>
        </is>
      </c>
      <c r="D185" s="523"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85" s="524">
        <f>LEN(D185)</f>
        <v/>
      </c>
      <c r="F185" s="578"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5" s="524">
        <f>LEN(F185)</f>
        <v/>
      </c>
      <c r="H185" s="526" t="inlineStr">
        <is>
          <t>Single Choice</t>
        </is>
      </c>
      <c r="I185" s="524" t="inlineStr">
        <is>
          <t>NA</t>
        </is>
      </c>
      <c r="J185" s="524" t="inlineStr">
        <is>
          <t>NA</t>
        </is>
      </c>
      <c r="K185" s="524" t="inlineStr">
        <is>
          <t>Form Type - Buttons</t>
        </is>
      </c>
      <c r="L185" s="23" t="inlineStr">
        <is>
          <t>1-6 = [next question]</t>
        </is>
      </c>
      <c r="M185" s="53" t="inlineStr">
        <is>
          <t>NA</t>
        </is>
      </c>
      <c r="N185" s="523" t="n"/>
      <c r="O185" s="28" t="inlineStr">
        <is>
          <t>1-6 = cs_crisis_reduced_health_exp</t>
        </is>
      </c>
      <c r="P185" s="9" t="n"/>
      <c r="Q185" s="203" t="n">
        <v>1</v>
      </c>
      <c r="R185" s="103" t="n"/>
      <c r="T185" s="111" t="inlineStr">
        <is>
          <t>no</t>
        </is>
      </c>
      <c r="U185" s="692" t="n"/>
      <c r="X185" s="202" t="n">
        <v>11.36098480224609</v>
      </c>
      <c r="Y185" s="202">
        <f>IF(X185="","",X185*Q185)</f>
        <v/>
      </c>
      <c r="Z185" s="103">
        <f>IF(T185="yes",Y185,"")</f>
        <v/>
      </c>
    </row>
    <row r="186" ht="125.15" customFormat="1" customHeight="1" s="109">
      <c r="A186" s="13" t="n"/>
      <c r="B186" s="258" t="inlineStr">
        <is>
          <t>cs_crisis_reduced_health_exp</t>
        </is>
      </c>
      <c r="C186" s="16" t="inlineStr">
        <is>
          <t>cs_crisis_reduced_health_exp</t>
        </is>
      </c>
      <c r="D186" s="523"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86" s="524">
        <f>LEN(D186)</f>
        <v/>
      </c>
      <c r="F186" s="578"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6" s="524">
        <f>LEN(F186)</f>
        <v/>
      </c>
      <c r="H186" s="526" t="inlineStr">
        <is>
          <t>Single Choice</t>
        </is>
      </c>
      <c r="I186" s="524" t="inlineStr">
        <is>
          <t>NA</t>
        </is>
      </c>
      <c r="J186" s="524" t="inlineStr">
        <is>
          <t>NA</t>
        </is>
      </c>
      <c r="K186" s="524" t="inlineStr">
        <is>
          <t>Form Type - Buttons</t>
        </is>
      </c>
      <c r="L186" s="23" t="inlineStr">
        <is>
          <t>1-6 = cs_crisis_decrease_input_exp</t>
        </is>
      </c>
      <c r="M186" s="53" t="inlineStr">
        <is>
          <t>NA</t>
        </is>
      </c>
      <c r="N186" s="625" t="n"/>
      <c r="O186" s="28" t="inlineStr">
        <is>
          <t>1-6 = cs_crisis_decrease_input_exp</t>
        </is>
      </c>
      <c r="P186" s="9" t="n"/>
      <c r="Q186" s="203" t="n"/>
      <c r="R186" s="103" t="n"/>
      <c r="T186" s="111" t="inlineStr"/>
      <c r="U186" s="692" t="n"/>
      <c r="X186" s="202" t="n"/>
      <c r="Y186" s="202" t="n"/>
      <c r="Z186" s="103" t="n"/>
    </row>
    <row r="187" ht="203.15" customFormat="1" customHeight="1" s="109">
      <c r="A187" s="13">
        <f>#REF!+1</f>
        <v/>
      </c>
      <c r="B187" s="258" t="inlineStr">
        <is>
          <t>cs_crisis_decrease_input_exp</t>
        </is>
      </c>
      <c r="C187" s="16" t="inlineStr">
        <is>
          <t>cs_crisis_decrease_input_exp</t>
        </is>
      </c>
      <c r="D187" s="523"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87" s="524">
        <f>LEN(D187)</f>
        <v/>
      </c>
      <c r="F187" s="578"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7" s="524">
        <f>LEN(F187)</f>
        <v/>
      </c>
      <c r="H187" s="526" t="inlineStr">
        <is>
          <t>Single Choice</t>
        </is>
      </c>
      <c r="I187" s="524" t="inlineStr">
        <is>
          <t>NA</t>
        </is>
      </c>
      <c r="J187" s="524" t="inlineStr">
        <is>
          <t>NA</t>
        </is>
      </c>
      <c r="K187" s="524" t="inlineStr">
        <is>
          <t>Form Type - Buttons</t>
        </is>
      </c>
      <c r="L187" s="23" t="inlineStr">
        <is>
          <t>1-6 = [next question]</t>
        </is>
      </c>
      <c r="M187" s="53" t="inlineStr">
        <is>
          <t>NA</t>
        </is>
      </c>
      <c r="N187" s="626" t="n"/>
      <c r="O187" s="28" t="inlineStr">
        <is>
          <t>1-6 = cs_emergency_sold_house</t>
        </is>
      </c>
      <c r="P187" s="9" t="n"/>
      <c r="Q187" s="203" t="n">
        <v>1</v>
      </c>
      <c r="R187" s="103" t="n"/>
      <c r="T187" s="111" t="inlineStr">
        <is>
          <t>no</t>
        </is>
      </c>
      <c r="U187" s="692" t="n"/>
      <c r="X187" s="202" t="n">
        <v>9.023268699645996</v>
      </c>
      <c r="Y187" s="202">
        <f>IF(X187="","",X187*Q187)</f>
        <v/>
      </c>
      <c r="Z187" s="103">
        <f>IF(T187="yes",Y187,"")</f>
        <v/>
      </c>
    </row>
    <row r="188" ht="187.4" customFormat="1" customHeight="1" s="109">
      <c r="A188" s="13">
        <f>A187+1</f>
        <v/>
      </c>
      <c r="B188" s="258" t="inlineStr">
        <is>
          <t>cs_emergency_sold_house</t>
        </is>
      </c>
      <c r="C188" s="16" t="inlineStr">
        <is>
          <t>cs_emergency_sold_house</t>
        </is>
      </c>
      <c r="D188" s="523"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88" s="524">
        <f>LEN(D188)</f>
        <v/>
      </c>
      <c r="F188" s="578"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8" s="524">
        <f>LEN(F188)</f>
        <v/>
      </c>
      <c r="H188" s="526" t="inlineStr">
        <is>
          <t>Single Choice</t>
        </is>
      </c>
      <c r="I188" s="524" t="inlineStr">
        <is>
          <t>NA</t>
        </is>
      </c>
      <c r="J188" s="524" t="inlineStr">
        <is>
          <t>NA</t>
        </is>
      </c>
      <c r="K188" s="524" t="inlineStr">
        <is>
          <t>Form Type - Buttons</t>
        </is>
      </c>
      <c r="L188" s="23" t="inlineStr">
        <is>
          <t>1-6 = [next question]</t>
        </is>
      </c>
      <c r="M188" s="53" t="inlineStr">
        <is>
          <t>NA</t>
        </is>
      </c>
      <c r="N188" s="626" t="n"/>
      <c r="O188" s="28" t="inlineStr">
        <is>
          <t>1-6 = cs_emergency_begged</t>
        </is>
      </c>
      <c r="P188" s="9" t="n"/>
      <c r="Q188" s="203" t="n">
        <v>1</v>
      </c>
      <c r="R188" s="103" t="n"/>
      <c r="T188" s="111" t="inlineStr">
        <is>
          <t>no</t>
        </is>
      </c>
      <c r="U188" s="692" t="n"/>
      <c r="X188" s="202" t="n">
        <v>9.063239097595215</v>
      </c>
      <c r="Y188" s="202">
        <f>IF(X188="","",X188*Q188)</f>
        <v/>
      </c>
      <c r="Z188" s="103">
        <f>IF(T188="yes",Y188,"")</f>
        <v/>
      </c>
    </row>
    <row r="189" ht="187.4" customFormat="1" customHeight="1" s="109">
      <c r="A189" s="13">
        <f>A188+1</f>
        <v/>
      </c>
      <c r="B189" s="258" t="inlineStr">
        <is>
          <t>cs_emergency_begged</t>
        </is>
      </c>
      <c r="C189" s="16" t="inlineStr">
        <is>
          <t>cs_emergency_begged</t>
        </is>
      </c>
      <c r="D189" s="523"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9" s="524">
        <f>LEN(D189)</f>
        <v/>
      </c>
      <c r="F189" s="578"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9" s="524">
        <f>LEN(F189)</f>
        <v/>
      </c>
      <c r="H189" s="526" t="inlineStr">
        <is>
          <t>Single Choice</t>
        </is>
      </c>
      <c r="I189" s="524" t="inlineStr">
        <is>
          <t>NA</t>
        </is>
      </c>
      <c r="J189" s="524" t="inlineStr">
        <is>
          <t>NA</t>
        </is>
      </c>
      <c r="K189" s="524" t="inlineStr">
        <is>
          <t>Form Type - Buttons</t>
        </is>
      </c>
      <c r="L189" s="23" t="inlineStr">
        <is>
          <t>1-6 = [next question]</t>
        </is>
      </c>
      <c r="M189" s="53" t="inlineStr">
        <is>
          <t>NA</t>
        </is>
      </c>
      <c r="N189" s="626" t="n"/>
      <c r="O189" s="28" t="inlineStr">
        <is>
          <t>1-6 = cs_emergency_sold_last_female</t>
        </is>
      </c>
      <c r="P189" s="9" t="n"/>
      <c r="Q189" s="203" t="n">
        <v>1</v>
      </c>
      <c r="R189" s="103" t="n"/>
      <c r="T189" s="111" t="inlineStr">
        <is>
          <t>no</t>
        </is>
      </c>
      <c r="U189" s="692" t="n"/>
      <c r="X189" s="202" t="n">
        <v>9.105807304382324</v>
      </c>
      <c r="Y189" s="202">
        <f>IF(X189="","",X189*Q189)</f>
        <v/>
      </c>
      <c r="Z189" s="103">
        <f>IF(T189="yes",Y189,"")</f>
        <v/>
      </c>
    </row>
    <row r="190" ht="220.4" customFormat="1" customHeight="1" s="109">
      <c r="A190" s="13">
        <f>#REF!+1</f>
        <v/>
      </c>
      <c r="B190" s="258" t="inlineStr">
        <is>
          <t>cs_emergency_sold_last_female</t>
        </is>
      </c>
      <c r="C190" s="16" t="inlineStr">
        <is>
          <t>cs_emergency_sold_last_female</t>
        </is>
      </c>
      <c r="D190" s="523"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90" s="524">
        <f>LEN(D190)</f>
        <v/>
      </c>
      <c r="F190" s="578"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90" s="524">
        <f>LEN(F190)</f>
        <v/>
      </c>
      <c r="H190" s="526" t="inlineStr">
        <is>
          <t>Single Choice</t>
        </is>
      </c>
      <c r="I190" s="524" t="inlineStr">
        <is>
          <t>NA</t>
        </is>
      </c>
      <c r="J190" s="524" t="inlineStr">
        <is>
          <t>NA</t>
        </is>
      </c>
      <c r="K190" s="524" t="inlineStr">
        <is>
          <t>Form Type - Buttons</t>
        </is>
      </c>
      <c r="L190" s="23" t="inlineStr">
        <is>
          <t>1-6 = [next question]</t>
        </is>
      </c>
      <c r="M190" s="53" t="inlineStr">
        <is>
          <t>NA</t>
        </is>
      </c>
      <c r="N190" s="626" t="n"/>
      <c r="O190" s="28" t="inlineStr">
        <is>
          <t>1-6 = hdds</t>
        </is>
      </c>
      <c r="P190" s="9" t="n"/>
      <c r="Q190" s="203" t="n">
        <v>1</v>
      </c>
      <c r="R190" s="103" t="n"/>
      <c r="T190" s="111" t="inlineStr">
        <is>
          <t>no</t>
        </is>
      </c>
      <c r="U190" s="692" t="n"/>
      <c r="W190" s="121" t="n"/>
      <c r="X190" s="202" t="n">
        <v>6.293689727783203</v>
      </c>
      <c r="Y190" s="202">
        <f>IF(X190="","",X190*Q190)</f>
        <v/>
      </c>
      <c r="Z190" s="103">
        <f>IF(T190="yes",Y190,"")</f>
        <v/>
      </c>
    </row>
    <row r="191" ht="409.5" customFormat="1" customHeight="1" s="109">
      <c r="A191" s="31">
        <f>#REF!+1</f>
        <v/>
      </c>
      <c r="B191" s="514" t="inlineStr">
        <is>
          <t>hdds</t>
        </is>
      </c>
      <c r="C191" s="108" t="inlineStr">
        <is>
          <t>hdds
1) hdds_cereals
2) hdds_rootstubers
3) hdds_vegetables
4) hdds_fruits
5) hdds_meat
6) hdds_eggs
7) hdds_fish
8) hdds_legumes
9) hdds_milkdairy
10) hdds_oils
11)hdds_sugar
12) hdds_condiments</t>
        </is>
      </c>
      <c r="D191" s="627"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1" s="515">
        <f>LEN(D191)</f>
        <v/>
      </c>
      <c r="F191" s="627"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91" s="515">
        <f>LEN(F191)</f>
        <v/>
      </c>
      <c r="H191" s="517" t="inlineStr">
        <is>
          <t>Select All That Apply</t>
        </is>
      </c>
      <c r="I191" s="515" t="inlineStr">
        <is>
          <t>NA</t>
        </is>
      </c>
      <c r="J191" s="515" t="inlineStr">
        <is>
          <t>NA</t>
        </is>
      </c>
      <c r="K191" s="515" t="inlineStr">
        <is>
          <t>Form Type - Checklist</t>
        </is>
      </c>
      <c r="L191" s="113" t="inlineStr">
        <is>
          <t>1-12 = hdds_confirmation</t>
        </is>
      </c>
      <c r="M191" s="165" t="inlineStr">
        <is>
          <t>1)hdds_cereals
2)hdds_rootstubers
3)hdds_vegetables
4)hdds_fruits
5)hdds_meat
6)hdds_eggs
7)hdds_fish
8)hdds_legumes
9)hdds_milkdairy
10)hdds_oils
11)hdds_sugar
12)hdds_condiments</t>
        </is>
      </c>
      <c r="N191" s="113" t="inlineStr">
        <is>
          <t>if hdds = 1-12, go to hdds_confirmation</t>
        </is>
      </c>
      <c r="O191" s="28" t="inlineStr">
        <is>
          <t>1-12 = hdds_confirmation</t>
        </is>
      </c>
      <c r="P191" s="120" t="n"/>
      <c r="Q191" s="198" t="n">
        <v>1</v>
      </c>
      <c r="R191" s="103" t="n"/>
      <c r="T191" s="312" t="inlineStr">
        <is>
          <t>yes</t>
        </is>
      </c>
      <c r="U191" s="692" t="n"/>
      <c r="X191" s="201" t="n">
        <v>52.17435836791992</v>
      </c>
      <c r="Y191" s="201">
        <f>IF(X191="","",X191*Q191)</f>
        <v/>
      </c>
      <c r="Z191" s="103">
        <f>IF(T191="yes",Y191,"")</f>
        <v/>
      </c>
    </row>
    <row r="192" ht="140.9" customFormat="1" customHeight="1" s="109">
      <c r="A192" s="250">
        <f>A191+1</f>
        <v/>
      </c>
      <c r="B192" s="180" t="inlineStr">
        <is>
          <t>hdds_confirmation</t>
        </is>
      </c>
      <c r="C192" s="609" t="inlineStr">
        <is>
          <t>hdds_confirmation</t>
        </is>
      </c>
      <c r="D192" s="119"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92" s="97">
        <f>LEN(D192)</f>
        <v/>
      </c>
      <c r="F192" s="391"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92" s="97">
        <f>LEN(F192)</f>
        <v/>
      </c>
      <c r="H192" s="118" t="inlineStr">
        <is>
          <t>Single Choice</t>
        </is>
      </c>
      <c r="I192" s="98" t="inlineStr">
        <is>
          <t>NA</t>
        </is>
      </c>
      <c r="J192" s="98" t="inlineStr">
        <is>
          <t>NA</t>
        </is>
      </c>
      <c r="K192" s="98" t="inlineStr">
        <is>
          <t>Form Type - Buttons</t>
        </is>
      </c>
      <c r="L192" s="117" t="inlineStr">
        <is>
          <t>1 = need or next question</t>
        </is>
      </c>
      <c r="M192" s="165" t="inlineStr">
        <is>
          <t>NA</t>
        </is>
      </c>
      <c r="N192" s="117" t="inlineStr">
        <is>
          <t>if hdds_confirmation = 1, go to need or optional question</t>
        </is>
      </c>
      <c r="O192" s="30" t="inlineStr">
        <is>
          <t>1= fcs_intro</t>
        </is>
      </c>
      <c r="P192" s="116" t="n"/>
      <c r="Q192" s="198" t="n">
        <v>1</v>
      </c>
      <c r="R192" s="103" t="n"/>
      <c r="T192" s="312" t="inlineStr">
        <is>
          <t>yes</t>
        </is>
      </c>
      <c r="U192" s="692" t="n"/>
      <c r="X192" s="201" t="n">
        <v>1.287102341651917</v>
      </c>
      <c r="Y192" s="201">
        <f>IF(X192="","",X192*Q192)</f>
        <v/>
      </c>
      <c r="Z192" s="103">
        <f>IF(T192="yes",Y192,"")</f>
        <v/>
      </c>
    </row>
    <row r="193" ht="93.65000000000001" customFormat="1" customHeight="1" s="109">
      <c r="A193" s="13">
        <f>A192+1</f>
        <v/>
      </c>
      <c r="B193" s="522" t="inlineStr">
        <is>
          <t>fcs_intro</t>
        </is>
      </c>
      <c r="C193" s="576" t="inlineStr">
        <is>
          <t>fcs_intro</t>
        </is>
      </c>
      <c r="D193" s="628" t="inlineStr">
        <is>
          <t>Now I would like to ask you about the foods and drinks your household ate or drank in the last 7 days during the day and at night [breakfast, lunch, dinner, snacks]. 
1)CONTINUE</t>
        </is>
      </c>
      <c r="E193" s="524">
        <f>LEN(D193)</f>
        <v/>
      </c>
      <c r="F193" s="628"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93" s="524">
        <f>LEN(F193)</f>
        <v/>
      </c>
      <c r="H193" s="526" t="inlineStr">
        <is>
          <t>Single Choice</t>
        </is>
      </c>
      <c r="I193" s="524" t="inlineStr">
        <is>
          <t>NA</t>
        </is>
      </c>
      <c r="J193" s="524" t="inlineStr">
        <is>
          <t>NA</t>
        </is>
      </c>
      <c r="K193" s="524" t="inlineStr">
        <is>
          <t>Form Type - Buttons</t>
        </is>
      </c>
      <c r="L193" s="23" t="inlineStr">
        <is>
          <t>1 = fcs_staple_days</t>
        </is>
      </c>
      <c r="M193" s="53" t="inlineStr">
        <is>
          <t>NA</t>
        </is>
      </c>
      <c r="N193" s="23" t="inlineStr">
        <is>
          <t>if fcs_intro = 1, go to fcs_staple_days</t>
        </is>
      </c>
      <c r="O193" s="23" t="inlineStr"/>
      <c r="P193" s="90" t="n"/>
      <c r="Q193" s="203" t="n">
        <v>1</v>
      </c>
      <c r="R193" s="103" t="n"/>
      <c r="T193" s="111" t="inlineStr">
        <is>
          <t>no</t>
        </is>
      </c>
      <c r="U193" s="692" t="n"/>
      <c r="X193" s="202" t="n">
        <v>5.644973278045654</v>
      </c>
      <c r="Y193" s="202">
        <f>IF(X193="","",X193*Q193)</f>
        <v/>
      </c>
      <c r="Z193" s="103">
        <f>IF(T193="yes",Y193,"")</f>
        <v/>
      </c>
    </row>
    <row r="194" ht="93.65000000000001" customFormat="1" customHeight="1" s="109">
      <c r="A194" s="13">
        <f>A193+1</f>
        <v/>
      </c>
      <c r="B194" s="522" t="inlineStr">
        <is>
          <t>fcs_staple_days</t>
        </is>
      </c>
      <c r="C194" s="576" t="inlineStr">
        <is>
          <t>fcs_staple_days</t>
        </is>
      </c>
      <c r="D194" s="628"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94" s="524">
        <f>LEN(D194)</f>
        <v/>
      </c>
      <c r="F194" s="628"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94" s="524">
        <f>LEN(F194)</f>
        <v/>
      </c>
      <c r="H194" s="526" t="inlineStr">
        <is>
          <t>Range</t>
        </is>
      </c>
      <c r="I194" s="524" t="inlineStr">
        <is>
          <t>NA</t>
        </is>
      </c>
      <c r="J194" s="524" t="inlineStr">
        <is>
          <t>NA</t>
        </is>
      </c>
      <c r="K194" s="524" t="inlineStr">
        <is>
          <t>Form Type - TextBox</t>
        </is>
      </c>
      <c r="L194" s="23" t="inlineStr">
        <is>
          <t>0-7 = fcs_pulses_days</t>
        </is>
      </c>
      <c r="M194" s="53" t="inlineStr">
        <is>
          <t>NA</t>
        </is>
      </c>
      <c r="N194" s="23" t="inlineStr">
        <is>
          <t>For any response, go to fcs_pulses_days</t>
        </is>
      </c>
      <c r="O194" s="23" t="inlineStr"/>
      <c r="P194" s="89" t="n"/>
      <c r="Q194" s="203" t="n">
        <v>1</v>
      </c>
      <c r="R194" s="103" t="n"/>
      <c r="T194" s="111" t="inlineStr">
        <is>
          <t>no</t>
        </is>
      </c>
      <c r="U194" s="692" t="n"/>
      <c r="X194" s="202" t="n">
        <v>26.99896049499512</v>
      </c>
      <c r="Y194" s="202">
        <f>IF(X194="","",X194*Q194)</f>
        <v/>
      </c>
      <c r="Z194" s="103">
        <f>IF(T194="yes",Y194,"")</f>
        <v/>
      </c>
    </row>
    <row r="195" ht="93.65000000000001" customFormat="1" customHeight="1" s="109">
      <c r="A195" s="13">
        <f>A194+1</f>
        <v/>
      </c>
      <c r="B195" s="522" t="inlineStr">
        <is>
          <t>fcs_pulses_days</t>
        </is>
      </c>
      <c r="C195" s="576" t="inlineStr">
        <is>
          <t>fcs_pulses_days</t>
        </is>
      </c>
      <c r="D195" s="629" t="inlineStr">
        <is>
          <t>How many days over the last 7 days, did members of your household eat pulses and nuts such as beans, lentils, cowpeas, soybean, pigeon peas and peanuts or other nuts?
[OPERATOR: RECORD NUMBER OF DAYS 0 - 7]
[HINT: IF CONSUMED ONLY IN SMALL QUANTITY, DO NOT INCLUDE.]</t>
        </is>
      </c>
      <c r="E195" s="524">
        <f>LEN(D195)</f>
        <v/>
      </c>
      <c r="F195" s="629"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95" s="524">
        <f>LEN(F195)</f>
        <v/>
      </c>
      <c r="H195" s="526" t="inlineStr">
        <is>
          <t>Range</t>
        </is>
      </c>
      <c r="I195" s="524" t="inlineStr">
        <is>
          <t>NA</t>
        </is>
      </c>
      <c r="J195" s="524" t="inlineStr">
        <is>
          <t>NA</t>
        </is>
      </c>
      <c r="K195" s="524" t="inlineStr">
        <is>
          <t>Form Type - TextBox</t>
        </is>
      </c>
      <c r="L195" s="23" t="inlineStr">
        <is>
          <t>0-7 = fcs_vegetables_days</t>
        </is>
      </c>
      <c r="M195" s="53" t="inlineStr">
        <is>
          <t>NA</t>
        </is>
      </c>
      <c r="N195" s="23" t="inlineStr">
        <is>
          <t>For any response, go to fcs_vegetables_days</t>
        </is>
      </c>
      <c r="O195" s="23" t="inlineStr"/>
      <c r="P195" s="89" t="n"/>
      <c r="Q195" s="203" t="n">
        <v>1</v>
      </c>
      <c r="R195" s="103" t="n"/>
      <c r="T195" s="111" t="inlineStr">
        <is>
          <t>no</t>
        </is>
      </c>
      <c r="U195" s="692" t="n"/>
      <c r="X195" s="202" t="n">
        <v>18.27383232116699</v>
      </c>
      <c r="Y195" s="202">
        <f>IF(X195="","",X195*Q195)</f>
        <v/>
      </c>
      <c r="Z195" s="103">
        <f>IF(T195="yes",Y195,"")</f>
        <v/>
      </c>
    </row>
    <row r="196" ht="93.65000000000001" customFormat="1" customHeight="1" s="109">
      <c r="A196" s="13">
        <f>A195+1</f>
        <v/>
      </c>
      <c r="B196" s="522" t="inlineStr">
        <is>
          <t>fcs_vegetables_days</t>
        </is>
      </c>
      <c r="C196" s="576" t="inlineStr">
        <is>
          <t>fcs_vegetables_days</t>
        </is>
      </c>
      <c r="D196" s="62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96" s="524">
        <f>LEN(D196)</f>
        <v/>
      </c>
      <c r="F196" s="630"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96" s="524">
        <f>LEN(F196)</f>
        <v/>
      </c>
      <c r="H196" s="526" t="inlineStr">
        <is>
          <t>Range</t>
        </is>
      </c>
      <c r="I196" s="524" t="inlineStr">
        <is>
          <t>NA</t>
        </is>
      </c>
      <c r="J196" s="524" t="inlineStr">
        <is>
          <t>NA</t>
        </is>
      </c>
      <c r="K196" s="524" t="inlineStr">
        <is>
          <t>Form Type - TextBox</t>
        </is>
      </c>
      <c r="L196" s="23" t="inlineStr">
        <is>
          <t>0-7 = fcs_fruit_days</t>
        </is>
      </c>
      <c r="M196" s="53" t="inlineStr">
        <is>
          <t>NA</t>
        </is>
      </c>
      <c r="N196" s="23" t="inlineStr">
        <is>
          <t>For any response, go to fcs_fruit_days</t>
        </is>
      </c>
      <c r="O196" s="23" t="inlineStr"/>
      <c r="P196" s="89" t="n"/>
      <c r="Q196" s="203" t="n">
        <v>1</v>
      </c>
      <c r="R196" s="103" t="n"/>
      <c r="T196" s="111" t="inlineStr">
        <is>
          <t>no</t>
        </is>
      </c>
      <c r="U196" s="692" t="n"/>
      <c r="X196" s="202" t="n">
        <v>16.35211563110352</v>
      </c>
      <c r="Y196" s="202">
        <f>IF(X196="","",X196*Q196)</f>
        <v/>
      </c>
      <c r="Z196" s="103">
        <f>IF(T196="yes",Y196,"")</f>
        <v/>
      </c>
    </row>
    <row r="197" ht="78" customFormat="1" customHeight="1" s="109">
      <c r="A197" s="13">
        <f>A196+1</f>
        <v/>
      </c>
      <c r="B197" s="522" t="inlineStr">
        <is>
          <t>fcs_fruit_days</t>
        </is>
      </c>
      <c r="C197" s="576" t="inlineStr">
        <is>
          <t>fcs_fruit_days</t>
        </is>
      </c>
      <c r="D197" s="62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97" s="524">
        <f>LEN(D197)</f>
        <v/>
      </c>
      <c r="F197" s="630"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97" s="524">
        <f>LEN(F197)</f>
        <v/>
      </c>
      <c r="H197" s="526" t="inlineStr">
        <is>
          <t>Range</t>
        </is>
      </c>
      <c r="I197" s="524" t="inlineStr">
        <is>
          <t>NA</t>
        </is>
      </c>
      <c r="J197" s="524" t="inlineStr">
        <is>
          <t>NA</t>
        </is>
      </c>
      <c r="K197" s="524" t="inlineStr">
        <is>
          <t>Form Type - TextBox</t>
        </is>
      </c>
      <c r="L197" s="23" t="inlineStr">
        <is>
          <t>0-7 = fcs_meat_fish_days</t>
        </is>
      </c>
      <c r="M197" s="53" t="inlineStr">
        <is>
          <t>NA</t>
        </is>
      </c>
      <c r="N197" s="23" t="inlineStr">
        <is>
          <t>For any response, go to fcs_meat_fish_days</t>
        </is>
      </c>
      <c r="O197" s="23" t="inlineStr"/>
      <c r="P197" s="89" t="n"/>
      <c r="Q197" s="203" t="n">
        <v>1</v>
      </c>
      <c r="R197" s="103" t="n"/>
      <c r="T197" s="111" t="inlineStr">
        <is>
          <t>no</t>
        </is>
      </c>
      <c r="U197" s="692" t="n"/>
      <c r="X197" s="202" t="n">
        <v>14.01507568359375</v>
      </c>
      <c r="Y197" s="202">
        <f>IF(X197="","",X197*Q197)</f>
        <v/>
      </c>
      <c r="Z197" s="103">
        <f>IF(T197="yes",Y197,"")</f>
        <v/>
      </c>
    </row>
    <row r="198" ht="93.65000000000001" customFormat="1" customHeight="1" s="109">
      <c r="A198" s="13">
        <f>A197+1</f>
        <v/>
      </c>
      <c r="B198" s="522" t="inlineStr">
        <is>
          <t>fcs_meat_fish_days</t>
        </is>
      </c>
      <c r="C198" s="576" t="inlineStr">
        <is>
          <t>fcs_meat_fish_days</t>
        </is>
      </c>
      <c r="D198" s="629"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8" s="524">
        <f>LEN(D198)</f>
        <v/>
      </c>
      <c r="F198" s="628"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98" s="524">
        <f>LEN(F198)</f>
        <v/>
      </c>
      <c r="H198" s="526" t="inlineStr">
        <is>
          <t>Range</t>
        </is>
      </c>
      <c r="I198" s="524" t="inlineStr">
        <is>
          <t>NA</t>
        </is>
      </c>
      <c r="J198" s="524" t="inlineStr">
        <is>
          <t>NA</t>
        </is>
      </c>
      <c r="K198" s="524" t="inlineStr">
        <is>
          <t>Form Type - TextBox</t>
        </is>
      </c>
      <c r="L198" s="23" t="inlineStr">
        <is>
          <t>0-7 = fcs_dairy_days</t>
        </is>
      </c>
      <c r="M198" s="53" t="inlineStr">
        <is>
          <t>NA</t>
        </is>
      </c>
      <c r="N198" s="23" t="inlineStr">
        <is>
          <t>For any response, go to fcs_dairy_days</t>
        </is>
      </c>
      <c r="O198" s="23" t="inlineStr"/>
      <c r="P198" s="89" t="n"/>
      <c r="Q198" s="203" t="n">
        <v>1</v>
      </c>
      <c r="R198" s="103" t="n"/>
      <c r="T198" s="111" t="inlineStr">
        <is>
          <t>no</t>
        </is>
      </c>
      <c r="U198" s="692" t="n"/>
      <c r="X198" s="202" t="n">
        <v>17.22746658325195</v>
      </c>
      <c r="Y198" s="202">
        <f>IF(X198="","",X198*Q198)</f>
        <v/>
      </c>
      <c r="Z198" s="103">
        <f>IF(T198="yes",Y198,"")</f>
        <v/>
      </c>
    </row>
    <row r="199" ht="93.65000000000001" customFormat="1" customHeight="1" s="109">
      <c r="A199" s="13">
        <f>A198+1</f>
        <v/>
      </c>
      <c r="B199" s="522" t="inlineStr">
        <is>
          <t>fcs_dairy_days</t>
        </is>
      </c>
      <c r="C199" s="576" t="inlineStr">
        <is>
          <t>fcs_dairy_days</t>
        </is>
      </c>
      <c r="D199" s="628"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9" s="524">
        <f>LEN(D199)</f>
        <v/>
      </c>
      <c r="F199" s="628"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99" s="524">
        <f>LEN(F199)</f>
        <v/>
      </c>
      <c r="H199" s="526" t="inlineStr">
        <is>
          <t>Range</t>
        </is>
      </c>
      <c r="I199" s="524" t="inlineStr">
        <is>
          <t>NA</t>
        </is>
      </c>
      <c r="J199" s="524" t="inlineStr">
        <is>
          <t>NA</t>
        </is>
      </c>
      <c r="K199" s="524" t="inlineStr">
        <is>
          <t>Form Type - TextBox</t>
        </is>
      </c>
      <c r="L199" s="23" t="inlineStr">
        <is>
          <t>0-7 = fcs_sugar_days</t>
        </is>
      </c>
      <c r="M199" s="53" t="inlineStr">
        <is>
          <t>NA</t>
        </is>
      </c>
      <c r="N199" s="23" t="inlineStr">
        <is>
          <t>For any response, go to fcs_sugar_days</t>
        </is>
      </c>
      <c r="O199" s="23" t="inlineStr"/>
      <c r="P199" s="89" t="n"/>
      <c r="Q199" s="203" t="n">
        <v>1</v>
      </c>
      <c r="R199" s="103" t="n"/>
      <c r="T199" s="111" t="inlineStr">
        <is>
          <t>no</t>
        </is>
      </c>
      <c r="U199" s="692" t="n"/>
      <c r="X199" s="202" t="n">
        <v>19.49277471670652</v>
      </c>
      <c r="Y199" s="202">
        <f>IF(X199="","",X199*Q199)</f>
        <v/>
      </c>
      <c r="Z199" s="103">
        <f>IF(T199="yes",Y199,"")</f>
        <v/>
      </c>
    </row>
    <row r="200" ht="93.65000000000001" customFormat="1" customHeight="1" s="109">
      <c r="A200" s="13">
        <f>A199+1</f>
        <v/>
      </c>
      <c r="B200" s="522" t="inlineStr">
        <is>
          <t>fcs_sugar_days</t>
        </is>
      </c>
      <c r="C200" s="576" t="inlineStr">
        <is>
          <t>fcs_sugar_days</t>
        </is>
      </c>
      <c r="D200" s="628"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0" s="524">
        <f>LEN(D200)</f>
        <v/>
      </c>
      <c r="F200" s="628"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200" s="524">
        <f>LEN(F200)</f>
        <v/>
      </c>
      <c r="H200" s="526" t="inlineStr">
        <is>
          <t>Range</t>
        </is>
      </c>
      <c r="I200" s="524" t="inlineStr">
        <is>
          <t>NA</t>
        </is>
      </c>
      <c r="J200" s="524" t="inlineStr">
        <is>
          <t>NA</t>
        </is>
      </c>
      <c r="K200" s="524" t="inlineStr">
        <is>
          <t>Form Type - TextBox</t>
        </is>
      </c>
      <c r="L200" s="23" t="inlineStr">
        <is>
          <t>0-7 = fcs_oil_days</t>
        </is>
      </c>
      <c r="M200" s="53" t="inlineStr">
        <is>
          <t>NA</t>
        </is>
      </c>
      <c r="N200" s="23" t="inlineStr">
        <is>
          <t>For any response, go to fcs_oil_days</t>
        </is>
      </c>
      <c r="O200" s="23" t="inlineStr"/>
      <c r="P200" s="89" t="n"/>
      <c r="Q200" s="203" t="n">
        <v>1</v>
      </c>
      <c r="R200" s="103" t="n"/>
      <c r="T200" s="111" t="inlineStr">
        <is>
          <t>no</t>
        </is>
      </c>
      <c r="U200" s="692" t="n"/>
      <c r="X200" s="202" t="n">
        <v>14.17413425445557</v>
      </c>
      <c r="Y200" s="202">
        <f>IF(X200="","",X200*Q200)</f>
        <v/>
      </c>
      <c r="Z200" s="103">
        <f>IF(T200="yes",Y200,"")</f>
        <v/>
      </c>
    </row>
    <row r="201" ht="93.65000000000001" customFormat="1" customHeight="1" s="109">
      <c r="A201" s="13">
        <f>A200+1</f>
        <v/>
      </c>
      <c r="B201" s="522" t="inlineStr">
        <is>
          <t>fcs_oil_days</t>
        </is>
      </c>
      <c r="C201" s="576" t="inlineStr">
        <is>
          <t>fcs_oil_days</t>
        </is>
      </c>
      <c r="D201" s="628" t="inlineStr">
        <is>
          <t>How many days over the last 7 days, did members of your household eat oil/fat/butter such as vegetable oil, palm oil, groundnut oil, margarine, other fats / oil?
[OPERATOR: RECORD NUMBER OF DAYS 0 - 7]
[HINT: IF CONSUMED ONLY IN SMALL QUANTITY, DO NOT INCLUDE.]</t>
        </is>
      </c>
      <c r="E201" s="524">
        <f>LEN(D201)</f>
        <v/>
      </c>
      <c r="F201" s="628"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201" s="524">
        <f>LEN(F201)</f>
        <v/>
      </c>
      <c r="H201" s="526" t="inlineStr">
        <is>
          <t>Range</t>
        </is>
      </c>
      <c r="I201" s="524" t="inlineStr">
        <is>
          <t>NA</t>
        </is>
      </c>
      <c r="J201" s="524" t="inlineStr">
        <is>
          <t>NA</t>
        </is>
      </c>
      <c r="K201" s="524" t="inlineStr">
        <is>
          <t>Form Type - TextBox</t>
        </is>
      </c>
      <c r="L201" s="23" t="inlineStr">
        <is>
          <t>0-7 = fcs_condiments_days</t>
        </is>
      </c>
      <c r="M201" s="53" t="inlineStr">
        <is>
          <t>NA</t>
        </is>
      </c>
      <c r="N201" s="23" t="inlineStr">
        <is>
          <t>For any response, go to fcs_condiments_days</t>
        </is>
      </c>
      <c r="O201" s="23" t="inlineStr"/>
      <c r="P201" s="89" t="n"/>
      <c r="Q201" s="203" t="n">
        <v>1</v>
      </c>
      <c r="R201" s="103" t="n"/>
      <c r="T201" s="111" t="inlineStr">
        <is>
          <t>no</t>
        </is>
      </c>
      <c r="U201" s="692" t="n"/>
      <c r="X201" s="202" t="n">
        <v>13.37862586975098</v>
      </c>
      <c r="Y201" s="202">
        <f>IF(X201="","",X201*Q201)</f>
        <v/>
      </c>
      <c r="Z201" s="103">
        <f>IF(T201="yes",Y201,"")</f>
        <v/>
      </c>
    </row>
    <row r="202" ht="93.65000000000001" customFormat="1" customHeight="1" s="109">
      <c r="A202" s="13" t="n"/>
      <c r="B202" s="522" t="inlineStr">
        <is>
          <t>fcs_condiments_days</t>
        </is>
      </c>
      <c r="C202" s="576" t="inlineStr">
        <is>
          <t>fcs_condiments_days</t>
        </is>
      </c>
      <c r="D202" s="628" t="inlineStr">
        <is>
          <t>How many days over the last 7 days, did members of your household eat spices or condiments such as tea, coffee, cocoa, salt, garlic, spices, yeast, meat fish as a condiment or small amounts of milk for tea or coffee?
[OPERATOR: RECORD NUMBER OF DAYS 0 - 7]</t>
        </is>
      </c>
      <c r="E202" s="524">
        <f>LEN(D202)</f>
        <v/>
      </c>
      <c r="F202" s="628"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202" s="524">
        <f>LEN(F202)</f>
        <v/>
      </c>
      <c r="H202" s="526" t="inlineStr">
        <is>
          <t>Range</t>
        </is>
      </c>
      <c r="I202" s="524" t="inlineStr">
        <is>
          <t>NA</t>
        </is>
      </c>
      <c r="J202" s="524" t="inlineStr">
        <is>
          <t>NA</t>
        </is>
      </c>
      <c r="K202" s="524" t="inlineStr">
        <is>
          <t>Form Type - TextBox</t>
        </is>
      </c>
      <c r="L202" s="23" t="inlineStr">
        <is>
          <t>0-7 = rcsi_intro</t>
        </is>
      </c>
      <c r="M202" s="53" t="inlineStr">
        <is>
          <t>NA</t>
        </is>
      </c>
      <c r="N202" s="23" t="inlineStr">
        <is>
          <t>For any response, go to rcsi_intro</t>
        </is>
      </c>
      <c r="O202" s="23" t="inlineStr"/>
      <c r="P202" s="89" t="n"/>
      <c r="Q202" s="203" t="n">
        <v>1</v>
      </c>
      <c r="R202" s="103" t="n"/>
      <c r="T202" s="111" t="inlineStr">
        <is>
          <t>no</t>
        </is>
      </c>
      <c r="U202" s="692" t="n"/>
      <c r="X202" s="202" t="n">
        <v>12.75652313232422</v>
      </c>
      <c r="Y202" s="202">
        <f>IF(X202="","",X202*Q202)</f>
        <v/>
      </c>
      <c r="Z202" s="103">
        <f>IF(T202="yes",Y202,"")</f>
        <v/>
      </c>
    </row>
    <row r="203" ht="78" customFormat="1" customHeight="1" s="109">
      <c r="A203" s="13">
        <f>A201+1</f>
        <v/>
      </c>
      <c r="B203" s="522" t="inlineStr">
        <is>
          <t>rcsi_intro</t>
        </is>
      </c>
      <c r="C203" s="576" t="inlineStr">
        <is>
          <t>rcsi_intro</t>
        </is>
      </c>
      <c r="D203" s="628" t="inlineStr">
        <is>
          <t>Now I will ask you about the number of days, in the last 7 days, during which the household has done some of the actions that I will mention to cope with the lack of food or money to buy food.
1)CONTINUE</t>
        </is>
      </c>
      <c r="E203" s="524">
        <f>LEN(D203)</f>
        <v/>
      </c>
      <c r="F203" s="628"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203" s="524">
        <f>LEN(F203)</f>
        <v/>
      </c>
      <c r="H203" s="526" t="inlineStr">
        <is>
          <t>Single Choice</t>
        </is>
      </c>
      <c r="I203" s="524" t="inlineStr">
        <is>
          <t>NA</t>
        </is>
      </c>
      <c r="J203" s="524" t="inlineStr">
        <is>
          <t>NA</t>
        </is>
      </c>
      <c r="K203" s="524" t="inlineStr">
        <is>
          <t>Form Type - Buttons</t>
        </is>
      </c>
      <c r="L203" s="23" t="inlineStr">
        <is>
          <t>1 = rcsi_less_preferred_foods</t>
        </is>
      </c>
      <c r="M203" s="53" t="inlineStr">
        <is>
          <t>NA</t>
        </is>
      </c>
      <c r="N203" s="23" t="inlineStr">
        <is>
          <t>For any response, go to rcsi_less_preferred_foods</t>
        </is>
      </c>
      <c r="O203" s="23" t="inlineStr"/>
      <c r="P203" s="89" t="n"/>
      <c r="Q203" s="203" t="n">
        <v>1</v>
      </c>
      <c r="R203" s="103" t="n"/>
      <c r="T203" s="111" t="inlineStr">
        <is>
          <t>no</t>
        </is>
      </c>
      <c r="U203" s="692" t="n"/>
      <c r="X203" s="202" t="n">
        <v>5.834917068481445</v>
      </c>
      <c r="Y203" s="202">
        <f>IF(X203="","",X203*Q203)</f>
        <v/>
      </c>
      <c r="Z203" s="103">
        <f>IF(T203="yes",Y203,"")</f>
        <v/>
      </c>
    </row>
    <row r="204" ht="62.9" customFormat="1" customHeight="1" s="109">
      <c r="A204" s="13">
        <f>A203+1</f>
        <v/>
      </c>
      <c r="B204" s="522" t="inlineStr">
        <is>
          <t>rcsi_less_preferred_foods</t>
        </is>
      </c>
      <c r="C204" s="576" t="inlineStr">
        <is>
          <t>rcsi_less_preferred_foods</t>
        </is>
      </c>
      <c r="D204" s="628" t="inlineStr">
        <is>
          <t>In the past 7 days, how many days did your household rely on less preferred or less expensive food due to lack of food/money?  
[OPERATOR: RECORD NUMBER OF DAYS 0 - 7 ]</t>
        </is>
      </c>
      <c r="E204" s="524">
        <f>LEN(D204)</f>
        <v/>
      </c>
      <c r="F204" s="628"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204" s="524">
        <f>LEN(F204)</f>
        <v/>
      </c>
      <c r="H204" s="631" t="inlineStr">
        <is>
          <t>Range</t>
        </is>
      </c>
      <c r="I204" s="524" t="inlineStr">
        <is>
          <t>NA</t>
        </is>
      </c>
      <c r="J204" s="524" t="inlineStr">
        <is>
          <t>NA</t>
        </is>
      </c>
      <c r="K204" s="524" t="inlineStr">
        <is>
          <t>Form Type - TextBox</t>
        </is>
      </c>
      <c r="L204" s="23" t="inlineStr">
        <is>
          <t>0-7 = rcsi_borrowed_food</t>
        </is>
      </c>
      <c r="M204" s="53" t="inlineStr">
        <is>
          <t>NA</t>
        </is>
      </c>
      <c r="N204" s="23" t="inlineStr">
        <is>
          <t>For any response, go to rcsi_borrowed_food</t>
        </is>
      </c>
      <c r="O204" s="23" t="inlineStr"/>
      <c r="P204" s="89" t="n"/>
      <c r="Q204" s="203" t="n">
        <v>1</v>
      </c>
      <c r="R204" s="103" t="n"/>
      <c r="T204" s="111" t="inlineStr">
        <is>
          <t>no</t>
        </is>
      </c>
      <c r="U204" s="692" t="n"/>
      <c r="X204" s="202" t="n">
        <v>28.60844549470872</v>
      </c>
      <c r="Y204" s="202">
        <f>IF(X204="","",X204*Q204)</f>
        <v/>
      </c>
      <c r="Z204" s="103">
        <f>IF(T204="yes",Y204,"")</f>
        <v/>
      </c>
    </row>
    <row r="205" ht="78" customFormat="1" customHeight="1" s="109">
      <c r="A205" s="13">
        <f>A204+1</f>
        <v/>
      </c>
      <c r="B205" s="522" t="inlineStr">
        <is>
          <t>rcsi_borrowed_food</t>
        </is>
      </c>
      <c r="C205" s="576" t="inlineStr">
        <is>
          <t>rcsi_borrowed_food</t>
        </is>
      </c>
      <c r="D205" s="628" t="inlineStr">
        <is>
          <t>In the past 7 days, how many days did your household borrow food, or rely on help from a friend or relative due to lack of food or money to buy food? 
[OPERATOR: RECORD NUMBER OF DAYS 0 - 7 ]</t>
        </is>
      </c>
      <c r="E205" s="524">
        <f>LEN(D205)</f>
        <v/>
      </c>
      <c r="F205" s="628"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205" s="524">
        <f>LEN(F205)</f>
        <v/>
      </c>
      <c r="H205" s="631" t="inlineStr">
        <is>
          <t>Range</t>
        </is>
      </c>
      <c r="I205" s="524" t="inlineStr">
        <is>
          <t>NA</t>
        </is>
      </c>
      <c r="J205" s="524" t="inlineStr">
        <is>
          <t>NA</t>
        </is>
      </c>
      <c r="K205" s="524" t="inlineStr">
        <is>
          <t>Form Type - TextBox</t>
        </is>
      </c>
      <c r="L205" s="23" t="inlineStr">
        <is>
          <t>0-7 = rcsi_reduce_number_meals</t>
        </is>
      </c>
      <c r="M205" s="53" t="inlineStr">
        <is>
          <t>NA</t>
        </is>
      </c>
      <c r="N205" s="23" t="inlineStr">
        <is>
          <t>For any response, go to rcsi_reduce_number_meals</t>
        </is>
      </c>
      <c r="O205" s="23" t="inlineStr"/>
      <c r="P205" s="89" t="n"/>
      <c r="Q205" s="203" t="n">
        <v>1</v>
      </c>
      <c r="R205" s="103" t="n"/>
      <c r="T205" s="111" t="inlineStr">
        <is>
          <t>no</t>
        </is>
      </c>
      <c r="U205" s="692" t="n"/>
      <c r="X205" s="202" t="n">
        <v>14.61820602416992</v>
      </c>
      <c r="Y205" s="202">
        <f>IF(X205="","",X205*Q205)</f>
        <v/>
      </c>
      <c r="Z205" s="103">
        <f>IF(T205="yes",Y205,"")</f>
        <v/>
      </c>
    </row>
    <row r="206" ht="62.9" customFormat="1" customHeight="1" s="109">
      <c r="A206" s="13">
        <f>A205+1</f>
        <v/>
      </c>
      <c r="B206" s="181" t="inlineStr">
        <is>
          <t>rcsi_reduce_number_meals</t>
        </is>
      </c>
      <c r="C206" s="182" t="inlineStr">
        <is>
          <t>rcsi_reduce_number_meals</t>
        </is>
      </c>
      <c r="D206" s="628" t="inlineStr">
        <is>
          <t>In the past 7 days, how many days did your household reduce the number of meals eaten in a day due to lack of food or money to buy food?
[OPERATOR: RECORD NUMBER OF DAYS 0 - 7 ]</t>
        </is>
      </c>
      <c r="E206" s="524">
        <f>LEN(D206)</f>
        <v/>
      </c>
      <c r="F206" s="628"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206" s="524">
        <f>LEN(F206)</f>
        <v/>
      </c>
      <c r="H206" s="631" t="inlineStr">
        <is>
          <t>Range</t>
        </is>
      </c>
      <c r="I206" s="524" t="inlineStr">
        <is>
          <t>NA</t>
        </is>
      </c>
      <c r="J206" s="524" t="inlineStr">
        <is>
          <t>NA</t>
        </is>
      </c>
      <c r="K206" s="524" t="inlineStr">
        <is>
          <t>Form Type - TextBox</t>
        </is>
      </c>
      <c r="L206" s="23" t="inlineStr">
        <is>
          <t>0-7 = rcsi_limit_portions</t>
        </is>
      </c>
      <c r="M206" s="53" t="inlineStr">
        <is>
          <t>NA</t>
        </is>
      </c>
      <c r="N206" s="23" t="inlineStr">
        <is>
          <t>For any response, go to rcsi_limit_portions</t>
        </is>
      </c>
      <c r="O206" s="23" t="inlineStr"/>
      <c r="P206" s="89" t="n"/>
      <c r="Q206" s="203" t="n">
        <v>1</v>
      </c>
      <c r="R206" s="103" t="n"/>
      <c r="T206" s="111" t="inlineStr">
        <is>
          <t>no</t>
        </is>
      </c>
      <c r="U206" s="692" t="n"/>
      <c r="X206" s="202" t="n">
        <v>13.777663230896</v>
      </c>
      <c r="Y206" s="202">
        <f>IF(X206="","",X206*Q206)</f>
        <v/>
      </c>
      <c r="Z206" s="103">
        <f>IF(T206="yes",Y206,"")</f>
        <v/>
      </c>
    </row>
    <row r="207" ht="62.9" customFormat="1" customHeight="1" s="109">
      <c r="A207" s="13">
        <f>A206+1</f>
        <v/>
      </c>
      <c r="B207" s="522" t="inlineStr">
        <is>
          <t>rcsi_limit_portions</t>
        </is>
      </c>
      <c r="C207" s="576" t="inlineStr">
        <is>
          <t>rcsi_limit_portions</t>
        </is>
      </c>
      <c r="D207" s="628" t="inlineStr">
        <is>
          <t>In the past 7 days, how many days did your household limit portion sizes at mealtime due to lack of food or money to buy food? 
[OPERATOR: RECORD NUMBER OF DAYS 0 - 7 ]</t>
        </is>
      </c>
      <c r="E207" s="524">
        <f>LEN(D207)</f>
        <v/>
      </c>
      <c r="F207" s="628"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207" s="524">
        <f>LEN(F207)</f>
        <v/>
      </c>
      <c r="H207" s="631" t="inlineStr">
        <is>
          <t>Range</t>
        </is>
      </c>
      <c r="I207" s="524" t="inlineStr">
        <is>
          <t>NA</t>
        </is>
      </c>
      <c r="J207" s="524" t="inlineStr">
        <is>
          <t>NA</t>
        </is>
      </c>
      <c r="K207" s="524" t="inlineStr">
        <is>
          <t>Form Type - TextBox</t>
        </is>
      </c>
      <c r="L207" s="23" t="inlineStr">
        <is>
          <t>0-7 = rcsi_restrict_adult_consumpt</t>
        </is>
      </c>
      <c r="M207" s="53" t="inlineStr">
        <is>
          <t>NA</t>
        </is>
      </c>
      <c r="N207" s="23" t="inlineStr">
        <is>
          <t>For any response, go to rcsi_restrict_adult_consumpt</t>
        </is>
      </c>
      <c r="O207" s="23" t="inlineStr"/>
      <c r="P207" s="90" t="n"/>
      <c r="Q207" s="203" t="n">
        <v>1</v>
      </c>
      <c r="R207" s="103" t="n"/>
      <c r="T207" s="111" t="inlineStr">
        <is>
          <t>no</t>
        </is>
      </c>
      <c r="U207" s="692" t="n"/>
      <c r="X207" s="202" t="n">
        <v>12.39977359771729</v>
      </c>
      <c r="Y207" s="202">
        <f>IF(X207="","",X207*Q207)</f>
        <v/>
      </c>
      <c r="Z207" s="103">
        <f>IF(T207="yes",Y207,"")</f>
        <v/>
      </c>
    </row>
    <row r="208" ht="78.65000000000001" customFormat="1" customHeight="1" s="109">
      <c r="A208" s="13">
        <f>A207+1</f>
        <v/>
      </c>
      <c r="B208" s="522" t="inlineStr">
        <is>
          <t>rcsi_restrict_adult_consumpt</t>
        </is>
      </c>
      <c r="C208" s="576" t="inlineStr">
        <is>
          <t>rcsi_restrict_adult_consumpt</t>
        </is>
      </c>
      <c r="D208" s="26" t="inlineStr">
        <is>
          <t>In the past 7 days, how many days did your household restrict consumption by adults so children could eat, due to lack of food or money to buy food?
[OPERATOR: RECORD NUMBER OF DAYS 0 - 7 ]</t>
        </is>
      </c>
      <c r="E208" s="524">
        <f>LEN(D208)</f>
        <v/>
      </c>
      <c r="F208" s="392"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208" s="524">
        <f>LEN(F208)</f>
        <v/>
      </c>
      <c r="H208" s="631" t="inlineStr">
        <is>
          <t>Range</t>
        </is>
      </c>
      <c r="I208" s="18" t="inlineStr">
        <is>
          <t>NA</t>
        </is>
      </c>
      <c r="J208" s="18" t="inlineStr">
        <is>
          <t>NA</t>
        </is>
      </c>
      <c r="K208" s="524" t="inlineStr">
        <is>
          <t>Form Type - TextBox</t>
        </is>
      </c>
      <c r="L208" s="21" t="inlineStr">
        <is>
          <t>0-7 = percep_food_insecurity</t>
        </is>
      </c>
      <c r="M208" s="53" t="inlineStr">
        <is>
          <t>NA</t>
        </is>
      </c>
      <c r="N208" s="21" t="inlineStr">
        <is>
          <t>For any response, go to percep_food_insecurity</t>
        </is>
      </c>
      <c r="O208" s="21" t="inlineStr"/>
      <c r="P208" s="90" t="n"/>
      <c r="Q208" s="203" t="n">
        <v>1</v>
      </c>
      <c r="R208" s="103" t="n"/>
      <c r="T208" s="111" t="inlineStr">
        <is>
          <t>no</t>
        </is>
      </c>
      <c r="U208" s="692" t="n"/>
      <c r="X208" s="202" t="n">
        <v>13.34388160705566</v>
      </c>
      <c r="Y208" s="202">
        <f>IF(X208="","",X208*Q208)</f>
        <v/>
      </c>
      <c r="Z208" s="103">
        <f>IF(T208="yes",Y208,"")</f>
        <v/>
      </c>
    </row>
    <row r="209" ht="62.9" customFormat="1" customHeight="1" s="109">
      <c r="A209" s="13">
        <f>A208+1</f>
        <v/>
      </c>
      <c r="B209" s="522" t="inlineStr">
        <is>
          <t>o_percep_food_insecurity</t>
        </is>
      </c>
      <c r="C209" s="576" t="inlineStr">
        <is>
          <t>o_percep_food_insecurity</t>
        </is>
      </c>
      <c r="D209" s="628" t="inlineStr">
        <is>
          <t>How would you assess the current food security situation of your household compared to the same period last month?
[OPERATOR: SINGLE RESPONSE.]
1) Improved
2) Remained the same
3) Decreased
4)DON'T KNOW
5)REFUSED</t>
        </is>
      </c>
      <c r="E209" s="524">
        <f>LEN(D209)</f>
        <v/>
      </c>
      <c r="F209" s="628" t="inlineStr">
        <is>
          <t>كيف تقيم الوضع الحالي للأمن الغذائي في أسرتك مقارنة بنفس الفترة من الشهر الماضي؟
[للمشغل: إجابة واحدة.]
1) تحسن
2) ظل على حاله
3) انخفض
4) لا أعرف
5) رفض الاجابه</t>
        </is>
      </c>
      <c r="G209" s="524" t="n">
        <v>164</v>
      </c>
      <c r="H209" s="631" t="inlineStr">
        <is>
          <t>Single Choice</t>
        </is>
      </c>
      <c r="I209" s="524" t="inlineStr">
        <is>
          <t>NA</t>
        </is>
      </c>
      <c r="J209" s="524" t="inlineStr">
        <is>
          <t>NA</t>
        </is>
      </c>
      <c r="K209" s="524" t="inlineStr">
        <is>
          <t>Form Type - Bottons</t>
        </is>
      </c>
      <c r="L209" s="23" t="inlineStr">
        <is>
          <t>1,3 = reason_foodins
2, 4, 5 = need</t>
        </is>
      </c>
      <c r="M209" s="53" t="inlineStr"/>
      <c r="N209" s="23" t="inlineStr">
        <is>
          <t xml:space="preserve">
if percep_food_insecurity = 1 or 3 go to reason_foodins
if percep_food_insecurity = 2, 4, 5 go to need</t>
        </is>
      </c>
      <c r="O209" s="23" t="inlineStr"/>
      <c r="P209" s="90" t="n"/>
      <c r="Q209" s="203" t="n"/>
      <c r="R209" s="103" t="n"/>
      <c r="T209" s="111" t="inlineStr"/>
      <c r="U209" s="692" t="n"/>
      <c r="X209" s="202" t="n"/>
      <c r="Y209" s="202" t="n"/>
      <c r="Z209" s="103" t="n"/>
    </row>
    <row r="210" ht="62.9" customFormat="1" customHeight="1" s="109" thickBot="1">
      <c r="A210" s="13">
        <f>A209+1</f>
        <v/>
      </c>
      <c r="B210" s="522" t="inlineStr">
        <is>
          <t>o_reason_food_insecurity</t>
        </is>
      </c>
      <c r="C210" s="576" t="inlineStr">
        <is>
          <t>o_reason_food_insecurity</t>
        </is>
      </c>
      <c r="D210" s="628" t="inlineStr">
        <is>
          <t>Please specify the main reason for the increase or decrease in food security situation.
[OPERATOR: RECORD THE RESPONSE.]</t>
        </is>
      </c>
      <c r="E210" s="524">
        <f>LEN(D210)</f>
        <v/>
      </c>
      <c r="F210" s="628" t="inlineStr">
        <is>
          <t>يرجى تحديد السبب الرئيسي لزيادة أو نقصان وضع الأمن الغذائي والذي تم تحديده اعلاه 
[المشغل: تسجيل استجابة مفتوحة.]</t>
        </is>
      </c>
      <c r="G210" s="524" t="n">
        <v>115</v>
      </c>
      <c r="H210" s="631" t="inlineStr">
        <is>
          <t>Open Ended</t>
        </is>
      </c>
      <c r="I210" s="524" t="inlineStr">
        <is>
          <t>NA</t>
        </is>
      </c>
      <c r="J210" s="524" t="inlineStr">
        <is>
          <t>NA</t>
        </is>
      </c>
      <c r="K210" s="524" t="inlineStr">
        <is>
          <t>Form Type - TextBox</t>
        </is>
      </c>
      <c r="L210" s="23" t="inlineStr">
        <is>
          <t>For any response go need</t>
        </is>
      </c>
      <c r="M210" s="53" t="inlineStr"/>
      <c r="N210" s="23" t="inlineStr">
        <is>
          <t>For any response go to need</t>
        </is>
      </c>
      <c r="O210" s="23" t="inlineStr"/>
      <c r="P210" s="90" t="n"/>
      <c r="Q210" s="203" t="n"/>
      <c r="R210" s="103" t="n"/>
      <c r="T210" s="111" t="inlineStr"/>
      <c r="U210" s="692" t="n"/>
      <c r="X210" s="202" t="n"/>
      <c r="Y210" s="202" t="n"/>
      <c r="Z210" s="103" t="n"/>
    </row>
    <row r="211" ht="16.4" customFormat="1" customHeight="1" s="309" thickBot="1">
      <c r="A211" s="693" t="inlineStr">
        <is>
          <t>H. NEEDS ASSISTANCE</t>
        </is>
      </c>
      <c r="B211" s="694" t="n"/>
      <c r="C211" s="694" t="n"/>
      <c r="D211" s="694" t="n"/>
      <c r="E211" s="694" t="n"/>
      <c r="F211" s="694" t="n"/>
      <c r="G211" s="694" t="n"/>
      <c r="H211" s="694" t="n"/>
      <c r="I211" s="694" t="n"/>
      <c r="J211" s="694" t="n"/>
      <c r="K211" s="694" t="n"/>
      <c r="L211" s="694" t="n"/>
      <c r="M211" s="694" t="n"/>
      <c r="N211" s="694" t="n"/>
      <c r="O211" s="694" t="n"/>
      <c r="P211" s="695" t="n"/>
      <c r="Q211" s="198" t="n"/>
      <c r="R211" s="314" t="n"/>
      <c r="T211" s="312" t="n"/>
      <c r="U211" s="315" t="n"/>
      <c r="X211" s="201" t="n"/>
      <c r="Y211" s="201">
        <f>IF(X211="","",X211*Q211)</f>
        <v/>
      </c>
      <c r="Z211" s="314">
        <f>IF(T211="yes",Y211,"")</f>
        <v/>
      </c>
    </row>
    <row r="212" ht="149.4" customFormat="1" customHeight="1" s="178">
      <c r="A212" s="249">
        <f>A208+1</f>
        <v/>
      </c>
      <c r="B212" s="179" t="inlineStr">
        <is>
          <t>need</t>
        </is>
      </c>
      <c r="C212" s="108" t="inlineStr">
        <is>
          <t>need</t>
        </is>
      </c>
      <c r="D212" s="501" t="inlineStr">
        <is>
          <t>Does your household need any kind of assistance to support your ability to meet food and income needs over the next 6 months?
[OPERATOR: SINGLE RESPONSE.]
1)YES
2)NO
3)DON'T KNOW
4)REFUSED</t>
        </is>
      </c>
      <c r="E212" s="106">
        <f>LEN(D212)</f>
        <v/>
      </c>
      <c r="F212" s="385" t="inlineStr">
        <is>
          <t>هل تحتاج أسرتك إلى أي نوع من المساعدة لدعم قدرتك على تلبية احتياجاتك الغذائية والدخل خلال الأشهر الستة المقبلة؟
[المُشغِّل: إجابة واحدة]
1) نعم
2) لا
3) لا أعرف
4) رفض الإجابة</t>
        </is>
      </c>
      <c r="G212" s="106">
        <f>LEN(F212)</f>
        <v/>
      </c>
      <c r="H212" s="114" t="inlineStr">
        <is>
          <t>Single Choice</t>
        </is>
      </c>
      <c r="I212" s="106" t="inlineStr">
        <is>
          <t>NA</t>
        </is>
      </c>
      <c r="J212" s="106" t="inlineStr">
        <is>
          <t>NA</t>
        </is>
      </c>
      <c r="K212" s="515" t="inlineStr">
        <is>
          <t>Form Type - Buttons</t>
        </is>
      </c>
      <c r="L212" s="105" t="inlineStr">
        <is>
          <t>1 = need_type
2-4= need_received</t>
        </is>
      </c>
      <c r="M212" s="165" t="inlineStr">
        <is>
          <t>NA</t>
        </is>
      </c>
      <c r="N212" s="105" t="inlineStr">
        <is>
          <t>if need = 1, go to need_type
if need = 2-4, go to need_received</t>
        </is>
      </c>
      <c r="O212" s="59" t="inlineStr"/>
      <c r="P212" s="8" t="n"/>
      <c r="Q212" s="198" t="n">
        <v>1</v>
      </c>
      <c r="R212" s="104" t="n"/>
      <c r="T212" s="316" t="inlineStr">
        <is>
          <t>yes</t>
        </is>
      </c>
      <c r="U212" s="691" t="n"/>
      <c r="X212" s="205" t="n">
        <v>14.47277355194092</v>
      </c>
      <c r="Y212" s="201">
        <f>IF(X212="","",X212*Q212)</f>
        <v/>
      </c>
      <c r="Z212" s="103">
        <f>IF(T212="yes",Y212,"")</f>
        <v/>
      </c>
    </row>
    <row r="213" ht="221.15" customFormat="1" customHeight="1" s="178">
      <c r="A213" s="249" t="n"/>
      <c r="B213" s="502" t="inlineStr">
        <is>
          <t>need_type</t>
        </is>
      </c>
      <c r="C213" s="503" t="inlineStr">
        <is>
          <t>need_type
1)need_type_food
2)need_type_ag_livelihood
3)need_type_nonag_livelihood
4)need_type_other
5)need_type_dk
6)need_type_ref</t>
        </is>
      </c>
      <c r="D213" s="632"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213" s="504">
        <f>LEN(D213)</f>
        <v/>
      </c>
      <c r="F213" s="505" t="inlineStr">
        <is>
          <t>ما نوع المساعدة التي ستحتاجها أسرتك؟
[المُشغِّل: إجابات متعددة]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213" s="106">
        <f>LEN(F213)</f>
        <v/>
      </c>
      <c r="H213" s="633" t="inlineStr">
        <is>
          <t>Open Ended - Select All That Apply</t>
        </is>
      </c>
      <c r="I213" s="634" t="inlineStr">
        <is>
          <t>NA</t>
        </is>
      </c>
      <c r="J213" s="634" t="inlineStr">
        <is>
          <t>NA</t>
        </is>
      </c>
      <c r="K213" s="634" t="inlineStr">
        <is>
          <t>Form Type - Checklist
5,6 = IsNone</t>
        </is>
      </c>
      <c r="L213" s="506" t="inlineStr">
        <is>
          <t>1-6 = need_type_main</t>
        </is>
      </c>
      <c r="M213" s="507" t="inlineStr">
        <is>
          <t>1)need_type_food
2)need_type_ag_livelihood
3)need_type_nonag_livelihood
4)need_type_other
5)need_type_dk
6)need_type_ref</t>
        </is>
      </c>
      <c r="N213" s="506" t="inlineStr">
        <is>
          <t>For any response, go to need_type_main</t>
        </is>
      </c>
      <c r="O213" s="59" t="inlineStr"/>
      <c r="P213" s="32" t="n"/>
      <c r="Q213" s="198" t="n">
        <v>1</v>
      </c>
      <c r="R213" s="104" t="n"/>
      <c r="T213" s="316" t="inlineStr">
        <is>
          <t>yes</t>
        </is>
      </c>
      <c r="U213" s="691" t="n"/>
      <c r="X213" s="205" t="n">
        <v>17</v>
      </c>
      <c r="Y213" s="201" t="n">
        <v>17</v>
      </c>
      <c r="Z213" s="103">
        <f>IF(T213="yes",Y213,"")</f>
        <v/>
      </c>
    </row>
    <row r="214" ht="221.15" customFormat="1" customHeight="1" s="178">
      <c r="A214" s="249" t="n"/>
      <c r="B214" s="502" t="inlineStr">
        <is>
          <t>need_type_main</t>
        </is>
      </c>
      <c r="C214" s="503" t="inlineStr">
        <is>
          <t>need_type_main</t>
        </is>
      </c>
      <c r="D214" s="508" t="inlineStr">
        <is>
          <t>Which of these types of support is the most important for your household? 
[OPERATOR: PLEASE ONLY ASK THE QUESTION IF MORE THAN ONE ANSWER WAS PROVIDED IN THE PREVIOUS QUESTION.]
1)Food aid 
2)Support for agriculture or related livelihoods [crops, livestock, fisheries, and related marketing]
3)Support for non-agricultural income
4)Support for other essential needs [e.g. shelter, healthcare, education, water, sanitation]
5)DON'T KNOW 
6)REFUSED</t>
        </is>
      </c>
      <c r="E214" s="504">
        <f>LEN(D214)</f>
        <v/>
      </c>
      <c r="F214" s="505" t="inlineStr">
        <is>
          <t>أيٌّ من أنواع الدعم التالية هو الأهم لأسرتك؟
[المُشغِّل: يُرجى طرح السؤال فقط إذا قُدِّمت أكثر من إجابة واحدة في السؤال السابق.]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214" s="106" t="n"/>
      <c r="H214" s="633" t="inlineStr">
        <is>
          <t>Single Choice</t>
        </is>
      </c>
      <c r="I214" s="634" t="inlineStr">
        <is>
          <t>NA</t>
        </is>
      </c>
      <c r="J214" s="634"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K214" s="634" t="inlineStr">
        <is>
          <t>Form Type - Buttons
include selected "need_type"
IsDemographic</t>
        </is>
      </c>
      <c r="L214" s="506" t="inlineStr">
        <is>
          <t>Dynamics = need_2
1-2 = need_2</t>
        </is>
      </c>
      <c r="M214" s="507" t="inlineStr">
        <is>
          <t>NA</t>
        </is>
      </c>
      <c r="N214" s="506" t="inlineStr">
        <is>
          <t>For any response, go to need_2</t>
        </is>
      </c>
      <c r="O214" s="59" t="inlineStr"/>
      <c r="P214" s="32" t="n"/>
      <c r="Q214" s="198" t="n"/>
      <c r="R214" s="104" t="n"/>
      <c r="T214" s="316" t="inlineStr"/>
      <c r="U214" s="691" t="n"/>
      <c r="X214" s="205" t="n"/>
      <c r="Y214" s="201" t="n"/>
      <c r="Z214" s="103" t="n"/>
    </row>
    <row r="215" ht="409.5" customFormat="1" customHeight="1" s="109">
      <c r="A215" s="31">
        <f>A212+1</f>
        <v/>
      </c>
      <c r="B215" s="179" t="inlineStr">
        <is>
          <t>need_2</t>
        </is>
      </c>
      <c r="C215" s="509" t="inlineStr">
        <is>
          <t>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D215" s="295"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215" s="515">
        <f>LEN(D215)</f>
        <v/>
      </c>
      <c r="F215" s="385" t="inlineStr">
        <is>
          <t>على مدى الأشهر الستة المقبلة، ما هي أنواع المساعدة التي تحتاجها أسرتك لدعم سبل العيش الزراعية [بما في ذلك الإنتاج والتسويق]؟
[المشغل: عدة استجابات محتملة. لا تقرأ الخيارات إذا كان ذلك ممكنًا.]
1) مدخلات انتاج المحاصيل و الخضروات [على سبيل المثال البذور و الاسمدة و المعدات] 
2) البنية التحتية لانتاج المحاصيل و الخضروات [على سبيل المثال الري، اعادة تأهيل قنوات الري و المضخات]
3) التدريبات المهنية و المعرفة / النصائح التقنية لإنتاج المحاصيل 
4) أعلاف الحيوانات [علف أو علف تكميلي]
5) الخدمات البيطرية [على سبيل المثال التطعيم والتخلص من الديدان]
6) البنية التحتية لانتاج الماشية [على سبيل المثال نقاط المياه ، ممرات التنقل الرعوي ، المأوى ، النقاط الصحية]
7) التدريبات المهنية و المعرفة / النصائح التقنية لانتاج الماشية 
8) المدخلات لانتاج الاسماك و تربية الاحياء المائية 
9)البنية التحتية لانتاج مصايد الاسماك و تربية الاحياء المائية  [اعادة تأهيل الموانيء و اصلاح البرك علي سبيل المثال]
10) التدريبات المهنية و المعرفة / النصائح التقنية لانتاج مصايد الاسماك و تربية الاحياء المائية
11) اعادة ترميم البنية التحتية و البيئية ( علي نطاق مجتمعي ) 
12) التخزين البارد
13) دعم المبيعات أو التسويق [المشتريات العامة علي سبيل المثال]
14) الطعام
15) المساعدة النقدية 
16) قسائم المشتريات 
17) آخر [حدد]
18)  لا أعرف
19) رفض الإجابة</t>
        </is>
      </c>
      <c r="G215" s="515">
        <f>LEN(F215)</f>
        <v/>
      </c>
      <c r="H215" s="545" t="inlineStr">
        <is>
          <t>Open Ended - Select All That Apply</t>
        </is>
      </c>
      <c r="I215" s="515" t="inlineStr">
        <is>
          <t>NA</t>
        </is>
      </c>
      <c r="J215" s="634" t="inlineStr">
        <is>
          <t>Send if "need_type" "Contains" "Support for agriculture or related livelihoods [crop, livestock, fisheries, and related marketing]" if not satisfied go to "need_received"</t>
        </is>
      </c>
      <c r="K215" s="515" t="inlineStr">
        <is>
          <t>Form Type - Checklist
18,19 = IsNone</t>
        </is>
      </c>
      <c r="L215" s="113" t="inlineStr">
        <is>
          <t>1-19 = need_received</t>
        </is>
      </c>
      <c r="M215" s="509"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N215" s="112" t="inlineStr">
        <is>
          <t>if need_2 = 1-19, go to need_received</t>
        </is>
      </c>
      <c r="O215" s="131" t="inlineStr"/>
      <c r="P215" s="9" t="n"/>
      <c r="Q215" s="198" t="n">
        <v>1</v>
      </c>
      <c r="R215" s="103" t="n"/>
      <c r="T215" s="312" t="inlineStr">
        <is>
          <t>yes</t>
        </is>
      </c>
      <c r="U215" s="692" t="n"/>
      <c r="X215" s="201" t="n">
        <v>33.74076461791992</v>
      </c>
      <c r="Y215" s="201">
        <f>IF(X215="","",X215*Q215)</f>
        <v/>
      </c>
      <c r="Z215" s="103">
        <f>IF(T215="yes",Y215,"")</f>
        <v/>
      </c>
    </row>
    <row r="216" customFormat="1" s="109">
      <c r="A216" s="79" t="n"/>
      <c r="B216" s="192" t="n"/>
      <c r="C216" s="71" t="n"/>
      <c r="D216" s="85" t="n"/>
      <c r="E216" s="72" t="n"/>
      <c r="F216" s="531" t="n"/>
      <c r="G216" s="72" t="n"/>
      <c r="H216" s="80" t="n"/>
      <c r="I216" s="72" t="n"/>
      <c r="J216" s="72" t="n"/>
      <c r="K216" s="72" t="n"/>
      <c r="L216" s="66" t="n"/>
      <c r="M216" s="579" t="n"/>
      <c r="N216" s="191" t="n"/>
      <c r="O216" s="191" t="n"/>
      <c r="P216" s="9" t="n"/>
      <c r="Q216" s="203" t="n">
        <v>1</v>
      </c>
      <c r="R216" s="103" t="n"/>
      <c r="T216" s="111" t="n"/>
      <c r="U216" s="692" t="n"/>
      <c r="X216" s="202" t="n"/>
      <c r="Y216" s="202">
        <f>IF(X216="","",X216*Q216)</f>
        <v/>
      </c>
      <c r="Z216" s="103">
        <f>IF(T216="yes",Y216,"")</f>
        <v/>
      </c>
    </row>
    <row r="217" ht="258" customFormat="1" customHeight="1" s="109">
      <c r="A217" s="260">
        <f>A215+1</f>
        <v/>
      </c>
      <c r="B217" s="514" t="inlineStr">
        <is>
          <t>need_received</t>
        </is>
      </c>
      <c r="C217" s="545"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17" s="295"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17" s="97">
        <f>LEN(D217)</f>
        <v/>
      </c>
      <c r="F217" s="385"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217" s="97">
        <f>LEN(F217)</f>
        <v/>
      </c>
      <c r="H217" s="305" t="inlineStr">
        <is>
          <t>Open Ended - Select All That Apply</t>
        </is>
      </c>
      <c r="I217" s="97" t="inlineStr">
        <is>
          <t>NA</t>
        </is>
      </c>
      <c r="J217" s="97" t="inlineStr">
        <is>
          <t>NA</t>
        </is>
      </c>
      <c r="K217" s="97" t="inlineStr">
        <is>
          <t>Form Type - Checklist
10,11,12 = IsNone</t>
        </is>
      </c>
      <c r="L217" s="294" t="inlineStr">
        <is>
          <t>1-9 = assistance_quality 
10-12 = callback</t>
        </is>
      </c>
      <c r="M217" s="165"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N217" s="294" t="inlineStr">
        <is>
          <t xml:space="preserve">if need_received = 1-9, go to assistance_quality.
Otherwise, go to callback. </t>
        </is>
      </c>
      <c r="O217" s="66" t="inlineStr"/>
      <c r="P217" s="9" t="n"/>
      <c r="Q217" s="203" t="n">
        <v>1</v>
      </c>
      <c r="R217" s="103" t="n"/>
      <c r="T217" s="312" t="inlineStr">
        <is>
          <t>yes</t>
        </is>
      </c>
      <c r="U217" s="692" t="n"/>
      <c r="X217" s="201" t="n">
        <v>14.55059909820557</v>
      </c>
      <c r="Y217" s="201">
        <f>IF(X217="","",X217*Q217)</f>
        <v/>
      </c>
      <c r="Z217" s="103">
        <f>IF(T217="yes",Y217,"")</f>
        <v/>
      </c>
    </row>
    <row r="218" ht="234" customFormat="1" customHeight="1" s="109">
      <c r="A218" s="260">
        <f>A217+1</f>
        <v/>
      </c>
      <c r="B218" s="306" t="inlineStr">
        <is>
          <t>assistance_quality</t>
        </is>
      </c>
      <c r="C218" s="307" t="inlineStr">
        <is>
          <t>assistance_quality</t>
        </is>
      </c>
      <c r="D218" s="295"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18" s="97">
        <f>LEN(D218)</f>
        <v/>
      </c>
      <c r="F218" s="397"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18" s="97">
        <f>LEN(F218)</f>
        <v/>
      </c>
      <c r="H218" s="305" t="inlineStr">
        <is>
          <t>Single Choice</t>
        </is>
      </c>
      <c r="I218" s="97" t="inlineStr">
        <is>
          <t>NA</t>
        </is>
      </c>
      <c r="J218" s="308" t="inlineStr">
        <is>
          <t>NA</t>
        </is>
      </c>
      <c r="K218" s="97" t="inlineStr">
        <is>
          <t>Form Type - Buttons</t>
        </is>
      </c>
      <c r="L218" s="294" t="inlineStr">
        <is>
          <t>1-8 = [callback or optional question]</t>
        </is>
      </c>
      <c r="M218" s="165" t="inlineStr">
        <is>
          <t>NA</t>
        </is>
      </c>
      <c r="N218" s="113" t="inlineStr">
        <is>
          <t>if assistance_quality = 1-8, go to callback or assistance_provider</t>
        </is>
      </c>
      <c r="O218" s="30" t="inlineStr">
        <is>
          <t>1-8 = assistance provider</t>
        </is>
      </c>
      <c r="P218" s="9" t="n"/>
      <c r="Q218" s="203" t="n">
        <v>1</v>
      </c>
      <c r="R218" s="103" t="n"/>
      <c r="T218" s="312" t="inlineStr">
        <is>
          <t>yes</t>
        </is>
      </c>
      <c r="U218" s="692" t="n"/>
      <c r="X218" s="201" t="n">
        <v>10.81245613098145</v>
      </c>
      <c r="Y218" s="201">
        <f>IF(X218="","",X218*Q218)</f>
        <v/>
      </c>
      <c r="Z218" s="103">
        <f>IF(T218="yes",Y218,"")</f>
        <v/>
      </c>
    </row>
    <row r="219" customFormat="1" s="109">
      <c r="A219" s="79" t="n"/>
      <c r="B219" s="192" t="n"/>
      <c r="C219" s="71" t="n"/>
      <c r="D219" s="85" t="n"/>
      <c r="E219" s="72" t="n"/>
      <c r="F219" s="72" t="n"/>
      <c r="G219" s="72" t="n"/>
      <c r="H219" s="80" t="n"/>
      <c r="I219" s="72" t="n"/>
      <c r="J219" s="72" t="n"/>
      <c r="K219" s="72" t="n"/>
      <c r="L219" s="66" t="n"/>
      <c r="M219" s="579" t="n"/>
      <c r="N219" s="191" t="n"/>
      <c r="O219" s="261" t="n"/>
      <c r="P219" s="32" t="n"/>
      <c r="Q219" s="203" t="n">
        <v>1</v>
      </c>
      <c r="R219" s="103" t="n"/>
      <c r="T219" s="111" t="n"/>
      <c r="U219" s="692" t="n"/>
      <c r="X219" s="202" t="n"/>
      <c r="Y219" s="202">
        <f>IF(X219="","",X219*Q219)</f>
        <v/>
      </c>
      <c r="Z219" s="103">
        <f>IF(T219="yes",Y219,"")</f>
        <v/>
      </c>
    </row>
    <row r="220" ht="171.65" customFormat="1" customHeight="1" s="109">
      <c r="A220" s="25" t="n"/>
      <c r="B220" s="34" t="inlineStr">
        <is>
          <t>assistance_provider</t>
        </is>
      </c>
      <c r="C220" s="310" t="inlineStr">
        <is>
          <t>assistance_provider
1) assistance_fao
2) assistance_wfp
3) assistance_otherun
4) assistance_gov
5) assistance_ngo
6) assistance_dk
7) assistance_ref</t>
        </is>
      </c>
      <c r="D220" s="276" t="inlineStr">
        <is>
          <t>Who provided your household with this assistance?
[OPERATOR: MULTIPLE RESPONSE.]
1)FAO
2)WFP
3)Other UN agencies
4)Government
5)Non-governmental/local organization
6)DON'T KNOW
7)REFUSED</t>
        </is>
      </c>
      <c r="E220" s="17">
        <f>LEN(D220)</f>
        <v/>
      </c>
      <c r="F220" s="396"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20" s="17">
        <f>LEN(F220)</f>
        <v/>
      </c>
      <c r="H220" s="279" t="inlineStr">
        <is>
          <t>Select All That Apply</t>
        </is>
      </c>
      <c r="I220" s="17" t="inlineStr">
        <is>
          <t>NA</t>
        </is>
      </c>
      <c r="J220" s="311" t="inlineStr">
        <is>
          <t>NA</t>
        </is>
      </c>
      <c r="K220" s="17" t="inlineStr">
        <is>
          <t>Form Type - Checklist
6,7 = IsNone</t>
        </is>
      </c>
      <c r="L220" s="27" t="inlineStr">
        <is>
          <t>1-7 = callback</t>
        </is>
      </c>
      <c r="M220" s="53" t="inlineStr">
        <is>
          <t>1)assistance_fao
2)assistance_wfp
3)assistance_otherun
4)assistance_gov
5)assistance_ngo
6)assistance_dk
7)assistance_ref</t>
        </is>
      </c>
      <c r="N220" s="23" t="inlineStr">
        <is>
          <t xml:space="preserve">if assistance_provider = 1-7, go to callback </t>
        </is>
      </c>
      <c r="O220" s="262" t="inlineStr"/>
      <c r="P220" s="45" t="n"/>
      <c r="Q220" s="203" t="n">
        <v>1</v>
      </c>
      <c r="R220" s="103" t="n"/>
      <c r="T220" s="111" t="inlineStr">
        <is>
          <t>no</t>
        </is>
      </c>
      <c r="U220" s="692" t="n"/>
      <c r="X220" s="202" t="n">
        <v>10.81245613098145</v>
      </c>
      <c r="Y220" s="202">
        <f>IF(X220="","",X220*Q220)</f>
        <v/>
      </c>
      <c r="Z220" s="103">
        <f>IF(T220="yes",Y220,"")</f>
        <v/>
      </c>
    </row>
    <row r="221" ht="16.4" customFormat="1" customHeight="1" s="109" thickBot="1">
      <c r="A221" s="79" t="n"/>
      <c r="B221" s="192" t="n"/>
      <c r="C221" s="71" t="n"/>
      <c r="D221" s="85" t="n"/>
      <c r="E221" s="72" t="n"/>
      <c r="F221" s="72" t="n"/>
      <c r="G221" s="72" t="n"/>
      <c r="H221" s="80" t="n"/>
      <c r="I221" s="72" t="n"/>
      <c r="J221" s="72" t="n"/>
      <c r="K221" s="72" t="n"/>
      <c r="L221" s="66" t="n"/>
      <c r="M221" s="579" t="n"/>
      <c r="N221" s="191" t="n"/>
      <c r="O221" s="191" t="n"/>
      <c r="P221" s="9" t="n"/>
      <c r="Q221" s="203" t="n">
        <v>1</v>
      </c>
      <c r="R221" s="103" t="n"/>
      <c r="T221" s="111" t="n"/>
      <c r="U221" s="692" t="n"/>
      <c r="X221" s="202" t="n"/>
      <c r="Y221" s="202">
        <f>IF(X221="","",X221*Q221)</f>
        <v/>
      </c>
      <c r="Z221" s="103">
        <f>IF(T221="yes",Y221,"")</f>
        <v/>
      </c>
    </row>
    <row r="222" ht="16.4" customFormat="1" customHeight="1" s="309" thickBot="1">
      <c r="A222" s="693" t="inlineStr">
        <is>
          <t>I. CLOSING</t>
        </is>
      </c>
      <c r="B222" s="694" t="n"/>
      <c r="C222" s="694" t="n"/>
      <c r="D222" s="694" t="n"/>
      <c r="E222" s="694" t="n"/>
      <c r="F222" s="694" t="n"/>
      <c r="G222" s="694" t="n"/>
      <c r="H222" s="694" t="n"/>
      <c r="I222" s="694" t="n"/>
      <c r="J222" s="694" t="n"/>
      <c r="K222" s="694" t="n"/>
      <c r="L222" s="694" t="n"/>
      <c r="M222" s="694" t="n"/>
      <c r="N222" s="694" t="n"/>
      <c r="O222" s="694" t="n"/>
      <c r="P222" s="695" t="n"/>
      <c r="Q222" s="198" t="n"/>
      <c r="R222" s="314" t="n"/>
      <c r="T222" s="312" t="n"/>
      <c r="U222" s="315" t="n"/>
      <c r="X222" s="201" t="n"/>
      <c r="Y222" s="201">
        <f>IF(X222="","",X222*Q222)</f>
        <v/>
      </c>
      <c r="Z222" s="314">
        <f>IF(T222="yes",Y222,"")</f>
        <v/>
      </c>
    </row>
    <row r="223" ht="109.4" customFormat="1" customHeight="1" s="109">
      <c r="A223" s="70" t="inlineStr">
        <is>
          <t>NA</t>
        </is>
      </c>
      <c r="B223" s="179" t="inlineStr">
        <is>
          <t>callback</t>
        </is>
      </c>
      <c r="C223" s="108" t="inlineStr">
        <is>
          <t>callback</t>
        </is>
      </c>
      <c r="D223" s="107" t="inlineStr">
        <is>
          <t>Your answers will help us to understand and respond to your community needs. May we call you back again in a few months?
[OPERATOR: SINGLE RESPONSE.]
1)YES
2)NO</t>
        </is>
      </c>
      <c r="E223" s="106">
        <f>LEN(D223)</f>
        <v/>
      </c>
      <c r="F223" s="393" t="inlineStr">
        <is>
          <t>ستساعدنا إجاباتك على فهم احتياجات مجتمعك والاستجابة لها. هل يمكننا الاتصال بك مرة أخرى في غضون بضعة أشهر؟
[المشغل: استجابة واحدة.]
1) نعم
2) لا</t>
        </is>
      </c>
      <c r="G223" s="106">
        <f>LEN(F223)</f>
        <v/>
      </c>
      <c r="H223" s="106" t="inlineStr">
        <is>
          <t>Single Choice</t>
        </is>
      </c>
      <c r="I223" s="106" t="inlineStr">
        <is>
          <t>NA</t>
        </is>
      </c>
      <c r="J223" s="106" t="inlineStr">
        <is>
          <t>NA</t>
        </is>
      </c>
      <c r="K223" s="106" t="inlineStr">
        <is>
          <t>Form Type - Buttons</t>
        </is>
      </c>
      <c r="L223" s="105" t="inlineStr">
        <is>
          <t>1 = leader_contact
2 = language2</t>
        </is>
      </c>
      <c r="M223" s="165" t="inlineStr">
        <is>
          <t>NA</t>
        </is>
      </c>
      <c r="N223" s="105" t="inlineStr">
        <is>
          <t>if callback = 1, go to future_int_day
if 2, go to language2</t>
        </is>
      </c>
      <c r="O223" s="59" t="inlineStr"/>
      <c r="P223" s="8" t="n"/>
      <c r="Q223" s="198" t="n">
        <v>1</v>
      </c>
      <c r="R223" s="103" t="n"/>
      <c r="T223" s="312" t="inlineStr">
        <is>
          <t>yes</t>
        </is>
      </c>
      <c r="U223" s="692" t="n"/>
      <c r="X223" s="201" t="n">
        <v>14.94646453857422</v>
      </c>
      <c r="Y223" s="201">
        <f>IF(X223="","",X223*Q223)</f>
        <v/>
      </c>
      <c r="Z223" s="103">
        <f>IF(T223="yes",Y223,"")</f>
        <v/>
      </c>
    </row>
    <row r="224" ht="171.65" customFormat="1" customHeight="1" s="214">
      <c r="A224" s="248" t="n"/>
      <c r="B224" s="635" t="inlineStr">
        <is>
          <t>future_int_day</t>
        </is>
      </c>
      <c r="C224" s="636" t="inlineStr">
        <is>
          <t>future_int_day_
1) future_int_day_mon
2) future_int_day_tues
3) future_int_day_wed
4) future_int_day_thurs
5) future_int_day_fri
6) future_int_day_sat
7) future_int_day_sun</t>
        </is>
      </c>
      <c r="D224" s="278" t="inlineStr">
        <is>
          <t>For future interviews, in which day[s] can I call you?
[OPERATOR: MULTIPLE ANSWERS POSSIBLE.]
1)Monday
2)Tuesday
3)Wednesday
4)Thursday
5)Friday
6)Saturday
7)Sunday</t>
        </is>
      </c>
      <c r="E224" s="216">
        <f>LEN(D224)</f>
        <v/>
      </c>
      <c r="F224" s="394"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24" s="216">
        <f>LEN(F224)</f>
        <v/>
      </c>
      <c r="H224" s="216" t="inlineStr">
        <is>
          <t>Select All That Apply</t>
        </is>
      </c>
      <c r="I224" s="216" t="inlineStr">
        <is>
          <t>NA</t>
        </is>
      </c>
      <c r="J224" s="216" t="inlineStr">
        <is>
          <t>NA</t>
        </is>
      </c>
      <c r="K224" s="216" t="inlineStr">
        <is>
          <t>Form Type - Checklist</t>
        </is>
      </c>
      <c r="L224" s="217" t="inlineStr">
        <is>
          <t>1-7 = future_int_time</t>
        </is>
      </c>
      <c r="M224" s="165" t="inlineStr">
        <is>
          <t>NA</t>
        </is>
      </c>
      <c r="N224" s="218" t="inlineStr">
        <is>
          <t>if l_future_int_day = 1-7, go to future_int_time</t>
        </is>
      </c>
      <c r="O224" s="208" t="inlineStr"/>
      <c r="P224" s="219" t="n"/>
      <c r="Q224" s="209" t="n">
        <v>1</v>
      </c>
      <c r="R224" s="212" t="n"/>
      <c r="T224" s="313" t="inlineStr">
        <is>
          <t>yes - panel</t>
        </is>
      </c>
      <c r="X224" s="323" t="n">
        <v>19.35491371154785</v>
      </c>
      <c r="Y224" s="201">
        <f>IF(X224="","",X224*Q224)</f>
        <v/>
      </c>
      <c r="Z224" s="103">
        <f>IF(T224="yes",Y224,"")</f>
        <v/>
      </c>
    </row>
    <row r="225" ht="120" customFormat="1" customHeight="1" s="214">
      <c r="A225" s="248" t="n"/>
      <c r="B225" s="635" t="inlineStr">
        <is>
          <t>future_int_time</t>
        </is>
      </c>
      <c r="C225" s="636" t="inlineStr">
        <is>
          <t>future_int_time_ 
1) future_int_time_morn
2) future_int_time_aft
3) future_int_time_eve</t>
        </is>
      </c>
      <c r="D225" s="215" t="inlineStr">
        <is>
          <t>For future interviews, at what time[s] can I call you?
[OPERATOR: MULTIPLE ANSWERS POSSIBLE.]
1)Mornings
2)Afternoons
3)Evenings</t>
        </is>
      </c>
      <c r="E225" s="216">
        <f>LEN(D225)</f>
        <v/>
      </c>
      <c r="F225" s="394" t="inlineStr">
        <is>
          <t>للمقابلات المستقبلية ، في أي وقت (أوقات) يمكنني الاتصال بك؟
[المُشغل: إمكانية الحصول على إجابات متعددة.]
1) الصباح
2) بعد الظهر
3) المساء</t>
        </is>
      </c>
      <c r="G225" s="216">
        <f>LEN(F225)</f>
        <v/>
      </c>
      <c r="H225" s="216" t="inlineStr">
        <is>
          <t>Select All That Apply</t>
        </is>
      </c>
      <c r="I225" s="216" t="inlineStr">
        <is>
          <t>NA</t>
        </is>
      </c>
      <c r="J225" s="216" t="inlineStr">
        <is>
          <t>NA</t>
        </is>
      </c>
      <c r="K225" s="216" t="inlineStr">
        <is>
          <t>Form Type - Checklist</t>
        </is>
      </c>
      <c r="L225" s="217" t="inlineStr">
        <is>
          <t>1-3 = closeout</t>
        </is>
      </c>
      <c r="M225" s="165" t="inlineStr">
        <is>
          <t>NA</t>
        </is>
      </c>
      <c r="N225" s="218" t="inlineStr">
        <is>
          <t>if future_int_time = 1-3, go to closeout</t>
        </is>
      </c>
      <c r="O225" s="208" t="inlineStr"/>
      <c r="P225" s="219" t="n"/>
      <c r="Q225" s="209" t="n">
        <v>1</v>
      </c>
      <c r="R225" s="212" t="n"/>
      <c r="T225" s="313" t="inlineStr">
        <is>
          <t>yes - panel</t>
        </is>
      </c>
      <c r="X225" s="323" t="n">
        <v>15.88939952850342</v>
      </c>
      <c r="Y225" s="201">
        <f>IF(X225="","",X225*Q225)</f>
        <v/>
      </c>
      <c r="Z225" s="103">
        <f>IF(T225="yes",Y225,"")</f>
        <v/>
      </c>
    </row>
    <row r="226" ht="86.15000000000001" customFormat="1" customHeight="1" s="178" thickBot="1">
      <c r="A226" s="248" t="n"/>
      <c r="B226" s="493" t="inlineStr">
        <is>
          <t>language2</t>
        </is>
      </c>
      <c r="C226" s="81" t="inlineStr">
        <is>
          <t>language2</t>
        </is>
      </c>
      <c r="D226" s="637" t="inlineStr">
        <is>
          <t>Select the language that was mostly used to complete the interview.
[OPERATOR: SINGLE RESPONSE.]
1)Arabic</t>
        </is>
      </c>
      <c r="E226" s="494">
        <f>LEN(D226)</f>
        <v/>
      </c>
      <c r="F226" s="638" t="inlineStr"/>
      <c r="G226" s="494">
        <f>LEN(F226)</f>
        <v/>
      </c>
      <c r="H226" s="494" t="inlineStr">
        <is>
          <t>Single Choice</t>
        </is>
      </c>
      <c r="I226" s="494" t="inlineStr">
        <is>
          <t>NA</t>
        </is>
      </c>
      <c r="J226" s="494" t="inlineStr">
        <is>
          <t>NA</t>
        </is>
      </c>
      <c r="K226" s="494" t="inlineStr">
        <is>
          <t>Form Type - Buttons</t>
        </is>
      </c>
      <c r="L226" s="60" t="inlineStr">
        <is>
          <t>1-2 = closeout</t>
        </is>
      </c>
      <c r="M226" s="53" t="inlineStr">
        <is>
          <t>NA</t>
        </is>
      </c>
      <c r="N226" s="495" t="inlineStr">
        <is>
          <t>NA</t>
        </is>
      </c>
      <c r="O226" s="495" t="inlineStr"/>
      <c r="P226" s="496" t="n"/>
      <c r="Q226" s="203" t="n">
        <v>1</v>
      </c>
      <c r="R226" s="103" t="n"/>
      <c r="T226" s="111" t="inlineStr">
        <is>
          <t>yes</t>
        </is>
      </c>
      <c r="U226" s="692" t="n"/>
      <c r="X226" s="202" t="n">
        <v>17.30915408839179</v>
      </c>
      <c r="Y226" s="202">
        <f>IF(X226="","",X226*Q226)</f>
        <v/>
      </c>
      <c r="Z226" s="103">
        <f>IF(T226="yes",Y226,"")</f>
        <v/>
      </c>
    </row>
    <row r="227" ht="32.15" customFormat="1" customHeight="1" s="109" thickBot="1">
      <c r="A227" s="247" t="inlineStr">
        <is>
          <t>NA</t>
        </is>
      </c>
      <c r="B227" s="177" t="inlineStr">
        <is>
          <t>closeout</t>
        </is>
      </c>
      <c r="C227" s="96" t="inlineStr">
        <is>
          <t>closeout</t>
        </is>
      </c>
      <c r="D227" s="95" t="inlineStr">
        <is>
          <t>Thank you for your time. The interview has come to an end. You will receive your #TOPUP# airtime credit on this phone within the next 2 days.</t>
        </is>
      </c>
      <c r="E227" s="94">
        <f>LEN(D227)</f>
        <v/>
      </c>
      <c r="F227" s="395" t="inlineStr">
        <is>
          <t>شكرا لك على وقتك. انتهت المقابلة. ستتلقى رصيدك #TOPUP# على هذا الهاتف في غضون اليومين المقبلين.</t>
        </is>
      </c>
      <c r="G227" s="94">
        <f>LEN(F227)</f>
        <v/>
      </c>
      <c r="H227" s="94" t="inlineStr">
        <is>
          <t>NA</t>
        </is>
      </c>
      <c r="I227" s="94" t="inlineStr">
        <is>
          <t>NA</t>
        </is>
      </c>
      <c r="J227" s="94" t="inlineStr">
        <is>
          <t>NA</t>
        </is>
      </c>
      <c r="K227" s="94" t="inlineStr">
        <is>
          <t>NA</t>
        </is>
      </c>
      <c r="L227" s="93" t="inlineStr">
        <is>
          <t>NA</t>
        </is>
      </c>
      <c r="M227" s="93" t="inlineStr"/>
      <c r="N227" s="92" t="inlineStr">
        <is>
          <t>NA</t>
        </is>
      </c>
      <c r="O227" s="68" t="inlineStr"/>
      <c r="P227" s="69" t="n"/>
      <c r="Q227" s="198" t="n">
        <v>1</v>
      </c>
      <c r="R227" s="692" t="n"/>
      <c r="T227" s="111" t="inlineStr">
        <is>
          <t>no</t>
        </is>
      </c>
      <c r="U227" s="692" t="n"/>
      <c r="X227" s="206" t="n"/>
      <c r="Y227" s="201">
        <f>IF(X227="","",X227*Q227)</f>
        <v/>
      </c>
      <c r="Z227" s="103">
        <f>IF(T227="yes",Y227,"")</f>
        <v/>
      </c>
    </row>
    <row r="228">
      <c r="X228" s="246" t="n"/>
    </row>
    <row r="229" ht="16.4" customHeight="1" thickBot="1"/>
    <row r="230" ht="18" customHeight="1" thickBot="1">
      <c r="D230" s="176" t="inlineStr">
        <is>
          <t xml:space="preserve">AVERAGE ESTIMATED DURATION </t>
        </is>
      </c>
      <c r="E230" s="175" t="n"/>
      <c r="F230" s="176" t="n"/>
      <c r="G230" s="175" t="n"/>
      <c r="H230" s="175" t="n"/>
      <c r="I230" s="175" t="n"/>
      <c r="J230" s="175" t="n"/>
      <c r="K230" s="175" t="n"/>
      <c r="L230" s="175" t="n"/>
      <c r="M230" s="175" t="n"/>
      <c r="N230" s="175" t="n"/>
      <c r="O230" s="175" t="n"/>
      <c r="P230" s="175" t="n"/>
      <c r="Q230" s="240" t="n"/>
      <c r="X230" s="241" t="n"/>
      <c r="Y230" s="320">
        <f>(SUM(Y5:Y228))/60</f>
        <v/>
      </c>
      <c r="Z230" s="319">
        <f>SUM(Z2:Z227)/60</f>
        <v/>
      </c>
    </row>
    <row r="231" hidden="1" ht="16.4" customHeight="1" thickBot="1">
      <c r="D231" s="245" t="inlineStr">
        <is>
          <t>AVERAGE ESTIMATED DURATION (without fisheries section)</t>
        </is>
      </c>
      <c r="E231" s="244" t="n"/>
      <c r="F231" s="245" t="n"/>
      <c r="G231" s="244" t="n"/>
      <c r="H231" s="244" t="n"/>
      <c r="I231" s="244" t="n"/>
      <c r="J231" s="244" t="n"/>
      <c r="K231" s="244" t="n"/>
      <c r="L231" s="244" t="n"/>
      <c r="M231" s="244" t="n"/>
      <c r="N231" s="244" t="n"/>
      <c r="O231" s="244" t="n"/>
      <c r="P231" s="244" t="n"/>
      <c r="Q231" s="242" t="n"/>
      <c r="X231" s="243" t="n"/>
      <c r="Y231" s="321">
        <f>(SUM(Y6:Y147)+SUM(Y168:Y228))/60</f>
        <v/>
      </c>
    </row>
    <row r="232" ht="16.4" customHeight="1" thickBot="1">
      <c r="D232" s="176" t="inlineStr">
        <is>
          <t>AVERAGE ESTIMATED DURATION (without fisheries section or panel)</t>
        </is>
      </c>
      <c r="E232" s="175" t="n"/>
      <c r="F232" s="176" t="n"/>
      <c r="G232" s="175" t="n"/>
      <c r="H232" s="175" t="n"/>
      <c r="I232" s="175" t="n"/>
      <c r="J232" s="175" t="n"/>
      <c r="K232" s="175" t="n"/>
      <c r="L232" s="175" t="n"/>
      <c r="M232" s="175" t="n"/>
      <c r="N232" s="175" t="n"/>
      <c r="O232" s="175" t="n"/>
      <c r="P232" s="175" t="n"/>
      <c r="Q232" s="240" t="n"/>
      <c r="X232" s="241" t="n"/>
      <c r="Y232" s="322">
        <f>(SUM(Y6:Y24)+SUM(Y33:Y147)+SUM(Y167:Y223)+SUM(Y226:Y228))/60</f>
        <v/>
      </c>
    </row>
  </sheetData>
  <mergeCells count="18">
    <mergeCell ref="A222:P222"/>
    <mergeCell ref="A2:O2"/>
    <mergeCell ref="A94:P94"/>
    <mergeCell ref="A211:P211"/>
    <mergeCell ref="A1:P1"/>
    <mergeCell ref="A120:P120"/>
    <mergeCell ref="A159:P159"/>
    <mergeCell ref="A39:P39"/>
    <mergeCell ref="A167:P167"/>
    <mergeCell ref="A127:P127"/>
    <mergeCell ref="B61:P61"/>
    <mergeCell ref="A4:P4"/>
    <mergeCell ref="A101:P101"/>
    <mergeCell ref="A140:P140"/>
    <mergeCell ref="N34:N35"/>
    <mergeCell ref="A148:P148"/>
    <mergeCell ref="P2:P3"/>
    <mergeCell ref="A19:P19"/>
  </mergeCells>
  <conditionalFormatting sqref="B2:B3 B5 B7:B8 B10:B12 B14:B18 B22:B25 B27:B31 B37 B41 B43:B44 B57 B59:B60 B63 B67 B70:B72 B79:B81 B91 B107:B109 B118 B123:B125 B130:B134 B137:B138 B141:B143 B146 B153:B157 B160:B161 B168:B173 B176 B178 B180 B191 B212 B215:B217 B223 B227:B231 B233:B1048576">
    <cfRule type="duplicateValues" priority="847" dxfId="0"/>
  </conditionalFormatting>
  <conditionalFormatting sqref="B9">
    <cfRule type="duplicateValues" priority="7" dxfId="0"/>
  </conditionalFormatting>
  <conditionalFormatting sqref="B12 B14:B17">
    <cfRule type="duplicateValues" priority="841" dxfId="0"/>
  </conditionalFormatting>
  <conditionalFormatting sqref="B13">
    <cfRule type="duplicateValues" priority="184" dxfId="0"/>
    <cfRule type="duplicateValues" priority="183" dxfId="0"/>
  </conditionalFormatting>
  <conditionalFormatting sqref="B18">
    <cfRule type="duplicateValues" priority="840" dxfId="0"/>
  </conditionalFormatting>
  <conditionalFormatting sqref="B26">
    <cfRule type="duplicateValues" priority="698" dxfId="0"/>
  </conditionalFormatting>
  <conditionalFormatting sqref="B32:B33">
    <cfRule type="duplicateValues" priority="691" dxfId="0"/>
  </conditionalFormatting>
  <conditionalFormatting sqref="B34:B35">
    <cfRule type="duplicateValues" priority="461" dxfId="0"/>
  </conditionalFormatting>
  <conditionalFormatting sqref="B36">
    <cfRule type="duplicateValues" priority="450" dxfId="0"/>
  </conditionalFormatting>
  <conditionalFormatting sqref="B38 O38">
    <cfRule type="duplicateValues" priority="5" dxfId="0"/>
  </conditionalFormatting>
  <conditionalFormatting sqref="B45">
    <cfRule type="duplicateValues" priority="852" dxfId="0"/>
  </conditionalFormatting>
  <conditionalFormatting sqref="B47">
    <cfRule type="duplicateValues" priority="16" dxfId="0"/>
  </conditionalFormatting>
  <conditionalFormatting sqref="B48">
    <cfRule type="duplicateValues" priority="17" dxfId="0"/>
  </conditionalFormatting>
  <conditionalFormatting sqref="B49">
    <cfRule type="duplicateValues" priority="1289" dxfId="0"/>
  </conditionalFormatting>
  <conditionalFormatting sqref="B50">
    <cfRule type="duplicateValues" priority="20" dxfId="0"/>
  </conditionalFormatting>
  <conditionalFormatting sqref="B51:B54">
    <cfRule type="duplicateValues" priority="24" dxfId="0"/>
  </conditionalFormatting>
  <conditionalFormatting sqref="B55">
    <cfRule type="duplicateValues" priority="23" dxfId="0"/>
  </conditionalFormatting>
  <conditionalFormatting sqref="B56">
    <cfRule type="duplicateValues" priority="22" dxfId="0"/>
  </conditionalFormatting>
  <conditionalFormatting sqref="B58">
    <cfRule type="duplicateValues" priority="1212" dxfId="0"/>
  </conditionalFormatting>
  <conditionalFormatting sqref="B64:B66">
    <cfRule type="duplicateValues" priority="460" dxfId="0"/>
  </conditionalFormatting>
  <conditionalFormatting sqref="B68">
    <cfRule type="duplicateValues" priority="476" dxfId="0"/>
  </conditionalFormatting>
  <conditionalFormatting sqref="B69">
    <cfRule type="duplicateValues" priority="838" dxfId="0"/>
  </conditionalFormatting>
  <conditionalFormatting sqref="B73:B75">
    <cfRule type="duplicateValues" priority="456" dxfId="0"/>
  </conditionalFormatting>
  <conditionalFormatting sqref="B76">
    <cfRule type="duplicateValues" priority="973" dxfId="0"/>
  </conditionalFormatting>
  <conditionalFormatting sqref="B77">
    <cfRule type="duplicateValues" priority="469" dxfId="0"/>
  </conditionalFormatting>
  <conditionalFormatting sqref="B78">
    <cfRule type="duplicateValues" priority="836" dxfId="0"/>
  </conditionalFormatting>
  <conditionalFormatting sqref="B82:B84">
    <cfRule type="duplicateValues" priority="452" dxfId="0"/>
  </conditionalFormatting>
  <conditionalFormatting sqref="B85">
    <cfRule type="duplicateValues" priority="1011" dxfId="0"/>
  </conditionalFormatting>
  <conditionalFormatting sqref="B86">
    <cfRule type="duplicateValues" priority="467" dxfId="0"/>
  </conditionalFormatting>
  <conditionalFormatting sqref="B87">
    <cfRule type="duplicateValues" priority="465" dxfId="0"/>
  </conditionalFormatting>
  <conditionalFormatting sqref="B88">
    <cfRule type="duplicateValues" priority="1251" dxfId="0"/>
  </conditionalFormatting>
  <conditionalFormatting sqref="B89">
    <cfRule type="duplicateValues" priority="29" dxfId="0"/>
  </conditionalFormatting>
  <conditionalFormatting sqref="B90">
    <cfRule type="duplicateValues" priority="28" dxfId="0"/>
  </conditionalFormatting>
  <conditionalFormatting sqref="B92:B93">
    <cfRule type="duplicateValues" priority="3" dxfId="0"/>
  </conditionalFormatting>
  <conditionalFormatting sqref="B95:B99">
    <cfRule type="duplicateValues" priority="12" dxfId="0"/>
  </conditionalFormatting>
  <conditionalFormatting sqref="B100">
    <cfRule type="duplicateValues" priority="798" dxfId="0"/>
  </conditionalFormatting>
  <conditionalFormatting sqref="B111">
    <cfRule type="duplicateValues" priority="462" dxfId="0"/>
  </conditionalFormatting>
  <conditionalFormatting sqref="B113">
    <cfRule type="duplicateValues" priority="651" dxfId="0"/>
  </conditionalFormatting>
  <conditionalFormatting sqref="B114:B116">
    <cfRule type="duplicateValues" priority="831" dxfId="0"/>
  </conditionalFormatting>
  <conditionalFormatting sqref="B117">
    <cfRule type="duplicateValues" priority="657" dxfId="0"/>
  </conditionalFormatting>
  <conditionalFormatting sqref="B119">
    <cfRule type="duplicateValues" priority="844" dxfId="0"/>
  </conditionalFormatting>
  <conditionalFormatting sqref="B121:B122">
    <cfRule type="duplicateValues" priority="891" dxfId="0"/>
  </conditionalFormatting>
  <conditionalFormatting sqref="B126">
    <cfRule type="duplicateValues" priority="449" dxfId="0"/>
  </conditionalFormatting>
  <conditionalFormatting sqref="B129">
    <cfRule type="duplicateValues" priority="694" dxfId="0"/>
  </conditionalFormatting>
  <conditionalFormatting sqref="B135">
    <cfRule type="duplicateValues" priority="845" dxfId="0"/>
  </conditionalFormatting>
  <conditionalFormatting sqref="B136">
    <cfRule type="duplicateValues" priority="655" dxfId="0"/>
  </conditionalFormatting>
  <conditionalFormatting sqref="B138">
    <cfRule type="duplicateValues" priority="842" dxfId="0"/>
    <cfRule type="duplicateValues" priority="843" dxfId="0"/>
  </conditionalFormatting>
  <conditionalFormatting sqref="B139">
    <cfRule type="duplicateValues" priority="654" dxfId="0"/>
  </conditionalFormatting>
  <conditionalFormatting sqref="B144:B145">
    <cfRule type="duplicateValues" priority="829" dxfId="0"/>
  </conditionalFormatting>
  <conditionalFormatting sqref="B147">
    <cfRule type="duplicateValues" priority="799" dxfId="0"/>
  </conditionalFormatting>
  <conditionalFormatting sqref="B149">
    <cfRule type="duplicateValues" priority="800" dxfId="0"/>
  </conditionalFormatting>
  <conditionalFormatting sqref="B150">
    <cfRule type="duplicateValues" priority="693" dxfId="0"/>
  </conditionalFormatting>
  <conditionalFormatting sqref="B151:B152">
    <cfRule type="duplicateValues" priority="828" dxfId="0"/>
  </conditionalFormatting>
  <conditionalFormatting sqref="B158">
    <cfRule type="duplicateValues" priority="653" dxfId="0"/>
  </conditionalFormatting>
  <conditionalFormatting sqref="B162:B165">
    <cfRule type="duplicateValues" priority="827" dxfId="0"/>
  </conditionalFormatting>
  <conditionalFormatting sqref="B166">
    <cfRule type="duplicateValues" priority="692" dxfId="0"/>
  </conditionalFormatting>
  <conditionalFormatting sqref="B174">
    <cfRule type="duplicateValues" priority="825" dxfId="0"/>
  </conditionalFormatting>
  <conditionalFormatting sqref="B175">
    <cfRule type="duplicateValues" priority="823" dxfId="0"/>
  </conditionalFormatting>
  <conditionalFormatting sqref="B177">
    <cfRule type="duplicateValues" priority="821" dxfId="0"/>
  </conditionalFormatting>
  <conditionalFormatting sqref="B179">
    <cfRule type="duplicateValues" priority="819" dxfId="0"/>
  </conditionalFormatting>
  <conditionalFormatting sqref="B192">
    <cfRule type="duplicateValues" priority="817" dxfId="0"/>
  </conditionalFormatting>
  <conditionalFormatting sqref="B193:B201 B203:B205">
    <cfRule type="duplicateValues" priority="850" dxfId="0"/>
  </conditionalFormatting>
  <conditionalFormatting sqref="B202">
    <cfRule type="duplicateValues" priority="705" dxfId="0"/>
  </conditionalFormatting>
  <conditionalFormatting sqref="B206">
    <cfRule type="duplicateValues" priority="703" dxfId="0"/>
  </conditionalFormatting>
  <conditionalFormatting sqref="B207 C193:C201 C203:C205">
    <cfRule type="duplicateValues" priority="1136" dxfId="0"/>
  </conditionalFormatting>
  <conditionalFormatting sqref="B208">
    <cfRule type="duplicateValues" priority="704" dxfId="0"/>
  </conditionalFormatting>
  <conditionalFormatting sqref="B209:B210">
    <cfRule type="duplicateValues" priority="9" dxfId="0"/>
  </conditionalFormatting>
  <conditionalFormatting sqref="B213:B214">
    <cfRule type="duplicateValues" priority="2" dxfId="0"/>
  </conditionalFormatting>
  <conditionalFormatting sqref="B219">
    <cfRule type="duplicateValues" priority="614" dxfId="0"/>
  </conditionalFormatting>
  <conditionalFormatting sqref="B221">
    <cfRule type="duplicateValues" priority="652" dxfId="0"/>
  </conditionalFormatting>
  <conditionalFormatting sqref="B226">
    <cfRule type="duplicateValues" priority="11" dxfId="0"/>
  </conditionalFormatting>
  <conditionalFormatting sqref="B232">
    <cfRule type="duplicateValues" priority="615" dxfId="0"/>
  </conditionalFormatting>
  <conditionalFormatting sqref="B46:C46">
    <cfRule type="duplicateValues" priority="1169" dxfId="0"/>
  </conditionalFormatting>
  <conditionalFormatting sqref="C25">
    <cfRule type="duplicateValues" priority="1145" dxfId="0"/>
  </conditionalFormatting>
  <conditionalFormatting sqref="C26">
    <cfRule type="duplicateValues" priority="1146" dxfId="0"/>
  </conditionalFormatting>
  <conditionalFormatting sqref="C27:C28 C30:C31">
    <cfRule type="duplicateValues" priority="1147" dxfId="0"/>
  </conditionalFormatting>
  <conditionalFormatting sqref="C29">
    <cfRule type="duplicateValues" priority="1152" dxfId="0"/>
  </conditionalFormatting>
  <conditionalFormatting sqref="C32:C33">
    <cfRule type="duplicateValues" priority="1151" dxfId="0"/>
  </conditionalFormatting>
  <conditionalFormatting sqref="C37">
    <cfRule type="duplicateValues" priority="1250" dxfId="0"/>
  </conditionalFormatting>
  <conditionalFormatting sqref="C45">
    <cfRule type="duplicateValues" priority="1149" dxfId="0"/>
  </conditionalFormatting>
  <conditionalFormatting sqref="C54">
    <cfRule type="duplicateValues" priority="19" dxfId="0"/>
  </conditionalFormatting>
  <conditionalFormatting sqref="C55">
    <cfRule type="duplicateValues" priority="21" dxfId="0"/>
  </conditionalFormatting>
  <conditionalFormatting sqref="C58">
    <cfRule type="duplicateValues" priority="36" dxfId="0"/>
  </conditionalFormatting>
  <conditionalFormatting sqref="C59">
    <cfRule type="duplicateValues" priority="1131" dxfId="0"/>
  </conditionalFormatting>
  <conditionalFormatting sqref="C60">
    <cfRule type="duplicateValues" priority="1132" dxfId="0"/>
  </conditionalFormatting>
  <conditionalFormatting sqref="C64">
    <cfRule type="duplicateValues" priority="458" dxfId="0"/>
  </conditionalFormatting>
  <conditionalFormatting sqref="C65">
    <cfRule type="duplicateValues" priority="457" dxfId="0"/>
  </conditionalFormatting>
  <conditionalFormatting sqref="C66">
    <cfRule type="duplicateValues" priority="459" dxfId="0"/>
  </conditionalFormatting>
  <conditionalFormatting sqref="C67">
    <cfRule type="duplicateValues" priority="1157" dxfId="0"/>
  </conditionalFormatting>
  <conditionalFormatting sqref="C68">
    <cfRule type="duplicateValues" priority="1165" dxfId="0"/>
  </conditionalFormatting>
  <conditionalFormatting sqref="C69">
    <cfRule type="duplicateValues" priority="1118" dxfId="0"/>
  </conditionalFormatting>
  <conditionalFormatting sqref="C73">
    <cfRule type="duplicateValues" priority="454" dxfId="0"/>
  </conditionalFormatting>
  <conditionalFormatting sqref="C74">
    <cfRule type="duplicateValues" priority="453" dxfId="0"/>
  </conditionalFormatting>
  <conditionalFormatting sqref="C75">
    <cfRule type="duplicateValues" priority="455" dxfId="0"/>
  </conditionalFormatting>
  <conditionalFormatting sqref="C76">
    <cfRule type="duplicateValues" priority="1159" dxfId="0"/>
  </conditionalFormatting>
  <conditionalFormatting sqref="C77">
    <cfRule type="duplicateValues" priority="1167" dxfId="0"/>
  </conditionalFormatting>
  <conditionalFormatting sqref="C78">
    <cfRule type="duplicateValues" priority="1120" dxfId="0"/>
  </conditionalFormatting>
  <conditionalFormatting sqref="C82:C84">
    <cfRule type="duplicateValues" priority="451" dxfId="0"/>
  </conditionalFormatting>
  <conditionalFormatting sqref="C85">
    <cfRule type="duplicateValues" priority="1161" dxfId="0"/>
  </conditionalFormatting>
  <conditionalFormatting sqref="C86">
    <cfRule type="duplicateValues" priority="1163" dxfId="0"/>
  </conditionalFormatting>
  <conditionalFormatting sqref="C87">
    <cfRule type="duplicateValues" priority="1168" dxfId="0"/>
  </conditionalFormatting>
  <conditionalFormatting sqref="C92:C93">
    <cfRule type="duplicateValues" priority="4" dxfId="0"/>
  </conditionalFormatting>
  <conditionalFormatting sqref="C95">
    <cfRule type="duplicateValues" priority="13" dxfId="0"/>
  </conditionalFormatting>
  <conditionalFormatting sqref="C111">
    <cfRule type="duplicateValues" priority="1154" dxfId="0"/>
  </conditionalFormatting>
  <conditionalFormatting sqref="C113">
    <cfRule type="duplicateValues" priority="1153" dxfId="0"/>
  </conditionalFormatting>
  <conditionalFormatting sqref="C114:C116">
    <cfRule type="duplicateValues" priority="1124" dxfId="0"/>
  </conditionalFormatting>
  <conditionalFormatting sqref="C121">
    <cfRule type="duplicateValues" priority="1155" dxfId="0"/>
  </conditionalFormatting>
  <conditionalFormatting sqref="C162">
    <cfRule type="duplicateValues" priority="1125" dxfId="0"/>
  </conditionalFormatting>
  <conditionalFormatting sqref="C168">
    <cfRule type="duplicateValues" priority="243" dxfId="0"/>
  </conditionalFormatting>
  <conditionalFormatting sqref="C174">
    <cfRule type="duplicateValues" priority="1126" dxfId="0"/>
  </conditionalFormatting>
  <conditionalFormatting sqref="C175">
    <cfRule type="duplicateValues" priority="1127" dxfId="0"/>
  </conditionalFormatting>
  <conditionalFormatting sqref="C177">
    <cfRule type="duplicateValues" priority="1128" dxfId="0"/>
  </conditionalFormatting>
  <conditionalFormatting sqref="C179">
    <cfRule type="duplicateValues" priority="1129" dxfId="0"/>
  </conditionalFormatting>
  <conditionalFormatting sqref="C192">
    <cfRule type="duplicateValues" priority="1130" dxfId="0"/>
  </conditionalFormatting>
  <conditionalFormatting sqref="C202">
    <cfRule type="duplicateValues" priority="1141" dxfId="0"/>
  </conditionalFormatting>
  <conditionalFormatting sqref="C206">
    <cfRule type="duplicateValues" priority="1144" dxfId="0"/>
  </conditionalFormatting>
  <conditionalFormatting sqref="C207">
    <cfRule type="duplicateValues" priority="1142" dxfId="0"/>
  </conditionalFormatting>
  <conditionalFormatting sqref="C208">
    <cfRule type="duplicateValues" priority="1143" dxfId="0"/>
  </conditionalFormatting>
  <conditionalFormatting sqref="C209:C210">
    <cfRule type="duplicateValues" priority="10" dxfId="0"/>
  </conditionalFormatting>
  <conditionalFormatting sqref="C213:C214">
    <cfRule type="duplicateValues" priority="1" dxfId="0"/>
  </conditionalFormatting>
  <conditionalFormatting sqref="D25:D33">
    <cfRule type="expression" priority="39" dxfId="32" stopIfTrue="1">
      <formula>OR($A25="audio", $A25="video")</formula>
    </cfRule>
    <cfRule type="expression" priority="40" dxfId="31" stopIfTrue="1">
      <formula>$A25="image"</formula>
    </cfRule>
    <cfRule type="expression" priority="41" dxfId="30" stopIfTrue="1">
      <formula>$A25="image"</formula>
    </cfRule>
    <cfRule type="expression" priority="42" dxfId="29" stopIfTrue="1">
      <formula>OR($A25="date", $A25="datetime")</formula>
    </cfRule>
    <cfRule type="expression" priority="43" dxfId="28" stopIfTrue="1">
      <formula>OR($A25="date", $A25="datetime")</formula>
    </cfRule>
    <cfRule type="expression" priority="45" dxfId="26" stopIfTrue="1">
      <formula>$A25="note"</formula>
    </cfRule>
    <cfRule type="expression" priority="46" dxfId="5" stopIfTrue="1">
      <formula>$A25="note"</formula>
    </cfRule>
    <cfRule type="expression" priority="47" dxfId="25" stopIfTrue="1">
      <formula>$A25="barcode"</formula>
    </cfRule>
    <cfRule type="expression" priority="48" dxfId="24" stopIfTrue="1">
      <formula>$A25="barcode"</formula>
    </cfRule>
    <cfRule type="expression" priority="49" dxfId="23" stopIfTrue="1">
      <formula>$A25="geopoint"</formula>
    </cfRule>
    <cfRule type="expression" priority="50" dxfId="22" stopIfTrue="1">
      <formula>$A25="geopoint"</formula>
    </cfRule>
    <cfRule type="expression" priority="51" dxfId="21" stopIfTrue="1">
      <formula>OR($A25="audio audit", $A25="text audit")</formula>
    </cfRule>
    <cfRule type="expression" priority="52" dxfId="20" stopIfTrue="1">
      <formula>OR($A25="username", $A25="phonenumber", $A25="start", $A25="end", $A25="deviceid", $A25="subscriberid", $A25="simserial")</formula>
    </cfRule>
    <cfRule type="expression" priority="53" dxfId="19" stopIfTrue="1">
      <formula>OR(AND(LEFT($A25, 16)="select_multiple ", LEN($A25)&gt;16, NOT(ISNUMBER(SEARCH(" ", $A25, 17)))), AND(LEFT($A25, 11)="select_one ", LEN($A25)&gt;11, NOT(ISNUMBER(SEARCH(" ", $A25, 12)))))</formula>
    </cfRule>
    <cfRule type="expression" priority="54" dxfId="13" stopIfTrue="1">
      <formula>OR(AND(LEFT($A25, 16)="select_multiple ", LEN($A25)&gt;16, NOT(ISNUMBER(SEARCH(" ", $A25, 17)))), AND(LEFT($A25, 11)="select_one ", LEN($A25)&gt;11, NOT(ISNUMBER(SEARCH(" ", $A25, 12)))))</formula>
    </cfRule>
    <cfRule type="expression" priority="55" dxfId="18" stopIfTrue="1">
      <formula>$A25="decimal"</formula>
    </cfRule>
    <cfRule type="expression" priority="56" dxfId="17" stopIfTrue="1">
      <formula>$A25="decimal"</formula>
    </cfRule>
    <cfRule type="expression" priority="57" dxfId="16" stopIfTrue="1">
      <formula>$A25="integer"</formula>
    </cfRule>
    <cfRule type="expression" priority="58" dxfId="15" stopIfTrue="1">
      <formula>$A25="integer"</formula>
    </cfRule>
    <cfRule type="expression" priority="59" dxfId="14" stopIfTrue="1">
      <formula>$A25="text"</formula>
    </cfRule>
    <cfRule type="expression" priority="60" dxfId="12" stopIfTrue="1">
      <formula>$A25="text"</formula>
    </cfRule>
    <cfRule type="expression" priority="61" dxfId="9" stopIfTrue="1">
      <formula>$A25="end repeat"</formula>
    </cfRule>
    <cfRule type="expression" priority="62" dxfId="10" stopIfTrue="1">
      <formula>$A25="begin repeat"</formula>
    </cfRule>
    <cfRule type="expression" priority="63" dxfId="9" stopIfTrue="1">
      <formula>$A25="begin repeat"</formula>
    </cfRule>
    <cfRule type="expression" priority="64" dxfId="6" stopIfTrue="1">
      <formula>$A25="end group"</formula>
    </cfRule>
    <cfRule type="expression" priority="65" dxfId="7" stopIfTrue="1">
      <formula>$A25="begin group"</formula>
    </cfRule>
    <cfRule type="expression" priority="66" dxfId="6" stopIfTrue="1">
      <formula>$A25="begin group"</formula>
    </cfRule>
    <cfRule type="expression" priority="44" dxfId="27" stopIfTrue="1">
      <formula>OR($A25="calculate", $A25="calculate_here")</formula>
    </cfRule>
    <cfRule type="expression" priority="38" dxfId="4" stopIfTrue="1">
      <formula>OR($A25="audio", $A25="video")</formula>
    </cfRule>
  </conditionalFormatting>
  <conditionalFormatting sqref="D41">
    <cfRule type="cellIs" priority="811" operator="notEqual" dxfId="0">
      <formula>$D$41</formula>
    </cfRule>
  </conditionalFormatting>
  <conditionalFormatting sqref="D224:D225">
    <cfRule type="expression" priority="156" dxfId="31" stopIfTrue="1">
      <formula>$A224="image"</formula>
    </cfRule>
    <cfRule type="expression" priority="157" dxfId="30" stopIfTrue="1">
      <formula>$A224="image"</formula>
    </cfRule>
    <cfRule type="expression" priority="158" dxfId="29" stopIfTrue="1">
      <formula>OR($A224="date", $A224="datetime")</formula>
    </cfRule>
    <cfRule type="expression" priority="159" dxfId="28" stopIfTrue="1">
      <formula>OR($A224="date", $A224="datetime")</formula>
    </cfRule>
    <cfRule type="expression" priority="160" dxfId="27" stopIfTrue="1">
      <formula>OR($A224="calculate", $A224="calculate_here")</formula>
    </cfRule>
    <cfRule type="expression" priority="161" dxfId="26" stopIfTrue="1">
      <formula>$A224="note"</formula>
    </cfRule>
    <cfRule type="expression" priority="182" dxfId="6" stopIfTrue="1">
      <formula>$A224="begin group"</formula>
    </cfRule>
    <cfRule type="expression" priority="181" dxfId="7" stopIfTrue="1">
      <formula>$A224="begin group"</formula>
    </cfRule>
    <cfRule type="expression" priority="180" dxfId="6" stopIfTrue="1">
      <formula>$A224="end group"</formula>
    </cfRule>
    <cfRule type="expression" priority="179" dxfId="9" stopIfTrue="1">
      <formula>$A224="begin repeat"</formula>
    </cfRule>
    <cfRule type="expression" priority="178" dxfId="10" stopIfTrue="1">
      <formula>$A224="begin repeat"</formula>
    </cfRule>
    <cfRule type="expression" priority="172" dxfId="17" stopIfTrue="1">
      <formula>$A224="decimal"</formula>
    </cfRule>
    <cfRule type="expression" priority="177" dxfId="9" stopIfTrue="1">
      <formula>$A224="end repeat"</formula>
    </cfRule>
    <cfRule type="expression" priority="176" dxfId="12" stopIfTrue="1">
      <formula>$A224="text"</formula>
    </cfRule>
    <cfRule type="expression" priority="175" dxfId="14" stopIfTrue="1">
      <formula>$A224="text"</formula>
    </cfRule>
    <cfRule type="expression" priority="174" dxfId="15" stopIfTrue="1">
      <formula>$A224="integer"</formula>
    </cfRule>
    <cfRule type="expression" priority="173" dxfId="16" stopIfTrue="1">
      <formula>$A224="integer"</formula>
    </cfRule>
    <cfRule type="expression" priority="171" dxfId="18" stopIfTrue="1">
      <formula>$A224="decimal"</formula>
    </cfRule>
    <cfRule type="expression" priority="170" dxfId="13" stopIfTrue="1">
      <formula>OR(AND(LEFT($A224, 16)="select_multiple ", LEN($A224)&gt;16, NOT(ISNUMBER(SEARCH(" ", $A224, 17)))), AND(LEFT($A224, 11)="select_one ", LEN($A224)&gt;11, NOT(ISNUMBER(SEARCH(" ", $A224, 12)))))</formula>
    </cfRule>
    <cfRule type="expression" priority="169" dxfId="19" stopIfTrue="1">
      <formula>OR(AND(LEFT($A224, 16)="select_multiple ", LEN($A224)&gt;16, NOT(ISNUMBER(SEARCH(" ", $A224, 17)))), AND(LEFT($A224, 11)="select_one ", LEN($A224)&gt;11, NOT(ISNUMBER(SEARCH(" ", $A224, 12)))))</formula>
    </cfRule>
    <cfRule type="expression" priority="168" dxfId="20" stopIfTrue="1">
      <formula>OR($A224="username", $A224="phonenumber", $A224="start", $A224="end", $A224="deviceid", $A224="subscriberid", $A224="simserial")</formula>
    </cfRule>
    <cfRule type="expression" priority="167" dxfId="21" stopIfTrue="1">
      <formula>OR($A224="audio audit", $A224="text audit")</formula>
    </cfRule>
    <cfRule type="expression" priority="166" dxfId="22" stopIfTrue="1">
      <formula>$A224="geopoint"</formula>
    </cfRule>
    <cfRule type="expression" priority="165" dxfId="23" stopIfTrue="1">
      <formula>$A224="geopoint"</formula>
    </cfRule>
    <cfRule type="expression" priority="163" dxfId="25" stopIfTrue="1">
      <formula>$A224="barcode"</formula>
    </cfRule>
    <cfRule type="expression" priority="164" dxfId="24" stopIfTrue="1">
      <formula>$A224="barcode"</formula>
    </cfRule>
    <cfRule type="expression" priority="155" dxfId="32" stopIfTrue="1">
      <formula>OR($A224="audio", $A224="video")</formula>
    </cfRule>
    <cfRule type="expression" priority="154" dxfId="4" stopIfTrue="1">
      <formula>OR($A224="audio", $A224="video")</formula>
    </cfRule>
    <cfRule type="expression" priority="162" dxfId="5" stopIfTrue="1">
      <formula>$A224="note"</formula>
    </cfRule>
  </conditionalFormatting>
  <conditionalFormatting sqref="F27">
    <cfRule type="expression" priority="121" dxfId="9" stopIfTrue="1">
      <formula>$A27="begin repeat"</formula>
    </cfRule>
    <cfRule type="expression" priority="120" dxfId="10" stopIfTrue="1">
      <formula>$A27="begin repeat"</formula>
    </cfRule>
    <cfRule type="expression" priority="119" dxfId="9" stopIfTrue="1">
      <formula>$A27="end repeat"</formula>
    </cfRule>
    <cfRule type="expression" priority="118" dxfId="12" stopIfTrue="1">
      <formula>$A27="text"</formula>
    </cfRule>
    <cfRule type="expression" priority="117" dxfId="14" stopIfTrue="1">
      <formula>$A27="text"</formula>
    </cfRule>
    <cfRule type="expression" priority="116" dxfId="15" stopIfTrue="1">
      <formula>$A27="integer"</formula>
    </cfRule>
    <cfRule type="expression" priority="115" dxfId="16" stopIfTrue="1">
      <formula>$A27="integer"</formula>
    </cfRule>
    <cfRule type="expression" priority="114" dxfId="17" stopIfTrue="1">
      <formula>$A27="decimal"</formula>
    </cfRule>
    <cfRule type="expression" priority="113" dxfId="18" stopIfTrue="1">
      <formula>$A27="decimal"</formula>
    </cfRule>
    <cfRule type="expression" priority="112" dxfId="13" stopIfTrue="1">
      <formula>OR(AND(LEFT($A27, 16)="select_multiple ", LEN($A27)&gt;16, NOT(ISNUMBER(SEARCH(" ", $A27, 17)))), AND(LEFT($A27, 11)="select_one ", LEN($A27)&gt;11, NOT(ISNUMBER(SEARCH(" ", $A27, 12)))))</formula>
    </cfRule>
    <cfRule type="expression" priority="111" dxfId="19" stopIfTrue="1">
      <formula>OR(AND(LEFT($A27, 16)="select_multiple ", LEN($A27)&gt;16, NOT(ISNUMBER(SEARCH(" ", $A27, 17)))), AND(LEFT($A27, 11)="select_one ", LEN($A27)&gt;11, NOT(ISNUMBER(SEARCH(" ", $A27, 12)))))</formula>
    </cfRule>
    <cfRule type="expression" priority="110" dxfId="20" stopIfTrue="1">
      <formula>OR($A27="username", $A27="phonenumber", $A27="start", $A27="end", $A27="deviceid", $A27="subscriberid", $A27="simserial")</formula>
    </cfRule>
    <cfRule type="expression" priority="109" dxfId="21" stopIfTrue="1">
      <formula>OR($A27="audio audit", $A27="text audit")</formula>
    </cfRule>
    <cfRule type="expression" priority="108" dxfId="22" stopIfTrue="1">
      <formula>$A27="geopoint"</formula>
    </cfRule>
    <cfRule type="expression" priority="107" dxfId="23" stopIfTrue="1">
      <formula>$A27="geopoint"</formula>
    </cfRule>
    <cfRule type="expression" priority="106" dxfId="24" stopIfTrue="1">
      <formula>$A27="barcode"</formula>
    </cfRule>
    <cfRule type="expression" priority="105" dxfId="25" stopIfTrue="1">
      <formula>$A27="barcode"</formula>
    </cfRule>
    <cfRule type="expression" priority="104" dxfId="5" stopIfTrue="1">
      <formula>$A27="note"</formula>
    </cfRule>
    <cfRule type="expression" priority="103" dxfId="26" stopIfTrue="1">
      <formula>$A27="note"</formula>
    </cfRule>
    <cfRule type="expression" priority="102" dxfId="27" stopIfTrue="1">
      <formula>OR($A27="calculate", $A27="calculate_here")</formula>
    </cfRule>
    <cfRule type="expression" priority="101" dxfId="28" stopIfTrue="1">
      <formula>OR($A27="date", $A27="datetime")</formula>
    </cfRule>
    <cfRule type="expression" priority="100" dxfId="29" stopIfTrue="1">
      <formula>OR($A27="date", $A27="datetime")</formula>
    </cfRule>
    <cfRule type="expression" priority="99" dxfId="30" stopIfTrue="1">
      <formula>$A27="image"</formula>
    </cfRule>
    <cfRule type="expression" priority="98" dxfId="31" stopIfTrue="1">
      <formula>$A27="image"</formula>
    </cfRule>
    <cfRule type="expression" priority="97" dxfId="32" stopIfTrue="1">
      <formula>OR($A27="audio", $A27="video")</formula>
    </cfRule>
    <cfRule type="expression" priority="96" dxfId="4" stopIfTrue="1">
      <formula>OR($A27="audio", $A27="video")</formula>
    </cfRule>
    <cfRule type="expression" priority="124" dxfId="6" stopIfTrue="1">
      <formula>$A27="begin group"</formula>
    </cfRule>
    <cfRule type="expression" priority="123" dxfId="7" stopIfTrue="1">
      <formula>$A27="begin group"</formula>
    </cfRule>
    <cfRule type="expression" priority="122" dxfId="6" stopIfTrue="1">
      <formula>$A27="end group"</formula>
    </cfRule>
  </conditionalFormatting>
  <conditionalFormatting sqref="F30">
    <cfRule type="expression" priority="126" dxfId="32" stopIfTrue="1">
      <formula>OR($A30="audio", $A30="video")</formula>
    </cfRule>
    <cfRule type="expression" priority="127" dxfId="31" stopIfTrue="1">
      <formula>$A30="image"</formula>
    </cfRule>
    <cfRule type="expression" priority="128" dxfId="30" stopIfTrue="1">
      <formula>$A30="image"</formula>
    </cfRule>
    <cfRule type="expression" priority="129" dxfId="29" stopIfTrue="1">
      <formula>OR($A30="date", $A30="datetime")</formula>
    </cfRule>
    <cfRule type="expression" priority="130" dxfId="28" stopIfTrue="1">
      <formula>OR($A30="date", $A30="datetime")</formula>
    </cfRule>
    <cfRule type="expression" priority="131" dxfId="27" stopIfTrue="1">
      <formula>OR($A30="calculate", $A30="calculate_here")</formula>
    </cfRule>
    <cfRule type="expression" priority="132" dxfId="26" stopIfTrue="1">
      <formula>$A30="note"</formula>
    </cfRule>
    <cfRule type="expression" priority="134" dxfId="25" stopIfTrue="1">
      <formula>$A30="barcode"</formula>
    </cfRule>
    <cfRule type="expression" priority="135" dxfId="24" stopIfTrue="1">
      <formula>$A30="barcode"</formula>
    </cfRule>
    <cfRule type="expression" priority="136" dxfId="23" stopIfTrue="1">
      <formula>$A30="geopoint"</formula>
    </cfRule>
    <cfRule type="expression" priority="137" dxfId="22" stopIfTrue="1">
      <formula>$A30="geopoint"</formula>
    </cfRule>
    <cfRule type="expression" priority="138" dxfId="21" stopIfTrue="1">
      <formula>OR($A30="audio audit", $A30="text audit")</formula>
    </cfRule>
    <cfRule type="expression" priority="139" dxfId="20" stopIfTrue="1">
      <formula>OR($A30="username", $A30="phonenumber", $A30="start", $A30="end", $A30="deviceid", $A30="subscriberid", $A30="simserial")</formula>
    </cfRule>
    <cfRule type="expression" priority="140" dxfId="19" stopIfTrue="1">
      <formula>OR(AND(LEFT($A30, 16)="select_multiple ", LEN($A30)&gt;16, NOT(ISNUMBER(SEARCH(" ", $A30, 17)))), AND(LEFT($A30, 11)="select_one ", LEN($A30)&gt;11, NOT(ISNUMBER(SEARCH(" ", $A30, 12)))))</formula>
    </cfRule>
    <cfRule type="expression" priority="142" dxfId="18" stopIfTrue="1">
      <formula>$A30="decimal"</formula>
    </cfRule>
    <cfRule type="expression" priority="143" dxfId="17" stopIfTrue="1">
      <formula>$A30="decimal"</formula>
    </cfRule>
    <cfRule type="expression" priority="144" dxfId="16" stopIfTrue="1">
      <formula>$A30="integer"</formula>
    </cfRule>
    <cfRule type="expression" priority="145" dxfId="15" stopIfTrue="1">
      <formula>$A30="integer"</formula>
    </cfRule>
    <cfRule type="expression" priority="146" dxfId="14" stopIfTrue="1">
      <formula>$A30="text"</formula>
    </cfRule>
    <cfRule type="expression" priority="141" dxfId="13" stopIfTrue="1">
      <formula>OR(AND(LEFT($A30, 16)="select_multiple ", LEN($A30)&gt;16, NOT(ISNUMBER(SEARCH(" ", $A30, 17)))), AND(LEFT($A30, 11)="select_one ", LEN($A30)&gt;11, NOT(ISNUMBER(SEARCH(" ", $A30, 12)))))</formula>
    </cfRule>
    <cfRule type="expression" priority="147" dxfId="12" stopIfTrue="1">
      <formula>$A30="text"</formula>
    </cfRule>
    <cfRule type="expression" priority="148" dxfId="9" stopIfTrue="1">
      <formula>$A30="end repeat"</formula>
    </cfRule>
    <cfRule type="expression" priority="149" dxfId="10" stopIfTrue="1">
      <formula>$A30="begin repeat"</formula>
    </cfRule>
    <cfRule type="expression" priority="150" dxfId="9" stopIfTrue="1">
      <formula>$A30="begin repeat"</formula>
    </cfRule>
    <cfRule type="expression" priority="151" dxfId="6" stopIfTrue="1">
      <formula>$A30="end group"</formula>
    </cfRule>
    <cfRule type="expression" priority="152" dxfId="7" stopIfTrue="1">
      <formula>$A30="begin group"</formula>
    </cfRule>
    <cfRule type="expression" priority="153" dxfId="6" stopIfTrue="1">
      <formula>$A30="begin group"</formula>
    </cfRule>
    <cfRule type="expression" priority="133" dxfId="5" stopIfTrue="1">
      <formula>$A30="note"</formula>
    </cfRule>
    <cfRule type="expression" priority="125" dxfId="4" stopIfTrue="1">
      <formula>OR($A30="audio", $A30="video")</formula>
    </cfRule>
  </conditionalFormatting>
  <conditionalFormatting sqref="M54">
    <cfRule type="duplicateValues" priority="18" dxfId="0"/>
  </conditionalFormatting>
  <conditionalFormatting sqref="M95">
    <cfRule type="duplicateValues" priority="14"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08984375" customWidth="1" style="2" min="3" max="3"/>
    <col hidden="1" width="10.453125" customWidth="1" style="236" min="4" max="4"/>
    <col width="10.453125" customWidth="1" style="236" min="5" max="5"/>
    <col width="41.453125" customWidth="1" style="1" min="6" max="6"/>
    <col width="46.453125" customWidth="1" style="368" min="7" max="7"/>
    <col width="10.453125" customWidth="1" style="1" min="8" max="14"/>
    <col width="10.453125" customWidth="1" style="1" min="15" max="16384"/>
  </cols>
  <sheetData>
    <row r="2">
      <c r="C2" s="4" t="n"/>
      <c r="D2" s="234" t="n"/>
      <c r="E2" s="234" t="n"/>
      <c r="F2" s="5" t="n"/>
      <c r="G2" s="366" t="n"/>
    </row>
    <row r="3" ht="29.15" customHeight="1">
      <c r="B3" s="3" t="n"/>
      <c r="C3" s="639" t="inlineStr">
        <is>
          <t xml:space="preserve">Select top 10 crops </t>
        </is>
      </c>
      <c r="D3" s="640" t="inlineStr">
        <is>
          <t>GeoPoll code</t>
        </is>
      </c>
      <c r="E3" s="640" t="inlineStr">
        <is>
          <t>Dataset code</t>
        </is>
      </c>
      <c r="F3" s="640" t="inlineStr">
        <is>
          <t>Label (EN)</t>
        </is>
      </c>
      <c r="G3" s="639" t="inlineStr">
        <is>
          <t>Label (AR)</t>
        </is>
      </c>
    </row>
    <row r="4" ht="15.65" customHeight="1">
      <c r="B4" s="3" t="n"/>
      <c r="C4" s="641" t="n"/>
      <c r="D4" s="642">
        <f t="array" ref="D4:D93">_xlfn.SEQUENCE(90,1,1,1)</f>
        <v/>
      </c>
      <c r="E4" s="643" t="inlineStr">
        <is>
          <t>1.1</t>
        </is>
      </c>
      <c r="F4" s="642" t="inlineStr">
        <is>
          <t>Rice</t>
        </is>
      </c>
      <c r="G4" s="644" t="inlineStr">
        <is>
          <t>الرز</t>
        </is>
      </c>
    </row>
    <row r="5" ht="15.65" customHeight="1">
      <c r="B5" s="3" t="n"/>
      <c r="C5" s="641" t="inlineStr">
        <is>
          <t>x</t>
        </is>
      </c>
      <c r="D5" s="642" t="n">
        <v>2</v>
      </c>
      <c r="E5" s="643" t="inlineStr">
        <is>
          <t>1.2</t>
        </is>
      </c>
      <c r="F5" s="642" t="inlineStr">
        <is>
          <t>Wheat</t>
        </is>
      </c>
      <c r="G5" s="369" t="inlineStr">
        <is>
          <t>القمح</t>
        </is>
      </c>
    </row>
    <row r="6" ht="15.65" customHeight="1">
      <c r="B6" s="3" t="n"/>
      <c r="C6" s="641" t="inlineStr">
        <is>
          <t>x</t>
        </is>
      </c>
      <c r="D6" s="642" t="n">
        <v>3</v>
      </c>
      <c r="E6" s="643" t="inlineStr">
        <is>
          <t>1.3</t>
        </is>
      </c>
      <c r="F6" s="642" t="inlineStr">
        <is>
          <t>Millet</t>
        </is>
      </c>
      <c r="G6" s="369" t="inlineStr">
        <is>
          <t>الدخن</t>
        </is>
      </c>
    </row>
    <row r="7" ht="15.65" customHeight="1">
      <c r="B7" s="3" t="n"/>
      <c r="C7" s="641" t="inlineStr">
        <is>
          <t>x</t>
        </is>
      </c>
      <c r="D7" s="642" t="n">
        <v>4</v>
      </c>
      <c r="E7" s="643" t="inlineStr">
        <is>
          <t>1.4</t>
        </is>
      </c>
      <c r="F7" s="642" t="inlineStr">
        <is>
          <t>Sorghum</t>
        </is>
      </c>
      <c r="G7" s="369" t="inlineStr">
        <is>
          <t>الذرة الرفيعة</t>
        </is>
      </c>
    </row>
    <row r="8" ht="15.65" customHeight="1">
      <c r="B8" s="3" t="n"/>
      <c r="C8" s="641" t="n"/>
      <c r="D8" s="642" t="n">
        <v>5</v>
      </c>
      <c r="E8" s="643" t="inlineStr">
        <is>
          <t>1.5</t>
        </is>
      </c>
      <c r="F8" s="642" t="inlineStr">
        <is>
          <t>Maize</t>
        </is>
      </c>
      <c r="G8" s="369" t="inlineStr">
        <is>
          <t>الذرة</t>
        </is>
      </c>
    </row>
    <row r="9" ht="15.65" customHeight="1">
      <c r="B9" s="3" t="n"/>
      <c r="C9" s="641" t="n"/>
      <c r="D9" s="642" t="n">
        <v>6</v>
      </c>
      <c r="E9" s="643" t="inlineStr">
        <is>
          <t>1.6</t>
        </is>
      </c>
      <c r="F9" s="642" t="inlineStr">
        <is>
          <t>Barley</t>
        </is>
      </c>
      <c r="G9" s="369" t="inlineStr">
        <is>
          <t>الشعير</t>
        </is>
      </c>
    </row>
    <row r="10" ht="15.65" customHeight="1">
      <c r="B10" s="3" t="n"/>
      <c r="C10" s="645" t="n"/>
      <c r="D10" s="642" t="n">
        <v>7</v>
      </c>
      <c r="E10" s="643" t="inlineStr">
        <is>
          <t>1.99</t>
        </is>
      </c>
      <c r="F10" s="646" t="inlineStr">
        <is>
          <t>Other Cereal</t>
        </is>
      </c>
      <c r="G10" s="370" t="inlineStr">
        <is>
          <t>الحبوب الأخرى</t>
        </is>
      </c>
    </row>
    <row r="11" ht="15.65" customHeight="1">
      <c r="B11" s="3" t="n"/>
      <c r="C11" s="641" t="n"/>
      <c r="D11" s="642" t="n">
        <v>8</v>
      </c>
      <c r="E11" s="643" t="inlineStr">
        <is>
          <t>2.1</t>
        </is>
      </c>
      <c r="F11" s="642" t="inlineStr">
        <is>
          <t>Cassava</t>
        </is>
      </c>
      <c r="G11" s="369" t="inlineStr">
        <is>
          <t>الكسافا</t>
        </is>
      </c>
    </row>
    <row r="12" ht="15.65" customHeight="1">
      <c r="B12" s="3" t="n"/>
      <c r="C12" s="641" t="inlineStr">
        <is>
          <t>x</t>
        </is>
      </c>
      <c r="D12" s="642" t="n">
        <v>9</v>
      </c>
      <c r="E12" s="643" t="inlineStr">
        <is>
          <t>2.2</t>
        </is>
      </c>
      <c r="F12" s="642" t="inlineStr">
        <is>
          <t>Potatoe</t>
        </is>
      </c>
      <c r="G12" s="369" t="inlineStr">
        <is>
          <t>البطاطا</t>
        </is>
      </c>
    </row>
    <row r="13" ht="15.65" customHeight="1">
      <c r="B13" s="3" t="n"/>
      <c r="C13" s="641" t="n"/>
      <c r="D13" s="642" t="n">
        <v>10</v>
      </c>
      <c r="E13" s="643" t="inlineStr">
        <is>
          <t>2.3</t>
        </is>
      </c>
      <c r="F13" s="642" t="inlineStr">
        <is>
          <t>Sweet Potatoes</t>
        </is>
      </c>
      <c r="G13" s="369" t="inlineStr">
        <is>
          <t>البطاطا الحلوة</t>
        </is>
      </c>
    </row>
    <row r="14" ht="15.65" customHeight="1">
      <c r="B14" s="3" t="n"/>
      <c r="C14" s="641" t="n"/>
      <c r="D14" s="642" t="n">
        <v>11</v>
      </c>
      <c r="E14" s="643" t="inlineStr">
        <is>
          <t>2.4</t>
        </is>
      </c>
      <c r="F14" s="642" t="inlineStr">
        <is>
          <t>Yams</t>
        </is>
      </c>
      <c r="G14" s="369" t="inlineStr">
        <is>
          <t>اليام</t>
        </is>
      </c>
    </row>
    <row r="15" ht="15.65" customHeight="1">
      <c r="B15" s="3" t="n"/>
      <c r="C15" s="641" t="n"/>
      <c r="D15" s="642" t="n">
        <v>12</v>
      </c>
      <c r="E15" s="643" t="inlineStr">
        <is>
          <t>2.5</t>
        </is>
      </c>
      <c r="F15" s="642" t="inlineStr">
        <is>
          <t>Carrots</t>
        </is>
      </c>
      <c r="G15" s="369" t="inlineStr">
        <is>
          <t>الجزر</t>
        </is>
      </c>
    </row>
    <row r="16" ht="15.65" customHeight="1">
      <c r="B16" s="3" t="n"/>
      <c r="C16" s="641" t="n"/>
      <c r="D16" s="642" t="n">
        <v>13</v>
      </c>
      <c r="E16" s="643" t="inlineStr">
        <is>
          <t>2.6</t>
        </is>
      </c>
      <c r="F16" s="642" t="inlineStr">
        <is>
          <t>Cocoyam</t>
        </is>
      </c>
      <c r="G16" s="369" t="inlineStr">
        <is>
          <t>القلقاس</t>
        </is>
      </c>
    </row>
    <row r="17" ht="15.65" customHeight="1">
      <c r="B17" s="3" t="n"/>
      <c r="C17" s="645" t="n"/>
      <c r="D17" s="642" t="n">
        <v>14</v>
      </c>
      <c r="E17" s="643" t="inlineStr">
        <is>
          <t>2.99</t>
        </is>
      </c>
      <c r="F17" s="646" t="inlineStr">
        <is>
          <t>Other tubers</t>
        </is>
      </c>
      <c r="G17" s="370" t="inlineStr">
        <is>
          <t>الدرنات الأخرى</t>
        </is>
      </c>
    </row>
    <row r="18" ht="15.65" customHeight="1">
      <c r="B18" s="3" t="n"/>
      <c r="C18" s="641" t="n"/>
      <c r="D18" s="642" t="n">
        <v>15</v>
      </c>
      <c r="E18" s="643" t="inlineStr">
        <is>
          <t>3.1</t>
        </is>
      </c>
      <c r="F18" s="642" t="inlineStr">
        <is>
          <t>Beans</t>
        </is>
      </c>
      <c r="G18" s="369" t="inlineStr">
        <is>
          <t>الفاصوليا</t>
        </is>
      </c>
    </row>
    <row r="19" ht="15.65" customHeight="1">
      <c r="B19" s="3" t="n"/>
      <c r="C19" s="641" t="inlineStr">
        <is>
          <t>x</t>
        </is>
      </c>
      <c r="D19" s="642" t="n">
        <v>16</v>
      </c>
      <c r="E19" s="643" t="inlineStr">
        <is>
          <t>3.2</t>
        </is>
      </c>
      <c r="F19" s="642" t="inlineStr">
        <is>
          <t>Lentils</t>
        </is>
      </c>
      <c r="G19" s="369" t="inlineStr">
        <is>
          <t>العدس</t>
        </is>
      </c>
    </row>
    <row r="20" ht="15.65" customHeight="1">
      <c r="B20" s="3" t="n"/>
      <c r="C20" s="641" t="n"/>
      <c r="D20" s="642" t="n">
        <v>17</v>
      </c>
      <c r="E20" s="643" t="inlineStr">
        <is>
          <t>3.3</t>
        </is>
      </c>
      <c r="F20" s="642" t="inlineStr">
        <is>
          <t>Peas</t>
        </is>
      </c>
      <c r="G20" s="369" t="inlineStr">
        <is>
          <t>البازيلاء</t>
        </is>
      </c>
    </row>
    <row r="21" ht="15.65" customHeight="1">
      <c r="B21" s="3" t="n"/>
      <c r="C21" s="641" t="n"/>
      <c r="D21" s="642" t="n">
        <v>18</v>
      </c>
      <c r="E21" s="643" t="inlineStr">
        <is>
          <t>3.4</t>
        </is>
      </c>
      <c r="F21" s="642" t="inlineStr">
        <is>
          <t>Soybeans</t>
        </is>
      </c>
      <c r="G21" s="369" t="inlineStr">
        <is>
          <t>فول الصويا</t>
        </is>
      </c>
    </row>
    <row r="22" ht="15.65" customHeight="1">
      <c r="B22" s="3" t="n"/>
      <c r="C22" s="641" t="n"/>
      <c r="D22" s="642" t="n">
        <v>19</v>
      </c>
      <c r="E22" s="643" t="inlineStr">
        <is>
          <t>3.5</t>
        </is>
      </c>
      <c r="F22" s="642" t="inlineStr">
        <is>
          <t>Chickpeas</t>
        </is>
      </c>
      <c r="G22" s="369" t="inlineStr">
        <is>
          <t>الحمص</t>
        </is>
      </c>
    </row>
    <row r="23" ht="15.65" customHeight="1">
      <c r="B23" s="3" t="n"/>
      <c r="C23" s="641" t="n"/>
      <c r="D23" s="642" t="n">
        <v>20</v>
      </c>
      <c r="E23" s="643" t="inlineStr">
        <is>
          <t>3.6</t>
        </is>
      </c>
      <c r="F23" s="642" t="inlineStr">
        <is>
          <t>Fava beans</t>
        </is>
      </c>
      <c r="G23" s="369" t="inlineStr">
        <is>
          <t>الفول</t>
        </is>
      </c>
    </row>
    <row r="24" ht="15.65" customHeight="1">
      <c r="B24" s="3" t="n"/>
      <c r="C24" s="641" t="n"/>
      <c r="D24" s="642" t="n">
        <v>21</v>
      </c>
      <c r="E24" s="643" t="inlineStr">
        <is>
          <t>3.7</t>
        </is>
      </c>
      <c r="F24" s="642" t="inlineStr">
        <is>
          <t>Broad beans</t>
        </is>
      </c>
      <c r="G24" s="369" t="inlineStr">
        <is>
          <t>الفاصوليا العريضة</t>
        </is>
      </c>
    </row>
    <row r="25" ht="15.65" customHeight="1">
      <c r="B25" s="3" t="n"/>
      <c r="C25" s="645" t="n"/>
      <c r="D25" s="642" t="n">
        <v>22</v>
      </c>
      <c r="E25" s="643" t="inlineStr">
        <is>
          <t>3.99</t>
        </is>
      </c>
      <c r="F25" s="646" t="inlineStr">
        <is>
          <t>Other pulses</t>
        </is>
      </c>
      <c r="G25" s="370" t="inlineStr">
        <is>
          <t>البقول الاخرى</t>
        </is>
      </c>
    </row>
    <row r="26" ht="15.65" customHeight="1">
      <c r="B26" s="3" t="n"/>
      <c r="C26" s="641" t="n"/>
      <c r="D26" s="642" t="n">
        <v>23</v>
      </c>
      <c r="E26" s="643" t="inlineStr">
        <is>
          <t>4.1</t>
        </is>
      </c>
      <c r="F26" s="642" t="inlineStr">
        <is>
          <t>Cabbage</t>
        </is>
      </c>
      <c r="G26" s="369" t="inlineStr">
        <is>
          <t>الملفوف</t>
        </is>
      </c>
    </row>
    <row r="27" ht="15.65" customHeight="1">
      <c r="B27" s="3" t="n"/>
      <c r="C27" s="641" t="n"/>
      <c r="D27" s="642" t="n">
        <v>24</v>
      </c>
      <c r="E27" s="643" t="inlineStr">
        <is>
          <t>4.2</t>
        </is>
      </c>
      <c r="F27" s="642" t="inlineStr">
        <is>
          <t>Lettuce</t>
        </is>
      </c>
      <c r="G27" s="369" t="inlineStr">
        <is>
          <t>الخس</t>
        </is>
      </c>
    </row>
    <row r="28" ht="15.65" customHeight="1">
      <c r="B28" s="3" t="n"/>
      <c r="C28" s="641" t="n"/>
      <c r="D28" s="642" t="n">
        <v>25</v>
      </c>
      <c r="E28" s="643" t="inlineStr">
        <is>
          <t>4.3</t>
        </is>
      </c>
      <c r="F28" s="642" t="inlineStr">
        <is>
          <t>Spinach-Amaranth</t>
        </is>
      </c>
      <c r="G28" s="369" t="inlineStr">
        <is>
          <t>السبانخ - القطيفة</t>
        </is>
      </c>
    </row>
    <row r="29" ht="15.65" customHeight="1">
      <c r="B29" s="3" t="n"/>
      <c r="C29" s="641" t="n"/>
      <c r="D29" s="642" t="n">
        <v>26</v>
      </c>
      <c r="E29" s="643" t="inlineStr">
        <is>
          <t>4.4</t>
        </is>
      </c>
      <c r="F29" s="642" t="inlineStr">
        <is>
          <t>Cassava leaves</t>
        </is>
      </c>
      <c r="G29" s="369" t="inlineStr">
        <is>
          <t>أوراق الكسافا</t>
        </is>
      </c>
    </row>
    <row r="30" ht="15.65" customHeight="1">
      <c r="B30" s="3" t="n"/>
      <c r="C30" s="641" t="n"/>
      <c r="D30" s="642" t="n">
        <v>27</v>
      </c>
      <c r="E30" s="643" t="inlineStr">
        <is>
          <t>4.5</t>
        </is>
      </c>
      <c r="F30" s="642" t="inlineStr">
        <is>
          <t>Potatoe leaves</t>
        </is>
      </c>
      <c r="G30" s="369" t="inlineStr">
        <is>
          <t>أوراق البطاطا</t>
        </is>
      </c>
    </row>
    <row r="31" ht="15.65" customHeight="1">
      <c r="B31" s="3" t="n"/>
      <c r="C31" s="641" t="n"/>
      <c r="D31" s="642" t="n">
        <v>28</v>
      </c>
      <c r="E31" s="643" t="inlineStr">
        <is>
          <t>4.6</t>
        </is>
      </c>
      <c r="F31" s="642" t="inlineStr">
        <is>
          <t>Moringa</t>
        </is>
      </c>
      <c r="G31" s="369" t="inlineStr">
        <is>
          <t>المورينجا</t>
        </is>
      </c>
    </row>
    <row r="32" ht="15.65" customHeight="1">
      <c r="B32" s="3" t="n"/>
      <c r="C32" s="641" t="n"/>
      <c r="D32" s="642" t="n">
        <v>29</v>
      </c>
      <c r="E32" s="643" t="inlineStr">
        <is>
          <t>4.7</t>
        </is>
      </c>
      <c r="F32" s="642" t="inlineStr">
        <is>
          <t>Sorrel Hibiscus / Rosselle</t>
        </is>
      </c>
      <c r="G32" s="369" t="inlineStr">
        <is>
          <t>الكركديه</t>
        </is>
      </c>
    </row>
    <row r="33" ht="15.65" customHeight="1">
      <c r="B33" s="3" t="n"/>
      <c r="C33" s="641" t="n"/>
      <c r="D33" s="642" t="n">
        <v>30</v>
      </c>
      <c r="E33" s="643" t="inlineStr">
        <is>
          <t>4.9</t>
        </is>
      </c>
      <c r="F33" s="642" t="inlineStr">
        <is>
          <t>Green salad herbs [thyme, parsley, mint, rocca, other]</t>
        </is>
      </c>
      <c r="G33" s="369" t="inlineStr">
        <is>
          <t>أعشاب السلطة الخضراء [زعتر ، بقدونس ، نعناع ، جرجير ، أنواع أخرى]</t>
        </is>
      </c>
    </row>
    <row r="34" ht="15.65" customHeight="1">
      <c r="B34" s="3" t="n"/>
      <c r="C34" s="641" t="n"/>
      <c r="D34" s="642" t="n">
        <v>31</v>
      </c>
      <c r="E34" s="643" t="inlineStr">
        <is>
          <t>4.101</t>
        </is>
      </c>
      <c r="F34" s="642" t="inlineStr">
        <is>
          <t>Cauliflower</t>
        </is>
      </c>
      <c r="G34" s="369" t="inlineStr">
        <is>
          <t>القرنبيط</t>
        </is>
      </c>
    </row>
    <row r="35" ht="15.65" customHeight="1">
      <c r="B35" s="3" t="n"/>
      <c r="C35" s="645" t="n"/>
      <c r="D35" s="642" t="n">
        <v>32</v>
      </c>
      <c r="E35" s="643" t="inlineStr">
        <is>
          <t>4.99</t>
        </is>
      </c>
      <c r="F35" s="646" t="inlineStr">
        <is>
          <t>Other leafy vegetables</t>
        </is>
      </c>
      <c r="G35" s="370" t="inlineStr">
        <is>
          <t>الخضار الورقية الأخرى</t>
        </is>
      </c>
    </row>
    <row r="36" ht="15.65" customHeight="1">
      <c r="B36" s="3" t="n"/>
      <c r="C36" s="641" t="inlineStr">
        <is>
          <t>x</t>
        </is>
      </c>
      <c r="D36" s="642" t="n">
        <v>33</v>
      </c>
      <c r="E36" s="643" t="inlineStr">
        <is>
          <t>5.1</t>
        </is>
      </c>
      <c r="F36" s="642" t="inlineStr">
        <is>
          <t>Tomatoes</t>
        </is>
      </c>
      <c r="G36" s="369" t="inlineStr">
        <is>
          <t>الطماطم</t>
        </is>
      </c>
    </row>
    <row r="37" ht="15.65" customHeight="1">
      <c r="B37" s="3" t="n"/>
      <c r="C37" s="641" t="n"/>
      <c r="D37" s="642" t="n">
        <v>34</v>
      </c>
      <c r="E37" s="643" t="inlineStr">
        <is>
          <t>5.2</t>
        </is>
      </c>
      <c r="F37" s="642" t="inlineStr">
        <is>
          <t>Cucumber</t>
        </is>
      </c>
      <c r="G37" s="369" t="inlineStr">
        <is>
          <t>الخيار</t>
        </is>
      </c>
    </row>
    <row r="38" ht="15.65" customHeight="1">
      <c r="B38" s="3" t="n"/>
      <c r="C38" s="641" t="n"/>
      <c r="D38" s="642" t="n">
        <v>35</v>
      </c>
      <c r="E38" s="643" t="inlineStr">
        <is>
          <t>5.3</t>
        </is>
      </c>
      <c r="F38" s="642" t="inlineStr">
        <is>
          <t>Pumpkin</t>
        </is>
      </c>
      <c r="G38" s="369" t="inlineStr">
        <is>
          <t>اليقطين</t>
        </is>
      </c>
    </row>
    <row r="39" ht="15.65" customHeight="1">
      <c r="B39" s="3" t="n"/>
      <c r="C39" s="641" t="n"/>
      <c r="D39" s="642" t="n">
        <v>36</v>
      </c>
      <c r="E39" s="643" t="inlineStr">
        <is>
          <t>5.4</t>
        </is>
      </c>
      <c r="F39" s="642" t="inlineStr">
        <is>
          <t>Eggplant/aubergine</t>
        </is>
      </c>
      <c r="G39" s="369" t="inlineStr">
        <is>
          <t>الباذنجان</t>
        </is>
      </c>
    </row>
    <row r="40" ht="15.65" customHeight="1">
      <c r="B40" s="3" t="n"/>
      <c r="C40" s="641" t="n"/>
      <c r="D40" s="642" t="n">
        <v>37</v>
      </c>
      <c r="E40" s="643" t="inlineStr">
        <is>
          <t>5.5</t>
        </is>
      </c>
      <c r="F40" s="642" t="inlineStr">
        <is>
          <t>Zucchini</t>
        </is>
      </c>
      <c r="G40" s="369" t="inlineStr">
        <is>
          <t>الكوسة</t>
        </is>
      </c>
    </row>
    <row r="41" ht="15.65" customHeight="1">
      <c r="B41" s="3" t="n"/>
      <c r="C41" s="641" t="inlineStr">
        <is>
          <t>x</t>
        </is>
      </c>
      <c r="D41" s="642" t="n">
        <v>38</v>
      </c>
      <c r="E41" s="643" t="inlineStr">
        <is>
          <t>5.6</t>
        </is>
      </c>
      <c r="F41" s="642" t="inlineStr">
        <is>
          <t>Okra</t>
        </is>
      </c>
      <c r="G41" s="369" t="inlineStr">
        <is>
          <t>البامية</t>
        </is>
      </c>
    </row>
    <row r="42" ht="15.65" customHeight="1">
      <c r="B42" s="3" t="n"/>
      <c r="C42" s="641" t="n"/>
      <c r="D42" s="642" t="n">
        <v>39</v>
      </c>
      <c r="E42" s="643" t="inlineStr">
        <is>
          <t>5.7</t>
        </is>
      </c>
      <c r="F42" s="642" t="inlineStr">
        <is>
          <t>Bell pepper</t>
        </is>
      </c>
      <c r="G42" s="369" t="inlineStr">
        <is>
          <t>الفلفل حلو</t>
        </is>
      </c>
    </row>
    <row r="43" ht="15.65" customHeight="1">
      <c r="B43" s="3" t="n"/>
      <c r="C43" s="641" t="n"/>
      <c r="D43" s="642" t="n">
        <v>40</v>
      </c>
      <c r="E43" s="643" t="inlineStr">
        <is>
          <t>5.8</t>
        </is>
      </c>
      <c r="F43" s="642" t="inlineStr">
        <is>
          <t>Onions</t>
        </is>
      </c>
      <c r="G43" s="369" t="inlineStr">
        <is>
          <t>بصل</t>
        </is>
      </c>
    </row>
    <row r="44" ht="15.65" customHeight="1">
      <c r="B44" s="3" t="n"/>
      <c r="C44" s="641" t="n"/>
      <c r="D44" s="642" t="n">
        <v>41</v>
      </c>
      <c r="E44" s="643" t="inlineStr">
        <is>
          <t>5.9</t>
        </is>
      </c>
      <c r="F44" s="642" t="inlineStr">
        <is>
          <t>Haricot</t>
        </is>
      </c>
      <c r="G44" s="369" t="inlineStr">
        <is>
          <t>اللوبياء</t>
        </is>
      </c>
    </row>
    <row r="45" ht="15.65" customHeight="1">
      <c r="B45" s="3" t="n"/>
      <c r="C45" s="641" t="n"/>
      <c r="D45" s="642" t="n">
        <v>42</v>
      </c>
      <c r="E45" s="643" t="inlineStr">
        <is>
          <t>5.101</t>
        </is>
      </c>
      <c r="F45" s="642" t="inlineStr">
        <is>
          <t>Green peas</t>
        </is>
      </c>
      <c r="G45" s="369" t="inlineStr">
        <is>
          <t>البازلاء الخضراء</t>
        </is>
      </c>
    </row>
    <row r="46" ht="15.65" customHeight="1">
      <c r="B46" s="3" t="n"/>
      <c r="C46" s="641" t="n"/>
      <c r="D46" s="642" t="n">
        <v>43</v>
      </c>
      <c r="E46" s="643" t="inlineStr">
        <is>
          <t>5.11</t>
        </is>
      </c>
      <c r="F46" s="642" t="inlineStr">
        <is>
          <t>Fava beans green</t>
        </is>
      </c>
      <c r="G46" s="369" t="inlineStr">
        <is>
          <t>الفول الأخضر</t>
        </is>
      </c>
    </row>
    <row r="47" ht="15.65" customHeight="1">
      <c r="B47" s="3" t="n"/>
      <c r="C47" s="645" t="n"/>
      <c r="D47" s="642" t="n">
        <v>44</v>
      </c>
      <c r="E47" s="643" t="inlineStr">
        <is>
          <t>5.99</t>
        </is>
      </c>
      <c r="F47" s="646" t="inlineStr">
        <is>
          <t>Other non leafy vegs</t>
        </is>
      </c>
      <c r="G47" s="370" t="inlineStr">
        <is>
          <t>الخضار غير الورقية الأخرى</t>
        </is>
      </c>
    </row>
    <row r="48" ht="15.65" customHeight="1">
      <c r="B48" s="3" t="n"/>
      <c r="C48" s="641" t="inlineStr">
        <is>
          <t>x</t>
        </is>
      </c>
      <c r="D48" s="642" t="n">
        <v>45</v>
      </c>
      <c r="E48" s="643" t="inlineStr">
        <is>
          <t>6.1</t>
        </is>
      </c>
      <c r="F48" s="642" t="inlineStr">
        <is>
          <t>Orange</t>
        </is>
      </c>
      <c r="G48" s="369" t="inlineStr">
        <is>
          <t>البرتقال</t>
        </is>
      </c>
    </row>
    <row r="49" ht="15.65" customHeight="1">
      <c r="B49" s="3" t="n"/>
      <c r="C49" s="641" t="n"/>
      <c r="D49" s="642" t="n">
        <v>46</v>
      </c>
      <c r="E49" s="643" t="inlineStr">
        <is>
          <t>6.2</t>
        </is>
      </c>
      <c r="F49" s="642" t="inlineStr">
        <is>
          <t>Lemon</t>
        </is>
      </c>
      <c r="G49" s="369" t="inlineStr">
        <is>
          <t>الليمون</t>
        </is>
      </c>
    </row>
    <row r="50" ht="15.65" customHeight="1">
      <c r="B50" s="3" t="n"/>
      <c r="C50" s="641" t="n"/>
      <c r="D50" s="642" t="n">
        <v>47</v>
      </c>
      <c r="E50" s="643" t="inlineStr">
        <is>
          <t>6.3</t>
        </is>
      </c>
      <c r="F50" s="642" t="inlineStr">
        <is>
          <t>Grapefruit</t>
        </is>
      </c>
      <c r="G50" s="369" t="inlineStr">
        <is>
          <t>الجريب فروت</t>
        </is>
      </c>
    </row>
    <row r="51" ht="15.65" customHeight="1">
      <c r="B51" s="3" t="n"/>
      <c r="C51" s="641" t="n"/>
      <c r="D51" s="642" t="n">
        <v>48</v>
      </c>
      <c r="E51" s="643" t="inlineStr">
        <is>
          <t>6.4</t>
        </is>
      </c>
      <c r="F51" s="642" t="inlineStr">
        <is>
          <t>Mandarins/clementines</t>
        </is>
      </c>
      <c r="G51" s="369" t="inlineStr">
        <is>
          <t>اليوسفي / الكليمنتين</t>
        </is>
      </c>
    </row>
    <row r="52" ht="15.65" customHeight="1">
      <c r="B52" s="3" t="n"/>
      <c r="C52" s="645" t="n"/>
      <c r="D52" s="642" t="n">
        <v>49</v>
      </c>
      <c r="E52" s="643" t="inlineStr">
        <is>
          <t>6.99</t>
        </is>
      </c>
      <c r="F52" s="646" t="inlineStr">
        <is>
          <t>Other citrus fruit</t>
        </is>
      </c>
      <c r="G52" s="370" t="inlineStr">
        <is>
          <t>الحمضيات الأخرى</t>
        </is>
      </c>
    </row>
    <row r="53" ht="15.65" customHeight="1">
      <c r="B53" s="3" t="n"/>
      <c r="C53" s="641" t="n"/>
      <c r="D53" s="642" t="n">
        <v>50</v>
      </c>
      <c r="E53" s="643" t="inlineStr">
        <is>
          <t>7.1</t>
        </is>
      </c>
      <c r="F53" s="642" t="inlineStr">
        <is>
          <t>Sweet Banana</t>
        </is>
      </c>
      <c r="G53" s="369" t="inlineStr">
        <is>
          <t>الموز</t>
        </is>
      </c>
    </row>
    <row r="54" ht="15.65" customHeight="1">
      <c r="B54" s="3" t="n"/>
      <c r="C54" s="641" t="n"/>
      <c r="D54" s="642" t="n">
        <v>51</v>
      </c>
      <c r="E54" s="643" t="inlineStr">
        <is>
          <t>7.2</t>
        </is>
      </c>
      <c r="F54" s="642" t="inlineStr">
        <is>
          <t>Plantains</t>
        </is>
      </c>
      <c r="G54" s="369" t="inlineStr">
        <is>
          <t>موز الجنة</t>
        </is>
      </c>
    </row>
    <row r="55" ht="15.65" customHeight="1">
      <c r="B55" s="3" t="n"/>
      <c r="C55" s="641" t="n"/>
      <c r="D55" s="642" t="n">
        <v>52</v>
      </c>
      <c r="E55" s="643" t="inlineStr">
        <is>
          <t>7.3</t>
        </is>
      </c>
      <c r="F55" s="642" t="inlineStr">
        <is>
          <t>Papaya</t>
        </is>
      </c>
      <c r="G55" s="369" t="inlineStr">
        <is>
          <t>البابايا</t>
        </is>
      </c>
    </row>
    <row r="56" ht="15.65" customHeight="1">
      <c r="B56" s="3" t="n"/>
      <c r="C56" s="641" t="n"/>
      <c r="D56" s="642" t="n">
        <v>53</v>
      </c>
      <c r="E56" s="643" t="inlineStr">
        <is>
          <t>7.4</t>
        </is>
      </c>
      <c r="F56" s="642" t="inlineStr">
        <is>
          <t>Mango</t>
        </is>
      </c>
      <c r="G56" s="369" t="inlineStr">
        <is>
          <t>المانجو</t>
        </is>
      </c>
    </row>
    <row r="57" ht="15.65" customHeight="1">
      <c r="B57" s="3" t="n"/>
      <c r="C57" s="641" t="n"/>
      <c r="D57" s="642" t="n">
        <v>54</v>
      </c>
      <c r="E57" s="643" t="inlineStr">
        <is>
          <t>7.5</t>
        </is>
      </c>
      <c r="F57" s="642" t="inlineStr">
        <is>
          <t>Guava</t>
        </is>
      </c>
      <c r="G57" s="369" t="inlineStr">
        <is>
          <t>الجوافة</t>
        </is>
      </c>
    </row>
    <row r="58" ht="15.65" customHeight="1">
      <c r="B58" s="3" t="n"/>
      <c r="C58" s="641" t="n"/>
      <c r="D58" s="642" t="n">
        <v>55</v>
      </c>
      <c r="E58" s="643" t="inlineStr">
        <is>
          <t>7.6</t>
        </is>
      </c>
      <c r="F58" s="642" t="inlineStr">
        <is>
          <t>Pineapple</t>
        </is>
      </c>
      <c r="G58" s="369" t="inlineStr">
        <is>
          <t>الأناناس</t>
        </is>
      </c>
    </row>
    <row r="59" ht="15.65" customHeight="1">
      <c r="B59" s="3" t="n"/>
      <c r="C59" s="641" t="n"/>
      <c r="D59" s="642" t="n">
        <v>56</v>
      </c>
      <c r="E59" s="643" t="inlineStr">
        <is>
          <t>7.7</t>
        </is>
      </c>
      <c r="F59" s="642" t="inlineStr">
        <is>
          <t>Avocado</t>
        </is>
      </c>
      <c r="G59" s="369" t="inlineStr">
        <is>
          <t>الأفوكادو</t>
        </is>
      </c>
    </row>
    <row r="60" ht="15.65" customHeight="1">
      <c r="B60" s="3" t="n"/>
      <c r="C60" s="641" t="n"/>
      <c r="D60" s="642" t="n">
        <v>57</v>
      </c>
      <c r="E60" s="643" t="inlineStr">
        <is>
          <t>7.8</t>
        </is>
      </c>
      <c r="F60" s="642" t="inlineStr">
        <is>
          <t>Water Melon</t>
        </is>
      </c>
      <c r="G60" s="369" t="inlineStr">
        <is>
          <t>البطيخ الأحمر</t>
        </is>
      </c>
    </row>
    <row r="61" ht="15.65" customHeight="1">
      <c r="B61" s="3" t="n"/>
      <c r="C61" s="641" t="n"/>
      <c r="D61" s="642" t="n">
        <v>58</v>
      </c>
      <c r="E61" s="643" t="inlineStr">
        <is>
          <t>7.9</t>
        </is>
      </c>
      <c r="F61" s="642" t="inlineStr">
        <is>
          <t>Dates</t>
        </is>
      </c>
      <c r="G61" s="369" t="inlineStr">
        <is>
          <t>التمر</t>
        </is>
      </c>
    </row>
    <row r="62" ht="15.65" customHeight="1">
      <c r="B62" s="3" t="n"/>
      <c r="C62" s="641" t="n"/>
      <c r="D62" s="642" t="n">
        <v>59</v>
      </c>
      <c r="E62" s="643" t="inlineStr">
        <is>
          <t>7.101</t>
        </is>
      </c>
      <c r="F62" s="642" t="inlineStr">
        <is>
          <t>Figs</t>
        </is>
      </c>
      <c r="G62" s="369" t="inlineStr">
        <is>
          <t>التين</t>
        </is>
      </c>
    </row>
    <row r="63" ht="15.65" customHeight="1">
      <c r="B63" s="3" t="n"/>
      <c r="C63" s="641" t="inlineStr">
        <is>
          <t>x</t>
        </is>
      </c>
      <c r="D63" s="642" t="n">
        <v>60</v>
      </c>
      <c r="E63" s="643" t="inlineStr">
        <is>
          <t>7.11</t>
        </is>
      </c>
      <c r="F63" s="642" t="inlineStr">
        <is>
          <t>Grapes</t>
        </is>
      </c>
      <c r="G63" s="369" t="inlineStr">
        <is>
          <t>العنب</t>
        </is>
      </c>
    </row>
    <row r="64" ht="15.65" customHeight="1">
      <c r="B64" s="3" t="n"/>
      <c r="C64" s="641" t="n"/>
      <c r="D64" s="642" t="n">
        <v>61</v>
      </c>
      <c r="E64" s="643" t="inlineStr">
        <is>
          <t>7.12</t>
        </is>
      </c>
      <c r="F64" s="642" t="inlineStr">
        <is>
          <t>Olives</t>
        </is>
      </c>
      <c r="G64" s="369" t="inlineStr">
        <is>
          <t>الزيتون</t>
        </is>
      </c>
    </row>
    <row r="65" ht="15.65" customHeight="1">
      <c r="B65" s="3" t="n"/>
      <c r="C65" s="641" t="n"/>
      <c r="D65" s="642" t="n">
        <v>62</v>
      </c>
      <c r="E65" s="643" t="inlineStr">
        <is>
          <t>7.13</t>
        </is>
      </c>
      <c r="F65" s="642" t="inlineStr">
        <is>
          <t>Apple</t>
        </is>
      </c>
      <c r="G65" s="369" t="inlineStr">
        <is>
          <t>التفاح</t>
        </is>
      </c>
    </row>
    <row r="66" ht="15.65" customHeight="1">
      <c r="B66" s="3" t="n"/>
      <c r="C66" s="641" t="n"/>
      <c r="D66" s="642" t="n">
        <v>63</v>
      </c>
      <c r="E66" s="643" t="inlineStr">
        <is>
          <t>7.14</t>
        </is>
      </c>
      <c r="F66" s="642" t="inlineStr">
        <is>
          <t>Apricot</t>
        </is>
      </c>
      <c r="G66" s="369" t="inlineStr">
        <is>
          <t>المشمش</t>
        </is>
      </c>
    </row>
    <row r="67" ht="15.65" customHeight="1">
      <c r="B67" s="3" t="n"/>
      <c r="C67" s="641" t="n"/>
      <c r="D67" s="642" t="n">
        <v>64</v>
      </c>
      <c r="E67" s="643" t="inlineStr">
        <is>
          <t>7.15</t>
        </is>
      </c>
      <c r="F67" s="642" t="inlineStr">
        <is>
          <t>Cherries</t>
        </is>
      </c>
      <c r="G67" s="369" t="inlineStr">
        <is>
          <t>الكرز</t>
        </is>
      </c>
    </row>
    <row r="68" ht="15.65" customHeight="1">
      <c r="B68" s="3" t="n"/>
      <c r="C68" s="641" t="n"/>
      <c r="D68" s="642" t="n">
        <v>65</v>
      </c>
      <c r="E68" s="643" t="inlineStr">
        <is>
          <t>7.16</t>
        </is>
      </c>
      <c r="F68" s="642" t="inlineStr">
        <is>
          <t>Peach/nectarine</t>
        </is>
      </c>
      <c r="G68" s="369" t="inlineStr">
        <is>
          <t>الدراق / النكتارين</t>
        </is>
      </c>
    </row>
    <row r="69" ht="15.65" customHeight="1">
      <c r="B69" s="3" t="n"/>
      <c r="C69" s="641" t="n"/>
      <c r="D69" s="642" t="n">
        <v>66</v>
      </c>
      <c r="E69" s="643" t="inlineStr">
        <is>
          <t>7.17</t>
        </is>
      </c>
      <c r="F69" s="642" t="inlineStr">
        <is>
          <t>Strawberries</t>
        </is>
      </c>
      <c r="G69" s="369" t="inlineStr">
        <is>
          <t>الفراولة</t>
        </is>
      </c>
    </row>
    <row r="70" ht="15.65" customHeight="1">
      <c r="B70" s="3" t="n"/>
      <c r="C70" s="641" t="n"/>
      <c r="D70" s="642" t="n">
        <v>67</v>
      </c>
      <c r="E70" s="643" t="inlineStr">
        <is>
          <t>7.18</t>
        </is>
      </c>
      <c r="F70" s="642" t="inlineStr">
        <is>
          <t>Melon [Cantaloupe]</t>
        </is>
      </c>
      <c r="G70" s="369" t="inlineStr">
        <is>
          <t>الشمام</t>
        </is>
      </c>
    </row>
    <row r="71" ht="15.65" customHeight="1">
      <c r="B71" s="3" t="n"/>
      <c r="C71" s="645" t="n"/>
      <c r="D71" s="642" t="n">
        <v>68</v>
      </c>
      <c r="E71" s="643" t="inlineStr">
        <is>
          <t>7.99</t>
        </is>
      </c>
      <c r="F71" s="646" t="inlineStr">
        <is>
          <t>Other fruit</t>
        </is>
      </c>
      <c r="G71" s="370" t="inlineStr">
        <is>
          <t>الفواكه الأخرى</t>
        </is>
      </c>
    </row>
    <row r="72" ht="15.65" customHeight="1">
      <c r="B72" s="3" t="n"/>
      <c r="C72" s="641" t="n"/>
      <c r="D72" s="642" t="n">
        <v>69</v>
      </c>
      <c r="E72" s="643" t="inlineStr">
        <is>
          <t>8.1</t>
        </is>
      </c>
      <c r="F72" s="642" t="inlineStr">
        <is>
          <t>Coconuts</t>
        </is>
      </c>
      <c r="G72" s="369" t="inlineStr">
        <is>
          <t>جوز الهند</t>
        </is>
      </c>
    </row>
    <row r="73" ht="15.65" customHeight="1">
      <c r="B73" s="3" t="n"/>
      <c r="C73" s="641" t="n"/>
      <c r="D73" s="642" t="n">
        <v>70</v>
      </c>
      <c r="E73" s="643" t="inlineStr">
        <is>
          <t>8.2</t>
        </is>
      </c>
      <c r="F73" s="642" t="inlineStr">
        <is>
          <t>Groundnut/peanut</t>
        </is>
      </c>
      <c r="G73" s="369" t="inlineStr">
        <is>
          <t>الفول السوداني</t>
        </is>
      </c>
    </row>
    <row r="74" ht="15.65" customHeight="1">
      <c r="B74" s="3" t="n"/>
      <c r="C74" s="641" t="n"/>
      <c r="D74" s="642" t="n">
        <v>71</v>
      </c>
      <c r="E74" s="643" t="inlineStr">
        <is>
          <t>8.3</t>
        </is>
      </c>
      <c r="F74" s="642" t="inlineStr">
        <is>
          <t>Cashew Nut</t>
        </is>
      </c>
      <c r="G74" s="369" t="inlineStr">
        <is>
          <t>الكاجو</t>
        </is>
      </c>
    </row>
    <row r="75" ht="15.65" customHeight="1">
      <c r="B75" s="3" t="n"/>
      <c r="C75" s="641" t="n"/>
      <c r="D75" s="642" t="n">
        <v>72</v>
      </c>
      <c r="E75" s="643" t="inlineStr">
        <is>
          <t>8.4</t>
        </is>
      </c>
      <c r="F75" s="642" t="inlineStr">
        <is>
          <t>Kola Nut</t>
        </is>
      </c>
      <c r="G75" s="369" t="inlineStr">
        <is>
          <t>جوز الكولا</t>
        </is>
      </c>
    </row>
    <row r="76" ht="15.65" customHeight="1">
      <c r="B76" s="3" t="n"/>
      <c r="C76" s="641" t="n"/>
      <c r="D76" s="642" t="n">
        <v>73</v>
      </c>
      <c r="E76" s="643" t="inlineStr">
        <is>
          <t>8.5</t>
        </is>
      </c>
      <c r="F76" s="642" t="inlineStr">
        <is>
          <t>Sesame</t>
        </is>
      </c>
      <c r="G76" s="369" t="inlineStr">
        <is>
          <t>السمسم</t>
        </is>
      </c>
    </row>
    <row r="77" ht="15.65" customHeight="1">
      <c r="B77" s="3" t="n"/>
      <c r="C77" s="641" t="n"/>
      <c r="D77" s="642" t="n">
        <v>74</v>
      </c>
      <c r="E77" s="643" t="inlineStr">
        <is>
          <t>8.6</t>
        </is>
      </c>
      <c r="F77" s="642" t="inlineStr">
        <is>
          <t>Bambara nut</t>
        </is>
      </c>
      <c r="G77" s="369" t="inlineStr">
        <is>
          <t>جوز البامبارا</t>
        </is>
      </c>
    </row>
    <row r="78" ht="15.65" customHeight="1">
      <c r="B78" s="3" t="n"/>
      <c r="C78" s="641" t="n"/>
      <c r="D78" s="642" t="n">
        <v>75</v>
      </c>
      <c r="E78" s="643" t="inlineStr">
        <is>
          <t>8.7</t>
        </is>
      </c>
      <c r="F78" s="642" t="inlineStr">
        <is>
          <t>Almond</t>
        </is>
      </c>
      <c r="G78" s="369" t="inlineStr">
        <is>
          <t>اللوز</t>
        </is>
      </c>
    </row>
    <row r="79" ht="15.65" customHeight="1">
      <c r="B79" s="3" t="n"/>
      <c r="C79" s="641" t="n"/>
      <c r="D79" s="642" t="n">
        <v>76</v>
      </c>
      <c r="E79" s="643" t="inlineStr">
        <is>
          <t>8.8</t>
        </is>
      </c>
      <c r="F79" s="642" t="inlineStr">
        <is>
          <t>Walnut</t>
        </is>
      </c>
      <c r="G79" s="369" t="inlineStr">
        <is>
          <t>الجوز</t>
        </is>
      </c>
    </row>
    <row r="80" ht="15.65" customHeight="1">
      <c r="B80" s="3" t="n"/>
      <c r="C80" s="645" t="n"/>
      <c r="D80" s="642" t="n">
        <v>77</v>
      </c>
      <c r="E80" s="643" t="inlineStr">
        <is>
          <t>8.99</t>
        </is>
      </c>
      <c r="F80" s="646" t="inlineStr">
        <is>
          <t>Other nuts</t>
        </is>
      </c>
      <c r="G80" s="370" t="inlineStr">
        <is>
          <t>المكسرات الأخرى</t>
        </is>
      </c>
    </row>
    <row r="81" ht="15.65" customHeight="1">
      <c r="B81" s="3" t="n"/>
      <c r="C81" s="641" t="n"/>
      <c r="D81" s="642" t="n">
        <v>78</v>
      </c>
      <c r="E81" s="643" t="inlineStr">
        <is>
          <t>9.1</t>
        </is>
      </c>
      <c r="F81" s="642" t="inlineStr">
        <is>
          <t>Cocoa</t>
        </is>
      </c>
      <c r="G81" s="369" t="inlineStr">
        <is>
          <t>الكاكاو</t>
        </is>
      </c>
    </row>
    <row r="82" ht="15.65" customHeight="1">
      <c r="B82" s="3" t="n"/>
      <c r="C82" s="641" t="inlineStr">
        <is>
          <t>x</t>
        </is>
      </c>
      <c r="D82" s="642" t="n">
        <v>79</v>
      </c>
      <c r="E82" s="643" t="inlineStr">
        <is>
          <t>9.2</t>
        </is>
      </c>
      <c r="F82" s="642" t="inlineStr">
        <is>
          <t>Coffee</t>
        </is>
      </c>
      <c r="G82" s="369" t="inlineStr">
        <is>
          <t>القهوة</t>
        </is>
      </c>
    </row>
    <row r="83" ht="15.65" customHeight="1">
      <c r="B83" s="3" t="n"/>
      <c r="C83" s="641" t="n"/>
      <c r="D83" s="642" t="n">
        <v>80</v>
      </c>
      <c r="E83" s="643" t="inlineStr">
        <is>
          <t>9.3</t>
        </is>
      </c>
      <c r="F83" s="642" t="inlineStr">
        <is>
          <t>Tea</t>
        </is>
      </c>
      <c r="G83" s="369" t="inlineStr">
        <is>
          <t>الشاي</t>
        </is>
      </c>
    </row>
    <row r="84" ht="15.65" customHeight="1">
      <c r="B84" s="3" t="n"/>
      <c r="C84" s="641" t="n"/>
      <c r="D84" s="642" t="n">
        <v>81</v>
      </c>
      <c r="E84" s="643" t="inlineStr">
        <is>
          <t>9.4</t>
        </is>
      </c>
      <c r="F84" s="642" t="inlineStr">
        <is>
          <t>Sugarcane</t>
        </is>
      </c>
      <c r="G84" s="369" t="inlineStr">
        <is>
          <t>قصب السكر</t>
        </is>
      </c>
    </row>
    <row r="85" ht="15.65" customHeight="1">
      <c r="B85" s="3" t="n"/>
      <c r="C85" s="641" t="n"/>
      <c r="D85" s="642" t="n">
        <v>82</v>
      </c>
      <c r="E85" s="643" t="inlineStr">
        <is>
          <t>9.5</t>
        </is>
      </c>
      <c r="F85" s="642" t="inlineStr">
        <is>
          <t>Sunflower</t>
        </is>
      </c>
      <c r="G85" s="369" t="inlineStr">
        <is>
          <t>دوار الشمس</t>
        </is>
      </c>
    </row>
    <row r="86" ht="15.65" customHeight="1">
      <c r="B86" s="3" t="n"/>
      <c r="C86" s="645" t="n"/>
      <c r="D86" s="642" t="n">
        <v>83</v>
      </c>
      <c r="E86" s="643" t="inlineStr">
        <is>
          <t>9.99</t>
        </is>
      </c>
      <c r="F86" s="646" t="inlineStr">
        <is>
          <t>Other food cash crop</t>
        </is>
      </c>
      <c r="G86" s="370" t="inlineStr">
        <is>
          <t xml:space="preserve">المحاصيل الغذائية النقدية الأخرى </t>
        </is>
      </c>
    </row>
    <row r="87" ht="15.65" customHeight="1">
      <c r="B87" s="3" t="n"/>
      <c r="C87" s="641" t="n"/>
      <c r="D87" s="642" t="n">
        <v>84</v>
      </c>
      <c r="E87" s="643" t="inlineStr">
        <is>
          <t>10.1</t>
        </is>
      </c>
      <c r="F87" s="642" t="inlineStr">
        <is>
          <t>Cotton</t>
        </is>
      </c>
      <c r="G87" s="369" t="inlineStr">
        <is>
          <t>القطن</t>
        </is>
      </c>
    </row>
    <row r="88" ht="15.65" customHeight="1">
      <c r="B88" s="3" t="n"/>
      <c r="C88" s="641" t="n"/>
      <c r="D88" s="642" t="n">
        <v>85</v>
      </c>
      <c r="E88" s="643" t="inlineStr">
        <is>
          <t>10.2</t>
        </is>
      </c>
      <c r="F88" s="642" t="inlineStr">
        <is>
          <t>Rubber</t>
        </is>
      </c>
      <c r="G88" s="369" t="inlineStr">
        <is>
          <t>المطاط</t>
        </is>
      </c>
    </row>
    <row r="89" ht="15.65" customHeight="1">
      <c r="B89" s="3" t="n"/>
      <c r="C89" s="641" t="n"/>
      <c r="D89" s="642" t="n">
        <v>86</v>
      </c>
      <c r="E89" s="643" t="inlineStr">
        <is>
          <t>10.3</t>
        </is>
      </c>
      <c r="F89" s="642" t="inlineStr">
        <is>
          <t>Jute</t>
        </is>
      </c>
      <c r="G89" s="369" t="inlineStr">
        <is>
          <t>الجوت</t>
        </is>
      </c>
    </row>
    <row r="90" ht="15.65" customHeight="1">
      <c r="B90" s="3" t="n"/>
      <c r="C90" s="641" t="n"/>
      <c r="D90" s="642" t="n">
        <v>87</v>
      </c>
      <c r="E90" s="643" t="inlineStr">
        <is>
          <t>10.4</t>
        </is>
      </c>
      <c r="F90" s="642" t="inlineStr">
        <is>
          <t>Fodder</t>
        </is>
      </c>
      <c r="G90" s="369" t="inlineStr">
        <is>
          <t>العلف</t>
        </is>
      </c>
    </row>
    <row r="91" ht="15.65" customHeight="1">
      <c r="B91" s="3" t="n"/>
      <c r="C91" s="641" t="n"/>
      <c r="D91" s="642" t="n">
        <v>88</v>
      </c>
      <c r="E91" s="643" t="inlineStr">
        <is>
          <t>10.5</t>
        </is>
      </c>
      <c r="F91" s="642" t="inlineStr">
        <is>
          <t>Tobacco</t>
        </is>
      </c>
      <c r="G91" s="369" t="inlineStr">
        <is>
          <t>التبغ</t>
        </is>
      </c>
    </row>
    <row r="92" ht="15.65" customHeight="1">
      <c r="B92" s="3" t="n"/>
      <c r="C92" s="641" t="inlineStr">
        <is>
          <t>x</t>
        </is>
      </c>
      <c r="D92" s="642" t="n">
        <v>89</v>
      </c>
      <c r="E92" s="643" t="inlineStr">
        <is>
          <t>10.6</t>
        </is>
      </c>
      <c r="F92" s="642" t="inlineStr">
        <is>
          <t>Qat</t>
        </is>
      </c>
      <c r="G92" s="369" t="inlineStr">
        <is>
          <t>القات</t>
        </is>
      </c>
    </row>
    <row r="93" ht="15.65" customHeight="1">
      <c r="B93" s="3" t="n"/>
      <c r="C93" s="645" t="n"/>
      <c r="D93" s="642" t="n">
        <v>90</v>
      </c>
      <c r="E93" s="643" t="inlineStr">
        <is>
          <t>10.99</t>
        </is>
      </c>
      <c r="F93" s="646" t="inlineStr">
        <is>
          <t>Other non-food cash crop</t>
        </is>
      </c>
      <c r="G93" s="370" t="inlineStr">
        <is>
          <t xml:space="preserve"> المحاصيل النقدية غير الغذائية الأخرى </t>
        </is>
      </c>
    </row>
    <row r="94">
      <c r="C94" s="6" t="n"/>
      <c r="D94" s="235" t="n"/>
      <c r="E94" s="235" t="n"/>
      <c r="F94" s="7" t="n"/>
      <c r="G94" s="367"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topLeftCell="A4" zoomScale="125" zoomScaleNormal="70" workbookViewId="0">
      <selection activeCell="D7" sqref="D7"/>
    </sheetView>
  </sheetViews>
  <sheetFormatPr baseColWidth="8" defaultColWidth="10.453125" defaultRowHeight="15.5"/>
  <cols>
    <col width="10.453125" customWidth="1" style="330" min="1" max="1"/>
    <col width="8.453125" customWidth="1" style="330" min="2" max="2"/>
    <col width="27.453125" customWidth="1" style="330" min="3" max="3"/>
    <col width="28" customWidth="1" style="330" min="4" max="5"/>
    <col width="51.08984375" customWidth="1" style="365" min="6" max="7"/>
    <col width="22.453125" customWidth="1" style="330" min="8" max="9"/>
    <col width="10.453125" customWidth="1" style="330" min="10" max="11"/>
    <col width="44" customWidth="1" style="330" min="12" max="12"/>
    <col width="10.453125" customWidth="1" style="330" min="13" max="19"/>
    <col width="10.453125" customWidth="1" style="330" min="20" max="16384"/>
  </cols>
  <sheetData>
    <row r="1" ht="40.4" customHeight="1" thickBot="1">
      <c r="A1" s="647" t="n"/>
      <c r="B1" s="647" t="n"/>
      <c r="C1" s="648" t="n"/>
      <c r="D1" s="648" t="n"/>
      <c r="E1" s="648" t="n"/>
      <c r="F1" s="649" t="n"/>
      <c r="G1" s="649" t="n"/>
      <c r="H1" s="648" t="n"/>
      <c r="I1" s="648" t="n"/>
      <c r="J1" s="647" t="n"/>
      <c r="K1" s="647" t="n"/>
      <c r="L1" s="647" t="n"/>
      <c r="M1" s="647" t="n"/>
    </row>
    <row r="2" ht="16.4" customHeight="1" thickBot="1">
      <c r="A2" s="650" t="n"/>
      <c r="B2" s="651" t="n"/>
      <c r="C2" s="331" t="inlineStr">
        <is>
          <t>Original</t>
        </is>
      </c>
      <c r="D2" s="332" t="inlineStr">
        <is>
          <t>Replacement (EN)</t>
        </is>
      </c>
      <c r="E2" s="333" t="inlineStr">
        <is>
          <t>Replacement (AR)</t>
        </is>
      </c>
      <c r="F2" s="334" t="inlineStr">
        <is>
          <t>Comment (EN)</t>
        </is>
      </c>
      <c r="G2" s="335" t="inlineStr">
        <is>
          <t>Comment (AR)</t>
        </is>
      </c>
      <c r="H2" s="332" t="inlineStr">
        <is>
          <t>Example (EN)</t>
        </is>
      </c>
      <c r="I2" s="336" t="inlineStr">
        <is>
          <t>Example (AR)</t>
        </is>
      </c>
      <c r="J2" s="652" t="n"/>
      <c r="K2" s="647" t="n"/>
      <c r="L2" s="647" t="n"/>
      <c r="M2" s="647" t="n"/>
    </row>
    <row r="3" ht="32.15" customHeight="1">
      <c r="A3" s="650" t="n"/>
      <c r="B3" s="706" t="inlineStr">
        <is>
          <t>FOR CORE QUESTIONS    .
(Mandatory to fill out)    .</t>
        </is>
      </c>
      <c r="C3" s="337" t="inlineStr">
        <is>
          <t>ADMIN1</t>
        </is>
      </c>
      <c r="D3" s="653" t="inlineStr">
        <is>
          <t>Governorate</t>
        </is>
      </c>
      <c r="E3" s="654" t="inlineStr">
        <is>
          <t xml:space="preserve">محافظة </t>
        </is>
      </c>
      <c r="F3" s="338" t="inlineStr">
        <is>
          <t>The first subdivision of the country, after national level; region; province; governorate; etc.</t>
        </is>
      </c>
      <c r="G3" s="655" t="inlineStr">
        <is>
          <t>التقسيم الأول للبلاد ، بعد المستوى الوطني ؛ منطقة؛ محافظة؛ ولاية ؛ إلخ.</t>
        </is>
      </c>
      <c r="H3" s="339" t="inlineStr">
        <is>
          <t>region</t>
        </is>
      </c>
      <c r="I3" s="375" t="inlineStr">
        <is>
          <t>منطقة</t>
        </is>
      </c>
      <c r="J3" s="652" t="n"/>
      <c r="K3" s="647" t="n"/>
      <c r="L3" s="647" t="n"/>
      <c r="M3" s="647" t="n"/>
    </row>
    <row r="4" ht="29.15" customHeight="1">
      <c r="A4" s="650" t="n"/>
      <c r="B4" s="707" t="n"/>
      <c r="C4" s="340" t="inlineStr">
        <is>
          <t>ADMIN2</t>
        </is>
      </c>
      <c r="D4" s="653" t="inlineStr">
        <is>
          <t>District</t>
        </is>
      </c>
      <c r="E4" s="656" t="inlineStr">
        <is>
          <t>مديرية</t>
        </is>
      </c>
      <c r="F4" s="341" t="inlineStr">
        <is>
          <t>The second subdivision of the country; district; municipality; LGA; etc.</t>
        </is>
      </c>
      <c r="G4" s="655" t="inlineStr">
        <is>
          <t>التقسيم الثاني للبلاد ؛ قضاء؛ بلدية؛ إلخ.</t>
        </is>
      </c>
      <c r="H4" s="657" t="inlineStr">
        <is>
          <t>district</t>
        </is>
      </c>
      <c r="I4" s="376" t="inlineStr">
        <is>
          <t>قضاء</t>
        </is>
      </c>
      <c r="J4" s="652" t="n"/>
      <c r="K4" s="647" t="n"/>
      <c r="L4" s="647" t="n"/>
      <c r="M4" s="647" t="n"/>
    </row>
    <row r="5" ht="72" customHeight="1">
      <c r="A5" s="650" t="n"/>
      <c r="B5" s="707" t="n"/>
      <c r="C5" s="340" t="inlineStr">
        <is>
          <t>reference year</t>
        </is>
      </c>
      <c r="D5" s="658" t="inlineStr">
        <is>
          <t>last year</t>
        </is>
      </c>
      <c r="E5" s="659" t="inlineStr">
        <is>
          <t>العام الماضي</t>
        </is>
      </c>
      <c r="F5" s="34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655"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657" t="inlineStr">
        <is>
          <t>a normal year</t>
        </is>
      </c>
      <c r="I5" s="376" t="inlineStr">
        <is>
          <t>العام العادي</t>
        </is>
      </c>
      <c r="J5" s="652" t="n"/>
      <c r="K5" s="647" t="n"/>
      <c r="L5" s="647" t="n"/>
      <c r="M5" s="647" t="n"/>
    </row>
    <row r="6" ht="76.40000000000001" customHeight="1">
      <c r="A6" s="650" t="n"/>
      <c r="B6" s="707" t="n"/>
      <c r="C6" s="340" t="inlineStr">
        <is>
          <t>season</t>
        </is>
      </c>
      <c r="D6" s="660" t="inlineStr">
        <is>
          <t>Ongoing season</t>
        </is>
      </c>
      <c r="E6" s="656" t="inlineStr">
        <is>
          <t>الموسم الحالي</t>
        </is>
      </c>
      <c r="F6" s="342" t="inlineStr">
        <is>
          <t>Name the crop season(s) of interest if there are several cropping seasons in the country (e.g. Meher and Belg in Ethiopia, rainy season / flood-recession cropping / irrigated dry season in the Sahel). You can refer to the “last season” or “ongoing season".</t>
        </is>
      </c>
      <c r="G6" s="661"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662" t="inlineStr">
        <is>
          <t>wet season</t>
        </is>
      </c>
      <c r="I6" s="377" t="inlineStr">
        <is>
          <t>موسم الأمطار</t>
        </is>
      </c>
      <c r="J6" s="652" t="n"/>
      <c r="K6" s="647" t="n"/>
      <c r="L6" s="647" t="n"/>
      <c r="M6" s="647" t="n"/>
    </row>
    <row r="7" ht="105.65" customHeight="1">
      <c r="A7" s="650" t="n"/>
      <c r="B7" s="707" t="n"/>
      <c r="C7" s="340" t="inlineStr">
        <is>
          <t>season phase</t>
        </is>
      </c>
      <c r="D7" s="658" t="inlineStr">
        <is>
          <t>Growth</t>
        </is>
      </c>
      <c r="E7" s="659" t="inlineStr">
        <is>
          <t>النمو</t>
        </is>
      </c>
      <c r="F7" s="34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1"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662" t="inlineStr">
        <is>
          <t>Harvesting</t>
        </is>
      </c>
      <c r="I7" s="378" t="inlineStr">
        <is>
          <t>الحصاد</t>
        </is>
      </c>
      <c r="J7" s="652" t="n"/>
      <c r="K7" s="647" t="n"/>
      <c r="L7" s="647" t="n"/>
      <c r="M7" s="647" t="n"/>
    </row>
    <row r="8" ht="383.15" customHeight="1">
      <c r="A8" s="650" t="n"/>
      <c r="B8" s="707" t="n"/>
      <c r="C8" s="343" t="inlineStr">
        <is>
          <t>local measurement unit</t>
        </is>
      </c>
      <c r="D8" s="663" t="inlineStr">
        <is>
          <t>5)Labneh
6)Qassabh
7)Hablah
8)Ma'ad
9)Salook
10)Shaklah
11)Neiha
12)Matreh
13)Wadan
14)Oqum
15)Asaoo
16)Shagan
17)Arfad
18)Aber
19)Taleem
20)Magabi
21)Hediah
22)Thera'a
23)Materah</t>
        </is>
      </c>
      <c r="E8" s="511" t="inlineStr">
        <is>
          <t>5)لبنة
6)قصبة
7) حبل/حبلة
8) معاد
9)سلوق
10) شكلة
11) نيحة
12) مطرح
13)ودن
14) عقم
15)اسعاو
16) شجن
17)رفد/ارفاد
18) عبر
19) تليم
20)مجابي
21) حدية
22) ذراع
23) مطبرة</t>
        </is>
      </c>
      <c r="F8" s="344" t="inlineStr">
        <is>
          <t xml:space="preserve">Specify the local measurement unit for land size, other than acres, hectares, square meters and square feet. If no other unit of measurement is needed, keep this cell blank. </t>
        </is>
      </c>
      <c r="G8" s="401"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662" t="inlineStr">
        <is>
          <t>Jeribs</t>
        </is>
      </c>
      <c r="I8" s="379" t="inlineStr">
        <is>
          <t>جريب</t>
        </is>
      </c>
      <c r="J8" s="652" t="n"/>
      <c r="K8" s="647" t="n"/>
      <c r="L8" s="647" t="n"/>
      <c r="M8" s="647" t="n"/>
    </row>
    <row r="9" ht="50.25" customHeight="1" thickBot="1">
      <c r="A9" s="650" t="n"/>
      <c r="B9" s="700" t="n"/>
      <c r="C9" s="345" t="inlineStr">
        <is>
          <t>local measurement unit conversion</t>
        </is>
      </c>
      <c r="D9" s="664" t="n"/>
      <c r="E9" s="665" t="n"/>
      <c r="F9" s="346" t="inlineStr">
        <is>
          <t>Include the conversion of the local measurement unit to hectares. In other words, how many local measurement units are in 1 ha. Only digits in Latin numbers should be inputted.</t>
        </is>
      </c>
      <c r="G9" s="402"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347" t="n">
        <v>0.2</v>
      </c>
      <c r="I9" s="348" t="n">
        <v>0.2</v>
      </c>
      <c r="J9" s="652" t="n"/>
      <c r="K9" s="647" t="n"/>
      <c r="L9" s="647" t="n"/>
      <c r="M9" s="647" t="n"/>
    </row>
    <row r="10" ht="32.15" customHeight="1">
      <c r="A10" s="650" t="n"/>
      <c r="B10" s="706" t="inlineStr">
        <is>
          <t>FOR OPTIONAL QUESTIONS    .
(Fill out if applicable)    .</t>
        </is>
      </c>
      <c r="C10" s="349" t="inlineStr">
        <is>
          <t>currency</t>
        </is>
      </c>
      <c r="D10" s="666" t="inlineStr">
        <is>
          <t>Rial</t>
        </is>
      </c>
      <c r="E10" s="667" t="inlineStr">
        <is>
          <t>الريال</t>
        </is>
      </c>
      <c r="F10" s="350" t="inlineStr">
        <is>
          <t xml:space="preserve">The name of the main currency used nationally; USD; Naira; Rial; Pesos; etc. </t>
        </is>
      </c>
      <c r="G10" s="403" t="inlineStr">
        <is>
          <t>اسم العملة الرئيسية المستخدمة وطنيا ؛ دولار أمريكي؛ نيرة؛ الريال؛ بيزو؛ إلخ.</t>
        </is>
      </c>
      <c r="H10" s="351" t="inlineStr">
        <is>
          <t>Naira</t>
        </is>
      </c>
      <c r="I10" s="381" t="inlineStr">
        <is>
          <t>نيرة</t>
        </is>
      </c>
      <c r="J10" s="652" t="n"/>
      <c r="K10" s="647" t="n"/>
      <c r="L10" s="647" t="n"/>
      <c r="M10" s="647" t="n"/>
    </row>
    <row r="11" ht="94.40000000000001" customHeight="1">
      <c r="A11" s="650" t="n"/>
      <c r="B11" s="707" t="n"/>
      <c r="C11" s="352" t="inlineStr">
        <is>
          <t>MIN AMOUNT</t>
        </is>
      </c>
      <c r="D11" s="668" t="inlineStr">
        <is>
          <t>Not applicable</t>
        </is>
      </c>
      <c r="E11" s="669" t="inlineStr">
        <is>
          <t>Not applicable</t>
        </is>
      </c>
      <c r="F11" s="353"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371"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670" t="n">
        <v>5</v>
      </c>
      <c r="I11" s="671" t="n">
        <v>5</v>
      </c>
      <c r="J11" s="652" t="n"/>
      <c r="K11" s="647" t="n"/>
      <c r="L11" s="648" t="n"/>
      <c r="M11" s="647" t="n"/>
    </row>
    <row r="12" ht="158.15" customHeight="1">
      <c r="A12" s="650" t="n"/>
      <c r="B12" s="707" t="n"/>
      <c r="C12" s="340" t="inlineStr">
        <is>
          <t>MAX AMOUNT</t>
        </is>
      </c>
      <c r="D12" s="668" t="inlineStr">
        <is>
          <t>Not applicable</t>
        </is>
      </c>
      <c r="E12" s="669" t="inlineStr">
        <is>
          <t>Not applicable</t>
        </is>
      </c>
      <c r="F12" s="34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371"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672" t="n">
        <v>5000000</v>
      </c>
      <c r="I12" s="671" t="n">
        <v>5000000</v>
      </c>
      <c r="J12" s="652" t="n"/>
      <c r="K12" s="650" t="n"/>
      <c r="L12" s="354" t="n"/>
      <c r="M12" s="652" t="n"/>
    </row>
    <row r="13" ht="116.25" customHeight="1">
      <c r="A13" s="650" t="n"/>
      <c r="B13" s="707" t="n"/>
      <c r="C13" s="352" t="inlineStr">
        <is>
          <t>THRESHOLD</t>
        </is>
      </c>
      <c r="D13" s="668" t="inlineStr">
        <is>
          <t>Not applicable</t>
        </is>
      </c>
      <c r="E13" s="669" t="inlineStr">
        <is>
          <t>Not applicable</t>
        </is>
      </c>
      <c r="F13" s="34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372"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672" t="n">
        <v>1200000</v>
      </c>
      <c r="I13" s="671" t="n">
        <v>1200000</v>
      </c>
      <c r="J13" s="652" t="n"/>
      <c r="K13" s="647" t="n"/>
      <c r="L13" s="673" t="n"/>
      <c r="M13" s="647" t="n"/>
    </row>
    <row r="14" ht="50.25" customHeight="1">
      <c r="A14" s="650" t="n"/>
      <c r="B14" s="707" t="n"/>
      <c r="C14" s="343" t="inlineStr">
        <is>
          <t>local vegetables</t>
        </is>
      </c>
      <c r="D14" s="660" t="inlineStr">
        <is>
          <t>tomatoes, okra, zucchini, cauliflower, cucumber, onions</t>
        </is>
      </c>
      <c r="E14" s="656" t="inlineStr">
        <is>
          <t>طماطم ، بامية ، كوسة ، قرنييط (زهرة) ، خيار ، بصل</t>
        </is>
      </c>
      <c r="F14" s="342" t="inlineStr">
        <is>
          <t>Input some common local vegetables [to be used as examples in the food consumption score indicator].</t>
        </is>
      </c>
      <c r="G14" s="371" t="inlineStr">
        <is>
          <t>أدخل بعض الخضروات المحلية الشائعة [لاستخدامها كأمثلة في مؤشر درجة استهلاك الغذاء].</t>
        </is>
      </c>
      <c r="H14" s="662" t="inlineStr">
        <is>
          <t>eggplants, zucchini, cauliflower</t>
        </is>
      </c>
      <c r="I14" s="377" t="inlineStr">
        <is>
          <t>باذنجان ، كوسة ، قرنبيط</t>
        </is>
      </c>
      <c r="J14" s="652" t="n"/>
      <c r="K14" s="647" t="n"/>
      <c r="L14" s="647" t="n"/>
      <c r="M14" s="647" t="n"/>
    </row>
    <row r="15" ht="50.25" customHeight="1" thickBot="1">
      <c r="A15" s="650" t="n"/>
      <c r="B15" s="700" t="n"/>
      <c r="C15" s="355" t="inlineStr">
        <is>
          <t>local fruits</t>
        </is>
      </c>
      <c r="D15" s="674" t="inlineStr">
        <is>
          <t>apple, orange, banana, grapes, mango, papaya, fig, muskmelon, red watermelon, dates</t>
        </is>
      </c>
      <c r="E15" s="675" t="inlineStr">
        <is>
          <t>التفاح / البرتقال ، الموز ، العنب ، المانجو ، البابايا ، التين ، الشمام ، البطيخ الاحمر ، البلح</t>
        </is>
      </c>
      <c r="F15" s="356" t="inlineStr">
        <is>
          <t>Input some common local fruits [to be used as examples in the food consumption score indicator].</t>
        </is>
      </c>
      <c r="G15" s="373" t="inlineStr">
        <is>
          <t>أدخل بعض الفاكهة المحلية الشائعة [لاستخدامها كأمثلة في مؤشر درجة استهلاك الغذاء].</t>
        </is>
      </c>
      <c r="H15" s="357" t="inlineStr">
        <is>
          <t>apples, bananas, oranges</t>
        </is>
      </c>
      <c r="I15" s="380" t="inlineStr">
        <is>
          <t>التفاح والموز والبرتقال</t>
        </is>
      </c>
      <c r="J15" s="652" t="n"/>
      <c r="K15" s="647" t="n"/>
      <c r="L15" s="647" t="n"/>
      <c r="M15" s="647" t="n"/>
    </row>
    <row r="16" ht="5.9" customHeight="1" thickBot="1">
      <c r="A16" s="650" t="n"/>
      <c r="B16" s="676" t="n"/>
      <c r="C16" s="358" t="n"/>
      <c r="D16" s="677" t="n"/>
      <c r="E16" s="678" t="n"/>
      <c r="F16" s="359" t="n"/>
      <c r="G16" s="360" t="n"/>
      <c r="H16" s="361" t="n"/>
      <c r="I16" s="362" t="n"/>
      <c r="J16" s="652" t="n"/>
      <c r="K16" s="647" t="n"/>
      <c r="L16" s="647" t="n"/>
      <c r="M16" s="647" t="n"/>
    </row>
    <row r="17" ht="133.4" customHeight="1">
      <c r="A17" s="650" t="n"/>
      <c r="B17" s="708" t="inlineStr">
        <is>
          <t>FILL OUT FOR QUESTIONNAIRE DURATION ESTIMATION    .</t>
        </is>
      </c>
      <c r="C17" s="398" t="inlineStr">
        <is>
          <t>Expected percentage of respondents cultivating crops</t>
        </is>
      </c>
      <c r="D17" s="679" t="inlineStr">
        <is>
          <t>38.7% (Source: YEM10)</t>
        </is>
      </c>
      <c r="E17" s="680" t="inlineStr">
        <is>
          <t>38.7% (Source: YEM10)</t>
        </is>
      </c>
      <c r="F17" s="404"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99"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400" t="n">
        <v>0.91</v>
      </c>
      <c r="I17" s="329" t="n">
        <v>0.91</v>
      </c>
      <c r="J17" s="652" t="n"/>
    </row>
    <row r="18" ht="129.65" customHeight="1">
      <c r="A18" s="650" t="n"/>
      <c r="B18" s="707" t="n"/>
      <c r="C18" s="363" t="inlineStr">
        <is>
          <t>Expected percentage of respondents raising livestock</t>
        </is>
      </c>
      <c r="D18" s="681" t="inlineStr">
        <is>
          <t>44.7% (Source: YEM10)</t>
        </is>
      </c>
      <c r="E18" s="682" t="inlineStr">
        <is>
          <t>44.7% (Source: YEM10)</t>
        </is>
      </c>
      <c r="F18" s="683"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4"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327" t="n">
        <v>0.91</v>
      </c>
      <c r="I18" s="82" t="n">
        <v>0.91</v>
      </c>
      <c r="J18" s="652" t="n"/>
    </row>
    <row r="19" ht="107.9" customHeight="1" thickBot="1">
      <c r="A19" s="650" t="n"/>
      <c r="B19" s="700" t="n"/>
      <c r="C19" s="364" t="inlineStr">
        <is>
          <t>Expected percentage of respondents involved in fishery</t>
        </is>
      </c>
      <c r="D19" s="684" t="inlineStr">
        <is>
          <t>2% (Source: YEM10)</t>
        </is>
      </c>
      <c r="E19" s="685" t="inlineStr">
        <is>
          <t>2% (Source: YEM10)</t>
        </is>
      </c>
      <c r="F19" s="405"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73"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328" t="n">
        <v>0.05</v>
      </c>
      <c r="I19" s="83" t="n">
        <v>0.05</v>
      </c>
      <c r="J19" s="652" t="n"/>
    </row>
    <row r="20">
      <c r="A20" s="647" t="n"/>
      <c r="B20" s="673" t="n"/>
      <c r="C20" s="673" t="n"/>
      <c r="D20" s="673" t="n"/>
      <c r="E20" s="673" t="n"/>
      <c r="F20" s="686" t="n"/>
      <c r="G20" s="686" t="n"/>
      <c r="H20" s="673" t="n"/>
      <c r="I20" s="673" t="n"/>
      <c r="J20" s="647" t="n"/>
    </row>
  </sheetData>
  <mergeCells count="3">
    <mergeCell ref="B3:B9"/>
    <mergeCell ref="B17:B19"/>
    <mergeCell ref="B10:B15"/>
  </mergeCells>
  <dataValidations count="2">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 sqref="E5" showDropDown="0" showInputMessage="1" showErrorMessage="1" allowBlank="0" type="list">
      <formula1>"العام العادي,  العام الماضي"</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ColWidth="8.90625" defaultRowHeight="14.5"/>
  <sheetData>
    <row r="1">
      <c r="A1" s="687" t="inlineStr">
        <is>
          <t>adm2_name</t>
        </is>
      </c>
      <c r="B1" s="687" t="inlineStr">
        <is>
          <t>adm2_name_local</t>
        </is>
      </c>
      <c r="C1" s="687" t="inlineStr">
        <is>
          <t>adm2_pcode</t>
        </is>
      </c>
      <c r="D1" s="687" t="inlineStr">
        <is>
          <t>adm1_name</t>
        </is>
      </c>
      <c r="E1" s="687" t="inlineStr">
        <is>
          <t>adm1_pcode</t>
        </is>
      </c>
      <c r="F1" s="687" t="inlineStr">
        <is>
          <t>adm0_name</t>
        </is>
      </c>
      <c r="G1" s="687" t="inlineStr">
        <is>
          <t>adm0_ISO3</t>
        </is>
      </c>
    </row>
    <row r="2">
      <c r="A2" t="inlineStr">
        <is>
          <t>Al Qafr</t>
        </is>
      </c>
      <c r="B2" t="inlineStr">
        <is>
          <t>القفر</t>
        </is>
      </c>
      <c r="C2" t="inlineStr">
        <is>
          <t>YE1101</t>
        </is>
      </c>
      <c r="D2" t="inlineStr">
        <is>
          <t>Ibb</t>
        </is>
      </c>
      <c r="E2" t="inlineStr">
        <is>
          <t>YE11</t>
        </is>
      </c>
      <c r="F2" t="inlineStr">
        <is>
          <t>Yemen</t>
        </is>
      </c>
      <c r="G2" t="inlineStr">
        <is>
          <t>YEM</t>
        </is>
      </c>
    </row>
    <row r="3">
      <c r="A3" t="inlineStr">
        <is>
          <t>Yarim</t>
        </is>
      </c>
      <c r="B3" t="inlineStr">
        <is>
          <t>يريم</t>
        </is>
      </c>
      <c r="C3" t="inlineStr">
        <is>
          <t>YE1102</t>
        </is>
      </c>
      <c r="D3" t="inlineStr">
        <is>
          <t>Ibb</t>
        </is>
      </c>
      <c r="E3" t="inlineStr">
        <is>
          <t>YE11</t>
        </is>
      </c>
      <c r="F3" t="inlineStr">
        <is>
          <t>Yemen</t>
        </is>
      </c>
      <c r="G3" t="inlineStr">
        <is>
          <t>YEM</t>
        </is>
      </c>
    </row>
    <row r="4">
      <c r="A4" t="inlineStr">
        <is>
          <t>Al Dhihar</t>
        </is>
      </c>
      <c r="B4" t="inlineStr">
        <is>
          <t>الظهار</t>
        </is>
      </c>
      <c r="C4" t="inlineStr">
        <is>
          <t>YE1119</t>
        </is>
      </c>
      <c r="D4" t="inlineStr">
        <is>
          <t>Ibb</t>
        </is>
      </c>
      <c r="E4" t="inlineStr">
        <is>
          <t>YE11</t>
        </is>
      </c>
      <c r="F4" t="inlineStr">
        <is>
          <t>Yemen</t>
        </is>
      </c>
      <c r="G4" t="inlineStr">
        <is>
          <t>YEM</t>
        </is>
      </c>
    </row>
    <row r="5">
      <c r="A5" t="inlineStr">
        <is>
          <t>Ibb</t>
        </is>
      </c>
      <c r="B5" t="inlineStr">
        <is>
          <t>إب</t>
        </is>
      </c>
      <c r="C5" t="inlineStr">
        <is>
          <t>YE1120</t>
        </is>
      </c>
      <c r="D5" t="inlineStr">
        <is>
          <t>Ibb</t>
        </is>
      </c>
      <c r="E5" t="inlineStr">
        <is>
          <t>YE11</t>
        </is>
      </c>
      <c r="F5" t="inlineStr">
        <is>
          <t>Yemen</t>
        </is>
      </c>
      <c r="G5" t="inlineStr">
        <is>
          <t>YEM</t>
        </is>
      </c>
    </row>
    <row r="6">
      <c r="A6" t="inlineStr">
        <is>
          <t>Khur Maksar</t>
        </is>
      </c>
      <c r="B6" t="inlineStr">
        <is>
          <t>خور مكسر</t>
        </is>
      </c>
      <c r="C6" t="inlineStr">
        <is>
          <t>YE2408</t>
        </is>
      </c>
      <c r="D6" t="inlineStr">
        <is>
          <t>Aden</t>
        </is>
      </c>
      <c r="E6" t="inlineStr">
        <is>
          <t>YE24</t>
        </is>
      </c>
      <c r="F6" t="inlineStr">
        <is>
          <t>Yemen</t>
        </is>
      </c>
      <c r="G6" t="inlineStr">
        <is>
          <t>YEM</t>
        </is>
      </c>
    </row>
    <row r="7">
      <c r="A7" t="inlineStr">
        <is>
          <t>Ar Radmah</t>
        </is>
      </c>
      <c r="B7" t="inlineStr">
        <is>
          <t>الرضمة</t>
        </is>
      </c>
      <c r="C7" t="inlineStr">
        <is>
          <t>YE1103</t>
        </is>
      </c>
      <c r="D7" t="inlineStr">
        <is>
          <t>Ibb</t>
        </is>
      </c>
      <c r="E7" t="inlineStr">
        <is>
          <t>YE11</t>
        </is>
      </c>
      <c r="F7" t="inlineStr">
        <is>
          <t>Yemen</t>
        </is>
      </c>
      <c r="G7" t="inlineStr">
        <is>
          <t>YEM</t>
        </is>
      </c>
    </row>
    <row r="8">
      <c r="A8" t="inlineStr">
        <is>
          <t>An Nadirah</t>
        </is>
      </c>
      <c r="B8" t="inlineStr">
        <is>
          <t>النادرة</t>
        </is>
      </c>
      <c r="C8" t="inlineStr">
        <is>
          <t>YE1104</t>
        </is>
      </c>
      <c r="D8" t="inlineStr">
        <is>
          <t>Ibb</t>
        </is>
      </c>
      <c r="E8" t="inlineStr">
        <is>
          <t>YE11</t>
        </is>
      </c>
      <c r="F8" t="inlineStr">
        <is>
          <t>Yemen</t>
        </is>
      </c>
      <c r="G8" t="inlineStr">
        <is>
          <t>YEM</t>
        </is>
      </c>
    </row>
    <row r="9">
      <c r="A9" t="inlineStr">
        <is>
          <t>Ash Sha'ir</t>
        </is>
      </c>
      <c r="B9" t="inlineStr">
        <is>
          <t>الشعر</t>
        </is>
      </c>
      <c r="C9" t="inlineStr">
        <is>
          <t>YE1105</t>
        </is>
      </c>
      <c r="D9" t="inlineStr">
        <is>
          <t>Ibb</t>
        </is>
      </c>
      <c r="E9" t="inlineStr">
        <is>
          <t>YE11</t>
        </is>
      </c>
      <c r="F9" t="inlineStr">
        <is>
          <t>Yemen</t>
        </is>
      </c>
      <c r="G9" t="inlineStr">
        <is>
          <t>YEM</t>
        </is>
      </c>
    </row>
    <row r="10">
      <c r="A10" t="inlineStr">
        <is>
          <t>Sibah</t>
        </is>
      </c>
      <c r="B10" t="inlineStr">
        <is>
          <t>سباح</t>
        </is>
      </c>
      <c r="C10" t="inlineStr">
        <is>
          <t>YE1205</t>
        </is>
      </c>
      <c r="D10" t="inlineStr">
        <is>
          <t>Abyan</t>
        </is>
      </c>
      <c r="E10" t="inlineStr">
        <is>
          <t>YE12</t>
        </is>
      </c>
      <c r="F10" t="inlineStr">
        <is>
          <t>Yemen</t>
        </is>
      </c>
      <c r="G10" t="inlineStr">
        <is>
          <t>YEM</t>
        </is>
      </c>
    </row>
    <row r="11">
      <c r="A11" t="inlineStr">
        <is>
          <t>As Saddah</t>
        </is>
      </c>
      <c r="B11" t="inlineStr">
        <is>
          <t>السدة</t>
        </is>
      </c>
      <c r="C11" t="inlineStr">
        <is>
          <t>YE1106</t>
        </is>
      </c>
      <c r="D11" t="inlineStr">
        <is>
          <t>Ibb</t>
        </is>
      </c>
      <c r="E11" t="inlineStr">
        <is>
          <t>YE11</t>
        </is>
      </c>
      <c r="F11" t="inlineStr">
        <is>
          <t>Yemen</t>
        </is>
      </c>
      <c r="G11" t="inlineStr">
        <is>
          <t>YEM</t>
        </is>
      </c>
    </row>
    <row r="12">
      <c r="A12" t="inlineStr">
        <is>
          <t>Al Makhadir</t>
        </is>
      </c>
      <c r="B12" t="inlineStr">
        <is>
          <t>المخادر</t>
        </is>
      </c>
      <c r="C12" t="inlineStr">
        <is>
          <t>YE1107</t>
        </is>
      </c>
      <c r="D12" t="inlineStr">
        <is>
          <t>Ibb</t>
        </is>
      </c>
      <c r="E12" t="inlineStr">
        <is>
          <t>YE11</t>
        </is>
      </c>
      <c r="F12" t="inlineStr">
        <is>
          <t>Yemen</t>
        </is>
      </c>
      <c r="G12" t="inlineStr">
        <is>
          <t>YEM</t>
        </is>
      </c>
    </row>
    <row r="13">
      <c r="A13" t="inlineStr">
        <is>
          <t>Hubaysh</t>
        </is>
      </c>
      <c r="B13" t="inlineStr">
        <is>
          <t>حبيش</t>
        </is>
      </c>
      <c r="C13" t="inlineStr">
        <is>
          <t>YE1108</t>
        </is>
      </c>
      <c r="D13" t="inlineStr">
        <is>
          <t>Ibb</t>
        </is>
      </c>
      <c r="E13" t="inlineStr">
        <is>
          <t>YE11</t>
        </is>
      </c>
      <c r="F13" t="inlineStr">
        <is>
          <t>Yemen</t>
        </is>
      </c>
      <c r="G13" t="inlineStr">
        <is>
          <t>YEM</t>
        </is>
      </c>
    </row>
    <row r="14">
      <c r="A14" t="inlineStr">
        <is>
          <t>Hazm Al Udayn</t>
        </is>
      </c>
      <c r="B14" t="inlineStr">
        <is>
          <t>حزم العدين</t>
        </is>
      </c>
      <c r="C14" t="inlineStr">
        <is>
          <t>YE1109</t>
        </is>
      </c>
      <c r="D14" t="inlineStr">
        <is>
          <t>Ibb</t>
        </is>
      </c>
      <c r="E14" t="inlineStr">
        <is>
          <t>YE11</t>
        </is>
      </c>
      <c r="F14" t="inlineStr">
        <is>
          <t>Yemen</t>
        </is>
      </c>
      <c r="G14" t="inlineStr">
        <is>
          <t>YEM</t>
        </is>
      </c>
    </row>
    <row r="15">
      <c r="A15" t="inlineStr">
        <is>
          <t>Far Al Udayn</t>
        </is>
      </c>
      <c r="B15" t="inlineStr">
        <is>
          <t>فرع العدين</t>
        </is>
      </c>
      <c r="C15" t="inlineStr">
        <is>
          <t>YE1110</t>
        </is>
      </c>
      <c r="D15" t="inlineStr">
        <is>
          <t>Ibb</t>
        </is>
      </c>
      <c r="E15" t="inlineStr">
        <is>
          <t>YE11</t>
        </is>
      </c>
      <c r="F15" t="inlineStr">
        <is>
          <t>Yemen</t>
        </is>
      </c>
      <c r="G15" t="inlineStr">
        <is>
          <t>YEM</t>
        </is>
      </c>
    </row>
    <row r="16">
      <c r="A16" t="inlineStr">
        <is>
          <t>Al Udayn</t>
        </is>
      </c>
      <c r="B16" t="inlineStr">
        <is>
          <t>العدين</t>
        </is>
      </c>
      <c r="C16" t="inlineStr">
        <is>
          <t>YE1111</t>
        </is>
      </c>
      <c r="D16" t="inlineStr">
        <is>
          <t>Ibb</t>
        </is>
      </c>
      <c r="E16" t="inlineStr">
        <is>
          <t>YE11</t>
        </is>
      </c>
      <c r="F16" t="inlineStr">
        <is>
          <t>Yemen</t>
        </is>
      </c>
      <c r="G16" t="inlineStr">
        <is>
          <t>YEM</t>
        </is>
      </c>
    </row>
    <row r="17">
      <c r="A17" t="inlineStr">
        <is>
          <t>Jiblah</t>
        </is>
      </c>
      <c r="B17" t="inlineStr">
        <is>
          <t>جبلة</t>
        </is>
      </c>
      <c r="C17" t="inlineStr">
        <is>
          <t>YE1112</t>
        </is>
      </c>
      <c r="D17" t="inlineStr">
        <is>
          <t>Ibb</t>
        </is>
      </c>
      <c r="E17" t="inlineStr">
        <is>
          <t>YE11</t>
        </is>
      </c>
      <c r="F17" t="inlineStr">
        <is>
          <t>Yemen</t>
        </is>
      </c>
      <c r="G17" t="inlineStr">
        <is>
          <t>YEM</t>
        </is>
      </c>
    </row>
    <row r="18">
      <c r="A18" t="inlineStr">
        <is>
          <t>Ba'dan</t>
        </is>
      </c>
      <c r="B18" t="inlineStr">
        <is>
          <t>بعدان</t>
        </is>
      </c>
      <c r="C18" t="inlineStr">
        <is>
          <t>YE1113</t>
        </is>
      </c>
      <c r="D18" t="inlineStr">
        <is>
          <t>Ibb</t>
        </is>
      </c>
      <c r="E18" t="inlineStr">
        <is>
          <t>YE11</t>
        </is>
      </c>
      <c r="F18" t="inlineStr">
        <is>
          <t>Yemen</t>
        </is>
      </c>
      <c r="G18" t="inlineStr">
        <is>
          <t>YEM</t>
        </is>
      </c>
    </row>
    <row r="19">
      <c r="A19" t="inlineStr">
        <is>
          <t>As Sabrah</t>
        </is>
      </c>
      <c r="B19" t="inlineStr">
        <is>
          <t>السبرة</t>
        </is>
      </c>
      <c r="C19" t="inlineStr">
        <is>
          <t>YE1114</t>
        </is>
      </c>
      <c r="D19" t="inlineStr">
        <is>
          <t>Ibb</t>
        </is>
      </c>
      <c r="E19" t="inlineStr">
        <is>
          <t>YE11</t>
        </is>
      </c>
      <c r="F19" t="inlineStr">
        <is>
          <t>Yemen</t>
        </is>
      </c>
      <c r="G19" t="inlineStr">
        <is>
          <t>YEM</t>
        </is>
      </c>
    </row>
    <row r="20">
      <c r="A20" t="inlineStr">
        <is>
          <t>Zingibar</t>
        </is>
      </c>
      <c r="B20" t="inlineStr">
        <is>
          <t>زنجبار</t>
        </is>
      </c>
      <c r="C20" t="inlineStr">
        <is>
          <t>YE1210</t>
        </is>
      </c>
      <c r="D20" t="inlineStr">
        <is>
          <t>Abyan</t>
        </is>
      </c>
      <c r="E20" t="inlineStr">
        <is>
          <t>YE12</t>
        </is>
      </c>
      <c r="F20" t="inlineStr">
        <is>
          <t>Yemen</t>
        </is>
      </c>
      <c r="G20" t="inlineStr">
        <is>
          <t>YEM</t>
        </is>
      </c>
    </row>
    <row r="21">
      <c r="A21" t="inlineStr">
        <is>
          <t>Khanfir</t>
        </is>
      </c>
      <c r="B21" t="inlineStr">
        <is>
          <t>خنفر</t>
        </is>
      </c>
      <c r="C21" t="inlineStr">
        <is>
          <t>YE1211</t>
        </is>
      </c>
      <c r="D21" t="inlineStr">
        <is>
          <t>Abyan</t>
        </is>
      </c>
      <c r="E21" t="inlineStr">
        <is>
          <t>YE12</t>
        </is>
      </c>
      <c r="F21" t="inlineStr">
        <is>
          <t>Yemen</t>
        </is>
      </c>
      <c r="G21" t="inlineStr">
        <is>
          <t>YEM</t>
        </is>
      </c>
    </row>
    <row r="22">
      <c r="A22" t="inlineStr">
        <is>
          <t>As Sayyani</t>
        </is>
      </c>
      <c r="B22" t="inlineStr">
        <is>
          <t>السياني</t>
        </is>
      </c>
      <c r="C22" t="inlineStr">
        <is>
          <t>YE1115</t>
        </is>
      </c>
      <c r="D22" t="inlineStr">
        <is>
          <t>Ibb</t>
        </is>
      </c>
      <c r="E22" t="inlineStr">
        <is>
          <t>YE11</t>
        </is>
      </c>
      <c r="F22" t="inlineStr">
        <is>
          <t>Yemen</t>
        </is>
      </c>
      <c r="G22" t="inlineStr">
        <is>
          <t>YEM</t>
        </is>
      </c>
    </row>
    <row r="23">
      <c r="A23" t="inlineStr">
        <is>
          <t>Old City</t>
        </is>
      </c>
      <c r="B23" t="inlineStr">
        <is>
          <t>صنعاء القديمة</t>
        </is>
      </c>
      <c r="C23" t="inlineStr">
        <is>
          <t>YE1301</t>
        </is>
      </c>
      <c r="D23" t="inlineStr">
        <is>
          <t>Sana'a City</t>
        </is>
      </c>
      <c r="E23" t="inlineStr">
        <is>
          <t>YE13</t>
        </is>
      </c>
      <c r="F23" t="inlineStr">
        <is>
          <t>Yemen</t>
        </is>
      </c>
      <c r="G23" t="inlineStr">
        <is>
          <t>YEM</t>
        </is>
      </c>
    </row>
    <row r="24">
      <c r="A24" t="inlineStr">
        <is>
          <t>Dhi As Sufal</t>
        </is>
      </c>
      <c r="B24" t="inlineStr">
        <is>
          <t>ذي السفال</t>
        </is>
      </c>
      <c r="C24" t="inlineStr">
        <is>
          <t>YE1116</t>
        </is>
      </c>
      <c r="D24" t="inlineStr">
        <is>
          <t>Ibb</t>
        </is>
      </c>
      <c r="E24" t="inlineStr">
        <is>
          <t>YE11</t>
        </is>
      </c>
      <c r="F24" t="inlineStr">
        <is>
          <t>Yemen</t>
        </is>
      </c>
      <c r="G24" t="inlineStr">
        <is>
          <t>YEM</t>
        </is>
      </c>
    </row>
    <row r="25">
      <c r="A25" t="inlineStr">
        <is>
          <t>Mudhaykhirah</t>
        </is>
      </c>
      <c r="B25" t="inlineStr">
        <is>
          <t>مذيخرة</t>
        </is>
      </c>
      <c r="C25" t="inlineStr">
        <is>
          <t>YE1117</t>
        </is>
      </c>
      <c r="D25" t="inlineStr">
        <is>
          <t>Ibb</t>
        </is>
      </c>
      <c r="E25" t="inlineStr">
        <is>
          <t>YE11</t>
        </is>
      </c>
      <c r="F25" t="inlineStr">
        <is>
          <t>Yemen</t>
        </is>
      </c>
      <c r="G25" t="inlineStr">
        <is>
          <t>YEM</t>
        </is>
      </c>
    </row>
    <row r="26">
      <c r="A26" t="inlineStr">
        <is>
          <t>Jihanah</t>
        </is>
      </c>
      <c r="B26" t="inlineStr">
        <is>
          <t>جحانة</t>
        </is>
      </c>
      <c r="C26" t="inlineStr">
        <is>
          <t>YE2316</t>
        </is>
      </c>
      <c r="D26" t="inlineStr">
        <is>
          <t>Sana'a</t>
        </is>
      </c>
      <c r="E26" t="inlineStr">
        <is>
          <t>YE23</t>
        </is>
      </c>
      <c r="F26" t="inlineStr">
        <is>
          <t>Yemen</t>
        </is>
      </c>
      <c r="G26" t="inlineStr">
        <is>
          <t>YEM</t>
        </is>
      </c>
    </row>
    <row r="27">
      <c r="A27" t="inlineStr">
        <is>
          <t>Al Mashannah</t>
        </is>
      </c>
      <c r="B27" t="inlineStr">
        <is>
          <t>المشنة</t>
        </is>
      </c>
      <c r="C27" t="inlineStr">
        <is>
          <t>YE1118</t>
        </is>
      </c>
      <c r="D27" t="inlineStr">
        <is>
          <t>Ibb</t>
        </is>
      </c>
      <c r="E27" t="inlineStr">
        <is>
          <t>YE11</t>
        </is>
      </c>
      <c r="F27" t="inlineStr">
        <is>
          <t>Yemen</t>
        </is>
      </c>
      <c r="G27" t="inlineStr">
        <is>
          <t>YEM</t>
        </is>
      </c>
    </row>
    <row r="28">
      <c r="A28" t="inlineStr">
        <is>
          <t>Al Mahfad</t>
        </is>
      </c>
      <c r="B28" t="inlineStr">
        <is>
          <t>المحفد</t>
        </is>
      </c>
      <c r="C28" t="inlineStr">
        <is>
          <t>YE1201</t>
        </is>
      </c>
      <c r="D28" t="inlineStr">
        <is>
          <t>Abyan</t>
        </is>
      </c>
      <c r="E28" t="inlineStr">
        <is>
          <t>YE12</t>
        </is>
      </c>
      <c r="F28" t="inlineStr">
        <is>
          <t>Yemen</t>
        </is>
      </c>
      <c r="G28" t="inlineStr">
        <is>
          <t>YEM</t>
        </is>
      </c>
    </row>
    <row r="29">
      <c r="A29" t="inlineStr">
        <is>
          <t>Bidbadah</t>
        </is>
      </c>
      <c r="B29" t="inlineStr">
        <is>
          <t>بدبده</t>
        </is>
      </c>
      <c r="C29" t="inlineStr">
        <is>
          <t>YE2605</t>
        </is>
      </c>
      <c r="D29" t="inlineStr">
        <is>
          <t>Ma'rib</t>
        </is>
      </c>
      <c r="E29" t="inlineStr">
        <is>
          <t>YE26</t>
        </is>
      </c>
      <c r="F29" t="inlineStr">
        <is>
          <t>Yemen</t>
        </is>
      </c>
      <c r="G29" t="inlineStr">
        <is>
          <t>YEM</t>
        </is>
      </c>
    </row>
    <row r="30">
      <c r="A30" t="inlineStr">
        <is>
          <t>Mudiyah</t>
        </is>
      </c>
      <c r="B30" t="inlineStr">
        <is>
          <t>موديه</t>
        </is>
      </c>
      <c r="C30" t="inlineStr">
        <is>
          <t>YE1202</t>
        </is>
      </c>
      <c r="D30" t="inlineStr">
        <is>
          <t>Abyan</t>
        </is>
      </c>
      <c r="E30" t="inlineStr">
        <is>
          <t>YE12</t>
        </is>
      </c>
      <c r="F30" t="inlineStr">
        <is>
          <t>Yemen</t>
        </is>
      </c>
      <c r="G30" t="inlineStr">
        <is>
          <t>YEM</t>
        </is>
      </c>
    </row>
    <row r="31">
      <c r="A31" t="inlineStr">
        <is>
          <t>Jayshan</t>
        </is>
      </c>
      <c r="B31" t="inlineStr">
        <is>
          <t>جيشان</t>
        </is>
      </c>
      <c r="C31" t="inlineStr">
        <is>
          <t>YE1203</t>
        </is>
      </c>
      <c r="D31" t="inlineStr">
        <is>
          <t>Abyan</t>
        </is>
      </c>
      <c r="E31" t="inlineStr">
        <is>
          <t>YE12</t>
        </is>
      </c>
      <c r="F31" t="inlineStr">
        <is>
          <t>Yemen</t>
        </is>
      </c>
      <c r="G31" t="inlineStr">
        <is>
          <t>YEM</t>
        </is>
      </c>
    </row>
    <row r="32">
      <c r="A32" t="inlineStr">
        <is>
          <t>Hamdan</t>
        </is>
      </c>
      <c r="B32" t="inlineStr">
        <is>
          <t>همدان</t>
        </is>
      </c>
      <c r="C32" t="inlineStr">
        <is>
          <t>YE2319</t>
        </is>
      </c>
      <c r="D32" t="inlineStr">
        <is>
          <t>Sana'a</t>
        </is>
      </c>
      <c r="E32" t="inlineStr">
        <is>
          <t>YE23</t>
        </is>
      </c>
      <c r="F32" t="inlineStr">
        <is>
          <t>Yemen</t>
        </is>
      </c>
      <c r="G32" t="inlineStr">
        <is>
          <t>YEM</t>
        </is>
      </c>
    </row>
    <row r="33">
      <c r="A33" t="inlineStr">
        <is>
          <t>Lawdar</t>
        </is>
      </c>
      <c r="B33" t="inlineStr">
        <is>
          <t>لودر</t>
        </is>
      </c>
      <c r="C33" t="inlineStr">
        <is>
          <t>YE1204</t>
        </is>
      </c>
      <c r="D33" t="inlineStr">
        <is>
          <t>Abyan</t>
        </is>
      </c>
      <c r="E33" t="inlineStr">
        <is>
          <t>YE12</t>
        </is>
      </c>
      <c r="F33" t="inlineStr">
        <is>
          <t>Yemen</t>
        </is>
      </c>
      <c r="G33" t="inlineStr">
        <is>
          <t>YEM</t>
        </is>
      </c>
    </row>
    <row r="34">
      <c r="A34" t="inlineStr">
        <is>
          <t>Rasad</t>
        </is>
      </c>
      <c r="B34" t="inlineStr">
        <is>
          <t>رصد</t>
        </is>
      </c>
      <c r="C34" t="inlineStr">
        <is>
          <t>YE1206</t>
        </is>
      </c>
      <c r="D34" t="inlineStr">
        <is>
          <t>Abyan</t>
        </is>
      </c>
      <c r="E34" t="inlineStr">
        <is>
          <t>YE12</t>
        </is>
      </c>
      <c r="F34" t="inlineStr">
        <is>
          <t>Yemen</t>
        </is>
      </c>
      <c r="G34" t="inlineStr">
        <is>
          <t>YEM</t>
        </is>
      </c>
    </row>
    <row r="35">
      <c r="A35" t="inlineStr">
        <is>
          <t>At Taffah</t>
        </is>
      </c>
      <c r="B35" t="inlineStr">
        <is>
          <t>الطفة</t>
        </is>
      </c>
      <c r="C35" t="inlineStr">
        <is>
          <t>YE1407</t>
        </is>
      </c>
      <c r="D35" t="inlineStr">
        <is>
          <t>Al Bayda</t>
        </is>
      </c>
      <c r="E35" t="inlineStr">
        <is>
          <t>YE14</t>
        </is>
      </c>
      <c r="F35" t="inlineStr">
        <is>
          <t>Yemen</t>
        </is>
      </c>
      <c r="G35" t="inlineStr">
        <is>
          <t>YEM</t>
        </is>
      </c>
    </row>
    <row r="36">
      <c r="A36" t="inlineStr">
        <is>
          <t>Sarar</t>
        </is>
      </c>
      <c r="B36" t="inlineStr">
        <is>
          <t>سرار</t>
        </is>
      </c>
      <c r="C36" t="inlineStr">
        <is>
          <t>YE1207</t>
        </is>
      </c>
      <c r="D36" t="inlineStr">
        <is>
          <t>Abyan</t>
        </is>
      </c>
      <c r="E36" t="inlineStr">
        <is>
          <t>YE12</t>
        </is>
      </c>
      <c r="F36" t="inlineStr">
        <is>
          <t>Yemen</t>
        </is>
      </c>
      <c r="G36" t="inlineStr">
        <is>
          <t>YEM</t>
        </is>
      </c>
    </row>
    <row r="37">
      <c r="A37" t="inlineStr">
        <is>
          <t>Al Wade'a</t>
        </is>
      </c>
      <c r="B37" t="inlineStr">
        <is>
          <t>الوضيع</t>
        </is>
      </c>
      <c r="C37" t="inlineStr">
        <is>
          <t>YE1208</t>
        </is>
      </c>
      <c r="D37" t="inlineStr">
        <is>
          <t>Abyan</t>
        </is>
      </c>
      <c r="E37" t="inlineStr">
        <is>
          <t>YE12</t>
        </is>
      </c>
      <c r="F37" t="inlineStr">
        <is>
          <t>Yemen</t>
        </is>
      </c>
      <c r="G37" t="inlineStr">
        <is>
          <t>YEM</t>
        </is>
      </c>
    </row>
    <row r="38">
      <c r="A38" t="inlineStr">
        <is>
          <t>Ahwar</t>
        </is>
      </c>
      <c r="B38" t="inlineStr">
        <is>
          <t>احوار</t>
        </is>
      </c>
      <c r="C38" t="inlineStr">
        <is>
          <t>YE1209</t>
        </is>
      </c>
      <c r="D38" t="inlineStr">
        <is>
          <t>Abyan</t>
        </is>
      </c>
      <c r="E38" t="inlineStr">
        <is>
          <t>YE12</t>
        </is>
      </c>
      <c r="F38" t="inlineStr">
        <is>
          <t>Yemen</t>
        </is>
      </c>
      <c r="G38" t="inlineStr">
        <is>
          <t>YEM</t>
        </is>
      </c>
    </row>
    <row r="39">
      <c r="A39" t="inlineStr">
        <is>
          <t>Shu'aub</t>
        </is>
      </c>
      <c r="B39" t="inlineStr">
        <is>
          <t>شعوب</t>
        </is>
      </c>
      <c r="C39" t="inlineStr">
        <is>
          <t>YE1302</t>
        </is>
      </c>
      <c r="D39" t="inlineStr">
        <is>
          <t>Sana'a City</t>
        </is>
      </c>
      <c r="E39" t="inlineStr">
        <is>
          <t>YE13</t>
        </is>
      </c>
      <c r="F39" t="inlineStr">
        <is>
          <t>Yemen</t>
        </is>
      </c>
      <c r="G39" t="inlineStr">
        <is>
          <t>YEM</t>
        </is>
      </c>
    </row>
    <row r="40">
      <c r="A40" t="inlineStr">
        <is>
          <t>As Sawadiyah</t>
        </is>
      </c>
      <c r="B40" t="inlineStr">
        <is>
          <t>السوادية</t>
        </is>
      </c>
      <c r="C40" t="inlineStr">
        <is>
          <t>YE1411</t>
        </is>
      </c>
      <c r="D40" t="inlineStr">
        <is>
          <t>Al Bayda</t>
        </is>
      </c>
      <c r="E40" t="inlineStr">
        <is>
          <t>YE14</t>
        </is>
      </c>
      <c r="F40" t="inlineStr">
        <is>
          <t>Yemen</t>
        </is>
      </c>
      <c r="G40" t="inlineStr">
        <is>
          <t>YEM</t>
        </is>
      </c>
    </row>
    <row r="41">
      <c r="A41" t="inlineStr">
        <is>
          <t>Az'zal</t>
        </is>
      </c>
      <c r="B41" t="inlineStr">
        <is>
          <t>أزال</t>
        </is>
      </c>
      <c r="C41" t="inlineStr">
        <is>
          <t>YE1303</t>
        </is>
      </c>
      <c r="D41" t="inlineStr">
        <is>
          <t>Sana'a City</t>
        </is>
      </c>
      <c r="E41" t="inlineStr">
        <is>
          <t>YE13</t>
        </is>
      </c>
      <c r="F41" t="inlineStr">
        <is>
          <t>Yemen</t>
        </is>
      </c>
      <c r="G41" t="inlineStr">
        <is>
          <t>YEM</t>
        </is>
      </c>
    </row>
    <row r="42">
      <c r="A42" t="inlineStr">
        <is>
          <t>Az Zahir</t>
        </is>
      </c>
      <c r="B42" t="inlineStr">
        <is>
          <t>الزاهر</t>
        </is>
      </c>
      <c r="C42" t="inlineStr">
        <is>
          <t>YE1405</t>
        </is>
      </c>
      <c r="D42" t="inlineStr">
        <is>
          <t>Al Bayda</t>
        </is>
      </c>
      <c r="E42" t="inlineStr">
        <is>
          <t>YE14</t>
        </is>
      </c>
      <c r="F42" t="inlineStr">
        <is>
          <t>Yemen</t>
        </is>
      </c>
      <c r="G42" t="inlineStr">
        <is>
          <t>YEM</t>
        </is>
      </c>
    </row>
    <row r="43">
      <c r="A43" t="inlineStr">
        <is>
          <t>Assafi'yah</t>
        </is>
      </c>
      <c r="B43" t="inlineStr">
        <is>
          <t>الصافية</t>
        </is>
      </c>
      <c r="C43" t="inlineStr">
        <is>
          <t>YE1304</t>
        </is>
      </c>
      <c r="D43" t="inlineStr">
        <is>
          <t>Sana'a City</t>
        </is>
      </c>
      <c r="E43" t="inlineStr">
        <is>
          <t>YE13</t>
        </is>
      </c>
      <c r="F43" t="inlineStr">
        <is>
          <t>Yemen</t>
        </is>
      </c>
      <c r="G43" t="inlineStr">
        <is>
          <t>YEM</t>
        </is>
      </c>
    </row>
    <row r="44">
      <c r="A44" t="inlineStr">
        <is>
          <t>Dhi Na'im</t>
        </is>
      </c>
      <c r="B44" t="inlineStr">
        <is>
          <t>ذي ناعم</t>
        </is>
      </c>
      <c r="C44" t="inlineStr">
        <is>
          <t>YE1406</t>
        </is>
      </c>
      <c r="D44" t="inlineStr">
        <is>
          <t>Al Bayda</t>
        </is>
      </c>
      <c r="E44" t="inlineStr">
        <is>
          <t>YE14</t>
        </is>
      </c>
      <c r="F44" t="inlineStr">
        <is>
          <t>Yemen</t>
        </is>
      </c>
      <c r="G44" t="inlineStr">
        <is>
          <t>YEM</t>
        </is>
      </c>
    </row>
    <row r="45">
      <c r="A45" t="inlineStr">
        <is>
          <t>Al Wahdah</t>
        </is>
      </c>
      <c r="B45" t="inlineStr">
        <is>
          <t>الوحدة</t>
        </is>
      </c>
      <c r="C45" t="inlineStr">
        <is>
          <t>YE1306</t>
        </is>
      </c>
      <c r="D45" t="inlineStr">
        <is>
          <t>Sana'a City</t>
        </is>
      </c>
      <c r="E45" t="inlineStr">
        <is>
          <t>YE13</t>
        </is>
      </c>
      <c r="F45" t="inlineStr">
        <is>
          <t>Yemen</t>
        </is>
      </c>
      <c r="G45" t="inlineStr">
        <is>
          <t>YEM</t>
        </is>
      </c>
    </row>
    <row r="46">
      <c r="A46" t="inlineStr">
        <is>
          <t>At Tahrir</t>
        </is>
      </c>
      <c r="B46" t="inlineStr">
        <is>
          <t>التحرير</t>
        </is>
      </c>
      <c r="C46" t="inlineStr">
        <is>
          <t>YE1307</t>
        </is>
      </c>
      <c r="D46" t="inlineStr">
        <is>
          <t>Sana'a City</t>
        </is>
      </c>
      <c r="E46" t="inlineStr">
        <is>
          <t>YE13</t>
        </is>
      </c>
      <c r="F46" t="inlineStr">
        <is>
          <t>Yemen</t>
        </is>
      </c>
      <c r="G46" t="inlineStr">
        <is>
          <t>YEM</t>
        </is>
      </c>
    </row>
    <row r="47">
      <c r="A47" t="inlineStr">
        <is>
          <t>Ma'ain</t>
        </is>
      </c>
      <c r="B47" t="inlineStr">
        <is>
          <t>معين</t>
        </is>
      </c>
      <c r="C47" t="inlineStr">
        <is>
          <t>YE1308</t>
        </is>
      </c>
      <c r="D47" t="inlineStr">
        <is>
          <t>Sana'a City</t>
        </is>
      </c>
      <c r="E47" t="inlineStr">
        <is>
          <t>YE13</t>
        </is>
      </c>
      <c r="F47" t="inlineStr">
        <is>
          <t>Yemen</t>
        </is>
      </c>
      <c r="G47" t="inlineStr">
        <is>
          <t>YEM</t>
        </is>
      </c>
    </row>
    <row r="48">
      <c r="A48" t="inlineStr">
        <is>
          <t>Ath'thaorah</t>
        </is>
      </c>
      <c r="B48" t="inlineStr">
        <is>
          <t>الثورة</t>
        </is>
      </c>
      <c r="C48" t="inlineStr">
        <is>
          <t>YE1309</t>
        </is>
      </c>
      <c r="D48" t="inlineStr">
        <is>
          <t>Sana'a City</t>
        </is>
      </c>
      <c r="E48" t="inlineStr">
        <is>
          <t>YE13</t>
        </is>
      </c>
      <c r="F48" t="inlineStr">
        <is>
          <t>Yemen</t>
        </is>
      </c>
      <c r="G48" t="inlineStr">
        <is>
          <t>YEM</t>
        </is>
      </c>
    </row>
    <row r="49">
      <c r="A49" t="inlineStr">
        <is>
          <t>Bani Al Harith</t>
        </is>
      </c>
      <c r="B49" t="inlineStr">
        <is>
          <t>بني الحارث</t>
        </is>
      </c>
      <c r="C49" t="inlineStr">
        <is>
          <t>YE1310</t>
        </is>
      </c>
      <c r="D49" t="inlineStr">
        <is>
          <t>Sana'a City</t>
        </is>
      </c>
      <c r="E49" t="inlineStr">
        <is>
          <t>YE13</t>
        </is>
      </c>
      <c r="F49" t="inlineStr">
        <is>
          <t>Yemen</t>
        </is>
      </c>
      <c r="G49" t="inlineStr">
        <is>
          <t>YEM</t>
        </is>
      </c>
    </row>
    <row r="50">
      <c r="A50" t="inlineStr">
        <is>
          <t>Radman Al Awad</t>
        </is>
      </c>
      <c r="B50" t="inlineStr">
        <is>
          <t>ردمان</t>
        </is>
      </c>
      <c r="C50" t="inlineStr">
        <is>
          <t>YE1412</t>
        </is>
      </c>
      <c r="D50" t="inlineStr">
        <is>
          <t>Al Bayda</t>
        </is>
      </c>
      <c r="E50" t="inlineStr">
        <is>
          <t>YE14</t>
        </is>
      </c>
      <c r="F50" t="inlineStr">
        <is>
          <t>Yemen</t>
        </is>
      </c>
      <c r="G50" t="inlineStr">
        <is>
          <t>YEM</t>
        </is>
      </c>
    </row>
    <row r="51">
      <c r="A51" t="inlineStr">
        <is>
          <t>Sanhan</t>
        </is>
      </c>
      <c r="B51" t="inlineStr">
        <is>
          <t>سنحان وبني بهلول</t>
        </is>
      </c>
      <c r="C51" t="inlineStr">
        <is>
          <t>YE2305</t>
        </is>
      </c>
      <c r="D51" t="inlineStr">
        <is>
          <t>Sana'a</t>
        </is>
      </c>
      <c r="E51" t="inlineStr">
        <is>
          <t>YE23</t>
        </is>
      </c>
      <c r="F51" t="inlineStr">
        <is>
          <t>Yemen</t>
        </is>
      </c>
      <c r="G51" t="inlineStr">
        <is>
          <t>YEM</t>
        </is>
      </c>
    </row>
    <row r="52">
      <c r="A52" t="inlineStr">
        <is>
          <t>Na'man</t>
        </is>
      </c>
      <c r="B52" t="inlineStr">
        <is>
          <t>نعمان</t>
        </is>
      </c>
      <c r="C52" t="inlineStr">
        <is>
          <t>YE1401</t>
        </is>
      </c>
      <c r="D52" t="inlineStr">
        <is>
          <t>Al Bayda</t>
        </is>
      </c>
      <c r="E52" t="inlineStr">
        <is>
          <t>YE14</t>
        </is>
      </c>
      <c r="F52" t="inlineStr">
        <is>
          <t>Yemen</t>
        </is>
      </c>
      <c r="G52" t="inlineStr">
        <is>
          <t>YEM</t>
        </is>
      </c>
    </row>
    <row r="53">
      <c r="A53" t="inlineStr">
        <is>
          <t>Sabah</t>
        </is>
      </c>
      <c r="B53" t="inlineStr">
        <is>
          <t>صباح</t>
        </is>
      </c>
      <c r="C53" t="inlineStr">
        <is>
          <t>YE1417</t>
        </is>
      </c>
      <c r="D53" t="inlineStr">
        <is>
          <t>Al Bayda</t>
        </is>
      </c>
      <c r="E53" t="inlineStr">
        <is>
          <t>YE14</t>
        </is>
      </c>
      <c r="F53" t="inlineStr">
        <is>
          <t>Yemen</t>
        </is>
      </c>
      <c r="G53" t="inlineStr">
        <is>
          <t>YEM</t>
        </is>
      </c>
    </row>
    <row r="54">
      <c r="A54" t="inlineStr">
        <is>
          <t>Nati'</t>
        </is>
      </c>
      <c r="B54" t="inlineStr">
        <is>
          <t>ناطع</t>
        </is>
      </c>
      <c r="C54" t="inlineStr">
        <is>
          <t>YE1402</t>
        </is>
      </c>
      <c r="D54" t="inlineStr">
        <is>
          <t>Al Bayda</t>
        </is>
      </c>
      <c r="E54" t="inlineStr">
        <is>
          <t>YE14</t>
        </is>
      </c>
      <c r="F54" t="inlineStr">
        <is>
          <t>Yemen</t>
        </is>
      </c>
      <c r="G54" t="inlineStr">
        <is>
          <t>YEM</t>
        </is>
      </c>
    </row>
    <row r="55">
      <c r="A55" t="inlineStr">
        <is>
          <t>Maswarah</t>
        </is>
      </c>
      <c r="B55" t="inlineStr">
        <is>
          <t>مسورة</t>
        </is>
      </c>
      <c r="C55" t="inlineStr">
        <is>
          <t>YE1403</t>
        </is>
      </c>
      <c r="D55" t="inlineStr">
        <is>
          <t>Al Bayda</t>
        </is>
      </c>
      <c r="E55" t="inlineStr">
        <is>
          <t>YE14</t>
        </is>
      </c>
      <c r="F55" t="inlineStr">
        <is>
          <t>Yemen</t>
        </is>
      </c>
      <c r="G55" t="inlineStr">
        <is>
          <t>YEM</t>
        </is>
      </c>
    </row>
    <row r="56">
      <c r="A56" t="inlineStr">
        <is>
          <t>As Sawma'ah</t>
        </is>
      </c>
      <c r="B56" t="inlineStr">
        <is>
          <t>الصومعة</t>
        </is>
      </c>
      <c r="C56" t="inlineStr">
        <is>
          <t>YE1404</t>
        </is>
      </c>
      <c r="D56" t="inlineStr">
        <is>
          <t>Al Bayda</t>
        </is>
      </c>
      <c r="E56" t="inlineStr">
        <is>
          <t>YE14</t>
        </is>
      </c>
      <c r="F56" t="inlineStr">
        <is>
          <t>Yemen</t>
        </is>
      </c>
      <c r="G56" t="inlineStr">
        <is>
          <t>YEM</t>
        </is>
      </c>
    </row>
    <row r="57">
      <c r="A57" t="inlineStr">
        <is>
          <t>Mukayras</t>
        </is>
      </c>
      <c r="B57" t="inlineStr">
        <is>
          <t>مكيراس</t>
        </is>
      </c>
      <c r="C57" t="inlineStr">
        <is>
          <t>YE1408</t>
        </is>
      </c>
      <c r="D57" t="inlineStr">
        <is>
          <t>Al Bayda</t>
        </is>
      </c>
      <c r="E57" t="inlineStr">
        <is>
          <t>YE14</t>
        </is>
      </c>
      <c r="F57" t="inlineStr">
        <is>
          <t>Yemen</t>
        </is>
      </c>
      <c r="G57" t="inlineStr">
        <is>
          <t>YEM</t>
        </is>
      </c>
    </row>
    <row r="58">
      <c r="A58" t="inlineStr">
        <is>
          <t>Al Bayda City</t>
        </is>
      </c>
      <c r="B58" t="inlineStr">
        <is>
          <t>مدينة البيضاء</t>
        </is>
      </c>
      <c r="C58" t="inlineStr">
        <is>
          <t>YE1409</t>
        </is>
      </c>
      <c r="D58" t="inlineStr">
        <is>
          <t>Al Bayda</t>
        </is>
      </c>
      <c r="E58" t="inlineStr">
        <is>
          <t>YE14</t>
        </is>
      </c>
      <c r="F58" t="inlineStr">
        <is>
          <t>Yemen</t>
        </is>
      </c>
      <c r="G58" t="inlineStr">
        <is>
          <t>YEM</t>
        </is>
      </c>
    </row>
    <row r="59">
      <c r="A59" t="inlineStr">
        <is>
          <t>Al Bayda</t>
        </is>
      </c>
      <c r="B59" t="inlineStr">
        <is>
          <t>البيضاء</t>
        </is>
      </c>
      <c r="C59" t="inlineStr">
        <is>
          <t>YE1410</t>
        </is>
      </c>
      <c r="D59" t="inlineStr">
        <is>
          <t>Al Bayda</t>
        </is>
      </c>
      <c r="E59" t="inlineStr">
        <is>
          <t>YE14</t>
        </is>
      </c>
      <c r="F59" t="inlineStr">
        <is>
          <t>Yemen</t>
        </is>
      </c>
      <c r="G59" t="inlineStr">
        <is>
          <t>YEM</t>
        </is>
      </c>
    </row>
    <row r="60">
      <c r="A60" t="inlineStr">
        <is>
          <t>Rada'</t>
        </is>
      </c>
      <c r="B60" t="inlineStr">
        <is>
          <t>رداع</t>
        </is>
      </c>
      <c r="C60" t="inlineStr">
        <is>
          <t>YE1413</t>
        </is>
      </c>
      <c r="D60" t="inlineStr">
        <is>
          <t>Al Bayda</t>
        </is>
      </c>
      <c r="E60" t="inlineStr">
        <is>
          <t>YE14</t>
        </is>
      </c>
      <c r="F60" t="inlineStr">
        <is>
          <t>Yemen</t>
        </is>
      </c>
      <c r="G60" t="inlineStr">
        <is>
          <t>YEM</t>
        </is>
      </c>
    </row>
    <row r="61">
      <c r="A61" t="inlineStr">
        <is>
          <t>Al Quraishyah</t>
        </is>
      </c>
      <c r="B61" t="inlineStr">
        <is>
          <t>القريشية</t>
        </is>
      </c>
      <c r="C61" t="inlineStr">
        <is>
          <t>YE1414</t>
        </is>
      </c>
      <c r="D61" t="inlineStr">
        <is>
          <t>Al Bayda</t>
        </is>
      </c>
      <c r="E61" t="inlineStr">
        <is>
          <t>YE14</t>
        </is>
      </c>
      <c r="F61" t="inlineStr">
        <is>
          <t>Yemen</t>
        </is>
      </c>
      <c r="G61" t="inlineStr">
        <is>
          <t>YEM</t>
        </is>
      </c>
    </row>
    <row r="62">
      <c r="A62" t="inlineStr">
        <is>
          <t>Wald Rabi'</t>
        </is>
      </c>
      <c r="B62" t="inlineStr">
        <is>
          <t>ولد ربيع</t>
        </is>
      </c>
      <c r="C62" t="inlineStr">
        <is>
          <t>YE1415</t>
        </is>
      </c>
      <c r="D62" t="inlineStr">
        <is>
          <t>Al Bayda</t>
        </is>
      </c>
      <c r="E62" t="inlineStr">
        <is>
          <t>YE14</t>
        </is>
      </c>
      <c r="F62" t="inlineStr">
        <is>
          <t>Yemen</t>
        </is>
      </c>
      <c r="G62" t="inlineStr">
        <is>
          <t>YEM</t>
        </is>
      </c>
    </row>
    <row r="63">
      <c r="A63" t="inlineStr">
        <is>
          <t>Al A'rsh</t>
        </is>
      </c>
      <c r="B63" t="inlineStr">
        <is>
          <t>العرش</t>
        </is>
      </c>
      <c r="C63" t="inlineStr">
        <is>
          <t>YE1416</t>
        </is>
      </c>
      <c r="D63" t="inlineStr">
        <is>
          <t>Al Bayda</t>
        </is>
      </c>
      <c r="E63" t="inlineStr">
        <is>
          <t>YE14</t>
        </is>
      </c>
      <c r="F63" t="inlineStr">
        <is>
          <t>Yemen</t>
        </is>
      </c>
      <c r="G63" t="inlineStr">
        <is>
          <t>YEM</t>
        </is>
      </c>
    </row>
    <row r="64">
      <c r="A64" t="inlineStr">
        <is>
          <t>Mawza</t>
        </is>
      </c>
      <c r="B64" t="inlineStr">
        <is>
          <t>موزع</t>
        </is>
      </c>
      <c r="C64" t="inlineStr">
        <is>
          <t>YE1507</t>
        </is>
      </c>
      <c r="D64" t="inlineStr">
        <is>
          <t>Ta'iz</t>
        </is>
      </c>
      <c r="E64" t="inlineStr">
        <is>
          <t>YE15</t>
        </is>
      </c>
      <c r="F64" t="inlineStr">
        <is>
          <t>Yemen</t>
        </is>
      </c>
      <c r="G64" t="inlineStr">
        <is>
          <t>YEM</t>
        </is>
      </c>
    </row>
    <row r="65">
      <c r="A65" t="inlineStr">
        <is>
          <t>Ar Ryashyyah</t>
        </is>
      </c>
      <c r="B65" t="inlineStr">
        <is>
          <t>الرياشية</t>
        </is>
      </c>
      <c r="C65" t="inlineStr">
        <is>
          <t>YE1418</t>
        </is>
      </c>
      <c r="D65" t="inlineStr">
        <is>
          <t>Al Bayda</t>
        </is>
      </c>
      <c r="E65" t="inlineStr">
        <is>
          <t>YE14</t>
        </is>
      </c>
      <c r="F65" t="inlineStr">
        <is>
          <t>Yemen</t>
        </is>
      </c>
      <c r="G65" t="inlineStr">
        <is>
          <t>YEM</t>
        </is>
      </c>
    </row>
    <row r="66">
      <c r="A66" t="inlineStr">
        <is>
          <t>As Silw</t>
        </is>
      </c>
      <c r="B66" t="inlineStr">
        <is>
          <t>الصلو</t>
        </is>
      </c>
      <c r="C66" t="inlineStr">
        <is>
          <t>YE1513</t>
        </is>
      </c>
      <c r="D66" t="inlineStr">
        <is>
          <t>Ta'iz</t>
        </is>
      </c>
      <c r="E66" t="inlineStr">
        <is>
          <t>YE15</t>
        </is>
      </c>
      <c r="F66" t="inlineStr">
        <is>
          <t>Yemen</t>
        </is>
      </c>
      <c r="G66" t="inlineStr">
        <is>
          <t>YEM</t>
        </is>
      </c>
    </row>
    <row r="67">
      <c r="A67" t="inlineStr">
        <is>
          <t>Ash Sharyah</t>
        </is>
      </c>
      <c r="B67" t="inlineStr">
        <is>
          <t>الشرية</t>
        </is>
      </c>
      <c r="C67" t="inlineStr">
        <is>
          <t>YE1419</t>
        </is>
      </c>
      <c r="D67" t="inlineStr">
        <is>
          <t>Al Bayda</t>
        </is>
      </c>
      <c r="E67" t="inlineStr">
        <is>
          <t>YE14</t>
        </is>
      </c>
      <c r="F67" t="inlineStr">
        <is>
          <t>Yemen</t>
        </is>
      </c>
      <c r="G67" t="inlineStr">
        <is>
          <t>YEM</t>
        </is>
      </c>
    </row>
    <row r="68">
      <c r="A68" t="inlineStr">
        <is>
          <t>Al Malagim</t>
        </is>
      </c>
      <c r="B68" t="inlineStr">
        <is>
          <t>الملاجم</t>
        </is>
      </c>
      <c r="C68" t="inlineStr">
        <is>
          <t>YE1420</t>
        </is>
      </c>
      <c r="D68" t="inlineStr">
        <is>
          <t>Al Bayda</t>
        </is>
      </c>
      <c r="E68" t="inlineStr">
        <is>
          <t>YE14</t>
        </is>
      </c>
      <c r="F68" t="inlineStr">
        <is>
          <t>Yemen</t>
        </is>
      </c>
      <c r="G68" t="inlineStr">
        <is>
          <t>YEM</t>
        </is>
      </c>
    </row>
    <row r="69">
      <c r="A69" t="inlineStr">
        <is>
          <t>Mawiyah</t>
        </is>
      </c>
      <c r="B69" t="inlineStr">
        <is>
          <t>ماوية</t>
        </is>
      </c>
      <c r="C69" t="inlineStr">
        <is>
          <t>YE1501</t>
        </is>
      </c>
      <c r="D69" t="inlineStr">
        <is>
          <t>Ta'iz</t>
        </is>
      </c>
      <c r="E69" t="inlineStr">
        <is>
          <t>YE15</t>
        </is>
      </c>
      <c r="F69" t="inlineStr">
        <is>
          <t>Yemen</t>
        </is>
      </c>
      <c r="G69" t="inlineStr">
        <is>
          <t>YEM</t>
        </is>
      </c>
    </row>
    <row r="70">
      <c r="A70" t="inlineStr">
        <is>
          <t>Shara'b As Salam</t>
        </is>
      </c>
      <c r="B70" t="inlineStr">
        <is>
          <t>شرعب السلام</t>
        </is>
      </c>
      <c r="C70" t="inlineStr">
        <is>
          <t>YE1502</t>
        </is>
      </c>
      <c r="D70" t="inlineStr">
        <is>
          <t>Ta'iz</t>
        </is>
      </c>
      <c r="E70" t="inlineStr">
        <is>
          <t>YE15</t>
        </is>
      </c>
      <c r="F70" t="inlineStr">
        <is>
          <t>Yemen</t>
        </is>
      </c>
      <c r="G70" t="inlineStr">
        <is>
          <t>YEM</t>
        </is>
      </c>
    </row>
    <row r="71">
      <c r="A71" t="inlineStr">
        <is>
          <t>Shara'b Ar Rawnah</t>
        </is>
      </c>
      <c r="B71" t="inlineStr">
        <is>
          <t>شرعب الرونة</t>
        </is>
      </c>
      <c r="C71" t="inlineStr">
        <is>
          <t>YE1503</t>
        </is>
      </c>
      <c r="D71" t="inlineStr">
        <is>
          <t>Ta'iz</t>
        </is>
      </c>
      <c r="E71" t="inlineStr">
        <is>
          <t>YE15</t>
        </is>
      </c>
      <c r="F71" t="inlineStr">
        <is>
          <t>Yemen</t>
        </is>
      </c>
      <c r="G71" t="inlineStr">
        <is>
          <t>YEM</t>
        </is>
      </c>
    </row>
    <row r="72">
      <c r="A72" t="inlineStr">
        <is>
          <t>Maqbanah</t>
        </is>
      </c>
      <c r="B72" t="inlineStr">
        <is>
          <t>مقبنة</t>
        </is>
      </c>
      <c r="C72" t="inlineStr">
        <is>
          <t>YE1504</t>
        </is>
      </c>
      <c r="D72" t="inlineStr">
        <is>
          <t>Ta'iz</t>
        </is>
      </c>
      <c r="E72" t="inlineStr">
        <is>
          <t>YE15</t>
        </is>
      </c>
      <c r="F72" t="inlineStr">
        <is>
          <t>Yemen</t>
        </is>
      </c>
      <c r="G72" t="inlineStr">
        <is>
          <t>YEM</t>
        </is>
      </c>
    </row>
    <row r="73">
      <c r="A73" t="inlineStr">
        <is>
          <t>Al  Mukha</t>
        </is>
      </c>
      <c r="B73" t="inlineStr">
        <is>
          <t>المخاء</t>
        </is>
      </c>
      <c r="C73" t="inlineStr">
        <is>
          <t>YE1505</t>
        </is>
      </c>
      <c r="D73" t="inlineStr">
        <is>
          <t>Ta'iz</t>
        </is>
      </c>
      <c r="E73" t="inlineStr">
        <is>
          <t>YE15</t>
        </is>
      </c>
      <c r="F73" t="inlineStr">
        <is>
          <t>Yemen</t>
        </is>
      </c>
      <c r="G73" t="inlineStr">
        <is>
          <t>YEM</t>
        </is>
      </c>
    </row>
    <row r="74">
      <c r="A74" t="inlineStr">
        <is>
          <t>Dhubab</t>
        </is>
      </c>
      <c r="B74" t="inlineStr">
        <is>
          <t>ذباب</t>
        </is>
      </c>
      <c r="C74" t="inlineStr">
        <is>
          <t>YE1506</t>
        </is>
      </c>
      <c r="D74" t="inlineStr">
        <is>
          <t>Ta'iz</t>
        </is>
      </c>
      <c r="E74" t="inlineStr">
        <is>
          <t>YE15</t>
        </is>
      </c>
      <c r="F74" t="inlineStr">
        <is>
          <t>Yemen</t>
        </is>
      </c>
      <c r="G74" t="inlineStr">
        <is>
          <t>YEM</t>
        </is>
      </c>
    </row>
    <row r="75">
      <c r="A75" t="inlineStr">
        <is>
          <t>Jabal Habashy</t>
        </is>
      </c>
      <c r="B75" t="inlineStr">
        <is>
          <t>جبل حبشي</t>
        </is>
      </c>
      <c r="C75" t="inlineStr">
        <is>
          <t>YE1508</t>
        </is>
      </c>
      <c r="D75" t="inlineStr">
        <is>
          <t>Ta'iz</t>
        </is>
      </c>
      <c r="E75" t="inlineStr">
        <is>
          <t>YE15</t>
        </is>
      </c>
      <c r="F75" t="inlineStr">
        <is>
          <t>Yemen</t>
        </is>
      </c>
      <c r="G75" t="inlineStr">
        <is>
          <t>YEM</t>
        </is>
      </c>
    </row>
    <row r="76">
      <c r="A76" t="inlineStr">
        <is>
          <t>Mashra'a Wa Hadnan</t>
        </is>
      </c>
      <c r="B76" t="inlineStr">
        <is>
          <t>مشرعة وحدنان</t>
        </is>
      </c>
      <c r="C76" t="inlineStr">
        <is>
          <t>YE1509</t>
        </is>
      </c>
      <c r="D76" t="inlineStr">
        <is>
          <t>Ta'iz</t>
        </is>
      </c>
      <c r="E76" t="inlineStr">
        <is>
          <t>YE15</t>
        </is>
      </c>
      <c r="F76" t="inlineStr">
        <is>
          <t>Yemen</t>
        </is>
      </c>
      <c r="G76" t="inlineStr">
        <is>
          <t>YEM</t>
        </is>
      </c>
    </row>
    <row r="77">
      <c r="A77" t="inlineStr">
        <is>
          <t>Sabir Al Mawadim</t>
        </is>
      </c>
      <c r="B77" t="inlineStr">
        <is>
          <t>صبر الموادم</t>
        </is>
      </c>
      <c r="C77" t="inlineStr">
        <is>
          <t>YE1510</t>
        </is>
      </c>
      <c r="D77" t="inlineStr">
        <is>
          <t>Ta'iz</t>
        </is>
      </c>
      <c r="E77" t="inlineStr">
        <is>
          <t>YE15</t>
        </is>
      </c>
      <c r="F77" t="inlineStr">
        <is>
          <t>Yemen</t>
        </is>
      </c>
      <c r="G77" t="inlineStr">
        <is>
          <t>YEM</t>
        </is>
      </c>
    </row>
    <row r="78">
      <c r="A78" t="inlineStr">
        <is>
          <t>Al Misrakh</t>
        </is>
      </c>
      <c r="B78" t="inlineStr">
        <is>
          <t>المسراخ</t>
        </is>
      </c>
      <c r="C78" t="inlineStr">
        <is>
          <t>YE1511</t>
        </is>
      </c>
      <c r="D78" t="inlineStr">
        <is>
          <t>Ta'iz</t>
        </is>
      </c>
      <c r="E78" t="inlineStr">
        <is>
          <t>YE15</t>
        </is>
      </c>
      <c r="F78" t="inlineStr">
        <is>
          <t>Yemen</t>
        </is>
      </c>
      <c r="G78" t="inlineStr">
        <is>
          <t>YEM</t>
        </is>
      </c>
    </row>
    <row r="79">
      <c r="A79" t="inlineStr">
        <is>
          <t>Al Humaydat</t>
        </is>
      </c>
      <c r="B79" t="inlineStr">
        <is>
          <t>الحميدات</t>
        </is>
      </c>
      <c r="C79" t="inlineStr">
        <is>
          <t>YE1602</t>
        </is>
      </c>
      <c r="D79" t="inlineStr">
        <is>
          <t>Al Jawf</t>
        </is>
      </c>
      <c r="E79" t="inlineStr">
        <is>
          <t>YE16</t>
        </is>
      </c>
      <c r="F79" t="inlineStr">
        <is>
          <t>Yemen</t>
        </is>
      </c>
      <c r="G79" t="inlineStr">
        <is>
          <t>YEM</t>
        </is>
      </c>
    </row>
    <row r="80">
      <c r="A80" t="inlineStr">
        <is>
          <t>Dimnat Khadir</t>
        </is>
      </c>
      <c r="B80" t="inlineStr">
        <is>
          <t>دمنة خدير</t>
        </is>
      </c>
      <c r="C80" t="inlineStr">
        <is>
          <t>YE1512</t>
        </is>
      </c>
      <c r="D80" t="inlineStr">
        <is>
          <t>Ta'iz</t>
        </is>
      </c>
      <c r="E80" t="inlineStr">
        <is>
          <t>YE15</t>
        </is>
      </c>
      <c r="F80" t="inlineStr">
        <is>
          <t>Yemen</t>
        </is>
      </c>
      <c r="G80" t="inlineStr">
        <is>
          <t>YEM</t>
        </is>
      </c>
    </row>
    <row r="81">
      <c r="A81" t="inlineStr">
        <is>
          <t>Ash Shamayatayn</t>
        </is>
      </c>
      <c r="B81" t="inlineStr">
        <is>
          <t>الشمايتين</t>
        </is>
      </c>
      <c r="C81" t="inlineStr">
        <is>
          <t>YE1514</t>
        </is>
      </c>
      <c r="D81" t="inlineStr">
        <is>
          <t>Ta'iz</t>
        </is>
      </c>
      <c r="E81" t="inlineStr">
        <is>
          <t>YE15</t>
        </is>
      </c>
      <c r="F81" t="inlineStr">
        <is>
          <t>Yemen</t>
        </is>
      </c>
      <c r="G81" t="inlineStr">
        <is>
          <t>YEM</t>
        </is>
      </c>
    </row>
    <row r="82">
      <c r="A82" t="inlineStr">
        <is>
          <t>Al Wazi'iyah</t>
        </is>
      </c>
      <c r="B82" t="inlineStr">
        <is>
          <t>الوازعية</t>
        </is>
      </c>
      <c r="C82" t="inlineStr">
        <is>
          <t>YE1515</t>
        </is>
      </c>
      <c r="D82" t="inlineStr">
        <is>
          <t>Ta'iz</t>
        </is>
      </c>
      <c r="E82" t="inlineStr">
        <is>
          <t>YE15</t>
        </is>
      </c>
      <c r="F82" t="inlineStr">
        <is>
          <t>Yemen</t>
        </is>
      </c>
      <c r="G82" t="inlineStr">
        <is>
          <t>YEM</t>
        </is>
      </c>
    </row>
    <row r="83">
      <c r="A83" t="inlineStr">
        <is>
          <t>Hayfan</t>
        </is>
      </c>
      <c r="B83" t="inlineStr">
        <is>
          <t>حيفان</t>
        </is>
      </c>
      <c r="C83" t="inlineStr">
        <is>
          <t>YE1516</t>
        </is>
      </c>
      <c r="D83" t="inlineStr">
        <is>
          <t>Ta'iz</t>
        </is>
      </c>
      <c r="E83" t="inlineStr">
        <is>
          <t>YE15</t>
        </is>
      </c>
      <c r="F83" t="inlineStr">
        <is>
          <t>Yemen</t>
        </is>
      </c>
      <c r="G83" t="inlineStr">
        <is>
          <t>YEM</t>
        </is>
      </c>
    </row>
    <row r="84">
      <c r="A84" t="inlineStr">
        <is>
          <t>Al Mudhaffar</t>
        </is>
      </c>
      <c r="B84" t="inlineStr">
        <is>
          <t>المظفر</t>
        </is>
      </c>
      <c r="C84" t="inlineStr">
        <is>
          <t>YE1517</t>
        </is>
      </c>
      <c r="D84" t="inlineStr">
        <is>
          <t>Ta'iz</t>
        </is>
      </c>
      <c r="E84" t="inlineStr">
        <is>
          <t>YE15</t>
        </is>
      </c>
      <c r="F84" t="inlineStr">
        <is>
          <t>Yemen</t>
        </is>
      </c>
      <c r="G84" t="inlineStr">
        <is>
          <t>YEM</t>
        </is>
      </c>
    </row>
    <row r="85">
      <c r="A85" t="inlineStr">
        <is>
          <t>Al Qahirah</t>
        </is>
      </c>
      <c r="B85" t="inlineStr">
        <is>
          <t>القاهرة</t>
        </is>
      </c>
      <c r="C85" t="inlineStr">
        <is>
          <t>YE1518</t>
        </is>
      </c>
      <c r="D85" t="inlineStr">
        <is>
          <t>Ta'iz</t>
        </is>
      </c>
      <c r="E85" t="inlineStr">
        <is>
          <t>YE15</t>
        </is>
      </c>
      <c r="F85" t="inlineStr">
        <is>
          <t>Yemen</t>
        </is>
      </c>
      <c r="G85" t="inlineStr">
        <is>
          <t>YEM</t>
        </is>
      </c>
    </row>
    <row r="86">
      <c r="A86" t="inlineStr">
        <is>
          <t>Salh</t>
        </is>
      </c>
      <c r="B86" t="inlineStr">
        <is>
          <t>صالة</t>
        </is>
      </c>
      <c r="C86" t="inlineStr">
        <is>
          <t>YE1519</t>
        </is>
      </c>
      <c r="D86" t="inlineStr">
        <is>
          <t>Ta'iz</t>
        </is>
      </c>
      <c r="E86" t="inlineStr">
        <is>
          <t>YE15</t>
        </is>
      </c>
      <c r="F86" t="inlineStr">
        <is>
          <t>Yemen</t>
        </is>
      </c>
      <c r="G86" t="inlineStr">
        <is>
          <t>YEM</t>
        </is>
      </c>
    </row>
    <row r="87">
      <c r="A87" t="inlineStr">
        <is>
          <t>At Ta'iziyah</t>
        </is>
      </c>
      <c r="B87" t="inlineStr">
        <is>
          <t>التعزية</t>
        </is>
      </c>
      <c r="C87" t="inlineStr">
        <is>
          <t>YE1520</t>
        </is>
      </c>
      <c r="D87" t="inlineStr">
        <is>
          <t>Ta'iz</t>
        </is>
      </c>
      <c r="E87" t="inlineStr">
        <is>
          <t>YE15</t>
        </is>
      </c>
      <c r="F87" t="inlineStr">
        <is>
          <t>Yemen</t>
        </is>
      </c>
      <c r="G87" t="inlineStr">
        <is>
          <t>YEM</t>
        </is>
      </c>
    </row>
    <row r="88">
      <c r="A88" t="inlineStr">
        <is>
          <t>Al Ma'afer</t>
        </is>
      </c>
      <c r="B88" t="inlineStr">
        <is>
          <t>المعافر</t>
        </is>
      </c>
      <c r="C88" t="inlineStr">
        <is>
          <t>YE1521</t>
        </is>
      </c>
      <c r="D88" t="inlineStr">
        <is>
          <t>Ta'iz</t>
        </is>
      </c>
      <c r="E88" t="inlineStr">
        <is>
          <t>YE15</t>
        </is>
      </c>
      <c r="F88" t="inlineStr">
        <is>
          <t>Yemen</t>
        </is>
      </c>
      <c r="G88" t="inlineStr">
        <is>
          <t>YEM</t>
        </is>
      </c>
    </row>
    <row r="89">
      <c r="A89" t="inlineStr">
        <is>
          <t>Merkhah Al Ulya</t>
        </is>
      </c>
      <c r="B89" t="inlineStr">
        <is>
          <t>مرخه العليا</t>
        </is>
      </c>
      <c r="C89" t="inlineStr">
        <is>
          <t>YE2108</t>
        </is>
      </c>
      <c r="D89" t="inlineStr">
        <is>
          <t>Shabwah</t>
        </is>
      </c>
      <c r="E89" t="inlineStr">
        <is>
          <t>YE21</t>
        </is>
      </c>
      <c r="F89" t="inlineStr">
        <is>
          <t>Yemen</t>
        </is>
      </c>
      <c r="G89" t="inlineStr">
        <is>
          <t>YEM</t>
        </is>
      </c>
    </row>
    <row r="90">
      <c r="A90" t="inlineStr">
        <is>
          <t>Al Mawasit</t>
        </is>
      </c>
      <c r="B90" t="inlineStr">
        <is>
          <t>المواسط</t>
        </is>
      </c>
      <c r="C90" t="inlineStr">
        <is>
          <t>YE1522</t>
        </is>
      </c>
      <c r="D90" t="inlineStr">
        <is>
          <t>Ta'iz</t>
        </is>
      </c>
      <c r="E90" t="inlineStr">
        <is>
          <t>YE15</t>
        </is>
      </c>
      <c r="F90" t="inlineStr">
        <is>
          <t>Yemen</t>
        </is>
      </c>
      <c r="G90" t="inlineStr">
        <is>
          <t>YEM</t>
        </is>
      </c>
    </row>
    <row r="91">
      <c r="A91" t="inlineStr">
        <is>
          <t>Sama</t>
        </is>
      </c>
      <c r="B91" t="inlineStr">
        <is>
          <t>سامع</t>
        </is>
      </c>
      <c r="C91" t="inlineStr">
        <is>
          <t>YE1523</t>
        </is>
      </c>
      <c r="D91" t="inlineStr">
        <is>
          <t>Ta'iz</t>
        </is>
      </c>
      <c r="E91" t="inlineStr">
        <is>
          <t>YE15</t>
        </is>
      </c>
      <c r="F91" t="inlineStr">
        <is>
          <t>Yemen</t>
        </is>
      </c>
      <c r="G91" t="inlineStr">
        <is>
          <t>YEM</t>
        </is>
      </c>
    </row>
    <row r="92">
      <c r="A92" t="inlineStr">
        <is>
          <t>Khabb wa ash Sha'af</t>
        </is>
      </c>
      <c r="B92" t="inlineStr">
        <is>
          <t>خب و الشعف</t>
        </is>
      </c>
      <c r="C92" t="inlineStr">
        <is>
          <t>YE1601</t>
        </is>
      </c>
      <c r="D92" t="inlineStr">
        <is>
          <t>Al Jawf</t>
        </is>
      </c>
      <c r="E92" t="inlineStr">
        <is>
          <t>YE16</t>
        </is>
      </c>
      <c r="F92" t="inlineStr">
        <is>
          <t>Yemen</t>
        </is>
      </c>
      <c r="G92" t="inlineStr">
        <is>
          <t>YEM</t>
        </is>
      </c>
    </row>
    <row r="93">
      <c r="A93" t="inlineStr">
        <is>
          <t>Al Matammah</t>
        </is>
      </c>
      <c r="B93" t="inlineStr">
        <is>
          <t>المطمه</t>
        </is>
      </c>
      <c r="C93" t="inlineStr">
        <is>
          <t>YE1603</t>
        </is>
      </c>
      <c r="D93" t="inlineStr">
        <is>
          <t>Al Jawf</t>
        </is>
      </c>
      <c r="E93" t="inlineStr">
        <is>
          <t>YE16</t>
        </is>
      </c>
      <c r="F93" t="inlineStr">
        <is>
          <t>Yemen</t>
        </is>
      </c>
      <c r="G93" t="inlineStr">
        <is>
          <t>YEM</t>
        </is>
      </c>
    </row>
    <row r="94">
      <c r="A94" t="inlineStr">
        <is>
          <t>Az Zahir</t>
        </is>
      </c>
      <c r="B94" t="inlineStr">
        <is>
          <t>الزاهر</t>
        </is>
      </c>
      <c r="C94" t="inlineStr">
        <is>
          <t>YE1604</t>
        </is>
      </c>
      <c r="D94" t="inlineStr">
        <is>
          <t>Al Jawf</t>
        </is>
      </c>
      <c r="E94" t="inlineStr">
        <is>
          <t>YE16</t>
        </is>
      </c>
      <c r="F94" t="inlineStr">
        <is>
          <t>Yemen</t>
        </is>
      </c>
      <c r="G94" t="inlineStr">
        <is>
          <t>YEM</t>
        </is>
      </c>
    </row>
    <row r="95">
      <c r="A95" t="inlineStr">
        <is>
          <t>Al Hazm</t>
        </is>
      </c>
      <c r="B95" t="inlineStr">
        <is>
          <t>الحزم</t>
        </is>
      </c>
      <c r="C95" t="inlineStr">
        <is>
          <t>YE1605</t>
        </is>
      </c>
      <c r="D95" t="inlineStr">
        <is>
          <t>Al Jawf</t>
        </is>
      </c>
      <c r="E95" t="inlineStr">
        <is>
          <t>YE16</t>
        </is>
      </c>
      <c r="F95" t="inlineStr">
        <is>
          <t>Yemen</t>
        </is>
      </c>
      <c r="G95" t="inlineStr">
        <is>
          <t>YEM</t>
        </is>
      </c>
    </row>
    <row r="96">
      <c r="A96" t="inlineStr">
        <is>
          <t>Al Maton</t>
        </is>
      </c>
      <c r="B96" t="inlineStr">
        <is>
          <t>المتون</t>
        </is>
      </c>
      <c r="C96" t="inlineStr">
        <is>
          <t>YE1606</t>
        </is>
      </c>
      <c r="D96" t="inlineStr">
        <is>
          <t>Al Jawf</t>
        </is>
      </c>
      <c r="E96" t="inlineStr">
        <is>
          <t>YE16</t>
        </is>
      </c>
      <c r="F96" t="inlineStr">
        <is>
          <t>Yemen</t>
        </is>
      </c>
      <c r="G96" t="inlineStr">
        <is>
          <t>YEM</t>
        </is>
      </c>
    </row>
    <row r="97">
      <c r="A97" t="inlineStr">
        <is>
          <t>Al Maslub</t>
        </is>
      </c>
      <c r="B97" t="inlineStr">
        <is>
          <t>المصلوب</t>
        </is>
      </c>
      <c r="C97" t="inlineStr">
        <is>
          <t>YE1607</t>
        </is>
      </c>
      <c r="D97" t="inlineStr">
        <is>
          <t>Al Jawf</t>
        </is>
      </c>
      <c r="E97" t="inlineStr">
        <is>
          <t>YE16</t>
        </is>
      </c>
      <c r="F97" t="inlineStr">
        <is>
          <t>Yemen</t>
        </is>
      </c>
      <c r="G97" t="inlineStr">
        <is>
          <t>YEM</t>
        </is>
      </c>
    </row>
    <row r="98">
      <c r="A98" t="inlineStr">
        <is>
          <t>Al Ghayl</t>
        </is>
      </c>
      <c r="B98" t="inlineStr">
        <is>
          <t>الغيل</t>
        </is>
      </c>
      <c r="C98" t="inlineStr">
        <is>
          <t>YE1608</t>
        </is>
      </c>
      <c r="D98" t="inlineStr">
        <is>
          <t>Al Jawf</t>
        </is>
      </c>
      <c r="E98" t="inlineStr">
        <is>
          <t>YE16</t>
        </is>
      </c>
      <c r="F98" t="inlineStr">
        <is>
          <t>Yemen</t>
        </is>
      </c>
      <c r="G98" t="inlineStr">
        <is>
          <t>YEM</t>
        </is>
      </c>
    </row>
    <row r="99">
      <c r="A99" t="inlineStr">
        <is>
          <t>Al Khalq</t>
        </is>
      </c>
      <c r="B99" t="inlineStr">
        <is>
          <t>الخلق</t>
        </is>
      </c>
      <c r="C99" t="inlineStr">
        <is>
          <t>YE1609</t>
        </is>
      </c>
      <c r="D99" t="inlineStr">
        <is>
          <t>Al Jawf</t>
        </is>
      </c>
      <c r="E99" t="inlineStr">
        <is>
          <t>YE16</t>
        </is>
      </c>
      <c r="F99" t="inlineStr">
        <is>
          <t>Yemen</t>
        </is>
      </c>
      <c r="G99" t="inlineStr">
        <is>
          <t>YEM</t>
        </is>
      </c>
    </row>
    <row r="100">
      <c r="A100" t="inlineStr">
        <is>
          <t>Bart Al Anan</t>
        </is>
      </c>
      <c r="B100" t="inlineStr">
        <is>
          <t>برط العنان</t>
        </is>
      </c>
      <c r="C100" t="inlineStr">
        <is>
          <t>YE1610</t>
        </is>
      </c>
      <c r="D100" t="inlineStr">
        <is>
          <t>Al Jawf</t>
        </is>
      </c>
      <c r="E100" t="inlineStr">
        <is>
          <t>YE16</t>
        </is>
      </c>
      <c r="F100" t="inlineStr">
        <is>
          <t>Yemen</t>
        </is>
      </c>
      <c r="G100" t="inlineStr">
        <is>
          <t>YEM</t>
        </is>
      </c>
    </row>
    <row r="101">
      <c r="A101" t="inlineStr">
        <is>
          <t>Rajuzah</t>
        </is>
      </c>
      <c r="B101" t="inlineStr">
        <is>
          <t>رجوزه</t>
        </is>
      </c>
      <c r="C101" t="inlineStr">
        <is>
          <t>YE1611</t>
        </is>
      </c>
      <c r="D101" t="inlineStr">
        <is>
          <t>Al Jawf</t>
        </is>
      </c>
      <c r="E101" t="inlineStr">
        <is>
          <t>YE16</t>
        </is>
      </c>
      <c r="F101" t="inlineStr">
        <is>
          <t>Yemen</t>
        </is>
      </c>
      <c r="G101" t="inlineStr">
        <is>
          <t>YEM</t>
        </is>
      </c>
    </row>
    <row r="102">
      <c r="A102" t="inlineStr">
        <is>
          <t>Kharab Al Marashi</t>
        </is>
      </c>
      <c r="B102" t="inlineStr">
        <is>
          <t>خراب المراشى</t>
        </is>
      </c>
      <c r="C102" t="inlineStr">
        <is>
          <t>YE1612</t>
        </is>
      </c>
      <c r="D102" t="inlineStr">
        <is>
          <t>Al Jawf</t>
        </is>
      </c>
      <c r="E102" t="inlineStr">
        <is>
          <t>YE16</t>
        </is>
      </c>
      <c r="F102" t="inlineStr">
        <is>
          <t>Yemen</t>
        </is>
      </c>
      <c r="G102" t="inlineStr">
        <is>
          <t>YEM</t>
        </is>
      </c>
    </row>
    <row r="103">
      <c r="A103" t="inlineStr">
        <is>
          <t>Bakil Al Mir</t>
        </is>
      </c>
      <c r="B103" t="inlineStr">
        <is>
          <t>بكيل المير</t>
        </is>
      </c>
      <c r="C103" t="inlineStr">
        <is>
          <t>YE1701</t>
        </is>
      </c>
      <c r="D103" t="inlineStr">
        <is>
          <t>Hajjah</t>
        </is>
      </c>
      <c r="E103" t="inlineStr">
        <is>
          <t>YE17</t>
        </is>
      </c>
      <c r="F103" t="inlineStr">
        <is>
          <t>Yemen</t>
        </is>
      </c>
      <c r="G103" t="inlineStr">
        <is>
          <t>YEM</t>
        </is>
      </c>
    </row>
    <row r="104">
      <c r="A104" t="inlineStr">
        <is>
          <t>Haradh</t>
        </is>
      </c>
      <c r="B104" t="inlineStr">
        <is>
          <t>حرض</t>
        </is>
      </c>
      <c r="C104" t="inlineStr">
        <is>
          <t>YE1702</t>
        </is>
      </c>
      <c r="D104" t="inlineStr">
        <is>
          <t>Hajjah</t>
        </is>
      </c>
      <c r="E104" t="inlineStr">
        <is>
          <t>YE17</t>
        </is>
      </c>
      <c r="F104" t="inlineStr">
        <is>
          <t>Yemen</t>
        </is>
      </c>
      <c r="G104" t="inlineStr">
        <is>
          <t>YEM</t>
        </is>
      </c>
    </row>
    <row r="105">
      <c r="A105" t="inlineStr">
        <is>
          <t>Midi</t>
        </is>
      </c>
      <c r="B105" t="inlineStr">
        <is>
          <t>ميدي</t>
        </is>
      </c>
      <c r="C105" t="inlineStr">
        <is>
          <t>YE1703</t>
        </is>
      </c>
      <c r="D105" t="inlineStr">
        <is>
          <t>Hajjah</t>
        </is>
      </c>
      <c r="E105" t="inlineStr">
        <is>
          <t>YE17</t>
        </is>
      </c>
      <c r="F105" t="inlineStr">
        <is>
          <t>Yemen</t>
        </is>
      </c>
      <c r="G105" t="inlineStr">
        <is>
          <t>YEM</t>
        </is>
      </c>
    </row>
    <row r="106">
      <c r="A106" t="inlineStr">
        <is>
          <t>Abs</t>
        </is>
      </c>
      <c r="B106" t="inlineStr">
        <is>
          <t>عبس</t>
        </is>
      </c>
      <c r="C106" t="inlineStr">
        <is>
          <t>YE1704</t>
        </is>
      </c>
      <c r="D106" t="inlineStr">
        <is>
          <t>Hajjah</t>
        </is>
      </c>
      <c r="E106" t="inlineStr">
        <is>
          <t>YE17</t>
        </is>
      </c>
      <c r="F106" t="inlineStr">
        <is>
          <t>Yemen</t>
        </is>
      </c>
      <c r="G106" t="inlineStr">
        <is>
          <t>YEM</t>
        </is>
      </c>
    </row>
    <row r="107">
      <c r="A107" t="inlineStr">
        <is>
          <t>Hayran</t>
        </is>
      </c>
      <c r="B107" t="inlineStr">
        <is>
          <t>حيران</t>
        </is>
      </c>
      <c r="C107" t="inlineStr">
        <is>
          <t>YE1705</t>
        </is>
      </c>
      <c r="D107" t="inlineStr">
        <is>
          <t>Hajjah</t>
        </is>
      </c>
      <c r="E107" t="inlineStr">
        <is>
          <t>YE17</t>
        </is>
      </c>
      <c r="F107" t="inlineStr">
        <is>
          <t>Yemen</t>
        </is>
      </c>
      <c r="G107" t="inlineStr">
        <is>
          <t>YEM</t>
        </is>
      </c>
    </row>
    <row r="108">
      <c r="A108" t="inlineStr">
        <is>
          <t>Al Jamimah</t>
        </is>
      </c>
      <c r="B108" t="inlineStr">
        <is>
          <t>الجميمة</t>
        </is>
      </c>
      <c r="C108" t="inlineStr">
        <is>
          <t>YE1708</t>
        </is>
      </c>
      <c r="D108" t="inlineStr">
        <is>
          <t>Hajjah</t>
        </is>
      </c>
      <c r="E108" t="inlineStr">
        <is>
          <t>YE17</t>
        </is>
      </c>
      <c r="F108" t="inlineStr">
        <is>
          <t>Yemen</t>
        </is>
      </c>
      <c r="G108" t="inlineStr">
        <is>
          <t>YEM</t>
        </is>
      </c>
    </row>
    <row r="109">
      <c r="A109" t="inlineStr">
        <is>
          <t>Mustaba</t>
        </is>
      </c>
      <c r="B109" t="inlineStr">
        <is>
          <t>مستباء</t>
        </is>
      </c>
      <c r="C109" t="inlineStr">
        <is>
          <t>YE1706</t>
        </is>
      </c>
      <c r="D109" t="inlineStr">
        <is>
          <t>Hajjah</t>
        </is>
      </c>
      <c r="E109" t="inlineStr">
        <is>
          <t>YE17</t>
        </is>
      </c>
      <c r="F109" t="inlineStr">
        <is>
          <t>Yemen</t>
        </is>
      </c>
      <c r="G109" t="inlineStr">
        <is>
          <t>YEM</t>
        </is>
      </c>
    </row>
    <row r="110">
      <c r="A110" t="inlineStr">
        <is>
          <t>Kushar</t>
        </is>
      </c>
      <c r="B110" t="inlineStr">
        <is>
          <t>كشر</t>
        </is>
      </c>
      <c r="C110" t="inlineStr">
        <is>
          <t>YE1707</t>
        </is>
      </c>
      <c r="D110" t="inlineStr">
        <is>
          <t>Hajjah</t>
        </is>
      </c>
      <c r="E110" t="inlineStr">
        <is>
          <t>YE17</t>
        </is>
      </c>
      <c r="F110" t="inlineStr">
        <is>
          <t>Yemen</t>
        </is>
      </c>
      <c r="G110" t="inlineStr">
        <is>
          <t>YEM</t>
        </is>
      </c>
    </row>
    <row r="111">
      <c r="A111" t="inlineStr">
        <is>
          <t>Kuhlan Ash Sharaf</t>
        </is>
      </c>
      <c r="B111" t="inlineStr">
        <is>
          <t>كحلان الشرف</t>
        </is>
      </c>
      <c r="C111" t="inlineStr">
        <is>
          <t>YE1709</t>
        </is>
      </c>
      <c r="D111" t="inlineStr">
        <is>
          <t>Hajjah</t>
        </is>
      </c>
      <c r="E111" t="inlineStr">
        <is>
          <t>YE17</t>
        </is>
      </c>
      <c r="F111" t="inlineStr">
        <is>
          <t>Yemen</t>
        </is>
      </c>
      <c r="G111" t="inlineStr">
        <is>
          <t>YEM</t>
        </is>
      </c>
    </row>
    <row r="112">
      <c r="A112" t="inlineStr">
        <is>
          <t>Aflah Ash Shawm</t>
        </is>
      </c>
      <c r="B112" t="inlineStr">
        <is>
          <t>افلح الشام</t>
        </is>
      </c>
      <c r="C112" t="inlineStr">
        <is>
          <t>YE1710</t>
        </is>
      </c>
      <c r="D112" t="inlineStr">
        <is>
          <t>Hajjah</t>
        </is>
      </c>
      <c r="E112" t="inlineStr">
        <is>
          <t>YE17</t>
        </is>
      </c>
      <c r="F112" t="inlineStr">
        <is>
          <t>Yemen</t>
        </is>
      </c>
      <c r="G112" t="inlineStr">
        <is>
          <t>YEM</t>
        </is>
      </c>
    </row>
    <row r="113">
      <c r="A113" t="inlineStr">
        <is>
          <t>Khayran Al Muharraq</t>
        </is>
      </c>
      <c r="B113" t="inlineStr">
        <is>
          <t>خيران المحرق</t>
        </is>
      </c>
      <c r="C113" t="inlineStr">
        <is>
          <t>YE1711</t>
        </is>
      </c>
      <c r="D113" t="inlineStr">
        <is>
          <t>Hajjah</t>
        </is>
      </c>
      <c r="E113" t="inlineStr">
        <is>
          <t>YE17</t>
        </is>
      </c>
      <c r="F113" t="inlineStr">
        <is>
          <t>Yemen</t>
        </is>
      </c>
      <c r="G113" t="inlineStr">
        <is>
          <t>YEM</t>
        </is>
      </c>
    </row>
    <row r="114">
      <c r="A114" t="inlineStr">
        <is>
          <t>Aslem</t>
        </is>
      </c>
      <c r="B114" t="inlineStr">
        <is>
          <t>اسلم</t>
        </is>
      </c>
      <c r="C114" t="inlineStr">
        <is>
          <t>YE1712</t>
        </is>
      </c>
      <c r="D114" t="inlineStr">
        <is>
          <t>Hajjah</t>
        </is>
      </c>
      <c r="E114" t="inlineStr">
        <is>
          <t>YE17</t>
        </is>
      </c>
      <c r="F114" t="inlineStr">
        <is>
          <t>Yemen</t>
        </is>
      </c>
      <c r="G114" t="inlineStr">
        <is>
          <t>YEM</t>
        </is>
      </c>
    </row>
    <row r="115">
      <c r="A115" t="inlineStr">
        <is>
          <t>Al Hajjaylah</t>
        </is>
      </c>
      <c r="B115" t="inlineStr">
        <is>
          <t>الحجيلة</t>
        </is>
      </c>
      <c r="C115" t="inlineStr">
        <is>
          <t>YE1811</t>
        </is>
      </c>
      <c r="D115" t="inlineStr">
        <is>
          <t>Al Hodeidah</t>
        </is>
      </c>
      <c r="E115" t="inlineStr">
        <is>
          <t>YE18</t>
        </is>
      </c>
      <c r="F115" t="inlineStr">
        <is>
          <t>Yemen</t>
        </is>
      </c>
      <c r="G115" t="inlineStr">
        <is>
          <t>YEM</t>
        </is>
      </c>
    </row>
    <row r="116">
      <c r="A116" t="inlineStr">
        <is>
          <t>Qafl Shamer</t>
        </is>
      </c>
      <c r="B116" t="inlineStr">
        <is>
          <t>قفل شمر</t>
        </is>
      </c>
      <c r="C116" t="inlineStr">
        <is>
          <t>YE1713</t>
        </is>
      </c>
      <c r="D116" t="inlineStr">
        <is>
          <t>Hajjah</t>
        </is>
      </c>
      <c r="E116" t="inlineStr">
        <is>
          <t>YE17</t>
        </is>
      </c>
      <c r="F116" t="inlineStr">
        <is>
          <t>Yemen</t>
        </is>
      </c>
      <c r="G116" t="inlineStr">
        <is>
          <t>YEM</t>
        </is>
      </c>
    </row>
    <row r="117">
      <c r="A117" t="inlineStr">
        <is>
          <t>Al Miftah</t>
        </is>
      </c>
      <c r="B117" t="inlineStr">
        <is>
          <t>المفتاح</t>
        </is>
      </c>
      <c r="C117" t="inlineStr">
        <is>
          <t>YE1716</t>
        </is>
      </c>
      <c r="D117" t="inlineStr">
        <is>
          <t>Hajjah</t>
        </is>
      </c>
      <c r="E117" t="inlineStr">
        <is>
          <t>YE17</t>
        </is>
      </c>
      <c r="F117" t="inlineStr">
        <is>
          <t>Yemen</t>
        </is>
      </c>
      <c r="G117" t="inlineStr">
        <is>
          <t>YEM</t>
        </is>
      </c>
    </row>
    <row r="118">
      <c r="A118" t="inlineStr">
        <is>
          <t>Aflah Al Yaman</t>
        </is>
      </c>
      <c r="B118" t="inlineStr">
        <is>
          <t>افلح اليمن</t>
        </is>
      </c>
      <c r="C118" t="inlineStr">
        <is>
          <t>YE1714</t>
        </is>
      </c>
      <c r="D118" t="inlineStr">
        <is>
          <t>Hajjah</t>
        </is>
      </c>
      <c r="E118" t="inlineStr">
        <is>
          <t>YE17</t>
        </is>
      </c>
      <c r="F118" t="inlineStr">
        <is>
          <t>Yemen</t>
        </is>
      </c>
      <c r="G118" t="inlineStr">
        <is>
          <t>YEM</t>
        </is>
      </c>
    </row>
    <row r="119">
      <c r="A119" t="inlineStr">
        <is>
          <t>Ash Shahil</t>
        </is>
      </c>
      <c r="B119" t="inlineStr">
        <is>
          <t>الشاهل</t>
        </is>
      </c>
      <c r="C119" t="inlineStr">
        <is>
          <t>YE1721</t>
        </is>
      </c>
      <c r="D119" t="inlineStr">
        <is>
          <t>Hajjah</t>
        </is>
      </c>
      <c r="E119" t="inlineStr">
        <is>
          <t>YE17</t>
        </is>
      </c>
      <c r="F119" t="inlineStr">
        <is>
          <t>Yemen</t>
        </is>
      </c>
      <c r="G119" t="inlineStr">
        <is>
          <t>YEM</t>
        </is>
      </c>
    </row>
    <row r="120">
      <c r="A120" t="inlineStr">
        <is>
          <t>Ku'aydinah</t>
        </is>
      </c>
      <c r="B120" t="inlineStr">
        <is>
          <t>كعيدنه</t>
        </is>
      </c>
      <c r="C120" t="inlineStr">
        <is>
          <t>YE1722</t>
        </is>
      </c>
      <c r="D120" t="inlineStr">
        <is>
          <t>Hajjah</t>
        </is>
      </c>
      <c r="E120" t="inlineStr">
        <is>
          <t>YE17</t>
        </is>
      </c>
      <c r="F120" t="inlineStr">
        <is>
          <t>Yemen</t>
        </is>
      </c>
      <c r="G120" t="inlineStr">
        <is>
          <t>YEM</t>
        </is>
      </c>
    </row>
    <row r="121">
      <c r="A121" t="inlineStr">
        <is>
          <t>Al Mahabishah</t>
        </is>
      </c>
      <c r="B121" t="inlineStr">
        <is>
          <t>المحابشة</t>
        </is>
      </c>
      <c r="C121" t="inlineStr">
        <is>
          <t>YE1715</t>
        </is>
      </c>
      <c r="D121" t="inlineStr">
        <is>
          <t>Hajjah</t>
        </is>
      </c>
      <c r="E121" t="inlineStr">
        <is>
          <t>YE17</t>
        </is>
      </c>
      <c r="F121" t="inlineStr">
        <is>
          <t>Yemen</t>
        </is>
      </c>
      <c r="G121" t="inlineStr">
        <is>
          <t>YEM</t>
        </is>
      </c>
    </row>
    <row r="122">
      <c r="A122" t="inlineStr">
        <is>
          <t>Wadhrah</t>
        </is>
      </c>
      <c r="B122" t="inlineStr">
        <is>
          <t>وضرة</t>
        </is>
      </c>
      <c r="C122" t="inlineStr">
        <is>
          <t>YE1723</t>
        </is>
      </c>
      <c r="D122" t="inlineStr">
        <is>
          <t>Hajjah</t>
        </is>
      </c>
      <c r="E122" t="inlineStr">
        <is>
          <t>YE17</t>
        </is>
      </c>
      <c r="F122" t="inlineStr">
        <is>
          <t>Yemen</t>
        </is>
      </c>
      <c r="G122" t="inlineStr">
        <is>
          <t>YEM</t>
        </is>
      </c>
    </row>
    <row r="123">
      <c r="A123" t="inlineStr">
        <is>
          <t>Al Maghrabah</t>
        </is>
      </c>
      <c r="B123" t="inlineStr">
        <is>
          <t>المغربة</t>
        </is>
      </c>
      <c r="C123" t="inlineStr">
        <is>
          <t>YE1717</t>
        </is>
      </c>
      <c r="D123" t="inlineStr">
        <is>
          <t>Hajjah</t>
        </is>
      </c>
      <c r="E123" t="inlineStr">
        <is>
          <t>YE17</t>
        </is>
      </c>
      <c r="F123" t="inlineStr">
        <is>
          <t>Yemen</t>
        </is>
      </c>
      <c r="G123" t="inlineStr">
        <is>
          <t>YEM</t>
        </is>
      </c>
    </row>
    <row r="124">
      <c r="A124" t="inlineStr">
        <is>
          <t>Kuhlan Affar</t>
        </is>
      </c>
      <c r="B124" t="inlineStr">
        <is>
          <t>كحلان عفار</t>
        </is>
      </c>
      <c r="C124" t="inlineStr">
        <is>
          <t>YE1718</t>
        </is>
      </c>
      <c r="D124" t="inlineStr">
        <is>
          <t>Hajjah</t>
        </is>
      </c>
      <c r="E124" t="inlineStr">
        <is>
          <t>YE17</t>
        </is>
      </c>
      <c r="F124" t="inlineStr">
        <is>
          <t>Yemen</t>
        </is>
      </c>
      <c r="G124" t="inlineStr">
        <is>
          <t>YEM</t>
        </is>
      </c>
    </row>
    <row r="125">
      <c r="A125" t="inlineStr">
        <is>
          <t>Najrah</t>
        </is>
      </c>
      <c r="B125" t="inlineStr">
        <is>
          <t>نجرة</t>
        </is>
      </c>
      <c r="C125" t="inlineStr">
        <is>
          <t>YE1726</t>
        </is>
      </c>
      <c r="D125" t="inlineStr">
        <is>
          <t>Hajjah</t>
        </is>
      </c>
      <c r="E125" t="inlineStr">
        <is>
          <t>YE17</t>
        </is>
      </c>
      <c r="F125" t="inlineStr">
        <is>
          <t>Yemen</t>
        </is>
      </c>
      <c r="G125" t="inlineStr">
        <is>
          <t>YEM</t>
        </is>
      </c>
    </row>
    <row r="126">
      <c r="A126" t="inlineStr">
        <is>
          <t>Sharas</t>
        </is>
      </c>
      <c r="B126" t="inlineStr">
        <is>
          <t>شرس</t>
        </is>
      </c>
      <c r="C126" t="inlineStr">
        <is>
          <t>YE1719</t>
        </is>
      </c>
      <c r="D126" t="inlineStr">
        <is>
          <t>Hajjah</t>
        </is>
      </c>
      <c r="E126" t="inlineStr">
        <is>
          <t>YE17</t>
        </is>
      </c>
      <c r="F126" t="inlineStr">
        <is>
          <t>Yemen</t>
        </is>
      </c>
      <c r="G126" t="inlineStr">
        <is>
          <t>YEM</t>
        </is>
      </c>
    </row>
    <row r="127">
      <c r="A127" t="inlineStr">
        <is>
          <t>Mabyan</t>
        </is>
      </c>
      <c r="B127" t="inlineStr">
        <is>
          <t>مبين</t>
        </is>
      </c>
      <c r="C127" t="inlineStr">
        <is>
          <t>YE1720</t>
        </is>
      </c>
      <c r="D127" t="inlineStr">
        <is>
          <t>Hajjah</t>
        </is>
      </c>
      <c r="E127" t="inlineStr">
        <is>
          <t>YE17</t>
        </is>
      </c>
      <c r="F127" t="inlineStr">
        <is>
          <t>Yemen</t>
        </is>
      </c>
      <c r="G127" t="inlineStr">
        <is>
          <t>YEM</t>
        </is>
      </c>
    </row>
    <row r="128">
      <c r="A128" t="inlineStr">
        <is>
          <t>Bani Qa'is</t>
        </is>
      </c>
      <c r="B128" t="inlineStr">
        <is>
          <t>بني قيس</t>
        </is>
      </c>
      <c r="C128" t="inlineStr">
        <is>
          <t>YE1724</t>
        </is>
      </c>
      <c r="D128" t="inlineStr">
        <is>
          <t>Hajjah</t>
        </is>
      </c>
      <c r="E128" t="inlineStr">
        <is>
          <t>YE17</t>
        </is>
      </c>
      <c r="F128" t="inlineStr">
        <is>
          <t>Yemen</t>
        </is>
      </c>
      <c r="G128" t="inlineStr">
        <is>
          <t>YEM</t>
        </is>
      </c>
    </row>
    <row r="129">
      <c r="A129" t="inlineStr">
        <is>
          <t>Ash Shaghadirah</t>
        </is>
      </c>
      <c r="B129" t="inlineStr">
        <is>
          <t>الشغادرة</t>
        </is>
      </c>
      <c r="C129" t="inlineStr">
        <is>
          <t>YE1725</t>
        </is>
      </c>
      <c r="D129" t="inlineStr">
        <is>
          <t>Hajjah</t>
        </is>
      </c>
      <c r="E129" t="inlineStr">
        <is>
          <t>YE17</t>
        </is>
      </c>
      <c r="F129" t="inlineStr">
        <is>
          <t>Yemen</t>
        </is>
      </c>
      <c r="G129" t="inlineStr">
        <is>
          <t>YEM</t>
        </is>
      </c>
    </row>
    <row r="130">
      <c r="A130" t="inlineStr">
        <is>
          <t>Bani Al Awam</t>
        </is>
      </c>
      <c r="B130" t="inlineStr">
        <is>
          <t>بني العوام</t>
        </is>
      </c>
      <c r="C130" t="inlineStr">
        <is>
          <t>YE1727</t>
        </is>
      </c>
      <c r="D130" t="inlineStr">
        <is>
          <t>Hajjah</t>
        </is>
      </c>
      <c r="E130" t="inlineStr">
        <is>
          <t>YE17</t>
        </is>
      </c>
      <c r="F130" t="inlineStr">
        <is>
          <t>Yemen</t>
        </is>
      </c>
      <c r="G130" t="inlineStr">
        <is>
          <t>YEM</t>
        </is>
      </c>
    </row>
    <row r="131">
      <c r="A131" t="inlineStr">
        <is>
          <t>Hays</t>
        </is>
      </c>
      <c r="B131" t="inlineStr">
        <is>
          <t>حيس</t>
        </is>
      </c>
      <c r="C131" t="inlineStr">
        <is>
          <t>YE1819</t>
        </is>
      </c>
      <c r="D131" t="inlineStr">
        <is>
          <t>Al Hodeidah</t>
        </is>
      </c>
      <c r="E131" t="inlineStr">
        <is>
          <t>YE18</t>
        </is>
      </c>
      <c r="F131" t="inlineStr">
        <is>
          <t>Yemen</t>
        </is>
      </c>
      <c r="G131" t="inlineStr">
        <is>
          <t>YEM</t>
        </is>
      </c>
    </row>
    <row r="132">
      <c r="A132" t="inlineStr">
        <is>
          <t>Al Khawkhah</t>
        </is>
      </c>
      <c r="B132" t="inlineStr">
        <is>
          <t>الخوخه</t>
        </is>
      </c>
      <c r="C132" t="inlineStr">
        <is>
          <t>YE1820</t>
        </is>
      </c>
      <c r="D132" t="inlineStr">
        <is>
          <t>Al Hodeidah</t>
        </is>
      </c>
      <c r="E132" t="inlineStr">
        <is>
          <t>YE18</t>
        </is>
      </c>
      <c r="F132" t="inlineStr">
        <is>
          <t>Yemen</t>
        </is>
      </c>
      <c r="G132" t="inlineStr">
        <is>
          <t>YEM</t>
        </is>
      </c>
    </row>
    <row r="133">
      <c r="A133" t="inlineStr">
        <is>
          <t>Hajjah City</t>
        </is>
      </c>
      <c r="B133" t="inlineStr">
        <is>
          <t>مدينة حجة</t>
        </is>
      </c>
      <c r="C133" t="inlineStr">
        <is>
          <t>YE1728</t>
        </is>
      </c>
      <c r="D133" t="inlineStr">
        <is>
          <t>Hajjah</t>
        </is>
      </c>
      <c r="E133" t="inlineStr">
        <is>
          <t>YE17</t>
        </is>
      </c>
      <c r="F133" t="inlineStr">
        <is>
          <t>Yemen</t>
        </is>
      </c>
      <c r="G133" t="inlineStr">
        <is>
          <t>YEM</t>
        </is>
      </c>
    </row>
    <row r="134">
      <c r="A134" t="inlineStr">
        <is>
          <t>Hajjah</t>
        </is>
      </c>
      <c r="B134" t="inlineStr">
        <is>
          <t>حجة</t>
        </is>
      </c>
      <c r="C134" t="inlineStr">
        <is>
          <t>YE1729</t>
        </is>
      </c>
      <c r="D134" t="inlineStr">
        <is>
          <t>Hajjah</t>
        </is>
      </c>
      <c r="E134" t="inlineStr">
        <is>
          <t>YE17</t>
        </is>
      </c>
      <c r="F134" t="inlineStr">
        <is>
          <t>Yemen</t>
        </is>
      </c>
      <c r="G134" t="inlineStr">
        <is>
          <t>YEM</t>
        </is>
      </c>
    </row>
    <row r="135">
      <c r="A135" t="inlineStr">
        <is>
          <t>Ash Shihr</t>
        </is>
      </c>
      <c r="B135" t="inlineStr">
        <is>
          <t>الشحر</t>
        </is>
      </c>
      <c r="C135" t="inlineStr">
        <is>
          <t>YE1915</t>
        </is>
      </c>
      <c r="D135" t="inlineStr">
        <is>
          <t>Hadramawt</t>
        </is>
      </c>
      <c r="E135" t="inlineStr">
        <is>
          <t>YE19</t>
        </is>
      </c>
      <c r="F135" t="inlineStr">
        <is>
          <t>Yemen</t>
        </is>
      </c>
      <c r="G135" t="inlineStr">
        <is>
          <t>YEM</t>
        </is>
      </c>
    </row>
    <row r="136">
      <c r="A136" t="inlineStr">
        <is>
          <t>Ghayl Bin Yamin</t>
        </is>
      </c>
      <c r="B136" t="inlineStr">
        <is>
          <t>غيل بن يمين</t>
        </is>
      </c>
      <c r="C136" t="inlineStr">
        <is>
          <t>YE1916</t>
        </is>
      </c>
      <c r="D136" t="inlineStr">
        <is>
          <t>Hadramawt</t>
        </is>
      </c>
      <c r="E136" t="inlineStr">
        <is>
          <t>YE19</t>
        </is>
      </c>
      <c r="F136" t="inlineStr">
        <is>
          <t>Yemen</t>
        </is>
      </c>
      <c r="G136" t="inlineStr">
        <is>
          <t>YEM</t>
        </is>
      </c>
    </row>
    <row r="137">
      <c r="A137" t="inlineStr">
        <is>
          <t>Ghayl Ba Wazir</t>
        </is>
      </c>
      <c r="B137" t="inlineStr">
        <is>
          <t>غيل باوزير</t>
        </is>
      </c>
      <c r="C137" t="inlineStr">
        <is>
          <t>YE1917</t>
        </is>
      </c>
      <c r="D137" t="inlineStr">
        <is>
          <t>Hadramawt</t>
        </is>
      </c>
      <c r="E137" t="inlineStr">
        <is>
          <t>YE19</t>
        </is>
      </c>
      <c r="F137" t="inlineStr">
        <is>
          <t>Yemen</t>
        </is>
      </c>
      <c r="G137" t="inlineStr">
        <is>
          <t>YEM</t>
        </is>
      </c>
    </row>
    <row r="138">
      <c r="A138" t="inlineStr">
        <is>
          <t>Washhah</t>
        </is>
      </c>
      <c r="B138" t="inlineStr">
        <is>
          <t>وشحة</t>
        </is>
      </c>
      <c r="C138" t="inlineStr">
        <is>
          <t>YE1730</t>
        </is>
      </c>
      <c r="D138" t="inlineStr">
        <is>
          <t>Hajjah</t>
        </is>
      </c>
      <c r="E138" t="inlineStr">
        <is>
          <t>YE17</t>
        </is>
      </c>
      <c r="F138" t="inlineStr">
        <is>
          <t>Yemen</t>
        </is>
      </c>
      <c r="G138" t="inlineStr">
        <is>
          <t>YEM</t>
        </is>
      </c>
    </row>
    <row r="139">
      <c r="A139" t="inlineStr">
        <is>
          <t>Az Zuhrah</t>
        </is>
      </c>
      <c r="B139" t="inlineStr">
        <is>
          <t>الزهرة</t>
        </is>
      </c>
      <c r="C139" t="inlineStr">
        <is>
          <t>YE1801</t>
        </is>
      </c>
      <c r="D139" t="inlineStr">
        <is>
          <t>Al Hodeidah</t>
        </is>
      </c>
      <c r="E139" t="inlineStr">
        <is>
          <t>YE18</t>
        </is>
      </c>
      <c r="F139" t="inlineStr">
        <is>
          <t>Yemen</t>
        </is>
      </c>
      <c r="G139" t="inlineStr">
        <is>
          <t>YEM</t>
        </is>
      </c>
    </row>
    <row r="140">
      <c r="A140" t="inlineStr">
        <is>
          <t>Alluheyah</t>
        </is>
      </c>
      <c r="B140" t="inlineStr">
        <is>
          <t>اللحية</t>
        </is>
      </c>
      <c r="C140" t="inlineStr">
        <is>
          <t>YE1802</t>
        </is>
      </c>
      <c r="D140" t="inlineStr">
        <is>
          <t>Al Hodeidah</t>
        </is>
      </c>
      <c r="E140" t="inlineStr">
        <is>
          <t>YE18</t>
        </is>
      </c>
      <c r="F140" t="inlineStr">
        <is>
          <t>Yemen</t>
        </is>
      </c>
      <c r="G140" t="inlineStr">
        <is>
          <t>YEM</t>
        </is>
      </c>
    </row>
    <row r="141">
      <c r="A141" t="inlineStr">
        <is>
          <t>Kamaran</t>
        </is>
      </c>
      <c r="B141" t="inlineStr">
        <is>
          <t>كمران</t>
        </is>
      </c>
      <c r="C141" t="inlineStr">
        <is>
          <t>YE1803</t>
        </is>
      </c>
      <c r="D141" t="inlineStr">
        <is>
          <t>Al Hodeidah</t>
        </is>
      </c>
      <c r="E141" t="inlineStr">
        <is>
          <t>YE18</t>
        </is>
      </c>
      <c r="F141" t="inlineStr">
        <is>
          <t>Yemen</t>
        </is>
      </c>
      <c r="G141" t="inlineStr">
        <is>
          <t>YEM</t>
        </is>
      </c>
    </row>
    <row r="142">
      <c r="A142" t="inlineStr">
        <is>
          <t>As Salif</t>
        </is>
      </c>
      <c r="B142" t="inlineStr">
        <is>
          <t>الصليف</t>
        </is>
      </c>
      <c r="C142" t="inlineStr">
        <is>
          <t>YE1804</t>
        </is>
      </c>
      <c r="D142" t="inlineStr">
        <is>
          <t>Al Hodeidah</t>
        </is>
      </c>
      <c r="E142" t="inlineStr">
        <is>
          <t>YE18</t>
        </is>
      </c>
      <c r="F142" t="inlineStr">
        <is>
          <t>Yemen</t>
        </is>
      </c>
      <c r="G142" t="inlineStr">
        <is>
          <t>YEM</t>
        </is>
      </c>
    </row>
    <row r="143">
      <c r="A143" t="inlineStr">
        <is>
          <t>Qarah</t>
        </is>
      </c>
      <c r="B143" t="inlineStr">
        <is>
          <t>قارة</t>
        </is>
      </c>
      <c r="C143" t="inlineStr">
        <is>
          <t>YE1731</t>
        </is>
      </c>
      <c r="D143" t="inlineStr">
        <is>
          <t>Hajjah</t>
        </is>
      </c>
      <c r="E143" t="inlineStr">
        <is>
          <t>YE17</t>
        </is>
      </c>
      <c r="F143" t="inlineStr">
        <is>
          <t>Yemen</t>
        </is>
      </c>
      <c r="G143" t="inlineStr">
        <is>
          <t>YEM</t>
        </is>
      </c>
    </row>
    <row r="144">
      <c r="A144" t="inlineStr">
        <is>
          <t>Al Munirah</t>
        </is>
      </c>
      <c r="B144" t="inlineStr">
        <is>
          <t>المنيرة</t>
        </is>
      </c>
      <c r="C144" t="inlineStr">
        <is>
          <t>YE1805</t>
        </is>
      </c>
      <c r="D144" t="inlineStr">
        <is>
          <t>Al Hodeidah</t>
        </is>
      </c>
      <c r="E144" t="inlineStr">
        <is>
          <t>YE18</t>
        </is>
      </c>
      <c r="F144" t="inlineStr">
        <is>
          <t>Yemen</t>
        </is>
      </c>
      <c r="G144" t="inlineStr">
        <is>
          <t>YEM</t>
        </is>
      </c>
    </row>
    <row r="145">
      <c r="A145" t="inlineStr">
        <is>
          <t>As Said</t>
        </is>
      </c>
      <c r="B145" t="inlineStr">
        <is>
          <t>الصعيد</t>
        </is>
      </c>
      <c r="C145" t="inlineStr">
        <is>
          <t>YE2112</t>
        </is>
      </c>
      <c r="D145" t="inlineStr">
        <is>
          <t>Shabwah</t>
        </is>
      </c>
      <c r="E145" t="inlineStr">
        <is>
          <t>YE21</t>
        </is>
      </c>
      <c r="F145" t="inlineStr">
        <is>
          <t>Yemen</t>
        </is>
      </c>
      <c r="G145" t="inlineStr">
        <is>
          <t>YEM</t>
        </is>
      </c>
    </row>
    <row r="146">
      <c r="A146" t="inlineStr">
        <is>
          <t>Al Qanawis</t>
        </is>
      </c>
      <c r="B146" t="inlineStr">
        <is>
          <t>القناوص</t>
        </is>
      </c>
      <c r="C146" t="inlineStr">
        <is>
          <t>YE1806</t>
        </is>
      </c>
      <c r="D146" t="inlineStr">
        <is>
          <t>Al Hodeidah</t>
        </is>
      </c>
      <c r="E146" t="inlineStr">
        <is>
          <t>YE18</t>
        </is>
      </c>
      <c r="F146" t="inlineStr">
        <is>
          <t>Yemen</t>
        </is>
      </c>
      <c r="G146" t="inlineStr">
        <is>
          <t>YEM</t>
        </is>
      </c>
    </row>
    <row r="147">
      <c r="A147" t="inlineStr">
        <is>
          <t>Al Mighlaf</t>
        </is>
      </c>
      <c r="B147" t="inlineStr">
        <is>
          <t>المغلاف</t>
        </is>
      </c>
      <c r="C147" t="inlineStr">
        <is>
          <t>YE1808</t>
        </is>
      </c>
      <c r="D147" t="inlineStr">
        <is>
          <t>Al Hodeidah</t>
        </is>
      </c>
      <c r="E147" t="inlineStr">
        <is>
          <t>YE18</t>
        </is>
      </c>
      <c r="F147" t="inlineStr">
        <is>
          <t>Yemen</t>
        </is>
      </c>
      <c r="G147" t="inlineStr">
        <is>
          <t>YEM</t>
        </is>
      </c>
    </row>
    <row r="148">
      <c r="A148" t="inlineStr">
        <is>
          <t>Az Zaydiyah</t>
        </is>
      </c>
      <c r="B148" t="inlineStr">
        <is>
          <t>الزيدية</t>
        </is>
      </c>
      <c r="C148" t="inlineStr">
        <is>
          <t>YE1807</t>
        </is>
      </c>
      <c r="D148" t="inlineStr">
        <is>
          <t>Al Hodeidah</t>
        </is>
      </c>
      <c r="E148" t="inlineStr">
        <is>
          <t>YE18</t>
        </is>
      </c>
      <c r="F148" t="inlineStr">
        <is>
          <t>Yemen</t>
        </is>
      </c>
      <c r="G148" t="inlineStr">
        <is>
          <t>YEM</t>
        </is>
      </c>
    </row>
    <row r="149">
      <c r="A149" t="inlineStr">
        <is>
          <t>Ad Dahi</t>
        </is>
      </c>
      <c r="B149" t="inlineStr">
        <is>
          <t>الضحي</t>
        </is>
      </c>
      <c r="C149" t="inlineStr">
        <is>
          <t>YE1809</t>
        </is>
      </c>
      <c r="D149" t="inlineStr">
        <is>
          <t>Al Hodeidah</t>
        </is>
      </c>
      <c r="E149" t="inlineStr">
        <is>
          <t>YE18</t>
        </is>
      </c>
      <c r="F149" t="inlineStr">
        <is>
          <t>Yemen</t>
        </is>
      </c>
      <c r="G149" t="inlineStr">
        <is>
          <t>YEM</t>
        </is>
      </c>
    </row>
    <row r="150">
      <c r="A150" t="inlineStr">
        <is>
          <t>Bajil</t>
        </is>
      </c>
      <c r="B150" t="inlineStr">
        <is>
          <t>باجل</t>
        </is>
      </c>
      <c r="C150" t="inlineStr">
        <is>
          <t>YE1810</t>
        </is>
      </c>
      <c r="D150" t="inlineStr">
        <is>
          <t>Al Hodeidah</t>
        </is>
      </c>
      <c r="E150" t="inlineStr">
        <is>
          <t>YE18</t>
        </is>
      </c>
      <c r="F150" t="inlineStr">
        <is>
          <t>Yemen</t>
        </is>
      </c>
      <c r="G150" t="inlineStr">
        <is>
          <t>YEM</t>
        </is>
      </c>
    </row>
    <row r="151">
      <c r="A151" t="inlineStr">
        <is>
          <t>Ataq</t>
        </is>
      </c>
      <c r="B151" t="inlineStr">
        <is>
          <t>عتق</t>
        </is>
      </c>
      <c r="C151" t="inlineStr">
        <is>
          <t>YE2113</t>
        </is>
      </c>
      <c r="D151" t="inlineStr">
        <is>
          <t>Shabwah</t>
        </is>
      </c>
      <c r="E151" t="inlineStr">
        <is>
          <t>YE21</t>
        </is>
      </c>
      <c r="F151" t="inlineStr">
        <is>
          <t>Yemen</t>
        </is>
      </c>
      <c r="G151" t="inlineStr">
        <is>
          <t>YEM</t>
        </is>
      </c>
    </row>
    <row r="152">
      <c r="A152" t="inlineStr">
        <is>
          <t>Bura</t>
        </is>
      </c>
      <c r="B152" t="inlineStr">
        <is>
          <t>براع</t>
        </is>
      </c>
      <c r="C152" t="inlineStr">
        <is>
          <t>YE1812</t>
        </is>
      </c>
      <c r="D152" t="inlineStr">
        <is>
          <t>Al Hodeidah</t>
        </is>
      </c>
      <c r="E152" t="inlineStr">
        <is>
          <t>YE18</t>
        </is>
      </c>
      <c r="F152" t="inlineStr">
        <is>
          <t>Yemen</t>
        </is>
      </c>
      <c r="G152" t="inlineStr">
        <is>
          <t>YEM</t>
        </is>
      </c>
    </row>
    <row r="153">
      <c r="A153" t="inlineStr">
        <is>
          <t>Habban</t>
        </is>
      </c>
      <c r="B153" t="inlineStr">
        <is>
          <t>حبان</t>
        </is>
      </c>
      <c r="C153" t="inlineStr">
        <is>
          <t>YE2114</t>
        </is>
      </c>
      <c r="D153" t="inlineStr">
        <is>
          <t>Shabwah</t>
        </is>
      </c>
      <c r="E153" t="inlineStr">
        <is>
          <t>YE21</t>
        </is>
      </c>
      <c r="F153" t="inlineStr">
        <is>
          <t>Yemen</t>
        </is>
      </c>
      <c r="G153" t="inlineStr">
        <is>
          <t>YEM</t>
        </is>
      </c>
    </row>
    <row r="154">
      <c r="A154" t="inlineStr">
        <is>
          <t>Al Marawi'ah</t>
        </is>
      </c>
      <c r="B154" t="inlineStr">
        <is>
          <t>المراوعة</t>
        </is>
      </c>
      <c r="C154" t="inlineStr">
        <is>
          <t>YE1813</t>
        </is>
      </c>
      <c r="D154" t="inlineStr">
        <is>
          <t>Al Hodeidah</t>
        </is>
      </c>
      <c r="E154" t="inlineStr">
        <is>
          <t>YE18</t>
        </is>
      </c>
      <c r="F154" t="inlineStr">
        <is>
          <t>Yemen</t>
        </is>
      </c>
      <c r="G154" t="inlineStr">
        <is>
          <t>YEM</t>
        </is>
      </c>
    </row>
    <row r="155">
      <c r="A155" t="inlineStr">
        <is>
          <t>Ad Durayhimi</t>
        </is>
      </c>
      <c r="B155" t="inlineStr">
        <is>
          <t>الدريهمي</t>
        </is>
      </c>
      <c r="C155" t="inlineStr">
        <is>
          <t>YE1814</t>
        </is>
      </c>
      <c r="D155" t="inlineStr">
        <is>
          <t>Al Hodeidah</t>
        </is>
      </c>
      <c r="E155" t="inlineStr">
        <is>
          <t>YE18</t>
        </is>
      </c>
      <c r="F155" t="inlineStr">
        <is>
          <t>Yemen</t>
        </is>
      </c>
      <c r="G155" t="inlineStr">
        <is>
          <t>YEM</t>
        </is>
      </c>
    </row>
    <row r="156">
      <c r="A156" t="inlineStr">
        <is>
          <t>As Sukhnah</t>
        </is>
      </c>
      <c r="B156" t="inlineStr">
        <is>
          <t>السخنة</t>
        </is>
      </c>
      <c r="C156" t="inlineStr">
        <is>
          <t>YE1815</t>
        </is>
      </c>
      <c r="D156" t="inlineStr">
        <is>
          <t>Al Hodeidah</t>
        </is>
      </c>
      <c r="E156" t="inlineStr">
        <is>
          <t>YE18</t>
        </is>
      </c>
      <c r="F156" t="inlineStr">
        <is>
          <t>Yemen</t>
        </is>
      </c>
      <c r="G156" t="inlineStr">
        <is>
          <t>YEM</t>
        </is>
      </c>
    </row>
    <row r="157">
      <c r="A157" t="inlineStr">
        <is>
          <t>Al Mansuriyah</t>
        </is>
      </c>
      <c r="B157" t="inlineStr">
        <is>
          <t>المنصورية</t>
        </is>
      </c>
      <c r="C157" t="inlineStr">
        <is>
          <t>YE1816</t>
        </is>
      </c>
      <c r="D157" t="inlineStr">
        <is>
          <t>Al Hodeidah</t>
        </is>
      </c>
      <c r="E157" t="inlineStr">
        <is>
          <t>YE18</t>
        </is>
      </c>
      <c r="F157" t="inlineStr">
        <is>
          <t>Yemen</t>
        </is>
      </c>
      <c r="G157" t="inlineStr">
        <is>
          <t>YEM</t>
        </is>
      </c>
    </row>
    <row r="158">
      <c r="A158" t="inlineStr">
        <is>
          <t>Bayt Al Faqiah</t>
        </is>
      </c>
      <c r="B158" t="inlineStr">
        <is>
          <t>بيت الفقيه</t>
        </is>
      </c>
      <c r="C158" t="inlineStr">
        <is>
          <t>YE1817</t>
        </is>
      </c>
      <c r="D158" t="inlineStr">
        <is>
          <t>Al Hodeidah</t>
        </is>
      </c>
      <c r="E158" t="inlineStr">
        <is>
          <t>YE18</t>
        </is>
      </c>
      <c r="F158" t="inlineStr">
        <is>
          <t>Yemen</t>
        </is>
      </c>
      <c r="G158" t="inlineStr">
        <is>
          <t>YEM</t>
        </is>
      </c>
    </row>
    <row r="159">
      <c r="A159" t="inlineStr">
        <is>
          <t>Jabal Ra's</t>
        </is>
      </c>
      <c r="B159" t="inlineStr">
        <is>
          <t>جبل راس</t>
        </is>
      </c>
      <c r="C159" t="inlineStr">
        <is>
          <t>YE1818</t>
        </is>
      </c>
      <c r="D159" t="inlineStr">
        <is>
          <t>Al Hodeidah</t>
        </is>
      </c>
      <c r="E159" t="inlineStr">
        <is>
          <t>YE18</t>
        </is>
      </c>
      <c r="F159" t="inlineStr">
        <is>
          <t>Yemen</t>
        </is>
      </c>
      <c r="G159" t="inlineStr">
        <is>
          <t>YEM</t>
        </is>
      </c>
    </row>
    <row r="160">
      <c r="A160" t="inlineStr">
        <is>
          <t>Qatabir</t>
        </is>
      </c>
      <c r="B160" t="inlineStr">
        <is>
          <t>قطابر</t>
        </is>
      </c>
      <c r="C160" t="inlineStr">
        <is>
          <t>YE2202</t>
        </is>
      </c>
      <c r="D160" t="inlineStr">
        <is>
          <t>Sa'dah</t>
        </is>
      </c>
      <c r="E160" t="inlineStr">
        <is>
          <t>YE22</t>
        </is>
      </c>
      <c r="F160" t="inlineStr">
        <is>
          <t>Yemen</t>
        </is>
      </c>
      <c r="G160" t="inlineStr">
        <is>
          <t>YEM</t>
        </is>
      </c>
    </row>
    <row r="161">
      <c r="A161" t="inlineStr">
        <is>
          <t>Al Hawak</t>
        </is>
      </c>
      <c r="B161" t="inlineStr">
        <is>
          <t>الحوك</t>
        </is>
      </c>
      <c r="C161" t="inlineStr">
        <is>
          <t>YE1821</t>
        </is>
      </c>
      <c r="D161" t="inlineStr">
        <is>
          <t>Al Hodeidah</t>
        </is>
      </c>
      <c r="E161" t="inlineStr">
        <is>
          <t>YE18</t>
        </is>
      </c>
      <c r="F161" t="inlineStr">
        <is>
          <t>Yemen</t>
        </is>
      </c>
      <c r="G161" t="inlineStr">
        <is>
          <t>YEM</t>
        </is>
      </c>
    </row>
    <row r="162">
      <c r="A162" t="inlineStr">
        <is>
          <t>Al Mina</t>
        </is>
      </c>
      <c r="B162" t="inlineStr">
        <is>
          <t>الميناء</t>
        </is>
      </c>
      <c r="C162" t="inlineStr">
        <is>
          <t>YE1822</t>
        </is>
      </c>
      <c r="D162" t="inlineStr">
        <is>
          <t>Al Hodeidah</t>
        </is>
      </c>
      <c r="E162" t="inlineStr">
        <is>
          <t>YE18</t>
        </is>
      </c>
      <c r="F162" t="inlineStr">
        <is>
          <t>Yemen</t>
        </is>
      </c>
      <c r="G162" t="inlineStr">
        <is>
          <t>YEM</t>
        </is>
      </c>
    </row>
    <row r="163">
      <c r="A163" t="inlineStr">
        <is>
          <t>Monabbih</t>
        </is>
      </c>
      <c r="B163" t="inlineStr">
        <is>
          <t>منبه</t>
        </is>
      </c>
      <c r="C163" t="inlineStr">
        <is>
          <t>YE2203</t>
        </is>
      </c>
      <c r="D163" t="inlineStr">
        <is>
          <t>Sa'dah</t>
        </is>
      </c>
      <c r="E163" t="inlineStr">
        <is>
          <t>YE22</t>
        </is>
      </c>
      <c r="F163" t="inlineStr">
        <is>
          <t>Yemen</t>
        </is>
      </c>
      <c r="G163" t="inlineStr">
        <is>
          <t>YEM</t>
        </is>
      </c>
    </row>
    <row r="164">
      <c r="A164" t="inlineStr">
        <is>
          <t>Al Hali</t>
        </is>
      </c>
      <c r="B164" t="inlineStr">
        <is>
          <t>الحالي</t>
        </is>
      </c>
      <c r="C164" t="inlineStr">
        <is>
          <t>YE1823</t>
        </is>
      </c>
      <c r="D164" t="inlineStr">
        <is>
          <t>Al Hodeidah</t>
        </is>
      </c>
      <c r="E164" t="inlineStr">
        <is>
          <t>YE18</t>
        </is>
      </c>
      <c r="F164" t="inlineStr">
        <is>
          <t>Yemen</t>
        </is>
      </c>
      <c r="G164" t="inlineStr">
        <is>
          <t>YEM</t>
        </is>
      </c>
    </row>
    <row r="165">
      <c r="A165" t="inlineStr">
        <is>
          <t>Zabid</t>
        </is>
      </c>
      <c r="B165" t="inlineStr">
        <is>
          <t>زبيد</t>
        </is>
      </c>
      <c r="C165" t="inlineStr">
        <is>
          <t>YE1824</t>
        </is>
      </c>
      <c r="D165" t="inlineStr">
        <is>
          <t>Al Hodeidah</t>
        </is>
      </c>
      <c r="E165" t="inlineStr">
        <is>
          <t>YE18</t>
        </is>
      </c>
      <c r="F165" t="inlineStr">
        <is>
          <t>Yemen</t>
        </is>
      </c>
      <c r="G165" t="inlineStr">
        <is>
          <t>YEM</t>
        </is>
      </c>
    </row>
    <row r="166">
      <c r="A166" t="inlineStr">
        <is>
          <t>Al Garrahi</t>
        </is>
      </c>
      <c r="B166" t="inlineStr">
        <is>
          <t>الجراحي</t>
        </is>
      </c>
      <c r="C166" t="inlineStr">
        <is>
          <t>YE1825</t>
        </is>
      </c>
      <c r="D166" t="inlineStr">
        <is>
          <t>Al Hodeidah</t>
        </is>
      </c>
      <c r="E166" t="inlineStr">
        <is>
          <t>YE18</t>
        </is>
      </c>
      <c r="F166" t="inlineStr">
        <is>
          <t>Yemen</t>
        </is>
      </c>
      <c r="G166" t="inlineStr">
        <is>
          <t>YEM</t>
        </is>
      </c>
    </row>
    <row r="167">
      <c r="A167" t="inlineStr">
        <is>
          <t>At Tuhayat</t>
        </is>
      </c>
      <c r="B167" t="inlineStr">
        <is>
          <t>التحيتا</t>
        </is>
      </c>
      <c r="C167" t="inlineStr">
        <is>
          <t>YE1826</t>
        </is>
      </c>
      <c r="D167" t="inlineStr">
        <is>
          <t>Al Hodeidah</t>
        </is>
      </c>
      <c r="E167" t="inlineStr">
        <is>
          <t>YE18</t>
        </is>
      </c>
      <c r="F167" t="inlineStr">
        <is>
          <t>Yemen</t>
        </is>
      </c>
      <c r="G167" t="inlineStr">
        <is>
          <t>YEM</t>
        </is>
      </c>
    </row>
    <row r="168">
      <c r="A168" t="inlineStr">
        <is>
          <t>Rumah</t>
        </is>
      </c>
      <c r="B168" t="inlineStr">
        <is>
          <t>رماه</t>
        </is>
      </c>
      <c r="C168" t="inlineStr">
        <is>
          <t>YE1901</t>
        </is>
      </c>
      <c r="D168" t="inlineStr">
        <is>
          <t>Hadramawt</t>
        </is>
      </c>
      <c r="E168" t="inlineStr">
        <is>
          <t>YE19</t>
        </is>
      </c>
      <c r="F168" t="inlineStr">
        <is>
          <t>Yemen</t>
        </is>
      </c>
      <c r="G168" t="inlineStr">
        <is>
          <t>YEM</t>
        </is>
      </c>
    </row>
    <row r="169">
      <c r="A169" t="inlineStr">
        <is>
          <t>Thamud</t>
        </is>
      </c>
      <c r="B169" t="inlineStr">
        <is>
          <t>ثمود</t>
        </is>
      </c>
      <c r="C169" t="inlineStr">
        <is>
          <t>YE1902</t>
        </is>
      </c>
      <c r="D169" t="inlineStr">
        <is>
          <t>Hadramawt</t>
        </is>
      </c>
      <c r="E169" t="inlineStr">
        <is>
          <t>YE19</t>
        </is>
      </c>
      <c r="F169" t="inlineStr">
        <is>
          <t>Yemen</t>
        </is>
      </c>
      <c r="G169" t="inlineStr">
        <is>
          <t>YEM</t>
        </is>
      </c>
    </row>
    <row r="170">
      <c r="A170" t="inlineStr">
        <is>
          <t>Al Qaf</t>
        </is>
      </c>
      <c r="B170" t="inlineStr">
        <is>
          <t>القف</t>
        </is>
      </c>
      <c r="C170" t="inlineStr">
        <is>
          <t>YE1903</t>
        </is>
      </c>
      <c r="D170" t="inlineStr">
        <is>
          <t>Hadramawt</t>
        </is>
      </c>
      <c r="E170" t="inlineStr">
        <is>
          <t>YE19</t>
        </is>
      </c>
      <c r="F170" t="inlineStr">
        <is>
          <t>Yemen</t>
        </is>
      </c>
      <c r="G170" t="inlineStr">
        <is>
          <t>YEM</t>
        </is>
      </c>
    </row>
    <row r="171">
      <c r="A171" t="inlineStr">
        <is>
          <t>Zamakh wa Manwakh</t>
        </is>
      </c>
      <c r="B171" t="inlineStr">
        <is>
          <t>زموخ ومنوخ</t>
        </is>
      </c>
      <c r="C171" t="inlineStr">
        <is>
          <t>YE1904</t>
        </is>
      </c>
      <c r="D171" t="inlineStr">
        <is>
          <t>Hadramawt</t>
        </is>
      </c>
      <c r="E171" t="inlineStr">
        <is>
          <t>YE19</t>
        </is>
      </c>
      <c r="F171" t="inlineStr">
        <is>
          <t>Yemen</t>
        </is>
      </c>
      <c r="G171" t="inlineStr">
        <is>
          <t>YEM</t>
        </is>
      </c>
    </row>
    <row r="172">
      <c r="A172" t="inlineStr">
        <is>
          <t>Hagr As Sai'ar</t>
        </is>
      </c>
      <c r="B172" t="inlineStr">
        <is>
          <t>حجر الصيعر</t>
        </is>
      </c>
      <c r="C172" t="inlineStr">
        <is>
          <t>YE1905</t>
        </is>
      </c>
      <c r="D172" t="inlineStr">
        <is>
          <t>Hadramawt</t>
        </is>
      </c>
      <c r="E172" t="inlineStr">
        <is>
          <t>YE19</t>
        </is>
      </c>
      <c r="F172" t="inlineStr">
        <is>
          <t>Yemen</t>
        </is>
      </c>
      <c r="G172" t="inlineStr">
        <is>
          <t>YEM</t>
        </is>
      </c>
    </row>
    <row r="173">
      <c r="A173" t="inlineStr">
        <is>
          <t>Al Abr</t>
        </is>
      </c>
      <c r="B173" t="inlineStr">
        <is>
          <t>العبر</t>
        </is>
      </c>
      <c r="C173" t="inlineStr">
        <is>
          <t>YE1906</t>
        </is>
      </c>
      <c r="D173" t="inlineStr">
        <is>
          <t>Hadramawt</t>
        </is>
      </c>
      <c r="E173" t="inlineStr">
        <is>
          <t>YE19</t>
        </is>
      </c>
      <c r="F173" t="inlineStr">
        <is>
          <t>Yemen</t>
        </is>
      </c>
      <c r="G173" t="inlineStr">
        <is>
          <t>YEM</t>
        </is>
      </c>
    </row>
    <row r="174">
      <c r="A174" t="inlineStr">
        <is>
          <t>Al Qatn</t>
        </is>
      </c>
      <c r="B174" t="inlineStr">
        <is>
          <t>القطن</t>
        </is>
      </c>
      <c r="C174" t="inlineStr">
        <is>
          <t>YE1907</t>
        </is>
      </c>
      <c r="D174" t="inlineStr">
        <is>
          <t>Hadramawt</t>
        </is>
      </c>
      <c r="E174" t="inlineStr">
        <is>
          <t>YE19</t>
        </is>
      </c>
      <c r="F174" t="inlineStr">
        <is>
          <t>Yemen</t>
        </is>
      </c>
      <c r="G174" t="inlineStr">
        <is>
          <t>YEM</t>
        </is>
      </c>
    </row>
    <row r="175">
      <c r="A175" t="inlineStr">
        <is>
          <t>Shibam</t>
        </is>
      </c>
      <c r="B175" t="inlineStr">
        <is>
          <t>شبام</t>
        </is>
      </c>
      <c r="C175" t="inlineStr">
        <is>
          <t>YE1908</t>
        </is>
      </c>
      <c r="D175" t="inlineStr">
        <is>
          <t>Hadramawt</t>
        </is>
      </c>
      <c r="E175" t="inlineStr">
        <is>
          <t>YE19</t>
        </is>
      </c>
      <c r="F175" t="inlineStr">
        <is>
          <t>Yemen</t>
        </is>
      </c>
      <c r="G175" t="inlineStr">
        <is>
          <t>YEM</t>
        </is>
      </c>
    </row>
    <row r="176">
      <c r="A176" t="inlineStr">
        <is>
          <t>Sah</t>
        </is>
      </c>
      <c r="B176" t="inlineStr">
        <is>
          <t>ساه</t>
        </is>
      </c>
      <c r="C176" t="inlineStr">
        <is>
          <t>YE1909</t>
        </is>
      </c>
      <c r="D176" t="inlineStr">
        <is>
          <t>Hadramawt</t>
        </is>
      </c>
      <c r="E176" t="inlineStr">
        <is>
          <t>YE19</t>
        </is>
      </c>
      <c r="F176" t="inlineStr">
        <is>
          <t>Yemen</t>
        </is>
      </c>
      <c r="G176" t="inlineStr">
        <is>
          <t>YEM</t>
        </is>
      </c>
    </row>
    <row r="177">
      <c r="A177" t="inlineStr">
        <is>
          <t>Sayun</t>
        </is>
      </c>
      <c r="B177" t="inlineStr">
        <is>
          <t>سيئون</t>
        </is>
      </c>
      <c r="C177" t="inlineStr">
        <is>
          <t>YE1910</t>
        </is>
      </c>
      <c r="D177" t="inlineStr">
        <is>
          <t>Hadramawt</t>
        </is>
      </c>
      <c r="E177" t="inlineStr">
        <is>
          <t>YE19</t>
        </is>
      </c>
      <c r="F177" t="inlineStr">
        <is>
          <t>Yemen</t>
        </is>
      </c>
      <c r="G177" t="inlineStr">
        <is>
          <t>YEM</t>
        </is>
      </c>
    </row>
    <row r="178">
      <c r="A178" t="inlineStr">
        <is>
          <t>Huraidhah</t>
        </is>
      </c>
      <c r="B178" t="inlineStr">
        <is>
          <t>حريضه</t>
        </is>
      </c>
      <c r="C178" t="inlineStr">
        <is>
          <t>YE1928</t>
        </is>
      </c>
      <c r="D178" t="inlineStr">
        <is>
          <t>Hadramawt</t>
        </is>
      </c>
      <c r="E178" t="inlineStr">
        <is>
          <t>YE19</t>
        </is>
      </c>
      <c r="F178" t="inlineStr">
        <is>
          <t>Yemen</t>
        </is>
      </c>
      <c r="G178" t="inlineStr">
        <is>
          <t>YEM</t>
        </is>
      </c>
    </row>
    <row r="179">
      <c r="A179" t="inlineStr">
        <is>
          <t>Tarim</t>
        </is>
      </c>
      <c r="B179" t="inlineStr">
        <is>
          <t>تريم</t>
        </is>
      </c>
      <c r="C179" t="inlineStr">
        <is>
          <t>YE1911</t>
        </is>
      </c>
      <c r="D179" t="inlineStr">
        <is>
          <t>Hadramawt</t>
        </is>
      </c>
      <c r="E179" t="inlineStr">
        <is>
          <t>YE19</t>
        </is>
      </c>
      <c r="F179" t="inlineStr">
        <is>
          <t>Yemen</t>
        </is>
      </c>
      <c r="G179" t="inlineStr">
        <is>
          <t>YEM</t>
        </is>
      </c>
    </row>
    <row r="180">
      <c r="A180" t="inlineStr">
        <is>
          <t>As Sawm</t>
        </is>
      </c>
      <c r="B180" t="inlineStr">
        <is>
          <t>السوم</t>
        </is>
      </c>
      <c r="C180" t="inlineStr">
        <is>
          <t>YE1912</t>
        </is>
      </c>
      <c r="D180" t="inlineStr">
        <is>
          <t>Hadramawt</t>
        </is>
      </c>
      <c r="E180" t="inlineStr">
        <is>
          <t>YE19</t>
        </is>
      </c>
      <c r="F180" t="inlineStr">
        <is>
          <t>Yemen</t>
        </is>
      </c>
      <c r="G180" t="inlineStr">
        <is>
          <t>YEM</t>
        </is>
      </c>
    </row>
    <row r="181">
      <c r="A181" t="inlineStr">
        <is>
          <t>Ar Raydah Wa Qusayar</t>
        </is>
      </c>
      <c r="B181" t="inlineStr">
        <is>
          <t>الريده وقصيعر</t>
        </is>
      </c>
      <c r="C181" t="inlineStr">
        <is>
          <t>YE1913</t>
        </is>
      </c>
      <c r="D181" t="inlineStr">
        <is>
          <t>Hadramawt</t>
        </is>
      </c>
      <c r="E181" t="inlineStr">
        <is>
          <t>YE19</t>
        </is>
      </c>
      <c r="F181" t="inlineStr">
        <is>
          <t>Yemen</t>
        </is>
      </c>
      <c r="G181" t="inlineStr">
        <is>
          <t>YEM</t>
        </is>
      </c>
    </row>
    <row r="182">
      <c r="A182" t="inlineStr">
        <is>
          <t>Ad Dis</t>
        </is>
      </c>
      <c r="B182" t="inlineStr">
        <is>
          <t>الديس</t>
        </is>
      </c>
      <c r="C182" t="inlineStr">
        <is>
          <t>YE1914</t>
        </is>
      </c>
      <c r="D182" t="inlineStr">
        <is>
          <t>Hadramawt</t>
        </is>
      </c>
      <c r="E182" t="inlineStr">
        <is>
          <t>YE19</t>
        </is>
      </c>
      <c r="F182" t="inlineStr">
        <is>
          <t>Yemen</t>
        </is>
      </c>
      <c r="G182" t="inlineStr">
        <is>
          <t>YEM</t>
        </is>
      </c>
    </row>
    <row r="183">
      <c r="A183" t="inlineStr">
        <is>
          <t>Daw'an</t>
        </is>
      </c>
      <c r="B183" t="inlineStr">
        <is>
          <t>دوعن</t>
        </is>
      </c>
      <c r="C183" t="inlineStr">
        <is>
          <t>YE1918</t>
        </is>
      </c>
      <c r="D183" t="inlineStr">
        <is>
          <t>Hadramawt</t>
        </is>
      </c>
      <c r="E183" t="inlineStr">
        <is>
          <t>YE19</t>
        </is>
      </c>
      <c r="F183" t="inlineStr">
        <is>
          <t>Yemen</t>
        </is>
      </c>
      <c r="G183" t="inlineStr">
        <is>
          <t>YEM</t>
        </is>
      </c>
    </row>
    <row r="184">
      <c r="A184" t="inlineStr">
        <is>
          <t>Wadi Al Ayn</t>
        </is>
      </c>
      <c r="B184" t="inlineStr">
        <is>
          <t>وادي العين وحوره</t>
        </is>
      </c>
      <c r="C184" t="inlineStr">
        <is>
          <t>YE1919</t>
        </is>
      </c>
      <c r="D184" t="inlineStr">
        <is>
          <t>Hadramawt</t>
        </is>
      </c>
      <c r="E184" t="inlineStr">
        <is>
          <t>YE19</t>
        </is>
      </c>
      <c r="F184" t="inlineStr">
        <is>
          <t>Yemen</t>
        </is>
      </c>
      <c r="G184" t="inlineStr">
        <is>
          <t>YEM</t>
        </is>
      </c>
    </row>
    <row r="185">
      <c r="A185" t="inlineStr">
        <is>
          <t>Rakhyah</t>
        </is>
      </c>
      <c r="B185" t="inlineStr">
        <is>
          <t>رخيه</t>
        </is>
      </c>
      <c r="C185" t="inlineStr">
        <is>
          <t>YE1920</t>
        </is>
      </c>
      <c r="D185" t="inlineStr">
        <is>
          <t>Hadramawt</t>
        </is>
      </c>
      <c r="E185" t="inlineStr">
        <is>
          <t>YE19</t>
        </is>
      </c>
      <c r="F185" t="inlineStr">
        <is>
          <t>Yemen</t>
        </is>
      </c>
      <c r="G185" t="inlineStr">
        <is>
          <t>YEM</t>
        </is>
      </c>
    </row>
    <row r="186">
      <c r="A186" t="inlineStr">
        <is>
          <t>Amd</t>
        </is>
      </c>
      <c r="B186" t="inlineStr">
        <is>
          <t>عمد</t>
        </is>
      </c>
      <c r="C186" t="inlineStr">
        <is>
          <t>YE1921</t>
        </is>
      </c>
      <c r="D186" t="inlineStr">
        <is>
          <t>Hadramawt</t>
        </is>
      </c>
      <c r="E186" t="inlineStr">
        <is>
          <t>YE19</t>
        </is>
      </c>
      <c r="F186" t="inlineStr">
        <is>
          <t>Yemen</t>
        </is>
      </c>
      <c r="G186" t="inlineStr">
        <is>
          <t>YEM</t>
        </is>
      </c>
    </row>
    <row r="187">
      <c r="A187" t="inlineStr">
        <is>
          <t>Adh Dhlia'ah</t>
        </is>
      </c>
      <c r="B187" t="inlineStr">
        <is>
          <t>الضليعه</t>
        </is>
      </c>
      <c r="C187" t="inlineStr">
        <is>
          <t>YE1922</t>
        </is>
      </c>
      <c r="D187" t="inlineStr">
        <is>
          <t>Hadramawt</t>
        </is>
      </c>
      <c r="E187" t="inlineStr">
        <is>
          <t>YE19</t>
        </is>
      </c>
      <c r="F187" t="inlineStr">
        <is>
          <t>Yemen</t>
        </is>
      </c>
      <c r="G187" t="inlineStr">
        <is>
          <t>YEM</t>
        </is>
      </c>
    </row>
    <row r="188">
      <c r="A188" t="inlineStr">
        <is>
          <t>Yabuth</t>
        </is>
      </c>
      <c r="B188" t="inlineStr">
        <is>
          <t>يبعث</t>
        </is>
      </c>
      <c r="C188" t="inlineStr">
        <is>
          <t>YE1923</t>
        </is>
      </c>
      <c r="D188" t="inlineStr">
        <is>
          <t>Hadramawt</t>
        </is>
      </c>
      <c r="E188" t="inlineStr">
        <is>
          <t>YE19</t>
        </is>
      </c>
      <c r="F188" t="inlineStr">
        <is>
          <t>Yemen</t>
        </is>
      </c>
      <c r="G188" t="inlineStr">
        <is>
          <t>YEM</t>
        </is>
      </c>
    </row>
    <row r="189">
      <c r="A189" t="inlineStr">
        <is>
          <t>Ghamr</t>
        </is>
      </c>
      <c r="B189" t="inlineStr">
        <is>
          <t>غمر</t>
        </is>
      </c>
      <c r="C189" t="inlineStr">
        <is>
          <t>YE2204</t>
        </is>
      </c>
      <c r="D189" t="inlineStr">
        <is>
          <t>Sa'dah</t>
        </is>
      </c>
      <c r="E189" t="inlineStr">
        <is>
          <t>YE22</t>
        </is>
      </c>
      <c r="F189" t="inlineStr">
        <is>
          <t>Yemen</t>
        </is>
      </c>
      <c r="G189" t="inlineStr">
        <is>
          <t>YEM</t>
        </is>
      </c>
    </row>
    <row r="190">
      <c r="A190" t="inlineStr">
        <is>
          <t>Hajr</t>
        </is>
      </c>
      <c r="B190" t="inlineStr">
        <is>
          <t>حجر</t>
        </is>
      </c>
      <c r="C190" t="inlineStr">
        <is>
          <t>YE1924</t>
        </is>
      </c>
      <c r="D190" t="inlineStr">
        <is>
          <t>Hadramawt</t>
        </is>
      </c>
      <c r="E190" t="inlineStr">
        <is>
          <t>YE19</t>
        </is>
      </c>
      <c r="F190" t="inlineStr">
        <is>
          <t>Yemen</t>
        </is>
      </c>
      <c r="G190" t="inlineStr">
        <is>
          <t>YEM</t>
        </is>
      </c>
    </row>
    <row r="191">
      <c r="A191" t="inlineStr">
        <is>
          <t>Brom Mayfa</t>
        </is>
      </c>
      <c r="B191" t="inlineStr">
        <is>
          <t>بروم ميفع</t>
        </is>
      </c>
      <c r="C191" t="inlineStr">
        <is>
          <t>YE1925</t>
        </is>
      </c>
      <c r="D191" t="inlineStr">
        <is>
          <t>Hadramawt</t>
        </is>
      </c>
      <c r="E191" t="inlineStr">
        <is>
          <t>YE19</t>
        </is>
      </c>
      <c r="F191" t="inlineStr">
        <is>
          <t>Yemen</t>
        </is>
      </c>
      <c r="G191" t="inlineStr">
        <is>
          <t>YEM</t>
        </is>
      </c>
    </row>
    <row r="192">
      <c r="A192" t="inlineStr">
        <is>
          <t>Al Mukalla</t>
        </is>
      </c>
      <c r="B192" t="inlineStr">
        <is>
          <t>المكلا</t>
        </is>
      </c>
      <c r="C192" t="inlineStr">
        <is>
          <t>YE1926</t>
        </is>
      </c>
      <c r="D192" t="inlineStr">
        <is>
          <t>Hadramawt</t>
        </is>
      </c>
      <c r="E192" t="inlineStr">
        <is>
          <t>YE19</t>
        </is>
      </c>
      <c r="F192" t="inlineStr">
        <is>
          <t>Yemen</t>
        </is>
      </c>
      <c r="G192" t="inlineStr">
        <is>
          <t>YEM</t>
        </is>
      </c>
    </row>
    <row r="193">
      <c r="A193" t="inlineStr">
        <is>
          <t>Al Mukalla City</t>
        </is>
      </c>
      <c r="B193" t="inlineStr">
        <is>
          <t>مدينة المكلا</t>
        </is>
      </c>
      <c r="C193" t="inlineStr">
        <is>
          <t>YE1927</t>
        </is>
      </c>
      <c r="D193" t="inlineStr">
        <is>
          <t>Hadramawt</t>
        </is>
      </c>
      <c r="E193" t="inlineStr">
        <is>
          <t>YE19</t>
        </is>
      </c>
      <c r="F193" t="inlineStr">
        <is>
          <t>Yemen</t>
        </is>
      </c>
      <c r="G193" t="inlineStr">
        <is>
          <t>YEM</t>
        </is>
      </c>
    </row>
    <row r="194">
      <c r="A194" t="inlineStr">
        <is>
          <t>Al Hada</t>
        </is>
      </c>
      <c r="B194" t="inlineStr">
        <is>
          <t>الحداء</t>
        </is>
      </c>
      <c r="C194" t="inlineStr">
        <is>
          <t>YE2001</t>
        </is>
      </c>
      <c r="D194" t="inlineStr">
        <is>
          <t>Dhamar</t>
        </is>
      </c>
      <c r="E194" t="inlineStr">
        <is>
          <t>YE20</t>
        </is>
      </c>
      <c r="F194" t="inlineStr">
        <is>
          <t>Yemen</t>
        </is>
      </c>
      <c r="G194" t="inlineStr">
        <is>
          <t>YEM</t>
        </is>
      </c>
    </row>
    <row r="195">
      <c r="A195" t="inlineStr">
        <is>
          <t>Mayfa'at Anss</t>
        </is>
      </c>
      <c r="B195" t="inlineStr">
        <is>
          <t>ميفعة عنس</t>
        </is>
      </c>
      <c r="C195" t="inlineStr">
        <is>
          <t>YE2009</t>
        </is>
      </c>
      <c r="D195" t="inlineStr">
        <is>
          <t>Dhamar</t>
        </is>
      </c>
      <c r="E195" t="inlineStr">
        <is>
          <t>YE20</t>
        </is>
      </c>
      <c r="F195" t="inlineStr">
        <is>
          <t>Yemen</t>
        </is>
      </c>
      <c r="G195" t="inlineStr">
        <is>
          <t>YEM</t>
        </is>
      </c>
    </row>
    <row r="196">
      <c r="A196" t="inlineStr">
        <is>
          <t>Jahran</t>
        </is>
      </c>
      <c r="B196" t="inlineStr">
        <is>
          <t>جهران</t>
        </is>
      </c>
      <c r="C196" t="inlineStr">
        <is>
          <t>YE2002</t>
        </is>
      </c>
      <c r="D196" t="inlineStr">
        <is>
          <t>Dhamar</t>
        </is>
      </c>
      <c r="E196" t="inlineStr">
        <is>
          <t>YE20</t>
        </is>
      </c>
      <c r="F196" t="inlineStr">
        <is>
          <t>Yemen</t>
        </is>
      </c>
      <c r="G196" t="inlineStr">
        <is>
          <t>YEM</t>
        </is>
      </c>
    </row>
    <row r="197">
      <c r="A197" t="inlineStr">
        <is>
          <t>Arma</t>
        </is>
      </c>
      <c r="B197" t="inlineStr">
        <is>
          <t>عرماء</t>
        </is>
      </c>
      <c r="C197" t="inlineStr">
        <is>
          <t>YE2104</t>
        </is>
      </c>
      <c r="D197" t="inlineStr">
        <is>
          <t>Shabwah</t>
        </is>
      </c>
      <c r="E197" t="inlineStr">
        <is>
          <t>YE21</t>
        </is>
      </c>
      <c r="F197" t="inlineStr">
        <is>
          <t>Yemen</t>
        </is>
      </c>
      <c r="G197" t="inlineStr">
        <is>
          <t>YEM</t>
        </is>
      </c>
    </row>
    <row r="198">
      <c r="A198" t="inlineStr">
        <is>
          <t>Jabal Ash sharq</t>
        </is>
      </c>
      <c r="B198" t="inlineStr">
        <is>
          <t>جبل الشرق</t>
        </is>
      </c>
      <c r="C198" t="inlineStr">
        <is>
          <t>YE2003</t>
        </is>
      </c>
      <c r="D198" t="inlineStr">
        <is>
          <t>Dhamar</t>
        </is>
      </c>
      <c r="E198" t="inlineStr">
        <is>
          <t>YE20</t>
        </is>
      </c>
      <c r="F198" t="inlineStr">
        <is>
          <t>Yemen</t>
        </is>
      </c>
      <c r="G198" t="inlineStr">
        <is>
          <t>YEM</t>
        </is>
      </c>
    </row>
    <row r="199">
      <c r="A199" t="inlineStr">
        <is>
          <t>Usaylan</t>
        </is>
      </c>
      <c r="B199" t="inlineStr">
        <is>
          <t>عسيلان</t>
        </is>
      </c>
      <c r="C199" t="inlineStr">
        <is>
          <t>YE2105</t>
        </is>
      </c>
      <c r="D199" t="inlineStr">
        <is>
          <t>Shabwah</t>
        </is>
      </c>
      <c r="E199" t="inlineStr">
        <is>
          <t>YE21</t>
        </is>
      </c>
      <c r="F199" t="inlineStr">
        <is>
          <t>Yemen</t>
        </is>
      </c>
      <c r="G199" t="inlineStr">
        <is>
          <t>YEM</t>
        </is>
      </c>
    </row>
    <row r="200">
      <c r="A200" t="inlineStr">
        <is>
          <t>Maghirib Ans</t>
        </is>
      </c>
      <c r="B200" t="inlineStr">
        <is>
          <t>مغرب عنس</t>
        </is>
      </c>
      <c r="C200" t="inlineStr">
        <is>
          <t>YE2004</t>
        </is>
      </c>
      <c r="D200" t="inlineStr">
        <is>
          <t>Dhamar</t>
        </is>
      </c>
      <c r="E200" t="inlineStr">
        <is>
          <t>YE20</t>
        </is>
      </c>
      <c r="F200" t="inlineStr">
        <is>
          <t>Yemen</t>
        </is>
      </c>
      <c r="G200" t="inlineStr">
        <is>
          <t>YEM</t>
        </is>
      </c>
    </row>
    <row r="201">
      <c r="A201" t="inlineStr">
        <is>
          <t>Utmah</t>
        </is>
      </c>
      <c r="B201" t="inlineStr">
        <is>
          <t>عتمة</t>
        </is>
      </c>
      <c r="C201" t="inlineStr">
        <is>
          <t>YE2005</t>
        </is>
      </c>
      <c r="D201" t="inlineStr">
        <is>
          <t>Dhamar</t>
        </is>
      </c>
      <c r="E201" t="inlineStr">
        <is>
          <t>YE20</t>
        </is>
      </c>
      <c r="F201" t="inlineStr">
        <is>
          <t>Yemen</t>
        </is>
      </c>
      <c r="G201" t="inlineStr">
        <is>
          <t>YEM</t>
        </is>
      </c>
    </row>
    <row r="202">
      <c r="A202" t="inlineStr">
        <is>
          <t>Wusab Al Ali</t>
        </is>
      </c>
      <c r="B202" t="inlineStr">
        <is>
          <t>وصاب العالي</t>
        </is>
      </c>
      <c r="C202" t="inlineStr">
        <is>
          <t>YE2006</t>
        </is>
      </c>
      <c r="D202" t="inlineStr">
        <is>
          <t>Dhamar</t>
        </is>
      </c>
      <c r="E202" t="inlineStr">
        <is>
          <t>YE20</t>
        </is>
      </c>
      <c r="F202" t="inlineStr">
        <is>
          <t>Yemen</t>
        </is>
      </c>
      <c r="G202" t="inlineStr">
        <is>
          <t>YEM</t>
        </is>
      </c>
    </row>
    <row r="203">
      <c r="A203" t="inlineStr">
        <is>
          <t>Wusab As Safil</t>
        </is>
      </c>
      <c r="B203" t="inlineStr">
        <is>
          <t>وصاب السافل</t>
        </is>
      </c>
      <c r="C203" t="inlineStr">
        <is>
          <t>YE2007</t>
        </is>
      </c>
      <c r="D203" t="inlineStr">
        <is>
          <t>Dhamar</t>
        </is>
      </c>
      <c r="E203" t="inlineStr">
        <is>
          <t>YE20</t>
        </is>
      </c>
      <c r="F203" t="inlineStr">
        <is>
          <t>Yemen</t>
        </is>
      </c>
      <c r="G203" t="inlineStr">
        <is>
          <t>YEM</t>
        </is>
      </c>
    </row>
    <row r="204">
      <c r="A204" t="inlineStr">
        <is>
          <t>Dhamar City</t>
        </is>
      </c>
      <c r="B204" t="inlineStr">
        <is>
          <t>مدينة ذمار</t>
        </is>
      </c>
      <c r="C204" t="inlineStr">
        <is>
          <t>YE2008</t>
        </is>
      </c>
      <c r="D204" t="inlineStr">
        <is>
          <t>Dhamar</t>
        </is>
      </c>
      <c r="E204" t="inlineStr">
        <is>
          <t>YE20</t>
        </is>
      </c>
      <c r="F204" t="inlineStr">
        <is>
          <t>Yemen</t>
        </is>
      </c>
      <c r="G204" t="inlineStr">
        <is>
          <t>YEM</t>
        </is>
      </c>
    </row>
    <row r="205">
      <c r="A205" t="inlineStr">
        <is>
          <t>Anss</t>
        </is>
      </c>
      <c r="B205" t="inlineStr">
        <is>
          <t>عنس</t>
        </is>
      </c>
      <c r="C205" t="inlineStr">
        <is>
          <t>YE2010</t>
        </is>
      </c>
      <c r="D205" t="inlineStr">
        <is>
          <t>Dhamar</t>
        </is>
      </c>
      <c r="E205" t="inlineStr">
        <is>
          <t>YE20</t>
        </is>
      </c>
      <c r="F205" t="inlineStr">
        <is>
          <t>Yemen</t>
        </is>
      </c>
      <c r="G205" t="inlineStr">
        <is>
          <t>YEM</t>
        </is>
      </c>
    </row>
    <row r="206">
      <c r="A206" t="inlineStr">
        <is>
          <t>Dawran Aness</t>
        </is>
      </c>
      <c r="B206" t="inlineStr">
        <is>
          <t>ضوران اًنس</t>
        </is>
      </c>
      <c r="C206" t="inlineStr">
        <is>
          <t>YE2011</t>
        </is>
      </c>
      <c r="D206" t="inlineStr">
        <is>
          <t>Dhamar</t>
        </is>
      </c>
      <c r="E206" t="inlineStr">
        <is>
          <t>YE20</t>
        </is>
      </c>
      <c r="F206" t="inlineStr">
        <is>
          <t>Yemen</t>
        </is>
      </c>
      <c r="G206" t="inlineStr">
        <is>
          <t>YEM</t>
        </is>
      </c>
    </row>
    <row r="207">
      <c r="A207" t="inlineStr">
        <is>
          <t>Al Manar</t>
        </is>
      </c>
      <c r="B207" t="inlineStr">
        <is>
          <t>المنار</t>
        </is>
      </c>
      <c r="C207" t="inlineStr">
        <is>
          <t>YE2012</t>
        </is>
      </c>
      <c r="D207" t="inlineStr">
        <is>
          <t>Dhamar</t>
        </is>
      </c>
      <c r="E207" t="inlineStr">
        <is>
          <t>YE20</t>
        </is>
      </c>
      <c r="F207" t="inlineStr">
        <is>
          <t>Yemen</t>
        </is>
      </c>
      <c r="G207" t="inlineStr">
        <is>
          <t>YEM</t>
        </is>
      </c>
    </row>
    <row r="208">
      <c r="A208" t="inlineStr">
        <is>
          <t>Dhar</t>
        </is>
      </c>
      <c r="B208" t="inlineStr">
        <is>
          <t>دهر</t>
        </is>
      </c>
      <c r="C208" t="inlineStr">
        <is>
          <t>YE2101</t>
        </is>
      </c>
      <c r="D208" t="inlineStr">
        <is>
          <t>Shabwah</t>
        </is>
      </c>
      <c r="E208" t="inlineStr">
        <is>
          <t>YE21</t>
        </is>
      </c>
      <c r="F208" t="inlineStr">
        <is>
          <t>Yemen</t>
        </is>
      </c>
      <c r="G208" t="inlineStr">
        <is>
          <t>YEM</t>
        </is>
      </c>
    </row>
    <row r="209">
      <c r="A209" t="inlineStr">
        <is>
          <t>Al Talh</t>
        </is>
      </c>
      <c r="B209" t="inlineStr">
        <is>
          <t>الطلح</t>
        </is>
      </c>
      <c r="C209" t="inlineStr">
        <is>
          <t>YE2102</t>
        </is>
      </c>
      <c r="D209" t="inlineStr">
        <is>
          <t>Shabwah</t>
        </is>
      </c>
      <c r="E209" t="inlineStr">
        <is>
          <t>YE21</t>
        </is>
      </c>
      <c r="F209" t="inlineStr">
        <is>
          <t>Yemen</t>
        </is>
      </c>
      <c r="G209" t="inlineStr">
        <is>
          <t>YEM</t>
        </is>
      </c>
    </row>
    <row r="210">
      <c r="A210" t="inlineStr">
        <is>
          <t>Jardan</t>
        </is>
      </c>
      <c r="B210" t="inlineStr">
        <is>
          <t>جردان</t>
        </is>
      </c>
      <c r="C210" t="inlineStr">
        <is>
          <t>YE2103</t>
        </is>
      </c>
      <c r="D210" t="inlineStr">
        <is>
          <t>Shabwah</t>
        </is>
      </c>
      <c r="E210" t="inlineStr">
        <is>
          <t>YE21</t>
        </is>
      </c>
      <c r="F210" t="inlineStr">
        <is>
          <t>Yemen</t>
        </is>
      </c>
      <c r="G210" t="inlineStr">
        <is>
          <t>YEM</t>
        </is>
      </c>
    </row>
    <row r="211">
      <c r="A211" t="inlineStr">
        <is>
          <t>Ain</t>
        </is>
      </c>
      <c r="B211" t="inlineStr">
        <is>
          <t>عين</t>
        </is>
      </c>
      <c r="C211" t="inlineStr">
        <is>
          <t>YE2106</t>
        </is>
      </c>
      <c r="D211" t="inlineStr">
        <is>
          <t>Shabwah</t>
        </is>
      </c>
      <c r="E211" t="inlineStr">
        <is>
          <t>YE21</t>
        </is>
      </c>
      <c r="F211" t="inlineStr">
        <is>
          <t>Yemen</t>
        </is>
      </c>
      <c r="G211" t="inlineStr">
        <is>
          <t>YEM</t>
        </is>
      </c>
    </row>
    <row r="212">
      <c r="A212" t="inlineStr">
        <is>
          <t>Bayhan</t>
        </is>
      </c>
      <c r="B212" t="inlineStr">
        <is>
          <t>بيحان</t>
        </is>
      </c>
      <c r="C212" t="inlineStr">
        <is>
          <t>YE2107</t>
        </is>
      </c>
      <c r="D212" t="inlineStr">
        <is>
          <t>Shabwah</t>
        </is>
      </c>
      <c r="E212" t="inlineStr">
        <is>
          <t>YE21</t>
        </is>
      </c>
      <c r="F212" t="inlineStr">
        <is>
          <t>Yemen</t>
        </is>
      </c>
      <c r="G212" t="inlineStr">
        <is>
          <t>YEM</t>
        </is>
      </c>
    </row>
    <row r="213">
      <c r="A213" t="inlineStr">
        <is>
          <t>Merkhah As Sufla</t>
        </is>
      </c>
      <c r="B213" t="inlineStr">
        <is>
          <t>مرخه السفلى</t>
        </is>
      </c>
      <c r="C213" t="inlineStr">
        <is>
          <t>YE2109</t>
        </is>
      </c>
      <c r="D213" t="inlineStr">
        <is>
          <t>Shabwah</t>
        </is>
      </c>
      <c r="E213" t="inlineStr">
        <is>
          <t>YE21</t>
        </is>
      </c>
      <c r="F213" t="inlineStr">
        <is>
          <t>Yemen</t>
        </is>
      </c>
      <c r="G213" t="inlineStr">
        <is>
          <t>YEM</t>
        </is>
      </c>
    </row>
    <row r="214">
      <c r="A214" t="inlineStr">
        <is>
          <t>Nisab</t>
        </is>
      </c>
      <c r="B214" t="inlineStr">
        <is>
          <t>نصاب</t>
        </is>
      </c>
      <c r="C214" t="inlineStr">
        <is>
          <t>YE2110</t>
        </is>
      </c>
      <c r="D214" t="inlineStr">
        <is>
          <t>Shabwah</t>
        </is>
      </c>
      <c r="E214" t="inlineStr">
        <is>
          <t>YE21</t>
        </is>
      </c>
      <c r="F214" t="inlineStr">
        <is>
          <t>Yemen</t>
        </is>
      </c>
      <c r="G214" t="inlineStr">
        <is>
          <t>YEM</t>
        </is>
      </c>
    </row>
    <row r="215">
      <c r="A215" t="inlineStr">
        <is>
          <t>Razih</t>
        </is>
      </c>
      <c r="B215" t="inlineStr">
        <is>
          <t>رازح</t>
        </is>
      </c>
      <c r="C215" t="inlineStr">
        <is>
          <t>YE2205</t>
        </is>
      </c>
      <c r="D215" t="inlineStr">
        <is>
          <t>Sa'dah</t>
        </is>
      </c>
      <c r="E215" t="inlineStr">
        <is>
          <t>YE22</t>
        </is>
      </c>
      <c r="F215" t="inlineStr">
        <is>
          <t>Yemen</t>
        </is>
      </c>
      <c r="G215" t="inlineStr">
        <is>
          <t>YEM</t>
        </is>
      </c>
    </row>
    <row r="216">
      <c r="A216" t="inlineStr">
        <is>
          <t>Hatib</t>
        </is>
      </c>
      <c r="B216" t="inlineStr">
        <is>
          <t>حطيب</t>
        </is>
      </c>
      <c r="C216" t="inlineStr">
        <is>
          <t>YE2111</t>
        </is>
      </c>
      <c r="D216" t="inlineStr">
        <is>
          <t>Shabwah</t>
        </is>
      </c>
      <c r="E216" t="inlineStr">
        <is>
          <t>YE21</t>
        </is>
      </c>
      <c r="F216" t="inlineStr">
        <is>
          <t>Yemen</t>
        </is>
      </c>
      <c r="G216" t="inlineStr">
        <is>
          <t>YEM</t>
        </is>
      </c>
    </row>
    <row r="217">
      <c r="A217" t="inlineStr">
        <is>
          <t>Shada'a</t>
        </is>
      </c>
      <c r="B217" t="inlineStr">
        <is>
          <t>شداء</t>
        </is>
      </c>
      <c r="C217" t="inlineStr">
        <is>
          <t>YE2206</t>
        </is>
      </c>
      <c r="D217" t="inlineStr">
        <is>
          <t>Sa'dah</t>
        </is>
      </c>
      <c r="E217" t="inlineStr">
        <is>
          <t>YE22</t>
        </is>
      </c>
      <c r="F217" t="inlineStr">
        <is>
          <t>Yemen</t>
        </is>
      </c>
      <c r="G217" t="inlineStr">
        <is>
          <t>YEM</t>
        </is>
      </c>
    </row>
    <row r="218">
      <c r="A218" t="inlineStr">
        <is>
          <t>Ar Rawdah</t>
        </is>
      </c>
      <c r="B218" t="inlineStr">
        <is>
          <t>الروضه</t>
        </is>
      </c>
      <c r="C218" t="inlineStr">
        <is>
          <t>YE2115</t>
        </is>
      </c>
      <c r="D218" t="inlineStr">
        <is>
          <t>Shabwah</t>
        </is>
      </c>
      <c r="E218" t="inlineStr">
        <is>
          <t>YE21</t>
        </is>
      </c>
      <c r="F218" t="inlineStr">
        <is>
          <t>Yemen</t>
        </is>
      </c>
      <c r="G218" t="inlineStr">
        <is>
          <t>YEM</t>
        </is>
      </c>
    </row>
    <row r="219">
      <c r="A219" t="inlineStr">
        <is>
          <t>Al Dhaher</t>
        </is>
      </c>
      <c r="B219" t="inlineStr">
        <is>
          <t>الظاهر</t>
        </is>
      </c>
      <c r="C219" t="inlineStr">
        <is>
          <t>YE2207</t>
        </is>
      </c>
      <c r="D219" t="inlineStr">
        <is>
          <t>Sa'dah</t>
        </is>
      </c>
      <c r="E219" t="inlineStr">
        <is>
          <t>YE22</t>
        </is>
      </c>
      <c r="F219" t="inlineStr">
        <is>
          <t>Yemen</t>
        </is>
      </c>
      <c r="G219" t="inlineStr">
        <is>
          <t>YEM</t>
        </is>
      </c>
    </row>
    <row r="220">
      <c r="A220" t="inlineStr">
        <is>
          <t>Mayfa'a</t>
        </is>
      </c>
      <c r="B220" t="inlineStr">
        <is>
          <t>ميفعه</t>
        </is>
      </c>
      <c r="C220" t="inlineStr">
        <is>
          <t>YE2116</t>
        </is>
      </c>
      <c r="D220" t="inlineStr">
        <is>
          <t>Shabwah</t>
        </is>
      </c>
      <c r="E220" t="inlineStr">
        <is>
          <t>YE21</t>
        </is>
      </c>
      <c r="F220" t="inlineStr">
        <is>
          <t>Yemen</t>
        </is>
      </c>
      <c r="G220" t="inlineStr">
        <is>
          <t>YEM</t>
        </is>
      </c>
    </row>
    <row r="221">
      <c r="A221" t="inlineStr">
        <is>
          <t>Rudum</t>
        </is>
      </c>
      <c r="B221" t="inlineStr">
        <is>
          <t>رضوم</t>
        </is>
      </c>
      <c r="C221" t="inlineStr">
        <is>
          <t>YE2117</t>
        </is>
      </c>
      <c r="D221" t="inlineStr">
        <is>
          <t>Shabwah</t>
        </is>
      </c>
      <c r="E221" t="inlineStr">
        <is>
          <t>YE21</t>
        </is>
      </c>
      <c r="F221" t="inlineStr">
        <is>
          <t>Yemen</t>
        </is>
      </c>
      <c r="G221" t="inlineStr">
        <is>
          <t>YEM</t>
        </is>
      </c>
    </row>
    <row r="222">
      <c r="A222" t="inlineStr">
        <is>
          <t>Baqim</t>
        </is>
      </c>
      <c r="B222" t="inlineStr">
        <is>
          <t>باقم</t>
        </is>
      </c>
      <c r="C222" t="inlineStr">
        <is>
          <t>YE2201</t>
        </is>
      </c>
      <c r="D222" t="inlineStr">
        <is>
          <t>Sa'dah</t>
        </is>
      </c>
      <c r="E222" t="inlineStr">
        <is>
          <t>YE22</t>
        </is>
      </c>
      <c r="F222" t="inlineStr">
        <is>
          <t>Yemen</t>
        </is>
      </c>
      <c r="G222" t="inlineStr">
        <is>
          <t>YEM</t>
        </is>
      </c>
    </row>
    <row r="223">
      <c r="A223" t="inlineStr">
        <is>
          <t>Arhab</t>
        </is>
      </c>
      <c r="B223" t="inlineStr">
        <is>
          <t>ارحب</t>
        </is>
      </c>
      <c r="C223" t="inlineStr">
        <is>
          <t>YE2302</t>
        </is>
      </c>
      <c r="D223" t="inlineStr">
        <is>
          <t>Sana'a</t>
        </is>
      </c>
      <c r="E223" t="inlineStr">
        <is>
          <t>YE23</t>
        </is>
      </c>
      <c r="F223" t="inlineStr">
        <is>
          <t>Yemen</t>
        </is>
      </c>
      <c r="G223" t="inlineStr">
        <is>
          <t>YEM</t>
        </is>
      </c>
    </row>
    <row r="224">
      <c r="A224" t="inlineStr">
        <is>
          <t>Haydan</t>
        </is>
      </c>
      <c r="B224" t="inlineStr">
        <is>
          <t>حيدان</t>
        </is>
      </c>
      <c r="C224" t="inlineStr">
        <is>
          <t>YE2208</t>
        </is>
      </c>
      <c r="D224" t="inlineStr">
        <is>
          <t>Sa'dah</t>
        </is>
      </c>
      <c r="E224" t="inlineStr">
        <is>
          <t>YE22</t>
        </is>
      </c>
      <c r="F224" t="inlineStr">
        <is>
          <t>Yemen</t>
        </is>
      </c>
      <c r="G224" t="inlineStr">
        <is>
          <t>YEM</t>
        </is>
      </c>
    </row>
    <row r="225">
      <c r="A225" t="inlineStr">
        <is>
          <t>Nihm</t>
        </is>
      </c>
      <c r="B225" t="inlineStr">
        <is>
          <t>نهم</t>
        </is>
      </c>
      <c r="C225" t="inlineStr">
        <is>
          <t>YE2303</t>
        </is>
      </c>
      <c r="D225" t="inlineStr">
        <is>
          <t>Sana'a</t>
        </is>
      </c>
      <c r="E225" t="inlineStr">
        <is>
          <t>YE23</t>
        </is>
      </c>
      <c r="F225" t="inlineStr">
        <is>
          <t>Yemen</t>
        </is>
      </c>
      <c r="G225" t="inlineStr">
        <is>
          <t>YEM</t>
        </is>
      </c>
    </row>
    <row r="226">
      <c r="A226" t="inlineStr">
        <is>
          <t>Bani Hushaysh</t>
        </is>
      </c>
      <c r="B226" t="inlineStr">
        <is>
          <t>بني حشيش</t>
        </is>
      </c>
      <c r="C226" t="inlineStr">
        <is>
          <t>YE2304</t>
        </is>
      </c>
      <c r="D226" t="inlineStr">
        <is>
          <t>Sana'a</t>
        </is>
      </c>
      <c r="E226" t="inlineStr">
        <is>
          <t>YE23</t>
        </is>
      </c>
      <c r="F226" t="inlineStr">
        <is>
          <t>Yemen</t>
        </is>
      </c>
      <c r="G226" t="inlineStr">
        <is>
          <t>YEM</t>
        </is>
      </c>
    </row>
    <row r="227">
      <c r="A227" t="inlineStr">
        <is>
          <t>Saqayn</t>
        </is>
      </c>
      <c r="B227" t="inlineStr">
        <is>
          <t>ساقين</t>
        </is>
      </c>
      <c r="C227" t="inlineStr">
        <is>
          <t>YE2209</t>
        </is>
      </c>
      <c r="D227" t="inlineStr">
        <is>
          <t>Sa'dah</t>
        </is>
      </c>
      <c r="E227" t="inlineStr">
        <is>
          <t>YE22</t>
        </is>
      </c>
      <c r="F227" t="inlineStr">
        <is>
          <t>Yemen</t>
        </is>
      </c>
      <c r="G227" t="inlineStr">
        <is>
          <t>YEM</t>
        </is>
      </c>
    </row>
    <row r="228">
      <c r="A228" t="inlineStr">
        <is>
          <t>Bani Matar</t>
        </is>
      </c>
      <c r="B228" t="inlineStr">
        <is>
          <t>بني مطر</t>
        </is>
      </c>
      <c r="C228" t="inlineStr">
        <is>
          <t>YE2307</t>
        </is>
      </c>
      <c r="D228" t="inlineStr">
        <is>
          <t>Sana'a</t>
        </is>
      </c>
      <c r="E228" t="inlineStr">
        <is>
          <t>YE23</t>
        </is>
      </c>
      <c r="F228" t="inlineStr">
        <is>
          <t>Yemen</t>
        </is>
      </c>
      <c r="G228" t="inlineStr">
        <is>
          <t>YEM</t>
        </is>
      </c>
    </row>
    <row r="229">
      <c r="A229" t="inlineStr">
        <is>
          <t>Raghwan</t>
        </is>
      </c>
      <c r="B229" t="inlineStr">
        <is>
          <t>رغوان</t>
        </is>
      </c>
      <c r="C229" t="inlineStr">
        <is>
          <t>YE2602</t>
        </is>
      </c>
      <c r="D229" t="inlineStr">
        <is>
          <t>Ma'rib</t>
        </is>
      </c>
      <c r="E229" t="inlineStr">
        <is>
          <t>YE26</t>
        </is>
      </c>
      <c r="F229" t="inlineStr">
        <is>
          <t>Yemen</t>
        </is>
      </c>
      <c r="G229" t="inlineStr">
        <is>
          <t>YEM</t>
        </is>
      </c>
    </row>
    <row r="230">
      <c r="A230" t="inlineStr">
        <is>
          <t>Majz</t>
        </is>
      </c>
      <c r="B230" t="inlineStr">
        <is>
          <t>مجز</t>
        </is>
      </c>
      <c r="C230" t="inlineStr">
        <is>
          <t>YE2210</t>
        </is>
      </c>
      <c r="D230" t="inlineStr">
        <is>
          <t>Sa'dah</t>
        </is>
      </c>
      <c r="E230" t="inlineStr">
        <is>
          <t>YE22</t>
        </is>
      </c>
      <c r="F230" t="inlineStr">
        <is>
          <t>Yemen</t>
        </is>
      </c>
      <c r="G230" t="inlineStr">
        <is>
          <t>YEM</t>
        </is>
      </c>
    </row>
    <row r="231">
      <c r="A231" t="inlineStr">
        <is>
          <t>Sahar</t>
        </is>
      </c>
      <c r="B231" t="inlineStr">
        <is>
          <t>سحار</t>
        </is>
      </c>
      <c r="C231" t="inlineStr">
        <is>
          <t>YE2211</t>
        </is>
      </c>
      <c r="D231" t="inlineStr">
        <is>
          <t>Sa'dah</t>
        </is>
      </c>
      <c r="E231" t="inlineStr">
        <is>
          <t>YE22</t>
        </is>
      </c>
      <c r="F231" t="inlineStr">
        <is>
          <t>Yemen</t>
        </is>
      </c>
      <c r="G231" t="inlineStr">
        <is>
          <t>YEM</t>
        </is>
      </c>
    </row>
    <row r="232">
      <c r="A232" t="inlineStr">
        <is>
          <t>As Safra</t>
        </is>
      </c>
      <c r="B232" t="inlineStr">
        <is>
          <t>الصفراء</t>
        </is>
      </c>
      <c r="C232" t="inlineStr">
        <is>
          <t>YE2212</t>
        </is>
      </c>
      <c r="D232" t="inlineStr">
        <is>
          <t>Sa'dah</t>
        </is>
      </c>
      <c r="E232" t="inlineStr">
        <is>
          <t>YE22</t>
        </is>
      </c>
      <c r="F232" t="inlineStr">
        <is>
          <t>Yemen</t>
        </is>
      </c>
      <c r="G232" t="inlineStr">
        <is>
          <t>YEM</t>
        </is>
      </c>
    </row>
    <row r="233">
      <c r="A233" t="inlineStr">
        <is>
          <t>Al Hashwah</t>
        </is>
      </c>
      <c r="B233" t="inlineStr">
        <is>
          <t>الحشوه</t>
        </is>
      </c>
      <c r="C233" t="inlineStr">
        <is>
          <t>YE2213</t>
        </is>
      </c>
      <c r="D233" t="inlineStr">
        <is>
          <t>Sa'dah</t>
        </is>
      </c>
      <c r="E233" t="inlineStr">
        <is>
          <t>YE22</t>
        </is>
      </c>
      <c r="F233" t="inlineStr">
        <is>
          <t>Yemen</t>
        </is>
      </c>
      <c r="G233" t="inlineStr">
        <is>
          <t>YEM</t>
        </is>
      </c>
    </row>
    <row r="234">
      <c r="A234" t="inlineStr">
        <is>
          <t>Kitaf wa Al Boqe'e</t>
        </is>
      </c>
      <c r="B234" t="inlineStr">
        <is>
          <t>كتاف والبقع</t>
        </is>
      </c>
      <c r="C234" t="inlineStr">
        <is>
          <t>YE2214</t>
        </is>
      </c>
      <c r="D234" t="inlineStr">
        <is>
          <t>Sa'dah</t>
        </is>
      </c>
      <c r="E234" t="inlineStr">
        <is>
          <t>YE22</t>
        </is>
      </c>
      <c r="F234" t="inlineStr">
        <is>
          <t>Yemen</t>
        </is>
      </c>
      <c r="G234" t="inlineStr">
        <is>
          <t>YEM</t>
        </is>
      </c>
    </row>
    <row r="235">
      <c r="A235" t="inlineStr">
        <is>
          <t>Sa'adah</t>
        </is>
      </c>
      <c r="B235" t="inlineStr">
        <is>
          <t>صعدة</t>
        </is>
      </c>
      <c r="C235" t="inlineStr">
        <is>
          <t>YE2215</t>
        </is>
      </c>
      <c r="D235" t="inlineStr">
        <is>
          <t>Sa'dah</t>
        </is>
      </c>
      <c r="E235" t="inlineStr">
        <is>
          <t>YE22</t>
        </is>
      </c>
      <c r="F235" t="inlineStr">
        <is>
          <t>Yemen</t>
        </is>
      </c>
      <c r="G235" t="inlineStr">
        <is>
          <t>YEM</t>
        </is>
      </c>
    </row>
    <row r="236">
      <c r="A236" t="inlineStr">
        <is>
          <t>Bilad Ar Rus</t>
        </is>
      </c>
      <c r="B236" t="inlineStr">
        <is>
          <t>بلاد الروس</t>
        </is>
      </c>
      <c r="C236" t="inlineStr">
        <is>
          <t>YE2306</t>
        </is>
      </c>
      <c r="D236" t="inlineStr">
        <is>
          <t>Sana'a</t>
        </is>
      </c>
      <c r="E236" t="inlineStr">
        <is>
          <t>YE23</t>
        </is>
      </c>
      <c r="F236" t="inlineStr">
        <is>
          <t>Yemen</t>
        </is>
      </c>
      <c r="G236" t="inlineStr">
        <is>
          <t>YEM</t>
        </is>
      </c>
    </row>
    <row r="237">
      <c r="A237" t="inlineStr">
        <is>
          <t>Al Haymah Ad Dakhiliyah</t>
        </is>
      </c>
      <c r="B237" t="inlineStr">
        <is>
          <t>الحيمة الداخلية</t>
        </is>
      </c>
      <c r="C237" t="inlineStr">
        <is>
          <t>YE2308</t>
        </is>
      </c>
      <c r="D237" t="inlineStr">
        <is>
          <t>Sana'a</t>
        </is>
      </c>
      <c r="E237" t="inlineStr">
        <is>
          <t>YE23</t>
        </is>
      </c>
      <c r="F237" t="inlineStr">
        <is>
          <t>Yemen</t>
        </is>
      </c>
      <c r="G237" t="inlineStr">
        <is>
          <t>YEM</t>
        </is>
      </c>
    </row>
    <row r="238">
      <c r="A238" t="inlineStr">
        <is>
          <t>Al Haymah Al Kharijiyah</t>
        </is>
      </c>
      <c r="B238" t="inlineStr">
        <is>
          <t>الحيمة الخارجية</t>
        </is>
      </c>
      <c r="C238" t="inlineStr">
        <is>
          <t>YE2309</t>
        </is>
      </c>
      <c r="D238" t="inlineStr">
        <is>
          <t>Sana'a</t>
        </is>
      </c>
      <c r="E238" t="inlineStr">
        <is>
          <t>YE23</t>
        </is>
      </c>
      <c r="F238" t="inlineStr">
        <is>
          <t>Yemen</t>
        </is>
      </c>
      <c r="G238" t="inlineStr">
        <is>
          <t>YEM</t>
        </is>
      </c>
    </row>
    <row r="239">
      <c r="A239" t="inlineStr">
        <is>
          <t>Manakhah</t>
        </is>
      </c>
      <c r="B239" t="inlineStr">
        <is>
          <t>مناخه</t>
        </is>
      </c>
      <c r="C239" t="inlineStr">
        <is>
          <t>YE2310</t>
        </is>
      </c>
      <c r="D239" t="inlineStr">
        <is>
          <t>Sana'a</t>
        </is>
      </c>
      <c r="E239" t="inlineStr">
        <is>
          <t>YE23</t>
        </is>
      </c>
      <c r="F239" t="inlineStr">
        <is>
          <t>Yemen</t>
        </is>
      </c>
      <c r="G239" t="inlineStr">
        <is>
          <t>YEM</t>
        </is>
      </c>
    </row>
    <row r="240">
      <c r="A240" t="inlineStr">
        <is>
          <t>Sa'fan</t>
        </is>
      </c>
      <c r="B240" t="inlineStr">
        <is>
          <t>صعفان</t>
        </is>
      </c>
      <c r="C240" t="inlineStr">
        <is>
          <t>YE2311</t>
        </is>
      </c>
      <c r="D240" t="inlineStr">
        <is>
          <t>Sana'a</t>
        </is>
      </c>
      <c r="E240" t="inlineStr">
        <is>
          <t>YE23</t>
        </is>
      </c>
      <c r="F240" t="inlineStr">
        <is>
          <t>Yemen</t>
        </is>
      </c>
      <c r="G240" t="inlineStr">
        <is>
          <t>YEM</t>
        </is>
      </c>
    </row>
    <row r="241">
      <c r="A241" t="inlineStr">
        <is>
          <t>Khwlan</t>
        </is>
      </c>
      <c r="B241" t="inlineStr">
        <is>
          <t>خولان</t>
        </is>
      </c>
      <c r="C241" t="inlineStr">
        <is>
          <t>YE2312</t>
        </is>
      </c>
      <c r="D241" t="inlineStr">
        <is>
          <t>Sana'a</t>
        </is>
      </c>
      <c r="E241" t="inlineStr">
        <is>
          <t>YE23</t>
        </is>
      </c>
      <c r="F241" t="inlineStr">
        <is>
          <t>Yemen</t>
        </is>
      </c>
      <c r="G241" t="inlineStr">
        <is>
          <t>YEM</t>
        </is>
      </c>
    </row>
    <row r="242">
      <c r="A242" t="inlineStr">
        <is>
          <t>Attyal</t>
        </is>
      </c>
      <c r="B242" t="inlineStr">
        <is>
          <t>الطيال</t>
        </is>
      </c>
      <c r="C242" t="inlineStr">
        <is>
          <t>YE2313</t>
        </is>
      </c>
      <c r="D242" t="inlineStr">
        <is>
          <t>Sana'a</t>
        </is>
      </c>
      <c r="E242" t="inlineStr">
        <is>
          <t>YE23</t>
        </is>
      </c>
      <c r="F242" t="inlineStr">
        <is>
          <t>Yemen</t>
        </is>
      </c>
      <c r="G242" t="inlineStr">
        <is>
          <t>YEM</t>
        </is>
      </c>
    </row>
    <row r="243">
      <c r="A243" t="inlineStr">
        <is>
          <t>Bani Dhabyan</t>
        </is>
      </c>
      <c r="B243" t="inlineStr">
        <is>
          <t>بني ضبيان</t>
        </is>
      </c>
      <c r="C243" t="inlineStr">
        <is>
          <t>YE2314</t>
        </is>
      </c>
      <c r="D243" t="inlineStr">
        <is>
          <t>Sana'a</t>
        </is>
      </c>
      <c r="E243" t="inlineStr">
        <is>
          <t>YE23</t>
        </is>
      </c>
      <c r="F243" t="inlineStr">
        <is>
          <t>Yemen</t>
        </is>
      </c>
      <c r="G243" t="inlineStr">
        <is>
          <t>YEM</t>
        </is>
      </c>
    </row>
    <row r="244">
      <c r="A244" t="inlineStr">
        <is>
          <t>Al Husn</t>
        </is>
      </c>
      <c r="B244" t="inlineStr">
        <is>
          <t>الحصن</t>
        </is>
      </c>
      <c r="C244" t="inlineStr">
        <is>
          <t>YE2315</t>
        </is>
      </c>
      <c r="D244" t="inlineStr">
        <is>
          <t>Sana'a</t>
        </is>
      </c>
      <c r="E244" t="inlineStr">
        <is>
          <t>YE23</t>
        </is>
      </c>
      <c r="F244" t="inlineStr">
        <is>
          <t>Yemen</t>
        </is>
      </c>
      <c r="G244" t="inlineStr">
        <is>
          <t>YEM</t>
        </is>
      </c>
    </row>
    <row r="245">
      <c r="A245" t="inlineStr">
        <is>
          <t>Dar Sad</t>
        </is>
      </c>
      <c r="B245" t="inlineStr">
        <is>
          <t>دار سعد</t>
        </is>
      </c>
      <c r="C245" t="inlineStr">
        <is>
          <t>YE2401</t>
        </is>
      </c>
      <c r="D245" t="inlineStr">
        <is>
          <t>Aden</t>
        </is>
      </c>
      <c r="E245" t="inlineStr">
        <is>
          <t>YE24</t>
        </is>
      </c>
      <c r="F245" t="inlineStr">
        <is>
          <t>Yemen</t>
        </is>
      </c>
      <c r="G245" t="inlineStr">
        <is>
          <t>YEM</t>
        </is>
      </c>
    </row>
    <row r="246">
      <c r="A246" t="inlineStr">
        <is>
          <t>Milhan</t>
        </is>
      </c>
      <c r="B246" t="inlineStr">
        <is>
          <t>ملحان</t>
        </is>
      </c>
      <c r="C246" t="inlineStr">
        <is>
          <t>YE2705</t>
        </is>
      </c>
      <c r="D246" t="inlineStr">
        <is>
          <t>Al Mahwit</t>
        </is>
      </c>
      <c r="E246" t="inlineStr">
        <is>
          <t>YE27</t>
        </is>
      </c>
      <c r="F246" t="inlineStr">
        <is>
          <t>Yemen</t>
        </is>
      </c>
      <c r="G246" t="inlineStr">
        <is>
          <t>YEM</t>
        </is>
      </c>
    </row>
    <row r="247">
      <c r="A247" t="inlineStr">
        <is>
          <t>Ash Shaikh Outhman</t>
        </is>
      </c>
      <c r="B247" t="inlineStr">
        <is>
          <t>الشيخ عثمان</t>
        </is>
      </c>
      <c r="C247" t="inlineStr">
        <is>
          <t>YE2402</t>
        </is>
      </c>
      <c r="D247" t="inlineStr">
        <is>
          <t>Aden</t>
        </is>
      </c>
      <c r="E247" t="inlineStr">
        <is>
          <t>YE24</t>
        </is>
      </c>
      <c r="F247" t="inlineStr">
        <is>
          <t>Yemen</t>
        </is>
      </c>
      <c r="G247" t="inlineStr">
        <is>
          <t>YEM</t>
        </is>
      </c>
    </row>
    <row r="248">
      <c r="A248" t="inlineStr">
        <is>
          <t>Yafa'a</t>
        </is>
      </c>
      <c r="B248" t="inlineStr">
        <is>
          <t>يافع</t>
        </is>
      </c>
      <c r="C248" t="inlineStr">
        <is>
          <t>YE2502</t>
        </is>
      </c>
      <c r="D248" t="inlineStr">
        <is>
          <t>Lahj</t>
        </is>
      </c>
      <c r="E248" t="inlineStr">
        <is>
          <t>YE25</t>
        </is>
      </c>
      <c r="F248" t="inlineStr">
        <is>
          <t>Yemen</t>
        </is>
      </c>
      <c r="G248" t="inlineStr">
        <is>
          <t>YEM</t>
        </is>
      </c>
    </row>
    <row r="249">
      <c r="A249" t="inlineStr">
        <is>
          <t>Al Mualla</t>
        </is>
      </c>
      <c r="B249" t="inlineStr">
        <is>
          <t>المعلا</t>
        </is>
      </c>
      <c r="C249" t="inlineStr">
        <is>
          <t>YE2406</t>
        </is>
      </c>
      <c r="D249" t="inlineStr">
        <is>
          <t>Aden</t>
        </is>
      </c>
      <c r="E249" t="inlineStr">
        <is>
          <t>YE24</t>
        </is>
      </c>
      <c r="F249" t="inlineStr">
        <is>
          <t>Yemen</t>
        </is>
      </c>
      <c r="G249" t="inlineStr">
        <is>
          <t>YEM</t>
        </is>
      </c>
    </row>
    <row r="250">
      <c r="A250" t="inlineStr">
        <is>
          <t>Al Mansura</t>
        </is>
      </c>
      <c r="B250" t="inlineStr">
        <is>
          <t>المنصورة</t>
        </is>
      </c>
      <c r="C250" t="inlineStr">
        <is>
          <t>YE2403</t>
        </is>
      </c>
      <c r="D250" t="inlineStr">
        <is>
          <t>Aden</t>
        </is>
      </c>
      <c r="E250" t="inlineStr">
        <is>
          <t>YE24</t>
        </is>
      </c>
      <c r="F250" t="inlineStr">
        <is>
          <t>Yemen</t>
        </is>
      </c>
      <c r="G250" t="inlineStr">
        <is>
          <t>YEM</t>
        </is>
      </c>
    </row>
    <row r="251">
      <c r="A251" t="inlineStr">
        <is>
          <t>Al Buraiqeh</t>
        </is>
      </c>
      <c r="B251" t="inlineStr">
        <is>
          <t>البريقه</t>
        </is>
      </c>
      <c r="C251" t="inlineStr">
        <is>
          <t>YE2404</t>
        </is>
      </c>
      <c r="D251" t="inlineStr">
        <is>
          <t>Aden</t>
        </is>
      </c>
      <c r="E251" t="inlineStr">
        <is>
          <t>YE24</t>
        </is>
      </c>
      <c r="F251" t="inlineStr">
        <is>
          <t>Yemen</t>
        </is>
      </c>
      <c r="G251" t="inlineStr">
        <is>
          <t>YEM</t>
        </is>
      </c>
    </row>
    <row r="252">
      <c r="A252" t="inlineStr">
        <is>
          <t>Attawahi</t>
        </is>
      </c>
      <c r="B252" t="inlineStr">
        <is>
          <t>التواهي</t>
        </is>
      </c>
      <c r="C252" t="inlineStr">
        <is>
          <t>YE2405</t>
        </is>
      </c>
      <c r="D252" t="inlineStr">
        <is>
          <t>Aden</t>
        </is>
      </c>
      <c r="E252" t="inlineStr">
        <is>
          <t>YE24</t>
        </is>
      </c>
      <c r="F252" t="inlineStr">
        <is>
          <t>Yemen</t>
        </is>
      </c>
      <c r="G252" t="inlineStr">
        <is>
          <t>YEM</t>
        </is>
      </c>
    </row>
    <row r="253">
      <c r="A253" t="inlineStr">
        <is>
          <t>Craiter</t>
        </is>
      </c>
      <c r="B253" t="inlineStr">
        <is>
          <t>كريتر</t>
        </is>
      </c>
      <c r="C253" t="inlineStr">
        <is>
          <t>YE2407</t>
        </is>
      </c>
      <c r="D253" t="inlineStr">
        <is>
          <t>Aden</t>
        </is>
      </c>
      <c r="E253" t="inlineStr">
        <is>
          <t>YE24</t>
        </is>
      </c>
      <c r="F253" t="inlineStr">
        <is>
          <t>Yemen</t>
        </is>
      </c>
      <c r="G253" t="inlineStr">
        <is>
          <t>YEM</t>
        </is>
      </c>
    </row>
    <row r="254">
      <c r="A254" t="inlineStr">
        <is>
          <t>Al Had</t>
        </is>
      </c>
      <c r="B254" t="inlineStr">
        <is>
          <t>الحد</t>
        </is>
      </c>
      <c r="C254" t="inlineStr">
        <is>
          <t>YE2501</t>
        </is>
      </c>
      <c r="D254" t="inlineStr">
        <is>
          <t>Lahj</t>
        </is>
      </c>
      <c r="E254" t="inlineStr">
        <is>
          <t>YE25</t>
        </is>
      </c>
      <c r="F254" t="inlineStr">
        <is>
          <t>Yemen</t>
        </is>
      </c>
      <c r="G254" t="inlineStr">
        <is>
          <t>YEM</t>
        </is>
      </c>
    </row>
    <row r="255">
      <c r="A255" t="inlineStr">
        <is>
          <t>Al Maflahy</t>
        </is>
      </c>
      <c r="B255" t="inlineStr">
        <is>
          <t>المفلحي</t>
        </is>
      </c>
      <c r="C255" t="inlineStr">
        <is>
          <t>YE2503</t>
        </is>
      </c>
      <c r="D255" t="inlineStr">
        <is>
          <t>Lahj</t>
        </is>
      </c>
      <c r="E255" t="inlineStr">
        <is>
          <t>YE25</t>
        </is>
      </c>
      <c r="F255" t="inlineStr">
        <is>
          <t>Yemen</t>
        </is>
      </c>
      <c r="G255" t="inlineStr">
        <is>
          <t>YEM</t>
        </is>
      </c>
    </row>
    <row r="256">
      <c r="A256" t="inlineStr">
        <is>
          <t>Yahr</t>
        </is>
      </c>
      <c r="B256" t="inlineStr">
        <is>
          <t>يهر</t>
        </is>
      </c>
      <c r="C256" t="inlineStr">
        <is>
          <t>YE2504</t>
        </is>
      </c>
      <c r="D256" t="inlineStr">
        <is>
          <t>Lahj</t>
        </is>
      </c>
      <c r="E256" t="inlineStr">
        <is>
          <t>YE25</t>
        </is>
      </c>
      <c r="F256" t="inlineStr">
        <is>
          <t>Yemen</t>
        </is>
      </c>
      <c r="G256" t="inlineStr">
        <is>
          <t>YEM</t>
        </is>
      </c>
    </row>
    <row r="257">
      <c r="A257" t="inlineStr">
        <is>
          <t>Al Milah</t>
        </is>
      </c>
      <c r="B257" t="inlineStr">
        <is>
          <t>الملاح</t>
        </is>
      </c>
      <c r="C257" t="inlineStr">
        <is>
          <t>YE2508</t>
        </is>
      </c>
      <c r="D257" t="inlineStr">
        <is>
          <t>Lahj</t>
        </is>
      </c>
      <c r="E257" t="inlineStr">
        <is>
          <t>YE25</t>
        </is>
      </c>
      <c r="F257" t="inlineStr">
        <is>
          <t>Yemen</t>
        </is>
      </c>
      <c r="G257" t="inlineStr">
        <is>
          <t>YEM</t>
        </is>
      </c>
    </row>
    <row r="258">
      <c r="A258" t="inlineStr">
        <is>
          <t>Tur Al Bahah</t>
        </is>
      </c>
      <c r="B258" t="inlineStr">
        <is>
          <t>طور الباحة</t>
        </is>
      </c>
      <c r="C258" t="inlineStr">
        <is>
          <t>YE2511</t>
        </is>
      </c>
      <c r="D258" t="inlineStr">
        <is>
          <t>Lahj</t>
        </is>
      </c>
      <c r="E258" t="inlineStr">
        <is>
          <t>YE25</t>
        </is>
      </c>
      <c r="F258" t="inlineStr">
        <is>
          <t>Yemen</t>
        </is>
      </c>
      <c r="G258" t="inlineStr">
        <is>
          <t>YEM</t>
        </is>
      </c>
    </row>
    <row r="259">
      <c r="A259" t="inlineStr">
        <is>
          <t>Habil Jabr</t>
        </is>
      </c>
      <c r="B259" t="inlineStr">
        <is>
          <t>حبيل جبر</t>
        </is>
      </c>
      <c r="C259" t="inlineStr">
        <is>
          <t>YE2505</t>
        </is>
      </c>
      <c r="D259" t="inlineStr">
        <is>
          <t>Lahj</t>
        </is>
      </c>
      <c r="E259" t="inlineStr">
        <is>
          <t>YE25</t>
        </is>
      </c>
      <c r="F259" t="inlineStr">
        <is>
          <t>Yemen</t>
        </is>
      </c>
      <c r="G259" t="inlineStr">
        <is>
          <t>YEM</t>
        </is>
      </c>
    </row>
    <row r="260">
      <c r="A260" t="inlineStr">
        <is>
          <t>Halimayn</t>
        </is>
      </c>
      <c r="B260" t="inlineStr">
        <is>
          <t>حالمين</t>
        </is>
      </c>
      <c r="C260" t="inlineStr">
        <is>
          <t>YE2506</t>
        </is>
      </c>
      <c r="D260" t="inlineStr">
        <is>
          <t>Lahj</t>
        </is>
      </c>
      <c r="E260" t="inlineStr">
        <is>
          <t>YE25</t>
        </is>
      </c>
      <c r="F260" t="inlineStr">
        <is>
          <t>Yemen</t>
        </is>
      </c>
      <c r="G260" t="inlineStr">
        <is>
          <t>YEM</t>
        </is>
      </c>
    </row>
    <row r="261">
      <c r="A261" t="inlineStr">
        <is>
          <t>Radfan</t>
        </is>
      </c>
      <c r="B261" t="inlineStr">
        <is>
          <t>ردفان</t>
        </is>
      </c>
      <c r="C261" t="inlineStr">
        <is>
          <t>YE2507</t>
        </is>
      </c>
      <c r="D261" t="inlineStr">
        <is>
          <t>Lahj</t>
        </is>
      </c>
      <c r="E261" t="inlineStr">
        <is>
          <t>YE25</t>
        </is>
      </c>
      <c r="F261" t="inlineStr">
        <is>
          <t>Yemen</t>
        </is>
      </c>
      <c r="G261" t="inlineStr">
        <is>
          <t>YEM</t>
        </is>
      </c>
    </row>
    <row r="262">
      <c r="A262" t="inlineStr">
        <is>
          <t>Hufash</t>
        </is>
      </c>
      <c r="B262" t="inlineStr">
        <is>
          <t>حفاش</t>
        </is>
      </c>
      <c r="C262" t="inlineStr">
        <is>
          <t>YE2706</t>
        </is>
      </c>
      <c r="D262" t="inlineStr">
        <is>
          <t>Al Mahwit</t>
        </is>
      </c>
      <c r="E262" t="inlineStr">
        <is>
          <t>YE27</t>
        </is>
      </c>
      <c r="F262" t="inlineStr">
        <is>
          <t>Yemen</t>
        </is>
      </c>
      <c r="G262" t="inlineStr">
        <is>
          <t>YEM</t>
        </is>
      </c>
    </row>
    <row r="263">
      <c r="A263" t="inlineStr">
        <is>
          <t>Bani Sa'd</t>
        </is>
      </c>
      <c r="B263" t="inlineStr">
        <is>
          <t>بني سعد</t>
        </is>
      </c>
      <c r="C263" t="inlineStr">
        <is>
          <t>YE2707</t>
        </is>
      </c>
      <c r="D263" t="inlineStr">
        <is>
          <t>Al Mahwit</t>
        </is>
      </c>
      <c r="E263" t="inlineStr">
        <is>
          <t>YE27</t>
        </is>
      </c>
      <c r="F263" t="inlineStr">
        <is>
          <t>Yemen</t>
        </is>
      </c>
      <c r="G263" t="inlineStr">
        <is>
          <t>YEM</t>
        </is>
      </c>
    </row>
    <row r="264">
      <c r="A264" t="inlineStr">
        <is>
          <t>Al Musaymir</t>
        </is>
      </c>
      <c r="B264" t="inlineStr">
        <is>
          <t>المسيمير</t>
        </is>
      </c>
      <c r="C264" t="inlineStr">
        <is>
          <t>YE2509</t>
        </is>
      </c>
      <c r="D264" t="inlineStr">
        <is>
          <t>Lahj</t>
        </is>
      </c>
      <c r="E264" t="inlineStr">
        <is>
          <t>YE25</t>
        </is>
      </c>
      <c r="F264" t="inlineStr">
        <is>
          <t>Yemen</t>
        </is>
      </c>
      <c r="G264" t="inlineStr">
        <is>
          <t>YEM</t>
        </is>
      </c>
    </row>
    <row r="265">
      <c r="A265" t="inlineStr">
        <is>
          <t>Al Mahwait City</t>
        </is>
      </c>
      <c r="B265" t="inlineStr">
        <is>
          <t>مدينة المحويت</t>
        </is>
      </c>
      <c r="C265" t="inlineStr">
        <is>
          <t>YE2708</t>
        </is>
      </c>
      <c r="D265" t="inlineStr">
        <is>
          <t>Al Mahwit</t>
        </is>
      </c>
      <c r="E265" t="inlineStr">
        <is>
          <t>YE27</t>
        </is>
      </c>
      <c r="F265" t="inlineStr">
        <is>
          <t>Yemen</t>
        </is>
      </c>
      <c r="G265" t="inlineStr">
        <is>
          <t>YEM</t>
        </is>
      </c>
    </row>
    <row r="266">
      <c r="A266" t="inlineStr">
        <is>
          <t>Al Qabbaytah</t>
        </is>
      </c>
      <c r="B266" t="inlineStr">
        <is>
          <t>القبيطه</t>
        </is>
      </c>
      <c r="C266" t="inlineStr">
        <is>
          <t>YE2510</t>
        </is>
      </c>
      <c r="D266" t="inlineStr">
        <is>
          <t>Lahj</t>
        </is>
      </c>
      <c r="E266" t="inlineStr">
        <is>
          <t>YE25</t>
        </is>
      </c>
      <c r="F266" t="inlineStr">
        <is>
          <t>Yemen</t>
        </is>
      </c>
      <c r="G266" t="inlineStr">
        <is>
          <t>YEM</t>
        </is>
      </c>
    </row>
    <row r="267">
      <c r="A267" t="inlineStr">
        <is>
          <t>Tuban</t>
        </is>
      </c>
      <c r="B267" t="inlineStr">
        <is>
          <t>تبن</t>
        </is>
      </c>
      <c r="C267" t="inlineStr">
        <is>
          <t>YE2515</t>
        </is>
      </c>
      <c r="D267" t="inlineStr">
        <is>
          <t>Lahj</t>
        </is>
      </c>
      <c r="E267" t="inlineStr">
        <is>
          <t>YE25</t>
        </is>
      </c>
      <c r="F267" t="inlineStr">
        <is>
          <t>Yemen</t>
        </is>
      </c>
      <c r="G267" t="inlineStr">
        <is>
          <t>YEM</t>
        </is>
      </c>
    </row>
    <row r="268">
      <c r="A268" t="inlineStr">
        <is>
          <t>Majzar</t>
        </is>
      </c>
      <c r="B268" t="inlineStr">
        <is>
          <t>مجزر</t>
        </is>
      </c>
      <c r="C268" t="inlineStr">
        <is>
          <t>YE2601</t>
        </is>
      </c>
      <c r="D268" t="inlineStr">
        <is>
          <t>Ma'rib</t>
        </is>
      </c>
      <c r="E268" t="inlineStr">
        <is>
          <t>YE26</t>
        </is>
      </c>
      <c r="F268" t="inlineStr">
        <is>
          <t>Yemen</t>
        </is>
      </c>
      <c r="G268" t="inlineStr">
        <is>
          <t>YEM</t>
        </is>
      </c>
    </row>
    <row r="269">
      <c r="A269" t="inlineStr">
        <is>
          <t>Al Maqatirah</t>
        </is>
      </c>
      <c r="B269" t="inlineStr">
        <is>
          <t>المقاطرة</t>
        </is>
      </c>
      <c r="C269" t="inlineStr">
        <is>
          <t>YE2512</t>
        </is>
      </c>
      <c r="D269" t="inlineStr">
        <is>
          <t>Lahj</t>
        </is>
      </c>
      <c r="E269" t="inlineStr">
        <is>
          <t>YE25</t>
        </is>
      </c>
      <c r="F269" t="inlineStr">
        <is>
          <t>Yemen</t>
        </is>
      </c>
      <c r="G269" t="inlineStr">
        <is>
          <t>YEM</t>
        </is>
      </c>
    </row>
    <row r="270">
      <c r="A270" t="inlineStr">
        <is>
          <t>Al Madaribah Wa Al Arah</t>
        </is>
      </c>
      <c r="B270" t="inlineStr">
        <is>
          <t>المضاربة و العاره</t>
        </is>
      </c>
      <c r="C270" t="inlineStr">
        <is>
          <t>YE2513</t>
        </is>
      </c>
      <c r="D270" t="inlineStr">
        <is>
          <t>Lahj</t>
        </is>
      </c>
      <c r="E270" t="inlineStr">
        <is>
          <t>YE25</t>
        </is>
      </c>
      <c r="F270" t="inlineStr">
        <is>
          <t>Yemen</t>
        </is>
      </c>
      <c r="G270" t="inlineStr">
        <is>
          <t>YEM</t>
        </is>
      </c>
    </row>
    <row r="271">
      <c r="A271" t="inlineStr">
        <is>
          <t>Al  Hawtah</t>
        </is>
      </c>
      <c r="B271" t="inlineStr">
        <is>
          <t>الحوطة</t>
        </is>
      </c>
      <c r="C271" t="inlineStr">
        <is>
          <t>YE2514</t>
        </is>
      </c>
      <c r="D271" t="inlineStr">
        <is>
          <t>Lahj</t>
        </is>
      </c>
      <c r="E271" t="inlineStr">
        <is>
          <t>YE25</t>
        </is>
      </c>
      <c r="F271" t="inlineStr">
        <is>
          <t>Yemen</t>
        </is>
      </c>
      <c r="G271" t="inlineStr">
        <is>
          <t>YEM</t>
        </is>
      </c>
    </row>
    <row r="272">
      <c r="A272" t="inlineStr">
        <is>
          <t>Medghal</t>
        </is>
      </c>
      <c r="B272" t="inlineStr">
        <is>
          <t>مدغل</t>
        </is>
      </c>
      <c r="C272" t="inlineStr">
        <is>
          <t>YE2603</t>
        </is>
      </c>
      <c r="D272" t="inlineStr">
        <is>
          <t>Ma'rib</t>
        </is>
      </c>
      <c r="E272" t="inlineStr">
        <is>
          <t>YE26</t>
        </is>
      </c>
      <c r="F272" t="inlineStr">
        <is>
          <t>Yemen</t>
        </is>
      </c>
      <c r="G272" t="inlineStr">
        <is>
          <t>YEM</t>
        </is>
      </c>
    </row>
    <row r="273">
      <c r="A273" t="inlineStr">
        <is>
          <t>Harib Al Qaramish</t>
        </is>
      </c>
      <c r="B273" t="inlineStr">
        <is>
          <t>حريب القرامش</t>
        </is>
      </c>
      <c r="C273" t="inlineStr">
        <is>
          <t>YE2604</t>
        </is>
      </c>
      <c r="D273" t="inlineStr">
        <is>
          <t>Ma'rib</t>
        </is>
      </c>
      <c r="E273" t="inlineStr">
        <is>
          <t>YE26</t>
        </is>
      </c>
      <c r="F273" t="inlineStr">
        <is>
          <t>Yemen</t>
        </is>
      </c>
      <c r="G273" t="inlineStr">
        <is>
          <t>YEM</t>
        </is>
      </c>
    </row>
    <row r="274">
      <c r="A274" t="inlineStr">
        <is>
          <t>Sirwah</t>
        </is>
      </c>
      <c r="B274" t="inlineStr">
        <is>
          <t>صرواح</t>
        </is>
      </c>
      <c r="C274" t="inlineStr">
        <is>
          <t>YE2606</t>
        </is>
      </c>
      <c r="D274" t="inlineStr">
        <is>
          <t>Ma'rib</t>
        </is>
      </c>
      <c r="E274" t="inlineStr">
        <is>
          <t>YE26</t>
        </is>
      </c>
      <c r="F274" t="inlineStr">
        <is>
          <t>Yemen</t>
        </is>
      </c>
      <c r="G274" t="inlineStr">
        <is>
          <t>YEM</t>
        </is>
      </c>
    </row>
    <row r="275">
      <c r="A275" t="inlineStr">
        <is>
          <t>Al Jubah</t>
        </is>
      </c>
      <c r="B275" t="inlineStr">
        <is>
          <t>الجوبة</t>
        </is>
      </c>
      <c r="C275" t="inlineStr">
        <is>
          <t>YE2607</t>
        </is>
      </c>
      <c r="D275" t="inlineStr">
        <is>
          <t>Ma'rib</t>
        </is>
      </c>
      <c r="E275" t="inlineStr">
        <is>
          <t>YE26</t>
        </is>
      </c>
      <c r="F275" t="inlineStr">
        <is>
          <t>Yemen</t>
        </is>
      </c>
      <c r="G275" t="inlineStr">
        <is>
          <t>YEM</t>
        </is>
      </c>
    </row>
    <row r="276">
      <c r="A276" t="inlineStr">
        <is>
          <t>Rahabah</t>
        </is>
      </c>
      <c r="B276" t="inlineStr">
        <is>
          <t>رحبه</t>
        </is>
      </c>
      <c r="C276" t="inlineStr">
        <is>
          <t>YE2608</t>
        </is>
      </c>
      <c r="D276" t="inlineStr">
        <is>
          <t>Ma'rib</t>
        </is>
      </c>
      <c r="E276" t="inlineStr">
        <is>
          <t>YE26</t>
        </is>
      </c>
      <c r="F276" t="inlineStr">
        <is>
          <t>Yemen</t>
        </is>
      </c>
      <c r="G276" t="inlineStr">
        <is>
          <t>YEM</t>
        </is>
      </c>
    </row>
    <row r="277">
      <c r="A277" t="inlineStr">
        <is>
          <t>Jabal Iyal Yazid</t>
        </is>
      </c>
      <c r="B277" t="inlineStr">
        <is>
          <t>جبل عيال يزيد</t>
        </is>
      </c>
      <c r="C277" t="inlineStr">
        <is>
          <t>YE2912</t>
        </is>
      </c>
      <c r="D277" t="inlineStr">
        <is>
          <t>Amran</t>
        </is>
      </c>
      <c r="E277" t="inlineStr">
        <is>
          <t>YE29</t>
        </is>
      </c>
      <c r="F277" t="inlineStr">
        <is>
          <t>Yemen</t>
        </is>
      </c>
      <c r="G277" t="inlineStr">
        <is>
          <t>YEM</t>
        </is>
      </c>
    </row>
    <row r="278">
      <c r="A278" t="inlineStr">
        <is>
          <t>Harib</t>
        </is>
      </c>
      <c r="B278" t="inlineStr">
        <is>
          <t>حريب</t>
        </is>
      </c>
      <c r="C278" t="inlineStr">
        <is>
          <t>YE2609</t>
        </is>
      </c>
      <c r="D278" t="inlineStr">
        <is>
          <t>Ma'rib</t>
        </is>
      </c>
      <c r="E278" t="inlineStr">
        <is>
          <t>YE26</t>
        </is>
      </c>
      <c r="F278" t="inlineStr">
        <is>
          <t>Yemen</t>
        </is>
      </c>
      <c r="G278" t="inlineStr">
        <is>
          <t>YEM</t>
        </is>
      </c>
    </row>
    <row r="279">
      <c r="A279" t="inlineStr">
        <is>
          <t>Mahliyah</t>
        </is>
      </c>
      <c r="B279" t="inlineStr">
        <is>
          <t>ماهليه</t>
        </is>
      </c>
      <c r="C279" t="inlineStr">
        <is>
          <t>YE2610</t>
        </is>
      </c>
      <c r="D279" t="inlineStr">
        <is>
          <t>Ma'rib</t>
        </is>
      </c>
      <c r="E279" t="inlineStr">
        <is>
          <t>YE26</t>
        </is>
      </c>
      <c r="F279" t="inlineStr">
        <is>
          <t>Yemen</t>
        </is>
      </c>
      <c r="G279" t="inlineStr">
        <is>
          <t>YEM</t>
        </is>
      </c>
    </row>
    <row r="280">
      <c r="A280" t="inlineStr">
        <is>
          <t>Al Abdiyah</t>
        </is>
      </c>
      <c r="B280" t="inlineStr">
        <is>
          <t>العبدية</t>
        </is>
      </c>
      <c r="C280" t="inlineStr">
        <is>
          <t>YE2611</t>
        </is>
      </c>
      <c r="D280" t="inlineStr">
        <is>
          <t>Ma'rib</t>
        </is>
      </c>
      <c r="E280" t="inlineStr">
        <is>
          <t>YE26</t>
        </is>
      </c>
      <c r="F280" t="inlineStr">
        <is>
          <t>Yemen</t>
        </is>
      </c>
      <c r="G280" t="inlineStr">
        <is>
          <t>YEM</t>
        </is>
      </c>
    </row>
    <row r="281">
      <c r="A281" t="inlineStr">
        <is>
          <t>Marib City</t>
        </is>
      </c>
      <c r="B281" t="inlineStr">
        <is>
          <t>مدينة مأرب</t>
        </is>
      </c>
      <c r="C281" t="inlineStr">
        <is>
          <t>YE2612</t>
        </is>
      </c>
      <c r="D281" t="inlineStr">
        <is>
          <t>Ma'rib</t>
        </is>
      </c>
      <c r="E281" t="inlineStr">
        <is>
          <t>YE26</t>
        </is>
      </c>
      <c r="F281" t="inlineStr">
        <is>
          <t>Yemen</t>
        </is>
      </c>
      <c r="G281" t="inlineStr">
        <is>
          <t>YEM</t>
        </is>
      </c>
    </row>
    <row r="282">
      <c r="A282" t="inlineStr">
        <is>
          <t>Hat</t>
        </is>
      </c>
      <c r="B282" t="inlineStr">
        <is>
          <t>حات</t>
        </is>
      </c>
      <c r="C282" t="inlineStr">
        <is>
          <t>YE2802</t>
        </is>
      </c>
      <c r="D282" t="inlineStr">
        <is>
          <t>Al Maharah</t>
        </is>
      </c>
      <c r="E282" t="inlineStr">
        <is>
          <t>YE28</t>
        </is>
      </c>
      <c r="F282" t="inlineStr">
        <is>
          <t>Yemen</t>
        </is>
      </c>
      <c r="G282" t="inlineStr">
        <is>
          <t>YEM</t>
        </is>
      </c>
    </row>
    <row r="283">
      <c r="A283" t="inlineStr">
        <is>
          <t>Marib</t>
        </is>
      </c>
      <c r="B283" t="inlineStr">
        <is>
          <t>مأرب</t>
        </is>
      </c>
      <c r="C283" t="inlineStr">
        <is>
          <t>YE2613</t>
        </is>
      </c>
      <c r="D283" t="inlineStr">
        <is>
          <t>Ma'rib</t>
        </is>
      </c>
      <c r="E283" t="inlineStr">
        <is>
          <t>YE26</t>
        </is>
      </c>
      <c r="F283" t="inlineStr">
        <is>
          <t>Yemen</t>
        </is>
      </c>
      <c r="G283" t="inlineStr">
        <is>
          <t>YEM</t>
        </is>
      </c>
    </row>
    <row r="284">
      <c r="A284" t="inlineStr">
        <is>
          <t>Hawf</t>
        </is>
      </c>
      <c r="B284" t="inlineStr">
        <is>
          <t>حوف</t>
        </is>
      </c>
      <c r="C284" t="inlineStr">
        <is>
          <t>YE2803</t>
        </is>
      </c>
      <c r="D284" t="inlineStr">
        <is>
          <t>Al Maharah</t>
        </is>
      </c>
      <c r="E284" t="inlineStr">
        <is>
          <t>YE28</t>
        </is>
      </c>
      <c r="F284" t="inlineStr">
        <is>
          <t>Yemen</t>
        </is>
      </c>
      <c r="G284" t="inlineStr">
        <is>
          <t>YEM</t>
        </is>
      </c>
    </row>
    <row r="285">
      <c r="A285" t="inlineStr">
        <is>
          <t>Al Ghaydah</t>
        </is>
      </c>
      <c r="B285" t="inlineStr">
        <is>
          <t>الغيظه</t>
        </is>
      </c>
      <c r="C285" t="inlineStr">
        <is>
          <t>YE2804</t>
        </is>
      </c>
      <c r="D285" t="inlineStr">
        <is>
          <t>Al Maharah</t>
        </is>
      </c>
      <c r="E285" t="inlineStr">
        <is>
          <t>YE28</t>
        </is>
      </c>
      <c r="F285" t="inlineStr">
        <is>
          <t>Yemen</t>
        </is>
      </c>
      <c r="G285" t="inlineStr">
        <is>
          <t>YEM</t>
        </is>
      </c>
    </row>
    <row r="286">
      <c r="A286" t="inlineStr">
        <is>
          <t>Jabal Murad</t>
        </is>
      </c>
      <c r="B286" t="inlineStr">
        <is>
          <t>جبل مراد</t>
        </is>
      </c>
      <c r="C286" t="inlineStr">
        <is>
          <t>YE2614</t>
        </is>
      </c>
      <c r="D286" t="inlineStr">
        <is>
          <t>Ma'rib</t>
        </is>
      </c>
      <c r="E286" t="inlineStr">
        <is>
          <t>YE26</t>
        </is>
      </c>
      <c r="F286" t="inlineStr">
        <is>
          <t>Yemen</t>
        </is>
      </c>
      <c r="G286" t="inlineStr">
        <is>
          <t>YEM</t>
        </is>
      </c>
    </row>
    <row r="287">
      <c r="A287" t="inlineStr">
        <is>
          <t>Man'ar</t>
        </is>
      </c>
      <c r="B287" t="inlineStr">
        <is>
          <t>منعر</t>
        </is>
      </c>
      <c r="C287" t="inlineStr">
        <is>
          <t>YE2805</t>
        </is>
      </c>
      <c r="D287" t="inlineStr">
        <is>
          <t>Al Maharah</t>
        </is>
      </c>
      <c r="E287" t="inlineStr">
        <is>
          <t>YE28</t>
        </is>
      </c>
      <c r="F287" t="inlineStr">
        <is>
          <t>Yemen</t>
        </is>
      </c>
      <c r="G287" t="inlineStr">
        <is>
          <t>YEM</t>
        </is>
      </c>
    </row>
    <row r="288">
      <c r="A288" t="inlineStr">
        <is>
          <t>Al Masilah</t>
        </is>
      </c>
      <c r="B288" t="inlineStr">
        <is>
          <t>المسيلة</t>
        </is>
      </c>
      <c r="C288" t="inlineStr">
        <is>
          <t>YE2806</t>
        </is>
      </c>
      <c r="D288" t="inlineStr">
        <is>
          <t>Al Maharah</t>
        </is>
      </c>
      <c r="E288" t="inlineStr">
        <is>
          <t>YE28</t>
        </is>
      </c>
      <c r="F288" t="inlineStr">
        <is>
          <t>Yemen</t>
        </is>
      </c>
      <c r="G288" t="inlineStr">
        <is>
          <t>YEM</t>
        </is>
      </c>
    </row>
    <row r="289">
      <c r="A289" t="inlineStr">
        <is>
          <t>Shibam Kawkaban</t>
        </is>
      </c>
      <c r="B289" t="inlineStr">
        <is>
          <t>شبام كوكبان</t>
        </is>
      </c>
      <c r="C289" t="inlineStr">
        <is>
          <t>YE2701</t>
        </is>
      </c>
      <c r="D289" t="inlineStr">
        <is>
          <t>Al Mahwit</t>
        </is>
      </c>
      <c r="E289" t="inlineStr">
        <is>
          <t>YE27</t>
        </is>
      </c>
      <c r="F289" t="inlineStr">
        <is>
          <t>Yemen</t>
        </is>
      </c>
      <c r="G289" t="inlineStr">
        <is>
          <t>YEM</t>
        </is>
      </c>
    </row>
    <row r="290">
      <c r="A290" t="inlineStr">
        <is>
          <t>Harf Sufyan</t>
        </is>
      </c>
      <c r="B290" t="inlineStr">
        <is>
          <t>حرف سفيان</t>
        </is>
      </c>
      <c r="C290" t="inlineStr">
        <is>
          <t>YE2901</t>
        </is>
      </c>
      <c r="D290" t="inlineStr">
        <is>
          <t>Amran</t>
        </is>
      </c>
      <c r="E290" t="inlineStr">
        <is>
          <t>YE29</t>
        </is>
      </c>
      <c r="F290" t="inlineStr">
        <is>
          <t>Yemen</t>
        </is>
      </c>
      <c r="G290" t="inlineStr">
        <is>
          <t>YEM</t>
        </is>
      </c>
    </row>
    <row r="291">
      <c r="A291" t="inlineStr">
        <is>
          <t>At Tawilah</t>
        </is>
      </c>
      <c r="B291" t="inlineStr">
        <is>
          <t>الطويلة</t>
        </is>
      </c>
      <c r="C291" t="inlineStr">
        <is>
          <t>YE2702</t>
        </is>
      </c>
      <c r="D291" t="inlineStr">
        <is>
          <t>Al Mahwit</t>
        </is>
      </c>
      <c r="E291" t="inlineStr">
        <is>
          <t>YE27</t>
        </is>
      </c>
      <c r="F291" t="inlineStr">
        <is>
          <t>Yemen</t>
        </is>
      </c>
      <c r="G291" t="inlineStr">
        <is>
          <t>YEM</t>
        </is>
      </c>
    </row>
    <row r="292">
      <c r="A292" t="inlineStr">
        <is>
          <t>Ar Rujum</t>
        </is>
      </c>
      <c r="B292" t="inlineStr">
        <is>
          <t>الرجم</t>
        </is>
      </c>
      <c r="C292" t="inlineStr">
        <is>
          <t>YE2703</t>
        </is>
      </c>
      <c r="D292" t="inlineStr">
        <is>
          <t>Al Mahwit</t>
        </is>
      </c>
      <c r="E292" t="inlineStr">
        <is>
          <t>YE27</t>
        </is>
      </c>
      <c r="F292" t="inlineStr">
        <is>
          <t>Yemen</t>
        </is>
      </c>
      <c r="G292" t="inlineStr">
        <is>
          <t>YEM</t>
        </is>
      </c>
    </row>
    <row r="293">
      <c r="A293" t="inlineStr">
        <is>
          <t>Al Khabt</t>
        </is>
      </c>
      <c r="B293" t="inlineStr">
        <is>
          <t>الخبت</t>
        </is>
      </c>
      <c r="C293" t="inlineStr">
        <is>
          <t>YE2704</t>
        </is>
      </c>
      <c r="D293" t="inlineStr">
        <is>
          <t>Al Mahwit</t>
        </is>
      </c>
      <c r="E293" t="inlineStr">
        <is>
          <t>YE27</t>
        </is>
      </c>
      <c r="F293" t="inlineStr">
        <is>
          <t>Yemen</t>
        </is>
      </c>
      <c r="G293" t="inlineStr">
        <is>
          <t>YEM</t>
        </is>
      </c>
    </row>
    <row r="294">
      <c r="A294" t="inlineStr">
        <is>
          <t>Huth</t>
        </is>
      </c>
      <c r="B294" t="inlineStr">
        <is>
          <t>حوث</t>
        </is>
      </c>
      <c r="C294" t="inlineStr">
        <is>
          <t>YE2902</t>
        </is>
      </c>
      <c r="D294" t="inlineStr">
        <is>
          <t>Amran</t>
        </is>
      </c>
      <c r="E294" t="inlineStr">
        <is>
          <t>YE29</t>
        </is>
      </c>
      <c r="F294" t="inlineStr">
        <is>
          <t>Yemen</t>
        </is>
      </c>
      <c r="G294" t="inlineStr">
        <is>
          <t>YEM</t>
        </is>
      </c>
    </row>
    <row r="295">
      <c r="A295" t="inlineStr">
        <is>
          <t>Al Ashah</t>
        </is>
      </c>
      <c r="B295" t="inlineStr">
        <is>
          <t>العشـــــه</t>
        </is>
      </c>
      <c r="C295" t="inlineStr">
        <is>
          <t>YE2903</t>
        </is>
      </c>
      <c r="D295" t="inlineStr">
        <is>
          <t>Amran</t>
        </is>
      </c>
      <c r="E295" t="inlineStr">
        <is>
          <t>YE29</t>
        </is>
      </c>
      <c r="F295" t="inlineStr">
        <is>
          <t>Yemen</t>
        </is>
      </c>
      <c r="G295" t="inlineStr">
        <is>
          <t>YEM</t>
        </is>
      </c>
    </row>
    <row r="296">
      <c r="A296" t="inlineStr">
        <is>
          <t>Al Qaflah</t>
        </is>
      </c>
      <c r="B296" t="inlineStr">
        <is>
          <t>القفلة</t>
        </is>
      </c>
      <c r="C296" t="inlineStr">
        <is>
          <t>YE2904</t>
        </is>
      </c>
      <c r="D296" t="inlineStr">
        <is>
          <t>Amran</t>
        </is>
      </c>
      <c r="E296" t="inlineStr">
        <is>
          <t>YE29</t>
        </is>
      </c>
      <c r="F296" t="inlineStr">
        <is>
          <t>Yemen</t>
        </is>
      </c>
      <c r="G296" t="inlineStr">
        <is>
          <t>YEM</t>
        </is>
      </c>
    </row>
    <row r="297">
      <c r="A297" t="inlineStr">
        <is>
          <t>Al Mahwait</t>
        </is>
      </c>
      <c r="B297" t="inlineStr">
        <is>
          <t>المحويت</t>
        </is>
      </c>
      <c r="C297" t="inlineStr">
        <is>
          <t>YE2709</t>
        </is>
      </c>
      <c r="D297" t="inlineStr">
        <is>
          <t>Al Mahwit</t>
        </is>
      </c>
      <c r="E297" t="inlineStr">
        <is>
          <t>YE27</t>
        </is>
      </c>
      <c r="F297" t="inlineStr">
        <is>
          <t>Yemen</t>
        </is>
      </c>
      <c r="G297" t="inlineStr">
        <is>
          <t>YEM</t>
        </is>
      </c>
    </row>
    <row r="298">
      <c r="A298" t="inlineStr">
        <is>
          <t>Shahan</t>
        </is>
      </c>
      <c r="B298" t="inlineStr">
        <is>
          <t>شحن</t>
        </is>
      </c>
      <c r="C298" t="inlineStr">
        <is>
          <t>YE2801</t>
        </is>
      </c>
      <c r="D298" t="inlineStr">
        <is>
          <t>Al Maharah</t>
        </is>
      </c>
      <c r="E298" t="inlineStr">
        <is>
          <t>YE28</t>
        </is>
      </c>
      <c r="F298" t="inlineStr">
        <is>
          <t>Yemen</t>
        </is>
      </c>
      <c r="G298" t="inlineStr">
        <is>
          <t>YEM</t>
        </is>
      </c>
    </row>
    <row r="299">
      <c r="A299" t="inlineStr">
        <is>
          <t>Shaharah</t>
        </is>
      </c>
      <c r="B299" t="inlineStr">
        <is>
          <t>شهاره</t>
        </is>
      </c>
      <c r="C299" t="inlineStr">
        <is>
          <t>YE2905</t>
        </is>
      </c>
      <c r="D299" t="inlineStr">
        <is>
          <t>Amran</t>
        </is>
      </c>
      <c r="E299" t="inlineStr">
        <is>
          <t>YE29</t>
        </is>
      </c>
      <c r="F299" t="inlineStr">
        <is>
          <t>Yemen</t>
        </is>
      </c>
      <c r="G299" t="inlineStr">
        <is>
          <t>YEM</t>
        </is>
      </c>
    </row>
    <row r="300">
      <c r="A300" t="inlineStr">
        <is>
          <t>Sayhut</t>
        </is>
      </c>
      <c r="B300" t="inlineStr">
        <is>
          <t>سيحوت</t>
        </is>
      </c>
      <c r="C300" t="inlineStr">
        <is>
          <t>YE2807</t>
        </is>
      </c>
      <c r="D300" t="inlineStr">
        <is>
          <t>Al Maharah</t>
        </is>
      </c>
      <c r="E300" t="inlineStr">
        <is>
          <t>YE28</t>
        </is>
      </c>
      <c r="F300" t="inlineStr">
        <is>
          <t>Yemen</t>
        </is>
      </c>
      <c r="G300" t="inlineStr">
        <is>
          <t>YEM</t>
        </is>
      </c>
    </row>
    <row r="301">
      <c r="A301" t="inlineStr">
        <is>
          <t>Qishn</t>
        </is>
      </c>
      <c r="B301" t="inlineStr">
        <is>
          <t>قشن</t>
        </is>
      </c>
      <c r="C301" t="inlineStr">
        <is>
          <t>YE2808</t>
        </is>
      </c>
      <c r="D301" t="inlineStr">
        <is>
          <t>Al Maharah</t>
        </is>
      </c>
      <c r="E301" t="inlineStr">
        <is>
          <t>YE28</t>
        </is>
      </c>
      <c r="F301" t="inlineStr">
        <is>
          <t>Yemen</t>
        </is>
      </c>
      <c r="G301" t="inlineStr">
        <is>
          <t>YEM</t>
        </is>
      </c>
    </row>
    <row r="302">
      <c r="A302" t="inlineStr">
        <is>
          <t>Huswain</t>
        </is>
      </c>
      <c r="B302" t="inlineStr">
        <is>
          <t>حصوين</t>
        </is>
      </c>
      <c r="C302" t="inlineStr">
        <is>
          <t>YE2809</t>
        </is>
      </c>
      <c r="D302" t="inlineStr">
        <is>
          <t>Al Maharah</t>
        </is>
      </c>
      <c r="E302" t="inlineStr">
        <is>
          <t>YE28</t>
        </is>
      </c>
      <c r="F302" t="inlineStr">
        <is>
          <t>Yemen</t>
        </is>
      </c>
      <c r="G302" t="inlineStr">
        <is>
          <t>YEM</t>
        </is>
      </c>
    </row>
    <row r="303">
      <c r="A303" t="inlineStr">
        <is>
          <t>Al Madan</t>
        </is>
      </c>
      <c r="B303" t="inlineStr">
        <is>
          <t>المــدان</t>
        </is>
      </c>
      <c r="C303" t="inlineStr">
        <is>
          <t>YE2906</t>
        </is>
      </c>
      <c r="D303" t="inlineStr">
        <is>
          <t>Amran</t>
        </is>
      </c>
      <c r="E303" t="inlineStr">
        <is>
          <t>YE29</t>
        </is>
      </c>
      <c r="F303" t="inlineStr">
        <is>
          <t>Yemen</t>
        </is>
      </c>
      <c r="G303" t="inlineStr">
        <is>
          <t>YEM</t>
        </is>
      </c>
    </row>
    <row r="304">
      <c r="A304" t="inlineStr">
        <is>
          <t>Kharif</t>
        </is>
      </c>
      <c r="B304" t="inlineStr">
        <is>
          <t>خارف</t>
        </is>
      </c>
      <c r="C304" t="inlineStr">
        <is>
          <t>YE2910</t>
        </is>
      </c>
      <c r="D304" t="inlineStr">
        <is>
          <t>Amran</t>
        </is>
      </c>
      <c r="E304" t="inlineStr">
        <is>
          <t>YE29</t>
        </is>
      </c>
      <c r="F304" t="inlineStr">
        <is>
          <t>Yemen</t>
        </is>
      </c>
      <c r="G304" t="inlineStr">
        <is>
          <t>YEM</t>
        </is>
      </c>
    </row>
    <row r="305">
      <c r="A305" t="inlineStr">
        <is>
          <t>Suwayr</t>
        </is>
      </c>
      <c r="B305" t="inlineStr">
        <is>
          <t>صـويــــر</t>
        </is>
      </c>
      <c r="C305" t="inlineStr">
        <is>
          <t>YE2907</t>
        </is>
      </c>
      <c r="D305" t="inlineStr">
        <is>
          <t>Amran</t>
        </is>
      </c>
      <c r="E305" t="inlineStr">
        <is>
          <t>YE29</t>
        </is>
      </c>
      <c r="F305" t="inlineStr">
        <is>
          <t>Yemen</t>
        </is>
      </c>
      <c r="G305" t="inlineStr">
        <is>
          <t>YEM</t>
        </is>
      </c>
    </row>
    <row r="306">
      <c r="A306" t="inlineStr">
        <is>
          <t>Habur Zulaymah</t>
        </is>
      </c>
      <c r="B306" t="inlineStr">
        <is>
          <t>حبور ظليمة</t>
        </is>
      </c>
      <c r="C306" t="inlineStr">
        <is>
          <t>YE2908</t>
        </is>
      </c>
      <c r="D306" t="inlineStr">
        <is>
          <t>Amran</t>
        </is>
      </c>
      <c r="E306" t="inlineStr">
        <is>
          <t>YE29</t>
        </is>
      </c>
      <c r="F306" t="inlineStr">
        <is>
          <t>Yemen</t>
        </is>
      </c>
      <c r="G306" t="inlineStr">
        <is>
          <t>YEM</t>
        </is>
      </c>
    </row>
    <row r="307">
      <c r="A307" t="inlineStr">
        <is>
          <t>Dhi Bin</t>
        </is>
      </c>
      <c r="B307" t="inlineStr">
        <is>
          <t>ذيبين</t>
        </is>
      </c>
      <c r="C307" t="inlineStr">
        <is>
          <t>YE2909</t>
        </is>
      </c>
      <c r="D307" t="inlineStr">
        <is>
          <t>Amran</t>
        </is>
      </c>
      <c r="E307" t="inlineStr">
        <is>
          <t>YE29</t>
        </is>
      </c>
      <c r="F307" t="inlineStr">
        <is>
          <t>Yemen</t>
        </is>
      </c>
      <c r="G307" t="inlineStr">
        <is>
          <t>YEM</t>
        </is>
      </c>
    </row>
    <row r="308">
      <c r="A308" t="inlineStr">
        <is>
          <t>Raydah</t>
        </is>
      </c>
      <c r="B308" t="inlineStr">
        <is>
          <t>ريده</t>
        </is>
      </c>
      <c r="C308" t="inlineStr">
        <is>
          <t>YE2911</t>
        </is>
      </c>
      <c r="D308" t="inlineStr">
        <is>
          <t>Amran</t>
        </is>
      </c>
      <c r="E308" t="inlineStr">
        <is>
          <t>YE29</t>
        </is>
      </c>
      <c r="F308" t="inlineStr">
        <is>
          <t>Yemen</t>
        </is>
      </c>
      <c r="G308" t="inlineStr">
        <is>
          <t>YEM</t>
        </is>
      </c>
    </row>
    <row r="309">
      <c r="A309" t="inlineStr">
        <is>
          <t>As Sudah</t>
        </is>
      </c>
      <c r="B309" t="inlineStr">
        <is>
          <t>السوده</t>
        </is>
      </c>
      <c r="C309" t="inlineStr">
        <is>
          <t>YE2913</t>
        </is>
      </c>
      <c r="D309" t="inlineStr">
        <is>
          <t>Amran</t>
        </is>
      </c>
      <c r="E309" t="inlineStr">
        <is>
          <t>YE29</t>
        </is>
      </c>
      <c r="F309" t="inlineStr">
        <is>
          <t>Yemen</t>
        </is>
      </c>
      <c r="G309" t="inlineStr">
        <is>
          <t>YEM</t>
        </is>
      </c>
    </row>
    <row r="310">
      <c r="A310" t="inlineStr">
        <is>
          <t>Amran</t>
        </is>
      </c>
      <c r="B310" t="inlineStr">
        <is>
          <t>عمران</t>
        </is>
      </c>
      <c r="C310" t="inlineStr">
        <is>
          <t>YE2915</t>
        </is>
      </c>
      <c r="D310" t="inlineStr">
        <is>
          <t>Amran</t>
        </is>
      </c>
      <c r="E310" t="inlineStr">
        <is>
          <t>YE29</t>
        </is>
      </c>
      <c r="F310" t="inlineStr">
        <is>
          <t>Yemen</t>
        </is>
      </c>
      <c r="G310" t="inlineStr">
        <is>
          <t>YEM</t>
        </is>
      </c>
    </row>
    <row r="311">
      <c r="A311" t="inlineStr">
        <is>
          <t>As Sawd</t>
        </is>
      </c>
      <c r="B311" t="inlineStr">
        <is>
          <t>السود</t>
        </is>
      </c>
      <c r="C311" t="inlineStr">
        <is>
          <t>YE2914</t>
        </is>
      </c>
      <c r="D311" t="inlineStr">
        <is>
          <t>Amran</t>
        </is>
      </c>
      <c r="E311" t="inlineStr">
        <is>
          <t>YE29</t>
        </is>
      </c>
      <c r="F311" t="inlineStr">
        <is>
          <t>Yemen</t>
        </is>
      </c>
      <c r="G311" t="inlineStr">
        <is>
          <t>YEM</t>
        </is>
      </c>
    </row>
    <row r="312">
      <c r="A312" t="inlineStr">
        <is>
          <t>Maswar</t>
        </is>
      </c>
      <c r="B312" t="inlineStr">
        <is>
          <t>مسور</t>
        </is>
      </c>
      <c r="C312" t="inlineStr">
        <is>
          <t>YE2916</t>
        </is>
      </c>
      <c r="D312" t="inlineStr">
        <is>
          <t>Amran</t>
        </is>
      </c>
      <c r="E312" t="inlineStr">
        <is>
          <t>YE29</t>
        </is>
      </c>
      <c r="F312" t="inlineStr">
        <is>
          <t>Yemen</t>
        </is>
      </c>
      <c r="G312" t="inlineStr">
        <is>
          <t>YEM</t>
        </is>
      </c>
    </row>
    <row r="313">
      <c r="A313" t="inlineStr">
        <is>
          <t>Bani Suraim</t>
        </is>
      </c>
      <c r="B313" t="inlineStr">
        <is>
          <t>بني صريم</t>
        </is>
      </c>
      <c r="C313" t="inlineStr">
        <is>
          <t>YE2920</t>
        </is>
      </c>
      <c r="D313" t="inlineStr">
        <is>
          <t>Amran</t>
        </is>
      </c>
      <c r="E313" t="inlineStr">
        <is>
          <t>YE29</t>
        </is>
      </c>
      <c r="F313" t="inlineStr">
        <is>
          <t>Yemen</t>
        </is>
      </c>
      <c r="G313" t="inlineStr">
        <is>
          <t>YEM</t>
        </is>
      </c>
    </row>
    <row r="314">
      <c r="A314" t="inlineStr">
        <is>
          <t>Juban</t>
        </is>
      </c>
      <c r="B314" t="inlineStr">
        <is>
          <t>جبن</t>
        </is>
      </c>
      <c r="C314" t="inlineStr">
        <is>
          <t>YE3001</t>
        </is>
      </c>
      <c r="D314" t="inlineStr">
        <is>
          <t>Ad Dali'</t>
        </is>
      </c>
      <c r="E314" t="inlineStr">
        <is>
          <t>YE30</t>
        </is>
      </c>
      <c r="F314" t="inlineStr">
        <is>
          <t>Yemen</t>
        </is>
      </c>
      <c r="G314" t="inlineStr">
        <is>
          <t>YEM</t>
        </is>
      </c>
    </row>
    <row r="315">
      <c r="A315" t="inlineStr">
        <is>
          <t>Damt</t>
        </is>
      </c>
      <c r="B315" t="inlineStr">
        <is>
          <t>دمت</t>
        </is>
      </c>
      <c r="C315" t="inlineStr">
        <is>
          <t>YE3002</t>
        </is>
      </c>
      <c r="D315" t="inlineStr">
        <is>
          <t>Ad Dali'</t>
        </is>
      </c>
      <c r="E315" t="inlineStr">
        <is>
          <t>YE30</t>
        </is>
      </c>
      <c r="F315" t="inlineStr">
        <is>
          <t>Yemen</t>
        </is>
      </c>
      <c r="G315" t="inlineStr">
        <is>
          <t>YEM</t>
        </is>
      </c>
    </row>
    <row r="316">
      <c r="A316" t="inlineStr">
        <is>
          <t>Qa'atabah</t>
        </is>
      </c>
      <c r="B316" t="inlineStr">
        <is>
          <t>قعطبة</t>
        </is>
      </c>
      <c r="C316" t="inlineStr">
        <is>
          <t>YE3003</t>
        </is>
      </c>
      <c r="D316" t="inlineStr">
        <is>
          <t>Ad Dali'</t>
        </is>
      </c>
      <c r="E316" t="inlineStr">
        <is>
          <t>YE30</t>
        </is>
      </c>
      <c r="F316" t="inlineStr">
        <is>
          <t>Yemen</t>
        </is>
      </c>
      <c r="G316" t="inlineStr">
        <is>
          <t>YEM</t>
        </is>
      </c>
    </row>
    <row r="317">
      <c r="A317" t="inlineStr">
        <is>
          <t>Ash Shu'ayb</t>
        </is>
      </c>
      <c r="B317" t="inlineStr">
        <is>
          <t>الشعيب</t>
        </is>
      </c>
      <c r="C317" t="inlineStr">
        <is>
          <t>YE3004</t>
        </is>
      </c>
      <c r="D317" t="inlineStr">
        <is>
          <t>Ad Dali'</t>
        </is>
      </c>
      <c r="E317" t="inlineStr">
        <is>
          <t>YE30</t>
        </is>
      </c>
      <c r="F317" t="inlineStr">
        <is>
          <t>Yemen</t>
        </is>
      </c>
      <c r="G317" t="inlineStr">
        <is>
          <t>YEM</t>
        </is>
      </c>
    </row>
    <row r="318">
      <c r="A318" t="inlineStr">
        <is>
          <t>Thula</t>
        </is>
      </c>
      <c r="B318" t="inlineStr">
        <is>
          <t>ثلاء</t>
        </is>
      </c>
      <c r="C318" t="inlineStr">
        <is>
          <t>YE2917</t>
        </is>
      </c>
      <c r="D318" t="inlineStr">
        <is>
          <t>Amran</t>
        </is>
      </c>
      <c r="E318" t="inlineStr">
        <is>
          <t>YE29</t>
        </is>
      </c>
      <c r="F318" t="inlineStr">
        <is>
          <t>Yemen</t>
        </is>
      </c>
      <c r="G318" t="inlineStr">
        <is>
          <t>YEM</t>
        </is>
      </c>
    </row>
    <row r="319">
      <c r="A319" t="inlineStr">
        <is>
          <t>Iyal Surayh</t>
        </is>
      </c>
      <c r="B319" t="inlineStr">
        <is>
          <t>عيال سريح</t>
        </is>
      </c>
      <c r="C319" t="inlineStr">
        <is>
          <t>YE2918</t>
        </is>
      </c>
      <c r="D319" t="inlineStr">
        <is>
          <t>Amran</t>
        </is>
      </c>
      <c r="E319" t="inlineStr">
        <is>
          <t>YE29</t>
        </is>
      </c>
      <c r="F319" t="inlineStr">
        <is>
          <t>Yemen</t>
        </is>
      </c>
      <c r="G319" t="inlineStr">
        <is>
          <t>YEM</t>
        </is>
      </c>
    </row>
    <row r="320">
      <c r="A320" t="inlineStr">
        <is>
          <t>Khamir</t>
        </is>
      </c>
      <c r="B320" t="inlineStr">
        <is>
          <t>خمر</t>
        </is>
      </c>
      <c r="C320" t="inlineStr">
        <is>
          <t>YE2919</t>
        </is>
      </c>
      <c r="D320" t="inlineStr">
        <is>
          <t>Amran</t>
        </is>
      </c>
      <c r="E320" t="inlineStr">
        <is>
          <t>YE29</t>
        </is>
      </c>
      <c r="F320" t="inlineStr">
        <is>
          <t>Yemen</t>
        </is>
      </c>
      <c r="G320" t="inlineStr">
        <is>
          <t>YEM</t>
        </is>
      </c>
    </row>
    <row r="321">
      <c r="A321" t="inlineStr">
        <is>
          <t>Al Hussein</t>
        </is>
      </c>
      <c r="B321" t="inlineStr">
        <is>
          <t>الحصين</t>
        </is>
      </c>
      <c r="C321" t="inlineStr">
        <is>
          <t>YE3005</t>
        </is>
      </c>
      <c r="D321" t="inlineStr">
        <is>
          <t>Ad Dali'</t>
        </is>
      </c>
      <c r="E321" t="inlineStr">
        <is>
          <t>YE30</t>
        </is>
      </c>
      <c r="F321" t="inlineStr">
        <is>
          <t>Yemen</t>
        </is>
      </c>
      <c r="G321" t="inlineStr">
        <is>
          <t>YEM</t>
        </is>
      </c>
    </row>
    <row r="322">
      <c r="A322" t="inlineStr">
        <is>
          <t>Ad Dhale'e</t>
        </is>
      </c>
      <c r="B322" t="inlineStr">
        <is>
          <t>الضالع</t>
        </is>
      </c>
      <c r="C322" t="inlineStr">
        <is>
          <t>YE3006</t>
        </is>
      </c>
      <c r="D322" t="inlineStr">
        <is>
          <t>Ad Dali'</t>
        </is>
      </c>
      <c r="E322" t="inlineStr">
        <is>
          <t>YE30</t>
        </is>
      </c>
      <c r="F322" t="inlineStr">
        <is>
          <t>Yemen</t>
        </is>
      </c>
      <c r="G322" t="inlineStr">
        <is>
          <t>YEM</t>
        </is>
      </c>
    </row>
    <row r="323">
      <c r="A323" t="inlineStr">
        <is>
          <t>Jahaf</t>
        </is>
      </c>
      <c r="B323" t="inlineStr">
        <is>
          <t>جحاف</t>
        </is>
      </c>
      <c r="C323" t="inlineStr">
        <is>
          <t>YE3007</t>
        </is>
      </c>
      <c r="D323" t="inlineStr">
        <is>
          <t>Ad Dali'</t>
        </is>
      </c>
      <c r="E323" t="inlineStr">
        <is>
          <t>YE30</t>
        </is>
      </c>
      <c r="F323" t="inlineStr">
        <is>
          <t>Yemen</t>
        </is>
      </c>
      <c r="G323" t="inlineStr">
        <is>
          <t>YEM</t>
        </is>
      </c>
    </row>
    <row r="324">
      <c r="A324" t="inlineStr">
        <is>
          <t>Al Azariq</t>
        </is>
      </c>
      <c r="B324" t="inlineStr">
        <is>
          <t>الازارق</t>
        </is>
      </c>
      <c r="C324" t="inlineStr">
        <is>
          <t>YE3008</t>
        </is>
      </c>
      <c r="D324" t="inlineStr">
        <is>
          <t>Ad Dali'</t>
        </is>
      </c>
      <c r="E324" t="inlineStr">
        <is>
          <t>YE30</t>
        </is>
      </c>
      <c r="F324" t="inlineStr">
        <is>
          <t>Yemen</t>
        </is>
      </c>
      <c r="G324" t="inlineStr">
        <is>
          <t>YEM</t>
        </is>
      </c>
    </row>
    <row r="325">
      <c r="A325" t="inlineStr">
        <is>
          <t>Al Husha</t>
        </is>
      </c>
      <c r="B325" t="inlineStr">
        <is>
          <t>الحشاء</t>
        </is>
      </c>
      <c r="C325" t="inlineStr">
        <is>
          <t>YE3009</t>
        </is>
      </c>
      <c r="D325" t="inlineStr">
        <is>
          <t>Ad Dali'</t>
        </is>
      </c>
      <c r="E325" t="inlineStr">
        <is>
          <t>YE30</t>
        </is>
      </c>
      <c r="F325" t="inlineStr">
        <is>
          <t>Yemen</t>
        </is>
      </c>
      <c r="G325" t="inlineStr">
        <is>
          <t>YEM</t>
        </is>
      </c>
    </row>
    <row r="326">
      <c r="A326" t="inlineStr">
        <is>
          <t>Bilad At Ta'am</t>
        </is>
      </c>
      <c r="B326" t="inlineStr">
        <is>
          <t>بلاد الطعام</t>
        </is>
      </c>
      <c r="C326" t="inlineStr">
        <is>
          <t>YE3101</t>
        </is>
      </c>
      <c r="D326" t="inlineStr">
        <is>
          <t>Raymah</t>
        </is>
      </c>
      <c r="E326" t="inlineStr">
        <is>
          <t>YE31</t>
        </is>
      </c>
      <c r="F326" t="inlineStr">
        <is>
          <t>Yemen</t>
        </is>
      </c>
      <c r="G326" t="inlineStr">
        <is>
          <t>YEM</t>
        </is>
      </c>
    </row>
    <row r="327">
      <c r="A327" t="inlineStr">
        <is>
          <t>As Salafiyah</t>
        </is>
      </c>
      <c r="B327" t="inlineStr">
        <is>
          <t>السلفية</t>
        </is>
      </c>
      <c r="C327" t="inlineStr">
        <is>
          <t>YE3102</t>
        </is>
      </c>
      <c r="D327" t="inlineStr">
        <is>
          <t>Raymah</t>
        </is>
      </c>
      <c r="E327" t="inlineStr">
        <is>
          <t>YE31</t>
        </is>
      </c>
      <c r="F327" t="inlineStr">
        <is>
          <t>Yemen</t>
        </is>
      </c>
      <c r="G327" t="inlineStr">
        <is>
          <t>YEM</t>
        </is>
      </c>
    </row>
    <row r="328">
      <c r="A328" t="inlineStr">
        <is>
          <t>Al Jabin</t>
        </is>
      </c>
      <c r="B328" t="inlineStr">
        <is>
          <t>الجبين</t>
        </is>
      </c>
      <c r="C328" t="inlineStr">
        <is>
          <t>YE3103</t>
        </is>
      </c>
      <c r="D328" t="inlineStr">
        <is>
          <t>Raymah</t>
        </is>
      </c>
      <c r="E328" t="inlineStr">
        <is>
          <t>YE31</t>
        </is>
      </c>
      <c r="F328" t="inlineStr">
        <is>
          <t>Yemen</t>
        </is>
      </c>
      <c r="G328" t="inlineStr">
        <is>
          <t>YEM</t>
        </is>
      </c>
    </row>
    <row r="329">
      <c r="A329" t="inlineStr">
        <is>
          <t>Mazhar</t>
        </is>
      </c>
      <c r="B329" t="inlineStr">
        <is>
          <t>مزهر</t>
        </is>
      </c>
      <c r="C329" t="inlineStr">
        <is>
          <t>YE3104</t>
        </is>
      </c>
      <c r="D329" t="inlineStr">
        <is>
          <t>Raymah</t>
        </is>
      </c>
      <c r="E329" t="inlineStr">
        <is>
          <t>YE31</t>
        </is>
      </c>
      <c r="F329" t="inlineStr">
        <is>
          <t>Yemen</t>
        </is>
      </c>
      <c r="G329" t="inlineStr">
        <is>
          <t>YEM</t>
        </is>
      </c>
    </row>
    <row r="330">
      <c r="A330" t="inlineStr">
        <is>
          <t>Kusmah</t>
        </is>
      </c>
      <c r="B330" t="inlineStr">
        <is>
          <t>كسمه</t>
        </is>
      </c>
      <c r="C330" t="inlineStr">
        <is>
          <t>YE3105</t>
        </is>
      </c>
      <c r="D330" t="inlineStr">
        <is>
          <t>Raymah</t>
        </is>
      </c>
      <c r="E330" t="inlineStr">
        <is>
          <t>YE31</t>
        </is>
      </c>
      <c r="F330" t="inlineStr">
        <is>
          <t>Yemen</t>
        </is>
      </c>
      <c r="G330" t="inlineStr">
        <is>
          <t>YEM</t>
        </is>
      </c>
    </row>
    <row r="331">
      <c r="A331" t="inlineStr">
        <is>
          <t>Al Jafariyah</t>
        </is>
      </c>
      <c r="B331" t="inlineStr">
        <is>
          <t>الجعفرية</t>
        </is>
      </c>
      <c r="C331" t="inlineStr">
        <is>
          <t>YE3106</t>
        </is>
      </c>
      <c r="D331" t="inlineStr">
        <is>
          <t>Raymah</t>
        </is>
      </c>
      <c r="E331" t="inlineStr">
        <is>
          <t>YE31</t>
        </is>
      </c>
      <c r="F331" t="inlineStr">
        <is>
          <t>Yemen</t>
        </is>
      </c>
      <c r="G331" t="inlineStr">
        <is>
          <t>YEM</t>
        </is>
      </c>
    </row>
    <row r="332">
      <c r="A332" t="inlineStr">
        <is>
          <t>Hidaybu</t>
        </is>
      </c>
      <c r="B332" t="inlineStr">
        <is>
          <t>حديبو</t>
        </is>
      </c>
      <c r="C332" t="inlineStr">
        <is>
          <t>YE3201</t>
        </is>
      </c>
      <c r="D332" t="inlineStr">
        <is>
          <t>Socotra</t>
        </is>
      </c>
      <c r="E332" t="inlineStr">
        <is>
          <t>YE32</t>
        </is>
      </c>
      <c r="F332" t="inlineStr">
        <is>
          <t>Yemen</t>
        </is>
      </c>
      <c r="G332" t="inlineStr">
        <is>
          <t>YEM</t>
        </is>
      </c>
    </row>
    <row r="333">
      <c r="A333" t="inlineStr">
        <is>
          <t>Qulensya Wa Abd Al Kuri</t>
        </is>
      </c>
      <c r="B333" t="inlineStr">
        <is>
          <t>قلنسيه وعبدالكوري</t>
        </is>
      </c>
      <c r="C333" t="inlineStr">
        <is>
          <t>YE3202</t>
        </is>
      </c>
      <c r="D333" t="inlineStr">
        <is>
          <t>Socotra</t>
        </is>
      </c>
      <c r="E333" t="inlineStr">
        <is>
          <t>YE32</t>
        </is>
      </c>
      <c r="F333" t="inlineStr">
        <is>
          <t>Yemen</t>
        </is>
      </c>
      <c r="G333" t="inlineStr">
        <is>
          <t>YEM</t>
        </is>
      </c>
    </row>
    <row r="334">
      <c r="A334" t="inlineStr">
        <is>
          <t>As Sabain</t>
        </is>
      </c>
      <c r="B334" t="inlineStr">
        <is>
          <t>السبعين</t>
        </is>
      </c>
      <c r="C334" t="inlineStr">
        <is>
          <t>YE1305</t>
        </is>
      </c>
      <c r="D334" t="inlineStr">
        <is>
          <t>Sana'a City</t>
        </is>
      </c>
      <c r="E334" t="inlineStr">
        <is>
          <t>YE13</t>
        </is>
      </c>
      <c r="F334" t="inlineStr">
        <is>
          <t>Yemen</t>
        </is>
      </c>
      <c r="G334" t="inlineStr">
        <is>
          <t>YEM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2026-04-30T14:33:17Z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