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24226"/>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2025 Needs Update/"/>
    </mc:Choice>
  </mc:AlternateContent>
  <xr:revisionPtr revIDLastSave="36" documentId="8_{333D85EC-8663-403B-89D6-A6A173D0002D}" xr6:coauthVersionLast="47" xr6:coauthVersionMax="47" xr10:uidLastSave="{B6A49620-2F59-44AE-B1A6-B1C12D9B8E3C}"/>
  <bookViews>
    <workbookView xWindow="5436" yWindow="1152" windowWidth="17280" windowHeight="10044" xr2:uid="{00000000-000D-0000-FFFF-FFFF00000000}"/>
  </bookViews>
  <sheets>
    <sheet name="survey" sheetId="4" r:id="rId1"/>
    <sheet name="choices" sheetId="10" r:id="rId2"/>
    <sheet name="settings" sheetId="3" r:id="rId3"/>
    <sheet name="Crop list" sheetId="9" r:id="rId4"/>
    <sheet name="Additional information" sheetId="11" r:id="rId5"/>
  </sheets>
  <definedNames>
    <definedName name="_xlnm._FilterDatabase" localSheetId="1" hidden="1">choices!#REF!</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95" i="4" l="1"/>
  <c r="Z297" i="4"/>
  <c r="Y297" i="4"/>
  <c r="Z294" i="4"/>
  <c r="Y294" i="4"/>
  <c r="X43" i="4"/>
  <c r="Y43" i="4"/>
  <c r="E9" i="11"/>
  <c r="E7" i="11"/>
  <c r="E20" i="11"/>
  <c r="E19" i="11"/>
  <c r="E18" i="11"/>
  <c r="E14" i="11"/>
  <c r="E13" i="11"/>
  <c r="E12" i="11"/>
  <c r="E11" i="11"/>
  <c r="E6" i="11"/>
  <c r="E5" i="11"/>
  <c r="E4" i="11"/>
  <c r="E3" i="11"/>
  <c r="Z103" i="4"/>
  <c r="Y103" i="4"/>
  <c r="X103" i="4"/>
  <c r="Z89" i="4"/>
  <c r="Y89" i="4"/>
  <c r="X89" i="4"/>
  <c r="Z78" i="4"/>
  <c r="Y78" i="4"/>
  <c r="X78" i="4"/>
  <c r="X153" i="4"/>
  <c r="X155" i="4"/>
  <c r="X154" i="4"/>
  <c r="X115" i="4"/>
  <c r="X114" i="4"/>
  <c r="X113" i="4"/>
  <c r="X112" i="4"/>
  <c r="X111" i="4"/>
  <c r="X110" i="4"/>
  <c r="X109" i="4"/>
  <c r="X108" i="4"/>
  <c r="X107" i="4"/>
  <c r="X106" i="4"/>
  <c r="X102" i="4"/>
  <c r="X101" i="4"/>
  <c r="X100" i="4"/>
  <c r="X99" i="4"/>
  <c r="X98" i="4"/>
  <c r="X97" i="4"/>
  <c r="X96" i="4"/>
  <c r="X95" i="4"/>
  <c r="X94" i="4"/>
  <c r="X93" i="4"/>
  <c r="X92" i="4"/>
  <c r="X88" i="4"/>
  <c r="X87" i="4"/>
  <c r="X86" i="4"/>
  <c r="X85" i="4"/>
  <c r="X84" i="4"/>
  <c r="X83" i="4"/>
  <c r="X82" i="4"/>
  <c r="X81" i="4"/>
  <c r="X80" i="4"/>
  <c r="X79" i="4"/>
  <c r="X74" i="4"/>
  <c r="X73" i="4"/>
  <c r="X72" i="4"/>
  <c r="X71" i="4"/>
  <c r="X70" i="4"/>
  <c r="X69" i="4"/>
  <c r="X68" i="4"/>
  <c r="X67" i="4"/>
  <c r="X66" i="4"/>
  <c r="X65" i="4"/>
  <c r="X64" i="4"/>
  <c r="X63" i="4"/>
  <c r="X62" i="4"/>
  <c r="X61" i="4"/>
  <c r="X60" i="4"/>
  <c r="X59" i="4"/>
  <c r="X58" i="4"/>
  <c r="X57" i="4"/>
  <c r="X56" i="4"/>
  <c r="X55" i="4"/>
  <c r="X54" i="4"/>
  <c r="X53" i="4"/>
  <c r="X52" i="4"/>
  <c r="X51" i="4"/>
  <c r="X50" i="4"/>
  <c r="X49" i="4"/>
  <c r="X47" i="4"/>
  <c r="X44" i="4"/>
  <c r="X42" i="4"/>
  <c r="X41" i="4"/>
  <c r="X39" i="4"/>
  <c r="X38" i="4"/>
  <c r="X37" i="4"/>
  <c r="X36" i="4"/>
  <c r="X35" i="4"/>
  <c r="X34" i="4"/>
  <c r="X33" i="4"/>
  <c r="X32" i="4"/>
  <c r="X31" i="4"/>
  <c r="X30" i="4"/>
  <c r="X29" i="4"/>
  <c r="X28" i="4"/>
  <c r="X27" i="4"/>
  <c r="X26" i="4"/>
  <c r="X25" i="4"/>
  <c r="X24" i="4"/>
  <c r="X23" i="4"/>
  <c r="X22" i="4"/>
  <c r="X21" i="4"/>
  <c r="Z20" i="4"/>
  <c r="Y20" i="4"/>
  <c r="Y16" i="4"/>
  <c r="X15" i="4"/>
  <c r="X152" i="4"/>
  <c r="Y152" i="4"/>
  <c r="X151" i="4"/>
  <c r="Y151" i="4"/>
  <c r="X137" i="4"/>
  <c r="Y137" i="4"/>
  <c r="Z137" i="4"/>
  <c r="X138" i="4"/>
  <c r="Y138" i="4"/>
  <c r="Z138" i="4"/>
  <c r="X139" i="4"/>
  <c r="Y139" i="4"/>
  <c r="Z139" i="4"/>
  <c r="X140" i="4"/>
  <c r="Y140" i="4"/>
  <c r="Z140" i="4"/>
  <c r="X141" i="4"/>
  <c r="Y141" i="4"/>
  <c r="Z141" i="4"/>
  <c r="Y54" i="4"/>
  <c r="Z322" i="4"/>
  <c r="Z318" i="4"/>
  <c r="Y318" i="4"/>
  <c r="Z317" i="4"/>
  <c r="Y317" i="4"/>
  <c r="Z316" i="4"/>
  <c r="Y316" i="4"/>
  <c r="Z315" i="4"/>
  <c r="Y315" i="4"/>
  <c r="Z314" i="4"/>
  <c r="Y314" i="4"/>
  <c r="Z313" i="4"/>
  <c r="Y313" i="4"/>
  <c r="Z312" i="4"/>
  <c r="Y312" i="4"/>
  <c r="Z311" i="4"/>
  <c r="Y311" i="4"/>
  <c r="Z310" i="4"/>
  <c r="Y310" i="4"/>
  <c r="Z309" i="4"/>
  <c r="Y309" i="4"/>
  <c r="Z308" i="4"/>
  <c r="Y308" i="4"/>
  <c r="Z307" i="4"/>
  <c r="Y307" i="4"/>
  <c r="Z306" i="4"/>
  <c r="Y306" i="4"/>
  <c r="Z303" i="4"/>
  <c r="Y303" i="4"/>
  <c r="Z302" i="4"/>
  <c r="Y302" i="4"/>
  <c r="Z301" i="4"/>
  <c r="Y301" i="4"/>
  <c r="Z300" i="4"/>
  <c r="Y300" i="4"/>
  <c r="Z299" i="4"/>
  <c r="Y299" i="4"/>
  <c r="Z298" i="4"/>
  <c r="Y298" i="4"/>
  <c r="Z293" i="4"/>
  <c r="Y293" i="4"/>
  <c r="Z292" i="4"/>
  <c r="Y292" i="4"/>
  <c r="Z291" i="4"/>
  <c r="Y291" i="4"/>
  <c r="Z290" i="4"/>
  <c r="Y290" i="4"/>
  <c r="Z289" i="4"/>
  <c r="Y289" i="4"/>
  <c r="Z288" i="4"/>
  <c r="Y288" i="4"/>
  <c r="Z287" i="4"/>
  <c r="Y287" i="4"/>
  <c r="Z286" i="4"/>
  <c r="Y286" i="4"/>
  <c r="Z285" i="4"/>
  <c r="Y285" i="4"/>
  <c r="Z284" i="4"/>
  <c r="Y284" i="4"/>
  <c r="Z283" i="4"/>
  <c r="Y283" i="4"/>
  <c r="Z282" i="4"/>
  <c r="Y282" i="4"/>
  <c r="Z281" i="4"/>
  <c r="Y281" i="4"/>
  <c r="Z280" i="4"/>
  <c r="Y280" i="4"/>
  <c r="Z279" i="4"/>
  <c r="Y279" i="4"/>
  <c r="Z278" i="4"/>
  <c r="Y278" i="4"/>
  <c r="Z277" i="4"/>
  <c r="Y277" i="4"/>
  <c r="Z276" i="4"/>
  <c r="Y276" i="4"/>
  <c r="Z275" i="4"/>
  <c r="Y275" i="4"/>
  <c r="Z274" i="4"/>
  <c r="Y274" i="4"/>
  <c r="Z273" i="4"/>
  <c r="Y273" i="4"/>
  <c r="Z272" i="4"/>
  <c r="Y272" i="4"/>
  <c r="Z271" i="4"/>
  <c r="Y271" i="4"/>
  <c r="Z270" i="4"/>
  <c r="Y270" i="4"/>
  <c r="Z269" i="4"/>
  <c r="Y269" i="4"/>
  <c r="Z268" i="4"/>
  <c r="Y268" i="4"/>
  <c r="Z267" i="4"/>
  <c r="Y267" i="4"/>
  <c r="Z266" i="4"/>
  <c r="Y266" i="4"/>
  <c r="Z265" i="4"/>
  <c r="Y265" i="4"/>
  <c r="Z264" i="4"/>
  <c r="Y264" i="4"/>
  <c r="Z263" i="4"/>
  <c r="Y263" i="4"/>
  <c r="Z262" i="4"/>
  <c r="Y262" i="4"/>
  <c r="Z261" i="4"/>
  <c r="Y261" i="4"/>
  <c r="Z260" i="4"/>
  <c r="Y260" i="4"/>
  <c r="Z259" i="4"/>
  <c r="Y259" i="4"/>
  <c r="Z258" i="4"/>
  <c r="Y258" i="4"/>
  <c r="Z257" i="4"/>
  <c r="Y257" i="4"/>
  <c r="Z256" i="4"/>
  <c r="Y256" i="4"/>
  <c r="Z255" i="4"/>
  <c r="Y255" i="4"/>
  <c r="Z254" i="4"/>
  <c r="Y254" i="4"/>
  <c r="Z253" i="4"/>
  <c r="Y253" i="4"/>
  <c r="Z252" i="4"/>
  <c r="Y252" i="4"/>
  <c r="Z251" i="4"/>
  <c r="Y251" i="4"/>
  <c r="Z250" i="4"/>
  <c r="Y250" i="4"/>
  <c r="Z249" i="4"/>
  <c r="Y249" i="4"/>
  <c r="Z248" i="4"/>
  <c r="Y248" i="4"/>
  <c r="Z247" i="4"/>
  <c r="Y247" i="4"/>
  <c r="Z246" i="4"/>
  <c r="Y246" i="4"/>
  <c r="Z245" i="4"/>
  <c r="Y245" i="4"/>
  <c r="Z244" i="4"/>
  <c r="Y244" i="4"/>
  <c r="Z243" i="4"/>
  <c r="Y243" i="4"/>
  <c r="Z242" i="4"/>
  <c r="Y242" i="4"/>
  <c r="Z241" i="4"/>
  <c r="Y241" i="4"/>
  <c r="Z240" i="4"/>
  <c r="Y240" i="4"/>
  <c r="Z239" i="4"/>
  <c r="Y239" i="4"/>
  <c r="Z238" i="4"/>
  <c r="Y238" i="4"/>
  <c r="Z237" i="4"/>
  <c r="Y237" i="4"/>
  <c r="Z236" i="4"/>
  <c r="Y236" i="4"/>
  <c r="Z235" i="4"/>
  <c r="Y235" i="4"/>
  <c r="Z234" i="4"/>
  <c r="Y234" i="4"/>
  <c r="Z233" i="4"/>
  <c r="Y233" i="4"/>
  <c r="Z232" i="4"/>
  <c r="Y232" i="4"/>
  <c r="Z231" i="4"/>
  <c r="Y231" i="4"/>
  <c r="Z230" i="4"/>
  <c r="Y230" i="4"/>
  <c r="Z229" i="4"/>
  <c r="Y229" i="4"/>
  <c r="Z228" i="4"/>
  <c r="Y228" i="4"/>
  <c r="Z227" i="4"/>
  <c r="Y227" i="4"/>
  <c r="Z226" i="4"/>
  <c r="Y226" i="4"/>
  <c r="Z225" i="4"/>
  <c r="Y225" i="4"/>
  <c r="Z224" i="4"/>
  <c r="Y224" i="4"/>
  <c r="Z223" i="4"/>
  <c r="Y223" i="4"/>
  <c r="Z222" i="4"/>
  <c r="Y222" i="4"/>
  <c r="Z221" i="4"/>
  <c r="Y221" i="4"/>
  <c r="Z220" i="4"/>
  <c r="Y220" i="4"/>
  <c r="Z219" i="4"/>
  <c r="Y219" i="4"/>
  <c r="X219" i="4"/>
  <c r="X218" i="4"/>
  <c r="Z218" i="4"/>
  <c r="Z217" i="4"/>
  <c r="Y217" i="4"/>
  <c r="X217" i="4"/>
  <c r="Z216" i="4"/>
  <c r="Y216" i="4"/>
  <c r="X216" i="4"/>
  <c r="X215" i="4"/>
  <c r="Z215" i="4"/>
  <c r="X214" i="4"/>
  <c r="Z214" i="4"/>
  <c r="Z213" i="4"/>
  <c r="Y213" i="4"/>
  <c r="X213" i="4"/>
  <c r="Z212" i="4"/>
  <c r="Y212" i="4"/>
  <c r="X212" i="4"/>
  <c r="Z211" i="4"/>
  <c r="Y211" i="4"/>
  <c r="X211" i="4"/>
  <c r="X210" i="4"/>
  <c r="Z210" i="4"/>
  <c r="Z209" i="4"/>
  <c r="Y209" i="4"/>
  <c r="X209" i="4"/>
  <c r="Z208" i="4"/>
  <c r="Y208" i="4"/>
  <c r="Z207" i="4"/>
  <c r="Y207" i="4"/>
  <c r="Z206" i="4"/>
  <c r="Y206" i="4"/>
  <c r="X206" i="4"/>
  <c r="Z205" i="4"/>
  <c r="Y205" i="4"/>
  <c r="X205" i="4"/>
  <c r="Z204" i="4"/>
  <c r="X204" i="4"/>
  <c r="Y204" i="4"/>
  <c r="Z203" i="4"/>
  <c r="Y203" i="4"/>
  <c r="X203" i="4"/>
  <c r="Z202" i="4"/>
  <c r="Y202" i="4"/>
  <c r="X202" i="4"/>
  <c r="X201" i="4"/>
  <c r="Z201" i="4"/>
  <c r="X200" i="4"/>
  <c r="Y200" i="4"/>
  <c r="Z199" i="4"/>
  <c r="Y199" i="4"/>
  <c r="X199" i="4"/>
  <c r="X198" i="4"/>
  <c r="Y198" i="4"/>
  <c r="Z197" i="4"/>
  <c r="Y197" i="4"/>
  <c r="X197" i="4"/>
  <c r="X196" i="4"/>
  <c r="Z196" i="4"/>
  <c r="Z195" i="4"/>
  <c r="Y195" i="4"/>
  <c r="X195" i="4"/>
  <c r="X194" i="4"/>
  <c r="Z194" i="4"/>
  <c r="Z193" i="4"/>
  <c r="Y193" i="4"/>
  <c r="Z192" i="4"/>
  <c r="Y192" i="4"/>
  <c r="Z191" i="4"/>
  <c r="Y191" i="4"/>
  <c r="X191" i="4"/>
  <c r="X190" i="4"/>
  <c r="Z190" i="4"/>
  <c r="Z189" i="4"/>
  <c r="Y189" i="4"/>
  <c r="X189" i="4"/>
  <c r="X188" i="4"/>
  <c r="Y188" i="4"/>
  <c r="X187" i="4"/>
  <c r="Z187" i="4"/>
  <c r="Z186" i="4"/>
  <c r="Y186" i="4"/>
  <c r="X186" i="4"/>
  <c r="Z185" i="4"/>
  <c r="Y185" i="4"/>
  <c r="X185" i="4"/>
  <c r="X184" i="4"/>
  <c r="Z184" i="4"/>
  <c r="Z183" i="4"/>
  <c r="Y183" i="4"/>
  <c r="X183" i="4"/>
  <c r="Z182" i="4"/>
  <c r="Y182" i="4"/>
  <c r="Z181" i="4"/>
  <c r="Y181" i="4"/>
  <c r="Z180" i="4"/>
  <c r="Y180" i="4"/>
  <c r="X180" i="4"/>
  <c r="Z179" i="4"/>
  <c r="X179" i="4"/>
  <c r="Y179" i="4"/>
  <c r="Z178" i="4"/>
  <c r="Y178" i="4"/>
  <c r="X178" i="4"/>
  <c r="X177" i="4"/>
  <c r="Z177" i="4"/>
  <c r="X176" i="4"/>
  <c r="Z176" i="4"/>
  <c r="Z175" i="4"/>
  <c r="Y175" i="4"/>
  <c r="X175" i="4"/>
  <c r="Z174" i="4"/>
  <c r="X174" i="4"/>
  <c r="Y174" i="4"/>
  <c r="Z173" i="4"/>
  <c r="Y173" i="4"/>
  <c r="X173" i="4"/>
  <c r="X172" i="4"/>
  <c r="Z172" i="4"/>
  <c r="Z171" i="4"/>
  <c r="Y171" i="4"/>
  <c r="X171" i="4"/>
  <c r="Z170" i="4"/>
  <c r="Y170" i="4"/>
  <c r="X170" i="4"/>
  <c r="X169" i="4"/>
  <c r="Z169" i="4"/>
  <c r="X168" i="4"/>
  <c r="Y168" i="4"/>
  <c r="Z167" i="4"/>
  <c r="Y167" i="4"/>
  <c r="X167" i="4"/>
  <c r="Z166" i="4"/>
  <c r="Y166" i="4"/>
  <c r="X166" i="4"/>
  <c r="X165" i="4"/>
  <c r="Y165" i="4"/>
  <c r="Z164" i="4"/>
  <c r="Y164" i="4"/>
  <c r="X164" i="4"/>
  <c r="X163" i="4"/>
  <c r="Y163" i="4"/>
  <c r="Z162" i="4"/>
  <c r="Y162" i="4"/>
  <c r="Z161" i="4"/>
  <c r="Y161" i="4"/>
  <c r="Z160" i="4"/>
  <c r="Y160" i="4"/>
  <c r="X160" i="4"/>
  <c r="X159" i="4"/>
  <c r="Z159" i="4"/>
  <c r="Z158" i="4"/>
  <c r="Y158" i="4"/>
  <c r="X158" i="4"/>
  <c r="X157" i="4"/>
  <c r="Y157" i="4"/>
  <c r="X156" i="4"/>
  <c r="Y156" i="4"/>
  <c r="Z150" i="4"/>
  <c r="Y150" i="4"/>
  <c r="Z149" i="4"/>
  <c r="Y149" i="4"/>
  <c r="Z148" i="4"/>
  <c r="Y148" i="4"/>
  <c r="X148" i="4"/>
  <c r="Z147" i="4"/>
  <c r="X147" i="4"/>
  <c r="Y147" i="4"/>
  <c r="Z146" i="4"/>
  <c r="X146" i="4"/>
  <c r="Y146" i="4"/>
  <c r="Z145" i="4"/>
  <c r="Y145" i="4"/>
  <c r="X145" i="4"/>
  <c r="X144" i="4"/>
  <c r="Z144" i="4"/>
  <c r="X143" i="4"/>
  <c r="Z143" i="4"/>
  <c r="Z142" i="4"/>
  <c r="Y142" i="4"/>
  <c r="X142" i="4"/>
  <c r="X136" i="4"/>
  <c r="Y136" i="4"/>
  <c r="Z135" i="4"/>
  <c r="Y135" i="4"/>
  <c r="X135" i="4"/>
  <c r="X134" i="4"/>
  <c r="Z134" i="4"/>
  <c r="Z133" i="4"/>
  <c r="Y133" i="4"/>
  <c r="X133" i="4"/>
  <c r="Z132" i="4"/>
  <c r="X132" i="4"/>
  <c r="Y132" i="4"/>
  <c r="Z129" i="4"/>
  <c r="Y129" i="4"/>
  <c r="X129" i="4"/>
  <c r="Z128" i="4"/>
  <c r="Y128" i="4"/>
  <c r="X128" i="4"/>
  <c r="X127" i="4"/>
  <c r="Y127" i="4"/>
  <c r="Z126" i="4"/>
  <c r="Y126" i="4"/>
  <c r="X126" i="4"/>
  <c r="X125" i="4"/>
  <c r="Y125" i="4"/>
  <c r="Z124" i="4"/>
  <c r="Y124" i="4"/>
  <c r="X124" i="4"/>
  <c r="X123" i="4"/>
  <c r="Z123" i="4"/>
  <c r="Z122" i="4"/>
  <c r="Y122" i="4"/>
  <c r="X122" i="4"/>
  <c r="X121" i="4"/>
  <c r="Z121" i="4"/>
  <c r="X120" i="4"/>
  <c r="Z120" i="4"/>
  <c r="Z119" i="4"/>
  <c r="Y119" i="4"/>
  <c r="X119" i="4"/>
  <c r="X118" i="4"/>
  <c r="Z118" i="4"/>
  <c r="Z117" i="4"/>
  <c r="Y117" i="4"/>
  <c r="Z116" i="4"/>
  <c r="Y116" i="4"/>
  <c r="Z115" i="4"/>
  <c r="Y115" i="4"/>
  <c r="Z114" i="4"/>
  <c r="Y114" i="4"/>
  <c r="Y113" i="4"/>
  <c r="Z112" i="4"/>
  <c r="Y112" i="4"/>
  <c r="Z111" i="4"/>
  <c r="Y111" i="4"/>
  <c r="Z110" i="4"/>
  <c r="Y110" i="4"/>
  <c r="Z109" i="4"/>
  <c r="Z108" i="4"/>
  <c r="Y108" i="4"/>
  <c r="Y107" i="4"/>
  <c r="Z106" i="4"/>
  <c r="Y106" i="4"/>
  <c r="Z102" i="4"/>
  <c r="Y102" i="4"/>
  <c r="Z101" i="4"/>
  <c r="Y101" i="4"/>
  <c r="Z100" i="4"/>
  <c r="Y100" i="4"/>
  <c r="Y99" i="4"/>
  <c r="Y98" i="4"/>
  <c r="Y97" i="4"/>
  <c r="Z96" i="4"/>
  <c r="Y96" i="4"/>
  <c r="Z95" i="4"/>
  <c r="Z94" i="4"/>
  <c r="Y94" i="4"/>
  <c r="Z93" i="4"/>
  <c r="Z92" i="4"/>
  <c r="Y92" i="4"/>
  <c r="Z88" i="4"/>
  <c r="Y88" i="4"/>
  <c r="Z87" i="4"/>
  <c r="Y87" i="4"/>
  <c r="Z86" i="4"/>
  <c r="Y86" i="4"/>
  <c r="Z85" i="4"/>
  <c r="Z84" i="4"/>
  <c r="Y83" i="4"/>
  <c r="Z82" i="4"/>
  <c r="Y82" i="4"/>
  <c r="Y81" i="4"/>
  <c r="Z80" i="4"/>
  <c r="Y80" i="4"/>
  <c r="Y79" i="4"/>
  <c r="Z74" i="4"/>
  <c r="Y74" i="4"/>
  <c r="Z73" i="4"/>
  <c r="Y73" i="4"/>
  <c r="Z72" i="4"/>
  <c r="Y72" i="4"/>
  <c r="Z71" i="4"/>
  <c r="Y70" i="4"/>
  <c r="Y69" i="4"/>
  <c r="Z68" i="4"/>
  <c r="Y68" i="4"/>
  <c r="Y67" i="4"/>
  <c r="Z66" i="4"/>
  <c r="Y66" i="4"/>
  <c r="Z65" i="4"/>
  <c r="Y65" i="4"/>
  <c r="Z64" i="4"/>
  <c r="Y64" i="4"/>
  <c r="Z63" i="4"/>
  <c r="Y63" i="4"/>
  <c r="Z62" i="4"/>
  <c r="Y62" i="4"/>
  <c r="Z61" i="4"/>
  <c r="Y61" i="4"/>
  <c r="Z60" i="4"/>
  <c r="Y60" i="4"/>
  <c r="Z59" i="4"/>
  <c r="Y59" i="4"/>
  <c r="Z58" i="4"/>
  <c r="Y58" i="4"/>
  <c r="Z57" i="4"/>
  <c r="Y57" i="4"/>
  <c r="Z56" i="4"/>
  <c r="Y56" i="4"/>
  <c r="Z55" i="4"/>
  <c r="Z53" i="4"/>
  <c r="Z52" i="4"/>
  <c r="Y52" i="4"/>
  <c r="Y51" i="4"/>
  <c r="Z50" i="4"/>
  <c r="Y50" i="4"/>
  <c r="Z49" i="4"/>
  <c r="Z47" i="4"/>
  <c r="Y47" i="4"/>
  <c r="Z46" i="4"/>
  <c r="Y46" i="4"/>
  <c r="Z45" i="4"/>
  <c r="Y45" i="4"/>
  <c r="Z44" i="4"/>
  <c r="Y44" i="4"/>
  <c r="Y42" i="4"/>
  <c r="Z41" i="4"/>
  <c r="Y41" i="4"/>
  <c r="Z39" i="4"/>
  <c r="Y39" i="4"/>
  <c r="Z38" i="4"/>
  <c r="Z37" i="4"/>
  <c r="Y37" i="4"/>
  <c r="Z36" i="4"/>
  <c r="Z35" i="4"/>
  <c r="Y35" i="4"/>
  <c r="Z34" i="4"/>
  <c r="Y34" i="4"/>
  <c r="Z33" i="4"/>
  <c r="Y33" i="4"/>
  <c r="Z32" i="4"/>
  <c r="Y32" i="4"/>
  <c r="Z31" i="4"/>
  <c r="Y31" i="4"/>
  <c r="Z30" i="4"/>
  <c r="Y30" i="4"/>
  <c r="Z29" i="4"/>
  <c r="Y29" i="4"/>
  <c r="Z28" i="4"/>
  <c r="Y28" i="4"/>
  <c r="Z27" i="4"/>
  <c r="Y27" i="4"/>
  <c r="Y26" i="4"/>
  <c r="Z26" i="4"/>
  <c r="Z25" i="4"/>
  <c r="Y25" i="4"/>
  <c r="Z24" i="4"/>
  <c r="Z23" i="4"/>
  <c r="Y23" i="4"/>
  <c r="Y22" i="4"/>
  <c r="Z21" i="4"/>
  <c r="Z19" i="4"/>
  <c r="Y19" i="4"/>
  <c r="Z18" i="4"/>
  <c r="Y18" i="4"/>
  <c r="Z17" i="4"/>
  <c r="Y17" i="4"/>
  <c r="Z15" i="4"/>
  <c r="Y15" i="4"/>
  <c r="Z14" i="4"/>
  <c r="Y14" i="4"/>
  <c r="Z11" i="4"/>
  <c r="Y11" i="4"/>
  <c r="Z10" i="4"/>
  <c r="Y10" i="4"/>
  <c r="Z5" i="4"/>
  <c r="Y5" i="4"/>
  <c r="Z4" i="4"/>
  <c r="Y4" i="4"/>
  <c r="Z3" i="4"/>
  <c r="Y3" i="4"/>
  <c r="Z2" i="4"/>
  <c r="Y2" i="4"/>
  <c r="Z98" i="4"/>
  <c r="Z157" i="4"/>
  <c r="Z113" i="4"/>
  <c r="Z107" i="4"/>
  <c r="Z69" i="4"/>
  <c r="Z198" i="4"/>
  <c r="Y201" i="4"/>
  <c r="Y93" i="4"/>
  <c r="Z97" i="4"/>
  <c r="Y144" i="4"/>
  <c r="Y169" i="4"/>
  <c r="Y218" i="4"/>
  <c r="Y214" i="4"/>
  <c r="Y176" i="4"/>
  <c r="Y143" i="4"/>
  <c r="Y194" i="4"/>
  <c r="Y172" i="4"/>
  <c r="Y187" i="4"/>
  <c r="Z163" i="4"/>
  <c r="Y159" i="4"/>
  <c r="Y53" i="4"/>
  <c r="Y36" i="4"/>
  <c r="Z83" i="4"/>
  <c r="Z67" i="4"/>
  <c r="Z165" i="4"/>
  <c r="Z168" i="4"/>
  <c r="Y55" i="4"/>
  <c r="Y85" i="4"/>
  <c r="Y49" i="4"/>
  <c r="Y24" i="4"/>
  <c r="Y38" i="4"/>
  <c r="Y84" i="4"/>
  <c r="Z188" i="4"/>
  <c r="Y190" i="4"/>
  <c r="Y123" i="4"/>
  <c r="Z156" i="4"/>
  <c r="Y134" i="4"/>
  <c r="Y71" i="4"/>
  <c r="Z54" i="4"/>
  <c r="Z22" i="4"/>
  <c r="Z125" i="4"/>
  <c r="Y95" i="4"/>
  <c r="Y109" i="4"/>
  <c r="Z79" i="4"/>
  <c r="Z51" i="4"/>
  <c r="Y210" i="4"/>
  <c r="Z127" i="4"/>
  <c r="Z200" i="4"/>
  <c r="Y215" i="4"/>
  <c r="Y177" i="4"/>
  <c r="Z136" i="4"/>
  <c r="Y184" i="4"/>
  <c r="Y118" i="4"/>
  <c r="Y121" i="4"/>
  <c r="Y196" i="4"/>
  <c r="Y21" i="4"/>
  <c r="Z42" i="4"/>
  <c r="Z70" i="4"/>
  <c r="Z81" i="4"/>
  <c r="Z99" i="4"/>
  <c r="Y120" i="4"/>
  <c r="Y329" i="4"/>
  <c r="Z329" i="4"/>
</calcChain>
</file>

<file path=xl/sharedStrings.xml><?xml version="1.0" encoding="utf-8"?>
<sst xmlns="http://schemas.openxmlformats.org/spreadsheetml/2006/main" count="4028" uniqueCount="2161">
  <si>
    <t>type</t>
  </si>
  <si>
    <t>name</t>
  </si>
  <si>
    <t>label::English (en)</t>
  </si>
  <si>
    <t>label::Spanish (es)</t>
  </si>
  <si>
    <t>label::</t>
  </si>
  <si>
    <t>hint::English (en)</t>
  </si>
  <si>
    <t>hint::Spanish (es)</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</si>
  <si>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</si>
  <si>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</si>
  <si>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</si>
  <si>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</si>
  <si>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</si>
  <si>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</si>
  <si>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</si>
  <si>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</si>
  <si>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</si>
  <si>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</si>
  <si>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</si>
  <si>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</si>
  <si>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</si>
  <si>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</si>
  <si>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</si>
  <si>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</si>
  <si>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</si>
  <si>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</si>
  <si>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</si>
  <si>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</si>
  <si>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</si>
  <si>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</si>
  <si>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</si>
  <si>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</si>
  <si>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</si>
  <si>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</si>
  <si>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</si>
  <si>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</si>
  <si>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Número o código del equipo de encuestadores</t>
  </si>
  <si>
    <t>select_one enumerator</t>
  </si>
  <si>
    <t>enumerator</t>
  </si>
  <si>
    <t>Name of enumerator</t>
  </si>
  <si>
    <t>Nombre del encuestador</t>
  </si>
  <si>
    <t>true</t>
  </si>
  <si>
    <t>my_filter_admin=${enum_team}</t>
  </si>
  <si>
    <t>yes</t>
  </si>
  <si>
    <t>enumerator_</t>
  </si>
  <si>
    <t>jr:choice-name(${enumerator},'${enumerator}')</t>
  </si>
  <si>
    <t>Sample</t>
  </si>
  <si>
    <t>concat('F2F')</t>
  </si>
  <si>
    <t>note</t>
  </si>
  <si>
    <t>introduction</t>
  </si>
  <si>
    <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t>
    </r>
    <r>
      <rPr>
        <b/>
        <sz val="11"/>
        <color rgb="FFC00000"/>
        <rFont val="Calibri (Body)"/>
      </rPr>
      <t>20 / 30 minutes</t>
    </r>
    <r>
      <rPr>
        <sz val="11"/>
        <color theme="1"/>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r>
  </si>
  <si>
    <r>
      <t xml:space="preserve">Buenos días/tardes señor/señora, mi nombre es ${enumerator_}. En nombre de la Organización de las Naciones Unidas para la Alimentación y la Agricultura (FAO), estamos realizando una encuesta sobre los medios de vida de los hogares y la capacidad de acceder a alimentos en su área. Me gustaría hacerle algunas preguntas acerca de su hogar.
La encuesta normalmente toma entre </t>
    </r>
    <r>
      <rPr>
        <b/>
        <sz val="11"/>
        <color rgb="FFC00000"/>
        <rFont val="Calibri"/>
        <family val="2"/>
        <scheme val="minor"/>
      </rPr>
      <t>20 / 30 minutes</t>
    </r>
    <r>
      <rPr>
        <sz val="11"/>
        <color theme="1"/>
        <rFont val="Calibri"/>
        <family val="2"/>
        <scheme val="minor"/>
      </rPr>
      <t>. Toda la información provista será estrictamente guardada con confidencialidad, será utilizada únicamente para los propósitos de la encuesta y no será compartida. Su participación voluntaria en el resultado de esta encuesta, NO ESTÁ DE NINGÚN MODO vinculada a la posibilidad de recibir algún tipo de asistencia o ayuda. Esto es voluntario y puede optar por no responder alguna o todas las preguntas si así lo desea. Sin embargo, esperamos que participe ya que su opinión es muy importante. 
¿Tiene alguna pregunta?</t>
    </r>
  </si>
  <si>
    <t>[INSTRUCTIONS: ADDRESS QUESTIONS FROM RESPONDENT, IF ANY.]</t>
  </si>
  <si>
    <t>[ENCUESTADOR/A: RESPONDA LAS PREGUNTAS DEL ENCUESTADO, SI LAS HAY.]</t>
  </si>
  <si>
    <t>false</t>
  </si>
  <si>
    <t>no</t>
  </si>
  <si>
    <t>select_one yesno</t>
  </si>
  <si>
    <t>resp_agree</t>
  </si>
  <si>
    <t>Are you interested in participating in this survey?</t>
  </si>
  <si>
    <t>¿Está interesado en participar en esta encuesta?</t>
  </si>
  <si>
    <t>geopoint</t>
  </si>
  <si>
    <t>gps_1</t>
  </si>
  <si>
    <t xml:space="preserve">GPS INSTRUCTION: Take a GPS measurement. </t>
  </si>
  <si>
    <t xml:space="preserve">INSTRUCCIÓN GPS: Tome una medida GPS. </t>
  </si>
  <si>
    <t>NOTE: It might take a few minutes for the tablet to register the GPS. Wait for it to load. If it takes longer than 3 minutes, skip to the next question. You can take the GPS reading at the end of the interview.</t>
  </si>
  <si>
    <t xml:space="preserve">NOTA: Es posible que el tablet tarde algunos minutos en registrar la posición GPS. Espere a que se cargue. Si demora más de 3 minutos, pase directamente a la pregunta siguiente. Puede tomar la posición al final de la entrevista. </t>
  </si>
  <si>
    <t>${resp_agree} = '1'</t>
  </si>
  <si>
    <t>Refusal</t>
  </si>
  <si>
    <t>Thank you for your time, you will be removed from today's survey.</t>
  </si>
  <si>
    <t xml:space="preserve">Gracias por su tiempo, será descartado para la encuesta de hoy. </t>
  </si>
  <si>
    <t>${resp_agree} = '2'</t>
  </si>
  <si>
    <t/>
  </si>
  <si>
    <t>begin_group</t>
  </si>
  <si>
    <t>eligibility</t>
  </si>
  <si>
    <t>ELIGIBILITY CRITERIA</t>
  </si>
  <si>
    <t>Criterios de eligibilidad</t>
  </si>
  <si>
    <t>text</t>
  </si>
  <si>
    <t>resp_firstname</t>
  </si>
  <si>
    <t>What is your first name?</t>
  </si>
  <si>
    <t>¿Cuál es su nombre?</t>
  </si>
  <si>
    <t>[INSTRUCTIONS: RECORD THE RESPONDENT'S FIRST NAME. ENTER 999 FOR REFUSED]</t>
  </si>
  <si>
    <t>[ENCUESTADOR/A: REGISTRE EL NOMBRE DEL ENCUESTADO.ESCRIBA 999 PARA "NO RESPONDE"]</t>
  </si>
  <si>
    <t>resp_lastname</t>
  </si>
  <si>
    <t>What is your last name?</t>
  </si>
  <si>
    <t>¿Cuál es su apellido?</t>
  </si>
  <si>
    <t>[INSTRUCTIONS: RECORD THE RESPONDENT'S LAST NAME. ENTER 999 FOR REFUSED]</t>
  </si>
  <si>
    <t>[ENCUESTADOR/A: REGISTRE EL APELLIDO DEL ENCUESTADO.ESCRIBA 999 PARA "NO RESPONDE"]</t>
  </si>
  <si>
    <t>integer</t>
  </si>
  <si>
    <t>resp_age</t>
  </si>
  <si>
    <t>How old are you?</t>
  </si>
  <si>
    <t>¿Qué edad tiene?</t>
  </si>
  <si>
    <t>[INSTRUCTIONS: RECORD AGE IN NUMBER OF YEARS. ROUND UP TO NEAREST WHOLE NUMBER. IF THE RESPONDENT GIVES BIRTH YEAR, REPEAT THE QUESTION. ENTER 888 FOR DON'T KNOW.]</t>
  </si>
  <si>
    <t>[ENCUESTADOR/A: REGISTRE LA EDAD EN AÑOS. REDONDEE AL NÚMERO ENTERO MÁS CERCANO. SI EL ENCUESTADO DA SU FECHA DE NACIMIENTO, VUELVA A REPETIR LA PREGUNTA. ESCRIBA 888 PARA "NO SABE"]</t>
  </si>
  <si>
    <r>
      <t xml:space="preserve">(. &gt;= </t>
    </r>
    <r>
      <rPr>
        <b/>
        <sz val="11"/>
        <color rgb="FF7030A0"/>
        <rFont val="Calibri"/>
        <family val="2"/>
        <scheme val="minor"/>
      </rPr>
      <t>#age#</t>
    </r>
    <r>
      <rPr>
        <sz val="11"/>
        <color theme="1"/>
        <rFont val="Calibri"/>
        <family val="2"/>
        <scheme val="minor"/>
      </rPr>
      <t xml:space="preserve"> and . &lt;= 100) or . = 888</t>
    </r>
  </si>
  <si>
    <t>select_one gender</t>
  </si>
  <si>
    <t>resp_gender</t>
  </si>
  <si>
    <t>What is the gender of the respondent?</t>
  </si>
  <si>
    <t>¿Cuál es el género del encuestado?</t>
  </si>
  <si>
    <t>[INSTRUCTIONS: DO NOT ASK THIS QUESTION OUT LOUD. SELECT THE GENDER OF THE RESPONDENT.]</t>
  </si>
  <si>
    <t>[ENCUESTADOR/A: NO LEA LA PREGUNTA EN VOZ ALTA. SELECCIONE EL GENERO DEL ENCUESTADO.]</t>
  </si>
  <si>
    <t>phone_number_personal</t>
  </si>
  <si>
    <t>What is your phone number?</t>
  </si>
  <si>
    <t>¿Cuál es su número de teléfono?</t>
  </si>
  <si>
    <t>numbers</t>
  </si>
  <si>
    <r>
      <rPr>
        <sz val="11"/>
        <color theme="6" tint="-0.499984740745262"/>
        <rFont val="Calibri"/>
        <family val="2"/>
        <scheme val="minor"/>
      </rPr>
      <t>regex(.,’^[0-9]{</t>
    </r>
    <r>
      <rPr>
        <b/>
        <sz val="11"/>
        <color rgb="FF7030A0"/>
        <rFont val="Calibri"/>
        <family val="2"/>
        <scheme val="minor"/>
      </rPr>
      <t>#number of digits#</t>
    </r>
    <r>
      <rPr>
        <sz val="11"/>
        <color theme="6" tint="-0.499984740745262"/>
        <rFont val="Calibri"/>
        <family val="2"/>
        <scheme val="minor"/>
      </rPr>
      <t>}$’)</t>
    </r>
  </si>
  <si>
    <t>Please enter the telephone number in the correct format, e.g. #phone number#</t>
  </si>
  <si>
    <t>yes - panel</t>
  </si>
  <si>
    <t>select_one contact_info</t>
  </si>
  <si>
    <t>contact_2</t>
  </si>
  <si>
    <t>Can you give me an additional phone number belonging to you, another household member or a close relation living outside of the household at which you can be reached?</t>
  </si>
  <si>
    <t>¿Me podría dar un número de teléfono adicional que le pertenezca a usted, algún miembro de su hogar, o algún pariente o amigo cercano que viva fuera del hogar, y en el cuál pueda ser contactado en el futuro?</t>
  </si>
  <si>
    <t>phone_number_2</t>
  </si>
  <si>
    <t>What is the additional phone number?</t>
  </si>
  <si>
    <t>¿Cuál es el número telefónico adicional?</t>
  </si>
  <si>
    <t xml:space="preserve">${contact_2} = '1' or ${contact_2} = '2' or ${contact_2} = '3' </t>
  </si>
  <si>
    <t>contact_2_name</t>
  </si>
  <si>
    <t>What is the name of the contact?</t>
  </si>
  <si>
    <t>¿Cuál es el nombre del dueño del teléfono adicional?</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</si>
  <si>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</si>
  <si>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</si>
  <si>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</si>
  <si>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</si>
  <si>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</si>
  <si>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</si>
  <si>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</si>
  <si>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</si>
  <si>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r>
      <t>Currently, in which</t>
    </r>
    <r>
      <rPr>
        <b/>
        <sz val="11"/>
        <color rgb="FF7030A0"/>
        <rFont val="Calibri"/>
        <family val="2"/>
        <scheme val="minor"/>
      </rPr>
      <t xml:space="preserve"> #ADMIN1#</t>
    </r>
    <r>
      <rPr>
        <sz val="11"/>
        <color theme="1"/>
        <rFont val="Calibri"/>
        <family val="2"/>
        <scheme val="minor"/>
      </rPr>
      <t xml:space="preserve"> does your household reside?</t>
    </r>
  </si>
  <si>
    <r>
      <t xml:space="preserve">Actualmente, ¿en qué </t>
    </r>
    <r>
      <rPr>
        <b/>
        <sz val="11"/>
        <color rgb="FF7030A0"/>
        <rFont val="Calibri (Body)"/>
      </rPr>
      <t>#ADMIN1 ES#</t>
    </r>
    <r>
      <rPr>
        <sz val="11"/>
        <color theme="1"/>
        <rFont val="Calibri"/>
        <family val="2"/>
        <scheme val="minor"/>
      </rPr>
      <t xml:space="preserve"> reside su hogar?</t>
    </r>
  </si>
  <si>
    <t>[HINT: HOUSEHOLD CONSISTS OF ALL MEMBERS LIVING TOGETHER, SHARING RESOURCES &amp; EATING FROM THE SAME POT.]</t>
  </si>
  <si>
    <t>[PISTA: EL HOGAR ES EL ESPACIO DONDE TODOS LOS MIEMBROS VIVEN JUNTOS, COMPARTEN RECURSOS Y COMEN DE LA MISMA OLLA.]</t>
  </si>
  <si>
    <t>autocomplete</t>
  </si>
  <si>
    <t>adm1_name</t>
  </si>
  <si>
    <t>jr:choice-name(${adm1_pcode},'${adm1_pcode}')</t>
  </si>
  <si>
    <t>select_one admin2</t>
  </si>
  <si>
    <t xml:space="preserve">adm2_pcode </t>
  </si>
  <si>
    <r>
      <t xml:space="preserve">Currently, in which </t>
    </r>
    <r>
      <rPr>
        <b/>
        <sz val="11"/>
        <color rgb="FF7030A0"/>
        <rFont val="Calibri"/>
        <family val="2"/>
        <scheme val="minor"/>
      </rPr>
      <t xml:space="preserve">#ADMIN2# </t>
    </r>
    <r>
      <rPr>
        <sz val="11"/>
        <color theme="1"/>
        <rFont val="Calibri"/>
        <family val="2"/>
        <scheme val="minor"/>
      </rPr>
      <t>does your household reside?</t>
    </r>
  </si>
  <si>
    <r>
      <t xml:space="preserve">Actualmente, ¿en qué </t>
    </r>
    <r>
      <rPr>
        <b/>
        <sz val="11"/>
        <color rgb="FF7030A0"/>
        <rFont val="Calibri (Body)"/>
      </rPr>
      <t>#ADMIN2 ES#</t>
    </r>
    <r>
      <rPr>
        <sz val="11"/>
        <color theme="1"/>
        <rFont val="Calibri"/>
        <family val="2"/>
        <scheme val="minor"/>
      </rPr>
      <t xml:space="preserve"> reside su hogar?</t>
    </r>
  </si>
  <si>
    <t>my_filter_admin=${adm1_pcode}</t>
  </si>
  <si>
    <t>adm2_name</t>
  </si>
  <si>
    <t>jr:choice-name(${adm2_pcode},'${adm2_pcode}')</t>
  </si>
  <si>
    <t>select_one ea</t>
  </si>
  <si>
    <t>cluster</t>
  </si>
  <si>
    <t>[DO NOT READ TO RESPONDENT] Select the enumeration area in which you are conducting this interview.</t>
  </si>
  <si>
    <t>[NO LEA AL ENCUESTADO] Seleccione el área de enumeración en la que está realizando esta entrevista.</t>
  </si>
  <si>
    <t>my_filter_admin=${adm2_pcode}</t>
  </si>
  <si>
    <t>select_one agricactivity</t>
  </si>
  <si>
    <t>hh_agricactivity</t>
  </si>
  <si>
    <t>Has anybody in your household produced crops or livestock for household consumption or for sale in the past 12 months, including household members currently away for transhumance?</t>
  </si>
  <si>
    <t>¿Alguien de su hogar ha producido cultivos o criado animales para el consumo doméstico o para la venta en los últimos 12 meses, incluyendo aquellos miembros del hogar que se encuentran ausentes por trashumancia?</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</si>
  <si>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</si>
  <si>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ESTA ES LA PRINCIPAL PREGUNTA-FILTRO.]
[PISTA PARA SONDEAR: ¿Usted cultiva alguna planta para la venta o el consumo? ¿Usted cria algún animal con la intención de venderlo o consumirlo, o sus productos como la carne, leche, lana o cuero? ¿Algún miembro de su hogar está lejos con ganado o por trashumancia?]</t>
  </si>
  <si>
    <t>select_one yes_no</t>
  </si>
  <si>
    <t>hh_fish</t>
  </si>
  <si>
    <t xml:space="preserve">Has anybody in your household been engaged in aquatic production [fish catch or aquaculture farming] for household consumption or for sales in the past 12 months? </t>
  </si>
  <si>
    <t>Algún miembro de su hogar ha estado involucrado en la producción piscícola [pesca o acuicultura] para el consumo del hogar o para la venta?</t>
  </si>
  <si>
    <t>[HINT FOR PROBING: It should not include sports fishing. It should be about production of aquatic products [fish catch or aquaculture farming] for household consumption or sales.]</t>
  </si>
  <si>
    <t>[PISTA PARA VALIDACIÓN: NO DEBE ser incluida la pesca deportiva. Debería tratarse de productos piscícolas [pesca o acuicultura] para el consumo del hogar o para la venta.]</t>
  </si>
  <si>
    <t>end_group</t>
  </si>
  <si>
    <t>generalInfo</t>
  </si>
  <si>
    <t>GENERAL INFORMATION</t>
  </si>
  <si>
    <t>INFORMACIÓN GENERAL</t>
  </si>
  <si>
    <t>${resp_agree} = '1' and ${hh_agricactivity} != '5' and ${hh_agricactivity} != '6'</t>
  </si>
  <si>
    <t>resp_id</t>
  </si>
  <si>
    <t>Are you the head of household?</t>
  </si>
  <si>
    <t>¿Es usted la cabeza del hogar?</t>
  </si>
  <si>
    <t>hh_gender</t>
  </si>
  <si>
    <t xml:space="preserve">Is the head of your household male or female? </t>
  </si>
  <si>
    <t>¿Cuál es el género de la persona cabeza de hogar?</t>
  </si>
  <si>
    <t>${resp_id} != '1'</t>
  </si>
  <si>
    <t>select_one edu</t>
  </si>
  <si>
    <t>hh_education</t>
  </si>
  <si>
    <t xml:space="preserve">What is the educational level attained by the head of household? </t>
  </si>
  <si>
    <t>¿Cuál es el nivel de educación de la persona cabeza de hogar?</t>
  </si>
  <si>
    <t>select_one water</t>
  </si>
  <si>
    <t>hh_wealth_water</t>
  </si>
  <si>
    <t>Where does the water that you drink at home come from?</t>
  </si>
  <si>
    <t>¿De dónde proviene el agua que bebe en su hogar?</t>
  </si>
  <si>
    <t>select_one toilet</t>
  </si>
  <si>
    <t>hh_wealth_toilet</t>
  </si>
  <si>
    <t>Where do household members typically go to use the toilet?</t>
  </si>
  <si>
    <t>¿A dónde suelen ir usted y los miembros de su hogar al baño?</t>
  </si>
  <si>
    <t>select_one light</t>
  </si>
  <si>
    <t>hh_wealth_light</t>
  </si>
  <si>
    <t>What is the main source of light in your dwelling?</t>
  </si>
  <si>
    <t>¿Cuál es la principal fuente de luz en su vivienda?</t>
  </si>
  <si>
    <t>select_one residence</t>
  </si>
  <si>
    <t>hh_residencetype</t>
  </si>
  <si>
    <t>Which in the following types of residence best describes your residence?</t>
  </si>
  <si>
    <t>¿Cuál de las siguientes opciones describe mejor su tipo de residencia?</t>
  </si>
  <si>
    <t>[INSTRUCTIONS: READ OUT THE OPTIONS.]
[HINT: IF RESPONDENT IS ONLY AWAY FROM THE HOUSEHOLD FOR SHORT SEASONAL WORK (&lt;6 MONTHS) OR TRANSHUMANCE, MAKE SURE TO REFER TO THEIR HOUSEHOLD BACK WHERE THEY TYPICALLY ARE LOCATED.]</t>
  </si>
  <si>
    <t>[ENCUESTADOR/A: LEA EN VOZ ALTA LAS OPCIONES. RESPUESTA ÚNICA.]
[PISTA: SI EL ENCUESTADO ESTÁ FUERA DE CASA SOLO POR TRABAJO ESTACIONAL DE CORTA DURACIÓN (&lt;6 MESES) O POR TRASHUMANCIA, HAGA REFERENCIA AL HOGAR COMO EL LUGAR AL QUE RETORNA Y DONDE VIVE HABITUALMENTE.]</t>
  </si>
  <si>
    <t>hh_size</t>
  </si>
  <si>
    <t>How many people are part of the household?</t>
  </si>
  <si>
    <t>¿Cuántas personas hacen parte del hogar?</t>
  </si>
  <si>
    <t>[INSTRUCTIONS: RECORD NUMBER OF MEMBERS IN HOUSEHOLD. ENTER 888 FOR DON'T KNOW &amp; 999 FOR REFUSED.]
[HINT: TO BE A PART OF THE SAME HOUSEHOLD, MEMBERS MUST LIVE UNDER THE SAME ROOF, SHARE THE SAME RESOURCES &amp; EAT FROM THE SAME POT.]</t>
  </si>
  <si>
    <t>[ENCUESTADOR/A: REGISTRE EL NÚMERO DE MIEMBROS. ESCRIBA 888 PARA "NO SABE" Y 999 PARA "NO RESPONDE"]
[PISTA: PARA SER PARTE DEL MISMO HOGAR, LOS MIEMBROS DEBEN VIVIR BAJO EL MISMO TECHO, COMPARTIR RECURSOS Y COMER DE LA MISMA OLLA. ]</t>
  </si>
  <si>
    <t xml:space="preserve">(. &gt;= 1 and . &lt;= 50) or . = 888 or . = 999 </t>
  </si>
  <si>
    <t>select_multiple asset_prod</t>
  </si>
  <si>
    <t>hh_asset_prod</t>
  </si>
  <si>
    <t xml:space="preserve">Does your household own any of the following productive assets? </t>
  </si>
  <si>
    <t>¿Tiene su hogar alguno de los siguientes activos productivos?</t>
  </si>
  <si>
    <t>[INSTRUCTIONS: MULTIPLE RESPONSES POSSIBLE. READ ANSWER OPTIONS OUT LOUD.]</t>
  </si>
  <si>
    <t>[ENCUESTADOR/A: ES POSIBLE SELECCIONAR MÚLTIPLES RESPUESTAS. LEA LAS OPCIONES DE RESPUESTA EN VOZ ALTA.]</t>
  </si>
  <si>
    <t>if(selected(.,'none') or selected(.,'dk') or selected(.,'ref'), count-selected(.) = 1, count-selected(.) &gt;= 1)</t>
  </si>
  <si>
    <t>select_multiple asset_transp</t>
  </si>
  <si>
    <t>hh_asset_transp</t>
  </si>
  <si>
    <t xml:space="preserve">Do you or any member of household own any of the following transportation assets? </t>
  </si>
  <si>
    <t>¿Tiene su hogar alguno de los siguientes medios de transporte?</t>
  </si>
  <si>
    <t>select_one maritalstat</t>
  </si>
  <si>
    <t>hh_maritalstat</t>
  </si>
  <si>
    <t xml:space="preserve">What is the head of household’s current marital status? </t>
  </si>
  <si>
    <t>¿Cuál es el estado civil actual de la persona cabeza de hogar?</t>
  </si>
  <si>
    <t>select_one agegroup</t>
  </si>
  <si>
    <t>hh_age</t>
  </si>
  <si>
    <t xml:space="preserve">How old is the head of household? </t>
  </si>
  <si>
    <t>¿Cuál es la edad de la persona cabeza de hogar?</t>
  </si>
  <si>
    <t>Income_Shocks_group</t>
  </si>
  <si>
    <t>INCOME SOURCES, LIVELIHOODS AND SHOCKS</t>
  </si>
  <si>
    <t>select_one incomesource1</t>
  </si>
  <si>
    <t>income_main</t>
  </si>
  <si>
    <t>What was your household's main source of income in the past 3 months?</t>
  </si>
  <si>
    <t>¿Cuál ha sido la principal fuente de ingresos de su hogar en los últimos 3 meses?</t>
  </si>
  <si>
    <t>[INSTRUCTIONS: REFUSED OPTIONS SHOULD BE AVOIDED AS MUCH AS POSSIBLE.]</t>
  </si>
  <si>
    <t>[OPERADOR:LA OPCIÓN "NO RESPONDE" DEBE EVITARSE EN LA MEDIDA DE LO POSIBLE.]</t>
  </si>
  <si>
    <t>minimal</t>
  </si>
  <si>
    <t>incomemain</t>
  </si>
  <si>
    <t>jr:choice-name(${income_main},'${income_main}')</t>
  </si>
  <si>
    <t>income_main_crop_check</t>
  </si>
  <si>
    <t xml:space="preserve">Are the crops sold also produced by you or anyone in your household? </t>
  </si>
  <si>
    <t xml:space="preserve">¿Las cosechas de los cultivos vendidos son también producidas por usted o algún miembro de su hogar? </t>
  </si>
  <si>
    <t xml:space="preserve">${income_main} = '1' or ${income_main} = '2' or ${income_main} = '3' </t>
  </si>
  <si>
    <t>income_main_ls_check</t>
  </si>
  <si>
    <t xml:space="preserve">Are the livestock or livestock products sold also produced by you or anyone in your household? </t>
  </si>
  <si>
    <t>¿Los animales o productos de origen animal vendidos son también producidos por usted o algún miembro de su hogar?</t>
  </si>
  <si>
    <t>${income_main} = '4'</t>
  </si>
  <si>
    <t>income_main_fish_check</t>
  </si>
  <si>
    <t>Are the fish or aquatic products sold also captured/harvested by you or anyone in your household?</t>
  </si>
  <si>
    <t>¿Los productos pesqueros o acuícolas que vende son también capturados/cosechados por usted o algún miembro de su hogar?</t>
  </si>
  <si>
    <t>${income_main} = '6'</t>
  </si>
  <si>
    <t>decimal</t>
  </si>
  <si>
    <t>income_main_amount</t>
  </si>
  <si>
    <r>
      <t xml:space="preserve">How much was earned (in </t>
    </r>
    <r>
      <rPr>
        <b/>
        <sz val="11"/>
        <color rgb="FF7030A0"/>
        <rFont val="Calibri"/>
        <family val="2"/>
        <scheme val="minor"/>
      </rPr>
      <t>#currency#</t>
    </r>
    <r>
      <rPr>
        <sz val="11"/>
        <color theme="0" tint="-0.34998626667073579"/>
        <rFont val="Calibri"/>
        <family val="2"/>
        <scheme val="minor"/>
      </rPr>
      <t>) from your main income source, ${incomemain}, in the past 3 months ?</t>
    </r>
  </si>
  <si>
    <r>
      <t xml:space="preserve">¿Cuánto ganó (en </t>
    </r>
    <r>
      <rPr>
        <b/>
        <sz val="11"/>
        <color rgb="FF7030A0"/>
        <rFont val="Calibri (Cuerpo)"/>
      </rPr>
      <t>#currency#)</t>
    </r>
    <r>
      <rPr>
        <sz val="11"/>
        <rFont val="Calibri"/>
        <family val="2"/>
        <scheme val="minor"/>
      </rPr>
      <t xml:space="preserve"> </t>
    </r>
    <r>
      <rPr>
        <sz val="11"/>
        <color theme="0" tint="-0.34998626667073579"/>
        <rFont val="Calibri"/>
        <family val="2"/>
        <scheme val="minor"/>
      </rPr>
      <t>por su principal fuente de ingresos, ${</t>
    </r>
    <r>
      <rPr>
        <sz val="11"/>
        <color theme="0" tint="-0.34998626667073579"/>
        <rFont val="Calibri (Cuerpo)"/>
      </rPr>
      <t>incomemain}, en los últimos 3 meses?</t>
    </r>
  </si>
  <si>
    <t>[INSTRUCTIONS: MAKE SURE THE INFORMATION IS RECORDED IN THE CORRECT CURRENCY. ENTER 888 FOR DON'T KNOW AND 999 FOR REFUSED.]</t>
  </si>
  <si>
    <t>[ENCUESTADOR/A: COMPRUEBE QUE LA RESPUESTA ESTÉ REGISTRADA EN LA MONEDA CORRECTA. ESCRIBA 888 PARA "NO SABE" Y 999 PARA "NO RESPONDE".]</t>
  </si>
  <si>
    <r>
      <t xml:space="preserve">. &gt; </t>
    </r>
    <r>
      <rPr>
        <b/>
        <sz val="11"/>
        <color rgb="FF7030A0"/>
        <rFont val="Calibri"/>
        <family val="2"/>
        <scheme val="minor"/>
      </rPr>
      <t>#MIN AMOUNT#</t>
    </r>
    <r>
      <rPr>
        <sz val="11"/>
        <color theme="0" tint="-0.34998626667073579"/>
        <rFont val="Calibri"/>
        <family val="2"/>
        <scheme val="minor"/>
      </rPr>
      <t xml:space="preserve"> or . = 888 or . = 999</t>
    </r>
  </si>
  <si>
    <t>${income_main} != '19' and ${income_main} != '20'</t>
  </si>
  <si>
    <t>select_one continue</t>
  </si>
  <si>
    <t>income_main_amount_conf</t>
  </si>
  <si>
    <t>Can you confirm the amount of income you just stated is correct?</t>
  </si>
  <si>
    <t>¿Podría confirmar que la cantidad de ingresos que acaba de indicar es correcta?</t>
  </si>
  <si>
    <r>
      <t xml:space="preserve">[INSTRUCTIONS: IF THE RESPONDENT CONFIRMS THAT THE INCOME AMOUNT EARNED FROM THIS INCOME SOURCE OVER THE PAST 3 MONTH IS INDEED OVER </t>
    </r>
    <r>
      <rPr>
        <b/>
        <sz val="11"/>
        <color rgb="FF7030A0"/>
        <rFont val="Calibri (Body)"/>
      </rPr>
      <t>#THRESHOLD#</t>
    </r>
    <r>
      <rPr>
        <sz val="11"/>
        <color theme="0" tint="-0.34998626667073579"/>
        <rFont val="Calibri"/>
        <family val="2"/>
        <scheme val="minor"/>
      </rPr>
      <t>, CLICK ON CONTINUE. OTHERWISE, GO BACK AND CHANGE THE AMOUNT ENTERED.]</t>
    </r>
  </si>
  <si>
    <t>[ENCUESTADOR/A: SI LA CANTIDAD GANADA POR ESTA FUENTE DE INGRESOS EN LOS ÚLTIMOS 3 MESES ESTÁ POR ENCIMA DE #THRESHOLD# ,HAGA CLICK EN CONTINUAR. DE LO CONTRARIO, REGRESE Y CAMBIE LA CANTIDAD INGRESADA.]</t>
  </si>
  <si>
    <r>
      <t xml:space="preserve">${income_main_amount} &gt;= </t>
    </r>
    <r>
      <rPr>
        <b/>
        <sz val="11"/>
        <color rgb="FF7030A0"/>
        <rFont val="Calibri"/>
        <family val="2"/>
        <scheme val="minor"/>
      </rPr>
      <t>#THRESHOLD#</t>
    </r>
    <r>
      <rPr>
        <sz val="11"/>
        <color theme="0" tint="-0.34998626667073579"/>
        <rFont val="Calibri"/>
        <family val="2"/>
        <scheme val="minor"/>
      </rPr>
      <t xml:space="preserve"> and (${income_main} != '19' and ${income_main} != '20') </t>
    </r>
  </si>
  <si>
    <t>select_one gender_inc_1</t>
  </si>
  <si>
    <t>income_main_gender</t>
  </si>
  <si>
    <t xml:space="preserve">What is the gender of the household member(s) generating income from this source? </t>
  </si>
  <si>
    <r>
      <t>¿Cuál es el género del miembro</t>
    </r>
    <r>
      <rPr>
        <sz val="11"/>
        <rFont val="Calibri (Cuerpo)"/>
      </rPr>
      <t>[s]</t>
    </r>
    <r>
      <rPr>
        <sz val="11"/>
        <rFont val="Calibri"/>
        <family val="2"/>
        <scheme val="minor"/>
      </rPr>
      <t xml:space="preserve"> del hogar que genera[n] el ingreso de esta fuente?</t>
    </r>
  </si>
  <si>
    <t>select_one gender_inc_2</t>
  </si>
  <si>
    <t>income_main_control</t>
  </si>
  <si>
    <t xml:space="preserve">Who controls the revenue that is earned from this source? </t>
  </si>
  <si>
    <t>¿Quién maneja los ingresos que se obtienen de esta fuente?</t>
  </si>
  <si>
    <t>select_one change</t>
  </si>
  <si>
    <t>income_main_comp</t>
  </si>
  <si>
    <r>
      <t xml:space="preserve">Has your household's income from ${incomemain} changed in the last 3 months compared to the same period of </t>
    </r>
    <r>
      <rPr>
        <b/>
        <sz val="11"/>
        <color rgb="FF7030A0"/>
        <rFont val="Calibri (Body)"/>
      </rPr>
      <t>#reference year#</t>
    </r>
    <r>
      <rPr>
        <sz val="11"/>
        <rFont val="Calibri (Body)"/>
      </rPr>
      <t>?</t>
    </r>
  </si>
  <si>
    <r>
      <t>En los últimos 3 meses, ¿han cambiado los ingresos del hogar provenientes de la $</t>
    </r>
    <r>
      <rPr>
        <sz val="11"/>
        <rFont val="Calibri (Cuerpo)"/>
      </rPr>
      <t>{incomemain}</t>
    </r>
    <r>
      <rPr>
        <sz val="11"/>
        <color rgb="FFFF0000"/>
        <rFont val="Calibri (Cuerpo)"/>
      </rPr>
      <t xml:space="preserve"> </t>
    </r>
    <r>
      <rPr>
        <sz val="11"/>
        <rFont val="Calibri"/>
        <family val="2"/>
        <scheme val="minor"/>
      </rPr>
      <t xml:space="preserve">comparado con el mismo periodo en </t>
    </r>
    <r>
      <rPr>
        <b/>
        <sz val="11"/>
        <color rgb="FF7030A0"/>
        <rFont val="Calibri (Body)"/>
      </rPr>
      <t>#</t>
    </r>
    <r>
      <rPr>
        <b/>
        <sz val="11"/>
        <color rgb="FF7030A0"/>
        <rFont val="Calibri (Cuerpo)"/>
      </rPr>
      <t>reference year ES#</t>
    </r>
    <r>
      <rPr>
        <sz val="11"/>
        <rFont val="Calibri (Cuerpo)"/>
      </rPr>
      <t>?</t>
    </r>
  </si>
  <si>
    <t>select_one incomesource2</t>
  </si>
  <si>
    <t>income_sec</t>
  </si>
  <si>
    <t>What was your household's second most important source of income in the past 3 months?</t>
  </si>
  <si>
    <t>¿Cuál fue la segunda fuente de ingresos de su hogar en los últimos 3 meses?</t>
  </si>
  <si>
    <t>[INSTRUCTIONS: DON'T KNOW AND REFUSED OPTIONS SHOULD BE AVOIDED AS MUCH AS POSSIBLE.]</t>
  </si>
  <si>
    <t>LAS OPCIONES “NO SABE” Y “NO RESPONDE” DEBEN EVITARSE EN LA MEDIDA DE LO POSIBLE.</t>
  </si>
  <si>
    <t>not(selected(${income_main}, name))</t>
  </si>
  <si>
    <t>incomesec</t>
  </si>
  <si>
    <t>jr:choice-name(${income_sec},'${income_sec}')</t>
  </si>
  <si>
    <t>income_sec_crop_check</t>
  </si>
  <si>
    <t xml:space="preserve">${income_sec} = '1' or ${income_sec} = '2' or ${income_sec} = '3' </t>
  </si>
  <si>
    <t>income_sec_ls_check</t>
  </si>
  <si>
    <t>Are the livestock or livestock products sold also produced by you or anyone in your household?</t>
  </si>
  <si>
    <t>${income_sec} = '4'</t>
  </si>
  <si>
    <t>income_sec_fish_check</t>
  </si>
  <si>
    <t>${income_sec} = '6'</t>
  </si>
  <si>
    <t>income_sec_amount</t>
  </si>
  <si>
    <r>
      <t xml:space="preserve">How much was earned (in </t>
    </r>
    <r>
      <rPr>
        <b/>
        <sz val="11"/>
        <color rgb="FF7030A0"/>
        <rFont val="Calibri"/>
        <family val="2"/>
        <scheme val="minor"/>
      </rPr>
      <t>#currency#</t>
    </r>
    <r>
      <rPr>
        <sz val="11"/>
        <color theme="0" tint="-0.34998626667073579"/>
        <rFont val="Calibri"/>
        <family val="2"/>
        <scheme val="minor"/>
      </rPr>
      <t>) from your second main income source, ${incomesec}, in the past 3 months ?</t>
    </r>
  </si>
  <si>
    <r>
      <t xml:space="preserve">¿Cuánto ganó (en </t>
    </r>
    <r>
      <rPr>
        <b/>
        <sz val="11"/>
        <color rgb="FF7030A0"/>
        <rFont val="Calibri (Body)"/>
      </rPr>
      <t>#</t>
    </r>
    <r>
      <rPr>
        <b/>
        <sz val="11"/>
        <color rgb="FF7030A0"/>
        <rFont val="Calibri (Cuerpo)"/>
      </rPr>
      <t>currency#</t>
    </r>
    <r>
      <rPr>
        <b/>
        <sz val="11"/>
        <color theme="0" tint="-0.34998626667073579"/>
        <rFont val="Calibri (Cuerpo)"/>
      </rPr>
      <t>)</t>
    </r>
    <r>
      <rPr>
        <sz val="11"/>
        <color theme="0" tint="-0.34998626667073579"/>
        <rFont val="Calibri"/>
        <family val="2"/>
        <scheme val="minor"/>
      </rPr>
      <t xml:space="preserve"> por la segunda fuente de ingresos, ${incomesec}, en los últimos 3 meses?</t>
    </r>
  </si>
  <si>
    <t xml:space="preserve">${income_main} != '19' and ${income_main} != '20' and ${income_sec} != '19' and ${income_sec} != '20' and ${income_sec} != '21' </t>
  </si>
  <si>
    <t>income_sec_amount_conf</t>
  </si>
  <si>
    <t>[INSTRUCTIONS: IF THE RESPONDENT CONFIRMS THAT THE INCOME AMOUNT EARNED FROM THIS INCOME SOURCE OVER THE PAST 3 MONTH IS INDEED OVER #THRESHOLD#, CLICK ON CONTINUE. OTHERWISE, GO BACK AND CHANGE THE AMOUNT ENTERED.]</t>
  </si>
  <si>
    <r>
      <t xml:space="preserve">${income_sec_amount} &gt;= </t>
    </r>
    <r>
      <rPr>
        <b/>
        <sz val="11"/>
        <color rgb="FF7030A0"/>
        <rFont val="Calibri"/>
        <family val="2"/>
        <scheme val="minor"/>
      </rPr>
      <t>#THRESHOLD#</t>
    </r>
    <r>
      <rPr>
        <sz val="11"/>
        <color theme="0" tint="-0.34998626667073579"/>
        <rFont val="Calibri"/>
        <family val="2"/>
        <scheme val="minor"/>
      </rPr>
      <t xml:space="preserve"> and (${income_main} != '19' and ${income_main} != '20' and ${income_sec} != '19' and ${income_sec} != '20' and ${income_sec} != '21')</t>
    </r>
  </si>
  <si>
    <t>income_sec_gender</t>
  </si>
  <si>
    <t>¿Cuál es el género del miembro[s] del hogar que genera[n] el ingreso de esta fuente?</t>
  </si>
  <si>
    <t>income_sec_control</t>
  </si>
  <si>
    <t>income_sec_comp</t>
  </si>
  <si>
    <r>
      <t xml:space="preserve">Has your household's income from ${incomesec} changed in the last 3 months compared to the same period of </t>
    </r>
    <r>
      <rPr>
        <b/>
        <sz val="11"/>
        <color rgb="FF7030A0"/>
        <rFont val="Calibri (Body)"/>
      </rPr>
      <t>#reference year#</t>
    </r>
    <r>
      <rPr>
        <sz val="11"/>
        <rFont val="Calibri"/>
        <family val="2"/>
        <scheme val="minor"/>
      </rPr>
      <t>?</t>
    </r>
  </si>
  <si>
    <r>
      <t xml:space="preserve">En los últimos 3 meses, ¿han cambiado los ingresos del hogar provenientes de la ${incomesec} comparado con el mismo periodo en </t>
    </r>
    <r>
      <rPr>
        <b/>
        <sz val="11"/>
        <color rgb="FF7030A0"/>
        <rFont val="Calibri (Body)"/>
      </rPr>
      <t>#</t>
    </r>
    <r>
      <rPr>
        <b/>
        <sz val="11"/>
        <color rgb="FF7030A0"/>
        <rFont val="Calibri (Cuerpo)"/>
      </rPr>
      <t>reference year ES#</t>
    </r>
    <r>
      <rPr>
        <sz val="11"/>
        <rFont val="Calibri"/>
        <family val="2"/>
        <scheme val="minor"/>
      </rPr>
      <t>?</t>
    </r>
  </si>
  <si>
    <t>select_one incomesource3</t>
  </si>
  <si>
    <t>income_third</t>
  </si>
  <si>
    <t>What was your household's third most important source of income in the past 3 months?</t>
  </si>
  <si>
    <t>¿Cuál fue la tercera fuente de ingresos de su hogar en los últimos 3 meses?</t>
  </si>
  <si>
    <t>[OPERADOR: LAS OPCIONES "NO SABE" Y "NO RESPONDE" DEBEN EVITARSE EN LA MEDIDA DE LO POSIBLE.]</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</si>
  <si>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</si>
  <si>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</si>
  <si>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</si>
  <si>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</si>
  <si>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</si>
  <si>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</si>
  <si>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</si>
  <si>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</si>
  <si>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</si>
  <si>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</si>
  <si>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r>
      <t xml:space="preserve">How much was earned (in </t>
    </r>
    <r>
      <rPr>
        <b/>
        <sz val="11"/>
        <color rgb="FF7030A0"/>
        <rFont val="Calibri"/>
        <family val="2"/>
        <scheme val="minor"/>
      </rPr>
      <t>#currency#</t>
    </r>
    <r>
      <rPr>
        <sz val="11"/>
        <color theme="0" tint="-0.34998626667073579"/>
        <rFont val="Calibri"/>
        <family val="2"/>
        <scheme val="minor"/>
      </rPr>
      <t>) from your third main income source, ${incomethird}, in the past 3 months ?</t>
    </r>
  </si>
  <si>
    <r>
      <t xml:space="preserve">¿Cuánto ganó (en </t>
    </r>
    <r>
      <rPr>
        <b/>
        <sz val="11"/>
        <color rgb="FF7030A0"/>
        <rFont val="Calibri (Body)"/>
      </rPr>
      <t>#</t>
    </r>
    <r>
      <rPr>
        <b/>
        <sz val="11"/>
        <color rgb="FF7030A0"/>
        <rFont val="Calibri (Cuerpo)"/>
      </rPr>
      <t>currency#</t>
    </r>
    <r>
      <rPr>
        <b/>
        <sz val="11"/>
        <color theme="0" tint="-0.34998626667073579"/>
        <rFont val="Calibri (Cuerpo)"/>
      </rPr>
      <t>)</t>
    </r>
    <r>
      <rPr>
        <sz val="11"/>
        <color theme="0" tint="-0.34998626667073579"/>
        <rFont val="Calibri"/>
        <family val="2"/>
        <scheme val="minor"/>
      </rPr>
      <t xml:space="preserve"> por la tercera fuente de ingresos, ${incomethird}, en los últimos 3 meses?</t>
    </r>
  </si>
  <si>
    <t xml:space="preserve">${income_main} != '19' and ${income_main} != '20' and ${income_sec} != '19' and ${income_sec} != '20' and ${income_sec} != '21' and ${income_third} != '19' and ${income_third} != '20' and ${income_third} != '21' </t>
  </si>
  <si>
    <t>income_third_amount_conf</t>
  </si>
  <si>
    <r>
      <t xml:space="preserve">${income_third_amount} &gt;= </t>
    </r>
    <r>
      <rPr>
        <b/>
        <sz val="11"/>
        <color rgb="FF7030A0"/>
        <rFont val="Calibri"/>
        <family val="2"/>
        <scheme val="minor"/>
      </rPr>
      <t>#THRESHOLD#</t>
    </r>
    <r>
      <rPr>
        <sz val="11"/>
        <color rgb="FFA6A6A6"/>
        <rFont val="Calibri"/>
        <family val="2"/>
        <scheme val="minor"/>
      </rPr>
      <t xml:space="preserve"> and (${income_main} != '19' and ${income_main} != '20' and ${income_sec} != '19' and ${income_sec} != '20' and ${income_sec} != '21' and ${income_third} != '19' and ${income_third} != '20' and ${income_third} != '21' )</t>
    </r>
  </si>
  <si>
    <t>income_third_gender</t>
  </si>
  <si>
    <t>income_third_control</t>
  </si>
  <si>
    <t>income_third_comp</t>
  </si>
  <si>
    <r>
      <t xml:space="preserve">Has your household's income from ${incomethird} changed in the last 3 months compared to the same period of </t>
    </r>
    <r>
      <rPr>
        <b/>
        <sz val="11"/>
        <color rgb="FF7030A0"/>
        <rFont val="Calibri (Body)"/>
      </rPr>
      <t>#reference year#</t>
    </r>
    <r>
      <rPr>
        <sz val="11"/>
        <rFont val="Calibri"/>
        <family val="2"/>
        <scheme val="minor"/>
      </rPr>
      <t>?</t>
    </r>
  </si>
  <si>
    <r>
      <t xml:space="preserve">En los últimos 3 meses, ¿han cambiado los ingresos del hogar provenientes de la ${incomethird} comparado con el mismo periodo en </t>
    </r>
    <r>
      <rPr>
        <b/>
        <sz val="11"/>
        <color rgb="FF7030A0"/>
        <rFont val="Calibri (Body)"/>
      </rPr>
      <t>#</t>
    </r>
    <r>
      <rPr>
        <b/>
        <sz val="11"/>
        <color rgb="FF7030A0"/>
        <rFont val="Calibri (Cuerpo)"/>
      </rPr>
      <t>reference year ES#</t>
    </r>
    <r>
      <rPr>
        <sz val="11"/>
        <rFont val="Calibri"/>
        <family val="2"/>
        <scheme val="minor"/>
      </rPr>
      <t>?</t>
    </r>
  </si>
  <si>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</si>
  <si>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</si>
  <si>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</si>
  <si>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¿Su hogar ha afrontado algún desastre o crisis particular que haya afectado a su hogar o comunidad, disminuyendo la capacidad para generar ingreso y/o producir alimentos para el autoconsumo en los últimos 3 meses?</t>
  </si>
  <si>
    <t>[INSTRUCTIONS: SELECT RELEVANT SHOCKS EXPERIENCED BY THE HOUSEHOLD. MULTIPLE RESPONSES POSSIBLE. REFER TO ECONOMIC SHOCKS, CROP AND LIVESTOCK SHOCKS, INTRA-HOUSEHOLD SHOCK, NATURAL HAZARDS AND HUMAN-INDUCED HAZARDS.]</t>
  </si>
  <si>
    <t>[ENCUESTADOR/A: SELECCIONE LAS CRISIS EXPERIMENTADAS POR EL HOGAR. ES POSIBLE SELECCIONAR MÚLTIPLES RESPUESTAS.CONSULTE CRISIS ECONÓMICAS, CRISIS EN CULTIVOS Y GANADERÍA, CRISIS INTRAFAMILIARES, PELIGROS NATURALES Y PELIGROS INDUCIDOS POR EL HOMBRE.]</t>
  </si>
  <si>
    <t>if(selected(.,'noshock') or selected(.,'dk') or selected(.,'ref'), count-selected(.) = 1, count-selected(.) &gt;= 1)</t>
  </si>
  <si>
    <t>hh_explanation</t>
  </si>
  <si>
    <r>
      <t xml:space="preserve">If the household was affected by a major recent shock </t>
    </r>
    <r>
      <rPr>
        <sz val="11"/>
        <color theme="0" tint="-0.34998626667073579"/>
        <rFont val="Calibri (Body)"/>
      </rPr>
      <t>as indicated in</t>
    </r>
    <r>
      <rPr>
        <sz val="11"/>
        <color theme="0" tint="-0.34998626667073579"/>
        <rFont val="Calibri"/>
        <family val="2"/>
        <scheme val="minor"/>
      </rPr>
      <t xml:space="preserve"> this assessment </t>
    </r>
    <r>
      <rPr>
        <sz val="11"/>
        <color theme="0" tint="-0.34998626667073579"/>
        <rFont val="Calibri (Body)"/>
      </rPr>
      <t>[</t>
    </r>
    <r>
      <rPr>
        <sz val="11"/>
        <color theme="0" tint="-0.34998626667073579"/>
        <rFont val="Calibri"/>
        <family val="2"/>
        <scheme val="minor"/>
      </rPr>
      <t>for example, an earthquake</t>
    </r>
    <r>
      <rPr>
        <sz val="11"/>
        <color theme="0" tint="-0.34998626667073579"/>
        <rFont val="Calibri (Body)"/>
      </rPr>
      <t>]</t>
    </r>
    <r>
      <rPr>
        <sz val="11"/>
        <color theme="0" tint="-0.34998626667073579"/>
        <rFont val="Calibri"/>
        <family val="2"/>
        <scheme val="minor"/>
      </rPr>
      <t>, what</t>
    </r>
    <r>
      <rPr>
        <sz val="11"/>
        <color theme="0" tint="-0.34998626667073579"/>
        <rFont val="Calibri (Body)"/>
      </rPr>
      <t xml:space="preserve"> </t>
    </r>
    <r>
      <rPr>
        <sz val="11"/>
        <color theme="0" tint="-0.34998626667073579"/>
        <rFont val="Calibri"/>
        <family val="2"/>
        <scheme val="minor"/>
      </rPr>
      <t xml:space="preserve">are the </t>
    </r>
    <r>
      <rPr>
        <sz val="11"/>
        <color theme="0" tint="-0.34998626667073579"/>
        <rFont val="Calibri (Body)"/>
      </rPr>
      <t>[expected]</t>
    </r>
    <r>
      <rPr>
        <sz val="11"/>
        <color theme="0" tint="-0.34998626667073579"/>
        <rFont val="Calibri"/>
        <family val="2"/>
        <scheme val="minor"/>
      </rPr>
      <t xml:space="preserve"> consequences for your household, in your own words?</t>
    </r>
  </si>
  <si>
    <r>
      <t>Si el hogar se vio afectado recientemente por un impacto importante objeto de esta evaluación [</t>
    </r>
    <r>
      <rPr>
        <sz val="11"/>
        <color theme="0" tint="-0.34998626667073579"/>
        <rFont val="Calibri (Cuerpo)"/>
      </rPr>
      <t>por ejemplo, un terremoto</t>
    </r>
    <r>
      <rPr>
        <sz val="11"/>
        <color theme="0" tint="-0.34998626667073579"/>
        <rFont val="Calibri"/>
        <family val="2"/>
        <scheme val="minor"/>
      </rPr>
      <t>], con sus propias palabras, ¿Cuáles cree que son las consecuencias [esperadas] para su hogar?</t>
    </r>
  </si>
  <si>
    <t>[INSTRUCTIONS: RECORD IN FEW WORDS THE MAIN CONSEQUENCE OF THE RECENT SHOCKS. ENTER 888 FOR DON'T KNOW AND 999 FOR REFUSED.]</t>
  </si>
  <si>
    <t>[ENCUESTADOR/A: REGISTRE EN POCAS PALABRAS LA PRINCIPAL CONSECUENCIA DE LOS CHOQUES RECIENTES. ESCRIBA 888 PARA "NO SABE" Y 999 PARA "NO RESPONDE".]</t>
  </si>
  <si>
    <t>${shock} != 'noshock' and ${shock} != 'dk' and ${shock} != 'ref'</t>
  </si>
  <si>
    <t>select_multiple covidmeasures</t>
  </si>
  <si>
    <t>covid</t>
  </si>
  <si>
    <t>Have you or anyone in your household been affected by movement restrictions or social distancing measures aimed at containing COVID-19 in the last 3 months?</t>
  </si>
  <si>
    <t>¿Usted o alguien en su hogar se ha visto afectado por restricciones de movimiento o medidas de distanciamiento social destinadas a contener el COVID-19 en los últimos 3 meses?</t>
  </si>
  <si>
    <t>[INSTRUCTIONS: MULTIPLE RESPONSES POSSIBLE.]</t>
  </si>
  <si>
    <t>covid_otherspecify</t>
  </si>
  <si>
    <t>If other, specify.</t>
  </si>
  <si>
    <t xml:space="preserve">Si otros, especifique. </t>
  </si>
  <si>
    <t>[INSTRUCTIONS: RECORD THE OPEN RESPONSE GIVEN IN FEW WORDS. ENTER 888 FOR DON'T KNOW AND 999 FOR REFUSED]</t>
  </si>
  <si>
    <t>selected(${covid}, 'other')</t>
  </si>
  <si>
    <t>CropProduction_group</t>
  </si>
  <si>
    <t>CROP PRODUCTION</t>
  </si>
  <si>
    <t>PRODUCCIÓN DE CULTIVOS</t>
  </si>
  <si>
    <t>${resp_agree} = '1' and (${hh_agricactivity}='1' or ${hh_agricactivity} = '3' or ${income_main_crop_check}='1' or ${income_sec_crop_check}='1' or ${income_third_crop_check}='1')</t>
  </si>
  <si>
    <t>crp_intro</t>
  </si>
  <si>
    <r>
      <t xml:space="preserve">We will now ask you some questions about crop production which apply to you and anyone in your household that is involved in crop production or sales. All questions refer to the crops grown during </t>
    </r>
    <r>
      <rPr>
        <b/>
        <sz val="11"/>
        <color rgb="FF7030A0"/>
        <rFont val="Calibri"/>
        <family val="2"/>
        <scheme val="minor"/>
      </rPr>
      <t>#season#</t>
    </r>
    <r>
      <rPr>
        <sz val="11"/>
        <color theme="1"/>
        <rFont val="Calibri"/>
        <family val="2"/>
        <scheme val="minor"/>
      </rPr>
      <t>.</t>
    </r>
  </si>
  <si>
    <r>
      <t xml:space="preserve">Ahora me gustaría preguntarle sobre la producción de cultivos. Estas preguntas aplican para usted o cualquier miembro de su hogar que esté involucrado/a en la producción de cultivos. Todas las preguntas se refieren a lo producido durante </t>
    </r>
    <r>
      <rPr>
        <b/>
        <sz val="11"/>
        <color rgb="FF7030A0"/>
        <rFont val="Calibri"/>
        <family val="2"/>
        <scheme val="minor"/>
      </rPr>
      <t>#</t>
    </r>
    <r>
      <rPr>
        <b/>
        <sz val="11"/>
        <color rgb="FF7030A0"/>
        <rFont val="Calibri (Cuerpo)"/>
      </rPr>
      <t>season ES#</t>
    </r>
    <r>
      <rPr>
        <sz val="11"/>
        <rFont val="Calibri (Cuerpo)"/>
      </rPr>
      <t>.</t>
    </r>
  </si>
  <si>
    <t>crp_landsize_num</t>
  </si>
  <si>
    <t>What is the total size of the land you can cultivate?</t>
  </si>
  <si>
    <t>¿Cuál es el tamaño total de terreno que puede cultivar?</t>
  </si>
  <si>
    <t>[INSTRUCTIONS: RECORD THE TOTAL LAND SIZE PROVIDED BY THE RESPONDENT. WRITE 888 FOR DON'T KNOW AND 999 FOR REFUSED. MEASUREMENT UNIT WILL BE SPECIFIED IN THE FOLLOWING QUESTION.]</t>
  </si>
  <si>
    <t>[ENCUESTADOR/A: ESCRIBA EL ÁREA TOTAL QUE LE DICE EL ENCUESTADO. ESCRIBA 888 PARA "NO SABE" Y 999 PARA "NO RESPONDE". LA UNIDAD DE MEDIDA SE ESPECIFICARÁ EN LA SIGUIENTE PREGUNTA.]</t>
  </si>
  <si>
    <t>. &gt;= 0</t>
  </si>
  <si>
    <t>select_one landsize_unit</t>
  </si>
  <si>
    <t>crp_landsize_unit</t>
  </si>
  <si>
    <t xml:space="preserve">Unit of measurement for land size: </t>
  </si>
  <si>
    <t>Unidad de medida para el terreno cultivado:</t>
  </si>
  <si>
    <t>[INSTRUCTIONS: DO NOT READ QUESTION. SELECT UNIT OF MEASUREMENT IN WHICH LAND SIZE WAS PROVIDED.]</t>
  </si>
  <si>
    <t>[ENCUESTADOR/A: NO LEA LAS OPCIONES.]</t>
  </si>
  <si>
    <t>${crp_landsize_num} != 888 and ${crp_landsize_num} != 999</t>
  </si>
  <si>
    <t>select_one crop</t>
  </si>
  <si>
    <t>crp_main</t>
  </si>
  <si>
    <r>
      <t>What is the main crop that your household grows for food or income generation in</t>
    </r>
    <r>
      <rPr>
        <b/>
        <sz val="11"/>
        <color rgb="FF7030A0"/>
        <rFont val="Calibri"/>
        <family val="2"/>
        <scheme val="minor"/>
      </rPr>
      <t xml:space="preserve"> #season#</t>
    </r>
    <r>
      <rPr>
        <sz val="11"/>
        <color theme="1"/>
        <rFont val="Calibri"/>
        <family val="2"/>
        <scheme val="minor"/>
      </rPr>
      <t>, if any?</t>
    </r>
  </si>
  <si>
    <r>
      <t xml:space="preserve">De haber alguno, ¿cuál es el principal cultivo que su hogar produce para la alimentación o la generación de ingresos en </t>
    </r>
    <r>
      <rPr>
        <b/>
        <sz val="11"/>
        <color rgb="FF7030A0"/>
        <rFont val="Calibri"/>
        <family val="2"/>
        <scheme val="minor"/>
      </rPr>
      <t>#</t>
    </r>
    <r>
      <rPr>
        <b/>
        <sz val="11"/>
        <color rgb="FF7030A0"/>
        <rFont val="Calibri (Cuerpo)"/>
      </rPr>
      <t>season ES#</t>
    </r>
    <r>
      <rPr>
        <sz val="11"/>
        <rFont val="Calibri"/>
        <family val="2"/>
        <scheme val="minor"/>
      </rPr>
      <t>?</t>
    </r>
  </si>
  <si>
    <t>[INSTRUCTIONS: "NO CROP PRODUCTION" APPEARS AT THE END OF THE LIST OF OPTIONS.]</t>
  </si>
  <si>
    <t>ENCUESTADOR/A: LA OPCIÓN "NO HAY PRODUCCIÓN DE CULTIVOS" SE ENCUENTRA ENTRE LAS ÚLTIMAS OPCIONES AL FINAL DE LA LISTA.]</t>
  </si>
  <si>
    <t>crpmain</t>
  </si>
  <si>
    <t>jr:choice-name(${crp_main},'${crp_main}')</t>
  </si>
  <si>
    <t>select_one cropcheck</t>
  </si>
  <si>
    <t>crp_main_check</t>
  </si>
  <si>
    <r>
      <t xml:space="preserve">Why did you not produce any crops in </t>
    </r>
    <r>
      <rPr>
        <b/>
        <sz val="11"/>
        <color rgb="FF7030A0"/>
        <rFont val="Calibri"/>
        <family val="2"/>
        <scheme val="minor"/>
      </rPr>
      <t>#season#</t>
    </r>
    <r>
      <rPr>
        <sz val="11"/>
        <rFont val="Calibri"/>
        <family val="2"/>
        <scheme val="minor"/>
      </rPr>
      <t>?</t>
    </r>
  </si>
  <si>
    <r>
      <t xml:space="preserve">¿Por qué no produjo ningún cultivo en </t>
    </r>
    <r>
      <rPr>
        <b/>
        <sz val="11"/>
        <color rgb="FF7030A0"/>
        <rFont val="Calibri"/>
        <family val="2"/>
        <scheme val="minor"/>
      </rPr>
      <t>#</t>
    </r>
    <r>
      <rPr>
        <b/>
        <sz val="11"/>
        <color rgb="FF7030A0"/>
        <rFont val="Calibri (Cuerpo)"/>
      </rPr>
      <t>season ES#</t>
    </r>
  </si>
  <si>
    <t>${crp_main}='777'</t>
  </si>
  <si>
    <t>select_one irrigation</t>
  </si>
  <si>
    <t>crp_irrig_source</t>
  </si>
  <si>
    <t xml:space="preserve">Where do you normally and mainly obtain water for the production of ${crpmain}? </t>
  </si>
  <si>
    <t>Normalmente, ¿Cuál es la fuente principal de donde obtiene el agua para la producción de su ${crpmain}?</t>
  </si>
  <si>
    <t>${crp_main} != '777' and ${crp_main} != '888' and ${crp_main} != '999'</t>
  </si>
  <si>
    <t>crp_irrig_source_otherspecify</t>
  </si>
  <si>
    <t xml:space="preserve">Si otro, especifique. </t>
  </si>
  <si>
    <t>${crp_irrig_source}='6' and (${crp_main} != '777' and ${crp_main} != '888' and ${crp_main} != '999')</t>
  </si>
  <si>
    <t>select_one irrigpump</t>
  </si>
  <si>
    <t>crp_irrig_system</t>
  </si>
  <si>
    <t>Do you [your community] use a pump for your own [the communal] irrigation system?</t>
  </si>
  <si>
    <t>¿Usted [su comunidad] utiliza una bomba de agua para su propio sistema de riego [comunal]?</t>
  </si>
  <si>
    <t>not(${crp_irrig_source}='7' or ${crp_irrig_source}='8') and (${crp_main} != '777' and ${crp_main} != '888' and ${crp_main} != '999')</t>
  </si>
  <si>
    <t>crp_irrig_pay</t>
  </si>
  <si>
    <t xml:space="preserve">Do you have to pay for water rights [e.g. water rights, communal infrastructure maintenance, gas for communal pump, etc.]? </t>
  </si>
  <si>
    <t>¿Usted tiene que pagar por el derecho de uso del agua [ej. Derecho de uso, manteniemiento de infraestructura comunal, gasolina/diesel de la bomba comunal, etc.]?</t>
  </si>
  <si>
    <t xml:space="preserve">select_multiple seedsupply </t>
  </si>
  <si>
    <t>crp_seed</t>
  </si>
  <si>
    <t xml:space="preserve">Who do you normally procure your seeds from? </t>
  </si>
  <si>
    <t>¿De dónde adquiere normalmente las semillas?</t>
  </si>
  <si>
    <t>[ENCUESTADOR/A: ES POSIBLE SELECCIONAR MÚLTIPLES RESPUESTAS.]</t>
  </si>
  <si>
    <t>if(selected(., 'ref') or selected(., 'dk'), count-selected(.) = 1, count-selected(.) &gt;= 1)</t>
  </si>
  <si>
    <t>crp_area_change</t>
  </si>
  <si>
    <r>
      <t>How did the ***</t>
    </r>
    <r>
      <rPr>
        <u/>
        <sz val="11"/>
        <color theme="1"/>
        <rFont val="Calibri"/>
        <family val="2"/>
        <scheme val="minor"/>
      </rPr>
      <t>area planted</t>
    </r>
    <r>
      <rPr>
        <sz val="11"/>
        <color theme="1"/>
        <rFont val="Calibri"/>
        <family val="2"/>
        <scheme val="minor"/>
      </rPr>
      <t xml:space="preserve">*** for ${crpmain} from </t>
    </r>
    <r>
      <rPr>
        <b/>
        <sz val="11"/>
        <color rgb="FF7030A0"/>
        <rFont val="Calibri"/>
        <family val="2"/>
        <scheme val="minor"/>
      </rPr>
      <t xml:space="preserve">#season# </t>
    </r>
    <r>
      <rPr>
        <sz val="11"/>
        <color theme="1"/>
        <rFont val="Calibri"/>
        <family val="2"/>
        <scheme val="minor"/>
      </rPr>
      <t xml:space="preserve">compare to </t>
    </r>
    <r>
      <rPr>
        <b/>
        <sz val="11"/>
        <color rgb="FF7030A0"/>
        <rFont val="Calibri (Body)"/>
      </rPr>
      <t>#reference year#</t>
    </r>
    <r>
      <rPr>
        <sz val="11"/>
        <color theme="1"/>
        <rFont val="Calibri"/>
        <family val="2"/>
        <scheme val="minor"/>
      </rPr>
      <t>?</t>
    </r>
  </si>
  <si>
    <r>
      <t>¿Cómo se compara el ***</t>
    </r>
    <r>
      <rPr>
        <u/>
        <sz val="11"/>
        <rFont val="Calibri"/>
        <family val="2"/>
        <scheme val="minor"/>
      </rPr>
      <t>área sembrada</t>
    </r>
    <r>
      <rPr>
        <sz val="11"/>
        <rFont val="Calibri"/>
        <family val="2"/>
        <scheme val="minor"/>
      </rPr>
      <t>*** de $</t>
    </r>
    <r>
      <rPr>
        <sz val="11"/>
        <rFont val="Calibri (Cuerpo)"/>
      </rPr>
      <t>{crpmain}</t>
    </r>
    <r>
      <rPr>
        <sz val="11"/>
        <rFont val="Calibri"/>
        <family val="2"/>
        <scheme val="minor"/>
      </rPr>
      <t xml:space="preserve"> en </t>
    </r>
    <r>
      <rPr>
        <b/>
        <sz val="11"/>
        <color rgb="FF7030A0"/>
        <rFont val="Calibri"/>
        <family val="2"/>
        <scheme val="minor"/>
      </rPr>
      <t>#</t>
    </r>
    <r>
      <rPr>
        <b/>
        <sz val="11"/>
        <color rgb="FF7030A0"/>
        <rFont val="Calibri (Cuerpo)"/>
      </rPr>
      <t>season ES#</t>
    </r>
    <r>
      <rPr>
        <sz val="11"/>
        <rFont val="Calibri"/>
        <family val="2"/>
        <scheme val="minor"/>
      </rPr>
      <t xml:space="preserve"> con respecto a </t>
    </r>
    <r>
      <rPr>
        <b/>
        <sz val="11"/>
        <color rgb="FF7030A0"/>
        <rFont val="Calibri (Body)"/>
      </rPr>
      <t>#</t>
    </r>
    <r>
      <rPr>
        <b/>
        <sz val="11"/>
        <color rgb="FF7030A0"/>
        <rFont val="Calibri (Cuerpo)"/>
      </rPr>
      <t>reference year ES#</t>
    </r>
    <r>
      <rPr>
        <sz val="11"/>
        <rFont val="Calibri (Cuerpo)"/>
      </rPr>
      <t>?</t>
    </r>
  </si>
  <si>
    <t>crp_harv_change</t>
  </si>
  <si>
    <r>
      <t xml:space="preserve">How does the </t>
    </r>
    <r>
      <rPr>
        <b/>
        <sz val="11"/>
        <color rgb="FF7030A0"/>
        <rFont val="Calibri"/>
        <family val="2"/>
        <scheme val="minor"/>
      </rPr>
      <t>#expected or nothing#</t>
    </r>
    <r>
      <rPr>
        <sz val="11"/>
        <color theme="1"/>
        <rFont val="Calibri"/>
        <family val="2"/>
        <scheme val="minor"/>
      </rPr>
      <t xml:space="preserve"> ***</t>
    </r>
    <r>
      <rPr>
        <u/>
        <sz val="11"/>
        <color theme="1"/>
        <rFont val="Calibri"/>
        <family val="2"/>
        <scheme val="minor"/>
      </rPr>
      <t>harvest</t>
    </r>
    <r>
      <rPr>
        <sz val="11"/>
        <color theme="1"/>
        <rFont val="Calibri"/>
        <family val="2"/>
        <scheme val="minor"/>
      </rPr>
      <t xml:space="preserve">*** of ${crpmain} in the </t>
    </r>
    <r>
      <rPr>
        <b/>
        <sz val="11"/>
        <color rgb="FF7030A0"/>
        <rFont val="Calibri"/>
        <family val="2"/>
        <scheme val="minor"/>
      </rPr>
      <t>#season#</t>
    </r>
    <r>
      <rPr>
        <sz val="11"/>
        <color theme="1"/>
        <rFont val="Calibri"/>
        <family val="2"/>
        <scheme val="minor"/>
      </rPr>
      <t xml:space="preserve"> compare to </t>
    </r>
    <r>
      <rPr>
        <b/>
        <sz val="11"/>
        <color rgb="FF7030A0"/>
        <rFont val="Calibri (Body)"/>
      </rPr>
      <t>#reference year#</t>
    </r>
    <r>
      <rPr>
        <sz val="11"/>
        <color theme="1"/>
        <rFont val="Calibri"/>
        <family val="2"/>
        <scheme val="minor"/>
      </rPr>
      <t xml:space="preserve">? </t>
    </r>
  </si>
  <si>
    <r>
      <t>¿Cómo compara la ***</t>
    </r>
    <r>
      <rPr>
        <b/>
        <u/>
        <sz val="11"/>
        <rFont val="Calibri"/>
        <family val="2"/>
        <scheme val="minor"/>
      </rPr>
      <t>cosecha</t>
    </r>
    <r>
      <rPr>
        <b/>
        <sz val="11"/>
        <rFont val="Calibri"/>
        <family val="2"/>
        <scheme val="minor"/>
      </rPr>
      <t xml:space="preserve">*** </t>
    </r>
    <r>
      <rPr>
        <b/>
        <sz val="11"/>
        <color rgb="FF7030A0"/>
        <rFont val="Calibri (Body)"/>
      </rPr>
      <t>#</t>
    </r>
    <r>
      <rPr>
        <b/>
        <sz val="11"/>
        <color rgb="FF7030A0"/>
        <rFont val="Calibri (Cuerpo)"/>
      </rPr>
      <t>expected or nothing ES#</t>
    </r>
    <r>
      <rPr>
        <b/>
        <sz val="11"/>
        <rFont val="Calibri"/>
        <family val="2"/>
        <scheme val="minor"/>
      </rPr>
      <t xml:space="preserve"> </t>
    </r>
    <r>
      <rPr>
        <sz val="11"/>
        <rFont val="Calibri"/>
        <family val="2"/>
        <scheme val="minor"/>
      </rPr>
      <t>para su $</t>
    </r>
    <r>
      <rPr>
        <sz val="11"/>
        <rFont val="Calibri (Cuerpo)"/>
      </rPr>
      <t>{crpmain}</t>
    </r>
    <r>
      <rPr>
        <sz val="11"/>
        <rFont val="Calibri"/>
        <family val="2"/>
        <scheme val="minor"/>
      </rPr>
      <t xml:space="preserve"> en </t>
    </r>
    <r>
      <rPr>
        <b/>
        <sz val="11"/>
        <color rgb="FF7030A0"/>
        <rFont val="Calibri (Body)"/>
      </rPr>
      <t>#</t>
    </r>
    <r>
      <rPr>
        <b/>
        <sz val="11"/>
        <color rgb="FF7030A0"/>
        <rFont val="Calibri (Cuerpo)"/>
      </rPr>
      <t>season ES#</t>
    </r>
    <r>
      <rPr>
        <sz val="11"/>
        <rFont val="Calibri"/>
        <family val="2"/>
        <scheme val="minor"/>
      </rPr>
      <t xml:space="preserve"> comparado con </t>
    </r>
    <r>
      <rPr>
        <b/>
        <sz val="11"/>
        <color rgb="FF7030A0"/>
        <rFont val="Calibri (Body)"/>
      </rPr>
      <t>#</t>
    </r>
    <r>
      <rPr>
        <b/>
        <sz val="11"/>
        <color rgb="FF7030A0"/>
        <rFont val="Calibri (Cuerpo)"/>
      </rPr>
      <t>reference year ES#</t>
    </r>
    <r>
      <rPr>
        <sz val="11"/>
        <rFont val="Calibri (Cuerpo)"/>
      </rPr>
      <t>?</t>
    </r>
  </si>
  <si>
    <t>crp_harv_vol</t>
  </si>
  <si>
    <r>
      <t xml:space="preserve">How much (threshed) ${crpmain} did you harvest this </t>
    </r>
    <r>
      <rPr>
        <b/>
        <sz val="11"/>
        <color rgb="FF7030A0"/>
        <rFont val="Calibri"/>
        <family val="2"/>
        <scheme val="minor"/>
      </rPr>
      <t>#season#</t>
    </r>
    <r>
      <rPr>
        <sz val="11"/>
        <color theme="0" tint="-0.34998626667073579"/>
        <rFont val="Calibri"/>
        <family val="2"/>
        <scheme val="minor"/>
      </rPr>
      <t>?</t>
    </r>
  </si>
  <si>
    <r>
      <t xml:space="preserve">¿Cuánto ${crp_main} (trillado) cosechó en </t>
    </r>
    <r>
      <rPr>
        <b/>
        <sz val="11"/>
        <color rgb="FF7030A0"/>
        <rFont val="Calibri (Body)"/>
      </rPr>
      <t>#</t>
    </r>
    <r>
      <rPr>
        <b/>
        <sz val="11"/>
        <color rgb="FF7030A0"/>
        <rFont val="Calibri (Cuerpo)"/>
      </rPr>
      <t>season ES#</t>
    </r>
  </si>
  <si>
    <t>[INSTRUCTIONS: RECORD THE RESPONSE GIVEN. UNIT OF MEASUREMENT TO BE SPECIFIED IN NEXT QUESTION. ENTER 888 FOR DON'T KNOW &amp; 999 FOR REFUSED, TO BE USED RARELY - PROBE!]</t>
  </si>
  <si>
    <t>[ENCUESTADOR/A: ESCRIBA LA RESPUESTA. SE ESPECIFICA LA UNIDAD DE MEDIDA EN LA SIGUIENTE PREGUNTA. ESCRIBA 888 PARA "NO SABE" Y 999 PARA "NO RESPONDE", ESTAS OPCIONES DEBEN SER UTILIZADAS SOLO EXCEPCIONALMENTE.]</t>
  </si>
  <si>
    <t>select_one harv_unit</t>
  </si>
  <si>
    <t>crp_harv_unit</t>
  </si>
  <si>
    <t>Unit of measurement for harvested ${crpmain}:</t>
  </si>
  <si>
    <t>Unidad de medida para la cosecha de ${crpmain}:</t>
  </si>
  <si>
    <t>${crp_harv_vol} != '888' and ${crp_harv_vol} != '999'</t>
  </si>
  <si>
    <t>crp_harvunit</t>
  </si>
  <si>
    <t>jr:choice-name(${crp_harv_unit},'${crp_harv_unit}')</t>
  </si>
  <si>
    <t>crp_harv_unit_kg</t>
  </si>
  <si>
    <t>How many kilograms [kgs] in each unit?</t>
  </si>
  <si>
    <t>¿Cuántos kilogramos [Kgs] en cada unidad?</t>
  </si>
  <si>
    <t>[INSTRUCTIONS: RECORD THE RESPONSE GIVEN. ENTER 888 FOR DON'T KNOW &amp; 999 FOR REFUSED, TO BE USED RARELY - PROBE!]</t>
  </si>
  <si>
    <t>[ENCUESTADOR/A: ESCRIBA LA RESPUESTA. ESCRIBA 888 PARA "NO SABE" Y 999 PARA "NO RESPONDE", ESTAS OPCIONES DEBEN SER UTILIZADAS SOLO EXCEPCIONALMENTE.]</t>
  </si>
  <si>
    <t>(${crp_harv_vol} != '888' and ${crp_harv_vol} != '999') and (${crp_harv_unit}='5' or ${crp_harv_unit}='6' or ${crp_harv_unit}='7' or ${crp_harv_unit}='8' or ${crp_harv_unit}='9')</t>
  </si>
  <si>
    <t>crp_harv_lastyr</t>
  </si>
  <si>
    <t>How many ${crp_harvunit} of (threshed) ${crpmain} did you harvest last year during the same season?</t>
  </si>
  <si>
    <t>¿Cuántos ${crp_harvunit} de ${crpmain} (trillado) cosechó en #season ES#?</t>
  </si>
  <si>
    <t>${crp_harv_vol} != '888' and ${crp_harv_vol} != '999' and (${crp_main} != '777' and ${crp_main} != '888' and ${crp_main} != '999')</t>
  </si>
  <si>
    <t>crp_proddif</t>
  </si>
  <si>
    <r>
      <t>Has your household faced any significant difficulty ***</t>
    </r>
    <r>
      <rPr>
        <u/>
        <sz val="11"/>
        <color theme="1"/>
        <rFont val="Calibri"/>
        <family val="2"/>
        <scheme val="minor"/>
      </rPr>
      <t>in terms of crop production</t>
    </r>
    <r>
      <rPr>
        <sz val="11"/>
        <color theme="1"/>
        <rFont val="Calibri"/>
        <family val="2"/>
        <scheme val="minor"/>
      </rPr>
      <t xml:space="preserve">*** in </t>
    </r>
    <r>
      <rPr>
        <b/>
        <sz val="11"/>
        <color rgb="FF7030A0"/>
        <rFont val="Calibri"/>
        <family val="2"/>
        <scheme val="minor"/>
      </rPr>
      <t>#season#</t>
    </r>
    <r>
      <rPr>
        <sz val="11"/>
        <color theme="1"/>
        <rFont val="Calibri"/>
        <family val="2"/>
        <scheme val="minor"/>
      </rPr>
      <t>?</t>
    </r>
  </si>
  <si>
    <r>
      <t>¿Ha enfrentado su hogar algún tipo de dificultad con la ***</t>
    </r>
    <r>
      <rPr>
        <u/>
        <sz val="11"/>
        <rFont val="Calibri"/>
        <family val="2"/>
        <scheme val="minor"/>
      </rPr>
      <t>producción de cultivos</t>
    </r>
    <r>
      <rPr>
        <b/>
        <sz val="11"/>
        <rFont val="Calibri"/>
        <family val="2"/>
        <scheme val="minor"/>
      </rPr>
      <t xml:space="preserve">*** </t>
    </r>
    <r>
      <rPr>
        <sz val="11"/>
        <rFont val="Calibri"/>
        <family val="2"/>
        <scheme val="minor"/>
      </rPr>
      <t xml:space="preserve">en </t>
    </r>
    <r>
      <rPr>
        <b/>
        <sz val="11"/>
        <color rgb="FF7030A0"/>
        <rFont val="Calibri (Body)"/>
      </rPr>
      <t>#</t>
    </r>
    <r>
      <rPr>
        <b/>
        <sz val="11"/>
        <color rgb="FF7030A0"/>
        <rFont val="Calibri (Cuerpo)"/>
      </rPr>
      <t>season ES#</t>
    </r>
    <r>
      <rPr>
        <sz val="11"/>
        <rFont val="Calibri"/>
        <family val="2"/>
        <scheme val="minor"/>
      </rPr>
      <t>?</t>
    </r>
    <r>
      <rPr>
        <b/>
        <sz val="11"/>
        <rFont val="Calibri"/>
        <family val="2"/>
        <scheme val="minor"/>
      </rPr>
      <t xml:space="preserve"> </t>
    </r>
  </si>
  <si>
    <t>${crp_main} != '888' and ${crp_main} != '999' and ${crp_main_check} != 1</t>
  </si>
  <si>
    <t>select_multiple cropproddiff</t>
  </si>
  <si>
    <t>crp_proddif_</t>
  </si>
  <si>
    <r>
      <t xml:space="preserve">Which difficulties has your household faced with crop production in </t>
    </r>
    <r>
      <rPr>
        <b/>
        <sz val="11"/>
        <color rgb="FF7030A0"/>
        <rFont val="Calibri"/>
        <family val="2"/>
        <scheme val="minor"/>
      </rPr>
      <t>#season#</t>
    </r>
    <r>
      <rPr>
        <sz val="11"/>
        <color theme="1"/>
        <rFont val="Calibri"/>
        <family val="2"/>
        <scheme val="minor"/>
      </rPr>
      <t>?</t>
    </r>
  </si>
  <si>
    <r>
      <t xml:space="preserve">¿Cuáles dificultades ha enfrentado su hogar con la producción de cultivos en </t>
    </r>
    <r>
      <rPr>
        <b/>
        <sz val="11"/>
        <color rgb="FF7030A0"/>
        <rFont val="Calibri (Body)"/>
      </rPr>
      <t>#</t>
    </r>
    <r>
      <rPr>
        <b/>
        <sz val="11"/>
        <color rgb="FF7030A0"/>
        <rFont val="Calibri (Cuerpo)"/>
      </rPr>
      <t>season ES#?</t>
    </r>
  </si>
  <si>
    <t>[INSTRUCTIONS: MULTIPLE RESPONSES POSSIBLE. SELECT OPTION(S) THAT BEST FIT THE INFORMATION PROVIDED BY THE RESPONDENTS.]</t>
  </si>
  <si>
    <t>[ENCUESTADOR/A: ES POSIBLE SELECCIONAR MÚLTIPLES RESPUESTAS.SELECCIONE LA(S) OPCIÓN(ES) QUE MEJOR SE AJUSTE(N) A LA INFORMACIÓN PROPORCIONADA POR EL ENCUESTADO.]</t>
  </si>
  <si>
    <t>${crp_proddif} = '1' and (${crp_main} != '888' and ${crp_main} != '999' and ${crp_main_check} != 1)</t>
  </si>
  <si>
    <t>select_one storage</t>
  </si>
  <si>
    <t>crp_storage</t>
  </si>
  <si>
    <t>Last year, what proportion of your ${crpmain} stock did you lose [to pests, rotting, mould, etc.] after the harvest?</t>
  </si>
  <si>
    <r>
      <t>El año pasado ¿qué proporción de su ${</t>
    </r>
    <r>
      <rPr>
        <sz val="11"/>
        <color theme="0" tint="-0.34998626667073579"/>
        <rFont val="Calibri (Cuerpo)"/>
      </rPr>
      <t>crpmain</t>
    </r>
    <r>
      <rPr>
        <sz val="11"/>
        <color theme="0" tint="-0.34998626667073579"/>
        <rFont val="Calibri"/>
        <family val="2"/>
        <scheme val="minor"/>
      </rPr>
      <t>} perdió [por plagas, putrefacción, hongos,etc.] después de la cosecha?</t>
    </r>
  </si>
  <si>
    <t>${crp_main} != '888' and ${crp_main} != '999' and ${crp_main} != '777'</t>
  </si>
  <si>
    <t>select_multiple crop2</t>
  </si>
  <si>
    <t>crp_all</t>
  </si>
  <si>
    <t>Do you cultivate any other crops aside from ${crpmain}, and if so which ones?</t>
  </si>
  <si>
    <t>¿Cultiva otros productos además de ${crpmain}? y en caso de hacerlo ¿Cuáles?</t>
  </si>
  <si>
    <t>[INSTRUCTIONS: "No other crops" APPEARS AT THE END OF THE LIST OF OPTIONS. SELECT ALL CROPS LISTED BY THE RESPONDENT.]</t>
  </si>
  <si>
    <t>[ENCUESTADOR/A: "Ningún otro cultivo" APARECE AL FINAL DE LA LISTA DE OPCIONES. SELECCIONE TODOS LOS CULTIVOS LISTADOS.]</t>
  </si>
  <si>
    <t>if(selected(., '888') or selected(., '999') or selected(.,'666'), count-selected(.) = 1, count-selected(.) &gt;= 1)</t>
  </si>
  <si>
    <t>not(selected(${crp_main}, name))</t>
  </si>
  <si>
    <t>CropSales_group</t>
  </si>
  <si>
    <t>CROP MARKETING</t>
  </si>
  <si>
    <t>VENTA DE CULTIVOS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</si>
  <si>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</si>
  <si>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</si>
  <si>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</si>
  <si>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¿Fue ${crpmain} el cultivo que más vendió en los *últimos 3 meses*?</t>
  </si>
  <si>
    <t>${crp_main} != '' and ${crp_main} != '888' and ${crp_main} != '999' and ${crp_main} != '777'</t>
  </si>
  <si>
    <t>select_one crop3</t>
  </si>
  <si>
    <t>crp_sales_main_2</t>
  </si>
  <si>
    <t>What was the main crop that you sold over the *last 3 months*?</t>
  </si>
  <si>
    <t>¿Cuál ha sido el principal producto que ha vendido en los *últimos 3 meses*?</t>
  </si>
  <si>
    <t>${crp_sales_main_1}='2' or ${crp_sales_main_1}=''</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</si>
  <si>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</si>
  <si>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</si>
  <si>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</si>
  <si>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</si>
  <si>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</si>
  <si>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</si>
  <si>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r>
      <t xml:space="preserve">¿Su hogar ha enfrentado alguna dificultad para </t>
    </r>
    <r>
      <rPr>
        <sz val="11"/>
        <rFont val="Calibri"/>
        <family val="2"/>
        <scheme val="minor"/>
      </rPr>
      <t>vender la cosecha ${crp_sales_main} en los últimos tres meses?</t>
    </r>
  </si>
  <si>
    <t>${crp_salesmain}!='888' and ${crp_salesmain}!='999'</t>
  </si>
  <si>
    <t>select_multiple cropsalesdiff</t>
  </si>
  <si>
    <t>crp_saledif</t>
  </si>
  <si>
    <t xml:space="preserve">Which difficulties has your household faced in the last 3 months selling your ${crp_sales_main}? </t>
  </si>
  <si>
    <t>¿Qué dificultades ha enfrentado su hogar para vender la cosecha ${crp_sales_main} en los últimos 3 meses?</t>
  </si>
  <si>
    <t>[ENCUESTADOR/A: ES POSIBLE SELECCIONAR MÚLTIPLES RESPUESTAS. SELECCIONES LA(S) OPCIÓN(ES) QUE MEJOR SE AJUSTE(N) A LA INFORMACIÓN PROPORCIONADA POR EL ENCUESTADO.]</t>
  </si>
  <si>
    <t>if(selected(., 'dk') or selected(., 'ref'), count-selected(.) = 1, count-selected(.) &gt;= 1)</t>
  </si>
  <si>
    <t xml:space="preserve">${crp_salesdif} = '1' </t>
  </si>
  <si>
    <t>crp_salesprice</t>
  </si>
  <si>
    <r>
      <t xml:space="preserve">How does the current price of your household's ${crp_sales_main} compare to the average price in the same period of </t>
    </r>
    <r>
      <rPr>
        <b/>
        <sz val="11"/>
        <color rgb="FF7030A0"/>
        <rFont val="Calibri (Body)"/>
      </rPr>
      <t>#reference year#</t>
    </r>
    <r>
      <rPr>
        <sz val="11"/>
        <rFont val="Calibri"/>
        <family val="2"/>
        <scheme val="minor"/>
      </rPr>
      <t>?</t>
    </r>
  </si>
  <si>
    <r>
      <t xml:space="preserve">¿Cómo compararía el precio actual de la cosecha principal de su hogar ${crp_sales_main} con respecto al precio promedio en </t>
    </r>
    <r>
      <rPr>
        <b/>
        <sz val="11"/>
        <color rgb="FF7030A0"/>
        <rFont val="Calibri (Body)"/>
      </rPr>
      <t>#</t>
    </r>
    <r>
      <rPr>
        <b/>
        <sz val="11"/>
        <color rgb="FF7030A0"/>
        <rFont val="Calibri (Cuerpo)"/>
      </rPr>
      <t>reference year ES#?</t>
    </r>
  </si>
  <si>
    <t>[INSTRUCTIONS: INSIST ON THE MAIN PRODUCT MENTIONED.]</t>
  </si>
  <si>
    <t>[PISTA: INSISTA EN EL PRINCIPAL PRODUCTO MENCIONADO.]</t>
  </si>
  <si>
    <t>Livestock_group</t>
  </si>
  <si>
    <t>LIVESTOCK PRODUCTION</t>
  </si>
  <si>
    <t>PRODUCCIÓN ANIMAL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</si>
  <si>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</si>
  <si>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</si>
  <si>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</si>
  <si>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Ahora me gustaría preguntarle sobre la producción de ganado/animales. Estas preguntas aplican para usted o cualquier miembro de su hogar que esté involucrado/a en la producción o venta de ganado/animales.</t>
  </si>
  <si>
    <t>select_one lsmain</t>
  </si>
  <si>
    <t>ls_main</t>
  </si>
  <si>
    <t>What was the main animal raised by your household for food or income generation in the last 12 months?</t>
  </si>
  <si>
    <t>¿Cuál ha sido la principal especie animal que ha criado su hogar para la alimentación y la generación de ingresos en los últimos 12 meses?</t>
  </si>
  <si>
    <t>[INSTRUCTIONS: ASK ABOUT THE MOST IMPORTANT ANIMAL ONLY.] [HINT: DON'T FORGET TO PROBE ABOUT TRANSHUMANCE - MOVING LIVESTOCK FROM ONE GRAZING GROUND TO ANOTHER.]</t>
  </si>
  <si>
    <t>[ENCUESTADOR/A: RESPUESTA ÚNICA. PREGUNTE POR LA ESPECIE ANIMAL MÁS IMPORTANTE ÚNICAMENTE.][PISTA: NO OLVIDE PREGUNTAR SOBRE LA TRASHUMANCIA, ES DECIR, EL DESPLAZAMIENTO DEL GANADO DE UN TERRENO DONDE PASTAN A OTRO POR UN TIEMPO QUE PUEDE IR DE VARIOS DIAS HASTA VARIOS MESES.]</t>
  </si>
  <si>
    <t>lsmain</t>
  </si>
  <si>
    <t>jr:choice-name(${ls_main},'${ls_main}')</t>
  </si>
  <si>
    <t>ls_num_lastyr</t>
  </si>
  <si>
    <t>How many ${lsmain} did you have at the same time last year?</t>
  </si>
  <si>
    <t>¿Cuántos ${lsmain} tenía en el mismo período del año pasado?</t>
  </si>
  <si>
    <t>[INSTRUCTIONS: RECORD THE NUMBER OF ANIMALS. ENTER 888 FOR DON'T KNOW AND 999 FOR REFUSED.]</t>
  </si>
  <si>
    <t>[ENCUESTADOR/A: REGISTRE EL NÚMERO DE ANIMALES. ESCRIBA 888 PARA "NO SABE" Y 999 PARA "NO RESPONDE".]</t>
  </si>
  <si>
    <t xml:space="preserve">. &gt;= 0 </t>
  </si>
  <si>
    <t>${ls_main} != '10' and ${ls_main} != '11'</t>
  </si>
  <si>
    <t>ls_num_now</t>
  </si>
  <si>
    <t>How many ${lsmain} do you have now?</t>
  </si>
  <si>
    <t>¿Cuántos ${lsmain} tiene ahora?</t>
  </si>
  <si>
    <t>ls_num_diff</t>
  </si>
  <si>
    <t xml:space="preserve">Change in ${lsmain}: </t>
  </si>
  <si>
    <t>Cambio en ${lsmain}:</t>
  </si>
  <si>
    <t>(${ls_main} != '10' and ${ls_main} != '11') and (${ls_num_lastyr} != '888' and ${ls_num_lastyr} != '999' and ${ls_num_now} != '888' and ${ls_num_now} != '999')</t>
  </si>
  <si>
    <t>${ls_num_now} - ${ls_num_lastyr}</t>
  </si>
  <si>
    <t>select_multiple lsnum</t>
  </si>
  <si>
    <t>ls_num</t>
  </si>
  <si>
    <t>Why did the number of livestock change?</t>
  </si>
  <si>
    <t>¿Por qué cambió el número de cabezas de ganado/animales?</t>
  </si>
  <si>
    <t>if(selected(., 'inc_dec_dk') or selected(., 'inc_dec_ref'), count-selected(.) = 1, count-selected(.) &gt;= 1)</t>
  </si>
  <si>
    <t>select_multiple lsfood</t>
  </si>
  <si>
    <t>ls_feed</t>
  </si>
  <si>
    <t xml:space="preserve">Where do you usually access feed for your ${lsmain}? </t>
  </si>
  <si>
    <t>¿En dónde accede a comida para su ${lsmain} habitualmente?</t>
  </si>
  <si>
    <t>ls_proddif</t>
  </si>
  <si>
    <t>Has your household faced any significant difficulty with livestock production over the last 3 months?</t>
  </si>
  <si>
    <t>¿Ha enfretado su hogar alguna dificultad con la producción ganadera / de animales durante los últimos 3 meses?</t>
  </si>
  <si>
    <t>select_multiple lsproddiff</t>
  </si>
  <si>
    <t>ls_proddif_</t>
  </si>
  <si>
    <t>Which difficulties has your household faced with livestock production in the last 3 months?</t>
  </si>
  <si>
    <t>¿Qué dificultades ha enfrentado su hogar con la producción ganadera/ de animales en los últimos 3 meses?</t>
  </si>
  <si>
    <t>${ls_proddif}='1'</t>
  </si>
  <si>
    <t>select_multiple lsmain2</t>
  </si>
  <si>
    <t>ls_all</t>
  </si>
  <si>
    <t>Do you own any other livestock aside from ${lsmain}, and if so which ones?</t>
  </si>
  <si>
    <t>¿Tiene otros animales aparte de ${lsmain}, cuáles?</t>
  </si>
  <si>
    <t>[INSTRUCTIONS: "No other livestock" APPEARS AT THE END OF THE LIST OF OPTIONS. SELECT ALL LIVESTOCK LISTED BY THE RESPONDENT.]</t>
  </si>
  <si>
    <t>[ENCUESTADOR/A: "No tiene otros animales" APARECE AL FINAL DE LA LISTA DE OPCIONES. SELECCIONE TODOS LOS ANIMALES QUE MENCIONA EL ENCUESTADO.]</t>
  </si>
  <si>
    <t>if(selected(., '10') or selected(., '11') or selected(.,'666'), count-selected(.) = 1, count-selected(.) &gt;= 1)</t>
  </si>
  <si>
    <t>not(selected(${ls_main}, name))</t>
  </si>
  <si>
    <t>LivestockSales_group</t>
  </si>
  <si>
    <t xml:space="preserve">LIVESTOCK &amp; LIVESTOCK PRODUCT MARKETING </t>
  </si>
  <si>
    <t>PRODUCCIÓN Y VENTA DE ANIMALES Y PRODUCTOS DE ORIGEN ANIMAL</t>
  </si>
  <si>
    <t>${resp_agree} = '1' and (${income_main}='4' or ${income_sec}='4' or ${income_third}='4')</t>
  </si>
  <si>
    <t>select_one salesmain</t>
  </si>
  <si>
    <t>ls_salesmain</t>
  </si>
  <si>
    <t>What was the main livestock or livestock product sold by the household in the last 3 months?</t>
  </si>
  <si>
    <t>¿Cuál ha sido la principal especie animal que ha vendido su hogar en los últimos 3 meses?</t>
  </si>
  <si>
    <t>lssalesmain</t>
  </si>
  <si>
    <t>jr:choice-name(${ls_salesmain},'${ls_salesmain}')</t>
  </si>
  <si>
    <t>ls_salesdif</t>
  </si>
  <si>
    <t>Has your household faced any significant difficulty in the last 3 months selling your ${lssalesmain}?</t>
  </si>
  <si>
    <t>¿Ha enfretado su hogar alguna dificultad con la comercialización de ${lssalesmain} durante los últimos 3 meses?</t>
  </si>
  <si>
    <t>${ls_salesmain} != '12' and ${ls_salesmain} != '13'</t>
  </si>
  <si>
    <t>select_multiple lssalesdif</t>
  </si>
  <si>
    <t>ls_salesdif_</t>
  </si>
  <si>
    <t>What difficulties has your household faced in the last 3 months selling your ${lssalesmain}?</t>
  </si>
  <si>
    <t>¿Qué dificultades ha enfrentado su hogar para vender ${lssalesmain} en los últimos 3 meses?</t>
  </si>
  <si>
    <t xml:space="preserve">${ls_salesdif} = '1' </t>
  </si>
  <si>
    <t>ls_salesprice</t>
  </si>
  <si>
    <r>
      <t xml:space="preserve">How does the current price of your household's ${lssalesmain} compare to the average price in the same period of </t>
    </r>
    <r>
      <rPr>
        <b/>
        <sz val="11"/>
        <color rgb="FF7030A0"/>
        <rFont val="Calibri (Body)"/>
      </rPr>
      <t>#reference year#</t>
    </r>
    <r>
      <rPr>
        <sz val="11"/>
        <rFont val="Calibri"/>
        <family val="2"/>
        <scheme val="minor"/>
      </rPr>
      <t>?</t>
    </r>
  </si>
  <si>
    <r>
      <t xml:space="preserve">¿Cómo se compara el precio actual del ${lssalesmain} con el precio promedio para la misma época del año en </t>
    </r>
    <r>
      <rPr>
        <b/>
        <sz val="11"/>
        <color rgb="FF7030A0"/>
        <rFont val="Calibri (Body)"/>
      </rPr>
      <t>#</t>
    </r>
    <r>
      <rPr>
        <b/>
        <sz val="11"/>
        <color rgb="FF7030A0"/>
        <rFont val="Calibri (Cuerpo)"/>
      </rPr>
      <t>reference year ES#</t>
    </r>
    <r>
      <rPr>
        <sz val="11"/>
        <rFont val="Calibri"/>
        <family val="2"/>
        <scheme val="minor"/>
      </rPr>
      <t>?</t>
    </r>
  </si>
  <si>
    <t>[ENCUESTADOR/A: INSISTA EN EL PRINCIPAL PRODUCTO MENCIONADO.]</t>
  </si>
  <si>
    <t>Fishing_group</t>
  </si>
  <si>
    <t>FISHING / AQUACULTURE PRODUCTION</t>
  </si>
  <si>
    <t>PESCA / PRODUCCIÓN ACUÍCOLA</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</si>
  <si>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</si>
  <si>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</si>
  <si>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</si>
  <si>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Ahora me gustaría preguntarle sobre la producción pesquera y acuícola, preguntas que aplican para usted y cualquier persona de su hogar que esté involucrada en la captura, producción, cosecha procesamiento o venta de peces.</t>
  </si>
  <si>
    <t>select_multiple fishactivity</t>
  </si>
  <si>
    <t>fish_main</t>
  </si>
  <si>
    <t>What type of fishing activity does your household generally practice?</t>
  </si>
  <si>
    <t>¿Qué tipo de actividad pesquera practica su hogar generalmente?</t>
  </si>
  <si>
    <t>[INSTRUCTIONS: MUTIPLE RESPONSES POSSIBLE.]</t>
  </si>
  <si>
    <t>fish_change</t>
  </si>
  <si>
    <t>How does your fish catch [farmed] in the last 3 months [last harvest] compare to the same period [harvest] last year?</t>
  </si>
  <si>
    <t>¿Cómo se compara la cosecha acuícola (peces, moluscos, crustáceos, etc.) [cultivada] de los últimos 3 meses [o la última cosecha] con respecto al mismo periodo del año pasado?</t>
  </si>
  <si>
    <t>not(${fish_main}='dk' or ${fish_main}='ref')</t>
  </si>
  <si>
    <t>fish_proddif</t>
  </si>
  <si>
    <t>Has your household faced any significant difficulty with fish catch / harvest / farming in the last 3 months?</t>
  </si>
  <si>
    <t>¿Ha enfretado su hogar alguna dificultad considerable con la pesca / cosecha / cultivo acuícola en los últimos 3 meses?</t>
  </si>
  <si>
    <t>select_multiple fishproddiff</t>
  </si>
  <si>
    <t>fish_proddif_</t>
  </si>
  <si>
    <t>Which difficulties has your household faced with fish catch / harvest / farming in the last 3 months?</t>
  </si>
  <si>
    <t>¿Qué dificultados ha enfrentado su hogar con la pesca / cosecha / cultivo acuícola en los últimos 3 meses?</t>
  </si>
  <si>
    <t xml:space="preserve">[ENCUESTADOR/A: ES POSIBLE SELECCIONAR MÚLTIPLES RESPUESTAS. SELECCIONES LA(S) OPCIÓN(ES) QUE MEJOR SE AJUSTE(N) A LA INFORMACIÓN PROPORCIONADA POR EL ENCUESTADO.] </t>
  </si>
  <si>
    <t>${fish_proddif}='1'</t>
  </si>
  <si>
    <t>fish_proddif_otherspecify</t>
  </si>
  <si>
    <t>[ENCUESTADOR/A: ESCRIBA LA RESPUESTA EN POCAS PALABRAS. ESCRIBA 888 PARA "NO SE" Y 999 PARA "NO RESPONDE".]</t>
  </si>
  <si>
    <t>${fish_proddif} = '1' and selected(${fish_proddif_}, 'other')</t>
  </si>
  <si>
    <t>select_multiple fishinput</t>
  </si>
  <si>
    <t>fish_inputdif</t>
  </si>
  <si>
    <t>Which fishing [culture] input material has your household had difficulties accessing in the last 3 months?</t>
  </si>
  <si>
    <t>¿Qué materiales/insumos para la pesca/acuicultura han presentado dificultades de acceso en los últimos 3 meses?</t>
  </si>
  <si>
    <t xml:space="preserve">[ENCUESTADOR/A: ES POSIBLE SELECCIONAR MÚLTIPLES RESPUESTAS.] </t>
  </si>
  <si>
    <t>${fish_proddif} = '1' and selected(${fish_proddif_}, 'input_access')</t>
  </si>
  <si>
    <t>fish_inputdif_otherspecify</t>
  </si>
  <si>
    <t>Si otro, especifique</t>
  </si>
  <si>
    <t>${fish_inputdif} = 'other'</t>
  </si>
  <si>
    <t>FishSales_group</t>
  </si>
  <si>
    <t xml:space="preserve">FISHING / AQUACULTURE MARKETING </t>
  </si>
  <si>
    <t>VENTA DE PRODUCTOS DE LA PESCA Y DE LA ACUICULTURA</t>
  </si>
  <si>
    <t>${resp_agree} = '1' and (${income_main}='6' or ${income_sec}='6' or ${income_third}='6')</t>
  </si>
  <si>
    <t>select_one fishsales</t>
  </si>
  <si>
    <t>fish_salesmain</t>
  </si>
  <si>
    <t>What was the main fish or aquatic product sold by your household in the last 3 months?</t>
  </si>
  <si>
    <t>¿Cuál ha sido el principal producto pesquero o acuícola vendido por su hogar en los últimos 3 meses?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</si>
  <si>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</si>
  <si>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</si>
  <si>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</si>
  <si>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</si>
  <si>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</si>
  <si>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</si>
  <si>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¿Su hogar ha enfrentado algún dificultad significativa con la comercialización / ventas de su ${fishsalesmain} en los últimos 3 meses?</t>
  </si>
  <si>
    <t>${fish_salesmain} != '6' and ${fish_salesmain} != '7'</t>
  </si>
  <si>
    <t>select_multiple fishsalesdif</t>
  </si>
  <si>
    <t>fish_saledif</t>
  </si>
  <si>
    <t>What difficulties has your household faced in the last 3 months selling your ${fishsalesmain}?</t>
  </si>
  <si>
    <t>¿Qué dificultades ha enfrentado su hogar para vender ${fishsalesmain} en los últimos 3 meses?</t>
  </si>
  <si>
    <t xml:space="preserve">[ENCUESTADOR/A: ES POSIBLE SELECCIONAR MÚLTIPLES RESPUESTAS. </t>
  </si>
  <si>
    <t xml:space="preserve">${fish_salesdif} = '1' </t>
  </si>
  <si>
    <t>fish_salesdif_otherspecify</t>
  </si>
  <si>
    <t>selected(${fish_saledif}, 'other')</t>
  </si>
  <si>
    <t>fish_salesprice</t>
  </si>
  <si>
    <r>
      <t xml:space="preserve">How does the current price of your household's ${fishsalesmain} compare to the average price in the same period/harvest of </t>
    </r>
    <r>
      <rPr>
        <b/>
        <sz val="11"/>
        <color rgb="FF7030A0"/>
        <rFont val="Calibri (Body)"/>
      </rPr>
      <t>#reference year#</t>
    </r>
    <r>
      <rPr>
        <sz val="11"/>
        <rFont val="Calibri"/>
        <family val="2"/>
        <scheme val="minor"/>
      </rPr>
      <t xml:space="preserve">? </t>
    </r>
  </si>
  <si>
    <r>
      <t xml:space="preserve">¿Cómo se compara el precio actual de ${fishsalesmain} vendido por su hogar, con respecto con el precio promedio para el mismo periodo/cosecha de </t>
    </r>
    <r>
      <rPr>
        <b/>
        <sz val="11"/>
        <color rgb="FF7030A0"/>
        <rFont val="Calibri (Body)"/>
      </rPr>
      <t>#</t>
    </r>
    <r>
      <rPr>
        <b/>
        <sz val="11"/>
        <color rgb="FF7030A0"/>
        <rFont val="Calibri (Cuerpo)"/>
      </rPr>
      <t>reference year ES#</t>
    </r>
    <r>
      <rPr>
        <sz val="11"/>
        <rFont val="Calibri (Cuerpo)"/>
      </rPr>
      <t>?</t>
    </r>
  </si>
  <si>
    <t>FSI</t>
  </si>
  <si>
    <t>FOOD SECURITY INDICATORS</t>
  </si>
  <si>
    <t>INDICADORES DE SEGURIDAD ALIMENTARIA</t>
  </si>
  <si>
    <t>intro_foodsec</t>
  </si>
  <si>
    <t>Now I would like to ask you some questions about food consumption, food utilization and coping mechanisms. Make sure to refer to the correct time period for each set of questions.</t>
  </si>
  <si>
    <t xml:space="preserve">Ahora me gustaría hacerle algunas preguntas sobre el consumo de alimentos, la utilización de alimentos y los mecanismos de afrontamiento. Asegúrese de utilizar el periodo de referencia correcto para cada grupo de preguntas. </t>
  </si>
  <si>
    <t>grp_fies</t>
  </si>
  <si>
    <t>FIES</t>
  </si>
  <si>
    <t>fies_intro</t>
  </si>
  <si>
    <t xml:space="preserve">The first set of questions refers to experiences faced by your or any of your household members over the past 30 days. </t>
  </si>
  <si>
    <t>El primer conjunto de preguntas se refiere a lo experimentado por usted o los miembros de su hogar durante los últimos 30 días.</t>
  </si>
  <si>
    <t>fies_worried</t>
  </si>
  <si>
    <r>
      <t>During the *last 30 days*, was there a time when you or others in your household were **</t>
    </r>
    <r>
      <rPr>
        <u/>
        <sz val="11"/>
        <color theme="1"/>
        <rFont val="Calibri"/>
        <family val="2"/>
        <scheme val="minor"/>
      </rPr>
      <t>worried about not having enough food to eat</t>
    </r>
    <r>
      <rPr>
        <sz val="11"/>
        <color theme="1"/>
        <rFont val="Calibri"/>
        <family val="2"/>
        <scheme val="minor"/>
      </rPr>
      <t>** because of lack of money or other resources?</t>
    </r>
  </si>
  <si>
    <r>
      <t xml:space="preserve">Durante los *últimos 30 días*, ¿hubo algún momento en el que usted u otros miembros de su hogar </t>
    </r>
    <r>
      <rPr>
        <u/>
        <sz val="11"/>
        <rFont val="Calibri (Cuerpo)"/>
      </rPr>
      <t>han estado preocupados por no tener suficientes alimentos para comer</t>
    </r>
    <r>
      <rPr>
        <sz val="11"/>
        <rFont val="Calibri"/>
        <family val="2"/>
        <scheme val="minor"/>
      </rPr>
      <t xml:space="preserve"> debido a la falta de dinero u otros recursos?</t>
    </r>
  </si>
  <si>
    <t>fies_healthy</t>
  </si>
  <si>
    <r>
      <t>During the *last 30 days*, was there a time when you or others in your household were **</t>
    </r>
    <r>
      <rPr>
        <u/>
        <sz val="11"/>
        <color theme="1"/>
        <rFont val="Calibri"/>
        <family val="2"/>
        <scheme val="minor"/>
      </rPr>
      <t>unable to eat healthy and nutritious food</t>
    </r>
    <r>
      <rPr>
        <sz val="11"/>
        <color theme="1"/>
        <rFont val="Calibri"/>
        <family val="2"/>
        <scheme val="minor"/>
      </rPr>
      <t>** because of lack of money or other resources?</t>
    </r>
  </si>
  <si>
    <r>
      <t>Durante los *últimos 30 días*, ¿hubo algún momento en el que usted u otros miembros de su hogar **</t>
    </r>
    <r>
      <rPr>
        <u/>
        <sz val="11"/>
        <rFont val="Calibri"/>
        <family val="2"/>
        <scheme val="minor"/>
      </rPr>
      <t>no pudieron comer alimentos saludables y nutritivos</t>
    </r>
    <r>
      <rPr>
        <sz val="11"/>
        <rFont val="Calibri"/>
        <family val="2"/>
        <scheme val="minor"/>
      </rPr>
      <t>** debido a la falta de dinero u otros recursos?</t>
    </r>
  </si>
  <si>
    <t>fies_fewfoods</t>
  </si>
  <si>
    <r>
      <t>During the *last 30 days*, was there a time when you or others in your household **</t>
    </r>
    <r>
      <rPr>
        <u/>
        <sz val="11"/>
        <color theme="1"/>
        <rFont val="Calibri"/>
        <family val="2"/>
        <scheme val="minor"/>
      </rPr>
      <t>ate only a few kinds of foods</t>
    </r>
    <r>
      <rPr>
        <sz val="11"/>
        <color theme="1"/>
        <rFont val="Calibri"/>
        <family val="2"/>
        <scheme val="minor"/>
      </rPr>
      <t>** because of lack of money or other resources?</t>
    </r>
  </si>
  <si>
    <r>
      <t>Durante los *últimos 30 días*, ¿hubo algún momento en el que usted u otros miembros de su hogar comieron **</t>
    </r>
    <r>
      <rPr>
        <u/>
        <sz val="11"/>
        <rFont val="Calibri"/>
        <family val="2"/>
        <scheme val="minor"/>
      </rPr>
      <t>solamente unos pocos tipos de alimentos</t>
    </r>
    <r>
      <rPr>
        <sz val="11"/>
        <rFont val="Calibri"/>
        <family val="2"/>
        <scheme val="minor"/>
      </rPr>
      <t>** debido a la falta de dinero u otros recursos?</t>
    </r>
  </si>
  <si>
    <t>fies_skipped</t>
  </si>
  <si>
    <r>
      <t>During the *last 30 days*, was there a time when you or others in your household **</t>
    </r>
    <r>
      <rPr>
        <u/>
        <sz val="11"/>
        <color theme="1"/>
        <rFont val="Calibri"/>
        <family val="2"/>
        <scheme val="minor"/>
      </rPr>
      <t>had to skip a meal</t>
    </r>
    <r>
      <rPr>
        <sz val="11"/>
        <color theme="1"/>
        <rFont val="Calibri"/>
        <family val="2"/>
        <scheme val="minor"/>
      </rPr>
      <t>** because of lack of money or other resources to get food?</t>
    </r>
  </si>
  <si>
    <r>
      <t>Durante los *últimos 30 días*, ¿hubo algún momento en el que usted u otros miembros de su hogar **</t>
    </r>
    <r>
      <rPr>
        <u/>
        <sz val="11"/>
        <rFont val="Calibri"/>
        <family val="2"/>
        <scheme val="minor"/>
      </rPr>
      <t>tuvieron que saltarse una comida</t>
    </r>
    <r>
      <rPr>
        <sz val="11"/>
        <rFont val="Calibri"/>
        <family val="2"/>
        <scheme val="minor"/>
      </rPr>
      <t>** debido a la falta de dinero u otros recursos para conseguir alimentos?</t>
    </r>
  </si>
  <si>
    <t>fies_ateless</t>
  </si>
  <si>
    <r>
      <t>During the *last 30 days*, was there a time when you or others in your household **</t>
    </r>
    <r>
      <rPr>
        <u/>
        <sz val="11"/>
        <color theme="1"/>
        <rFont val="Calibri"/>
        <family val="2"/>
        <scheme val="minor"/>
      </rPr>
      <t>ate less than you thought you should</t>
    </r>
    <r>
      <rPr>
        <sz val="11"/>
        <color theme="1"/>
        <rFont val="Calibri"/>
        <family val="2"/>
        <scheme val="minor"/>
      </rPr>
      <t>** because of lack of money or other resources?</t>
    </r>
  </si>
  <si>
    <r>
      <t>Durante los *últimos 30 días*, ¿hubo algún momento en el que usted u otros miembros de su hogar **</t>
    </r>
    <r>
      <rPr>
        <u/>
        <sz val="11"/>
        <rFont val="Calibri"/>
        <family val="2"/>
        <scheme val="minor"/>
      </rPr>
      <t>comieron menos de lo que pensaban que debían</t>
    </r>
    <r>
      <rPr>
        <sz val="11"/>
        <rFont val="Calibri"/>
        <family val="2"/>
        <scheme val="minor"/>
      </rPr>
      <t>** debido a la falta de dinero u otros recursos?</t>
    </r>
  </si>
  <si>
    <t>fies_ranout</t>
  </si>
  <si>
    <r>
      <t>In the *past 30 days*, was there ever **</t>
    </r>
    <r>
      <rPr>
        <u/>
        <sz val="11"/>
        <color theme="1"/>
        <rFont val="Calibri"/>
        <family val="2"/>
        <scheme val="minor"/>
      </rPr>
      <t>no food to eat of any kind</t>
    </r>
    <r>
      <rPr>
        <sz val="11"/>
        <color theme="1"/>
        <rFont val="Calibri"/>
        <family val="2"/>
        <scheme val="minor"/>
      </rPr>
      <t>** in your house because of lack of resources to get food?</t>
    </r>
  </si>
  <si>
    <r>
      <t>Durante los *últimos 30 días*, ¿hubo algún momento en el que usted u otros miembros de su hogar **</t>
    </r>
    <r>
      <rPr>
        <u/>
        <sz val="11"/>
        <rFont val="Calibri"/>
        <family val="2"/>
        <scheme val="minor"/>
      </rPr>
      <t>se quedaron sin alimentos de ningún tipo</t>
    </r>
    <r>
      <rPr>
        <sz val="11"/>
        <rFont val="Calibri"/>
        <family val="2"/>
        <scheme val="minor"/>
      </rPr>
      <t>** debido a la falta de dinero u otros recursos?</t>
    </r>
  </si>
  <si>
    <t>select_one frequency</t>
  </si>
  <si>
    <t>fies_ranout_hhs</t>
  </si>
  <si>
    <t xml:space="preserve">How often did this happen? </t>
  </si>
  <si>
    <t>¿Cuántas veces ha ocurrido esto?</t>
  </si>
  <si>
    <t>${fies_ranout} = '1'</t>
  </si>
  <si>
    <t>fies_hungry</t>
  </si>
  <si>
    <r>
      <t>In the *past 30 days*, did you or any household member ever **</t>
    </r>
    <r>
      <rPr>
        <u/>
        <sz val="11"/>
        <rFont val="Calibri"/>
        <family val="2"/>
        <scheme val="minor"/>
      </rPr>
      <t>go to sleep at night hungry</t>
    </r>
    <r>
      <rPr>
        <sz val="11"/>
        <rFont val="Calibri"/>
        <family val="2"/>
        <scheme val="minor"/>
      </rPr>
      <t>** because there was not enough food?</t>
    </r>
  </si>
  <si>
    <r>
      <t>Durante los *últimos 30 días*, ¿hubo algún momento en el que usted u otros miembros de su hogar **</t>
    </r>
    <r>
      <rPr>
        <u/>
        <sz val="11"/>
        <rFont val="Calibri"/>
        <family val="2"/>
        <scheme val="minor"/>
      </rPr>
      <t>se fueron a dormir con hambre</t>
    </r>
    <r>
      <rPr>
        <sz val="11"/>
        <rFont val="Calibri"/>
        <family val="2"/>
        <scheme val="minor"/>
      </rPr>
      <t>** debido a la falta de alimentos?</t>
    </r>
  </si>
  <si>
    <t>fies_hungry_hhs</t>
  </si>
  <si>
    <t>${fies_hungry} = '1'</t>
  </si>
  <si>
    <t>fies_whlday</t>
  </si>
  <si>
    <r>
      <t>In the *past 30 days*, did you or any household member ever **</t>
    </r>
    <r>
      <rPr>
        <u/>
        <sz val="11"/>
        <rFont val="Calibri"/>
        <family val="2"/>
        <scheme val="minor"/>
      </rPr>
      <t>go a whole day and night without eating anything at all</t>
    </r>
    <r>
      <rPr>
        <sz val="11"/>
        <rFont val="Calibri"/>
        <family val="2"/>
        <scheme val="minor"/>
      </rPr>
      <t>** because there was not enough food?</t>
    </r>
  </si>
  <si>
    <r>
      <t>Durante los *últimos 30 días*, ¿hubo algún momento en el que usted u otros miembros de su hogar **</t>
    </r>
    <r>
      <rPr>
        <u/>
        <sz val="11"/>
        <rFont val="Calibri"/>
        <family val="2"/>
        <scheme val="minor"/>
      </rPr>
      <t>pasaron todo un día y la noche sin comer</t>
    </r>
    <r>
      <rPr>
        <sz val="11"/>
        <rFont val="Calibri"/>
        <family val="2"/>
        <scheme val="minor"/>
      </rPr>
      <t>** debido a la falta de alimentos?</t>
    </r>
  </si>
  <si>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</si>
  <si>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</si>
  <si>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</si>
  <si>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</si>
  <si>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</si>
  <si>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</si>
  <si>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</si>
  <si>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r>
      <t>Ahora me gustaría hacerle otro grupo de preguntas relacionadas con las estrategias de afrontamiento, que se refiere a los *</t>
    </r>
    <r>
      <rPr>
        <sz val="11"/>
        <color theme="0" tint="-0.34998626667073579"/>
        <rFont val="Calibri (Cuerpo)"/>
      </rPr>
      <t>últimos 30 días*</t>
    </r>
    <r>
      <rPr>
        <sz val="11"/>
        <color theme="0" tint="-0.34998626667073579"/>
        <rFont val="Calibri"/>
        <family val="2"/>
        <scheme val="minor"/>
      </rPr>
      <t xml:space="preserve">. Piense si usted o cualquier persone dentro de su hogar ha recurrido a las estrategias que evitaría a continuación por "falta de dinero o alimento". </t>
    </r>
  </si>
  <si>
    <t>select_one coping</t>
  </si>
  <si>
    <t>cs_stress_hh_assets</t>
  </si>
  <si>
    <t>**Sell household assets/goods** (radio, furniture, television, jewelry etc.)</t>
  </si>
  <si>
    <r>
      <t xml:space="preserve">**Vender </t>
    </r>
    <r>
      <rPr>
        <sz val="11"/>
        <color theme="0" tint="-0.34998626667073579"/>
        <rFont val="Calibri (Cuerpo)"/>
      </rPr>
      <t>bienes / bienes domésticos**</t>
    </r>
    <r>
      <rPr>
        <sz val="11"/>
        <color theme="0" tint="-0.34998626667073579"/>
        <rFont val="Calibri"/>
        <family val="2"/>
        <scheme val="minor"/>
      </rPr>
      <t xml:space="preserve"> (radio, muebles, televisor, joyería, etc.)**</t>
    </r>
  </si>
  <si>
    <t>cs_stress_spent_savings</t>
  </si>
  <si>
    <t>**Spend savings**</t>
  </si>
  <si>
    <t>**Gastar sus ahorros**</t>
  </si>
  <si>
    <t>cs_stress_sold_more_animals</t>
  </si>
  <si>
    <t>**Sell more animals (non-reproductive) than usual**</t>
  </si>
  <si>
    <t>**Vender más animales de lo usual (no reproductivos)**</t>
  </si>
  <si>
    <t>cs_stress_eat_elsewhere</t>
  </si>
  <si>
    <t>**Send household members to eat elsewhere**</t>
  </si>
  <si>
    <r>
      <rPr>
        <sz val="11"/>
        <color theme="0" tint="-0.34998626667073579"/>
        <rFont val="Calibri (Cuerpo)"/>
      </rPr>
      <t>**Enviar miembros del hogar a comer a otro lugar</t>
    </r>
    <r>
      <rPr>
        <sz val="11"/>
        <color theme="0" tint="-0.34998626667073579"/>
        <rFont val="Calibri"/>
        <family val="2"/>
        <scheme val="minor"/>
      </rPr>
      <t>**</t>
    </r>
  </si>
  <si>
    <t>cs_stress_borrowed_or_helped</t>
  </si>
  <si>
    <t>**Borrow food or relied on help from friends or relatives **</t>
  </si>
  <si>
    <t>**Pedir alimentos prestados o contar con la ayuda de un familiar o amigo**</t>
  </si>
  <si>
    <t>cs_stress_credit</t>
  </si>
  <si>
    <t>**Purchase food on credit or borrowed food**</t>
  </si>
  <si>
    <t>**Comprar comida a crédito o adquirir comida prestada**</t>
  </si>
  <si>
    <t>cs_stress_borrowed_money</t>
  </si>
  <si>
    <t>**Borrow money**</t>
  </si>
  <si>
    <t>**Pedir prestado dinero**</t>
  </si>
  <si>
    <t>cs_stress_changed_school</t>
  </si>
  <si>
    <t>**Move children to less expensive schools**</t>
  </si>
  <si>
    <t>**Mover a los niños a una escuela menos costosa**</t>
  </si>
  <si>
    <t>cs_crisis_sold_prod_assets</t>
  </si>
  <si>
    <t>**Sell productive assets or means of transport** (sewing machine, wheelbarrow, bicycle, car, etc.)</t>
  </si>
  <si>
    <r>
      <rPr>
        <sz val="11"/>
        <color theme="0" tint="-0.34998626667073579"/>
        <rFont val="Calibri (Cuerpo)"/>
      </rPr>
      <t>**Vender activos productivos o medios de transporte (</t>
    </r>
    <r>
      <rPr>
        <sz val="11"/>
        <color theme="0" tint="-0.34998626667073579"/>
        <rFont val="Calibri"/>
        <family val="2"/>
        <scheme val="minor"/>
      </rPr>
      <t>máquina de coser, carreta, bicicleta, automovil, etc)**</t>
    </r>
  </si>
  <si>
    <t>cs_crisis_no_school</t>
  </si>
  <si>
    <t>**Withdraw children from school**</t>
  </si>
  <si>
    <t>**Retirar a los niños de la escuela**</t>
  </si>
  <si>
    <t>cs_crisis_reduced_health_exp</t>
  </si>
  <si>
    <t>**Reduce expenses on health** (including drugs)</t>
  </si>
  <si>
    <r>
      <rPr>
        <sz val="11"/>
        <color theme="0" tint="-0.34998626667073579"/>
        <rFont val="Calibri (Cuerpo)"/>
      </rPr>
      <t>**Reducir los gastos en salud</t>
    </r>
    <r>
      <rPr>
        <sz val="11"/>
        <color theme="0" tint="-0.34998626667073579"/>
        <rFont val="Calibri"/>
        <family val="2"/>
        <scheme val="minor"/>
      </rPr>
      <t xml:space="preserve"> (incluyendo medicamentos)**</t>
    </r>
  </si>
  <si>
    <t>cs_crisis_harv_immature_crops</t>
  </si>
  <si>
    <t>**Harvest immature crops** (e.g. green maize) **to eat**</t>
  </si>
  <si>
    <t>**Cosechar cultivos inmaduros para comer (ej. maíz verde)**</t>
  </si>
  <si>
    <t>cs_crisis_consume_seed_stock</t>
  </si>
  <si>
    <t>**Consume seed stocks that were to be saved for the next planting season**</t>
  </si>
  <si>
    <t>**Consumir reservas de semillas que se guardarían para la próxima temporada de siembra**</t>
  </si>
  <si>
    <t>cs_crisis_decrease_input_exp</t>
  </si>
  <si>
    <t>**Decrease expenditures on fertilizer, pesticide, fodder, animal feed, veterinary care, etc.**</t>
  </si>
  <si>
    <r>
      <rPr>
        <sz val="11"/>
        <color theme="0" tint="-0.34998626667073579"/>
        <rFont val="Calibri (Cuerpo)"/>
      </rPr>
      <t>**Disminuir los gastos en fertilizantes, pesticidas, forrajes, alimento para animales, atención veterinaria, et</t>
    </r>
    <r>
      <rPr>
        <sz val="11"/>
        <color theme="0" tint="-0.34998626667073579"/>
        <rFont val="Calibri"/>
        <family val="2"/>
        <scheme val="minor"/>
      </rPr>
      <t>c,**</t>
    </r>
  </si>
  <si>
    <t>cs_emergency_sold_house</t>
  </si>
  <si>
    <t>**Sell a house or land**</t>
  </si>
  <si>
    <t>**Vender una casa o un terreno**</t>
  </si>
  <si>
    <t>cs_emergency_begged</t>
  </si>
  <si>
    <t>**Beg**</t>
  </si>
  <si>
    <t>**Mendigar**</t>
  </si>
  <si>
    <t>cs_emergency_illegal</t>
  </si>
  <si>
    <t>**Engage in illegal or degrading income activities** (theft, prostitution)</t>
  </si>
  <si>
    <r>
      <rPr>
        <sz val="11"/>
        <color theme="0" tint="-0.34998626667073579"/>
        <rFont val="Calibri (Cuerpo)"/>
      </rPr>
      <t>**Participar en actividades ilegales o denigrantes</t>
    </r>
    <r>
      <rPr>
        <sz val="11"/>
        <color theme="0" tint="-0.34998626667073579"/>
        <rFont val="Calibri"/>
        <family val="2"/>
        <scheme val="minor"/>
      </rPr>
      <t xml:space="preserve"> (robo, prostitución)**</t>
    </r>
  </si>
  <si>
    <t>cs_emergency_sold_last_female</t>
  </si>
  <si>
    <t>**Sell your last female animals**</t>
  </si>
  <si>
    <t>**Vender los últimos animales hembra**</t>
  </si>
  <si>
    <t>cs_emergency_hh_migration</t>
  </si>
  <si>
    <t>**Migrate with the entire household**</t>
  </si>
  <si>
    <t>**Tuvo que migrar**</t>
  </si>
  <si>
    <t>grp_hdds</t>
  </si>
  <si>
    <t>HDDS</t>
  </si>
  <si>
    <t>hdds_intro</t>
  </si>
  <si>
    <t>Now I would like to ask you about a set of questions on food consumption, referring to the *24 hours of yesterday*.</t>
  </si>
  <si>
    <t xml:space="preserve">Ahora me gustaría hacerle una serie de preguntas relacionadas con el consumo de alimentos, referidas a las *24 horas del día de ayer*. </t>
  </si>
  <si>
    <t>select_multiple hdds</t>
  </si>
  <si>
    <t>hdds</t>
  </si>
  <si>
    <t>Please describe the foods (meals and snacks) that you or any household member ate or drank at home yesterday (in the *24 hours of yesterday*: breakfast, lunch, dinner and snacks).</t>
  </si>
  <si>
    <t>Describa los alimentos (comidas y meriendas) que usted o cualquier miembro del hogar comió o bebió en casa ayer (en las *24 horas de ayer*: desayuno, almuerzo, cena y meriendas).</t>
  </si>
  <si>
    <t>[INSTRUCTIONS: SELECT ALL FOOD GROUPS CONSUMED IN THE 24 HOURS OF YESTERDAY AS THE RESPONDENT ANSWERS. MULTIPLE RESPONSES POSSIBLE.]</t>
  </si>
  <si>
    <t>[ENCUESTADOR/A: SELECCIONE TODOS LOS GRUPOS DE ALIMENTOS CONSUMIDOS EN LAS 24 HORAS DE AYER COMO RESPONDE EL ENCUESTADO. ES POSIBLE SELECCIONAR MÚLTIPLES RESPUESTAS.]</t>
  </si>
  <si>
    <t>hdds_confirmation</t>
  </si>
  <si>
    <t>[INSTRUCTIONS: Remember to probe for snacks, special foods given to children or pregnant women, ingredients in mixed dishes. At the end, probe for any food groups not specified.]</t>
  </si>
  <si>
    <t>[ENCUESTADOR/A: Recuerde hacer preguntas de verificación para meriendas, comidas especiales que se les da a los niños y mujeres embarazadas, ingredientes en alimentos compuestos. Al final, pregunte por cualquier tipo de comida que no haya sido especificado.]</t>
  </si>
  <si>
    <t>grp_fcs</t>
  </si>
  <si>
    <t>FCS</t>
  </si>
  <si>
    <t>fcs_intro</t>
  </si>
  <si>
    <t>Now I would like to ask you about the foods and drinks your household ate or drank in  *the last 7 days* during the day and at night [breakfast, lunch, dinner, snacks].</t>
  </si>
  <si>
    <t>Ahora me gustaría hacerle algunas preguntas sobre el consumo de alimentos y bebidas que su hogar comió y bebió en los últimos 7 días durante el día y la noche [desayuno, almuerzo, cena y entremedios].</t>
  </si>
  <si>
    <t>fcs_staple_days</t>
  </si>
  <si>
    <t>How many days over *the last 7 days*, did members of your household eat **starches, roots and tubers** such as rice, maize, pasta, bread, sorghum, millet, potato, yam, cassava, white sweet potato?</t>
  </si>
  <si>
    <r>
      <t>¿Durante cuántos días en los *últimos 7 días* consumió usted o su hogar **</t>
    </r>
    <r>
      <rPr>
        <sz val="11"/>
        <color theme="0" tint="-0.34998626667073579"/>
        <rFont val="Calibri (Cuerpo)"/>
      </rPr>
      <t>almidónes</t>
    </r>
    <r>
      <rPr>
        <sz val="11"/>
        <color theme="0" tint="-0.34998626667073579"/>
        <rFont val="Calibri"/>
        <family val="2"/>
        <scheme val="minor"/>
      </rPr>
      <t xml:space="preserve"> (carbohidratos), raices y tubérculos** como arroz, maíz, pasta, pan, tortillas de maíz o de trigo, sorgo, mijo, patata, ñame, yuca, boniato blanco?</t>
    </r>
  </si>
  <si>
    <t>[INSTRUCTIONS: RECORD NUMBER OF DAYS 0 - 7. IF CONSUMED ONLY IN SMALL QUANTITY, DO NOT INCLUDE.]</t>
  </si>
  <si>
    <t xml:space="preserve">[ENCUESTADOR/A: ESCRIBA EL NÚMERO DE DÍAS 0 -7. SI CONSUMIÓ PEQUEÑAS CANTIDADES, NO LO INCLUYA.] </t>
  </si>
  <si>
    <t>.&gt;= 0 and .&lt;=7</t>
  </si>
  <si>
    <t>The answer must be between 0 and 7 days</t>
  </si>
  <si>
    <t>fcs_pulses_days</t>
  </si>
  <si>
    <t>How many days over *the last 7 days*, did members of your household eat** pulses and nuts such as beans, lentils, cowpeas, soybean, pigeon peas and peanuts or other nuts**?</t>
  </si>
  <si>
    <r>
      <t>¿Durante cuántos días en los *últimos 7 días* consumió usted o su hogar **</t>
    </r>
    <r>
      <rPr>
        <sz val="11"/>
        <color theme="0" tint="-0.34998626667073579"/>
        <rFont val="Calibri (Cuerpo)"/>
      </rPr>
      <t>legumbres y nueces como</t>
    </r>
    <r>
      <rPr>
        <sz val="11"/>
        <color theme="0" tint="-0.34998626667073579"/>
        <rFont val="Calibri"/>
        <family val="2"/>
        <scheme val="minor"/>
      </rPr>
      <t xml:space="preserve"> fríjoles, lentejas, caupí, soja, gandules y maní u otras nueces**?</t>
    </r>
  </si>
  <si>
    <t>fcs_vegetables_days</t>
  </si>
  <si>
    <r>
      <t>How many days over *the last 7 days*, did members of your household eat **vegetables or leaves** such as</t>
    </r>
    <r>
      <rPr>
        <b/>
        <sz val="11"/>
        <color rgb="FF7030A0"/>
        <rFont val="Calibri"/>
        <family val="2"/>
        <scheme val="minor"/>
      </rPr>
      <t xml:space="preserve"> #local vegetables#</t>
    </r>
    <r>
      <rPr>
        <sz val="11"/>
        <color theme="0" tint="-0.34998626667073579"/>
        <rFont val="Calibri"/>
        <family val="2"/>
        <scheme val="minor"/>
      </rPr>
      <t xml:space="preserve"> and/or other leaves/vegetables?</t>
    </r>
  </si>
  <si>
    <r>
      <t>¿Durante cuántos días en los *últimos 7 días* consumió usted o su hogar **</t>
    </r>
    <r>
      <rPr>
        <sz val="11"/>
        <color theme="0" tint="-0.34998626667073579"/>
        <rFont val="Calibri (Cuerpo)"/>
      </rPr>
      <t>vegetales y hojas**</t>
    </r>
    <r>
      <rPr>
        <sz val="11"/>
        <color theme="0" tint="-0.34998626667073579"/>
        <rFont val="Calibri"/>
        <family val="2"/>
        <scheme val="minor"/>
      </rPr>
      <t xml:space="preserve"> como </t>
    </r>
    <r>
      <rPr>
        <b/>
        <sz val="11"/>
        <color rgb="FF7030A0"/>
        <rFont val="Calibri"/>
        <family val="2"/>
        <scheme val="minor"/>
      </rPr>
      <t>#</t>
    </r>
    <r>
      <rPr>
        <b/>
        <sz val="11"/>
        <color rgb="FF7030A0"/>
        <rFont val="Calibri (Cuerpo)"/>
      </rPr>
      <t>local vegetables ES#</t>
    </r>
    <r>
      <rPr>
        <sz val="11"/>
        <color theme="0" tint="-0.34998626667073579"/>
        <rFont val="Calibri"/>
        <family val="2"/>
        <scheme val="minor"/>
      </rPr>
      <t xml:space="preserve"> y/o otras hojas/verduras?</t>
    </r>
  </si>
  <si>
    <t>fcs_fruit_days</t>
  </si>
  <si>
    <r>
      <t xml:space="preserve">How many days over *the last 7 days*, did members of your household eat **fruit** such as </t>
    </r>
    <r>
      <rPr>
        <sz val="11"/>
        <color rgb="FF7030A0"/>
        <rFont val="Calibri"/>
        <family val="2"/>
        <scheme val="minor"/>
      </rPr>
      <t>#</t>
    </r>
    <r>
      <rPr>
        <b/>
        <sz val="11"/>
        <color rgb="FF7030A0"/>
        <rFont val="Calibri"/>
        <family val="2"/>
        <scheme val="minor"/>
      </rPr>
      <t>local fruits#</t>
    </r>
    <r>
      <rPr>
        <sz val="11"/>
        <color theme="0" tint="-0.34998626667073579"/>
        <rFont val="Calibri"/>
        <family val="2"/>
        <scheme val="minor"/>
      </rPr>
      <t xml:space="preserve"> and/or other fruits?</t>
    </r>
  </si>
  <si>
    <r>
      <t>¿Durante cuántos días en los *últimos 7 días* consumió usted o su hogar **</t>
    </r>
    <r>
      <rPr>
        <sz val="11"/>
        <color theme="0" tint="-0.34998626667073579"/>
        <rFont val="Calibri (Cuerpo)"/>
      </rPr>
      <t>frutas**</t>
    </r>
    <r>
      <rPr>
        <sz val="11"/>
        <color theme="0" tint="-0.34998626667073579"/>
        <rFont val="Calibri"/>
        <family val="2"/>
        <scheme val="minor"/>
      </rPr>
      <t xml:space="preserve"> como</t>
    </r>
    <r>
      <rPr>
        <sz val="11"/>
        <color theme="1"/>
        <rFont val="Calibri"/>
        <family val="2"/>
        <scheme val="minor"/>
      </rPr>
      <t xml:space="preserve"> </t>
    </r>
    <r>
      <rPr>
        <b/>
        <sz val="11"/>
        <color rgb="FF7030A0"/>
        <rFont val="Calibri"/>
        <family val="2"/>
        <scheme val="minor"/>
      </rPr>
      <t>#</t>
    </r>
    <r>
      <rPr>
        <b/>
        <sz val="11"/>
        <color rgb="FF7030A0"/>
        <rFont val="Calibri (Cuerpo)"/>
      </rPr>
      <t>local fruits ES#</t>
    </r>
    <r>
      <rPr>
        <sz val="11"/>
        <color theme="1"/>
        <rFont val="Calibri"/>
        <family val="2"/>
        <scheme val="minor"/>
      </rPr>
      <t xml:space="preserve"> </t>
    </r>
    <r>
      <rPr>
        <sz val="11"/>
        <color theme="0" tint="-0.34998626667073579"/>
        <rFont val="Calibri"/>
        <family val="2"/>
        <scheme val="minor"/>
      </rPr>
      <t>y/o otras frutas?</t>
    </r>
  </si>
  <si>
    <t>fcs_meat_fish_days</t>
  </si>
  <si>
    <t>How many days over *the last 7 days*, did members of your household eat **meat, eggs or fish** [any type of meat or fish including insects, birds, bush meat, seafood, or organs]?</t>
  </si>
  <si>
    <r>
      <t>¿Durante cuántos días en los *últimos 7 días* consumió usted o su hogar **</t>
    </r>
    <r>
      <rPr>
        <sz val="11"/>
        <color theme="0" tint="-0.34998626667073579"/>
        <rFont val="Calibri (Cuerpo)"/>
      </rPr>
      <t>carne, huevos o pescado**</t>
    </r>
    <r>
      <rPr>
        <sz val="11"/>
        <color theme="0" tint="-0.34998626667073579"/>
        <rFont val="Calibri"/>
        <family val="2"/>
        <scheme val="minor"/>
      </rPr>
      <t xml:space="preserve"> [cualquier tipo de carne o pescado incluyendo insectos, aves, de caza, comida de mar o visceras]?</t>
    </r>
  </si>
  <si>
    <t>fcs_dairy_days</t>
  </si>
  <si>
    <t>How many days over *the last 7 days*, did members of your household consume fresh milk, sour milk, yogurt, cheese or other **dairy products** [excluding margarine/butter or small amounts of milk for tea/ coffee]?</t>
  </si>
  <si>
    <r>
      <t>¿Durante cuántos días en los *últimos 7 días* consumió usted o su hogar leche fresca, leche agria, yogurt, queso u otro **</t>
    </r>
    <r>
      <rPr>
        <sz val="11"/>
        <color theme="0" tint="-0.34998626667073579"/>
        <rFont val="Calibri (Cuerpo)"/>
      </rPr>
      <t>producto lácteo**</t>
    </r>
    <r>
      <rPr>
        <sz val="11"/>
        <color theme="0" tint="-0.34998626667073579"/>
        <rFont val="Calibri"/>
        <family val="2"/>
        <scheme val="minor"/>
      </rPr>
      <t>? [excluyendo margarina/mantequilla or pequeñas cantidades de leche para el té / café]?</t>
    </r>
  </si>
  <si>
    <t>fcs_sugar_days</t>
  </si>
  <si>
    <t>How many days over *the last 7 days*, did members of your household consume **sugar or sweets** such as sugar, honey, jam, cakes, candy, cookies, pastries, cakes and other sweets and sugary drinks?</t>
  </si>
  <si>
    <r>
      <t>¿Durante cuántos días en los *últimos 7 días* consumió usted o su hogar **</t>
    </r>
    <r>
      <rPr>
        <sz val="11"/>
        <color theme="0" tint="-0.34998626667073579"/>
        <rFont val="Calibri (Cuerpo)"/>
      </rPr>
      <t>azucar o dulces**</t>
    </r>
    <r>
      <rPr>
        <sz val="11"/>
        <color theme="0" tint="-0.34998626667073579"/>
        <rFont val="Calibri"/>
        <family val="2"/>
        <scheme val="minor"/>
      </rPr>
      <t xml:space="preserve"> como azucar, miel, mermelada, pasteles, dulces, galletas, pastelería, pasteles y otros dulces y bebidas azucaradas?</t>
    </r>
  </si>
  <si>
    <t>fcs_oil_days</t>
  </si>
  <si>
    <t>How many days over *the last 7 days*, did members of your household eat **oil/fat/butter** such as vegetable oil, palm oil, groundnut oil, margarine, other fats / oil?</t>
  </si>
  <si>
    <r>
      <t>¿Durante cuántos días en los *últimos 7 días* consumió usted o su hogar **</t>
    </r>
    <r>
      <rPr>
        <sz val="11"/>
        <color theme="0" tint="-0.34998626667073579"/>
        <rFont val="Calibri (Cuerpo)"/>
      </rPr>
      <t>aceite / grasa / mantequilla**</t>
    </r>
    <r>
      <rPr>
        <sz val="11"/>
        <color theme="0" tint="-0.34998626667073579"/>
        <rFont val="Calibri"/>
        <family val="2"/>
        <scheme val="minor"/>
      </rPr>
      <t xml:space="preserve"> como aceite vegetal, aceite de palma, aceite de maní, margarina, otras grasas/aceites?</t>
    </r>
  </si>
  <si>
    <t>fcs_condiments_days</t>
  </si>
  <si>
    <t>How many days over *the last 7 days*, did members of your household eat **spices or condiments** such as tea, coffee, cocoa, salt, garlic, spices, yeast, meat fish as a condiment or small amounts of milk for tea or coffee?</t>
  </si>
  <si>
    <r>
      <t>¿Durante cuántos días en los *últimos 7 días* consumió usted o su hogar **</t>
    </r>
    <r>
      <rPr>
        <sz val="11"/>
        <color theme="0" tint="-0.34998626667073579"/>
        <rFont val="Calibri (Cuerpo)"/>
      </rPr>
      <t>especias o condimentos**</t>
    </r>
    <r>
      <rPr>
        <sz val="11"/>
        <color theme="0" tint="-0.34998626667073579"/>
        <rFont val="Calibri"/>
        <family val="2"/>
        <scheme val="minor"/>
      </rPr>
      <t xml:space="preserve"> como té, café, cacao, sal, ajo, especias, levadura, carne de pescado como condimento o pequeñas cantidades de </t>
    </r>
    <r>
      <rPr>
        <sz val="11"/>
        <color theme="0" tint="-0.34998626667073579"/>
        <rFont val="Calibri (Cuerpo)"/>
      </rPr>
      <t>té o café con leche</t>
    </r>
    <r>
      <rPr>
        <sz val="11"/>
        <color theme="0" tint="-0.34998626667073579"/>
        <rFont val="Calibri"/>
        <family val="2"/>
        <scheme val="minor"/>
      </rPr>
      <t xml:space="preserve"> ?</t>
    </r>
  </si>
  <si>
    <t>grp_rcsi</t>
  </si>
  <si>
    <t>rCSI</t>
  </si>
  <si>
    <t>rcsi_intro</t>
  </si>
  <si>
    <t>Now I will ask you about the number of days, in *the last 7 days*, during which the household has done some of the actions that I will mention to cope with the lack of food or money to buy food.</t>
  </si>
  <si>
    <t>Ahora le voy a preguntar sobre el número de días en los *últimos 7 días*, en los cuales su hogar ha tomado las siguientes acciones para afrontar la falta de comida o dinero para comprar comida.</t>
  </si>
  <si>
    <t>rcsi_less_preferred_foods</t>
  </si>
  <si>
    <t xml:space="preserve">In *the past 7 days*, how many days did your household **rely on less preferred or less expensive food** due to lack of food/money?  </t>
  </si>
  <si>
    <r>
      <t>En los *últimos 7 días*, durante cuántos días tuvo su hogar que **</t>
    </r>
    <r>
      <rPr>
        <sz val="11"/>
        <color theme="0" tint="-0.34998626667073579"/>
        <rFont val="Calibri (Cuerpo)"/>
      </rPr>
      <t>depender de alimentos menos preferidos o menos costosos**</t>
    </r>
    <r>
      <rPr>
        <sz val="11"/>
        <color theme="0" tint="-0.34998626667073579"/>
        <rFont val="Calibri"/>
        <family val="2"/>
        <scheme val="minor"/>
      </rPr>
      <t xml:space="preserve"> debido a la falta de alimentos/dinero?</t>
    </r>
  </si>
  <si>
    <t>[INSTRUCTIONS: RECORD NUMBER OF DAYS 0 - 7]</t>
  </si>
  <si>
    <t>[ENCUESTADOR/A: ESCRIBA EL NÚMERO DE DÍAS 0 -7]</t>
  </si>
  <si>
    <t>rcsi_borrowed_food</t>
  </si>
  <si>
    <t xml:space="preserve">In the *past 7 days*, how many days did your household **borrow food, or rely on help from a friend or relative** due to lack of food or money to buy food? </t>
  </si>
  <si>
    <r>
      <t>En los *últimos 7 días*, durante cuántos días tuvo su hogar que **</t>
    </r>
    <r>
      <rPr>
        <sz val="11"/>
        <color theme="0" tint="-0.34998626667073579"/>
        <rFont val="Calibri (Cuerpo)"/>
      </rPr>
      <t>pedir comida prestada o depender de la ayuda de un amigo o pariente**</t>
    </r>
    <r>
      <rPr>
        <sz val="11"/>
        <color theme="0" tint="-0.34998626667073579"/>
        <rFont val="Calibri"/>
        <family val="2"/>
        <scheme val="minor"/>
      </rPr>
      <t xml:space="preserve"> debido a la falta de alimentos o dinero para comprar comida?</t>
    </r>
  </si>
  <si>
    <t>rcsi_reduce_number_meals</t>
  </si>
  <si>
    <t>In the past 7 days, how many days did your household **reduce the number of meals eaten in a day** due to lack of food or money to buy food?</t>
  </si>
  <si>
    <r>
      <t>En los *últimos 7 días*, durante cuántos días tuvo su hogar que **</t>
    </r>
    <r>
      <rPr>
        <sz val="11"/>
        <color theme="0" tint="-0.34998626667073579"/>
        <rFont val="Calibri (Cuerpo)"/>
      </rPr>
      <t>reducir el número de comidas consumidas en el día**</t>
    </r>
    <r>
      <rPr>
        <sz val="11"/>
        <color theme="0" tint="-0.34998626667073579"/>
        <rFont val="Calibri"/>
        <family val="2"/>
        <scheme val="minor"/>
      </rPr>
      <t xml:space="preserve"> debido a la falta de alimentos o dinero para comprar comida?</t>
    </r>
  </si>
  <si>
    <t>rcsi_limit_portions</t>
  </si>
  <si>
    <t xml:space="preserve">In the *past 7 days*, how many days did your household **limit portion sizes at mealtime** due to lack of food or money to buy food? </t>
  </si>
  <si>
    <r>
      <t>En los *últimos 7 días*, durante cuántos días tuvo su hogar que **</t>
    </r>
    <r>
      <rPr>
        <sz val="11"/>
        <color theme="0" tint="-0.34998626667073579"/>
        <rFont val="Calibri (Cuerpo)"/>
      </rPr>
      <t>limitar los tamaños de las porciones en las comidas**</t>
    </r>
    <r>
      <rPr>
        <sz val="11"/>
        <color theme="0" tint="-0.34998626667073579"/>
        <rFont val="Calibri"/>
        <family val="2"/>
        <scheme val="minor"/>
      </rPr>
      <t xml:space="preserve"> debido a la falta de alimentos o dinero para comprar comida?</t>
    </r>
  </si>
  <si>
    <t>rcsi_restrict_adult_consumpt</t>
  </si>
  <si>
    <t>In the *past 7 days*, how many days did your household **restrict consumption by adults so children could eat**, due to lack of food or money to buy food?</t>
  </si>
  <si>
    <r>
      <t>En los *últimos 7 días*, durante cuántos días tuvo su hogar que **</t>
    </r>
    <r>
      <rPr>
        <sz val="11"/>
        <color theme="0" tint="-0.34998626667073579"/>
        <rFont val="Calibri (Cuerpo)"/>
      </rPr>
      <t>restringir el consumo de los adultos para que los niños/as pudieran comer**</t>
    </r>
    <r>
      <rPr>
        <sz val="11"/>
        <color theme="0" tint="-0.34998626667073579"/>
        <rFont val="Calibri"/>
        <family val="2"/>
        <scheme val="minor"/>
      </rPr>
      <t>, debido a la falta de alimentos o dinero para comprar comida?</t>
    </r>
  </si>
  <si>
    <t>Assisstance_group</t>
  </si>
  <si>
    <t>NEEDS ASSISTANCE</t>
  </si>
  <si>
    <t>need</t>
  </si>
  <si>
    <t>select_multiple needs</t>
  </si>
  <si>
    <t>need_</t>
  </si>
  <si>
    <t>[INSTRUCTIONS: MULTIPLE RESPONSE. DO NOT READ THE OPTIONS.]</t>
  </si>
  <si>
    <t>${need} = 1</t>
  </si>
  <si>
    <t>need_otherspecify</t>
  </si>
  <si>
    <t>selected(${need_}, 'other')</t>
  </si>
  <si>
    <t>select_multiple needreceived</t>
  </si>
  <si>
    <t>need_received</t>
  </si>
  <si>
    <t>[INSTRUCTIONS: READ OUT ANSWER OPTIONS. MULTIPLE RESPONSES POSSIBLE.]</t>
  </si>
  <si>
    <t>[ENCUESTADOR/A: ES POSIBLE SELECCIONAR MÚLTIPLES RESPUESTAS. LEA LAS OPCIONES DE RESPUESTA.]</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</si>
  <si>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</si>
  <si>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</si>
  <si>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</si>
  <si>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</si>
  <si>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</si>
  <si>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</si>
  <si>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¿Quedó satisfecho con la calidad de la asistencia brindada?</t>
  </si>
  <si>
    <t>[INSTRUCTIONS: QUALITY OF ASSISTANCE IN TERMS OF SUFFICIENT ASSISTANCE FOR PRODUCTION OR SALES DIFFICULTY TO BE OVERCOME.]</t>
  </si>
  <si>
    <t>[ENCUESTADOR/A: CALIDAD DE LA ASISTENCIA EN TÉRMINOS DE ASISTENCIA SUFICIENTE PARA SUPERAR LA DIFICULTAD EN LA PRODUCCIÓN O VENTA.]</t>
  </si>
  <si>
    <t>${need_received} != 'dk' and ${need_received} != 'ref' and ${need_received} != 'none'</t>
  </si>
  <si>
    <t>select_multiple provider</t>
  </si>
  <si>
    <t>assistance</t>
  </si>
  <si>
    <t>Who provided your household with this assistance?</t>
  </si>
  <si>
    <t>¿Quién proporcionó esta asistencia a su hogar?</t>
  </si>
  <si>
    <t>[INSTRUCTIONS: MULTIPLE RESPONSES.]</t>
  </si>
  <si>
    <t>closing</t>
  </si>
  <si>
    <t>CLOSING</t>
  </si>
  <si>
    <t>callback</t>
  </si>
  <si>
    <t>Your answers will help us to understand and respond to your community needs. May we call you in a few months?</t>
  </si>
  <si>
    <t>Sus respuestas nos ayudarán a comprender y satisfacer las necesidades de su comunidad. ¿Podemos volver a llamarle en un futuro próximo?</t>
  </si>
  <si>
    <t>select_multiple week</t>
  </si>
  <si>
    <t>future_int_day</t>
  </si>
  <si>
    <r>
      <t xml:space="preserve">For future interviews, in which </t>
    </r>
    <r>
      <rPr>
        <b/>
        <sz val="11"/>
        <color theme="6" tint="-0.499984740745262"/>
        <rFont val="Calibri"/>
        <family val="2"/>
        <scheme val="minor"/>
      </rPr>
      <t>day(s)</t>
    </r>
    <r>
      <rPr>
        <sz val="11"/>
        <color theme="6" tint="-0.499984740745262"/>
        <rFont val="Calibri"/>
        <family val="2"/>
        <scheme val="minor"/>
      </rPr>
      <t xml:space="preserve"> can I call you?</t>
    </r>
  </si>
  <si>
    <r>
      <t xml:space="preserve">Para futuras entrevistas, ¿en qué </t>
    </r>
    <r>
      <rPr>
        <b/>
        <sz val="11"/>
        <color theme="6" tint="-0.499984740745262"/>
        <rFont val="Calibri"/>
        <family val="2"/>
        <scheme val="minor"/>
      </rPr>
      <t>día(s)</t>
    </r>
    <r>
      <rPr>
        <sz val="11"/>
        <color theme="6" tint="-0.499984740745262"/>
        <rFont val="Calibri"/>
        <family val="2"/>
        <scheme val="minor"/>
      </rPr>
      <t xml:space="preserve"> puedo llamarle?</t>
    </r>
  </si>
  <si>
    <t>[INSTRUCTIONS: MULTIPLE ANSWERS POSSIBLE.]</t>
  </si>
  <si>
    <t>[ENCUESTADOR/A:ES POSIBLE SELECCIONAR MÚLTIPLES RESPUESTAS.]</t>
  </si>
  <si>
    <t>${callback} = '1'</t>
  </si>
  <si>
    <t>select_multiple time</t>
  </si>
  <si>
    <t>future_int_time</t>
  </si>
  <si>
    <r>
      <t xml:space="preserve">For future interviews, at what </t>
    </r>
    <r>
      <rPr>
        <b/>
        <sz val="11"/>
        <color theme="6" tint="-0.499984740745262"/>
        <rFont val="Calibri"/>
        <family val="2"/>
        <scheme val="minor"/>
      </rPr>
      <t>time(s)</t>
    </r>
    <r>
      <rPr>
        <sz val="11"/>
        <color theme="6" tint="-0.499984740745262"/>
        <rFont val="Calibri"/>
        <family val="2"/>
        <scheme val="minor"/>
      </rPr>
      <t xml:space="preserve"> can I call you?</t>
    </r>
  </si>
  <si>
    <r>
      <t xml:space="preserve">Para futuras entrevistas, ¿a qué </t>
    </r>
    <r>
      <rPr>
        <b/>
        <sz val="11"/>
        <color theme="6" tint="-0.499984740745262"/>
        <rFont val="Calibri"/>
        <family val="2"/>
        <scheme val="minor"/>
      </rPr>
      <t>hora(s)</t>
    </r>
    <r>
      <rPr>
        <sz val="11"/>
        <color theme="6" tint="-0.499984740745262"/>
        <rFont val="Calibri"/>
        <family val="2"/>
        <scheme val="minor"/>
      </rPr>
      <t xml:space="preserve"> puedo llamarle?</t>
    </r>
  </si>
  <si>
    <t>select_one language</t>
  </si>
  <si>
    <t>language2</t>
  </si>
  <si>
    <t xml:space="preserve">Select the language that was mostly used to complete the interview. </t>
  </si>
  <si>
    <t>Seleccione el idioma que se usó principalmente para completar la entrevista.</t>
  </si>
  <si>
    <t>closeout</t>
  </si>
  <si>
    <r>
      <t>Thank you for your time. The interview has come to an end.</t>
    </r>
    <r>
      <rPr>
        <sz val="11"/>
        <color rgb="FF7030A0"/>
        <rFont val="Calibri"/>
        <family val="2"/>
        <scheme val="minor"/>
      </rPr>
      <t xml:space="preserve"> </t>
    </r>
  </si>
  <si>
    <t xml:space="preserve">Gracias por tu tiempo. La entrevista ha llegado a su fin. </t>
  </si>
  <si>
    <t>time</t>
  </si>
  <si>
    <t>Interview_End_Time</t>
  </si>
  <si>
    <t>Interview End Time</t>
  </si>
  <si>
    <t>Hora de fin de la entrevista</t>
  </si>
  <si>
    <t>gps_2</t>
  </si>
  <si>
    <t>GPS INSTRUCTION: You didn't take a measurement earlier. Now walk around the household or go near the main road and try to take a GPS measurement.</t>
  </si>
  <si>
    <t xml:space="preserve">INSTRUCCIÓN GPS: No ha tomado la posición aún. Camine alrededor del hogar o dirijase hacia la ruta principal para intentar tomar la posición GPS. </t>
  </si>
  <si>
    <t xml:space="preserve">false </t>
  </si>
  <si>
    <t>${resp_agree} = '1' and ${gps_1} = ''</t>
  </si>
  <si>
    <t>enum_notes</t>
  </si>
  <si>
    <t>Enter any notes or feedback from this survey:</t>
  </si>
  <si>
    <t xml:space="preserve">Registre cualquier comentario o nota acerca de esta encuesta: </t>
  </si>
  <si>
    <t xml:space="preserve">Leave empty if there are no comments. </t>
  </si>
  <si>
    <t xml:space="preserve">Deje vacio si no hay comentarios. </t>
  </si>
  <si>
    <t>__version__</t>
  </si>
  <si>
    <t>'vfVbKi5bfYAnEzqoBsXTzQ'</t>
  </si>
  <si>
    <t xml:space="preserve">AVERAGE ESTIMATED DURATION </t>
  </si>
  <si>
    <t>list_name</t>
  </si>
  <si>
    <t>my_filter_admin</t>
  </si>
  <si>
    <t>enumteam</t>
  </si>
  <si>
    <t>Enumerator team 1</t>
  </si>
  <si>
    <t>Equipo de encuestadores 1</t>
  </si>
  <si>
    <t>Enumerator team 2</t>
  </si>
  <si>
    <t>Equipo de encuestadores 2</t>
  </si>
  <si>
    <t>Enumerator team 3</t>
  </si>
  <si>
    <t>Equipo de encuestadores 3</t>
  </si>
  <si>
    <t>Enumerator team 4</t>
  </si>
  <si>
    <t>Equipo de encuestadores 4</t>
  </si>
  <si>
    <t>enumerator name 1</t>
  </si>
  <si>
    <t>nombre de encuestador 1</t>
  </si>
  <si>
    <t>enumerator name 2</t>
  </si>
  <si>
    <t>nombre de encuestador 2</t>
  </si>
  <si>
    <t>enumerator name 3</t>
  </si>
  <si>
    <t>nombre de encuestador 3</t>
  </si>
  <si>
    <t>yes_no</t>
  </si>
  <si>
    <t>Yes</t>
  </si>
  <si>
    <t>SI</t>
  </si>
  <si>
    <t>No</t>
  </si>
  <si>
    <t>NO</t>
  </si>
  <si>
    <t>DON'T KNOW</t>
  </si>
  <si>
    <t>NO SABE</t>
  </si>
  <si>
    <t>REFUSED</t>
  </si>
  <si>
    <t>NO RESPONDE</t>
  </si>
  <si>
    <t>continue</t>
  </si>
  <si>
    <t>continuar</t>
  </si>
  <si>
    <t>yesno</t>
  </si>
  <si>
    <t>Si</t>
  </si>
  <si>
    <t>language</t>
  </si>
  <si>
    <t>en</t>
  </si>
  <si>
    <t>English</t>
  </si>
  <si>
    <t>Inglés</t>
  </si>
  <si>
    <t>es</t>
  </si>
  <si>
    <t>Spanish</t>
  </si>
  <si>
    <t>Español</t>
  </si>
  <si>
    <t>…</t>
  </si>
  <si>
    <t>gender</t>
  </si>
  <si>
    <t>Male</t>
  </si>
  <si>
    <t>Masculino</t>
  </si>
  <si>
    <t>Female</t>
  </si>
  <si>
    <t>Femenino</t>
  </si>
  <si>
    <t>contact_info</t>
  </si>
  <si>
    <t>YES - mine</t>
  </si>
  <si>
    <t>SI - mio</t>
  </si>
  <si>
    <t>YES - other household member</t>
  </si>
  <si>
    <t>SI - De otro miembro del hogar</t>
  </si>
  <si>
    <t>YES - friend or relative [non-household member]</t>
  </si>
  <si>
    <t>SI - De un amigo o familiar [no miembro del hogar]</t>
  </si>
  <si>
    <t>agricactivity</t>
  </si>
  <si>
    <t xml:space="preserve">Yes - crop production </t>
  </si>
  <si>
    <t xml:space="preserve">Sí - producción de cultivos </t>
  </si>
  <si>
    <t>Yes - livestock production</t>
  </si>
  <si>
    <t>Sí - producción ganadería/ animales</t>
  </si>
  <si>
    <t xml:space="preserve">Yes - both crop and livestock production </t>
  </si>
  <si>
    <t xml:space="preserve">Sí - ambas, producción de cultivos y animal </t>
  </si>
  <si>
    <t>edu</t>
  </si>
  <si>
    <t>None or did not complete primary school</t>
  </si>
  <si>
    <t>Ninguno o no completó educación primaria</t>
  </si>
  <si>
    <t>Completed primary school</t>
  </si>
  <si>
    <t>Completó educación primaria</t>
  </si>
  <si>
    <t>Completed secondary school</t>
  </si>
  <si>
    <t>Completó educación secundaria</t>
  </si>
  <si>
    <t>Completed higher education [University / College] degree</t>
  </si>
  <si>
    <t xml:space="preserve">Completó educación universitaria / superior </t>
  </si>
  <si>
    <t>Religious or informal education only</t>
  </si>
  <si>
    <t>Solo educación educación religiosa</t>
  </si>
  <si>
    <t>water</t>
  </si>
  <si>
    <t>Private tap from piped water</t>
  </si>
  <si>
    <t>Grifo/tubería privada (en el domicilio)</t>
  </si>
  <si>
    <t>Public tap</t>
  </si>
  <si>
    <t>Grifo/tubería pública</t>
  </si>
  <si>
    <t>Protected well</t>
  </si>
  <si>
    <t>Pozo cubierto</t>
  </si>
  <si>
    <t>Bottled water</t>
  </si>
  <si>
    <t>Agua embotellada</t>
  </si>
  <si>
    <t>Other safe source</t>
  </si>
  <si>
    <t>Otra fuente limpia/segura</t>
  </si>
  <si>
    <t>River</t>
  </si>
  <si>
    <t>Río</t>
  </si>
  <si>
    <t>Unprotected well</t>
  </si>
  <si>
    <t>Pozo descubierto</t>
  </si>
  <si>
    <t>Spring water</t>
  </si>
  <si>
    <t>Agua de manantial</t>
  </si>
  <si>
    <t>Surface water [e.g. canal, ponds, dams]</t>
  </si>
  <si>
    <t>Canal u otras aguas superficiales [ej: canales, estanques, represas]</t>
  </si>
  <si>
    <t>Other unsafe source</t>
  </si>
  <si>
    <t>Otra fuente no segura</t>
  </si>
  <si>
    <t>toilet</t>
  </si>
  <si>
    <t>Flush latrine/toilet with water</t>
  </si>
  <si>
    <t>Letrina con descarga o inodoro con agua</t>
  </si>
  <si>
    <t>Traditional pit latrine [no water]</t>
  </si>
  <si>
    <t>Letrina tradicional (sin agua)</t>
  </si>
  <si>
    <t>Open pit [hole in the ground for excrement without water, roof or wall]</t>
  </si>
  <si>
    <t>Hoyo abierto [agujero en el suelo para excrementos, sin agua, techo y o pared]</t>
  </si>
  <si>
    <t>Communal latrine [with or without water]</t>
  </si>
  <si>
    <t>Letrina comunitaria [con o sin agua]</t>
  </si>
  <si>
    <t>None – bush</t>
  </si>
  <si>
    <t>Ninguno, arbusto</t>
  </si>
  <si>
    <t>light</t>
  </si>
  <si>
    <t>Electricity [from generator or electrical grid]</t>
  </si>
  <si>
    <t>Electricidad [de generador o red eléctrica]</t>
  </si>
  <si>
    <t>Candle</t>
  </si>
  <si>
    <t>Vela</t>
  </si>
  <si>
    <t>Petrol lamp</t>
  </si>
  <si>
    <t>Lámpara de gasolina</t>
  </si>
  <si>
    <t>Lamp with batteries</t>
  </si>
  <si>
    <t>Lámpara con baterías</t>
  </si>
  <si>
    <t>Solar panel</t>
  </si>
  <si>
    <t>Paneles solares</t>
  </si>
  <si>
    <t>Other [no electric supply to the house]</t>
  </si>
  <si>
    <t>Otro [sin suministro eléctrico en la casa]</t>
  </si>
  <si>
    <t>residence</t>
  </si>
  <si>
    <t>Permanent Resident - you have been living in your village / town for longer than two years and this is what you consider your habitual residence</t>
  </si>
  <si>
    <t>Residente permanente - lleva más de dos años viviendo en su pueblo / ciudad y ésta es la que considera su residencia habitual</t>
  </si>
  <si>
    <t>Recent migrant not forcefully displaced - you have been living in your current place of residence for less than two years and you moved there voluntarily for work / family or other reasons that are not related to conflict or natural disaster</t>
  </si>
  <si>
    <t>Migrante reciente no forzado - llevas menos de dos años viviendo en tu actual lugar de residencia y te has trasladado allí voluntariamente por motivos de trabajo / familia u otros motivos que no están relacionados con el conflicto o la catástrofe natural</t>
  </si>
  <si>
    <t>Returnee - you have only come back to this residence in the last two years after having been forced to move to another location having fled conflict or natural disaster [if return was over 2 years ago the respondent is considered a permanent resident]</t>
  </si>
  <si>
    <t>Retornado - sólo ha vuelto a esta residencia en los últimos dos años después de haberse visto obligado a trasladarse a otro lugar tras huir del conflicto o de la catástrofe natural [si el regreso se produjo hace más de dos años, el encuestado se considera residente permanente]</t>
  </si>
  <si>
    <t xml:space="preserve">Internally displaced person [IDP] - you were forced to flee your village or town because of conflict or natural disaster and you are now an internally displaced person in your current place of residence </t>
  </si>
  <si>
    <t xml:space="preserve">Desplazado interno [IDP] - se vio obligado a huir de su pueblo o ciudad a causa de un conflicto o una catástrofe natural y ahora es un desplazado interno en su lugar de residencia actual </t>
  </si>
  <si>
    <t>Refugee - you were forced to flee your country because of conflict or natural disaster and you are now a refugee in your current place of residence</t>
  </si>
  <si>
    <t>Refugiado - se vio obligado a huir de su país a causa de un conflicto o una catástrofe natural y ahora es un refugiado en su lugar de residencia actual</t>
  </si>
  <si>
    <t>asset_prod</t>
  </si>
  <si>
    <t>process</t>
  </si>
  <si>
    <t>Processing assets (e.g. grinding/crushing machine, mill, oil press, fish tanks)</t>
  </si>
  <si>
    <t>Activos para el procesamiento [ej: trituradora, molino, prensa para aceite, tanques para la acuicultura / peceras]</t>
  </si>
  <si>
    <t>farmmach</t>
  </si>
  <si>
    <t>Farm or fishing machinery (e.g. tractor, plough, sickle, boats, engines)</t>
  </si>
  <si>
    <t>Maquinaria agrícola o pesquera [ej: tractor, arado, hoz, botes, motores]</t>
  </si>
  <si>
    <t>sewing</t>
  </si>
  <si>
    <t>Sewing machine or weaving tool</t>
  </si>
  <si>
    <t>Máquina de coser</t>
  </si>
  <si>
    <t>taxi</t>
  </si>
  <si>
    <t>Taxi</t>
  </si>
  <si>
    <t>truck</t>
  </si>
  <si>
    <t>Truck</t>
  </si>
  <si>
    <t>Camión</t>
  </si>
  <si>
    <t>other</t>
  </si>
  <si>
    <t>Other productive machines or assets</t>
  </si>
  <si>
    <t>Otras máquinas productivas</t>
  </si>
  <si>
    <t>none</t>
  </si>
  <si>
    <t>No productive machines or assets</t>
  </si>
  <si>
    <t>Ningúna máquina porductiva</t>
  </si>
  <si>
    <t>dk</t>
  </si>
  <si>
    <t>ref</t>
  </si>
  <si>
    <t>asset_transp</t>
  </si>
  <si>
    <t>bici</t>
  </si>
  <si>
    <t>Bicycle</t>
  </si>
  <si>
    <t>Bicicleta</t>
  </si>
  <si>
    <t>cart</t>
  </si>
  <si>
    <t>Cart (animal drawn)</t>
  </si>
  <si>
    <t>Carreta (tracción animal</t>
  </si>
  <si>
    <t>boatmotor</t>
  </si>
  <si>
    <t>Boat with an engine [inboard or outboard]</t>
  </si>
  <si>
    <t>Bote con motor [intraborda o fuera de borda]</t>
  </si>
  <si>
    <t>boatnomotor</t>
  </si>
  <si>
    <t>Unmotorized boat [e.g. canoe]</t>
  </si>
  <si>
    <t>Bote sin motor [ej: canoa]</t>
  </si>
  <si>
    <t>motorbike</t>
  </si>
  <si>
    <t>Motorbike / scooter / auto rickshaw</t>
  </si>
  <si>
    <t>Motocicleta/scooter</t>
  </si>
  <si>
    <t>car</t>
  </si>
  <si>
    <t>Car</t>
  </si>
  <si>
    <t>Auto</t>
  </si>
  <si>
    <t>van</t>
  </si>
  <si>
    <t>Van or small truck</t>
  </si>
  <si>
    <t>Furgoneta o camion pequeño</t>
  </si>
  <si>
    <t>Other motor vehicle</t>
  </si>
  <si>
    <t>Otro vehiculo motorizado</t>
  </si>
  <si>
    <t>None of the above</t>
  </si>
  <si>
    <t>Ninguno de los anteriores</t>
  </si>
  <si>
    <t>maritalstat</t>
  </si>
  <si>
    <t xml:space="preserve">Single / never married </t>
  </si>
  <si>
    <t>Soltero / nunca se ha casado</t>
  </si>
  <si>
    <t>Married</t>
  </si>
  <si>
    <t>Casado</t>
  </si>
  <si>
    <t>Separated</t>
  </si>
  <si>
    <t>Separado</t>
  </si>
  <si>
    <t>Divorced</t>
  </si>
  <si>
    <t>Divorciado</t>
  </si>
  <si>
    <t>Widowed</t>
  </si>
  <si>
    <t>Viudo</t>
  </si>
  <si>
    <t>DON’T KNOW</t>
  </si>
  <si>
    <t xml:space="preserve">REFUSED </t>
  </si>
  <si>
    <t>agegroup</t>
  </si>
  <si>
    <t>Under 18</t>
  </si>
  <si>
    <t>Menos de 18 años</t>
  </si>
  <si>
    <t>18 to 40</t>
  </si>
  <si>
    <t xml:space="preserve">18 a 40 </t>
  </si>
  <si>
    <t>41 to 65</t>
  </si>
  <si>
    <t xml:space="preserve">41 a 65 </t>
  </si>
  <si>
    <t>Over 65</t>
  </si>
  <si>
    <t>Por encima de 65 años</t>
  </si>
  <si>
    <t>incomesource1</t>
  </si>
  <si>
    <t>Production and sale of staple crops</t>
  </si>
  <si>
    <t>Producción y venta de cultivos básicos</t>
  </si>
  <si>
    <t xml:space="preserve">Production and sale of vegetables or fruit </t>
  </si>
  <si>
    <t xml:space="preserve">Producción y venta de vegetales o frutas </t>
  </si>
  <si>
    <t>Production and sale of cashcrops</t>
  </si>
  <si>
    <t>Producción y venta de cultivos comerciales</t>
  </si>
  <si>
    <t xml:space="preserve">Production and sale of livestock or livestock products </t>
  </si>
  <si>
    <t>Producción y venta de animales o productos de origen animal</t>
  </si>
  <si>
    <t>Production and sale of honey and bee products</t>
  </si>
  <si>
    <t>Producción y venta de productos de la colmena</t>
  </si>
  <si>
    <t>Production and sale of fish or aquatic products</t>
  </si>
  <si>
    <t>Producción y venta de pescado o productos piscícolas</t>
  </si>
  <si>
    <t>Collection and sale of natural resources (including forestry or bush products)</t>
  </si>
  <si>
    <t>Recolección y venta de recursos naturales (incluyendo productos forestales o arbustivos)</t>
  </si>
  <si>
    <t>Agricultural trade EXCLUDING producers (formal or informal)</t>
  </si>
  <si>
    <t>Comercio agrícola EXCLUYENDO productores (formal e informal)</t>
  </si>
  <si>
    <t xml:space="preserve">Daily wage on farms and other casual employment in agricultural sector </t>
  </si>
  <si>
    <t>Salario diario en granjas y otros empleos ocasionales en el sector agrícola (jornal)</t>
  </si>
  <si>
    <t xml:space="preserve">Stable employment in agricultural sector </t>
  </si>
  <si>
    <t>Empleo estable en el sector agrícola</t>
  </si>
  <si>
    <t>Non-agricultural self-employed or liberal profession, doctor, architect, lawyer, including restaurant</t>
  </si>
  <si>
    <t>Empleo independiente no agrícola o profesional calificado (doctor, arquitecto, abogado, restaurante)</t>
  </si>
  <si>
    <t>Off-farm daily wages and other non-agricultural casual employment</t>
  </si>
  <si>
    <t>Salario diario y otros empleos ocasionales no agrícolas</t>
  </si>
  <si>
    <t>Stable employment in non-agricultural sector</t>
  </si>
  <si>
    <t>Empleo estable en sectores distintos al agrícola</t>
  </si>
  <si>
    <t xml:space="preserve">Public employment </t>
  </si>
  <si>
    <t>Empleo público</t>
  </si>
  <si>
    <t>Income not derived from work / Charity</t>
  </si>
  <si>
    <t>Ingreso no proveniente del trabajo / Caridad</t>
  </si>
  <si>
    <t>Income not derived from work / Welfare transfer, pension, humanitarian aid</t>
  </si>
  <si>
    <t>Ingreso no proveniente del trabajo /Transferencia social, pensión, ayuda humanitaria</t>
  </si>
  <si>
    <t>Income not derived from work / Remittances</t>
  </si>
  <si>
    <t>Ingreso no proveniente del trabajo / Remesas</t>
  </si>
  <si>
    <t xml:space="preserve">Income not derived from work / Income from other rents                                                                                                                                              </t>
  </si>
  <si>
    <t xml:space="preserve">Ingreso no proveniente del trabajo / Ingresos por otras rentas </t>
  </si>
  <si>
    <t>No income source in the last 3 months and used exclusively savings / debts</t>
  </si>
  <si>
    <t xml:space="preserve">Sin ingresos en los últimos 3 meses y ha hecho uso de ahorros o deuda exclusivamente </t>
  </si>
  <si>
    <t>gender_inc_1</t>
  </si>
  <si>
    <t>Joint (both male &amp; female)</t>
  </si>
  <si>
    <t>Ambos</t>
  </si>
  <si>
    <t>gender_inc_2</t>
  </si>
  <si>
    <t>Male household member(s)</t>
  </si>
  <si>
    <t>Miembro(s) masculino(s) del hogar</t>
  </si>
  <si>
    <t>Female household member(s)</t>
  </si>
  <si>
    <t>Miembro(s) femenino(s) del hogar</t>
  </si>
  <si>
    <t>Joint household members (both female &amp; male)</t>
  </si>
  <si>
    <t>Ambos miembro(s) femenino(s) y masculino(s)</t>
  </si>
  <si>
    <t>change</t>
  </si>
  <si>
    <t>A lot more [increased by more than 50%]</t>
  </si>
  <si>
    <t>Mucho mayor [aumento mayor al 50%]</t>
  </si>
  <si>
    <t>Slightly more</t>
  </si>
  <si>
    <t>Un poco mayor</t>
  </si>
  <si>
    <t>Same</t>
  </si>
  <si>
    <t>El mismo</t>
  </si>
  <si>
    <t>Slightly less</t>
  </si>
  <si>
    <t>Un poco menor</t>
  </si>
  <si>
    <t xml:space="preserve">A lot less [less than half as much] </t>
  </si>
  <si>
    <t>Mucho menor [menos de la mitad]</t>
  </si>
  <si>
    <t>incomesource2</t>
  </si>
  <si>
    <t>Income not derived from work / Income from other rents</t>
  </si>
  <si>
    <t>No second most important source of income</t>
  </si>
  <si>
    <t>Ninguna segunda fuente de ingreso más importante</t>
  </si>
  <si>
    <t>incomesource3</t>
  </si>
  <si>
    <t xml:space="preserve">Income not derived from work / Income from other rents                                </t>
  </si>
  <si>
    <t>No third most important source of income</t>
  </si>
  <si>
    <t>Ninguna tercera fuente de ingreso más importante</t>
  </si>
  <si>
    <t>noshock</t>
  </si>
  <si>
    <t>No shock</t>
  </si>
  <si>
    <t>Sin afectación</t>
  </si>
  <si>
    <t>sicknessordeathofhh</t>
  </si>
  <si>
    <t>Sickness or accident or death of household member[s] [sickness of breadwinner / unusually high medical expenditure / funeral expenses / death of breadwinner]</t>
  </si>
  <si>
    <t>Enfermedad, accidente o muerte de miembro[s] del hogar [enfermedad del proveedor  económico de la familia/gastos médicos inusualmente altos/gastos funerarios/muerte del proveedor económico de la familia]</t>
  </si>
  <si>
    <t>lostemplorwork</t>
  </si>
  <si>
    <t>Lost employment or working opportunities [not due to illness/accident]</t>
  </si>
  <si>
    <t>Pérdida de empleo u oportunidades laborales [aplíca principalmente para trabajo por dias]</t>
  </si>
  <si>
    <t>otherintrahhshock</t>
  </si>
  <si>
    <t>Other intra-household shock</t>
  </si>
  <si>
    <t>Otros impactos dentro del hogar</t>
  </si>
  <si>
    <t>higherfoodprices</t>
  </si>
  <si>
    <t>Unusually high food prices</t>
  </si>
  <si>
    <t>Precios de los alimentos mucho más altos de lo habitual</t>
  </si>
  <si>
    <t>higherfuelprices</t>
  </si>
  <si>
    <t>Unusually high fuel prices or transport prices</t>
  </si>
  <si>
    <t>Precios de combustibles mucho más altos de lo usual</t>
  </si>
  <si>
    <t>mvtrestrict</t>
  </si>
  <si>
    <t>Population movement restrictions [e.g. due to epidemic or infrastructure damage]</t>
  </si>
  <si>
    <t>Eventos externos [restricciones por COVID-19, inseguridad, daños a la infrastructura, etc.] que impiden la continuación del trabajo o negocio</t>
  </si>
  <si>
    <t>othereconomicshock</t>
  </si>
  <si>
    <t xml:space="preserve">Other economic shock </t>
  </si>
  <si>
    <t>Otras afectaciones económicas</t>
  </si>
  <si>
    <t>pestoutbreak</t>
  </si>
  <si>
    <t>Pest outbreak</t>
  </si>
  <si>
    <t>Brote de plagas</t>
  </si>
  <si>
    <t>plantdisease</t>
  </si>
  <si>
    <t>Plant disease</t>
  </si>
  <si>
    <t>Enfermedad en plantas</t>
  </si>
  <si>
    <t>animaldisease</t>
  </si>
  <si>
    <t>Animal disease [affecting many animals] or death</t>
  </si>
  <si>
    <t xml:space="preserve">Enfermedad o muerte que afecta a muchos animales </t>
  </si>
  <si>
    <t>napasture</t>
  </si>
  <si>
    <t>Lack of physical access to pasture</t>
  </si>
  <si>
    <t>Falta de acceso a pastos [a causa del conflicto/ daño a la infraestructura / restricciones por  COVID-19]</t>
  </si>
  <si>
    <t>othercropandlivests</t>
  </si>
  <si>
    <t>Other crop and livestock shock</t>
  </si>
  <si>
    <t>Otras afectaciones en la agricultura y ganadería</t>
  </si>
  <si>
    <t>coldtemporhail</t>
  </si>
  <si>
    <t>Cold temperatures or hail</t>
  </si>
  <si>
    <t>Bajas temperaturas o granizadas</t>
  </si>
  <si>
    <t>flood</t>
  </si>
  <si>
    <t>Flood / riverbank erosion</t>
  </si>
  <si>
    <t xml:space="preserve">Inundación, desbordamiento de ríos o costas, erosión fluvial </t>
  </si>
  <si>
    <t>hurricane</t>
  </si>
  <si>
    <t>Hurricane / cyclone / tornado</t>
  </si>
  <si>
    <t>Huracán / Ciclón / Tornado</t>
  </si>
  <si>
    <t>drought</t>
  </si>
  <si>
    <t>Drought / heat stress</t>
  </si>
  <si>
    <t>Sequía / afectación de cultivo por exceso de calor</t>
  </si>
  <si>
    <t>earthquake</t>
  </si>
  <si>
    <t>Earthquake</t>
  </si>
  <si>
    <t>Terremoto</t>
  </si>
  <si>
    <t>landslides</t>
  </si>
  <si>
    <t>Landslides</t>
  </si>
  <si>
    <t>Deslizamiento de tierra</t>
  </si>
  <si>
    <t>firenatural</t>
  </si>
  <si>
    <t>Fire from natural disaster</t>
  </si>
  <si>
    <t>Incendio natural/forestal</t>
  </si>
  <si>
    <t>othernathazard</t>
  </si>
  <si>
    <t>Other natural hazard</t>
  </si>
  <si>
    <t>Otro peligro natural</t>
  </si>
  <si>
    <t>violenceinsecconf</t>
  </si>
  <si>
    <t>Violence and insecurity / conflict</t>
  </si>
  <si>
    <t>Violencia e inseguridad/ conflicto</t>
  </si>
  <si>
    <t>theftofprodassets</t>
  </si>
  <si>
    <t>Theft of production assets [land / livestock / tools / etc]</t>
  </si>
  <si>
    <t>Robos de activos para la producción [tierra / ganado / herramientas / etc]</t>
  </si>
  <si>
    <t>firemanmade</t>
  </si>
  <si>
    <t>Fire from man-made disaster</t>
  </si>
  <si>
    <t>Incendios provocados por el hombre</t>
  </si>
  <si>
    <t>othermanmadehazard</t>
  </si>
  <si>
    <t>Other human-induced hazard</t>
  </si>
  <si>
    <t>Otro peligro causado por el hombre</t>
  </si>
  <si>
    <t>covidmeasures</t>
  </si>
  <si>
    <t>goodstransp</t>
  </si>
  <si>
    <t>Movement restrictions [sometimes producing product scarcity or price hikes]</t>
  </si>
  <si>
    <t>Restricciones a la movilidad de mercancías [que a veces provocan escasez de productos o aumento de precios]</t>
  </si>
  <si>
    <t>marketclosed</t>
  </si>
  <si>
    <t>Closure of food markets or other businesses</t>
  </si>
  <si>
    <t>Cierre de mercado de alimentos u otros negocios</t>
  </si>
  <si>
    <t>borderclosed</t>
  </si>
  <si>
    <t>Closure of international borders [affecting the purchase of imported inputs or the sale of goods for export or transhumance]</t>
  </si>
  <si>
    <t xml:space="preserve">Cierre de fronteras internacionales [afectando las compras de insumos importados o la venta de bienes para la exportación o trashumancia] </t>
  </si>
  <si>
    <t>stayhome</t>
  </si>
  <si>
    <t>Stay at home order</t>
  </si>
  <si>
    <t>Obligación de permanecer en casa</t>
  </si>
  <si>
    <t>gatherings</t>
  </si>
  <si>
    <t>Ban on gatherings</t>
  </si>
  <si>
    <t>Prohibición de reuniones</t>
  </si>
  <si>
    <t>processclosed</t>
  </si>
  <si>
    <t>Closure of food processors [slaughterhouse / dairy cooperatives / etc] or restaurants</t>
  </si>
  <si>
    <t>Cierre de procesadoras de alimentos[centros de beneficio animal/ cooperativas lácteas/ etc] o restaurantes</t>
  </si>
  <si>
    <t>curfew</t>
  </si>
  <si>
    <t>Curfews</t>
  </si>
  <si>
    <t>Toques de queda</t>
  </si>
  <si>
    <t>school</t>
  </si>
  <si>
    <t>Closure of schools</t>
  </si>
  <si>
    <t>Cierre de escuelas</t>
  </si>
  <si>
    <t>Other [specify]</t>
  </si>
  <si>
    <t>Otro [especificar]</t>
  </si>
  <si>
    <t>Not affected by restrictions</t>
  </si>
  <si>
    <t>No afectado por las restricciones</t>
  </si>
  <si>
    <t>landsize_unit</t>
  </si>
  <si>
    <t>Acres</t>
  </si>
  <si>
    <t>Hectares</t>
  </si>
  <si>
    <t>Hectáreas</t>
  </si>
  <si>
    <t>Square meters</t>
  </si>
  <si>
    <t>Metros cuadrados</t>
  </si>
  <si>
    <t>Square feet</t>
  </si>
  <si>
    <t>Pies cuadrados</t>
  </si>
  <si>
    <t>#local measurement unit#</t>
  </si>
  <si>
    <t>#local measurement unit ES#</t>
  </si>
  <si>
    <t>cropcheck</t>
  </si>
  <si>
    <t xml:space="preserve">Don’t usually produce during this season </t>
  </si>
  <si>
    <t>Normalmente no produce durante está temporada</t>
  </si>
  <si>
    <t>Wasn't able to produce (e.g. due to difficulties)</t>
  </si>
  <si>
    <t>No pudo producir (por difícultades, por ejemplo)</t>
  </si>
  <si>
    <t>irrigation</t>
  </si>
  <si>
    <t>Rainfed</t>
  </si>
  <si>
    <t>Agua lluvia</t>
  </si>
  <si>
    <t>Groundwater</t>
  </si>
  <si>
    <t>Agua subterranea</t>
  </si>
  <si>
    <t>Natural surface water [river, lake, stream, pond, etc.]</t>
  </si>
  <si>
    <t>Agua natural superficial [río / lago / arroyo / estanque / etc.]</t>
  </si>
  <si>
    <t>Constructed water point [canal, dam, etc.]</t>
  </si>
  <si>
    <t>Punto de agua construido [canal / presa / etc.]</t>
  </si>
  <si>
    <t>Public water supply system [e.g. tap water]</t>
  </si>
  <si>
    <t>Sistema de abastecimiento de agua público [ej. agua de grifo]</t>
  </si>
  <si>
    <t>irrigpump</t>
  </si>
  <si>
    <t>No, everything works on gravity</t>
  </si>
  <si>
    <t>No, todo funciona por gravedad</t>
  </si>
  <si>
    <t>Yes, there is a communal diesel/gas pump</t>
  </si>
  <si>
    <t>Si, hay una bomba comunal que funciona con diesel/gasolina</t>
  </si>
  <si>
    <t>Yes, there is a communal manual pump</t>
  </si>
  <si>
    <t>Si, hay una bomba comunal que funciona manualmente</t>
  </si>
  <si>
    <t>Yes, there is a manual pump in my field</t>
  </si>
  <si>
    <t>Si, hay una bomba manual que funciona en mi predio</t>
  </si>
  <si>
    <t>Yes, there is a diesel pump in my field</t>
  </si>
  <si>
    <t>Si, hay una bomba que funciona con diesel/gasolina en mi predio</t>
  </si>
  <si>
    <t xml:space="preserve">NO RESPONDE </t>
  </si>
  <si>
    <t>seedsupply</t>
  </si>
  <si>
    <t>ownprod</t>
  </si>
  <si>
    <t>Own production</t>
  </si>
  <si>
    <t>Producción propia</t>
  </si>
  <si>
    <t>market</t>
  </si>
  <si>
    <t>Local market or agro-input shop / dealer</t>
  </si>
  <si>
    <t>Mercado local o tienda/vendedor de agroinsumos</t>
  </si>
  <si>
    <t>company</t>
  </si>
  <si>
    <t>Private seed company</t>
  </si>
  <si>
    <t>Empresa privada de semillas</t>
  </si>
  <si>
    <t>ngo</t>
  </si>
  <si>
    <t>NGOs</t>
  </si>
  <si>
    <t>ONG</t>
  </si>
  <si>
    <t>organized_community</t>
  </si>
  <si>
    <t>Community seed banks / farmer networks / farmers' association / etc.</t>
  </si>
  <si>
    <t>Banco de semillas comunitario / redes de agricultores / organización de productores / etc.</t>
  </si>
  <si>
    <t>gov</t>
  </si>
  <si>
    <t>Government [e.g. MoA]</t>
  </si>
  <si>
    <t>Gobierno [ej. Ministerio de Agricultura]</t>
  </si>
  <si>
    <t>relatives_friends</t>
  </si>
  <si>
    <t>Relatives or friends</t>
  </si>
  <si>
    <t>Familiares o amigos</t>
  </si>
  <si>
    <t>Other</t>
  </si>
  <si>
    <t>Otro</t>
  </si>
  <si>
    <t>harv_unit</t>
  </si>
  <si>
    <t>Kilograms [kgs]</t>
  </si>
  <si>
    <t>Kilogramos [Kgs]</t>
  </si>
  <si>
    <t>Tonnes</t>
  </si>
  <si>
    <t>Toneladas</t>
  </si>
  <si>
    <t>Ounces</t>
  </si>
  <si>
    <t>Onzas</t>
  </si>
  <si>
    <t>Pounds</t>
  </si>
  <si>
    <t>Libras</t>
  </si>
  <si>
    <t>Bags</t>
  </si>
  <si>
    <t>Costales/bolsas</t>
  </si>
  <si>
    <t>Boxes</t>
  </si>
  <si>
    <t>Cajas</t>
  </si>
  <si>
    <t>Bundles</t>
  </si>
  <si>
    <t>Manojos / fajos /bultos</t>
  </si>
  <si>
    <t>Packets</t>
  </si>
  <si>
    <t>Paquetes</t>
  </si>
  <si>
    <t>Otro (especifique)</t>
  </si>
  <si>
    <t>cropproddiff</t>
  </si>
  <si>
    <t>plant_disease</t>
  </si>
  <si>
    <t xml:space="preserve">Plant disease </t>
  </si>
  <si>
    <t>Enfermedad del cultivo</t>
  </si>
  <si>
    <t>pest_outbreak</t>
  </si>
  <si>
    <t>Pest outbreak [including birds]</t>
  </si>
  <si>
    <t>Brote de plagas [incluyendo aves]</t>
  </si>
  <si>
    <t>animal_grazing</t>
  </si>
  <si>
    <t>Uncontrolled animal grazing</t>
  </si>
  <si>
    <t>Pastoreo de animales sin control</t>
  </si>
  <si>
    <t>access_plot</t>
  </si>
  <si>
    <t>Access to plot</t>
  </si>
  <si>
    <t>Acceso a terreno</t>
  </si>
  <si>
    <t>access_fertilize</t>
  </si>
  <si>
    <t>Access to fertilizer [not available on markets or prices too high]</t>
  </si>
  <si>
    <t>Acceso a fertilizantes [no disponible en el mercado o los precios son muy altos]</t>
  </si>
  <si>
    <t>seed_quality</t>
  </si>
  <si>
    <t>Access to quality seeds</t>
  </si>
  <si>
    <t>Acceso a semillas de calidad</t>
  </si>
  <si>
    <t>seed_quantity</t>
  </si>
  <si>
    <t>Access to enough seeds [not available on markets or prices too high]</t>
  </si>
  <si>
    <t>Acceso a suficientes semillas</t>
  </si>
  <si>
    <t>access_pesticide</t>
  </si>
  <si>
    <t>Access to pesticides</t>
  </si>
  <si>
    <t>Acceso a pesticidas</t>
  </si>
  <si>
    <t>access_labour</t>
  </si>
  <si>
    <t>Access to manpower labour</t>
  </si>
  <si>
    <t>Acceso a mano de obra o mano de obra adicional</t>
  </si>
  <si>
    <t>access_machinery</t>
  </si>
  <si>
    <t>Access to machinery, tools or animals for ploughing</t>
  </si>
  <si>
    <t>Acceso a maquinaria, herramientas o animales para arar</t>
  </si>
  <si>
    <t>access_fuel</t>
  </si>
  <si>
    <t>Access to fuel or electricity to power agricultural equipment</t>
  </si>
  <si>
    <t>Acceso a combustible o electricidad para alimentar equipos agrícolas</t>
  </si>
  <si>
    <t>soil_erosion</t>
  </si>
  <si>
    <t>Soil erosion</t>
  </si>
  <si>
    <t>Erosión del suelo</t>
  </si>
  <si>
    <t>lack_irrigation</t>
  </si>
  <si>
    <t xml:space="preserve">Not enough irrigation or rainfall water </t>
  </si>
  <si>
    <t>Insuficiente agua para el riego o poca lluvia</t>
  </si>
  <si>
    <t>excess_water</t>
  </si>
  <si>
    <t>Too much irrigation or water</t>
  </si>
  <si>
    <t>Demasiada irrigación / agua</t>
  </si>
  <si>
    <t>access_credit</t>
  </si>
  <si>
    <t>Access to credit</t>
  </si>
  <si>
    <t>Acceso a crédito</t>
  </si>
  <si>
    <t>storage</t>
  </si>
  <si>
    <t>None</t>
  </si>
  <si>
    <t>Ninguna</t>
  </si>
  <si>
    <t>A little</t>
  </si>
  <si>
    <t>Un poco</t>
  </si>
  <si>
    <t>An important part of it, but less than half</t>
  </si>
  <si>
    <t>Una parte importante, pero menos de la mitad</t>
  </si>
  <si>
    <t>Most of it [half or more]</t>
  </si>
  <si>
    <t>La mayoría [la mitad o más]</t>
  </si>
  <si>
    <t>Almost everything</t>
  </si>
  <si>
    <t>Casi toda</t>
  </si>
  <si>
    <t>Everything</t>
  </si>
  <si>
    <t>Toda</t>
  </si>
  <si>
    <t>cropsalesdiff</t>
  </si>
  <si>
    <t>marketing_cost</t>
  </si>
  <si>
    <t>High transportation or other marketing costs</t>
  </si>
  <si>
    <t>Altos costos de transporte u otros costos de comercialización</t>
  </si>
  <si>
    <t>damage_losses</t>
  </si>
  <si>
    <t>Damages and losses due to storage difficulties and/or difficulty accessing the market [e.g. insecurity, poor infrastructure, etc.]</t>
  </si>
  <si>
    <t>Daños y pérdidas debido a dificultades con el almacenamiento y/o dificultades accediendo al mercado [ej. inseguridad, mala infraestructura, etc.]</t>
  </si>
  <si>
    <t>low_demand</t>
  </si>
  <si>
    <t xml:space="preserve">Lack of demand from usual traders or buyers </t>
  </si>
  <si>
    <t>Poca demanda de los comerciantes o compradores</t>
  </si>
  <si>
    <t>pay_delay</t>
  </si>
  <si>
    <t>Payment delays from traders / buyers</t>
  </si>
  <si>
    <t>Retraso en los pagos de parte de comerciantes o compradores</t>
  </si>
  <si>
    <t>low_price</t>
  </si>
  <si>
    <t>Low selling prices [e.g. compared to input prices / inflation]</t>
  </si>
  <si>
    <t>Bajos precios de venta [ej. comparado con los precios de insumos / inflación]</t>
  </si>
  <si>
    <t>processing</t>
  </si>
  <si>
    <t>Difficulty processing product [lack of processing inputs / equipment / etc]</t>
  </si>
  <si>
    <t>Dificultades procesando los productos [falta de insumos / equipo de procesamiento]</t>
  </si>
  <si>
    <t>competition</t>
  </si>
  <si>
    <t>Market flooded with products</t>
  </si>
  <si>
    <t>Mercado saturado del mismo producto</t>
  </si>
  <si>
    <t>Cattle [cow / beef / veal / yak / buffalo]</t>
  </si>
  <si>
    <t>Bovinos [vaca / ternero / yak / búfalo]</t>
  </si>
  <si>
    <t>Goat</t>
  </si>
  <si>
    <t>Cabras</t>
  </si>
  <si>
    <t>Sheep</t>
  </si>
  <si>
    <t>Ovejas</t>
  </si>
  <si>
    <t>Swine [swine / boar / hog / etc]</t>
  </si>
  <si>
    <t>Porcinos [cerdo/ jabalí]</t>
  </si>
  <si>
    <t>Equine [donkey / horse / etc]</t>
  </si>
  <si>
    <t>Equinos [burro / caballo]</t>
  </si>
  <si>
    <t>Small domesticated mammals [rabbits / minks / guinea pigs / etc]</t>
  </si>
  <si>
    <t>Pequeños mamíferos domesticados [conejos / cuyes / conejillo de indias / etc.]</t>
  </si>
  <si>
    <t>Poultry [chicken / guineafowl / duck / quail / turkey / etc]</t>
  </si>
  <si>
    <t>Aves de corral [pollos / codornices / pavo / pato / etc.]</t>
  </si>
  <si>
    <t>Camelids</t>
  </si>
  <si>
    <t>Camélidos [alpaca / guanaco / llama]</t>
  </si>
  <si>
    <t>lsnum</t>
  </si>
  <si>
    <t>no_change</t>
  </si>
  <si>
    <t>No significant change in livestock number</t>
  </si>
  <si>
    <t>No hubo cambios significativos en el número de cabezas de ganado/animales</t>
  </si>
  <si>
    <t>inc_less_sales</t>
  </si>
  <si>
    <t>Did not sell as many</t>
  </si>
  <si>
    <t>No vendió tantos</t>
  </si>
  <si>
    <t>inc_more_birth</t>
  </si>
  <si>
    <t>Many more were born</t>
  </si>
  <si>
    <t>Hubo mayores nacimientos</t>
  </si>
  <si>
    <t>inc_more_acquired</t>
  </si>
  <si>
    <t>Purchased or bartered more animals this year</t>
  </si>
  <si>
    <t>Compró o intercambió más animales este año</t>
  </si>
  <si>
    <t>inc_received_free</t>
  </si>
  <si>
    <t>Received animals for free [restocking, gift]</t>
  </si>
  <si>
    <t>Recibió ganado/animales gratis [repobló, regalo, ayuda humanitaria]</t>
  </si>
  <si>
    <t>dec_poor_health</t>
  </si>
  <si>
    <t>Animal death due to malnutrition, drought, lack of feed</t>
  </si>
  <si>
    <t>Los animales murieron por desnutrición, sequía, falta de alimento</t>
  </si>
  <si>
    <t>dec_death</t>
  </si>
  <si>
    <t>Animal death due to other factors [e.g. diseases, parasites, injury]</t>
  </si>
  <si>
    <t>Los animales murieron por por otros factores [ej. enfermedades, parásitos, lesiones]</t>
  </si>
  <si>
    <t>dec_sales_good_price</t>
  </si>
  <si>
    <t>Sold more than usual because of good prices</t>
  </si>
  <si>
    <t>Vendió más de lo habitual debido a los buenos precios</t>
  </si>
  <si>
    <t>dec_sales_distress</t>
  </si>
  <si>
    <t>Sold more than usual because of distress sales [unable to feed animal, need money urgently for household basic needs even if sales were unsustainable]</t>
  </si>
  <si>
    <t>Vendió más de lo habitual debido a medidas de emergencia [incapacidad de alimentar animales / necesidad urgente de dinero para las necesidades del hogar, incluso si las ventas fuesen insostenibles]</t>
  </si>
  <si>
    <t>dec_escape_stolen</t>
  </si>
  <si>
    <t>Animal escaped or was lost or stolen</t>
  </si>
  <si>
    <t>Los animales escaparon, se perdieron o fueron robados</t>
  </si>
  <si>
    <t>dec_consumed</t>
  </si>
  <si>
    <t>Killed or gave away more animals than usual for household consumption or celebrations [marriage, funerals, etc]</t>
  </si>
  <si>
    <t>Sacrificó más animales de lo habitual, destinados para el consumo doméstico o celebraciones [matrimonios / funerales / etc]</t>
  </si>
  <si>
    <t>inc_dec_other</t>
  </si>
  <si>
    <t>inc_dec_dk</t>
  </si>
  <si>
    <t>inc_dec_ref</t>
  </si>
  <si>
    <t>lsfood</t>
  </si>
  <si>
    <t>open_pasture</t>
  </si>
  <si>
    <t>Open pasture</t>
  </si>
  <si>
    <t>Pastizales abiertos</t>
  </si>
  <si>
    <t>common_pasture</t>
  </si>
  <si>
    <t>Community-managed pasture land</t>
  </si>
  <si>
    <t>Pastizales comunitarios gestionados por la comunidad</t>
  </si>
  <si>
    <t>self_produced</t>
  </si>
  <si>
    <t>Owned or rented field or self-produced fodder</t>
  </si>
  <si>
    <t>Campo propio, alquilado o forrajes de producción propia</t>
  </si>
  <si>
    <t>purchased</t>
  </si>
  <si>
    <t>Purchase feed or fodder at the market</t>
  </si>
  <si>
    <t>Comprar alimento o forraje en los mercados</t>
  </si>
  <si>
    <t>free_dist</t>
  </si>
  <si>
    <t>Free distribution</t>
  </si>
  <si>
    <t>Distribución gratuita</t>
  </si>
  <si>
    <t xml:space="preserve">Other </t>
  </si>
  <si>
    <t>lsproddiff</t>
  </si>
  <si>
    <t>feed_purchase</t>
  </si>
  <si>
    <t>Difficulty to purchase feed [prices or access to market]</t>
  </si>
  <si>
    <t>Dificultad para comprar alimentos [ej. precios o acceso al mercado]</t>
  </si>
  <si>
    <t>access_pasture</t>
  </si>
  <si>
    <t>Access to pasture</t>
  </si>
  <si>
    <t>Acceso restringido a pastos</t>
  </si>
  <si>
    <t>access_water</t>
  </si>
  <si>
    <t>Access to water</t>
  </si>
  <si>
    <t>Acceso restringido a agua</t>
  </si>
  <si>
    <t>vet_serv</t>
  </si>
  <si>
    <t>Access to veterinary services [vaccinations, treatments, spraying, advisory etc]</t>
  </si>
  <si>
    <t>Acceso restringido a servicios veterinarios [vacunas / tratamientos / baños / asesoramiento / etc]</t>
  </si>
  <si>
    <t>vet_input</t>
  </si>
  <si>
    <t>Access to veterinary inputs [medicine for animals / tools for animal health / etc]</t>
  </si>
  <si>
    <t>Acceso a insumos veterinarios [medicamentos para animales / herramientas para la salud de los animales / etc]</t>
  </si>
  <si>
    <t>diseases</t>
  </si>
  <si>
    <t>Livestock diseases or injury</t>
  </si>
  <si>
    <t>Muerte o enfermedad del ganado / animales</t>
  </si>
  <si>
    <t>theft</t>
  </si>
  <si>
    <t>Livestock theft</t>
  </si>
  <si>
    <t>Robo de ganado / animales</t>
  </si>
  <si>
    <t>access_market</t>
  </si>
  <si>
    <t>Access to livestock market to buy young animals</t>
  </si>
  <si>
    <t>Acceso restringido al mercado de ganado / animales, que le permita comprar animales jóvenes</t>
  </si>
  <si>
    <t>Acceso restringido a crédito</t>
  </si>
  <si>
    <t>Acceso restringido a mano de obra [Mano de obra demasiado costosa / ingresos insuficientes para contratarla / no hay mano de obra disponible.]</t>
  </si>
  <si>
    <t xml:space="preserve">NO SABE </t>
  </si>
  <si>
    <t>lsmain2</t>
  </si>
  <si>
    <t>No other livestock</t>
  </si>
  <si>
    <t>No tiene más animales</t>
  </si>
  <si>
    <t>salesmain</t>
  </si>
  <si>
    <t>Equine [donkey / horse / etc.]</t>
  </si>
  <si>
    <t>Poultry [chicken / guineafowl / duck / quail / turkey / etc.]</t>
  </si>
  <si>
    <t>Eggs</t>
  </si>
  <si>
    <t>Huevos</t>
  </si>
  <si>
    <t>Milk or dairy products</t>
  </si>
  <si>
    <t>Leche o productos lácteos</t>
  </si>
  <si>
    <t>Skin or leather or wool</t>
  </si>
  <si>
    <t>Pieles, cuero o lana</t>
  </si>
  <si>
    <t>lssalesdif</t>
  </si>
  <si>
    <t xml:space="preserve">Damage and losses during transportation or difficulty accessing the market </t>
  </si>
  <si>
    <t>Daños y pérdidas debido a dificultades con el transporte y/o dificultades accediendo al mercado</t>
  </si>
  <si>
    <t>Lack of demand from usual traders or buyers</t>
  </si>
  <si>
    <t>slaughterhouse</t>
  </si>
  <si>
    <t>Closure of slaughterhouses or difficulties accessing slaughterhouses</t>
  </si>
  <si>
    <t>Cierre del centro de beneficio animal o dificultades para acceder a él</t>
  </si>
  <si>
    <t>Difficulties processing product other than closure of slaughterhouse [lack of access to processing inputs / equipment / etc]</t>
  </si>
  <si>
    <t>Dificultades para procesar el producto distintos al cierre del centro de beneficio animal [dificultad para acceder a insumos / equipo para el procesamiento / etc]</t>
  </si>
  <si>
    <t>fishactivity</t>
  </si>
  <si>
    <t>coastal</t>
  </si>
  <si>
    <t>Near coastal, delta, lagoon fishing</t>
  </si>
  <si>
    <t>Pesca costera, delta, laguna</t>
  </si>
  <si>
    <t>offshore_sea</t>
  </si>
  <si>
    <t>Offshore sea fishing</t>
  </si>
  <si>
    <t>Pesca en alta mar</t>
  </si>
  <si>
    <t>freshwater</t>
  </si>
  <si>
    <t>Freshwater fishing [in lakes, reservoirs, ponds, rivers, or wetlands]</t>
  </si>
  <si>
    <t>Pesca en agua dulce [en lagos, embalses, estanques, ríos o humedales]</t>
  </si>
  <si>
    <t>aquaculture</t>
  </si>
  <si>
    <t>Aquaculture</t>
  </si>
  <si>
    <t>Acuicultura</t>
  </si>
  <si>
    <t>fishproddiff</t>
  </si>
  <si>
    <t>find_fish</t>
  </si>
  <si>
    <t>Fish is more difficult to find than in previous years in the same season [fishing]</t>
  </si>
  <si>
    <t>Los peces son más difíciles de encontrar que en los años anteriores durante la misma temporada [pesca]</t>
  </si>
  <si>
    <t>pests</t>
  </si>
  <si>
    <t>Fish pests and diseases [aquaculture]</t>
  </si>
  <si>
    <t>Plagas y enfermedades en los peces [acuicultura]</t>
  </si>
  <si>
    <t>access_area</t>
  </si>
  <si>
    <t>Access to fishing or aquaculture area [e.g. due to weather conditions]</t>
  </si>
  <si>
    <t>Acceso restringido a la zona de pesca o acuicultura [ej. debido al clima o seguridad]</t>
  </si>
  <si>
    <t>fuel</t>
  </si>
  <si>
    <t>Access to fuel [prices higher or not available]</t>
  </si>
  <si>
    <t>Acceso restringido a combustible [precios más altos o no está disponible]</t>
  </si>
  <si>
    <t>input_access</t>
  </si>
  <si>
    <t>Access to other fishing or culture inputs [prices higher or not available]</t>
  </si>
  <si>
    <t>Acceso restringido a otros insumos para la pesca o siembra [precios más altos o no está disponible]</t>
  </si>
  <si>
    <t>labour</t>
  </si>
  <si>
    <t>Access to labour or crew labour [prices higher or not available]</t>
  </si>
  <si>
    <t>Acceso restringido a mano de obra o mano de obra comunitaria [precios más altos o no está disponible]</t>
  </si>
  <si>
    <t>infrastructure</t>
  </si>
  <si>
    <t>Damage or destruction of infrastructure [ponds, cages, ports, landing sites]</t>
  </si>
  <si>
    <t>Daño o destrucción de infraestructura [estanques, jaulas, puertos, sitios de embarque]</t>
  </si>
  <si>
    <t>damage_equip</t>
  </si>
  <si>
    <t>Damage or destruction of boats or gears</t>
  </si>
  <si>
    <t>Daño o destrucción de embarcaciones o herramientas [artes de pesca]</t>
  </si>
  <si>
    <t>fishinput</t>
  </si>
  <si>
    <t>bait_feed</t>
  </si>
  <si>
    <t>Feed or bait</t>
  </si>
  <si>
    <t>Cebos o alimentos para pescar</t>
  </si>
  <si>
    <t>fingerling</t>
  </si>
  <si>
    <t>Fingerling</t>
  </si>
  <si>
    <t>Alevinos</t>
  </si>
  <si>
    <t>gear</t>
  </si>
  <si>
    <t>Fishing gear [e.g. rods, hooks, nets]</t>
  </si>
  <si>
    <t>Herramientas para la pesca [ej. cañas, anzuelos, redes]</t>
  </si>
  <si>
    <t>ice</t>
  </si>
  <si>
    <t>Ice</t>
  </si>
  <si>
    <t>Hielo</t>
  </si>
  <si>
    <t>Fuel</t>
  </si>
  <si>
    <t>Combustible</t>
  </si>
  <si>
    <t>boatrepairs</t>
  </si>
  <si>
    <t>Equipment repairs [including boats] or spare parts</t>
  </si>
  <si>
    <t>Reparaciones de equipos [incluyendo botes] o respuestos</t>
  </si>
  <si>
    <t>Labour</t>
  </si>
  <si>
    <t>Mano de obra</t>
  </si>
  <si>
    <t>fishsales</t>
  </si>
  <si>
    <t>Fresh product [any kind, including invertebrates]</t>
  </si>
  <si>
    <t>Producto fresco [de cualquier tipo, incluyendo invertebrados]</t>
  </si>
  <si>
    <t>Preserved product [including dry, smoked, fermented, salted]</t>
  </si>
  <si>
    <t>Producto en conserva [incluyendo seco, ahumado, fermentado, salado]</t>
  </si>
  <si>
    <t>Frozen product</t>
  </si>
  <si>
    <t>Producto congelado</t>
  </si>
  <si>
    <t>Canned product</t>
  </si>
  <si>
    <t>Producto enlatado</t>
  </si>
  <si>
    <t>fishsalesdif</t>
  </si>
  <si>
    <t>Deterioration and losses due to storage difficulties or delays or inability to physically access markets</t>
  </si>
  <si>
    <t>Daños y pérdidas debido a dificultades con el almacenamiento o retrazos, inhabilidad para acceder a los mercados</t>
  </si>
  <si>
    <t>Lack of demand from usual buyers/traders</t>
  </si>
  <si>
    <t xml:space="preserve">Payment delays from traders/buyers </t>
  </si>
  <si>
    <t>low_prices</t>
  </si>
  <si>
    <t>Difficulties processing product [lack of access to processing inputs / equipment / etc]</t>
  </si>
  <si>
    <t>Dificultades para procesar el producto [dificultad para acceder a insumos / equipo para el procesamiento / etc]</t>
  </si>
  <si>
    <t>Market flooded with product</t>
  </si>
  <si>
    <t>frequency</t>
  </si>
  <si>
    <t>Rarely (1-2 times in the past 30 days)</t>
  </si>
  <si>
    <t>Rara vez (1-2 veces en los últimos 30 días)</t>
  </si>
  <si>
    <t>Sometimes (3-10 times in the past 30 days)</t>
  </si>
  <si>
    <t>A veces (3-10 veces en los últimos 30 días)</t>
  </si>
  <si>
    <t>Often (more than 10 times in the last 30 days)</t>
  </si>
  <si>
    <t>A menudo (más de 10 días en los últimos 30 días)</t>
  </si>
  <si>
    <t xml:space="preserve">DON'T KNOW </t>
  </si>
  <si>
    <t>coping</t>
  </si>
  <si>
    <t>No - because it wasn’t necessary</t>
  </si>
  <si>
    <t>No - no fue necesario</t>
  </si>
  <si>
    <t>No - because you already sold those assets or did this activity within the last 12 months and you cannot continue to do it</t>
  </si>
  <si>
    <t>No - porque ya vendió esos activos o realizó esta actividad en los últimos 12 meses y no puede continuar haciéndola</t>
  </si>
  <si>
    <t>Not applicable</t>
  </si>
  <si>
    <t>No aplica</t>
  </si>
  <si>
    <t>cereals</t>
  </si>
  <si>
    <t>Cereals [sorghum / millet / corn / wheat / rice / spaghetti / bread or insert any other locally available grain]</t>
  </si>
  <si>
    <t>Cereales [sorgo / mijo / maíz / trigo / arroz / espaguetis / pan o cualquier otro grano disponible localmente]</t>
  </si>
  <si>
    <t>rootstubers</t>
  </si>
  <si>
    <t>Roots and tubers [white sweet potato / potato / yam / cassava or other tubers]</t>
  </si>
  <si>
    <t>Raíces y tubérculos [batata / papa / ñame / mandioca / yuca u otros tubérculos]</t>
  </si>
  <si>
    <t>vegetables</t>
  </si>
  <si>
    <t>Vegetables [all]</t>
  </si>
  <si>
    <t>Verduras [todas]</t>
  </si>
  <si>
    <t>fruits</t>
  </si>
  <si>
    <t>Fruit [all]</t>
  </si>
  <si>
    <t>Fruta [todas]</t>
  </si>
  <si>
    <t>meat</t>
  </si>
  <si>
    <t>Meat, poultry and offal [beef / pork / lamb /goat / rabbit / wild game / chicken / duck or other birds / liver / kidney / heart / or other organ meats]</t>
  </si>
  <si>
    <t>Carnes, aves y visceras [res/cerdo / cordero / cabra / conejo / caza salvaje / pollo / pato / hígado / riñones / corazón / u otras vísceras]</t>
  </si>
  <si>
    <t>eggs</t>
  </si>
  <si>
    <t>fish</t>
  </si>
  <si>
    <t>Fish or shellfish [fresh or dried fish / other seafood]</t>
  </si>
  <si>
    <t>Pescado o marisco [pescado / marisco fresco o seco]</t>
  </si>
  <si>
    <t>legumes</t>
  </si>
  <si>
    <t>Legumes, nuts and seeds [beans / peas / peanut / lentils / almond / and/or other nuts]</t>
  </si>
  <si>
    <t>Leguminosas, frutos secos y semillas [frijoles / guisantes / maní / lentejas / almendras / otros frutos secos]</t>
  </si>
  <si>
    <t>milkdairy</t>
  </si>
  <si>
    <t>Milk and other dairy products [fresh milk / sour / yogurt / cheese / other dairy products]</t>
  </si>
  <si>
    <t>Leche y otros productos lácteos [leche fresca / agria / yogur / queso / otros productos lácteos]</t>
  </si>
  <si>
    <t>oils</t>
  </si>
  <si>
    <t>Oil/fat / butter [cooking / butter / margarine / fat/oil / other oil]</t>
  </si>
  <si>
    <t>Aceites y grasas [para cocinar / mantequilla / margarina / grasa / aceite / otro aceite]</t>
  </si>
  <si>
    <t>sugar</t>
  </si>
  <si>
    <t>Sugar or sugary products [honey / jam / donuts / candy / biscuits / pastries / cakes and other sweet products]</t>
  </si>
  <si>
    <t>Azúcar o productos azucarados [miel / mermelada / rosquillas / caramelos / chocolate / galletas / pasteles / tartas y otros productos dulces]</t>
  </si>
  <si>
    <t>condiments</t>
  </si>
  <si>
    <t>Condiments [cocoa /salt / garlic / spices / yeast or baking powder / tomato or tomato sauce / meat or fish as a condiment] / coffee / tea</t>
  </si>
  <si>
    <t>Condimentos [cacao / sal / ajo / especias / levadura / polvo para hornear / tomate o salsa de tomate / carne o pescado como condimento] y café / té</t>
  </si>
  <si>
    <t>needs</t>
  </si>
  <si>
    <t>food</t>
  </si>
  <si>
    <t>Food</t>
  </si>
  <si>
    <t>Alimento</t>
  </si>
  <si>
    <t>cash</t>
  </si>
  <si>
    <t>Cash</t>
  </si>
  <si>
    <t>Efectivo</t>
  </si>
  <si>
    <t>vouchers_fair</t>
  </si>
  <si>
    <t>Vouchers or input trade fairs</t>
  </si>
  <si>
    <t>Bonos o ferias de insumos</t>
  </si>
  <si>
    <t>crop_inputs</t>
  </si>
  <si>
    <t>Inputs for crop and/or vegetable production [e.g. seeds, fertilizer, tools]</t>
  </si>
  <si>
    <t>Insumos para la producción de cultivos y/o hortalizas [p. semillas, fertilizantes, herramientas]</t>
  </si>
  <si>
    <t>crop_infrastructure</t>
  </si>
  <si>
    <t>Infrastructure for crop and/or vegetable production [e.g. irrigation, canal rehabilitation, pumps]</t>
  </si>
  <si>
    <t>Infraestructura para la producción de cultivos y/o hortalizas [p. riego, rehabilitación de canales, bombas]</t>
  </si>
  <si>
    <t>crop_knowledge</t>
  </si>
  <si>
    <t>Training &amp; technical knowledge/advice for crop production</t>
  </si>
  <si>
    <t>Capacitación y fortalecimiento técnico/asesoramiento para la producción de cultivos</t>
  </si>
  <si>
    <t>Livestock feed [fodder or supplementary feed]</t>
  </si>
  <si>
    <t>Alimento para ganado [forraje o alimento complementario]</t>
  </si>
  <si>
    <t>ls_vet_service</t>
  </si>
  <si>
    <t>Veterinary services [e.g. vaccination, dips, deworming]</t>
  </si>
  <si>
    <t>Servicios veterinarios [ej. vacunación, baños, desparasitación]</t>
  </si>
  <si>
    <t>ls_infrastructure</t>
  </si>
  <si>
    <t>Infrastructure for livestock [e.g. water points, transhumance corridors, shelter, health points]</t>
  </si>
  <si>
    <t>Infraestructura para el ganado [ej. puntos de agua, caminos para el pastoreo, refugio, puntos veterinarios]</t>
  </si>
  <si>
    <t>ls_knowledge</t>
  </si>
  <si>
    <t>Training &amp; technical knowledge/advice for livestock production</t>
  </si>
  <si>
    <t>Capacitación y fortalecimiento técnico/asesoramiento para la producción ganadera</t>
  </si>
  <si>
    <t>fish_inputs</t>
  </si>
  <si>
    <t>Inputs for fishing or aquaculture production</t>
  </si>
  <si>
    <t>Insumos para la producción pesquera o acuícola</t>
  </si>
  <si>
    <t>fish_infrastructure</t>
  </si>
  <si>
    <t>Infrastructure for fisheries or aquaculture production [e.g. rehabilitation of port; repair of ponds]</t>
  </si>
  <si>
    <t>Infraestructura para la producción pesquera o acuícola [rehabilitación del puerto; reparación de estanques]</t>
  </si>
  <si>
    <t>fish_knowledge</t>
  </si>
  <si>
    <t>Training &amp; technical knowledge/advice for fisheries or aquaculture production</t>
  </si>
  <si>
    <t>Capacitación y fortalecimiento técnico/asesoramiento para la producción pesquera o acuícola</t>
  </si>
  <si>
    <t>env_infra_rehab</t>
  </si>
  <si>
    <t>Environmental or infrastructure rehabilitation [community-wide]</t>
  </si>
  <si>
    <t>Rehabilitación ambiental o de infraestructura [en toda la comunidad]</t>
  </si>
  <si>
    <t>cold_storage</t>
  </si>
  <si>
    <t>Cold storage</t>
  </si>
  <si>
    <t>Almacenamiento en frío</t>
  </si>
  <si>
    <t>marketing_supp</t>
  </si>
  <si>
    <t>Marketing or sales support [e.g. public procurement]</t>
  </si>
  <si>
    <t>Soporte de mercadeo o ventas [ej. compras públicas locales]</t>
  </si>
  <si>
    <t>needreceived</t>
  </si>
  <si>
    <t xml:space="preserve">Cash </t>
  </si>
  <si>
    <t>Vouchers/input trade fairs</t>
  </si>
  <si>
    <t>Bonos/ferias de insumos</t>
  </si>
  <si>
    <t>crop_assist</t>
  </si>
  <si>
    <t>Crop and/or vegetable production assistance</t>
  </si>
  <si>
    <t>Asistencia para la producción de cultivos y/o hortalizas</t>
  </si>
  <si>
    <t>ls_assist</t>
  </si>
  <si>
    <t>Livestock assistance</t>
  </si>
  <si>
    <t>Asistencia para la ganadería</t>
  </si>
  <si>
    <t>fish_assist</t>
  </si>
  <si>
    <t>Fisheries and/or aquaculture assistance</t>
  </si>
  <si>
    <t>Asistencia para la pesca y/o acuicultura</t>
  </si>
  <si>
    <t>rehabilitation</t>
  </si>
  <si>
    <t>sales_support</t>
  </si>
  <si>
    <t>Soporte en comercialización o ventas [ej. compras públicas]</t>
  </si>
  <si>
    <t>No assistance received</t>
  </si>
  <si>
    <t>No se recibió asistencia</t>
  </si>
  <si>
    <t>assist_quality</t>
  </si>
  <si>
    <t>Sí</t>
  </si>
  <si>
    <t>No - not received on time</t>
  </si>
  <si>
    <t>No - no la recibió a tiempo</t>
  </si>
  <si>
    <t>No - did not meet my needs</t>
  </si>
  <si>
    <t>No, no satisfizo mis necesidades</t>
  </si>
  <si>
    <t>No - quantity was not sufficient</t>
  </si>
  <si>
    <t>No - la cantidad no fue suficiente</t>
  </si>
  <si>
    <t>No - there was a problem with the provider</t>
  </si>
  <si>
    <t>No, hubo un problema con el proveedor</t>
  </si>
  <si>
    <t>No - there was a malfunction of the in-kind assistance provided [e.g. poor quality tools]</t>
  </si>
  <si>
    <t>No, hubo un mal funcionamiento de la asistencia en especie proporcionada [ej. herramientas de mala calidad]</t>
  </si>
  <si>
    <t>provider</t>
  </si>
  <si>
    <t>fao</t>
  </si>
  <si>
    <t>FAO</t>
  </si>
  <si>
    <t>wfp</t>
  </si>
  <si>
    <t>WFP</t>
  </si>
  <si>
    <t>PMA</t>
  </si>
  <si>
    <t>otherun</t>
  </si>
  <si>
    <t>Other UN agencies</t>
  </si>
  <si>
    <t>Otras agencias de la ONU</t>
  </si>
  <si>
    <t>Government</t>
  </si>
  <si>
    <t>Gobierno</t>
  </si>
  <si>
    <t>Non-governmental/local organization</t>
  </si>
  <si>
    <t>Organización no gubernamental/local</t>
  </si>
  <si>
    <t>week</t>
  </si>
  <si>
    <t>mon</t>
  </si>
  <si>
    <t>Monday</t>
  </si>
  <si>
    <t>Lunes</t>
  </si>
  <si>
    <t>tues</t>
  </si>
  <si>
    <t>Tuesday</t>
  </si>
  <si>
    <t>Martes</t>
  </si>
  <si>
    <t>wed</t>
  </si>
  <si>
    <t>Wednesday</t>
  </si>
  <si>
    <t>Miércoles</t>
  </si>
  <si>
    <t>thurs</t>
  </si>
  <si>
    <t>Thursday</t>
  </si>
  <si>
    <t>Jueves</t>
  </si>
  <si>
    <t>fri</t>
  </si>
  <si>
    <t>Friday</t>
  </si>
  <si>
    <t>Viernes</t>
  </si>
  <si>
    <t>sat</t>
  </si>
  <si>
    <t>Saturday</t>
  </si>
  <si>
    <t>Sábado</t>
  </si>
  <si>
    <t>sun</t>
  </si>
  <si>
    <t>Sunday</t>
  </si>
  <si>
    <t>Domingo</t>
  </si>
  <si>
    <t>morn</t>
  </si>
  <si>
    <t>Mornings</t>
  </si>
  <si>
    <t>Mañana</t>
  </si>
  <si>
    <t>aft</t>
  </si>
  <si>
    <t>Afternoons</t>
  </si>
  <si>
    <t>Tarde</t>
  </si>
  <si>
    <t>eve</t>
  </si>
  <si>
    <t>Evenings</t>
  </si>
  <si>
    <t>Noche</t>
  </si>
  <si>
    <t>ea</t>
  </si>
  <si>
    <t>EAA1</t>
  </si>
  <si>
    <t>Enumeration area 1 in District A</t>
  </si>
  <si>
    <t>Área de enumeración 1 en el Distrito A</t>
  </si>
  <si>
    <t>EAA2</t>
  </si>
  <si>
    <t>Enumeration area 2 in District A</t>
  </si>
  <si>
    <t>Área de enumeración 2 en el Distrito A</t>
  </si>
  <si>
    <t>EAB1</t>
  </si>
  <si>
    <t>Enumeration area 1 in District B</t>
  </si>
  <si>
    <t>Área de enumeración 1 en el Distrito B</t>
  </si>
  <si>
    <t>EAB2</t>
  </si>
  <si>
    <t>Enumeration area 2 in District B</t>
  </si>
  <si>
    <t>Área de enumeración 2 en el Distrito B</t>
  </si>
  <si>
    <t>EAC1</t>
  </si>
  <si>
    <t>Enumeration area 1 in District C</t>
  </si>
  <si>
    <t>Área de enumeración 1 en el Distrito C</t>
  </si>
  <si>
    <t>version</t>
  </si>
  <si>
    <t>default_language</t>
  </si>
  <si>
    <t>allow_choice_duplicates</t>
  </si>
  <si>
    <t>style</t>
  </si>
  <si>
    <t>vM6cWXyHNhR3djPbARkHWi</t>
  </si>
  <si>
    <t>Spanish (es)</t>
  </si>
  <si>
    <t>theme-grid no-text-transform</t>
  </si>
  <si>
    <t xml:space="preserve">Select top 10 crops </t>
  </si>
  <si>
    <t>Dataset code</t>
  </si>
  <si>
    <t>Label (EN)</t>
  </si>
  <si>
    <t>Label (ES)</t>
  </si>
  <si>
    <t>1.1</t>
  </si>
  <si>
    <t>Rice</t>
  </si>
  <si>
    <t>Arroz</t>
  </si>
  <si>
    <t>1.2</t>
  </si>
  <si>
    <t>Wheat</t>
  </si>
  <si>
    <t>Trigo</t>
  </si>
  <si>
    <t>1.3</t>
  </si>
  <si>
    <t>Millet</t>
  </si>
  <si>
    <t>Mijo</t>
  </si>
  <si>
    <t>1.4</t>
  </si>
  <si>
    <t>Sorghum</t>
  </si>
  <si>
    <t>Sorgo</t>
  </si>
  <si>
    <t>1.5</t>
  </si>
  <si>
    <t>Maize</t>
  </si>
  <si>
    <t>Maíz</t>
  </si>
  <si>
    <t>1.6</t>
  </si>
  <si>
    <t>Barley</t>
  </si>
  <si>
    <t>Cebada</t>
  </si>
  <si>
    <t>1.99</t>
  </si>
  <si>
    <t>Other Cereal</t>
  </si>
  <si>
    <t>Otros cereales</t>
  </si>
  <si>
    <t>2.1</t>
  </si>
  <si>
    <t>Cassava</t>
  </si>
  <si>
    <t>Yuca</t>
  </si>
  <si>
    <t>2.2</t>
  </si>
  <si>
    <t>Potatoe</t>
  </si>
  <si>
    <t>Patatas</t>
  </si>
  <si>
    <t>2.3</t>
  </si>
  <si>
    <t>Sweet Potatoes</t>
  </si>
  <si>
    <t>Patatas dulces</t>
  </si>
  <si>
    <t>2.4</t>
  </si>
  <si>
    <t>Yams</t>
  </si>
  <si>
    <t>Ñames</t>
  </si>
  <si>
    <t>2.5</t>
  </si>
  <si>
    <t>Carrots</t>
  </si>
  <si>
    <t>Zanahorias</t>
  </si>
  <si>
    <t>2.6</t>
  </si>
  <si>
    <t>Cocoyam</t>
  </si>
  <si>
    <t>2.99</t>
  </si>
  <si>
    <t>Other tubers</t>
  </si>
  <si>
    <t>Otros tubérculos</t>
  </si>
  <si>
    <t>3.1</t>
  </si>
  <si>
    <t>Beans</t>
  </si>
  <si>
    <t>Frijoles</t>
  </si>
  <si>
    <t>3.2</t>
  </si>
  <si>
    <t>Lentils</t>
  </si>
  <si>
    <t>Lentejas</t>
  </si>
  <si>
    <t>3.3</t>
  </si>
  <si>
    <t>Peas</t>
  </si>
  <si>
    <t>Guisantes</t>
  </si>
  <si>
    <t>3.4</t>
  </si>
  <si>
    <t>Soybeans</t>
  </si>
  <si>
    <t>Soja</t>
  </si>
  <si>
    <t>3.5</t>
  </si>
  <si>
    <t>Chickpeas</t>
  </si>
  <si>
    <t>Garbanzos</t>
  </si>
  <si>
    <t>3.6</t>
  </si>
  <si>
    <t>Fava beans</t>
  </si>
  <si>
    <t>Habas</t>
  </si>
  <si>
    <t>3.7</t>
  </si>
  <si>
    <t>Broad beans</t>
  </si>
  <si>
    <t>3.99</t>
  </si>
  <si>
    <t>Other pulses</t>
  </si>
  <si>
    <t>Otras legumbres</t>
  </si>
  <si>
    <t>4.1</t>
  </si>
  <si>
    <t>Cabbage</t>
  </si>
  <si>
    <t>Coles</t>
  </si>
  <si>
    <t>4.2</t>
  </si>
  <si>
    <t>Lettuce</t>
  </si>
  <si>
    <t>Lechuga</t>
  </si>
  <si>
    <t>4.3</t>
  </si>
  <si>
    <t>Spinach-Amaranth</t>
  </si>
  <si>
    <t>Espinacas-amaranto</t>
  </si>
  <si>
    <t>4.4</t>
  </si>
  <si>
    <t>Cassava leaves</t>
  </si>
  <si>
    <t>Hojas de yuca/mandioca</t>
  </si>
  <si>
    <t>4.5</t>
  </si>
  <si>
    <t>Potatoe leaves</t>
  </si>
  <si>
    <t>Hojas de patata</t>
  </si>
  <si>
    <t>4.6</t>
  </si>
  <si>
    <t>Moringa</t>
  </si>
  <si>
    <t>4.7</t>
  </si>
  <si>
    <t>Sorrel Hibiscus / Rosselle</t>
  </si>
  <si>
    <t>Rosella / Flor de jamaica</t>
  </si>
  <si>
    <t>4.9</t>
  </si>
  <si>
    <t>Green salad herbs (thyme, parsley, mint, rocca, other)</t>
  </si>
  <si>
    <t>Hierbas verdes para ensalada (tomillo, perejil, menta, rocca, otras)</t>
  </si>
  <si>
    <t>4.101</t>
  </si>
  <si>
    <t>Cauliflower</t>
  </si>
  <si>
    <t>Coliflor</t>
  </si>
  <si>
    <t>4.99</t>
  </si>
  <si>
    <t>Other leafy vegetables</t>
  </si>
  <si>
    <t>Otras verduras de hoja</t>
  </si>
  <si>
    <t>5.1</t>
  </si>
  <si>
    <t>Tomatoes</t>
  </si>
  <si>
    <t>Tomates</t>
  </si>
  <si>
    <t>5.2</t>
  </si>
  <si>
    <t>Cucumber</t>
  </si>
  <si>
    <t>Pepino</t>
  </si>
  <si>
    <t>5.3</t>
  </si>
  <si>
    <t>Pumpkin</t>
  </si>
  <si>
    <t>Calabaza</t>
  </si>
  <si>
    <t>5.4</t>
  </si>
  <si>
    <t>Eggplant/aubergine</t>
  </si>
  <si>
    <t>Berenjena</t>
  </si>
  <si>
    <t>5.5</t>
  </si>
  <si>
    <t>Zucchini</t>
  </si>
  <si>
    <t>Calabacín</t>
  </si>
  <si>
    <t>5.6</t>
  </si>
  <si>
    <t>Okra</t>
  </si>
  <si>
    <t>5.7</t>
  </si>
  <si>
    <t>Bell pepper</t>
  </si>
  <si>
    <t>Pimiento</t>
  </si>
  <si>
    <t>5.8</t>
  </si>
  <si>
    <t>Onions</t>
  </si>
  <si>
    <t>Cebollas</t>
  </si>
  <si>
    <t>5.9</t>
  </si>
  <si>
    <t>Haricot</t>
  </si>
  <si>
    <t>Judías</t>
  </si>
  <si>
    <t>5.101</t>
  </si>
  <si>
    <t>Green peas</t>
  </si>
  <si>
    <t>Arberjas</t>
  </si>
  <si>
    <t>5.11</t>
  </si>
  <si>
    <t>Fava beans green</t>
  </si>
  <si>
    <t>Habas verdes</t>
  </si>
  <si>
    <t>5.99</t>
  </si>
  <si>
    <t>Other non leafy vegs</t>
  </si>
  <si>
    <t>Otras verduras</t>
  </si>
  <si>
    <t>6.1</t>
  </si>
  <si>
    <t>Orange</t>
  </si>
  <si>
    <t>Naranja</t>
  </si>
  <si>
    <t>6.2</t>
  </si>
  <si>
    <t>Lemon</t>
  </si>
  <si>
    <t>Limón</t>
  </si>
  <si>
    <t>6.3</t>
  </si>
  <si>
    <t>Grapefruit</t>
  </si>
  <si>
    <t>Pomelo</t>
  </si>
  <si>
    <t>6.4</t>
  </si>
  <si>
    <t>Mandarins/clementines</t>
  </si>
  <si>
    <t>Mandarinas</t>
  </si>
  <si>
    <t>6.99</t>
  </si>
  <si>
    <t>Other citrus fruit</t>
  </si>
  <si>
    <t>Otros cítricos</t>
  </si>
  <si>
    <t>7.1</t>
  </si>
  <si>
    <t>Sweet Banana</t>
  </si>
  <si>
    <t>Plátano dulce / bananas</t>
  </si>
  <si>
    <t>7.2</t>
  </si>
  <si>
    <t>Plantains</t>
  </si>
  <si>
    <t>Plátano</t>
  </si>
  <si>
    <t>7.3</t>
  </si>
  <si>
    <t>Papaya</t>
  </si>
  <si>
    <t>7.4</t>
  </si>
  <si>
    <t>Mango</t>
  </si>
  <si>
    <t>7.5</t>
  </si>
  <si>
    <t>Guava</t>
  </si>
  <si>
    <t>Guayaba</t>
  </si>
  <si>
    <t>7.6</t>
  </si>
  <si>
    <t>Pineapple</t>
  </si>
  <si>
    <t>Piña</t>
  </si>
  <si>
    <t>7.7</t>
  </si>
  <si>
    <t>Avocado</t>
  </si>
  <si>
    <t>Aguacate</t>
  </si>
  <si>
    <t>7.8</t>
  </si>
  <si>
    <t>Water Melon</t>
  </si>
  <si>
    <t>Sandías</t>
  </si>
  <si>
    <t>7.9</t>
  </si>
  <si>
    <t>Dates</t>
  </si>
  <si>
    <t>Dátiles</t>
  </si>
  <si>
    <t>7.101</t>
  </si>
  <si>
    <t>Figs</t>
  </si>
  <si>
    <t>Higos</t>
  </si>
  <si>
    <t>7.11</t>
  </si>
  <si>
    <t>Grapes</t>
  </si>
  <si>
    <t>Uvas</t>
  </si>
  <si>
    <t>7.12</t>
  </si>
  <si>
    <t>Olives</t>
  </si>
  <si>
    <t>Aceitunas</t>
  </si>
  <si>
    <t>7.13</t>
  </si>
  <si>
    <t>Apple</t>
  </si>
  <si>
    <t>Manzanas</t>
  </si>
  <si>
    <t>7.14</t>
  </si>
  <si>
    <t>Apricot</t>
  </si>
  <si>
    <t>Albaricoques</t>
  </si>
  <si>
    <t>7.15</t>
  </si>
  <si>
    <t>Cherries</t>
  </si>
  <si>
    <t>Cerezas</t>
  </si>
  <si>
    <t>7.16</t>
  </si>
  <si>
    <t>Peach/nectarine</t>
  </si>
  <si>
    <t>Duraznos/ nectárinas</t>
  </si>
  <si>
    <t>7.17</t>
  </si>
  <si>
    <t>Strawberries</t>
  </si>
  <si>
    <t>Fresas</t>
  </si>
  <si>
    <t>7.18</t>
  </si>
  <si>
    <t>Melon (Cantaloupe)</t>
  </si>
  <si>
    <t>Melon</t>
  </si>
  <si>
    <t>7.99</t>
  </si>
  <si>
    <t>Other fruit</t>
  </si>
  <si>
    <t>Otras frutas</t>
  </si>
  <si>
    <t>8.1</t>
  </si>
  <si>
    <t>Coconuts</t>
  </si>
  <si>
    <t>Coco</t>
  </si>
  <si>
    <t>8.2</t>
  </si>
  <si>
    <t>Groundnut/peanut</t>
  </si>
  <si>
    <t>Cacahuates/maní</t>
  </si>
  <si>
    <t>8.3</t>
  </si>
  <si>
    <t>Cashew Nut</t>
  </si>
  <si>
    <t>Anacardos</t>
  </si>
  <si>
    <t>8.4</t>
  </si>
  <si>
    <t>Kola Nut</t>
  </si>
  <si>
    <t>Nuez de cola</t>
  </si>
  <si>
    <t>8.5</t>
  </si>
  <si>
    <t>Sesame</t>
  </si>
  <si>
    <t>Sésamo</t>
  </si>
  <si>
    <t>8.6</t>
  </si>
  <si>
    <t>Bambara nut</t>
  </si>
  <si>
    <t>Nuez de bambara</t>
  </si>
  <si>
    <t>8.7</t>
  </si>
  <si>
    <t>Almond</t>
  </si>
  <si>
    <t>Almendra</t>
  </si>
  <si>
    <t>8.8</t>
  </si>
  <si>
    <t>Walnut</t>
  </si>
  <si>
    <t>Nuez</t>
  </si>
  <si>
    <t>8.99</t>
  </si>
  <si>
    <t>Other nuts</t>
  </si>
  <si>
    <t>Otros frutos secos</t>
  </si>
  <si>
    <t>9.1</t>
  </si>
  <si>
    <t>Cocoa</t>
  </si>
  <si>
    <t>Cacao</t>
  </si>
  <si>
    <t>9.2</t>
  </si>
  <si>
    <t>Coffee</t>
  </si>
  <si>
    <t>Café</t>
  </si>
  <si>
    <t>9.3</t>
  </si>
  <si>
    <t>Tea</t>
  </si>
  <si>
    <t>Té</t>
  </si>
  <si>
    <t>9.4</t>
  </si>
  <si>
    <t>Sugarcane</t>
  </si>
  <si>
    <t>Caña de azúcar</t>
  </si>
  <si>
    <t>9.5</t>
  </si>
  <si>
    <t>Sunflower</t>
  </si>
  <si>
    <t>Girasol (plantas o semillas)</t>
  </si>
  <si>
    <t>9.99</t>
  </si>
  <si>
    <t>Other food cash crop</t>
  </si>
  <si>
    <t>Otros cultivos comerciales alimentarios</t>
  </si>
  <si>
    <t>10.1</t>
  </si>
  <si>
    <t>Cotton</t>
  </si>
  <si>
    <t>Algodón</t>
  </si>
  <si>
    <t>10.2</t>
  </si>
  <si>
    <t>Rubber</t>
  </si>
  <si>
    <t>Caucho</t>
  </si>
  <si>
    <t>10.3</t>
  </si>
  <si>
    <t>Jute</t>
  </si>
  <si>
    <t>Yute</t>
  </si>
  <si>
    <t>10.4</t>
  </si>
  <si>
    <t>Fodder</t>
  </si>
  <si>
    <t>Forraje</t>
  </si>
  <si>
    <t>10.5</t>
  </si>
  <si>
    <t>Tobacco</t>
  </si>
  <si>
    <t>Tabaco</t>
  </si>
  <si>
    <t>10.6</t>
  </si>
  <si>
    <t>Qat</t>
  </si>
  <si>
    <t>10.99</t>
  </si>
  <si>
    <t>Other non-food cash crop</t>
  </si>
  <si>
    <t>Otros cultivos comerciales no alimentarios</t>
  </si>
  <si>
    <t xml:space="preserve">Original </t>
  </si>
  <si>
    <t>Replacement (ES)</t>
  </si>
  <si>
    <t>Replacement (EN)</t>
  </si>
  <si>
    <t>Comment (ES)</t>
  </si>
  <si>
    <t>Comment (EN)</t>
  </si>
  <si>
    <t>Exemple (ES)</t>
  </si>
  <si>
    <t>Example(EN)</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</si>
  <si>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</si>
  <si>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phone number</t>
  </si>
  <si>
    <t>Escriba un número de teléfono de su país en el formato típico, por ejemplo 77******* [por favor, utilice exactamente el número de caracteres que se encuentran en un número de teléfono].</t>
  </si>
  <si>
    <t>Type a phone number from your country in typical format, e.g. 77******* [please use exactly the number of characters that are found in a phone number].</t>
  </si>
  <si>
    <t>070******</t>
  </si>
  <si>
    <t>age</t>
  </si>
  <si>
    <t>Edad mínima del encuestado (recomendamos 18 años).</t>
  </si>
  <si>
    <t>Minimum age of respondent (recommend 18 years old)</t>
  </si>
  <si>
    <t>ADMIN1</t>
  </si>
  <si>
    <r>
      <t xml:space="preserve">La primera subdivisión del país, después del nivel nacional; región; provincia; gobernación; etc. </t>
    </r>
    <r>
      <rPr>
        <b/>
        <sz val="11"/>
        <color rgb="FF000000"/>
        <rFont val="Calibri"/>
        <family val="2"/>
      </rPr>
      <t xml:space="preserve">Solo una palabra debe ser ingresada - No incluir espacios. </t>
    </r>
  </si>
  <si>
    <r>
      <t xml:space="preserve">The first subdivision of the country, after national level; region; province; governorate; etc. </t>
    </r>
    <r>
      <rPr>
        <b/>
        <sz val="11"/>
        <color rgb="FF000000"/>
        <rFont val="Calibri"/>
        <family val="2"/>
      </rPr>
      <t>Only one word should be inputted - Do not include spaces.</t>
    </r>
  </si>
  <si>
    <t>departamento</t>
  </si>
  <si>
    <t>department</t>
  </si>
  <si>
    <t>ADMIN2</t>
  </si>
  <si>
    <r>
      <t xml:space="preserve">La segunda subdivisión del país; distrito; municipio; LGA; etc. </t>
    </r>
    <r>
      <rPr>
        <b/>
        <sz val="11"/>
        <color rgb="FF000000"/>
        <rFont val="Calibri"/>
        <family val="2"/>
      </rPr>
      <t xml:space="preserve">Solo una palabra debe ser ingresada - No incluir espacios. </t>
    </r>
  </si>
  <si>
    <r>
      <t xml:space="preserve">The second subdivision of the country; district; municipality; LGA; etc. </t>
    </r>
    <r>
      <rPr>
        <b/>
        <sz val="11"/>
        <color rgb="FF000000"/>
        <rFont val="Calibri"/>
        <family val="2"/>
      </rPr>
      <t>Only one word should be inputted - Do not include spaces.</t>
    </r>
  </si>
  <si>
    <t>municipio</t>
  </si>
  <si>
    <t>municipality</t>
  </si>
  <si>
    <t>reference year</t>
  </si>
  <si>
    <t>Las preguntas de comparación necesitarán un año de referencia. Seleccione si desea utilizar "el año pasado" o "un año normal" como referencia. Un "año normal" debe referirse a un año promedio de los últimos 5 años; asegúrese de capacitar a los encuestadores en consecuencia.</t>
  </si>
  <si>
    <t xml:space="preserve">Comparison questions will need need a reference year. Select whether you want to use "last year" or "a normal year" as a baseline. A "normal year" should refers to an average year from the past 5 years - make sure to train the enumerators accordingly. </t>
  </si>
  <si>
    <t>un año normal</t>
  </si>
  <si>
    <t>a normal year</t>
  </si>
  <si>
    <t>season</t>
  </si>
  <si>
    <t>Nombre la(s) temporada(s) de cultivo de interés si hay varias temporadas de cultivo en el país (por ejemplo, Meher y Belg en Etiopía, temporada de lluvias/cultivo de recesión por inundación/temporada seca irrigada en el Sahel). Puede referirse a la "última temporada" o "temporada en curso".</t>
  </si>
  <si>
    <t>Name the crop season(s) of interest if there are several cropping seasons in the country (e.g. Meher and Belg in Ethiopia, rainy season / flood-recession cropping / irrigated dry season in the Sahel). You can refer to the “last season” or “ongoing season".</t>
  </si>
  <si>
    <t>la temporada de siembra de primera</t>
  </si>
  <si>
    <t>the first planting season</t>
  </si>
  <si>
    <t>season phase</t>
  </si>
  <si>
    <r>
      <t xml:space="preserve">Indique la fase de la temporada </t>
    </r>
    <r>
      <rPr>
        <b/>
        <sz val="11"/>
        <rFont val="Calibri"/>
        <family val="2"/>
      </rPr>
      <t xml:space="preserve">en el momento de la recogida de datos. </t>
    </r>
    <r>
      <rPr>
        <sz val="11"/>
        <rFont val="Calibri"/>
        <family val="2"/>
      </rPr>
      <t>Si la cosecha de la temporada aún no ha ocurrido, la pregunta sobre la cosecha del cultivo (crp_harv_change) incluirá la palabra "esperado" (donde se ubica #esperado o nada#). Si la cosecha ha ocurrido, no se insertará "esperado" en la pregunta.</t>
    </r>
  </si>
  <si>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</si>
  <si>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cosecha</t>
  </si>
  <si>
    <t>Harvesting</t>
  </si>
  <si>
    <t>local measurement unit</t>
  </si>
  <si>
    <r>
      <t xml:space="preserve">Especifique la unidad de medida local para el area sembrada, que no sean </t>
    </r>
    <r>
      <rPr>
        <i/>
        <sz val="11"/>
        <rFont val="Calibri"/>
        <family val="2"/>
      </rPr>
      <t xml:space="preserve">acres, hectáreas, metros cuadrados </t>
    </r>
    <r>
      <rPr>
        <sz val="11"/>
        <rFont val="Calibri"/>
        <family val="2"/>
      </rPr>
      <t xml:space="preserve">y </t>
    </r>
    <r>
      <rPr>
        <i/>
        <sz val="11"/>
        <rFont val="Calibri"/>
        <family val="2"/>
      </rPr>
      <t>pies cuadrados</t>
    </r>
    <r>
      <rPr>
        <sz val="11"/>
        <rFont val="Calibri"/>
        <family val="2"/>
      </rPr>
      <t xml:space="preserve">. Si no se necesita otra unidad de medida, </t>
    </r>
    <r>
      <rPr>
        <b/>
        <sz val="11"/>
        <rFont val="Calibri"/>
        <family val="2"/>
      </rPr>
      <t>deje esta celda en blanco.</t>
    </r>
  </si>
  <si>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</si>
  <si>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local measurement unit conversion</t>
  </si>
  <si>
    <t>Incluir la conversión de la unidad de medida local a hectáreas. En otras palabras, cuántas unidades de medida locales hay en 1 ha.</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</si>
  <si>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</si>
  <si>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</si>
  <si>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</si>
  <si>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El nombre de la moneda principal utilizada a nivel nacional; USD; quetzales; lempiras; pesos; etc.</t>
  </si>
  <si>
    <t xml:space="preserve">The name of the main currency used nationally; USD; Naira; Rial; Pesos; etc. </t>
  </si>
  <si>
    <t>Pesos</t>
  </si>
  <si>
    <t>MIN AMOUNT</t>
  </si>
  <si>
    <r>
      <t xml:space="preserve">El monto mínimo para una fuente de ingresos debe establecerse en 0 o cualquier valor por debajo del cual no sea posible realizar una transacción. Por ejemplo, la moneda/billete más pequeño de una moneda puede valer 1000, en cuyo caso establecería el mínimo en 1000. Proporcione esta entrada en la misma moneda que se especificó anteriormente. </t>
    </r>
    <r>
      <rPr>
        <b/>
        <sz val="11"/>
        <rFont val="Calibri"/>
        <family val="2"/>
      </rPr>
      <t>Solo se deben ingresar dígitos.</t>
    </r>
  </si>
  <si>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</si>
  <si>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THRESHOLD</t>
  </si>
  <si>
    <r>
      <t xml:space="preserve">Establezca la cantidad máxima para una fuente de ingresos durante 3 meses. Los encuestadores no podrán ingresar valores por encima de este monto en preguntas relacionadas con montos de ingresos. Usando encuestas representativas anteriores para esta población, puede estimar esta cantidad usando el ingreso medio más cinco (5) desviaciones estándar, a menos que el país tenga una inflación alta. En este último caso, establezca el valor máximo en función del contexto de su país (superior al enfoque propuesto). Proporcione esta entrada en la misma moneda que se especificó anteriormente. </t>
    </r>
    <r>
      <rPr>
        <b/>
        <sz val="11"/>
        <rFont val="Calibri"/>
        <family val="2"/>
      </rPr>
      <t>Solo se deben ingresar dígitos</t>
    </r>
    <r>
      <rPr>
        <sz val="11"/>
        <rFont val="Calibri"/>
        <family val="2"/>
      </rPr>
      <t>.</t>
    </r>
  </si>
  <si>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</si>
  <si>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</si>
  <si>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Ingrese algunas verduras locales comunes [para usar como ejemplos en el indicador de puntaje de consumo de alimentos].</t>
  </si>
  <si>
    <t>Input some common local vegetables [to be used as examples in the food consumption score indicator].</t>
  </si>
  <si>
    <t>berenjenas, calabacín, coliflor</t>
  </si>
  <si>
    <t>eggplants, zucchini, cauliflower</t>
  </si>
  <si>
    <t>local fruits</t>
  </si>
  <si>
    <t>Ingrese algunas frutas locales comunes [para usar como ejemplos en el indicador de puntaje de consumo de alimentos].</t>
  </si>
  <si>
    <t>Input some common local fruits [to be used as examples in the food consumption score indicator].</t>
  </si>
  <si>
    <t>manzanas, bananas, naranjas</t>
  </si>
  <si>
    <t>apples, bananas, oranges</t>
  </si>
  <si>
    <r>
      <t xml:space="preserve">FILL OUT FOR QUESTIONNAIRE DURATION ESTIMATION    </t>
    </r>
    <r>
      <rPr>
        <sz val="12"/>
        <color theme="0"/>
        <rFont val="Calibri"/>
        <family val="2"/>
        <scheme val="minor"/>
      </rPr>
      <t>.</t>
    </r>
  </si>
  <si>
    <t>Expected percentage of respondents cultivating crops</t>
  </si>
  <si>
    <t>Si la encuesta es representativa y no tiene cuotas, escriba la proporción de hogares rurales que cultivan cultivos a nivel nacional, o si la encuesta sigue una ronda anterior con un diseño de muestra idéntico, solo informe el porcentaje de la ronda anterior. Si está utilizando cuotas, calcule la proporción de la cuota sobre el tamaño mínimo de la muestra en el nivel donde se implementa la cuota (por lo que si tiene un tamaño mínimo de muestra por estrato de 110 con una cuota de 100 productores de cultivos, entonces es 100/ 110 = 91% (lo máximo que debe escribir es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</si>
  <si>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</si>
  <si>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</si>
  <si>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la encuesta es representativa y no tiene cuotas, escriba la proporción de hogares rurales que crían animales a nivel nacional, o si la encuesta sigue una ronda anterior con un diseño de muestra idéntico, solo informe el porcentaje de la ronda anterior. Si está utilizando cuotas, calcule la proporción de la cuota sobre el tamaño mínimo de la muestra en el nivel en el que se implementa la cuota (por lo que si tiene un tamaño mínimo de muestra de 110 pero una cuota de 100 productores de ganado, entonces es 100/110 = 91% (lo máximo que debes escribir es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</si>
  <si>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</si>
  <si>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</si>
  <si>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la encuesta es representativa y no tiene cuotas, escriba la proporción de hogares rurales involucrados en la pesca o la acuicultura; de lo contrario, si está usando cuotas, calcule la proporción de la cuota sobre el tamaño de la muestra en el nivel donde se implementa la cuota. (Entonces, si no ha establecido una cuota y espera tener una proporción representativa de pescadores, simplemente escriba el porcentaje de pescadores en la población a la que se dirige, en el ejemplo a la derecha,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</si>
  <si>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</si>
  <si>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Does your household need any kind of assistance to support your food and income needs over the next 6 months?</t>
  </si>
  <si>
    <t>select_multiple needtype</t>
  </si>
  <si>
    <t>need_type</t>
  </si>
  <si>
    <t>selected(${need_type}, 'ag_livelihood')</t>
  </si>
  <si>
    <t>needtype</t>
  </si>
  <si>
    <t>Food assistance</t>
  </si>
  <si>
    <t>ag_livelihood</t>
  </si>
  <si>
    <t>Support for agriculture or related livelihoods [crops, livestock, fisheries, and related marketing]</t>
  </si>
  <si>
    <t>nonag_livelihood</t>
  </si>
  <si>
    <t>Support for non-agricultural income</t>
  </si>
  <si>
    <t>Other essential needs [e.g. shelter, healthcare, education, water, sanitation]</t>
  </si>
  <si>
    <t>Asistencia alimentaria</t>
  </si>
  <si>
    <t>Apoyo para la agricultura o medios de vida relacionados [cultivos, ganado, pesca y comercialización relacionada]</t>
  </si>
  <si>
    <t>Apoyo para ingresos no agrícolas</t>
  </si>
  <si>
    <t xml:space="preserve"> Otras necesidades esenciales [alojamiento, atención médica, educación, agua, saneamiento]</t>
  </si>
  <si>
    <t>¿Su hogar necesita algún tipo de asistencia para para cubrir sus necesidades alimentarias e ingresos durante los próximos 6 meses?</t>
  </si>
  <si>
    <r>
      <t xml:space="preserve">¿Ha recibido su hogar algún tipo de ayuda en los </t>
    </r>
    <r>
      <rPr>
        <sz val="11"/>
        <color rgb="FFFF0000"/>
        <rFont val="Calibri (Body)"/>
      </rPr>
      <t>últimos 6 meses</t>
    </r>
    <r>
      <rPr>
        <sz val="11"/>
        <color theme="1"/>
        <rFont val="Calibri"/>
        <family val="2"/>
        <scheme val="minor"/>
      </rPr>
      <t>? De ser así, ¿de qué tipo?</t>
    </r>
  </si>
  <si>
    <t>not(selected(${need_type}, '5')) and not(selected(${need_type}, '6')) and count-selected(${need_type}) &gt; 1</t>
  </si>
  <si>
    <t>selected(${need_type}, name) or name = 'dk' or name = 'ref'</t>
  </si>
  <si>
    <t xml:space="preserve">What type of assistance will your household need? </t>
  </si>
  <si>
    <t>select_one needtype</t>
  </si>
  <si>
    <t>need_type_main</t>
  </si>
  <si>
    <t>Which of these types of support is the most important for your household?</t>
  </si>
  <si>
    <t xml:space="preserve">Over the next 6 months, which kinds of assistance does your household need to supportagricultural livelihood [including both production and marketing]? </t>
  </si>
  <si>
    <r>
      <t xml:space="preserve">Has your household received any assistance in the </t>
    </r>
    <r>
      <rPr>
        <sz val="11"/>
        <color rgb="FFFF0000"/>
        <rFont val="Calibri (Body)"/>
      </rPr>
      <t>last 6 months</t>
    </r>
    <r>
      <rPr>
        <sz val="11"/>
        <color rgb="FF000000"/>
        <rFont val="Calibri"/>
        <family val="2"/>
        <scheme val="minor"/>
      </rPr>
      <t>, and if so, which kind?</t>
    </r>
  </si>
  <si>
    <t>Durante los próximos 6 meses, ¿qué tipo de apoyo sería más útil para mejorar los medios de subsistencia agrícolas de su hogar [incluyendo tanto la producción como la comercialización]?</t>
  </si>
  <si>
    <t xml:space="preserve">¿Cuál de estos tipos de ayuda es el más importante para su hogar? </t>
  </si>
  <si>
    <t>¿Para qué necesita ayuda su hogar?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</si>
</sst>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2">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i/>
      <sz val="11"/>
      <name val="Calibri"/>
      <family val="2"/>
    </font>
    <font>
      <b/>
      <sz val="11"/>
      <name val="Calibri"/>
      <family val="2"/>
    </font>
    <font>
      <b/>
      <sz val="11"/>
      <color rgb="FF7030A0"/>
      <name val="Calibri"/>
      <family val="2"/>
      <scheme val="minor"/>
    </font>
    <font>
      <u/>
      <sz val="11"/>
      <color theme="1"/>
      <name val="Calibri"/>
      <family val="2"/>
      <scheme val="minor"/>
    </font>
    <font>
      <u/>
      <sz val="11"/>
      <name val="Calibri"/>
      <family val="2"/>
      <scheme val="minor"/>
    </font>
    <font>
      <sz val="11"/>
      <color rgb="FF00B050"/>
      <name val="Calibri"/>
      <family val="2"/>
      <scheme val="minor"/>
    </font>
    <font>
      <b/>
      <sz val="12"/>
      <color theme="1"/>
      <name val="Calibri"/>
      <family val="2"/>
      <scheme val="minor"/>
    </font>
    <font>
      <i/>
      <sz val="12"/>
      <color theme="1"/>
      <name val="Calibri"/>
      <family val="2"/>
      <scheme val="minor"/>
    </font>
    <font>
      <i/>
      <sz val="12"/>
      <color theme="0"/>
      <name val="Calibri"/>
      <family val="2"/>
      <scheme val="minor"/>
    </font>
    <font>
      <sz val="12"/>
      <color theme="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b/>
      <sz val="11"/>
      <color theme="6" tint="-0.499984740745262"/>
      <name val="Calibri"/>
      <family val="2"/>
      <scheme val="minor"/>
    </font>
    <font>
      <b/>
      <sz val="11"/>
      <color rgb="FF7030A0"/>
      <name val="Calibri (Body)"/>
    </font>
    <font>
      <sz val="11"/>
      <name val="Calibri (Body)"/>
    </font>
    <font>
      <sz val="8"/>
      <name val="Calibri"/>
      <family val="2"/>
      <scheme val="minor"/>
    </font>
    <font>
      <sz val="11"/>
      <color theme="0" tint="-0.34998626667073579"/>
      <name val="Calibri (Body)"/>
    </font>
    <font>
      <b/>
      <sz val="11"/>
      <color rgb="FFC00000"/>
      <name val="Calibri (Body)"/>
    </font>
    <font>
      <i/>
      <sz val="11"/>
      <color theme="0" tint="-0.34998626667073579"/>
      <name val="Calibri"/>
      <family val="2"/>
    </font>
    <font>
      <i/>
      <sz val="11"/>
      <color theme="0" tint="-0.34998626667073579"/>
      <name val="Calibri (Body)"/>
    </font>
    <font>
      <b/>
      <sz val="11"/>
      <color rgb="FFC00000"/>
      <name val="Calibri"/>
      <family val="2"/>
      <scheme val="minor"/>
    </font>
    <font>
      <sz val="11"/>
      <color theme="0" tint="-0.34998626667073579"/>
      <name val="Calibri (Cuerpo)"/>
    </font>
    <font>
      <b/>
      <sz val="11"/>
      <color rgb="FF7030A0"/>
      <name val="Calibri (Cuerpo)"/>
    </font>
    <font>
      <sz val="11"/>
      <name val="Calibri (Cuerpo)"/>
    </font>
    <font>
      <b/>
      <sz val="11"/>
      <color theme="0" tint="-0.34998626667073579"/>
      <name val="Calibri (Cuerpo)"/>
    </font>
    <font>
      <sz val="11"/>
      <color rgb="FFFF0000"/>
      <name val="Calibri (Cuerpo)"/>
    </font>
    <font>
      <b/>
      <u/>
      <sz val="11"/>
      <name val="Calibri"/>
      <family val="2"/>
      <scheme val="minor"/>
    </font>
    <font>
      <u/>
      <sz val="11"/>
      <name val="Calibri (Cuerpo)"/>
    </font>
    <font>
      <sz val="11"/>
      <color theme="0" tint="-0.34995574816125979"/>
      <name val="Calibri"/>
      <family val="2"/>
      <scheme val="minor"/>
    </font>
    <font>
      <sz val="12"/>
      <color theme="9" tint="-0.499984740745262"/>
      <name val="Calibri"/>
      <family val="2"/>
      <scheme val="minor"/>
    </font>
    <font>
      <b/>
      <sz val="11"/>
      <color rgb="FFFF0000"/>
      <name val="Calibri"/>
      <family val="2"/>
      <scheme val="minor"/>
    </font>
    <font>
      <sz val="11"/>
      <color rgb="FFFF0000"/>
      <name val="Calibri (Body)"/>
    </font>
  </fonts>
  <fills count="10">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79995117038483843"/>
        <bgColor indexed="64"/>
      </patternFill>
    </fill>
    <fill>
      <patternFill patternType="solid">
        <fgColor rgb="FFF2DCDB"/>
        <bgColor indexed="64"/>
      </patternFill>
    </fill>
  </fills>
  <borders count="59">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style="thin">
        <color indexed="64"/>
      </left>
      <right style="thin">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0">
    <xf numFmtId="0" fontId="0" fillId="0" borderId="0"/>
    <xf numFmtId="0" fontId="10" fillId="0" borderId="0"/>
    <xf numFmtId="0" fontId="13" fillId="0" borderId="0"/>
    <xf numFmtId="0" fontId="19" fillId="0" borderId="0"/>
    <xf numFmtId="0" fontId="9" fillId="0" borderId="0"/>
    <xf numFmtId="0" fontId="8" fillId="0" borderId="0"/>
    <xf numFmtId="0" fontId="24" fillId="4" borderId="14" applyNumberFormat="0" applyAlignment="0" applyProtection="0"/>
    <xf numFmtId="9" fontId="13" fillId="0" borderId="0" applyFont="0" applyFill="0" applyBorder="0" applyAlignment="0" applyProtection="0"/>
    <xf numFmtId="0" fontId="7" fillId="0" borderId="0"/>
    <xf numFmtId="0" fontId="7" fillId="0" borderId="0"/>
    <xf numFmtId="0" fontId="7" fillId="0" borderId="0"/>
    <xf numFmtId="0" fontId="6" fillId="0" borderId="0"/>
    <xf numFmtId="0" fontId="13" fillId="0" borderId="0"/>
    <xf numFmtId="0" fontId="6" fillId="0" borderId="0"/>
    <xf numFmtId="0" fontId="13" fillId="0" borderId="0"/>
    <xf numFmtId="0" fontId="5" fillId="0" borderId="0"/>
    <xf numFmtId="0" fontId="13" fillId="0" borderId="0"/>
    <xf numFmtId="0" fontId="4" fillId="0" borderId="0"/>
    <xf numFmtId="0" fontId="3" fillId="0" borderId="0"/>
    <xf numFmtId="0" fontId="3" fillId="0" borderId="0"/>
  </cellStyleXfs>
  <cellXfs count="310">
    <xf numFmtId="0" fontId="0" fillId="0" borderId="0" xfId="0"/>
    <xf numFmtId="0" fontId="12" fillId="2" borderId="0" xfId="0" applyFont="1" applyFill="1" applyProtection="1">
      <protection locked="0"/>
    </xf>
    <xf numFmtId="0" fontId="12" fillId="0" borderId="0" xfId="0" applyFont="1" applyProtection="1">
      <protection locked="0"/>
    </xf>
    <xf numFmtId="0" fontId="0" fillId="0" borderId="0" xfId="0" applyProtection="1">
      <protection locked="0"/>
    </xf>
    <xf numFmtId="0" fontId="0" fillId="2" borderId="0" xfId="0" applyFill="1" applyProtection="1">
      <protection locked="0"/>
    </xf>
    <xf numFmtId="0" fontId="14" fillId="2" borderId="0" xfId="0" applyFont="1" applyFill="1" applyProtection="1">
      <protection locked="0"/>
    </xf>
    <xf numFmtId="0" fontId="12" fillId="0" borderId="0" xfId="0" applyFont="1"/>
    <xf numFmtId="0" fontId="17" fillId="2" borderId="0" xfId="0" applyFont="1" applyFill="1" applyProtection="1">
      <protection locked="0"/>
    </xf>
    <xf numFmtId="0" fontId="11" fillId="2" borderId="0" xfId="0" applyFont="1" applyFill="1" applyProtection="1">
      <protection locked="0"/>
    </xf>
    <xf numFmtId="0" fontId="25" fillId="2" borderId="7" xfId="6" applyFont="1" applyFill="1" applyBorder="1" applyAlignment="1" applyProtection="1">
      <alignment horizontal="center" vertical="center"/>
      <protection locked="0"/>
    </xf>
    <xf numFmtId="0" fontId="16" fillId="0" borderId="0" xfId="0" applyFont="1" applyProtection="1">
      <protection locked="0"/>
    </xf>
    <xf numFmtId="0" fontId="17" fillId="0" borderId="0" xfId="0" applyFont="1" applyProtection="1">
      <protection locked="0"/>
    </xf>
    <xf numFmtId="0" fontId="11" fillId="0" borderId="0" xfId="0" applyFont="1" applyProtection="1">
      <protection locked="0"/>
    </xf>
    <xf numFmtId="0" fontId="15" fillId="0" borderId="0" xfId="0" applyFont="1" applyProtection="1">
      <protection locked="0"/>
    </xf>
    <xf numFmtId="0" fontId="14" fillId="0" borderId="0" xfId="0" applyFont="1" applyProtection="1">
      <protection locked="0"/>
    </xf>
    <xf numFmtId="0" fontId="15" fillId="2" borderId="0" xfId="0" applyFont="1" applyFill="1" applyProtection="1">
      <protection locked="0"/>
    </xf>
    <xf numFmtId="0" fontId="7" fillId="3" borderId="7" xfId="10" applyFill="1" applyBorder="1" applyAlignment="1" applyProtection="1">
      <alignment horizontal="center" vertical="center"/>
      <protection locked="0"/>
    </xf>
    <xf numFmtId="0" fontId="7" fillId="3" borderId="4" xfId="10" applyFill="1" applyBorder="1" applyAlignment="1" applyProtection="1">
      <alignment horizontal="center" vertical="center"/>
      <protection locked="0"/>
    </xf>
    <xf numFmtId="0" fontId="26" fillId="0" borderId="40" xfId="0" applyFont="1" applyBorder="1" applyAlignment="1" applyProtection="1">
      <alignment horizontal="center" vertical="center" wrapText="1"/>
      <protection locked="0"/>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4" fillId="0" borderId="0" xfId="0" applyFont="1" applyAlignment="1" applyProtection="1">
      <alignment vertical="top" wrapText="1"/>
      <protection locked="0"/>
    </xf>
    <xf numFmtId="0" fontId="12" fillId="0" borderId="0" xfId="0" applyFont="1" applyAlignment="1">
      <alignment vertical="top"/>
    </xf>
    <xf numFmtId="0" fontId="12" fillId="2" borderId="0" xfId="0" applyFont="1" applyFill="1" applyAlignment="1" applyProtection="1">
      <alignment vertical="top" wrapText="1"/>
      <protection locked="0"/>
    </xf>
    <xf numFmtId="0" fontId="12" fillId="2" borderId="0" xfId="0" applyFont="1" applyFill="1" applyAlignment="1" applyProtection="1">
      <alignment vertical="top"/>
      <protection locked="0"/>
    </xf>
    <xf numFmtId="0" fontId="12" fillId="0" borderId="0" xfId="0" applyFont="1" applyAlignment="1" applyProtection="1">
      <alignment vertical="top"/>
      <protection locked="0"/>
    </xf>
    <xf numFmtId="0" fontId="26" fillId="0" borderId="0" xfId="0" applyFont="1" applyAlignment="1" applyProtection="1">
      <alignment vertical="top"/>
      <protection locked="0"/>
    </xf>
    <xf numFmtId="0" fontId="0" fillId="0" borderId="0" xfId="0" applyAlignment="1">
      <alignment vertical="top"/>
    </xf>
    <xf numFmtId="0" fontId="14" fillId="0" borderId="0" xfId="0" applyFont="1" applyAlignment="1" applyProtection="1">
      <alignment vertical="top"/>
      <protection locked="0"/>
    </xf>
    <xf numFmtId="0" fontId="15" fillId="0" borderId="0" xfId="0" applyFont="1" applyAlignment="1" applyProtection="1">
      <alignment vertical="top"/>
      <protection locked="0"/>
    </xf>
    <xf numFmtId="0" fontId="15" fillId="0" borderId="0" xfId="0" applyFont="1" applyAlignment="1" applyProtection="1">
      <alignment vertical="top" wrapText="1"/>
      <protection locked="0"/>
    </xf>
    <xf numFmtId="0" fontId="15" fillId="2" borderId="0" xfId="0" applyFont="1" applyFill="1" applyAlignment="1" applyProtection="1">
      <alignment vertical="top" wrapText="1"/>
      <protection locked="0"/>
    </xf>
    <xf numFmtId="0" fontId="14" fillId="0" borderId="0" xfId="0" applyFont="1" applyAlignment="1">
      <alignment vertical="top"/>
    </xf>
    <xf numFmtId="0" fontId="14" fillId="0" borderId="0" xfId="0" applyFont="1" applyAlignment="1">
      <alignment vertical="top" wrapText="1"/>
    </xf>
    <xf numFmtId="0" fontId="26" fillId="0" borderId="0" xfId="0" applyFont="1" applyAlignment="1">
      <alignment vertical="top"/>
    </xf>
    <xf numFmtId="0" fontId="15" fillId="2" borderId="0" xfId="0" applyFont="1" applyFill="1" applyAlignment="1" applyProtection="1">
      <alignment vertical="top"/>
      <protection locked="0"/>
    </xf>
    <xf numFmtId="0" fontId="15" fillId="0" borderId="1" xfId="0" applyFont="1" applyBorder="1" applyAlignment="1" applyProtection="1">
      <alignment vertical="top"/>
      <protection locked="0"/>
    </xf>
    <xf numFmtId="0" fontId="15" fillId="0" borderId="1" xfId="0" applyFont="1" applyBorder="1" applyAlignment="1" applyProtection="1">
      <alignment vertical="top" wrapText="1"/>
      <protection locked="0"/>
    </xf>
    <xf numFmtId="0" fontId="15" fillId="2" borderId="1" xfId="0" applyFont="1" applyFill="1" applyBorder="1" applyAlignment="1" applyProtection="1">
      <alignment vertical="top" wrapText="1"/>
      <protection locked="0"/>
    </xf>
    <xf numFmtId="0" fontId="15"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4" fillId="0" borderId="1" xfId="0" applyFont="1" applyBorder="1" applyAlignment="1" applyProtection="1">
      <alignment vertical="top"/>
      <protection locked="0"/>
    </xf>
    <xf numFmtId="0" fontId="14" fillId="0" borderId="1" xfId="0" applyFont="1" applyBorder="1" applyAlignment="1" applyProtection="1">
      <alignment vertical="top" wrapText="1"/>
      <protection locked="0"/>
    </xf>
    <xf numFmtId="0" fontId="14" fillId="2" borderId="1" xfId="0" applyFont="1" applyFill="1" applyBorder="1" applyAlignment="1" applyProtection="1">
      <alignment vertical="top" wrapText="1"/>
      <protection locked="0"/>
    </xf>
    <xf numFmtId="0" fontId="14" fillId="2" borderId="1" xfId="0" applyFont="1" applyFill="1" applyBorder="1" applyAlignment="1" applyProtection="1">
      <alignment vertical="top"/>
      <protection locked="0"/>
    </xf>
    <xf numFmtId="0" fontId="12" fillId="0" borderId="0" xfId="0" applyFont="1" applyAlignment="1">
      <alignment vertical="top" wrapText="1"/>
    </xf>
    <xf numFmtId="0" fontId="12" fillId="0" borderId="0" xfId="0" applyFont="1" applyAlignment="1" applyProtection="1">
      <alignment vertical="top" wrapText="1"/>
      <protection locked="0"/>
    </xf>
    <xf numFmtId="0" fontId="34" fillId="0" borderId="0" xfId="0" applyFont="1" applyAlignment="1" applyProtection="1">
      <alignment vertical="top"/>
      <protection locked="0"/>
    </xf>
    <xf numFmtId="0" fontId="14" fillId="0" borderId="1" xfId="0" applyFont="1" applyBorder="1" applyAlignment="1">
      <alignment vertical="top"/>
    </xf>
    <xf numFmtId="0" fontId="14" fillId="0" borderId="1" xfId="0" applyFont="1" applyBorder="1" applyAlignment="1">
      <alignment vertical="top" wrapText="1"/>
    </xf>
    <xf numFmtId="0" fontId="14" fillId="2" borderId="0" xfId="0" applyFont="1" applyFill="1" applyAlignment="1" applyProtection="1">
      <alignment vertical="top" wrapText="1"/>
      <protection locked="0"/>
    </xf>
    <xf numFmtId="0" fontId="16" fillId="0" borderId="0" xfId="0" applyFont="1" applyAlignment="1" applyProtection="1">
      <alignment vertical="top"/>
      <protection locked="0"/>
    </xf>
    <xf numFmtId="0" fontId="14"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6" fillId="0" borderId="0" xfId="0" applyFont="1" applyAlignment="1">
      <alignment vertical="top" wrapText="1"/>
    </xf>
    <xf numFmtId="0" fontId="18" fillId="2" borderId="0" xfId="0" applyFont="1" applyFill="1" applyAlignment="1" applyProtection="1">
      <alignment vertical="top"/>
      <protection locked="0"/>
    </xf>
    <xf numFmtId="0" fontId="16" fillId="2" borderId="0" xfId="0" applyFont="1" applyFill="1" applyAlignment="1" applyProtection="1">
      <alignment vertical="top"/>
      <protection locked="0"/>
    </xf>
    <xf numFmtId="0" fontId="16" fillId="0" borderId="0" xfId="0" applyFont="1" applyAlignment="1">
      <alignment vertical="top"/>
    </xf>
    <xf numFmtId="165" fontId="14" fillId="0" borderId="0" xfId="0" applyNumberFormat="1" applyFont="1" applyAlignment="1" applyProtection="1">
      <alignment vertical="top"/>
      <protection locked="0"/>
    </xf>
    <xf numFmtId="9" fontId="14" fillId="0" borderId="0" xfId="0" applyNumberFormat="1" applyFont="1" applyAlignment="1" applyProtection="1">
      <alignment vertical="top"/>
      <protection locked="0"/>
    </xf>
    <xf numFmtId="0" fontId="20" fillId="2" borderId="0" xfId="0" applyFont="1" applyFill="1" applyAlignment="1" applyProtection="1">
      <alignment vertical="top" wrapText="1"/>
      <protection locked="0"/>
    </xf>
    <xf numFmtId="0" fontId="20"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12" fillId="0" borderId="0" xfId="0" applyFont="1" applyAlignment="1">
      <alignment horizontal="center" vertical="center"/>
    </xf>
    <xf numFmtId="0" fontId="12" fillId="0" borderId="0" xfId="0" applyFont="1" applyAlignment="1">
      <alignment horizontal="center" vertical="center" wrapText="1"/>
    </xf>
    <xf numFmtId="0" fontId="12" fillId="2" borderId="0" xfId="0" applyFont="1" applyFill="1" applyAlignment="1" applyProtection="1">
      <alignment horizontal="center" vertical="center" wrapText="1"/>
      <protection locked="0"/>
    </xf>
    <xf numFmtId="0" fontId="12" fillId="2" borderId="0" xfId="0" applyFont="1" applyFill="1" applyAlignment="1" applyProtection="1">
      <alignment horizontal="center" vertical="center"/>
      <protection locked="0"/>
    </xf>
    <xf numFmtId="0" fontId="12" fillId="0" borderId="0" xfId="0" applyFont="1" applyAlignment="1" applyProtection="1">
      <alignment horizontal="center" vertical="center"/>
      <protection locked="0"/>
    </xf>
    <xf numFmtId="0" fontId="26" fillId="0" borderId="0" xfId="0" applyFont="1" applyAlignment="1" applyProtection="1">
      <alignment horizontal="center" vertical="center"/>
      <protection locked="0"/>
    </xf>
    <xf numFmtId="0" fontId="0" fillId="0" borderId="0" xfId="0" applyAlignment="1">
      <alignment vertical="center"/>
    </xf>
    <xf numFmtId="0" fontId="15" fillId="0" borderId="0" xfId="0" applyFont="1" applyAlignment="1" applyProtection="1">
      <alignment vertical="center"/>
      <protection locked="0"/>
    </xf>
    <xf numFmtId="0" fontId="14" fillId="0" borderId="0" xfId="0" applyFont="1" applyAlignment="1">
      <alignment vertical="center"/>
    </xf>
    <xf numFmtId="0" fontId="15" fillId="0" borderId="1" xfId="0" applyFont="1" applyBorder="1" applyAlignment="1" applyProtection="1">
      <alignment vertical="center"/>
      <protection locked="0"/>
    </xf>
    <xf numFmtId="0" fontId="14" fillId="0" borderId="1" xfId="0" applyFont="1" applyBorder="1" applyAlignment="1" applyProtection="1">
      <alignment vertical="center"/>
      <protection locked="0"/>
    </xf>
    <xf numFmtId="0" fontId="12" fillId="0" borderId="0" xfId="0" applyFont="1" applyAlignment="1">
      <alignment vertical="center"/>
    </xf>
    <xf numFmtId="0" fontId="12" fillId="0" borderId="0" xfId="0" applyFont="1" applyAlignment="1" applyProtection="1">
      <alignment vertical="center"/>
      <protection locked="0"/>
    </xf>
    <xf numFmtId="0" fontId="0" fillId="0" borderId="0" xfId="0" applyAlignment="1" applyProtection="1">
      <alignment vertical="center"/>
      <protection locked="0"/>
    </xf>
    <xf numFmtId="0" fontId="34" fillId="0" borderId="0" xfId="0" applyFont="1" applyAlignment="1" applyProtection="1">
      <alignment vertical="center"/>
      <protection locked="0"/>
    </xf>
    <xf numFmtId="0" fontId="34" fillId="0" borderId="0" xfId="0" applyFont="1" applyAlignment="1">
      <alignment vertical="center"/>
    </xf>
    <xf numFmtId="0" fontId="15" fillId="0" borderId="0" xfId="0" applyFont="1" applyAlignment="1">
      <alignment vertical="center"/>
    </xf>
    <xf numFmtId="0" fontId="14" fillId="0" borderId="1" xfId="0" applyFont="1" applyBorder="1" applyAlignment="1">
      <alignment vertical="center"/>
    </xf>
    <xf numFmtId="0" fontId="14" fillId="0" borderId="0" xfId="0" applyFont="1" applyAlignment="1" applyProtection="1">
      <alignment vertical="center"/>
      <protection locked="0"/>
    </xf>
    <xf numFmtId="0" fontId="0" fillId="0" borderId="1" xfId="0" applyBorder="1" applyAlignment="1">
      <alignment vertical="center"/>
    </xf>
    <xf numFmtId="0" fontId="26" fillId="0" borderId="0" xfId="0" applyFont="1" applyAlignment="1">
      <alignment vertical="center"/>
    </xf>
    <xf numFmtId="0" fontId="18" fillId="0" borderId="0" xfId="0" applyFont="1" applyAlignment="1" applyProtection="1">
      <alignment vertical="center"/>
      <protection locked="0"/>
    </xf>
    <xf numFmtId="0" fontId="15" fillId="0" borderId="0" xfId="0" applyFont="1" applyAlignment="1" applyProtection="1">
      <alignment vertical="center" wrapText="1"/>
      <protection locked="0"/>
    </xf>
    <xf numFmtId="0" fontId="11" fillId="0" borderId="0" xfId="0" applyFont="1" applyAlignment="1">
      <alignment vertical="center"/>
    </xf>
    <xf numFmtId="0" fontId="0" fillId="0" borderId="2" xfId="0" applyBorder="1"/>
    <xf numFmtId="0" fontId="14"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12" fillId="0" borderId="7" xfId="0" applyFont="1" applyBorder="1" applyAlignment="1">
      <alignment horizontal="center" vertical="center" wrapText="1"/>
    </xf>
    <xf numFmtId="0" fontId="26" fillId="0" borderId="7" xfId="0" applyFont="1" applyBorder="1" applyAlignment="1">
      <alignment horizontal="center" vertical="center"/>
    </xf>
    <xf numFmtId="0" fontId="26" fillId="0" borderId="7" xfId="0" applyFont="1" applyBorder="1" applyAlignment="1">
      <alignment horizontal="center" vertical="center" wrapText="1"/>
    </xf>
    <xf numFmtId="0" fontId="14" fillId="0" borderId="7" xfId="0" applyFont="1" applyBorder="1" applyAlignment="1">
      <alignment horizontal="center" vertical="center"/>
    </xf>
    <xf numFmtId="0" fontId="14" fillId="0" borderId="7" xfId="0" applyFont="1" applyBorder="1" applyAlignment="1">
      <alignment wrapText="1"/>
    </xf>
    <xf numFmtId="0" fontId="26" fillId="0" borderId="7" xfId="0" applyFont="1" applyBorder="1" applyAlignment="1">
      <alignment wrapText="1"/>
    </xf>
    <xf numFmtId="0" fontId="14"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4"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41" fillId="0" borderId="0" xfId="0" applyFont="1" applyAlignment="1">
      <alignment vertical="center"/>
    </xf>
    <xf numFmtId="0" fontId="41" fillId="0" borderId="0" xfId="0" applyFont="1" applyAlignment="1">
      <alignment vertical="top"/>
    </xf>
    <xf numFmtId="0" fontId="41" fillId="0" borderId="0" xfId="0" applyFont="1" applyAlignment="1">
      <alignment vertical="top" wrapText="1"/>
    </xf>
    <xf numFmtId="0" fontId="41" fillId="0" borderId="0" xfId="0" applyFont="1" applyAlignment="1" applyProtection="1">
      <alignment vertical="top"/>
      <protection locked="0"/>
    </xf>
    <xf numFmtId="0" fontId="41" fillId="2" borderId="0" xfId="0" applyFont="1" applyFill="1" applyAlignment="1" applyProtection="1">
      <alignment vertical="top" wrapText="1"/>
      <protection locked="0"/>
    </xf>
    <xf numFmtId="0" fontId="41" fillId="2" borderId="0" xfId="0" applyFont="1" applyFill="1" applyAlignment="1" applyProtection="1">
      <alignment vertical="top"/>
      <protection locked="0"/>
    </xf>
    <xf numFmtId="0" fontId="27" fillId="0" borderId="0" xfId="0" applyFont="1" applyAlignment="1" applyProtection="1">
      <alignment vertical="top" wrapText="1"/>
      <protection locked="0"/>
    </xf>
    <xf numFmtId="9" fontId="15" fillId="0" borderId="0" xfId="0" applyNumberFormat="1" applyFont="1" applyAlignment="1" applyProtection="1">
      <alignment vertical="top"/>
      <protection locked="0"/>
    </xf>
    <xf numFmtId="0" fontId="20" fillId="0" borderId="0" xfId="0" applyFont="1" applyAlignment="1" applyProtection="1">
      <alignment vertical="top"/>
      <protection locked="0"/>
    </xf>
    <xf numFmtId="0" fontId="20" fillId="0" borderId="0" xfId="0" applyFont="1" applyAlignment="1" applyProtection="1">
      <alignment vertical="center"/>
      <protection locked="0"/>
    </xf>
    <xf numFmtId="9" fontId="14" fillId="0" borderId="0" xfId="7" applyFont="1" applyFill="1" applyAlignment="1" applyProtection="1">
      <alignment vertical="top"/>
      <protection locked="0"/>
    </xf>
    <xf numFmtId="164" fontId="14" fillId="0" borderId="0" xfId="0" applyNumberFormat="1" applyFont="1" applyAlignment="1" applyProtection="1">
      <alignment vertical="top"/>
      <protection locked="0"/>
    </xf>
    <xf numFmtId="164" fontId="14" fillId="0" borderId="0" xfId="0" applyNumberFormat="1" applyFont="1" applyAlignment="1" applyProtection="1">
      <alignment vertical="top" wrapText="1"/>
      <protection locked="0"/>
    </xf>
    <xf numFmtId="9" fontId="14" fillId="0" borderId="0" xfId="7" applyFont="1" applyFill="1" applyAlignment="1" applyProtection="1">
      <alignment vertical="top" wrapText="1"/>
      <protection locked="0"/>
    </xf>
    <xf numFmtId="9" fontId="14" fillId="0" borderId="0" xfId="7" applyFont="1" applyFill="1" applyBorder="1" applyAlignment="1" applyProtection="1">
      <alignment vertical="top"/>
      <protection locked="0"/>
    </xf>
    <xf numFmtId="164" fontId="15" fillId="0" borderId="0" xfId="0" applyNumberFormat="1" applyFont="1" applyAlignment="1" applyProtection="1">
      <alignment vertical="top"/>
      <protection locked="0"/>
    </xf>
    <xf numFmtId="9" fontId="15" fillId="0" borderId="0" xfId="7" applyFont="1" applyFill="1" applyBorder="1" applyAlignment="1" applyProtection="1">
      <alignment vertical="top"/>
      <protection locked="0"/>
    </xf>
    <xf numFmtId="9" fontId="26" fillId="0" borderId="17" xfId="7" applyFont="1" applyFill="1" applyBorder="1" applyAlignment="1" applyProtection="1">
      <alignment vertical="top"/>
      <protection locked="0"/>
    </xf>
    <xf numFmtId="0" fontId="26" fillId="0" borderId="18" xfId="0" applyFont="1" applyBorder="1" applyAlignment="1" applyProtection="1">
      <alignment vertical="top"/>
      <protection locked="0"/>
    </xf>
    <xf numFmtId="0" fontId="26" fillId="2" borderId="0" xfId="0" applyFont="1" applyFill="1" applyAlignment="1" applyProtection="1">
      <alignment vertical="top" wrapText="1"/>
      <protection locked="0"/>
    </xf>
    <xf numFmtId="0" fontId="26" fillId="2" borderId="0" xfId="0" applyFont="1" applyFill="1" applyAlignment="1" applyProtection="1">
      <alignment vertical="top"/>
      <protection locked="0"/>
    </xf>
    <xf numFmtId="49" fontId="41" fillId="0" borderId="0" xfId="0" applyNumberFormat="1" applyFont="1" applyAlignment="1">
      <alignment horizontal="left" vertical="top" wrapText="1"/>
    </xf>
    <xf numFmtId="1" fontId="39" fillId="2" borderId="7" xfId="5" applyNumberFormat="1" applyFont="1" applyFill="1" applyBorder="1" applyAlignment="1" applyProtection="1">
      <alignment horizontal="center" vertical="center"/>
      <protection locked="0"/>
    </xf>
    <xf numFmtId="0" fontId="31" fillId="0" borderId="0" xfId="0" applyFont="1" applyProtection="1">
      <protection locked="0"/>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5" fillId="0" borderId="7" xfId="6" applyFont="1" applyFill="1" applyBorder="1" applyAlignment="1" applyProtection="1">
      <alignment horizontal="center" vertical="center"/>
    </xf>
    <xf numFmtId="0" fontId="14" fillId="0" borderId="0" xfId="0" applyFont="1" applyAlignment="1" applyProtection="1">
      <alignment horizontal="right" vertical="top"/>
      <protection locked="0"/>
    </xf>
    <xf numFmtId="164" fontId="14" fillId="0" borderId="0" xfId="0" applyNumberFormat="1" applyFont="1" applyAlignment="1" applyProtection="1">
      <alignment horizontal="right" vertical="top"/>
      <protection locked="0"/>
    </xf>
    <xf numFmtId="164" fontId="14" fillId="0" borderId="0" xfId="0" applyNumberFormat="1" applyFont="1" applyAlignment="1">
      <alignment horizontal="right" vertical="top"/>
    </xf>
    <xf numFmtId="0" fontId="26" fillId="0" borderId="17" xfId="0" applyFont="1" applyBorder="1" applyAlignment="1" applyProtection="1">
      <alignment horizontal="right" vertical="top"/>
      <protection locked="0"/>
    </xf>
    <xf numFmtId="164" fontId="14" fillId="0" borderId="0" xfId="0" applyNumberFormat="1" applyFont="1" applyAlignment="1" applyProtection="1">
      <alignment horizontal="right" vertical="top" wrapText="1"/>
      <protection locked="0"/>
    </xf>
    <xf numFmtId="164" fontId="15" fillId="0" borderId="0" xfId="0" applyNumberFormat="1" applyFont="1" applyAlignment="1" applyProtection="1">
      <alignment horizontal="right" vertical="top"/>
      <protection locked="0"/>
    </xf>
    <xf numFmtId="0" fontId="12" fillId="0" borderId="34" xfId="0" applyFont="1" applyBorder="1" applyAlignment="1" applyProtection="1">
      <alignment horizontal="center" vertical="center" wrapText="1"/>
      <protection locked="0"/>
    </xf>
    <xf numFmtId="0" fontId="26" fillId="6" borderId="12" xfId="0" applyFont="1" applyFill="1" applyBorder="1" applyAlignment="1" applyProtection="1">
      <alignment horizontal="center" vertical="center" wrapText="1"/>
      <protection locked="0"/>
    </xf>
    <xf numFmtId="9" fontId="26" fillId="6" borderId="11" xfId="7" applyFont="1" applyFill="1" applyBorder="1" applyAlignment="1" applyProtection="1">
      <alignment horizontal="center" vertical="center" wrapText="1"/>
      <protection locked="0"/>
    </xf>
    <xf numFmtId="0" fontId="26" fillId="6" borderId="11" xfId="0" applyFont="1" applyFill="1" applyBorder="1" applyAlignment="1" applyProtection="1">
      <alignment horizontal="center" vertical="center" wrapText="1"/>
      <protection locked="0"/>
    </xf>
    <xf numFmtId="0" fontId="25" fillId="0" borderId="20" xfId="0" applyFont="1" applyBorder="1" applyProtection="1">
      <protection locked="0"/>
    </xf>
    <xf numFmtId="0" fontId="0" fillId="0" borderId="17" xfId="0" applyBorder="1" applyAlignment="1" applyProtection="1">
      <alignment vertical="top"/>
      <protection locked="0"/>
    </xf>
    <xf numFmtId="9" fontId="15" fillId="0" borderId="0" xfId="7" applyFont="1" applyFill="1" applyAlignment="1" applyProtection="1">
      <alignment vertical="top"/>
      <protection locked="0"/>
    </xf>
    <xf numFmtId="0" fontId="15" fillId="3" borderId="0" xfId="0" applyFont="1" applyFill="1" applyProtection="1">
      <protection locked="0"/>
    </xf>
    <xf numFmtId="0" fontId="27" fillId="2" borderId="0" xfId="0" applyFont="1" applyFill="1" applyProtection="1">
      <protection locked="0"/>
    </xf>
    <xf numFmtId="0" fontId="27" fillId="0" borderId="0" xfId="0" applyFont="1" applyProtection="1">
      <protection locked="0"/>
    </xf>
    <xf numFmtId="0" fontId="0" fillId="3" borderId="0" xfId="0" applyFill="1" applyProtection="1">
      <protection locked="0"/>
    </xf>
    <xf numFmtId="164" fontId="14" fillId="7" borderId="0" xfId="0" applyNumberFormat="1" applyFont="1" applyFill="1" applyAlignment="1" applyProtection="1">
      <alignment horizontal="right" vertical="top"/>
      <protection locked="0"/>
    </xf>
    <xf numFmtId="9" fontId="14" fillId="7" borderId="0" xfId="7" applyFont="1" applyFill="1" applyAlignment="1" applyProtection="1">
      <alignment vertical="top"/>
      <protection locked="0"/>
    </xf>
    <xf numFmtId="164" fontId="14" fillId="7" borderId="0" xfId="0" applyNumberFormat="1" applyFont="1" applyFill="1" applyAlignment="1" applyProtection="1">
      <alignment vertical="top"/>
      <protection locked="0"/>
    </xf>
    <xf numFmtId="0" fontId="0" fillId="0" borderId="0" xfId="0" applyAlignment="1" applyProtection="1">
      <alignment horizontal="left" vertical="center" wrapText="1"/>
      <protection locked="0"/>
    </xf>
    <xf numFmtId="0" fontId="14" fillId="0" borderId="0" xfId="0" applyFont="1" applyAlignment="1">
      <alignment horizontal="left" vertical="top"/>
    </xf>
    <xf numFmtId="165" fontId="22" fillId="0" borderId="51" xfId="7" applyNumberFormat="1" applyFont="1" applyBorder="1" applyAlignment="1" applyProtection="1">
      <alignment horizontal="center" vertical="center" wrapText="1"/>
    </xf>
    <xf numFmtId="165" fontId="22" fillId="0" borderId="42" xfId="7" applyNumberFormat="1" applyFont="1" applyBorder="1" applyAlignment="1" applyProtection="1">
      <alignment horizontal="center" vertical="center" wrapText="1"/>
    </xf>
    <xf numFmtId="165" fontId="22" fillId="0" borderId="52" xfId="7" applyNumberFormat="1" applyFont="1" applyBorder="1" applyAlignment="1" applyProtection="1">
      <alignment horizontal="center" vertical="center" wrapText="1"/>
    </xf>
    <xf numFmtId="165" fontId="22" fillId="0" borderId="21" xfId="7" applyNumberFormat="1" applyFont="1" applyBorder="1" applyAlignment="1" applyProtection="1">
      <alignment horizontal="center" vertical="center" wrapText="1"/>
    </xf>
    <xf numFmtId="165" fontId="22" fillId="0" borderId="50" xfId="7" applyNumberFormat="1" applyFont="1" applyBorder="1" applyAlignment="1" applyProtection="1">
      <alignment horizontal="center" vertical="center" wrapText="1"/>
    </xf>
    <xf numFmtId="165" fontId="22" fillId="0" borderId="22" xfId="7" applyNumberFormat="1" applyFont="1" applyBorder="1" applyAlignment="1" applyProtection="1">
      <alignment horizontal="center" vertical="center" wrapText="1"/>
    </xf>
    <xf numFmtId="0" fontId="4" fillId="2" borderId="7" xfId="17" applyFill="1" applyBorder="1" applyAlignment="1" applyProtection="1">
      <alignment horizontal="center" vertical="center"/>
      <protection locked="0"/>
    </xf>
    <xf numFmtId="0" fontId="7" fillId="0" borderId="2" xfId="10" applyBorder="1"/>
    <xf numFmtId="0" fontId="7" fillId="0" borderId="13" xfId="10" applyBorder="1"/>
    <xf numFmtId="0" fontId="7" fillId="0" borderId="13" xfId="10" applyBorder="1" applyAlignment="1">
      <alignment vertical="center"/>
    </xf>
    <xf numFmtId="0" fontId="4" fillId="0" borderId="13" xfId="17" applyBorder="1"/>
    <xf numFmtId="0" fontId="7" fillId="0" borderId="6" xfId="10" applyBorder="1" applyAlignment="1">
      <alignment vertical="center"/>
    </xf>
    <xf numFmtId="0" fontId="7" fillId="0" borderId="25" xfId="10" applyBorder="1" applyAlignment="1">
      <alignment vertical="center"/>
    </xf>
    <xf numFmtId="0" fontId="23" fillId="0" borderId="12" xfId="10" applyFont="1" applyBorder="1" applyAlignment="1">
      <alignment horizontal="center" vertical="center" wrapText="1"/>
    </xf>
    <xf numFmtId="0" fontId="23" fillId="0" borderId="11" xfId="10" applyFont="1" applyBorder="1" applyAlignment="1">
      <alignment horizontal="center" vertical="center"/>
    </xf>
    <xf numFmtId="0" fontId="23" fillId="0" borderId="47" xfId="10" applyFont="1" applyBorder="1" applyAlignment="1">
      <alignment horizontal="center" vertical="center"/>
    </xf>
    <xf numFmtId="0" fontId="23" fillId="0" borderId="26" xfId="10" applyFont="1" applyBorder="1" applyAlignment="1">
      <alignment horizontal="center" vertical="center"/>
    </xf>
    <xf numFmtId="0" fontId="23" fillId="0" borderId="47" xfId="17" applyFont="1" applyBorder="1" applyAlignment="1">
      <alignment horizontal="center" vertical="center"/>
    </xf>
    <xf numFmtId="0" fontId="23" fillId="0" borderId="18" xfId="10" applyFont="1" applyBorder="1" applyAlignment="1">
      <alignment horizontal="center" vertical="center"/>
    </xf>
    <xf numFmtId="0" fontId="7" fillId="0" borderId="23" xfId="10" applyBorder="1" applyAlignment="1">
      <alignment vertical="center"/>
    </xf>
    <xf numFmtId="0" fontId="7" fillId="0" borderId="2" xfId="10" applyBorder="1" applyAlignment="1">
      <alignment vertical="center"/>
    </xf>
    <xf numFmtId="0" fontId="7" fillId="0" borderId="6" xfId="10" applyBorder="1"/>
    <xf numFmtId="0" fontId="21" fillId="0" borderId="15" xfId="5" applyFont="1" applyBorder="1" applyAlignment="1">
      <alignment horizontal="left" vertical="center" wrapText="1"/>
    </xf>
    <xf numFmtId="0" fontId="4" fillId="5" borderId="55" xfId="17" applyFill="1" applyBorder="1" applyAlignment="1">
      <alignment horizontal="center" vertical="center"/>
    </xf>
    <xf numFmtId="0" fontId="22" fillId="0" borderId="48" xfId="5" applyFont="1" applyBorder="1" applyAlignment="1">
      <alignment vertical="center" wrapText="1"/>
    </xf>
    <xf numFmtId="0" fontId="22" fillId="0" borderId="16" xfId="5" applyFont="1" applyBorder="1" applyAlignment="1">
      <alignment vertical="center" wrapText="1"/>
    </xf>
    <xf numFmtId="0" fontId="13" fillId="0" borderId="53" xfId="17" applyFont="1" applyBorder="1" applyAlignment="1">
      <alignment horizontal="center" vertical="center"/>
    </xf>
    <xf numFmtId="0" fontId="49" fillId="0" borderId="43" xfId="5" applyFont="1" applyBorder="1" applyAlignment="1">
      <alignment horizontal="center" vertical="center"/>
    </xf>
    <xf numFmtId="0" fontId="7" fillId="0" borderId="23" xfId="10" applyBorder="1"/>
    <xf numFmtId="0" fontId="21" fillId="0" borderId="10" xfId="5" applyFont="1" applyBorder="1" applyAlignment="1">
      <alignment horizontal="left" vertical="center"/>
    </xf>
    <xf numFmtId="0" fontId="4" fillId="5" borderId="7" xfId="17" applyFill="1" applyBorder="1" applyAlignment="1">
      <alignment horizontal="center" vertical="center"/>
    </xf>
    <xf numFmtId="0" fontId="21" fillId="0" borderId="7" xfId="5" applyFont="1" applyBorder="1" applyAlignment="1">
      <alignment vertical="center" wrapText="1"/>
    </xf>
    <xf numFmtId="0" fontId="21" fillId="0" borderId="9" xfId="5" applyFont="1" applyBorder="1" applyAlignment="1">
      <alignment vertical="center" wrapText="1"/>
    </xf>
    <xf numFmtId="0" fontId="13" fillId="0" borderId="54" xfId="17" applyFont="1" applyBorder="1" applyAlignment="1">
      <alignment horizontal="center" vertical="center"/>
    </xf>
    <xf numFmtId="0" fontId="49" fillId="0" borderId="44" xfId="5" applyFont="1" applyBorder="1" applyAlignment="1">
      <alignment horizontal="center" vertical="center"/>
    </xf>
    <xf numFmtId="0" fontId="21" fillId="0" borderId="39" xfId="10" applyFont="1" applyBorder="1" applyAlignment="1">
      <alignment horizontal="left" vertical="center"/>
    </xf>
    <xf numFmtId="0" fontId="21" fillId="0" borderId="39" xfId="17" applyFont="1" applyBorder="1" applyAlignment="1">
      <alignment horizontal="center" vertical="center" wrapText="1"/>
    </xf>
    <xf numFmtId="0" fontId="49" fillId="0" borderId="33" xfId="10" applyFont="1" applyBorder="1" applyAlignment="1">
      <alignment horizontal="center" vertical="center" wrapText="1"/>
    </xf>
    <xf numFmtId="0" fontId="21" fillId="0" borderId="38" xfId="10" applyFont="1" applyBorder="1" applyAlignment="1">
      <alignment horizontal="left" vertical="center"/>
    </xf>
    <xf numFmtId="0" fontId="21" fillId="0" borderId="38" xfId="17" applyFont="1" applyBorder="1" applyAlignment="1">
      <alignment horizontal="center" vertical="center" wrapText="1"/>
    </xf>
    <xf numFmtId="0" fontId="49" fillId="0" borderId="29" xfId="10" applyFont="1" applyBorder="1" applyAlignment="1">
      <alignment horizontal="center" vertical="center" wrapText="1"/>
    </xf>
    <xf numFmtId="0" fontId="8" fillId="0" borderId="6" xfId="5" applyBorder="1"/>
    <xf numFmtId="0" fontId="21" fillId="0" borderId="8" xfId="5" applyFont="1" applyBorder="1" applyAlignment="1">
      <alignment vertical="center"/>
    </xf>
    <xf numFmtId="0" fontId="21" fillId="0" borderId="19" xfId="5" applyFont="1" applyBorder="1" applyAlignment="1">
      <alignment horizontal="left" vertical="center" wrapText="1"/>
    </xf>
    <xf numFmtId="0" fontId="49" fillId="0" borderId="29" xfId="5" applyFont="1" applyBorder="1" applyAlignment="1">
      <alignment horizontal="center" vertical="center" wrapText="1"/>
    </xf>
    <xf numFmtId="0" fontId="8" fillId="0" borderId="23" xfId="5" applyBorder="1"/>
    <xf numFmtId="0" fontId="8" fillId="0" borderId="2" xfId="5" applyBorder="1"/>
    <xf numFmtId="0" fontId="22" fillId="0" borderId="7" xfId="10" applyFont="1" applyBorder="1" applyAlignment="1">
      <alignment vertical="center" wrapText="1"/>
    </xf>
    <xf numFmtId="0" fontId="22" fillId="0" borderId="38" xfId="17" applyFont="1" applyBorder="1" applyAlignment="1">
      <alignment horizontal="center" vertical="center" wrapText="1"/>
    </xf>
    <xf numFmtId="0" fontId="22" fillId="0" borderId="29" xfId="10" applyFont="1" applyBorder="1" applyAlignment="1">
      <alignment horizontal="center" vertical="center" wrapText="1"/>
    </xf>
    <xf numFmtId="0" fontId="4" fillId="5" borderId="7" xfId="17" applyFill="1" applyBorder="1" applyAlignment="1">
      <alignment horizontal="center" vertical="center" wrapText="1"/>
    </xf>
    <xf numFmtId="0" fontId="21" fillId="0" borderId="45" xfId="5" applyFont="1" applyBorder="1" applyAlignment="1">
      <alignment vertical="center"/>
    </xf>
    <xf numFmtId="0" fontId="22" fillId="0" borderId="19" xfId="10" applyFont="1" applyBorder="1" applyAlignment="1">
      <alignment vertical="center" wrapText="1"/>
    </xf>
    <xf numFmtId="0" fontId="22" fillId="0" borderId="29" xfId="5" applyFont="1" applyBorder="1" applyAlignment="1">
      <alignment horizontal="center" vertical="center" wrapText="1"/>
    </xf>
    <xf numFmtId="0" fontId="21" fillId="0" borderId="35" xfId="5" applyFont="1" applyBorder="1" applyAlignment="1">
      <alignment vertical="center"/>
    </xf>
    <xf numFmtId="4" fontId="4" fillId="5" borderId="4" xfId="17" applyNumberFormat="1" applyFill="1" applyBorder="1" applyAlignment="1">
      <alignment horizontal="center" vertical="center"/>
    </xf>
    <xf numFmtId="0" fontId="22" fillId="0" borderId="36" xfId="10" applyFont="1" applyBorder="1" applyAlignment="1">
      <alignment vertical="center" wrapText="1"/>
    </xf>
    <xf numFmtId="2" fontId="22" fillId="0" borderId="49" xfId="17" applyNumberFormat="1" applyFont="1" applyBorder="1" applyAlignment="1">
      <alignment horizontal="center" vertical="center" wrapText="1"/>
    </xf>
    <xf numFmtId="0" fontId="49" fillId="0" borderId="37" xfId="5" applyFont="1" applyBorder="1" applyAlignment="1">
      <alignment horizontal="center" vertical="center" wrapText="1"/>
    </xf>
    <xf numFmtId="0" fontId="21" fillId="0" borderId="10" xfId="10" applyFont="1" applyBorder="1" applyAlignment="1">
      <alignment horizontal="left" vertical="center"/>
    </xf>
    <xf numFmtId="0" fontId="21" fillId="0" borderId="32" xfId="10" applyFont="1" applyBorder="1" applyAlignment="1">
      <alignment vertical="center" wrapText="1"/>
    </xf>
    <xf numFmtId="0" fontId="48" fillId="0" borderId="33" xfId="10" applyFont="1" applyBorder="1" applyAlignment="1">
      <alignment horizontal="center" vertical="center" wrapText="1"/>
    </xf>
    <xf numFmtId="0" fontId="21" fillId="0" borderId="8" xfId="10" applyFont="1" applyBorder="1" applyAlignment="1">
      <alignment horizontal="left" vertical="center"/>
    </xf>
    <xf numFmtId="0" fontId="22" fillId="0" borderId="19" xfId="5" applyFont="1" applyBorder="1" applyAlignment="1">
      <alignment vertical="center" wrapText="1"/>
    </xf>
    <xf numFmtId="0" fontId="48" fillId="0" borderId="29" xfId="10" applyFont="1" applyBorder="1" applyAlignment="1">
      <alignment horizontal="center" vertical="center" wrapText="1"/>
    </xf>
    <xf numFmtId="0" fontId="7" fillId="0" borderId="41" xfId="10" applyBorder="1"/>
    <xf numFmtId="0" fontId="7" fillId="5" borderId="23" xfId="10" applyFill="1" applyBorder="1"/>
    <xf numFmtId="0" fontId="21" fillId="0" borderId="8" xfId="10" applyFont="1" applyBorder="1" applyAlignment="1">
      <alignment horizontal="left" vertical="center" wrapText="1"/>
    </xf>
    <xf numFmtId="0" fontId="21" fillId="0" borderId="5" xfId="10" applyFont="1" applyBorder="1" applyAlignment="1">
      <alignment horizontal="left" vertical="center" wrapText="1"/>
    </xf>
    <xf numFmtId="0" fontId="22" fillId="0" borderId="31" xfId="10" applyFont="1" applyBorder="1" applyAlignment="1">
      <alignment vertical="center" wrapText="1"/>
    </xf>
    <xf numFmtId="0" fontId="22" fillId="0" borderId="50" xfId="17" applyFont="1" applyBorder="1" applyAlignment="1">
      <alignment horizontal="center" vertical="center" wrapText="1"/>
    </xf>
    <xf numFmtId="0" fontId="22" fillId="0" borderId="22" xfId="10" applyFont="1" applyBorder="1" applyAlignment="1">
      <alignment horizontal="center" vertical="center" wrapText="1"/>
    </xf>
    <xf numFmtId="0" fontId="7" fillId="5" borderId="6" xfId="10" applyFill="1" applyBorder="1"/>
    <xf numFmtId="0" fontId="7" fillId="5" borderId="34" xfId="10" applyFill="1" applyBorder="1" applyAlignment="1">
      <alignment wrapText="1"/>
    </xf>
    <xf numFmtId="0" fontId="21" fillId="5" borderId="35" xfId="10" applyFont="1" applyFill="1" applyBorder="1" applyAlignment="1">
      <alignment vertical="center"/>
    </xf>
    <xf numFmtId="0" fontId="7" fillId="5" borderId="24" xfId="10" applyFill="1" applyBorder="1" applyAlignment="1">
      <alignment horizontal="center" vertical="center"/>
    </xf>
    <xf numFmtId="0" fontId="7" fillId="5" borderId="46" xfId="10" applyFill="1" applyBorder="1" applyAlignment="1">
      <alignment horizontal="center" vertical="center"/>
    </xf>
    <xf numFmtId="0" fontId="22" fillId="5" borderId="36" xfId="10" applyFont="1" applyFill="1" applyBorder="1" applyAlignment="1">
      <alignment vertical="center" wrapText="1"/>
    </xf>
    <xf numFmtId="0" fontId="22" fillId="5" borderId="49" xfId="17" applyFont="1" applyFill="1" applyBorder="1" applyAlignment="1">
      <alignment horizontal="center" vertical="center" wrapText="1"/>
    </xf>
    <xf numFmtId="0" fontId="22" fillId="5" borderId="37" xfId="10" applyFont="1" applyFill="1" applyBorder="1" applyAlignment="1">
      <alignment horizontal="center" vertical="center" wrapText="1"/>
    </xf>
    <xf numFmtId="0" fontId="7" fillId="5" borderId="2" xfId="10" applyFill="1" applyBorder="1"/>
    <xf numFmtId="0" fontId="28" fillId="0" borderId="15" xfId="10" applyFont="1" applyBorder="1" applyAlignment="1">
      <alignment horizontal="center" vertical="center" wrapText="1"/>
    </xf>
    <xf numFmtId="0" fontId="40" fillId="0" borderId="16" xfId="10" applyFont="1" applyBorder="1" applyAlignment="1">
      <alignment vertical="center" wrapText="1"/>
    </xf>
    <xf numFmtId="0" fontId="28" fillId="0" borderId="8" xfId="10" applyFont="1" applyBorder="1" applyAlignment="1">
      <alignment horizontal="center" vertical="center" wrapText="1"/>
    </xf>
    <xf numFmtId="0" fontId="40" fillId="0" borderId="7" xfId="10" applyFont="1" applyBorder="1" applyAlignment="1">
      <alignment vertical="center" wrapText="1"/>
    </xf>
    <xf numFmtId="0" fontId="28" fillId="0" borderId="5" xfId="10" applyFont="1" applyBorder="1" applyAlignment="1">
      <alignment horizontal="center" vertical="center" wrapText="1"/>
    </xf>
    <xf numFmtId="0" fontId="40" fillId="0" borderId="4" xfId="10" applyFont="1" applyBorder="1" applyAlignment="1">
      <alignment vertical="center" wrapText="1"/>
    </xf>
    <xf numFmtId="0" fontId="7" fillId="0" borderId="3" xfId="10" applyBorder="1"/>
    <xf numFmtId="0" fontId="7" fillId="0" borderId="3" xfId="10" applyBorder="1" applyAlignment="1">
      <alignment vertical="center"/>
    </xf>
    <xf numFmtId="0" fontId="4" fillId="0" borderId="3" xfId="17" applyBorder="1"/>
    <xf numFmtId="0" fontId="4" fillId="0" borderId="2" xfId="17" applyBorder="1"/>
    <xf numFmtId="165" fontId="7" fillId="2" borderId="16" xfId="10" applyNumberFormat="1" applyFill="1" applyBorder="1" applyAlignment="1" applyProtection="1">
      <alignment horizontal="center" vertical="center"/>
      <protection locked="0"/>
    </xf>
    <xf numFmtId="165" fontId="7" fillId="2" borderId="7" xfId="10" applyNumberFormat="1" applyFill="1" applyBorder="1" applyAlignment="1" applyProtection="1">
      <alignment horizontal="center" vertical="center"/>
      <protection locked="0"/>
    </xf>
    <xf numFmtId="165" fontId="7" fillId="2" borderId="4" xfId="10" applyNumberFormat="1" applyFill="1" applyBorder="1" applyAlignment="1" applyProtection="1">
      <alignment horizontal="center" vertical="center"/>
      <protection locked="0"/>
    </xf>
    <xf numFmtId="0" fontId="0" fillId="0" borderId="6" xfId="0" applyBorder="1" applyAlignment="1">
      <alignment wrapText="1"/>
    </xf>
    <xf numFmtId="0" fontId="25" fillId="0" borderId="7" xfId="6" applyFont="1" applyFill="1" applyBorder="1" applyAlignment="1" applyProtection="1">
      <alignment horizontal="center" vertical="center" wrapText="1"/>
    </xf>
    <xf numFmtId="0" fontId="14" fillId="0" borderId="7" xfId="0" applyFont="1" applyBorder="1" applyAlignment="1">
      <alignment horizontal="center" vertical="center" wrapText="1"/>
    </xf>
    <xf numFmtId="0" fontId="14" fillId="0" borderId="0" xfId="0" applyFont="1" applyAlignment="1">
      <alignment horizontal="left" vertical="center" wrapText="1"/>
    </xf>
    <xf numFmtId="0" fontId="58" fillId="8" borderId="0" xfId="0" applyFont="1" applyFill="1" applyProtection="1">
      <protection locked="0"/>
    </xf>
    <xf numFmtId="0" fontId="14" fillId="8" borderId="0" xfId="0" applyFont="1" applyFill="1" applyProtection="1">
      <protection locked="0"/>
    </xf>
    <xf numFmtId="0" fontId="58" fillId="0" borderId="0" xfId="0" applyFont="1" applyProtection="1">
      <protection locked="0"/>
    </xf>
    <xf numFmtId="0" fontId="21" fillId="0" borderId="7" xfId="17" applyFont="1" applyBorder="1" applyAlignment="1">
      <alignment vertical="center" wrapText="1"/>
    </xf>
    <xf numFmtId="0" fontId="22" fillId="0" borderId="7" xfId="17" applyFont="1" applyBorder="1" applyAlignment="1">
      <alignment vertical="center" wrapText="1"/>
    </xf>
    <xf numFmtId="0" fontId="22" fillId="0" borderId="38" xfId="17" applyFont="1" applyBorder="1" applyAlignment="1">
      <alignment vertical="center" wrapText="1"/>
    </xf>
    <xf numFmtId="0" fontId="22" fillId="0" borderId="49" xfId="17" applyFont="1" applyBorder="1" applyAlignment="1">
      <alignment vertical="center" wrapText="1"/>
    </xf>
    <xf numFmtId="0" fontId="21" fillId="0" borderId="56" xfId="17" applyFont="1" applyBorder="1" applyAlignment="1">
      <alignment vertical="center" wrapText="1"/>
    </xf>
    <xf numFmtId="0" fontId="22" fillId="0" borderId="57" xfId="17" applyFont="1" applyBorder="1" applyAlignment="1">
      <alignment vertical="center" wrapText="1"/>
    </xf>
    <xf numFmtId="0" fontId="22" fillId="0" borderId="57" xfId="17" applyFont="1" applyBorder="1" applyAlignment="1">
      <alignment wrapText="1"/>
    </xf>
    <xf numFmtId="0" fontId="22" fillId="0" borderId="50" xfId="17" applyFont="1" applyBorder="1" applyAlignment="1">
      <alignment vertical="center" wrapText="1"/>
    </xf>
    <xf numFmtId="0" fontId="40" fillId="0" borderId="51" xfId="17" applyFont="1" applyBorder="1" applyAlignment="1">
      <alignment vertical="center" wrapText="1"/>
    </xf>
    <xf numFmtId="0" fontId="40" fillId="0" borderId="52" xfId="17" applyFont="1" applyBorder="1" applyAlignment="1">
      <alignment vertical="center" wrapText="1"/>
    </xf>
    <xf numFmtId="0" fontId="40" fillId="0" borderId="50" xfId="17" applyFont="1" applyBorder="1" applyAlignment="1">
      <alignment vertical="center" wrapText="1"/>
    </xf>
    <xf numFmtId="0" fontId="4" fillId="9" borderId="7" xfId="17" applyFill="1" applyBorder="1" applyAlignment="1" applyProtection="1">
      <alignment horizontal="center" vertical="center"/>
      <protection locked="0"/>
    </xf>
    <xf numFmtId="0" fontId="14" fillId="0" borderId="7" xfId="3" applyFont="1" applyBorder="1" applyAlignment="1" applyProtection="1">
      <alignment horizontal="center" vertical="center" wrapText="1"/>
      <protection locked="0"/>
    </xf>
    <xf numFmtId="0" fontId="14" fillId="0" borderId="0" xfId="2" applyFont="1" applyAlignment="1" applyProtection="1">
      <alignment wrapText="1"/>
      <protection locked="0"/>
    </xf>
    <xf numFmtId="0" fontId="16" fillId="0" borderId="0" xfId="0" applyFont="1"/>
    <xf numFmtId="0" fontId="14" fillId="0" borderId="0" xfId="0" applyFont="1"/>
    <xf numFmtId="0" fontId="15" fillId="0" borderId="0" xfId="0" applyFont="1"/>
    <xf numFmtId="0" fontId="58" fillId="0" borderId="0" xfId="0" applyFont="1"/>
    <xf numFmtId="0" fontId="31" fillId="0" borderId="0" xfId="0" applyFont="1"/>
    <xf numFmtId="49" fontId="59" fillId="5" borderId="58" xfId="0" applyNumberFormat="1" applyFont="1" applyFill="1" applyBorder="1" applyAlignment="1">
      <alignment vertical="center" wrapText="1"/>
    </xf>
    <xf numFmtId="0" fontId="0" fillId="0" borderId="0" xfId="0" applyAlignment="1" applyProtection="1">
      <alignment vertical="center" wrapText="1"/>
      <protection locked="0"/>
    </xf>
    <xf numFmtId="0" fontId="26" fillId="0" borderId="0" xfId="0" applyFont="1" applyAlignment="1" applyProtection="1">
      <alignment vertical="center"/>
      <protection locked="0"/>
    </xf>
    <xf numFmtId="0" fontId="21" fillId="0" borderId="0" xfId="0" applyFont="1" applyAlignment="1">
      <alignment vertical="top" wrapText="1"/>
    </xf>
    <xf numFmtId="49" fontId="2" fillId="3" borderId="16" xfId="5" applyNumberFormat="1" applyFont="1" applyFill="1" applyBorder="1" applyAlignment="1" applyProtection="1">
      <alignment horizontal="center" vertical="center"/>
      <protection locked="0"/>
    </xf>
    <xf numFmtId="0" fontId="2" fillId="0" borderId="7" xfId="5" applyFont="1" applyBorder="1" applyAlignment="1">
      <alignment horizontal="center" vertical="center"/>
    </xf>
    <xf numFmtId="0" fontId="2" fillId="0" borderId="2" xfId="10" applyFont="1" applyBorder="1"/>
    <xf numFmtId="0" fontId="2" fillId="3" borderId="7" xfId="17" applyFont="1" applyFill="1" applyBorder="1" applyAlignment="1" applyProtection="1">
      <alignment horizontal="center" vertical="center" wrapText="1"/>
      <protection locked="0"/>
    </xf>
    <xf numFmtId="0" fontId="2" fillId="3" borderId="7" xfId="5" applyFont="1" applyFill="1" applyBorder="1" applyAlignment="1" applyProtection="1">
      <alignment horizontal="center" vertical="center"/>
      <protection locked="0"/>
    </xf>
    <xf numFmtId="2" fontId="2" fillId="3" borderId="24" xfId="5" applyNumberFormat="1" applyFont="1" applyFill="1" applyBorder="1" applyAlignment="1" applyProtection="1">
      <alignment horizontal="center" vertical="center"/>
      <protection locked="0"/>
    </xf>
    <xf numFmtId="0" fontId="2" fillId="3" borderId="9" xfId="10" applyFont="1" applyFill="1" applyBorder="1" applyAlignment="1" applyProtection="1">
      <alignment horizontal="center" vertical="center"/>
      <protection locked="0"/>
    </xf>
    <xf numFmtId="1" fontId="2" fillId="3" borderId="7" xfId="10" applyNumberFormat="1" applyFont="1" applyFill="1" applyBorder="1" applyAlignment="1" applyProtection="1">
      <alignment horizontal="center" vertical="center"/>
      <protection locked="0"/>
    </xf>
    <xf numFmtId="165" fontId="2" fillId="5" borderId="16" xfId="7" applyNumberFormat="1" applyFont="1" applyFill="1" applyBorder="1" applyAlignment="1" applyProtection="1">
      <alignment horizontal="center" vertical="center"/>
    </xf>
    <xf numFmtId="165" fontId="2" fillId="5" borderId="7" xfId="7" applyNumberFormat="1" applyFont="1" applyFill="1" applyBorder="1" applyAlignment="1" applyProtection="1">
      <alignment horizontal="center" vertical="center"/>
    </xf>
    <xf numFmtId="165" fontId="2" fillId="5" borderId="4" xfId="7" applyNumberFormat="1" applyFont="1" applyFill="1" applyBorder="1" applyAlignment="1" applyProtection="1">
      <alignment horizontal="center" vertical="center"/>
    </xf>
    <xf numFmtId="0" fontId="11" fillId="0" borderId="0" xfId="0" applyFont="1" applyAlignment="1">
      <alignment vertical="top" wrapText="1"/>
    </xf>
    <xf numFmtId="0" fontId="11" fillId="0" borderId="0" xfId="0" applyFont="1" applyAlignment="1">
      <alignment vertical="top"/>
    </xf>
    <xf numFmtId="0" fontId="11" fillId="7" borderId="0" xfId="0" applyFont="1" applyFill="1" applyAlignment="1">
      <alignment vertical="top" wrapText="1"/>
    </xf>
    <xf numFmtId="0" fontId="11" fillId="2" borderId="0" xfId="0" applyFont="1" applyFill="1" applyAlignment="1" applyProtection="1">
      <alignment vertical="top" wrapText="1"/>
      <protection locked="0"/>
    </xf>
    <xf numFmtId="0" fontId="11" fillId="2" borderId="0" xfId="0" applyFont="1" applyFill="1" applyAlignment="1" applyProtection="1">
      <alignment vertical="top"/>
      <protection locked="0"/>
    </xf>
    <xf numFmtId="0" fontId="11" fillId="0" borderId="0" xfId="0" applyFont="1" applyAlignment="1" applyProtection="1">
      <alignment vertical="top"/>
      <protection locked="0"/>
    </xf>
    <xf numFmtId="164" fontId="11" fillId="0" borderId="0" xfId="0" applyNumberFormat="1" applyFont="1" applyAlignment="1" applyProtection="1">
      <alignment vertical="top"/>
      <protection locked="0"/>
    </xf>
    <xf numFmtId="0" fontId="11" fillId="0" borderId="0" xfId="0" applyFont="1"/>
    <xf numFmtId="0" fontId="60" fillId="0" borderId="0" xfId="0" applyFont="1" applyAlignment="1" applyProtection="1">
      <alignment vertical="center"/>
      <protection locked="0"/>
    </xf>
    <xf numFmtId="0" fontId="7" fillId="0" borderId="28" xfId="10" applyBorder="1" applyAlignment="1">
      <alignment horizontal="center" vertical="top" textRotation="90" wrapText="1"/>
    </xf>
    <xf numFmtId="0" fontId="7" fillId="0" borderId="30" xfId="10" applyBorder="1" applyAlignment="1">
      <alignment horizontal="center" vertical="top" textRotation="90" wrapText="1"/>
    </xf>
    <xf numFmtId="0" fontId="7" fillId="0" borderId="27" xfId="10" applyBorder="1" applyAlignment="1">
      <alignment horizontal="center" vertical="top" textRotation="90"/>
    </xf>
    <xf numFmtId="0" fontId="7" fillId="0" borderId="28" xfId="10" applyBorder="1" applyAlignment="1">
      <alignment horizontal="center" vertical="top" textRotation="90"/>
    </xf>
    <xf numFmtId="0" fontId="7" fillId="0" borderId="30" xfId="10" applyBorder="1" applyAlignment="1">
      <alignment horizontal="center" vertical="top" textRotation="90"/>
    </xf>
    <xf numFmtId="0" fontId="7" fillId="0" borderId="27" xfId="10" applyBorder="1" applyAlignment="1">
      <alignment horizontal="center" vertical="top" textRotation="90" wrapText="1"/>
    </xf>
    <xf numFmtId="0" fontId="16" fillId="0" borderId="0" xfId="0" applyFont="1" applyAlignment="1">
      <alignment vertical="top" wrapText="1"/>
    </xf>
    <xf numFmtId="0" fontId="16" fillId="0" borderId="0" xfId="0" applyFont="1" applyAlignment="1" applyProtection="1">
      <alignment vertical="top" wrapText="1"/>
      <protection locked="0"/>
    </xf>
  </cellXfs>
  <cellStyles count="20">
    <cellStyle name="Check Cell" xfId="6" builtinId="23"/>
    <cellStyle name="Normal" xfId="0" builtinId="0"/>
    <cellStyle name="Normal 2" xfId="1" xr:uid="{00000000-0005-0000-0000-000002000000}"/>
    <cellStyle name="Normal 2 2" xfId="8" xr:uid="{00000000-0005-0000-0000-000003000000}"/>
    <cellStyle name="Normal 2 2 2" xfId="13" xr:uid="{00000000-0005-0000-0000-000004000000}"/>
    <cellStyle name="Normal 2 2 3" xfId="15" xr:uid="{6F7AC48C-8BC0-E048-96B6-34CF2814C2E1}"/>
    <cellStyle name="Normal 2 3" xfId="11" xr:uid="{00000000-0005-0000-0000-000005000000}"/>
    <cellStyle name="Normal 3" xfId="2" xr:uid="{00000000-0005-0000-0000-000006000000}"/>
    <cellStyle name="Normal 3 2" xfId="12" xr:uid="{00000000-0005-0000-0000-000007000000}"/>
    <cellStyle name="Normal 3 2 2" xfId="16" xr:uid="{AA3FA7FB-5FD5-7841-97F4-47C6B41A3222}"/>
    <cellStyle name="Normal 4" xfId="4" xr:uid="{00000000-0005-0000-0000-000008000000}"/>
    <cellStyle name="Normal 4 2" xfId="5" xr:uid="{00000000-0005-0000-0000-000009000000}"/>
    <cellStyle name="Normal 4 2 2" xfId="10" xr:uid="{00000000-0005-0000-0000-00000A000000}"/>
    <cellStyle name="Normal 4 2 2 2" xfId="17" xr:uid="{DD8DDCD2-5352-E845-9236-8EBEEA2D3DE5}"/>
    <cellStyle name="Normal 4 2 2 2 2" xfId="19" xr:uid="{4BEC5C70-5693-EE45-927A-2048A0C549DB}"/>
    <cellStyle name="Normal 4 2 2 3" xfId="18" xr:uid="{A5E41FF9-02A9-1644-AB52-AA2C32AA8BBC}"/>
    <cellStyle name="Normal 4 3" xfId="9" xr:uid="{00000000-0005-0000-0000-00000B000000}"/>
    <cellStyle name="Normal 4 4" xfId="14" xr:uid="{00000000-0005-0000-0000-00000C000000}"/>
    <cellStyle name="Normal 5" xfId="3" xr:uid="{00000000-0005-0000-0000-00000D000000}"/>
    <cellStyle name="Percent" xfId="7" builtinId="5"/>
  </cellStyles>
  <dxfs count="0"/>
  <tableStyles count="0" defaultTableStyle="TableStyleMedium9" defaultPivotStyle="PivotStyleLight16"/>
  <colors>
    <mruColors>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29"/>
  <sheetViews>
    <sheetView tabSelected="1" topLeftCell="H1" zoomScale="70" zoomScaleNormal="70" workbookViewId="0">
      <pane ySplit="1" topLeftCell="A288" activePane="bottomLeft" state="frozen"/>
      <selection pane="bottomLeft" activeCell="Y297" sqref="Y297"/>
    </sheetView>
  </sheetViews>
  <sheetFormatPr defaultColWidth="8.77734375" defaultRowHeight="14.4"/>
  <cols>
    <col min="1" max="1" width="21.109375" style="21" customWidth="1"/>
    <col min="2" max="2" width="25.77734375" style="21" customWidth="1"/>
    <col min="3" max="4" width="66" style="22" customWidth="1"/>
    <col min="5" max="5" width="16.77734375" style="22" customWidth="1"/>
    <col min="6" max="7" width="28" style="21" customWidth="1"/>
    <col min="8" max="8" width="15.44140625" style="21" customWidth="1"/>
    <col min="9" max="10" width="8.77734375" style="81" customWidth="1"/>
    <col min="11" max="11" width="14.6640625" style="81" customWidth="1"/>
    <col min="12" max="16" width="8.77734375" style="81" customWidth="1"/>
    <col min="17" max="20" width="8.77734375" style="21" customWidth="1"/>
    <col min="21" max="21" width="9.44140625" style="21" hidden="1" customWidth="1"/>
    <col min="22" max="22" width="8.77734375" style="21" hidden="1" customWidth="1"/>
    <col min="23" max="23" width="18.109375" style="136" hidden="1" customWidth="1"/>
    <col min="24" max="24" width="18.33203125" style="123" hidden="1" customWidth="1"/>
    <col min="25" max="25" width="14.109375" style="30" customWidth="1"/>
    <col min="26" max="26" width="19.6640625" style="30" hidden="1" customWidth="1"/>
    <col min="27" max="27" width="8.77734375" style="30"/>
    <col min="28" max="16384" width="8.77734375" style="21"/>
  </cols>
  <sheetData>
    <row r="1" spans="1:27" s="72" customFormat="1" ht="43.8" thickBot="1">
      <c r="A1" s="68" t="s">
        <v>0</v>
      </c>
      <c r="B1" s="68" t="s">
        <v>1</v>
      </c>
      <c r="C1" s="69" t="s">
        <v>2</v>
      </c>
      <c r="D1" s="69" t="s">
        <v>3</v>
      </c>
      <c r="E1" s="70" t="s">
        <v>4</v>
      </c>
      <c r="F1" s="68" t="s">
        <v>5</v>
      </c>
      <c r="G1" s="68" t="s">
        <v>6</v>
      </c>
      <c r="H1" s="71" t="s">
        <v>7</v>
      </c>
      <c r="I1" s="68" t="s">
        <v>8</v>
      </c>
      <c r="J1" s="68" t="s">
        <v>9</v>
      </c>
      <c r="K1" s="68" t="s">
        <v>10</v>
      </c>
      <c r="L1" s="68" t="s">
        <v>11</v>
      </c>
      <c r="M1" s="68" t="s">
        <v>12</v>
      </c>
      <c r="N1" s="68" t="s">
        <v>13</v>
      </c>
      <c r="O1" s="68" t="s">
        <v>14</v>
      </c>
      <c r="P1" s="68" t="s">
        <v>15</v>
      </c>
      <c r="U1" s="142" t="s">
        <v>16</v>
      </c>
      <c r="W1" s="143" t="s">
        <v>17</v>
      </c>
      <c r="X1" s="144" t="s">
        <v>18</v>
      </c>
      <c r="Y1" s="145" t="s">
        <v>19</v>
      </c>
      <c r="Z1" s="18" t="s">
        <v>20</v>
      </c>
      <c r="AA1" s="73"/>
    </row>
    <row r="2" spans="1:27">
      <c r="A2" s="29" t="s">
        <v>21</v>
      </c>
      <c r="B2" s="29" t="s">
        <v>21</v>
      </c>
      <c r="C2" s="20"/>
      <c r="D2" s="20"/>
      <c r="E2" s="42"/>
      <c r="F2" s="29"/>
      <c r="G2" s="29"/>
      <c r="H2" s="43"/>
      <c r="I2" s="74"/>
      <c r="J2" s="74"/>
      <c r="K2" s="74"/>
      <c r="L2" s="74"/>
      <c r="M2" s="74"/>
      <c r="N2" s="74"/>
      <c r="O2" s="74"/>
      <c r="P2" s="74"/>
      <c r="W2" s="137"/>
      <c r="X2" s="119"/>
      <c r="Y2" s="120" t="str">
        <f>IF(W2&lt;&gt;"",W2*X2,"")</f>
        <v/>
      </c>
      <c r="Z2" s="120" t="str">
        <f>IF(AND(W2&lt;&gt;"",U2="yes"),W2*X2,"")</f>
        <v/>
      </c>
    </row>
    <row r="3" spans="1:27">
      <c r="A3" s="29" t="s">
        <v>22</v>
      </c>
      <c r="B3" s="29" t="s">
        <v>22</v>
      </c>
      <c r="C3" s="20"/>
      <c r="D3" s="20"/>
      <c r="E3" s="42"/>
      <c r="F3" s="29"/>
      <c r="G3" s="29"/>
      <c r="H3" s="43"/>
      <c r="I3" s="74"/>
      <c r="J3" s="74"/>
      <c r="K3" s="74"/>
      <c r="L3" s="74"/>
      <c r="M3" s="74"/>
      <c r="N3" s="74"/>
      <c r="O3" s="74"/>
      <c r="P3" s="74"/>
      <c r="W3" s="137"/>
      <c r="X3" s="119"/>
      <c r="Y3" s="120" t="str">
        <f t="shared" ref="Y3:Y69" si="0">IF(W3&lt;&gt;"",W3*X3,"")</f>
        <v/>
      </c>
      <c r="Z3" s="120" t="str">
        <f>IF(AND(W3&lt;&gt;"",U3="yes"),W3*X3,"")</f>
        <v/>
      </c>
    </row>
    <row r="4" spans="1:27">
      <c r="A4" s="29" t="s">
        <v>23</v>
      </c>
      <c r="B4" s="29" t="s">
        <v>23</v>
      </c>
      <c r="C4" s="20"/>
      <c r="D4" s="20"/>
      <c r="E4" s="42"/>
      <c r="F4" s="29"/>
      <c r="G4" s="29"/>
      <c r="H4" s="43"/>
      <c r="I4" s="74"/>
      <c r="J4" s="74"/>
      <c r="K4" s="74"/>
      <c r="L4" s="74"/>
      <c r="M4" s="74"/>
      <c r="N4" s="74"/>
      <c r="O4" s="74"/>
      <c r="P4" s="74"/>
      <c r="W4" s="137"/>
      <c r="X4" s="119"/>
      <c r="Y4" s="120" t="str">
        <f t="shared" si="0"/>
        <v/>
      </c>
      <c r="Z4" s="120" t="str">
        <f>IF(AND(W4&lt;&gt;"",U4="yes"),W4*X4,"")</f>
        <v/>
      </c>
    </row>
    <row r="5" spans="1:27">
      <c r="A5" s="29" t="s">
        <v>24</v>
      </c>
      <c r="B5" s="29" t="s">
        <v>24</v>
      </c>
      <c r="C5" s="20"/>
      <c r="D5" s="20"/>
      <c r="E5" s="42"/>
      <c r="F5" s="29"/>
      <c r="G5" s="29"/>
      <c r="H5" s="43"/>
      <c r="I5" s="74"/>
      <c r="J5" s="74"/>
      <c r="K5" s="74"/>
      <c r="L5" s="74"/>
      <c r="M5" s="74"/>
      <c r="N5" s="74"/>
      <c r="O5" s="74"/>
      <c r="P5" s="74"/>
      <c r="W5" s="137"/>
      <c r="X5" s="119"/>
      <c r="Y5" s="120" t="str">
        <f t="shared" si="0"/>
        <v/>
      </c>
      <c r="Z5" s="120" t="str">
        <f>IF(AND(W5&lt;&gt;"",U5="yes"),W5*X5,"")</f>
        <v/>
      </c>
    </row>
    <row r="6" spans="1:27">
      <c r="A6" s="29" t="s">
        <v>25</v>
      </c>
      <c r="B6" s="29" t="s">
        <v>25</v>
      </c>
      <c r="C6" s="20"/>
      <c r="D6" s="20"/>
      <c r="E6" s="42"/>
      <c r="F6" s="29"/>
      <c r="G6" s="29"/>
      <c r="H6" s="43"/>
      <c r="I6" s="74"/>
      <c r="J6" s="74"/>
      <c r="K6" s="74"/>
      <c r="L6" s="74"/>
      <c r="M6" s="74"/>
      <c r="N6" s="74"/>
      <c r="O6" s="74"/>
      <c r="P6" s="74"/>
      <c r="W6" s="137"/>
      <c r="X6" s="119"/>
      <c r="Y6" s="120"/>
      <c r="Z6" s="120"/>
    </row>
    <row r="7" spans="1:27">
      <c r="A7" s="29" t="s">
        <v>26</v>
      </c>
      <c r="B7" s="29" t="s">
        <v>27</v>
      </c>
      <c r="C7" s="20"/>
      <c r="D7" s="20"/>
      <c r="E7" s="42"/>
      <c r="F7" s="29"/>
      <c r="G7" s="29"/>
      <c r="H7" s="43"/>
      <c r="I7" s="74"/>
      <c r="J7" s="74"/>
      <c r="K7" s="74"/>
      <c r="L7" s="74"/>
      <c r="M7" s="21"/>
      <c r="N7" s="74"/>
      <c r="O7" s="74"/>
      <c r="P7" s="74" t="s">
        <v>28</v>
      </c>
      <c r="W7" s="137"/>
      <c r="X7" s="119"/>
      <c r="Y7" s="120"/>
      <c r="Z7" s="120"/>
    </row>
    <row r="8" spans="1:27">
      <c r="A8" s="29" t="s">
        <v>29</v>
      </c>
      <c r="B8" s="29" t="s">
        <v>29</v>
      </c>
      <c r="C8" s="20"/>
      <c r="D8" s="20"/>
      <c r="E8" s="42"/>
      <c r="F8" s="29"/>
      <c r="G8" s="29"/>
      <c r="H8" s="43"/>
      <c r="I8" s="74"/>
      <c r="J8" s="74"/>
      <c r="K8" s="74"/>
      <c r="L8" s="74"/>
      <c r="M8" s="74" t="s">
        <v>30</v>
      </c>
      <c r="N8" s="74"/>
      <c r="O8" s="74" t="s">
        <v>31</v>
      </c>
      <c r="P8" s="74"/>
      <c r="W8" s="137"/>
      <c r="X8" s="119"/>
      <c r="Y8" s="120"/>
      <c r="Z8" s="120"/>
    </row>
    <row r="9" spans="1:27" s="31" customFormat="1">
      <c r="A9" s="31" t="s">
        <v>32</v>
      </c>
      <c r="B9" s="31" t="s">
        <v>33</v>
      </c>
      <c r="C9" s="32" t="s">
        <v>34</v>
      </c>
      <c r="D9" s="32" t="s">
        <v>35</v>
      </c>
      <c r="E9" s="33"/>
      <c r="H9" s="37"/>
      <c r="I9" s="75"/>
      <c r="J9" s="75"/>
      <c r="L9" s="75"/>
      <c r="M9" s="75"/>
      <c r="N9" s="75"/>
      <c r="O9" s="75"/>
      <c r="P9" s="75"/>
      <c r="W9" s="141"/>
      <c r="X9" s="148"/>
      <c r="Y9" s="124"/>
      <c r="Z9" s="124"/>
    </row>
    <row r="10" spans="1:27">
      <c r="A10" s="29" t="s">
        <v>36</v>
      </c>
      <c r="B10" s="29" t="s">
        <v>37</v>
      </c>
      <c r="C10" s="20" t="s">
        <v>38</v>
      </c>
      <c r="D10" s="20" t="s">
        <v>39</v>
      </c>
      <c r="E10" s="42"/>
      <c r="F10" s="29"/>
      <c r="G10" s="29"/>
      <c r="H10" s="43"/>
      <c r="I10" s="74" t="s">
        <v>40</v>
      </c>
      <c r="J10" s="74"/>
      <c r="K10" s="74"/>
      <c r="L10" s="74"/>
      <c r="M10" s="74"/>
      <c r="N10" s="75" t="s">
        <v>41</v>
      </c>
      <c r="O10" s="74"/>
      <c r="P10" s="74"/>
      <c r="U10" s="21" t="s">
        <v>42</v>
      </c>
      <c r="W10" s="137"/>
      <c r="X10" s="119"/>
      <c r="Y10" s="120" t="str">
        <f t="shared" si="0"/>
        <v/>
      </c>
      <c r="Z10" s="120" t="str">
        <f>IF(AND(W10&lt;&gt;"",U10="yes"),W10*X10,"")</f>
        <v/>
      </c>
    </row>
    <row r="11" spans="1:27">
      <c r="A11" s="29" t="s">
        <v>26</v>
      </c>
      <c r="B11" s="29" t="s">
        <v>43</v>
      </c>
      <c r="C11" s="20"/>
      <c r="D11" s="20"/>
      <c r="E11" s="42"/>
      <c r="F11" s="29"/>
      <c r="G11" s="29"/>
      <c r="H11" s="43"/>
      <c r="I11" s="74"/>
      <c r="J11" s="74"/>
      <c r="K11" s="74"/>
      <c r="L11" s="74"/>
      <c r="M11" s="74"/>
      <c r="N11" s="74"/>
      <c r="O11" s="74"/>
      <c r="P11" s="74" t="s">
        <v>44</v>
      </c>
      <c r="U11" s="21" t="s">
        <v>42</v>
      </c>
      <c r="W11" s="137"/>
      <c r="X11" s="119"/>
      <c r="Y11" s="120" t="str">
        <f t="shared" si="0"/>
        <v/>
      </c>
      <c r="Z11" s="120" t="str">
        <f>IF(AND(W11&lt;&gt;"",U11="yes"),W11*X11,"")</f>
        <v/>
      </c>
    </row>
    <row r="12" spans="1:27">
      <c r="A12" s="21" t="s">
        <v>26</v>
      </c>
      <c r="B12" s="29" t="s">
        <v>45</v>
      </c>
      <c r="E12" s="42"/>
      <c r="H12" s="43"/>
      <c r="P12" s="81" t="s">
        <v>46</v>
      </c>
      <c r="W12" s="137"/>
      <c r="X12" s="119"/>
      <c r="Y12" s="120"/>
      <c r="Z12" s="120"/>
    </row>
    <row r="13" spans="1:27" s="31" customFormat="1" ht="15" thickBot="1">
      <c r="A13" s="38"/>
      <c r="B13" s="38"/>
      <c r="C13" s="39"/>
      <c r="D13" s="39"/>
      <c r="E13" s="40"/>
      <c r="F13" s="38"/>
      <c r="G13" s="38"/>
      <c r="H13" s="41"/>
      <c r="I13" s="77"/>
      <c r="J13" s="77"/>
      <c r="K13" s="77"/>
      <c r="L13" s="77"/>
      <c r="M13" s="77"/>
      <c r="N13" s="77"/>
      <c r="O13" s="77"/>
      <c r="P13" s="77"/>
      <c r="W13" s="137"/>
      <c r="X13" s="119"/>
      <c r="Y13" s="120"/>
      <c r="Z13" s="120"/>
      <c r="AA13" s="30"/>
    </row>
    <row r="14" spans="1:27" ht="231" thickTop="1">
      <c r="A14" s="29" t="s">
        <v>47</v>
      </c>
      <c r="B14" s="29" t="s">
        <v>48</v>
      </c>
      <c r="C14" s="156" t="s">
        <v>49</v>
      </c>
      <c r="D14" s="156" t="s">
        <v>50</v>
      </c>
      <c r="E14" s="42"/>
      <c r="F14" s="29" t="s">
        <v>51</v>
      </c>
      <c r="G14" s="29" t="s">
        <v>52</v>
      </c>
      <c r="H14" s="43"/>
      <c r="I14" s="74" t="s">
        <v>53</v>
      </c>
      <c r="J14" s="74"/>
      <c r="K14" s="74"/>
      <c r="L14" s="74"/>
      <c r="M14" s="74"/>
      <c r="N14" s="74"/>
      <c r="O14" s="74"/>
      <c r="P14" s="74"/>
      <c r="U14" s="21" t="s">
        <v>54</v>
      </c>
      <c r="W14" s="137">
        <v>50.822540283203125</v>
      </c>
      <c r="X14" s="119"/>
      <c r="Y14" s="120">
        <f t="shared" si="0"/>
        <v>0</v>
      </c>
      <c r="Z14" s="120" t="str">
        <f>IF(AND(W14&lt;&gt;"",U14="yes"),W14*X14,"")</f>
        <v/>
      </c>
    </row>
    <row r="15" spans="1:27">
      <c r="A15" s="29" t="s">
        <v>55</v>
      </c>
      <c r="B15" s="29" t="s">
        <v>56</v>
      </c>
      <c r="C15" s="20" t="s">
        <v>57</v>
      </c>
      <c r="D15" s="20" t="s">
        <v>58</v>
      </c>
      <c r="E15" s="42"/>
      <c r="F15" s="29"/>
      <c r="G15" s="29"/>
      <c r="H15" s="43"/>
      <c r="I15" s="74" t="s">
        <v>53</v>
      </c>
      <c r="J15" s="74"/>
      <c r="K15" s="74"/>
      <c r="L15" s="74"/>
      <c r="M15" s="74"/>
      <c r="N15" s="74"/>
      <c r="O15" s="74"/>
      <c r="P15" s="74"/>
      <c r="U15" s="21" t="s">
        <v>42</v>
      </c>
      <c r="W15" s="137">
        <v>3.5</v>
      </c>
      <c r="X15" s="119">
        <f>1</f>
        <v>1</v>
      </c>
      <c r="Y15" s="120">
        <f t="shared" si="0"/>
        <v>3.5</v>
      </c>
      <c r="Z15" s="120">
        <f>IF(AND(W15&lt;&gt;"",U15="yes"),W15*X15,"")</f>
        <v>3.5</v>
      </c>
    </row>
    <row r="16" spans="1:27" s="31" customFormat="1">
      <c r="A16" s="30" t="s">
        <v>59</v>
      </c>
      <c r="B16" s="30" t="s">
        <v>60</v>
      </c>
      <c r="C16" s="23" t="s">
        <v>61</v>
      </c>
      <c r="D16" s="23" t="s">
        <v>62</v>
      </c>
      <c r="E16" s="33"/>
      <c r="F16" s="30" t="s">
        <v>63</v>
      </c>
      <c r="G16" s="30" t="s">
        <v>64</v>
      </c>
      <c r="H16" s="37"/>
      <c r="I16" s="81" t="s">
        <v>53</v>
      </c>
      <c r="J16" s="75"/>
      <c r="K16" s="75"/>
      <c r="L16" s="75"/>
      <c r="M16" s="81" t="s">
        <v>65</v>
      </c>
      <c r="N16" s="75"/>
      <c r="O16" s="75"/>
      <c r="P16" s="75"/>
      <c r="U16" s="30"/>
      <c r="W16" s="137">
        <v>0</v>
      </c>
      <c r="X16" s="119">
        <v>1</v>
      </c>
      <c r="Y16" s="120">
        <f t="shared" ref="Y16" si="1">IF(W16&lt;&gt;"",W16*X16,"")</f>
        <v>0</v>
      </c>
      <c r="Z16" s="120"/>
      <c r="AA16" s="30"/>
    </row>
    <row r="17" spans="1:27" s="30" customFormat="1">
      <c r="A17" s="34" t="s">
        <v>47</v>
      </c>
      <c r="B17" s="34" t="s">
        <v>66</v>
      </c>
      <c r="C17" s="35" t="s">
        <v>67</v>
      </c>
      <c r="D17" s="35" t="s">
        <v>68</v>
      </c>
      <c r="E17" s="53"/>
      <c r="F17" s="34"/>
      <c r="G17" s="34"/>
      <c r="H17" s="55"/>
      <c r="I17" s="76" t="s">
        <v>53</v>
      </c>
      <c r="J17" s="76"/>
      <c r="K17" s="76"/>
      <c r="L17" s="76"/>
      <c r="M17" s="76" t="s">
        <v>69</v>
      </c>
      <c r="N17" s="76"/>
      <c r="O17" s="76"/>
      <c r="P17" s="76"/>
      <c r="U17" s="30" t="s">
        <v>54</v>
      </c>
      <c r="W17" s="137">
        <v>0</v>
      </c>
      <c r="X17" s="119">
        <v>1</v>
      </c>
      <c r="Y17" s="120">
        <f t="shared" si="0"/>
        <v>0</v>
      </c>
      <c r="Z17" s="120" t="str">
        <f t="shared" ref="Z17:Z51" si="2">IF(AND(W17&lt;&gt;"",U17="yes"),W17*X17,"")</f>
        <v/>
      </c>
    </row>
    <row r="18" spans="1:27" s="30" customFormat="1" ht="15" thickBot="1">
      <c r="A18" s="44"/>
      <c r="B18" s="44"/>
      <c r="C18" s="45"/>
      <c r="D18" s="45"/>
      <c r="E18" s="46"/>
      <c r="F18" s="44"/>
      <c r="G18" s="44"/>
      <c r="H18" s="47"/>
      <c r="I18" s="78"/>
      <c r="J18" s="78"/>
      <c r="K18" s="78"/>
      <c r="L18" s="78"/>
      <c r="M18" s="78"/>
      <c r="N18" s="78"/>
      <c r="O18" s="78"/>
      <c r="P18" s="78"/>
      <c r="U18" s="30" t="s">
        <v>70</v>
      </c>
      <c r="W18" s="137" t="s">
        <v>70</v>
      </c>
      <c r="X18" s="119"/>
      <c r="Y18" s="120" t="str">
        <f t="shared" si="0"/>
        <v/>
      </c>
      <c r="Z18" s="120" t="str">
        <f t="shared" si="2"/>
        <v/>
      </c>
    </row>
    <row r="19" spans="1:27" s="27" customFormat="1" ht="15" thickTop="1">
      <c r="A19" s="24" t="s">
        <v>71</v>
      </c>
      <c r="B19" s="24" t="s">
        <v>72</v>
      </c>
      <c r="C19" s="48" t="s">
        <v>73</v>
      </c>
      <c r="D19" s="48" t="s">
        <v>74</v>
      </c>
      <c r="E19" s="25"/>
      <c r="F19" s="24"/>
      <c r="G19" s="24"/>
      <c r="H19" s="26"/>
      <c r="I19" s="79" t="s">
        <v>53</v>
      </c>
      <c r="J19" s="79"/>
      <c r="K19" s="79"/>
      <c r="L19" s="79"/>
      <c r="M19" s="80" t="s">
        <v>65</v>
      </c>
      <c r="N19" s="79"/>
      <c r="O19" s="79"/>
      <c r="P19" s="79"/>
      <c r="U19" s="21" t="s">
        <v>42</v>
      </c>
      <c r="W19" s="137"/>
      <c r="X19" s="119"/>
      <c r="Y19" s="120" t="str">
        <f t="shared" si="0"/>
        <v/>
      </c>
      <c r="Z19" s="120" t="str">
        <f t="shared" si="2"/>
        <v/>
      </c>
      <c r="AA19" s="28"/>
    </row>
    <row r="20" spans="1:27" s="31" customFormat="1">
      <c r="C20" s="32"/>
      <c r="D20" s="32"/>
      <c r="E20" s="33"/>
      <c r="H20" s="37"/>
      <c r="I20" s="75"/>
      <c r="J20" s="75"/>
      <c r="K20" s="75"/>
      <c r="L20" s="75"/>
      <c r="M20" s="75"/>
      <c r="N20" s="75"/>
      <c r="O20" s="75"/>
      <c r="P20" s="75"/>
      <c r="U20" s="31" t="s">
        <v>70</v>
      </c>
      <c r="W20" s="137" t="s">
        <v>70</v>
      </c>
      <c r="X20" s="30"/>
      <c r="Y20" s="120" t="str">
        <f t="shared" ref="Y20" si="3">IF(W20&lt;&gt;"",W20*X20,"")</f>
        <v/>
      </c>
      <c r="Z20" s="120" t="str">
        <f t="shared" si="2"/>
        <v/>
      </c>
      <c r="AA20" s="30"/>
    </row>
    <row r="21" spans="1:27" s="31" customFormat="1">
      <c r="A21" s="34" t="s">
        <v>75</v>
      </c>
      <c r="B21" s="34" t="s">
        <v>76</v>
      </c>
      <c r="C21" s="35" t="s">
        <v>77</v>
      </c>
      <c r="D21" s="35" t="s">
        <v>78</v>
      </c>
      <c r="E21" s="33"/>
      <c r="F21" s="30" t="s">
        <v>79</v>
      </c>
      <c r="G21" s="29" t="s">
        <v>80</v>
      </c>
      <c r="H21" s="37"/>
      <c r="I21" s="76" t="s">
        <v>40</v>
      </c>
      <c r="J21" s="76"/>
      <c r="K21" s="76"/>
      <c r="L21" s="76"/>
      <c r="M21" s="76"/>
      <c r="N21" s="76"/>
      <c r="O21" s="76"/>
      <c r="P21" s="76"/>
      <c r="U21" s="30" t="s">
        <v>42</v>
      </c>
      <c r="W21" s="137">
        <v>10</v>
      </c>
      <c r="X21" s="119">
        <f>1</f>
        <v>1</v>
      </c>
      <c r="Y21" s="120">
        <f t="shared" si="0"/>
        <v>10</v>
      </c>
      <c r="Z21" s="120">
        <f t="shared" si="2"/>
        <v>10</v>
      </c>
      <c r="AA21" s="30"/>
    </row>
    <row r="22" spans="1:27" s="31" customFormat="1">
      <c r="A22" s="34" t="s">
        <v>75</v>
      </c>
      <c r="B22" s="34" t="s">
        <v>81</v>
      </c>
      <c r="C22" s="35" t="s">
        <v>82</v>
      </c>
      <c r="D22" s="35" t="s">
        <v>83</v>
      </c>
      <c r="E22" s="33"/>
      <c r="F22" s="30" t="s">
        <v>84</v>
      </c>
      <c r="G22" s="29" t="s">
        <v>85</v>
      </c>
      <c r="H22" s="37"/>
      <c r="I22" s="76" t="s">
        <v>40</v>
      </c>
      <c r="J22" s="76"/>
      <c r="K22" s="76"/>
      <c r="L22" s="76"/>
      <c r="M22" s="76"/>
      <c r="N22" s="76"/>
      <c r="O22" s="76"/>
      <c r="P22" s="76"/>
      <c r="U22" s="30" t="s">
        <v>42</v>
      </c>
      <c r="W22" s="137">
        <v>10</v>
      </c>
      <c r="X22" s="119">
        <f>1</f>
        <v>1</v>
      </c>
      <c r="Y22" s="120">
        <f t="shared" si="0"/>
        <v>10</v>
      </c>
      <c r="Z22" s="120">
        <f t="shared" si="2"/>
        <v>10</v>
      </c>
      <c r="AA22" s="30"/>
    </row>
    <row r="23" spans="1:27" s="31" customFormat="1">
      <c r="C23" s="32"/>
      <c r="D23" s="32"/>
      <c r="E23" s="33"/>
      <c r="H23" s="37"/>
      <c r="I23" s="75"/>
      <c r="J23" s="75"/>
      <c r="K23" s="75"/>
      <c r="L23" s="75"/>
      <c r="M23" s="75"/>
      <c r="N23" s="75"/>
      <c r="O23" s="75"/>
      <c r="P23" s="75"/>
      <c r="U23" s="31" t="s">
        <v>70</v>
      </c>
      <c r="W23" s="137" t="s">
        <v>70</v>
      </c>
      <c r="X23" s="119">
        <f>1</f>
        <v>1</v>
      </c>
      <c r="Y23" s="120" t="str">
        <f t="shared" si="0"/>
        <v/>
      </c>
      <c r="Z23" s="120" t="str">
        <f t="shared" si="2"/>
        <v/>
      </c>
      <c r="AA23" s="30"/>
    </row>
    <row r="24" spans="1:27">
      <c r="A24" s="29" t="s">
        <v>86</v>
      </c>
      <c r="B24" s="29" t="s">
        <v>87</v>
      </c>
      <c r="C24" s="20" t="s">
        <v>88</v>
      </c>
      <c r="D24" s="20" t="s">
        <v>89</v>
      </c>
      <c r="E24" s="53"/>
      <c r="F24" s="34" t="s">
        <v>90</v>
      </c>
      <c r="G24" s="29" t="s">
        <v>91</v>
      </c>
      <c r="H24" s="43"/>
      <c r="I24" s="74" t="s">
        <v>40</v>
      </c>
      <c r="J24" s="74"/>
      <c r="K24" s="74" t="s">
        <v>92</v>
      </c>
      <c r="L24" s="74"/>
      <c r="M24" s="74"/>
      <c r="N24" s="74"/>
      <c r="O24" s="74"/>
      <c r="P24" s="74"/>
      <c r="U24" s="21" t="s">
        <v>42</v>
      </c>
      <c r="W24" s="137">
        <v>13.753072738647461</v>
      </c>
      <c r="X24" s="119">
        <f>1</f>
        <v>1</v>
      </c>
      <c r="Y24" s="120">
        <f t="shared" si="0"/>
        <v>13.753072738647461</v>
      </c>
      <c r="Z24" s="120">
        <f t="shared" si="2"/>
        <v>13.753072738647461</v>
      </c>
    </row>
    <row r="25" spans="1:27">
      <c r="E25" s="42"/>
      <c r="H25" s="43"/>
      <c r="U25" s="21" t="s">
        <v>70</v>
      </c>
      <c r="W25" s="137" t="s">
        <v>70</v>
      </c>
      <c r="X25" s="119">
        <f>1</f>
        <v>1</v>
      </c>
      <c r="Y25" s="120" t="str">
        <f t="shared" si="0"/>
        <v/>
      </c>
      <c r="Z25" s="120" t="str">
        <f t="shared" si="2"/>
        <v/>
      </c>
    </row>
    <row r="26" spans="1:27" s="30" customFormat="1">
      <c r="A26" s="34" t="s">
        <v>93</v>
      </c>
      <c r="B26" s="34" t="s">
        <v>94</v>
      </c>
      <c r="C26" s="35" t="s">
        <v>95</v>
      </c>
      <c r="D26" s="23" t="s">
        <v>96</v>
      </c>
      <c r="E26" s="53"/>
      <c r="F26" s="30" t="s">
        <v>97</v>
      </c>
      <c r="G26" s="30" t="s">
        <v>98</v>
      </c>
      <c r="H26" s="55"/>
      <c r="I26" s="86" t="s">
        <v>40</v>
      </c>
      <c r="J26" s="86"/>
      <c r="K26" s="86"/>
      <c r="L26" s="86"/>
      <c r="M26" s="86"/>
      <c r="N26" s="86"/>
      <c r="O26" s="86"/>
      <c r="P26" s="86"/>
      <c r="U26" s="30" t="s">
        <v>42</v>
      </c>
      <c r="W26" s="137">
        <v>2.1173560619354248</v>
      </c>
      <c r="X26" s="119">
        <f>1</f>
        <v>1</v>
      </c>
      <c r="Y26" s="120">
        <f t="shared" si="0"/>
        <v>2.1173560619354248</v>
      </c>
      <c r="Z26" s="120">
        <f t="shared" si="2"/>
        <v>2.1173560619354248</v>
      </c>
    </row>
    <row r="27" spans="1:27" s="31" customFormat="1">
      <c r="C27" s="32"/>
      <c r="D27" s="32"/>
      <c r="E27" s="33"/>
      <c r="H27" s="37"/>
      <c r="I27" s="75"/>
      <c r="J27" s="75"/>
      <c r="K27" s="75"/>
      <c r="L27" s="82"/>
      <c r="M27" s="75"/>
      <c r="N27" s="75"/>
      <c r="O27" s="75"/>
      <c r="P27" s="75"/>
      <c r="U27" s="31" t="s">
        <v>70</v>
      </c>
      <c r="W27" s="137" t="s">
        <v>70</v>
      </c>
      <c r="X27" s="119">
        <f>1</f>
        <v>1</v>
      </c>
      <c r="Y27" s="120" t="str">
        <f t="shared" si="0"/>
        <v/>
      </c>
      <c r="Z27" s="120" t="str">
        <f t="shared" si="2"/>
        <v/>
      </c>
      <c r="AA27" s="30"/>
    </row>
    <row r="28" spans="1:27" s="50" customFormat="1">
      <c r="A28" s="110" t="s">
        <v>75</v>
      </c>
      <c r="B28" s="110" t="s">
        <v>99</v>
      </c>
      <c r="C28" s="111" t="s">
        <v>100</v>
      </c>
      <c r="D28" s="111" t="s">
        <v>101</v>
      </c>
      <c r="E28" s="113"/>
      <c r="F28" s="112"/>
      <c r="G28" s="112"/>
      <c r="H28" s="114"/>
      <c r="I28" s="109" t="s">
        <v>40</v>
      </c>
      <c r="J28" s="109" t="s">
        <v>102</v>
      </c>
      <c r="K28" s="84" t="s">
        <v>103</v>
      </c>
      <c r="L28" s="109" t="s">
        <v>104</v>
      </c>
      <c r="M28" s="109"/>
      <c r="N28" s="109"/>
      <c r="O28" s="109"/>
      <c r="P28" s="83"/>
      <c r="U28" s="112" t="s">
        <v>105</v>
      </c>
      <c r="W28" s="137">
        <v>10</v>
      </c>
      <c r="X28" s="119">
        <f>1</f>
        <v>1</v>
      </c>
      <c r="Y28" s="120">
        <f t="shared" si="0"/>
        <v>10</v>
      </c>
      <c r="Z28" s="120" t="str">
        <f t="shared" si="2"/>
        <v/>
      </c>
    </row>
    <row r="29" spans="1:27" s="50" customFormat="1" ht="43.2">
      <c r="A29" s="110" t="s">
        <v>106</v>
      </c>
      <c r="B29" s="110" t="s">
        <v>107</v>
      </c>
      <c r="C29" s="111" t="s">
        <v>108</v>
      </c>
      <c r="D29" s="111" t="s">
        <v>109</v>
      </c>
      <c r="E29" s="113"/>
      <c r="F29" s="112"/>
      <c r="G29" s="112"/>
      <c r="H29" s="114"/>
      <c r="I29" s="109" t="s">
        <v>40</v>
      </c>
      <c r="J29" s="109"/>
      <c r="K29" s="83"/>
      <c r="L29" s="109"/>
      <c r="M29" s="109"/>
      <c r="N29" s="109"/>
      <c r="O29" s="109"/>
      <c r="P29" s="83"/>
      <c r="U29" s="112" t="s">
        <v>105</v>
      </c>
      <c r="W29" s="137">
        <v>10</v>
      </c>
      <c r="X29" s="119">
        <f>1</f>
        <v>1</v>
      </c>
      <c r="Y29" s="120">
        <f t="shared" si="0"/>
        <v>10</v>
      </c>
      <c r="Z29" s="120" t="str">
        <f t="shared" si="2"/>
        <v/>
      </c>
    </row>
    <row r="30" spans="1:27" s="50" customFormat="1">
      <c r="A30" s="110" t="s">
        <v>75</v>
      </c>
      <c r="B30" s="110" t="s">
        <v>110</v>
      </c>
      <c r="C30" s="111" t="s">
        <v>111</v>
      </c>
      <c r="D30" s="111" t="s">
        <v>112</v>
      </c>
      <c r="E30" s="113"/>
      <c r="F30" s="112"/>
      <c r="G30" s="112"/>
      <c r="H30" s="114"/>
      <c r="I30" s="109" t="s">
        <v>40</v>
      </c>
      <c r="J30" s="109" t="s">
        <v>102</v>
      </c>
      <c r="K30" s="84" t="s">
        <v>103</v>
      </c>
      <c r="L30" s="109" t="s">
        <v>104</v>
      </c>
      <c r="M30" s="109" t="s">
        <v>113</v>
      </c>
      <c r="N30" s="109"/>
      <c r="O30" s="109"/>
      <c r="P30" s="83"/>
      <c r="U30" s="112" t="s">
        <v>105</v>
      </c>
      <c r="W30" s="137">
        <v>10</v>
      </c>
      <c r="X30" s="119">
        <f>1</f>
        <v>1</v>
      </c>
      <c r="Y30" s="120">
        <f t="shared" si="0"/>
        <v>10</v>
      </c>
      <c r="Z30" s="120" t="str">
        <f t="shared" si="2"/>
        <v/>
      </c>
    </row>
    <row r="31" spans="1:27" s="50" customFormat="1">
      <c r="A31" s="110" t="s">
        <v>75</v>
      </c>
      <c r="B31" s="110" t="s">
        <v>114</v>
      </c>
      <c r="C31" s="111" t="s">
        <v>115</v>
      </c>
      <c r="D31" s="111" t="s">
        <v>116</v>
      </c>
      <c r="E31" s="113"/>
      <c r="F31" s="112"/>
      <c r="G31" s="112"/>
      <c r="H31" s="114"/>
      <c r="I31" s="109" t="s">
        <v>40</v>
      </c>
      <c r="J31" s="109"/>
      <c r="K31" s="83"/>
      <c r="L31" s="109"/>
      <c r="M31" s="109" t="s">
        <v>117</v>
      </c>
      <c r="N31" s="109"/>
      <c r="O31" s="109"/>
      <c r="P31" s="83"/>
      <c r="U31" s="112" t="s">
        <v>105</v>
      </c>
      <c r="W31" s="137">
        <v>10</v>
      </c>
      <c r="X31" s="119">
        <f>1</f>
        <v>1</v>
      </c>
      <c r="Y31" s="120">
        <f t="shared" si="0"/>
        <v>10</v>
      </c>
      <c r="Z31" s="120" t="str">
        <f t="shared" si="2"/>
        <v/>
      </c>
    </row>
    <row r="32" spans="1:27" s="50" customFormat="1" ht="43.2">
      <c r="A32" s="110" t="s">
        <v>106</v>
      </c>
      <c r="B32" s="110" t="s">
        <v>118</v>
      </c>
      <c r="C32" s="111" t="s">
        <v>108</v>
      </c>
      <c r="D32" s="111" t="s">
        <v>109</v>
      </c>
      <c r="E32" s="113"/>
      <c r="F32" s="21"/>
      <c r="G32" s="21"/>
      <c r="H32" s="114"/>
      <c r="I32" s="109" t="s">
        <v>40</v>
      </c>
      <c r="J32" s="109"/>
      <c r="K32" s="83"/>
      <c r="L32" s="109"/>
      <c r="M32" s="109" t="s">
        <v>113</v>
      </c>
      <c r="N32" s="109"/>
      <c r="O32" s="109"/>
      <c r="P32" s="83"/>
      <c r="U32" s="112" t="s">
        <v>105</v>
      </c>
      <c r="W32" s="137">
        <v>10</v>
      </c>
      <c r="X32" s="119">
        <f>1</f>
        <v>1</v>
      </c>
      <c r="Y32" s="120">
        <f t="shared" si="0"/>
        <v>10</v>
      </c>
      <c r="Z32" s="120" t="str">
        <f t="shared" si="2"/>
        <v/>
      </c>
    </row>
    <row r="33" spans="1:27" s="50" customFormat="1">
      <c r="A33" s="110" t="s">
        <v>75</v>
      </c>
      <c r="B33" s="110" t="s">
        <v>119</v>
      </c>
      <c r="C33" s="111" t="s">
        <v>111</v>
      </c>
      <c r="D33" s="111" t="s">
        <v>112</v>
      </c>
      <c r="E33" s="113"/>
      <c r="F33" s="112"/>
      <c r="G33" s="112"/>
      <c r="H33" s="114"/>
      <c r="I33" s="109" t="s">
        <v>40</v>
      </c>
      <c r="J33" s="109" t="s">
        <v>102</v>
      </c>
      <c r="K33" s="84" t="s">
        <v>103</v>
      </c>
      <c r="L33" s="109" t="s">
        <v>104</v>
      </c>
      <c r="M33" s="109" t="s">
        <v>120</v>
      </c>
      <c r="N33" s="109"/>
      <c r="O33" s="109"/>
      <c r="P33" s="83"/>
      <c r="U33" s="112" t="s">
        <v>105</v>
      </c>
      <c r="W33" s="137">
        <v>10</v>
      </c>
      <c r="X33" s="119">
        <f>1</f>
        <v>1</v>
      </c>
      <c r="Y33" s="120">
        <f t="shared" si="0"/>
        <v>10</v>
      </c>
      <c r="Z33" s="120" t="str">
        <f t="shared" si="2"/>
        <v/>
      </c>
    </row>
    <row r="34" spans="1:27" s="50" customFormat="1">
      <c r="A34" s="110" t="s">
        <v>75</v>
      </c>
      <c r="B34" s="110" t="s">
        <v>121</v>
      </c>
      <c r="C34" s="111" t="s">
        <v>115</v>
      </c>
      <c r="D34" s="111" t="s">
        <v>116</v>
      </c>
      <c r="E34" s="113"/>
      <c r="F34" s="112"/>
      <c r="G34" s="112"/>
      <c r="H34" s="114"/>
      <c r="I34" s="109" t="s">
        <v>40</v>
      </c>
      <c r="J34" s="109"/>
      <c r="K34" s="83"/>
      <c r="L34" s="109"/>
      <c r="M34" s="109" t="s">
        <v>122</v>
      </c>
      <c r="N34" s="109"/>
      <c r="O34" s="109"/>
      <c r="P34" s="83"/>
      <c r="U34" s="112" t="s">
        <v>105</v>
      </c>
      <c r="W34" s="137">
        <v>10</v>
      </c>
      <c r="X34" s="119">
        <f>1</f>
        <v>1</v>
      </c>
      <c r="Y34" s="120">
        <f t="shared" si="0"/>
        <v>10</v>
      </c>
      <c r="Z34" s="120" t="str">
        <f t="shared" si="2"/>
        <v/>
      </c>
    </row>
    <row r="35" spans="1:27" s="31" customFormat="1">
      <c r="C35" s="32"/>
      <c r="D35" s="32"/>
      <c r="E35" s="33"/>
      <c r="H35" s="37"/>
      <c r="I35" s="75"/>
      <c r="J35" s="75"/>
      <c r="K35" s="75"/>
      <c r="L35" s="82"/>
      <c r="M35" s="75"/>
      <c r="N35" s="75"/>
      <c r="O35" s="75"/>
      <c r="P35" s="75"/>
      <c r="U35" s="31" t="s">
        <v>70</v>
      </c>
      <c r="W35" s="137" t="s">
        <v>70</v>
      </c>
      <c r="X35" s="119">
        <f>1</f>
        <v>1</v>
      </c>
      <c r="Y35" s="120" t="str">
        <f t="shared" si="0"/>
        <v/>
      </c>
      <c r="Z35" s="120" t="str">
        <f t="shared" si="2"/>
        <v/>
      </c>
      <c r="AA35" s="30"/>
    </row>
    <row r="36" spans="1:27">
      <c r="A36" s="29" t="s">
        <v>123</v>
      </c>
      <c r="B36" s="29" t="s">
        <v>124</v>
      </c>
      <c r="C36" s="20" t="s">
        <v>125</v>
      </c>
      <c r="D36" s="20" t="s">
        <v>126</v>
      </c>
      <c r="E36" s="42"/>
      <c r="F36" s="29" t="s">
        <v>127</v>
      </c>
      <c r="G36" s="29" t="s">
        <v>128</v>
      </c>
      <c r="H36" s="43"/>
      <c r="I36" s="74" t="s">
        <v>40</v>
      </c>
      <c r="J36" s="74" t="s">
        <v>129</v>
      </c>
      <c r="K36" s="74"/>
      <c r="L36" s="83"/>
      <c r="M36" s="74"/>
      <c r="N36" s="74"/>
      <c r="O36" s="74"/>
      <c r="P36" s="74"/>
      <c r="U36" s="21" t="s">
        <v>42</v>
      </c>
      <c r="W36" s="137">
        <v>8.8000000000000007</v>
      </c>
      <c r="X36" s="119">
        <f>1</f>
        <v>1</v>
      </c>
      <c r="Y36" s="120">
        <f t="shared" si="0"/>
        <v>8.8000000000000007</v>
      </c>
      <c r="Z36" s="120">
        <f t="shared" si="2"/>
        <v>8.8000000000000007</v>
      </c>
    </row>
    <row r="37" spans="1:27">
      <c r="A37" s="29" t="s">
        <v>26</v>
      </c>
      <c r="B37" s="29" t="s">
        <v>130</v>
      </c>
      <c r="C37" s="20"/>
      <c r="D37" s="20"/>
      <c r="E37" s="42"/>
      <c r="F37" s="29"/>
      <c r="G37" s="29"/>
      <c r="H37" s="43"/>
      <c r="I37" s="74"/>
      <c r="J37" s="74"/>
      <c r="K37" s="74"/>
      <c r="L37" s="74"/>
      <c r="M37" s="74"/>
      <c r="N37" s="74"/>
      <c r="O37" s="74"/>
      <c r="P37" s="74" t="s">
        <v>131</v>
      </c>
      <c r="U37" s="21" t="s">
        <v>42</v>
      </c>
      <c r="W37" s="137"/>
      <c r="X37" s="119">
        <f>1</f>
        <v>1</v>
      </c>
      <c r="Y37" s="120" t="str">
        <f t="shared" si="0"/>
        <v/>
      </c>
      <c r="Z37" s="120" t="str">
        <f t="shared" si="2"/>
        <v/>
      </c>
    </row>
    <row r="38" spans="1:27">
      <c r="A38" s="29" t="s">
        <v>132</v>
      </c>
      <c r="B38" s="29" t="s">
        <v>133</v>
      </c>
      <c r="C38" s="20" t="s">
        <v>134</v>
      </c>
      <c r="D38" s="20" t="s">
        <v>135</v>
      </c>
      <c r="E38" s="42"/>
      <c r="F38" s="29"/>
      <c r="G38" s="20"/>
      <c r="H38" s="43"/>
      <c r="I38" s="74" t="s">
        <v>40</v>
      </c>
      <c r="J38" s="74" t="s">
        <v>129</v>
      </c>
      <c r="K38" s="74"/>
      <c r="L38" s="74"/>
      <c r="M38" s="74"/>
      <c r="N38" s="74" t="s">
        <v>136</v>
      </c>
      <c r="O38" s="74"/>
      <c r="P38" s="74"/>
      <c r="U38" s="21" t="s">
        <v>42</v>
      </c>
      <c r="W38" s="137">
        <v>10.4</v>
      </c>
      <c r="X38" s="119">
        <f>1</f>
        <v>1</v>
      </c>
      <c r="Y38" s="120">
        <f t="shared" si="0"/>
        <v>10.4</v>
      </c>
      <c r="Z38" s="120">
        <f t="shared" si="2"/>
        <v>10.4</v>
      </c>
    </row>
    <row r="39" spans="1:27">
      <c r="A39" s="29" t="s">
        <v>26</v>
      </c>
      <c r="B39" s="29" t="s">
        <v>137</v>
      </c>
      <c r="C39" s="20"/>
      <c r="D39" s="20"/>
      <c r="E39" s="42"/>
      <c r="F39" s="29"/>
      <c r="G39" s="29"/>
      <c r="H39" s="43"/>
      <c r="I39" s="74"/>
      <c r="J39" s="74"/>
      <c r="K39" s="74"/>
      <c r="L39" s="74"/>
      <c r="M39" s="74"/>
      <c r="N39" s="74"/>
      <c r="O39" s="74"/>
      <c r="P39" s="74" t="s">
        <v>138</v>
      </c>
      <c r="U39" s="21" t="s">
        <v>42</v>
      </c>
      <c r="W39" s="137"/>
      <c r="X39" s="119">
        <f>1</f>
        <v>1</v>
      </c>
      <c r="Y39" s="120" t="str">
        <f t="shared" si="0"/>
        <v/>
      </c>
      <c r="Z39" s="120" t="str">
        <f t="shared" si="2"/>
        <v/>
      </c>
    </row>
    <row r="40" spans="1:27" s="30" customFormat="1" ht="28.8">
      <c r="A40" s="30" t="s">
        <v>139</v>
      </c>
      <c r="B40" s="30" t="s">
        <v>140</v>
      </c>
      <c r="C40" s="23" t="s">
        <v>141</v>
      </c>
      <c r="D40" s="23" t="s">
        <v>142</v>
      </c>
      <c r="E40" s="53"/>
      <c r="H40" s="55"/>
      <c r="I40" s="81" t="s">
        <v>40</v>
      </c>
      <c r="J40" s="81" t="s">
        <v>129</v>
      </c>
      <c r="K40" s="86"/>
      <c r="L40" s="86"/>
      <c r="M40" s="86"/>
      <c r="N40" s="86" t="s">
        <v>143</v>
      </c>
      <c r="O40" s="86"/>
      <c r="P40" s="86"/>
      <c r="W40" s="137"/>
      <c r="X40" s="119"/>
      <c r="Y40" s="120"/>
      <c r="Z40" s="120"/>
    </row>
    <row r="41" spans="1:27">
      <c r="E41" s="42"/>
      <c r="H41" s="43"/>
      <c r="U41" s="21" t="s">
        <v>70</v>
      </c>
      <c r="W41" s="137" t="s">
        <v>70</v>
      </c>
      <c r="X41" s="119">
        <f>1</f>
        <v>1</v>
      </c>
      <c r="Y41" s="120" t="str">
        <f t="shared" si="0"/>
        <v/>
      </c>
      <c r="Z41" s="120" t="str">
        <f t="shared" si="2"/>
        <v/>
      </c>
    </row>
    <row r="42" spans="1:27" s="22" customFormat="1" ht="43.2">
      <c r="A42" s="20" t="s">
        <v>144</v>
      </c>
      <c r="B42" s="20" t="s">
        <v>145</v>
      </c>
      <c r="C42" s="20" t="s">
        <v>146</v>
      </c>
      <c r="D42" s="20" t="s">
        <v>147</v>
      </c>
      <c r="E42" s="42"/>
      <c r="F42" s="29" t="s">
        <v>148</v>
      </c>
      <c r="G42" s="29" t="s">
        <v>149</v>
      </c>
      <c r="H42" s="42"/>
      <c r="I42" s="19" t="s">
        <v>40</v>
      </c>
      <c r="J42" s="19"/>
      <c r="K42" s="19"/>
      <c r="L42" s="19"/>
      <c r="M42" s="19"/>
      <c r="N42" s="19"/>
      <c r="O42" s="19"/>
      <c r="P42" s="19"/>
      <c r="U42" s="22" t="s">
        <v>42</v>
      </c>
      <c r="W42" s="140">
        <v>31.372377395629883</v>
      </c>
      <c r="X42" s="119">
        <f>1</f>
        <v>1</v>
      </c>
      <c r="Y42" s="121">
        <f t="shared" si="0"/>
        <v>31.372377395629883</v>
      </c>
      <c r="Z42" s="121">
        <f t="shared" si="2"/>
        <v>31.372377395629883</v>
      </c>
      <c r="AA42" s="23"/>
    </row>
    <row r="43" spans="1:27" s="22" customFormat="1" ht="43.2">
      <c r="A43" s="31" t="s">
        <v>150</v>
      </c>
      <c r="B43" s="31" t="s">
        <v>151</v>
      </c>
      <c r="C43" s="32" t="s">
        <v>152</v>
      </c>
      <c r="D43" s="32" t="s">
        <v>153</v>
      </c>
      <c r="E43" s="42"/>
      <c r="F43" s="31" t="s">
        <v>154</v>
      </c>
      <c r="G43" s="31" t="s">
        <v>155</v>
      </c>
      <c r="H43" s="42"/>
      <c r="I43" s="75" t="s">
        <v>40</v>
      </c>
      <c r="J43" s="279"/>
      <c r="K43" s="279"/>
      <c r="L43" s="279"/>
      <c r="M43" s="279"/>
      <c r="N43" s="279"/>
      <c r="O43" s="279"/>
      <c r="P43" s="279"/>
      <c r="U43" s="31" t="s">
        <v>54</v>
      </c>
      <c r="V43" s="31"/>
      <c r="W43" s="137">
        <v>17</v>
      </c>
      <c r="X43" s="119">
        <f>1</f>
        <v>1</v>
      </c>
      <c r="Y43" s="120">
        <f t="shared" si="0"/>
        <v>17</v>
      </c>
      <c r="Z43" s="121"/>
      <c r="AA43" s="23"/>
    </row>
    <row r="44" spans="1:27">
      <c r="E44" s="42"/>
      <c r="H44" s="43"/>
      <c r="U44" s="21" t="s">
        <v>70</v>
      </c>
      <c r="W44" s="137" t="s">
        <v>70</v>
      </c>
      <c r="X44" s="119">
        <f>1</f>
        <v>1</v>
      </c>
      <c r="Y44" s="120" t="str">
        <f t="shared" si="0"/>
        <v/>
      </c>
      <c r="Z44" s="120" t="str">
        <f t="shared" si="2"/>
        <v/>
      </c>
    </row>
    <row r="45" spans="1:27" s="30" customFormat="1" ht="15" thickBot="1">
      <c r="A45" s="51" t="s">
        <v>156</v>
      </c>
      <c r="B45" s="51"/>
      <c r="C45" s="52"/>
      <c r="D45" s="52"/>
      <c r="E45" s="46"/>
      <c r="F45" s="51"/>
      <c r="G45" s="51"/>
      <c r="H45" s="47"/>
      <c r="I45" s="85"/>
      <c r="J45" s="85"/>
      <c r="K45" s="85"/>
      <c r="L45" s="85"/>
      <c r="M45" s="85"/>
      <c r="N45" s="85"/>
      <c r="O45" s="85"/>
      <c r="P45" s="85"/>
      <c r="U45" s="30" t="s">
        <v>70</v>
      </c>
      <c r="W45" s="137" t="s">
        <v>70</v>
      </c>
      <c r="X45" s="119"/>
      <c r="Y45" s="120" t="str">
        <f t="shared" si="0"/>
        <v/>
      </c>
      <c r="Z45" s="120" t="str">
        <f t="shared" si="2"/>
        <v/>
      </c>
    </row>
    <row r="46" spans="1:27" s="27" customFormat="1" ht="15" thickTop="1">
      <c r="A46" s="24" t="s">
        <v>71</v>
      </c>
      <c r="B46" s="24" t="s">
        <v>157</v>
      </c>
      <c r="C46" s="48" t="s">
        <v>158</v>
      </c>
      <c r="D46" s="48" t="s">
        <v>159</v>
      </c>
      <c r="E46" s="25"/>
      <c r="F46" s="24"/>
      <c r="G46" s="24"/>
      <c r="H46" s="26"/>
      <c r="I46" s="79" t="s">
        <v>53</v>
      </c>
      <c r="J46" s="79"/>
      <c r="K46" s="79"/>
      <c r="L46" s="79"/>
      <c r="M46" s="80" t="s">
        <v>160</v>
      </c>
      <c r="N46" s="79"/>
      <c r="O46" s="79"/>
      <c r="P46" s="79"/>
      <c r="U46" s="21" t="s">
        <v>42</v>
      </c>
      <c r="W46" s="137"/>
      <c r="X46" s="119"/>
      <c r="Y46" s="120" t="str">
        <f t="shared" si="0"/>
        <v/>
      </c>
      <c r="Z46" s="120" t="str">
        <f t="shared" si="2"/>
        <v/>
      </c>
      <c r="AA46" s="28"/>
    </row>
    <row r="47" spans="1:27">
      <c r="E47" s="42"/>
      <c r="H47" s="43"/>
      <c r="U47" s="21" t="s">
        <v>70</v>
      </c>
      <c r="W47" s="137" t="s">
        <v>70</v>
      </c>
      <c r="X47" s="119">
        <f>1</f>
        <v>1</v>
      </c>
      <c r="Y47" s="120" t="str">
        <f t="shared" si="0"/>
        <v/>
      </c>
      <c r="Z47" s="120" t="str">
        <f t="shared" si="2"/>
        <v/>
      </c>
    </row>
    <row r="48" spans="1:27">
      <c r="A48" s="29" t="s">
        <v>150</v>
      </c>
      <c r="B48" s="29" t="s">
        <v>161</v>
      </c>
      <c r="C48" s="20" t="s">
        <v>162</v>
      </c>
      <c r="D48" s="20" t="s">
        <v>163</v>
      </c>
      <c r="E48" s="42"/>
      <c r="F48" s="29"/>
      <c r="G48" s="29"/>
      <c r="H48" s="43"/>
      <c r="I48" s="74" t="s">
        <v>40</v>
      </c>
      <c r="J48" s="74"/>
      <c r="K48" s="74"/>
      <c r="L48" s="74"/>
      <c r="M48" s="74"/>
      <c r="N48" s="74"/>
      <c r="O48" s="74"/>
      <c r="P48" s="74"/>
      <c r="U48" s="21" t="s">
        <v>42</v>
      </c>
      <c r="W48" s="153"/>
      <c r="X48" s="154"/>
      <c r="Y48" s="155"/>
      <c r="Z48" s="120"/>
    </row>
    <row r="49" spans="1:27">
      <c r="A49" s="29" t="s">
        <v>93</v>
      </c>
      <c r="B49" s="29" t="s">
        <v>164</v>
      </c>
      <c r="C49" s="20" t="s">
        <v>165</v>
      </c>
      <c r="D49" s="20" t="s">
        <v>166</v>
      </c>
      <c r="E49" s="42"/>
      <c r="F49" s="29"/>
      <c r="G49" s="29"/>
      <c r="H49" s="43"/>
      <c r="I49" s="74" t="s">
        <v>40</v>
      </c>
      <c r="J49" s="74"/>
      <c r="K49" s="74"/>
      <c r="L49" s="74"/>
      <c r="M49" s="74" t="s">
        <v>167</v>
      </c>
      <c r="N49" s="74"/>
      <c r="O49" s="74"/>
      <c r="P49" s="74"/>
      <c r="U49" s="21" t="s">
        <v>42</v>
      </c>
      <c r="W49" s="137">
        <v>10.085731506347656</v>
      </c>
      <c r="X49" s="119">
        <f>1</f>
        <v>1</v>
      </c>
      <c r="Y49" s="120">
        <f t="shared" si="0"/>
        <v>10.085731506347656</v>
      </c>
      <c r="Z49" s="120">
        <f t="shared" si="2"/>
        <v>10.085731506347656</v>
      </c>
    </row>
    <row r="50" spans="1:27">
      <c r="E50" s="42"/>
      <c r="H50" s="43"/>
      <c r="U50" s="21" t="s">
        <v>70</v>
      </c>
      <c r="W50" s="137" t="s">
        <v>70</v>
      </c>
      <c r="X50" s="119">
        <f>1</f>
        <v>1</v>
      </c>
      <c r="Y50" s="120" t="str">
        <f t="shared" si="0"/>
        <v/>
      </c>
      <c r="Z50" s="120" t="str">
        <f t="shared" si="2"/>
        <v/>
      </c>
    </row>
    <row r="51" spans="1:27">
      <c r="A51" s="29" t="s">
        <v>168</v>
      </c>
      <c r="B51" s="29" t="s">
        <v>169</v>
      </c>
      <c r="C51" s="20" t="s">
        <v>170</v>
      </c>
      <c r="D51" s="20" t="s">
        <v>171</v>
      </c>
      <c r="E51" s="42"/>
      <c r="F51" s="29"/>
      <c r="G51" s="29"/>
      <c r="H51" s="43"/>
      <c r="I51" s="74" t="s">
        <v>40</v>
      </c>
      <c r="J51" s="74"/>
      <c r="K51" s="74"/>
      <c r="L51" s="74"/>
      <c r="M51" s="74"/>
      <c r="N51" s="74"/>
      <c r="O51" s="74"/>
      <c r="P51" s="74"/>
      <c r="U51" s="21" t="s">
        <v>42</v>
      </c>
      <c r="W51" s="137">
        <v>12.894034385681152</v>
      </c>
      <c r="X51" s="119">
        <f>1</f>
        <v>1</v>
      </c>
      <c r="Y51" s="120">
        <f t="shared" si="0"/>
        <v>12.894034385681152</v>
      </c>
      <c r="Z51" s="120">
        <f t="shared" si="2"/>
        <v>12.894034385681152</v>
      </c>
    </row>
    <row r="52" spans="1:27">
      <c r="E52" s="42"/>
      <c r="H52" s="43"/>
      <c r="U52" s="21" t="s">
        <v>70</v>
      </c>
      <c r="W52" s="137" t="s">
        <v>70</v>
      </c>
      <c r="X52" s="119">
        <f>1</f>
        <v>1</v>
      </c>
      <c r="Y52" s="120" t="str">
        <f t="shared" si="0"/>
        <v/>
      </c>
      <c r="Z52" s="120" t="str">
        <f t="shared" ref="Z52:Z85" si="4">IF(AND(W52&lt;&gt;"",U52="yes"),W52*X52,"")</f>
        <v/>
      </c>
    </row>
    <row r="53" spans="1:27" s="30" customFormat="1">
      <c r="A53" s="30" t="s">
        <v>172</v>
      </c>
      <c r="B53" s="30" t="s">
        <v>173</v>
      </c>
      <c r="C53" s="23" t="s">
        <v>174</v>
      </c>
      <c r="D53" s="23" t="s">
        <v>175</v>
      </c>
      <c r="E53" s="53"/>
      <c r="F53" s="54"/>
      <c r="G53" s="54"/>
      <c r="H53" s="55"/>
      <c r="I53" s="81" t="s">
        <v>40</v>
      </c>
      <c r="J53" s="86"/>
      <c r="K53" s="86"/>
      <c r="L53" s="86"/>
      <c r="M53" s="86"/>
      <c r="N53" s="86"/>
      <c r="O53" s="86"/>
      <c r="P53" s="86"/>
      <c r="U53" s="30" t="s">
        <v>42</v>
      </c>
      <c r="W53" s="137">
        <v>15.265829086303711</v>
      </c>
      <c r="X53" s="119">
        <f>1</f>
        <v>1</v>
      </c>
      <c r="Y53" s="120">
        <f t="shared" si="0"/>
        <v>15.265829086303711</v>
      </c>
      <c r="Z53" s="120">
        <f t="shared" si="4"/>
        <v>15.265829086303711</v>
      </c>
    </row>
    <row r="54" spans="1:27" s="30" customFormat="1">
      <c r="A54" s="30" t="s">
        <v>176</v>
      </c>
      <c r="B54" s="30" t="s">
        <v>177</v>
      </c>
      <c r="C54" s="23" t="s">
        <v>178</v>
      </c>
      <c r="D54" s="23" t="s">
        <v>179</v>
      </c>
      <c r="E54" s="53"/>
      <c r="F54" s="54"/>
      <c r="G54" s="54"/>
      <c r="H54" s="55"/>
      <c r="I54" s="81" t="s">
        <v>40</v>
      </c>
      <c r="J54" s="86"/>
      <c r="K54" s="86"/>
      <c r="L54" s="86"/>
      <c r="M54" s="86"/>
      <c r="N54" s="86"/>
      <c r="O54" s="86"/>
      <c r="P54" s="86"/>
      <c r="U54" s="30" t="s">
        <v>42</v>
      </c>
      <c r="W54" s="137">
        <v>15.12371826171875</v>
      </c>
      <c r="X54" s="119">
        <f>1</f>
        <v>1</v>
      </c>
      <c r="Y54" s="120">
        <f t="shared" si="0"/>
        <v>15.12371826171875</v>
      </c>
      <c r="Z54" s="120">
        <f t="shared" si="4"/>
        <v>15.12371826171875</v>
      </c>
    </row>
    <row r="55" spans="1:27" s="30" customFormat="1">
      <c r="A55" s="30" t="s">
        <v>180</v>
      </c>
      <c r="B55" s="30" t="s">
        <v>181</v>
      </c>
      <c r="C55" s="23" t="s">
        <v>182</v>
      </c>
      <c r="D55" s="23" t="s">
        <v>183</v>
      </c>
      <c r="E55" s="53"/>
      <c r="F55" s="54"/>
      <c r="G55" s="54"/>
      <c r="H55" s="55"/>
      <c r="I55" s="81" t="s">
        <v>40</v>
      </c>
      <c r="J55" s="86"/>
      <c r="K55" s="86"/>
      <c r="L55" s="86"/>
      <c r="M55" s="86"/>
      <c r="N55" s="86"/>
      <c r="O55" s="86"/>
      <c r="P55" s="86"/>
      <c r="U55" s="30" t="s">
        <v>42</v>
      </c>
      <c r="W55" s="137">
        <v>13.760138511657715</v>
      </c>
      <c r="X55" s="119">
        <f>1</f>
        <v>1</v>
      </c>
      <c r="Y55" s="120">
        <f t="shared" si="0"/>
        <v>13.760138511657715</v>
      </c>
      <c r="Z55" s="120">
        <f t="shared" si="4"/>
        <v>13.760138511657715</v>
      </c>
    </row>
    <row r="56" spans="1:27" s="30" customFormat="1">
      <c r="C56" s="23"/>
      <c r="D56" s="23"/>
      <c r="E56" s="53"/>
      <c r="F56" s="54"/>
      <c r="G56" s="54"/>
      <c r="H56" s="55"/>
      <c r="I56" s="86"/>
      <c r="J56" s="86"/>
      <c r="K56" s="86"/>
      <c r="L56" s="86"/>
      <c r="M56" s="86"/>
      <c r="N56" s="86"/>
      <c r="O56" s="86"/>
      <c r="P56" s="86"/>
      <c r="U56" s="30" t="s">
        <v>70</v>
      </c>
      <c r="W56" s="137" t="s">
        <v>70</v>
      </c>
      <c r="X56" s="119">
        <f>1</f>
        <v>1</v>
      </c>
      <c r="Y56" s="120" t="str">
        <f t="shared" si="0"/>
        <v/>
      </c>
      <c r="Z56" s="120" t="str">
        <f t="shared" si="4"/>
        <v/>
      </c>
    </row>
    <row r="57" spans="1:27" s="31" customFormat="1">
      <c r="A57" s="31" t="s">
        <v>184</v>
      </c>
      <c r="B57" s="31" t="s">
        <v>185</v>
      </c>
      <c r="C57" s="32" t="s">
        <v>186</v>
      </c>
      <c r="D57" s="32" t="s">
        <v>187</v>
      </c>
      <c r="E57" s="33"/>
      <c r="F57" s="31" t="s">
        <v>188</v>
      </c>
      <c r="G57" s="31" t="s">
        <v>189</v>
      </c>
      <c r="H57" s="37"/>
      <c r="I57" s="75" t="s">
        <v>40</v>
      </c>
      <c r="J57" s="75"/>
      <c r="K57" s="75"/>
      <c r="L57" s="75"/>
      <c r="M57" s="75"/>
      <c r="N57" s="75"/>
      <c r="O57" s="75"/>
      <c r="P57" s="75"/>
      <c r="U57" s="31" t="s">
        <v>54</v>
      </c>
      <c r="W57" s="137">
        <v>30.646188735961914</v>
      </c>
      <c r="X57" s="119">
        <f>1</f>
        <v>1</v>
      </c>
      <c r="Y57" s="120">
        <f t="shared" si="0"/>
        <v>30.646188735961914</v>
      </c>
      <c r="Z57" s="120" t="str">
        <f t="shared" si="4"/>
        <v/>
      </c>
      <c r="AA57" s="30"/>
    </row>
    <row r="58" spans="1:27" s="31" customFormat="1">
      <c r="A58" s="31" t="s">
        <v>86</v>
      </c>
      <c r="B58" s="31" t="s">
        <v>190</v>
      </c>
      <c r="C58" s="32" t="s">
        <v>191</v>
      </c>
      <c r="D58" s="32" t="s">
        <v>192</v>
      </c>
      <c r="E58" s="33"/>
      <c r="F58" s="31" t="s">
        <v>193</v>
      </c>
      <c r="G58" s="31" t="s">
        <v>194</v>
      </c>
      <c r="H58" s="37"/>
      <c r="I58" s="75" t="s">
        <v>40</v>
      </c>
      <c r="J58" s="75"/>
      <c r="K58" s="75" t="s">
        <v>195</v>
      </c>
      <c r="L58" s="75"/>
      <c r="M58" s="75"/>
      <c r="N58" s="75"/>
      <c r="O58" s="75"/>
      <c r="P58" s="75"/>
      <c r="U58" s="31" t="s">
        <v>54</v>
      </c>
      <c r="W58" s="137">
        <v>15.211848258972168</v>
      </c>
      <c r="X58" s="119">
        <f>1</f>
        <v>1</v>
      </c>
      <c r="Y58" s="120">
        <f t="shared" si="0"/>
        <v>15.211848258972168</v>
      </c>
      <c r="Z58" s="120" t="str">
        <f t="shared" si="4"/>
        <v/>
      </c>
      <c r="AA58" s="30"/>
    </row>
    <row r="59" spans="1:27" s="31" customFormat="1">
      <c r="A59" s="31" t="s">
        <v>196</v>
      </c>
      <c r="B59" s="31" t="s">
        <v>197</v>
      </c>
      <c r="C59" s="32" t="s">
        <v>198</v>
      </c>
      <c r="D59" s="32" t="s">
        <v>199</v>
      </c>
      <c r="E59" s="33"/>
      <c r="F59" s="31" t="s">
        <v>200</v>
      </c>
      <c r="G59" s="31" t="s">
        <v>201</v>
      </c>
      <c r="H59" s="37"/>
      <c r="I59" s="75" t="s">
        <v>40</v>
      </c>
      <c r="J59" s="75"/>
      <c r="K59" s="75" t="s">
        <v>202</v>
      </c>
      <c r="L59" s="75"/>
      <c r="M59" s="75"/>
      <c r="N59" s="75"/>
      <c r="O59" s="75"/>
      <c r="P59" s="75"/>
      <c r="U59" s="31" t="s">
        <v>54</v>
      </c>
      <c r="W59" s="137">
        <v>17</v>
      </c>
      <c r="X59" s="119">
        <f>1</f>
        <v>1</v>
      </c>
      <c r="Y59" s="120">
        <f t="shared" si="0"/>
        <v>17</v>
      </c>
      <c r="Z59" s="120" t="str">
        <f t="shared" si="4"/>
        <v/>
      </c>
      <c r="AA59" s="30"/>
    </row>
    <row r="60" spans="1:27" s="31" customFormat="1" ht="28.8">
      <c r="A60" s="31" t="s">
        <v>203</v>
      </c>
      <c r="B60" s="31" t="s">
        <v>204</v>
      </c>
      <c r="C60" s="32" t="s">
        <v>205</v>
      </c>
      <c r="D60" s="32" t="s">
        <v>206</v>
      </c>
      <c r="E60" s="33"/>
      <c r="F60" s="31" t="s">
        <v>200</v>
      </c>
      <c r="H60" s="37"/>
      <c r="I60" s="75" t="s">
        <v>40</v>
      </c>
      <c r="J60" s="75"/>
      <c r="K60" s="75" t="s">
        <v>202</v>
      </c>
      <c r="L60" s="75"/>
      <c r="M60" s="75"/>
      <c r="N60" s="75"/>
      <c r="O60" s="75"/>
      <c r="P60" s="75"/>
      <c r="U60" s="31" t="s">
        <v>54</v>
      </c>
      <c r="W60" s="137">
        <v>17</v>
      </c>
      <c r="X60" s="119">
        <f>1</f>
        <v>1</v>
      </c>
      <c r="Y60" s="120">
        <f t="shared" si="0"/>
        <v>17</v>
      </c>
      <c r="Z60" s="120" t="str">
        <f t="shared" si="4"/>
        <v/>
      </c>
      <c r="AA60" s="30"/>
    </row>
    <row r="61" spans="1:27" s="31" customFormat="1">
      <c r="A61" s="31" t="s">
        <v>207</v>
      </c>
      <c r="B61" s="31" t="s">
        <v>208</v>
      </c>
      <c r="C61" s="32" t="s">
        <v>209</v>
      </c>
      <c r="D61" s="32" t="s">
        <v>210</v>
      </c>
      <c r="E61" s="33"/>
      <c r="H61" s="37"/>
      <c r="I61" s="75" t="s">
        <v>40</v>
      </c>
      <c r="J61" s="75"/>
      <c r="K61" s="75"/>
      <c r="L61" s="75"/>
      <c r="M61" s="75"/>
      <c r="N61" s="75"/>
      <c r="O61" s="75"/>
      <c r="P61" s="75"/>
      <c r="U61" s="31" t="s">
        <v>54</v>
      </c>
      <c r="W61" s="137">
        <v>17</v>
      </c>
      <c r="X61" s="119">
        <f>1</f>
        <v>1</v>
      </c>
      <c r="Y61" s="120">
        <f t="shared" si="0"/>
        <v>17</v>
      </c>
      <c r="Z61" s="120" t="str">
        <f t="shared" si="4"/>
        <v/>
      </c>
      <c r="AA61" s="30"/>
    </row>
    <row r="62" spans="1:27" s="31" customFormat="1">
      <c r="A62" s="31" t="s">
        <v>211</v>
      </c>
      <c r="B62" s="31" t="s">
        <v>212</v>
      </c>
      <c r="C62" s="32" t="s">
        <v>213</v>
      </c>
      <c r="D62" s="32" t="s">
        <v>214</v>
      </c>
      <c r="E62" s="33"/>
      <c r="H62" s="37"/>
      <c r="I62" s="75" t="s">
        <v>40</v>
      </c>
      <c r="J62" s="75"/>
      <c r="K62" s="75"/>
      <c r="L62" s="75"/>
      <c r="M62" s="75" t="s">
        <v>167</v>
      </c>
      <c r="N62" s="75"/>
      <c r="O62" s="75"/>
      <c r="P62" s="75"/>
      <c r="U62" s="31" t="s">
        <v>54</v>
      </c>
      <c r="W62" s="137">
        <v>8.2288064956665039</v>
      </c>
      <c r="X62" s="119">
        <f>1</f>
        <v>1</v>
      </c>
      <c r="Y62" s="120">
        <f t="shared" si="0"/>
        <v>8.2288064956665039</v>
      </c>
      <c r="Z62" s="120" t="str">
        <f t="shared" si="4"/>
        <v/>
      </c>
      <c r="AA62" s="30"/>
    </row>
    <row r="63" spans="1:27" s="31" customFormat="1">
      <c r="C63" s="32"/>
      <c r="D63" s="32"/>
      <c r="E63" s="33"/>
      <c r="H63" s="37"/>
      <c r="I63" s="75"/>
      <c r="J63" s="75"/>
      <c r="K63" s="75"/>
      <c r="L63" s="75"/>
      <c r="M63" s="75"/>
      <c r="N63" s="75"/>
      <c r="O63" s="75"/>
      <c r="P63" s="75"/>
      <c r="U63" s="31" t="s">
        <v>70</v>
      </c>
      <c r="W63" s="137" t="s">
        <v>70</v>
      </c>
      <c r="X63" s="119">
        <f>1</f>
        <v>1</v>
      </c>
      <c r="Y63" s="120" t="str">
        <f t="shared" si="0"/>
        <v/>
      </c>
      <c r="Z63" s="120" t="str">
        <f t="shared" si="4"/>
        <v/>
      </c>
      <c r="AA63" s="30"/>
    </row>
    <row r="64" spans="1:27" ht="15" thickBot="1">
      <c r="A64" s="56" t="s">
        <v>156</v>
      </c>
      <c r="B64" s="56"/>
      <c r="C64" s="57"/>
      <c r="D64" s="57"/>
      <c r="E64" s="66"/>
      <c r="F64" s="56"/>
      <c r="G64" s="56"/>
      <c r="H64" s="67"/>
      <c r="I64" s="87"/>
      <c r="J64" s="87"/>
      <c r="K64" s="87"/>
      <c r="L64" s="87"/>
      <c r="M64" s="87"/>
      <c r="N64" s="87"/>
      <c r="O64" s="87"/>
      <c r="P64" s="87"/>
      <c r="U64" s="21" t="s">
        <v>70</v>
      </c>
      <c r="W64" s="137" t="s">
        <v>70</v>
      </c>
      <c r="X64" s="119">
        <f>1</f>
        <v>1</v>
      </c>
      <c r="Y64" s="120" t="str">
        <f t="shared" si="0"/>
        <v/>
      </c>
      <c r="Z64" s="120" t="str">
        <f t="shared" si="4"/>
        <v/>
      </c>
    </row>
    <row r="65" spans="1:27" s="27" customFormat="1" ht="15" thickTop="1">
      <c r="A65" s="36" t="s">
        <v>71</v>
      </c>
      <c r="B65" s="36" t="s">
        <v>215</v>
      </c>
      <c r="C65" s="58" t="s">
        <v>216</v>
      </c>
      <c r="D65" s="58" t="s">
        <v>216</v>
      </c>
      <c r="E65" s="128"/>
      <c r="F65" s="36"/>
      <c r="G65" s="36"/>
      <c r="H65" s="129"/>
      <c r="I65" s="88" t="s">
        <v>53</v>
      </c>
      <c r="J65" s="88"/>
      <c r="K65" s="88"/>
      <c r="L65" s="88"/>
      <c r="M65" s="280" t="s">
        <v>160</v>
      </c>
      <c r="N65" s="88"/>
      <c r="O65" s="88"/>
      <c r="P65" s="88"/>
      <c r="U65" s="21" t="s">
        <v>42</v>
      </c>
      <c r="W65" s="137"/>
      <c r="X65" s="119">
        <f>1</f>
        <v>1</v>
      </c>
      <c r="Y65" s="120" t="str">
        <f t="shared" si="0"/>
        <v/>
      </c>
      <c r="Z65" s="120" t="str">
        <f t="shared" si="4"/>
        <v/>
      </c>
      <c r="AA65" s="28"/>
    </row>
    <row r="66" spans="1:27">
      <c r="E66" s="42"/>
      <c r="H66" s="43"/>
      <c r="U66" s="21" t="s">
        <v>70</v>
      </c>
      <c r="W66" s="137" t="s">
        <v>70</v>
      </c>
      <c r="X66" s="119">
        <f>1</f>
        <v>1</v>
      </c>
      <c r="Y66" s="120" t="str">
        <f t="shared" si="0"/>
        <v/>
      </c>
      <c r="Z66" s="120" t="str">
        <f t="shared" si="4"/>
        <v/>
      </c>
    </row>
    <row r="67" spans="1:27" ht="28.8">
      <c r="A67" s="34" t="s">
        <v>217</v>
      </c>
      <c r="B67" s="34" t="s">
        <v>218</v>
      </c>
      <c r="C67" s="35" t="s">
        <v>219</v>
      </c>
      <c r="D67" s="35" t="s">
        <v>220</v>
      </c>
      <c r="E67" s="53"/>
      <c r="F67" s="30" t="s">
        <v>221</v>
      </c>
      <c r="G67" s="21" t="s">
        <v>222</v>
      </c>
      <c r="H67" s="55"/>
      <c r="I67" s="76" t="s">
        <v>40</v>
      </c>
      <c r="J67" s="76" t="s">
        <v>223</v>
      </c>
      <c r="K67" s="76"/>
      <c r="L67" s="76"/>
      <c r="M67" s="76"/>
      <c r="N67" s="76"/>
      <c r="O67" s="76"/>
      <c r="P67" s="76"/>
      <c r="U67" s="21" t="s">
        <v>42</v>
      </c>
      <c r="W67" s="137">
        <v>36.928733825683594</v>
      </c>
      <c r="X67" s="119">
        <f>1</f>
        <v>1</v>
      </c>
      <c r="Y67" s="120">
        <f t="shared" si="0"/>
        <v>36.928733825683594</v>
      </c>
      <c r="Z67" s="120">
        <f t="shared" si="4"/>
        <v>36.928733825683594</v>
      </c>
    </row>
    <row r="68" spans="1:27">
      <c r="A68" s="34" t="s">
        <v>26</v>
      </c>
      <c r="B68" s="34" t="s">
        <v>224</v>
      </c>
      <c r="C68" s="35"/>
      <c r="D68" s="35"/>
      <c r="E68" s="53"/>
      <c r="F68" s="30"/>
      <c r="G68" s="30"/>
      <c r="H68" s="55"/>
      <c r="I68" s="76"/>
      <c r="J68" s="76"/>
      <c r="K68" s="76"/>
      <c r="L68" s="76"/>
      <c r="M68" s="76"/>
      <c r="N68" s="76"/>
      <c r="O68" s="76"/>
      <c r="P68" s="76" t="s">
        <v>225</v>
      </c>
      <c r="U68" s="21" t="s">
        <v>42</v>
      </c>
      <c r="W68" s="137"/>
      <c r="X68" s="119">
        <f>1</f>
        <v>1</v>
      </c>
      <c r="Y68" s="120" t="str">
        <f t="shared" si="0"/>
        <v/>
      </c>
      <c r="Z68" s="120" t="str">
        <f t="shared" si="4"/>
        <v/>
      </c>
    </row>
    <row r="69" spans="1:27" ht="28.8">
      <c r="A69" s="34" t="s">
        <v>150</v>
      </c>
      <c r="B69" s="34" t="s">
        <v>226</v>
      </c>
      <c r="C69" s="35" t="s">
        <v>227</v>
      </c>
      <c r="D69" s="35" t="s">
        <v>228</v>
      </c>
      <c r="E69" s="53"/>
      <c r="F69" s="30"/>
      <c r="G69" s="30"/>
      <c r="H69" s="55"/>
      <c r="I69" s="76" t="s">
        <v>40</v>
      </c>
      <c r="J69" s="76"/>
      <c r="K69" s="76"/>
      <c r="L69" s="76"/>
      <c r="M69" s="76" t="s">
        <v>229</v>
      </c>
      <c r="N69" s="76"/>
      <c r="O69" s="76"/>
      <c r="P69" s="76"/>
      <c r="U69" s="21" t="s">
        <v>42</v>
      </c>
      <c r="W69" s="137">
        <v>0</v>
      </c>
      <c r="X69" s="119">
        <f>1</f>
        <v>1</v>
      </c>
      <c r="Y69" s="120">
        <f t="shared" si="0"/>
        <v>0</v>
      </c>
      <c r="Z69" s="120">
        <f t="shared" si="4"/>
        <v>0</v>
      </c>
    </row>
    <row r="70" spans="1:27" ht="28.8">
      <c r="A70" s="34" t="s">
        <v>150</v>
      </c>
      <c r="B70" s="34" t="s">
        <v>230</v>
      </c>
      <c r="C70" s="35" t="s">
        <v>231</v>
      </c>
      <c r="D70" s="35" t="s">
        <v>232</v>
      </c>
      <c r="E70" s="53"/>
      <c r="F70" s="30"/>
      <c r="G70" s="30"/>
      <c r="H70" s="55"/>
      <c r="I70" s="76" t="s">
        <v>40</v>
      </c>
      <c r="J70" s="76"/>
      <c r="K70" s="76"/>
      <c r="L70" s="76"/>
      <c r="M70" s="76" t="s">
        <v>233</v>
      </c>
      <c r="N70" s="76"/>
      <c r="O70" s="76"/>
      <c r="P70" s="76"/>
      <c r="U70" s="21" t="s">
        <v>42</v>
      </c>
      <c r="W70" s="137">
        <v>0</v>
      </c>
      <c r="X70" s="119">
        <f>1</f>
        <v>1</v>
      </c>
      <c r="Y70" s="120">
        <f t="shared" ref="Y70:Y139" si="5">IF(W70&lt;&gt;"",W70*X70,"")</f>
        <v>0</v>
      </c>
      <c r="Z70" s="120">
        <f t="shared" si="4"/>
        <v>0</v>
      </c>
    </row>
    <row r="71" spans="1:27" ht="28.8">
      <c r="A71" s="34" t="s">
        <v>150</v>
      </c>
      <c r="B71" s="34" t="s">
        <v>234</v>
      </c>
      <c r="C71" s="35" t="s">
        <v>235</v>
      </c>
      <c r="D71" s="35" t="s">
        <v>236</v>
      </c>
      <c r="E71" s="53"/>
      <c r="F71" s="30"/>
      <c r="G71" s="30"/>
      <c r="H71" s="55"/>
      <c r="I71" s="76" t="s">
        <v>40</v>
      </c>
      <c r="J71" s="76"/>
      <c r="K71" s="76"/>
      <c r="L71" s="76"/>
      <c r="M71" s="76" t="s">
        <v>237</v>
      </c>
      <c r="N71" s="76"/>
      <c r="O71" s="76"/>
      <c r="P71" s="76"/>
      <c r="U71" s="21" t="s">
        <v>42</v>
      </c>
      <c r="W71" s="137">
        <v>0</v>
      </c>
      <c r="X71" s="119">
        <f>1</f>
        <v>1</v>
      </c>
      <c r="Y71" s="120">
        <f t="shared" si="5"/>
        <v>0</v>
      </c>
      <c r="Z71" s="120">
        <f t="shared" si="4"/>
        <v>0</v>
      </c>
    </row>
    <row r="72" spans="1:27">
      <c r="E72" s="42"/>
      <c r="H72" s="43"/>
      <c r="U72" s="21" t="s">
        <v>70</v>
      </c>
      <c r="W72" s="137" t="s">
        <v>70</v>
      </c>
      <c r="X72" s="119">
        <f>1</f>
        <v>1</v>
      </c>
      <c r="Y72" s="120" t="str">
        <f t="shared" si="5"/>
        <v/>
      </c>
      <c r="Z72" s="120" t="str">
        <f t="shared" si="4"/>
        <v/>
      </c>
    </row>
    <row r="73" spans="1:27" s="31" customFormat="1" ht="28.8">
      <c r="A73" s="31" t="s">
        <v>238</v>
      </c>
      <c r="B73" s="31" t="s">
        <v>239</v>
      </c>
      <c r="C73" s="32" t="s">
        <v>240</v>
      </c>
      <c r="D73" s="32" t="s">
        <v>241</v>
      </c>
      <c r="E73" s="33"/>
      <c r="F73" s="31" t="s">
        <v>242</v>
      </c>
      <c r="G73" s="31" t="s">
        <v>243</v>
      </c>
      <c r="H73" s="37"/>
      <c r="I73" s="75" t="s">
        <v>40</v>
      </c>
      <c r="J73" s="75"/>
      <c r="K73" s="75" t="s">
        <v>244</v>
      </c>
      <c r="L73" s="75"/>
      <c r="M73" s="75" t="s">
        <v>245</v>
      </c>
      <c r="N73" s="75"/>
      <c r="O73" s="75"/>
      <c r="P73" s="75"/>
      <c r="U73" s="31" t="s">
        <v>54</v>
      </c>
      <c r="W73" s="137">
        <v>40.047317504882813</v>
      </c>
      <c r="X73" s="119">
        <f>1</f>
        <v>1</v>
      </c>
      <c r="Y73" s="120">
        <f t="shared" si="5"/>
        <v>40.047317504882813</v>
      </c>
      <c r="Z73" s="120" t="str">
        <f t="shared" si="4"/>
        <v/>
      </c>
      <c r="AA73" s="30"/>
    </row>
    <row r="74" spans="1:27" s="31" customFormat="1" ht="28.8">
      <c r="A74" s="31" t="s">
        <v>246</v>
      </c>
      <c r="B74" s="31" t="s">
        <v>247</v>
      </c>
      <c r="C74" s="31" t="s">
        <v>248</v>
      </c>
      <c r="D74" s="32" t="s">
        <v>249</v>
      </c>
      <c r="E74" s="37"/>
      <c r="F74" s="31" t="s">
        <v>250</v>
      </c>
      <c r="G74" s="31" t="s">
        <v>251</v>
      </c>
      <c r="H74" s="37"/>
      <c r="I74" s="75" t="s">
        <v>53</v>
      </c>
      <c r="J74" s="75"/>
      <c r="K74" s="75"/>
      <c r="L74" s="75"/>
      <c r="M74" s="75" t="s">
        <v>252</v>
      </c>
      <c r="N74" s="75"/>
      <c r="O74" s="75"/>
      <c r="P74" s="75"/>
      <c r="U74" s="31" t="s">
        <v>54</v>
      </c>
      <c r="W74" s="137">
        <v>3.6870110034942627</v>
      </c>
      <c r="X74" s="119">
        <f>1</f>
        <v>1</v>
      </c>
      <c r="Y74" s="120">
        <f t="shared" si="5"/>
        <v>3.6870110034942627</v>
      </c>
      <c r="Z74" s="120" t="str">
        <f t="shared" si="4"/>
        <v/>
      </c>
      <c r="AA74" s="30"/>
    </row>
    <row r="75" spans="1:27">
      <c r="D75" s="32"/>
      <c r="E75" s="37"/>
      <c r="G75" s="31"/>
      <c r="H75" s="37"/>
    </row>
    <row r="76" spans="1:27" s="30" customFormat="1" ht="28.8">
      <c r="A76" s="34" t="s">
        <v>253</v>
      </c>
      <c r="B76" s="34" t="s">
        <v>254</v>
      </c>
      <c r="C76" s="34" t="s">
        <v>255</v>
      </c>
      <c r="D76" s="35" t="s">
        <v>256</v>
      </c>
      <c r="E76" s="55"/>
      <c r="F76" s="34"/>
      <c r="G76" s="34"/>
      <c r="H76" s="55"/>
      <c r="I76" s="76" t="s">
        <v>40</v>
      </c>
      <c r="J76" s="76"/>
      <c r="K76" s="76"/>
      <c r="L76" s="76"/>
      <c r="M76" s="76" t="s">
        <v>245</v>
      </c>
      <c r="N76" s="76"/>
      <c r="O76" s="76"/>
      <c r="P76" s="76"/>
      <c r="U76" s="30" t="s">
        <v>42</v>
      </c>
      <c r="W76" s="137"/>
      <c r="X76" s="119"/>
      <c r="Y76" s="120"/>
      <c r="Z76" s="120"/>
    </row>
    <row r="77" spans="1:27" s="30" customFormat="1">
      <c r="A77" s="34" t="s">
        <v>257</v>
      </c>
      <c r="B77" s="34" t="s">
        <v>258</v>
      </c>
      <c r="C77" s="34" t="s">
        <v>259</v>
      </c>
      <c r="D77" s="35" t="s">
        <v>260</v>
      </c>
      <c r="E77" s="55"/>
      <c r="F77" s="34"/>
      <c r="G77" s="34"/>
      <c r="H77" s="55"/>
      <c r="I77" s="76" t="s">
        <v>40</v>
      </c>
      <c r="J77" s="76"/>
      <c r="K77" s="76"/>
      <c r="L77" s="76"/>
      <c r="M77" s="76" t="s">
        <v>245</v>
      </c>
      <c r="N77" s="76"/>
      <c r="O77" s="76"/>
      <c r="P77" s="76"/>
      <c r="U77" s="30" t="s">
        <v>42</v>
      </c>
      <c r="W77" s="137"/>
      <c r="X77" s="119"/>
      <c r="Y77" s="120"/>
      <c r="Z77" s="120"/>
    </row>
    <row r="78" spans="1:27">
      <c r="E78" s="42"/>
      <c r="H78" s="43"/>
      <c r="U78" s="21" t="s">
        <v>70</v>
      </c>
      <c r="W78" s="137" t="s">
        <v>70</v>
      </c>
      <c r="X78" s="119">
        <f>1</f>
        <v>1</v>
      </c>
      <c r="Y78" s="120" t="str">
        <f t="shared" ref="Y78" si="6">IF(W78&lt;&gt;"",W78*X78,"")</f>
        <v/>
      </c>
      <c r="Z78" s="120" t="str">
        <f t="shared" ref="Z78" si="7">IF(AND(W78&lt;&gt;"",U78="yes"),W78*X78,"")</f>
        <v/>
      </c>
    </row>
    <row r="79" spans="1:27" ht="42.6">
      <c r="A79" s="34" t="s">
        <v>261</v>
      </c>
      <c r="B79" s="34" t="s">
        <v>262</v>
      </c>
      <c r="C79" s="35" t="s">
        <v>263</v>
      </c>
      <c r="D79" s="35" t="s">
        <v>264</v>
      </c>
      <c r="E79" s="53"/>
      <c r="F79" s="34"/>
      <c r="G79" s="34"/>
      <c r="H79" s="55"/>
      <c r="I79" s="76" t="s">
        <v>40</v>
      </c>
      <c r="J79" s="76"/>
      <c r="K79" s="76"/>
      <c r="L79" s="76"/>
      <c r="M79" s="76" t="s">
        <v>245</v>
      </c>
      <c r="N79" s="76"/>
      <c r="O79" s="76"/>
      <c r="P79" s="76"/>
      <c r="U79" s="21" t="s">
        <v>42</v>
      </c>
      <c r="W79" s="137">
        <v>27.242166519165039</v>
      </c>
      <c r="X79" s="119">
        <f>1</f>
        <v>1</v>
      </c>
      <c r="Y79" s="120">
        <f t="shared" si="5"/>
        <v>27.242166519165039</v>
      </c>
      <c r="Z79" s="120">
        <f t="shared" si="4"/>
        <v>27.242166519165039</v>
      </c>
    </row>
    <row r="80" spans="1:27">
      <c r="D80" s="23"/>
      <c r="E80" s="42"/>
      <c r="H80" s="43"/>
      <c r="U80" s="21" t="s">
        <v>70</v>
      </c>
      <c r="W80" s="137" t="s">
        <v>70</v>
      </c>
      <c r="X80" s="119">
        <f>1</f>
        <v>1</v>
      </c>
      <c r="Y80" s="120" t="str">
        <f t="shared" si="5"/>
        <v/>
      </c>
      <c r="Z80" s="120" t="str">
        <f t="shared" si="4"/>
        <v/>
      </c>
    </row>
    <row r="81" spans="1:27" ht="28.8">
      <c r="A81" s="34" t="s">
        <v>265</v>
      </c>
      <c r="B81" s="34" t="s">
        <v>266</v>
      </c>
      <c r="C81" s="35" t="s">
        <v>267</v>
      </c>
      <c r="D81" s="35" t="s">
        <v>268</v>
      </c>
      <c r="E81" s="53"/>
      <c r="F81" s="30" t="s">
        <v>269</v>
      </c>
      <c r="G81" s="30" t="s">
        <v>270</v>
      </c>
      <c r="H81" s="55"/>
      <c r="I81" s="76" t="s">
        <v>40</v>
      </c>
      <c r="J81" s="76" t="s">
        <v>223</v>
      </c>
      <c r="K81" s="76"/>
      <c r="L81" s="76"/>
      <c r="M81" s="76" t="s">
        <v>245</v>
      </c>
      <c r="N81" s="76" t="s">
        <v>271</v>
      </c>
      <c r="O81" s="76"/>
      <c r="P81" s="76"/>
      <c r="U81" s="21" t="s">
        <v>42</v>
      </c>
      <c r="W81" s="137">
        <v>25.308004379272461</v>
      </c>
      <c r="X81" s="119">
        <f>1</f>
        <v>1</v>
      </c>
      <c r="Y81" s="120">
        <f t="shared" si="5"/>
        <v>25.308004379272461</v>
      </c>
      <c r="Z81" s="120">
        <f t="shared" si="4"/>
        <v>25.308004379272461</v>
      </c>
    </row>
    <row r="82" spans="1:27">
      <c r="A82" s="34" t="s">
        <v>26</v>
      </c>
      <c r="B82" s="34" t="s">
        <v>272</v>
      </c>
      <c r="C82" s="35"/>
      <c r="D82" s="35"/>
      <c r="E82" s="53"/>
      <c r="F82" s="30"/>
      <c r="G82" s="30"/>
      <c r="H82" s="55"/>
      <c r="I82" s="76"/>
      <c r="J82" s="76"/>
      <c r="K82" s="76"/>
      <c r="L82" s="76"/>
      <c r="M82" s="76"/>
      <c r="N82" s="76"/>
      <c r="O82" s="76"/>
      <c r="P82" s="76" t="s">
        <v>273</v>
      </c>
      <c r="U82" s="21" t="s">
        <v>42</v>
      </c>
      <c r="W82" s="137"/>
      <c r="X82" s="119">
        <f>1</f>
        <v>1</v>
      </c>
      <c r="Y82" s="120" t="str">
        <f t="shared" si="5"/>
        <v/>
      </c>
      <c r="Z82" s="120" t="str">
        <f t="shared" si="4"/>
        <v/>
      </c>
    </row>
    <row r="83" spans="1:27" ht="28.8">
      <c r="A83" s="34" t="s">
        <v>150</v>
      </c>
      <c r="B83" s="34" t="s">
        <v>274</v>
      </c>
      <c r="C83" s="35" t="s">
        <v>227</v>
      </c>
      <c r="D83" s="281" t="s">
        <v>228</v>
      </c>
      <c r="E83" s="53"/>
      <c r="F83" s="30"/>
      <c r="G83" s="30"/>
      <c r="H83" s="55"/>
      <c r="I83" s="76" t="s">
        <v>40</v>
      </c>
      <c r="J83" s="76"/>
      <c r="K83" s="76"/>
      <c r="L83" s="76"/>
      <c r="M83" s="76" t="s">
        <v>275</v>
      </c>
      <c r="N83" s="76"/>
      <c r="O83" s="76"/>
      <c r="P83" s="76"/>
      <c r="U83" s="21" t="s">
        <v>42</v>
      </c>
      <c r="W83" s="137">
        <v>0</v>
      </c>
      <c r="X83" s="119">
        <f>1</f>
        <v>1</v>
      </c>
      <c r="Y83" s="120">
        <f t="shared" si="5"/>
        <v>0</v>
      </c>
      <c r="Z83" s="120">
        <f t="shared" si="4"/>
        <v>0</v>
      </c>
    </row>
    <row r="84" spans="1:27" ht="28.8">
      <c r="A84" s="34" t="s">
        <v>150</v>
      </c>
      <c r="B84" s="34" t="s">
        <v>276</v>
      </c>
      <c r="C84" s="35" t="s">
        <v>277</v>
      </c>
      <c r="D84" s="35" t="s">
        <v>232</v>
      </c>
      <c r="E84" s="53"/>
      <c r="F84" s="30"/>
      <c r="G84" s="30"/>
      <c r="H84" s="55"/>
      <c r="I84" s="76" t="s">
        <v>40</v>
      </c>
      <c r="J84" s="76"/>
      <c r="K84" s="76"/>
      <c r="L84" s="76"/>
      <c r="M84" s="76" t="s">
        <v>278</v>
      </c>
      <c r="N84" s="76"/>
      <c r="O84" s="76"/>
      <c r="P84" s="76"/>
      <c r="U84" s="21" t="s">
        <v>42</v>
      </c>
      <c r="W84" s="137">
        <v>0</v>
      </c>
      <c r="X84" s="119">
        <f>1</f>
        <v>1</v>
      </c>
      <c r="Y84" s="120">
        <f t="shared" si="5"/>
        <v>0</v>
      </c>
      <c r="Z84" s="120">
        <f t="shared" si="4"/>
        <v>0</v>
      </c>
    </row>
    <row r="85" spans="1:27" ht="28.8">
      <c r="A85" s="34" t="s">
        <v>150</v>
      </c>
      <c r="B85" s="34" t="s">
        <v>279</v>
      </c>
      <c r="C85" s="35" t="s">
        <v>235</v>
      </c>
      <c r="D85" s="35" t="s">
        <v>236</v>
      </c>
      <c r="E85" s="53"/>
      <c r="F85" s="30"/>
      <c r="G85" s="30"/>
      <c r="H85" s="55"/>
      <c r="I85" s="76" t="s">
        <v>40</v>
      </c>
      <c r="J85" s="76"/>
      <c r="K85" s="76"/>
      <c r="L85" s="76"/>
      <c r="M85" s="76" t="s">
        <v>280</v>
      </c>
      <c r="N85" s="76"/>
      <c r="O85" s="76"/>
      <c r="P85" s="76"/>
      <c r="U85" s="21" t="s">
        <v>42</v>
      </c>
      <c r="W85" s="137">
        <v>0</v>
      </c>
      <c r="X85" s="119">
        <f>1</f>
        <v>1</v>
      </c>
      <c r="Y85" s="120">
        <f t="shared" si="5"/>
        <v>0</v>
      </c>
      <c r="Z85" s="120">
        <f t="shared" si="4"/>
        <v>0</v>
      </c>
    </row>
    <row r="86" spans="1:27">
      <c r="E86" s="42"/>
      <c r="H86" s="43"/>
      <c r="U86" s="21" t="s">
        <v>70</v>
      </c>
      <c r="W86" s="137" t="s">
        <v>70</v>
      </c>
      <c r="X86" s="119">
        <f>1</f>
        <v>1</v>
      </c>
      <c r="Y86" s="120" t="str">
        <f t="shared" si="5"/>
        <v/>
      </c>
      <c r="Z86" s="120" t="str">
        <f t="shared" ref="Z86:Z119" si="8">IF(AND(W86&lt;&gt;"",U86="yes"),W86*X86,"")</f>
        <v/>
      </c>
    </row>
    <row r="87" spans="1:27" s="31" customFormat="1" ht="28.8">
      <c r="A87" s="31" t="s">
        <v>238</v>
      </c>
      <c r="B87" s="31" t="s">
        <v>281</v>
      </c>
      <c r="C87" s="32" t="s">
        <v>282</v>
      </c>
      <c r="D87" s="32" t="s">
        <v>283</v>
      </c>
      <c r="E87" s="33"/>
      <c r="F87" s="31" t="s">
        <v>242</v>
      </c>
      <c r="G87" s="31" t="s">
        <v>243</v>
      </c>
      <c r="H87" s="37"/>
      <c r="I87" s="75" t="s">
        <v>40</v>
      </c>
      <c r="J87" s="75"/>
      <c r="K87" s="75" t="s">
        <v>244</v>
      </c>
      <c r="L87" s="75"/>
      <c r="M87" s="75" t="s">
        <v>284</v>
      </c>
      <c r="N87" s="75"/>
      <c r="O87" s="75"/>
      <c r="P87" s="75"/>
      <c r="U87" s="31" t="s">
        <v>54</v>
      </c>
      <c r="W87" s="137">
        <v>30.828470230102539</v>
      </c>
      <c r="X87" s="119">
        <f>1</f>
        <v>1</v>
      </c>
      <c r="Y87" s="120">
        <f t="shared" si="5"/>
        <v>30.828470230102539</v>
      </c>
      <c r="Z87" s="120" t="str">
        <f t="shared" si="8"/>
        <v/>
      </c>
      <c r="AA87" s="30"/>
    </row>
    <row r="88" spans="1:27" s="31" customFormat="1" ht="28.8">
      <c r="A88" s="31" t="s">
        <v>246</v>
      </c>
      <c r="B88" s="31" t="s">
        <v>285</v>
      </c>
      <c r="C88" s="31" t="s">
        <v>248</v>
      </c>
      <c r="D88" s="32" t="s">
        <v>249</v>
      </c>
      <c r="E88" s="33"/>
      <c r="F88" s="31" t="s">
        <v>286</v>
      </c>
      <c r="G88" s="31" t="s">
        <v>251</v>
      </c>
      <c r="H88" s="37"/>
      <c r="I88" s="75" t="s">
        <v>53</v>
      </c>
      <c r="J88" s="75"/>
      <c r="K88" s="75"/>
      <c r="L88" s="75"/>
      <c r="M88" s="75" t="s">
        <v>287</v>
      </c>
      <c r="N88" s="75"/>
      <c r="O88" s="75"/>
      <c r="P88" s="75"/>
      <c r="U88" s="31" t="s">
        <v>54</v>
      </c>
      <c r="W88" s="137">
        <v>2.2941176891326904</v>
      </c>
      <c r="X88" s="119">
        <f>1</f>
        <v>1</v>
      </c>
      <c r="Y88" s="120">
        <f t="shared" si="5"/>
        <v>2.2941176891326904</v>
      </c>
      <c r="Z88" s="120" t="str">
        <f t="shared" si="8"/>
        <v/>
      </c>
      <c r="AA88" s="30"/>
    </row>
    <row r="89" spans="1:27" s="31" customFormat="1">
      <c r="C89" s="32"/>
      <c r="D89" s="32"/>
      <c r="E89" s="33"/>
      <c r="H89" s="37"/>
      <c r="I89" s="75"/>
      <c r="J89" s="75"/>
      <c r="K89" s="75"/>
      <c r="L89" s="75"/>
      <c r="M89" s="75"/>
      <c r="N89" s="75"/>
      <c r="O89" s="75"/>
      <c r="P89" s="75"/>
      <c r="U89" s="31" t="s">
        <v>70</v>
      </c>
      <c r="W89" s="137" t="s">
        <v>70</v>
      </c>
      <c r="X89" s="119">
        <f>1</f>
        <v>1</v>
      </c>
      <c r="Y89" s="120" t="str">
        <f t="shared" ref="Y89" si="9">IF(W89&lt;&gt;"",W89*X89,"")</f>
        <v/>
      </c>
      <c r="Z89" s="120" t="str">
        <f t="shared" ref="Z89" si="10">IF(AND(W89&lt;&gt;"",U89="yes"),W89*X89,"")</f>
        <v/>
      </c>
      <c r="AA89" s="30"/>
    </row>
    <row r="90" spans="1:27" s="31" customFormat="1" ht="28.8">
      <c r="A90" s="31" t="s">
        <v>253</v>
      </c>
      <c r="B90" s="31" t="s">
        <v>288</v>
      </c>
      <c r="C90" s="31" t="s">
        <v>255</v>
      </c>
      <c r="D90" s="32" t="s">
        <v>289</v>
      </c>
      <c r="E90" s="37"/>
      <c r="H90" s="37"/>
      <c r="I90" s="75" t="s">
        <v>40</v>
      </c>
      <c r="J90" s="75"/>
      <c r="K90" s="75"/>
      <c r="L90" s="75"/>
      <c r="M90" s="75" t="s">
        <v>284</v>
      </c>
      <c r="N90" s="75"/>
      <c r="O90" s="75"/>
      <c r="P90" s="75"/>
      <c r="U90" s="31" t="s">
        <v>54</v>
      </c>
      <c r="W90" s="137"/>
      <c r="X90" s="119"/>
      <c r="Y90" s="120"/>
      <c r="Z90" s="120"/>
      <c r="AA90" s="30"/>
    </row>
    <row r="91" spans="1:27" s="31" customFormat="1">
      <c r="A91" s="31" t="s">
        <v>257</v>
      </c>
      <c r="B91" s="31" t="s">
        <v>290</v>
      </c>
      <c r="C91" s="31" t="s">
        <v>259</v>
      </c>
      <c r="D91" s="32" t="s">
        <v>260</v>
      </c>
      <c r="E91" s="37"/>
      <c r="H91" s="37"/>
      <c r="I91" s="75" t="s">
        <v>40</v>
      </c>
      <c r="J91" s="75"/>
      <c r="K91" s="75"/>
      <c r="L91" s="75"/>
      <c r="M91" s="75" t="s">
        <v>284</v>
      </c>
      <c r="N91" s="75"/>
      <c r="O91" s="75"/>
      <c r="P91" s="75"/>
      <c r="U91" s="31" t="s">
        <v>54</v>
      </c>
      <c r="W91" s="137"/>
      <c r="X91" s="119"/>
      <c r="Y91" s="120"/>
      <c r="Z91" s="120"/>
      <c r="AA91" s="30"/>
    </row>
    <row r="92" spans="1:27" s="31" customFormat="1">
      <c r="C92" s="32"/>
      <c r="D92" s="32"/>
      <c r="E92" s="33"/>
      <c r="H92" s="37"/>
      <c r="I92" s="75"/>
      <c r="J92" s="75"/>
      <c r="K92" s="75"/>
      <c r="L92" s="75"/>
      <c r="M92" s="75"/>
      <c r="N92" s="75"/>
      <c r="O92" s="75"/>
      <c r="P92" s="75"/>
      <c r="U92" s="31" t="s">
        <v>70</v>
      </c>
      <c r="W92" s="137" t="s">
        <v>70</v>
      </c>
      <c r="X92" s="119">
        <f>1</f>
        <v>1</v>
      </c>
      <c r="Y92" s="120" t="str">
        <f t="shared" si="5"/>
        <v/>
      </c>
      <c r="Z92" s="120" t="str">
        <f t="shared" si="8"/>
        <v/>
      </c>
      <c r="AA92" s="30"/>
    </row>
    <row r="93" spans="1:27" ht="43.2">
      <c r="A93" s="34" t="s">
        <v>261</v>
      </c>
      <c r="B93" s="34" t="s">
        <v>291</v>
      </c>
      <c r="C93" s="35" t="s">
        <v>292</v>
      </c>
      <c r="D93" s="35" t="s">
        <v>293</v>
      </c>
      <c r="E93" s="53"/>
      <c r="F93" s="34"/>
      <c r="G93" s="34"/>
      <c r="H93" s="55"/>
      <c r="I93" s="76" t="s">
        <v>40</v>
      </c>
      <c r="J93" s="76"/>
      <c r="K93" s="76"/>
      <c r="L93" s="76"/>
      <c r="M93" s="76" t="s">
        <v>284</v>
      </c>
      <c r="N93" s="76"/>
      <c r="O93" s="76"/>
      <c r="P93" s="76"/>
      <c r="U93" s="21" t="s">
        <v>42</v>
      </c>
      <c r="W93" s="137">
        <v>21.193256378173828</v>
      </c>
      <c r="X93" s="119">
        <f>1</f>
        <v>1</v>
      </c>
      <c r="Y93" s="120">
        <f t="shared" si="5"/>
        <v>21.193256378173828</v>
      </c>
      <c r="Z93" s="120">
        <f t="shared" si="8"/>
        <v>21.193256378173828</v>
      </c>
    </row>
    <row r="94" spans="1:27">
      <c r="D94" s="23"/>
      <c r="E94" s="42"/>
      <c r="H94" s="43"/>
      <c r="M94" s="86"/>
      <c r="U94" s="21" t="s">
        <v>70</v>
      </c>
      <c r="W94" s="137" t="s">
        <v>70</v>
      </c>
      <c r="X94" s="119">
        <f>1</f>
        <v>1</v>
      </c>
      <c r="Y94" s="120" t="str">
        <f t="shared" si="5"/>
        <v/>
      </c>
      <c r="Z94" s="120" t="str">
        <f t="shared" si="8"/>
        <v/>
      </c>
    </row>
    <row r="95" spans="1:27">
      <c r="A95" s="34" t="s">
        <v>294</v>
      </c>
      <c r="B95" s="34" t="s">
        <v>295</v>
      </c>
      <c r="C95" s="34" t="s">
        <v>296</v>
      </c>
      <c r="D95" s="35" t="s">
        <v>297</v>
      </c>
      <c r="E95" s="55"/>
      <c r="F95" s="30" t="s">
        <v>269</v>
      </c>
      <c r="G95" s="30" t="s">
        <v>298</v>
      </c>
      <c r="H95" s="55"/>
      <c r="I95" s="76" t="s">
        <v>40</v>
      </c>
      <c r="J95" s="76" t="s">
        <v>223</v>
      </c>
      <c r="K95" s="76"/>
      <c r="L95" s="76"/>
      <c r="M95" s="76" t="s">
        <v>284</v>
      </c>
      <c r="N95" s="76" t="s">
        <v>299</v>
      </c>
      <c r="O95" s="76"/>
      <c r="P95" s="76"/>
      <c r="U95" s="21" t="s">
        <v>42</v>
      </c>
      <c r="W95" s="137">
        <v>20.229927062988281</v>
      </c>
      <c r="X95" s="119">
        <f>1</f>
        <v>1</v>
      </c>
      <c r="Y95" s="120">
        <f t="shared" si="5"/>
        <v>20.229927062988281</v>
      </c>
      <c r="Z95" s="120">
        <f t="shared" si="8"/>
        <v>20.229927062988281</v>
      </c>
    </row>
    <row r="96" spans="1:27">
      <c r="A96" s="34" t="s">
        <v>26</v>
      </c>
      <c r="B96" s="34" t="s">
        <v>300</v>
      </c>
      <c r="C96" s="35"/>
      <c r="D96" s="35"/>
      <c r="E96" s="53"/>
      <c r="F96" s="30"/>
      <c r="G96" s="30"/>
      <c r="H96" s="55"/>
      <c r="I96" s="76"/>
      <c r="J96" s="76"/>
      <c r="K96" s="76"/>
      <c r="L96" s="76"/>
      <c r="M96" s="76"/>
      <c r="N96" s="76"/>
      <c r="O96" s="76"/>
      <c r="P96" s="76" t="s">
        <v>301</v>
      </c>
      <c r="U96" s="21" t="s">
        <v>42</v>
      </c>
      <c r="W96" s="137"/>
      <c r="X96" s="119">
        <f>1</f>
        <v>1</v>
      </c>
      <c r="Y96" s="120" t="str">
        <f t="shared" si="5"/>
        <v/>
      </c>
      <c r="Z96" s="120" t="str">
        <f t="shared" si="8"/>
        <v/>
      </c>
    </row>
    <row r="97" spans="1:27" ht="28.8">
      <c r="A97" s="34" t="s">
        <v>150</v>
      </c>
      <c r="B97" s="34" t="s">
        <v>302</v>
      </c>
      <c r="C97" s="35" t="s">
        <v>227</v>
      </c>
      <c r="D97" s="281" t="s">
        <v>228</v>
      </c>
      <c r="E97" s="53"/>
      <c r="F97" s="30"/>
      <c r="G97" s="30"/>
      <c r="H97" s="55"/>
      <c r="I97" s="76" t="s">
        <v>40</v>
      </c>
      <c r="J97" s="76"/>
      <c r="K97" s="76"/>
      <c r="L97" s="76"/>
      <c r="M97" s="76" t="s">
        <v>303</v>
      </c>
      <c r="N97" s="76"/>
      <c r="O97" s="76"/>
      <c r="P97" s="76"/>
      <c r="U97" s="21" t="s">
        <v>42</v>
      </c>
      <c r="W97" s="137">
        <v>0</v>
      </c>
      <c r="X97" s="119">
        <f>1</f>
        <v>1</v>
      </c>
      <c r="Y97" s="120">
        <f t="shared" si="5"/>
        <v>0</v>
      </c>
      <c r="Z97" s="120">
        <f t="shared" si="8"/>
        <v>0</v>
      </c>
    </row>
    <row r="98" spans="1:27" ht="28.8">
      <c r="A98" s="34" t="s">
        <v>150</v>
      </c>
      <c r="B98" s="34" t="s">
        <v>304</v>
      </c>
      <c r="C98" s="35" t="s">
        <v>231</v>
      </c>
      <c r="D98" s="35" t="s">
        <v>232</v>
      </c>
      <c r="E98" s="53"/>
      <c r="F98" s="30"/>
      <c r="G98" s="30"/>
      <c r="H98" s="55"/>
      <c r="I98" s="76" t="s">
        <v>40</v>
      </c>
      <c r="J98" s="76"/>
      <c r="K98" s="76"/>
      <c r="L98" s="76"/>
      <c r="M98" s="76" t="s">
        <v>305</v>
      </c>
      <c r="N98" s="76"/>
      <c r="O98" s="76"/>
      <c r="P98" s="76"/>
      <c r="U98" s="21" t="s">
        <v>42</v>
      </c>
      <c r="W98" s="137">
        <v>0</v>
      </c>
      <c r="X98" s="119">
        <f>1</f>
        <v>1</v>
      </c>
      <c r="Y98" s="120">
        <f t="shared" si="5"/>
        <v>0</v>
      </c>
      <c r="Z98" s="120">
        <f t="shared" si="8"/>
        <v>0</v>
      </c>
    </row>
    <row r="99" spans="1:27" ht="28.8">
      <c r="A99" s="34" t="s">
        <v>150</v>
      </c>
      <c r="B99" s="34" t="s">
        <v>306</v>
      </c>
      <c r="C99" s="35" t="s">
        <v>235</v>
      </c>
      <c r="D99" s="35" t="s">
        <v>236</v>
      </c>
      <c r="E99" s="53"/>
      <c r="F99" s="30"/>
      <c r="G99" s="30"/>
      <c r="H99" s="55"/>
      <c r="I99" s="76" t="s">
        <v>40</v>
      </c>
      <c r="J99" s="76"/>
      <c r="K99" s="76"/>
      <c r="L99" s="76"/>
      <c r="M99" s="76" t="s">
        <v>307</v>
      </c>
      <c r="N99" s="76"/>
      <c r="O99" s="76"/>
      <c r="P99" s="76"/>
      <c r="U99" s="21" t="s">
        <v>42</v>
      </c>
      <c r="W99" s="137">
        <v>0</v>
      </c>
      <c r="X99" s="119">
        <f>1</f>
        <v>1</v>
      </c>
      <c r="Y99" s="120">
        <f t="shared" si="5"/>
        <v>0</v>
      </c>
      <c r="Z99" s="120">
        <f t="shared" si="8"/>
        <v>0</v>
      </c>
    </row>
    <row r="100" spans="1:27">
      <c r="E100" s="42"/>
      <c r="H100" s="43"/>
      <c r="U100" s="21" t="s">
        <v>70</v>
      </c>
      <c r="W100" s="137" t="s">
        <v>70</v>
      </c>
      <c r="X100" s="119">
        <f>1</f>
        <v>1</v>
      </c>
      <c r="Y100" s="120" t="str">
        <f t="shared" si="5"/>
        <v/>
      </c>
      <c r="Z100" s="120" t="str">
        <f t="shared" si="8"/>
        <v/>
      </c>
    </row>
    <row r="101" spans="1:27" s="31" customFormat="1" ht="28.8">
      <c r="A101" s="31" t="s">
        <v>238</v>
      </c>
      <c r="B101" s="31" t="s">
        <v>308</v>
      </c>
      <c r="C101" s="32" t="s">
        <v>309</v>
      </c>
      <c r="D101" s="32" t="s">
        <v>310</v>
      </c>
      <c r="E101" s="33"/>
      <c r="F101" s="31" t="s">
        <v>242</v>
      </c>
      <c r="H101" s="37"/>
      <c r="I101" s="75" t="s">
        <v>40</v>
      </c>
      <c r="J101" s="75"/>
      <c r="K101" s="75" t="s">
        <v>244</v>
      </c>
      <c r="L101" s="75"/>
      <c r="M101" s="75" t="s">
        <v>311</v>
      </c>
      <c r="N101" s="75"/>
      <c r="O101" s="75"/>
      <c r="P101" s="75"/>
      <c r="U101" s="31" t="s">
        <v>54</v>
      </c>
      <c r="W101" s="137">
        <v>29.429832458496094</v>
      </c>
      <c r="X101" s="119">
        <f>1</f>
        <v>1</v>
      </c>
      <c r="Y101" s="120">
        <f t="shared" si="5"/>
        <v>29.429832458496094</v>
      </c>
      <c r="Z101" s="120" t="str">
        <f t="shared" si="8"/>
        <v/>
      </c>
      <c r="AA101" s="30"/>
    </row>
    <row r="102" spans="1:27" s="31" customFormat="1" ht="28.8">
      <c r="A102" s="31" t="s">
        <v>246</v>
      </c>
      <c r="B102" s="31" t="s">
        <v>312</v>
      </c>
      <c r="C102" s="31" t="s">
        <v>248</v>
      </c>
      <c r="D102" s="32" t="s">
        <v>249</v>
      </c>
      <c r="E102" s="33"/>
      <c r="F102" s="31" t="s">
        <v>286</v>
      </c>
      <c r="H102" s="59"/>
      <c r="I102" s="75" t="s">
        <v>53</v>
      </c>
      <c r="J102" s="75"/>
      <c r="K102" s="75"/>
      <c r="L102" s="75"/>
      <c r="M102" s="89" t="s">
        <v>313</v>
      </c>
      <c r="N102" s="75"/>
      <c r="O102" s="75"/>
      <c r="P102" s="75"/>
      <c r="U102" s="31" t="s">
        <v>54</v>
      </c>
      <c r="W102" s="137">
        <v>1.5555555820465088</v>
      </c>
      <c r="X102" s="119">
        <f>1</f>
        <v>1</v>
      </c>
      <c r="Y102" s="120">
        <f t="shared" si="5"/>
        <v>1.5555555820465088</v>
      </c>
      <c r="Z102" s="120" t="str">
        <f t="shared" si="8"/>
        <v/>
      </c>
      <c r="AA102" s="30"/>
    </row>
    <row r="103" spans="1:27" s="31" customFormat="1">
      <c r="C103" s="32"/>
      <c r="D103" s="32"/>
      <c r="E103" s="33"/>
      <c r="H103" s="37"/>
      <c r="I103" s="75"/>
      <c r="J103" s="75"/>
      <c r="K103" s="75"/>
      <c r="L103" s="75"/>
      <c r="M103" s="75"/>
      <c r="N103" s="75"/>
      <c r="O103" s="75"/>
      <c r="P103" s="75"/>
      <c r="U103" s="31" t="s">
        <v>70</v>
      </c>
      <c r="W103" s="137" t="s">
        <v>70</v>
      </c>
      <c r="X103" s="119">
        <f>1</f>
        <v>1</v>
      </c>
      <c r="Y103" s="120" t="str">
        <f t="shared" si="5"/>
        <v/>
      </c>
      <c r="Z103" s="120" t="str">
        <f t="shared" si="8"/>
        <v/>
      </c>
      <c r="AA103" s="30"/>
    </row>
    <row r="104" spans="1:27" s="31" customFormat="1" ht="28.8">
      <c r="A104" s="31" t="s">
        <v>253</v>
      </c>
      <c r="B104" s="31" t="s">
        <v>314</v>
      </c>
      <c r="C104" s="31" t="s">
        <v>255</v>
      </c>
      <c r="D104" s="32" t="s">
        <v>289</v>
      </c>
      <c r="E104" s="37"/>
      <c r="H104" s="37"/>
      <c r="I104" s="75" t="s">
        <v>40</v>
      </c>
      <c r="J104" s="75"/>
      <c r="K104" s="75"/>
      <c r="L104" s="75"/>
      <c r="M104" s="75" t="s">
        <v>311</v>
      </c>
      <c r="N104" s="75"/>
      <c r="O104" s="75"/>
      <c r="P104" s="75"/>
      <c r="U104" s="31" t="s">
        <v>54</v>
      </c>
      <c r="W104" s="137"/>
      <c r="X104" s="119"/>
      <c r="Y104" s="120"/>
      <c r="Z104" s="120"/>
      <c r="AA104" s="30"/>
    </row>
    <row r="105" spans="1:27" s="31" customFormat="1">
      <c r="A105" s="31" t="s">
        <v>257</v>
      </c>
      <c r="B105" s="31" t="s">
        <v>315</v>
      </c>
      <c r="C105" s="31" t="s">
        <v>259</v>
      </c>
      <c r="D105" s="32" t="s">
        <v>260</v>
      </c>
      <c r="E105" s="37"/>
      <c r="H105" s="37"/>
      <c r="I105" s="75" t="s">
        <v>40</v>
      </c>
      <c r="J105" s="75"/>
      <c r="K105" s="75"/>
      <c r="L105" s="75"/>
      <c r="M105" s="75" t="s">
        <v>311</v>
      </c>
      <c r="N105" s="75"/>
      <c r="O105" s="75"/>
      <c r="P105" s="75"/>
      <c r="U105" s="31" t="s">
        <v>54</v>
      </c>
      <c r="W105" s="137"/>
      <c r="X105" s="119"/>
      <c r="Y105" s="120"/>
      <c r="Z105" s="120"/>
      <c r="AA105" s="30"/>
    </row>
    <row r="106" spans="1:27" s="31" customFormat="1">
      <c r="C106" s="32"/>
      <c r="D106" s="32"/>
      <c r="E106" s="33"/>
      <c r="H106" s="59"/>
      <c r="I106" s="75"/>
      <c r="J106" s="75"/>
      <c r="K106" s="75"/>
      <c r="L106" s="75"/>
      <c r="M106" s="89"/>
      <c r="N106" s="75"/>
      <c r="O106" s="75"/>
      <c r="P106" s="75"/>
      <c r="U106" s="31" t="s">
        <v>70</v>
      </c>
      <c r="W106" s="137" t="s">
        <v>70</v>
      </c>
      <c r="X106" s="119">
        <f>1</f>
        <v>1</v>
      </c>
      <c r="Y106" s="120" t="str">
        <f t="shared" si="5"/>
        <v/>
      </c>
      <c r="Z106" s="120" t="str">
        <f t="shared" si="8"/>
        <v/>
      </c>
      <c r="AA106" s="30"/>
    </row>
    <row r="107" spans="1:27" ht="43.2">
      <c r="A107" s="34" t="s">
        <v>261</v>
      </c>
      <c r="B107" s="34" t="s">
        <v>316</v>
      </c>
      <c r="C107" s="35" t="s">
        <v>317</v>
      </c>
      <c r="D107" s="35" t="s">
        <v>318</v>
      </c>
      <c r="E107" s="53"/>
      <c r="F107" s="34"/>
      <c r="G107" s="34"/>
      <c r="H107" s="55"/>
      <c r="I107" s="76" t="s">
        <v>40</v>
      </c>
      <c r="J107" s="76"/>
      <c r="K107" s="76"/>
      <c r="L107" s="76"/>
      <c r="M107" s="76" t="s">
        <v>311</v>
      </c>
      <c r="N107" s="76"/>
      <c r="O107" s="76"/>
      <c r="P107" s="76"/>
      <c r="U107" s="21" t="s">
        <v>42</v>
      </c>
      <c r="W107" s="137">
        <v>16.348396301269531</v>
      </c>
      <c r="X107" s="119">
        <f>1</f>
        <v>1</v>
      </c>
      <c r="Y107" s="120">
        <f t="shared" si="5"/>
        <v>16.348396301269531</v>
      </c>
      <c r="Z107" s="120">
        <f t="shared" si="8"/>
        <v>16.348396301269531</v>
      </c>
    </row>
    <row r="108" spans="1:27" s="31" customFormat="1">
      <c r="C108" s="32"/>
      <c r="D108" s="23"/>
      <c r="E108" s="33"/>
      <c r="H108" s="37"/>
      <c r="I108" s="75"/>
      <c r="J108" s="75"/>
      <c r="K108" s="75"/>
      <c r="L108" s="75"/>
      <c r="M108" s="75"/>
      <c r="N108" s="75"/>
      <c r="O108" s="75"/>
      <c r="P108" s="75"/>
      <c r="U108" s="31" t="s">
        <v>70</v>
      </c>
      <c r="W108" s="137" t="s">
        <v>70</v>
      </c>
      <c r="X108" s="119">
        <f>1</f>
        <v>1</v>
      </c>
      <c r="Y108" s="120" t="str">
        <f t="shared" si="5"/>
        <v/>
      </c>
      <c r="Z108" s="120" t="str">
        <f t="shared" si="8"/>
        <v/>
      </c>
      <c r="AA108" s="30"/>
    </row>
    <row r="109" spans="1:27" ht="43.2">
      <c r="A109" s="34" t="s">
        <v>319</v>
      </c>
      <c r="B109" s="34" t="s">
        <v>320</v>
      </c>
      <c r="C109" s="35" t="s">
        <v>321</v>
      </c>
      <c r="D109" s="35" t="s">
        <v>322</v>
      </c>
      <c r="E109" s="53"/>
      <c r="F109" s="34" t="s">
        <v>323</v>
      </c>
      <c r="G109" s="34" t="s">
        <v>324</v>
      </c>
      <c r="H109" s="55"/>
      <c r="I109" s="76" t="s">
        <v>40</v>
      </c>
      <c r="J109" s="76"/>
      <c r="K109" s="76" t="s">
        <v>325</v>
      </c>
      <c r="L109" s="76"/>
      <c r="M109" s="76"/>
      <c r="N109" s="76"/>
      <c r="O109" s="76"/>
      <c r="P109" s="76"/>
      <c r="U109" s="21" t="s">
        <v>42</v>
      </c>
      <c r="W109" s="137">
        <v>46.247528076171875</v>
      </c>
      <c r="X109" s="119">
        <f>1</f>
        <v>1</v>
      </c>
      <c r="Y109" s="120">
        <f t="shared" si="5"/>
        <v>46.247528076171875</v>
      </c>
      <c r="Z109" s="120">
        <f t="shared" si="8"/>
        <v>46.247528076171875</v>
      </c>
    </row>
    <row r="110" spans="1:27">
      <c r="E110" s="42"/>
      <c r="H110" s="43"/>
      <c r="U110" s="21" t="s">
        <v>70</v>
      </c>
      <c r="W110" s="137" t="s">
        <v>70</v>
      </c>
      <c r="X110" s="119">
        <f>1</f>
        <v>1</v>
      </c>
      <c r="Y110" s="120" t="str">
        <f t="shared" si="5"/>
        <v/>
      </c>
      <c r="Z110" s="120" t="str">
        <f t="shared" si="8"/>
        <v/>
      </c>
    </row>
    <row r="111" spans="1:27" s="31" customFormat="1" ht="43.2">
      <c r="A111" s="31" t="s">
        <v>75</v>
      </c>
      <c r="B111" s="31" t="s">
        <v>326</v>
      </c>
      <c r="C111" s="32" t="s">
        <v>327</v>
      </c>
      <c r="D111" s="32" t="s">
        <v>328</v>
      </c>
      <c r="E111" s="33"/>
      <c r="F111" s="31" t="s">
        <v>329</v>
      </c>
      <c r="G111" s="31" t="s">
        <v>330</v>
      </c>
      <c r="H111" s="37"/>
      <c r="I111" s="75" t="s">
        <v>53</v>
      </c>
      <c r="J111" s="75"/>
      <c r="K111" s="81"/>
      <c r="L111" s="75"/>
      <c r="M111" s="75" t="s">
        <v>331</v>
      </c>
      <c r="N111" s="75"/>
      <c r="O111" s="75"/>
      <c r="P111" s="75"/>
      <c r="U111" s="31" t="s">
        <v>54</v>
      </c>
      <c r="W111" s="137">
        <v>26.118782043457031</v>
      </c>
      <c r="X111" s="119">
        <f>1</f>
        <v>1</v>
      </c>
      <c r="Y111" s="120">
        <f t="shared" si="5"/>
        <v>26.118782043457031</v>
      </c>
      <c r="Z111" s="120" t="str">
        <f t="shared" si="8"/>
        <v/>
      </c>
      <c r="AA111" s="30"/>
    </row>
    <row r="112" spans="1:27">
      <c r="D112" s="32"/>
      <c r="E112" s="42"/>
      <c r="H112" s="43"/>
      <c r="M112" s="86"/>
      <c r="U112" s="21" t="s">
        <v>70</v>
      </c>
      <c r="W112" s="137" t="s">
        <v>70</v>
      </c>
      <c r="X112" s="119">
        <f>1</f>
        <v>1</v>
      </c>
      <c r="Y112" s="120" t="str">
        <f t="shared" si="5"/>
        <v/>
      </c>
      <c r="Z112" s="120" t="str">
        <f t="shared" si="8"/>
        <v/>
      </c>
    </row>
    <row r="113" spans="1:27" s="31" customFormat="1" ht="43.2">
      <c r="A113" s="31" t="s">
        <v>332</v>
      </c>
      <c r="B113" s="31" t="s">
        <v>333</v>
      </c>
      <c r="C113" s="32" t="s">
        <v>334</v>
      </c>
      <c r="D113" s="32" t="s">
        <v>335</v>
      </c>
      <c r="E113" s="33"/>
      <c r="F113" s="31" t="s">
        <v>336</v>
      </c>
      <c r="H113" s="37"/>
      <c r="I113" s="75" t="s">
        <v>40</v>
      </c>
      <c r="J113" s="75"/>
      <c r="K113" s="75" t="s">
        <v>202</v>
      </c>
      <c r="L113" s="75"/>
      <c r="M113" s="75"/>
      <c r="N113" s="75"/>
      <c r="O113" s="75"/>
      <c r="P113" s="75"/>
      <c r="U113" s="31" t="s">
        <v>54</v>
      </c>
      <c r="W113" s="141">
        <v>56.471023559570313</v>
      </c>
      <c r="X113" s="148">
        <f>1</f>
        <v>1</v>
      </c>
      <c r="Y113" s="124">
        <f t="shared" si="5"/>
        <v>56.471023559570313</v>
      </c>
      <c r="Z113" s="124" t="str">
        <f t="shared" si="8"/>
        <v/>
      </c>
    </row>
    <row r="114" spans="1:27" s="31" customFormat="1">
      <c r="A114" s="31" t="s">
        <v>75</v>
      </c>
      <c r="B114" s="31" t="s">
        <v>337</v>
      </c>
      <c r="C114" s="32" t="s">
        <v>338</v>
      </c>
      <c r="D114" s="32" t="s">
        <v>339</v>
      </c>
      <c r="E114" s="33"/>
      <c r="F114" s="31" t="s">
        <v>340</v>
      </c>
      <c r="H114" s="37"/>
      <c r="I114" s="75" t="s">
        <v>40</v>
      </c>
      <c r="J114" s="75"/>
      <c r="K114" s="75"/>
      <c r="L114" s="75"/>
      <c r="M114" s="75" t="s">
        <v>341</v>
      </c>
      <c r="N114" s="75"/>
      <c r="O114" s="75"/>
      <c r="P114" s="75"/>
      <c r="U114" s="31" t="s">
        <v>54</v>
      </c>
      <c r="W114" s="141"/>
      <c r="X114" s="148">
        <f>1</f>
        <v>1</v>
      </c>
      <c r="Y114" s="124" t="str">
        <f t="shared" si="5"/>
        <v/>
      </c>
      <c r="Z114" s="124" t="str">
        <f t="shared" si="8"/>
        <v/>
      </c>
    </row>
    <row r="115" spans="1:27" s="31" customFormat="1">
      <c r="C115" s="32"/>
      <c r="D115" s="32"/>
      <c r="E115" s="33"/>
      <c r="H115" s="37"/>
      <c r="I115" s="75"/>
      <c r="J115" s="75"/>
      <c r="K115" s="81"/>
      <c r="L115" s="75"/>
      <c r="M115" s="75"/>
      <c r="N115" s="75"/>
      <c r="O115" s="75"/>
      <c r="P115" s="75"/>
      <c r="U115" s="31" t="s">
        <v>70</v>
      </c>
      <c r="W115" s="137" t="s">
        <v>70</v>
      </c>
      <c r="X115" s="119">
        <f>1</f>
        <v>1</v>
      </c>
      <c r="Y115" s="120" t="str">
        <f t="shared" si="5"/>
        <v/>
      </c>
      <c r="Z115" s="120" t="str">
        <f t="shared" si="8"/>
        <v/>
      </c>
      <c r="AA115" s="30"/>
    </row>
    <row r="116" spans="1:27" ht="15" thickBot="1">
      <c r="A116" s="51" t="s">
        <v>156</v>
      </c>
      <c r="B116" s="51"/>
      <c r="C116" s="52"/>
      <c r="D116" s="52"/>
      <c r="E116" s="46"/>
      <c r="F116" s="51"/>
      <c r="G116" s="51"/>
      <c r="H116" s="47"/>
      <c r="I116" s="85"/>
      <c r="J116" s="85"/>
      <c r="K116" s="85"/>
      <c r="L116" s="85"/>
      <c r="M116" s="85"/>
      <c r="N116" s="85"/>
      <c r="O116" s="85"/>
      <c r="P116" s="85"/>
      <c r="U116" s="21" t="s">
        <v>70</v>
      </c>
      <c r="W116" s="137" t="s">
        <v>70</v>
      </c>
      <c r="X116" s="30"/>
      <c r="Y116" s="120" t="str">
        <f t="shared" si="5"/>
        <v/>
      </c>
      <c r="Z116" s="120" t="str">
        <f t="shared" si="8"/>
        <v/>
      </c>
    </row>
    <row r="117" spans="1:27" s="27" customFormat="1" ht="15" thickTop="1">
      <c r="A117" s="24" t="s">
        <v>71</v>
      </c>
      <c r="B117" s="24" t="s">
        <v>342</v>
      </c>
      <c r="C117" s="48" t="s">
        <v>343</v>
      </c>
      <c r="D117" s="48" t="s">
        <v>344</v>
      </c>
      <c r="E117" s="25"/>
      <c r="F117" s="24"/>
      <c r="G117" s="24"/>
      <c r="H117" s="26"/>
      <c r="I117" s="79" t="s">
        <v>53</v>
      </c>
      <c r="J117" s="79"/>
      <c r="K117" s="79"/>
      <c r="L117" s="79"/>
      <c r="M117" s="80" t="s">
        <v>345</v>
      </c>
      <c r="N117" s="79"/>
      <c r="O117" s="79"/>
      <c r="P117" s="79"/>
      <c r="U117" s="21" t="s">
        <v>42</v>
      </c>
      <c r="W117" s="137"/>
      <c r="X117" s="28"/>
      <c r="Y117" s="120" t="str">
        <f t="shared" si="5"/>
        <v/>
      </c>
      <c r="Z117" s="120" t="str">
        <f t="shared" si="8"/>
        <v/>
      </c>
      <c r="AA117" s="28"/>
    </row>
    <row r="118" spans="1:27" s="22" customFormat="1" ht="64.05" customHeight="1">
      <c r="A118" s="20" t="s">
        <v>47</v>
      </c>
      <c r="B118" s="20" t="s">
        <v>346</v>
      </c>
      <c r="C118" s="20" t="s">
        <v>347</v>
      </c>
      <c r="D118" s="20" t="s">
        <v>348</v>
      </c>
      <c r="E118" s="42"/>
      <c r="F118" s="20"/>
      <c r="G118" s="20"/>
      <c r="H118" s="42"/>
      <c r="I118" s="19"/>
      <c r="J118" s="19"/>
      <c r="K118" s="19"/>
      <c r="L118" s="19"/>
      <c r="M118" s="19"/>
      <c r="N118" s="19"/>
      <c r="O118" s="19"/>
      <c r="P118" s="19"/>
      <c r="U118" s="22" t="s">
        <v>42</v>
      </c>
      <c r="W118" s="140">
        <v>7.5</v>
      </c>
      <c r="X118" s="122">
        <f>'Additional information'!$D$18</f>
        <v>0.91</v>
      </c>
      <c r="Y118" s="121">
        <f t="shared" si="5"/>
        <v>6.8250000000000002</v>
      </c>
      <c r="Z118" s="121">
        <f t="shared" si="8"/>
        <v>6.8250000000000002</v>
      </c>
      <c r="AA118" s="23"/>
    </row>
    <row r="119" spans="1:27">
      <c r="E119" s="42"/>
      <c r="H119" s="43"/>
      <c r="U119" s="21" t="s">
        <v>70</v>
      </c>
      <c r="W119" s="137" t="s">
        <v>70</v>
      </c>
      <c r="X119" s="119">
        <f>'Additional information'!$D$18</f>
        <v>0.91</v>
      </c>
      <c r="Y119" s="120" t="str">
        <f t="shared" si="5"/>
        <v/>
      </c>
      <c r="Z119" s="120" t="str">
        <f t="shared" si="8"/>
        <v/>
      </c>
    </row>
    <row r="120" spans="1:27" s="30" customFormat="1">
      <c r="A120" s="34" t="s">
        <v>238</v>
      </c>
      <c r="B120" s="34" t="s">
        <v>349</v>
      </c>
      <c r="C120" s="35" t="s">
        <v>350</v>
      </c>
      <c r="D120" s="20" t="s">
        <v>351</v>
      </c>
      <c r="E120" s="53"/>
      <c r="F120" s="34" t="s">
        <v>352</v>
      </c>
      <c r="G120" s="34" t="s">
        <v>353</v>
      </c>
      <c r="H120" s="55"/>
      <c r="I120" s="76" t="s">
        <v>40</v>
      </c>
      <c r="J120" s="76"/>
      <c r="K120" s="76" t="s">
        <v>354</v>
      </c>
      <c r="L120" s="76"/>
      <c r="M120" s="76"/>
      <c r="N120" s="76"/>
      <c r="O120" s="76"/>
      <c r="P120" s="76"/>
      <c r="U120" s="30" t="s">
        <v>42</v>
      </c>
      <c r="W120" s="137">
        <v>17</v>
      </c>
      <c r="X120" s="119">
        <f>'Additional information'!$D$18</f>
        <v>0.91</v>
      </c>
      <c r="Y120" s="120">
        <f t="shared" si="5"/>
        <v>15.47</v>
      </c>
      <c r="Z120" s="120">
        <f t="shared" ref="Z120:Z150" si="11">IF(AND(W120&lt;&gt;"",U120="yes"),W120*X120,"")</f>
        <v>15.47</v>
      </c>
    </row>
    <row r="121" spans="1:27" s="30" customFormat="1">
      <c r="A121" s="34" t="s">
        <v>355</v>
      </c>
      <c r="B121" s="34" t="s">
        <v>356</v>
      </c>
      <c r="C121" s="35" t="s">
        <v>357</v>
      </c>
      <c r="D121" s="20" t="s">
        <v>358</v>
      </c>
      <c r="E121" s="53"/>
      <c r="F121" s="34" t="s">
        <v>359</v>
      </c>
      <c r="G121" s="157" t="s">
        <v>360</v>
      </c>
      <c r="H121" s="55"/>
      <c r="I121" s="76" t="s">
        <v>40</v>
      </c>
      <c r="J121" s="76"/>
      <c r="K121" s="76"/>
      <c r="L121" s="76"/>
      <c r="M121" s="76" t="s">
        <v>361</v>
      </c>
      <c r="N121" s="76"/>
      <c r="O121" s="76"/>
      <c r="P121" s="76"/>
      <c r="U121" s="30" t="s">
        <v>42</v>
      </c>
      <c r="W121" s="137">
        <v>0</v>
      </c>
      <c r="X121" s="119">
        <f>'Additional information'!$D$18</f>
        <v>0.91</v>
      </c>
      <c r="Y121" s="120">
        <f t="shared" si="5"/>
        <v>0</v>
      </c>
      <c r="Z121" s="120">
        <f t="shared" si="11"/>
        <v>0</v>
      </c>
    </row>
    <row r="122" spans="1:27" s="27" customFormat="1">
      <c r="C122" s="49"/>
      <c r="D122" s="22"/>
      <c r="E122" s="25"/>
      <c r="H122" s="26"/>
      <c r="I122" s="80"/>
      <c r="J122" s="80"/>
      <c r="K122" s="80"/>
      <c r="L122" s="80"/>
      <c r="M122" s="80"/>
      <c r="N122" s="80"/>
      <c r="O122" s="80"/>
      <c r="P122" s="80"/>
      <c r="U122" s="21" t="s">
        <v>70</v>
      </c>
      <c r="W122" s="137" t="s">
        <v>70</v>
      </c>
      <c r="X122" s="119">
        <f>'Additional information'!$D$18</f>
        <v>0.91</v>
      </c>
      <c r="Y122" s="120" t="str">
        <f t="shared" si="5"/>
        <v/>
      </c>
      <c r="Z122" s="120" t="str">
        <f t="shared" si="11"/>
        <v/>
      </c>
      <c r="AA122" s="28"/>
    </row>
    <row r="123" spans="1:27" ht="28.8">
      <c r="A123" s="29" t="s">
        <v>362</v>
      </c>
      <c r="B123" s="29" t="s">
        <v>363</v>
      </c>
      <c r="C123" s="20" t="s">
        <v>364</v>
      </c>
      <c r="D123" s="20" t="s">
        <v>365</v>
      </c>
      <c r="E123" s="42"/>
      <c r="F123" s="29" t="s">
        <v>366</v>
      </c>
      <c r="G123" s="29" t="s">
        <v>367</v>
      </c>
      <c r="H123" s="43"/>
      <c r="I123" s="74" t="s">
        <v>40</v>
      </c>
      <c r="J123" s="74" t="s">
        <v>129</v>
      </c>
      <c r="K123" s="74"/>
      <c r="L123" s="74"/>
      <c r="M123" s="74"/>
      <c r="N123" s="74"/>
      <c r="O123" s="74"/>
      <c r="P123" s="74"/>
      <c r="U123" s="21" t="s">
        <v>42</v>
      </c>
      <c r="W123" s="137">
        <v>27.057552337646484</v>
      </c>
      <c r="X123" s="119">
        <f>'Additional information'!$D$18</f>
        <v>0.91</v>
      </c>
      <c r="Y123" s="120">
        <f t="shared" si="5"/>
        <v>24.622372627258301</v>
      </c>
      <c r="Z123" s="120">
        <f t="shared" si="11"/>
        <v>24.622372627258301</v>
      </c>
    </row>
    <row r="124" spans="1:27">
      <c r="A124" s="29" t="s">
        <v>26</v>
      </c>
      <c r="B124" s="29" t="s">
        <v>368</v>
      </c>
      <c r="C124" s="20"/>
      <c r="D124" s="20"/>
      <c r="E124" s="42"/>
      <c r="H124" s="43"/>
      <c r="I124" s="74"/>
      <c r="J124" s="74"/>
      <c r="K124" s="74"/>
      <c r="L124" s="74"/>
      <c r="M124" s="74"/>
      <c r="N124" s="74"/>
      <c r="O124" s="74"/>
      <c r="P124" s="74" t="s">
        <v>369</v>
      </c>
      <c r="U124" s="21" t="s">
        <v>42</v>
      </c>
      <c r="W124" s="137"/>
      <c r="X124" s="119">
        <f>'Additional information'!$D$18</f>
        <v>0.91</v>
      </c>
      <c r="Y124" s="120" t="str">
        <f t="shared" si="5"/>
        <v/>
      </c>
      <c r="Z124" s="120" t="str">
        <f t="shared" si="11"/>
        <v/>
      </c>
    </row>
    <row r="125" spans="1:27">
      <c r="A125" s="29" t="s">
        <v>370</v>
      </c>
      <c r="B125" s="29" t="s">
        <v>371</v>
      </c>
      <c r="C125" s="20" t="s">
        <v>372</v>
      </c>
      <c r="D125" s="20" t="s">
        <v>373</v>
      </c>
      <c r="E125" s="42"/>
      <c r="H125" s="43"/>
      <c r="I125" s="74" t="s">
        <v>40</v>
      </c>
      <c r="J125" s="74"/>
      <c r="K125" s="74"/>
      <c r="L125" s="74"/>
      <c r="M125" s="74" t="s">
        <v>374</v>
      </c>
      <c r="N125" s="74"/>
      <c r="O125" s="74"/>
      <c r="P125" s="74"/>
      <c r="U125" s="21" t="s">
        <v>42</v>
      </c>
      <c r="W125" s="137">
        <v>0</v>
      </c>
      <c r="X125" s="119">
        <f>'Additional information'!$D$18</f>
        <v>0.91</v>
      </c>
      <c r="Y125" s="120">
        <f t="shared" si="5"/>
        <v>0</v>
      </c>
      <c r="Z125" s="120">
        <f t="shared" si="11"/>
        <v>0</v>
      </c>
    </row>
    <row r="126" spans="1:27" s="30" customFormat="1">
      <c r="C126" s="23"/>
      <c r="D126" s="22"/>
      <c r="E126" s="53"/>
      <c r="H126" s="55"/>
      <c r="I126" s="86"/>
      <c r="J126" s="86"/>
      <c r="K126" s="86"/>
      <c r="L126" s="86"/>
      <c r="M126" s="86"/>
      <c r="N126" s="86"/>
      <c r="O126" s="86"/>
      <c r="P126" s="86"/>
      <c r="U126" s="30" t="s">
        <v>70</v>
      </c>
      <c r="W126" s="137" t="s">
        <v>70</v>
      </c>
      <c r="X126" s="119">
        <f>'Additional information'!$D$18</f>
        <v>0.91</v>
      </c>
      <c r="Y126" s="120" t="str">
        <f t="shared" si="5"/>
        <v/>
      </c>
      <c r="Z126" s="120" t="str">
        <f t="shared" si="11"/>
        <v/>
      </c>
    </row>
    <row r="127" spans="1:27" ht="31.8" customHeight="1">
      <c r="A127" s="29" t="s">
        <v>375</v>
      </c>
      <c r="B127" s="29" t="s">
        <v>376</v>
      </c>
      <c r="C127" s="29" t="s">
        <v>377</v>
      </c>
      <c r="D127" s="35" t="s">
        <v>378</v>
      </c>
      <c r="E127" s="43"/>
      <c r="H127" s="43"/>
      <c r="I127" s="74" t="s">
        <v>40</v>
      </c>
      <c r="J127" s="74"/>
      <c r="K127" s="74"/>
      <c r="L127" s="74"/>
      <c r="M127" s="74" t="s">
        <v>379</v>
      </c>
      <c r="N127" s="74"/>
      <c r="O127" s="74"/>
      <c r="P127" s="74"/>
      <c r="U127" s="21" t="s">
        <v>42</v>
      </c>
      <c r="W127" s="137">
        <v>15.95429515838623</v>
      </c>
      <c r="X127" s="119">
        <f>'Additional information'!$D$18</f>
        <v>0.91</v>
      </c>
      <c r="Y127" s="120">
        <f t="shared" si="5"/>
        <v>14.51840859413147</v>
      </c>
      <c r="Z127" s="120">
        <f t="shared" si="11"/>
        <v>14.51840859413147</v>
      </c>
    </row>
    <row r="128" spans="1:27" ht="15.75" customHeight="1">
      <c r="A128" s="29" t="s">
        <v>75</v>
      </c>
      <c r="B128" s="29" t="s">
        <v>380</v>
      </c>
      <c r="C128" s="35" t="s">
        <v>338</v>
      </c>
      <c r="D128" s="35" t="s">
        <v>381</v>
      </c>
      <c r="E128" s="53"/>
      <c r="F128" s="30" t="s">
        <v>340</v>
      </c>
      <c r="G128" s="30"/>
      <c r="H128" s="43"/>
      <c r="I128" s="74" t="s">
        <v>40</v>
      </c>
      <c r="J128" s="74"/>
      <c r="K128" s="74"/>
      <c r="L128" s="74"/>
      <c r="M128" s="74" t="s">
        <v>382</v>
      </c>
      <c r="N128" s="74"/>
      <c r="O128" s="74"/>
      <c r="P128" s="74"/>
      <c r="U128" s="21" t="s">
        <v>42</v>
      </c>
      <c r="W128" s="137"/>
      <c r="X128" s="119">
        <f>'Additional information'!$D$18</f>
        <v>0.91</v>
      </c>
      <c r="Y128" s="120" t="str">
        <f t="shared" si="5"/>
        <v/>
      </c>
      <c r="Z128" s="120" t="str">
        <f t="shared" si="11"/>
        <v/>
      </c>
    </row>
    <row r="129" spans="1:27" s="31" customFormat="1" ht="15.75" customHeight="1">
      <c r="C129" s="32"/>
      <c r="D129" s="32"/>
      <c r="E129" s="33"/>
      <c r="H129" s="37"/>
      <c r="I129" s="75"/>
      <c r="J129" s="75"/>
      <c r="K129" s="75"/>
      <c r="L129" s="75"/>
      <c r="M129" s="75"/>
      <c r="N129" s="75"/>
      <c r="O129" s="75"/>
      <c r="P129" s="75"/>
      <c r="U129" s="31" t="s">
        <v>70</v>
      </c>
      <c r="W129" s="137" t="s">
        <v>70</v>
      </c>
      <c r="X129" s="119">
        <f>'Additional information'!$D$18</f>
        <v>0.91</v>
      </c>
      <c r="Y129" s="120" t="str">
        <f t="shared" si="5"/>
        <v/>
      </c>
      <c r="Z129" s="120" t="str">
        <f t="shared" si="11"/>
        <v/>
      </c>
      <c r="AA129" s="30"/>
    </row>
    <row r="130" spans="1:27" s="31" customFormat="1" ht="15.75" customHeight="1">
      <c r="A130" s="31" t="s">
        <v>383</v>
      </c>
      <c r="B130" s="31" t="s">
        <v>384</v>
      </c>
      <c r="C130" s="32" t="s">
        <v>385</v>
      </c>
      <c r="D130" s="32" t="s">
        <v>386</v>
      </c>
      <c r="E130" s="33"/>
      <c r="H130" s="37"/>
      <c r="I130" s="75"/>
      <c r="J130" s="75"/>
      <c r="K130" s="75"/>
      <c r="L130" s="75"/>
      <c r="M130" s="75" t="s">
        <v>387</v>
      </c>
      <c r="N130" s="75"/>
      <c r="O130" s="75"/>
      <c r="P130" s="75"/>
      <c r="U130" s="31" t="s">
        <v>54</v>
      </c>
      <c r="W130" s="137"/>
      <c r="X130" s="119"/>
      <c r="Y130" s="120"/>
      <c r="Z130" s="120"/>
      <c r="AA130" s="30"/>
    </row>
    <row r="131" spans="1:27" s="31" customFormat="1" ht="15.75" customHeight="1">
      <c r="A131" s="31" t="s">
        <v>150</v>
      </c>
      <c r="B131" s="31" t="s">
        <v>388</v>
      </c>
      <c r="C131" s="32" t="s">
        <v>389</v>
      </c>
      <c r="D131" s="32" t="s">
        <v>390</v>
      </c>
      <c r="E131" s="33"/>
      <c r="H131" s="37"/>
      <c r="I131" s="75"/>
      <c r="J131" s="75"/>
      <c r="K131" s="75"/>
      <c r="L131" s="75"/>
      <c r="M131" s="75" t="s">
        <v>387</v>
      </c>
      <c r="N131" s="75"/>
      <c r="O131" s="75"/>
      <c r="P131" s="75"/>
      <c r="U131" s="31" t="s">
        <v>54</v>
      </c>
      <c r="W131" s="137"/>
      <c r="X131" s="119"/>
      <c r="Y131" s="120"/>
      <c r="Z131" s="120"/>
      <c r="AA131" s="30"/>
    </row>
    <row r="132" spans="1:27" s="31" customFormat="1">
      <c r="A132" s="31" t="s">
        <v>391</v>
      </c>
      <c r="B132" s="31" t="s">
        <v>392</v>
      </c>
      <c r="C132" s="32" t="s">
        <v>393</v>
      </c>
      <c r="D132" s="32" t="s">
        <v>394</v>
      </c>
      <c r="E132" s="33"/>
      <c r="F132" s="31" t="s">
        <v>336</v>
      </c>
      <c r="G132" s="31" t="s">
        <v>395</v>
      </c>
      <c r="H132" s="37"/>
      <c r="I132" s="75" t="s">
        <v>40</v>
      </c>
      <c r="J132" s="75"/>
      <c r="K132" s="75" t="s">
        <v>396</v>
      </c>
      <c r="L132" s="75"/>
      <c r="M132" s="75" t="s">
        <v>379</v>
      </c>
      <c r="N132" s="75"/>
      <c r="O132" s="75"/>
      <c r="P132" s="75"/>
      <c r="U132" s="31" t="s">
        <v>54</v>
      </c>
      <c r="W132" s="137">
        <v>17.928909301757813</v>
      </c>
      <c r="X132" s="119">
        <f>'Additional information'!$D$18</f>
        <v>0.91</v>
      </c>
      <c r="Y132" s="120">
        <f t="shared" si="5"/>
        <v>16.315307464599609</v>
      </c>
      <c r="Z132" s="120" t="str">
        <f t="shared" si="11"/>
        <v/>
      </c>
      <c r="AA132" s="30"/>
    </row>
    <row r="133" spans="1:27" s="31" customFormat="1">
      <c r="C133" s="32"/>
      <c r="D133" s="271"/>
      <c r="E133" s="33"/>
      <c r="G133" s="21"/>
      <c r="H133" s="37"/>
      <c r="I133" s="75"/>
      <c r="J133" s="75"/>
      <c r="K133" s="75"/>
      <c r="L133" s="75"/>
      <c r="M133" s="75"/>
      <c r="N133" s="75"/>
      <c r="O133" s="75"/>
      <c r="P133" s="75"/>
      <c r="U133" s="31" t="s">
        <v>70</v>
      </c>
      <c r="W133" s="137" t="s">
        <v>70</v>
      </c>
      <c r="X133" s="119">
        <f>'Additional information'!$D$18</f>
        <v>0.91</v>
      </c>
      <c r="Y133" s="120" t="str">
        <f t="shared" si="5"/>
        <v/>
      </c>
      <c r="Z133" s="120" t="str">
        <f t="shared" si="11"/>
        <v/>
      </c>
      <c r="AA133" s="30"/>
    </row>
    <row r="134" spans="1:27" ht="28.8">
      <c r="A134" s="29" t="s">
        <v>261</v>
      </c>
      <c r="B134" s="29" t="s">
        <v>397</v>
      </c>
      <c r="C134" s="20" t="s">
        <v>398</v>
      </c>
      <c r="D134" s="20" t="s">
        <v>399</v>
      </c>
      <c r="E134" s="42"/>
      <c r="F134" s="29"/>
      <c r="G134" s="29"/>
      <c r="H134" s="43"/>
      <c r="I134" s="74" t="s">
        <v>40</v>
      </c>
      <c r="J134" s="74"/>
      <c r="K134" s="74"/>
      <c r="L134" s="74"/>
      <c r="M134" s="76" t="s">
        <v>379</v>
      </c>
      <c r="N134" s="74"/>
      <c r="O134" s="74"/>
      <c r="P134" s="74"/>
      <c r="U134" s="21" t="s">
        <v>42</v>
      </c>
      <c r="W134" s="137">
        <v>25.436874389648438</v>
      </c>
      <c r="X134" s="119">
        <f>'Additional information'!$D$18</f>
        <v>0.91</v>
      </c>
      <c r="Y134" s="120">
        <f t="shared" si="5"/>
        <v>23.147555694580078</v>
      </c>
      <c r="Z134" s="120">
        <f t="shared" si="11"/>
        <v>23.147555694580078</v>
      </c>
    </row>
    <row r="135" spans="1:27">
      <c r="E135" s="42"/>
      <c r="H135" s="43"/>
      <c r="M135" s="86"/>
      <c r="U135" s="21" t="s">
        <v>70</v>
      </c>
      <c r="W135" s="137" t="s">
        <v>70</v>
      </c>
      <c r="X135" s="119">
        <f>'Additional information'!$D$18</f>
        <v>0.91</v>
      </c>
      <c r="Y135" s="120" t="str">
        <f t="shared" si="5"/>
        <v/>
      </c>
      <c r="Z135" s="120" t="str">
        <f t="shared" si="11"/>
        <v/>
      </c>
    </row>
    <row r="136" spans="1:27" ht="28.8">
      <c r="A136" s="29" t="s">
        <v>261</v>
      </c>
      <c r="B136" s="29" t="s">
        <v>400</v>
      </c>
      <c r="C136" s="20" t="s">
        <v>401</v>
      </c>
      <c r="D136" s="20" t="s">
        <v>402</v>
      </c>
      <c r="E136" s="42"/>
      <c r="G136" s="31"/>
      <c r="H136" s="43"/>
      <c r="I136" s="74" t="s">
        <v>40</v>
      </c>
      <c r="J136" s="74"/>
      <c r="K136" s="74"/>
      <c r="L136" s="74"/>
      <c r="M136" s="76" t="s">
        <v>379</v>
      </c>
      <c r="N136" s="74"/>
      <c r="O136" s="74"/>
      <c r="P136" s="74"/>
      <c r="U136" s="21" t="s">
        <v>42</v>
      </c>
      <c r="W136" s="137">
        <v>19.364946365356445</v>
      </c>
      <c r="X136" s="119">
        <f>'Additional information'!$D$18</f>
        <v>0.91</v>
      </c>
      <c r="Y136" s="120">
        <f t="shared" si="5"/>
        <v>17.622101192474364</v>
      </c>
      <c r="Z136" s="120">
        <f t="shared" si="11"/>
        <v>17.622101192474364</v>
      </c>
    </row>
    <row r="137" spans="1:27" s="31" customFormat="1">
      <c r="A137" s="31" t="s">
        <v>238</v>
      </c>
      <c r="B137" s="31" t="s">
        <v>403</v>
      </c>
      <c r="C137" s="32" t="s">
        <v>404</v>
      </c>
      <c r="D137" s="32" t="s">
        <v>405</v>
      </c>
      <c r="E137" s="33"/>
      <c r="F137" s="31" t="s">
        <v>406</v>
      </c>
      <c r="G137" s="31" t="s">
        <v>407</v>
      </c>
      <c r="H137" s="37"/>
      <c r="I137" s="75" t="s">
        <v>40</v>
      </c>
      <c r="J137" s="86"/>
      <c r="K137" s="89" t="s">
        <v>354</v>
      </c>
      <c r="L137" s="75"/>
      <c r="M137" s="75" t="s">
        <v>379</v>
      </c>
      <c r="N137" s="75"/>
      <c r="O137" s="75"/>
      <c r="P137" s="75"/>
      <c r="U137" s="31" t="s">
        <v>54</v>
      </c>
      <c r="W137" s="137">
        <v>17</v>
      </c>
      <c r="X137" s="119">
        <f>'Additional information'!$D$18</f>
        <v>0.91</v>
      </c>
      <c r="Y137" s="120">
        <f t="shared" si="5"/>
        <v>15.47</v>
      </c>
      <c r="Z137" s="120" t="str">
        <f t="shared" si="11"/>
        <v/>
      </c>
      <c r="AA137" s="30"/>
    </row>
    <row r="138" spans="1:27" s="31" customFormat="1">
      <c r="A138" s="31" t="s">
        <v>408</v>
      </c>
      <c r="B138" s="31" t="s">
        <v>409</v>
      </c>
      <c r="C138" s="32" t="s">
        <v>410</v>
      </c>
      <c r="D138" s="32" t="s">
        <v>411</v>
      </c>
      <c r="E138" s="33"/>
      <c r="H138" s="37"/>
      <c r="I138" s="75" t="s">
        <v>40</v>
      </c>
      <c r="J138" s="86"/>
      <c r="K138" s="75"/>
      <c r="L138" s="75"/>
      <c r="M138" s="75" t="s">
        <v>412</v>
      </c>
      <c r="N138" s="75"/>
      <c r="O138" s="75"/>
      <c r="P138" s="75"/>
      <c r="U138" s="31" t="s">
        <v>54</v>
      </c>
      <c r="W138" s="137">
        <v>17</v>
      </c>
      <c r="X138" s="119">
        <f>'Additional information'!$D$18</f>
        <v>0.91</v>
      </c>
      <c r="Y138" s="120">
        <f t="shared" si="5"/>
        <v>15.47</v>
      </c>
      <c r="Z138" s="120" t="str">
        <f t="shared" si="11"/>
        <v/>
      </c>
      <c r="AA138" s="30"/>
    </row>
    <row r="139" spans="1:27" s="31" customFormat="1">
      <c r="A139" s="31" t="s">
        <v>26</v>
      </c>
      <c r="B139" s="31" t="s">
        <v>413</v>
      </c>
      <c r="C139" s="32"/>
      <c r="D139" s="32"/>
      <c r="E139" s="33"/>
      <c r="H139" s="37"/>
      <c r="I139" s="75"/>
      <c r="J139" s="75"/>
      <c r="K139" s="75"/>
      <c r="L139" s="75"/>
      <c r="M139" s="75"/>
      <c r="N139" s="75"/>
      <c r="O139" s="75"/>
      <c r="P139" s="75" t="s">
        <v>414</v>
      </c>
      <c r="U139" s="31" t="s">
        <v>54</v>
      </c>
      <c r="W139" s="137"/>
      <c r="X139" s="119">
        <f>'Additional information'!$D$18</f>
        <v>0.91</v>
      </c>
      <c r="Y139" s="120" t="str">
        <f t="shared" si="5"/>
        <v/>
      </c>
      <c r="Z139" s="120" t="str">
        <f t="shared" si="11"/>
        <v/>
      </c>
      <c r="AA139" s="30"/>
    </row>
    <row r="140" spans="1:27" s="31" customFormat="1">
      <c r="A140" s="31" t="s">
        <v>238</v>
      </c>
      <c r="B140" s="31" t="s">
        <v>415</v>
      </c>
      <c r="C140" s="32" t="s">
        <v>416</v>
      </c>
      <c r="D140" s="32" t="s">
        <v>417</v>
      </c>
      <c r="E140" s="33"/>
      <c r="F140" s="31" t="s">
        <v>418</v>
      </c>
      <c r="G140" s="31" t="s">
        <v>419</v>
      </c>
      <c r="H140" s="37"/>
      <c r="I140" s="75" t="s">
        <v>40</v>
      </c>
      <c r="J140" s="86"/>
      <c r="K140" s="75"/>
      <c r="L140" s="75"/>
      <c r="M140" s="75" t="s">
        <v>420</v>
      </c>
      <c r="N140" s="75"/>
      <c r="O140" s="75"/>
      <c r="P140" s="75"/>
      <c r="U140" s="31" t="s">
        <v>54</v>
      </c>
      <c r="W140" s="137">
        <v>17</v>
      </c>
      <c r="X140" s="119">
        <f>'Additional information'!$D$18</f>
        <v>0.91</v>
      </c>
      <c r="Y140" s="120">
        <f t="shared" ref="Y140:Y207" si="12">IF(W140&lt;&gt;"",W140*X140,"")</f>
        <v>15.47</v>
      </c>
      <c r="Z140" s="120" t="str">
        <f t="shared" si="11"/>
        <v/>
      </c>
      <c r="AA140" s="30"/>
    </row>
    <row r="141" spans="1:27" s="31" customFormat="1" ht="28.8">
      <c r="A141" s="31" t="s">
        <v>86</v>
      </c>
      <c r="B141" s="31" t="s">
        <v>421</v>
      </c>
      <c r="C141" s="32" t="s">
        <v>422</v>
      </c>
      <c r="D141" s="32" t="s">
        <v>423</v>
      </c>
      <c r="E141" s="33"/>
      <c r="F141" s="31" t="s">
        <v>418</v>
      </c>
      <c r="G141" s="31" t="s">
        <v>419</v>
      </c>
      <c r="H141" s="37"/>
      <c r="I141" s="75" t="s">
        <v>40</v>
      </c>
      <c r="J141" s="86"/>
      <c r="K141" s="89" t="s">
        <v>354</v>
      </c>
      <c r="L141" s="75"/>
      <c r="M141" s="75" t="s">
        <v>424</v>
      </c>
      <c r="N141" s="75"/>
      <c r="O141" s="75"/>
      <c r="P141" s="75"/>
      <c r="U141" s="31" t="s">
        <v>54</v>
      </c>
      <c r="W141" s="137">
        <v>17</v>
      </c>
      <c r="X141" s="119">
        <f>'Additional information'!$D$18</f>
        <v>0.91</v>
      </c>
      <c r="Y141" s="120">
        <f t="shared" si="12"/>
        <v>15.47</v>
      </c>
      <c r="Z141" s="120" t="str">
        <f t="shared" si="11"/>
        <v/>
      </c>
      <c r="AA141" s="30"/>
    </row>
    <row r="142" spans="1:27" s="31" customFormat="1">
      <c r="C142" s="32"/>
      <c r="D142" s="22"/>
      <c r="E142" s="33"/>
      <c r="G142" s="21"/>
      <c r="H142" s="37"/>
      <c r="I142" s="75"/>
      <c r="J142" s="75"/>
      <c r="K142" s="75"/>
      <c r="L142" s="75"/>
      <c r="M142" s="75"/>
      <c r="N142" s="75"/>
      <c r="O142" s="75"/>
      <c r="P142" s="75"/>
      <c r="U142" s="31" t="s">
        <v>70</v>
      </c>
      <c r="W142" s="137" t="s">
        <v>70</v>
      </c>
      <c r="X142" s="119">
        <f>'Additional information'!$D$18</f>
        <v>0.91</v>
      </c>
      <c r="Y142" s="120" t="str">
        <f t="shared" si="12"/>
        <v/>
      </c>
      <c r="Z142" s="120" t="str">
        <f t="shared" si="11"/>
        <v/>
      </c>
      <c r="AA142" s="30"/>
    </row>
    <row r="143" spans="1:27" ht="28.8">
      <c r="A143" s="29" t="s">
        <v>150</v>
      </c>
      <c r="B143" s="29" t="s">
        <v>425</v>
      </c>
      <c r="C143" s="20" t="s">
        <v>426</v>
      </c>
      <c r="D143" s="20" t="s">
        <v>427</v>
      </c>
      <c r="E143" s="42"/>
      <c r="H143" s="43"/>
      <c r="I143" s="74" t="s">
        <v>40</v>
      </c>
      <c r="J143" s="74"/>
      <c r="K143" s="74"/>
      <c r="L143" s="74"/>
      <c r="M143" s="76" t="s">
        <v>428</v>
      </c>
      <c r="N143" s="74"/>
      <c r="O143" s="74"/>
      <c r="P143" s="74"/>
      <c r="U143" s="21" t="s">
        <v>42</v>
      </c>
      <c r="W143" s="137">
        <v>13.458864212036133</v>
      </c>
      <c r="X143" s="119">
        <f>'Additional information'!$D$18</f>
        <v>0.91</v>
      </c>
      <c r="Y143" s="120">
        <f t="shared" si="12"/>
        <v>12.247566432952881</v>
      </c>
      <c r="Z143" s="120">
        <f t="shared" si="11"/>
        <v>12.247566432952881</v>
      </c>
    </row>
    <row r="144" spans="1:27" ht="28.8">
      <c r="A144" s="29" t="s">
        <v>429</v>
      </c>
      <c r="B144" s="29" t="s">
        <v>430</v>
      </c>
      <c r="C144" s="20" t="s">
        <v>431</v>
      </c>
      <c r="D144" s="20" t="s">
        <v>432</v>
      </c>
      <c r="E144" s="42"/>
      <c r="F144" s="21" t="s">
        <v>433</v>
      </c>
      <c r="G144" s="21" t="s">
        <v>434</v>
      </c>
      <c r="H144" s="43"/>
      <c r="I144" s="74" t="s">
        <v>40</v>
      </c>
      <c r="J144" s="74"/>
      <c r="K144" s="76" t="s">
        <v>396</v>
      </c>
      <c r="L144" s="74"/>
      <c r="M144" s="76" t="s">
        <v>435</v>
      </c>
      <c r="N144" s="74"/>
      <c r="O144" s="74"/>
      <c r="P144" s="74"/>
      <c r="U144" s="21" t="s">
        <v>42</v>
      </c>
      <c r="W144" s="137">
        <v>37.523288726806641</v>
      </c>
      <c r="X144" s="119">
        <f>'Additional information'!$D$18</f>
        <v>0.91</v>
      </c>
      <c r="Y144" s="120">
        <f t="shared" si="12"/>
        <v>34.146192741394046</v>
      </c>
      <c r="Z144" s="120">
        <f t="shared" si="11"/>
        <v>34.146192741394046</v>
      </c>
    </row>
    <row r="145" spans="1:27">
      <c r="E145" s="42"/>
      <c r="G145" s="31"/>
      <c r="H145" s="43"/>
      <c r="M145" s="86"/>
      <c r="U145" s="21" t="s">
        <v>70</v>
      </c>
      <c r="W145" s="137" t="s">
        <v>70</v>
      </c>
      <c r="X145" s="119">
        <f>'Additional information'!$D$18</f>
        <v>0.91</v>
      </c>
      <c r="Y145" s="120" t="str">
        <f t="shared" si="12"/>
        <v/>
      </c>
      <c r="Z145" s="120" t="str">
        <f t="shared" si="11"/>
        <v/>
      </c>
    </row>
    <row r="146" spans="1:27" s="31" customFormat="1" ht="28.8">
      <c r="A146" s="31" t="s">
        <v>436</v>
      </c>
      <c r="B146" s="31" t="s">
        <v>437</v>
      </c>
      <c r="C146" s="32" t="s">
        <v>438</v>
      </c>
      <c r="D146" s="32" t="s">
        <v>439</v>
      </c>
      <c r="E146" s="33"/>
      <c r="H146" s="37"/>
      <c r="I146" s="75" t="s">
        <v>40</v>
      </c>
      <c r="J146" s="75"/>
      <c r="K146" s="75"/>
      <c r="L146" s="75"/>
      <c r="M146" s="75" t="s">
        <v>440</v>
      </c>
      <c r="N146" s="75"/>
      <c r="O146" s="75"/>
      <c r="P146" s="75"/>
      <c r="U146" s="31" t="s">
        <v>54</v>
      </c>
      <c r="W146" s="137">
        <v>17</v>
      </c>
      <c r="X146" s="119">
        <f>'Additional information'!$D$18</f>
        <v>0.91</v>
      </c>
      <c r="Y146" s="120">
        <f t="shared" si="12"/>
        <v>15.47</v>
      </c>
      <c r="Z146" s="120" t="str">
        <f t="shared" si="11"/>
        <v/>
      </c>
      <c r="AA146" s="30"/>
    </row>
    <row r="147" spans="1:27" s="31" customFormat="1" ht="28.8">
      <c r="A147" s="31" t="s">
        <v>441</v>
      </c>
      <c r="B147" s="31" t="s">
        <v>442</v>
      </c>
      <c r="C147" s="32" t="s">
        <v>443</v>
      </c>
      <c r="D147" s="32" t="s">
        <v>444</v>
      </c>
      <c r="E147" s="33"/>
      <c r="F147" s="31" t="s">
        <v>445</v>
      </c>
      <c r="G147" s="31" t="s">
        <v>446</v>
      </c>
      <c r="H147" s="37"/>
      <c r="I147" s="75" t="s">
        <v>40</v>
      </c>
      <c r="J147" s="75" t="s">
        <v>129</v>
      </c>
      <c r="K147" s="75" t="s">
        <v>447</v>
      </c>
      <c r="L147" s="75"/>
      <c r="M147" s="75" t="s">
        <v>440</v>
      </c>
      <c r="N147" s="75" t="s">
        <v>448</v>
      </c>
      <c r="O147" s="81"/>
      <c r="P147" s="81"/>
      <c r="Q147" s="21"/>
      <c r="U147" s="31" t="s">
        <v>54</v>
      </c>
      <c r="W147" s="137">
        <v>17</v>
      </c>
      <c r="X147" s="119">
        <f>'Additional information'!$D$18</f>
        <v>0.91</v>
      </c>
      <c r="Y147" s="120">
        <f t="shared" si="12"/>
        <v>15.47</v>
      </c>
      <c r="Z147" s="120" t="str">
        <f t="shared" si="11"/>
        <v/>
      </c>
      <c r="AA147" s="30"/>
    </row>
    <row r="148" spans="1:27">
      <c r="E148" s="42"/>
      <c r="H148" s="43"/>
      <c r="M148" s="86"/>
      <c r="W148" s="137" t="s">
        <v>70</v>
      </c>
      <c r="X148" s="119">
        <f>'Additional information'!$D$18</f>
        <v>0.91</v>
      </c>
      <c r="Y148" s="120" t="str">
        <f t="shared" si="12"/>
        <v/>
      </c>
      <c r="Z148" s="120" t="str">
        <f t="shared" si="11"/>
        <v/>
      </c>
    </row>
    <row r="149" spans="1:27" ht="15" thickBot="1">
      <c r="A149" s="56" t="s">
        <v>156</v>
      </c>
      <c r="B149" s="56"/>
      <c r="C149" s="57"/>
      <c r="D149" s="57"/>
      <c r="E149" s="66"/>
      <c r="F149" s="56"/>
      <c r="G149" s="56"/>
      <c r="H149" s="67"/>
      <c r="I149" s="87"/>
      <c r="J149" s="87"/>
      <c r="K149" s="87"/>
      <c r="L149" s="87"/>
      <c r="M149" s="87"/>
      <c r="N149" s="87"/>
      <c r="O149" s="87"/>
      <c r="P149" s="87"/>
      <c r="W149" s="137" t="s">
        <v>70</v>
      </c>
      <c r="Y149" s="120" t="str">
        <f t="shared" si="12"/>
        <v/>
      </c>
      <c r="Z149" s="120" t="str">
        <f t="shared" si="11"/>
        <v/>
      </c>
    </row>
    <row r="150" spans="1:27" s="27" customFormat="1" ht="15" thickTop="1">
      <c r="A150" s="24" t="s">
        <v>71</v>
      </c>
      <c r="B150" s="24" t="s">
        <v>449</v>
      </c>
      <c r="C150" s="48" t="s">
        <v>450</v>
      </c>
      <c r="D150" s="48" t="s">
        <v>451</v>
      </c>
      <c r="E150" s="25"/>
      <c r="F150" s="24"/>
      <c r="G150" s="24"/>
      <c r="H150" s="26"/>
      <c r="I150" s="79" t="s">
        <v>53</v>
      </c>
      <c r="J150" s="79"/>
      <c r="K150" s="79"/>
      <c r="L150" s="79"/>
      <c r="M150" s="80" t="s">
        <v>452</v>
      </c>
      <c r="N150" s="79"/>
      <c r="O150" s="79"/>
      <c r="P150" s="79"/>
      <c r="U150" s="21" t="s">
        <v>42</v>
      </c>
      <c r="W150" s="137"/>
      <c r="X150" s="119"/>
      <c r="Y150" s="120" t="str">
        <f t="shared" si="12"/>
        <v/>
      </c>
      <c r="Z150" s="120" t="str">
        <f t="shared" si="11"/>
        <v/>
      </c>
      <c r="AA150" s="28"/>
    </row>
    <row r="151" spans="1:27">
      <c r="A151" s="29" t="s">
        <v>150</v>
      </c>
      <c r="B151" s="29" t="s">
        <v>453</v>
      </c>
      <c r="C151" s="35" t="s">
        <v>454</v>
      </c>
      <c r="D151" s="255" t="s">
        <v>455</v>
      </c>
      <c r="E151" s="42"/>
      <c r="H151" s="43"/>
      <c r="I151" s="76" t="s">
        <v>40</v>
      </c>
      <c r="K151" s="76"/>
      <c r="L151" s="76"/>
      <c r="M151" s="76" t="s">
        <v>456</v>
      </c>
      <c r="N151" s="34"/>
      <c r="O151" s="76"/>
      <c r="P151" s="76"/>
      <c r="U151" s="21" t="s">
        <v>42</v>
      </c>
      <c r="W151" s="137">
        <v>13.55</v>
      </c>
      <c r="X151" s="119">
        <f>'Additional information'!$D$18</f>
        <v>0.91</v>
      </c>
      <c r="Y151" s="120">
        <f t="shared" si="12"/>
        <v>12.330500000000001</v>
      </c>
      <c r="Z151" s="120"/>
    </row>
    <row r="152" spans="1:27">
      <c r="A152" s="29" t="s">
        <v>457</v>
      </c>
      <c r="B152" s="29" t="s">
        <v>458</v>
      </c>
      <c r="C152" s="20" t="s">
        <v>459</v>
      </c>
      <c r="D152" s="255" t="s">
        <v>460</v>
      </c>
      <c r="E152" s="42"/>
      <c r="H152" s="43"/>
      <c r="I152" s="76" t="s">
        <v>40</v>
      </c>
      <c r="J152" s="74" t="s">
        <v>129</v>
      </c>
      <c r="K152" s="76"/>
      <c r="L152" s="76"/>
      <c r="M152" s="76" t="s">
        <v>461</v>
      </c>
      <c r="N152" s="76" t="s">
        <v>448</v>
      </c>
      <c r="O152" s="76"/>
      <c r="P152" s="76"/>
      <c r="U152" s="21" t="s">
        <v>42</v>
      </c>
      <c r="W152" s="137">
        <v>13.55</v>
      </c>
      <c r="X152" s="119">
        <f>'Additional information'!$D$18</f>
        <v>0.91</v>
      </c>
      <c r="Y152" s="120">
        <f t="shared" si="12"/>
        <v>12.330500000000001</v>
      </c>
      <c r="Z152" s="120"/>
    </row>
    <row r="153" spans="1:27">
      <c r="A153" s="29" t="s">
        <v>26</v>
      </c>
      <c r="B153" s="29" t="s">
        <v>462</v>
      </c>
      <c r="C153" s="20"/>
      <c r="D153" s="20"/>
      <c r="E153" s="42"/>
      <c r="H153" s="43"/>
      <c r="I153" s="76"/>
      <c r="J153" s="76"/>
      <c r="K153" s="76"/>
      <c r="L153" s="76"/>
      <c r="M153" s="76"/>
      <c r="N153" s="76"/>
      <c r="O153" s="76"/>
      <c r="P153" s="76" t="s">
        <v>463</v>
      </c>
      <c r="U153" s="21" t="s">
        <v>42</v>
      </c>
      <c r="W153" s="137"/>
      <c r="X153" s="119">
        <f>'Additional information'!$D$18</f>
        <v>0.91</v>
      </c>
      <c r="Y153" s="120"/>
      <c r="Z153" s="120"/>
    </row>
    <row r="154" spans="1:27">
      <c r="A154" s="29" t="s">
        <v>26</v>
      </c>
      <c r="B154" s="29" t="s">
        <v>464</v>
      </c>
      <c r="C154" s="20"/>
      <c r="D154" s="20"/>
      <c r="E154" s="42"/>
      <c r="H154" s="43"/>
      <c r="I154" s="76"/>
      <c r="J154" s="76"/>
      <c r="K154" s="76"/>
      <c r="L154" s="76"/>
      <c r="M154" s="76"/>
      <c r="N154" s="76"/>
      <c r="O154" s="76"/>
      <c r="P154" s="76" t="s">
        <v>465</v>
      </c>
      <c r="U154" s="21" t="s">
        <v>42</v>
      </c>
      <c r="W154" s="137"/>
      <c r="X154" s="119">
        <f>'Additional information'!$D$18</f>
        <v>0.91</v>
      </c>
      <c r="Y154" s="120"/>
      <c r="Z154" s="120"/>
    </row>
    <row r="155" spans="1:27">
      <c r="E155" s="42"/>
      <c r="H155" s="43"/>
      <c r="W155" s="137"/>
      <c r="X155" s="119">
        <f>'Additional information'!$D$18</f>
        <v>0.91</v>
      </c>
      <c r="Y155" s="120"/>
      <c r="Z155" s="120"/>
    </row>
    <row r="156" spans="1:27" ht="28.8">
      <c r="A156" s="29" t="s">
        <v>150</v>
      </c>
      <c r="B156" s="29" t="s">
        <v>466</v>
      </c>
      <c r="C156" s="20" t="s">
        <v>467</v>
      </c>
      <c r="D156" s="20" t="s">
        <v>468</v>
      </c>
      <c r="E156" s="42"/>
      <c r="F156" s="54"/>
      <c r="G156" s="54"/>
      <c r="H156" s="60"/>
      <c r="I156" s="74" t="s">
        <v>40</v>
      </c>
      <c r="J156" s="74"/>
      <c r="K156" s="74"/>
      <c r="L156" s="74"/>
      <c r="M156" s="74" t="s">
        <v>469</v>
      </c>
      <c r="N156" s="74"/>
      <c r="O156" s="74"/>
      <c r="P156" s="74"/>
      <c r="U156" s="21" t="s">
        <v>42</v>
      </c>
      <c r="W156" s="137">
        <v>12.681487083435059</v>
      </c>
      <c r="X156" s="119">
        <f>'Additional information'!$D$18</f>
        <v>0.91</v>
      </c>
      <c r="Y156" s="120">
        <f t="shared" si="12"/>
        <v>11.540153245925904</v>
      </c>
      <c r="Z156" s="120">
        <f t="shared" ref="Z156:Z187" si="13">IF(AND(W156&lt;&gt;"",U156="yes"),W156*X156,"")</f>
        <v>11.540153245925904</v>
      </c>
    </row>
    <row r="157" spans="1:27" ht="28.8">
      <c r="A157" s="29" t="s">
        <v>470</v>
      </c>
      <c r="B157" s="29" t="s">
        <v>471</v>
      </c>
      <c r="C157" s="35" t="s">
        <v>472</v>
      </c>
      <c r="D157" s="20" t="s">
        <v>473</v>
      </c>
      <c r="E157" s="53"/>
      <c r="F157" s="21" t="s">
        <v>433</v>
      </c>
      <c r="G157" s="21" t="s">
        <v>474</v>
      </c>
      <c r="H157" s="43"/>
      <c r="I157" s="74" t="s">
        <v>40</v>
      </c>
      <c r="J157" s="74"/>
      <c r="K157" s="76" t="s">
        <v>475</v>
      </c>
      <c r="L157" s="74"/>
      <c r="M157" s="76" t="s">
        <v>476</v>
      </c>
      <c r="N157" s="74"/>
      <c r="O157" s="74"/>
      <c r="P157" s="74"/>
      <c r="U157" s="21" t="s">
        <v>42</v>
      </c>
      <c r="W157" s="137">
        <v>22.613609313964844</v>
      </c>
      <c r="X157" s="119">
        <f>'Additional information'!$D$18</f>
        <v>0.91</v>
      </c>
      <c r="Y157" s="120">
        <f t="shared" si="12"/>
        <v>20.57838447570801</v>
      </c>
      <c r="Z157" s="120">
        <f t="shared" si="13"/>
        <v>20.57838447570801</v>
      </c>
    </row>
    <row r="158" spans="1:27">
      <c r="E158" s="42"/>
      <c r="H158" s="43"/>
      <c r="M158" s="86"/>
      <c r="U158" s="21" t="s">
        <v>70</v>
      </c>
      <c r="W158" s="137" t="s">
        <v>70</v>
      </c>
      <c r="X158" s="119">
        <f>'Additional information'!$D$18</f>
        <v>0.91</v>
      </c>
      <c r="Y158" s="120" t="str">
        <f t="shared" si="12"/>
        <v/>
      </c>
      <c r="Z158" s="120" t="str">
        <f t="shared" si="13"/>
        <v/>
      </c>
    </row>
    <row r="159" spans="1:27" ht="42.6">
      <c r="A159" s="29" t="s">
        <v>261</v>
      </c>
      <c r="B159" s="29" t="s">
        <v>477</v>
      </c>
      <c r="C159" s="35" t="s">
        <v>478</v>
      </c>
      <c r="D159" s="20" t="s">
        <v>479</v>
      </c>
      <c r="E159" s="53"/>
      <c r="F159" s="61" t="s">
        <v>480</v>
      </c>
      <c r="G159" s="61" t="s">
        <v>481</v>
      </c>
      <c r="H159" s="60"/>
      <c r="I159" s="74" t="s">
        <v>40</v>
      </c>
      <c r="J159" s="74"/>
      <c r="K159" s="74"/>
      <c r="L159" s="74"/>
      <c r="M159" s="76" t="s">
        <v>469</v>
      </c>
      <c r="N159" s="74"/>
      <c r="O159" s="74"/>
      <c r="P159" s="74"/>
      <c r="U159" s="21" t="s">
        <v>42</v>
      </c>
      <c r="W159" s="137">
        <v>21.701908111572266</v>
      </c>
      <c r="X159" s="119">
        <f>'Additional information'!$D$18</f>
        <v>0.91</v>
      </c>
      <c r="Y159" s="120">
        <f t="shared" si="12"/>
        <v>19.748736381530762</v>
      </c>
      <c r="Z159" s="120">
        <f t="shared" si="13"/>
        <v>19.748736381530762</v>
      </c>
    </row>
    <row r="160" spans="1:27">
      <c r="C160" s="23"/>
      <c r="D160" s="23"/>
      <c r="E160" s="53"/>
      <c r="F160" s="54"/>
      <c r="G160" s="54"/>
      <c r="H160" s="60"/>
      <c r="M160" s="86"/>
      <c r="U160" s="21" t="s">
        <v>70</v>
      </c>
      <c r="W160" s="137" t="s">
        <v>70</v>
      </c>
      <c r="X160" s="119">
        <f>'Additional information'!$D$18</f>
        <v>0.91</v>
      </c>
      <c r="Y160" s="120" t="str">
        <f t="shared" si="12"/>
        <v/>
      </c>
      <c r="Z160" s="120" t="str">
        <f t="shared" si="13"/>
        <v/>
      </c>
    </row>
    <row r="161" spans="1:27" ht="15" thickBot="1">
      <c r="A161" s="56" t="s">
        <v>156</v>
      </c>
      <c r="B161" s="56"/>
      <c r="C161" s="57"/>
      <c r="D161" s="57"/>
      <c r="E161" s="66"/>
      <c r="F161" s="56"/>
      <c r="G161" s="56"/>
      <c r="H161" s="67"/>
      <c r="I161" s="87"/>
      <c r="J161" s="87"/>
      <c r="K161" s="87"/>
      <c r="L161" s="87"/>
      <c r="M161" s="87"/>
      <c r="N161" s="87"/>
      <c r="O161" s="87"/>
      <c r="P161" s="87"/>
      <c r="W161" s="137" t="s">
        <v>70</v>
      </c>
      <c r="Y161" s="120" t="str">
        <f t="shared" si="12"/>
        <v/>
      </c>
      <c r="Z161" s="120" t="str">
        <f t="shared" si="13"/>
        <v/>
      </c>
    </row>
    <row r="162" spans="1:27" s="27" customFormat="1" ht="15" thickTop="1">
      <c r="A162" s="24" t="s">
        <v>71</v>
      </c>
      <c r="B162" s="24" t="s">
        <v>482</v>
      </c>
      <c r="C162" s="48" t="s">
        <v>483</v>
      </c>
      <c r="D162" s="48" t="s">
        <v>484</v>
      </c>
      <c r="E162" s="25"/>
      <c r="F162" s="24"/>
      <c r="G162" s="24"/>
      <c r="H162" s="26"/>
      <c r="I162" s="79" t="s">
        <v>53</v>
      </c>
      <c r="J162" s="79"/>
      <c r="K162" s="79"/>
      <c r="L162" s="79"/>
      <c r="M162" s="80" t="s">
        <v>485</v>
      </c>
      <c r="N162" s="79"/>
      <c r="O162" s="79"/>
      <c r="P162" s="79"/>
      <c r="U162" s="21" t="s">
        <v>42</v>
      </c>
      <c r="W162" s="137"/>
      <c r="X162" s="28"/>
      <c r="Y162" s="120" t="str">
        <f t="shared" si="12"/>
        <v/>
      </c>
      <c r="Z162" s="120" t="str">
        <f t="shared" si="13"/>
        <v/>
      </c>
      <c r="AA162" s="28"/>
    </row>
    <row r="163" spans="1:27" ht="43.2">
      <c r="A163" s="29" t="s">
        <v>47</v>
      </c>
      <c r="B163" s="29" t="s">
        <v>486</v>
      </c>
      <c r="C163" s="20" t="s">
        <v>487</v>
      </c>
      <c r="D163" s="20" t="s">
        <v>488</v>
      </c>
      <c r="E163" s="42"/>
      <c r="F163" s="29"/>
      <c r="G163" s="29"/>
      <c r="H163" s="43"/>
      <c r="I163" s="74"/>
      <c r="J163" s="74"/>
      <c r="K163" s="74"/>
      <c r="L163" s="74"/>
      <c r="M163" s="74"/>
      <c r="N163" s="74"/>
      <c r="O163" s="74"/>
      <c r="P163" s="74"/>
      <c r="U163" s="21" t="s">
        <v>42</v>
      </c>
      <c r="W163" s="137">
        <v>7.5</v>
      </c>
      <c r="X163" s="62">
        <f>'Additional information'!$D$19</f>
        <v>0.91</v>
      </c>
      <c r="Y163" s="120">
        <f t="shared" si="12"/>
        <v>6.8250000000000002</v>
      </c>
      <c r="Z163" s="120">
        <f t="shared" si="13"/>
        <v>6.8250000000000002</v>
      </c>
    </row>
    <row r="164" spans="1:27" s="27" customFormat="1">
      <c r="C164" s="49"/>
      <c r="D164" s="22"/>
      <c r="E164" s="25"/>
      <c r="H164" s="26"/>
      <c r="I164" s="80"/>
      <c r="J164" s="80"/>
      <c r="K164" s="80"/>
      <c r="L164" s="80"/>
      <c r="M164" s="80"/>
      <c r="N164" s="80"/>
      <c r="O164" s="80"/>
      <c r="P164" s="80"/>
      <c r="U164" s="21" t="s">
        <v>70</v>
      </c>
      <c r="W164" s="137" t="s">
        <v>70</v>
      </c>
      <c r="X164" s="62">
        <f>'Additional information'!$D$19</f>
        <v>0.91</v>
      </c>
      <c r="Y164" s="120" t="str">
        <f t="shared" si="12"/>
        <v/>
      </c>
      <c r="Z164" s="120" t="str">
        <f t="shared" si="13"/>
        <v/>
      </c>
      <c r="AA164" s="28"/>
    </row>
    <row r="165" spans="1:27" ht="28.8">
      <c r="A165" s="29" t="s">
        <v>489</v>
      </c>
      <c r="B165" s="29" t="s">
        <v>490</v>
      </c>
      <c r="C165" s="20" t="s">
        <v>491</v>
      </c>
      <c r="D165" s="20" t="s">
        <v>492</v>
      </c>
      <c r="E165" s="42"/>
      <c r="F165" s="21" t="s">
        <v>493</v>
      </c>
      <c r="G165" s="21" t="s">
        <v>494</v>
      </c>
      <c r="H165" s="43"/>
      <c r="I165" s="74" t="s">
        <v>40</v>
      </c>
      <c r="J165" s="74" t="s">
        <v>223</v>
      </c>
      <c r="K165" s="74"/>
      <c r="L165" s="74"/>
      <c r="M165" s="74"/>
      <c r="N165" s="74"/>
      <c r="O165" s="74"/>
      <c r="P165" s="74"/>
      <c r="U165" s="21" t="s">
        <v>42</v>
      </c>
      <c r="W165" s="137">
        <v>20.294422149658203</v>
      </c>
      <c r="X165" s="62">
        <f>'Additional information'!$D$19</f>
        <v>0.91</v>
      </c>
      <c r="Y165" s="120">
        <f t="shared" si="12"/>
        <v>18.467924156188964</v>
      </c>
      <c r="Z165" s="120">
        <f t="shared" si="13"/>
        <v>18.467924156188964</v>
      </c>
    </row>
    <row r="166" spans="1:27">
      <c r="A166" s="29" t="s">
        <v>26</v>
      </c>
      <c r="B166" s="29" t="s">
        <v>495</v>
      </c>
      <c r="C166" s="20"/>
      <c r="D166" s="20"/>
      <c r="E166" s="42"/>
      <c r="H166" s="43"/>
      <c r="I166" s="74"/>
      <c r="J166" s="74"/>
      <c r="K166" s="74"/>
      <c r="L166" s="74"/>
      <c r="M166" s="74"/>
      <c r="N166" s="74"/>
      <c r="O166" s="74"/>
      <c r="P166" s="74" t="s">
        <v>496</v>
      </c>
      <c r="U166" s="21" t="s">
        <v>42</v>
      </c>
      <c r="W166" s="137"/>
      <c r="X166" s="62">
        <f>'Additional information'!$D$19</f>
        <v>0.91</v>
      </c>
      <c r="Y166" s="120" t="str">
        <f t="shared" si="12"/>
        <v/>
      </c>
      <c r="Z166" s="120" t="str">
        <f t="shared" si="13"/>
        <v/>
      </c>
    </row>
    <row r="167" spans="1:27">
      <c r="E167" s="42"/>
      <c r="H167" s="43"/>
      <c r="M167" s="86"/>
      <c r="U167" s="21" t="s">
        <v>70</v>
      </c>
      <c r="W167" s="137" t="s">
        <v>70</v>
      </c>
      <c r="X167" s="62">
        <f>'Additional information'!$D$19</f>
        <v>0.91</v>
      </c>
      <c r="Y167" s="120" t="str">
        <f t="shared" si="12"/>
        <v/>
      </c>
      <c r="Z167" s="120" t="str">
        <f t="shared" si="13"/>
        <v/>
      </c>
    </row>
    <row r="168" spans="1:27">
      <c r="A168" s="29" t="s">
        <v>86</v>
      </c>
      <c r="B168" s="29" t="s">
        <v>497</v>
      </c>
      <c r="C168" s="20" t="s">
        <v>498</v>
      </c>
      <c r="D168" s="20" t="s">
        <v>499</v>
      </c>
      <c r="E168" s="42"/>
      <c r="F168" s="29" t="s">
        <v>500</v>
      </c>
      <c r="G168" s="29" t="s">
        <v>501</v>
      </c>
      <c r="H168" s="43"/>
      <c r="I168" s="74" t="s">
        <v>40</v>
      </c>
      <c r="J168" s="74"/>
      <c r="K168" s="74" t="s">
        <v>502</v>
      </c>
      <c r="L168" s="74"/>
      <c r="M168" s="74" t="s">
        <v>503</v>
      </c>
      <c r="N168" s="74"/>
      <c r="O168" s="74"/>
      <c r="P168" s="74"/>
      <c r="U168" s="21" t="s">
        <v>42</v>
      </c>
      <c r="W168" s="137">
        <v>18.539077758789063</v>
      </c>
      <c r="X168" s="62">
        <f>'Additional information'!$D$19</f>
        <v>0.91</v>
      </c>
      <c r="Y168" s="120">
        <f t="shared" si="12"/>
        <v>16.870560760498048</v>
      </c>
      <c r="Z168" s="120">
        <f t="shared" si="13"/>
        <v>16.870560760498048</v>
      </c>
    </row>
    <row r="169" spans="1:27">
      <c r="A169" s="29" t="s">
        <v>86</v>
      </c>
      <c r="B169" s="29" t="s">
        <v>504</v>
      </c>
      <c r="C169" s="20" t="s">
        <v>505</v>
      </c>
      <c r="D169" s="20" t="s">
        <v>506</v>
      </c>
      <c r="E169" s="42"/>
      <c r="F169" s="29" t="s">
        <v>500</v>
      </c>
      <c r="G169" s="29" t="s">
        <v>501</v>
      </c>
      <c r="H169" s="43"/>
      <c r="I169" s="74" t="s">
        <v>40</v>
      </c>
      <c r="J169" s="74"/>
      <c r="K169" s="74" t="s">
        <v>502</v>
      </c>
      <c r="L169" s="74"/>
      <c r="M169" s="74" t="s">
        <v>503</v>
      </c>
      <c r="N169" s="74"/>
      <c r="O169" s="74"/>
      <c r="P169" s="74"/>
      <c r="U169" s="21" t="s">
        <v>42</v>
      </c>
      <c r="W169" s="137">
        <v>8.9158916473388672</v>
      </c>
      <c r="X169" s="62">
        <f>'Additional information'!$D$19</f>
        <v>0.91</v>
      </c>
      <c r="Y169" s="120">
        <f t="shared" si="12"/>
        <v>8.1134613990783695</v>
      </c>
      <c r="Z169" s="120">
        <f t="shared" si="13"/>
        <v>8.1134613990783695</v>
      </c>
    </row>
    <row r="170" spans="1:27">
      <c r="A170" s="29" t="s">
        <v>26</v>
      </c>
      <c r="B170" s="29" t="s">
        <v>507</v>
      </c>
      <c r="C170" s="20" t="s">
        <v>508</v>
      </c>
      <c r="D170" s="20" t="s">
        <v>509</v>
      </c>
      <c r="E170" s="42"/>
      <c r="F170" s="29"/>
      <c r="G170" s="29"/>
      <c r="H170" s="43"/>
      <c r="I170" s="74" t="s">
        <v>40</v>
      </c>
      <c r="J170" s="74"/>
      <c r="K170" s="74"/>
      <c r="L170" s="74"/>
      <c r="M170" s="74" t="s">
        <v>510</v>
      </c>
      <c r="N170" s="74"/>
      <c r="O170" s="74"/>
      <c r="P170" s="74" t="s">
        <v>511</v>
      </c>
      <c r="U170" s="21" t="s">
        <v>42</v>
      </c>
      <c r="W170" s="137"/>
      <c r="X170" s="62">
        <f>'Additional information'!$D$19</f>
        <v>0.91</v>
      </c>
      <c r="Y170" s="120" t="str">
        <f t="shared" si="12"/>
        <v/>
      </c>
      <c r="Z170" s="120" t="str">
        <f t="shared" si="13"/>
        <v/>
      </c>
    </row>
    <row r="171" spans="1:27">
      <c r="E171" s="42"/>
      <c r="H171" s="43"/>
      <c r="U171" s="21" t="s">
        <v>70</v>
      </c>
      <c r="W171" s="137" t="s">
        <v>70</v>
      </c>
      <c r="X171" s="62">
        <f>'Additional information'!$D$19</f>
        <v>0.91</v>
      </c>
      <c r="Y171" s="120" t="str">
        <f t="shared" si="12"/>
        <v/>
      </c>
      <c r="Z171" s="120" t="str">
        <f t="shared" si="13"/>
        <v/>
      </c>
    </row>
    <row r="172" spans="1:27">
      <c r="A172" s="29" t="s">
        <v>512</v>
      </c>
      <c r="B172" s="29" t="s">
        <v>513</v>
      </c>
      <c r="C172" s="20" t="s">
        <v>514</v>
      </c>
      <c r="D172" s="20" t="s">
        <v>515</v>
      </c>
      <c r="E172" s="42"/>
      <c r="F172" s="21" t="s">
        <v>336</v>
      </c>
      <c r="G172" s="21" t="s">
        <v>395</v>
      </c>
      <c r="H172" s="43"/>
      <c r="I172" s="74" t="s">
        <v>40</v>
      </c>
      <c r="J172" s="74"/>
      <c r="K172" s="74" t="s">
        <v>516</v>
      </c>
      <c r="L172" s="74"/>
      <c r="M172" s="74" t="s">
        <v>503</v>
      </c>
      <c r="N172" s="74"/>
      <c r="O172" s="74"/>
      <c r="P172" s="74"/>
      <c r="U172" s="21" t="s">
        <v>42</v>
      </c>
      <c r="W172" s="137">
        <v>25.81001091003418</v>
      </c>
      <c r="X172" s="62">
        <f>'Additional information'!$D$19</f>
        <v>0.91</v>
      </c>
      <c r="Y172" s="120">
        <f t="shared" si="12"/>
        <v>23.487109928131105</v>
      </c>
      <c r="Z172" s="120">
        <f t="shared" si="13"/>
        <v>23.487109928131105</v>
      </c>
    </row>
    <row r="173" spans="1:27">
      <c r="E173" s="42"/>
      <c r="H173" s="43"/>
      <c r="M173" s="86"/>
      <c r="U173" s="21" t="s">
        <v>70</v>
      </c>
      <c r="W173" s="137" t="s">
        <v>70</v>
      </c>
      <c r="X173" s="62">
        <f>'Additional information'!$D$19</f>
        <v>0.91</v>
      </c>
      <c r="Y173" s="120" t="str">
        <f t="shared" si="12"/>
        <v/>
      </c>
      <c r="Z173" s="120" t="str">
        <f t="shared" si="13"/>
        <v/>
      </c>
    </row>
    <row r="174" spans="1:27" s="31" customFormat="1">
      <c r="A174" s="31" t="s">
        <v>517</v>
      </c>
      <c r="B174" s="31" t="s">
        <v>518</v>
      </c>
      <c r="C174" s="32" t="s">
        <v>519</v>
      </c>
      <c r="D174" s="32" t="s">
        <v>520</v>
      </c>
      <c r="E174" s="33"/>
      <c r="F174" s="31" t="s">
        <v>336</v>
      </c>
      <c r="G174" s="31" t="s">
        <v>395</v>
      </c>
      <c r="H174" s="37"/>
      <c r="I174" s="75" t="s">
        <v>40</v>
      </c>
      <c r="J174" s="75"/>
      <c r="K174" s="75" t="s">
        <v>475</v>
      </c>
      <c r="L174" s="75"/>
      <c r="M174" s="75" t="s">
        <v>503</v>
      </c>
      <c r="N174" s="75"/>
      <c r="O174" s="75"/>
      <c r="P174" s="75"/>
      <c r="U174" s="31" t="s">
        <v>54</v>
      </c>
      <c r="W174" s="137">
        <v>19.553197860717773</v>
      </c>
      <c r="X174" s="62">
        <f>'Additional information'!$D$19</f>
        <v>0.91</v>
      </c>
      <c r="Y174" s="120">
        <f t="shared" si="12"/>
        <v>17.793410053253176</v>
      </c>
      <c r="Z174" s="120" t="str">
        <f t="shared" si="13"/>
        <v/>
      </c>
      <c r="AA174" s="30"/>
    </row>
    <row r="175" spans="1:27" s="31" customFormat="1">
      <c r="C175" s="32"/>
      <c r="D175" s="272"/>
      <c r="E175" s="33"/>
      <c r="H175" s="37"/>
      <c r="I175" s="75"/>
      <c r="J175" s="75"/>
      <c r="K175" s="75"/>
      <c r="L175" s="75"/>
      <c r="M175" s="75"/>
      <c r="N175" s="75"/>
      <c r="O175" s="75"/>
      <c r="P175" s="75"/>
      <c r="U175" s="31" t="s">
        <v>70</v>
      </c>
      <c r="W175" s="137" t="s">
        <v>70</v>
      </c>
      <c r="X175" s="62">
        <f>'Additional information'!$D$19</f>
        <v>0.91</v>
      </c>
      <c r="Y175" s="120" t="str">
        <f t="shared" si="12"/>
        <v/>
      </c>
      <c r="Z175" s="120" t="str">
        <f t="shared" si="13"/>
        <v/>
      </c>
      <c r="AA175" s="30"/>
    </row>
    <row r="176" spans="1:27" ht="28.8">
      <c r="A176" s="29" t="s">
        <v>150</v>
      </c>
      <c r="B176" s="29" t="s">
        <v>521</v>
      </c>
      <c r="C176" s="20" t="s">
        <v>522</v>
      </c>
      <c r="D176" s="20" t="s">
        <v>523</v>
      </c>
      <c r="E176" s="42"/>
      <c r="H176" s="43"/>
      <c r="I176" s="74" t="s">
        <v>40</v>
      </c>
      <c r="J176" s="74"/>
      <c r="K176" s="74"/>
      <c r="L176" s="74"/>
      <c r="M176" s="76" t="s">
        <v>503</v>
      </c>
      <c r="N176" s="74"/>
      <c r="O176" s="74"/>
      <c r="P176" s="74"/>
      <c r="U176" s="21" t="s">
        <v>42</v>
      </c>
      <c r="W176" s="137">
        <v>13.613316535949707</v>
      </c>
      <c r="X176" s="62">
        <f>'Additional information'!$D$19</f>
        <v>0.91</v>
      </c>
      <c r="Y176" s="120">
        <f t="shared" si="12"/>
        <v>12.388118047714233</v>
      </c>
      <c r="Z176" s="120">
        <f t="shared" si="13"/>
        <v>12.388118047714233</v>
      </c>
    </row>
    <row r="177" spans="1:27" ht="28.8">
      <c r="A177" s="29" t="s">
        <v>524</v>
      </c>
      <c r="B177" s="29" t="s">
        <v>525</v>
      </c>
      <c r="C177" s="20" t="s">
        <v>526</v>
      </c>
      <c r="D177" s="20" t="s">
        <v>527</v>
      </c>
      <c r="E177" s="42"/>
      <c r="F177" s="21" t="s">
        <v>433</v>
      </c>
      <c r="G177" s="21" t="s">
        <v>474</v>
      </c>
      <c r="H177" s="43"/>
      <c r="I177" s="74" t="s">
        <v>40</v>
      </c>
      <c r="J177" s="74"/>
      <c r="K177" s="76" t="s">
        <v>475</v>
      </c>
      <c r="L177" s="74"/>
      <c r="M177" s="76" t="s">
        <v>528</v>
      </c>
      <c r="N177" s="74"/>
      <c r="O177" s="74"/>
      <c r="P177" s="74"/>
      <c r="U177" s="21" t="s">
        <v>42</v>
      </c>
      <c r="W177" s="137">
        <v>27.754648208618164</v>
      </c>
      <c r="X177" s="62">
        <f>'Additional information'!$D$19</f>
        <v>0.91</v>
      </c>
      <c r="Y177" s="120">
        <f t="shared" si="12"/>
        <v>25.25672986984253</v>
      </c>
      <c r="Z177" s="120">
        <f t="shared" si="13"/>
        <v>25.25672986984253</v>
      </c>
    </row>
    <row r="178" spans="1:27">
      <c r="E178" s="42"/>
      <c r="H178" s="43"/>
      <c r="M178" s="86"/>
      <c r="U178" s="21" t="s">
        <v>70</v>
      </c>
      <c r="W178" s="137" t="s">
        <v>70</v>
      </c>
      <c r="X178" s="62">
        <f>'Additional information'!$D$19</f>
        <v>0.91</v>
      </c>
      <c r="Y178" s="120" t="str">
        <f t="shared" si="12"/>
        <v/>
      </c>
      <c r="Z178" s="120" t="str">
        <f t="shared" si="13"/>
        <v/>
      </c>
    </row>
    <row r="179" spans="1:27" s="31" customFormat="1">
      <c r="A179" s="31" t="s">
        <v>529</v>
      </c>
      <c r="B179" s="31" t="s">
        <v>530</v>
      </c>
      <c r="C179" s="32" t="s">
        <v>531</v>
      </c>
      <c r="D179" s="32" t="s">
        <v>532</v>
      </c>
      <c r="E179" s="33"/>
      <c r="F179" s="31" t="s">
        <v>533</v>
      </c>
      <c r="G179" s="31" t="s">
        <v>534</v>
      </c>
      <c r="H179" s="37"/>
      <c r="I179" s="75" t="s">
        <v>40</v>
      </c>
      <c r="J179" s="75" t="s">
        <v>223</v>
      </c>
      <c r="K179" s="75" t="s">
        <v>535</v>
      </c>
      <c r="L179" s="75"/>
      <c r="M179" s="75" t="s">
        <v>503</v>
      </c>
      <c r="N179" s="75" t="s">
        <v>536</v>
      </c>
      <c r="O179" s="81"/>
      <c r="P179" s="81"/>
      <c r="Q179" s="21"/>
      <c r="U179" s="31" t="s">
        <v>54</v>
      </c>
      <c r="W179" s="137">
        <v>17</v>
      </c>
      <c r="X179" s="62">
        <f>'Additional information'!$D$19</f>
        <v>0.91</v>
      </c>
      <c r="Y179" s="120">
        <f t="shared" si="12"/>
        <v>15.47</v>
      </c>
      <c r="Z179" s="120" t="str">
        <f t="shared" si="13"/>
        <v/>
      </c>
      <c r="AA179" s="30"/>
    </row>
    <row r="180" spans="1:27">
      <c r="E180" s="42"/>
      <c r="H180" s="43"/>
      <c r="M180" s="86"/>
      <c r="U180" s="21" t="s">
        <v>70</v>
      </c>
      <c r="W180" s="137" t="s">
        <v>70</v>
      </c>
      <c r="X180" s="62">
        <f>'Additional information'!$D$19</f>
        <v>0.91</v>
      </c>
      <c r="Y180" s="120" t="str">
        <f t="shared" si="12"/>
        <v/>
      </c>
      <c r="Z180" s="120" t="str">
        <f t="shared" si="13"/>
        <v/>
      </c>
    </row>
    <row r="181" spans="1:27" ht="15" thickBot="1">
      <c r="A181" s="56" t="s">
        <v>156</v>
      </c>
      <c r="B181" s="56"/>
      <c r="C181" s="57"/>
      <c r="D181" s="57"/>
      <c r="E181" s="66"/>
      <c r="F181" s="56"/>
      <c r="G181" s="56"/>
      <c r="H181" s="67"/>
      <c r="I181" s="87"/>
      <c r="J181" s="87"/>
      <c r="K181" s="87"/>
      <c r="L181" s="87"/>
      <c r="M181" s="87"/>
      <c r="N181" s="87"/>
      <c r="O181" s="87"/>
      <c r="P181" s="87"/>
      <c r="W181" s="137" t="s">
        <v>70</v>
      </c>
      <c r="X181" s="119"/>
      <c r="Y181" s="120" t="str">
        <f t="shared" si="12"/>
        <v/>
      </c>
      <c r="Z181" s="120" t="str">
        <f t="shared" si="13"/>
        <v/>
      </c>
    </row>
    <row r="182" spans="1:27" s="27" customFormat="1" ht="15" thickTop="1">
      <c r="A182" s="24" t="s">
        <v>71</v>
      </c>
      <c r="B182" s="24" t="s">
        <v>537</v>
      </c>
      <c r="C182" s="48" t="s">
        <v>538</v>
      </c>
      <c r="D182" s="48" t="s">
        <v>539</v>
      </c>
      <c r="E182" s="25"/>
      <c r="F182" s="24"/>
      <c r="G182" s="24"/>
      <c r="H182" s="26"/>
      <c r="I182" s="79" t="s">
        <v>53</v>
      </c>
      <c r="J182" s="79"/>
      <c r="K182" s="79"/>
      <c r="L182" s="79"/>
      <c r="M182" s="80" t="s">
        <v>540</v>
      </c>
      <c r="N182" s="79"/>
      <c r="O182" s="79"/>
      <c r="P182" s="79"/>
      <c r="U182" s="21" t="s">
        <v>42</v>
      </c>
      <c r="W182" s="137"/>
      <c r="X182" s="119"/>
      <c r="Y182" s="120" t="str">
        <f t="shared" si="12"/>
        <v/>
      </c>
      <c r="Z182" s="120" t="str">
        <f t="shared" si="13"/>
        <v/>
      </c>
      <c r="AA182" s="28"/>
    </row>
    <row r="183" spans="1:27" s="27" customFormat="1">
      <c r="C183" s="49"/>
      <c r="D183" s="49"/>
      <c r="E183" s="25"/>
      <c r="H183" s="26"/>
      <c r="I183" s="80"/>
      <c r="J183" s="80"/>
      <c r="K183" s="80"/>
      <c r="L183" s="80"/>
      <c r="M183" s="80"/>
      <c r="N183" s="80"/>
      <c r="O183" s="80"/>
      <c r="P183" s="80"/>
      <c r="U183" s="21" t="s">
        <v>70</v>
      </c>
      <c r="W183" s="137" t="s">
        <v>70</v>
      </c>
      <c r="X183" s="62">
        <f>'Additional information'!$D$19</f>
        <v>0.91</v>
      </c>
      <c r="Y183" s="120" t="str">
        <f t="shared" si="12"/>
        <v/>
      </c>
      <c r="Z183" s="120" t="str">
        <f t="shared" si="13"/>
        <v/>
      </c>
      <c r="AA183" s="28"/>
    </row>
    <row r="184" spans="1:27" s="27" customFormat="1" ht="28.8">
      <c r="A184" s="29" t="s">
        <v>541</v>
      </c>
      <c r="B184" s="29" t="s">
        <v>542</v>
      </c>
      <c r="C184" s="20" t="s">
        <v>543</v>
      </c>
      <c r="D184" s="20" t="s">
        <v>544</v>
      </c>
      <c r="E184" s="42"/>
      <c r="F184" s="61"/>
      <c r="G184" s="61"/>
      <c r="H184" s="43"/>
      <c r="I184" s="74" t="s">
        <v>40</v>
      </c>
      <c r="J184" s="74" t="s">
        <v>223</v>
      </c>
      <c r="K184" s="79"/>
      <c r="L184" s="79"/>
      <c r="M184" s="79"/>
      <c r="N184" s="79"/>
      <c r="O184" s="79"/>
      <c r="P184" s="79"/>
      <c r="U184" s="21" t="s">
        <v>42</v>
      </c>
      <c r="W184" s="137">
        <v>13.999390602111816</v>
      </c>
      <c r="X184" s="62">
        <f>'Additional information'!$D$19</f>
        <v>0.91</v>
      </c>
      <c r="Y184" s="120">
        <f t="shared" si="12"/>
        <v>12.739445447921753</v>
      </c>
      <c r="Z184" s="120">
        <f t="shared" si="13"/>
        <v>12.739445447921753</v>
      </c>
      <c r="AA184" s="28"/>
    </row>
    <row r="185" spans="1:27">
      <c r="A185" s="29" t="s">
        <v>26</v>
      </c>
      <c r="B185" s="29" t="s">
        <v>545</v>
      </c>
      <c r="C185" s="20"/>
      <c r="D185" s="20"/>
      <c r="E185" s="42"/>
      <c r="F185" s="29"/>
      <c r="G185" s="29"/>
      <c r="H185" s="43"/>
      <c r="I185" s="74"/>
      <c r="J185" s="74"/>
      <c r="K185" s="74"/>
      <c r="L185" s="74"/>
      <c r="M185" s="74"/>
      <c r="N185" s="74"/>
      <c r="O185" s="74"/>
      <c r="P185" s="74" t="s">
        <v>546</v>
      </c>
      <c r="U185" s="21" t="s">
        <v>42</v>
      </c>
      <c r="W185" s="137"/>
      <c r="X185" s="62">
        <f>'Additional information'!$D$19</f>
        <v>0.91</v>
      </c>
      <c r="Y185" s="120" t="str">
        <f t="shared" si="12"/>
        <v/>
      </c>
      <c r="Z185" s="120" t="str">
        <f t="shared" si="13"/>
        <v/>
      </c>
    </row>
    <row r="186" spans="1:27">
      <c r="E186" s="42"/>
      <c r="H186" s="43"/>
      <c r="U186" s="21" t="s">
        <v>70</v>
      </c>
      <c r="W186" s="137" t="s">
        <v>70</v>
      </c>
      <c r="X186" s="62">
        <f>'Additional information'!$D$19</f>
        <v>0.91</v>
      </c>
      <c r="Y186" s="120" t="str">
        <f t="shared" si="12"/>
        <v/>
      </c>
      <c r="Z186" s="120" t="str">
        <f t="shared" si="13"/>
        <v/>
      </c>
    </row>
    <row r="187" spans="1:27" ht="28.8">
      <c r="A187" s="29" t="s">
        <v>150</v>
      </c>
      <c r="B187" s="29" t="s">
        <v>547</v>
      </c>
      <c r="C187" s="20" t="s">
        <v>548</v>
      </c>
      <c r="D187" s="20" t="s">
        <v>549</v>
      </c>
      <c r="E187" s="42"/>
      <c r="H187" s="43"/>
      <c r="I187" s="74" t="s">
        <v>40</v>
      </c>
      <c r="J187" s="74"/>
      <c r="K187" s="74"/>
      <c r="L187" s="74"/>
      <c r="M187" s="74" t="s">
        <v>550</v>
      </c>
      <c r="N187" s="74"/>
      <c r="O187" s="74"/>
      <c r="P187" s="74"/>
      <c r="U187" s="21" t="s">
        <v>42</v>
      </c>
      <c r="W187" s="137">
        <v>10.25279426574707</v>
      </c>
      <c r="X187" s="62">
        <f>'Additional information'!$D$19</f>
        <v>0.91</v>
      </c>
      <c r="Y187" s="120">
        <f t="shared" si="12"/>
        <v>9.3300427818298335</v>
      </c>
      <c r="Z187" s="120">
        <f t="shared" si="13"/>
        <v>9.3300427818298335</v>
      </c>
    </row>
    <row r="188" spans="1:27" ht="28.8">
      <c r="A188" s="29" t="s">
        <v>551</v>
      </c>
      <c r="B188" s="29" t="s">
        <v>552</v>
      </c>
      <c r="C188" s="20" t="s">
        <v>553</v>
      </c>
      <c r="D188" s="20" t="s">
        <v>554</v>
      </c>
      <c r="E188" s="42"/>
      <c r="F188" s="21" t="s">
        <v>433</v>
      </c>
      <c r="G188" s="21" t="s">
        <v>474</v>
      </c>
      <c r="H188" s="43"/>
      <c r="I188" s="74" t="s">
        <v>40</v>
      </c>
      <c r="J188" s="74"/>
      <c r="K188" s="76" t="s">
        <v>475</v>
      </c>
      <c r="L188" s="76"/>
      <c r="M188" s="76" t="s">
        <v>555</v>
      </c>
      <c r="N188" s="74"/>
      <c r="O188" s="74"/>
      <c r="P188" s="74"/>
      <c r="U188" s="21" t="s">
        <v>42</v>
      </c>
      <c r="W188" s="137">
        <v>24.194343566894531</v>
      </c>
      <c r="X188" s="62">
        <f>'Additional information'!$D$19</f>
        <v>0.91</v>
      </c>
      <c r="Y188" s="120">
        <f t="shared" si="12"/>
        <v>22.016852645874025</v>
      </c>
      <c r="Z188" s="120">
        <f t="shared" ref="Z188:Z219" si="14">IF(AND(W188&lt;&gt;"",U188="yes"),W188*X188,"")</f>
        <v>22.016852645874025</v>
      </c>
    </row>
    <row r="189" spans="1:27">
      <c r="E189" s="42"/>
      <c r="H189" s="43"/>
      <c r="M189" s="86"/>
      <c r="U189" s="21" t="s">
        <v>70</v>
      </c>
      <c r="W189" s="137" t="s">
        <v>70</v>
      </c>
      <c r="X189" s="62">
        <f>'Additional information'!$D$19</f>
        <v>0.91</v>
      </c>
      <c r="Y189" s="120" t="str">
        <f t="shared" si="12"/>
        <v/>
      </c>
      <c r="Z189" s="120" t="str">
        <f t="shared" si="14"/>
        <v/>
      </c>
    </row>
    <row r="190" spans="1:27" ht="28.8">
      <c r="A190" s="29" t="s">
        <v>261</v>
      </c>
      <c r="B190" s="29" t="s">
        <v>556</v>
      </c>
      <c r="C190" s="35" t="s">
        <v>557</v>
      </c>
      <c r="D190" s="20" t="s">
        <v>558</v>
      </c>
      <c r="E190" s="42"/>
      <c r="F190" s="29" t="s">
        <v>480</v>
      </c>
      <c r="G190" s="61" t="s">
        <v>559</v>
      </c>
      <c r="H190" s="43"/>
      <c r="I190" s="74" t="s">
        <v>40</v>
      </c>
      <c r="J190" s="74"/>
      <c r="K190" s="74"/>
      <c r="L190" s="74"/>
      <c r="M190" s="76" t="s">
        <v>550</v>
      </c>
      <c r="N190" s="74"/>
      <c r="O190" s="74"/>
      <c r="P190" s="74"/>
      <c r="U190" s="21" t="s">
        <v>42</v>
      </c>
      <c r="W190" s="137">
        <v>19.321737289428711</v>
      </c>
      <c r="X190" s="62">
        <f>'Additional information'!$D$19</f>
        <v>0.91</v>
      </c>
      <c r="Y190" s="120">
        <f t="shared" si="12"/>
        <v>17.582780933380128</v>
      </c>
      <c r="Z190" s="120">
        <f t="shared" si="14"/>
        <v>17.582780933380128</v>
      </c>
    </row>
    <row r="191" spans="1:27">
      <c r="C191" s="23"/>
      <c r="D191" s="23"/>
      <c r="E191" s="42"/>
      <c r="H191" s="43"/>
      <c r="M191" s="86"/>
      <c r="U191" s="21" t="s">
        <v>70</v>
      </c>
      <c r="W191" s="137" t="s">
        <v>70</v>
      </c>
      <c r="X191" s="62">
        <f>'Additional information'!$D$19</f>
        <v>0.91</v>
      </c>
      <c r="Y191" s="120" t="str">
        <f t="shared" si="12"/>
        <v/>
      </c>
      <c r="Z191" s="120" t="str">
        <f t="shared" si="14"/>
        <v/>
      </c>
    </row>
    <row r="192" spans="1:27" ht="15" thickBot="1">
      <c r="A192" s="56" t="s">
        <v>156</v>
      </c>
      <c r="B192" s="56"/>
      <c r="C192" s="57"/>
      <c r="D192" s="57"/>
      <c r="E192" s="66"/>
      <c r="F192" s="56"/>
      <c r="G192" s="56"/>
      <c r="H192" s="67"/>
      <c r="I192" s="87"/>
      <c r="J192" s="87"/>
      <c r="K192" s="87"/>
      <c r="L192" s="87"/>
      <c r="M192" s="87"/>
      <c r="N192" s="87"/>
      <c r="O192" s="87"/>
      <c r="P192" s="87"/>
      <c r="W192" s="137" t="s">
        <v>70</v>
      </c>
      <c r="Y192" s="120" t="str">
        <f t="shared" si="12"/>
        <v/>
      </c>
      <c r="Z192" s="120" t="str">
        <f t="shared" si="14"/>
        <v/>
      </c>
    </row>
    <row r="193" spans="1:27" s="27" customFormat="1" ht="15" thickTop="1">
      <c r="A193" s="24" t="s">
        <v>71</v>
      </c>
      <c r="B193" s="24" t="s">
        <v>560</v>
      </c>
      <c r="C193" s="48" t="s">
        <v>561</v>
      </c>
      <c r="D193" s="48" t="s">
        <v>562</v>
      </c>
      <c r="E193" s="25"/>
      <c r="F193" s="24"/>
      <c r="G193" s="24"/>
      <c r="H193" s="26"/>
      <c r="I193" s="79" t="s">
        <v>53</v>
      </c>
      <c r="J193" s="79"/>
      <c r="K193" s="79"/>
      <c r="L193" s="79"/>
      <c r="M193" s="80" t="s">
        <v>563</v>
      </c>
      <c r="N193" s="79"/>
      <c r="O193" s="79"/>
      <c r="P193" s="79"/>
      <c r="U193" s="21" t="s">
        <v>42</v>
      </c>
      <c r="W193" s="137"/>
      <c r="X193" s="28"/>
      <c r="Y193" s="120" t="str">
        <f t="shared" si="12"/>
        <v/>
      </c>
      <c r="Z193" s="120" t="str">
        <f t="shared" si="14"/>
        <v/>
      </c>
      <c r="AA193" s="28"/>
    </row>
    <row r="194" spans="1:27" s="30" customFormat="1" ht="57.6">
      <c r="A194" s="34" t="s">
        <v>47</v>
      </c>
      <c r="B194" s="34" t="s">
        <v>564</v>
      </c>
      <c r="C194" s="35" t="s">
        <v>565</v>
      </c>
      <c r="D194" s="35" t="s">
        <v>566</v>
      </c>
      <c r="E194" s="53"/>
      <c r="H194" s="55"/>
      <c r="I194" s="76"/>
      <c r="J194" s="76"/>
      <c r="K194" s="76"/>
      <c r="L194" s="76"/>
      <c r="M194" s="76"/>
      <c r="N194" s="76"/>
      <c r="O194" s="76"/>
      <c r="P194" s="76"/>
      <c r="U194" s="30" t="s">
        <v>42</v>
      </c>
      <c r="W194" s="137">
        <v>7.5</v>
      </c>
      <c r="X194" s="62">
        <f>'Additional information'!$D$20</f>
        <v>0.05</v>
      </c>
      <c r="Y194" s="120">
        <f t="shared" si="12"/>
        <v>0.375</v>
      </c>
      <c r="Z194" s="120">
        <f t="shared" si="14"/>
        <v>0.375</v>
      </c>
    </row>
    <row r="195" spans="1:27" s="27" customFormat="1">
      <c r="C195" s="49"/>
      <c r="D195" s="23"/>
      <c r="E195" s="25"/>
      <c r="H195" s="26"/>
      <c r="I195" s="80"/>
      <c r="J195" s="80"/>
      <c r="K195" s="80"/>
      <c r="L195" s="80"/>
      <c r="M195" s="80"/>
      <c r="N195" s="80"/>
      <c r="O195" s="80"/>
      <c r="P195" s="80"/>
      <c r="U195" s="21" t="s">
        <v>70</v>
      </c>
      <c r="W195" s="137" t="s">
        <v>70</v>
      </c>
      <c r="X195" s="62">
        <f>'Additional information'!$D$20</f>
        <v>0.05</v>
      </c>
      <c r="Y195" s="120" t="str">
        <f t="shared" si="12"/>
        <v/>
      </c>
      <c r="Z195" s="120" t="str">
        <f t="shared" si="14"/>
        <v/>
      </c>
      <c r="AA195" s="28"/>
    </row>
    <row r="196" spans="1:27">
      <c r="A196" s="29" t="s">
        <v>567</v>
      </c>
      <c r="B196" s="29" t="s">
        <v>568</v>
      </c>
      <c r="C196" s="20" t="s">
        <v>569</v>
      </c>
      <c r="D196" s="35" t="s">
        <v>570</v>
      </c>
      <c r="E196" s="42"/>
      <c r="F196" s="21" t="s">
        <v>571</v>
      </c>
      <c r="G196" s="21" t="s">
        <v>395</v>
      </c>
      <c r="H196" s="43"/>
      <c r="I196" s="74" t="s">
        <v>40</v>
      </c>
      <c r="J196" s="74"/>
      <c r="K196" s="74" t="s">
        <v>475</v>
      </c>
      <c r="L196" s="74"/>
      <c r="M196" s="74"/>
      <c r="N196" s="74"/>
      <c r="O196" s="74"/>
      <c r="P196" s="74"/>
      <c r="U196" s="21" t="s">
        <v>42</v>
      </c>
      <c r="W196" s="137">
        <v>19.090116500854492</v>
      </c>
      <c r="X196" s="62">
        <f>'Additional information'!$D$20</f>
        <v>0.05</v>
      </c>
      <c r="Y196" s="120">
        <f t="shared" si="12"/>
        <v>0.95450582504272463</v>
      </c>
      <c r="Z196" s="120">
        <f t="shared" si="14"/>
        <v>0.95450582504272463</v>
      </c>
    </row>
    <row r="197" spans="1:27">
      <c r="D197" s="23"/>
      <c r="E197" s="42"/>
      <c r="H197" s="43"/>
      <c r="U197" s="21" t="s">
        <v>70</v>
      </c>
      <c r="W197" s="137" t="s">
        <v>70</v>
      </c>
      <c r="X197" s="62">
        <f>'Additional information'!$D$20</f>
        <v>0.05</v>
      </c>
      <c r="Y197" s="120" t="str">
        <f t="shared" si="12"/>
        <v/>
      </c>
      <c r="Z197" s="120" t="str">
        <f t="shared" si="14"/>
        <v/>
      </c>
    </row>
    <row r="198" spans="1:27" ht="43.2">
      <c r="A198" s="29" t="s">
        <v>261</v>
      </c>
      <c r="B198" s="29" t="s">
        <v>572</v>
      </c>
      <c r="C198" s="20" t="s">
        <v>573</v>
      </c>
      <c r="D198" s="35" t="s">
        <v>574</v>
      </c>
      <c r="E198" s="42"/>
      <c r="H198" s="43"/>
      <c r="I198" s="74" t="s">
        <v>40</v>
      </c>
      <c r="J198" s="74"/>
      <c r="K198" s="74"/>
      <c r="M198" s="74" t="s">
        <v>575</v>
      </c>
      <c r="N198" s="74"/>
      <c r="O198" s="74"/>
      <c r="P198" s="74"/>
      <c r="U198" s="21" t="s">
        <v>42</v>
      </c>
      <c r="W198" s="137">
        <v>17.656976699829102</v>
      </c>
      <c r="X198" s="62">
        <f>'Additional information'!$D$20</f>
        <v>0.05</v>
      </c>
      <c r="Y198" s="120">
        <f t="shared" si="12"/>
        <v>0.88284883499145517</v>
      </c>
      <c r="Z198" s="120">
        <f t="shared" si="14"/>
        <v>0.88284883499145517</v>
      </c>
    </row>
    <row r="199" spans="1:27">
      <c r="D199" s="23"/>
      <c r="E199" s="42"/>
      <c r="H199" s="43"/>
      <c r="U199" s="21" t="s">
        <v>70</v>
      </c>
      <c r="W199" s="137" t="s">
        <v>70</v>
      </c>
      <c r="X199" s="62">
        <f>'Additional information'!$D$20</f>
        <v>0.05</v>
      </c>
      <c r="Y199" s="120" t="str">
        <f t="shared" si="12"/>
        <v/>
      </c>
      <c r="Z199" s="120" t="str">
        <f t="shared" si="14"/>
        <v/>
      </c>
    </row>
    <row r="200" spans="1:27" ht="28.8">
      <c r="A200" s="29" t="s">
        <v>150</v>
      </c>
      <c r="B200" s="29" t="s">
        <v>576</v>
      </c>
      <c r="C200" s="20" t="s">
        <v>577</v>
      </c>
      <c r="D200" s="35" t="s">
        <v>578</v>
      </c>
      <c r="E200" s="42"/>
      <c r="H200" s="43"/>
      <c r="I200" s="74" t="s">
        <v>40</v>
      </c>
      <c r="J200" s="74"/>
      <c r="K200" s="74"/>
      <c r="L200" s="74"/>
      <c r="M200" s="74" t="s">
        <v>575</v>
      </c>
      <c r="N200" s="74"/>
      <c r="O200" s="74"/>
      <c r="P200" s="74"/>
      <c r="U200" s="21" t="s">
        <v>42</v>
      </c>
      <c r="W200" s="138">
        <v>8.7647056579589844</v>
      </c>
      <c r="X200" s="62">
        <f>'Additional information'!$D$20</f>
        <v>0.05</v>
      </c>
      <c r="Y200" s="120">
        <f t="shared" si="12"/>
        <v>0.43823528289794922</v>
      </c>
      <c r="Z200" s="120">
        <f t="shared" si="14"/>
        <v>0.43823528289794922</v>
      </c>
    </row>
    <row r="201" spans="1:27" ht="28.8">
      <c r="A201" s="29" t="s">
        <v>579</v>
      </c>
      <c r="B201" s="29" t="s">
        <v>580</v>
      </c>
      <c r="C201" s="20" t="s">
        <v>581</v>
      </c>
      <c r="D201" s="35" t="s">
        <v>582</v>
      </c>
      <c r="E201" s="42"/>
      <c r="F201" s="21" t="s">
        <v>433</v>
      </c>
      <c r="G201" s="21" t="s">
        <v>583</v>
      </c>
      <c r="H201" s="43"/>
      <c r="I201" s="74"/>
      <c r="J201" s="74"/>
      <c r="K201" s="76" t="s">
        <v>475</v>
      </c>
      <c r="L201" s="74"/>
      <c r="M201" s="76" t="s">
        <v>584</v>
      </c>
      <c r="N201" s="74"/>
      <c r="O201" s="74"/>
      <c r="P201" s="74"/>
      <c r="U201" s="21" t="s">
        <v>42</v>
      </c>
      <c r="W201" s="138">
        <v>27.953845977783203</v>
      </c>
      <c r="X201" s="62">
        <f>'Additional information'!$D$20</f>
        <v>0.05</v>
      </c>
      <c r="Y201" s="120">
        <f t="shared" si="12"/>
        <v>1.3976922988891602</v>
      </c>
      <c r="Z201" s="120">
        <f t="shared" si="14"/>
        <v>1.3976922988891602</v>
      </c>
    </row>
    <row r="202" spans="1:27">
      <c r="A202" s="29" t="s">
        <v>75</v>
      </c>
      <c r="B202" s="29" t="s">
        <v>585</v>
      </c>
      <c r="C202" s="35" t="s">
        <v>338</v>
      </c>
      <c r="E202" s="53"/>
      <c r="F202" s="30" t="s">
        <v>340</v>
      </c>
      <c r="G202" s="31" t="s">
        <v>586</v>
      </c>
      <c r="H202" s="43"/>
      <c r="I202" s="74" t="s">
        <v>40</v>
      </c>
      <c r="J202" s="74"/>
      <c r="K202" s="74"/>
      <c r="L202" s="74"/>
      <c r="M202" s="74" t="s">
        <v>587</v>
      </c>
      <c r="N202" s="74"/>
      <c r="O202" s="74"/>
      <c r="P202" s="74"/>
      <c r="U202" s="21" t="s">
        <v>42</v>
      </c>
      <c r="W202" s="137"/>
      <c r="X202" s="62">
        <f>'Additional information'!$D$20</f>
        <v>0.05</v>
      </c>
      <c r="Y202" s="120" t="str">
        <f t="shared" si="12"/>
        <v/>
      </c>
      <c r="Z202" s="120" t="str">
        <f t="shared" si="14"/>
        <v/>
      </c>
    </row>
    <row r="203" spans="1:27">
      <c r="E203" s="42"/>
      <c r="H203" s="43"/>
      <c r="U203" s="21" t="s">
        <v>70</v>
      </c>
      <c r="W203" s="137" t="s">
        <v>70</v>
      </c>
      <c r="X203" s="62">
        <f>'Additional information'!$D$20</f>
        <v>0.05</v>
      </c>
      <c r="Y203" s="120" t="str">
        <f t="shared" si="12"/>
        <v/>
      </c>
      <c r="Z203" s="120" t="str">
        <f t="shared" si="14"/>
        <v/>
      </c>
    </row>
    <row r="204" spans="1:27" s="31" customFormat="1" ht="28.8">
      <c r="A204" s="31" t="s">
        <v>588</v>
      </c>
      <c r="B204" s="31" t="s">
        <v>589</v>
      </c>
      <c r="C204" s="32" t="s">
        <v>590</v>
      </c>
      <c r="D204" s="32" t="s">
        <v>591</v>
      </c>
      <c r="E204" s="33"/>
      <c r="F204" s="31" t="s">
        <v>571</v>
      </c>
      <c r="G204" s="31" t="s">
        <v>592</v>
      </c>
      <c r="H204" s="37"/>
      <c r="I204" s="75" t="s">
        <v>40</v>
      </c>
      <c r="J204" s="75"/>
      <c r="K204" s="75" t="s">
        <v>475</v>
      </c>
      <c r="L204" s="75"/>
      <c r="M204" s="75" t="s">
        <v>593</v>
      </c>
      <c r="N204" s="75"/>
      <c r="O204" s="75"/>
      <c r="P204" s="75"/>
      <c r="U204" s="31" t="s">
        <v>54</v>
      </c>
      <c r="W204" s="137">
        <v>21.25</v>
      </c>
      <c r="X204" s="62">
        <f>'Additional information'!$D$20</f>
        <v>0.05</v>
      </c>
      <c r="Y204" s="120">
        <f t="shared" si="12"/>
        <v>1.0625</v>
      </c>
      <c r="Z204" s="120" t="str">
        <f t="shared" si="14"/>
        <v/>
      </c>
      <c r="AA204" s="30"/>
    </row>
    <row r="205" spans="1:27" s="31" customFormat="1">
      <c r="A205" s="31" t="s">
        <v>75</v>
      </c>
      <c r="B205" s="31" t="s">
        <v>594</v>
      </c>
      <c r="C205" s="32" t="s">
        <v>338</v>
      </c>
      <c r="D205" s="32" t="s">
        <v>595</v>
      </c>
      <c r="E205" s="33"/>
      <c r="F205" s="31" t="s">
        <v>340</v>
      </c>
      <c r="G205" s="31" t="s">
        <v>586</v>
      </c>
      <c r="H205" s="37"/>
      <c r="I205" s="75" t="s">
        <v>40</v>
      </c>
      <c r="J205" s="75"/>
      <c r="K205" s="75"/>
      <c r="L205" s="75"/>
      <c r="M205" s="75" t="s">
        <v>596</v>
      </c>
      <c r="N205" s="75"/>
      <c r="O205" s="75"/>
      <c r="P205" s="75"/>
      <c r="U205" s="31" t="s">
        <v>54</v>
      </c>
      <c r="W205" s="137"/>
      <c r="X205" s="62">
        <f>'Additional information'!$D$20</f>
        <v>0.05</v>
      </c>
      <c r="Y205" s="120" t="str">
        <f t="shared" si="12"/>
        <v/>
      </c>
      <c r="Z205" s="120" t="str">
        <f t="shared" si="14"/>
        <v/>
      </c>
      <c r="AA205" s="30"/>
    </row>
    <row r="206" spans="1:27" s="31" customFormat="1">
      <c r="C206" s="32"/>
      <c r="D206" s="32"/>
      <c r="E206" s="33"/>
      <c r="H206" s="37"/>
      <c r="I206" s="75"/>
      <c r="J206" s="75"/>
      <c r="K206" s="75"/>
      <c r="L206" s="75"/>
      <c r="M206" s="75"/>
      <c r="N206" s="75"/>
      <c r="O206" s="75"/>
      <c r="P206" s="75"/>
      <c r="U206" s="31" t="s">
        <v>70</v>
      </c>
      <c r="W206" s="137" t="s">
        <v>70</v>
      </c>
      <c r="X206" s="62">
        <f>'Additional information'!$D$20</f>
        <v>0.05</v>
      </c>
      <c r="Y206" s="120" t="str">
        <f t="shared" si="12"/>
        <v/>
      </c>
      <c r="Z206" s="120" t="str">
        <f t="shared" si="14"/>
        <v/>
      </c>
      <c r="AA206" s="30"/>
    </row>
    <row r="207" spans="1:27" ht="15" thickBot="1">
      <c r="A207" s="51" t="s">
        <v>156</v>
      </c>
      <c r="B207" s="51"/>
      <c r="C207" s="52"/>
      <c r="D207" s="52"/>
      <c r="E207" s="46"/>
      <c r="F207" s="51"/>
      <c r="G207" s="51"/>
      <c r="H207" s="47"/>
      <c r="I207" s="85"/>
      <c r="J207" s="85"/>
      <c r="K207" s="85"/>
      <c r="L207" s="85"/>
      <c r="M207" s="85"/>
      <c r="N207" s="85"/>
      <c r="O207" s="85"/>
      <c r="P207" s="85"/>
      <c r="W207" s="137" t="s">
        <v>70</v>
      </c>
      <c r="Y207" s="120" t="str">
        <f t="shared" si="12"/>
        <v/>
      </c>
      <c r="Z207" s="120" t="str">
        <f t="shared" si="14"/>
        <v/>
      </c>
    </row>
    <row r="208" spans="1:27" s="27" customFormat="1" ht="15" thickTop="1">
      <c r="A208" s="24" t="s">
        <v>71</v>
      </c>
      <c r="B208" s="24" t="s">
        <v>597</v>
      </c>
      <c r="C208" s="48" t="s">
        <v>598</v>
      </c>
      <c r="D208" s="48" t="s">
        <v>599</v>
      </c>
      <c r="E208" s="25"/>
      <c r="F208" s="24"/>
      <c r="G208" s="24"/>
      <c r="H208" s="26"/>
      <c r="I208" s="79" t="s">
        <v>53</v>
      </c>
      <c r="J208" s="79"/>
      <c r="K208" s="79"/>
      <c r="L208" s="79"/>
      <c r="M208" s="80" t="s">
        <v>600</v>
      </c>
      <c r="N208" s="79"/>
      <c r="O208" s="79"/>
      <c r="P208" s="79"/>
      <c r="U208" s="21" t="s">
        <v>42</v>
      </c>
      <c r="W208" s="137"/>
      <c r="X208" s="28"/>
      <c r="Y208" s="120" t="str">
        <f t="shared" ref="Y208:Y271" si="15">IF(W208&lt;&gt;"",W208*X208,"")</f>
        <v/>
      </c>
      <c r="Z208" s="120" t="str">
        <f t="shared" si="14"/>
        <v/>
      </c>
      <c r="AA208" s="28"/>
    </row>
    <row r="209" spans="1:27" s="27" customFormat="1">
      <c r="C209" s="49"/>
      <c r="D209" s="49"/>
      <c r="E209" s="25"/>
      <c r="H209" s="26"/>
      <c r="I209" s="80"/>
      <c r="J209" s="80"/>
      <c r="K209" s="80"/>
      <c r="L209" s="80"/>
      <c r="M209" s="80"/>
      <c r="N209" s="80"/>
      <c r="O209" s="80"/>
      <c r="P209" s="80"/>
      <c r="U209" s="21" t="s">
        <v>70</v>
      </c>
      <c r="W209" s="137" t="s">
        <v>70</v>
      </c>
      <c r="X209" s="62">
        <f>'Additional information'!$D$20</f>
        <v>0.05</v>
      </c>
      <c r="Y209" s="120" t="str">
        <f t="shared" si="15"/>
        <v/>
      </c>
      <c r="Z209" s="120" t="str">
        <f t="shared" si="14"/>
        <v/>
      </c>
      <c r="AA209" s="28"/>
    </row>
    <row r="210" spans="1:27" s="27" customFormat="1" ht="28.8">
      <c r="A210" s="29" t="s">
        <v>601</v>
      </c>
      <c r="B210" s="29" t="s">
        <v>602</v>
      </c>
      <c r="C210" s="20" t="s">
        <v>603</v>
      </c>
      <c r="D210" s="20" t="s">
        <v>604</v>
      </c>
      <c r="E210" s="42"/>
      <c r="F210" s="29"/>
      <c r="G210" s="29"/>
      <c r="H210" s="43"/>
      <c r="I210" s="74" t="s">
        <v>40</v>
      </c>
      <c r="J210" s="79"/>
      <c r="K210" s="79"/>
      <c r="L210" s="79"/>
      <c r="M210" s="79"/>
      <c r="N210" s="79"/>
      <c r="O210" s="79"/>
      <c r="P210" s="79"/>
      <c r="U210" s="21" t="s">
        <v>42</v>
      </c>
      <c r="W210" s="137">
        <v>14.384955406188965</v>
      </c>
      <c r="X210" s="62">
        <f>'Additional information'!$D$20</f>
        <v>0.05</v>
      </c>
      <c r="Y210" s="120">
        <f t="shared" si="15"/>
        <v>0.71924777030944831</v>
      </c>
      <c r="Z210" s="120">
        <f t="shared" si="14"/>
        <v>0.71924777030944831</v>
      </c>
      <c r="AA210" s="28"/>
    </row>
    <row r="211" spans="1:27">
      <c r="A211" s="29" t="s">
        <v>26</v>
      </c>
      <c r="B211" s="29" t="s">
        <v>605</v>
      </c>
      <c r="C211" s="20"/>
      <c r="D211" s="20"/>
      <c r="E211" s="42"/>
      <c r="F211" s="29"/>
      <c r="G211" s="29"/>
      <c r="H211" s="43"/>
      <c r="I211" s="74"/>
      <c r="J211" s="74"/>
      <c r="K211" s="74"/>
      <c r="L211" s="74"/>
      <c r="M211" s="74"/>
      <c r="N211" s="74"/>
      <c r="O211" s="74"/>
      <c r="P211" s="74" t="s">
        <v>606</v>
      </c>
      <c r="U211" s="21" t="s">
        <v>42</v>
      </c>
      <c r="W211" s="137"/>
      <c r="X211" s="62">
        <f>'Additional information'!$D$20</f>
        <v>0.05</v>
      </c>
      <c r="Y211" s="120" t="str">
        <f t="shared" si="15"/>
        <v/>
      </c>
      <c r="Z211" s="120" t="str">
        <f t="shared" si="14"/>
        <v/>
      </c>
    </row>
    <row r="212" spans="1:27">
      <c r="A212" s="29" t="s">
        <v>75</v>
      </c>
      <c r="B212" s="29" t="s">
        <v>607</v>
      </c>
      <c r="C212" s="35" t="s">
        <v>338</v>
      </c>
      <c r="D212" s="20" t="s">
        <v>381</v>
      </c>
      <c r="E212" s="53"/>
      <c r="F212" s="30" t="s">
        <v>340</v>
      </c>
      <c r="G212" s="31" t="s">
        <v>586</v>
      </c>
      <c r="H212" s="43"/>
      <c r="I212" s="74" t="s">
        <v>40</v>
      </c>
      <c r="J212" s="74"/>
      <c r="K212" s="74"/>
      <c r="L212" s="74"/>
      <c r="M212" s="76" t="s">
        <v>608</v>
      </c>
      <c r="N212" s="74"/>
      <c r="O212" s="74"/>
      <c r="P212" s="74"/>
      <c r="U212" s="21" t="s">
        <v>42</v>
      </c>
      <c r="W212" s="137"/>
      <c r="X212" s="62">
        <f>'Additional information'!$D$20</f>
        <v>0.05</v>
      </c>
      <c r="Y212" s="120" t="str">
        <f t="shared" si="15"/>
        <v/>
      </c>
      <c r="Z212" s="120" t="str">
        <f t="shared" si="14"/>
        <v/>
      </c>
    </row>
    <row r="213" spans="1:27">
      <c r="E213" s="42"/>
      <c r="H213" s="43"/>
      <c r="M213" s="86"/>
      <c r="U213" s="21" t="s">
        <v>70</v>
      </c>
      <c r="W213" s="137" t="s">
        <v>70</v>
      </c>
      <c r="X213" s="62">
        <f>'Additional information'!$D$20</f>
        <v>0.05</v>
      </c>
      <c r="Y213" s="120" t="str">
        <f t="shared" si="15"/>
        <v/>
      </c>
      <c r="Z213" s="120" t="str">
        <f t="shared" si="14"/>
        <v/>
      </c>
    </row>
    <row r="214" spans="1:27" ht="28.8">
      <c r="A214" s="29" t="s">
        <v>150</v>
      </c>
      <c r="B214" s="29" t="s">
        <v>609</v>
      </c>
      <c r="C214" s="20" t="s">
        <v>610</v>
      </c>
      <c r="D214" s="20" t="s">
        <v>611</v>
      </c>
      <c r="E214" s="42"/>
      <c r="F214" s="29"/>
      <c r="G214" s="29"/>
      <c r="H214" s="43"/>
      <c r="I214" s="74" t="s">
        <v>40</v>
      </c>
      <c r="J214" s="74"/>
      <c r="K214" s="74"/>
      <c r="L214" s="74"/>
      <c r="M214" s="74" t="s">
        <v>612</v>
      </c>
      <c r="N214" s="74"/>
      <c r="O214" s="74"/>
      <c r="P214" s="74"/>
      <c r="U214" s="21" t="s">
        <v>42</v>
      </c>
      <c r="W214" s="137">
        <v>9.4380531311035156</v>
      </c>
      <c r="X214" s="62">
        <f>'Additional information'!$D$20</f>
        <v>0.05</v>
      </c>
      <c r="Y214" s="120">
        <f t="shared" si="15"/>
        <v>0.47190265655517583</v>
      </c>
      <c r="Z214" s="120">
        <f t="shared" si="14"/>
        <v>0.47190265655517583</v>
      </c>
    </row>
    <row r="215" spans="1:27" ht="28.8">
      <c r="A215" s="29" t="s">
        <v>613</v>
      </c>
      <c r="B215" s="29" t="s">
        <v>614</v>
      </c>
      <c r="C215" s="20" t="s">
        <v>615</v>
      </c>
      <c r="D215" s="20" t="s">
        <v>616</v>
      </c>
      <c r="E215" s="42"/>
      <c r="F215" s="29" t="s">
        <v>336</v>
      </c>
      <c r="G215" s="29" t="s">
        <v>617</v>
      </c>
      <c r="H215" s="43"/>
      <c r="I215" s="74" t="s">
        <v>40</v>
      </c>
      <c r="J215" s="74"/>
      <c r="K215" s="76" t="s">
        <v>475</v>
      </c>
      <c r="L215" s="74"/>
      <c r="M215" s="76" t="s">
        <v>618</v>
      </c>
      <c r="N215" s="74"/>
      <c r="O215" s="74"/>
      <c r="P215" s="74"/>
      <c r="U215" s="21" t="s">
        <v>42</v>
      </c>
      <c r="W215" s="137">
        <v>27.766990661621094</v>
      </c>
      <c r="X215" s="62">
        <f>'Additional information'!$D$20</f>
        <v>0.05</v>
      </c>
      <c r="Y215" s="120">
        <f t="shared" si="15"/>
        <v>1.3883495330810547</v>
      </c>
      <c r="Z215" s="120">
        <f t="shared" si="14"/>
        <v>1.3883495330810547</v>
      </c>
    </row>
    <row r="216" spans="1:27">
      <c r="A216" s="29" t="s">
        <v>75</v>
      </c>
      <c r="B216" s="29" t="s">
        <v>619</v>
      </c>
      <c r="C216" s="35" t="s">
        <v>338</v>
      </c>
      <c r="D216" s="20" t="s">
        <v>381</v>
      </c>
      <c r="E216" s="53"/>
      <c r="F216" s="30" t="s">
        <v>340</v>
      </c>
      <c r="G216" s="31" t="s">
        <v>586</v>
      </c>
      <c r="H216" s="43"/>
      <c r="I216" s="74" t="s">
        <v>40</v>
      </c>
      <c r="J216" s="74"/>
      <c r="K216" s="74"/>
      <c r="L216" s="74"/>
      <c r="M216" s="76" t="s">
        <v>620</v>
      </c>
      <c r="N216" s="74"/>
      <c r="O216" s="74"/>
      <c r="P216" s="74"/>
      <c r="U216" s="21" t="s">
        <v>42</v>
      </c>
      <c r="W216" s="137"/>
      <c r="X216" s="62">
        <f>'Additional information'!$D$20</f>
        <v>0.05</v>
      </c>
      <c r="Y216" s="120" t="str">
        <f t="shared" si="15"/>
        <v/>
      </c>
      <c r="Z216" s="120" t="str">
        <f t="shared" si="14"/>
        <v/>
      </c>
    </row>
    <row r="217" spans="1:27">
      <c r="E217" s="42"/>
      <c r="H217" s="43"/>
      <c r="M217" s="86"/>
      <c r="U217" s="21" t="s">
        <v>70</v>
      </c>
      <c r="W217" s="137" t="s">
        <v>70</v>
      </c>
      <c r="X217" s="62">
        <f>'Additional information'!$D$20</f>
        <v>0.05</v>
      </c>
      <c r="Y217" s="120" t="str">
        <f t="shared" si="15"/>
        <v/>
      </c>
      <c r="Z217" s="120" t="str">
        <f t="shared" si="14"/>
        <v/>
      </c>
    </row>
    <row r="218" spans="1:27" ht="42.6">
      <c r="A218" s="29" t="s">
        <v>261</v>
      </c>
      <c r="B218" s="29" t="s">
        <v>621</v>
      </c>
      <c r="C218" s="35" t="s">
        <v>622</v>
      </c>
      <c r="D218" s="20" t="s">
        <v>623</v>
      </c>
      <c r="E218" s="42"/>
      <c r="F218" s="29" t="s">
        <v>480</v>
      </c>
      <c r="G218" s="29" t="s">
        <v>559</v>
      </c>
      <c r="H218" s="43"/>
      <c r="I218" s="74" t="s">
        <v>40</v>
      </c>
      <c r="J218" s="74"/>
      <c r="K218" s="74"/>
      <c r="L218" s="74"/>
      <c r="M218" s="76" t="s">
        <v>612</v>
      </c>
      <c r="N218" s="74"/>
      <c r="O218" s="74"/>
      <c r="P218" s="74"/>
      <c r="U218" s="21" t="s">
        <v>42</v>
      </c>
      <c r="W218" s="137">
        <v>13.705752372741699</v>
      </c>
      <c r="X218" s="62">
        <f>'Additional information'!$D$20</f>
        <v>0.05</v>
      </c>
      <c r="Y218" s="120">
        <f t="shared" si="15"/>
        <v>0.68528761863708498</v>
      </c>
      <c r="Z218" s="120">
        <f t="shared" si="14"/>
        <v>0.68528761863708498</v>
      </c>
    </row>
    <row r="219" spans="1:27">
      <c r="C219" s="23"/>
      <c r="D219" s="23"/>
      <c r="E219" s="42"/>
      <c r="H219" s="43"/>
      <c r="M219" s="86"/>
      <c r="U219" s="21" t="s">
        <v>70</v>
      </c>
      <c r="W219" s="137" t="s">
        <v>70</v>
      </c>
      <c r="X219" s="62">
        <f>'Additional information'!$D$20</f>
        <v>0.05</v>
      </c>
      <c r="Y219" s="120" t="str">
        <f t="shared" si="15"/>
        <v/>
      </c>
      <c r="Z219" s="120" t="str">
        <f t="shared" si="14"/>
        <v/>
      </c>
    </row>
    <row r="220" spans="1:27" ht="15" thickBot="1">
      <c r="A220" s="56" t="s">
        <v>156</v>
      </c>
      <c r="B220" s="56"/>
      <c r="C220" s="57"/>
      <c r="D220" s="57"/>
      <c r="E220" s="66"/>
      <c r="F220" s="56"/>
      <c r="G220" s="56"/>
      <c r="H220" s="67"/>
      <c r="I220" s="87"/>
      <c r="J220" s="87"/>
      <c r="K220" s="87"/>
      <c r="L220" s="87"/>
      <c r="M220" s="87"/>
      <c r="N220" s="87"/>
      <c r="O220" s="87"/>
      <c r="P220" s="87"/>
      <c r="W220" s="137" t="s">
        <v>70</v>
      </c>
      <c r="Y220" s="120" t="str">
        <f t="shared" si="15"/>
        <v/>
      </c>
      <c r="Z220" s="120" t="str">
        <f t="shared" ref="Z220:Z251" si="16">IF(AND(W220&lt;&gt;"",U220="yes"),W220*X220,"")</f>
        <v/>
      </c>
    </row>
    <row r="221" spans="1:27" s="27" customFormat="1" ht="15" thickTop="1">
      <c r="A221" s="24" t="s">
        <v>71</v>
      </c>
      <c r="B221" s="24" t="s">
        <v>624</v>
      </c>
      <c r="C221" s="48" t="s">
        <v>625</v>
      </c>
      <c r="D221" s="48" t="s">
        <v>626</v>
      </c>
      <c r="E221" s="25"/>
      <c r="F221" s="24"/>
      <c r="G221" s="24"/>
      <c r="H221" s="26"/>
      <c r="I221" s="79" t="s">
        <v>53</v>
      </c>
      <c r="J221" s="79"/>
      <c r="K221" s="79"/>
      <c r="L221" s="79"/>
      <c r="M221" s="80" t="s">
        <v>160</v>
      </c>
      <c r="N221" s="79"/>
      <c r="O221" s="79"/>
      <c r="P221" s="79"/>
      <c r="U221" s="21" t="s">
        <v>42</v>
      </c>
      <c r="W221" s="137"/>
      <c r="X221" s="28"/>
      <c r="Y221" s="120" t="str">
        <f t="shared" si="15"/>
        <v/>
      </c>
      <c r="Z221" s="120" t="str">
        <f t="shared" si="16"/>
        <v/>
      </c>
      <c r="AA221" s="28"/>
    </row>
    <row r="222" spans="1:27">
      <c r="C222" s="23"/>
      <c r="D222" s="23"/>
      <c r="E222" s="42"/>
      <c r="H222" s="43"/>
      <c r="M222" s="86"/>
      <c r="U222" s="21" t="s">
        <v>70</v>
      </c>
      <c r="W222" s="137" t="s">
        <v>70</v>
      </c>
      <c r="X222" s="62">
        <v>1</v>
      </c>
      <c r="Y222" s="120" t="str">
        <f t="shared" si="15"/>
        <v/>
      </c>
      <c r="Z222" s="120" t="str">
        <f t="shared" si="16"/>
        <v/>
      </c>
    </row>
    <row r="223" spans="1:27" s="27" customFormat="1" ht="43.2">
      <c r="A223" s="29" t="s">
        <v>47</v>
      </c>
      <c r="B223" s="29" t="s">
        <v>627</v>
      </c>
      <c r="C223" s="20" t="s">
        <v>628</v>
      </c>
      <c r="D223" s="20" t="s">
        <v>629</v>
      </c>
      <c r="E223" s="25"/>
      <c r="H223" s="26"/>
      <c r="I223" s="79"/>
      <c r="J223" s="79"/>
      <c r="K223" s="79"/>
      <c r="L223" s="79"/>
      <c r="M223" s="79"/>
      <c r="N223" s="79"/>
      <c r="O223" s="79"/>
      <c r="P223" s="79"/>
      <c r="U223" s="21" t="s">
        <v>54</v>
      </c>
      <c r="W223" s="137"/>
      <c r="X223" s="63">
        <v>1</v>
      </c>
      <c r="Y223" s="120" t="str">
        <f t="shared" si="15"/>
        <v/>
      </c>
      <c r="Z223" s="120" t="str">
        <f t="shared" si="16"/>
        <v/>
      </c>
      <c r="AA223" s="28"/>
    </row>
    <row r="224" spans="1:27">
      <c r="C224" s="23"/>
      <c r="D224" s="23"/>
      <c r="E224" s="42"/>
      <c r="H224" s="43"/>
      <c r="M224" s="86"/>
      <c r="W224" s="137" t="s">
        <v>70</v>
      </c>
      <c r="X224" s="62">
        <v>1</v>
      </c>
      <c r="Y224" s="120" t="str">
        <f t="shared" si="15"/>
        <v/>
      </c>
      <c r="Z224" s="120" t="str">
        <f t="shared" si="16"/>
        <v/>
      </c>
    </row>
    <row r="225" spans="1:27" s="27" customFormat="1">
      <c r="A225" s="29" t="s">
        <v>71</v>
      </c>
      <c r="B225" s="29" t="s">
        <v>630</v>
      </c>
      <c r="C225" s="48" t="s">
        <v>631</v>
      </c>
      <c r="D225" s="48" t="s">
        <v>631</v>
      </c>
      <c r="E225" s="25"/>
      <c r="F225" s="24"/>
      <c r="G225" s="24"/>
      <c r="H225" s="26"/>
      <c r="I225" s="79"/>
      <c r="J225" s="79"/>
      <c r="K225" s="79"/>
      <c r="L225" s="79"/>
      <c r="M225" s="79"/>
      <c r="N225" s="79"/>
      <c r="O225" s="79"/>
      <c r="P225" s="79"/>
      <c r="U225" s="21"/>
      <c r="W225" s="137"/>
      <c r="X225" s="63">
        <v>1</v>
      </c>
      <c r="Y225" s="120" t="str">
        <f t="shared" si="15"/>
        <v/>
      </c>
      <c r="Z225" s="120" t="str">
        <f t="shared" si="16"/>
        <v/>
      </c>
      <c r="AA225" s="28"/>
    </row>
    <row r="226" spans="1:27" ht="28.8">
      <c r="A226" s="29" t="s">
        <v>47</v>
      </c>
      <c r="B226" s="29" t="s">
        <v>632</v>
      </c>
      <c r="C226" s="20" t="s">
        <v>633</v>
      </c>
      <c r="D226" s="20" t="s">
        <v>634</v>
      </c>
      <c r="E226" s="42"/>
      <c r="F226" s="29"/>
      <c r="G226" s="29"/>
      <c r="H226" s="43"/>
      <c r="I226" s="74" t="s">
        <v>53</v>
      </c>
      <c r="J226" s="74"/>
      <c r="K226" s="74"/>
      <c r="L226" s="74"/>
      <c r="M226" s="74"/>
      <c r="N226" s="74"/>
      <c r="O226" s="74"/>
      <c r="P226" s="74"/>
      <c r="U226" s="21" t="s">
        <v>42</v>
      </c>
      <c r="W226" s="137">
        <v>12.77690315246582</v>
      </c>
      <c r="X226" s="63">
        <v>1</v>
      </c>
      <c r="Y226" s="120">
        <f t="shared" si="15"/>
        <v>12.77690315246582</v>
      </c>
      <c r="Z226" s="120">
        <f t="shared" si="16"/>
        <v>12.77690315246582</v>
      </c>
    </row>
    <row r="227" spans="1:27" ht="43.2">
      <c r="A227" s="29" t="s">
        <v>150</v>
      </c>
      <c r="B227" s="29" t="s">
        <v>635</v>
      </c>
      <c r="C227" s="20" t="s">
        <v>636</v>
      </c>
      <c r="D227" s="20" t="s">
        <v>637</v>
      </c>
      <c r="E227" s="42"/>
      <c r="F227" s="29"/>
      <c r="G227" s="29"/>
      <c r="H227" s="43"/>
      <c r="I227" s="74" t="s">
        <v>40</v>
      </c>
      <c r="J227" s="74"/>
      <c r="K227" s="74"/>
      <c r="L227" s="74"/>
      <c r="M227" s="74"/>
      <c r="N227" s="74"/>
      <c r="O227" s="74"/>
      <c r="P227" s="74"/>
      <c r="U227" s="21" t="s">
        <v>42</v>
      </c>
      <c r="W227" s="137">
        <v>21.398605346679688</v>
      </c>
      <c r="X227" s="63">
        <v>1</v>
      </c>
      <c r="Y227" s="120">
        <f t="shared" si="15"/>
        <v>21.398605346679688</v>
      </c>
      <c r="Z227" s="120">
        <f t="shared" si="16"/>
        <v>21.398605346679688</v>
      </c>
    </row>
    <row r="228" spans="1:27" ht="43.2">
      <c r="A228" s="29" t="s">
        <v>150</v>
      </c>
      <c r="B228" s="29" t="s">
        <v>638</v>
      </c>
      <c r="C228" s="20" t="s">
        <v>639</v>
      </c>
      <c r="D228" s="20" t="s">
        <v>640</v>
      </c>
      <c r="E228" s="42"/>
      <c r="F228" s="29"/>
      <c r="G228" s="29"/>
      <c r="H228" s="43"/>
      <c r="I228" s="74" t="s">
        <v>40</v>
      </c>
      <c r="J228" s="74"/>
      <c r="K228" s="74"/>
      <c r="L228" s="74"/>
      <c r="M228" s="74"/>
      <c r="N228" s="74"/>
      <c r="O228" s="74"/>
      <c r="P228" s="74"/>
      <c r="U228" s="21" t="s">
        <v>42</v>
      </c>
      <c r="W228" s="137">
        <v>14.980740547180176</v>
      </c>
      <c r="X228" s="63">
        <v>1</v>
      </c>
      <c r="Y228" s="120">
        <f t="shared" si="15"/>
        <v>14.980740547180176</v>
      </c>
      <c r="Z228" s="120">
        <f t="shared" si="16"/>
        <v>14.980740547180176</v>
      </c>
    </row>
    <row r="229" spans="1:27" ht="43.2">
      <c r="A229" s="29" t="s">
        <v>150</v>
      </c>
      <c r="B229" s="29" t="s">
        <v>641</v>
      </c>
      <c r="C229" s="20" t="s">
        <v>642</v>
      </c>
      <c r="D229" s="20" t="s">
        <v>643</v>
      </c>
      <c r="E229" s="42"/>
      <c r="F229" s="29"/>
      <c r="G229" s="29"/>
      <c r="H229" s="43"/>
      <c r="I229" s="74" t="s">
        <v>40</v>
      </c>
      <c r="J229" s="74"/>
      <c r="K229" s="74"/>
      <c r="L229" s="74"/>
      <c r="M229" s="74"/>
      <c r="N229" s="74"/>
      <c r="O229" s="74"/>
      <c r="P229" s="74"/>
      <c r="U229" s="21" t="s">
        <v>42</v>
      </c>
      <c r="W229" s="137">
        <v>13.723021507263184</v>
      </c>
      <c r="X229" s="63">
        <v>1</v>
      </c>
      <c r="Y229" s="120">
        <f t="shared" si="15"/>
        <v>13.723021507263184</v>
      </c>
      <c r="Z229" s="120">
        <f t="shared" si="16"/>
        <v>13.723021507263184</v>
      </c>
    </row>
    <row r="230" spans="1:27" ht="43.2">
      <c r="A230" s="29" t="s">
        <v>150</v>
      </c>
      <c r="B230" s="29" t="s">
        <v>644</v>
      </c>
      <c r="C230" s="20" t="s">
        <v>645</v>
      </c>
      <c r="D230" s="20" t="s">
        <v>646</v>
      </c>
      <c r="E230" s="42"/>
      <c r="F230" s="29"/>
      <c r="G230" s="29"/>
      <c r="H230" s="43"/>
      <c r="I230" s="74" t="s">
        <v>40</v>
      </c>
      <c r="J230" s="74"/>
      <c r="K230" s="74"/>
      <c r="L230" s="74"/>
      <c r="M230" s="74"/>
      <c r="N230" s="74"/>
      <c r="O230" s="74"/>
      <c r="P230" s="74"/>
      <c r="U230" s="21" t="s">
        <v>42</v>
      </c>
      <c r="W230" s="137">
        <v>13.062200546264648</v>
      </c>
      <c r="X230" s="63">
        <v>1</v>
      </c>
      <c r="Y230" s="120">
        <f t="shared" si="15"/>
        <v>13.062200546264648</v>
      </c>
      <c r="Z230" s="120">
        <f t="shared" si="16"/>
        <v>13.062200546264648</v>
      </c>
    </row>
    <row r="231" spans="1:27" ht="43.2">
      <c r="A231" s="29" t="s">
        <v>150</v>
      </c>
      <c r="B231" s="29" t="s">
        <v>647</v>
      </c>
      <c r="C231" s="20" t="s">
        <v>648</v>
      </c>
      <c r="D231" s="20" t="s">
        <v>649</v>
      </c>
      <c r="E231" s="42"/>
      <c r="F231" s="29"/>
      <c r="G231" s="29"/>
      <c r="H231" s="43"/>
      <c r="I231" s="74" t="s">
        <v>40</v>
      </c>
      <c r="J231" s="74"/>
      <c r="K231" s="74"/>
      <c r="L231" s="74"/>
      <c r="M231" s="74"/>
      <c r="N231" s="74"/>
      <c r="O231" s="74"/>
      <c r="P231" s="74"/>
      <c r="U231" s="21" t="s">
        <v>42</v>
      </c>
      <c r="W231" s="137">
        <v>13.09532356262207</v>
      </c>
      <c r="X231" s="63">
        <v>1</v>
      </c>
      <c r="Y231" s="120">
        <f t="shared" si="15"/>
        <v>13.09532356262207</v>
      </c>
      <c r="Z231" s="120">
        <f t="shared" si="16"/>
        <v>13.09532356262207</v>
      </c>
    </row>
    <row r="232" spans="1:27" ht="43.2">
      <c r="A232" s="29" t="s">
        <v>150</v>
      </c>
      <c r="B232" s="29" t="s">
        <v>650</v>
      </c>
      <c r="C232" s="20" t="s">
        <v>651</v>
      </c>
      <c r="D232" s="20" t="s">
        <v>652</v>
      </c>
      <c r="E232" s="42"/>
      <c r="F232" s="29"/>
      <c r="G232" s="29"/>
      <c r="H232" s="43"/>
      <c r="I232" s="74" t="s">
        <v>40</v>
      </c>
      <c r="J232" s="74"/>
      <c r="K232" s="74"/>
      <c r="L232" s="74"/>
      <c r="M232" s="74"/>
      <c r="N232" s="74"/>
      <c r="O232" s="74"/>
      <c r="P232" s="74"/>
      <c r="U232" s="21" t="s">
        <v>42</v>
      </c>
      <c r="W232" s="137">
        <v>16.101019184652277</v>
      </c>
      <c r="X232" s="63">
        <v>1</v>
      </c>
      <c r="Y232" s="120">
        <f t="shared" si="15"/>
        <v>16.101019184652277</v>
      </c>
      <c r="Z232" s="120">
        <f t="shared" si="16"/>
        <v>16.101019184652277</v>
      </c>
    </row>
    <row r="233" spans="1:27" s="30" customFormat="1">
      <c r="A233" s="34" t="s">
        <v>653</v>
      </c>
      <c r="B233" s="34" t="s">
        <v>654</v>
      </c>
      <c r="C233" s="35" t="s">
        <v>655</v>
      </c>
      <c r="D233" s="20" t="s">
        <v>656</v>
      </c>
      <c r="E233" s="53"/>
      <c r="F233" s="34"/>
      <c r="G233" s="34"/>
      <c r="H233" s="55"/>
      <c r="I233" s="76" t="s">
        <v>40</v>
      </c>
      <c r="J233" s="76"/>
      <c r="K233" s="76"/>
      <c r="L233" s="76"/>
      <c r="M233" s="76" t="s">
        <v>657</v>
      </c>
      <c r="N233" s="76"/>
      <c r="O233" s="76"/>
      <c r="P233" s="76"/>
      <c r="U233" s="30" t="s">
        <v>42</v>
      </c>
      <c r="W233" s="137">
        <v>11.765043258666992</v>
      </c>
      <c r="X233" s="63">
        <v>1</v>
      </c>
      <c r="Y233" s="120">
        <f t="shared" si="15"/>
        <v>11.765043258666992</v>
      </c>
      <c r="Z233" s="120">
        <f t="shared" si="16"/>
        <v>11.765043258666992</v>
      </c>
    </row>
    <row r="234" spans="1:27" s="30" customFormat="1" ht="43.2">
      <c r="A234" s="34" t="s">
        <v>150</v>
      </c>
      <c r="B234" s="34" t="s">
        <v>658</v>
      </c>
      <c r="C234" s="35" t="s">
        <v>659</v>
      </c>
      <c r="D234" s="20" t="s">
        <v>660</v>
      </c>
      <c r="E234" s="53"/>
      <c r="F234" s="34"/>
      <c r="G234" s="34"/>
      <c r="H234" s="55"/>
      <c r="I234" s="76" t="s">
        <v>40</v>
      </c>
      <c r="J234" s="76"/>
      <c r="K234" s="76"/>
      <c r="L234" s="76"/>
      <c r="M234" s="76"/>
      <c r="N234" s="76"/>
      <c r="O234" s="76"/>
      <c r="P234" s="76"/>
      <c r="U234" s="30" t="s">
        <v>42</v>
      </c>
      <c r="W234" s="137">
        <v>12.432478904724121</v>
      </c>
      <c r="X234" s="63">
        <v>1</v>
      </c>
      <c r="Y234" s="120">
        <f t="shared" si="15"/>
        <v>12.432478904724121</v>
      </c>
      <c r="Z234" s="120">
        <f t="shared" si="16"/>
        <v>12.432478904724121</v>
      </c>
    </row>
    <row r="235" spans="1:27" s="30" customFormat="1">
      <c r="A235" s="34" t="s">
        <v>653</v>
      </c>
      <c r="B235" s="34" t="s">
        <v>661</v>
      </c>
      <c r="C235" s="35" t="s">
        <v>655</v>
      </c>
      <c r="D235" s="20" t="s">
        <v>656</v>
      </c>
      <c r="E235" s="53"/>
      <c r="F235" s="34"/>
      <c r="G235" s="34"/>
      <c r="H235" s="55"/>
      <c r="I235" s="76" t="s">
        <v>40</v>
      </c>
      <c r="J235" s="76"/>
      <c r="K235" s="76"/>
      <c r="L235" s="76"/>
      <c r="M235" s="76" t="s">
        <v>662</v>
      </c>
      <c r="N235" s="76"/>
      <c r="O235" s="76"/>
      <c r="P235" s="76"/>
      <c r="U235" s="30" t="s">
        <v>42</v>
      </c>
      <c r="W235" s="137">
        <v>8.9801836013793945</v>
      </c>
      <c r="X235" s="63">
        <v>1</v>
      </c>
      <c r="Y235" s="120">
        <f t="shared" si="15"/>
        <v>8.9801836013793945</v>
      </c>
      <c r="Z235" s="120">
        <f t="shared" si="16"/>
        <v>8.9801836013793945</v>
      </c>
    </row>
    <row r="236" spans="1:27" s="30" customFormat="1" ht="43.2">
      <c r="A236" s="34" t="s">
        <v>150</v>
      </c>
      <c r="B236" s="34" t="s">
        <v>663</v>
      </c>
      <c r="C236" s="35" t="s">
        <v>664</v>
      </c>
      <c r="D236" s="20" t="s">
        <v>665</v>
      </c>
      <c r="E236" s="53"/>
      <c r="F236" s="34"/>
      <c r="G236" s="34"/>
      <c r="H236" s="55"/>
      <c r="I236" s="76" t="s">
        <v>40</v>
      </c>
      <c r="J236" s="76"/>
      <c r="K236" s="76"/>
      <c r="L236" s="76"/>
      <c r="M236" s="76"/>
      <c r="N236" s="76"/>
      <c r="O236" s="76"/>
      <c r="P236" s="76"/>
      <c r="U236" s="30" t="s">
        <v>42</v>
      </c>
      <c r="W236" s="137">
        <v>11.089328765869141</v>
      </c>
      <c r="X236" s="63">
        <v>1</v>
      </c>
      <c r="Y236" s="120">
        <f t="shared" si="15"/>
        <v>11.089328765869141</v>
      </c>
      <c r="Z236" s="120">
        <f t="shared" si="16"/>
        <v>11.089328765869141</v>
      </c>
    </row>
    <row r="237" spans="1:27" s="30" customFormat="1">
      <c r="A237" s="34" t="s">
        <v>653</v>
      </c>
      <c r="B237" s="34" t="s">
        <v>666</v>
      </c>
      <c r="C237" s="35" t="s">
        <v>655</v>
      </c>
      <c r="D237" s="20" t="s">
        <v>656</v>
      </c>
      <c r="E237" s="53"/>
      <c r="F237" s="34"/>
      <c r="G237" s="34"/>
      <c r="H237" s="55"/>
      <c r="I237" s="76" t="s">
        <v>40</v>
      </c>
      <c r="J237" s="76"/>
      <c r="K237" s="76"/>
      <c r="L237" s="76"/>
      <c r="M237" s="76" t="s">
        <v>667</v>
      </c>
      <c r="N237" s="76"/>
      <c r="O237" s="76"/>
      <c r="P237" s="76"/>
      <c r="U237" s="30" t="s">
        <v>42</v>
      </c>
      <c r="W237" s="137">
        <v>8.0683355331420898</v>
      </c>
      <c r="X237" s="63">
        <v>1</v>
      </c>
      <c r="Y237" s="120">
        <f t="shared" si="15"/>
        <v>8.0683355331420898</v>
      </c>
      <c r="Z237" s="120">
        <f t="shared" si="16"/>
        <v>8.0683355331420898</v>
      </c>
    </row>
    <row r="238" spans="1:27">
      <c r="A238" s="34" t="s">
        <v>156</v>
      </c>
      <c r="B238" s="34"/>
      <c r="C238" s="20"/>
      <c r="D238" s="20"/>
      <c r="E238" s="42"/>
      <c r="F238" s="29"/>
      <c r="G238" s="29"/>
      <c r="H238" s="43"/>
      <c r="I238" s="74"/>
      <c r="J238" s="74"/>
      <c r="K238" s="74"/>
      <c r="L238" s="74"/>
      <c r="M238" s="74"/>
      <c r="N238" s="74"/>
      <c r="O238" s="74"/>
      <c r="P238" s="74"/>
      <c r="U238" s="21" t="s">
        <v>70</v>
      </c>
      <c r="W238" s="137" t="s">
        <v>70</v>
      </c>
      <c r="X238" s="63">
        <v>1</v>
      </c>
      <c r="Y238" s="120" t="str">
        <f t="shared" si="15"/>
        <v/>
      </c>
      <c r="Z238" s="120" t="str">
        <f t="shared" si="16"/>
        <v/>
      </c>
    </row>
    <row r="239" spans="1:27">
      <c r="A239" s="30"/>
      <c r="B239" s="30"/>
      <c r="E239" s="42"/>
      <c r="H239" s="43"/>
      <c r="U239" s="21" t="s">
        <v>70</v>
      </c>
      <c r="W239" s="137" t="s">
        <v>70</v>
      </c>
      <c r="X239" s="63">
        <v>1</v>
      </c>
      <c r="Y239" s="120" t="str">
        <f t="shared" si="15"/>
        <v/>
      </c>
      <c r="Z239" s="120" t="str">
        <f t="shared" si="16"/>
        <v/>
      </c>
    </row>
    <row r="240" spans="1:27" s="31" customFormat="1">
      <c r="A240" s="31" t="s">
        <v>71</v>
      </c>
      <c r="B240" s="31" t="s">
        <v>668</v>
      </c>
      <c r="C240" s="115" t="s">
        <v>669</v>
      </c>
      <c r="D240" s="115" t="s">
        <v>669</v>
      </c>
      <c r="E240" s="33"/>
      <c r="H240" s="37"/>
      <c r="I240" s="75"/>
      <c r="J240" s="75" t="s">
        <v>670</v>
      </c>
      <c r="K240" s="75"/>
      <c r="L240" s="75"/>
      <c r="M240" s="75"/>
      <c r="N240" s="75"/>
      <c r="O240" s="75"/>
      <c r="P240" s="75"/>
      <c r="W240" s="141"/>
      <c r="X240" s="116">
        <v>1</v>
      </c>
      <c r="Y240" s="124" t="str">
        <f t="shared" si="15"/>
        <v/>
      </c>
      <c r="Z240" s="124" t="str">
        <f t="shared" si="16"/>
        <v/>
      </c>
    </row>
    <row r="241" spans="1:27" s="31" customFormat="1" ht="57.6">
      <c r="A241" s="31" t="s">
        <v>47</v>
      </c>
      <c r="B241" s="31" t="s">
        <v>671</v>
      </c>
      <c r="C241" s="32" t="s">
        <v>672</v>
      </c>
      <c r="D241" s="32" t="s">
        <v>673</v>
      </c>
      <c r="E241" s="33"/>
      <c r="H241" s="37"/>
      <c r="I241" s="75"/>
      <c r="J241" s="75"/>
      <c r="K241" s="75"/>
      <c r="L241" s="75"/>
      <c r="M241" s="75"/>
      <c r="N241" s="75"/>
      <c r="O241" s="75"/>
      <c r="P241" s="75"/>
      <c r="U241" s="31" t="s">
        <v>54</v>
      </c>
      <c r="W241" s="141">
        <v>5.7112536430358887</v>
      </c>
      <c r="X241" s="116">
        <v>1</v>
      </c>
      <c r="Y241" s="124">
        <f t="shared" si="15"/>
        <v>5.7112536430358887</v>
      </c>
      <c r="Z241" s="124" t="str">
        <f t="shared" si="16"/>
        <v/>
      </c>
    </row>
    <row r="242" spans="1:27" s="117" customFormat="1" ht="28.8">
      <c r="A242" s="31" t="s">
        <v>674</v>
      </c>
      <c r="B242" s="31" t="s">
        <v>675</v>
      </c>
      <c r="C242" s="32" t="s">
        <v>676</v>
      </c>
      <c r="D242" s="32" t="s">
        <v>677</v>
      </c>
      <c r="E242" s="64"/>
      <c r="H242" s="65"/>
      <c r="I242" s="75" t="s">
        <v>40</v>
      </c>
      <c r="J242" s="75" t="s">
        <v>223</v>
      </c>
      <c r="K242" s="118"/>
      <c r="L242" s="118"/>
      <c r="M242" s="118"/>
      <c r="N242" s="118"/>
      <c r="O242" s="118"/>
      <c r="P242" s="118"/>
      <c r="U242" s="31" t="s">
        <v>54</v>
      </c>
      <c r="W242" s="137">
        <v>19.851530075073242</v>
      </c>
      <c r="X242" s="63">
        <v>1</v>
      </c>
      <c r="Y242" s="120">
        <f t="shared" si="15"/>
        <v>19.851530075073242</v>
      </c>
      <c r="Z242" s="120" t="str">
        <f t="shared" si="16"/>
        <v/>
      </c>
      <c r="AA242" s="30"/>
    </row>
    <row r="243" spans="1:27" s="117" customFormat="1">
      <c r="A243" s="31" t="s">
        <v>674</v>
      </c>
      <c r="B243" s="31" t="s">
        <v>678</v>
      </c>
      <c r="C243" s="32" t="s">
        <v>679</v>
      </c>
      <c r="D243" s="32" t="s">
        <v>680</v>
      </c>
      <c r="E243" s="64"/>
      <c r="H243" s="65"/>
      <c r="I243" s="75" t="s">
        <v>40</v>
      </c>
      <c r="J243" s="75" t="s">
        <v>223</v>
      </c>
      <c r="K243" s="118"/>
      <c r="L243" s="118"/>
      <c r="M243" s="118"/>
      <c r="N243" s="118"/>
      <c r="O243" s="118"/>
      <c r="P243" s="118"/>
      <c r="U243" s="31" t="s">
        <v>54</v>
      </c>
      <c r="W243" s="137">
        <v>15.436671257019043</v>
      </c>
      <c r="X243" s="63">
        <v>1</v>
      </c>
      <c r="Y243" s="120">
        <f t="shared" si="15"/>
        <v>15.436671257019043</v>
      </c>
      <c r="Z243" s="120" t="str">
        <f t="shared" si="16"/>
        <v/>
      </c>
      <c r="AA243" s="30"/>
    </row>
    <row r="244" spans="1:27" s="117" customFormat="1">
      <c r="A244" s="31" t="s">
        <v>674</v>
      </c>
      <c r="B244" s="31" t="s">
        <v>681</v>
      </c>
      <c r="C244" s="32" t="s">
        <v>682</v>
      </c>
      <c r="D244" s="32" t="s">
        <v>683</v>
      </c>
      <c r="E244" s="64"/>
      <c r="H244" s="65"/>
      <c r="I244" s="75" t="s">
        <v>40</v>
      </c>
      <c r="J244" s="75" t="s">
        <v>223</v>
      </c>
      <c r="K244" s="118"/>
      <c r="L244" s="118"/>
      <c r="M244" s="118"/>
      <c r="N244" s="118"/>
      <c r="O244" s="118"/>
      <c r="P244" s="118"/>
      <c r="U244" s="31" t="s">
        <v>54</v>
      </c>
      <c r="W244" s="137">
        <v>13.399938583374023</v>
      </c>
      <c r="X244" s="63">
        <v>1</v>
      </c>
      <c r="Y244" s="120">
        <f t="shared" si="15"/>
        <v>13.399938583374023</v>
      </c>
      <c r="Z244" s="120" t="str">
        <f t="shared" si="16"/>
        <v/>
      </c>
      <c r="AA244" s="30"/>
    </row>
    <row r="245" spans="1:27" s="117" customFormat="1">
      <c r="A245" s="31" t="s">
        <v>674</v>
      </c>
      <c r="B245" s="31" t="s">
        <v>684</v>
      </c>
      <c r="C245" s="32" t="s">
        <v>685</v>
      </c>
      <c r="D245" s="32" t="s">
        <v>686</v>
      </c>
      <c r="E245" s="64"/>
      <c r="H245" s="65"/>
      <c r="I245" s="75" t="s">
        <v>40</v>
      </c>
      <c r="J245" s="75" t="s">
        <v>223</v>
      </c>
      <c r="K245" s="118"/>
      <c r="L245" s="118"/>
      <c r="M245" s="118"/>
      <c r="N245" s="118"/>
      <c r="O245" s="118"/>
      <c r="P245" s="118"/>
      <c r="U245" s="31" t="s">
        <v>54</v>
      </c>
      <c r="W245" s="137">
        <v>14.625933647155762</v>
      </c>
      <c r="X245" s="63">
        <v>1</v>
      </c>
      <c r="Y245" s="120">
        <f t="shared" si="15"/>
        <v>14.625933647155762</v>
      </c>
      <c r="Z245" s="120" t="str">
        <f t="shared" si="16"/>
        <v/>
      </c>
      <c r="AA245" s="30"/>
    </row>
    <row r="246" spans="1:27" s="117" customFormat="1">
      <c r="A246" s="31" t="s">
        <v>674</v>
      </c>
      <c r="B246" s="31" t="s">
        <v>687</v>
      </c>
      <c r="C246" s="32" t="s">
        <v>688</v>
      </c>
      <c r="D246" s="32" t="s">
        <v>689</v>
      </c>
      <c r="E246" s="64"/>
      <c r="H246" s="65"/>
      <c r="I246" s="75" t="s">
        <v>40</v>
      </c>
      <c r="J246" s="75" t="s">
        <v>223</v>
      </c>
      <c r="K246" s="118"/>
      <c r="L246" s="118"/>
      <c r="M246" s="118"/>
      <c r="N246" s="118"/>
      <c r="O246" s="118"/>
      <c r="P246" s="118"/>
      <c r="U246" s="31" t="s">
        <v>54</v>
      </c>
      <c r="W246" s="137">
        <v>11.787801742553711</v>
      </c>
      <c r="X246" s="63">
        <v>1</v>
      </c>
      <c r="Y246" s="120">
        <f t="shared" si="15"/>
        <v>11.787801742553711</v>
      </c>
      <c r="Z246" s="120" t="str">
        <f t="shared" si="16"/>
        <v/>
      </c>
      <c r="AA246" s="30"/>
    </row>
    <row r="247" spans="1:27" s="117" customFormat="1">
      <c r="A247" s="31" t="s">
        <v>674</v>
      </c>
      <c r="B247" s="31" t="s">
        <v>690</v>
      </c>
      <c r="C247" s="32" t="s">
        <v>691</v>
      </c>
      <c r="D247" s="32" t="s">
        <v>692</v>
      </c>
      <c r="E247" s="64"/>
      <c r="H247" s="65"/>
      <c r="I247" s="75" t="s">
        <v>40</v>
      </c>
      <c r="J247" s="75" t="s">
        <v>223</v>
      </c>
      <c r="K247" s="118"/>
      <c r="L247" s="118"/>
      <c r="M247" s="118"/>
      <c r="N247" s="118"/>
      <c r="O247" s="118"/>
      <c r="P247" s="118"/>
      <c r="U247" s="31" t="s">
        <v>54</v>
      </c>
      <c r="W247" s="137">
        <v>12.408086776733398</v>
      </c>
      <c r="X247" s="63">
        <v>1</v>
      </c>
      <c r="Y247" s="120">
        <f t="shared" si="15"/>
        <v>12.408086776733398</v>
      </c>
      <c r="Z247" s="120" t="str">
        <f t="shared" si="16"/>
        <v/>
      </c>
      <c r="AA247" s="30"/>
    </row>
    <row r="248" spans="1:27" s="117" customFormat="1">
      <c r="A248" s="31" t="s">
        <v>674</v>
      </c>
      <c r="B248" s="31" t="s">
        <v>693</v>
      </c>
      <c r="C248" s="32" t="s">
        <v>694</v>
      </c>
      <c r="D248" s="32" t="s">
        <v>695</v>
      </c>
      <c r="E248" s="64"/>
      <c r="H248" s="65"/>
      <c r="I248" s="75" t="s">
        <v>40</v>
      </c>
      <c r="J248" s="75" t="s">
        <v>223</v>
      </c>
      <c r="K248" s="118"/>
      <c r="L248" s="118"/>
      <c r="M248" s="118"/>
      <c r="N248" s="118"/>
      <c r="O248" s="118"/>
      <c r="P248" s="118"/>
      <c r="U248" s="31" t="s">
        <v>54</v>
      </c>
      <c r="W248" s="137">
        <v>9.2894678115844727</v>
      </c>
      <c r="X248" s="63">
        <v>1</v>
      </c>
      <c r="Y248" s="120">
        <f t="shared" si="15"/>
        <v>9.2894678115844727</v>
      </c>
      <c r="Z248" s="120" t="str">
        <f t="shared" si="16"/>
        <v/>
      </c>
      <c r="AA248" s="30"/>
    </row>
    <row r="249" spans="1:27" s="117" customFormat="1">
      <c r="A249" s="31" t="s">
        <v>674</v>
      </c>
      <c r="B249" s="31" t="s">
        <v>696</v>
      </c>
      <c r="C249" s="32" t="s">
        <v>697</v>
      </c>
      <c r="D249" s="32" t="s">
        <v>698</v>
      </c>
      <c r="E249" s="64"/>
      <c r="H249" s="65"/>
      <c r="I249" s="75" t="s">
        <v>40</v>
      </c>
      <c r="J249" s="75" t="s">
        <v>223</v>
      </c>
      <c r="K249" s="118"/>
      <c r="L249" s="118"/>
      <c r="M249" s="118"/>
      <c r="N249" s="118"/>
      <c r="O249" s="118"/>
      <c r="P249" s="118"/>
      <c r="U249" s="31" t="s">
        <v>54</v>
      </c>
      <c r="W249" s="137">
        <v>12</v>
      </c>
      <c r="X249" s="63">
        <v>1</v>
      </c>
      <c r="Y249" s="120">
        <f t="shared" si="15"/>
        <v>12</v>
      </c>
      <c r="Z249" s="120" t="str">
        <f t="shared" si="16"/>
        <v/>
      </c>
      <c r="AA249" s="30"/>
    </row>
    <row r="250" spans="1:27" s="117" customFormat="1" ht="28.8">
      <c r="A250" s="31" t="s">
        <v>674</v>
      </c>
      <c r="B250" s="31" t="s">
        <v>699</v>
      </c>
      <c r="C250" s="32" t="s">
        <v>700</v>
      </c>
      <c r="D250" s="32" t="s">
        <v>701</v>
      </c>
      <c r="E250" s="64"/>
      <c r="H250" s="65"/>
      <c r="I250" s="75" t="s">
        <v>40</v>
      </c>
      <c r="J250" s="75" t="s">
        <v>223</v>
      </c>
      <c r="K250" s="118"/>
      <c r="L250" s="118"/>
      <c r="M250" s="118"/>
      <c r="N250" s="118"/>
      <c r="O250" s="118"/>
      <c r="P250" s="118"/>
      <c r="U250" s="31" t="s">
        <v>54</v>
      </c>
      <c r="W250" s="137">
        <v>14.410958904109588</v>
      </c>
      <c r="X250" s="63">
        <v>1</v>
      </c>
      <c r="Y250" s="120">
        <f t="shared" si="15"/>
        <v>14.410958904109588</v>
      </c>
      <c r="Z250" s="120" t="str">
        <f t="shared" si="16"/>
        <v/>
      </c>
      <c r="AA250" s="30"/>
    </row>
    <row r="251" spans="1:27" s="117" customFormat="1">
      <c r="A251" s="31" t="s">
        <v>674</v>
      </c>
      <c r="B251" s="31" t="s">
        <v>702</v>
      </c>
      <c r="C251" s="32" t="s">
        <v>703</v>
      </c>
      <c r="D251" s="32" t="s">
        <v>704</v>
      </c>
      <c r="E251" s="64"/>
      <c r="H251" s="65"/>
      <c r="I251" s="75" t="s">
        <v>40</v>
      </c>
      <c r="J251" s="75" t="s">
        <v>223</v>
      </c>
      <c r="K251" s="118"/>
      <c r="L251" s="118"/>
      <c r="M251" s="118"/>
      <c r="N251" s="118"/>
      <c r="O251" s="118"/>
      <c r="P251" s="118"/>
      <c r="U251" s="31" t="s">
        <v>54</v>
      </c>
      <c r="W251" s="137">
        <v>15.408385276794434</v>
      </c>
      <c r="X251" s="63">
        <v>1</v>
      </c>
      <c r="Y251" s="120">
        <f t="shared" si="15"/>
        <v>15.408385276794434</v>
      </c>
      <c r="Z251" s="120" t="str">
        <f t="shared" si="16"/>
        <v/>
      </c>
      <c r="AA251" s="30"/>
    </row>
    <row r="252" spans="1:27" s="117" customFormat="1">
      <c r="A252" s="31" t="s">
        <v>674</v>
      </c>
      <c r="B252" s="31" t="s">
        <v>705</v>
      </c>
      <c r="C252" s="32" t="s">
        <v>706</v>
      </c>
      <c r="D252" s="32" t="s">
        <v>707</v>
      </c>
      <c r="E252" s="64"/>
      <c r="H252" s="65"/>
      <c r="I252" s="75" t="s">
        <v>40</v>
      </c>
      <c r="J252" s="75" t="s">
        <v>223</v>
      </c>
      <c r="K252" s="118"/>
      <c r="L252" s="118"/>
      <c r="M252" s="118"/>
      <c r="N252" s="118"/>
      <c r="O252" s="118"/>
      <c r="P252" s="118"/>
      <c r="U252" s="31" t="s">
        <v>54</v>
      </c>
      <c r="W252" s="137">
        <v>15.543986320495605</v>
      </c>
      <c r="X252" s="63">
        <v>1</v>
      </c>
      <c r="Y252" s="120">
        <f t="shared" si="15"/>
        <v>15.543986320495605</v>
      </c>
      <c r="Z252" s="120" t="str">
        <f t="shared" ref="Z252:Z283" si="17">IF(AND(W252&lt;&gt;"",U252="yes"),W252*X252,"")</f>
        <v/>
      </c>
      <c r="AA252" s="30"/>
    </row>
    <row r="253" spans="1:27" s="117" customFormat="1">
      <c r="A253" s="31" t="s">
        <v>674</v>
      </c>
      <c r="B253" s="31" t="s">
        <v>708</v>
      </c>
      <c r="C253" s="32" t="s">
        <v>709</v>
      </c>
      <c r="D253" s="32" t="s">
        <v>710</v>
      </c>
      <c r="E253" s="64"/>
      <c r="H253" s="65"/>
      <c r="I253" s="75" t="s">
        <v>40</v>
      </c>
      <c r="J253" s="75" t="s">
        <v>223</v>
      </c>
      <c r="K253" s="118"/>
      <c r="L253" s="118"/>
      <c r="M253" s="118"/>
      <c r="N253" s="118"/>
      <c r="O253" s="118"/>
      <c r="P253" s="118"/>
      <c r="U253" s="31" t="s">
        <v>54</v>
      </c>
      <c r="W253" s="137">
        <v>12</v>
      </c>
      <c r="X253" s="63">
        <v>1</v>
      </c>
      <c r="Y253" s="120">
        <f t="shared" si="15"/>
        <v>12</v>
      </c>
      <c r="Z253" s="120" t="str">
        <f t="shared" si="17"/>
        <v/>
      </c>
      <c r="AA253" s="30"/>
    </row>
    <row r="254" spans="1:27" s="117" customFormat="1" ht="28.8">
      <c r="A254" s="31" t="s">
        <v>674</v>
      </c>
      <c r="B254" s="31" t="s">
        <v>711</v>
      </c>
      <c r="C254" s="32" t="s">
        <v>712</v>
      </c>
      <c r="D254" s="32" t="s">
        <v>713</v>
      </c>
      <c r="E254" s="64"/>
      <c r="H254" s="65"/>
      <c r="I254" s="75" t="s">
        <v>40</v>
      </c>
      <c r="J254" s="75" t="s">
        <v>223</v>
      </c>
      <c r="K254" s="118"/>
      <c r="L254" s="118"/>
      <c r="M254" s="118"/>
      <c r="N254" s="118"/>
      <c r="O254" s="118"/>
      <c r="P254" s="118"/>
      <c r="U254" s="31" t="s">
        <v>54</v>
      </c>
      <c r="W254" s="137">
        <v>12.996181488037109</v>
      </c>
      <c r="X254" s="63">
        <v>1</v>
      </c>
      <c r="Y254" s="120">
        <f t="shared" si="15"/>
        <v>12.996181488037109</v>
      </c>
      <c r="Z254" s="120" t="str">
        <f t="shared" si="17"/>
        <v/>
      </c>
      <c r="AA254" s="30"/>
    </row>
    <row r="255" spans="1:27" s="117" customFormat="1" ht="28.8">
      <c r="A255" s="31" t="s">
        <v>674</v>
      </c>
      <c r="B255" s="31" t="s">
        <v>714</v>
      </c>
      <c r="C255" s="32" t="s">
        <v>715</v>
      </c>
      <c r="D255" s="32" t="s">
        <v>716</v>
      </c>
      <c r="E255" s="64"/>
      <c r="H255" s="65"/>
      <c r="I255" s="75" t="s">
        <v>40</v>
      </c>
      <c r="J255" s="75" t="s">
        <v>223</v>
      </c>
      <c r="K255" s="118"/>
      <c r="L255" s="118"/>
      <c r="M255" s="118"/>
      <c r="N255" s="118"/>
      <c r="O255" s="118"/>
      <c r="P255" s="118"/>
      <c r="U255" s="31" t="s">
        <v>54</v>
      </c>
      <c r="W255" s="137">
        <v>14.752389907836914</v>
      </c>
      <c r="X255" s="63">
        <v>1</v>
      </c>
      <c r="Y255" s="120">
        <f t="shared" si="15"/>
        <v>14.752389907836914</v>
      </c>
      <c r="Z255" s="120" t="str">
        <f t="shared" si="17"/>
        <v/>
      </c>
      <c r="AA255" s="30"/>
    </row>
    <row r="256" spans="1:27" s="117" customFormat="1">
      <c r="A256" s="31" t="s">
        <v>674</v>
      </c>
      <c r="B256" s="31" t="s">
        <v>717</v>
      </c>
      <c r="C256" s="32" t="s">
        <v>718</v>
      </c>
      <c r="D256" s="32" t="s">
        <v>719</v>
      </c>
      <c r="E256" s="64"/>
      <c r="H256" s="65"/>
      <c r="I256" s="75" t="s">
        <v>40</v>
      </c>
      <c r="J256" s="75" t="s">
        <v>223</v>
      </c>
      <c r="K256" s="118"/>
      <c r="L256" s="118"/>
      <c r="M256" s="118"/>
      <c r="N256" s="118"/>
      <c r="O256" s="118"/>
      <c r="P256" s="118"/>
      <c r="U256" s="31" t="s">
        <v>54</v>
      </c>
      <c r="W256" s="137">
        <v>10.668112754821777</v>
      </c>
      <c r="X256" s="63">
        <v>1</v>
      </c>
      <c r="Y256" s="120">
        <f t="shared" si="15"/>
        <v>10.668112754821777</v>
      </c>
      <c r="Z256" s="120" t="str">
        <f t="shared" si="17"/>
        <v/>
      </c>
      <c r="AA256" s="30"/>
    </row>
    <row r="257" spans="1:27" s="117" customFormat="1">
      <c r="A257" s="31" t="s">
        <v>674</v>
      </c>
      <c r="B257" s="31" t="s">
        <v>720</v>
      </c>
      <c r="C257" s="32" t="s">
        <v>721</v>
      </c>
      <c r="D257" s="32" t="s">
        <v>722</v>
      </c>
      <c r="E257" s="64"/>
      <c r="H257" s="65"/>
      <c r="I257" s="75" t="s">
        <v>40</v>
      </c>
      <c r="J257" s="75" t="s">
        <v>223</v>
      </c>
      <c r="K257" s="118"/>
      <c r="L257" s="118"/>
      <c r="M257" s="118"/>
      <c r="N257" s="118"/>
      <c r="O257" s="118"/>
      <c r="P257" s="118"/>
      <c r="U257" s="31" t="s">
        <v>54</v>
      </c>
      <c r="W257" s="137">
        <v>9.716710090637207</v>
      </c>
      <c r="X257" s="63">
        <v>1</v>
      </c>
      <c r="Y257" s="120">
        <f t="shared" si="15"/>
        <v>9.716710090637207</v>
      </c>
      <c r="Z257" s="120" t="str">
        <f t="shared" si="17"/>
        <v/>
      </c>
      <c r="AA257" s="30"/>
    </row>
    <row r="258" spans="1:27" s="117" customFormat="1">
      <c r="A258" s="31" t="s">
        <v>674</v>
      </c>
      <c r="B258" s="31" t="s">
        <v>723</v>
      </c>
      <c r="C258" s="32" t="s">
        <v>724</v>
      </c>
      <c r="D258" s="32" t="s">
        <v>725</v>
      </c>
      <c r="E258" s="64"/>
      <c r="H258" s="65"/>
      <c r="I258" s="75" t="s">
        <v>40</v>
      </c>
      <c r="J258" s="75" t="s">
        <v>223</v>
      </c>
      <c r="K258" s="118"/>
      <c r="L258" s="118"/>
      <c r="M258" s="118"/>
      <c r="N258" s="118"/>
      <c r="O258" s="118"/>
      <c r="P258" s="118"/>
      <c r="U258" s="31" t="s">
        <v>54</v>
      </c>
      <c r="W258" s="137">
        <v>10.953365325927734</v>
      </c>
      <c r="X258" s="63">
        <v>1</v>
      </c>
      <c r="Y258" s="120">
        <f t="shared" si="15"/>
        <v>10.953365325927734</v>
      </c>
      <c r="Z258" s="120" t="str">
        <f t="shared" si="17"/>
        <v/>
      </c>
      <c r="AA258" s="30"/>
    </row>
    <row r="259" spans="1:27" s="117" customFormat="1">
      <c r="A259" s="31" t="s">
        <v>674</v>
      </c>
      <c r="B259" s="31" t="s">
        <v>726</v>
      </c>
      <c r="C259" s="32" t="s">
        <v>727</v>
      </c>
      <c r="D259" s="32" t="s">
        <v>728</v>
      </c>
      <c r="E259" s="64"/>
      <c r="H259" s="65"/>
      <c r="I259" s="75" t="s">
        <v>40</v>
      </c>
      <c r="J259" s="75" t="s">
        <v>223</v>
      </c>
      <c r="K259" s="118"/>
      <c r="L259" s="118"/>
      <c r="M259" s="118"/>
      <c r="N259" s="118"/>
      <c r="O259" s="118"/>
      <c r="P259" s="118"/>
      <c r="U259" s="31" t="s">
        <v>54</v>
      </c>
      <c r="W259" s="137">
        <v>10.114131927490234</v>
      </c>
      <c r="X259" s="63">
        <v>1</v>
      </c>
      <c r="Y259" s="120">
        <f t="shared" si="15"/>
        <v>10.114131927490234</v>
      </c>
      <c r="Z259" s="120" t="str">
        <f t="shared" si="17"/>
        <v/>
      </c>
      <c r="AA259" s="30"/>
    </row>
    <row r="260" spans="1:27" s="117" customFormat="1">
      <c r="A260" s="31" t="s">
        <v>674</v>
      </c>
      <c r="B260" s="31" t="s">
        <v>729</v>
      </c>
      <c r="C260" s="32" t="s">
        <v>730</v>
      </c>
      <c r="D260" s="32" t="s">
        <v>731</v>
      </c>
      <c r="E260" s="64"/>
      <c r="H260" s="65"/>
      <c r="I260" s="75" t="s">
        <v>40</v>
      </c>
      <c r="J260" s="75" t="s">
        <v>223</v>
      </c>
      <c r="K260" s="118"/>
      <c r="L260" s="118"/>
      <c r="M260" s="118"/>
      <c r="N260" s="118"/>
      <c r="O260" s="118"/>
      <c r="P260" s="118"/>
      <c r="U260" s="31" t="s">
        <v>54</v>
      </c>
      <c r="W260" s="137">
        <v>10.867705345153809</v>
      </c>
      <c r="X260" s="63">
        <v>1</v>
      </c>
      <c r="Y260" s="120">
        <f t="shared" si="15"/>
        <v>10.867705345153809</v>
      </c>
      <c r="Z260" s="120" t="str">
        <f t="shared" si="17"/>
        <v/>
      </c>
      <c r="AA260" s="30"/>
    </row>
    <row r="261" spans="1:27">
      <c r="A261" s="31" t="s">
        <v>156</v>
      </c>
      <c r="B261" s="31"/>
      <c r="C261" s="32"/>
      <c r="D261" s="32"/>
      <c r="E261" s="42"/>
      <c r="H261" s="43"/>
      <c r="I261" s="75"/>
      <c r="U261" s="21" t="s">
        <v>70</v>
      </c>
      <c r="W261" s="137" t="s">
        <v>70</v>
      </c>
      <c r="X261" s="63">
        <v>1</v>
      </c>
      <c r="Y261" s="120" t="str">
        <f t="shared" si="15"/>
        <v/>
      </c>
      <c r="Z261" s="120" t="str">
        <f t="shared" si="17"/>
        <v/>
      </c>
    </row>
    <row r="262" spans="1:27">
      <c r="A262" s="30"/>
      <c r="B262" s="30"/>
      <c r="E262" s="42"/>
      <c r="H262" s="43"/>
      <c r="U262" s="21" t="s">
        <v>70</v>
      </c>
      <c r="W262" s="137" t="s">
        <v>70</v>
      </c>
      <c r="X262" s="63">
        <v>1</v>
      </c>
      <c r="Y262" s="120" t="str">
        <f t="shared" si="15"/>
        <v/>
      </c>
      <c r="Z262" s="120" t="str">
        <f t="shared" si="17"/>
        <v/>
      </c>
    </row>
    <row r="263" spans="1:27">
      <c r="A263" s="34" t="s">
        <v>71</v>
      </c>
      <c r="B263" s="34" t="s">
        <v>732</v>
      </c>
      <c r="C263" s="48" t="s">
        <v>733</v>
      </c>
      <c r="D263" s="48" t="s">
        <v>733</v>
      </c>
      <c r="E263" s="42"/>
      <c r="F263" s="29"/>
      <c r="G263" s="29"/>
      <c r="H263" s="43"/>
      <c r="I263" s="74"/>
      <c r="J263" s="74"/>
      <c r="K263" s="74"/>
      <c r="L263" s="74"/>
      <c r="M263" s="74"/>
      <c r="N263" s="74"/>
      <c r="O263" s="74"/>
      <c r="P263" s="74"/>
      <c r="W263" s="137"/>
      <c r="X263" s="63">
        <v>1</v>
      </c>
      <c r="Y263" s="120" t="str">
        <f t="shared" si="15"/>
        <v/>
      </c>
      <c r="Z263" s="120" t="str">
        <f t="shared" si="17"/>
        <v/>
      </c>
    </row>
    <row r="264" spans="1:27" ht="28.8">
      <c r="A264" s="29" t="s">
        <v>47</v>
      </c>
      <c r="B264" s="29" t="s">
        <v>734</v>
      </c>
      <c r="C264" s="20" t="s">
        <v>735</v>
      </c>
      <c r="D264" s="20" t="s">
        <v>736</v>
      </c>
      <c r="E264" s="42"/>
      <c r="F264" s="29"/>
      <c r="G264" s="29"/>
      <c r="H264" s="43"/>
      <c r="I264" s="74" t="s">
        <v>53</v>
      </c>
      <c r="J264" s="74"/>
      <c r="K264" s="74"/>
      <c r="L264" s="74"/>
      <c r="M264" s="74"/>
      <c r="N264" s="74"/>
      <c r="O264" s="74"/>
      <c r="P264" s="74"/>
      <c r="U264" s="21" t="s">
        <v>42</v>
      </c>
      <c r="W264" s="137"/>
      <c r="X264" s="63">
        <v>1</v>
      </c>
      <c r="Y264" s="120" t="str">
        <f t="shared" si="15"/>
        <v/>
      </c>
      <c r="Z264" s="120" t="str">
        <f t="shared" si="17"/>
        <v/>
      </c>
    </row>
    <row r="265" spans="1:27" ht="43.2">
      <c r="A265" s="29" t="s">
        <v>737</v>
      </c>
      <c r="B265" s="29" t="s">
        <v>738</v>
      </c>
      <c r="C265" s="20" t="s">
        <v>739</v>
      </c>
      <c r="D265" s="20" t="s">
        <v>740</v>
      </c>
      <c r="E265" s="42"/>
      <c r="F265" s="29" t="s">
        <v>741</v>
      </c>
      <c r="G265" s="29" t="s">
        <v>742</v>
      </c>
      <c r="H265" s="43"/>
      <c r="I265" s="74" t="s">
        <v>40</v>
      </c>
      <c r="J265" s="74"/>
      <c r="K265" s="74"/>
      <c r="L265" s="74"/>
      <c r="M265" s="74"/>
      <c r="N265" s="74"/>
      <c r="O265" s="74"/>
      <c r="P265" s="74"/>
      <c r="U265" s="21" t="s">
        <v>42</v>
      </c>
      <c r="W265" s="137">
        <v>72.295135498046875</v>
      </c>
      <c r="X265" s="63">
        <v>1</v>
      </c>
      <c r="Y265" s="120">
        <f t="shared" si="15"/>
        <v>72.295135498046875</v>
      </c>
      <c r="Z265" s="120">
        <f t="shared" si="17"/>
        <v>72.295135498046875</v>
      </c>
    </row>
    <row r="266" spans="1:27" ht="57.6">
      <c r="A266" s="29" t="s">
        <v>47</v>
      </c>
      <c r="B266" s="29" t="s">
        <v>743</v>
      </c>
      <c r="C266" s="20" t="s">
        <v>744</v>
      </c>
      <c r="D266" s="22" t="s">
        <v>745</v>
      </c>
      <c r="E266" s="42"/>
      <c r="F266" s="29"/>
      <c r="G266" s="29"/>
      <c r="H266" s="43"/>
      <c r="I266" s="74" t="s">
        <v>53</v>
      </c>
      <c r="J266" s="74"/>
      <c r="K266" s="74"/>
      <c r="L266" s="74"/>
      <c r="M266" s="74"/>
      <c r="N266" s="74"/>
      <c r="O266" s="74"/>
      <c r="P266" s="74"/>
      <c r="U266" s="21" t="s">
        <v>42</v>
      </c>
      <c r="W266" s="137">
        <v>3.7052218914031982</v>
      </c>
      <c r="X266" s="63">
        <v>1</v>
      </c>
      <c r="Y266" s="120">
        <f t="shared" si="15"/>
        <v>3.7052218914031982</v>
      </c>
      <c r="Z266" s="120">
        <f t="shared" si="17"/>
        <v>3.7052218914031982</v>
      </c>
    </row>
    <row r="267" spans="1:27" ht="16.05" customHeight="1">
      <c r="A267" s="29" t="s">
        <v>156</v>
      </c>
      <c r="B267" s="29"/>
      <c r="C267" s="20"/>
      <c r="D267" s="20"/>
      <c r="E267" s="42"/>
      <c r="F267" s="29"/>
      <c r="G267" s="29"/>
      <c r="H267" s="43"/>
      <c r="I267" s="74"/>
      <c r="J267" s="74"/>
      <c r="K267" s="74"/>
      <c r="L267" s="74"/>
      <c r="M267" s="74"/>
      <c r="N267" s="74"/>
      <c r="O267" s="74"/>
      <c r="P267" s="74"/>
      <c r="W267" s="137" t="s">
        <v>70</v>
      </c>
      <c r="X267" s="63">
        <v>1</v>
      </c>
      <c r="Y267" s="120" t="str">
        <f t="shared" si="15"/>
        <v/>
      </c>
      <c r="Z267" s="120" t="str">
        <f t="shared" si="17"/>
        <v/>
      </c>
    </row>
    <row r="268" spans="1:27">
      <c r="A268" s="30"/>
      <c r="B268" s="30"/>
      <c r="E268" s="42"/>
      <c r="H268" s="43"/>
      <c r="U268" s="21" t="s">
        <v>70</v>
      </c>
      <c r="W268" s="137" t="s">
        <v>70</v>
      </c>
      <c r="X268" s="63">
        <v>1</v>
      </c>
      <c r="Y268" s="120" t="str">
        <f t="shared" si="15"/>
        <v/>
      </c>
      <c r="Z268" s="120" t="str">
        <f t="shared" si="17"/>
        <v/>
      </c>
    </row>
    <row r="269" spans="1:27" s="31" customFormat="1">
      <c r="A269" s="31" t="s">
        <v>71</v>
      </c>
      <c r="B269" s="31" t="s">
        <v>746</v>
      </c>
      <c r="C269" s="115" t="s">
        <v>747</v>
      </c>
      <c r="D269" s="115" t="s">
        <v>747</v>
      </c>
      <c r="E269" s="33"/>
      <c r="H269" s="37"/>
      <c r="I269" s="75"/>
      <c r="J269" s="75"/>
      <c r="K269" s="75"/>
      <c r="L269" s="75"/>
      <c r="M269" s="75"/>
      <c r="N269" s="75"/>
      <c r="O269" s="75"/>
      <c r="P269" s="75"/>
      <c r="U269" s="31" t="s">
        <v>54</v>
      </c>
      <c r="W269" s="137"/>
      <c r="X269" s="63">
        <v>1</v>
      </c>
      <c r="Y269" s="120" t="str">
        <f t="shared" si="15"/>
        <v/>
      </c>
      <c r="Z269" s="120" t="str">
        <f t="shared" si="17"/>
        <v/>
      </c>
    </row>
    <row r="270" spans="1:27" s="32" customFormat="1" ht="43.2">
      <c r="A270" s="32" t="s">
        <v>47</v>
      </c>
      <c r="B270" s="32" t="s">
        <v>748</v>
      </c>
      <c r="C270" s="32" t="s">
        <v>749</v>
      </c>
      <c r="D270" s="32" t="s">
        <v>750</v>
      </c>
      <c r="E270" s="33"/>
      <c r="H270" s="33"/>
      <c r="I270" s="75" t="s">
        <v>53</v>
      </c>
      <c r="J270" s="90"/>
      <c r="K270" s="90"/>
      <c r="L270" s="75"/>
      <c r="M270" s="90"/>
      <c r="N270" s="90"/>
      <c r="O270" s="90"/>
      <c r="P270" s="90"/>
      <c r="U270" s="32" t="s">
        <v>54</v>
      </c>
      <c r="W270" s="137">
        <v>0</v>
      </c>
      <c r="X270" s="63">
        <v>1</v>
      </c>
      <c r="Y270" s="120">
        <f t="shared" si="15"/>
        <v>0</v>
      </c>
      <c r="Z270" s="120" t="str">
        <f t="shared" si="17"/>
        <v/>
      </c>
    </row>
    <row r="271" spans="1:27" s="32" customFormat="1" ht="57.6">
      <c r="A271" s="32" t="s">
        <v>86</v>
      </c>
      <c r="B271" s="32" t="s">
        <v>751</v>
      </c>
      <c r="C271" s="32" t="s">
        <v>752</v>
      </c>
      <c r="D271" s="32" t="s">
        <v>753</v>
      </c>
      <c r="E271" s="33"/>
      <c r="F271" s="31" t="s">
        <v>754</v>
      </c>
      <c r="G271" s="31" t="s">
        <v>755</v>
      </c>
      <c r="H271" s="33"/>
      <c r="I271" s="75" t="s">
        <v>40</v>
      </c>
      <c r="J271" s="90"/>
      <c r="K271" s="90" t="s">
        <v>756</v>
      </c>
      <c r="L271" s="75" t="s">
        <v>757</v>
      </c>
      <c r="M271" s="90"/>
      <c r="N271" s="90"/>
      <c r="O271" s="90"/>
      <c r="P271" s="90"/>
      <c r="U271" s="32" t="s">
        <v>54</v>
      </c>
      <c r="W271" s="137">
        <v>17</v>
      </c>
      <c r="X271" s="63">
        <v>1</v>
      </c>
      <c r="Y271" s="120">
        <f t="shared" si="15"/>
        <v>17</v>
      </c>
      <c r="Z271" s="120" t="str">
        <f t="shared" si="17"/>
        <v/>
      </c>
    </row>
    <row r="272" spans="1:27" s="32" customFormat="1" ht="43.2">
      <c r="A272" s="32" t="s">
        <v>86</v>
      </c>
      <c r="B272" s="32" t="s">
        <v>758</v>
      </c>
      <c r="C272" s="32" t="s">
        <v>759</v>
      </c>
      <c r="D272" s="32" t="s">
        <v>760</v>
      </c>
      <c r="E272" s="33"/>
      <c r="F272" s="31" t="s">
        <v>754</v>
      </c>
      <c r="G272" s="31" t="s">
        <v>755</v>
      </c>
      <c r="H272" s="33"/>
      <c r="I272" s="75" t="s">
        <v>40</v>
      </c>
      <c r="J272" s="90"/>
      <c r="K272" s="90" t="s">
        <v>756</v>
      </c>
      <c r="L272" s="75" t="s">
        <v>757</v>
      </c>
      <c r="M272" s="90"/>
      <c r="N272" s="90"/>
      <c r="O272" s="90"/>
      <c r="P272" s="90"/>
      <c r="U272" s="32" t="s">
        <v>54</v>
      </c>
      <c r="W272" s="137">
        <v>17</v>
      </c>
      <c r="X272" s="63">
        <v>1</v>
      </c>
      <c r="Y272" s="120">
        <f t="shared" ref="Y272:Y318" si="18">IF(W272&lt;&gt;"",W272*X272,"")</f>
        <v>17</v>
      </c>
      <c r="Z272" s="120" t="str">
        <f t="shared" si="17"/>
        <v/>
      </c>
    </row>
    <row r="273" spans="1:27" s="32" customFormat="1" ht="43.2">
      <c r="A273" s="32" t="s">
        <v>86</v>
      </c>
      <c r="B273" s="32" t="s">
        <v>761</v>
      </c>
      <c r="C273" s="32" t="s">
        <v>762</v>
      </c>
      <c r="D273" s="32" t="s">
        <v>763</v>
      </c>
      <c r="E273" s="33"/>
      <c r="F273" s="31" t="s">
        <v>754</v>
      </c>
      <c r="G273" s="31" t="s">
        <v>755</v>
      </c>
      <c r="H273" s="33"/>
      <c r="I273" s="75" t="s">
        <v>40</v>
      </c>
      <c r="J273" s="90"/>
      <c r="K273" s="90" t="s">
        <v>756</v>
      </c>
      <c r="L273" s="75" t="s">
        <v>757</v>
      </c>
      <c r="M273" s="90"/>
      <c r="N273" s="90"/>
      <c r="O273" s="90"/>
      <c r="P273" s="90"/>
      <c r="U273" s="32" t="s">
        <v>54</v>
      </c>
      <c r="W273" s="137">
        <v>17</v>
      </c>
      <c r="X273" s="63">
        <v>1</v>
      </c>
      <c r="Y273" s="120">
        <f t="shared" si="18"/>
        <v>17</v>
      </c>
      <c r="Z273" s="120" t="str">
        <f t="shared" si="17"/>
        <v/>
      </c>
    </row>
    <row r="274" spans="1:27" s="32" customFormat="1" ht="28.8">
      <c r="A274" s="32" t="s">
        <v>86</v>
      </c>
      <c r="B274" s="32" t="s">
        <v>764</v>
      </c>
      <c r="C274" s="32" t="s">
        <v>765</v>
      </c>
      <c r="D274" s="32" t="s">
        <v>766</v>
      </c>
      <c r="E274" s="33"/>
      <c r="F274" s="31" t="s">
        <v>754</v>
      </c>
      <c r="G274" s="31" t="s">
        <v>755</v>
      </c>
      <c r="H274" s="33"/>
      <c r="I274" s="75" t="s">
        <v>40</v>
      </c>
      <c r="J274" s="90"/>
      <c r="K274" s="90" t="s">
        <v>756</v>
      </c>
      <c r="L274" s="75" t="s">
        <v>757</v>
      </c>
      <c r="M274" s="90"/>
      <c r="N274" s="90"/>
      <c r="O274" s="90"/>
      <c r="P274" s="90"/>
      <c r="U274" s="32" t="s">
        <v>54</v>
      </c>
      <c r="W274" s="137">
        <v>17</v>
      </c>
      <c r="X274" s="63">
        <v>1</v>
      </c>
      <c r="Y274" s="120">
        <f t="shared" si="18"/>
        <v>17</v>
      </c>
      <c r="Z274" s="120" t="str">
        <f t="shared" si="17"/>
        <v/>
      </c>
    </row>
    <row r="275" spans="1:27" s="32" customFormat="1" ht="43.2">
      <c r="A275" s="32" t="s">
        <v>86</v>
      </c>
      <c r="B275" s="32" t="s">
        <v>767</v>
      </c>
      <c r="C275" s="32" t="s">
        <v>768</v>
      </c>
      <c r="D275" s="32" t="s">
        <v>769</v>
      </c>
      <c r="E275" s="33"/>
      <c r="F275" s="31" t="s">
        <v>754</v>
      </c>
      <c r="G275" s="31" t="s">
        <v>755</v>
      </c>
      <c r="H275" s="33"/>
      <c r="I275" s="75" t="s">
        <v>40</v>
      </c>
      <c r="J275" s="90"/>
      <c r="K275" s="90" t="s">
        <v>756</v>
      </c>
      <c r="L275" s="75" t="s">
        <v>757</v>
      </c>
      <c r="M275" s="90"/>
      <c r="N275" s="90"/>
      <c r="O275" s="90"/>
      <c r="P275" s="90"/>
      <c r="U275" s="32" t="s">
        <v>54</v>
      </c>
      <c r="W275" s="137">
        <v>17</v>
      </c>
      <c r="X275" s="63">
        <v>1</v>
      </c>
      <c r="Y275" s="120">
        <f t="shared" si="18"/>
        <v>17</v>
      </c>
      <c r="Z275" s="120" t="str">
        <f t="shared" si="17"/>
        <v/>
      </c>
    </row>
    <row r="276" spans="1:27" s="32" customFormat="1" ht="57.6">
      <c r="A276" s="32" t="s">
        <v>86</v>
      </c>
      <c r="B276" s="32" t="s">
        <v>770</v>
      </c>
      <c r="C276" s="32" t="s">
        <v>771</v>
      </c>
      <c r="D276" s="32" t="s">
        <v>772</v>
      </c>
      <c r="E276" s="33"/>
      <c r="F276" s="31" t="s">
        <v>754</v>
      </c>
      <c r="G276" s="31" t="s">
        <v>755</v>
      </c>
      <c r="H276" s="33"/>
      <c r="I276" s="75" t="s">
        <v>40</v>
      </c>
      <c r="J276" s="90"/>
      <c r="K276" s="90" t="s">
        <v>756</v>
      </c>
      <c r="L276" s="75" t="s">
        <v>757</v>
      </c>
      <c r="M276" s="90"/>
      <c r="N276" s="90"/>
      <c r="O276" s="90"/>
      <c r="P276" s="90"/>
      <c r="U276" s="32" t="s">
        <v>54</v>
      </c>
      <c r="W276" s="137">
        <v>17</v>
      </c>
      <c r="X276" s="63">
        <v>1</v>
      </c>
      <c r="Y276" s="120">
        <f t="shared" si="18"/>
        <v>17</v>
      </c>
      <c r="Z276" s="120" t="str">
        <f t="shared" si="17"/>
        <v/>
      </c>
    </row>
    <row r="277" spans="1:27" s="32" customFormat="1" ht="43.2">
      <c r="A277" s="32" t="s">
        <v>86</v>
      </c>
      <c r="B277" s="32" t="s">
        <v>773</v>
      </c>
      <c r="C277" s="32" t="s">
        <v>774</v>
      </c>
      <c r="D277" s="32" t="s">
        <v>775</v>
      </c>
      <c r="E277" s="33"/>
      <c r="F277" s="31" t="s">
        <v>754</v>
      </c>
      <c r="G277" s="31" t="s">
        <v>755</v>
      </c>
      <c r="H277" s="33"/>
      <c r="I277" s="75" t="s">
        <v>40</v>
      </c>
      <c r="J277" s="90"/>
      <c r="K277" s="90" t="s">
        <v>756</v>
      </c>
      <c r="L277" s="75" t="s">
        <v>757</v>
      </c>
      <c r="M277" s="90"/>
      <c r="N277" s="90"/>
      <c r="O277" s="90"/>
      <c r="P277" s="90"/>
      <c r="U277" s="32" t="s">
        <v>54</v>
      </c>
      <c r="W277" s="137">
        <v>17</v>
      </c>
      <c r="X277" s="63">
        <v>1</v>
      </c>
      <c r="Y277" s="120">
        <f t="shared" si="18"/>
        <v>17</v>
      </c>
      <c r="Z277" s="120" t="str">
        <f t="shared" si="17"/>
        <v/>
      </c>
    </row>
    <row r="278" spans="1:27" s="32" customFormat="1" ht="43.2">
      <c r="A278" s="32" t="s">
        <v>86</v>
      </c>
      <c r="B278" s="32" t="s">
        <v>776</v>
      </c>
      <c r="C278" s="32" t="s">
        <v>777</v>
      </c>
      <c r="D278" s="32" t="s">
        <v>778</v>
      </c>
      <c r="E278" s="33"/>
      <c r="F278" s="31" t="s">
        <v>754</v>
      </c>
      <c r="G278" s="31" t="s">
        <v>755</v>
      </c>
      <c r="H278" s="33"/>
      <c r="I278" s="75" t="s">
        <v>40</v>
      </c>
      <c r="J278" s="90"/>
      <c r="K278" s="90" t="s">
        <v>756</v>
      </c>
      <c r="L278" s="75" t="s">
        <v>757</v>
      </c>
      <c r="M278" s="90"/>
      <c r="N278" s="90"/>
      <c r="O278" s="90"/>
      <c r="P278" s="90"/>
      <c r="U278" s="32" t="s">
        <v>54</v>
      </c>
      <c r="W278" s="137">
        <v>17</v>
      </c>
      <c r="X278" s="63">
        <v>1</v>
      </c>
      <c r="Y278" s="120">
        <f t="shared" si="18"/>
        <v>17</v>
      </c>
      <c r="Z278" s="120" t="str">
        <f t="shared" si="17"/>
        <v/>
      </c>
    </row>
    <row r="279" spans="1:27" s="32" customFormat="1" ht="57.6">
      <c r="A279" s="32" t="s">
        <v>86</v>
      </c>
      <c r="B279" s="32" t="s">
        <v>779</v>
      </c>
      <c r="C279" s="32" t="s">
        <v>780</v>
      </c>
      <c r="D279" s="32" t="s">
        <v>781</v>
      </c>
      <c r="E279" s="33"/>
      <c r="F279" s="31" t="s">
        <v>754</v>
      </c>
      <c r="G279" s="31" t="s">
        <v>755</v>
      </c>
      <c r="H279" s="33"/>
      <c r="I279" s="75" t="s">
        <v>40</v>
      </c>
      <c r="J279" s="90"/>
      <c r="K279" s="90" t="s">
        <v>756</v>
      </c>
      <c r="L279" s="75" t="s">
        <v>757</v>
      </c>
      <c r="M279" s="90"/>
      <c r="N279" s="90"/>
      <c r="O279" s="90"/>
      <c r="P279" s="90"/>
      <c r="U279" s="32" t="s">
        <v>54</v>
      </c>
      <c r="W279" s="137">
        <v>17</v>
      </c>
      <c r="X279" s="63">
        <v>1</v>
      </c>
      <c r="Y279" s="120">
        <f t="shared" si="18"/>
        <v>17</v>
      </c>
      <c r="Z279" s="120" t="str">
        <f t="shared" si="17"/>
        <v/>
      </c>
    </row>
    <row r="280" spans="1:27" s="31" customFormat="1">
      <c r="A280" s="31" t="s">
        <v>156</v>
      </c>
      <c r="C280" s="32"/>
      <c r="D280" s="32"/>
      <c r="E280" s="33"/>
      <c r="H280" s="37"/>
      <c r="I280" s="75"/>
      <c r="J280" s="75"/>
      <c r="K280" s="75"/>
      <c r="L280" s="75"/>
      <c r="M280" s="75"/>
      <c r="N280" s="75"/>
      <c r="O280" s="75"/>
      <c r="P280" s="75"/>
      <c r="U280" s="31" t="s">
        <v>70</v>
      </c>
      <c r="W280" s="137">
        <v>17</v>
      </c>
      <c r="X280" s="63">
        <v>1</v>
      </c>
      <c r="Y280" s="120">
        <f t="shared" si="18"/>
        <v>17</v>
      </c>
      <c r="Z280" s="120" t="str">
        <f t="shared" si="17"/>
        <v/>
      </c>
      <c r="AA280" s="30"/>
    </row>
    <row r="281" spans="1:27" s="31" customFormat="1">
      <c r="C281" s="32"/>
      <c r="D281" s="32"/>
      <c r="E281" s="33"/>
      <c r="H281" s="37"/>
      <c r="I281" s="75"/>
      <c r="J281" s="75"/>
      <c r="K281" s="75"/>
      <c r="L281" s="75"/>
      <c r="M281" s="75"/>
      <c r="N281" s="75"/>
      <c r="O281" s="75"/>
      <c r="P281" s="75"/>
      <c r="U281" s="31" t="s">
        <v>70</v>
      </c>
      <c r="W281" s="137">
        <v>17</v>
      </c>
      <c r="X281" s="63">
        <v>1</v>
      </c>
      <c r="Y281" s="120">
        <f t="shared" si="18"/>
        <v>17</v>
      </c>
      <c r="Z281" s="120" t="str">
        <f t="shared" si="17"/>
        <v/>
      </c>
      <c r="AA281" s="30"/>
    </row>
    <row r="282" spans="1:27" s="31" customFormat="1">
      <c r="A282" s="31" t="s">
        <v>71</v>
      </c>
      <c r="B282" s="31" t="s">
        <v>782</v>
      </c>
      <c r="C282" s="115" t="s">
        <v>783</v>
      </c>
      <c r="D282" s="115" t="s">
        <v>783</v>
      </c>
      <c r="E282" s="33"/>
      <c r="H282" s="37"/>
      <c r="I282" s="75"/>
      <c r="J282" s="75"/>
      <c r="K282" s="75"/>
      <c r="L282" s="75"/>
      <c r="M282" s="75"/>
      <c r="N282" s="75"/>
      <c r="O282" s="75"/>
      <c r="P282" s="75"/>
      <c r="U282" s="31" t="s">
        <v>54</v>
      </c>
      <c r="W282" s="137"/>
      <c r="X282" s="63">
        <v>1</v>
      </c>
      <c r="Y282" s="120" t="str">
        <f t="shared" si="18"/>
        <v/>
      </c>
      <c r="Z282" s="120" t="str">
        <f t="shared" si="17"/>
        <v/>
      </c>
    </row>
    <row r="283" spans="1:27" s="31" customFormat="1" ht="43.2">
      <c r="A283" s="31" t="s">
        <v>47</v>
      </c>
      <c r="B283" s="31" t="s">
        <v>784</v>
      </c>
      <c r="C283" s="32" t="s">
        <v>785</v>
      </c>
      <c r="D283" s="32" t="s">
        <v>786</v>
      </c>
      <c r="E283" s="33"/>
      <c r="H283" s="37"/>
      <c r="I283" s="75" t="s">
        <v>53</v>
      </c>
      <c r="J283" s="75"/>
      <c r="K283" s="75"/>
      <c r="L283" s="75"/>
      <c r="M283" s="75"/>
      <c r="N283" s="75"/>
      <c r="O283" s="75"/>
      <c r="P283" s="75"/>
      <c r="U283" s="31" t="s">
        <v>54</v>
      </c>
      <c r="W283" s="137">
        <v>17</v>
      </c>
      <c r="X283" s="63">
        <v>1</v>
      </c>
      <c r="Y283" s="120">
        <f t="shared" si="18"/>
        <v>17</v>
      </c>
      <c r="Z283" s="120" t="str">
        <f t="shared" si="17"/>
        <v/>
      </c>
    </row>
    <row r="284" spans="1:27" s="31" customFormat="1" ht="43.2">
      <c r="A284" s="31" t="s">
        <v>86</v>
      </c>
      <c r="B284" s="31" t="s">
        <v>787</v>
      </c>
      <c r="C284" s="32" t="s">
        <v>788</v>
      </c>
      <c r="D284" s="32" t="s">
        <v>789</v>
      </c>
      <c r="E284" s="33"/>
      <c r="F284" s="31" t="s">
        <v>790</v>
      </c>
      <c r="G284" s="31" t="s">
        <v>791</v>
      </c>
      <c r="H284" s="37"/>
      <c r="I284" s="75" t="s">
        <v>40</v>
      </c>
      <c r="J284" s="75"/>
      <c r="K284" s="75" t="s">
        <v>756</v>
      </c>
      <c r="L284" s="75" t="s">
        <v>757</v>
      </c>
      <c r="M284" s="75"/>
      <c r="N284" s="75"/>
      <c r="O284" s="75"/>
      <c r="P284" s="75"/>
      <c r="U284" s="31" t="s">
        <v>54</v>
      </c>
      <c r="W284" s="137">
        <v>17</v>
      </c>
      <c r="X284" s="63">
        <v>1</v>
      </c>
      <c r="Y284" s="120">
        <f t="shared" si="18"/>
        <v>17</v>
      </c>
      <c r="Z284" s="120" t="str">
        <f t="shared" ref="Z284:Z318" si="19">IF(AND(W284&lt;&gt;"",U284="yes"),W284*X284,"")</f>
        <v/>
      </c>
    </row>
    <row r="285" spans="1:27" s="31" customFormat="1" ht="43.2">
      <c r="A285" s="31" t="s">
        <v>86</v>
      </c>
      <c r="B285" s="31" t="s">
        <v>792</v>
      </c>
      <c r="C285" s="32" t="s">
        <v>793</v>
      </c>
      <c r="D285" s="32" t="s">
        <v>794</v>
      </c>
      <c r="E285" s="33"/>
      <c r="F285" s="31" t="s">
        <v>790</v>
      </c>
      <c r="G285" s="31" t="s">
        <v>791</v>
      </c>
      <c r="H285" s="37"/>
      <c r="I285" s="75" t="s">
        <v>40</v>
      </c>
      <c r="J285" s="75"/>
      <c r="K285" s="75" t="s">
        <v>756</v>
      </c>
      <c r="L285" s="75" t="s">
        <v>757</v>
      </c>
      <c r="M285" s="75"/>
      <c r="N285" s="75"/>
      <c r="O285" s="75"/>
      <c r="P285" s="75"/>
      <c r="U285" s="31" t="s">
        <v>54</v>
      </c>
      <c r="W285" s="137">
        <v>17</v>
      </c>
      <c r="X285" s="63">
        <v>1</v>
      </c>
      <c r="Y285" s="120">
        <f t="shared" si="18"/>
        <v>17</v>
      </c>
      <c r="Z285" s="120" t="str">
        <f t="shared" si="19"/>
        <v/>
      </c>
    </row>
    <row r="286" spans="1:27" s="31" customFormat="1" ht="43.2">
      <c r="A286" s="31" t="s">
        <v>86</v>
      </c>
      <c r="B286" s="31" t="s">
        <v>795</v>
      </c>
      <c r="C286" s="32" t="s">
        <v>796</v>
      </c>
      <c r="D286" s="32" t="s">
        <v>797</v>
      </c>
      <c r="E286" s="33"/>
      <c r="F286" s="31" t="s">
        <v>790</v>
      </c>
      <c r="G286" s="31" t="s">
        <v>791</v>
      </c>
      <c r="H286" s="37"/>
      <c r="I286" s="75" t="s">
        <v>40</v>
      </c>
      <c r="J286" s="75"/>
      <c r="K286" s="75" t="s">
        <v>756</v>
      </c>
      <c r="L286" s="75" t="s">
        <v>757</v>
      </c>
      <c r="M286" s="75"/>
      <c r="N286" s="75"/>
      <c r="O286" s="75"/>
      <c r="P286" s="75"/>
      <c r="U286" s="31" t="s">
        <v>54</v>
      </c>
      <c r="W286" s="137">
        <v>17</v>
      </c>
      <c r="X286" s="63">
        <v>1</v>
      </c>
      <c r="Y286" s="120">
        <f t="shared" si="18"/>
        <v>17</v>
      </c>
      <c r="Z286" s="120" t="str">
        <f t="shared" si="19"/>
        <v/>
      </c>
    </row>
    <row r="287" spans="1:27" s="31" customFormat="1" ht="43.2">
      <c r="A287" s="31" t="s">
        <v>86</v>
      </c>
      <c r="B287" s="31" t="s">
        <v>798</v>
      </c>
      <c r="C287" s="32" t="s">
        <v>799</v>
      </c>
      <c r="D287" s="32" t="s">
        <v>800</v>
      </c>
      <c r="E287" s="33"/>
      <c r="F287" s="31" t="s">
        <v>790</v>
      </c>
      <c r="G287" s="31" t="s">
        <v>791</v>
      </c>
      <c r="H287" s="37"/>
      <c r="I287" s="75" t="s">
        <v>40</v>
      </c>
      <c r="J287" s="75"/>
      <c r="K287" s="75" t="s">
        <v>756</v>
      </c>
      <c r="L287" s="75" t="s">
        <v>757</v>
      </c>
      <c r="M287" s="75"/>
      <c r="N287" s="75"/>
      <c r="O287" s="75"/>
      <c r="P287" s="75"/>
      <c r="U287" s="31" t="s">
        <v>54</v>
      </c>
      <c r="W287" s="137">
        <v>17</v>
      </c>
      <c r="X287" s="63">
        <v>1</v>
      </c>
      <c r="Y287" s="120">
        <f t="shared" si="18"/>
        <v>17</v>
      </c>
      <c r="Z287" s="120" t="str">
        <f t="shared" si="19"/>
        <v/>
      </c>
    </row>
    <row r="288" spans="1:27" s="31" customFormat="1" ht="43.2">
      <c r="A288" s="31" t="s">
        <v>86</v>
      </c>
      <c r="B288" s="31" t="s">
        <v>801</v>
      </c>
      <c r="C288" s="32" t="s">
        <v>802</v>
      </c>
      <c r="D288" s="32" t="s">
        <v>803</v>
      </c>
      <c r="E288" s="33"/>
      <c r="F288" s="31" t="s">
        <v>790</v>
      </c>
      <c r="G288" s="31" t="s">
        <v>791</v>
      </c>
      <c r="H288" s="37"/>
      <c r="I288" s="75" t="s">
        <v>40</v>
      </c>
      <c r="J288" s="75"/>
      <c r="K288" s="75" t="s">
        <v>756</v>
      </c>
      <c r="L288" s="75" t="s">
        <v>757</v>
      </c>
      <c r="M288" s="75"/>
      <c r="N288" s="75"/>
      <c r="O288" s="75"/>
      <c r="P288" s="75"/>
      <c r="U288" s="31" t="s">
        <v>54</v>
      </c>
      <c r="W288" s="137">
        <v>17</v>
      </c>
      <c r="X288" s="63">
        <v>1</v>
      </c>
      <c r="Y288" s="120">
        <f t="shared" si="18"/>
        <v>17</v>
      </c>
      <c r="Z288" s="120" t="str">
        <f t="shared" si="19"/>
        <v/>
      </c>
    </row>
    <row r="289" spans="1:27" s="31" customFormat="1">
      <c r="A289" s="31" t="s">
        <v>156</v>
      </c>
      <c r="C289" s="32"/>
      <c r="D289" s="32"/>
      <c r="E289" s="33"/>
      <c r="H289" s="37"/>
      <c r="I289" s="75"/>
      <c r="J289" s="75"/>
      <c r="K289" s="75"/>
      <c r="L289" s="75"/>
      <c r="M289" s="75"/>
      <c r="N289" s="75"/>
      <c r="O289" s="75"/>
      <c r="P289" s="75"/>
      <c r="U289" s="31" t="s">
        <v>70</v>
      </c>
      <c r="W289" s="137" t="s">
        <v>70</v>
      </c>
      <c r="X289" s="63">
        <v>1</v>
      </c>
      <c r="Y289" s="120" t="str">
        <f t="shared" si="18"/>
        <v/>
      </c>
      <c r="Z289" s="120" t="str">
        <f t="shared" si="19"/>
        <v/>
      </c>
    </row>
    <row r="290" spans="1:27" s="31" customFormat="1">
      <c r="C290" s="32"/>
      <c r="D290" s="32"/>
      <c r="E290" s="33"/>
      <c r="H290" s="37"/>
      <c r="I290" s="75"/>
      <c r="J290" s="75"/>
      <c r="K290" s="75"/>
      <c r="L290" s="75"/>
      <c r="M290" s="75"/>
      <c r="N290" s="75"/>
      <c r="O290" s="75"/>
      <c r="P290" s="75"/>
      <c r="U290" s="31" t="s">
        <v>70</v>
      </c>
      <c r="W290" s="137" t="s">
        <v>70</v>
      </c>
      <c r="X290" s="63">
        <v>1</v>
      </c>
      <c r="Y290" s="120" t="str">
        <f t="shared" si="18"/>
        <v/>
      </c>
      <c r="Z290" s="120" t="str">
        <f t="shared" si="19"/>
        <v/>
      </c>
    </row>
    <row r="291" spans="1:27" ht="15" thickBot="1">
      <c r="A291" s="56" t="s">
        <v>156</v>
      </c>
      <c r="B291" s="56"/>
      <c r="C291" s="57"/>
      <c r="D291" s="57"/>
      <c r="E291" s="66"/>
      <c r="F291" s="56"/>
      <c r="G291" s="56"/>
      <c r="H291" s="67"/>
      <c r="I291" s="87"/>
      <c r="J291" s="87"/>
      <c r="K291" s="87"/>
      <c r="L291" s="87"/>
      <c r="M291" s="87"/>
      <c r="N291" s="87"/>
      <c r="O291" s="87"/>
      <c r="P291" s="87"/>
      <c r="W291" s="137"/>
      <c r="Y291" s="120" t="str">
        <f t="shared" si="18"/>
        <v/>
      </c>
      <c r="Z291" s="120" t="str">
        <f t="shared" si="19"/>
        <v/>
      </c>
    </row>
    <row r="292" spans="1:27" s="27" customFormat="1" ht="15" customHeight="1" thickTop="1">
      <c r="A292" s="24" t="s">
        <v>71</v>
      </c>
      <c r="B292" s="24" t="s">
        <v>804</v>
      </c>
      <c r="C292" s="48" t="s">
        <v>805</v>
      </c>
      <c r="D292" s="48" t="s">
        <v>805</v>
      </c>
      <c r="E292" s="25"/>
      <c r="F292" s="24"/>
      <c r="G292" s="24"/>
      <c r="H292" s="26"/>
      <c r="I292" s="79" t="s">
        <v>53</v>
      </c>
      <c r="J292" s="79"/>
      <c r="K292" s="79"/>
      <c r="L292" s="79"/>
      <c r="M292" s="301" t="s">
        <v>160</v>
      </c>
      <c r="N292" s="79"/>
      <c r="O292" s="79"/>
      <c r="P292" s="79"/>
      <c r="U292" s="21" t="s">
        <v>42</v>
      </c>
      <c r="W292" s="137"/>
      <c r="X292" s="28"/>
      <c r="Y292" s="120" t="str">
        <f t="shared" si="18"/>
        <v/>
      </c>
      <c r="Z292" s="120" t="str">
        <f t="shared" si="19"/>
        <v/>
      </c>
      <c r="AA292" s="28"/>
    </row>
    <row r="293" spans="1:27" s="27" customFormat="1" ht="15" customHeight="1">
      <c r="C293" s="49"/>
      <c r="D293" s="49"/>
      <c r="E293" s="25"/>
      <c r="H293" s="26"/>
      <c r="I293" s="80"/>
      <c r="J293" s="80"/>
      <c r="K293" s="80"/>
      <c r="L293" s="80"/>
      <c r="M293" s="80"/>
      <c r="N293" s="80"/>
      <c r="O293" s="80"/>
      <c r="P293" s="80"/>
      <c r="U293" s="21" t="s">
        <v>70</v>
      </c>
      <c r="W293" s="137" t="s">
        <v>70</v>
      </c>
      <c r="X293" s="63">
        <v>1</v>
      </c>
      <c r="Y293" s="120" t="str">
        <f t="shared" si="18"/>
        <v/>
      </c>
      <c r="Z293" s="120" t="str">
        <f t="shared" si="19"/>
        <v/>
      </c>
      <c r="AA293" s="28"/>
    </row>
    <row r="294" spans="1:27" ht="28.8">
      <c r="A294" s="29" t="s">
        <v>150</v>
      </c>
      <c r="B294" s="29" t="s">
        <v>806</v>
      </c>
      <c r="C294" s="293" t="s">
        <v>2133</v>
      </c>
      <c r="D294" s="293" t="s">
        <v>2148</v>
      </c>
      <c r="E294" s="42"/>
      <c r="F294" s="29"/>
      <c r="G294" s="29"/>
      <c r="H294" s="43"/>
      <c r="I294" s="74" t="s">
        <v>40</v>
      </c>
      <c r="J294" s="74"/>
      <c r="K294" s="74"/>
      <c r="L294" s="74"/>
      <c r="M294" s="74"/>
      <c r="N294" s="74"/>
      <c r="O294" s="74"/>
      <c r="P294" s="74"/>
      <c r="U294" s="21" t="s">
        <v>42</v>
      </c>
      <c r="W294" s="137">
        <v>19.828245162963867</v>
      </c>
      <c r="X294" s="63">
        <v>1</v>
      </c>
      <c r="Y294" s="120">
        <f t="shared" si="18"/>
        <v>19.828245162963867</v>
      </c>
      <c r="Z294" s="120">
        <f t="shared" si="19"/>
        <v>19.828245162963867</v>
      </c>
    </row>
    <row r="295" spans="1:27" s="298" customFormat="1">
      <c r="A295" s="294" t="s">
        <v>2134</v>
      </c>
      <c r="B295" s="294" t="s">
        <v>2135</v>
      </c>
      <c r="C295" s="293" t="s">
        <v>2152</v>
      </c>
      <c r="D295" s="295" t="s">
        <v>2160</v>
      </c>
      <c r="E295" s="296"/>
      <c r="F295" s="294" t="s">
        <v>809</v>
      </c>
      <c r="G295" s="30" t="s">
        <v>395</v>
      </c>
      <c r="H295" s="297"/>
      <c r="I295" s="91" t="s">
        <v>40</v>
      </c>
      <c r="J295" s="91"/>
      <c r="K295" s="91" t="s">
        <v>475</v>
      </c>
      <c r="L295" s="91"/>
      <c r="M295" s="91" t="s">
        <v>810</v>
      </c>
      <c r="N295" s="91"/>
      <c r="O295" s="91"/>
      <c r="P295" s="91"/>
      <c r="U295" s="21" t="s">
        <v>42</v>
      </c>
      <c r="W295" s="137">
        <v>17</v>
      </c>
      <c r="X295" s="63">
        <v>1</v>
      </c>
      <c r="Y295" s="120">
        <f t="shared" ref="Y295:Y296" si="20">IF(W295&lt;&gt;"",W295*X295,"")</f>
        <v>17</v>
      </c>
      <c r="Z295" s="299"/>
    </row>
    <row r="296" spans="1:27" s="298" customFormat="1">
      <c r="A296" s="294" t="s">
        <v>2153</v>
      </c>
      <c r="B296" s="294" t="s">
        <v>2154</v>
      </c>
      <c r="C296" s="293" t="s">
        <v>2155</v>
      </c>
      <c r="D296" s="295" t="s">
        <v>2159</v>
      </c>
      <c r="E296" s="296"/>
      <c r="F296" s="294"/>
      <c r="G296" s="30"/>
      <c r="H296" s="297"/>
      <c r="I296" s="91" t="s">
        <v>40</v>
      </c>
      <c r="J296" s="91"/>
      <c r="K296" s="91"/>
      <c r="L296" s="91"/>
      <c r="M296" s="91" t="s">
        <v>2150</v>
      </c>
      <c r="N296" s="91" t="s">
        <v>2151</v>
      </c>
      <c r="O296" s="91"/>
      <c r="P296" s="91"/>
      <c r="U296" s="21"/>
      <c r="W296" s="137"/>
      <c r="X296" s="63"/>
      <c r="Y296" s="120">
        <v>17</v>
      </c>
      <c r="Z296" s="299"/>
    </row>
    <row r="297" spans="1:27" ht="28.8">
      <c r="A297" s="29" t="s">
        <v>807</v>
      </c>
      <c r="B297" s="29" t="s">
        <v>808</v>
      </c>
      <c r="C297" s="293" t="s">
        <v>2156</v>
      </c>
      <c r="D297" s="293" t="s">
        <v>2158</v>
      </c>
      <c r="E297" s="42"/>
      <c r="F297" s="29" t="s">
        <v>809</v>
      </c>
      <c r="G297" s="30" t="s">
        <v>395</v>
      </c>
      <c r="H297" s="43"/>
      <c r="I297" s="74" t="s">
        <v>40</v>
      </c>
      <c r="J297" s="74"/>
      <c r="K297" s="74" t="s">
        <v>475</v>
      </c>
      <c r="L297" s="74"/>
      <c r="M297" s="74" t="s">
        <v>2136</v>
      </c>
      <c r="N297" s="74"/>
      <c r="O297" s="74"/>
      <c r="P297" s="74"/>
      <c r="U297" s="21" t="s">
        <v>42</v>
      </c>
      <c r="W297" s="137">
        <v>49.529693603515625</v>
      </c>
      <c r="X297" s="63">
        <v>1</v>
      </c>
      <c r="Y297" s="120">
        <f t="shared" si="18"/>
        <v>49.529693603515625</v>
      </c>
      <c r="Z297" s="120">
        <f t="shared" si="19"/>
        <v>49.529693603515625</v>
      </c>
    </row>
    <row r="298" spans="1:27">
      <c r="A298" s="61" t="s">
        <v>75</v>
      </c>
      <c r="B298" s="61" t="s">
        <v>811</v>
      </c>
      <c r="C298" s="308" t="s">
        <v>338</v>
      </c>
      <c r="D298" s="20" t="s">
        <v>381</v>
      </c>
      <c r="E298" s="53"/>
      <c r="F298" s="30" t="s">
        <v>340</v>
      </c>
      <c r="G298" s="30" t="s">
        <v>586</v>
      </c>
      <c r="H298" s="43"/>
      <c r="I298" s="74" t="s">
        <v>40</v>
      </c>
      <c r="J298" s="74"/>
      <c r="K298" s="74"/>
      <c r="L298" s="74"/>
      <c r="M298" s="74" t="s">
        <v>812</v>
      </c>
      <c r="N298" s="74"/>
      <c r="O298" s="74"/>
      <c r="P298" s="74"/>
      <c r="U298" s="21" t="s">
        <v>42</v>
      </c>
      <c r="W298" s="137"/>
      <c r="X298" s="63">
        <v>1</v>
      </c>
      <c r="Y298" s="120" t="str">
        <f t="shared" si="18"/>
        <v/>
      </c>
      <c r="Z298" s="120" t="str">
        <f t="shared" si="19"/>
        <v/>
      </c>
    </row>
    <row r="299" spans="1:27">
      <c r="A299" s="54"/>
      <c r="B299" s="54"/>
      <c r="C299" s="309"/>
      <c r="E299" s="42"/>
      <c r="G299" s="30"/>
      <c r="H299" s="43"/>
      <c r="U299" s="21" t="s">
        <v>70</v>
      </c>
      <c r="W299" s="137" t="s">
        <v>70</v>
      </c>
      <c r="X299" s="63">
        <v>1</v>
      </c>
      <c r="Y299" s="120" t="str">
        <f t="shared" si="18"/>
        <v/>
      </c>
      <c r="Z299" s="120" t="str">
        <f t="shared" si="19"/>
        <v/>
      </c>
    </row>
    <row r="300" spans="1:27" s="30" customFormat="1" ht="28.8">
      <c r="A300" s="61" t="s">
        <v>813</v>
      </c>
      <c r="B300" s="61" t="s">
        <v>814</v>
      </c>
      <c r="C300" s="308" t="s">
        <v>2157</v>
      </c>
      <c r="D300" s="20" t="s">
        <v>2149</v>
      </c>
      <c r="E300" s="53"/>
      <c r="F300" s="34" t="s">
        <v>815</v>
      </c>
      <c r="G300" s="34" t="s">
        <v>816</v>
      </c>
      <c r="H300" s="55"/>
      <c r="I300" s="76" t="s">
        <v>40</v>
      </c>
      <c r="J300" s="76"/>
      <c r="K300" s="76" t="s">
        <v>817</v>
      </c>
      <c r="L300" s="76"/>
      <c r="M300" s="76"/>
      <c r="N300" s="76"/>
      <c r="O300" s="76"/>
      <c r="P300" s="76"/>
      <c r="U300" s="30" t="s">
        <v>42</v>
      </c>
      <c r="W300" s="137">
        <v>22.029750823974609</v>
      </c>
      <c r="X300" s="63">
        <v>1</v>
      </c>
      <c r="Y300" s="120">
        <f t="shared" si="18"/>
        <v>22.029750823974609</v>
      </c>
      <c r="Z300" s="120">
        <f t="shared" si="19"/>
        <v>22.029750823974609</v>
      </c>
    </row>
    <row r="301" spans="1:27" s="30" customFormat="1">
      <c r="A301" s="34" t="s">
        <v>75</v>
      </c>
      <c r="B301" s="34" t="s">
        <v>818</v>
      </c>
      <c r="C301" s="35" t="s">
        <v>338</v>
      </c>
      <c r="D301" s="20" t="s">
        <v>381</v>
      </c>
      <c r="E301" s="53"/>
      <c r="F301" s="34" t="s">
        <v>340</v>
      </c>
      <c r="G301" s="30" t="s">
        <v>586</v>
      </c>
      <c r="H301" s="55"/>
      <c r="I301" s="76" t="s">
        <v>40</v>
      </c>
      <c r="J301" s="76"/>
      <c r="K301" s="76"/>
      <c r="L301" s="76"/>
      <c r="M301" s="76" t="s">
        <v>819</v>
      </c>
      <c r="N301" s="76"/>
      <c r="O301" s="76"/>
      <c r="P301" s="76"/>
      <c r="U301" s="30" t="s">
        <v>42</v>
      </c>
      <c r="W301" s="137"/>
      <c r="X301" s="63">
        <v>1</v>
      </c>
      <c r="Y301" s="120" t="str">
        <f t="shared" si="18"/>
        <v/>
      </c>
      <c r="Z301" s="120" t="str">
        <f t="shared" si="19"/>
        <v/>
      </c>
    </row>
    <row r="302" spans="1:27" s="30" customFormat="1">
      <c r="A302" s="34" t="s">
        <v>820</v>
      </c>
      <c r="B302" s="34" t="s">
        <v>821</v>
      </c>
      <c r="C302" s="35" t="s">
        <v>822</v>
      </c>
      <c r="D302" s="20" t="s">
        <v>823</v>
      </c>
      <c r="E302" s="53"/>
      <c r="F302" s="34" t="s">
        <v>824</v>
      </c>
      <c r="G302" s="34" t="s">
        <v>825</v>
      </c>
      <c r="H302" s="55"/>
      <c r="I302" s="76" t="s">
        <v>40</v>
      </c>
      <c r="J302" s="76"/>
      <c r="K302" s="76"/>
      <c r="L302" s="76"/>
      <c r="M302" s="76" t="s">
        <v>826</v>
      </c>
      <c r="N302" s="76"/>
      <c r="O302" s="76"/>
      <c r="P302" s="76"/>
      <c r="U302" s="30" t="s">
        <v>42</v>
      </c>
      <c r="W302" s="137">
        <v>17</v>
      </c>
      <c r="X302" s="63">
        <v>1</v>
      </c>
      <c r="Y302" s="120">
        <f t="shared" si="18"/>
        <v>17</v>
      </c>
      <c r="Z302" s="120">
        <f t="shared" si="19"/>
        <v>17</v>
      </c>
    </row>
    <row r="303" spans="1:27" s="31" customFormat="1">
      <c r="C303" s="32"/>
      <c r="D303" s="32"/>
      <c r="E303" s="33"/>
      <c r="H303" s="37"/>
      <c r="I303" s="75"/>
      <c r="J303" s="75"/>
      <c r="K303" s="75"/>
      <c r="L303" s="75"/>
      <c r="M303" s="75"/>
      <c r="N303" s="75"/>
      <c r="O303" s="75"/>
      <c r="P303" s="75"/>
      <c r="R303" s="21"/>
      <c r="U303" s="31" t="s">
        <v>70</v>
      </c>
      <c r="W303" s="137" t="s">
        <v>70</v>
      </c>
      <c r="X303" s="63">
        <v>1</v>
      </c>
      <c r="Y303" s="120" t="str">
        <f t="shared" si="18"/>
        <v/>
      </c>
      <c r="Z303" s="120" t="str">
        <f t="shared" si="19"/>
        <v/>
      </c>
      <c r="AA303" s="30"/>
    </row>
    <row r="304" spans="1:27" s="31" customFormat="1">
      <c r="A304" s="31" t="s">
        <v>827</v>
      </c>
      <c r="B304" s="31" t="s">
        <v>828</v>
      </c>
      <c r="C304" s="32" t="s">
        <v>829</v>
      </c>
      <c r="D304" s="32" t="s">
        <v>830</v>
      </c>
      <c r="E304" s="33"/>
      <c r="F304" s="31" t="s">
        <v>831</v>
      </c>
      <c r="G304" s="31" t="s">
        <v>395</v>
      </c>
      <c r="H304" s="37"/>
      <c r="I304" s="75" t="s">
        <v>40</v>
      </c>
      <c r="J304" s="75"/>
      <c r="K304" s="86" t="s">
        <v>475</v>
      </c>
      <c r="L304" s="75"/>
      <c r="M304" s="86" t="s">
        <v>826</v>
      </c>
      <c r="N304" s="75"/>
      <c r="O304" s="75"/>
      <c r="P304" s="75"/>
      <c r="R304" s="21"/>
      <c r="U304" s="31" t="s">
        <v>54</v>
      </c>
      <c r="W304" s="137"/>
      <c r="X304" s="63"/>
      <c r="Y304" s="120"/>
      <c r="Z304" s="120"/>
      <c r="AA304" s="30"/>
    </row>
    <row r="305" spans="1:27" s="31" customFormat="1">
      <c r="C305" s="32"/>
      <c r="D305" s="32"/>
      <c r="E305" s="33"/>
      <c r="H305" s="37"/>
      <c r="I305" s="75"/>
      <c r="J305" s="75"/>
      <c r="K305" s="75"/>
      <c r="L305" s="75"/>
      <c r="M305" s="75"/>
      <c r="N305" s="75"/>
      <c r="O305" s="75"/>
      <c r="P305" s="75"/>
      <c r="R305" s="21"/>
      <c r="W305" s="137"/>
      <c r="X305" s="63"/>
      <c r="Y305" s="120"/>
      <c r="Z305" s="120"/>
      <c r="AA305" s="30"/>
    </row>
    <row r="306" spans="1:27" ht="15" thickBot="1">
      <c r="A306" s="56" t="s">
        <v>156</v>
      </c>
      <c r="B306" s="56"/>
      <c r="C306" s="57"/>
      <c r="D306" s="57"/>
      <c r="E306" s="66"/>
      <c r="F306" s="56"/>
      <c r="G306" s="56"/>
      <c r="H306" s="67"/>
      <c r="I306" s="87"/>
      <c r="J306" s="87"/>
      <c r="K306" s="87"/>
      <c r="L306" s="87"/>
      <c r="M306" s="87"/>
      <c r="N306" s="87"/>
      <c r="O306" s="87"/>
      <c r="P306" s="87"/>
      <c r="U306" s="21" t="s">
        <v>70</v>
      </c>
      <c r="W306" s="137" t="s">
        <v>70</v>
      </c>
      <c r="Y306" s="120" t="str">
        <f t="shared" si="18"/>
        <v/>
      </c>
      <c r="Z306" s="120" t="str">
        <f t="shared" si="19"/>
        <v/>
      </c>
    </row>
    <row r="307" spans="1:27" s="27" customFormat="1" ht="15" thickTop="1">
      <c r="A307" s="24" t="s">
        <v>71</v>
      </c>
      <c r="B307" s="24" t="s">
        <v>832</v>
      </c>
      <c r="C307" s="48" t="s">
        <v>833</v>
      </c>
      <c r="D307" s="48" t="s">
        <v>833</v>
      </c>
      <c r="E307" s="25"/>
      <c r="F307" s="24"/>
      <c r="G307" s="24"/>
      <c r="H307" s="26"/>
      <c r="I307" s="79" t="s">
        <v>53</v>
      </c>
      <c r="J307" s="79"/>
      <c r="K307" s="79"/>
      <c r="L307" s="79"/>
      <c r="M307" s="80" t="s">
        <v>160</v>
      </c>
      <c r="N307" s="79"/>
      <c r="O307" s="79"/>
      <c r="P307" s="79"/>
      <c r="U307" s="21" t="s">
        <v>42</v>
      </c>
      <c r="W307" s="137"/>
      <c r="X307" s="123"/>
      <c r="Y307" s="120" t="str">
        <f t="shared" si="18"/>
        <v/>
      </c>
      <c r="Z307" s="120" t="str">
        <f t="shared" si="19"/>
        <v/>
      </c>
      <c r="AA307" s="28"/>
    </row>
    <row r="308" spans="1:27" s="27" customFormat="1">
      <c r="C308" s="49"/>
      <c r="D308" s="49"/>
      <c r="E308" s="25"/>
      <c r="H308" s="26"/>
      <c r="I308" s="80"/>
      <c r="J308" s="80"/>
      <c r="K308" s="80"/>
      <c r="L308" s="80"/>
      <c r="M308" s="80"/>
      <c r="N308" s="80"/>
      <c r="O308" s="80"/>
      <c r="P308" s="80"/>
      <c r="U308" s="21" t="s">
        <v>70</v>
      </c>
      <c r="W308" s="137" t="s">
        <v>70</v>
      </c>
      <c r="X308" s="63">
        <v>1</v>
      </c>
      <c r="Y308" s="120" t="str">
        <f t="shared" si="18"/>
        <v/>
      </c>
      <c r="Z308" s="120" t="str">
        <f t="shared" si="19"/>
        <v/>
      </c>
      <c r="AA308" s="28"/>
    </row>
    <row r="309" spans="1:27" ht="28.8">
      <c r="A309" s="29" t="s">
        <v>55</v>
      </c>
      <c r="B309" s="29" t="s">
        <v>834</v>
      </c>
      <c r="C309" s="20" t="s">
        <v>835</v>
      </c>
      <c r="D309" s="35" t="s">
        <v>836</v>
      </c>
      <c r="E309" s="42"/>
      <c r="F309" s="29"/>
      <c r="G309" s="29"/>
      <c r="H309" s="43"/>
      <c r="I309" s="74" t="s">
        <v>40</v>
      </c>
      <c r="J309" s="74"/>
      <c r="K309" s="74"/>
      <c r="L309" s="74"/>
      <c r="M309" s="74"/>
      <c r="N309" s="74"/>
      <c r="O309" s="74"/>
      <c r="P309" s="74"/>
      <c r="U309" s="21" t="s">
        <v>42</v>
      </c>
      <c r="W309" s="137">
        <v>36.783046722412109</v>
      </c>
      <c r="X309" s="63">
        <v>1</v>
      </c>
      <c r="Y309" s="120">
        <f t="shared" si="18"/>
        <v>36.783046722412109</v>
      </c>
      <c r="Z309" s="120">
        <f t="shared" si="19"/>
        <v>36.783046722412109</v>
      </c>
    </row>
    <row r="310" spans="1:27">
      <c r="D310" s="23"/>
      <c r="E310" s="42"/>
      <c r="H310" s="43"/>
      <c r="U310" s="21" t="s">
        <v>70</v>
      </c>
      <c r="W310" s="137" t="s">
        <v>70</v>
      </c>
      <c r="X310" s="63">
        <v>1</v>
      </c>
      <c r="Y310" s="120" t="str">
        <f t="shared" si="18"/>
        <v/>
      </c>
      <c r="Z310" s="120" t="str">
        <f t="shared" si="19"/>
        <v/>
      </c>
    </row>
    <row r="311" spans="1:27" s="31" customFormat="1">
      <c r="A311" s="110" t="s">
        <v>837</v>
      </c>
      <c r="B311" s="110" t="s">
        <v>838</v>
      </c>
      <c r="C311" s="130" t="s">
        <v>839</v>
      </c>
      <c r="D311" s="130" t="s">
        <v>840</v>
      </c>
      <c r="E311" s="113"/>
      <c r="F311" s="110" t="s">
        <v>841</v>
      </c>
      <c r="G311" s="110" t="s">
        <v>842</v>
      </c>
      <c r="H311" s="114"/>
      <c r="I311" s="109" t="s">
        <v>40</v>
      </c>
      <c r="J311" s="109"/>
      <c r="K311" s="91"/>
      <c r="L311" s="109"/>
      <c r="M311" s="109" t="s">
        <v>843</v>
      </c>
      <c r="N311" s="84"/>
      <c r="O311" s="84"/>
      <c r="P311" s="84"/>
      <c r="U311" s="112" t="s">
        <v>105</v>
      </c>
      <c r="W311" s="137">
        <v>10</v>
      </c>
      <c r="X311" s="63">
        <v>1</v>
      </c>
      <c r="Y311" s="120">
        <f t="shared" si="18"/>
        <v>10</v>
      </c>
      <c r="Z311" s="120" t="str">
        <f t="shared" si="19"/>
        <v/>
      </c>
      <c r="AA311" s="30"/>
    </row>
    <row r="312" spans="1:27" s="31" customFormat="1">
      <c r="A312" s="110" t="s">
        <v>844</v>
      </c>
      <c r="B312" s="110" t="s">
        <v>845</v>
      </c>
      <c r="C312" s="130" t="s">
        <v>846</v>
      </c>
      <c r="D312" s="130" t="s">
        <v>847</v>
      </c>
      <c r="E312" s="113"/>
      <c r="F312" s="110" t="s">
        <v>841</v>
      </c>
      <c r="G312" s="110" t="s">
        <v>842</v>
      </c>
      <c r="H312" s="114"/>
      <c r="I312" s="109" t="s">
        <v>40</v>
      </c>
      <c r="J312" s="109"/>
      <c r="K312" s="91"/>
      <c r="L312" s="109"/>
      <c r="M312" s="109" t="s">
        <v>843</v>
      </c>
      <c r="N312" s="84"/>
      <c r="O312" s="84"/>
      <c r="P312" s="84"/>
      <c r="U312" s="112" t="s">
        <v>105</v>
      </c>
      <c r="W312" s="137">
        <v>10</v>
      </c>
      <c r="X312" s="63">
        <v>1</v>
      </c>
      <c r="Y312" s="120">
        <f t="shared" si="18"/>
        <v>10</v>
      </c>
      <c r="Z312" s="120" t="str">
        <f t="shared" si="19"/>
        <v/>
      </c>
      <c r="AA312" s="30"/>
    </row>
    <row r="313" spans="1:27" s="31" customFormat="1">
      <c r="C313" s="32"/>
      <c r="D313" s="23"/>
      <c r="E313" s="33"/>
      <c r="H313" s="37"/>
      <c r="I313" s="75"/>
      <c r="J313" s="75"/>
      <c r="K313" s="75"/>
      <c r="L313" s="75"/>
      <c r="M313" s="75"/>
      <c r="N313" s="75"/>
      <c r="O313" s="75"/>
      <c r="P313" s="75"/>
      <c r="U313" s="31" t="s">
        <v>70</v>
      </c>
      <c r="W313" s="137" t="s">
        <v>70</v>
      </c>
      <c r="X313" s="63">
        <v>1</v>
      </c>
      <c r="Y313" s="120" t="str">
        <f t="shared" si="18"/>
        <v/>
      </c>
      <c r="Z313" s="120" t="str">
        <f t="shared" si="19"/>
        <v/>
      </c>
      <c r="AA313" s="30"/>
    </row>
    <row r="314" spans="1:27">
      <c r="A314" s="29" t="s">
        <v>848</v>
      </c>
      <c r="B314" s="29" t="s">
        <v>849</v>
      </c>
      <c r="C314" s="20" t="s">
        <v>850</v>
      </c>
      <c r="D314" s="35" t="s">
        <v>851</v>
      </c>
      <c r="E314" s="42"/>
      <c r="F314" s="29"/>
      <c r="G314" s="29"/>
      <c r="H314" s="43"/>
      <c r="I314" s="74" t="s">
        <v>40</v>
      </c>
      <c r="J314" s="74"/>
      <c r="K314" s="74"/>
      <c r="L314" s="74"/>
      <c r="M314" s="74"/>
      <c r="N314" s="74"/>
      <c r="O314" s="74"/>
      <c r="P314" s="74"/>
      <c r="U314" s="21" t="s">
        <v>42</v>
      </c>
      <c r="W314" s="137">
        <v>3</v>
      </c>
      <c r="X314" s="63">
        <v>1</v>
      </c>
      <c r="Y314" s="120">
        <f t="shared" si="18"/>
        <v>3</v>
      </c>
      <c r="Z314" s="120">
        <f t="shared" si="19"/>
        <v>3</v>
      </c>
    </row>
    <row r="315" spans="1:27">
      <c r="D315" s="23"/>
      <c r="E315" s="42"/>
      <c r="H315" s="43"/>
      <c r="U315" s="21" t="s">
        <v>70</v>
      </c>
      <c r="W315" s="137" t="s">
        <v>70</v>
      </c>
      <c r="X315" s="63">
        <v>1</v>
      </c>
      <c r="Y315" s="120" t="str">
        <f t="shared" si="18"/>
        <v/>
      </c>
      <c r="Z315" s="120" t="str">
        <f t="shared" si="19"/>
        <v/>
      </c>
    </row>
    <row r="316" spans="1:27">
      <c r="A316" s="29" t="s">
        <v>47</v>
      </c>
      <c r="B316" s="29" t="s">
        <v>852</v>
      </c>
      <c r="C316" s="20" t="s">
        <v>853</v>
      </c>
      <c r="D316" s="35" t="s">
        <v>854</v>
      </c>
      <c r="E316" s="42"/>
      <c r="F316" s="29"/>
      <c r="G316" s="29"/>
      <c r="H316" s="43"/>
      <c r="I316" s="74" t="s">
        <v>53</v>
      </c>
      <c r="J316" s="74"/>
      <c r="K316" s="74"/>
      <c r="L316" s="74"/>
      <c r="M316" s="74"/>
      <c r="N316" s="74"/>
      <c r="O316" s="74"/>
      <c r="P316" s="74"/>
      <c r="U316" s="21" t="s">
        <v>54</v>
      </c>
      <c r="W316" s="137">
        <v>0</v>
      </c>
      <c r="X316" s="63">
        <v>1</v>
      </c>
      <c r="Y316" s="120">
        <f t="shared" si="18"/>
        <v>0</v>
      </c>
      <c r="Z316" s="120" t="str">
        <f t="shared" si="19"/>
        <v/>
      </c>
    </row>
    <row r="317" spans="1:27">
      <c r="E317" s="42"/>
      <c r="H317" s="43"/>
      <c r="W317" s="137" t="s">
        <v>70</v>
      </c>
      <c r="X317" s="63">
        <v>1</v>
      </c>
      <c r="Y317" s="120" t="str">
        <f t="shared" si="18"/>
        <v/>
      </c>
      <c r="Z317" s="120" t="str">
        <f t="shared" si="19"/>
        <v/>
      </c>
    </row>
    <row r="318" spans="1:27" ht="15" thickBot="1">
      <c r="A318" s="56" t="s">
        <v>156</v>
      </c>
      <c r="B318" s="56"/>
      <c r="C318" s="57"/>
      <c r="D318" s="57"/>
      <c r="E318" s="66"/>
      <c r="F318" s="56"/>
      <c r="G318" s="56"/>
      <c r="H318" s="67"/>
      <c r="I318" s="87"/>
      <c r="J318" s="87"/>
      <c r="K318" s="87"/>
      <c r="L318" s="87"/>
      <c r="M318" s="87"/>
      <c r="N318" s="87"/>
      <c r="O318" s="87"/>
      <c r="P318" s="87"/>
      <c r="W318" s="137" t="s">
        <v>70</v>
      </c>
      <c r="Y318" s="120" t="str">
        <f t="shared" si="18"/>
        <v/>
      </c>
      <c r="Z318" s="120" t="str">
        <f t="shared" si="19"/>
        <v/>
      </c>
    </row>
    <row r="319" spans="1:27" s="31" customFormat="1" ht="15" thickTop="1">
      <c r="C319" s="32"/>
      <c r="D319" s="32"/>
      <c r="E319" s="32"/>
      <c r="I319" s="75"/>
      <c r="J319" s="75"/>
      <c r="K319" s="75"/>
      <c r="L319" s="75"/>
      <c r="M319" s="75"/>
      <c r="N319" s="75"/>
      <c r="O319" s="75"/>
      <c r="P319" s="75"/>
      <c r="W319" s="137"/>
      <c r="X319" s="125"/>
      <c r="Y319" s="124"/>
    </row>
    <row r="320" spans="1:27">
      <c r="A320" s="29" t="s">
        <v>855</v>
      </c>
      <c r="B320" s="29" t="s">
        <v>856</v>
      </c>
      <c r="C320" s="20" t="s">
        <v>857</v>
      </c>
      <c r="D320" s="20" t="s">
        <v>858</v>
      </c>
      <c r="F320" s="29"/>
      <c r="G320" s="29"/>
      <c r="I320" s="74" t="s">
        <v>40</v>
      </c>
      <c r="J320" s="74"/>
      <c r="K320" s="74"/>
      <c r="L320" s="74"/>
      <c r="M320" s="81" t="s">
        <v>65</v>
      </c>
      <c r="N320" s="74"/>
      <c r="O320" s="74"/>
      <c r="P320" s="74"/>
      <c r="U320" s="21" t="s">
        <v>54</v>
      </c>
      <c r="W320" s="137"/>
      <c r="Y320" s="120"/>
    </row>
    <row r="321" spans="1:26" ht="28.8">
      <c r="A321" s="21" t="s">
        <v>59</v>
      </c>
      <c r="B321" s="21" t="s">
        <v>859</v>
      </c>
      <c r="C321" s="22" t="s">
        <v>860</v>
      </c>
      <c r="D321" s="22" t="s">
        <v>861</v>
      </c>
      <c r="E321" s="133"/>
      <c r="H321" s="134"/>
      <c r="I321" s="81" t="s">
        <v>862</v>
      </c>
      <c r="M321" s="81" t="s">
        <v>863</v>
      </c>
      <c r="W321" s="137"/>
      <c r="Y321" s="120"/>
    </row>
    <row r="322" spans="1:26" s="31" customFormat="1">
      <c r="A322" s="31" t="s">
        <v>75</v>
      </c>
      <c r="B322" s="31" t="s">
        <v>864</v>
      </c>
      <c r="C322" s="32" t="s">
        <v>865</v>
      </c>
      <c r="D322" s="32" t="s">
        <v>866</v>
      </c>
      <c r="E322" s="33"/>
      <c r="F322" s="31" t="s">
        <v>867</v>
      </c>
      <c r="G322" s="31" t="s">
        <v>868</v>
      </c>
      <c r="H322" s="37"/>
      <c r="I322" s="75" t="s">
        <v>53</v>
      </c>
      <c r="J322" s="75"/>
      <c r="K322" s="75"/>
      <c r="L322" s="75"/>
      <c r="M322" s="75"/>
      <c r="N322" s="75"/>
      <c r="O322" s="75"/>
      <c r="P322" s="75"/>
      <c r="U322" s="31" t="s">
        <v>54</v>
      </c>
      <c r="W322" s="137"/>
      <c r="X322" s="63"/>
      <c r="Y322" s="120"/>
      <c r="Z322" s="120" t="str">
        <f>IF(AND(W322&lt;&gt;"",U322="yes"),W322*X322,"")</f>
        <v/>
      </c>
    </row>
    <row r="323" spans="1:26">
      <c r="A323" s="29" t="s">
        <v>26</v>
      </c>
      <c r="B323" s="29" t="s">
        <v>869</v>
      </c>
      <c r="C323" s="20"/>
      <c r="D323" s="20"/>
      <c r="F323" s="29"/>
      <c r="G323" s="29"/>
      <c r="I323" s="74" t="s">
        <v>53</v>
      </c>
      <c r="J323" s="74"/>
      <c r="K323" s="74"/>
      <c r="L323" s="74"/>
      <c r="M323" s="74"/>
      <c r="N323" s="74"/>
      <c r="O323" s="74"/>
      <c r="P323" s="74" t="s">
        <v>870</v>
      </c>
      <c r="U323" s="21" t="s">
        <v>54</v>
      </c>
      <c r="W323" s="137"/>
    </row>
    <row r="324" spans="1:26">
      <c r="W324" s="137"/>
    </row>
    <row r="328" spans="1:26" ht="15" thickBot="1"/>
    <row r="329" spans="1:26" ht="16.2" thickBot="1">
      <c r="S329" s="146" t="s">
        <v>871</v>
      </c>
      <c r="T329" s="147"/>
      <c r="U329" s="147"/>
      <c r="V329" s="147"/>
      <c r="W329" s="139"/>
      <c r="X329" s="126"/>
      <c r="Y329" s="127">
        <f>(SUM(Y4:Y316)/60)</f>
        <v>37.644264953969348</v>
      </c>
      <c r="Z329" s="127">
        <f>(SUM(Z4:Z52)+AVERAGE(Z53:Z55)+SUM(Z56:Z316))/60</f>
        <v>18.060649856237294</v>
      </c>
    </row>
  </sheetData>
  <sheetProtection algorithmName="SHA-512" hashValue="xq7eYteel/1p4iQ7RyGyj5ueWqF6ab9Q1DN3ukh1awh8b/4XPqZJBFBTi0n4cQDiyCv5V2DPnm9yoyuZ5olpmA==" saltValue="tNycv4OaRV4/tupxkRQisg==" spinCount="100000" sheet="1" formatCells="0" formatColumns="0" formatRows="0" insertColumns="0" insertRows="0" deleteColumns="0" deleteRows="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76"/>
  <sheetViews>
    <sheetView zoomScale="110" zoomScaleNormal="110" workbookViewId="0">
      <pane ySplit="1" topLeftCell="A509" activePane="bottomLeft" state="frozen"/>
      <selection pane="bottomLeft" activeCell="C527" sqref="C527"/>
    </sheetView>
  </sheetViews>
  <sheetFormatPr defaultColWidth="8.77734375" defaultRowHeight="14.4"/>
  <cols>
    <col min="1" max="1" width="26.33203125" style="3" customWidth="1"/>
    <col min="2" max="2" width="30" style="3" customWidth="1"/>
    <col min="3" max="3" width="43.33203125" style="3" customWidth="1"/>
    <col min="4" max="4" width="27.109375" style="3" customWidth="1"/>
    <col min="5" max="5" width="20" style="3" customWidth="1"/>
    <col min="6" max="6" width="16.109375" style="3" customWidth="1"/>
    <col min="7" max="16384" width="8.77734375" style="3"/>
  </cols>
  <sheetData>
    <row r="1" spans="1:6">
      <c r="A1" s="2" t="s">
        <v>872</v>
      </c>
      <c r="B1" s="2" t="s">
        <v>1</v>
      </c>
      <c r="C1" s="2" t="s">
        <v>2</v>
      </c>
      <c r="D1" s="2" t="s">
        <v>3</v>
      </c>
      <c r="E1" s="1" t="s">
        <v>4</v>
      </c>
      <c r="F1" s="6" t="s">
        <v>873</v>
      </c>
    </row>
    <row r="2" spans="1:6" s="13" customFormat="1">
      <c r="A2" s="13" t="s">
        <v>874</v>
      </c>
      <c r="B2" s="149">
        <v>1</v>
      </c>
      <c r="C2" s="149" t="s">
        <v>875</v>
      </c>
      <c r="D2" s="256" t="s">
        <v>876</v>
      </c>
      <c r="E2" s="150"/>
      <c r="F2" s="151"/>
    </row>
    <row r="3" spans="1:6" s="13" customFormat="1">
      <c r="A3" s="13" t="s">
        <v>874</v>
      </c>
      <c r="B3" s="149">
        <v>2</v>
      </c>
      <c r="C3" s="149" t="s">
        <v>877</v>
      </c>
      <c r="D3" s="256" t="s">
        <v>878</v>
      </c>
      <c r="E3" s="150"/>
      <c r="F3" s="151"/>
    </row>
    <row r="4" spans="1:6" s="13" customFormat="1">
      <c r="A4" s="13" t="s">
        <v>874</v>
      </c>
      <c r="B4" s="149">
        <v>3</v>
      </c>
      <c r="C4" s="149" t="s">
        <v>879</v>
      </c>
      <c r="D4" s="256" t="s">
        <v>880</v>
      </c>
      <c r="E4" s="150"/>
      <c r="F4" s="151"/>
    </row>
    <row r="5" spans="1:6" s="13" customFormat="1">
      <c r="A5" s="13" t="s">
        <v>874</v>
      </c>
      <c r="B5" s="149">
        <v>4</v>
      </c>
      <c r="C5" s="149" t="s">
        <v>881</v>
      </c>
      <c r="D5" s="256" t="s">
        <v>882</v>
      </c>
      <c r="E5" s="150"/>
      <c r="F5" s="151"/>
    </row>
    <row r="6" spans="1:6">
      <c r="A6" s="2"/>
      <c r="B6" s="2"/>
      <c r="C6" s="2"/>
      <c r="D6" s="2"/>
      <c r="E6" s="1"/>
      <c r="F6" s="2"/>
    </row>
    <row r="7" spans="1:6">
      <c r="A7" t="s">
        <v>37</v>
      </c>
      <c r="B7" s="3">
        <v>1</v>
      </c>
      <c r="C7" s="5" t="s">
        <v>883</v>
      </c>
      <c r="D7" s="257" t="s">
        <v>884</v>
      </c>
      <c r="E7" s="4"/>
      <c r="F7" s="152"/>
    </row>
    <row r="8" spans="1:6">
      <c r="A8" t="s">
        <v>37</v>
      </c>
      <c r="B8" s="3">
        <v>2</v>
      </c>
      <c r="C8" s="5" t="s">
        <v>885</v>
      </c>
      <c r="D8" s="257" t="s">
        <v>886</v>
      </c>
      <c r="E8" s="4"/>
      <c r="F8" s="152"/>
    </row>
    <row r="9" spans="1:6">
      <c r="A9" t="s">
        <v>37</v>
      </c>
      <c r="B9" s="3">
        <v>3</v>
      </c>
      <c r="C9" s="5" t="s">
        <v>887</v>
      </c>
      <c r="D9" s="257" t="s">
        <v>888</v>
      </c>
      <c r="E9" s="4"/>
      <c r="F9" s="152"/>
    </row>
    <row r="10" spans="1:6">
      <c r="E10" s="4"/>
    </row>
    <row r="11" spans="1:6">
      <c r="A11" t="s">
        <v>889</v>
      </c>
      <c r="B11">
        <v>1</v>
      </c>
      <c r="C11" t="s">
        <v>890</v>
      </c>
      <c r="D11" t="s">
        <v>891</v>
      </c>
      <c r="E11" s="4"/>
    </row>
    <row r="12" spans="1:6">
      <c r="A12" t="s">
        <v>889</v>
      </c>
      <c r="B12">
        <v>2</v>
      </c>
      <c r="C12" t="s">
        <v>892</v>
      </c>
      <c r="D12" t="s">
        <v>893</v>
      </c>
      <c r="E12" s="4"/>
    </row>
    <row r="13" spans="1:6">
      <c r="A13" t="s">
        <v>889</v>
      </c>
      <c r="B13" s="273">
        <v>3</v>
      </c>
      <c r="C13" t="s">
        <v>894</v>
      </c>
      <c r="D13" t="s">
        <v>895</v>
      </c>
      <c r="E13" s="4"/>
    </row>
    <row r="14" spans="1:6">
      <c r="A14" t="s">
        <v>889</v>
      </c>
      <c r="B14" s="273">
        <v>4</v>
      </c>
      <c r="C14" t="s">
        <v>896</v>
      </c>
      <c r="D14" t="s">
        <v>897</v>
      </c>
      <c r="E14" s="4"/>
    </row>
    <row r="15" spans="1:6">
      <c r="E15" s="4"/>
    </row>
    <row r="16" spans="1:6">
      <c r="A16" t="s">
        <v>898</v>
      </c>
      <c r="B16" t="s">
        <v>898</v>
      </c>
      <c r="C16" t="s">
        <v>898</v>
      </c>
      <c r="D16" t="s">
        <v>899</v>
      </c>
      <c r="E16" s="4"/>
    </row>
    <row r="17" spans="1:7">
      <c r="E17" s="4"/>
    </row>
    <row r="18" spans="1:7">
      <c r="A18" t="s">
        <v>900</v>
      </c>
      <c r="B18">
        <v>1</v>
      </c>
      <c r="C18" t="s">
        <v>890</v>
      </c>
      <c r="D18" t="s">
        <v>901</v>
      </c>
      <c r="E18" s="4"/>
    </row>
    <row r="19" spans="1:7" ht="15.6">
      <c r="A19" t="s">
        <v>900</v>
      </c>
      <c r="B19">
        <v>2</v>
      </c>
      <c r="C19" t="s">
        <v>892</v>
      </c>
      <c r="D19" t="s">
        <v>892</v>
      </c>
      <c r="E19" s="4"/>
      <c r="G19" s="278"/>
    </row>
    <row r="20" spans="1:7">
      <c r="E20" s="4"/>
    </row>
    <row r="21" spans="1:7" s="11" customFormat="1">
      <c r="A21" s="14" t="s">
        <v>902</v>
      </c>
      <c r="B21" s="14" t="s">
        <v>903</v>
      </c>
      <c r="C21" s="14" t="s">
        <v>904</v>
      </c>
      <c r="D21" s="14" t="s">
        <v>905</v>
      </c>
      <c r="E21" s="7"/>
    </row>
    <row r="22" spans="1:7" s="11" customFormat="1">
      <c r="A22" s="274" t="s">
        <v>902</v>
      </c>
      <c r="B22" s="274" t="s">
        <v>906</v>
      </c>
      <c r="C22" s="274" t="s">
        <v>907</v>
      </c>
      <c r="D22" s="274" t="s">
        <v>908</v>
      </c>
      <c r="E22" s="7"/>
    </row>
    <row r="23" spans="1:7" s="11" customFormat="1">
      <c r="A23" s="14" t="s">
        <v>902</v>
      </c>
      <c r="B23" s="5" t="s">
        <v>909</v>
      </c>
      <c r="C23" s="5" t="s">
        <v>909</v>
      </c>
      <c r="D23" s="5"/>
      <c r="E23" s="7"/>
    </row>
    <row r="24" spans="1:7">
      <c r="E24" s="4"/>
    </row>
    <row r="25" spans="1:7">
      <c r="A25" t="s">
        <v>910</v>
      </c>
      <c r="B25">
        <v>1</v>
      </c>
      <c r="C25" t="s">
        <v>911</v>
      </c>
      <c r="D25" t="s">
        <v>912</v>
      </c>
      <c r="E25" s="4"/>
    </row>
    <row r="26" spans="1:7">
      <c r="A26" t="s">
        <v>910</v>
      </c>
      <c r="B26">
        <v>2</v>
      </c>
      <c r="C26" t="s">
        <v>913</v>
      </c>
      <c r="D26" t="s">
        <v>914</v>
      </c>
      <c r="E26" s="4"/>
    </row>
    <row r="27" spans="1:7">
      <c r="A27" t="s">
        <v>910</v>
      </c>
      <c r="B27" s="273">
        <v>3</v>
      </c>
      <c r="C27" s="274" t="s">
        <v>894</v>
      </c>
      <c r="D27" t="s">
        <v>895</v>
      </c>
      <c r="E27" s="4"/>
    </row>
    <row r="28" spans="1:7">
      <c r="A28" t="s">
        <v>910</v>
      </c>
      <c r="B28" s="273">
        <v>4</v>
      </c>
      <c r="C28" s="274" t="s">
        <v>896</v>
      </c>
      <c r="D28" t="s">
        <v>897</v>
      </c>
      <c r="E28" s="4"/>
    </row>
    <row r="29" spans="1:7">
      <c r="C29" s="14"/>
      <c r="D29" s="14"/>
      <c r="E29" s="4"/>
    </row>
    <row r="30" spans="1:7">
      <c r="A30" t="s">
        <v>915</v>
      </c>
      <c r="B30">
        <v>1</v>
      </c>
      <c r="C30" s="274" t="s">
        <v>916</v>
      </c>
      <c r="D30" s="274" t="s">
        <v>917</v>
      </c>
      <c r="E30" s="4"/>
    </row>
    <row r="31" spans="1:7">
      <c r="A31" t="s">
        <v>915</v>
      </c>
      <c r="B31">
        <v>2</v>
      </c>
      <c r="C31" s="3" t="s">
        <v>918</v>
      </c>
      <c r="D31" s="274" t="s">
        <v>919</v>
      </c>
      <c r="E31" s="4"/>
    </row>
    <row r="32" spans="1:7">
      <c r="A32" t="s">
        <v>915</v>
      </c>
      <c r="B32">
        <v>3</v>
      </c>
      <c r="C32" s="274" t="s">
        <v>920</v>
      </c>
      <c r="D32" s="274" t="s">
        <v>921</v>
      </c>
      <c r="E32" s="4"/>
    </row>
    <row r="33" spans="1:5">
      <c r="A33" t="s">
        <v>915</v>
      </c>
      <c r="B33">
        <v>4</v>
      </c>
      <c r="C33" s="274" t="s">
        <v>893</v>
      </c>
      <c r="D33" s="274" t="s">
        <v>893</v>
      </c>
      <c r="E33" s="4"/>
    </row>
    <row r="34" spans="1:5">
      <c r="C34" s="14"/>
      <c r="D34" s="14"/>
      <c r="E34" s="4"/>
    </row>
    <row r="35" spans="1:5">
      <c r="A35" t="s">
        <v>922</v>
      </c>
      <c r="B35">
        <v>1</v>
      </c>
      <c r="C35" t="s">
        <v>923</v>
      </c>
      <c r="D35" t="s">
        <v>924</v>
      </c>
      <c r="E35" s="4"/>
    </row>
    <row r="36" spans="1:5">
      <c r="A36" t="s">
        <v>922</v>
      </c>
      <c r="B36">
        <v>2</v>
      </c>
      <c r="C36" t="s">
        <v>925</v>
      </c>
      <c r="D36" t="s">
        <v>926</v>
      </c>
      <c r="E36" s="4"/>
    </row>
    <row r="37" spans="1:5">
      <c r="A37" t="s">
        <v>922</v>
      </c>
      <c r="B37">
        <v>3</v>
      </c>
      <c r="C37" t="s">
        <v>927</v>
      </c>
      <c r="D37" t="s">
        <v>928</v>
      </c>
      <c r="E37" s="4"/>
    </row>
    <row r="38" spans="1:5">
      <c r="A38" t="s">
        <v>922</v>
      </c>
      <c r="B38">
        <v>4</v>
      </c>
      <c r="C38" t="s">
        <v>892</v>
      </c>
      <c r="D38" t="s">
        <v>892</v>
      </c>
      <c r="E38" s="4"/>
    </row>
    <row r="39" spans="1:5">
      <c r="A39" t="s">
        <v>922</v>
      </c>
      <c r="B39" s="273">
        <v>5</v>
      </c>
      <c r="C39" s="274" t="s">
        <v>894</v>
      </c>
      <c r="D39" t="s">
        <v>895</v>
      </c>
      <c r="E39" s="4"/>
    </row>
    <row r="40" spans="1:5">
      <c r="A40" t="s">
        <v>922</v>
      </c>
      <c r="B40" s="273">
        <v>6</v>
      </c>
      <c r="C40" t="s">
        <v>896</v>
      </c>
      <c r="D40" t="s">
        <v>897</v>
      </c>
      <c r="E40" s="4"/>
    </row>
    <row r="41" spans="1:5">
      <c r="E41" s="4"/>
    </row>
    <row r="42" spans="1:5">
      <c r="A42" t="s">
        <v>929</v>
      </c>
      <c r="B42">
        <v>1</v>
      </c>
      <c r="C42" s="274" t="s">
        <v>930</v>
      </c>
      <c r="D42" s="274" t="s">
        <v>931</v>
      </c>
      <c r="E42" s="4"/>
    </row>
    <row r="43" spans="1:5">
      <c r="A43" t="s">
        <v>929</v>
      </c>
      <c r="B43">
        <v>2</v>
      </c>
      <c r="C43" s="274" t="s">
        <v>932</v>
      </c>
      <c r="D43" s="274" t="s">
        <v>933</v>
      </c>
      <c r="E43" s="4"/>
    </row>
    <row r="44" spans="1:5">
      <c r="A44" t="s">
        <v>929</v>
      </c>
      <c r="B44">
        <v>3</v>
      </c>
      <c r="C44" s="274" t="s">
        <v>934</v>
      </c>
      <c r="D44" s="274" t="s">
        <v>935</v>
      </c>
      <c r="E44" s="4"/>
    </row>
    <row r="45" spans="1:5">
      <c r="A45" t="s">
        <v>929</v>
      </c>
      <c r="B45">
        <v>4</v>
      </c>
      <c r="C45" s="274" t="s">
        <v>936</v>
      </c>
      <c r="D45" s="274" t="s">
        <v>937</v>
      </c>
      <c r="E45" s="4"/>
    </row>
    <row r="46" spans="1:5">
      <c r="A46" t="s">
        <v>929</v>
      </c>
      <c r="B46">
        <v>5</v>
      </c>
      <c r="C46" s="274" t="s">
        <v>938</v>
      </c>
      <c r="D46" s="274" t="s">
        <v>939</v>
      </c>
      <c r="E46" s="4"/>
    </row>
    <row r="47" spans="1:5">
      <c r="A47" t="s">
        <v>929</v>
      </c>
      <c r="B47" s="273">
        <v>6</v>
      </c>
      <c r="C47" t="s">
        <v>894</v>
      </c>
      <c r="D47" t="s">
        <v>895</v>
      </c>
      <c r="E47" s="4"/>
    </row>
    <row r="48" spans="1:5">
      <c r="A48" t="s">
        <v>929</v>
      </c>
      <c r="B48" s="273">
        <v>7</v>
      </c>
      <c r="C48" t="s">
        <v>896</v>
      </c>
      <c r="D48" t="s">
        <v>897</v>
      </c>
      <c r="E48" s="4"/>
    </row>
    <row r="49" spans="1:5">
      <c r="B49" s="10"/>
      <c r="E49" s="4"/>
    </row>
    <row r="50" spans="1:5">
      <c r="A50" t="s">
        <v>940</v>
      </c>
      <c r="B50" s="273">
        <v>1</v>
      </c>
      <c r="C50" t="s">
        <v>941</v>
      </c>
      <c r="D50" t="s">
        <v>942</v>
      </c>
      <c r="E50" s="4"/>
    </row>
    <row r="51" spans="1:5">
      <c r="A51" t="s">
        <v>940</v>
      </c>
      <c r="B51" s="273">
        <v>2</v>
      </c>
      <c r="C51" t="s">
        <v>943</v>
      </c>
      <c r="D51" t="s">
        <v>944</v>
      </c>
      <c r="E51" s="4"/>
    </row>
    <row r="52" spans="1:5">
      <c r="A52" t="s">
        <v>940</v>
      </c>
      <c r="B52" s="273">
        <v>3</v>
      </c>
      <c r="C52" t="s">
        <v>945</v>
      </c>
      <c r="D52" t="s">
        <v>946</v>
      </c>
      <c r="E52" s="4"/>
    </row>
    <row r="53" spans="1:5">
      <c r="A53" t="s">
        <v>940</v>
      </c>
      <c r="B53" s="273">
        <v>4</v>
      </c>
      <c r="C53" t="s">
        <v>947</v>
      </c>
      <c r="D53" t="s">
        <v>948</v>
      </c>
      <c r="E53" s="4"/>
    </row>
    <row r="54" spans="1:5">
      <c r="A54" t="s">
        <v>940</v>
      </c>
      <c r="B54" s="273">
        <v>5</v>
      </c>
      <c r="C54" t="s">
        <v>949</v>
      </c>
      <c r="D54" t="s">
        <v>950</v>
      </c>
      <c r="E54" s="4"/>
    </row>
    <row r="55" spans="1:5">
      <c r="A55" t="s">
        <v>940</v>
      </c>
      <c r="B55" s="273">
        <v>6</v>
      </c>
      <c r="C55" t="s">
        <v>951</v>
      </c>
      <c r="D55" t="s">
        <v>952</v>
      </c>
      <c r="E55" s="4"/>
    </row>
    <row r="56" spans="1:5">
      <c r="A56" t="s">
        <v>940</v>
      </c>
      <c r="B56" s="273">
        <v>7</v>
      </c>
      <c r="C56" t="s">
        <v>953</v>
      </c>
      <c r="D56" t="s">
        <v>954</v>
      </c>
      <c r="E56" s="4"/>
    </row>
    <row r="57" spans="1:5">
      <c r="A57" t="s">
        <v>940</v>
      </c>
      <c r="B57" s="273">
        <v>8</v>
      </c>
      <c r="C57" t="s">
        <v>955</v>
      </c>
      <c r="D57" t="s">
        <v>956</v>
      </c>
      <c r="E57" s="4"/>
    </row>
    <row r="58" spans="1:5">
      <c r="A58" t="s">
        <v>940</v>
      </c>
      <c r="B58" s="273">
        <v>9</v>
      </c>
      <c r="C58" t="s">
        <v>957</v>
      </c>
      <c r="D58" t="s">
        <v>958</v>
      </c>
      <c r="E58" s="4"/>
    </row>
    <row r="59" spans="1:5">
      <c r="A59" t="s">
        <v>940</v>
      </c>
      <c r="B59" s="273">
        <v>10</v>
      </c>
      <c r="C59" t="s">
        <v>959</v>
      </c>
      <c r="D59" t="s">
        <v>960</v>
      </c>
      <c r="E59" s="4"/>
    </row>
    <row r="60" spans="1:5">
      <c r="A60" t="s">
        <v>940</v>
      </c>
      <c r="B60" s="273">
        <v>11</v>
      </c>
      <c r="C60" t="s">
        <v>894</v>
      </c>
      <c r="D60" t="s">
        <v>895</v>
      </c>
      <c r="E60" s="4"/>
    </row>
    <row r="61" spans="1:5">
      <c r="A61" t="s">
        <v>940</v>
      </c>
      <c r="B61" s="273">
        <v>12</v>
      </c>
      <c r="C61" t="s">
        <v>896</v>
      </c>
      <c r="D61" t="s">
        <v>897</v>
      </c>
      <c r="E61" s="4"/>
    </row>
    <row r="62" spans="1:5">
      <c r="B62" s="10"/>
      <c r="E62" s="4"/>
    </row>
    <row r="63" spans="1:5">
      <c r="A63" t="s">
        <v>961</v>
      </c>
      <c r="B63" s="273">
        <v>1</v>
      </c>
      <c r="C63" t="s">
        <v>962</v>
      </c>
      <c r="D63" t="s">
        <v>963</v>
      </c>
      <c r="E63" s="4"/>
    </row>
    <row r="64" spans="1:5">
      <c r="A64" t="s">
        <v>961</v>
      </c>
      <c r="B64" s="273">
        <v>2</v>
      </c>
      <c r="C64" t="s">
        <v>964</v>
      </c>
      <c r="D64" t="s">
        <v>965</v>
      </c>
      <c r="E64" s="4"/>
    </row>
    <row r="65" spans="1:5">
      <c r="A65" t="s">
        <v>961</v>
      </c>
      <c r="B65" s="273">
        <v>3</v>
      </c>
      <c r="C65" t="s">
        <v>966</v>
      </c>
      <c r="D65" t="s">
        <v>967</v>
      </c>
      <c r="E65" s="4"/>
    </row>
    <row r="66" spans="1:5">
      <c r="A66" t="s">
        <v>961</v>
      </c>
      <c r="B66" s="273">
        <v>4</v>
      </c>
      <c r="C66" t="s">
        <v>968</v>
      </c>
      <c r="D66" t="s">
        <v>969</v>
      </c>
      <c r="E66" s="4"/>
    </row>
    <row r="67" spans="1:5">
      <c r="A67" t="s">
        <v>961</v>
      </c>
      <c r="B67" s="273">
        <v>5</v>
      </c>
      <c r="C67" t="s">
        <v>970</v>
      </c>
      <c r="D67" t="s">
        <v>971</v>
      </c>
      <c r="E67" s="4"/>
    </row>
    <row r="68" spans="1:5">
      <c r="A68" t="s">
        <v>961</v>
      </c>
      <c r="B68" s="273">
        <v>6</v>
      </c>
      <c r="C68" t="s">
        <v>894</v>
      </c>
      <c r="D68" t="s">
        <v>895</v>
      </c>
      <c r="E68" s="4"/>
    </row>
    <row r="69" spans="1:5">
      <c r="A69" t="s">
        <v>961</v>
      </c>
      <c r="B69" s="273">
        <v>7</v>
      </c>
      <c r="C69" t="s">
        <v>896</v>
      </c>
      <c r="D69" t="s">
        <v>897</v>
      </c>
      <c r="E69" s="4"/>
    </row>
    <row r="70" spans="1:5">
      <c r="B70" s="10"/>
      <c r="E70" s="4"/>
    </row>
    <row r="71" spans="1:5">
      <c r="A71" t="s">
        <v>972</v>
      </c>
      <c r="B71" s="273">
        <v>1</v>
      </c>
      <c r="C71" t="s">
        <v>973</v>
      </c>
      <c r="D71" t="s">
        <v>974</v>
      </c>
      <c r="E71" s="4"/>
    </row>
    <row r="72" spans="1:5">
      <c r="A72" t="s">
        <v>972</v>
      </c>
      <c r="B72" s="273">
        <v>2</v>
      </c>
      <c r="C72" t="s">
        <v>975</v>
      </c>
      <c r="D72" t="s">
        <v>976</v>
      </c>
      <c r="E72" s="4"/>
    </row>
    <row r="73" spans="1:5">
      <c r="A73" t="s">
        <v>972</v>
      </c>
      <c r="B73" s="273">
        <v>3</v>
      </c>
      <c r="C73" t="s">
        <v>977</v>
      </c>
      <c r="D73" t="s">
        <v>978</v>
      </c>
      <c r="E73" s="4"/>
    </row>
    <row r="74" spans="1:5">
      <c r="A74" t="s">
        <v>972</v>
      </c>
      <c r="B74" s="273">
        <v>4</v>
      </c>
      <c r="C74" t="s">
        <v>979</v>
      </c>
      <c r="D74" t="s">
        <v>980</v>
      </c>
      <c r="E74" s="4"/>
    </row>
    <row r="75" spans="1:5">
      <c r="A75" t="s">
        <v>972</v>
      </c>
      <c r="B75" s="273">
        <v>5</v>
      </c>
      <c r="C75" t="s">
        <v>981</v>
      </c>
      <c r="D75" t="s">
        <v>982</v>
      </c>
      <c r="E75" s="4"/>
    </row>
    <row r="76" spans="1:5">
      <c r="A76" t="s">
        <v>972</v>
      </c>
      <c r="B76" s="273">
        <v>6</v>
      </c>
      <c r="C76" t="s">
        <v>983</v>
      </c>
      <c r="D76" t="s">
        <v>984</v>
      </c>
      <c r="E76" s="4"/>
    </row>
    <row r="77" spans="1:5">
      <c r="A77" t="s">
        <v>972</v>
      </c>
      <c r="B77" s="273">
        <v>7</v>
      </c>
      <c r="C77" t="s">
        <v>894</v>
      </c>
      <c r="D77" t="s">
        <v>895</v>
      </c>
      <c r="E77" s="4"/>
    </row>
    <row r="78" spans="1:5">
      <c r="A78" t="s">
        <v>972</v>
      </c>
      <c r="B78" s="273">
        <v>8</v>
      </c>
      <c r="C78" t="s">
        <v>896</v>
      </c>
      <c r="D78" t="s">
        <v>897</v>
      </c>
      <c r="E78" s="4"/>
    </row>
    <row r="79" spans="1:5">
      <c r="E79" s="4"/>
    </row>
    <row r="80" spans="1:5">
      <c r="A80" s="275" t="s">
        <v>985</v>
      </c>
      <c r="B80" s="275">
        <v>1</v>
      </c>
      <c r="C80" s="275" t="s">
        <v>986</v>
      </c>
      <c r="D80" s="276" t="s">
        <v>987</v>
      </c>
      <c r="E80" s="4"/>
    </row>
    <row r="81" spans="1:5">
      <c r="A81" s="275" t="s">
        <v>985</v>
      </c>
      <c r="B81" s="275">
        <v>2</v>
      </c>
      <c r="C81" s="275" t="s">
        <v>988</v>
      </c>
      <c r="D81" s="276" t="s">
        <v>989</v>
      </c>
      <c r="E81" s="4"/>
    </row>
    <row r="82" spans="1:5">
      <c r="A82" s="275" t="s">
        <v>985</v>
      </c>
      <c r="B82" s="275">
        <v>3</v>
      </c>
      <c r="C82" s="275" t="s">
        <v>990</v>
      </c>
      <c r="D82" s="276" t="s">
        <v>991</v>
      </c>
      <c r="E82" s="4"/>
    </row>
    <row r="83" spans="1:5">
      <c r="A83" s="275" t="s">
        <v>985</v>
      </c>
      <c r="B83" s="275">
        <v>4</v>
      </c>
      <c r="C83" s="275" t="s">
        <v>992</v>
      </c>
      <c r="D83" s="276" t="s">
        <v>993</v>
      </c>
      <c r="E83" s="4"/>
    </row>
    <row r="84" spans="1:5">
      <c r="A84" s="275" t="s">
        <v>985</v>
      </c>
      <c r="B84" s="275">
        <v>5</v>
      </c>
      <c r="C84" s="275" t="s">
        <v>994</v>
      </c>
      <c r="D84" s="276" t="s">
        <v>995</v>
      </c>
      <c r="E84" s="4"/>
    </row>
    <row r="85" spans="1:5">
      <c r="A85" s="275" t="s">
        <v>985</v>
      </c>
      <c r="B85" s="275">
        <v>6</v>
      </c>
      <c r="C85" s="275" t="s">
        <v>894</v>
      </c>
      <c r="D85" s="276" t="s">
        <v>895</v>
      </c>
      <c r="E85" s="4"/>
    </row>
    <row r="86" spans="1:5">
      <c r="A86" s="275" t="s">
        <v>985</v>
      </c>
      <c r="B86" s="275">
        <v>7</v>
      </c>
      <c r="C86" s="275" t="s">
        <v>896</v>
      </c>
      <c r="D86" s="276" t="s">
        <v>897</v>
      </c>
      <c r="E86" s="4"/>
    </row>
    <row r="87" spans="1:5">
      <c r="A87" s="13"/>
      <c r="B87" s="13"/>
      <c r="C87" s="13"/>
      <c r="D87" s="258"/>
      <c r="E87" s="4"/>
    </row>
    <row r="88" spans="1:5">
      <c r="A88" s="275" t="s">
        <v>996</v>
      </c>
      <c r="B88" s="275" t="s">
        <v>997</v>
      </c>
      <c r="C88" s="275" t="s">
        <v>998</v>
      </c>
      <c r="D88" s="275" t="s">
        <v>999</v>
      </c>
      <c r="E88" s="4"/>
    </row>
    <row r="89" spans="1:5">
      <c r="A89" s="275" t="s">
        <v>996</v>
      </c>
      <c r="B89" s="275" t="s">
        <v>1000</v>
      </c>
      <c r="C89" s="275" t="s">
        <v>1001</v>
      </c>
      <c r="D89" s="276" t="s">
        <v>1002</v>
      </c>
      <c r="E89" s="4"/>
    </row>
    <row r="90" spans="1:5">
      <c r="A90" s="275" t="s">
        <v>996</v>
      </c>
      <c r="B90" s="275" t="s">
        <v>1003</v>
      </c>
      <c r="C90" s="275" t="s">
        <v>1004</v>
      </c>
      <c r="D90" s="276" t="s">
        <v>1005</v>
      </c>
      <c r="E90" s="4"/>
    </row>
    <row r="91" spans="1:5">
      <c r="A91" s="275" t="s">
        <v>996</v>
      </c>
      <c r="B91" s="275" t="s">
        <v>1006</v>
      </c>
      <c r="C91" s="275" t="s">
        <v>1007</v>
      </c>
      <c r="D91" s="276" t="s">
        <v>1007</v>
      </c>
      <c r="E91" s="4"/>
    </row>
    <row r="92" spans="1:5">
      <c r="A92" s="275" t="s">
        <v>996</v>
      </c>
      <c r="B92" s="275" t="s">
        <v>1008</v>
      </c>
      <c r="C92" s="275" t="s">
        <v>1009</v>
      </c>
      <c r="D92" s="276" t="s">
        <v>1010</v>
      </c>
      <c r="E92" s="4"/>
    </row>
    <row r="93" spans="1:5">
      <c r="A93" s="275" t="s">
        <v>996</v>
      </c>
      <c r="B93" s="275" t="s">
        <v>1011</v>
      </c>
      <c r="C93" s="275" t="s">
        <v>1012</v>
      </c>
      <c r="D93" s="276" t="s">
        <v>1013</v>
      </c>
      <c r="E93" s="4"/>
    </row>
    <row r="94" spans="1:5">
      <c r="A94" s="275" t="s">
        <v>996</v>
      </c>
      <c r="B94" s="275" t="s">
        <v>1014</v>
      </c>
      <c r="C94" s="275" t="s">
        <v>1015</v>
      </c>
      <c r="D94" s="276" t="s">
        <v>1016</v>
      </c>
      <c r="E94" s="4"/>
    </row>
    <row r="95" spans="1:5">
      <c r="A95" s="275" t="s">
        <v>996</v>
      </c>
      <c r="B95" s="275" t="s">
        <v>1017</v>
      </c>
      <c r="C95" s="275" t="s">
        <v>894</v>
      </c>
      <c r="D95" s="276" t="s">
        <v>895</v>
      </c>
      <c r="E95" s="4"/>
    </row>
    <row r="96" spans="1:5">
      <c r="A96" s="275" t="s">
        <v>996</v>
      </c>
      <c r="B96" s="275" t="s">
        <v>1018</v>
      </c>
      <c r="C96" s="275" t="s">
        <v>896</v>
      </c>
      <c r="D96" s="276" t="s">
        <v>897</v>
      </c>
      <c r="E96" s="4"/>
    </row>
    <row r="97" spans="1:5">
      <c r="A97" s="13"/>
      <c r="B97" s="13"/>
      <c r="C97" s="13"/>
      <c r="D97" s="258"/>
      <c r="E97" s="4"/>
    </row>
    <row r="98" spans="1:5">
      <c r="A98" s="275" t="s">
        <v>1019</v>
      </c>
      <c r="B98" s="275" t="s">
        <v>1020</v>
      </c>
      <c r="C98" s="275" t="s">
        <v>1021</v>
      </c>
      <c r="D98" s="276" t="s">
        <v>1022</v>
      </c>
      <c r="E98" s="4"/>
    </row>
    <row r="99" spans="1:5">
      <c r="A99" s="275" t="s">
        <v>1019</v>
      </c>
      <c r="B99" s="275" t="s">
        <v>1023</v>
      </c>
      <c r="C99" s="275" t="s">
        <v>1024</v>
      </c>
      <c r="D99" s="276" t="s">
        <v>1025</v>
      </c>
      <c r="E99" s="4"/>
    </row>
    <row r="100" spans="1:5">
      <c r="A100" s="275" t="s">
        <v>1019</v>
      </c>
      <c r="B100" s="275" t="s">
        <v>1026</v>
      </c>
      <c r="C100" s="275" t="s">
        <v>1027</v>
      </c>
      <c r="D100" s="276" t="s">
        <v>1028</v>
      </c>
      <c r="E100" s="4"/>
    </row>
    <row r="101" spans="1:5">
      <c r="A101" s="275" t="s">
        <v>1019</v>
      </c>
      <c r="B101" s="275" t="s">
        <v>1029</v>
      </c>
      <c r="C101" s="275" t="s">
        <v>1030</v>
      </c>
      <c r="D101" s="276" t="s">
        <v>1031</v>
      </c>
      <c r="E101" s="4"/>
    </row>
    <row r="102" spans="1:5">
      <c r="A102" s="275" t="s">
        <v>1019</v>
      </c>
      <c r="B102" s="275" t="s">
        <v>1032</v>
      </c>
      <c r="C102" s="275" t="s">
        <v>1033</v>
      </c>
      <c r="D102" s="276" t="s">
        <v>1034</v>
      </c>
      <c r="E102" s="4"/>
    </row>
    <row r="103" spans="1:5">
      <c r="A103" s="275" t="s">
        <v>1019</v>
      </c>
      <c r="B103" s="275" t="s">
        <v>1035</v>
      </c>
      <c r="C103" s="275" t="s">
        <v>1036</v>
      </c>
      <c r="D103" s="276" t="s">
        <v>1037</v>
      </c>
      <c r="E103" s="4"/>
    </row>
    <row r="104" spans="1:5">
      <c r="A104" s="275" t="s">
        <v>1019</v>
      </c>
      <c r="B104" s="275" t="s">
        <v>1038</v>
      </c>
      <c r="C104" s="275" t="s">
        <v>1039</v>
      </c>
      <c r="D104" s="276" t="s">
        <v>1040</v>
      </c>
      <c r="E104" s="4"/>
    </row>
    <row r="105" spans="1:5">
      <c r="A105" s="275" t="s">
        <v>1019</v>
      </c>
      <c r="B105" s="275" t="s">
        <v>1011</v>
      </c>
      <c r="C105" s="275" t="s">
        <v>1041</v>
      </c>
      <c r="D105" s="276" t="s">
        <v>1042</v>
      </c>
      <c r="E105" s="4"/>
    </row>
    <row r="106" spans="1:5">
      <c r="A106" s="275" t="s">
        <v>1019</v>
      </c>
      <c r="B106" s="275" t="s">
        <v>1014</v>
      </c>
      <c r="C106" s="275" t="s">
        <v>1043</v>
      </c>
      <c r="D106" s="276" t="s">
        <v>1044</v>
      </c>
      <c r="E106" s="4"/>
    </row>
    <row r="107" spans="1:5">
      <c r="A107" s="275" t="s">
        <v>1019</v>
      </c>
      <c r="B107" s="275" t="s">
        <v>1017</v>
      </c>
      <c r="C107" s="275" t="s">
        <v>894</v>
      </c>
      <c r="D107" s="276" t="s">
        <v>895</v>
      </c>
      <c r="E107" s="4"/>
    </row>
    <row r="108" spans="1:5">
      <c r="A108" s="275" t="s">
        <v>1019</v>
      </c>
      <c r="B108" s="275" t="s">
        <v>1018</v>
      </c>
      <c r="C108" s="275" t="s">
        <v>896</v>
      </c>
      <c r="D108" s="276" t="s">
        <v>897</v>
      </c>
      <c r="E108" s="4"/>
    </row>
    <row r="109" spans="1:5">
      <c r="A109" s="13"/>
      <c r="B109" s="13"/>
      <c r="C109" s="13"/>
      <c r="E109" s="4"/>
    </row>
    <row r="110" spans="1:5">
      <c r="A110" s="275" t="s">
        <v>1045</v>
      </c>
      <c r="B110" s="275">
        <v>1</v>
      </c>
      <c r="C110" s="275" t="s">
        <v>1046</v>
      </c>
      <c r="D110" s="276" t="s">
        <v>1047</v>
      </c>
      <c r="E110" s="4"/>
    </row>
    <row r="111" spans="1:5">
      <c r="A111" s="275" t="s">
        <v>1045</v>
      </c>
      <c r="B111" s="275">
        <v>2</v>
      </c>
      <c r="C111" s="275" t="s">
        <v>1048</v>
      </c>
      <c r="D111" s="276" t="s">
        <v>1049</v>
      </c>
      <c r="E111" s="4"/>
    </row>
    <row r="112" spans="1:5">
      <c r="A112" s="275" t="s">
        <v>1045</v>
      </c>
      <c r="B112" s="275">
        <v>3</v>
      </c>
      <c r="C112" s="275" t="s">
        <v>1050</v>
      </c>
      <c r="D112" s="276" t="s">
        <v>1051</v>
      </c>
      <c r="E112" s="4"/>
    </row>
    <row r="113" spans="1:5">
      <c r="A113" s="275" t="s">
        <v>1045</v>
      </c>
      <c r="B113" s="275">
        <v>4</v>
      </c>
      <c r="C113" s="275" t="s">
        <v>1052</v>
      </c>
      <c r="D113" s="276" t="s">
        <v>1053</v>
      </c>
      <c r="E113" s="4"/>
    </row>
    <row r="114" spans="1:5">
      <c r="A114" s="275" t="s">
        <v>1045</v>
      </c>
      <c r="B114" s="275">
        <v>5</v>
      </c>
      <c r="C114" s="275" t="s">
        <v>1054</v>
      </c>
      <c r="D114" s="276" t="s">
        <v>1055</v>
      </c>
      <c r="E114" s="4"/>
    </row>
    <row r="115" spans="1:5">
      <c r="A115" s="275" t="s">
        <v>1045</v>
      </c>
      <c r="B115" s="275">
        <v>6</v>
      </c>
      <c r="C115" s="275" t="s">
        <v>1056</v>
      </c>
      <c r="D115" s="276" t="s">
        <v>895</v>
      </c>
      <c r="E115" s="4"/>
    </row>
    <row r="116" spans="1:5">
      <c r="A116" s="275" t="s">
        <v>1045</v>
      </c>
      <c r="B116" s="275">
        <v>7</v>
      </c>
      <c r="C116" s="275" t="s">
        <v>1057</v>
      </c>
      <c r="D116" s="276" t="s">
        <v>897</v>
      </c>
      <c r="E116" s="4"/>
    </row>
    <row r="117" spans="1:5">
      <c r="A117" s="13"/>
      <c r="B117" s="13"/>
      <c r="C117" s="13"/>
      <c r="D117" s="258"/>
      <c r="E117" s="4"/>
    </row>
    <row r="118" spans="1:5">
      <c r="A118" s="275" t="s">
        <v>1058</v>
      </c>
      <c r="B118" s="275">
        <v>1</v>
      </c>
      <c r="C118" s="275" t="s">
        <v>1059</v>
      </c>
      <c r="D118" s="276" t="s">
        <v>1060</v>
      </c>
      <c r="E118" s="4"/>
    </row>
    <row r="119" spans="1:5">
      <c r="A119" s="275" t="s">
        <v>1058</v>
      </c>
      <c r="B119" s="275">
        <v>2</v>
      </c>
      <c r="C119" s="275" t="s">
        <v>1061</v>
      </c>
      <c r="D119" s="276" t="s">
        <v>1062</v>
      </c>
      <c r="E119" s="4"/>
    </row>
    <row r="120" spans="1:5">
      <c r="A120" s="275" t="s">
        <v>1058</v>
      </c>
      <c r="B120" s="275">
        <v>3</v>
      </c>
      <c r="C120" s="275" t="s">
        <v>1063</v>
      </c>
      <c r="D120" s="276" t="s">
        <v>1064</v>
      </c>
      <c r="E120" s="4"/>
    </row>
    <row r="121" spans="1:5">
      <c r="A121" s="275" t="s">
        <v>1058</v>
      </c>
      <c r="B121" s="275">
        <v>4</v>
      </c>
      <c r="C121" s="275" t="s">
        <v>1065</v>
      </c>
      <c r="D121" s="276" t="s">
        <v>1066</v>
      </c>
      <c r="E121" s="4"/>
    </row>
    <row r="122" spans="1:5">
      <c r="A122" s="275" t="s">
        <v>1058</v>
      </c>
      <c r="B122" s="275">
        <v>5</v>
      </c>
      <c r="C122" s="275" t="s">
        <v>894</v>
      </c>
      <c r="D122" s="276" t="s">
        <v>895</v>
      </c>
      <c r="E122" s="4"/>
    </row>
    <row r="123" spans="1:5">
      <c r="A123" s="275" t="s">
        <v>1058</v>
      </c>
      <c r="B123" s="275">
        <v>6</v>
      </c>
      <c r="C123" s="275" t="s">
        <v>896</v>
      </c>
      <c r="D123" s="276" t="s">
        <v>897</v>
      </c>
      <c r="E123" s="4"/>
    </row>
    <row r="124" spans="1:5">
      <c r="A124" s="13"/>
      <c r="B124" s="13"/>
      <c r="C124" s="13"/>
      <c r="D124" s="13"/>
      <c r="E124" s="4"/>
    </row>
    <row r="125" spans="1:5">
      <c r="A125" t="s">
        <v>1067</v>
      </c>
      <c r="B125">
        <v>1</v>
      </c>
      <c r="C125" t="s">
        <v>1068</v>
      </c>
      <c r="D125" t="s">
        <v>1069</v>
      </c>
      <c r="E125" s="4"/>
    </row>
    <row r="126" spans="1:5">
      <c r="A126" t="s">
        <v>1067</v>
      </c>
      <c r="B126">
        <v>2</v>
      </c>
      <c r="C126" t="s">
        <v>1070</v>
      </c>
      <c r="D126" t="s">
        <v>1071</v>
      </c>
      <c r="E126" s="4"/>
    </row>
    <row r="127" spans="1:5">
      <c r="A127" t="s">
        <v>1067</v>
      </c>
      <c r="B127">
        <v>3</v>
      </c>
      <c r="C127" t="s">
        <v>1072</v>
      </c>
      <c r="D127" t="s">
        <v>1073</v>
      </c>
      <c r="E127" s="4"/>
    </row>
    <row r="128" spans="1:5">
      <c r="A128" t="s">
        <v>1067</v>
      </c>
      <c r="B128">
        <v>4</v>
      </c>
      <c r="C128" t="s">
        <v>1074</v>
      </c>
      <c r="D128" t="s">
        <v>1075</v>
      </c>
      <c r="E128" s="4"/>
    </row>
    <row r="129" spans="1:5">
      <c r="A129" t="s">
        <v>1067</v>
      </c>
      <c r="B129">
        <v>5</v>
      </c>
      <c r="C129" t="s">
        <v>1076</v>
      </c>
      <c r="D129" t="s">
        <v>1077</v>
      </c>
      <c r="E129" s="4"/>
    </row>
    <row r="130" spans="1:5">
      <c r="A130" t="s">
        <v>1067</v>
      </c>
      <c r="B130">
        <v>6</v>
      </c>
      <c r="C130" t="s">
        <v>1078</v>
      </c>
      <c r="D130" t="s">
        <v>1079</v>
      </c>
      <c r="E130" s="4"/>
    </row>
    <row r="131" spans="1:5">
      <c r="A131" t="s">
        <v>1067</v>
      </c>
      <c r="B131">
        <v>7</v>
      </c>
      <c r="C131" t="s">
        <v>1080</v>
      </c>
      <c r="D131" t="s">
        <v>1081</v>
      </c>
      <c r="E131" s="4"/>
    </row>
    <row r="132" spans="1:5">
      <c r="A132" t="s">
        <v>1067</v>
      </c>
      <c r="B132">
        <v>8</v>
      </c>
      <c r="C132" t="s">
        <v>1082</v>
      </c>
      <c r="D132" t="s">
        <v>1083</v>
      </c>
      <c r="E132" s="4"/>
    </row>
    <row r="133" spans="1:5">
      <c r="A133" t="s">
        <v>1067</v>
      </c>
      <c r="B133">
        <v>9</v>
      </c>
      <c r="C133" t="s">
        <v>1084</v>
      </c>
      <c r="D133" t="s">
        <v>1085</v>
      </c>
      <c r="E133" s="4"/>
    </row>
    <row r="134" spans="1:5">
      <c r="A134" t="s">
        <v>1067</v>
      </c>
      <c r="B134">
        <v>10</v>
      </c>
      <c r="C134" t="s">
        <v>1086</v>
      </c>
      <c r="D134" t="s">
        <v>1087</v>
      </c>
      <c r="E134" s="4"/>
    </row>
    <row r="135" spans="1:5">
      <c r="A135" t="s">
        <v>1067</v>
      </c>
      <c r="B135">
        <v>11</v>
      </c>
      <c r="C135" t="s">
        <v>1088</v>
      </c>
      <c r="D135" t="s">
        <v>1089</v>
      </c>
      <c r="E135" s="4"/>
    </row>
    <row r="136" spans="1:5">
      <c r="A136" t="s">
        <v>1067</v>
      </c>
      <c r="B136">
        <v>12</v>
      </c>
      <c r="C136" t="s">
        <v>1090</v>
      </c>
      <c r="D136" t="s">
        <v>1091</v>
      </c>
      <c r="E136" s="4"/>
    </row>
    <row r="137" spans="1:5">
      <c r="A137" t="s">
        <v>1067</v>
      </c>
      <c r="B137">
        <v>13</v>
      </c>
      <c r="C137" t="s">
        <v>1092</v>
      </c>
      <c r="D137" t="s">
        <v>1093</v>
      </c>
      <c r="E137" s="4"/>
    </row>
    <row r="138" spans="1:5">
      <c r="A138" t="s">
        <v>1067</v>
      </c>
      <c r="B138">
        <v>14</v>
      </c>
      <c r="C138" t="s">
        <v>1094</v>
      </c>
      <c r="D138" t="s">
        <v>1095</v>
      </c>
      <c r="E138" s="4"/>
    </row>
    <row r="139" spans="1:5">
      <c r="A139" t="s">
        <v>1067</v>
      </c>
      <c r="B139">
        <v>15</v>
      </c>
      <c r="C139" t="s">
        <v>1096</v>
      </c>
      <c r="D139" t="s">
        <v>1097</v>
      </c>
      <c r="E139" s="4"/>
    </row>
    <row r="140" spans="1:5">
      <c r="A140" t="s">
        <v>1067</v>
      </c>
      <c r="B140">
        <v>16</v>
      </c>
      <c r="C140" t="s">
        <v>1098</v>
      </c>
      <c r="D140" t="s">
        <v>1099</v>
      </c>
      <c r="E140" s="4"/>
    </row>
    <row r="141" spans="1:5">
      <c r="A141" t="s">
        <v>1067</v>
      </c>
      <c r="B141">
        <v>17</v>
      </c>
      <c r="C141" t="s">
        <v>1100</v>
      </c>
      <c r="D141" t="s">
        <v>1101</v>
      </c>
      <c r="E141" s="4"/>
    </row>
    <row r="142" spans="1:5">
      <c r="A142" t="s">
        <v>1067</v>
      </c>
      <c r="B142">
        <v>18</v>
      </c>
      <c r="C142" t="s">
        <v>1102</v>
      </c>
      <c r="D142" t="s">
        <v>1103</v>
      </c>
      <c r="E142" s="4"/>
    </row>
    <row r="143" spans="1:5">
      <c r="A143" t="s">
        <v>1067</v>
      </c>
      <c r="B143">
        <v>19</v>
      </c>
      <c r="C143" t="s">
        <v>1104</v>
      </c>
      <c r="D143" t="s">
        <v>1105</v>
      </c>
      <c r="E143" s="4"/>
    </row>
    <row r="144" spans="1:5">
      <c r="A144" t="s">
        <v>1067</v>
      </c>
      <c r="B144">
        <v>20</v>
      </c>
      <c r="C144" t="s">
        <v>896</v>
      </c>
      <c r="D144" t="s">
        <v>897</v>
      </c>
      <c r="E144" s="4"/>
    </row>
    <row r="145" spans="1:5">
      <c r="E145" s="4"/>
    </row>
    <row r="146" spans="1:5">
      <c r="A146" t="s">
        <v>1106</v>
      </c>
      <c r="B146">
        <v>1</v>
      </c>
      <c r="C146" t="s">
        <v>911</v>
      </c>
      <c r="D146" t="s">
        <v>912</v>
      </c>
      <c r="E146" s="4"/>
    </row>
    <row r="147" spans="1:5">
      <c r="A147" t="s">
        <v>1106</v>
      </c>
      <c r="B147">
        <v>2</v>
      </c>
      <c r="C147" t="s">
        <v>913</v>
      </c>
      <c r="D147" t="s">
        <v>914</v>
      </c>
      <c r="E147" s="4"/>
    </row>
    <row r="148" spans="1:5">
      <c r="A148" t="s">
        <v>1106</v>
      </c>
      <c r="B148">
        <v>3</v>
      </c>
      <c r="C148" t="s">
        <v>1107</v>
      </c>
      <c r="D148" t="s">
        <v>1108</v>
      </c>
      <c r="E148" s="4"/>
    </row>
    <row r="149" spans="1:5">
      <c r="A149" t="s">
        <v>1106</v>
      </c>
      <c r="B149">
        <v>4</v>
      </c>
      <c r="C149" t="s">
        <v>894</v>
      </c>
      <c r="D149" t="s">
        <v>895</v>
      </c>
      <c r="E149" s="4"/>
    </row>
    <row r="150" spans="1:5">
      <c r="A150" t="s">
        <v>1106</v>
      </c>
      <c r="B150">
        <v>5</v>
      </c>
      <c r="C150" t="s">
        <v>896</v>
      </c>
      <c r="D150" t="s">
        <v>897</v>
      </c>
      <c r="E150" s="4"/>
    </row>
    <row r="151" spans="1:5">
      <c r="E151" s="4"/>
    </row>
    <row r="152" spans="1:5">
      <c r="A152" t="s">
        <v>1109</v>
      </c>
      <c r="B152">
        <v>1</v>
      </c>
      <c r="C152" t="s">
        <v>1110</v>
      </c>
      <c r="D152" t="s">
        <v>1111</v>
      </c>
      <c r="E152" s="4"/>
    </row>
    <row r="153" spans="1:5">
      <c r="A153" t="s">
        <v>1109</v>
      </c>
      <c r="B153">
        <v>2</v>
      </c>
      <c r="C153" t="s">
        <v>1112</v>
      </c>
      <c r="D153" t="s">
        <v>1113</v>
      </c>
      <c r="E153" s="4"/>
    </row>
    <row r="154" spans="1:5">
      <c r="A154" t="s">
        <v>1109</v>
      </c>
      <c r="B154">
        <v>3</v>
      </c>
      <c r="C154" t="s">
        <v>1114</v>
      </c>
      <c r="D154" t="s">
        <v>1115</v>
      </c>
      <c r="E154" s="4"/>
    </row>
    <row r="155" spans="1:5">
      <c r="A155" t="s">
        <v>1109</v>
      </c>
      <c r="B155">
        <v>4</v>
      </c>
      <c r="C155" t="s">
        <v>894</v>
      </c>
      <c r="D155" t="s">
        <v>895</v>
      </c>
      <c r="E155" s="4"/>
    </row>
    <row r="156" spans="1:5">
      <c r="A156" t="s">
        <v>1109</v>
      </c>
      <c r="B156">
        <v>5</v>
      </c>
      <c r="C156" t="s">
        <v>896</v>
      </c>
      <c r="D156" t="s">
        <v>897</v>
      </c>
      <c r="E156" s="4"/>
    </row>
    <row r="157" spans="1:5">
      <c r="E157" s="4"/>
    </row>
    <row r="158" spans="1:5">
      <c r="A158" t="s">
        <v>1116</v>
      </c>
      <c r="B158">
        <v>1</v>
      </c>
      <c r="C158" t="s">
        <v>1117</v>
      </c>
      <c r="D158" t="s">
        <v>1118</v>
      </c>
      <c r="E158" s="4"/>
    </row>
    <row r="159" spans="1:5">
      <c r="A159" t="s">
        <v>1116</v>
      </c>
      <c r="B159">
        <v>2</v>
      </c>
      <c r="C159" t="s">
        <v>1119</v>
      </c>
      <c r="D159" t="s">
        <v>1120</v>
      </c>
      <c r="E159" s="4"/>
    </row>
    <row r="160" spans="1:5">
      <c r="A160" t="s">
        <v>1116</v>
      </c>
      <c r="B160">
        <v>3</v>
      </c>
      <c r="C160" t="s">
        <v>1121</v>
      </c>
      <c r="D160" t="s">
        <v>1122</v>
      </c>
      <c r="E160" s="4"/>
    </row>
    <row r="161" spans="1:5">
      <c r="A161" t="s">
        <v>1116</v>
      </c>
      <c r="B161">
        <v>4</v>
      </c>
      <c r="C161" t="s">
        <v>1123</v>
      </c>
      <c r="D161" t="s">
        <v>1124</v>
      </c>
      <c r="E161" s="4"/>
    </row>
    <row r="162" spans="1:5">
      <c r="A162" t="s">
        <v>1116</v>
      </c>
      <c r="B162">
        <v>5</v>
      </c>
      <c r="C162" t="s">
        <v>1125</v>
      </c>
      <c r="D162" t="s">
        <v>1126</v>
      </c>
      <c r="E162" s="4"/>
    </row>
    <row r="163" spans="1:5">
      <c r="A163" t="s">
        <v>1116</v>
      </c>
      <c r="B163" s="273">
        <v>6</v>
      </c>
      <c r="C163" t="s">
        <v>894</v>
      </c>
      <c r="D163" t="s">
        <v>895</v>
      </c>
      <c r="E163" s="4"/>
    </row>
    <row r="164" spans="1:5">
      <c r="A164" t="s">
        <v>1116</v>
      </c>
      <c r="B164" s="273">
        <v>7</v>
      </c>
      <c r="C164" t="s">
        <v>896</v>
      </c>
      <c r="D164" t="s">
        <v>897</v>
      </c>
      <c r="E164" s="4"/>
    </row>
    <row r="165" spans="1:5">
      <c r="E165" s="4"/>
    </row>
    <row r="166" spans="1:5" s="14" customFormat="1">
      <c r="A166" s="274" t="s">
        <v>1127</v>
      </c>
      <c r="B166">
        <v>1</v>
      </c>
      <c r="C166" t="s">
        <v>1068</v>
      </c>
      <c r="D166" t="s">
        <v>1069</v>
      </c>
      <c r="E166" s="5"/>
    </row>
    <row r="167" spans="1:5" s="14" customFormat="1">
      <c r="A167" s="274" t="s">
        <v>1127</v>
      </c>
      <c r="B167">
        <v>2</v>
      </c>
      <c r="C167" t="s">
        <v>1070</v>
      </c>
      <c r="D167" t="s">
        <v>1071</v>
      </c>
      <c r="E167" s="5"/>
    </row>
    <row r="168" spans="1:5" s="14" customFormat="1">
      <c r="A168" s="274" t="s">
        <v>1127</v>
      </c>
      <c r="B168">
        <v>3</v>
      </c>
      <c r="C168" t="s">
        <v>1072</v>
      </c>
      <c r="D168" t="s">
        <v>1073</v>
      </c>
      <c r="E168" s="5"/>
    </row>
    <row r="169" spans="1:5" s="14" customFormat="1">
      <c r="A169" s="274" t="s">
        <v>1127</v>
      </c>
      <c r="B169">
        <v>4</v>
      </c>
      <c r="C169" t="s">
        <v>1074</v>
      </c>
      <c r="D169" t="s">
        <v>1075</v>
      </c>
      <c r="E169" s="5"/>
    </row>
    <row r="170" spans="1:5" s="14" customFormat="1">
      <c r="A170" s="274" t="s">
        <v>1127</v>
      </c>
      <c r="B170">
        <v>5</v>
      </c>
      <c r="C170" t="s">
        <v>1076</v>
      </c>
      <c r="D170" t="s">
        <v>1077</v>
      </c>
      <c r="E170" s="5"/>
    </row>
    <row r="171" spans="1:5" s="14" customFormat="1">
      <c r="A171" s="274" t="s">
        <v>1127</v>
      </c>
      <c r="B171">
        <v>6</v>
      </c>
      <c r="C171" t="s">
        <v>1078</v>
      </c>
      <c r="D171" t="s">
        <v>1079</v>
      </c>
      <c r="E171" s="5"/>
    </row>
    <row r="172" spans="1:5" s="14" customFormat="1">
      <c r="A172" s="274" t="s">
        <v>1127</v>
      </c>
      <c r="B172">
        <v>7</v>
      </c>
      <c r="C172" t="s">
        <v>1080</v>
      </c>
      <c r="D172" t="s">
        <v>1081</v>
      </c>
      <c r="E172" s="5"/>
    </row>
    <row r="173" spans="1:5" s="14" customFormat="1">
      <c r="A173" s="274" t="s">
        <v>1127</v>
      </c>
      <c r="B173">
        <v>8</v>
      </c>
      <c r="C173" t="s">
        <v>1082</v>
      </c>
      <c r="D173" t="s">
        <v>1083</v>
      </c>
      <c r="E173" s="5"/>
    </row>
    <row r="174" spans="1:5" s="14" customFormat="1">
      <c r="A174" s="274" t="s">
        <v>1127</v>
      </c>
      <c r="B174">
        <v>9</v>
      </c>
      <c r="C174" t="s">
        <v>1084</v>
      </c>
      <c r="D174" t="s">
        <v>1085</v>
      </c>
      <c r="E174" s="5"/>
    </row>
    <row r="175" spans="1:5" s="14" customFormat="1">
      <c r="A175" s="274" t="s">
        <v>1127</v>
      </c>
      <c r="B175">
        <v>10</v>
      </c>
      <c r="C175" t="s">
        <v>1086</v>
      </c>
      <c r="D175" t="s">
        <v>1087</v>
      </c>
      <c r="E175" s="5"/>
    </row>
    <row r="176" spans="1:5" s="14" customFormat="1">
      <c r="A176" s="274" t="s">
        <v>1127</v>
      </c>
      <c r="B176">
        <v>11</v>
      </c>
      <c r="C176" t="s">
        <v>1088</v>
      </c>
      <c r="D176" t="s">
        <v>1089</v>
      </c>
      <c r="E176" s="5"/>
    </row>
    <row r="177" spans="1:5" s="14" customFormat="1">
      <c r="A177" s="274" t="s">
        <v>1127</v>
      </c>
      <c r="B177">
        <v>12</v>
      </c>
      <c r="C177" t="s">
        <v>1090</v>
      </c>
      <c r="D177" t="s">
        <v>1091</v>
      </c>
      <c r="E177" s="5"/>
    </row>
    <row r="178" spans="1:5" s="14" customFormat="1">
      <c r="A178" s="274" t="s">
        <v>1127</v>
      </c>
      <c r="B178">
        <v>13</v>
      </c>
      <c r="C178" t="s">
        <v>1092</v>
      </c>
      <c r="D178" t="s">
        <v>1093</v>
      </c>
      <c r="E178" s="5"/>
    </row>
    <row r="179" spans="1:5" s="14" customFormat="1">
      <c r="A179" s="274" t="s">
        <v>1127</v>
      </c>
      <c r="B179">
        <v>14</v>
      </c>
      <c r="C179" t="s">
        <v>1094</v>
      </c>
      <c r="D179" t="s">
        <v>1095</v>
      </c>
      <c r="E179" s="5"/>
    </row>
    <row r="180" spans="1:5" s="14" customFormat="1">
      <c r="A180" s="274" t="s">
        <v>1127</v>
      </c>
      <c r="B180" s="274">
        <v>15</v>
      </c>
      <c r="C180" s="274" t="s">
        <v>1096</v>
      </c>
      <c r="D180" t="s">
        <v>1097</v>
      </c>
      <c r="E180" s="5"/>
    </row>
    <row r="181" spans="1:5" s="14" customFormat="1">
      <c r="A181" s="274" t="s">
        <v>1127</v>
      </c>
      <c r="B181" s="274">
        <v>16</v>
      </c>
      <c r="C181" s="274" t="s">
        <v>1098</v>
      </c>
      <c r="D181" t="s">
        <v>1099</v>
      </c>
      <c r="E181" s="5"/>
    </row>
    <row r="182" spans="1:5" s="14" customFormat="1">
      <c r="A182" s="274" t="s">
        <v>1127</v>
      </c>
      <c r="B182" s="274">
        <v>17</v>
      </c>
      <c r="C182" s="274" t="s">
        <v>1100</v>
      </c>
      <c r="D182" t="s">
        <v>1101</v>
      </c>
      <c r="E182" s="5"/>
    </row>
    <row r="183" spans="1:5" s="14" customFormat="1">
      <c r="A183" s="274" t="s">
        <v>1127</v>
      </c>
      <c r="B183" s="274">
        <v>18</v>
      </c>
      <c r="C183" s="274" t="s">
        <v>1128</v>
      </c>
      <c r="D183" t="s">
        <v>1103</v>
      </c>
      <c r="E183" s="5"/>
    </row>
    <row r="184" spans="1:5" s="14" customFormat="1">
      <c r="A184" s="274" t="s">
        <v>1127</v>
      </c>
      <c r="B184" s="274">
        <v>19</v>
      </c>
      <c r="C184" s="274" t="s">
        <v>1129</v>
      </c>
      <c r="D184" t="s">
        <v>1130</v>
      </c>
      <c r="E184" s="5"/>
    </row>
    <row r="185" spans="1:5" s="14" customFormat="1">
      <c r="A185" s="274" t="s">
        <v>1127</v>
      </c>
      <c r="B185" s="273">
        <v>20</v>
      </c>
      <c r="C185" s="274" t="s">
        <v>894</v>
      </c>
      <c r="D185" s="274" t="s">
        <v>895</v>
      </c>
      <c r="E185" s="5"/>
    </row>
    <row r="186" spans="1:5" s="14" customFormat="1">
      <c r="A186" s="274" t="s">
        <v>1127</v>
      </c>
      <c r="B186" s="273">
        <v>21</v>
      </c>
      <c r="C186" s="274" t="s">
        <v>896</v>
      </c>
      <c r="D186" t="s">
        <v>897</v>
      </c>
      <c r="E186" s="5"/>
    </row>
    <row r="187" spans="1:5" s="14" customFormat="1">
      <c r="D187" s="3"/>
      <c r="E187" s="5"/>
    </row>
    <row r="188" spans="1:5" s="14" customFormat="1">
      <c r="A188" s="274" t="s">
        <v>1131</v>
      </c>
      <c r="B188">
        <v>1</v>
      </c>
      <c r="C188" t="s">
        <v>1068</v>
      </c>
      <c r="D188" t="s">
        <v>1069</v>
      </c>
      <c r="E188" s="5"/>
    </row>
    <row r="189" spans="1:5" s="14" customFormat="1">
      <c r="A189" s="274" t="s">
        <v>1131</v>
      </c>
      <c r="B189">
        <v>2</v>
      </c>
      <c r="C189" t="s">
        <v>1070</v>
      </c>
      <c r="D189" t="s">
        <v>1071</v>
      </c>
      <c r="E189" s="5"/>
    </row>
    <row r="190" spans="1:5" s="14" customFormat="1">
      <c r="A190" s="274" t="s">
        <v>1131</v>
      </c>
      <c r="B190">
        <v>3</v>
      </c>
      <c r="C190" t="s">
        <v>1072</v>
      </c>
      <c r="D190" t="s">
        <v>1073</v>
      </c>
      <c r="E190" s="5"/>
    </row>
    <row r="191" spans="1:5" s="14" customFormat="1">
      <c r="A191" s="274" t="s">
        <v>1131</v>
      </c>
      <c r="B191">
        <v>4</v>
      </c>
      <c r="C191" t="s">
        <v>1074</v>
      </c>
      <c r="D191" t="s">
        <v>1075</v>
      </c>
      <c r="E191" s="5"/>
    </row>
    <row r="192" spans="1:5" s="14" customFormat="1">
      <c r="A192" s="274" t="s">
        <v>1131</v>
      </c>
      <c r="B192">
        <v>5</v>
      </c>
      <c r="C192" t="s">
        <v>1076</v>
      </c>
      <c r="D192" t="s">
        <v>1077</v>
      </c>
      <c r="E192" s="5"/>
    </row>
    <row r="193" spans="1:5" s="14" customFormat="1">
      <c r="A193" s="274" t="s">
        <v>1131</v>
      </c>
      <c r="B193">
        <v>6</v>
      </c>
      <c r="C193" t="s">
        <v>1078</v>
      </c>
      <c r="D193" t="s">
        <v>1079</v>
      </c>
      <c r="E193" s="5"/>
    </row>
    <row r="194" spans="1:5" s="14" customFormat="1">
      <c r="A194" s="274" t="s">
        <v>1131</v>
      </c>
      <c r="B194">
        <v>7</v>
      </c>
      <c r="C194" t="s">
        <v>1080</v>
      </c>
      <c r="D194" t="s">
        <v>1081</v>
      </c>
      <c r="E194" s="5"/>
    </row>
    <row r="195" spans="1:5" s="14" customFormat="1">
      <c r="A195" s="274" t="s">
        <v>1131</v>
      </c>
      <c r="B195">
        <v>8</v>
      </c>
      <c r="C195" t="s">
        <v>1082</v>
      </c>
      <c r="D195" t="s">
        <v>1083</v>
      </c>
      <c r="E195" s="5"/>
    </row>
    <row r="196" spans="1:5" s="14" customFormat="1">
      <c r="A196" s="274" t="s">
        <v>1131</v>
      </c>
      <c r="B196">
        <v>9</v>
      </c>
      <c r="C196" t="s">
        <v>1084</v>
      </c>
      <c r="D196" t="s">
        <v>1085</v>
      </c>
      <c r="E196" s="5"/>
    </row>
    <row r="197" spans="1:5" s="14" customFormat="1">
      <c r="A197" s="274" t="s">
        <v>1131</v>
      </c>
      <c r="B197">
        <v>10</v>
      </c>
      <c r="C197" t="s">
        <v>1086</v>
      </c>
      <c r="D197" t="s">
        <v>1087</v>
      </c>
      <c r="E197" s="5"/>
    </row>
    <row r="198" spans="1:5" s="14" customFormat="1">
      <c r="A198" s="274" t="s">
        <v>1131</v>
      </c>
      <c r="B198">
        <v>11</v>
      </c>
      <c r="C198" t="s">
        <v>1088</v>
      </c>
      <c r="D198" t="s">
        <v>1089</v>
      </c>
      <c r="E198" s="5"/>
    </row>
    <row r="199" spans="1:5" s="14" customFormat="1">
      <c r="A199" s="274" t="s">
        <v>1131</v>
      </c>
      <c r="B199">
        <v>12</v>
      </c>
      <c r="C199" t="s">
        <v>1090</v>
      </c>
      <c r="D199" t="s">
        <v>1091</v>
      </c>
      <c r="E199" s="5"/>
    </row>
    <row r="200" spans="1:5" s="14" customFormat="1">
      <c r="A200" s="274" t="s">
        <v>1131</v>
      </c>
      <c r="B200">
        <v>13</v>
      </c>
      <c r="C200" t="s">
        <v>1092</v>
      </c>
      <c r="D200" t="s">
        <v>1093</v>
      </c>
      <c r="E200" s="5"/>
    </row>
    <row r="201" spans="1:5" s="14" customFormat="1">
      <c r="A201" s="274" t="s">
        <v>1131</v>
      </c>
      <c r="B201">
        <v>14</v>
      </c>
      <c r="C201" t="s">
        <v>1094</v>
      </c>
      <c r="D201" t="s">
        <v>1095</v>
      </c>
      <c r="E201" s="5"/>
    </row>
    <row r="202" spans="1:5" s="14" customFormat="1">
      <c r="A202" s="274" t="s">
        <v>1131</v>
      </c>
      <c r="B202" s="274">
        <v>15</v>
      </c>
      <c r="C202" s="274" t="s">
        <v>1096</v>
      </c>
      <c r="D202" t="s">
        <v>1097</v>
      </c>
      <c r="E202" s="5"/>
    </row>
    <row r="203" spans="1:5" s="14" customFormat="1">
      <c r="A203" s="274" t="s">
        <v>1131</v>
      </c>
      <c r="B203" s="274">
        <v>16</v>
      </c>
      <c r="C203" s="274" t="s">
        <v>1098</v>
      </c>
      <c r="D203" t="s">
        <v>1099</v>
      </c>
      <c r="E203" s="5"/>
    </row>
    <row r="204" spans="1:5" s="14" customFormat="1">
      <c r="A204" s="274" t="s">
        <v>1131</v>
      </c>
      <c r="B204" s="274">
        <v>17</v>
      </c>
      <c r="C204" s="274" t="s">
        <v>1100</v>
      </c>
      <c r="D204" t="s">
        <v>1101</v>
      </c>
      <c r="E204" s="5"/>
    </row>
    <row r="205" spans="1:5" s="14" customFormat="1">
      <c r="A205" s="274" t="s">
        <v>1131</v>
      </c>
      <c r="B205" s="274">
        <v>18</v>
      </c>
      <c r="C205" s="274" t="s">
        <v>1132</v>
      </c>
      <c r="D205" t="s">
        <v>1103</v>
      </c>
      <c r="E205" s="5"/>
    </row>
    <row r="206" spans="1:5" s="14" customFormat="1">
      <c r="A206" s="274" t="s">
        <v>1131</v>
      </c>
      <c r="B206" s="274">
        <v>19</v>
      </c>
      <c r="C206" s="274" t="s">
        <v>1133</v>
      </c>
      <c r="D206" t="s">
        <v>1134</v>
      </c>
      <c r="E206" s="5"/>
    </row>
    <row r="207" spans="1:5" s="14" customFormat="1">
      <c r="A207" s="274" t="s">
        <v>1131</v>
      </c>
      <c r="B207" s="273">
        <v>20</v>
      </c>
      <c r="C207" s="274" t="s">
        <v>894</v>
      </c>
      <c r="D207" s="274" t="s">
        <v>895</v>
      </c>
      <c r="E207" s="5"/>
    </row>
    <row r="208" spans="1:5" s="14" customFormat="1">
      <c r="A208" s="274" t="s">
        <v>1131</v>
      </c>
      <c r="B208" s="273">
        <v>21</v>
      </c>
      <c r="C208" s="274" t="s">
        <v>896</v>
      </c>
      <c r="D208" t="s">
        <v>897</v>
      </c>
      <c r="E208" s="5"/>
    </row>
    <row r="209" spans="1:5" s="12" customFormat="1">
      <c r="D209" s="3"/>
      <c r="E209" s="8"/>
    </row>
    <row r="210" spans="1:5">
      <c r="A210" t="s">
        <v>320</v>
      </c>
      <c r="B210" t="s">
        <v>1135</v>
      </c>
      <c r="C210" t="s">
        <v>1136</v>
      </c>
      <c r="D210" t="s">
        <v>1137</v>
      </c>
      <c r="E210" s="4"/>
    </row>
    <row r="211" spans="1:5">
      <c r="A211" t="s">
        <v>320</v>
      </c>
      <c r="B211" t="s">
        <v>1138</v>
      </c>
      <c r="C211" t="s">
        <v>1139</v>
      </c>
      <c r="D211" t="s">
        <v>1140</v>
      </c>
      <c r="E211" s="4"/>
    </row>
    <row r="212" spans="1:5">
      <c r="A212" t="s">
        <v>320</v>
      </c>
      <c r="B212" t="s">
        <v>1141</v>
      </c>
      <c r="C212" t="s">
        <v>1142</v>
      </c>
      <c r="D212" t="s">
        <v>1143</v>
      </c>
      <c r="E212" s="4"/>
    </row>
    <row r="213" spans="1:5">
      <c r="A213" t="s">
        <v>320</v>
      </c>
      <c r="B213" t="s">
        <v>1144</v>
      </c>
      <c r="C213" t="s">
        <v>1145</v>
      </c>
      <c r="D213" t="s">
        <v>1146</v>
      </c>
      <c r="E213" s="4"/>
    </row>
    <row r="214" spans="1:5">
      <c r="A214" t="s">
        <v>320</v>
      </c>
      <c r="B214" t="s">
        <v>1147</v>
      </c>
      <c r="C214" t="s">
        <v>1148</v>
      </c>
      <c r="D214" t="s">
        <v>1149</v>
      </c>
      <c r="E214" s="4"/>
    </row>
    <row r="215" spans="1:5">
      <c r="A215" t="s">
        <v>320</v>
      </c>
      <c r="B215" t="s">
        <v>1150</v>
      </c>
      <c r="C215" t="s">
        <v>1151</v>
      </c>
      <c r="D215" t="s">
        <v>1152</v>
      </c>
      <c r="E215" s="4"/>
    </row>
    <row r="216" spans="1:5">
      <c r="A216" t="s">
        <v>320</v>
      </c>
      <c r="B216" t="s">
        <v>1153</v>
      </c>
      <c r="C216" t="s">
        <v>1154</v>
      </c>
      <c r="D216" t="s">
        <v>1155</v>
      </c>
      <c r="E216" s="4"/>
    </row>
    <row r="217" spans="1:5">
      <c r="A217" t="s">
        <v>320</v>
      </c>
      <c r="B217" t="s">
        <v>1156</v>
      </c>
      <c r="C217" t="s">
        <v>1157</v>
      </c>
      <c r="D217" t="s">
        <v>1158</v>
      </c>
      <c r="E217" s="4"/>
    </row>
    <row r="218" spans="1:5">
      <c r="A218" t="s">
        <v>320</v>
      </c>
      <c r="B218" t="s">
        <v>1159</v>
      </c>
      <c r="C218" t="s">
        <v>1160</v>
      </c>
      <c r="D218" t="s">
        <v>1161</v>
      </c>
      <c r="E218" s="4"/>
    </row>
    <row r="219" spans="1:5">
      <c r="A219" t="s">
        <v>320</v>
      </c>
      <c r="B219" t="s">
        <v>1162</v>
      </c>
      <c r="C219" t="s">
        <v>1163</v>
      </c>
      <c r="D219" t="s">
        <v>1164</v>
      </c>
      <c r="E219" s="4"/>
    </row>
    <row r="220" spans="1:5">
      <c r="A220" t="s">
        <v>320</v>
      </c>
      <c r="B220" t="s">
        <v>1165</v>
      </c>
      <c r="C220" t="s">
        <v>1166</v>
      </c>
      <c r="D220" t="s">
        <v>1167</v>
      </c>
      <c r="E220" s="4"/>
    </row>
    <row r="221" spans="1:5">
      <c r="A221" t="s">
        <v>320</v>
      </c>
      <c r="B221" t="s">
        <v>1168</v>
      </c>
      <c r="C221" t="s">
        <v>1169</v>
      </c>
      <c r="D221" t="s">
        <v>1170</v>
      </c>
      <c r="E221" s="4"/>
    </row>
    <row r="222" spans="1:5">
      <c r="A222" t="s">
        <v>320</v>
      </c>
      <c r="B222" t="s">
        <v>1171</v>
      </c>
      <c r="C222" t="s">
        <v>1172</v>
      </c>
      <c r="D222" t="s">
        <v>1173</v>
      </c>
      <c r="E222" s="4"/>
    </row>
    <row r="223" spans="1:5">
      <c r="A223" t="s">
        <v>320</v>
      </c>
      <c r="B223" t="s">
        <v>1174</v>
      </c>
      <c r="C223" t="s">
        <v>1175</v>
      </c>
      <c r="D223" t="s">
        <v>1176</v>
      </c>
      <c r="E223" s="4"/>
    </row>
    <row r="224" spans="1:5">
      <c r="A224" t="s">
        <v>320</v>
      </c>
      <c r="B224" t="s">
        <v>1177</v>
      </c>
      <c r="C224" t="s">
        <v>1178</v>
      </c>
      <c r="D224" t="s">
        <v>1179</v>
      </c>
      <c r="E224" s="4"/>
    </row>
    <row r="225" spans="1:5">
      <c r="A225" t="s">
        <v>320</v>
      </c>
      <c r="B225" t="s">
        <v>1180</v>
      </c>
      <c r="C225" t="s">
        <v>1181</v>
      </c>
      <c r="D225" t="s">
        <v>1182</v>
      </c>
      <c r="E225" s="4"/>
    </row>
    <row r="226" spans="1:5">
      <c r="A226" t="s">
        <v>320</v>
      </c>
      <c r="B226" t="s">
        <v>1183</v>
      </c>
      <c r="C226" t="s">
        <v>1184</v>
      </c>
      <c r="D226" t="s">
        <v>1185</v>
      </c>
      <c r="E226" s="4"/>
    </row>
    <row r="227" spans="1:5">
      <c r="A227" t="s">
        <v>320</v>
      </c>
      <c r="B227" t="s">
        <v>1186</v>
      </c>
      <c r="C227" t="s">
        <v>1187</v>
      </c>
      <c r="D227" t="s">
        <v>1188</v>
      </c>
      <c r="E227" s="4"/>
    </row>
    <row r="228" spans="1:5">
      <c r="A228" t="s">
        <v>320</v>
      </c>
      <c r="B228" t="s">
        <v>1189</v>
      </c>
      <c r="C228" t="s">
        <v>1190</v>
      </c>
      <c r="D228" t="s">
        <v>1191</v>
      </c>
      <c r="E228" s="4"/>
    </row>
    <row r="229" spans="1:5">
      <c r="A229" t="s">
        <v>320</v>
      </c>
      <c r="B229" t="s">
        <v>1192</v>
      </c>
      <c r="C229" t="s">
        <v>1193</v>
      </c>
      <c r="D229" t="s">
        <v>1194</v>
      </c>
      <c r="E229" s="4"/>
    </row>
    <row r="230" spans="1:5">
      <c r="A230" t="s">
        <v>320</v>
      </c>
      <c r="B230" t="s">
        <v>1195</v>
      </c>
      <c r="C230" t="s">
        <v>1196</v>
      </c>
      <c r="D230" t="s">
        <v>1197</v>
      </c>
      <c r="E230" s="4"/>
    </row>
    <row r="231" spans="1:5">
      <c r="A231" t="s">
        <v>320</v>
      </c>
      <c r="B231" t="s">
        <v>1198</v>
      </c>
      <c r="C231" t="s">
        <v>1199</v>
      </c>
      <c r="D231" t="s">
        <v>1200</v>
      </c>
      <c r="E231" s="4"/>
    </row>
    <row r="232" spans="1:5">
      <c r="A232" t="s">
        <v>320</v>
      </c>
      <c r="B232" t="s">
        <v>1201</v>
      </c>
      <c r="C232" t="s">
        <v>1202</v>
      </c>
      <c r="D232" t="s">
        <v>1203</v>
      </c>
      <c r="E232" s="4"/>
    </row>
    <row r="233" spans="1:5">
      <c r="A233" t="s">
        <v>320</v>
      </c>
      <c r="B233" t="s">
        <v>1204</v>
      </c>
      <c r="C233" t="s">
        <v>1205</v>
      </c>
      <c r="D233" t="s">
        <v>1206</v>
      </c>
      <c r="E233" s="4"/>
    </row>
    <row r="234" spans="1:5">
      <c r="A234" t="s">
        <v>320</v>
      </c>
      <c r="B234" t="s">
        <v>1207</v>
      </c>
      <c r="C234" t="s">
        <v>1208</v>
      </c>
      <c r="D234" t="s">
        <v>1209</v>
      </c>
      <c r="E234" s="4"/>
    </row>
    <row r="235" spans="1:5">
      <c r="A235" t="s">
        <v>320</v>
      </c>
      <c r="B235" t="s">
        <v>1017</v>
      </c>
      <c r="C235" t="s">
        <v>894</v>
      </c>
      <c r="D235" t="s">
        <v>895</v>
      </c>
      <c r="E235" s="4"/>
    </row>
    <row r="236" spans="1:5">
      <c r="A236" t="s">
        <v>320</v>
      </c>
      <c r="B236" t="s">
        <v>1018</v>
      </c>
      <c r="C236" t="s">
        <v>896</v>
      </c>
      <c r="D236" t="s">
        <v>897</v>
      </c>
      <c r="E236" s="4"/>
    </row>
    <row r="237" spans="1:5">
      <c r="E237" s="4"/>
    </row>
    <row r="238" spans="1:5">
      <c r="A238" t="s">
        <v>1210</v>
      </c>
      <c r="B238" t="s">
        <v>1211</v>
      </c>
      <c r="C238" t="s">
        <v>1212</v>
      </c>
      <c r="D238" t="s">
        <v>1213</v>
      </c>
      <c r="E238" s="4"/>
    </row>
    <row r="239" spans="1:5">
      <c r="A239" t="s">
        <v>1210</v>
      </c>
      <c r="B239" t="s">
        <v>1214</v>
      </c>
      <c r="C239" t="s">
        <v>1215</v>
      </c>
      <c r="D239" t="s">
        <v>1216</v>
      </c>
      <c r="E239" s="4"/>
    </row>
    <row r="240" spans="1:5">
      <c r="A240" t="s">
        <v>1210</v>
      </c>
      <c r="B240" t="s">
        <v>1217</v>
      </c>
      <c r="C240" t="s">
        <v>1218</v>
      </c>
      <c r="D240" t="s">
        <v>1219</v>
      </c>
      <c r="E240" s="4"/>
    </row>
    <row r="241" spans="1:5">
      <c r="A241" t="s">
        <v>1210</v>
      </c>
      <c r="B241" t="s">
        <v>1220</v>
      </c>
      <c r="C241" t="s">
        <v>1221</v>
      </c>
      <c r="D241" t="s">
        <v>1222</v>
      </c>
      <c r="E241" s="4"/>
    </row>
    <row r="242" spans="1:5">
      <c r="A242" t="s">
        <v>1210</v>
      </c>
      <c r="B242" t="s">
        <v>1223</v>
      </c>
      <c r="C242" t="s">
        <v>1224</v>
      </c>
      <c r="D242" t="s">
        <v>1225</v>
      </c>
      <c r="E242" s="4"/>
    </row>
    <row r="243" spans="1:5">
      <c r="A243" t="s">
        <v>1210</v>
      </c>
      <c r="B243" t="s">
        <v>1226</v>
      </c>
      <c r="C243" t="s">
        <v>1227</v>
      </c>
      <c r="D243" t="s">
        <v>1228</v>
      </c>
      <c r="E243" s="4"/>
    </row>
    <row r="244" spans="1:5">
      <c r="A244" t="s">
        <v>1210</v>
      </c>
      <c r="B244" t="s">
        <v>1229</v>
      </c>
      <c r="C244" t="s">
        <v>1230</v>
      </c>
      <c r="D244" t="s">
        <v>1231</v>
      </c>
      <c r="E244" s="4"/>
    </row>
    <row r="245" spans="1:5">
      <c r="A245" t="s">
        <v>1210</v>
      </c>
      <c r="B245" t="s">
        <v>1232</v>
      </c>
      <c r="C245" t="s">
        <v>1233</v>
      </c>
      <c r="D245" t="s">
        <v>1234</v>
      </c>
      <c r="E245" s="4"/>
    </row>
    <row r="246" spans="1:5">
      <c r="A246" t="s">
        <v>1210</v>
      </c>
      <c r="B246" t="s">
        <v>1011</v>
      </c>
      <c r="C246" t="s">
        <v>1235</v>
      </c>
      <c r="D246" t="s">
        <v>1236</v>
      </c>
      <c r="E246" s="4"/>
    </row>
    <row r="247" spans="1:5">
      <c r="A247" t="s">
        <v>1210</v>
      </c>
      <c r="B247" t="s">
        <v>1014</v>
      </c>
      <c r="C247" t="s">
        <v>1237</v>
      </c>
      <c r="D247" t="s">
        <v>1238</v>
      </c>
      <c r="E247" s="4"/>
    </row>
    <row r="248" spans="1:5">
      <c r="A248" t="s">
        <v>1210</v>
      </c>
      <c r="B248" t="s">
        <v>1017</v>
      </c>
      <c r="C248" t="s">
        <v>894</v>
      </c>
      <c r="D248" t="s">
        <v>895</v>
      </c>
      <c r="E248" s="4"/>
    </row>
    <row r="249" spans="1:5">
      <c r="A249" t="s">
        <v>1210</v>
      </c>
      <c r="B249" t="s">
        <v>1018</v>
      </c>
      <c r="C249" t="s">
        <v>896</v>
      </c>
      <c r="D249" t="s">
        <v>897</v>
      </c>
      <c r="E249" s="4"/>
    </row>
    <row r="250" spans="1:5">
      <c r="E250" s="4"/>
    </row>
    <row r="251" spans="1:5" s="13" customFormat="1">
      <c r="A251" s="274" t="s">
        <v>1239</v>
      </c>
      <c r="B251" s="274">
        <v>1</v>
      </c>
      <c r="C251" s="274" t="s">
        <v>1240</v>
      </c>
      <c r="D251" s="274" t="s">
        <v>1240</v>
      </c>
      <c r="E251" s="15"/>
    </row>
    <row r="252" spans="1:5" s="13" customFormat="1">
      <c r="A252" s="274" t="s">
        <v>1239</v>
      </c>
      <c r="B252" s="274">
        <v>2</v>
      </c>
      <c r="C252" s="274" t="s">
        <v>1241</v>
      </c>
      <c r="D252" s="274" t="s">
        <v>1242</v>
      </c>
      <c r="E252" s="15"/>
    </row>
    <row r="253" spans="1:5" s="13" customFormat="1">
      <c r="A253" s="274" t="s">
        <v>1239</v>
      </c>
      <c r="B253" s="274">
        <v>3</v>
      </c>
      <c r="C253" s="274" t="s">
        <v>1243</v>
      </c>
      <c r="D253" s="274" t="s">
        <v>1244</v>
      </c>
      <c r="E253" s="15"/>
    </row>
    <row r="254" spans="1:5" s="13" customFormat="1">
      <c r="A254" s="274" t="s">
        <v>1239</v>
      </c>
      <c r="B254" s="274">
        <v>4</v>
      </c>
      <c r="C254" s="274" t="s">
        <v>1245</v>
      </c>
      <c r="D254" s="274" t="s">
        <v>1246</v>
      </c>
      <c r="E254" s="15"/>
    </row>
    <row r="255" spans="1:5" s="13" customFormat="1">
      <c r="A255" s="274" t="s">
        <v>1239</v>
      </c>
      <c r="B255" s="274">
        <v>5</v>
      </c>
      <c r="C255" s="277" t="s">
        <v>1247</v>
      </c>
      <c r="D255" s="277" t="s">
        <v>1248</v>
      </c>
      <c r="E255" s="15"/>
    </row>
    <row r="256" spans="1:5" s="13" customFormat="1">
      <c r="D256" s="132"/>
      <c r="E256" s="15"/>
    </row>
    <row r="257" spans="1:5" s="14" customFormat="1">
      <c r="A257" s="274" t="s">
        <v>1249</v>
      </c>
      <c r="B257" s="274">
        <v>1</v>
      </c>
      <c r="C257" s="274" t="s">
        <v>1250</v>
      </c>
      <c r="D257" s="274" t="s">
        <v>1251</v>
      </c>
      <c r="E257" s="5"/>
    </row>
    <row r="258" spans="1:5" s="14" customFormat="1">
      <c r="A258" s="274" t="s">
        <v>1249</v>
      </c>
      <c r="B258" s="274">
        <v>2</v>
      </c>
      <c r="C258" s="274" t="s">
        <v>1252</v>
      </c>
      <c r="D258" s="274" t="s">
        <v>1253</v>
      </c>
      <c r="E258" s="5"/>
    </row>
    <row r="259" spans="1:5" s="13" customFormat="1">
      <c r="D259" s="14"/>
      <c r="E259" s="15"/>
    </row>
    <row r="260" spans="1:5" s="13" customFormat="1">
      <c r="A260" s="274" t="s">
        <v>1254</v>
      </c>
      <c r="B260" s="274">
        <v>1</v>
      </c>
      <c r="C260" s="274" t="s">
        <v>1255</v>
      </c>
      <c r="D260" s="274" t="s">
        <v>1256</v>
      </c>
      <c r="E260" s="15"/>
    </row>
    <row r="261" spans="1:5" s="13" customFormat="1">
      <c r="A261" s="274" t="s">
        <v>1254</v>
      </c>
      <c r="B261" s="274">
        <v>2</v>
      </c>
      <c r="C261" s="274" t="s">
        <v>1257</v>
      </c>
      <c r="D261" s="274" t="s">
        <v>1258</v>
      </c>
      <c r="E261" s="15"/>
    </row>
    <row r="262" spans="1:5" s="13" customFormat="1">
      <c r="A262" s="274" t="s">
        <v>1254</v>
      </c>
      <c r="B262" s="274">
        <v>3</v>
      </c>
      <c r="C262" s="274" t="s">
        <v>1259</v>
      </c>
      <c r="D262" s="274" t="s">
        <v>1260</v>
      </c>
      <c r="E262" s="15"/>
    </row>
    <row r="263" spans="1:5" s="13" customFormat="1">
      <c r="A263" s="274" t="s">
        <v>1254</v>
      </c>
      <c r="B263" s="274">
        <v>4</v>
      </c>
      <c r="C263" s="274" t="s">
        <v>1261</v>
      </c>
      <c r="D263" s="274" t="s">
        <v>1262</v>
      </c>
      <c r="E263" s="15"/>
    </row>
    <row r="264" spans="1:5" s="13" customFormat="1">
      <c r="A264" s="274" t="s">
        <v>1254</v>
      </c>
      <c r="B264" s="274">
        <v>5</v>
      </c>
      <c r="C264" s="274" t="s">
        <v>1263</v>
      </c>
      <c r="D264" s="274" t="s">
        <v>1264</v>
      </c>
      <c r="E264" s="15"/>
    </row>
    <row r="265" spans="1:5" s="13" customFormat="1">
      <c r="A265" s="274" t="s">
        <v>1254</v>
      </c>
      <c r="B265" s="274">
        <v>6</v>
      </c>
      <c r="C265" s="274" t="s">
        <v>1235</v>
      </c>
      <c r="D265" s="274" t="s">
        <v>1236</v>
      </c>
      <c r="E265" s="15"/>
    </row>
    <row r="266" spans="1:5" s="13" customFormat="1">
      <c r="A266" s="274" t="s">
        <v>1254</v>
      </c>
      <c r="B266" s="274">
        <v>7</v>
      </c>
      <c r="C266" s="274" t="s">
        <v>894</v>
      </c>
      <c r="D266" s="274" t="s">
        <v>895</v>
      </c>
      <c r="E266" s="15"/>
    </row>
    <row r="267" spans="1:5" s="13" customFormat="1">
      <c r="A267" s="274" t="s">
        <v>1254</v>
      </c>
      <c r="B267" s="274">
        <v>8</v>
      </c>
      <c r="C267" s="274" t="s">
        <v>896</v>
      </c>
      <c r="D267" s="274" t="s">
        <v>897</v>
      </c>
      <c r="E267" s="15"/>
    </row>
    <row r="268" spans="1:5">
      <c r="D268" s="14"/>
      <c r="E268" s="4"/>
    </row>
    <row r="269" spans="1:5" s="13" customFormat="1">
      <c r="A269" s="275" t="s">
        <v>1265</v>
      </c>
      <c r="B269" s="275">
        <v>1</v>
      </c>
      <c r="C269" s="275" t="s">
        <v>1266</v>
      </c>
      <c r="D269" s="275" t="s">
        <v>1267</v>
      </c>
      <c r="E269" s="15"/>
    </row>
    <row r="270" spans="1:5" s="13" customFormat="1">
      <c r="A270" s="275" t="s">
        <v>1265</v>
      </c>
      <c r="B270" s="275">
        <v>2</v>
      </c>
      <c r="C270" s="275" t="s">
        <v>1268</v>
      </c>
      <c r="D270" s="275" t="s">
        <v>1269</v>
      </c>
      <c r="E270" s="15"/>
    </row>
    <row r="271" spans="1:5" s="13" customFormat="1">
      <c r="A271" s="275" t="s">
        <v>1265</v>
      </c>
      <c r="B271" s="275">
        <v>3</v>
      </c>
      <c r="C271" s="275" t="s">
        <v>1270</v>
      </c>
      <c r="D271" s="275" t="s">
        <v>1271</v>
      </c>
      <c r="E271" s="15"/>
    </row>
    <row r="272" spans="1:5" s="13" customFormat="1">
      <c r="A272" s="275" t="s">
        <v>1265</v>
      </c>
      <c r="B272" s="275">
        <v>4</v>
      </c>
      <c r="C272" s="275" t="s">
        <v>1272</v>
      </c>
      <c r="D272" s="275" t="s">
        <v>1273</v>
      </c>
      <c r="E272" s="15"/>
    </row>
    <row r="273" spans="1:6" s="13" customFormat="1">
      <c r="A273" s="275" t="s">
        <v>1265</v>
      </c>
      <c r="B273" s="275">
        <v>5</v>
      </c>
      <c r="C273" s="275" t="s">
        <v>1274</v>
      </c>
      <c r="D273" s="275" t="s">
        <v>1275</v>
      </c>
      <c r="E273" s="15"/>
    </row>
    <row r="274" spans="1:6" s="13" customFormat="1">
      <c r="A274" s="275" t="s">
        <v>1265</v>
      </c>
      <c r="B274" s="275">
        <v>6</v>
      </c>
      <c r="C274" s="275" t="s">
        <v>894</v>
      </c>
      <c r="D274" s="275" t="s">
        <v>895</v>
      </c>
      <c r="E274" s="15"/>
    </row>
    <row r="275" spans="1:6" s="13" customFormat="1">
      <c r="A275" s="275" t="s">
        <v>1265</v>
      </c>
      <c r="B275" s="275">
        <v>7</v>
      </c>
      <c r="C275" s="275" t="s">
        <v>896</v>
      </c>
      <c r="D275" s="275" t="s">
        <v>1276</v>
      </c>
      <c r="E275" s="15"/>
    </row>
    <row r="276" spans="1:6">
      <c r="E276" s="4"/>
      <c r="F276" s="13"/>
    </row>
    <row r="277" spans="1:6" s="13" customFormat="1">
      <c r="A277" s="275" t="s">
        <v>1277</v>
      </c>
      <c r="B277" s="275" t="s">
        <v>1278</v>
      </c>
      <c r="C277" s="275" t="s">
        <v>1279</v>
      </c>
      <c r="D277" s="275" t="s">
        <v>1280</v>
      </c>
      <c r="E277" s="15"/>
    </row>
    <row r="278" spans="1:6" s="13" customFormat="1">
      <c r="A278" s="275" t="s">
        <v>1277</v>
      </c>
      <c r="B278" s="275" t="s">
        <v>1281</v>
      </c>
      <c r="C278" s="275" t="s">
        <v>1282</v>
      </c>
      <c r="D278" s="275" t="s">
        <v>1283</v>
      </c>
      <c r="E278" s="15"/>
    </row>
    <row r="279" spans="1:6" s="13" customFormat="1">
      <c r="A279" s="275" t="s">
        <v>1277</v>
      </c>
      <c r="B279" s="275" t="s">
        <v>1284</v>
      </c>
      <c r="C279" s="275" t="s">
        <v>1285</v>
      </c>
      <c r="D279" s="275" t="s">
        <v>1286</v>
      </c>
      <c r="E279" s="15"/>
    </row>
    <row r="280" spans="1:6" s="13" customFormat="1">
      <c r="A280" s="275" t="s">
        <v>1277</v>
      </c>
      <c r="B280" s="275" t="s">
        <v>1287</v>
      </c>
      <c r="C280" s="275" t="s">
        <v>1288</v>
      </c>
      <c r="D280" s="275" t="s">
        <v>1289</v>
      </c>
      <c r="E280" s="15"/>
    </row>
    <row r="281" spans="1:6" s="13" customFormat="1">
      <c r="A281" s="275" t="s">
        <v>1277</v>
      </c>
      <c r="B281" s="275" t="s">
        <v>1290</v>
      </c>
      <c r="C281" s="275" t="s">
        <v>1291</v>
      </c>
      <c r="D281" s="275" t="s">
        <v>1292</v>
      </c>
      <c r="E281" s="15"/>
    </row>
    <row r="282" spans="1:6" s="13" customFormat="1">
      <c r="A282" s="275" t="s">
        <v>1277</v>
      </c>
      <c r="B282" s="275" t="s">
        <v>1293</v>
      </c>
      <c r="C282" s="275" t="s">
        <v>1294</v>
      </c>
      <c r="D282" s="275" t="s">
        <v>1295</v>
      </c>
      <c r="E282" s="15"/>
    </row>
    <row r="283" spans="1:6" s="13" customFormat="1">
      <c r="A283" s="275" t="s">
        <v>1277</v>
      </c>
      <c r="B283" s="275" t="s">
        <v>1296</v>
      </c>
      <c r="C283" s="275" t="s">
        <v>1297</v>
      </c>
      <c r="D283" s="275" t="s">
        <v>1298</v>
      </c>
      <c r="E283" s="15"/>
    </row>
    <row r="284" spans="1:6" s="13" customFormat="1">
      <c r="A284" s="275" t="s">
        <v>1277</v>
      </c>
      <c r="B284" s="275" t="s">
        <v>1011</v>
      </c>
      <c r="C284" s="275" t="s">
        <v>1299</v>
      </c>
      <c r="D284" s="275" t="s">
        <v>1300</v>
      </c>
      <c r="E284" s="15"/>
    </row>
    <row r="285" spans="1:6" s="13" customFormat="1">
      <c r="A285" s="275" t="s">
        <v>1277</v>
      </c>
      <c r="B285" s="275" t="s">
        <v>1017</v>
      </c>
      <c r="C285" s="275" t="s">
        <v>894</v>
      </c>
      <c r="D285" s="275" t="s">
        <v>895</v>
      </c>
      <c r="E285" s="15"/>
    </row>
    <row r="286" spans="1:6" s="13" customFormat="1">
      <c r="A286" s="275" t="s">
        <v>1277</v>
      </c>
      <c r="B286" s="275" t="s">
        <v>1018</v>
      </c>
      <c r="C286" s="275" t="s">
        <v>896</v>
      </c>
      <c r="D286" s="275" t="s">
        <v>897</v>
      </c>
      <c r="E286" s="15"/>
    </row>
    <row r="287" spans="1:6">
      <c r="D287" s="13"/>
      <c r="E287" s="4"/>
    </row>
    <row r="288" spans="1:6">
      <c r="A288" s="275" t="s">
        <v>1301</v>
      </c>
      <c r="B288" s="275">
        <v>1</v>
      </c>
      <c r="C288" s="275" t="s">
        <v>1302</v>
      </c>
      <c r="D288" s="275" t="s">
        <v>1303</v>
      </c>
      <c r="E288" s="4"/>
    </row>
    <row r="289" spans="1:6">
      <c r="A289" s="275" t="s">
        <v>1301</v>
      </c>
      <c r="B289" s="275">
        <v>2</v>
      </c>
      <c r="C289" s="275" t="s">
        <v>1304</v>
      </c>
      <c r="D289" s="275" t="s">
        <v>1305</v>
      </c>
      <c r="E289" s="4"/>
    </row>
    <row r="290" spans="1:6">
      <c r="A290" s="275" t="s">
        <v>1301</v>
      </c>
      <c r="B290" s="275">
        <v>3</v>
      </c>
      <c r="C290" s="275" t="s">
        <v>1306</v>
      </c>
      <c r="D290" s="275" t="s">
        <v>1307</v>
      </c>
      <c r="E290" s="4"/>
    </row>
    <row r="291" spans="1:6">
      <c r="A291" s="275" t="s">
        <v>1301</v>
      </c>
      <c r="B291" s="275">
        <v>4</v>
      </c>
      <c r="C291" s="275" t="s">
        <v>1308</v>
      </c>
      <c r="D291" s="275" t="s">
        <v>1309</v>
      </c>
      <c r="E291" s="4"/>
    </row>
    <row r="292" spans="1:6">
      <c r="A292" s="275" t="s">
        <v>1301</v>
      </c>
      <c r="B292" s="275">
        <v>5</v>
      </c>
      <c r="C292" s="275" t="s">
        <v>1310</v>
      </c>
      <c r="D292" s="275" t="s">
        <v>1311</v>
      </c>
      <c r="E292" s="4"/>
    </row>
    <row r="293" spans="1:6">
      <c r="A293" s="275" t="s">
        <v>1301</v>
      </c>
      <c r="B293" s="275">
        <v>6</v>
      </c>
      <c r="C293" s="275" t="s">
        <v>1312</v>
      </c>
      <c r="D293" s="275" t="s">
        <v>1313</v>
      </c>
      <c r="E293" s="4"/>
    </row>
    <row r="294" spans="1:6">
      <c r="A294" s="275" t="s">
        <v>1301</v>
      </c>
      <c r="B294" s="275">
        <v>7</v>
      </c>
      <c r="C294" s="275" t="s">
        <v>1314</v>
      </c>
      <c r="D294" s="275" t="s">
        <v>1315</v>
      </c>
      <c r="E294" s="4"/>
    </row>
    <row r="295" spans="1:6">
      <c r="A295" s="275" t="s">
        <v>1301</v>
      </c>
      <c r="B295" s="275">
        <v>8</v>
      </c>
      <c r="C295" s="275" t="s">
        <v>1316</v>
      </c>
      <c r="D295" s="275" t="s">
        <v>1317</v>
      </c>
      <c r="E295" s="4"/>
    </row>
    <row r="296" spans="1:6">
      <c r="A296" s="275" t="s">
        <v>1301</v>
      </c>
      <c r="B296" s="275">
        <v>9</v>
      </c>
      <c r="C296" s="275" t="s">
        <v>1235</v>
      </c>
      <c r="D296" s="275" t="s">
        <v>1318</v>
      </c>
      <c r="E296" s="4"/>
    </row>
    <row r="297" spans="1:6">
      <c r="D297" s="13"/>
      <c r="E297" s="4"/>
    </row>
    <row r="298" spans="1:6">
      <c r="A298" s="274" t="s">
        <v>1319</v>
      </c>
      <c r="B298" s="274" t="s">
        <v>1320</v>
      </c>
      <c r="C298" s="274" t="s">
        <v>1321</v>
      </c>
      <c r="D298" t="s">
        <v>1322</v>
      </c>
      <c r="E298" s="4"/>
      <c r="F298" s="13"/>
    </row>
    <row r="299" spans="1:6">
      <c r="A299" s="274" t="s">
        <v>1319</v>
      </c>
      <c r="B299" s="274" t="s">
        <v>1323</v>
      </c>
      <c r="C299" s="274" t="s">
        <v>1324</v>
      </c>
      <c r="D299" t="s">
        <v>1325</v>
      </c>
      <c r="E299" s="4"/>
      <c r="F299" s="13"/>
    </row>
    <row r="300" spans="1:6">
      <c r="A300" s="274" t="s">
        <v>1319</v>
      </c>
      <c r="B300" s="274" t="s">
        <v>1326</v>
      </c>
      <c r="C300" s="274" t="s">
        <v>1327</v>
      </c>
      <c r="D300" t="s">
        <v>1328</v>
      </c>
      <c r="E300" s="4"/>
      <c r="F300" s="13"/>
    </row>
    <row r="301" spans="1:6">
      <c r="A301" s="274" t="s">
        <v>1319</v>
      </c>
      <c r="B301" s="274" t="s">
        <v>1329</v>
      </c>
      <c r="C301" s="274" t="s">
        <v>1330</v>
      </c>
      <c r="D301" t="s">
        <v>1331</v>
      </c>
      <c r="E301" s="4"/>
      <c r="F301" s="13"/>
    </row>
    <row r="302" spans="1:6">
      <c r="A302" s="274" t="s">
        <v>1319</v>
      </c>
      <c r="B302" s="274" t="s">
        <v>1332</v>
      </c>
      <c r="C302" s="274" t="s">
        <v>1333</v>
      </c>
      <c r="D302" t="s">
        <v>1334</v>
      </c>
      <c r="E302" s="4"/>
      <c r="F302" s="13"/>
    </row>
    <row r="303" spans="1:6">
      <c r="A303" s="274" t="s">
        <v>1319</v>
      </c>
      <c r="B303" s="274" t="s">
        <v>1335</v>
      </c>
      <c r="C303" s="274" t="s">
        <v>1336</v>
      </c>
      <c r="D303" t="s">
        <v>1337</v>
      </c>
      <c r="E303" s="4"/>
      <c r="F303" s="13"/>
    </row>
    <row r="304" spans="1:6">
      <c r="A304" s="274" t="s">
        <v>1319</v>
      </c>
      <c r="B304" s="274" t="s">
        <v>1338</v>
      </c>
      <c r="C304" s="274" t="s">
        <v>1339</v>
      </c>
      <c r="D304" t="s">
        <v>1340</v>
      </c>
      <c r="E304" s="4"/>
      <c r="F304" s="13"/>
    </row>
    <row r="305" spans="1:6">
      <c r="A305" s="274" t="s">
        <v>1319</v>
      </c>
      <c r="B305" s="274" t="s">
        <v>1341</v>
      </c>
      <c r="C305" s="274" t="s">
        <v>1342</v>
      </c>
      <c r="D305" t="s">
        <v>1343</v>
      </c>
      <c r="E305" s="4"/>
      <c r="F305" s="13"/>
    </row>
    <row r="306" spans="1:6">
      <c r="A306" s="274" t="s">
        <v>1319</v>
      </c>
      <c r="B306" s="274" t="s">
        <v>1344</v>
      </c>
      <c r="C306" s="274" t="s">
        <v>1345</v>
      </c>
      <c r="D306" t="s">
        <v>1346</v>
      </c>
      <c r="E306" s="4"/>
      <c r="F306" s="13"/>
    </row>
    <row r="307" spans="1:6">
      <c r="A307" s="274" t="s">
        <v>1319</v>
      </c>
      <c r="B307" s="274" t="s">
        <v>1347</v>
      </c>
      <c r="C307" s="274" t="s">
        <v>1348</v>
      </c>
      <c r="D307" t="s">
        <v>1349</v>
      </c>
      <c r="E307" s="4"/>
      <c r="F307" s="13"/>
    </row>
    <row r="308" spans="1:6">
      <c r="A308" s="274" t="s">
        <v>1319</v>
      </c>
      <c r="B308" s="274" t="s">
        <v>1350</v>
      </c>
      <c r="C308" s="274" t="s">
        <v>1351</v>
      </c>
      <c r="D308" t="s">
        <v>1352</v>
      </c>
      <c r="E308" s="4"/>
      <c r="F308" s="13"/>
    </row>
    <row r="309" spans="1:6">
      <c r="A309" s="274" t="s">
        <v>1319</v>
      </c>
      <c r="B309" s="274" t="s">
        <v>1353</v>
      </c>
      <c r="C309" s="274" t="s">
        <v>1354</v>
      </c>
      <c r="D309" t="s">
        <v>1355</v>
      </c>
      <c r="E309" s="4"/>
      <c r="F309" s="13"/>
    </row>
    <row r="310" spans="1:6">
      <c r="A310" s="274" t="s">
        <v>1319</v>
      </c>
      <c r="B310" s="274" t="s">
        <v>1356</v>
      </c>
      <c r="C310" s="274" t="s">
        <v>1357</v>
      </c>
      <c r="D310" t="s">
        <v>1358</v>
      </c>
      <c r="E310" s="4"/>
      <c r="F310" s="13"/>
    </row>
    <row r="311" spans="1:6">
      <c r="A311" s="274" t="s">
        <v>1319</v>
      </c>
      <c r="B311" s="274" t="s">
        <v>1359</v>
      </c>
      <c r="C311" s="274" t="s">
        <v>1360</v>
      </c>
      <c r="D311" t="s">
        <v>1361</v>
      </c>
      <c r="E311" s="4"/>
      <c r="F311" s="13"/>
    </row>
    <row r="312" spans="1:6">
      <c r="A312" s="274" t="s">
        <v>1319</v>
      </c>
      <c r="B312" s="274" t="s">
        <v>1362</v>
      </c>
      <c r="C312" s="274" t="s">
        <v>1363</v>
      </c>
      <c r="D312" t="s">
        <v>1364</v>
      </c>
      <c r="E312" s="4"/>
    </row>
    <row r="313" spans="1:6">
      <c r="A313" s="274" t="s">
        <v>1319</v>
      </c>
      <c r="B313" s="274" t="s">
        <v>1011</v>
      </c>
      <c r="C313" s="274" t="s">
        <v>1299</v>
      </c>
      <c r="D313" t="s">
        <v>1300</v>
      </c>
      <c r="E313" s="4"/>
      <c r="F313" s="13"/>
    </row>
    <row r="314" spans="1:6">
      <c r="A314" s="274" t="s">
        <v>1319</v>
      </c>
      <c r="B314" s="274" t="s">
        <v>1017</v>
      </c>
      <c r="C314" s="274" t="s">
        <v>894</v>
      </c>
      <c r="D314" t="s">
        <v>895</v>
      </c>
      <c r="E314" s="4"/>
    </row>
    <row r="315" spans="1:6">
      <c r="A315" s="274" t="s">
        <v>1319</v>
      </c>
      <c r="B315" s="274" t="s">
        <v>1018</v>
      </c>
      <c r="C315" s="274" t="s">
        <v>896</v>
      </c>
      <c r="D315" t="s">
        <v>897</v>
      </c>
      <c r="E315" s="4"/>
    </row>
    <row r="316" spans="1:6">
      <c r="E316" s="4"/>
    </row>
    <row r="317" spans="1:6" s="13" customFormat="1">
      <c r="A317" s="275" t="s">
        <v>1365</v>
      </c>
      <c r="B317" s="275">
        <v>1</v>
      </c>
      <c r="C317" s="275" t="s">
        <v>1366</v>
      </c>
      <c r="D317" s="275" t="s">
        <v>1367</v>
      </c>
      <c r="E317" s="15"/>
    </row>
    <row r="318" spans="1:6" s="13" customFormat="1">
      <c r="A318" s="275" t="s">
        <v>1365</v>
      </c>
      <c r="B318" s="275">
        <v>2</v>
      </c>
      <c r="C318" s="275" t="s">
        <v>1368</v>
      </c>
      <c r="D318" s="275" t="s">
        <v>1369</v>
      </c>
      <c r="E318" s="15"/>
    </row>
    <row r="319" spans="1:6" s="13" customFormat="1">
      <c r="A319" s="275" t="s">
        <v>1365</v>
      </c>
      <c r="B319" s="275">
        <v>3</v>
      </c>
      <c r="C319" s="275" t="s">
        <v>1370</v>
      </c>
      <c r="D319" s="275" t="s">
        <v>1371</v>
      </c>
      <c r="E319" s="15"/>
    </row>
    <row r="320" spans="1:6" s="13" customFormat="1">
      <c r="A320" s="275" t="s">
        <v>1365</v>
      </c>
      <c r="B320" s="275">
        <v>4</v>
      </c>
      <c r="C320" s="275" t="s">
        <v>1372</v>
      </c>
      <c r="D320" s="275" t="s">
        <v>1373</v>
      </c>
      <c r="E320" s="15"/>
    </row>
    <row r="321" spans="1:6" s="13" customFormat="1">
      <c r="A321" s="275" t="s">
        <v>1365</v>
      </c>
      <c r="B321" s="275">
        <v>5</v>
      </c>
      <c r="C321" s="275" t="s">
        <v>1374</v>
      </c>
      <c r="D321" s="275" t="s">
        <v>1375</v>
      </c>
      <c r="E321" s="15"/>
    </row>
    <row r="322" spans="1:6" s="13" customFormat="1">
      <c r="A322" s="275" t="s">
        <v>1365</v>
      </c>
      <c r="B322" s="275">
        <v>6</v>
      </c>
      <c r="C322" s="275" t="s">
        <v>1376</v>
      </c>
      <c r="D322" s="275" t="s">
        <v>1377</v>
      </c>
      <c r="E322" s="15"/>
    </row>
    <row r="323" spans="1:6" s="13" customFormat="1">
      <c r="A323" s="275" t="s">
        <v>1365</v>
      </c>
      <c r="B323" s="275">
        <v>7</v>
      </c>
      <c r="C323" s="275" t="s">
        <v>894</v>
      </c>
      <c r="D323" s="275" t="s">
        <v>895</v>
      </c>
      <c r="E323" s="15"/>
    </row>
    <row r="324" spans="1:6">
      <c r="A324" s="275" t="s">
        <v>1365</v>
      </c>
      <c r="B324" s="275">
        <v>8</v>
      </c>
      <c r="C324" s="275" t="s">
        <v>896</v>
      </c>
      <c r="D324" s="275" t="s">
        <v>897</v>
      </c>
      <c r="E324" s="15"/>
      <c r="F324" s="13"/>
    </row>
    <row r="325" spans="1:6">
      <c r="D325" s="13"/>
      <c r="E325" s="4"/>
    </row>
    <row r="326" spans="1:6">
      <c r="A326" t="s">
        <v>1378</v>
      </c>
      <c r="B326" t="s">
        <v>1379</v>
      </c>
      <c r="C326" t="s">
        <v>1380</v>
      </c>
      <c r="D326" t="s">
        <v>1381</v>
      </c>
      <c r="E326" s="4"/>
      <c r="F326" s="13"/>
    </row>
    <row r="327" spans="1:6">
      <c r="A327" t="s">
        <v>1378</v>
      </c>
      <c r="B327" t="s">
        <v>1382</v>
      </c>
      <c r="C327" t="s">
        <v>1383</v>
      </c>
      <c r="D327" t="s">
        <v>1384</v>
      </c>
      <c r="E327" s="4"/>
      <c r="F327" s="13"/>
    </row>
    <row r="328" spans="1:6">
      <c r="A328" t="s">
        <v>1378</v>
      </c>
      <c r="B328" t="s">
        <v>1385</v>
      </c>
      <c r="C328" t="s">
        <v>1386</v>
      </c>
      <c r="D328" t="s">
        <v>1387</v>
      </c>
      <c r="E328" s="4"/>
      <c r="F328" s="13"/>
    </row>
    <row r="329" spans="1:6">
      <c r="A329" t="s">
        <v>1378</v>
      </c>
      <c r="B329" t="s">
        <v>1388</v>
      </c>
      <c r="C329" t="s">
        <v>1389</v>
      </c>
      <c r="D329" t="s">
        <v>1390</v>
      </c>
      <c r="E329" s="4"/>
      <c r="F329" s="13"/>
    </row>
    <row r="330" spans="1:6">
      <c r="A330" t="s">
        <v>1378</v>
      </c>
      <c r="B330" t="s">
        <v>1391</v>
      </c>
      <c r="C330" t="s">
        <v>1392</v>
      </c>
      <c r="D330" t="s">
        <v>1393</v>
      </c>
      <c r="E330" s="4"/>
      <c r="F330" s="13"/>
    </row>
    <row r="331" spans="1:6">
      <c r="A331" t="s">
        <v>1378</v>
      </c>
      <c r="B331" t="s">
        <v>1394</v>
      </c>
      <c r="C331" t="s">
        <v>1395</v>
      </c>
      <c r="D331" t="s">
        <v>1396</v>
      </c>
      <c r="E331" s="4"/>
      <c r="F331" s="13"/>
    </row>
    <row r="332" spans="1:6">
      <c r="A332" t="s">
        <v>1378</v>
      </c>
      <c r="B332" t="s">
        <v>1397</v>
      </c>
      <c r="C332" t="s">
        <v>1398</v>
      </c>
      <c r="D332" t="s">
        <v>1399</v>
      </c>
      <c r="E332" s="4"/>
      <c r="F332" s="13"/>
    </row>
    <row r="333" spans="1:6">
      <c r="A333" t="s">
        <v>1378</v>
      </c>
      <c r="B333" t="s">
        <v>1011</v>
      </c>
      <c r="C333" t="s">
        <v>1299</v>
      </c>
      <c r="D333" t="s">
        <v>1300</v>
      </c>
      <c r="E333" s="4"/>
      <c r="F333" s="13"/>
    </row>
    <row r="334" spans="1:6">
      <c r="A334" t="s">
        <v>1378</v>
      </c>
      <c r="B334" t="s">
        <v>1017</v>
      </c>
      <c r="C334" t="s">
        <v>894</v>
      </c>
      <c r="D334" t="s">
        <v>895</v>
      </c>
      <c r="E334" s="4"/>
      <c r="F334" s="13"/>
    </row>
    <row r="335" spans="1:6">
      <c r="A335" t="s">
        <v>1378</v>
      </c>
      <c r="B335" t="s">
        <v>1018</v>
      </c>
      <c r="C335" t="s">
        <v>896</v>
      </c>
      <c r="D335" t="s">
        <v>897</v>
      </c>
      <c r="E335" s="4"/>
      <c r="F335" s="13"/>
    </row>
    <row r="336" spans="1:6">
      <c r="E336" s="4"/>
    </row>
    <row r="337" spans="1:6">
      <c r="A337" t="s">
        <v>495</v>
      </c>
      <c r="B337">
        <v>1</v>
      </c>
      <c r="C337" t="s">
        <v>1400</v>
      </c>
      <c r="D337" t="s">
        <v>1401</v>
      </c>
      <c r="E337" s="4"/>
    </row>
    <row r="338" spans="1:6">
      <c r="A338" t="s">
        <v>495</v>
      </c>
      <c r="B338">
        <v>2</v>
      </c>
      <c r="C338" t="s">
        <v>1402</v>
      </c>
      <c r="D338" t="s">
        <v>1403</v>
      </c>
      <c r="E338" s="4"/>
    </row>
    <row r="339" spans="1:6">
      <c r="A339" t="s">
        <v>495</v>
      </c>
      <c r="B339">
        <v>3</v>
      </c>
      <c r="C339" t="s">
        <v>1404</v>
      </c>
      <c r="D339" t="s">
        <v>1405</v>
      </c>
      <c r="E339" s="4"/>
    </row>
    <row r="340" spans="1:6">
      <c r="A340" t="s">
        <v>495</v>
      </c>
      <c r="B340">
        <v>4</v>
      </c>
      <c r="C340" t="s">
        <v>1406</v>
      </c>
      <c r="D340" t="s">
        <v>1407</v>
      </c>
      <c r="E340" s="4"/>
    </row>
    <row r="341" spans="1:6">
      <c r="A341" t="s">
        <v>495</v>
      </c>
      <c r="B341">
        <v>5</v>
      </c>
      <c r="C341" t="s">
        <v>1408</v>
      </c>
      <c r="D341" t="s">
        <v>1409</v>
      </c>
      <c r="E341" s="4"/>
    </row>
    <row r="342" spans="1:6">
      <c r="A342" t="s">
        <v>495</v>
      </c>
      <c r="B342">
        <v>6</v>
      </c>
      <c r="C342" t="s">
        <v>1410</v>
      </c>
      <c r="D342" t="s">
        <v>1411</v>
      </c>
      <c r="E342" s="4"/>
    </row>
    <row r="343" spans="1:6">
      <c r="A343" t="s">
        <v>495</v>
      </c>
      <c r="B343">
        <v>7</v>
      </c>
      <c r="C343" t="s">
        <v>1412</v>
      </c>
      <c r="D343" t="s">
        <v>1413</v>
      </c>
      <c r="E343" s="4"/>
    </row>
    <row r="344" spans="1:6">
      <c r="A344" t="s">
        <v>495</v>
      </c>
      <c r="B344">
        <v>8</v>
      </c>
      <c r="C344" t="s">
        <v>1414</v>
      </c>
      <c r="D344" t="s">
        <v>1415</v>
      </c>
      <c r="E344" s="4"/>
    </row>
    <row r="345" spans="1:6">
      <c r="A345" t="s">
        <v>495</v>
      </c>
      <c r="B345">
        <v>9</v>
      </c>
      <c r="C345" t="s">
        <v>1299</v>
      </c>
      <c r="D345" t="s">
        <v>1300</v>
      </c>
      <c r="E345" s="4"/>
    </row>
    <row r="346" spans="1:6">
      <c r="A346" t="s">
        <v>495</v>
      </c>
      <c r="B346" s="273">
        <v>10</v>
      </c>
      <c r="C346" t="s">
        <v>894</v>
      </c>
      <c r="D346" t="s">
        <v>895</v>
      </c>
      <c r="E346" s="4"/>
    </row>
    <row r="347" spans="1:6">
      <c r="A347" t="s">
        <v>495</v>
      </c>
      <c r="B347" s="273">
        <v>11</v>
      </c>
      <c r="C347" t="s">
        <v>896</v>
      </c>
      <c r="D347" t="s">
        <v>897</v>
      </c>
      <c r="E347" s="4"/>
    </row>
    <row r="348" spans="1:6">
      <c r="E348" s="4"/>
    </row>
    <row r="349" spans="1:6">
      <c r="A349" t="s">
        <v>1416</v>
      </c>
      <c r="B349" t="s">
        <v>1417</v>
      </c>
      <c r="C349" t="s">
        <v>1418</v>
      </c>
      <c r="D349" t="s">
        <v>1419</v>
      </c>
      <c r="E349" s="4"/>
      <c r="F349" s="13"/>
    </row>
    <row r="350" spans="1:6">
      <c r="A350" t="s">
        <v>1416</v>
      </c>
      <c r="B350" t="s">
        <v>1420</v>
      </c>
      <c r="C350" t="s">
        <v>1421</v>
      </c>
      <c r="D350" t="s">
        <v>1422</v>
      </c>
      <c r="E350" s="4"/>
      <c r="F350" s="13"/>
    </row>
    <row r="351" spans="1:6">
      <c r="A351" t="s">
        <v>1416</v>
      </c>
      <c r="B351" t="s">
        <v>1423</v>
      </c>
      <c r="C351" t="s">
        <v>1424</v>
      </c>
      <c r="D351" t="s">
        <v>1425</v>
      </c>
      <c r="E351" s="4"/>
      <c r="F351" s="13"/>
    </row>
    <row r="352" spans="1:6">
      <c r="A352" t="s">
        <v>1416</v>
      </c>
      <c r="B352" t="s">
        <v>1426</v>
      </c>
      <c r="C352" t="s">
        <v>1427</v>
      </c>
      <c r="D352" t="s">
        <v>1428</v>
      </c>
      <c r="E352" s="4"/>
      <c r="F352" s="13"/>
    </row>
    <row r="353" spans="1:6">
      <c r="A353" t="s">
        <v>1416</v>
      </c>
      <c r="B353" t="s">
        <v>1429</v>
      </c>
      <c r="C353" t="s">
        <v>1430</v>
      </c>
      <c r="D353" t="s">
        <v>1431</v>
      </c>
      <c r="E353" s="4"/>
      <c r="F353" s="13"/>
    </row>
    <row r="354" spans="1:6">
      <c r="A354" t="s">
        <v>1416</v>
      </c>
      <c r="B354" t="s">
        <v>1432</v>
      </c>
      <c r="C354" t="s">
        <v>1433</v>
      </c>
      <c r="D354" t="s">
        <v>1434</v>
      </c>
      <c r="E354" s="4"/>
      <c r="F354" s="13"/>
    </row>
    <row r="355" spans="1:6">
      <c r="A355" t="s">
        <v>1416</v>
      </c>
      <c r="B355" t="s">
        <v>1435</v>
      </c>
      <c r="C355" t="s">
        <v>1436</v>
      </c>
      <c r="D355" t="s">
        <v>1437</v>
      </c>
      <c r="E355" s="4"/>
      <c r="F355" s="13"/>
    </row>
    <row r="356" spans="1:6">
      <c r="A356" t="s">
        <v>1416</v>
      </c>
      <c r="B356" t="s">
        <v>1438</v>
      </c>
      <c r="C356" t="s">
        <v>1439</v>
      </c>
      <c r="D356" t="s">
        <v>1440</v>
      </c>
      <c r="E356" s="4"/>
      <c r="F356" s="13"/>
    </row>
    <row r="357" spans="1:6">
      <c r="A357" t="s">
        <v>1416</v>
      </c>
      <c r="B357" t="s">
        <v>1441</v>
      </c>
      <c r="C357" t="s">
        <v>1442</v>
      </c>
      <c r="D357" t="s">
        <v>1443</v>
      </c>
      <c r="E357" s="4"/>
      <c r="F357" s="13"/>
    </row>
    <row r="358" spans="1:6">
      <c r="A358" t="s">
        <v>1416</v>
      </c>
      <c r="B358" t="s">
        <v>1444</v>
      </c>
      <c r="C358" t="s">
        <v>1445</v>
      </c>
      <c r="D358" t="s">
        <v>1446</v>
      </c>
      <c r="E358" s="4"/>
      <c r="F358" s="13"/>
    </row>
    <row r="359" spans="1:6">
      <c r="A359" t="s">
        <v>1416</v>
      </c>
      <c r="B359" t="s">
        <v>1447</v>
      </c>
      <c r="C359" t="s">
        <v>1448</v>
      </c>
      <c r="D359" t="s">
        <v>1449</v>
      </c>
      <c r="E359" s="4"/>
      <c r="F359" s="13"/>
    </row>
    <row r="360" spans="1:6">
      <c r="A360" t="s">
        <v>1416</v>
      </c>
      <c r="B360" t="s">
        <v>1450</v>
      </c>
      <c r="C360" t="s">
        <v>1299</v>
      </c>
      <c r="D360" t="s">
        <v>1300</v>
      </c>
      <c r="E360" s="4"/>
      <c r="F360" s="13"/>
    </row>
    <row r="361" spans="1:6">
      <c r="A361" t="s">
        <v>1416</v>
      </c>
      <c r="B361" t="s">
        <v>1451</v>
      </c>
      <c r="C361" t="s">
        <v>894</v>
      </c>
      <c r="D361" t="s">
        <v>895</v>
      </c>
      <c r="E361" s="4"/>
      <c r="F361" s="13"/>
    </row>
    <row r="362" spans="1:6" ht="14.25" customHeight="1">
      <c r="A362" t="s">
        <v>1416</v>
      </c>
      <c r="B362" t="s">
        <v>1452</v>
      </c>
      <c r="C362" t="s">
        <v>896</v>
      </c>
      <c r="D362" t="s">
        <v>897</v>
      </c>
      <c r="E362" s="4"/>
      <c r="F362" s="13"/>
    </row>
    <row r="363" spans="1:6" ht="14.25" customHeight="1">
      <c r="E363" s="4"/>
      <c r="F363" s="13"/>
    </row>
    <row r="364" spans="1:6" s="13" customFormat="1" ht="14.25" customHeight="1">
      <c r="A364" s="275" t="s">
        <v>1453</v>
      </c>
      <c r="B364" s="275" t="s">
        <v>1454</v>
      </c>
      <c r="C364" s="275" t="s">
        <v>1455</v>
      </c>
      <c r="D364" s="275" t="s">
        <v>1456</v>
      </c>
      <c r="E364" s="15"/>
    </row>
    <row r="365" spans="1:6" s="13" customFormat="1" ht="14.25" customHeight="1">
      <c r="A365" s="275" t="s">
        <v>1453</v>
      </c>
      <c r="B365" s="275" t="s">
        <v>1457</v>
      </c>
      <c r="C365" s="275" t="s">
        <v>1458</v>
      </c>
      <c r="D365" s="275" t="s">
        <v>1459</v>
      </c>
      <c r="E365" s="15"/>
    </row>
    <row r="366" spans="1:6" s="13" customFormat="1" ht="14.25" customHeight="1">
      <c r="A366" s="275" t="s">
        <v>1453</v>
      </c>
      <c r="B366" s="275" t="s">
        <v>1460</v>
      </c>
      <c r="C366" s="275" t="s">
        <v>1461</v>
      </c>
      <c r="D366" s="275" t="s">
        <v>1462</v>
      </c>
      <c r="E366" s="15"/>
    </row>
    <row r="367" spans="1:6" s="13" customFormat="1" ht="14.25" customHeight="1">
      <c r="A367" s="275" t="s">
        <v>1453</v>
      </c>
      <c r="B367" s="275" t="s">
        <v>1463</v>
      </c>
      <c r="C367" s="275" t="s">
        <v>1464</v>
      </c>
      <c r="D367" s="275" t="s">
        <v>1465</v>
      </c>
      <c r="E367" s="15"/>
    </row>
    <row r="368" spans="1:6" s="13" customFormat="1" ht="14.25" customHeight="1">
      <c r="A368" s="275" t="s">
        <v>1453</v>
      </c>
      <c r="B368" s="275" t="s">
        <v>1466</v>
      </c>
      <c r="C368" s="275" t="s">
        <v>1467</v>
      </c>
      <c r="D368" s="275" t="s">
        <v>1468</v>
      </c>
      <c r="E368" s="15"/>
    </row>
    <row r="369" spans="1:6" s="13" customFormat="1" ht="14.25" customHeight="1">
      <c r="A369" s="275" t="s">
        <v>1453</v>
      </c>
      <c r="B369" s="275" t="s">
        <v>1011</v>
      </c>
      <c r="C369" s="275" t="s">
        <v>1469</v>
      </c>
      <c r="D369" s="275" t="s">
        <v>1300</v>
      </c>
      <c r="E369" s="15"/>
    </row>
    <row r="370" spans="1:6" s="13" customFormat="1" ht="14.25" customHeight="1">
      <c r="A370" s="275" t="s">
        <v>1453</v>
      </c>
      <c r="B370" s="275" t="s">
        <v>1017</v>
      </c>
      <c r="C370" s="275" t="s">
        <v>894</v>
      </c>
      <c r="D370" s="275" t="s">
        <v>895</v>
      </c>
      <c r="E370" s="15"/>
    </row>
    <row r="371" spans="1:6" s="13" customFormat="1" ht="14.25" customHeight="1">
      <c r="A371" s="275" t="s">
        <v>1453</v>
      </c>
      <c r="B371" s="275" t="s">
        <v>1018</v>
      </c>
      <c r="C371" s="275" t="s">
        <v>896</v>
      </c>
      <c r="D371" s="275" t="s">
        <v>897</v>
      </c>
      <c r="E371" s="15"/>
    </row>
    <row r="372" spans="1:6" ht="14.25" customHeight="1">
      <c r="D372" s="13"/>
      <c r="E372" s="4"/>
    </row>
    <row r="373" spans="1:6">
      <c r="A373" t="s">
        <v>1470</v>
      </c>
      <c r="B373" t="s">
        <v>1471</v>
      </c>
      <c r="C373" t="s">
        <v>1472</v>
      </c>
      <c r="D373" t="s">
        <v>1473</v>
      </c>
      <c r="E373" s="4"/>
      <c r="F373" s="13"/>
    </row>
    <row r="374" spans="1:6">
      <c r="A374" t="s">
        <v>1470</v>
      </c>
      <c r="B374" t="s">
        <v>1474</v>
      </c>
      <c r="C374" t="s">
        <v>1475</v>
      </c>
      <c r="D374" t="s">
        <v>1476</v>
      </c>
      <c r="E374" s="4"/>
      <c r="F374" s="13"/>
    </row>
    <row r="375" spans="1:6">
      <c r="A375" t="s">
        <v>1470</v>
      </c>
      <c r="B375" t="s">
        <v>1477</v>
      </c>
      <c r="C375" t="s">
        <v>1478</v>
      </c>
      <c r="D375" t="s">
        <v>1479</v>
      </c>
      <c r="E375" s="4"/>
      <c r="F375" s="13"/>
    </row>
    <row r="376" spans="1:6">
      <c r="A376" t="s">
        <v>1470</v>
      </c>
      <c r="B376" t="s">
        <v>1480</v>
      </c>
      <c r="C376" t="s">
        <v>1481</v>
      </c>
      <c r="D376" t="s">
        <v>1482</v>
      </c>
      <c r="E376" s="4"/>
      <c r="F376" s="13"/>
    </row>
    <row r="377" spans="1:6">
      <c r="A377" t="s">
        <v>1470</v>
      </c>
      <c r="B377" t="s">
        <v>1483</v>
      </c>
      <c r="C377" t="s">
        <v>1484</v>
      </c>
      <c r="D377" t="s">
        <v>1485</v>
      </c>
      <c r="E377" s="4"/>
      <c r="F377" s="13"/>
    </row>
    <row r="378" spans="1:6">
      <c r="A378" t="s">
        <v>1470</v>
      </c>
      <c r="B378" t="s">
        <v>1486</v>
      </c>
      <c r="C378" t="s">
        <v>1487</v>
      </c>
      <c r="D378" t="s">
        <v>1488</v>
      </c>
      <c r="E378" s="4"/>
      <c r="F378" s="13"/>
    </row>
    <row r="379" spans="1:6">
      <c r="A379" t="s">
        <v>1470</v>
      </c>
      <c r="B379" t="s">
        <v>1489</v>
      </c>
      <c r="C379" t="s">
        <v>1490</v>
      </c>
      <c r="D379" t="s">
        <v>1491</v>
      </c>
      <c r="E379" s="4"/>
      <c r="F379" s="13"/>
    </row>
    <row r="380" spans="1:6">
      <c r="A380" t="s">
        <v>1470</v>
      </c>
      <c r="B380" t="s">
        <v>1492</v>
      </c>
      <c r="C380" t="s">
        <v>1493</v>
      </c>
      <c r="D380" t="s">
        <v>1494</v>
      </c>
      <c r="E380" s="4"/>
      <c r="F380" s="13"/>
    </row>
    <row r="381" spans="1:6">
      <c r="A381" t="s">
        <v>1470</v>
      </c>
      <c r="B381" t="s">
        <v>1362</v>
      </c>
      <c r="C381" t="s">
        <v>1363</v>
      </c>
      <c r="D381" t="s">
        <v>1495</v>
      </c>
      <c r="E381" s="4"/>
      <c r="F381" s="13"/>
    </row>
    <row r="382" spans="1:6">
      <c r="A382" t="s">
        <v>1470</v>
      </c>
      <c r="B382" t="s">
        <v>1344</v>
      </c>
      <c r="C382" t="s">
        <v>1345</v>
      </c>
      <c r="D382" t="s">
        <v>1496</v>
      </c>
      <c r="E382" s="4"/>
      <c r="F382" s="13"/>
    </row>
    <row r="383" spans="1:6">
      <c r="A383" t="s">
        <v>1470</v>
      </c>
      <c r="B383" t="s">
        <v>1011</v>
      </c>
      <c r="C383" t="s">
        <v>1299</v>
      </c>
      <c r="D383" t="s">
        <v>1300</v>
      </c>
      <c r="E383" s="4"/>
    </row>
    <row r="384" spans="1:6">
      <c r="A384" t="s">
        <v>1470</v>
      </c>
      <c r="B384" t="s">
        <v>1017</v>
      </c>
      <c r="C384" t="s">
        <v>894</v>
      </c>
      <c r="D384" t="s">
        <v>1497</v>
      </c>
      <c r="E384" s="4"/>
    </row>
    <row r="385" spans="1:5">
      <c r="A385" t="s">
        <v>1470</v>
      </c>
      <c r="B385" t="s">
        <v>1018</v>
      </c>
      <c r="C385" t="s">
        <v>896</v>
      </c>
      <c r="D385" t="s">
        <v>897</v>
      </c>
      <c r="E385" s="4"/>
    </row>
    <row r="386" spans="1:5">
      <c r="E386" s="4"/>
    </row>
    <row r="387" spans="1:5">
      <c r="A387" s="275" t="s">
        <v>1498</v>
      </c>
      <c r="B387" s="275">
        <v>1</v>
      </c>
      <c r="C387" s="275" t="s">
        <v>1400</v>
      </c>
      <c r="D387" t="s">
        <v>1401</v>
      </c>
      <c r="E387" s="4"/>
    </row>
    <row r="388" spans="1:5">
      <c r="A388" s="275" t="s">
        <v>1498</v>
      </c>
      <c r="B388" s="275">
        <v>2</v>
      </c>
      <c r="C388" s="275" t="s">
        <v>1402</v>
      </c>
      <c r="D388" t="s">
        <v>1403</v>
      </c>
      <c r="E388" s="4"/>
    </row>
    <row r="389" spans="1:5">
      <c r="A389" s="275" t="s">
        <v>1498</v>
      </c>
      <c r="B389" s="275">
        <v>3</v>
      </c>
      <c r="C389" s="275" t="s">
        <v>1404</v>
      </c>
      <c r="D389" t="s">
        <v>1405</v>
      </c>
      <c r="E389" s="4"/>
    </row>
    <row r="390" spans="1:5">
      <c r="A390" s="275" t="s">
        <v>1498</v>
      </c>
      <c r="B390" s="275">
        <v>4</v>
      </c>
      <c r="C390" s="275" t="s">
        <v>1406</v>
      </c>
      <c r="D390" t="s">
        <v>1407</v>
      </c>
      <c r="E390" s="4"/>
    </row>
    <row r="391" spans="1:5">
      <c r="A391" s="275" t="s">
        <v>1498</v>
      </c>
      <c r="B391" s="275">
        <v>5</v>
      </c>
      <c r="C391" s="275" t="s">
        <v>1408</v>
      </c>
      <c r="D391" t="s">
        <v>1409</v>
      </c>
      <c r="E391" s="4"/>
    </row>
    <row r="392" spans="1:5">
      <c r="A392" s="275" t="s">
        <v>1498</v>
      </c>
      <c r="B392" s="275">
        <v>6</v>
      </c>
      <c r="C392" s="275" t="s">
        <v>1410</v>
      </c>
      <c r="D392" t="s">
        <v>1411</v>
      </c>
      <c r="E392" s="4"/>
    </row>
    <row r="393" spans="1:5">
      <c r="A393" s="275" t="s">
        <v>1498</v>
      </c>
      <c r="B393" s="275">
        <v>7</v>
      </c>
      <c r="C393" s="275" t="s">
        <v>1412</v>
      </c>
      <c r="D393" t="s">
        <v>1413</v>
      </c>
      <c r="E393" s="4"/>
    </row>
    <row r="394" spans="1:5">
      <c r="A394" s="275" t="s">
        <v>1498</v>
      </c>
      <c r="B394" s="275">
        <v>8</v>
      </c>
      <c r="C394" s="275" t="s">
        <v>1414</v>
      </c>
      <c r="D394" t="s">
        <v>1415</v>
      </c>
      <c r="E394" s="4"/>
    </row>
    <row r="395" spans="1:5">
      <c r="A395" s="275" t="s">
        <v>1498</v>
      </c>
      <c r="B395" s="275">
        <v>9</v>
      </c>
      <c r="C395" s="275" t="s">
        <v>1299</v>
      </c>
      <c r="D395" t="s">
        <v>1300</v>
      </c>
      <c r="E395" s="4"/>
    </row>
    <row r="396" spans="1:5">
      <c r="A396" s="275" t="s">
        <v>1498</v>
      </c>
      <c r="B396" s="275">
        <v>666</v>
      </c>
      <c r="C396" s="275" t="s">
        <v>1499</v>
      </c>
      <c r="D396" t="s">
        <v>1500</v>
      </c>
      <c r="E396" s="4"/>
    </row>
    <row r="397" spans="1:5">
      <c r="A397" s="275" t="s">
        <v>1498</v>
      </c>
      <c r="B397" s="275">
        <v>10</v>
      </c>
      <c r="C397" s="275" t="s">
        <v>894</v>
      </c>
      <c r="D397" t="s">
        <v>895</v>
      </c>
      <c r="E397" s="4"/>
    </row>
    <row r="398" spans="1:5">
      <c r="A398" s="275" t="s">
        <v>1498</v>
      </c>
      <c r="B398" s="275">
        <v>11</v>
      </c>
      <c r="C398" s="275" t="s">
        <v>896</v>
      </c>
      <c r="D398" t="s">
        <v>897</v>
      </c>
      <c r="E398" s="4"/>
    </row>
    <row r="399" spans="1:5">
      <c r="B399" s="10"/>
      <c r="D399" s="13"/>
      <c r="E399" s="4"/>
    </row>
    <row r="400" spans="1:5">
      <c r="A400" t="s">
        <v>1501</v>
      </c>
      <c r="B400">
        <v>1</v>
      </c>
      <c r="C400" t="s">
        <v>1400</v>
      </c>
      <c r="D400" t="s">
        <v>1401</v>
      </c>
      <c r="E400" s="4"/>
    </row>
    <row r="401" spans="1:6">
      <c r="A401" t="s">
        <v>1501</v>
      </c>
      <c r="B401">
        <v>2</v>
      </c>
      <c r="C401" t="s">
        <v>1402</v>
      </c>
      <c r="D401" t="s">
        <v>1403</v>
      </c>
      <c r="E401" s="4"/>
    </row>
    <row r="402" spans="1:6">
      <c r="A402" t="s">
        <v>1501</v>
      </c>
      <c r="B402">
        <v>3</v>
      </c>
      <c r="C402" t="s">
        <v>1404</v>
      </c>
      <c r="D402" t="s">
        <v>1405</v>
      </c>
      <c r="E402" s="4"/>
    </row>
    <row r="403" spans="1:6">
      <c r="A403" t="s">
        <v>1501</v>
      </c>
      <c r="B403">
        <v>4</v>
      </c>
      <c r="C403" s="274" t="s">
        <v>1406</v>
      </c>
      <c r="D403" t="s">
        <v>1407</v>
      </c>
      <c r="E403" s="4"/>
    </row>
    <row r="404" spans="1:6">
      <c r="A404" t="s">
        <v>1501</v>
      </c>
      <c r="B404">
        <v>5</v>
      </c>
      <c r="C404" t="s">
        <v>1502</v>
      </c>
      <c r="D404" s="274" t="s">
        <v>1409</v>
      </c>
      <c r="E404" s="4"/>
    </row>
    <row r="405" spans="1:6">
      <c r="A405" t="s">
        <v>1501</v>
      </c>
      <c r="B405">
        <v>6</v>
      </c>
      <c r="C405" t="s">
        <v>1410</v>
      </c>
      <c r="D405" t="s">
        <v>1411</v>
      </c>
      <c r="E405" s="4"/>
    </row>
    <row r="406" spans="1:6">
      <c r="A406" t="s">
        <v>1501</v>
      </c>
      <c r="B406">
        <v>7</v>
      </c>
      <c r="C406" t="s">
        <v>1503</v>
      </c>
      <c r="D406" t="s">
        <v>1413</v>
      </c>
      <c r="E406" s="4"/>
    </row>
    <row r="407" spans="1:6">
      <c r="A407" t="s">
        <v>1501</v>
      </c>
      <c r="B407">
        <v>8</v>
      </c>
      <c r="C407" t="s">
        <v>1414</v>
      </c>
      <c r="D407" t="s">
        <v>1415</v>
      </c>
      <c r="E407" s="4"/>
    </row>
    <row r="408" spans="1:6">
      <c r="A408" t="s">
        <v>1501</v>
      </c>
      <c r="B408">
        <v>9</v>
      </c>
      <c r="C408" t="s">
        <v>1504</v>
      </c>
      <c r="D408" t="s">
        <v>1505</v>
      </c>
      <c r="E408" s="4"/>
    </row>
    <row r="409" spans="1:6">
      <c r="A409" t="s">
        <v>1501</v>
      </c>
      <c r="B409">
        <v>10</v>
      </c>
      <c r="C409" t="s">
        <v>1506</v>
      </c>
      <c r="D409" t="s">
        <v>1507</v>
      </c>
      <c r="E409" s="4"/>
    </row>
    <row r="410" spans="1:6">
      <c r="A410" t="s">
        <v>1501</v>
      </c>
      <c r="B410">
        <v>11</v>
      </c>
      <c r="C410" t="s">
        <v>1508</v>
      </c>
      <c r="D410" t="s">
        <v>1509</v>
      </c>
      <c r="E410" s="4"/>
    </row>
    <row r="411" spans="1:6">
      <c r="A411" t="s">
        <v>1501</v>
      </c>
      <c r="B411" s="273">
        <v>12</v>
      </c>
      <c r="C411" t="s">
        <v>894</v>
      </c>
      <c r="D411" t="s">
        <v>895</v>
      </c>
      <c r="E411" s="4"/>
    </row>
    <row r="412" spans="1:6">
      <c r="A412" t="s">
        <v>1501</v>
      </c>
      <c r="B412" s="273">
        <v>13</v>
      </c>
      <c r="C412" t="s">
        <v>896</v>
      </c>
      <c r="D412" t="s">
        <v>897</v>
      </c>
      <c r="E412" s="4"/>
    </row>
    <row r="413" spans="1:6">
      <c r="E413" s="4"/>
    </row>
    <row r="414" spans="1:6" ht="16.05" customHeight="1">
      <c r="A414" t="s">
        <v>1510</v>
      </c>
      <c r="B414" t="s">
        <v>1379</v>
      </c>
      <c r="C414" t="s">
        <v>1380</v>
      </c>
      <c r="D414" t="s">
        <v>1381</v>
      </c>
      <c r="E414" s="4"/>
      <c r="F414" s="13"/>
    </row>
    <row r="415" spans="1:6" ht="16.05" customHeight="1">
      <c r="A415" t="s">
        <v>1510</v>
      </c>
      <c r="B415" t="s">
        <v>1382</v>
      </c>
      <c r="C415" t="s">
        <v>1511</v>
      </c>
      <c r="D415" t="s">
        <v>1512</v>
      </c>
      <c r="E415" s="4"/>
      <c r="F415" s="13"/>
    </row>
    <row r="416" spans="1:6" ht="16.05" customHeight="1">
      <c r="A416" t="s">
        <v>1510</v>
      </c>
      <c r="B416" t="s">
        <v>1385</v>
      </c>
      <c r="C416" t="s">
        <v>1513</v>
      </c>
      <c r="D416" t="s">
        <v>1387</v>
      </c>
      <c r="E416" s="4"/>
      <c r="F416" s="13"/>
    </row>
    <row r="417" spans="1:6" ht="16.05" customHeight="1">
      <c r="A417" t="s">
        <v>1510</v>
      </c>
      <c r="B417" t="s">
        <v>1388</v>
      </c>
      <c r="C417" t="s">
        <v>1389</v>
      </c>
      <c r="D417" t="s">
        <v>1390</v>
      </c>
      <c r="E417" s="4"/>
      <c r="F417" s="13"/>
    </row>
    <row r="418" spans="1:6" ht="16.05" customHeight="1">
      <c r="A418" t="s">
        <v>1510</v>
      </c>
      <c r="B418" t="s">
        <v>1391</v>
      </c>
      <c r="C418" t="s">
        <v>1392</v>
      </c>
      <c r="D418" t="s">
        <v>1393</v>
      </c>
      <c r="E418" s="4"/>
      <c r="F418" s="13"/>
    </row>
    <row r="419" spans="1:6" ht="16.05" customHeight="1">
      <c r="A419" t="s">
        <v>1510</v>
      </c>
      <c r="B419" t="s">
        <v>1514</v>
      </c>
      <c r="C419" t="s">
        <v>1515</v>
      </c>
      <c r="D419" t="s">
        <v>1516</v>
      </c>
      <c r="E419" s="4"/>
      <c r="F419" s="13"/>
    </row>
    <row r="420" spans="1:6" ht="16.05" customHeight="1">
      <c r="A420" t="s">
        <v>1510</v>
      </c>
      <c r="B420" t="s">
        <v>1394</v>
      </c>
      <c r="C420" t="s">
        <v>1517</v>
      </c>
      <c r="D420" t="s">
        <v>1518</v>
      </c>
      <c r="E420" s="4"/>
      <c r="F420" s="13"/>
    </row>
    <row r="421" spans="1:6" ht="16.05" customHeight="1">
      <c r="A421" t="s">
        <v>1510</v>
      </c>
      <c r="B421" t="s">
        <v>1397</v>
      </c>
      <c r="C421" t="s">
        <v>1398</v>
      </c>
      <c r="D421" t="s">
        <v>1399</v>
      </c>
      <c r="E421" s="4"/>
      <c r="F421" s="13"/>
    </row>
    <row r="422" spans="1:6" ht="16.05" customHeight="1">
      <c r="A422" t="s">
        <v>1510</v>
      </c>
      <c r="B422" t="s">
        <v>1011</v>
      </c>
      <c r="C422" t="s">
        <v>1299</v>
      </c>
      <c r="D422" t="s">
        <v>1300</v>
      </c>
      <c r="E422" s="4"/>
    </row>
    <row r="423" spans="1:6" ht="16.05" customHeight="1">
      <c r="A423" t="s">
        <v>1510</v>
      </c>
      <c r="B423" t="s">
        <v>1017</v>
      </c>
      <c r="C423" t="s">
        <v>894</v>
      </c>
      <c r="D423" t="s">
        <v>895</v>
      </c>
      <c r="E423" s="4"/>
    </row>
    <row r="424" spans="1:6" ht="16.05" customHeight="1">
      <c r="A424" t="s">
        <v>1510</v>
      </c>
      <c r="B424" t="s">
        <v>1018</v>
      </c>
      <c r="C424" t="s">
        <v>896</v>
      </c>
      <c r="D424" t="s">
        <v>897</v>
      </c>
      <c r="E424" s="4"/>
    </row>
    <row r="425" spans="1:6" ht="16.05" customHeight="1">
      <c r="E425" s="4"/>
    </row>
    <row r="426" spans="1:6">
      <c r="A426" t="s">
        <v>1519</v>
      </c>
      <c r="B426" t="s">
        <v>1520</v>
      </c>
      <c r="C426" t="s">
        <v>1521</v>
      </c>
      <c r="D426" t="s">
        <v>1522</v>
      </c>
      <c r="E426" s="4"/>
      <c r="F426" s="13"/>
    </row>
    <row r="427" spans="1:6">
      <c r="A427" t="s">
        <v>1519</v>
      </c>
      <c r="B427" t="s">
        <v>1523</v>
      </c>
      <c r="C427" t="s">
        <v>1524</v>
      </c>
      <c r="D427" t="s">
        <v>1525</v>
      </c>
      <c r="E427" s="4"/>
      <c r="F427" s="13"/>
    </row>
    <row r="428" spans="1:6">
      <c r="A428" t="s">
        <v>1519</v>
      </c>
      <c r="B428" t="s">
        <v>1526</v>
      </c>
      <c r="C428" t="s">
        <v>1527</v>
      </c>
      <c r="D428" t="s">
        <v>1528</v>
      </c>
      <c r="E428" s="4"/>
      <c r="F428" s="13"/>
    </row>
    <row r="429" spans="1:6">
      <c r="A429" t="s">
        <v>1519</v>
      </c>
      <c r="B429" t="s">
        <v>1529</v>
      </c>
      <c r="C429" t="s">
        <v>1530</v>
      </c>
      <c r="D429" t="s">
        <v>1531</v>
      </c>
      <c r="E429" s="4"/>
      <c r="F429" s="13"/>
    </row>
    <row r="430" spans="1:6">
      <c r="A430" t="s">
        <v>1519</v>
      </c>
      <c r="B430" t="s">
        <v>1017</v>
      </c>
      <c r="C430" t="s">
        <v>894</v>
      </c>
      <c r="D430" t="s">
        <v>895</v>
      </c>
      <c r="E430" s="4"/>
      <c r="F430" s="13"/>
    </row>
    <row r="431" spans="1:6">
      <c r="A431" t="s">
        <v>1519</v>
      </c>
      <c r="B431" t="s">
        <v>1018</v>
      </c>
      <c r="C431" t="s">
        <v>896</v>
      </c>
      <c r="D431" t="s">
        <v>897</v>
      </c>
      <c r="E431" s="4"/>
      <c r="F431" s="13"/>
    </row>
    <row r="432" spans="1:6">
      <c r="E432" s="4"/>
    </row>
    <row r="433" spans="1:6">
      <c r="A433" t="s">
        <v>1532</v>
      </c>
      <c r="B433" t="s">
        <v>1533</v>
      </c>
      <c r="C433" t="s">
        <v>1534</v>
      </c>
      <c r="D433" t="s">
        <v>1535</v>
      </c>
      <c r="E433" s="4"/>
      <c r="F433" s="13"/>
    </row>
    <row r="434" spans="1:6">
      <c r="A434" t="s">
        <v>1532</v>
      </c>
      <c r="B434" t="s">
        <v>1536</v>
      </c>
      <c r="C434" t="s">
        <v>1537</v>
      </c>
      <c r="D434" t="s">
        <v>1538</v>
      </c>
      <c r="E434" s="4"/>
      <c r="F434" s="13"/>
    </row>
    <row r="435" spans="1:6">
      <c r="A435" t="s">
        <v>1532</v>
      </c>
      <c r="B435" t="s">
        <v>1539</v>
      </c>
      <c r="C435" t="s">
        <v>1540</v>
      </c>
      <c r="D435" t="s">
        <v>1541</v>
      </c>
      <c r="E435" s="4"/>
      <c r="F435" s="13"/>
    </row>
    <row r="436" spans="1:6">
      <c r="A436" t="s">
        <v>1532</v>
      </c>
      <c r="B436" t="s">
        <v>1542</v>
      </c>
      <c r="C436" t="s">
        <v>1543</v>
      </c>
      <c r="D436" t="s">
        <v>1544</v>
      </c>
      <c r="E436" s="4"/>
      <c r="F436" s="13"/>
    </row>
    <row r="437" spans="1:6">
      <c r="A437" t="s">
        <v>1532</v>
      </c>
      <c r="B437" t="s">
        <v>1545</v>
      </c>
      <c r="C437" t="s">
        <v>1546</v>
      </c>
      <c r="D437" t="s">
        <v>1547</v>
      </c>
      <c r="E437" s="4"/>
      <c r="F437" s="13"/>
    </row>
    <row r="438" spans="1:6">
      <c r="A438" t="s">
        <v>1532</v>
      </c>
      <c r="B438" t="s">
        <v>1548</v>
      </c>
      <c r="C438" t="s">
        <v>1549</v>
      </c>
      <c r="D438" t="s">
        <v>1550</v>
      </c>
      <c r="E438" s="4"/>
      <c r="F438" s="13"/>
    </row>
    <row r="439" spans="1:6">
      <c r="A439" t="s">
        <v>1532</v>
      </c>
      <c r="B439" t="s">
        <v>1551</v>
      </c>
      <c r="C439" t="s">
        <v>1552</v>
      </c>
      <c r="D439" t="s">
        <v>1553</v>
      </c>
      <c r="E439" s="4"/>
      <c r="F439" s="13"/>
    </row>
    <row r="440" spans="1:6">
      <c r="A440" t="s">
        <v>1532</v>
      </c>
      <c r="B440" t="s">
        <v>1554</v>
      </c>
      <c r="C440" t="s">
        <v>1555</v>
      </c>
      <c r="D440" t="s">
        <v>1556</v>
      </c>
      <c r="E440" s="4"/>
      <c r="F440" s="13"/>
    </row>
    <row r="441" spans="1:6">
      <c r="A441" t="s">
        <v>1532</v>
      </c>
      <c r="B441" t="s">
        <v>1011</v>
      </c>
      <c r="C441" t="s">
        <v>1235</v>
      </c>
      <c r="D441" t="s">
        <v>1300</v>
      </c>
      <c r="E441" s="4"/>
    </row>
    <row r="442" spans="1:6">
      <c r="A442" t="s">
        <v>1532</v>
      </c>
      <c r="B442" t="s">
        <v>1017</v>
      </c>
      <c r="C442" t="s">
        <v>894</v>
      </c>
      <c r="D442" t="s">
        <v>895</v>
      </c>
      <c r="E442" s="4"/>
    </row>
    <row r="443" spans="1:6">
      <c r="A443" t="s">
        <v>1532</v>
      </c>
      <c r="B443" t="s">
        <v>1018</v>
      </c>
      <c r="C443" t="s">
        <v>896</v>
      </c>
      <c r="D443" t="s">
        <v>897</v>
      </c>
      <c r="E443" s="4"/>
    </row>
    <row r="444" spans="1:6">
      <c r="E444" s="4"/>
    </row>
    <row r="445" spans="1:6" s="13" customFormat="1">
      <c r="A445" s="275" t="s">
        <v>1557</v>
      </c>
      <c r="B445" s="275" t="s">
        <v>1558</v>
      </c>
      <c r="C445" s="275" t="s">
        <v>1559</v>
      </c>
      <c r="D445" s="275" t="s">
        <v>1560</v>
      </c>
      <c r="E445" s="15"/>
    </row>
    <row r="446" spans="1:6" s="13" customFormat="1">
      <c r="A446" s="275" t="s">
        <v>1557</v>
      </c>
      <c r="B446" s="275" t="s">
        <v>1561</v>
      </c>
      <c r="C446" s="275" t="s">
        <v>1562</v>
      </c>
      <c r="D446" s="275" t="s">
        <v>1563</v>
      </c>
      <c r="E446" s="15"/>
    </row>
    <row r="447" spans="1:6" s="13" customFormat="1">
      <c r="A447" s="275" t="s">
        <v>1557</v>
      </c>
      <c r="B447" s="275" t="s">
        <v>1564</v>
      </c>
      <c r="C447" s="275" t="s">
        <v>1565</v>
      </c>
      <c r="D447" s="275" t="s">
        <v>1566</v>
      </c>
      <c r="E447" s="15"/>
    </row>
    <row r="448" spans="1:6" s="13" customFormat="1">
      <c r="A448" s="275" t="s">
        <v>1557</v>
      </c>
      <c r="B448" s="275" t="s">
        <v>1567</v>
      </c>
      <c r="C448" s="275" t="s">
        <v>1568</v>
      </c>
      <c r="D448" s="275" t="s">
        <v>1569</v>
      </c>
      <c r="E448" s="15"/>
    </row>
    <row r="449" spans="1:6" s="13" customFormat="1">
      <c r="A449" s="275" t="s">
        <v>1557</v>
      </c>
      <c r="B449" s="275" t="s">
        <v>1542</v>
      </c>
      <c r="C449" s="275" t="s">
        <v>1570</v>
      </c>
      <c r="D449" s="275" t="s">
        <v>1571</v>
      </c>
      <c r="E449" s="15"/>
    </row>
    <row r="450" spans="1:6" s="13" customFormat="1">
      <c r="A450" s="275" t="s">
        <v>1557</v>
      </c>
      <c r="B450" s="275" t="s">
        <v>1572</v>
      </c>
      <c r="C450" s="275" t="s">
        <v>1573</v>
      </c>
      <c r="D450" s="275" t="s">
        <v>1574</v>
      </c>
      <c r="E450" s="15"/>
    </row>
    <row r="451" spans="1:6" s="13" customFormat="1">
      <c r="A451" s="275" t="s">
        <v>1557</v>
      </c>
      <c r="B451" s="275" t="s">
        <v>1548</v>
      </c>
      <c r="C451" s="275" t="s">
        <v>1575</v>
      </c>
      <c r="D451" s="275" t="s">
        <v>1576</v>
      </c>
      <c r="E451" s="15"/>
    </row>
    <row r="452" spans="1:6" s="13" customFormat="1">
      <c r="A452" s="275" t="s">
        <v>1557</v>
      </c>
      <c r="B452" s="275" t="s">
        <v>1011</v>
      </c>
      <c r="C452" s="275" t="s">
        <v>1235</v>
      </c>
      <c r="D452" s="275" t="s">
        <v>1236</v>
      </c>
      <c r="E452" s="15"/>
    </row>
    <row r="453" spans="1:6" s="13" customFormat="1">
      <c r="A453" s="275" t="s">
        <v>1557</v>
      </c>
      <c r="B453" s="275" t="s">
        <v>1017</v>
      </c>
      <c r="C453" s="275" t="s">
        <v>894</v>
      </c>
      <c r="D453" s="275" t="s">
        <v>895</v>
      </c>
      <c r="E453" s="15"/>
    </row>
    <row r="454" spans="1:6" s="13" customFormat="1">
      <c r="A454" s="275" t="s">
        <v>1557</v>
      </c>
      <c r="B454" s="275" t="s">
        <v>1018</v>
      </c>
      <c r="C454" s="275" t="s">
        <v>896</v>
      </c>
      <c r="D454" s="275" t="s">
        <v>897</v>
      </c>
      <c r="E454" s="15"/>
    </row>
    <row r="455" spans="1:6">
      <c r="D455" s="13"/>
      <c r="E455" s="4"/>
    </row>
    <row r="456" spans="1:6">
      <c r="A456" t="s">
        <v>1577</v>
      </c>
      <c r="B456">
        <v>1</v>
      </c>
      <c r="C456" t="s">
        <v>1578</v>
      </c>
      <c r="D456" t="s">
        <v>1579</v>
      </c>
      <c r="E456" s="4"/>
    </row>
    <row r="457" spans="1:6">
      <c r="A457" t="s">
        <v>1577</v>
      </c>
      <c r="B457">
        <v>2</v>
      </c>
      <c r="C457" t="s">
        <v>1580</v>
      </c>
      <c r="D457" t="s">
        <v>1581</v>
      </c>
      <c r="E457" s="4"/>
    </row>
    <row r="458" spans="1:6">
      <c r="A458" t="s">
        <v>1577</v>
      </c>
      <c r="B458">
        <v>3</v>
      </c>
      <c r="C458" t="s">
        <v>1582</v>
      </c>
      <c r="D458" t="s">
        <v>1583</v>
      </c>
      <c r="E458" s="4"/>
    </row>
    <row r="459" spans="1:6">
      <c r="A459" t="s">
        <v>1577</v>
      </c>
      <c r="B459">
        <v>4</v>
      </c>
      <c r="C459" t="s">
        <v>1584</v>
      </c>
      <c r="D459" t="s">
        <v>1585</v>
      </c>
      <c r="E459" s="4"/>
    </row>
    <row r="460" spans="1:6">
      <c r="A460" t="s">
        <v>1577</v>
      </c>
      <c r="B460">
        <v>5</v>
      </c>
      <c r="C460" t="s">
        <v>1235</v>
      </c>
      <c r="D460" t="s">
        <v>1236</v>
      </c>
      <c r="E460" s="4"/>
    </row>
    <row r="461" spans="1:6">
      <c r="A461" t="s">
        <v>1577</v>
      </c>
      <c r="B461" s="273">
        <v>6</v>
      </c>
      <c r="C461" t="s">
        <v>894</v>
      </c>
      <c r="D461" t="s">
        <v>895</v>
      </c>
      <c r="E461" s="4"/>
    </row>
    <row r="462" spans="1:6">
      <c r="A462" t="s">
        <v>1577</v>
      </c>
      <c r="B462" s="273">
        <v>7</v>
      </c>
      <c r="C462" t="s">
        <v>896</v>
      </c>
      <c r="D462" t="s">
        <v>897</v>
      </c>
      <c r="E462" s="4"/>
    </row>
    <row r="463" spans="1:6">
      <c r="E463" s="4"/>
    </row>
    <row r="464" spans="1:6">
      <c r="A464" t="s">
        <v>1586</v>
      </c>
      <c r="B464" t="s">
        <v>1379</v>
      </c>
      <c r="C464" t="s">
        <v>1380</v>
      </c>
      <c r="D464" t="s">
        <v>1381</v>
      </c>
      <c r="E464" s="4"/>
      <c r="F464" s="13"/>
    </row>
    <row r="465" spans="1:6">
      <c r="A465" t="s">
        <v>1586</v>
      </c>
      <c r="B465" t="s">
        <v>1382</v>
      </c>
      <c r="C465" t="s">
        <v>1587</v>
      </c>
      <c r="D465" t="s">
        <v>1588</v>
      </c>
      <c r="E465" s="4"/>
      <c r="F465" s="13"/>
    </row>
    <row r="466" spans="1:6">
      <c r="A466" t="s">
        <v>1586</v>
      </c>
      <c r="B466" t="s">
        <v>1385</v>
      </c>
      <c r="C466" t="s">
        <v>1589</v>
      </c>
      <c r="D466" t="s">
        <v>1387</v>
      </c>
      <c r="E466" s="4"/>
      <c r="F466" s="13"/>
    </row>
    <row r="467" spans="1:6">
      <c r="A467" t="s">
        <v>1586</v>
      </c>
      <c r="B467" t="s">
        <v>1388</v>
      </c>
      <c r="C467" t="s">
        <v>1590</v>
      </c>
      <c r="D467" t="s">
        <v>1390</v>
      </c>
      <c r="E467" s="4"/>
      <c r="F467" s="13"/>
    </row>
    <row r="468" spans="1:6">
      <c r="A468" t="s">
        <v>1586</v>
      </c>
      <c r="B468" t="s">
        <v>1591</v>
      </c>
      <c r="C468" t="s">
        <v>1392</v>
      </c>
      <c r="D468" t="s">
        <v>1393</v>
      </c>
      <c r="E468" s="4"/>
      <c r="F468" s="13"/>
    </row>
    <row r="469" spans="1:6">
      <c r="A469" t="s">
        <v>1586</v>
      </c>
      <c r="B469" t="s">
        <v>1394</v>
      </c>
      <c r="C469" t="s">
        <v>1592</v>
      </c>
      <c r="D469" t="s">
        <v>1593</v>
      </c>
      <c r="E469" s="4"/>
      <c r="F469" s="13"/>
    </row>
    <row r="470" spans="1:6">
      <c r="A470" t="s">
        <v>1586</v>
      </c>
      <c r="B470" t="s">
        <v>1397</v>
      </c>
      <c r="C470" t="s">
        <v>1594</v>
      </c>
      <c r="D470" t="s">
        <v>1399</v>
      </c>
      <c r="E470" s="4"/>
      <c r="F470" s="13"/>
    </row>
    <row r="471" spans="1:6">
      <c r="A471" t="s">
        <v>1586</v>
      </c>
      <c r="B471" t="s">
        <v>1011</v>
      </c>
      <c r="C471" t="s">
        <v>1299</v>
      </c>
      <c r="D471" t="s">
        <v>1300</v>
      </c>
      <c r="E471" s="4"/>
    </row>
    <row r="472" spans="1:6">
      <c r="A472" t="s">
        <v>1586</v>
      </c>
      <c r="B472" t="s">
        <v>1017</v>
      </c>
      <c r="C472" t="s">
        <v>894</v>
      </c>
      <c r="D472" t="s">
        <v>895</v>
      </c>
      <c r="E472" s="4"/>
    </row>
    <row r="473" spans="1:6">
      <c r="A473" t="s">
        <v>1586</v>
      </c>
      <c r="B473" t="s">
        <v>1018</v>
      </c>
      <c r="C473" t="s">
        <v>896</v>
      </c>
      <c r="D473" t="s">
        <v>897</v>
      </c>
      <c r="E473" s="4"/>
    </row>
    <row r="474" spans="1:6">
      <c r="E474" s="4"/>
    </row>
    <row r="475" spans="1:6">
      <c r="A475" t="s">
        <v>1595</v>
      </c>
      <c r="B475">
        <v>1</v>
      </c>
      <c r="C475" t="s">
        <v>1596</v>
      </c>
      <c r="D475" t="s">
        <v>1597</v>
      </c>
      <c r="E475" s="4"/>
    </row>
    <row r="476" spans="1:6">
      <c r="A476" t="s">
        <v>1595</v>
      </c>
      <c r="B476">
        <v>2</v>
      </c>
      <c r="C476" t="s">
        <v>1598</v>
      </c>
      <c r="D476" t="s">
        <v>1599</v>
      </c>
      <c r="E476" s="4"/>
    </row>
    <row r="477" spans="1:6">
      <c r="A477" t="s">
        <v>1595</v>
      </c>
      <c r="B477">
        <v>3</v>
      </c>
      <c r="C477" t="s">
        <v>1600</v>
      </c>
      <c r="D477" t="s">
        <v>1601</v>
      </c>
      <c r="E477" s="4"/>
    </row>
    <row r="478" spans="1:6">
      <c r="A478" t="s">
        <v>1595</v>
      </c>
      <c r="B478">
        <v>4</v>
      </c>
      <c r="C478" t="s">
        <v>1602</v>
      </c>
      <c r="D478" t="s">
        <v>895</v>
      </c>
      <c r="E478" s="4"/>
    </row>
    <row r="479" spans="1:6">
      <c r="A479" t="s">
        <v>1595</v>
      </c>
      <c r="B479" s="273">
        <v>5</v>
      </c>
      <c r="C479" t="s">
        <v>896</v>
      </c>
      <c r="D479" t="s">
        <v>897</v>
      </c>
      <c r="E479" s="4"/>
    </row>
    <row r="480" spans="1:6">
      <c r="E480" s="4"/>
    </row>
    <row r="481" spans="1:5">
      <c r="A481" t="s">
        <v>1603</v>
      </c>
      <c r="B481">
        <v>1</v>
      </c>
      <c r="C481" t="s">
        <v>890</v>
      </c>
      <c r="D481" t="s">
        <v>901</v>
      </c>
      <c r="E481" s="4"/>
    </row>
    <row r="482" spans="1:5">
      <c r="A482" t="s">
        <v>1603</v>
      </c>
      <c r="B482">
        <v>2</v>
      </c>
      <c r="C482" t="s">
        <v>1604</v>
      </c>
      <c r="D482" t="s">
        <v>1605</v>
      </c>
      <c r="E482" s="4"/>
    </row>
    <row r="483" spans="1:5">
      <c r="A483" t="s">
        <v>1603</v>
      </c>
      <c r="B483">
        <v>3</v>
      </c>
      <c r="C483" t="s">
        <v>1606</v>
      </c>
      <c r="D483" t="s">
        <v>1607</v>
      </c>
      <c r="E483" s="4"/>
    </row>
    <row r="484" spans="1:5">
      <c r="A484" t="s">
        <v>1603</v>
      </c>
      <c r="B484">
        <v>4</v>
      </c>
      <c r="C484" t="s">
        <v>1608</v>
      </c>
      <c r="D484" t="s">
        <v>1609</v>
      </c>
      <c r="E484" s="4"/>
    </row>
    <row r="485" spans="1:5">
      <c r="A485" t="s">
        <v>1603</v>
      </c>
      <c r="B485" s="273">
        <v>5</v>
      </c>
      <c r="C485" t="s">
        <v>894</v>
      </c>
      <c r="D485" t="s">
        <v>895</v>
      </c>
      <c r="E485" s="4"/>
    </row>
    <row r="486" spans="1:5">
      <c r="A486" t="s">
        <v>1603</v>
      </c>
      <c r="B486" s="273">
        <v>6</v>
      </c>
      <c r="C486" t="s">
        <v>896</v>
      </c>
      <c r="D486" t="s">
        <v>897</v>
      </c>
      <c r="E486" s="4"/>
    </row>
    <row r="487" spans="1:5">
      <c r="E487" s="4"/>
    </row>
    <row r="488" spans="1:5">
      <c r="A488" t="s">
        <v>738</v>
      </c>
      <c r="B488" t="s">
        <v>1610</v>
      </c>
      <c r="C488" t="s">
        <v>1611</v>
      </c>
      <c r="D488" t="s">
        <v>1612</v>
      </c>
      <c r="E488" s="4"/>
    </row>
    <row r="489" spans="1:5">
      <c r="A489" t="s">
        <v>738</v>
      </c>
      <c r="B489" t="s">
        <v>1613</v>
      </c>
      <c r="C489" t="s">
        <v>1614</v>
      </c>
      <c r="D489" t="s">
        <v>1615</v>
      </c>
      <c r="E489" s="4"/>
    </row>
    <row r="490" spans="1:5">
      <c r="A490" t="s">
        <v>738</v>
      </c>
      <c r="B490" t="s">
        <v>1616</v>
      </c>
      <c r="C490" t="s">
        <v>1617</v>
      </c>
      <c r="D490" t="s">
        <v>1618</v>
      </c>
      <c r="E490" s="4"/>
    </row>
    <row r="491" spans="1:5">
      <c r="A491" t="s">
        <v>738</v>
      </c>
      <c r="B491" t="s">
        <v>1619</v>
      </c>
      <c r="C491" t="s">
        <v>1620</v>
      </c>
      <c r="D491" t="s">
        <v>1621</v>
      </c>
      <c r="E491" s="4"/>
    </row>
    <row r="492" spans="1:5">
      <c r="A492" t="s">
        <v>738</v>
      </c>
      <c r="B492" t="s">
        <v>1622</v>
      </c>
      <c r="C492" t="s">
        <v>1623</v>
      </c>
      <c r="D492" t="s">
        <v>1624</v>
      </c>
      <c r="E492" s="4"/>
    </row>
    <row r="493" spans="1:5">
      <c r="A493" t="s">
        <v>738</v>
      </c>
      <c r="B493" t="s">
        <v>1625</v>
      </c>
      <c r="C493" t="s">
        <v>1504</v>
      </c>
      <c r="D493" t="s">
        <v>1505</v>
      </c>
      <c r="E493" s="4"/>
    </row>
    <row r="494" spans="1:5">
      <c r="A494" t="s">
        <v>738</v>
      </c>
      <c r="B494" t="s">
        <v>1626</v>
      </c>
      <c r="C494" t="s">
        <v>1627</v>
      </c>
      <c r="D494" t="s">
        <v>1628</v>
      </c>
      <c r="E494" s="4"/>
    </row>
    <row r="495" spans="1:5">
      <c r="A495" t="s">
        <v>738</v>
      </c>
      <c r="B495" t="s">
        <v>1629</v>
      </c>
      <c r="C495" t="s">
        <v>1630</v>
      </c>
      <c r="D495" t="s">
        <v>1631</v>
      </c>
      <c r="E495" s="4"/>
    </row>
    <row r="496" spans="1:5">
      <c r="A496" t="s">
        <v>738</v>
      </c>
      <c r="B496" t="s">
        <v>1632</v>
      </c>
      <c r="C496" t="s">
        <v>1633</v>
      </c>
      <c r="D496" t="s">
        <v>1634</v>
      </c>
      <c r="E496" s="4"/>
    </row>
    <row r="497" spans="1:6">
      <c r="A497" t="s">
        <v>738</v>
      </c>
      <c r="B497" t="s">
        <v>1635</v>
      </c>
      <c r="C497" t="s">
        <v>1636</v>
      </c>
      <c r="D497" t="s">
        <v>1637</v>
      </c>
      <c r="E497" s="4"/>
    </row>
    <row r="498" spans="1:6">
      <c r="A498" t="s">
        <v>738</v>
      </c>
      <c r="B498" t="s">
        <v>1638</v>
      </c>
      <c r="C498" t="s">
        <v>1639</v>
      </c>
      <c r="D498" t="s">
        <v>1640</v>
      </c>
      <c r="E498" s="4"/>
    </row>
    <row r="499" spans="1:6">
      <c r="A499" t="s">
        <v>738</v>
      </c>
      <c r="B499" t="s">
        <v>1641</v>
      </c>
      <c r="C499" t="s">
        <v>1642</v>
      </c>
      <c r="D499" t="s">
        <v>1643</v>
      </c>
      <c r="E499" s="4"/>
    </row>
    <row r="500" spans="1:6">
      <c r="E500" s="4"/>
    </row>
    <row r="501" spans="1:6">
      <c r="A501" s="12" t="s">
        <v>2137</v>
      </c>
      <c r="B501" s="12" t="s">
        <v>1645</v>
      </c>
      <c r="C501" s="12" t="s">
        <v>2138</v>
      </c>
      <c r="D501" s="12" t="s">
        <v>2144</v>
      </c>
      <c r="E501" s="4"/>
    </row>
    <row r="502" spans="1:6">
      <c r="A502" s="12" t="s">
        <v>2137</v>
      </c>
      <c r="B502" s="12" t="s">
        <v>2139</v>
      </c>
      <c r="C502" s="12" t="s">
        <v>2140</v>
      </c>
      <c r="D502" s="12" t="s">
        <v>2145</v>
      </c>
      <c r="E502" s="4"/>
    </row>
    <row r="503" spans="1:6">
      <c r="A503" s="12" t="s">
        <v>2137</v>
      </c>
      <c r="B503" s="12" t="s">
        <v>2141</v>
      </c>
      <c r="C503" s="12" t="s">
        <v>2142</v>
      </c>
      <c r="D503" s="12" t="s">
        <v>2146</v>
      </c>
      <c r="E503" s="4"/>
    </row>
    <row r="504" spans="1:6">
      <c r="A504" s="12" t="s">
        <v>2137</v>
      </c>
      <c r="B504" s="12" t="s">
        <v>1011</v>
      </c>
      <c r="C504" s="12" t="s">
        <v>2143</v>
      </c>
      <c r="D504" s="12" t="s">
        <v>2147</v>
      </c>
      <c r="E504" s="4"/>
    </row>
    <row r="505" spans="1:6">
      <c r="A505" s="12" t="s">
        <v>2137</v>
      </c>
      <c r="B505" s="12" t="s">
        <v>1017</v>
      </c>
      <c r="C505" s="12" t="s">
        <v>894</v>
      </c>
      <c r="D505" s="12" t="s">
        <v>895</v>
      </c>
      <c r="E505" s="4"/>
    </row>
    <row r="506" spans="1:6">
      <c r="A506" s="12" t="s">
        <v>2137</v>
      </c>
      <c r="B506" s="12" t="s">
        <v>1018</v>
      </c>
      <c r="C506" s="12" t="s">
        <v>896</v>
      </c>
      <c r="D506" s="12" t="s">
        <v>897</v>
      </c>
      <c r="E506" s="4"/>
    </row>
    <row r="507" spans="1:6">
      <c r="E507" s="4"/>
    </row>
    <row r="508" spans="1:6">
      <c r="A508" t="s">
        <v>1644</v>
      </c>
      <c r="B508" t="s">
        <v>1654</v>
      </c>
      <c r="C508" t="s">
        <v>1655</v>
      </c>
      <c r="D508" t="s">
        <v>1656</v>
      </c>
      <c r="E508" s="4"/>
      <c r="F508" s="13"/>
    </row>
    <row r="509" spans="1:6">
      <c r="A509" t="s">
        <v>1644</v>
      </c>
      <c r="B509" t="s">
        <v>1657</v>
      </c>
      <c r="C509" t="s">
        <v>1658</v>
      </c>
      <c r="D509" t="s">
        <v>1659</v>
      </c>
      <c r="E509" s="4"/>
      <c r="F509" s="13"/>
    </row>
    <row r="510" spans="1:6">
      <c r="A510" t="s">
        <v>1644</v>
      </c>
      <c r="B510" t="s">
        <v>1660</v>
      </c>
      <c r="C510" t="s">
        <v>1661</v>
      </c>
      <c r="D510" t="s">
        <v>1662</v>
      </c>
      <c r="E510" s="4"/>
      <c r="F510" s="13"/>
    </row>
    <row r="511" spans="1:6">
      <c r="A511" t="s">
        <v>1644</v>
      </c>
      <c r="B511" t="s">
        <v>518</v>
      </c>
      <c r="C511" t="s">
        <v>1663</v>
      </c>
      <c r="D511" t="s">
        <v>1664</v>
      </c>
      <c r="E511" s="4"/>
      <c r="F511" s="13"/>
    </row>
    <row r="512" spans="1:6">
      <c r="A512" t="s">
        <v>1644</v>
      </c>
      <c r="B512" t="s">
        <v>1665</v>
      </c>
      <c r="C512" t="s">
        <v>1666</v>
      </c>
      <c r="D512" t="s">
        <v>1667</v>
      </c>
      <c r="E512" s="4"/>
      <c r="F512" s="13"/>
    </row>
    <row r="513" spans="1:6">
      <c r="A513" t="s">
        <v>1644</v>
      </c>
      <c r="B513" t="s">
        <v>1668</v>
      </c>
      <c r="C513" t="s">
        <v>1669</v>
      </c>
      <c r="D513" t="s">
        <v>1670</v>
      </c>
      <c r="E513" s="4"/>
      <c r="F513" s="13"/>
    </row>
    <row r="514" spans="1:6">
      <c r="A514" t="s">
        <v>1644</v>
      </c>
      <c r="B514" t="s">
        <v>1671</v>
      </c>
      <c r="C514" t="s">
        <v>1672</v>
      </c>
      <c r="D514" t="s">
        <v>1673</v>
      </c>
      <c r="E514" s="4"/>
      <c r="F514" s="13"/>
    </row>
    <row r="515" spans="1:6">
      <c r="A515" t="s">
        <v>1644</v>
      </c>
      <c r="B515" t="s">
        <v>1674</v>
      </c>
      <c r="C515" t="s">
        <v>1675</v>
      </c>
      <c r="D515" t="s">
        <v>1676</v>
      </c>
      <c r="E515" s="4"/>
      <c r="F515" s="13"/>
    </row>
    <row r="516" spans="1:6">
      <c r="A516" t="s">
        <v>1644</v>
      </c>
      <c r="B516" t="s">
        <v>1677</v>
      </c>
      <c r="C516" t="s">
        <v>1678</v>
      </c>
      <c r="D516" t="s">
        <v>1679</v>
      </c>
      <c r="E516" s="4"/>
      <c r="F516" s="13"/>
    </row>
    <row r="517" spans="1:6">
      <c r="A517" t="s">
        <v>1644</v>
      </c>
      <c r="B517" t="s">
        <v>1680</v>
      </c>
      <c r="C517" t="s">
        <v>1681</v>
      </c>
      <c r="D517" t="s">
        <v>1682</v>
      </c>
      <c r="E517" s="4"/>
      <c r="F517" s="13"/>
    </row>
    <row r="518" spans="1:6">
      <c r="A518" t="s">
        <v>1644</v>
      </c>
      <c r="B518" t="s">
        <v>1683</v>
      </c>
      <c r="C518" t="s">
        <v>1684</v>
      </c>
      <c r="D518" t="s">
        <v>1685</v>
      </c>
      <c r="E518" s="4"/>
      <c r="F518" s="13"/>
    </row>
    <row r="519" spans="1:6">
      <c r="A519" t="s">
        <v>1644</v>
      </c>
      <c r="B519" t="s">
        <v>1686</v>
      </c>
      <c r="C519" t="s">
        <v>1687</v>
      </c>
      <c r="D519" t="s">
        <v>1688</v>
      </c>
      <c r="E519" s="4"/>
      <c r="F519" s="13"/>
    </row>
    <row r="520" spans="1:6">
      <c r="A520" t="s">
        <v>1644</v>
      </c>
      <c r="B520" t="s">
        <v>1689</v>
      </c>
      <c r="C520" t="s">
        <v>1690</v>
      </c>
      <c r="D520" t="s">
        <v>1691</v>
      </c>
      <c r="E520" s="4"/>
      <c r="F520" s="13"/>
    </row>
    <row r="521" spans="1:6">
      <c r="A521" s="300" t="s">
        <v>1644</v>
      </c>
      <c r="B521" s="300" t="s">
        <v>1645</v>
      </c>
      <c r="C521" s="300" t="s">
        <v>1646</v>
      </c>
      <c r="D521" s="300" t="s">
        <v>1647</v>
      </c>
      <c r="E521" s="4"/>
      <c r="F521" s="13"/>
    </row>
    <row r="522" spans="1:6" s="12" customFormat="1">
      <c r="A522" s="300" t="s">
        <v>1644</v>
      </c>
      <c r="B522" s="300" t="s">
        <v>1648</v>
      </c>
      <c r="C522" s="300" t="s">
        <v>1649</v>
      </c>
      <c r="D522" s="300" t="s">
        <v>1650</v>
      </c>
      <c r="E522" s="8"/>
    </row>
    <row r="523" spans="1:6" s="12" customFormat="1">
      <c r="A523" s="300" t="s">
        <v>1644</v>
      </c>
      <c r="B523" s="300" t="s">
        <v>1651</v>
      </c>
      <c r="C523" s="300" t="s">
        <v>1652</v>
      </c>
      <c r="D523" s="300" t="s">
        <v>1653</v>
      </c>
      <c r="E523" s="8"/>
    </row>
    <row r="524" spans="1:6">
      <c r="A524" t="s">
        <v>1644</v>
      </c>
      <c r="B524" t="s">
        <v>1011</v>
      </c>
      <c r="C524" t="s">
        <v>1235</v>
      </c>
      <c r="D524" t="s">
        <v>1236</v>
      </c>
      <c r="E524" s="4"/>
    </row>
    <row r="525" spans="1:6">
      <c r="A525" t="s">
        <v>1644</v>
      </c>
      <c r="B525" t="s">
        <v>1017</v>
      </c>
      <c r="C525" t="s">
        <v>894</v>
      </c>
      <c r="D525" t="s">
        <v>895</v>
      </c>
      <c r="E525" s="4"/>
    </row>
    <row r="526" spans="1:6">
      <c r="A526" t="s">
        <v>1644</v>
      </c>
      <c r="B526" t="s">
        <v>1018</v>
      </c>
      <c r="C526" t="s">
        <v>896</v>
      </c>
      <c r="D526" t="s">
        <v>897</v>
      </c>
      <c r="E526" s="4"/>
    </row>
    <row r="527" spans="1:6">
      <c r="E527" s="4"/>
    </row>
    <row r="528" spans="1:6">
      <c r="A528" t="s">
        <v>1692</v>
      </c>
      <c r="B528" t="s">
        <v>1645</v>
      </c>
      <c r="C528" t="s">
        <v>1646</v>
      </c>
      <c r="D528" t="s">
        <v>1647</v>
      </c>
      <c r="E528" s="4"/>
      <c r="F528" s="13"/>
    </row>
    <row r="529" spans="1:6">
      <c r="A529" t="s">
        <v>1692</v>
      </c>
      <c r="B529" t="s">
        <v>1648</v>
      </c>
      <c r="C529" t="s">
        <v>1693</v>
      </c>
      <c r="D529" t="s">
        <v>1650</v>
      </c>
      <c r="E529" s="4"/>
      <c r="F529" s="13"/>
    </row>
    <row r="530" spans="1:6">
      <c r="A530" t="s">
        <v>1692</v>
      </c>
      <c r="B530" t="s">
        <v>1651</v>
      </c>
      <c r="C530" t="s">
        <v>1694</v>
      </c>
      <c r="D530" t="s">
        <v>1695</v>
      </c>
      <c r="E530" s="4"/>
      <c r="F530" s="13"/>
    </row>
    <row r="531" spans="1:6">
      <c r="A531" t="s">
        <v>1692</v>
      </c>
      <c r="B531" t="s">
        <v>1696</v>
      </c>
      <c r="C531" t="s">
        <v>1697</v>
      </c>
      <c r="D531" t="s">
        <v>1698</v>
      </c>
      <c r="E531" s="4"/>
      <c r="F531" s="13"/>
    </row>
    <row r="532" spans="1:6">
      <c r="A532" t="s">
        <v>1692</v>
      </c>
      <c r="B532" t="s">
        <v>1699</v>
      </c>
      <c r="C532" t="s">
        <v>1700</v>
      </c>
      <c r="D532" t="s">
        <v>1701</v>
      </c>
      <c r="E532" s="4"/>
      <c r="F532" s="13"/>
    </row>
    <row r="533" spans="1:6">
      <c r="A533" t="s">
        <v>1692</v>
      </c>
      <c r="B533" t="s">
        <v>1702</v>
      </c>
      <c r="C533" t="s">
        <v>1703</v>
      </c>
      <c r="D533" t="s">
        <v>1704</v>
      </c>
      <c r="E533" s="4"/>
      <c r="F533" s="13"/>
    </row>
    <row r="534" spans="1:6">
      <c r="A534" t="s">
        <v>1692</v>
      </c>
      <c r="B534" t="s">
        <v>1705</v>
      </c>
      <c r="C534" t="s">
        <v>1684</v>
      </c>
      <c r="D534" t="s">
        <v>1685</v>
      </c>
      <c r="E534" s="4"/>
      <c r="F534" s="13"/>
    </row>
    <row r="535" spans="1:6">
      <c r="A535" t="s">
        <v>1692</v>
      </c>
      <c r="B535" t="s">
        <v>1706</v>
      </c>
      <c r="C535" t="s">
        <v>1690</v>
      </c>
      <c r="D535" t="s">
        <v>1707</v>
      </c>
      <c r="E535" s="4"/>
      <c r="F535" s="13"/>
    </row>
    <row r="536" spans="1:6">
      <c r="A536" t="s">
        <v>1692</v>
      </c>
      <c r="B536" t="s">
        <v>1011</v>
      </c>
      <c r="C536" t="s">
        <v>1235</v>
      </c>
      <c r="D536" t="s">
        <v>1236</v>
      </c>
      <c r="E536" s="4"/>
      <c r="F536" s="13"/>
    </row>
    <row r="537" spans="1:6">
      <c r="A537" t="s">
        <v>1692</v>
      </c>
      <c r="B537" t="s">
        <v>1014</v>
      </c>
      <c r="C537" t="s">
        <v>1708</v>
      </c>
      <c r="D537" t="s">
        <v>1709</v>
      </c>
      <c r="E537" s="4"/>
      <c r="F537" s="13"/>
    </row>
    <row r="538" spans="1:6">
      <c r="A538" t="s">
        <v>1692</v>
      </c>
      <c r="B538" t="s">
        <v>1017</v>
      </c>
      <c r="C538" t="s">
        <v>1602</v>
      </c>
      <c r="D538" t="s">
        <v>895</v>
      </c>
      <c r="E538" s="4"/>
    </row>
    <row r="539" spans="1:6">
      <c r="A539" t="s">
        <v>1692</v>
      </c>
      <c r="B539" t="s">
        <v>1018</v>
      </c>
      <c r="C539" t="s">
        <v>896</v>
      </c>
      <c r="D539" t="s">
        <v>897</v>
      </c>
      <c r="E539" s="4"/>
    </row>
    <row r="540" spans="1:6">
      <c r="E540" s="4"/>
    </row>
    <row r="541" spans="1:6">
      <c r="A541" t="s">
        <v>1710</v>
      </c>
      <c r="B541">
        <v>1</v>
      </c>
      <c r="C541" t="s">
        <v>890</v>
      </c>
      <c r="D541" t="s">
        <v>1711</v>
      </c>
      <c r="E541" s="4"/>
      <c r="F541" s="13"/>
    </row>
    <row r="542" spans="1:6">
      <c r="A542" t="s">
        <v>1710</v>
      </c>
      <c r="B542">
        <v>2</v>
      </c>
      <c r="C542" t="s">
        <v>1712</v>
      </c>
      <c r="D542" t="s">
        <v>1713</v>
      </c>
      <c r="E542" s="4"/>
      <c r="F542" s="13"/>
    </row>
    <row r="543" spans="1:6">
      <c r="A543" t="s">
        <v>1710</v>
      </c>
      <c r="B543">
        <v>3</v>
      </c>
      <c r="C543" t="s">
        <v>1714</v>
      </c>
      <c r="D543" t="s">
        <v>1715</v>
      </c>
      <c r="E543" s="4"/>
      <c r="F543" s="13"/>
    </row>
    <row r="544" spans="1:6">
      <c r="A544" t="s">
        <v>1710</v>
      </c>
      <c r="B544">
        <v>4</v>
      </c>
      <c r="C544" t="s">
        <v>1716</v>
      </c>
      <c r="D544" t="s">
        <v>1717</v>
      </c>
      <c r="E544" s="4"/>
      <c r="F544" s="13"/>
    </row>
    <row r="545" spans="1:6">
      <c r="A545" t="s">
        <v>1710</v>
      </c>
      <c r="B545">
        <v>5</v>
      </c>
      <c r="C545" t="s">
        <v>1718</v>
      </c>
      <c r="D545" t="s">
        <v>1719</v>
      </c>
      <c r="E545" s="4"/>
      <c r="F545" s="13"/>
    </row>
    <row r="546" spans="1:6">
      <c r="A546" t="s">
        <v>1710</v>
      </c>
      <c r="B546">
        <v>6</v>
      </c>
      <c r="C546" t="s">
        <v>1720</v>
      </c>
      <c r="D546" t="s">
        <v>1721</v>
      </c>
      <c r="E546" s="4"/>
      <c r="F546" s="13"/>
    </row>
    <row r="547" spans="1:6">
      <c r="A547" t="s">
        <v>1710</v>
      </c>
      <c r="B547">
        <v>7</v>
      </c>
      <c r="C547" t="s">
        <v>894</v>
      </c>
      <c r="D547" t="s">
        <v>895</v>
      </c>
      <c r="E547" s="4"/>
      <c r="F547" s="13"/>
    </row>
    <row r="548" spans="1:6">
      <c r="A548" t="s">
        <v>1710</v>
      </c>
      <c r="B548">
        <v>8</v>
      </c>
      <c r="C548" t="s">
        <v>896</v>
      </c>
      <c r="D548" t="s">
        <v>897</v>
      </c>
      <c r="E548" s="4"/>
      <c r="F548" s="13"/>
    </row>
    <row r="549" spans="1:6">
      <c r="E549" s="4"/>
      <c r="F549" s="13"/>
    </row>
    <row r="550" spans="1:6">
      <c r="A550" t="s">
        <v>1722</v>
      </c>
      <c r="B550" t="s">
        <v>1723</v>
      </c>
      <c r="C550" t="s">
        <v>1724</v>
      </c>
      <c r="D550" t="s">
        <v>1724</v>
      </c>
      <c r="E550" s="4"/>
      <c r="F550" s="13"/>
    </row>
    <row r="551" spans="1:6">
      <c r="A551" t="s">
        <v>1722</v>
      </c>
      <c r="B551" t="s">
        <v>1725</v>
      </c>
      <c r="C551" t="s">
        <v>1726</v>
      </c>
      <c r="D551" t="s">
        <v>1727</v>
      </c>
      <c r="E551" s="4"/>
      <c r="F551" s="13"/>
    </row>
    <row r="552" spans="1:6">
      <c r="A552" t="s">
        <v>1722</v>
      </c>
      <c r="B552" t="s">
        <v>1728</v>
      </c>
      <c r="C552" t="s">
        <v>1729</v>
      </c>
      <c r="D552" t="s">
        <v>1730</v>
      </c>
      <c r="E552" s="4"/>
      <c r="F552" s="13"/>
    </row>
    <row r="553" spans="1:6">
      <c r="A553" t="s">
        <v>1722</v>
      </c>
      <c r="B553" t="s">
        <v>1293</v>
      </c>
      <c r="C553" t="s">
        <v>1731</v>
      </c>
      <c r="D553" t="s">
        <v>1732</v>
      </c>
      <c r="E553" s="4"/>
      <c r="F553" s="13"/>
    </row>
    <row r="554" spans="1:6">
      <c r="A554" t="s">
        <v>1722</v>
      </c>
      <c r="B554" t="s">
        <v>1287</v>
      </c>
      <c r="C554" t="s">
        <v>1733</v>
      </c>
      <c r="D554" t="s">
        <v>1734</v>
      </c>
      <c r="E554" s="4"/>
      <c r="F554" s="13"/>
    </row>
    <row r="555" spans="1:6">
      <c r="A555" t="s">
        <v>1722</v>
      </c>
      <c r="B555" t="s">
        <v>1017</v>
      </c>
      <c r="C555" t="s">
        <v>894</v>
      </c>
      <c r="D555" t="s">
        <v>895</v>
      </c>
      <c r="E555" s="4"/>
      <c r="F555" s="13"/>
    </row>
    <row r="556" spans="1:6">
      <c r="A556" t="s">
        <v>1722</v>
      </c>
      <c r="B556" t="s">
        <v>1018</v>
      </c>
      <c r="C556" t="s">
        <v>896</v>
      </c>
      <c r="D556" t="s">
        <v>897</v>
      </c>
      <c r="E556" s="4"/>
    </row>
    <row r="557" spans="1:6">
      <c r="E557" s="4"/>
    </row>
    <row r="558" spans="1:6">
      <c r="A558" t="s">
        <v>1735</v>
      </c>
      <c r="B558" t="s">
        <v>1736</v>
      </c>
      <c r="C558" t="s">
        <v>1737</v>
      </c>
      <c r="D558" t="s">
        <v>1738</v>
      </c>
      <c r="E558" s="4"/>
    </row>
    <row r="559" spans="1:6">
      <c r="A559" t="s">
        <v>1735</v>
      </c>
      <c r="B559" t="s">
        <v>1739</v>
      </c>
      <c r="C559" t="s">
        <v>1740</v>
      </c>
      <c r="D559" t="s">
        <v>1741</v>
      </c>
      <c r="E559" s="4"/>
    </row>
    <row r="560" spans="1:6">
      <c r="A560" t="s">
        <v>1735</v>
      </c>
      <c r="B560" t="s">
        <v>1742</v>
      </c>
      <c r="C560" t="s">
        <v>1743</v>
      </c>
      <c r="D560" t="s">
        <v>1744</v>
      </c>
      <c r="E560" s="4"/>
    </row>
    <row r="561" spans="1:6">
      <c r="A561" t="s">
        <v>1735</v>
      </c>
      <c r="B561" t="s">
        <v>1745</v>
      </c>
      <c r="C561" t="s">
        <v>1746</v>
      </c>
      <c r="D561" t="s">
        <v>1747</v>
      </c>
      <c r="E561" s="4"/>
    </row>
    <row r="562" spans="1:6">
      <c r="A562" t="s">
        <v>1735</v>
      </c>
      <c r="B562" t="s">
        <v>1748</v>
      </c>
      <c r="C562" t="s">
        <v>1749</v>
      </c>
      <c r="D562" t="s">
        <v>1750</v>
      </c>
      <c r="E562" s="4"/>
    </row>
    <row r="563" spans="1:6">
      <c r="A563" t="s">
        <v>1735</v>
      </c>
      <c r="B563" t="s">
        <v>1751</v>
      </c>
      <c r="C563" t="s">
        <v>1752</v>
      </c>
      <c r="D563" t="s">
        <v>1753</v>
      </c>
      <c r="E563" s="4"/>
    </row>
    <row r="564" spans="1:6">
      <c r="A564" t="s">
        <v>1735</v>
      </c>
      <c r="B564" t="s">
        <v>1754</v>
      </c>
      <c r="C564" t="s">
        <v>1755</v>
      </c>
      <c r="D564" t="s">
        <v>1756</v>
      </c>
      <c r="E564" s="4"/>
    </row>
    <row r="565" spans="1:6">
      <c r="E565" s="4"/>
    </row>
    <row r="566" spans="1:6">
      <c r="A566" t="s">
        <v>855</v>
      </c>
      <c r="B566" t="s">
        <v>1757</v>
      </c>
      <c r="C566" t="s">
        <v>1758</v>
      </c>
      <c r="D566" t="s">
        <v>1759</v>
      </c>
      <c r="E566" s="4"/>
    </row>
    <row r="567" spans="1:6">
      <c r="A567" t="s">
        <v>855</v>
      </c>
      <c r="B567" t="s">
        <v>1760</v>
      </c>
      <c r="C567" t="s">
        <v>1761</v>
      </c>
      <c r="D567" t="s">
        <v>1762</v>
      </c>
      <c r="E567" s="4"/>
    </row>
    <row r="568" spans="1:6">
      <c r="A568" t="s">
        <v>855</v>
      </c>
      <c r="B568" t="s">
        <v>1763</v>
      </c>
      <c r="C568" t="s">
        <v>1764</v>
      </c>
      <c r="D568" t="s">
        <v>1765</v>
      </c>
      <c r="E568" s="4"/>
    </row>
    <row r="569" spans="1:6">
      <c r="E569" s="4"/>
    </row>
    <row r="570" spans="1:6">
      <c r="A570" s="3" t="s">
        <v>1766</v>
      </c>
      <c r="B570" s="4" t="s">
        <v>1767</v>
      </c>
      <c r="C570" s="4" t="s">
        <v>1768</v>
      </c>
      <c r="D570" s="4" t="s">
        <v>1769</v>
      </c>
      <c r="E570" s="4"/>
      <c r="F570" s="4"/>
    </row>
    <row r="571" spans="1:6">
      <c r="A571" s="3" t="s">
        <v>1766</v>
      </c>
      <c r="B571" s="4" t="s">
        <v>1770</v>
      </c>
      <c r="C571" s="4" t="s">
        <v>1771</v>
      </c>
      <c r="D571" s="4" t="s">
        <v>1772</v>
      </c>
      <c r="E571" s="4"/>
      <c r="F571" s="4"/>
    </row>
    <row r="572" spans="1:6">
      <c r="A572" s="3" t="s">
        <v>1766</v>
      </c>
      <c r="B572" s="4" t="s">
        <v>1773</v>
      </c>
      <c r="C572" s="4" t="s">
        <v>1774</v>
      </c>
      <c r="D572" s="4" t="s">
        <v>1775</v>
      </c>
      <c r="E572" s="4"/>
      <c r="F572" s="4"/>
    </row>
    <row r="573" spans="1:6">
      <c r="A573" s="3" t="s">
        <v>1766</v>
      </c>
      <c r="B573" s="4" t="s">
        <v>1776</v>
      </c>
      <c r="C573" s="4" t="s">
        <v>1777</v>
      </c>
      <c r="D573" s="4" t="s">
        <v>1778</v>
      </c>
      <c r="E573" s="4"/>
      <c r="F573" s="4"/>
    </row>
    <row r="574" spans="1:6">
      <c r="A574" s="3" t="s">
        <v>1766</v>
      </c>
      <c r="B574" s="4" t="s">
        <v>1779</v>
      </c>
      <c r="C574" s="4" t="s">
        <v>1780</v>
      </c>
      <c r="D574" s="4" t="s">
        <v>1781</v>
      </c>
      <c r="E574" s="4"/>
      <c r="F574" s="4"/>
    </row>
    <row r="575" spans="1:6">
      <c r="D575" s="11"/>
    </row>
    <row r="576" spans="1:6">
      <c r="A576" s="11"/>
      <c r="B576" s="11"/>
      <c r="C576" s="11"/>
      <c r="E576" s="7"/>
      <c r="F576" s="11"/>
    </row>
  </sheetData>
  <sheetProtection algorithmName="SHA-512" hashValue="fIogOZTBLdw8SKy0GkfFFym74M+JYLNK9bW/khM9mTeyRsthI2IQt8mcQHwOhL5oU5E+XhIibxiKJZLNm+SF0Q==" saltValue="T4cGRrxQujsYn1qIFZDM/Q==" spinCount="100000" sheet="1" formatCells="0" formatColumns="0" formatRows="0" insertColumns="0" insertRows="0" deleteColumns="0" deleteRows="0"/>
  <phoneticPr fontId="4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2" sqref="B2"/>
    </sheetView>
  </sheetViews>
  <sheetFormatPr defaultColWidth="8.77734375" defaultRowHeight="14.4"/>
  <cols>
    <col min="1" max="4" width="28.109375" style="3" customWidth="1"/>
    <col min="5" max="16384" width="8.77734375" style="3"/>
  </cols>
  <sheetData>
    <row r="1" spans="1:4" s="2" customFormat="1">
      <c r="A1" s="6" t="s">
        <v>1782</v>
      </c>
      <c r="B1" s="6" t="s">
        <v>1783</v>
      </c>
      <c r="C1" s="6" t="s">
        <v>1784</v>
      </c>
      <c r="D1" s="6" t="s">
        <v>1785</v>
      </c>
    </row>
    <row r="2" spans="1:4">
      <c r="A2" s="3" t="s">
        <v>1786</v>
      </c>
      <c r="B2" s="4" t="s">
        <v>1787</v>
      </c>
      <c r="C2" t="s">
        <v>42</v>
      </c>
      <c r="D2" s="3" t="s">
        <v>1788</v>
      </c>
    </row>
  </sheetData>
  <sheetProtection algorithmName="SHA-512" hashValue="zdaqQJq0sQcq4tFSOqp5rZ9ZrEEe5jPeIff236QvuRRd0YW7usN9jIHTTv7FZ349O+la7lgvqPzfAju67vNsgg==" saltValue="VfEtYw7V+RU4pXxHABZAt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18" sqref="C18"/>
    </sheetView>
  </sheetViews>
  <sheetFormatPr defaultColWidth="10.77734375" defaultRowHeight="14.4"/>
  <cols>
    <col min="1" max="2" width="10.77734375" style="92"/>
    <col min="3" max="3" width="15.109375" style="106" customWidth="1"/>
    <col min="4" max="4" width="10.77734375" style="107"/>
    <col min="5" max="5" width="28.6640625" style="108" customWidth="1"/>
    <col min="6" max="6" width="38.77734375" style="108" customWidth="1"/>
    <col min="7" max="16384" width="10.77734375" style="92"/>
  </cols>
  <sheetData>
    <row r="2" spans="2:6">
      <c r="C2" s="93"/>
      <c r="D2" s="94"/>
      <c r="E2" s="95"/>
      <c r="F2" s="95"/>
    </row>
    <row r="3" spans="2:6" ht="28.8">
      <c r="B3" s="96"/>
      <c r="C3" s="97" t="s">
        <v>1789</v>
      </c>
      <c r="D3" s="98" t="s">
        <v>1790</v>
      </c>
      <c r="E3" s="99" t="s">
        <v>1791</v>
      </c>
      <c r="F3" s="99" t="s">
        <v>1792</v>
      </c>
    </row>
    <row r="4" spans="2:6" ht="15.6">
      <c r="B4" s="96"/>
      <c r="C4" s="9"/>
      <c r="D4" s="100" t="s">
        <v>1793</v>
      </c>
      <c r="E4" s="101" t="s">
        <v>1794</v>
      </c>
      <c r="F4" s="101" t="s">
        <v>1795</v>
      </c>
    </row>
    <row r="5" spans="2:6" ht="15.6">
      <c r="B5" s="96"/>
      <c r="C5" s="9"/>
      <c r="D5" s="100" t="s">
        <v>1796</v>
      </c>
      <c r="E5" s="101" t="s">
        <v>1797</v>
      </c>
      <c r="F5" s="101" t="s">
        <v>1798</v>
      </c>
    </row>
    <row r="6" spans="2:6" ht="15.6">
      <c r="B6" s="96"/>
      <c r="C6" s="9"/>
      <c r="D6" s="100" t="s">
        <v>1799</v>
      </c>
      <c r="E6" s="101" t="s">
        <v>1800</v>
      </c>
      <c r="F6" s="101" t="s">
        <v>1801</v>
      </c>
    </row>
    <row r="7" spans="2:6" ht="15.6">
      <c r="B7" s="96"/>
      <c r="C7" s="9"/>
      <c r="D7" s="100" t="s">
        <v>1802</v>
      </c>
      <c r="E7" s="101" t="s">
        <v>1803</v>
      </c>
      <c r="F7" s="101" t="s">
        <v>1804</v>
      </c>
    </row>
    <row r="8" spans="2:6" ht="15.6">
      <c r="B8" s="96"/>
      <c r="C8" s="9"/>
      <c r="D8" s="100" t="s">
        <v>1805</v>
      </c>
      <c r="E8" s="101" t="s">
        <v>1806</v>
      </c>
      <c r="F8" s="101" t="s">
        <v>1807</v>
      </c>
    </row>
    <row r="9" spans="2:6" ht="15.6">
      <c r="B9" s="96"/>
      <c r="C9" s="9"/>
      <c r="D9" s="100" t="s">
        <v>1808</v>
      </c>
      <c r="E9" s="101" t="s">
        <v>1809</v>
      </c>
      <c r="F9" s="101" t="s">
        <v>1810</v>
      </c>
    </row>
    <row r="10" spans="2:6" ht="15.6">
      <c r="B10" s="96"/>
      <c r="C10" s="135"/>
      <c r="D10" s="100" t="s">
        <v>1811</v>
      </c>
      <c r="E10" s="102" t="s">
        <v>1812</v>
      </c>
      <c r="F10" s="102" t="s">
        <v>1813</v>
      </c>
    </row>
    <row r="11" spans="2:6" ht="15.6">
      <c r="B11" s="96"/>
      <c r="C11" s="9"/>
      <c r="D11" s="100" t="s">
        <v>1814</v>
      </c>
      <c r="E11" s="101" t="s">
        <v>1815</v>
      </c>
      <c r="F11" s="101" t="s">
        <v>1816</v>
      </c>
    </row>
    <row r="12" spans="2:6" ht="15.6">
      <c r="B12" s="96"/>
      <c r="C12" s="9"/>
      <c r="D12" s="100" t="s">
        <v>1817</v>
      </c>
      <c r="E12" s="101" t="s">
        <v>1818</v>
      </c>
      <c r="F12" s="101" t="s">
        <v>1819</v>
      </c>
    </row>
    <row r="13" spans="2:6" ht="15.6">
      <c r="B13" s="96"/>
      <c r="C13" s="9"/>
      <c r="D13" s="100" t="s">
        <v>1820</v>
      </c>
      <c r="E13" s="101" t="s">
        <v>1821</v>
      </c>
      <c r="F13" s="101" t="s">
        <v>1822</v>
      </c>
    </row>
    <row r="14" spans="2:6" ht="15.6">
      <c r="B14" s="96"/>
      <c r="C14" s="9"/>
      <c r="D14" s="100" t="s">
        <v>1823</v>
      </c>
      <c r="E14" s="101" t="s">
        <v>1824</v>
      </c>
      <c r="F14" s="101" t="s">
        <v>1825</v>
      </c>
    </row>
    <row r="15" spans="2:6" ht="15.6">
      <c r="B15" s="96"/>
      <c r="C15" s="9"/>
      <c r="D15" s="100" t="s">
        <v>1826</v>
      </c>
      <c r="E15" s="101" t="s">
        <v>1827</v>
      </c>
      <c r="F15" s="101" t="s">
        <v>1828</v>
      </c>
    </row>
    <row r="16" spans="2:6" ht="15.6">
      <c r="B16" s="96"/>
      <c r="C16" s="9"/>
      <c r="D16" s="100" t="s">
        <v>1829</v>
      </c>
      <c r="E16" s="101" t="s">
        <v>1830</v>
      </c>
      <c r="F16" s="101" t="s">
        <v>1830</v>
      </c>
    </row>
    <row r="17" spans="2:6" ht="15.6">
      <c r="B17" s="96"/>
      <c r="C17" s="135"/>
      <c r="D17" s="100" t="s">
        <v>1831</v>
      </c>
      <c r="E17" s="102" t="s">
        <v>1832</v>
      </c>
      <c r="F17" s="102" t="s">
        <v>1833</v>
      </c>
    </row>
    <row r="18" spans="2:6" ht="15.6">
      <c r="B18" s="96"/>
      <c r="C18" s="9"/>
      <c r="D18" s="100" t="s">
        <v>1834</v>
      </c>
      <c r="E18" s="101" t="s">
        <v>1835</v>
      </c>
      <c r="F18" s="101" t="s">
        <v>1836</v>
      </c>
    </row>
    <row r="19" spans="2:6" ht="15.6">
      <c r="B19" s="96"/>
      <c r="C19" s="9"/>
      <c r="D19" s="100" t="s">
        <v>1837</v>
      </c>
      <c r="E19" s="101" t="s">
        <v>1838</v>
      </c>
      <c r="F19" s="101" t="s">
        <v>1839</v>
      </c>
    </row>
    <row r="20" spans="2:6" ht="15.6">
      <c r="B20" s="96"/>
      <c r="C20" s="9"/>
      <c r="D20" s="100" t="s">
        <v>1840</v>
      </c>
      <c r="E20" s="101" t="s">
        <v>1841</v>
      </c>
      <c r="F20" s="101" t="s">
        <v>1842</v>
      </c>
    </row>
    <row r="21" spans="2:6" ht="15.6">
      <c r="B21" s="96"/>
      <c r="C21" s="9"/>
      <c r="D21" s="100" t="s">
        <v>1843</v>
      </c>
      <c r="E21" s="101" t="s">
        <v>1844</v>
      </c>
      <c r="F21" s="101" t="s">
        <v>1845</v>
      </c>
    </row>
    <row r="22" spans="2:6" ht="15.6">
      <c r="B22" s="96"/>
      <c r="C22" s="9"/>
      <c r="D22" s="100" t="s">
        <v>1846</v>
      </c>
      <c r="E22" s="101" t="s">
        <v>1847</v>
      </c>
      <c r="F22" s="101" t="s">
        <v>1848</v>
      </c>
    </row>
    <row r="23" spans="2:6" ht="15.6">
      <c r="B23" s="96"/>
      <c r="C23" s="9"/>
      <c r="D23" s="100" t="s">
        <v>1849</v>
      </c>
      <c r="E23" s="101" t="s">
        <v>1850</v>
      </c>
      <c r="F23" s="101" t="s">
        <v>1851</v>
      </c>
    </row>
    <row r="24" spans="2:6" ht="15.6">
      <c r="B24" s="96"/>
      <c r="C24" s="9"/>
      <c r="D24" s="100" t="s">
        <v>1852</v>
      </c>
      <c r="E24" s="101" t="s">
        <v>1853</v>
      </c>
      <c r="F24" s="101" t="s">
        <v>1851</v>
      </c>
    </row>
    <row r="25" spans="2:6" ht="15.6">
      <c r="B25" s="96"/>
      <c r="C25" s="135"/>
      <c r="D25" s="100" t="s">
        <v>1854</v>
      </c>
      <c r="E25" s="102" t="s">
        <v>1855</v>
      </c>
      <c r="F25" s="102" t="s">
        <v>1856</v>
      </c>
    </row>
    <row r="26" spans="2:6" ht="15.6">
      <c r="B26" s="96"/>
      <c r="C26" s="9"/>
      <c r="D26" s="100" t="s">
        <v>1857</v>
      </c>
      <c r="E26" s="101" t="s">
        <v>1858</v>
      </c>
      <c r="F26" s="101" t="s">
        <v>1859</v>
      </c>
    </row>
    <row r="27" spans="2:6" ht="15.6">
      <c r="B27" s="96"/>
      <c r="C27" s="9"/>
      <c r="D27" s="100" t="s">
        <v>1860</v>
      </c>
      <c r="E27" s="101" t="s">
        <v>1861</v>
      </c>
      <c r="F27" s="101" t="s">
        <v>1862</v>
      </c>
    </row>
    <row r="28" spans="2:6" ht="15.6">
      <c r="B28" s="96"/>
      <c r="C28" s="9"/>
      <c r="D28" s="100" t="s">
        <v>1863</v>
      </c>
      <c r="E28" s="101" t="s">
        <v>1864</v>
      </c>
      <c r="F28" s="101" t="s">
        <v>1865</v>
      </c>
    </row>
    <row r="29" spans="2:6" ht="15.6">
      <c r="B29" s="96"/>
      <c r="C29" s="9"/>
      <c r="D29" s="100" t="s">
        <v>1866</v>
      </c>
      <c r="E29" s="101" t="s">
        <v>1867</v>
      </c>
      <c r="F29" s="101" t="s">
        <v>1868</v>
      </c>
    </row>
    <row r="30" spans="2:6" ht="15.6">
      <c r="B30" s="96"/>
      <c r="C30" s="9"/>
      <c r="D30" s="100" t="s">
        <v>1869</v>
      </c>
      <c r="E30" s="101" t="s">
        <v>1870</v>
      </c>
      <c r="F30" s="101" t="s">
        <v>1871</v>
      </c>
    </row>
    <row r="31" spans="2:6" ht="15.6">
      <c r="B31" s="96"/>
      <c r="C31" s="9"/>
      <c r="D31" s="100" t="s">
        <v>1872</v>
      </c>
      <c r="E31" s="101" t="s">
        <v>1873</v>
      </c>
      <c r="F31" s="101" t="s">
        <v>1873</v>
      </c>
    </row>
    <row r="32" spans="2:6" ht="15.6">
      <c r="B32" s="96"/>
      <c r="C32" s="9"/>
      <c r="D32" s="100" t="s">
        <v>1874</v>
      </c>
      <c r="E32" s="101" t="s">
        <v>1875</v>
      </c>
      <c r="F32" s="101" t="s">
        <v>1876</v>
      </c>
    </row>
    <row r="33" spans="2:6" ht="28.8">
      <c r="B33" s="96"/>
      <c r="C33" s="9"/>
      <c r="D33" s="100" t="s">
        <v>1877</v>
      </c>
      <c r="E33" s="101" t="s">
        <v>1878</v>
      </c>
      <c r="F33" s="101" t="s">
        <v>1879</v>
      </c>
    </row>
    <row r="34" spans="2:6" ht="15.6">
      <c r="B34" s="96"/>
      <c r="C34" s="9"/>
      <c r="D34" s="100" t="s">
        <v>1880</v>
      </c>
      <c r="E34" s="101" t="s">
        <v>1881</v>
      </c>
      <c r="F34" s="101" t="s">
        <v>1882</v>
      </c>
    </row>
    <row r="35" spans="2:6" ht="15.6">
      <c r="B35" s="96"/>
      <c r="C35" s="135"/>
      <c r="D35" s="100" t="s">
        <v>1883</v>
      </c>
      <c r="E35" s="102" t="s">
        <v>1884</v>
      </c>
      <c r="F35" s="102" t="s">
        <v>1885</v>
      </c>
    </row>
    <row r="36" spans="2:6" ht="15.6">
      <c r="B36" s="96"/>
      <c r="C36" s="9"/>
      <c r="D36" s="100" t="s">
        <v>1886</v>
      </c>
      <c r="E36" s="101" t="s">
        <v>1887</v>
      </c>
      <c r="F36" s="101" t="s">
        <v>1888</v>
      </c>
    </row>
    <row r="37" spans="2:6" ht="15.6">
      <c r="B37" s="96"/>
      <c r="C37" s="9"/>
      <c r="D37" s="100" t="s">
        <v>1889</v>
      </c>
      <c r="E37" s="101" t="s">
        <v>1890</v>
      </c>
      <c r="F37" s="101" t="s">
        <v>1891</v>
      </c>
    </row>
    <row r="38" spans="2:6" ht="15.6">
      <c r="B38" s="96"/>
      <c r="C38" s="9"/>
      <c r="D38" s="100" t="s">
        <v>1892</v>
      </c>
      <c r="E38" s="101" t="s">
        <v>1893</v>
      </c>
      <c r="F38" s="101" t="s">
        <v>1894</v>
      </c>
    </row>
    <row r="39" spans="2:6" ht="15.6">
      <c r="B39" s="96"/>
      <c r="C39" s="9"/>
      <c r="D39" s="100" t="s">
        <v>1895</v>
      </c>
      <c r="E39" s="101" t="s">
        <v>1896</v>
      </c>
      <c r="F39" s="101" t="s">
        <v>1897</v>
      </c>
    </row>
    <row r="40" spans="2:6" ht="15.6">
      <c r="B40" s="96"/>
      <c r="C40" s="9"/>
      <c r="D40" s="100" t="s">
        <v>1898</v>
      </c>
      <c r="E40" s="101" t="s">
        <v>1899</v>
      </c>
      <c r="F40" s="101" t="s">
        <v>1900</v>
      </c>
    </row>
    <row r="41" spans="2:6" ht="15.6">
      <c r="B41" s="96"/>
      <c r="C41" s="9"/>
      <c r="D41" s="100" t="s">
        <v>1901</v>
      </c>
      <c r="E41" s="101" t="s">
        <v>1902</v>
      </c>
      <c r="F41" s="101" t="s">
        <v>1902</v>
      </c>
    </row>
    <row r="42" spans="2:6" ht="15.6">
      <c r="B42" s="96"/>
      <c r="C42" s="9"/>
      <c r="D42" s="100" t="s">
        <v>1903</v>
      </c>
      <c r="E42" s="101" t="s">
        <v>1904</v>
      </c>
      <c r="F42" s="101" t="s">
        <v>1905</v>
      </c>
    </row>
    <row r="43" spans="2:6" ht="15.6">
      <c r="B43" s="96"/>
      <c r="C43" s="9"/>
      <c r="D43" s="100" t="s">
        <v>1906</v>
      </c>
      <c r="E43" s="101" t="s">
        <v>1907</v>
      </c>
      <c r="F43" s="101" t="s">
        <v>1908</v>
      </c>
    </row>
    <row r="44" spans="2:6" ht="15.6">
      <c r="B44" s="96"/>
      <c r="C44" s="9"/>
      <c r="D44" s="100" t="s">
        <v>1909</v>
      </c>
      <c r="E44" s="101" t="s">
        <v>1910</v>
      </c>
      <c r="F44" s="101" t="s">
        <v>1911</v>
      </c>
    </row>
    <row r="45" spans="2:6" ht="15.6">
      <c r="B45" s="96"/>
      <c r="C45" s="9"/>
      <c r="D45" s="100" t="s">
        <v>1912</v>
      </c>
      <c r="E45" s="101" t="s">
        <v>1913</v>
      </c>
      <c r="F45" s="101" t="s">
        <v>1914</v>
      </c>
    </row>
    <row r="46" spans="2:6" ht="15.6">
      <c r="B46" s="96"/>
      <c r="C46" s="9"/>
      <c r="D46" s="100" t="s">
        <v>1915</v>
      </c>
      <c r="E46" s="101" t="s">
        <v>1916</v>
      </c>
      <c r="F46" s="101" t="s">
        <v>1917</v>
      </c>
    </row>
    <row r="47" spans="2:6" ht="15.6">
      <c r="B47" s="96"/>
      <c r="C47" s="135"/>
      <c r="D47" s="100" t="s">
        <v>1918</v>
      </c>
      <c r="E47" s="102" t="s">
        <v>1919</v>
      </c>
      <c r="F47" s="102" t="s">
        <v>1920</v>
      </c>
    </row>
    <row r="48" spans="2:6" ht="15.6">
      <c r="B48" s="96"/>
      <c r="C48" s="9"/>
      <c r="D48" s="100" t="s">
        <v>1921</v>
      </c>
      <c r="E48" s="101" t="s">
        <v>1922</v>
      </c>
      <c r="F48" s="101" t="s">
        <v>1923</v>
      </c>
    </row>
    <row r="49" spans="2:6" ht="15.6">
      <c r="B49" s="96"/>
      <c r="C49" s="9"/>
      <c r="D49" s="100" t="s">
        <v>1924</v>
      </c>
      <c r="E49" s="101" t="s">
        <v>1925</v>
      </c>
      <c r="F49" s="101" t="s">
        <v>1926</v>
      </c>
    </row>
    <row r="50" spans="2:6" ht="15.6">
      <c r="B50" s="96"/>
      <c r="C50" s="9"/>
      <c r="D50" s="100" t="s">
        <v>1927</v>
      </c>
      <c r="E50" s="101" t="s">
        <v>1928</v>
      </c>
      <c r="F50" s="101" t="s">
        <v>1929</v>
      </c>
    </row>
    <row r="51" spans="2:6" ht="15.6">
      <c r="B51" s="96"/>
      <c r="C51" s="9"/>
      <c r="D51" s="100" t="s">
        <v>1930</v>
      </c>
      <c r="E51" s="101" t="s">
        <v>1931</v>
      </c>
      <c r="F51" s="101" t="s">
        <v>1932</v>
      </c>
    </row>
    <row r="52" spans="2:6" ht="15.6">
      <c r="B52" s="96"/>
      <c r="C52" s="135"/>
      <c r="D52" s="100" t="s">
        <v>1933</v>
      </c>
      <c r="E52" s="102" t="s">
        <v>1934</v>
      </c>
      <c r="F52" s="102" t="s">
        <v>1935</v>
      </c>
    </row>
    <row r="53" spans="2:6" ht="15.6">
      <c r="B53" s="96"/>
      <c r="C53" s="9"/>
      <c r="D53" s="100" t="s">
        <v>1936</v>
      </c>
      <c r="E53" s="101" t="s">
        <v>1937</v>
      </c>
      <c r="F53" s="101" t="s">
        <v>1938</v>
      </c>
    </row>
    <row r="54" spans="2:6" ht="15.6">
      <c r="B54" s="96"/>
      <c r="C54" s="9"/>
      <c r="D54" s="100" t="s">
        <v>1939</v>
      </c>
      <c r="E54" s="101" t="s">
        <v>1940</v>
      </c>
      <c r="F54" s="101" t="s">
        <v>1941</v>
      </c>
    </row>
    <row r="55" spans="2:6" ht="15.6">
      <c r="B55" s="96"/>
      <c r="C55" s="9"/>
      <c r="D55" s="100" t="s">
        <v>1942</v>
      </c>
      <c r="E55" s="101" t="s">
        <v>1943</v>
      </c>
      <c r="F55" s="101" t="s">
        <v>1943</v>
      </c>
    </row>
    <row r="56" spans="2:6" ht="15.6">
      <c r="B56" s="96"/>
      <c r="C56" s="9"/>
      <c r="D56" s="100" t="s">
        <v>1944</v>
      </c>
      <c r="E56" s="101" t="s">
        <v>1945</v>
      </c>
      <c r="F56" s="101" t="s">
        <v>1945</v>
      </c>
    </row>
    <row r="57" spans="2:6" ht="15.6">
      <c r="B57" s="96"/>
      <c r="C57" s="9"/>
      <c r="D57" s="100" t="s">
        <v>1946</v>
      </c>
      <c r="E57" s="101" t="s">
        <v>1947</v>
      </c>
      <c r="F57" s="101" t="s">
        <v>1948</v>
      </c>
    </row>
    <row r="58" spans="2:6" ht="15.6">
      <c r="B58" s="96"/>
      <c r="C58" s="9"/>
      <c r="D58" s="100" t="s">
        <v>1949</v>
      </c>
      <c r="E58" s="101" t="s">
        <v>1950</v>
      </c>
      <c r="F58" s="101" t="s">
        <v>1951</v>
      </c>
    </row>
    <row r="59" spans="2:6" ht="15.6">
      <c r="B59" s="96"/>
      <c r="C59" s="9"/>
      <c r="D59" s="100" t="s">
        <v>1952</v>
      </c>
      <c r="E59" s="101" t="s">
        <v>1953</v>
      </c>
      <c r="F59" s="101" t="s">
        <v>1954</v>
      </c>
    </row>
    <row r="60" spans="2:6" ht="15.6">
      <c r="B60" s="96"/>
      <c r="C60" s="9"/>
      <c r="D60" s="100" t="s">
        <v>1955</v>
      </c>
      <c r="E60" s="101" t="s">
        <v>1956</v>
      </c>
      <c r="F60" s="101" t="s">
        <v>1957</v>
      </c>
    </row>
    <row r="61" spans="2:6" ht="15.6">
      <c r="B61" s="96"/>
      <c r="C61" s="9"/>
      <c r="D61" s="100" t="s">
        <v>1958</v>
      </c>
      <c r="E61" s="101" t="s">
        <v>1959</v>
      </c>
      <c r="F61" s="101" t="s">
        <v>1960</v>
      </c>
    </row>
    <row r="62" spans="2:6" ht="15.6">
      <c r="B62" s="96"/>
      <c r="C62" s="9"/>
      <c r="D62" s="100" t="s">
        <v>1961</v>
      </c>
      <c r="E62" s="101" t="s">
        <v>1962</v>
      </c>
      <c r="F62" s="101" t="s">
        <v>1963</v>
      </c>
    </row>
    <row r="63" spans="2:6" ht="15.6">
      <c r="B63" s="96"/>
      <c r="C63" s="9"/>
      <c r="D63" s="100" t="s">
        <v>1964</v>
      </c>
      <c r="E63" s="101" t="s">
        <v>1965</v>
      </c>
      <c r="F63" s="101" t="s">
        <v>1966</v>
      </c>
    </row>
    <row r="64" spans="2:6" ht="15.6">
      <c r="B64" s="96"/>
      <c r="C64" s="9"/>
      <c r="D64" s="100" t="s">
        <v>1967</v>
      </c>
      <c r="E64" s="101" t="s">
        <v>1968</v>
      </c>
      <c r="F64" s="101" t="s">
        <v>1969</v>
      </c>
    </row>
    <row r="65" spans="2:6" ht="15.6">
      <c r="B65" s="96"/>
      <c r="C65" s="9"/>
      <c r="D65" s="100" t="s">
        <v>1970</v>
      </c>
      <c r="E65" s="101" t="s">
        <v>1971</v>
      </c>
      <c r="F65" s="101" t="s">
        <v>1972</v>
      </c>
    </row>
    <row r="66" spans="2:6" ht="15.6">
      <c r="B66" s="96"/>
      <c r="C66" s="9"/>
      <c r="D66" s="100" t="s">
        <v>1973</v>
      </c>
      <c r="E66" s="101" t="s">
        <v>1974</v>
      </c>
      <c r="F66" s="101" t="s">
        <v>1975</v>
      </c>
    </row>
    <row r="67" spans="2:6" ht="15.6">
      <c r="B67" s="96"/>
      <c r="C67" s="9"/>
      <c r="D67" s="100" t="s">
        <v>1976</v>
      </c>
      <c r="E67" s="101" t="s">
        <v>1977</v>
      </c>
      <c r="F67" s="101" t="s">
        <v>1978</v>
      </c>
    </row>
    <row r="68" spans="2:6" ht="15.6">
      <c r="B68" s="96"/>
      <c r="C68" s="9"/>
      <c r="D68" s="100" t="s">
        <v>1979</v>
      </c>
      <c r="E68" s="101" t="s">
        <v>1980</v>
      </c>
      <c r="F68" s="101" t="s">
        <v>1981</v>
      </c>
    </row>
    <row r="69" spans="2:6" ht="15.6">
      <c r="B69" s="96"/>
      <c r="C69" s="9"/>
      <c r="D69" s="100" t="s">
        <v>1982</v>
      </c>
      <c r="E69" s="101" t="s">
        <v>1983</v>
      </c>
      <c r="F69" s="101" t="s">
        <v>1984</v>
      </c>
    </row>
    <row r="70" spans="2:6" ht="15.6">
      <c r="B70" s="96"/>
      <c r="C70" s="9"/>
      <c r="D70" s="100" t="s">
        <v>1985</v>
      </c>
      <c r="E70" s="101" t="s">
        <v>1986</v>
      </c>
      <c r="F70" s="101" t="s">
        <v>1987</v>
      </c>
    </row>
    <row r="71" spans="2:6" ht="15.6">
      <c r="B71" s="96"/>
      <c r="C71" s="135"/>
      <c r="D71" s="100" t="s">
        <v>1988</v>
      </c>
      <c r="E71" s="102" t="s">
        <v>1989</v>
      </c>
      <c r="F71" s="102" t="s">
        <v>1990</v>
      </c>
    </row>
    <row r="72" spans="2:6" ht="15.6">
      <c r="B72" s="96"/>
      <c r="C72" s="9"/>
      <c r="D72" s="100" t="s">
        <v>1991</v>
      </c>
      <c r="E72" s="101" t="s">
        <v>1992</v>
      </c>
      <c r="F72" s="101" t="s">
        <v>1993</v>
      </c>
    </row>
    <row r="73" spans="2:6" ht="15.6">
      <c r="B73" s="96"/>
      <c r="C73" s="9"/>
      <c r="D73" s="100" t="s">
        <v>1994</v>
      </c>
      <c r="E73" s="101" t="s">
        <v>1995</v>
      </c>
      <c r="F73" s="101" t="s">
        <v>1996</v>
      </c>
    </row>
    <row r="74" spans="2:6" ht="15.6">
      <c r="B74" s="96"/>
      <c r="C74" s="9"/>
      <c r="D74" s="100" t="s">
        <v>1997</v>
      </c>
      <c r="E74" s="101" t="s">
        <v>1998</v>
      </c>
      <c r="F74" s="101" t="s">
        <v>1999</v>
      </c>
    </row>
    <row r="75" spans="2:6" ht="15.6">
      <c r="B75" s="96"/>
      <c r="C75" s="9"/>
      <c r="D75" s="100" t="s">
        <v>2000</v>
      </c>
      <c r="E75" s="101" t="s">
        <v>2001</v>
      </c>
      <c r="F75" s="101" t="s">
        <v>2002</v>
      </c>
    </row>
    <row r="76" spans="2:6" ht="15.6">
      <c r="B76" s="96"/>
      <c r="C76" s="9"/>
      <c r="D76" s="100" t="s">
        <v>2003</v>
      </c>
      <c r="E76" s="101" t="s">
        <v>2004</v>
      </c>
      <c r="F76" s="101" t="s">
        <v>2005</v>
      </c>
    </row>
    <row r="77" spans="2:6" ht="15.6">
      <c r="B77" s="96"/>
      <c r="C77" s="9"/>
      <c r="D77" s="100" t="s">
        <v>2006</v>
      </c>
      <c r="E77" s="101" t="s">
        <v>2007</v>
      </c>
      <c r="F77" s="101" t="s">
        <v>2008</v>
      </c>
    </row>
    <row r="78" spans="2:6" ht="15.6">
      <c r="B78" s="96"/>
      <c r="C78" s="9"/>
      <c r="D78" s="100" t="s">
        <v>2009</v>
      </c>
      <c r="E78" s="101" t="s">
        <v>2010</v>
      </c>
      <c r="F78" s="101" t="s">
        <v>2011</v>
      </c>
    </row>
    <row r="79" spans="2:6" ht="15.6">
      <c r="B79" s="96"/>
      <c r="C79" s="9"/>
      <c r="D79" s="100" t="s">
        <v>2012</v>
      </c>
      <c r="E79" s="101" t="s">
        <v>2013</v>
      </c>
      <c r="F79" s="101" t="s">
        <v>2014</v>
      </c>
    </row>
    <row r="80" spans="2:6" ht="15.6">
      <c r="B80" s="96"/>
      <c r="C80" s="135"/>
      <c r="D80" s="100" t="s">
        <v>2015</v>
      </c>
      <c r="E80" s="102" t="s">
        <v>2016</v>
      </c>
      <c r="F80" s="102" t="s">
        <v>2017</v>
      </c>
    </row>
    <row r="81" spans="2:6" ht="15.6">
      <c r="B81" s="96"/>
      <c r="C81" s="9"/>
      <c r="D81" s="100" t="s">
        <v>2018</v>
      </c>
      <c r="E81" s="101" t="s">
        <v>2019</v>
      </c>
      <c r="F81" s="101" t="s">
        <v>2020</v>
      </c>
    </row>
    <row r="82" spans="2:6" ht="15.6">
      <c r="B82" s="96"/>
      <c r="C82" s="9"/>
      <c r="D82" s="100" t="s">
        <v>2021</v>
      </c>
      <c r="E82" s="101" t="s">
        <v>2022</v>
      </c>
      <c r="F82" s="101" t="s">
        <v>2023</v>
      </c>
    </row>
    <row r="83" spans="2:6" ht="15.6">
      <c r="B83" s="96"/>
      <c r="C83" s="9"/>
      <c r="D83" s="100" t="s">
        <v>2024</v>
      </c>
      <c r="E83" s="101" t="s">
        <v>2025</v>
      </c>
      <c r="F83" s="101" t="s">
        <v>2026</v>
      </c>
    </row>
    <row r="84" spans="2:6" ht="15.6">
      <c r="B84" s="96"/>
      <c r="C84" s="9"/>
      <c r="D84" s="100" t="s">
        <v>2027</v>
      </c>
      <c r="E84" s="101" t="s">
        <v>2028</v>
      </c>
      <c r="F84" s="101" t="s">
        <v>2029</v>
      </c>
    </row>
    <row r="85" spans="2:6" ht="15.6">
      <c r="B85" s="96"/>
      <c r="C85" s="9"/>
      <c r="D85" s="100" t="s">
        <v>2030</v>
      </c>
      <c r="E85" s="101" t="s">
        <v>2031</v>
      </c>
      <c r="F85" s="101" t="s">
        <v>2032</v>
      </c>
    </row>
    <row r="86" spans="2:6" ht="15.6">
      <c r="B86" s="96"/>
      <c r="C86" s="135"/>
      <c r="D86" s="100" t="s">
        <v>2033</v>
      </c>
      <c r="E86" s="102" t="s">
        <v>2034</v>
      </c>
      <c r="F86" s="102" t="s">
        <v>2035</v>
      </c>
    </row>
    <row r="87" spans="2:6" ht="15.6">
      <c r="B87" s="96"/>
      <c r="C87" s="9"/>
      <c r="D87" s="100" t="s">
        <v>2036</v>
      </c>
      <c r="E87" s="101" t="s">
        <v>2037</v>
      </c>
      <c r="F87" s="101" t="s">
        <v>2038</v>
      </c>
    </row>
    <row r="88" spans="2:6" ht="15.6">
      <c r="B88" s="96"/>
      <c r="C88" s="9"/>
      <c r="D88" s="100" t="s">
        <v>2039</v>
      </c>
      <c r="E88" s="101" t="s">
        <v>2040</v>
      </c>
      <c r="F88" s="101" t="s">
        <v>2041</v>
      </c>
    </row>
    <row r="89" spans="2:6" ht="15.6">
      <c r="B89" s="96"/>
      <c r="C89" s="9"/>
      <c r="D89" s="100" t="s">
        <v>2042</v>
      </c>
      <c r="E89" s="101" t="s">
        <v>2043</v>
      </c>
      <c r="F89" s="101" t="s">
        <v>2044</v>
      </c>
    </row>
    <row r="90" spans="2:6" ht="15.6">
      <c r="B90" s="96"/>
      <c r="C90" s="9"/>
      <c r="D90" s="100" t="s">
        <v>2045</v>
      </c>
      <c r="E90" s="101" t="s">
        <v>2046</v>
      </c>
      <c r="F90" s="101" t="s">
        <v>2047</v>
      </c>
    </row>
    <row r="91" spans="2:6" ht="15.6">
      <c r="B91" s="96"/>
      <c r="C91" s="9"/>
      <c r="D91" s="100" t="s">
        <v>2048</v>
      </c>
      <c r="E91" s="101" t="s">
        <v>2049</v>
      </c>
      <c r="F91" s="101" t="s">
        <v>2050</v>
      </c>
    </row>
    <row r="92" spans="2:6" ht="15.6">
      <c r="B92" s="96"/>
      <c r="C92" s="9"/>
      <c r="D92" s="100" t="s">
        <v>2051</v>
      </c>
      <c r="E92" s="101" t="s">
        <v>2052</v>
      </c>
      <c r="F92" s="101" t="s">
        <v>2052</v>
      </c>
    </row>
    <row r="93" spans="2:6" s="108" customFormat="1" ht="15.6">
      <c r="B93" s="252"/>
      <c r="C93" s="253"/>
      <c r="D93" s="254" t="s">
        <v>2053</v>
      </c>
      <c r="E93" s="102" t="s">
        <v>2054</v>
      </c>
      <c r="F93" s="102" t="s">
        <v>2055</v>
      </c>
    </row>
    <row r="94" spans="2:6">
      <c r="C94" s="103"/>
      <c r="D94" s="104"/>
      <c r="E94" s="105"/>
      <c r="F94" s="105"/>
    </row>
  </sheetData>
  <sheetProtection algorithmName="SHA-512" hashValue="Ogp1xT+/x5R6bU0jU13P/gIA6lHj2tDeKeESp6PFgQv7pTC/g8nReqP3lBX5mvuh0Fp3K215Rt/86md4mREgCw==" saltValue="QE2C4yiI4xFrN+uULzDYLg=="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zoomScale="80" zoomScaleNormal="80" workbookViewId="0">
      <selection activeCell="F5" sqref="F5"/>
    </sheetView>
  </sheetViews>
  <sheetFormatPr defaultColWidth="10.77734375" defaultRowHeight="15.6"/>
  <cols>
    <col min="1" max="1" width="10.77734375" style="165"/>
    <col min="2" max="2" width="8.77734375" style="165" customWidth="1"/>
    <col min="3" max="3" width="27.6640625" style="165" customWidth="1"/>
    <col min="4" max="5" width="20.77734375" style="165" customWidth="1"/>
    <col min="6" max="7" width="46.44140625" style="178" customWidth="1"/>
    <col min="8" max="8" width="20.77734375" style="248" customWidth="1"/>
    <col min="9" max="9" width="20.77734375" style="165" customWidth="1"/>
    <col min="10" max="16384" width="10.77734375" style="165"/>
  </cols>
  <sheetData>
    <row r="1" spans="1:11" ht="16.2" thickBot="1">
      <c r="C1" s="166"/>
      <c r="D1" s="166"/>
      <c r="E1" s="166"/>
      <c r="F1" s="167"/>
      <c r="G1" s="167"/>
      <c r="H1" s="168"/>
      <c r="I1" s="166"/>
    </row>
    <row r="2" spans="1:11" s="178" customFormat="1" ht="16.2" thickBot="1">
      <c r="A2" s="169"/>
      <c r="B2" s="170"/>
      <c r="C2" s="171" t="s">
        <v>2056</v>
      </c>
      <c r="D2" s="172" t="s">
        <v>2057</v>
      </c>
      <c r="E2" s="172" t="s">
        <v>2058</v>
      </c>
      <c r="F2" s="173" t="s">
        <v>2059</v>
      </c>
      <c r="G2" s="174" t="s">
        <v>2060</v>
      </c>
      <c r="H2" s="175" t="s">
        <v>2061</v>
      </c>
      <c r="I2" s="176" t="s">
        <v>2062</v>
      </c>
      <c r="J2" s="177"/>
    </row>
    <row r="3" spans="1:11" ht="62.55" customHeight="1">
      <c r="A3" s="179"/>
      <c r="B3" s="307" t="s">
        <v>2063</v>
      </c>
      <c r="C3" s="180" t="s">
        <v>2064</v>
      </c>
      <c r="D3" s="282"/>
      <c r="E3" s="181" t="str">
        <f>IF(D3="","",D3)</f>
        <v/>
      </c>
      <c r="F3" s="182" t="s">
        <v>2065</v>
      </c>
      <c r="G3" s="183" t="s">
        <v>2066</v>
      </c>
      <c r="H3" s="184" t="s">
        <v>2067</v>
      </c>
      <c r="I3" s="185" t="s">
        <v>2067</v>
      </c>
      <c r="J3" s="186"/>
    </row>
    <row r="4" spans="1:11" ht="31.8" customHeight="1">
      <c r="A4" s="179"/>
      <c r="B4" s="302"/>
      <c r="C4" s="187" t="s">
        <v>2068</v>
      </c>
      <c r="D4" s="131"/>
      <c r="E4" s="188" t="str">
        <f>IF(D4="","",D4)</f>
        <v/>
      </c>
      <c r="F4" s="189" t="s">
        <v>2069</v>
      </c>
      <c r="G4" s="190" t="s">
        <v>2070</v>
      </c>
      <c r="H4" s="191">
        <v>18</v>
      </c>
      <c r="I4" s="192">
        <v>18</v>
      </c>
      <c r="J4" s="186"/>
    </row>
    <row r="5" spans="1:11" ht="66" customHeight="1">
      <c r="A5" s="179"/>
      <c r="B5" s="302"/>
      <c r="C5" s="193" t="s">
        <v>2071</v>
      </c>
      <c r="D5" s="16"/>
      <c r="E5" s="270" t="str">
        <f>IF(D5="","",D5)</f>
        <v/>
      </c>
      <c r="F5" s="259" t="s">
        <v>2072</v>
      </c>
      <c r="G5" s="190" t="s">
        <v>2073</v>
      </c>
      <c r="H5" s="194" t="s">
        <v>2074</v>
      </c>
      <c r="I5" s="195" t="s">
        <v>2075</v>
      </c>
      <c r="J5" s="186"/>
    </row>
    <row r="6" spans="1:11" ht="43.2">
      <c r="A6" s="179"/>
      <c r="B6" s="302"/>
      <c r="C6" s="196" t="s">
        <v>2076</v>
      </c>
      <c r="D6" s="16"/>
      <c r="E6" s="270" t="str">
        <f>IF(D6="","",D6)</f>
        <v/>
      </c>
      <c r="F6" s="259" t="s">
        <v>2077</v>
      </c>
      <c r="G6" s="189" t="s">
        <v>2078</v>
      </c>
      <c r="H6" s="197" t="s">
        <v>2079</v>
      </c>
      <c r="I6" s="198" t="s">
        <v>2080</v>
      </c>
      <c r="J6" s="186"/>
    </row>
    <row r="7" spans="1:11" s="204" customFormat="1" ht="100.5" customHeight="1">
      <c r="A7" s="199"/>
      <c r="B7" s="302"/>
      <c r="C7" s="200" t="s">
        <v>2081</v>
      </c>
      <c r="D7" s="164"/>
      <c r="E7" s="283" t="str">
        <f>IF(D7="el año pasado","last year",IF(D7="un año normal","a normal year",""))</f>
        <v/>
      </c>
      <c r="F7" s="259" t="s">
        <v>2082</v>
      </c>
      <c r="G7" s="201" t="s">
        <v>2083</v>
      </c>
      <c r="H7" s="197" t="s">
        <v>2084</v>
      </c>
      <c r="I7" s="202" t="s">
        <v>2085</v>
      </c>
      <c r="J7" s="203"/>
    </row>
    <row r="8" spans="1:11" ht="121.05" customHeight="1">
      <c r="A8" s="179"/>
      <c r="B8" s="302"/>
      <c r="C8" s="196" t="s">
        <v>2086</v>
      </c>
      <c r="D8" s="16"/>
      <c r="E8" s="16"/>
      <c r="F8" s="260" t="s">
        <v>2087</v>
      </c>
      <c r="G8" s="205" t="s">
        <v>2088</v>
      </c>
      <c r="H8" s="206" t="s">
        <v>2089</v>
      </c>
      <c r="I8" s="207" t="s">
        <v>2090</v>
      </c>
      <c r="J8" s="186"/>
      <c r="K8" s="284"/>
    </row>
    <row r="9" spans="1:11" ht="100.8">
      <c r="A9" s="179"/>
      <c r="B9" s="302"/>
      <c r="C9" s="196" t="s">
        <v>2091</v>
      </c>
      <c r="D9" s="285"/>
      <c r="E9" s="208" t="str">
        <f>IF(D9="todavía no está en temporada","Not yet in season",IF(D9="preparación de tierra","land preparation",IF(D9="plantación","Planting",IF(D9="crecimiento temprano","Early growing",IF(D9="crecimiento","Growing",IF(D9="maduración","Maturing",IF(D9="cosecha","Harvesting",IF(D9="terminado recientemente","Recently Finished",""))))))))</f>
        <v/>
      </c>
      <c r="F9" s="260" t="s">
        <v>2092</v>
      </c>
      <c r="G9" s="205" t="s">
        <v>2093</v>
      </c>
      <c r="H9" s="206" t="s">
        <v>2094</v>
      </c>
      <c r="I9" s="198" t="s">
        <v>2095</v>
      </c>
      <c r="J9" s="186"/>
    </row>
    <row r="10" spans="1:11" s="204" customFormat="1" ht="85.05" customHeight="1">
      <c r="A10" s="199"/>
      <c r="B10" s="302"/>
      <c r="C10" s="209" t="s">
        <v>2096</v>
      </c>
      <c r="D10" s="286"/>
      <c r="E10" s="286"/>
      <c r="F10" s="261" t="s">
        <v>2097</v>
      </c>
      <c r="G10" s="210" t="s">
        <v>2098</v>
      </c>
      <c r="H10" s="206" t="s">
        <v>1972</v>
      </c>
      <c r="I10" s="211" t="s">
        <v>1972</v>
      </c>
      <c r="J10" s="203"/>
    </row>
    <row r="11" spans="1:11" s="204" customFormat="1" ht="50.25" customHeight="1" thickBot="1">
      <c r="A11" s="199"/>
      <c r="B11" s="303"/>
      <c r="C11" s="212" t="s">
        <v>2099</v>
      </c>
      <c r="D11" s="287"/>
      <c r="E11" s="213" t="str">
        <f>IF(D11&lt;&gt;"",D11,"")</f>
        <v/>
      </c>
      <c r="F11" s="262" t="s">
        <v>2100</v>
      </c>
      <c r="G11" s="214" t="s">
        <v>2101</v>
      </c>
      <c r="H11" s="215">
        <v>1.43</v>
      </c>
      <c r="I11" s="216">
        <v>1.43</v>
      </c>
      <c r="J11" s="203"/>
    </row>
    <row r="12" spans="1:11" ht="57.45" customHeight="1">
      <c r="A12" s="179"/>
      <c r="B12" s="302" t="s">
        <v>2102</v>
      </c>
      <c r="C12" s="217" t="s">
        <v>2103</v>
      </c>
      <c r="D12" s="288"/>
      <c r="E12" s="188" t="str">
        <f t="shared" ref="E12:E14" si="0">IF(D12="","",D12)</f>
        <v/>
      </c>
      <c r="F12" s="263" t="s">
        <v>2104</v>
      </c>
      <c r="G12" s="218" t="s">
        <v>2105</v>
      </c>
      <c r="H12" s="194" t="s">
        <v>2106</v>
      </c>
      <c r="I12" s="219" t="s">
        <v>2106</v>
      </c>
      <c r="J12" s="186"/>
    </row>
    <row r="13" spans="1:11" ht="145.5" customHeight="1">
      <c r="A13" s="179"/>
      <c r="B13" s="302"/>
      <c r="C13" s="220" t="s">
        <v>2107</v>
      </c>
      <c r="D13" s="289"/>
      <c r="E13" s="188" t="str">
        <f t="shared" si="0"/>
        <v/>
      </c>
      <c r="F13" s="264" t="s">
        <v>2108</v>
      </c>
      <c r="G13" s="221" t="s">
        <v>2109</v>
      </c>
      <c r="H13" s="206">
        <v>5</v>
      </c>
      <c r="I13" s="222">
        <v>5</v>
      </c>
      <c r="J13" s="223"/>
      <c r="K13" s="224"/>
    </row>
    <row r="14" spans="1:11" ht="198" customHeight="1">
      <c r="A14" s="179"/>
      <c r="B14" s="302"/>
      <c r="C14" s="220" t="s">
        <v>2110</v>
      </c>
      <c r="D14" s="289"/>
      <c r="E14" s="188" t="str">
        <f t="shared" si="0"/>
        <v/>
      </c>
      <c r="F14" s="265" t="s">
        <v>2111</v>
      </c>
      <c r="G14" s="210" t="s">
        <v>2112</v>
      </c>
      <c r="H14" s="206">
        <v>1200000</v>
      </c>
      <c r="I14" s="222">
        <v>1200000</v>
      </c>
      <c r="J14" s="186"/>
    </row>
    <row r="15" spans="1:11" ht="43.2">
      <c r="A15" s="179"/>
      <c r="B15" s="302"/>
      <c r="C15" s="225" t="s">
        <v>2113</v>
      </c>
      <c r="D15" s="16"/>
      <c r="E15" s="16"/>
      <c r="F15" s="261" t="s">
        <v>2114</v>
      </c>
      <c r="G15" s="210" t="s">
        <v>2115</v>
      </c>
      <c r="H15" s="206" t="s">
        <v>2116</v>
      </c>
      <c r="I15" s="207" t="s">
        <v>2117</v>
      </c>
      <c r="J15" s="186"/>
    </row>
    <row r="16" spans="1:11" ht="43.8" thickBot="1">
      <c r="A16" s="179"/>
      <c r="B16" s="303"/>
      <c r="C16" s="226" t="s">
        <v>2118</v>
      </c>
      <c r="D16" s="17"/>
      <c r="E16" s="17"/>
      <c r="F16" s="266" t="s">
        <v>2119</v>
      </c>
      <c r="G16" s="227" t="s">
        <v>2120</v>
      </c>
      <c r="H16" s="228" t="s">
        <v>2121</v>
      </c>
      <c r="I16" s="229" t="s">
        <v>2122</v>
      </c>
      <c r="J16" s="186"/>
    </row>
    <row r="17" spans="1:10" s="238" customFormat="1" ht="5.55" customHeight="1" thickBot="1">
      <c r="A17" s="230"/>
      <c r="B17" s="231"/>
      <c r="C17" s="232"/>
      <c r="D17" s="233"/>
      <c r="E17" s="234"/>
      <c r="G17" s="235"/>
      <c r="H17" s="236"/>
      <c r="I17" s="237"/>
      <c r="J17" s="224"/>
    </row>
    <row r="18" spans="1:10" ht="172.8">
      <c r="A18" s="179"/>
      <c r="B18" s="304" t="s">
        <v>2123</v>
      </c>
      <c r="C18" s="239" t="s">
        <v>2124</v>
      </c>
      <c r="D18" s="249">
        <v>0.91</v>
      </c>
      <c r="E18" s="290">
        <f t="shared" ref="E18:E20" si="1">IF(D18="","",D18)</f>
        <v>0.91</v>
      </c>
      <c r="F18" s="267" t="s">
        <v>2125</v>
      </c>
      <c r="G18" s="240" t="s">
        <v>2126</v>
      </c>
      <c r="H18" s="158">
        <v>0.91</v>
      </c>
      <c r="I18" s="159">
        <v>0.91</v>
      </c>
      <c r="J18" s="186"/>
    </row>
    <row r="19" spans="1:10" ht="172.8">
      <c r="A19" s="179"/>
      <c r="B19" s="305"/>
      <c r="C19" s="241" t="s">
        <v>2127</v>
      </c>
      <c r="D19" s="250">
        <v>0.91</v>
      </c>
      <c r="E19" s="291">
        <f t="shared" si="1"/>
        <v>0.91</v>
      </c>
      <c r="F19" s="268" t="s">
        <v>2128</v>
      </c>
      <c r="G19" s="242" t="s">
        <v>2129</v>
      </c>
      <c r="H19" s="160">
        <v>0.91</v>
      </c>
      <c r="I19" s="161">
        <v>0.91</v>
      </c>
      <c r="J19" s="186"/>
    </row>
    <row r="20" spans="1:10" ht="141" customHeight="1" thickBot="1">
      <c r="A20" s="179"/>
      <c r="B20" s="306"/>
      <c r="C20" s="243" t="s">
        <v>2130</v>
      </c>
      <c r="D20" s="251">
        <v>0.05</v>
      </c>
      <c r="E20" s="292">
        <f t="shared" si="1"/>
        <v>0.05</v>
      </c>
      <c r="F20" s="269" t="s">
        <v>2131</v>
      </c>
      <c r="G20" s="244" t="s">
        <v>2132</v>
      </c>
      <c r="H20" s="162">
        <v>0.05</v>
      </c>
      <c r="I20" s="163">
        <v>0.05</v>
      </c>
      <c r="J20" s="186"/>
    </row>
    <row r="21" spans="1:10">
      <c r="B21" s="245"/>
      <c r="C21" s="245"/>
      <c r="D21" s="245"/>
      <c r="E21" s="245"/>
      <c r="F21" s="246"/>
      <c r="G21" s="246"/>
      <c r="H21" s="247"/>
      <c r="I21" s="245"/>
    </row>
  </sheetData>
  <sheetProtection algorithmName="SHA-512" hashValue="i2O4zvlWzXCIakP4W7WAgDRu/+q1m1MMpF5HxpL2wpXXj4c0wu6e2UrlgX8aDU16V5GetCI2RCRY4mNnEne/8g==" saltValue="yerRBY0cZi6t0CjWHzG7og==" spinCount="100000" sheet="1" objects="1" scenarios="1"/>
  <mergeCells count="3">
    <mergeCell ref="B12:B16"/>
    <mergeCell ref="B18:B20"/>
    <mergeCell ref="B3:B11"/>
  </mergeCells>
  <dataValidations count="2">
    <dataValidation type="list" allowBlank="1" showInputMessage="1" showErrorMessage="1" sqref="D7" xr:uid="{EE451652-45C9-1340-ACDF-D2DD21BBBD80}">
      <formula1>"el año pasado, un año normal"</formula1>
    </dataValidation>
    <dataValidation type="list" allowBlank="1" showInputMessage="1" showErrorMessage="1" sqref="D9" xr:uid="{EEFB481C-A1FA-BE4C-BFC0-1256267B1D54}">
      <formula1>"todavía no está en temporada, preparación de tierra, plantación, crecimiento temprano, crecimiento, maduración, cosecha, terminado recientemente"</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9" ma:contentTypeDescription="Create a new document." ma:contentTypeScope="" ma:versionID="b145c70deba40b74930cb7be37f60a6f">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5e2534c12530836b85ee6981d0f7b4a2"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Props1.xml><?xml version="1.0" encoding="utf-8"?>
<ds:datastoreItem xmlns:ds="http://schemas.openxmlformats.org/officeDocument/2006/customXml" ds:itemID="{2BED2579-A0F8-4F8B-8F85-A79F29BB02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3E29E9-50F6-4C85-836A-A023FCCA6985}">
  <ds:schemaRefs>
    <ds:schemaRef ds:uri="http://schemas.microsoft.com/sharepoint/v3/contenttype/forms"/>
  </ds:schemaRefs>
</ds:datastoreItem>
</file>

<file path=customXml/itemProps3.xml><?xml version="1.0" encoding="utf-8"?>
<ds:datastoreItem xmlns:ds="http://schemas.openxmlformats.org/officeDocument/2006/customXml" ds:itemID="{5515B646-3C0A-4AE4-895D-12A144F3453E}">
  <ds:schemaRefs>
    <ds:schemaRef ds:uri="http://schemas.openxmlformats.org/package/2006/metadata/core-properties"/>
    <ds:schemaRef ds:uri="http://purl.org/dc/terms/"/>
    <ds:schemaRef ds:uri="651ac188-b77a-445d-b0b3-bedb0cff8e72"/>
    <ds:schemaRef ds:uri="4efa6d18-7e22-4963-b4bf-16e1a76dd523"/>
    <ds:schemaRef ds:uri="http://www.w3.org/XML/1998/namespace"/>
    <ds:schemaRef ds:uri="http://schemas.microsoft.com/office/2006/metadata/properties"/>
    <ds:schemaRef ds:uri="http://purl.org/dc/elements/1.1/"/>
    <ds:schemaRef ds:uri="http://schemas.microsoft.com/office/2006/documentManagement/types"/>
    <ds:schemaRef ds:uri="http://schemas.microsoft.com/office/infopath/2007/PartnerControl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Lecland, Ines (OER)</dc:creator>
  <cp:keywords/>
  <dc:description/>
  <cp:lastModifiedBy>Lecland, Ines (OER)</cp:lastModifiedBy>
  <cp:revision/>
  <dcterms:created xsi:type="dcterms:W3CDTF">2021-01-05T14:16:30Z</dcterms:created>
  <dcterms:modified xsi:type="dcterms:W3CDTF">2025-07-23T15:24:56Z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