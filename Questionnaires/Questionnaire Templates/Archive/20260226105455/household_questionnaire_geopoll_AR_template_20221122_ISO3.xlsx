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showInkAnnotation="0" defaultThemeVersion="166925"/>
  <mc:AlternateContent xmlns:mc="http://schemas.openxmlformats.org/markup-compatibility/2006">
    <mc:Choice Requires="x15">
      <x15ac:absPath xmlns:x15ac="http://schemas.microsoft.com/office/spreadsheetml/2010/11/ac" url="https://unfao.sharepoint.com/sites/OER/Evidence for programming/Needs Assessments/04. Capacity Building/03. HH questionnaire/Questionnaire templates/Revision 2 [mid-2022]/"/>
    </mc:Choice>
  </mc:AlternateContent>
  <xr:revisionPtr revIDLastSave="5" documentId="8_{F95CFD8A-9EC4-F440-8E06-7B1C82E5350D}" xr6:coauthVersionLast="47" xr6:coauthVersionMax="47" xr10:uidLastSave="{12A90C52-9D95-2343-BA61-6C4A9ED096DC}"/>
  <bookViews>
    <workbookView xWindow="0" yWindow="500" windowWidth="28800" windowHeight="16580" xr2:uid="{00000000-000D-0000-FFFF-FFFF00000000}"/>
  </bookViews>
  <sheets>
    <sheet name="survey" sheetId="21" r:id="rId1"/>
    <sheet name="Crop list" sheetId="10" r:id="rId2"/>
    <sheet name="Additional information" sheetId="8" r:id="rId3"/>
  </sheets>
  <definedNames>
    <definedName name="_xlnm._FilterDatabase" localSheetId="1" hidden="1">'Crop list'!$C$3:$F$93</definedName>
    <definedName name="_xlnm._FilterDatabase" localSheetId="0" hidden="1">survey!$A$3:$P$147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8" l="1"/>
  <c r="D5" i="8"/>
  <c r="D13" i="8"/>
  <c r="D12" i="8"/>
  <c r="D10" i="8"/>
  <c r="D11" i="8"/>
  <c r="D19" i="8" l="1"/>
  <c r="D18" i="8"/>
  <c r="D17" i="8"/>
  <c r="D9" i="8" l="1"/>
  <c r="E229" i="21" l="1"/>
  <c r="E230" i="21"/>
  <c r="E232" i="21"/>
  <c r="E233" i="21"/>
  <c r="E235" i="21"/>
  <c r="E238" i="21"/>
  <c r="E239" i="21"/>
  <c r="E240" i="21"/>
  <c r="E241" i="21"/>
  <c r="E242" i="21"/>
  <c r="E243" i="21"/>
  <c r="E244" i="21"/>
  <c r="E246" i="21"/>
  <c r="E42" i="21" l="1"/>
  <c r="E43" i="21"/>
  <c r="E45" i="21"/>
  <c r="E47" i="21"/>
  <c r="E48" i="21"/>
  <c r="E49" i="21"/>
  <c r="E51" i="21"/>
  <c r="E52" i="21"/>
  <c r="E53" i="21"/>
  <c r="E54" i="21"/>
  <c r="E55" i="21"/>
  <c r="E56" i="21"/>
  <c r="G247" i="21"/>
  <c r="G246" i="21"/>
  <c r="G244" i="21"/>
  <c r="G243" i="21"/>
  <c r="G242" i="21"/>
  <c r="G241" i="21"/>
  <c r="G240" i="21"/>
  <c r="G239" i="21"/>
  <c r="G238" i="21"/>
  <c r="G235" i="21"/>
  <c r="G233" i="21"/>
  <c r="G232" i="21"/>
  <c r="G230" i="21"/>
  <c r="G229" i="21"/>
  <c r="G227" i="21"/>
  <c r="G226" i="21"/>
  <c r="G225" i="21"/>
  <c r="G224" i="21"/>
  <c r="G223" i="21"/>
  <c r="G222" i="21"/>
  <c r="G221" i="21"/>
  <c r="G220" i="21"/>
  <c r="G219" i="21"/>
  <c r="G218" i="21"/>
  <c r="G217" i="21"/>
  <c r="G216" i="21"/>
  <c r="G215" i="21"/>
  <c r="G214" i="21"/>
  <c r="G213" i="21"/>
  <c r="G212" i="21"/>
  <c r="G211" i="21"/>
  <c r="G210" i="21"/>
  <c r="G209" i="21"/>
  <c r="G208" i="21"/>
  <c r="G207" i="21"/>
  <c r="G206" i="21"/>
  <c r="G205" i="21"/>
  <c r="G204" i="21"/>
  <c r="G203" i="21"/>
  <c r="G202" i="21"/>
  <c r="G201" i="21"/>
  <c r="G200" i="21"/>
  <c r="G199" i="21"/>
  <c r="G198" i="21"/>
  <c r="G197" i="21"/>
  <c r="G196" i="21"/>
  <c r="G195" i="21"/>
  <c r="G194" i="21"/>
  <c r="G193" i="21"/>
  <c r="G192" i="21"/>
  <c r="G191" i="21"/>
  <c r="G190" i="21"/>
  <c r="G189" i="21"/>
  <c r="G188" i="21"/>
  <c r="G187" i="21"/>
  <c r="G186" i="21"/>
  <c r="G185" i="21"/>
  <c r="G184" i="21"/>
  <c r="G183" i="21"/>
  <c r="G182" i="21"/>
  <c r="G181" i="21"/>
  <c r="G180" i="21"/>
  <c r="G179" i="21"/>
  <c r="G178" i="21"/>
  <c r="G175" i="21"/>
  <c r="G173" i="21"/>
  <c r="G172" i="21"/>
  <c r="G170" i="21"/>
  <c r="G167" i="21"/>
  <c r="G166" i="21"/>
  <c r="G165" i="21"/>
  <c r="G163" i="21"/>
  <c r="G161" i="21"/>
  <c r="G159" i="21"/>
  <c r="G156" i="21"/>
  <c r="G154" i="21"/>
  <c r="G153" i="21"/>
  <c r="G151" i="21"/>
  <c r="G148" i="21"/>
  <c r="G147" i="21"/>
  <c r="G146" i="21"/>
  <c r="G144" i="21"/>
  <c r="G143" i="21"/>
  <c r="G142" i="21"/>
  <c r="G141" i="21"/>
  <c r="G139" i="21"/>
  <c r="G137" i="21"/>
  <c r="G134" i="21"/>
  <c r="G132" i="21"/>
  <c r="G131" i="21"/>
  <c r="G129" i="21"/>
  <c r="G126" i="21"/>
  <c r="G125" i="21"/>
  <c r="G123" i="21"/>
  <c r="G122" i="21"/>
  <c r="G120" i="21"/>
  <c r="G119" i="21"/>
  <c r="G118" i="21"/>
  <c r="G117" i="21"/>
  <c r="G116" i="21"/>
  <c r="G114" i="21"/>
  <c r="G112" i="21"/>
  <c r="G111" i="21"/>
  <c r="G110" i="21"/>
  <c r="G108" i="21"/>
  <c r="G106" i="21"/>
  <c r="G105" i="21"/>
  <c r="G103" i="21"/>
  <c r="G102" i="21"/>
  <c r="G100" i="21"/>
  <c r="G97" i="21"/>
  <c r="G96" i="21"/>
  <c r="G95" i="21"/>
  <c r="G93" i="21"/>
  <c r="G91" i="21"/>
  <c r="G90" i="21"/>
  <c r="G89" i="21"/>
  <c r="G88" i="21"/>
  <c r="G86" i="21"/>
  <c r="G85" i="21"/>
  <c r="G84" i="21"/>
  <c r="G83" i="21"/>
  <c r="G81" i="21"/>
  <c r="G79" i="21"/>
  <c r="G78" i="21"/>
  <c r="G77" i="21"/>
  <c r="G76" i="21"/>
  <c r="G74" i="21"/>
  <c r="G73" i="21"/>
  <c r="G72" i="21"/>
  <c r="G71" i="21"/>
  <c r="G69" i="21"/>
  <c r="G67" i="21"/>
  <c r="G66" i="21"/>
  <c r="G65" i="21"/>
  <c r="G64" i="21"/>
  <c r="G62" i="21"/>
  <c r="G61" i="21"/>
  <c r="G60" i="21"/>
  <c r="G59" i="21"/>
  <c r="G56" i="21"/>
  <c r="G55" i="21"/>
  <c r="G54" i="21"/>
  <c r="G53" i="21"/>
  <c r="G52" i="21"/>
  <c r="G51" i="21"/>
  <c r="G49" i="21"/>
  <c r="G48" i="21"/>
  <c r="G47" i="21"/>
  <c r="G45" i="21"/>
  <c r="G43" i="21"/>
  <c r="G42" i="21"/>
  <c r="G38" i="21"/>
  <c r="G37" i="21"/>
  <c r="G36" i="21"/>
  <c r="G35" i="21"/>
  <c r="G33" i="21"/>
  <c r="G32" i="21"/>
  <c r="G31" i="21"/>
  <c r="G30" i="21"/>
  <c r="G29" i="21"/>
  <c r="G28" i="21"/>
  <c r="G27" i="21"/>
  <c r="G26" i="21"/>
  <c r="G24" i="21"/>
  <c r="G23" i="21"/>
  <c r="G22" i="21"/>
  <c r="G21" i="21"/>
  <c r="G19" i="21"/>
  <c r="G18" i="21"/>
  <c r="G17" i="21"/>
  <c r="G16" i="21"/>
  <c r="G15" i="21"/>
  <c r="G14" i="21"/>
  <c r="G13" i="21"/>
  <c r="G12" i="21"/>
  <c r="G11" i="21"/>
  <c r="G10" i="21"/>
  <c r="G9" i="21"/>
  <c r="G8" i="21"/>
  <c r="G7" i="21"/>
  <c r="G6" i="21"/>
  <c r="G5" i="21"/>
  <c r="Y42" i="21" l="1"/>
  <c r="Z135" i="21"/>
  <c r="Y135" i="21"/>
  <c r="Q135" i="21"/>
  <c r="D4" i="10" a="1"/>
  <c r="D4" i="10" s="1"/>
  <c r="E37" i="21"/>
  <c r="Q86" i="21" l="1"/>
  <c r="E86" i="21"/>
  <c r="Q85" i="21"/>
  <c r="E85" i="21"/>
  <c r="Q84" i="21"/>
  <c r="Y84" i="21" s="1"/>
  <c r="Z84" i="21" s="1"/>
  <c r="E84" i="21"/>
  <c r="Q74" i="21"/>
  <c r="Y74" i="21" s="1"/>
  <c r="Z74" i="21" s="1"/>
  <c r="E74" i="21"/>
  <c r="Q73" i="21"/>
  <c r="E73" i="21"/>
  <c r="Q72" i="21"/>
  <c r="Y72" i="21" s="1"/>
  <c r="Z72" i="21" s="1"/>
  <c r="E72" i="21"/>
  <c r="Y85" i="21" l="1"/>
  <c r="Z85" i="21" s="1"/>
  <c r="Y86" i="21"/>
  <c r="Z86" i="21" s="1"/>
  <c r="Y73" i="21"/>
  <c r="Z73" i="21" s="1"/>
  <c r="Q62" i="21" l="1"/>
  <c r="Y62" i="21" s="1"/>
  <c r="Z62" i="21" s="1"/>
  <c r="E62" i="21"/>
  <c r="Q61" i="21"/>
  <c r="Y61" i="21" s="1"/>
  <c r="Z61" i="21" s="1"/>
  <c r="E61" i="21"/>
  <c r="E111" i="21" l="1"/>
  <c r="E110" i="21"/>
  <c r="Z234" i="21" l="1"/>
  <c r="Z235" i="21"/>
  <c r="Y235" i="21"/>
  <c r="Q93" i="21" l="1"/>
  <c r="E93" i="21"/>
  <c r="A93" i="21"/>
  <c r="Z92" i="21"/>
  <c r="Y92" i="21"/>
  <c r="Q92" i="21"/>
  <c r="Y93" i="21" l="1"/>
  <c r="Z93" i="21" s="1"/>
  <c r="Z67" i="21" l="1"/>
  <c r="Q67" i="21"/>
  <c r="Y67" i="21" s="1"/>
  <c r="E67" i="21"/>
  <c r="Q66" i="21"/>
  <c r="Y66" i="21" s="1"/>
  <c r="Z66" i="21" s="1"/>
  <c r="E66" i="21"/>
  <c r="Z79" i="21"/>
  <c r="Q79" i="21"/>
  <c r="Y79" i="21" s="1"/>
  <c r="E79" i="21"/>
  <c r="Q78" i="21"/>
  <c r="Y78" i="21" s="1"/>
  <c r="Z78" i="21" s="1"/>
  <c r="E78" i="21"/>
  <c r="Z91" i="21"/>
  <c r="Q91" i="21"/>
  <c r="Y91" i="21" s="1"/>
  <c r="E91" i="21"/>
  <c r="Q90" i="21"/>
  <c r="E90" i="21"/>
  <c r="E60" i="21"/>
  <c r="Q60" i="21"/>
  <c r="Y90" i="21" l="1"/>
  <c r="Z90" i="21" s="1"/>
  <c r="Y60" i="21"/>
  <c r="Z60" i="21" s="1"/>
  <c r="Z42" i="21"/>
  <c r="Z44" i="21"/>
  <c r="Z46" i="21"/>
  <c r="Z50" i="21"/>
  <c r="Z51" i="21"/>
  <c r="Z52" i="21"/>
  <c r="Z53" i="21"/>
  <c r="Z54" i="21"/>
  <c r="Z55" i="21"/>
  <c r="Z56" i="21"/>
  <c r="Z57" i="21"/>
  <c r="Z58" i="21"/>
  <c r="Z63" i="21"/>
  <c r="Z64" i="21"/>
  <c r="Z65" i="21"/>
  <c r="Z68" i="21"/>
  <c r="Z70" i="21"/>
  <c r="Z75" i="21"/>
  <c r="Z76" i="21"/>
  <c r="Z77" i="21"/>
  <c r="Z80" i="21"/>
  <c r="Z82" i="21"/>
  <c r="Z87" i="21"/>
  <c r="Z88" i="21"/>
  <c r="Z89" i="21"/>
  <c r="Z94" i="21"/>
  <c r="Z96" i="21"/>
  <c r="Z97" i="21"/>
  <c r="Z98" i="21"/>
  <c r="Z99" i="21"/>
  <c r="Z101" i="21"/>
  <c r="Z104" i="21"/>
  <c r="Z107" i="21"/>
  <c r="Z109" i="21"/>
  <c r="Z112" i="21"/>
  <c r="Z113" i="21"/>
  <c r="Z115" i="21"/>
  <c r="Z117" i="21"/>
  <c r="Z118" i="21"/>
  <c r="Z119" i="21"/>
  <c r="Z120" i="21"/>
  <c r="Z121" i="21"/>
  <c r="Z124" i="21"/>
  <c r="Z125" i="21"/>
  <c r="Z126" i="21"/>
  <c r="Z127" i="21"/>
  <c r="Z128" i="21"/>
  <c r="Z130" i="21"/>
  <c r="Z133" i="21"/>
  <c r="Z136" i="21"/>
  <c r="Z138" i="21"/>
  <c r="Z140" i="21"/>
  <c r="Z144" i="21"/>
  <c r="Z145" i="21"/>
  <c r="Z148" i="21"/>
  <c r="Z149" i="21"/>
  <c r="Z150" i="21"/>
  <c r="Z152" i="21"/>
  <c r="Z155" i="21"/>
  <c r="Z157" i="21"/>
  <c r="Z158" i="21"/>
  <c r="Z160" i="21"/>
  <c r="Z162" i="21"/>
  <c r="Z164" i="21"/>
  <c r="Z167" i="21"/>
  <c r="Z168" i="21"/>
  <c r="Z169" i="21"/>
  <c r="Z171" i="21"/>
  <c r="Z174" i="21"/>
  <c r="Z176" i="21"/>
  <c r="Z177" i="21"/>
  <c r="Z190" i="21"/>
  <c r="Z191" i="21"/>
  <c r="Z192" i="21"/>
  <c r="Z193" i="21"/>
  <c r="Z194" i="21"/>
  <c r="Z195" i="21"/>
  <c r="Z196" i="21"/>
  <c r="Z197" i="21"/>
  <c r="Z198" i="21"/>
  <c r="Z199" i="21"/>
  <c r="Z200" i="21"/>
  <c r="Z201" i="21"/>
  <c r="Z202" i="21"/>
  <c r="Z203" i="21"/>
  <c r="Z204" i="21"/>
  <c r="Z205" i="21"/>
  <c r="Z206" i="21"/>
  <c r="Z207" i="21"/>
  <c r="Z208" i="21"/>
  <c r="Z209" i="21"/>
  <c r="Z212" i="21"/>
  <c r="Z213" i="21"/>
  <c r="Z214" i="21"/>
  <c r="Z215" i="21"/>
  <c r="Z216" i="21"/>
  <c r="Z217" i="21"/>
  <c r="Z218" i="21"/>
  <c r="Z219" i="21"/>
  <c r="Z220" i="21"/>
  <c r="Z221" i="21"/>
  <c r="Z222" i="21"/>
  <c r="Z223" i="21"/>
  <c r="Z224" i="21"/>
  <c r="Z225" i="21"/>
  <c r="Z226" i="21"/>
  <c r="Z227" i="21"/>
  <c r="Z228" i="21"/>
  <c r="Z231" i="21"/>
  <c r="Z236" i="21"/>
  <c r="Z237" i="21"/>
  <c r="Z239" i="21"/>
  <c r="Z240" i="21"/>
  <c r="Z241" i="21"/>
  <c r="Z242" i="21"/>
  <c r="Z243" i="21"/>
  <c r="Z244" i="21"/>
  <c r="Z245" i="21"/>
  <c r="Z247" i="21"/>
  <c r="Z5" i="21"/>
  <c r="Z7" i="21"/>
  <c r="Z8" i="21"/>
  <c r="Z9" i="21"/>
  <c r="Z10" i="21"/>
  <c r="Z11" i="21"/>
  <c r="Z12" i="21"/>
  <c r="Z13" i="21"/>
  <c r="Z14" i="21"/>
  <c r="Z15" i="21"/>
  <c r="Z16" i="21"/>
  <c r="Z17" i="21"/>
  <c r="Z18" i="21"/>
  <c r="Z19" i="21"/>
  <c r="Z20" i="21"/>
  <c r="Z25" i="21"/>
  <c r="Z26" i="21"/>
  <c r="Z27" i="21"/>
  <c r="Z28" i="21"/>
  <c r="Z29" i="21"/>
  <c r="Z30" i="21"/>
  <c r="Z31" i="21"/>
  <c r="Z32" i="21"/>
  <c r="Z33" i="21"/>
  <c r="Z34" i="21"/>
  <c r="Z39" i="21"/>
  <c r="Z40" i="21"/>
  <c r="Z41" i="21"/>
  <c r="Z4" i="21" l="1"/>
  <c r="Y234" i="21" l="1"/>
  <c r="Y6" i="21" l="1"/>
  <c r="Z6" i="21" s="1"/>
  <c r="Y7" i="21"/>
  <c r="Y8" i="21"/>
  <c r="Y9" i="21"/>
  <c r="Y10" i="21"/>
  <c r="Y11" i="21"/>
  <c r="Y12" i="21"/>
  <c r="Y13" i="21"/>
  <c r="Y14" i="21"/>
  <c r="Y15" i="21"/>
  <c r="Y16" i="21"/>
  <c r="Y17" i="21"/>
  <c r="Y18" i="21"/>
  <c r="Y19" i="21"/>
  <c r="Y20" i="21"/>
  <c r="Y25" i="21"/>
  <c r="Y34" i="21"/>
  <c r="Y39" i="21"/>
  <c r="Y40" i="21"/>
  <c r="Y41" i="21"/>
  <c r="Y44" i="21"/>
  <c r="Y46" i="21"/>
  <c r="Y50" i="21"/>
  <c r="Y57" i="21"/>
  <c r="Y58" i="21"/>
  <c r="Y63" i="21"/>
  <c r="Y68" i="21"/>
  <c r="Y70" i="21"/>
  <c r="Y75" i="21"/>
  <c r="Y80" i="21"/>
  <c r="Y82" i="21"/>
  <c r="Y87" i="21"/>
  <c r="Y94" i="21"/>
  <c r="Y96" i="21"/>
  <c r="Y98" i="21"/>
  <c r="Y99" i="21"/>
  <c r="Y101" i="21"/>
  <c r="Y104" i="21"/>
  <c r="Y107" i="21"/>
  <c r="Y109" i="21"/>
  <c r="Y113" i="21"/>
  <c r="Y115" i="21"/>
  <c r="Y121" i="21"/>
  <c r="Y124" i="21"/>
  <c r="Y127" i="21"/>
  <c r="Y128" i="21"/>
  <c r="Y130" i="21"/>
  <c r="Y133" i="21"/>
  <c r="Y136" i="21"/>
  <c r="Y138" i="21"/>
  <c r="Y140" i="21"/>
  <c r="Y145" i="21"/>
  <c r="Y149" i="21"/>
  <c r="Y150" i="21"/>
  <c r="Y152" i="21"/>
  <c r="Y155" i="21"/>
  <c r="Y157" i="21"/>
  <c r="Y158" i="21"/>
  <c r="Y160" i="21"/>
  <c r="Y162" i="21"/>
  <c r="Y164" i="21"/>
  <c r="Y168" i="21"/>
  <c r="Y169" i="21"/>
  <c r="Y171" i="21"/>
  <c r="Y174" i="21"/>
  <c r="Y176" i="21"/>
  <c r="Y177" i="21"/>
  <c r="Y178" i="21"/>
  <c r="Z178" i="21" s="1"/>
  <c r="Y179" i="21"/>
  <c r="Z179" i="21" s="1"/>
  <c r="Y180" i="21"/>
  <c r="Z180" i="21" s="1"/>
  <c r="Y181" i="21"/>
  <c r="Z181" i="21" s="1"/>
  <c r="Y182" i="21"/>
  <c r="Z182" i="21" s="1"/>
  <c r="Y183" i="21"/>
  <c r="Z183" i="21" s="1"/>
  <c r="Y184" i="21"/>
  <c r="Z184" i="21" s="1"/>
  <c r="Y185" i="21"/>
  <c r="Z185" i="21" s="1"/>
  <c r="Y186" i="21"/>
  <c r="Z186" i="21" s="1"/>
  <c r="Y187" i="21"/>
  <c r="Z187" i="21" s="1"/>
  <c r="Y188" i="21"/>
  <c r="Z188" i="21" s="1"/>
  <c r="Y189" i="21"/>
  <c r="Z189" i="21" s="1"/>
  <c r="Y190" i="21"/>
  <c r="Y191" i="21"/>
  <c r="Y192" i="21"/>
  <c r="Y193" i="21"/>
  <c r="Y194" i="21"/>
  <c r="Y195" i="21"/>
  <c r="Y196" i="21"/>
  <c r="Y197" i="21"/>
  <c r="Y198" i="21"/>
  <c r="Y199" i="21"/>
  <c r="Y200" i="21"/>
  <c r="Y201" i="21"/>
  <c r="Y202" i="21"/>
  <c r="Y203" i="21"/>
  <c r="Y204" i="21"/>
  <c r="Y205" i="21"/>
  <c r="Y206" i="21"/>
  <c r="Y207" i="21"/>
  <c r="Y208" i="21"/>
  <c r="Y209" i="21"/>
  <c r="Y210" i="21"/>
  <c r="Z210" i="21" s="1"/>
  <c r="Y211" i="21"/>
  <c r="Z211" i="21" s="1"/>
  <c r="Y212" i="21"/>
  <c r="Y213" i="21"/>
  <c r="Y214" i="21"/>
  <c r="Y215" i="21"/>
  <c r="Y216" i="21"/>
  <c r="Y217" i="21"/>
  <c r="Y218" i="21"/>
  <c r="Y219" i="21"/>
  <c r="Y220" i="21"/>
  <c r="Y221" i="21"/>
  <c r="Y222" i="21"/>
  <c r="Y223" i="21"/>
  <c r="Y224" i="21"/>
  <c r="Y225" i="21"/>
  <c r="Y226" i="21"/>
  <c r="Y227" i="21"/>
  <c r="Y228" i="21"/>
  <c r="Y229" i="21"/>
  <c r="Z229" i="21" s="1"/>
  <c r="Y230" i="21"/>
  <c r="Z230" i="21" s="1"/>
  <c r="Y231" i="21"/>
  <c r="Y232" i="21"/>
  <c r="Z232" i="21" s="1"/>
  <c r="Y233" i="21"/>
  <c r="Z233" i="21" s="1"/>
  <c r="Y236" i="21"/>
  <c r="Y237" i="21"/>
  <c r="Y238" i="21"/>
  <c r="Z238" i="21" s="1"/>
  <c r="Y239" i="21"/>
  <c r="Y240" i="21"/>
  <c r="Y241" i="21"/>
  <c r="Y242" i="21"/>
  <c r="Y243" i="21"/>
  <c r="Y244" i="21"/>
  <c r="Y245" i="21"/>
  <c r="Y246" i="21"/>
  <c r="Z246" i="21" s="1"/>
  <c r="Y247" i="21"/>
  <c r="Y5" i="21"/>
  <c r="Y4" i="21"/>
  <c r="E117" i="21" l="1"/>
  <c r="Q117" i="21"/>
  <c r="E118" i="21"/>
  <c r="Q118" i="21"/>
  <c r="E119" i="21"/>
  <c r="Q119" i="21"/>
  <c r="E120" i="21"/>
  <c r="Q120" i="21"/>
  <c r="Q176" i="21"/>
  <c r="Q175" i="21"/>
  <c r="Y175" i="21" s="1"/>
  <c r="Z175" i="21" s="1"/>
  <c r="Q174" i="21"/>
  <c r="Q173" i="21"/>
  <c r="Q172" i="21"/>
  <c r="Q171" i="21"/>
  <c r="Q170" i="21"/>
  <c r="Q168" i="21"/>
  <c r="Q167" i="21"/>
  <c r="Q166" i="21"/>
  <c r="Q165" i="21"/>
  <c r="Q164" i="21"/>
  <c r="Q163" i="21"/>
  <c r="Q162" i="21"/>
  <c r="Q161" i="21"/>
  <c r="Q160" i="21"/>
  <c r="Q159" i="21"/>
  <c r="Q134" i="21"/>
  <c r="Q132" i="21"/>
  <c r="Q131" i="21"/>
  <c r="Q130" i="21"/>
  <c r="Q129" i="21"/>
  <c r="Q127" i="21"/>
  <c r="Q126" i="21"/>
  <c r="Y126" i="21" s="1"/>
  <c r="Q125" i="21"/>
  <c r="Q124" i="21"/>
  <c r="Q123" i="21"/>
  <c r="Q122" i="21"/>
  <c r="Q121" i="21"/>
  <c r="Q116" i="21"/>
  <c r="Q115" i="21"/>
  <c r="Q114" i="21"/>
  <c r="Q113" i="21"/>
  <c r="Q112" i="21"/>
  <c r="Q109" i="21"/>
  <c r="Q108" i="21"/>
  <c r="Y108" i="21" s="1"/>
  <c r="Z108" i="21" s="1"/>
  <c r="Q107" i="21"/>
  <c r="Q106" i="21"/>
  <c r="Q105" i="21"/>
  <c r="Y105" i="21" s="1"/>
  <c r="Z105" i="21" s="1"/>
  <c r="Q104" i="21"/>
  <c r="Q103" i="21"/>
  <c r="Q102" i="21"/>
  <c r="Q101" i="21"/>
  <c r="Q100" i="21"/>
  <c r="Q133" i="21"/>
  <c r="Q137" i="21"/>
  <c r="Y137" i="21" s="1"/>
  <c r="Z137" i="21" s="1"/>
  <c r="Q156" i="21"/>
  <c r="Q155" i="21"/>
  <c r="Q154" i="21"/>
  <c r="Q153" i="21"/>
  <c r="Q152" i="21"/>
  <c r="Q151" i="21"/>
  <c r="Q149" i="21"/>
  <c r="Q148" i="21"/>
  <c r="Q147" i="21"/>
  <c r="Y147" i="21" s="1"/>
  <c r="Z147" i="21" s="1"/>
  <c r="Q146" i="21"/>
  <c r="Q145" i="21"/>
  <c r="Q144" i="21"/>
  <c r="Q143" i="21"/>
  <c r="Q142" i="21"/>
  <c r="Q141" i="21"/>
  <c r="Q140" i="21"/>
  <c r="Q139" i="21"/>
  <c r="Q138" i="21"/>
  <c r="Q157" i="21"/>
  <c r="E5" i="21"/>
  <c r="E6" i="21"/>
  <c r="E7" i="21"/>
  <c r="E8" i="21"/>
  <c r="E9" i="21"/>
  <c r="E10" i="21"/>
  <c r="E11" i="21"/>
  <c r="E12" i="21"/>
  <c r="E13" i="21"/>
  <c r="E14" i="21"/>
  <c r="E15" i="21"/>
  <c r="E16" i="21"/>
  <c r="E17" i="21"/>
  <c r="E18" i="21"/>
  <c r="E19" i="21"/>
  <c r="E21" i="21"/>
  <c r="Q21" i="21"/>
  <c r="Y21" i="21" s="1"/>
  <c r="Z21" i="21" s="1"/>
  <c r="E22" i="21"/>
  <c r="Q22" i="21"/>
  <c r="Y22" i="21" s="1"/>
  <c r="Z22" i="21" s="1"/>
  <c r="E23" i="21"/>
  <c r="Q23" i="21"/>
  <c r="Y23" i="21" s="1"/>
  <c r="Z23" i="21" s="1"/>
  <c r="A24" i="21"/>
  <c r="E24" i="21"/>
  <c r="Q24" i="21"/>
  <c r="Q25" i="21"/>
  <c r="E26" i="21"/>
  <c r="Q26" i="21"/>
  <c r="E27" i="21"/>
  <c r="Q27" i="21"/>
  <c r="Y27" i="21" s="1"/>
  <c r="E28" i="21"/>
  <c r="Q28" i="21"/>
  <c r="E29" i="21"/>
  <c r="Q29" i="21"/>
  <c r="Y29" i="21" s="1"/>
  <c r="E30" i="21"/>
  <c r="Q30" i="21"/>
  <c r="E31" i="21"/>
  <c r="Q31" i="21"/>
  <c r="E32" i="21"/>
  <c r="Q32" i="21"/>
  <c r="Y32" i="21" s="1"/>
  <c r="E33" i="21"/>
  <c r="Q33" i="21"/>
  <c r="Q34" i="21"/>
  <c r="E35" i="21"/>
  <c r="Q35" i="21"/>
  <c r="A36" i="21"/>
  <c r="E36" i="21"/>
  <c r="Q36" i="21"/>
  <c r="Y36" i="21" s="1"/>
  <c r="Z36" i="21" s="1"/>
  <c r="A38" i="21"/>
  <c r="E38" i="21"/>
  <c r="Q38" i="21"/>
  <c r="Q39" i="21"/>
  <c r="Q41" i="21"/>
  <c r="Q43" i="21"/>
  <c r="Y43" i="21" s="1"/>
  <c r="Z43" i="21" s="1"/>
  <c r="Q44" i="21"/>
  <c r="Q45" i="21"/>
  <c r="Q46" i="21"/>
  <c r="Q47" i="21"/>
  <c r="Q48" i="21"/>
  <c r="Q49" i="21"/>
  <c r="Q50" i="21"/>
  <c r="A51" i="21"/>
  <c r="A52" i="21" s="1"/>
  <c r="A53" i="21" s="1"/>
  <c r="A54" i="21" s="1"/>
  <c r="A55" i="21" s="1"/>
  <c r="A56" i="21" s="1"/>
  <c r="A59" i="21" s="1"/>
  <c r="Q51" i="21"/>
  <c r="Y51" i="21" s="1"/>
  <c r="Q52" i="21"/>
  <c r="Q53" i="21"/>
  <c r="Q54" i="21"/>
  <c r="Q55" i="21"/>
  <c r="Q56" i="21"/>
  <c r="Q58" i="21"/>
  <c r="E59" i="21"/>
  <c r="Q59" i="21"/>
  <c r="Q63" i="21"/>
  <c r="E64" i="21"/>
  <c r="Q64" i="21"/>
  <c r="Y64" i="21" s="1"/>
  <c r="E65" i="21"/>
  <c r="Q65" i="21"/>
  <c r="Y65" i="21" s="1"/>
  <c r="Q68" i="21"/>
  <c r="A71" i="21"/>
  <c r="E69" i="21"/>
  <c r="Q69" i="21"/>
  <c r="Q70" i="21"/>
  <c r="E71" i="21"/>
  <c r="Q71" i="21"/>
  <c r="Y71" i="21" s="1"/>
  <c r="Z71" i="21" s="1"/>
  <c r="Q75" i="21"/>
  <c r="E76" i="21"/>
  <c r="Q76" i="21"/>
  <c r="E77" i="21"/>
  <c r="Q77" i="21"/>
  <c r="Y77" i="21" s="1"/>
  <c r="Q80" i="21"/>
  <c r="A81" i="21"/>
  <c r="A83" i="21" s="1"/>
  <c r="A88" i="21" s="1"/>
  <c r="A89" i="21" s="1"/>
  <c r="A97" i="21" s="1"/>
  <c r="A95" i="21" s="1"/>
  <c r="E81" i="21"/>
  <c r="Q81" i="21"/>
  <c r="Y81" i="21" s="1"/>
  <c r="Z81" i="21" s="1"/>
  <c r="Q82" i="21"/>
  <c r="E83" i="21"/>
  <c r="Q83" i="21"/>
  <c r="Q87" i="21"/>
  <c r="E88" i="21"/>
  <c r="Q88" i="21"/>
  <c r="Y88" i="21" s="1"/>
  <c r="E89" i="21"/>
  <c r="Q89" i="21"/>
  <c r="Q94" i="21"/>
  <c r="E95" i="21"/>
  <c r="Q95" i="21"/>
  <c r="Y95" i="21" s="1"/>
  <c r="Z95" i="21" s="1"/>
  <c r="E96" i="21"/>
  <c r="Q96" i="21"/>
  <c r="E97" i="21"/>
  <c r="Q97" i="21"/>
  <c r="Q98" i="21"/>
  <c r="A100" i="21"/>
  <c r="A105" i="21" s="1"/>
  <c r="A108" i="21" s="1"/>
  <c r="A112" i="21" s="1"/>
  <c r="A114" i="21" s="1"/>
  <c r="A116" i="21" s="1"/>
  <c r="A117" i="21" s="1"/>
  <c r="A118" i="21" s="1"/>
  <c r="A119" i="21" s="1"/>
  <c r="A120" i="21" s="1"/>
  <c r="A122" i="21" s="1"/>
  <c r="A123" i="21" s="1"/>
  <c r="E100" i="21"/>
  <c r="E102" i="21"/>
  <c r="E103" i="21"/>
  <c r="E105" i="21"/>
  <c r="E106" i="21"/>
  <c r="E108" i="21"/>
  <c r="E112" i="21"/>
  <c r="E114" i="21"/>
  <c r="E116" i="21"/>
  <c r="E122" i="21"/>
  <c r="E123" i="21"/>
  <c r="E125" i="21"/>
  <c r="E126" i="21"/>
  <c r="E129" i="21"/>
  <c r="E131" i="21"/>
  <c r="E132" i="21"/>
  <c r="E134" i="21"/>
  <c r="E137" i="21"/>
  <c r="E139" i="21"/>
  <c r="E141" i="21"/>
  <c r="E142" i="21"/>
  <c r="E143" i="21"/>
  <c r="E144" i="21"/>
  <c r="A146" i="21"/>
  <c r="A147" i="21" s="1"/>
  <c r="A151" i="21" s="1"/>
  <c r="A153" i="21" s="1"/>
  <c r="A154" i="21" s="1"/>
  <c r="A156" i="21" s="1"/>
  <c r="A159" i="21" s="1"/>
  <c r="A161" i="21" s="1"/>
  <c r="A163" i="21" s="1"/>
  <c r="A165" i="21" s="1"/>
  <c r="A166" i="21" s="1"/>
  <c r="A167" i="21" s="1"/>
  <c r="A170" i="21" s="1"/>
  <c r="A172" i="21" s="1"/>
  <c r="A173" i="21" s="1"/>
  <c r="A175" i="21" s="1"/>
  <c r="A178" i="21" s="1"/>
  <c r="A179" i="21" s="1"/>
  <c r="A180" i="21" s="1"/>
  <c r="A181" i="21" s="1"/>
  <c r="A182" i="21" s="1"/>
  <c r="A183" i="21" s="1"/>
  <c r="A184" i="21" s="1"/>
  <c r="A185" i="21" s="1"/>
  <c r="A186" i="21" s="1"/>
  <c r="A187" i="21" s="1"/>
  <c r="A188" i="21" s="1"/>
  <c r="A189" i="21" s="1"/>
  <c r="A190" i="21" s="1"/>
  <c r="A191" i="21" s="1"/>
  <c r="A192" i="21" s="1"/>
  <c r="A193" i="21" s="1"/>
  <c r="A194" i="21" s="1"/>
  <c r="A195" i="21" s="1"/>
  <c r="A196" i="21" s="1"/>
  <c r="A197" i="21" s="1"/>
  <c r="A198" i="21" s="1"/>
  <c r="A199" i="21" s="1"/>
  <c r="A200" i="21" s="1"/>
  <c r="A201" i="21" s="1"/>
  <c r="A202" i="21" s="1"/>
  <c r="A203" i="21" s="1"/>
  <c r="A204" i="21" s="1"/>
  <c r="A205" i="21" s="1"/>
  <c r="A206" i="21" s="1"/>
  <c r="A207" i="21" s="1"/>
  <c r="A208" i="21" s="1"/>
  <c r="A209" i="21" s="1"/>
  <c r="A210" i="21" s="1"/>
  <c r="A211" i="21" s="1"/>
  <c r="A212" i="21" s="1"/>
  <c r="A213" i="21" s="1"/>
  <c r="A214" i="21" s="1"/>
  <c r="A215" i="21" s="1"/>
  <c r="A216" i="21" s="1"/>
  <c r="A217" i="21" s="1"/>
  <c r="A218" i="21" s="1"/>
  <c r="A219" i="21" s="1"/>
  <c r="A220" i="21" s="1"/>
  <c r="A222" i="21" s="1"/>
  <c r="A223" i="21" s="1"/>
  <c r="A224" i="21" s="1"/>
  <c r="A225" i="21" s="1"/>
  <c r="A226" i="21" s="1"/>
  <c r="A227" i="21" s="1"/>
  <c r="A229" i="21" s="1"/>
  <c r="A230" i="21" s="1"/>
  <c r="A232" i="21" s="1"/>
  <c r="A233" i="21" s="1"/>
  <c r="E146" i="21"/>
  <c r="E147" i="21"/>
  <c r="E148" i="21"/>
  <c r="E151" i="21"/>
  <c r="E153" i="21"/>
  <c r="E154" i="21"/>
  <c r="E156" i="21"/>
  <c r="E159" i="21"/>
  <c r="E161" i="21"/>
  <c r="E163" i="21"/>
  <c r="E165" i="21"/>
  <c r="E166" i="21"/>
  <c r="E167" i="21"/>
  <c r="E170" i="21"/>
  <c r="E172" i="21"/>
  <c r="E173" i="21"/>
  <c r="E175" i="21"/>
  <c r="E178" i="21"/>
  <c r="E179"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18" i="21"/>
  <c r="E219" i="21"/>
  <c r="E220" i="21"/>
  <c r="E221" i="21"/>
  <c r="E222" i="21"/>
  <c r="E223" i="21"/>
  <c r="E224" i="21"/>
  <c r="E225" i="21"/>
  <c r="E226" i="21"/>
  <c r="E227" i="21"/>
  <c r="E247" i="21"/>
  <c r="A42" i="21" l="1"/>
  <c r="A43" i="21" s="1"/>
  <c r="A45" i="21" s="1"/>
  <c r="Y97" i="21"/>
  <c r="Y54" i="21"/>
  <c r="Y47" i="21"/>
  <c r="Z47" i="21" s="1"/>
  <c r="Y139" i="21"/>
  <c r="Z139" i="21" s="1"/>
  <c r="Y156" i="21"/>
  <c r="Z156" i="21" s="1"/>
  <c r="Y120" i="21"/>
  <c r="Y59" i="21"/>
  <c r="Z59" i="21" s="1"/>
  <c r="Y33" i="21"/>
  <c r="Y148" i="21"/>
  <c r="Y106" i="21"/>
  <c r="Z106" i="21" s="1"/>
  <c r="Y116" i="21"/>
  <c r="Z116" i="21" s="1"/>
  <c r="Y129" i="21"/>
  <c r="Z129" i="21" s="1"/>
  <c r="Y161" i="21"/>
  <c r="Z161" i="21" s="1"/>
  <c r="Y170" i="21"/>
  <c r="Z170" i="21" s="1"/>
  <c r="Y141" i="21"/>
  <c r="Z141" i="21" s="1"/>
  <c r="Y45" i="21"/>
  <c r="Z45" i="21" s="1"/>
  <c r="Y38" i="21"/>
  <c r="Z38" i="21" s="1"/>
  <c r="Y28" i="21"/>
  <c r="Y24" i="21"/>
  <c r="Z24" i="21" s="1"/>
  <c r="Y142" i="21"/>
  <c r="Z142" i="21" s="1"/>
  <c r="Y151" i="21"/>
  <c r="Z151" i="21" s="1"/>
  <c r="Y100" i="21"/>
  <c r="Z100" i="21" s="1"/>
  <c r="Y122" i="21"/>
  <c r="Z122" i="21" s="1"/>
  <c r="Y131" i="21"/>
  <c r="Z131" i="21" s="1"/>
  <c r="Y163" i="21"/>
  <c r="Z163" i="21" s="1"/>
  <c r="Y172" i="21"/>
  <c r="Z172" i="21" s="1"/>
  <c r="Y83" i="21"/>
  <c r="Z83" i="21" s="1"/>
  <c r="Y56" i="21"/>
  <c r="Y52" i="21"/>
  <c r="Y49" i="21"/>
  <c r="Z49" i="21" s="1"/>
  <c r="Y143" i="21"/>
  <c r="Z143" i="21" s="1"/>
  <c r="Y123" i="21"/>
  <c r="Z123" i="21" s="1"/>
  <c r="Y132" i="21"/>
  <c r="Z132" i="21" s="1"/>
  <c r="Y173" i="21"/>
  <c r="Z173" i="21" s="1"/>
  <c r="Y118" i="21"/>
  <c r="Y53" i="21"/>
  <c r="Y119" i="21"/>
  <c r="Y31" i="21"/>
  <c r="Y144" i="21"/>
  <c r="Y153" i="21"/>
  <c r="Z153" i="21" s="1"/>
  <c r="Y102" i="21"/>
  <c r="Z102" i="21" s="1"/>
  <c r="Y112" i="21"/>
  <c r="Y165" i="21"/>
  <c r="Z165" i="21" s="1"/>
  <c r="Y89" i="21"/>
  <c r="Y76" i="21"/>
  <c r="Y69" i="21"/>
  <c r="Z69" i="21" s="1"/>
  <c r="Y55" i="21"/>
  <c r="Y48" i="21"/>
  <c r="Z48" i="21" s="1"/>
  <c r="Y35" i="21"/>
  <c r="Z35" i="21" s="1"/>
  <c r="Y154" i="21"/>
  <c r="Z154" i="21" s="1"/>
  <c r="Y103" i="21"/>
  <c r="Z103" i="21" s="1"/>
  <c r="Y125" i="21"/>
  <c r="Y134" i="21"/>
  <c r="Z134" i="21" s="1"/>
  <c r="Y166" i="21"/>
  <c r="Z166" i="21" s="1"/>
  <c r="Y117" i="21"/>
  <c r="Y30" i="21"/>
  <c r="Y26" i="21"/>
  <c r="Y146" i="21"/>
  <c r="Z146" i="21" s="1"/>
  <c r="Y114" i="21"/>
  <c r="Z114" i="21" s="1"/>
  <c r="Y159" i="21"/>
  <c r="Z159" i="21" s="1"/>
  <c r="Y167" i="21"/>
  <c r="A131" i="21"/>
  <c r="A132" i="21" s="1"/>
  <c r="A134" i="21" s="1"/>
  <c r="A137" i="21" s="1"/>
  <c r="A139" i="21" s="1"/>
  <c r="A141" i="21" s="1"/>
  <c r="A142" i="21" s="1"/>
  <c r="A125" i="21"/>
  <c r="Y250" i="21" l="1"/>
  <c r="Y252" i="21"/>
  <c r="Y251" i="21"/>
  <c r="Z250"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<sst xmlns="http://schemas.openxmlformats.org/spreadsheetml/2006/main" count="2593" uniqueCount="1337">
  <si>
    <t>GeoPoll Submission Form</t>
  </si>
  <si>
    <t>FAO - Household Questionnaire</t>
  </si>
  <si>
    <t>Additional notes</t>
  </si>
  <si>
    <t>Q #</t>
  </si>
  <si>
    <t>Q Name</t>
  </si>
  <si>
    <t>Suggested Qname</t>
  </si>
  <si>
    <t>English</t>
  </si>
  <si>
    <t>Length</t>
  </si>
  <si>
    <t>Q Type</t>
  </si>
  <si>
    <t>Randomize</t>
  </si>
  <si>
    <t>Conditional</t>
  </si>
  <si>
    <t>Programming Instructions</t>
  </si>
  <si>
    <t>Skip Pattern</t>
  </si>
  <si>
    <t xml:space="preserve">Default skip patterns &amp; conditional </t>
  </si>
  <si>
    <t>Specify skip pattern variable (from blue text)</t>
  </si>
  <si>
    <t>Estimated percentage of repondents</t>
  </si>
  <si>
    <t>Mandatory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</si>
  <si>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</si>
  <si>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</si>
  <si>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</si>
  <si>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</si>
  <si>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</si>
  <si>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</si>
  <si>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</si>
  <si>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</si>
  <si>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</si>
  <si>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yes</t>
  </si>
  <si>
    <t>Any Response = calldispo</t>
  </si>
  <si>
    <t>calldispo</t>
  </si>
  <si>
    <t>Phone number: #CATI_MOBILENUMBER#
1)Someone answers
2)Answering machine
3)No answer
4)Hang up or refusal
5)Call back
6)Under review
7)Disconnected</t>
  </si>
  <si>
    <t>Single Choice</t>
  </si>
  <si>
    <t>Form Type - Buttons</t>
  </si>
  <si>
    <t>1 = resp_language
2 = AnsweringMachine
3 = NoAnswer
4 = Refusal
5 = WhenCallBack
6 = UnderReview
7 = Disconnected</t>
  </si>
  <si>
    <t>AnsweringMachine</t>
  </si>
  <si>
    <t>calldispo_answeringmachine</t>
  </si>
  <si>
    <t>Reached an answering machine.</t>
  </si>
  <si>
    <t>End Poll AnsweringMachine</t>
  </si>
  <si>
    <t>NoAnswer</t>
  </si>
  <si>
    <t>calldispo_noanswer</t>
  </si>
  <si>
    <t>Phone rang and no one answered.</t>
  </si>
  <si>
    <t>End Poll NoAnswer</t>
  </si>
  <si>
    <t>UnderReview</t>
  </si>
  <si>
    <t>calldispo_underreview</t>
  </si>
  <si>
    <t>Case needs review by a supervisor.</t>
  </si>
  <si>
    <t>End Poll UnderReview</t>
  </si>
  <si>
    <t>Disconnected</t>
  </si>
  <si>
    <t>calldispo_disconnected</t>
  </si>
  <si>
    <t>Phone was disconnected or out of service.</t>
  </si>
  <si>
    <t>End Poll Disconnected</t>
  </si>
  <si>
    <t>resp_language</t>
  </si>
  <si>
    <r>
      <t xml:space="preserve">Which language do you wish to proceed with?
[OPERATOR: READ ANSWER CHOICES. SINGLE RESPONSE.]
</t>
    </r>
    <r>
      <rPr>
        <sz val="12"/>
        <color theme="1"/>
        <rFont val="Calibri"/>
        <family val="2"/>
        <scheme val="minor"/>
      </rPr>
      <t>1)English</t>
    </r>
    <r>
      <rPr>
        <b/>
        <sz val="12"/>
        <color theme="1"/>
        <rFont val="Calibri"/>
        <family val="2"/>
        <scheme val="minor"/>
      </rPr>
      <t xml:space="preserve">
</t>
    </r>
    <r>
      <rPr>
        <sz val="12"/>
        <rFont val="Calibri"/>
        <family val="2"/>
        <scheme val="minor"/>
      </rPr>
      <t>2)</t>
    </r>
    <r>
      <rPr>
        <b/>
        <sz val="12"/>
        <color theme="4"/>
        <rFont val="Calibri"/>
        <family val="2"/>
        <scheme val="minor"/>
      </rPr>
      <t>other options [add as many as necessary]</t>
    </r>
  </si>
  <si>
    <r>
      <t xml:space="preserve">1 = introduction [English]
2 = introduction </t>
    </r>
    <r>
      <rPr>
        <sz val="12"/>
        <color rgb="FF0070C0"/>
        <rFont val="Calibri"/>
        <family val="2"/>
        <scheme val="minor"/>
      </rPr>
      <t>[</t>
    </r>
    <r>
      <rPr>
        <b/>
        <sz val="12"/>
        <color rgb="FF0070C0"/>
        <rFont val="Calibri"/>
        <family val="2"/>
        <scheme val="minor"/>
      </rPr>
      <t>languages &amp; add more if needed</t>
    </r>
    <r>
      <rPr>
        <sz val="12"/>
        <color rgb="FF0070C0"/>
        <rFont val="Calibri"/>
        <family val="2"/>
        <scheme val="minor"/>
      </rPr>
      <t>]</t>
    </r>
  </si>
  <si>
    <r>
      <rPr>
        <sz val="12"/>
        <rFont val="Calibri"/>
        <family val="2"/>
        <scheme val="minor"/>
      </rPr>
      <t>For any response, go to</t>
    </r>
    <r>
      <rPr>
        <i/>
        <sz val="12"/>
        <rFont val="Calibri"/>
        <family val="2"/>
        <scheme val="minor"/>
      </rPr>
      <t xml:space="preserve"> introduction</t>
    </r>
  </si>
  <si>
    <t>Insert most common national languages here [max 4 for translation with GeoPoll].</t>
  </si>
  <si>
    <t>introduction</t>
  </si>
  <si>
    <t>1 = Agree</t>
  </si>
  <si>
    <r>
      <rPr>
        <sz val="12"/>
        <rFont val="Calibri"/>
        <family val="2"/>
        <scheme val="minor"/>
      </rPr>
      <t xml:space="preserve">For any response, go to </t>
    </r>
    <r>
      <rPr>
        <i/>
        <sz val="12"/>
        <rFont val="Calibri"/>
        <family val="2"/>
        <scheme val="minor"/>
      </rPr>
      <t>Agree</t>
    </r>
  </si>
  <si>
    <t>Set the amount of incentive here, if any.</t>
  </si>
  <si>
    <t>Agree</t>
  </si>
  <si>
    <t>resp_agree</t>
  </si>
  <si>
    <t xml:space="preserve">Are you interested in participating in this survey?
[OPERATOR: SINGLE RESPONSE]
1)Yes 
2)Not now but another time in the week 
3)No </t>
  </si>
  <si>
    <t>StartRecording</t>
  </si>
  <si>
    <t>1 = resp_firstname
2 = WhenCallBack
3 = resp_refusalwhy</t>
  </si>
  <si>
    <r>
      <t xml:space="preserve">if Agree = 1, go to </t>
    </r>
    <r>
      <rPr>
        <i/>
        <sz val="12"/>
        <rFont val="Calibri"/>
        <family val="2"/>
        <scheme val="minor"/>
      </rPr>
      <t xml:space="preserve">resp_firstname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</si>
  <si>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t>resp_refusalwhy</t>
  </si>
  <si>
    <t>Please let us know why you have REFUSED to take the survey.
[OPERATOR: SINGLE RESPONSE]
1)Not interested
2)Do not want to be recorded
3)Other [specify]</t>
  </si>
  <si>
    <t>Open Ended - Single Choice</t>
  </si>
  <si>
    <t>Form Type - RadioList</t>
  </si>
  <si>
    <t>Any Response = Refusal</t>
  </si>
  <si>
    <r>
      <t xml:space="preserve">For any response, go to </t>
    </r>
    <r>
      <rPr>
        <i/>
        <sz val="12"/>
        <rFont val="Calibri"/>
        <family val="2"/>
        <scheme val="minor"/>
      </rPr>
      <t>Refusal</t>
    </r>
  </si>
  <si>
    <t>WhenCallBack</t>
  </si>
  <si>
    <t>resp_whencallback</t>
  </si>
  <si>
    <t>When would it be a good time to call you back?
[RECORD HH/MM/DD/MM OF CALLBACK]</t>
  </si>
  <si>
    <t>Any Response = CallbackMessageEN</t>
  </si>
  <si>
    <r>
      <t xml:space="preserve">For any response, go to </t>
    </r>
    <r>
      <rPr>
        <i/>
        <sz val="12"/>
        <rFont val="Calibri"/>
        <family val="2"/>
        <scheme val="minor"/>
      </rPr>
      <t>CallbackMessageEN</t>
    </r>
  </si>
  <si>
    <t>CallbackMessageEN</t>
  </si>
  <si>
    <t>callbackmessage_en</t>
  </si>
  <si>
    <t>Ineligible</t>
  </si>
  <si>
    <t>End Poll Ineligible</t>
  </si>
  <si>
    <t>Refusal</t>
  </si>
  <si>
    <t>NA </t>
  </si>
  <si>
    <t>Thank you for your time, you will be removed from today's survey.</t>
  </si>
  <si>
    <t>End poll declined</t>
  </si>
  <si>
    <t>B. GENERAL INFORMATION &amp; ELIGIBILITY CRITERIA</t>
  </si>
  <si>
    <t>resp_firstname</t>
  </si>
  <si>
    <t>What is your first name?
[OPERATOR: RECORD THE RESPONDENT'S FIRST NAME. ENTER 999 FOR REFUSED.]</t>
  </si>
  <si>
    <t>Any Response = resp_lastname</t>
  </si>
  <si>
    <r>
      <t xml:space="preserve">For any response, go to </t>
    </r>
    <r>
      <rPr>
        <i/>
        <sz val="12"/>
        <rFont val="Calibri"/>
        <family val="2"/>
        <scheme val="minor"/>
      </rPr>
      <t>resp_lastname</t>
    </r>
  </si>
  <si>
    <t>resp_lastname</t>
  </si>
  <si>
    <t>What is your last name? 
[OPERATOR: RECORD THE RESPONDENT'S LAST NAME. ENTER 999 FOR REFUSED.]</t>
  </si>
  <si>
    <t>Any Response = resp_age</t>
  </si>
  <si>
    <r>
      <t xml:space="preserve">For any response, go to </t>
    </r>
    <r>
      <rPr>
        <i/>
        <sz val="12"/>
        <rFont val="Calibri"/>
        <family val="2"/>
        <scheme val="minor"/>
      </rPr>
      <t>resp_age</t>
    </r>
  </si>
  <si>
    <t>resp_age</t>
  </si>
  <si>
    <t>How old are you? 
[OPERATOR: RECORD AGE IN NUMBER OF YEARS. ROUND UP TO NEAREST WHOLE NUMBER. IF THE RESPONDENT GIVES BIRTH YEAR, REPEAT THE QUESTION. ENTER 00 FOR DON'T KNOW.]</t>
  </si>
  <si>
    <t>Range</t>
  </si>
  <si>
    <r>
      <t>0-</t>
    </r>
    <r>
      <rPr>
        <b/>
        <sz val="12"/>
        <color rgb="FF0070C0"/>
        <rFont val="Calibri"/>
        <family val="2"/>
        <scheme val="minor"/>
      </rPr>
      <t>17</t>
    </r>
    <r>
      <rPr>
        <sz val="12"/>
        <rFont val="Calibri"/>
        <family val="2"/>
        <scheme val="minor"/>
      </rPr>
      <t xml:space="preserve"> = Ineligible
</t>
    </r>
    <r>
      <rPr>
        <b/>
        <sz val="12"/>
        <color rgb="FF0070C0"/>
        <rFont val="Calibri"/>
        <family val="2"/>
        <scheme val="minor"/>
      </rPr>
      <t>18</t>
    </r>
    <r>
      <rPr>
        <sz val="12"/>
        <rFont val="Calibri"/>
        <family val="2"/>
        <scheme val="minor"/>
      </rPr>
      <t>-100 = resp_gender
00 = Ineligible</t>
    </r>
  </si>
  <si>
    <t>resp_gender</t>
  </si>
  <si>
    <t>phone_number_conf</t>
  </si>
  <si>
    <t>1 = contact_2
2 = phone_number_personal
3-4 = contact_2</t>
  </si>
  <si>
    <r>
      <t>if</t>
    </r>
    <r>
      <rPr>
        <i/>
        <sz val="12"/>
        <color theme="9" tint="-0.499984740745262"/>
        <rFont val="Calibri (Body)"/>
      </rPr>
      <t xml:space="preserve"> phone_number_conf </t>
    </r>
    <r>
      <rPr>
        <sz val="12"/>
        <color theme="9" tint="-0.499984740745262"/>
        <rFont val="Calibri (Body)"/>
      </rPr>
      <t xml:space="preserve">= 1, go to </t>
    </r>
    <r>
      <rPr>
        <i/>
        <sz val="12"/>
        <color theme="9" tint="-0.499984740745262"/>
        <rFont val="Calibri (Body)"/>
      </rPr>
      <t>contact_2</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2, go to </t>
    </r>
    <r>
      <rPr>
        <i/>
        <sz val="12"/>
        <color theme="9" tint="-0.499984740745262"/>
        <rFont val="Calibri (Body)"/>
      </rPr>
      <t>phone_number_personal</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3-4, go to </t>
    </r>
    <r>
      <rPr>
        <i/>
        <sz val="12"/>
        <color theme="9" tint="-0.499984740745262"/>
        <rFont val="Calibri (Body)"/>
      </rPr>
      <t>contact_2</t>
    </r>
  </si>
  <si>
    <t>yes - panel</t>
  </si>
  <si>
    <t>phone_number_personal</t>
  </si>
  <si>
    <t>phone_number_pers</t>
  </si>
  <si>
    <t>Any Response = contact_2</t>
  </si>
  <si>
    <t>For any response, go to contact_2</t>
  </si>
  <si>
    <t>contact_2</t>
  </si>
  <si>
    <r>
      <t xml:space="preserve">Can you give me an additonal </t>
    </r>
    <r>
      <rPr>
        <b/>
        <sz val="12"/>
        <color theme="9" tint="-0.499984740745262"/>
        <rFont val="Calibri (Body)"/>
      </rPr>
      <t xml:space="preserve">phone number </t>
    </r>
    <r>
      <rPr>
        <sz val="12"/>
        <color theme="9" tint="-0.499984740745262"/>
        <rFont val="Calibri (Body)"/>
      </rPr>
      <t>belonging to you, a relative or a friend at which you can be reached?
[OPERATOR: SINGLE RESPONSE.]
1)YES - mine 
2)YES - friend or relative
3)NO
4)DON'T KNOW
5)REFUSED</t>
    </r>
  </si>
  <si>
    <t>1-2 = phone_number_2
3-5 = hh_admin1</t>
  </si>
  <si>
    <t>if contact_2 = 1-2, go to phone_number_2
if contact_2 = 3-5, go to contact_3</t>
  </si>
  <si>
    <t>phone_number_2</t>
  </si>
  <si>
    <t>Any Response = contact_2_name</t>
  </si>
  <si>
    <t>For any response, go to contact_2_name</t>
  </si>
  <si>
    <t>contact_2_name</t>
  </si>
  <si>
    <t>Send if "contact_2" "Equals" "YES - friend or relative", if not satisfied go to "contact_3"</t>
  </si>
  <si>
    <t>Any Response = contact_3</t>
  </si>
  <si>
    <t>Asked if "contact_2" "Equals" "YES - friend or relative". Otherwise, it skips to "contact_3".
For any response, go to contact_3</t>
  </si>
  <si>
    <t>contact_3</t>
  </si>
  <si>
    <t>1-2= phone_number_3
3-5 = hh_admin1</t>
  </si>
  <si>
    <t>if contact_3 = 1-2, go to phone_number_3
if contact_3 = 3-5, go to hh_admin1</t>
  </si>
  <si>
    <t>phone_number_3</t>
  </si>
  <si>
    <t>Any Response = contact_3_name</t>
  </si>
  <si>
    <t>For any response, go to contact_3_name</t>
  </si>
  <si>
    <t>contact_3_name</t>
  </si>
  <si>
    <t>phone_number_3_name</t>
  </si>
  <si>
    <t>Send if "contact_3" "Equals" "YES - friend or relative", if not satisfied go to "hh_admin1"</t>
  </si>
  <si>
    <t>Any Response = hh_admin1</t>
  </si>
  <si>
    <t>Asked if "contact_3" "Equals" "YES - friend or relative". Otherwise, it skips to "hh_admin1".
For any response, go to hh_admin1</t>
  </si>
  <si>
    <t>hh_admin1</t>
  </si>
  <si>
    <t xml:space="preserve">The administrative information will be updated by GeoPoll based on the sample design document and the administrative boundaries provided by the dashboard team after the questionnaire validation. </t>
  </si>
  <si>
    <t>hh_admin2_1</t>
  </si>
  <si>
    <t>quotareached</t>
  </si>
  <si>
    <t>hh_agricactivity</t>
  </si>
  <si>
    <t>B. GENERAL HOUSEHOLD INFORMATION</t>
  </si>
  <si>
    <t>hh_gender</t>
  </si>
  <si>
    <t>Is the head of your household male or female?
[OPERATOR: SINGLE RESPONSE.]
1)Male 
2)Female
3)DON'T KNOW
4)REFUSED</t>
  </si>
  <si>
    <t>1-4 = hh_education</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</si>
  <si>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</si>
  <si>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</si>
  <si>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</si>
  <si>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1-7 = hh_wealth</t>
  </si>
  <si>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</si>
  <si>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t>hh_wealth_water</t>
  </si>
  <si>
    <r>
      <t xml:space="preserve">
</t>
    </r>
    <r>
      <rPr>
        <sz val="12"/>
        <rFont val="Calibri"/>
        <family val="2"/>
        <scheme val="minor"/>
      </rPr>
      <t>1-12 =</t>
    </r>
    <r>
      <rPr>
        <b/>
        <sz val="12"/>
        <color theme="4"/>
        <rFont val="Calibri"/>
        <family val="2"/>
        <scheme val="minor"/>
      </rPr>
      <t xml:space="preserve"> [income_main OR other optional question]</t>
    </r>
  </si>
  <si>
    <r>
      <t>For any response, go to</t>
    </r>
    <r>
      <rPr>
        <sz val="12"/>
        <color theme="4"/>
        <rFont val="Calibri"/>
        <family val="2"/>
        <scheme val="minor"/>
      </rPr>
      <t xml:space="preserve"> [income_main OR other optional question]</t>
    </r>
  </si>
  <si>
    <t>hh_wealth_toilet</t>
  </si>
  <si>
    <r>
      <t xml:space="preserve">
</t>
    </r>
    <r>
      <rPr>
        <sz val="12"/>
        <rFont val="Calibri"/>
        <family val="2"/>
        <scheme val="minor"/>
      </rPr>
      <t>1-7 =</t>
    </r>
    <r>
      <rPr>
        <b/>
        <sz val="12"/>
        <color theme="4"/>
        <rFont val="Calibri"/>
        <family val="2"/>
        <scheme val="minor"/>
      </rPr>
      <t xml:space="preserve"> [income_main OR other optional question]</t>
    </r>
  </si>
  <si>
    <t>hh_wealth_light</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</si>
  <si>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</si>
  <si>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</si>
  <si>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hh_size</t>
  </si>
  <si>
    <r>
      <t xml:space="preserve">1-50 = </t>
    </r>
    <r>
      <rPr>
        <b/>
        <sz val="12"/>
        <color theme="4"/>
        <rFont val="Calibri"/>
        <family val="2"/>
        <scheme val="minor"/>
      </rPr>
      <t xml:space="preserve">hh_asset_prod
</t>
    </r>
    <r>
      <rPr>
        <sz val="12"/>
        <rFont val="Calibri"/>
        <family val="2"/>
        <scheme val="minor"/>
      </rPr>
      <t>88-88</t>
    </r>
    <r>
      <rPr>
        <b/>
        <sz val="12"/>
        <rFont val="Calibri"/>
        <family val="2"/>
        <scheme val="minor"/>
      </rPr>
      <t xml:space="preserve"> =</t>
    </r>
    <r>
      <rPr>
        <b/>
        <sz val="12"/>
        <color theme="4"/>
        <rFont val="Calibri"/>
        <family val="2"/>
        <scheme val="minor"/>
      </rPr>
      <t xml:space="preserve"> hh_asset_prod
</t>
    </r>
    <r>
      <rPr>
        <sz val="12"/>
        <rFont val="Calibri"/>
        <family val="2"/>
        <scheme val="minor"/>
      </rPr>
      <t xml:space="preserve">99-99 </t>
    </r>
    <r>
      <rPr>
        <b/>
        <sz val="12"/>
        <rFont val="Calibri"/>
        <family val="2"/>
        <scheme val="minor"/>
      </rPr>
      <t>=</t>
    </r>
    <r>
      <rPr>
        <b/>
        <sz val="12"/>
        <color theme="4"/>
        <rFont val="Calibri"/>
        <family val="2"/>
        <scheme val="minor"/>
      </rPr>
      <t xml:space="preserve"> hh_asset_prod</t>
    </r>
  </si>
  <si>
    <t>hh_asset_prod</t>
  </si>
  <si>
    <t>Select All That Apply</t>
  </si>
  <si>
    <t>Form Type - Checklist</t>
  </si>
  <si>
    <t xml:space="preserve">This wealth indicator may be useful to Identify poor households in middle income countries. It could be interesting for F2F surveys, to be used as baseline reference for follow-up surveys. </t>
  </si>
  <si>
    <t>hh_asset_transp</t>
  </si>
  <si>
    <t>hh_maritalstat</t>
  </si>
  <si>
    <t xml:space="preserve">What is the head of household’s current marital status? 
[OPERATOR: SINGLE RESPONSE.]
1)Single / never married 
2)Married
3)Separated
4)Divorced
5)Widowed
6)DON’T KNOW
7)REFUSED </t>
  </si>
  <si>
    <r>
      <t>1-7 =</t>
    </r>
    <r>
      <rPr>
        <b/>
        <sz val="12"/>
        <color theme="4"/>
        <rFont val="Calibri"/>
        <family val="2"/>
        <scheme val="minor"/>
      </rPr>
      <t xml:space="preserve"> hh_age</t>
    </r>
  </si>
  <si>
    <t>hh_age</t>
  </si>
  <si>
    <t>How old is the head of household? 
[OPERATOR: SINGLE RESPONSE.]
1)Under 18
2)18 to 40 
3)41 to 65 
4)Over 65
5)DON'T KNOW
6)REFUSED</t>
  </si>
  <si>
    <r>
      <t xml:space="preserve">1-6 = </t>
    </r>
    <r>
      <rPr>
        <b/>
        <sz val="12"/>
        <color theme="4"/>
        <rFont val="Calibri"/>
        <family val="2"/>
        <scheme val="minor"/>
      </rPr>
      <t>income_main</t>
    </r>
  </si>
  <si>
    <t>C. INCOME SOURCES, LIVELIHOOD AND SHOCKS</t>
  </si>
  <si>
    <t>income_main</t>
  </si>
  <si>
    <t>Form Type - Buttons
set demographic</t>
  </si>
  <si>
    <r>
      <t xml:space="preserve">1-4 = </t>
    </r>
    <r>
      <rPr>
        <sz val="12"/>
        <color theme="4"/>
        <rFont val="Calibri"/>
        <family val="2"/>
        <scheme val="minor"/>
      </rPr>
      <t>income_main_comp OR optional question</t>
    </r>
  </si>
  <si>
    <t>income_main_gender</t>
  </si>
  <si>
    <t>income_main_amount</t>
  </si>
  <si>
    <t>We recommend using this pair of questions together.</t>
  </si>
  <si>
    <t>income_main_amount_conf</t>
  </si>
  <si>
    <r>
      <t xml:space="preserve">Can you confirm the amount of income you just stated is correct?
[OPERATOR: IF THE AMOUNT EARNED FROM THIS INCOME SOURCE OVER THE PAST 3 MONTH IS INDEED OVER </t>
    </r>
    <r>
      <rPr>
        <b/>
        <sz val="12"/>
        <color rgb="FF7030A0"/>
        <rFont val="Calibri"/>
        <family val="2"/>
        <scheme val="minor"/>
      </rPr>
      <t>$THRESHOLD$</t>
    </r>
    <r>
      <rPr>
        <sz val="12"/>
        <rFont val="Calibri"/>
        <family val="2"/>
        <scheme val="minor"/>
      </rPr>
      <t>, CLICK ON CONTINUE. OTHERWISE, GO BACK AND CHANGE THE AMOUNT ENTERED.]
1)CONTINUE</t>
    </r>
  </si>
  <si>
    <t>income_main_comp</t>
  </si>
  <si>
    <t>1-7= income_sec</t>
  </si>
  <si>
    <t>income_sec</t>
  </si>
  <si>
    <r>
      <t xml:space="preserve">1-4 = </t>
    </r>
    <r>
      <rPr>
        <sz val="12"/>
        <color theme="4"/>
        <rFont val="Calibri"/>
        <family val="2"/>
        <scheme val="minor"/>
      </rPr>
      <t>income_sec_comp OR optional question</t>
    </r>
  </si>
  <si>
    <t>income_sec_gender</t>
  </si>
  <si>
    <t>income_sec_amount</t>
  </si>
  <si>
    <t>income_sec_amount_conf</t>
  </si>
  <si>
    <t>income_sec_comp</t>
  </si>
  <si>
    <t>1-7= income_third</t>
  </si>
  <si>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</si>
  <si>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t>income_third</t>
  </si>
  <si>
    <r>
      <t xml:space="preserve">1-4 = </t>
    </r>
    <r>
      <rPr>
        <sz val="12"/>
        <color theme="4"/>
        <rFont val="Calibri"/>
        <family val="2"/>
        <scheme val="minor"/>
      </rPr>
      <t>income_third_comp OR optional question</t>
    </r>
  </si>
  <si>
    <t>income_third_gender</t>
  </si>
  <si>
    <t>income_third_amount</t>
  </si>
  <si>
    <t>income_third_amount_conf</t>
  </si>
  <si>
    <t>income_third_comp</t>
  </si>
  <si>
    <t>shock</t>
  </si>
  <si>
    <t>hh_explanation</t>
  </si>
  <si>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</si>
  <si>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covid</t>
  </si>
  <si>
    <t xml:space="preserve">Open Ended - Select All That Apply </t>
  </si>
  <si>
    <t>D. CROP PRODUCTION</t>
  </si>
  <si>
    <t>crp_intro</t>
  </si>
  <si>
    <r>
      <t xml:space="preserve">We will now ask you some questions about crop production which apply to you and anyone in your household that is involved in crop production or sales. All questions refer to the crops grown during </t>
    </r>
    <r>
      <rPr>
        <b/>
        <sz val="12"/>
        <color rgb="FF7030A0"/>
        <rFont val="Calibri"/>
        <family val="2"/>
        <scheme val="minor"/>
      </rPr>
      <t>$season$</t>
    </r>
    <r>
      <rPr>
        <sz val="12"/>
        <rFont val="Calibri"/>
        <family val="2"/>
        <scheme val="minor"/>
      </rPr>
      <t>.
1)CONTINUE</t>
    </r>
  </si>
  <si>
    <t>1 = crp_landsize_num</t>
  </si>
  <si>
    <t>crp_landsize_num</t>
  </si>
  <si>
    <t>What is the total size of the land you can cultivate?
[OPERATOR: RECORD THE TOTAL LAND SIZE PROVIDED BY THE RESPONDENT. WRITE 8888888 FOR DON'T KNOW AND 9999999 FOR REFUSED. MEASUREMENT UNIT WILL BE SPECIFIED IN THE FOLLOWING QUESTION.]</t>
  </si>
  <si>
    <r>
      <t>0-1000000 =</t>
    </r>
    <r>
      <rPr>
        <i/>
        <sz val="12"/>
        <rFont val="Calibri"/>
        <family val="2"/>
        <scheme val="minor"/>
      </rPr>
      <t xml:space="preserve"> crp_landsize_unit
</t>
    </r>
    <r>
      <rPr>
        <sz val="12"/>
        <rFont val="Calibri"/>
        <family val="2"/>
        <scheme val="minor"/>
      </rPr>
      <t xml:space="preserve">8888888-8888888 = </t>
    </r>
    <r>
      <rPr>
        <i/>
        <sz val="12"/>
        <rFont val="Calibri"/>
        <family val="2"/>
        <scheme val="minor"/>
      </rPr>
      <t>crp_main</t>
    </r>
    <r>
      <rPr>
        <sz val="12"/>
        <rFont val="Calibri"/>
        <family val="2"/>
        <scheme val="minor"/>
      </rPr>
      <t xml:space="preserve">
9999999-9999999 = </t>
    </r>
    <r>
      <rPr>
        <i/>
        <sz val="12"/>
        <rFont val="Calibri"/>
        <family val="2"/>
        <scheme val="minor"/>
      </rPr>
      <t>crp_main</t>
    </r>
  </si>
  <si>
    <t>For any response, go to crp_landsize_unit. Range is between 0 and 1000000. For "Don't know" and "Refused", go to crp_main.</t>
  </si>
  <si>
    <t>crp_landsize_unit</t>
  </si>
  <si>
    <r>
      <t>Unit of measurement for land size: 
[OPERATOR: DO NOT READ. SINGLE RESPONSE.]
1)Acres
2)Hectares
3)Square meters
4)Square feet
5)</t>
    </r>
    <r>
      <rPr>
        <b/>
        <sz val="12"/>
        <color rgb="FF7030A0"/>
        <rFont val="Calibri"/>
        <family val="2"/>
        <scheme val="minor"/>
      </rPr>
      <t>$local measurement unit$</t>
    </r>
    <r>
      <rPr>
        <sz val="12"/>
        <rFont val="Calibri"/>
        <family val="2"/>
        <scheme val="minor"/>
      </rPr>
      <t xml:space="preserve">
</t>
    </r>
  </si>
  <si>
    <t>1-5 = crp_main</t>
  </si>
  <si>
    <t>if crp_landsize_unit = 1-5, go to crp_main</t>
  </si>
  <si>
    <t>crp_main</t>
  </si>
  <si>
    <r>
      <t xml:space="preserve">What is the main crop that your household grows for food and income generation in </t>
    </r>
    <r>
      <rPr>
        <b/>
        <sz val="12"/>
        <color rgb="FF7030A0"/>
        <rFont val="Calibri"/>
        <family val="2"/>
        <scheme val="minor"/>
      </rPr>
      <t>$season$</t>
    </r>
    <r>
      <rPr>
        <sz val="12"/>
        <rFont val="Calibri"/>
        <family val="2"/>
        <scheme val="minor"/>
      </rPr>
      <t xml:space="preserve">, if any?
[OPERATOR: SINGLE RESPONSE. "NO CROP PRODUCTION" APPEARS AT THE END OF THE LIST OF OPTIONS.]
</t>
    </r>
    <r>
      <rPr>
        <b/>
        <sz val="12"/>
        <color rgb="FF7030A0"/>
        <rFont val="Calibri"/>
        <family val="2"/>
        <scheme val="minor"/>
      </rPr>
      <t>$TEN MOST COMMON CROP$</t>
    </r>
  </si>
  <si>
    <t>crp_main_check</t>
  </si>
  <si>
    <t>crp_seed_supply</t>
  </si>
  <si>
    <t>crp_area_change</t>
  </si>
  <si>
    <t>1-7 = crp_harv_change</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</si>
  <si>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</si>
  <si>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t>crp_harv_change</t>
  </si>
  <si>
    <t>crp_harv_vol</t>
  </si>
  <si>
    <t xml:space="preserve">Keep this block of questions together, if used.
</t>
  </si>
  <si>
    <t>crp_harv_unit</t>
  </si>
  <si>
    <t>1-4 = crp_harv_lastyr
5-9 = crp_harv_unit_kg</t>
  </si>
  <si>
    <t>If crp_harv_unit = 1-4, go to crp_harv_lastyr
If crp_harv_unit = 5-9, go to crp_harv_unit_kg</t>
  </si>
  <si>
    <t>crp_harv_unit_kg</t>
  </si>
  <si>
    <r>
      <t xml:space="preserve">How many kilograms [kgs] in each unit?
[OPERATOR: RECORD THE AMOUNT GIVEN. ENTER </t>
    </r>
    <r>
      <rPr>
        <b/>
        <sz val="12"/>
        <rFont val="Calibri"/>
        <family val="2"/>
        <scheme val="minor"/>
      </rPr>
      <t>88888</t>
    </r>
    <r>
      <rPr>
        <sz val="12"/>
        <rFont val="Calibri"/>
        <family val="2"/>
        <scheme val="minor"/>
      </rPr>
      <t xml:space="preserve"> FOR DON'T KNOW &amp; </t>
    </r>
    <r>
      <rPr>
        <b/>
        <sz val="12"/>
        <rFont val="Calibri"/>
        <family val="2"/>
        <scheme val="minor"/>
      </rPr>
      <t>99999</t>
    </r>
    <r>
      <rPr>
        <sz val="12"/>
        <rFont val="Calibri"/>
        <family val="2"/>
        <scheme val="minor"/>
      </rPr>
      <t xml:space="preserve"> FOR REFUSED]</t>
    </r>
  </si>
  <si>
    <r>
      <t xml:space="preserve">1-10000 = </t>
    </r>
    <r>
      <rPr>
        <sz val="12"/>
        <color theme="4"/>
        <rFont val="Calibri (Body)"/>
      </rPr>
      <t>crp_harv_lastyr</t>
    </r>
    <r>
      <rPr>
        <sz val="12"/>
        <rFont val="Calibri"/>
        <family val="2"/>
        <scheme val="minor"/>
      </rPr>
      <t xml:space="preserve">
88888-88888 =  </t>
    </r>
    <r>
      <rPr>
        <sz val="12"/>
        <color theme="4"/>
        <rFont val="Calibri (Body)"/>
      </rPr>
      <t>crp_harv_lastyr</t>
    </r>
    <r>
      <rPr>
        <sz val="12"/>
        <rFont val="Calibri"/>
        <family val="2"/>
        <scheme val="minor"/>
      </rPr>
      <t xml:space="preserve">
99999-99999 =  </t>
    </r>
    <r>
      <rPr>
        <sz val="12"/>
        <color theme="4"/>
        <rFont val="Calibri (Body)"/>
      </rPr>
      <t>crp_harv_lastyr</t>
    </r>
  </si>
  <si>
    <r>
      <t xml:space="preserve">For any response, go to </t>
    </r>
    <r>
      <rPr>
        <sz val="12"/>
        <color theme="4"/>
        <rFont val="Calibri (Body)"/>
      </rPr>
      <t>crp_harv_lastyr</t>
    </r>
  </si>
  <si>
    <t>crp_harv_lastyr</t>
  </si>
  <si>
    <t>crp_proddif</t>
  </si>
  <si>
    <r>
      <t>1 = crp_proddif_2
2-4 = [</t>
    </r>
    <r>
      <rPr>
        <sz val="12"/>
        <color theme="4"/>
        <rFont val="Calibri"/>
        <family val="2"/>
        <scheme val="minor"/>
      </rPr>
      <t>crp_salesmain</t>
    </r>
    <r>
      <rPr>
        <sz val="12"/>
        <rFont val="Calibri"/>
        <family val="2"/>
        <scheme val="minor"/>
      </rPr>
      <t xml:space="preserve"> or </t>
    </r>
    <r>
      <rPr>
        <sz val="12"/>
        <color theme="4"/>
        <rFont val="Calibri"/>
        <family val="2"/>
        <scheme val="minor"/>
      </rPr>
      <t>optional question</t>
    </r>
    <r>
      <rPr>
        <sz val="12"/>
        <rFont val="Calibri"/>
        <family val="2"/>
        <scheme val="minor"/>
      </rPr>
      <t>]</t>
    </r>
  </si>
  <si>
    <t>crp_proddif_2</t>
  </si>
  <si>
    <t>crp_storage</t>
  </si>
  <si>
    <t>crp_all</t>
  </si>
  <si>
    <r>
      <t>crp_all_</t>
    </r>
    <r>
      <rPr>
        <sz val="12"/>
        <color theme="4"/>
        <rFont val="Calibri"/>
        <family val="2"/>
        <scheme val="minor"/>
      </rPr>
      <t>[name of crop as per crop list]</t>
    </r>
  </si>
  <si>
    <r>
      <t xml:space="preserve">Dynamics = </t>
    </r>
    <r>
      <rPr>
        <b/>
        <sz val="12"/>
        <color theme="4"/>
        <rFont val="Calibri"/>
        <family val="2"/>
        <scheme val="minor"/>
      </rPr>
      <t xml:space="preserve">crp_salesmain
</t>
    </r>
    <r>
      <rPr>
        <sz val="12"/>
        <rFont val="Calibri"/>
        <family val="2"/>
        <scheme val="minor"/>
      </rPr>
      <t>1-3 =</t>
    </r>
    <r>
      <rPr>
        <b/>
        <sz val="12"/>
        <color theme="4"/>
        <rFont val="Calibri"/>
        <family val="2"/>
        <scheme val="minor"/>
      </rPr>
      <t xml:space="preserve"> crp_salesmain</t>
    </r>
  </si>
  <si>
    <r>
      <rPr>
        <sz val="12"/>
        <rFont val="Calibri"/>
        <family val="2"/>
        <scheme val="minor"/>
      </rPr>
      <t xml:space="preserve">For any response to crp_all, go to </t>
    </r>
    <r>
      <rPr>
        <b/>
        <i/>
        <sz val="12"/>
        <color theme="4"/>
        <rFont val="Calibri"/>
        <family val="2"/>
        <scheme val="minor"/>
      </rPr>
      <t>crp_salesmain</t>
    </r>
  </si>
  <si>
    <t>D. CROP MARKETING</t>
  </si>
  <si>
    <t>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</si>
  <si>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</si>
  <si>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crp_salesdif</t>
  </si>
  <si>
    <t>1 = crp_salesdif_2
2-4 = crp_salesprice</t>
  </si>
  <si>
    <t>crp_salesdif_2</t>
  </si>
  <si>
    <t>crp_salesprice</t>
  </si>
  <si>
    <r>
      <t xml:space="preserve">1-7 = </t>
    </r>
    <r>
      <rPr>
        <b/>
        <sz val="12"/>
        <color rgb="FF0070C0"/>
        <rFont val="Calibri"/>
        <family val="2"/>
        <scheme val="minor"/>
      </rPr>
      <t xml:space="preserve">ls_intro </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</si>
  <si>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</si>
  <si>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t>E. LIVESTOCK PRODUCTION</t>
  </si>
  <si>
    <t>ls_intro</t>
  </si>
  <si>
    <t>We will now ask you some questions about livestock production which apply to you and anyone in your household that is involved in livestock production or sales. 
1)CONTINUE</t>
  </si>
  <si>
    <t>1 = ls_main</t>
  </si>
  <si>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</si>
  <si>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t>ls_main</t>
  </si>
  <si>
    <t>ls_num_lastyr</t>
  </si>
  <si>
    <t>Form Type - TextBox
demographic</t>
  </si>
  <si>
    <t>0-10000 = ls_num_now
88888-88888 = ls_num_now
99999-99999 = ls_num_now</t>
  </si>
  <si>
    <r>
      <t xml:space="preserve">answers can range from 0-10000; any response goes to </t>
    </r>
    <r>
      <rPr>
        <i/>
        <sz val="12"/>
        <rFont val="Calibri"/>
        <family val="2"/>
        <scheme val="minor"/>
      </rPr>
      <t>ls_num_now</t>
    </r>
  </si>
  <si>
    <t>ls_num_now</t>
  </si>
  <si>
    <t>0-10000 = ls_num_change
88888-88888 = ls_num_change
99999-99999 = ls_num_change</t>
  </si>
  <si>
    <r>
      <t xml:space="preserve">answers can range from 0-10000; any response goes to </t>
    </r>
    <r>
      <rPr>
        <i/>
        <sz val="12"/>
        <rFont val="Calibri"/>
        <family val="2"/>
        <scheme val="minor"/>
      </rPr>
      <t>ls_num_change</t>
    </r>
  </si>
  <si>
    <t>ls_num_change</t>
  </si>
  <si>
    <t>ls_proddif</t>
  </si>
  <si>
    <r>
      <t>1=ls_proddif_2
2-4= [</t>
    </r>
    <r>
      <rPr>
        <sz val="12"/>
        <color theme="4"/>
        <rFont val="Calibri"/>
        <family val="2"/>
        <scheme val="minor"/>
      </rPr>
      <t xml:space="preserve">ls_salesmain </t>
    </r>
    <r>
      <rPr>
        <sz val="12"/>
        <rFont val="Calibri"/>
        <family val="2"/>
        <scheme val="minor"/>
      </rPr>
      <t>OR</t>
    </r>
    <r>
      <rPr>
        <sz val="12"/>
        <color theme="4"/>
        <rFont val="Calibri"/>
        <family val="2"/>
        <scheme val="minor"/>
      </rPr>
      <t xml:space="preserve"> optional question]</t>
    </r>
  </si>
  <si>
    <t>ls_proddif_2</t>
  </si>
  <si>
    <t>ls_all</t>
  </si>
  <si>
    <t>ls_all_
1)ls_all_cattle
2)ls_all_goats
3)ls_all_sheep
4)ls_all_swine
5)ls_all_equine
6)ls_all_smallmammals
7)ls_all_poultry
8)ls_all_camelids
9)ls_all_other
10)ls_all_none
11)ls_all_dk
12)ls_all_ref</t>
  </si>
  <si>
    <r>
      <t xml:space="preserve">Dynamic = </t>
    </r>
    <r>
      <rPr>
        <b/>
        <sz val="12"/>
        <color theme="4"/>
        <rFont val="Calibri"/>
        <family val="2"/>
        <scheme val="minor"/>
      </rPr>
      <t xml:space="preserve">ls_salesmain
</t>
    </r>
    <r>
      <rPr>
        <sz val="12"/>
        <rFont val="Calibri"/>
        <family val="2"/>
        <scheme val="minor"/>
      </rPr>
      <t>1-3 =</t>
    </r>
    <r>
      <rPr>
        <b/>
        <sz val="12"/>
        <color theme="4"/>
        <rFont val="Calibri"/>
        <family val="2"/>
        <scheme val="minor"/>
      </rPr>
      <t xml:space="preserve"> ls_salesmain</t>
    </r>
  </si>
  <si>
    <t>E. LIVESTOCK MARKETING</t>
  </si>
  <si>
    <t>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</si>
  <si>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</si>
  <si>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ls_salesdif</t>
  </si>
  <si>
    <t>ls_salesdif_2</t>
  </si>
  <si>
    <t>ls_salesprice</t>
  </si>
  <si>
    <r>
      <t xml:space="preserve">1-7 = </t>
    </r>
    <r>
      <rPr>
        <b/>
        <sz val="12"/>
        <color rgb="FF0070C0"/>
        <rFont val="Calibri"/>
        <family val="2"/>
        <scheme val="minor"/>
      </rPr>
      <t>fish_intro</t>
    </r>
  </si>
  <si>
    <r>
      <t>For options #1-7, go to</t>
    </r>
    <r>
      <rPr>
        <sz val="12"/>
        <color theme="4"/>
        <rFont val="Calibri"/>
        <family val="2"/>
        <scheme val="minor"/>
      </rPr>
      <t xml:space="preserve"> fish_intro</t>
    </r>
  </si>
  <si>
    <t>F. FISHERIES PRODUCTION</t>
  </si>
  <si>
    <t>fish_intro</t>
  </si>
  <si>
    <t>1 = fish_main</t>
  </si>
  <si>
    <r>
      <t xml:space="preserve">If the respondent reported production and sales of fish in one of the three main income sources and confirmed that they are involved in production, then this section will be administered to respondents. Otherwise, skip to </t>
    </r>
    <r>
      <rPr>
        <i/>
        <sz val="12"/>
        <rFont val="Calibri"/>
        <family val="2"/>
        <scheme val="minor"/>
      </rPr>
      <t>fies</t>
    </r>
  </si>
  <si>
    <t>fish_main</t>
  </si>
  <si>
    <t>Form Type - Checklist
5,6 = IsNone</t>
  </si>
  <si>
    <t>1-6 = fish_change</t>
  </si>
  <si>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</si>
  <si>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t>fish_change</t>
  </si>
  <si>
    <t>fish_proddif</t>
  </si>
  <si>
    <r>
      <t xml:space="preserve">1=fish_proddif_2
2-4= </t>
    </r>
    <r>
      <rPr>
        <sz val="12"/>
        <color rgb="FF0070C0"/>
        <rFont val="Calibri"/>
        <family val="2"/>
        <scheme val="minor"/>
      </rPr>
      <t>[</t>
    </r>
    <r>
      <rPr>
        <b/>
        <sz val="12"/>
        <color rgb="FF0070C0"/>
        <rFont val="Calibri"/>
        <family val="2"/>
        <scheme val="minor"/>
      </rPr>
      <t>fish_salesmain</t>
    </r>
    <r>
      <rPr>
        <sz val="12"/>
        <color rgb="FF0070C0"/>
        <rFont val="Calibri"/>
        <family val="2"/>
        <scheme val="minor"/>
      </rPr>
      <t xml:space="preserve"> OR </t>
    </r>
    <r>
      <rPr>
        <b/>
        <sz val="12"/>
        <color rgb="FF0070C0"/>
        <rFont val="Calibri"/>
        <family val="2"/>
        <scheme val="minor"/>
      </rPr>
      <t>optional question</t>
    </r>
    <r>
      <rPr>
        <sz val="12"/>
        <color rgb="FF0070C0"/>
        <rFont val="Calibri"/>
        <family val="2"/>
        <scheme val="minor"/>
      </rPr>
      <t>]</t>
    </r>
  </si>
  <si>
    <t>fish_proddif_2</t>
  </si>
  <si>
    <t>fish_inputdif</t>
  </si>
  <si>
    <t>F. FISHERIES MARKETING</t>
  </si>
  <si>
    <t>fish_salesmain</t>
  </si>
  <si>
    <t>fish_salesdif</t>
  </si>
  <si>
    <t>fish_salesprice</t>
  </si>
  <si>
    <t>1-7 = fies</t>
  </si>
  <si>
    <r>
      <t xml:space="preserve">if </t>
    </r>
    <r>
      <rPr>
        <i/>
        <sz val="12"/>
        <rFont val="Calibri"/>
        <family val="2"/>
        <scheme val="minor"/>
      </rPr>
      <t>fish_salesprice</t>
    </r>
    <r>
      <rPr>
        <sz val="12"/>
        <rFont val="Calibri"/>
        <family val="2"/>
        <scheme val="minor"/>
      </rPr>
      <t xml:space="preserve"> = 1-7, go to </t>
    </r>
    <r>
      <rPr>
        <i/>
        <sz val="12"/>
        <rFont val="Calibri"/>
        <family val="2"/>
        <scheme val="minor"/>
      </rPr>
      <t>fies</t>
    </r>
  </si>
  <si>
    <t>G. FOOD SECURITY AND CONSUMPTION</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</si>
  <si>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</si>
  <si>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1 = fies_worried</t>
  </si>
  <si>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</si>
  <si>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t>Check if the ESS team has an official translation.</t>
  </si>
  <si>
    <t>fies_worried</t>
  </si>
  <si>
    <r>
      <t xml:space="preserve">During the last 30 days, was there a time when you or others in your household were </t>
    </r>
    <r>
      <rPr>
        <u/>
        <sz val="12"/>
        <rFont val="Calibri"/>
        <family val="2"/>
        <scheme val="minor"/>
      </rPr>
      <t>worried about not having enough food to eat</t>
    </r>
    <r>
      <rPr>
        <sz val="12"/>
        <rFont val="Calibri"/>
        <family val="2"/>
        <scheme val="minor"/>
      </rPr>
      <t xml:space="preserve"> because of lack of money or other resources?
[OPERATOR: SINGLE RESPONSE]
1)YES
2)NO
3)DON'T KNOW
4)REFUSED</t>
    </r>
  </si>
  <si>
    <t>1-4 = fies_healthy</t>
  </si>
  <si>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</si>
  <si>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t>fies_healthy</t>
  </si>
  <si>
    <r>
      <t xml:space="preserve">During the last 30 days, was there a time when you or others in your household were </t>
    </r>
    <r>
      <rPr>
        <u/>
        <sz val="12"/>
        <rFont val="Calibri"/>
        <family val="2"/>
        <scheme val="minor"/>
      </rPr>
      <t>unable to eat healthy and nutritious food</t>
    </r>
    <r>
      <rPr>
        <sz val="12"/>
        <rFont val="Calibri"/>
        <family val="2"/>
        <scheme val="minor"/>
      </rPr>
      <t xml:space="preserve"> because of lack of money or other resources?
[OPERATOR: SINGLE RESPONSE]
1)YES
2)NO
3)DON'T KNOW
4)REFUSED</t>
    </r>
  </si>
  <si>
    <t>1-4 = fies_fewfoods</t>
  </si>
  <si>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</si>
  <si>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t>fies_fewfoods</t>
  </si>
  <si>
    <r>
      <t xml:space="preserve">During the last 30 days, was there a time when you or others in your household </t>
    </r>
    <r>
      <rPr>
        <u/>
        <sz val="12"/>
        <rFont val="Calibri"/>
        <family val="2"/>
        <scheme val="minor"/>
      </rPr>
      <t>ate only a few kinds of foods</t>
    </r>
    <r>
      <rPr>
        <sz val="12"/>
        <rFont val="Calibri"/>
        <family val="2"/>
        <scheme val="minor"/>
      </rPr>
      <t xml:space="preserve"> because of lack of money or other resources?
[OPERATOR: SINGLE RESPONSE]
1)YES
2)NO
3)DON'T KNOW
4)REFUSED</t>
    </r>
  </si>
  <si>
    <t>1-4 = fies_skipped</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</si>
  <si>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</si>
  <si>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t>fies_skipped</t>
  </si>
  <si>
    <r>
      <t xml:space="preserve">During the last 30 days, was there a time when you or others in your household </t>
    </r>
    <r>
      <rPr>
        <u/>
        <sz val="12"/>
        <rFont val="Calibri"/>
        <family val="2"/>
        <scheme val="minor"/>
      </rPr>
      <t>had to skip a meal</t>
    </r>
    <r>
      <rPr>
        <sz val="12"/>
        <rFont val="Calibri"/>
        <family val="2"/>
        <scheme val="minor"/>
      </rPr>
      <t xml:space="preserve"> because of lack of money or other resources to get food?
[OPERATOR: SINGLE RESPONSE]
1)YES
2)NO
3)DON'T KNOW
4)REFUSED</t>
    </r>
  </si>
  <si>
    <t>1-4 = fies_ateless</t>
  </si>
  <si>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</si>
  <si>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t>fies_ateless</t>
  </si>
  <si>
    <r>
      <t xml:space="preserve">During the last 30 days, was there a time when you or others in your household </t>
    </r>
    <r>
      <rPr>
        <u/>
        <sz val="12"/>
        <rFont val="Calibri"/>
        <family val="2"/>
        <scheme val="minor"/>
      </rPr>
      <t>ate less than you thought you should</t>
    </r>
    <r>
      <rPr>
        <sz val="12"/>
        <rFont val="Calibri"/>
        <family val="2"/>
        <scheme val="minor"/>
      </rPr>
      <t xml:space="preserve"> because of lack of money or other resources?
[OPERATOR: SINGLE RESPONSE]
1)YES
2)NO
3)DON'T KNOW
4)REFUSED</t>
    </r>
  </si>
  <si>
    <t>1-4 = fies_ranout</t>
  </si>
  <si>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</si>
  <si>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t>fies_ranout</t>
  </si>
  <si>
    <r>
      <rPr>
        <sz val="12"/>
        <rFont val="Calibri"/>
        <family val="2"/>
        <scheme val="minor"/>
      </rPr>
      <t xml:space="preserve">In the past 30 days, was there ever </t>
    </r>
    <r>
      <rPr>
        <u/>
        <sz val="12"/>
        <rFont val="Calibri"/>
        <family val="2"/>
        <scheme val="minor"/>
      </rPr>
      <t>no food to eat of any kind</t>
    </r>
    <r>
      <rPr>
        <sz val="12"/>
        <rFont val="Calibri"/>
        <family val="2"/>
        <scheme val="minor"/>
      </rPr>
      <t xml:space="preserve"> in your house because of lack of resources to get food?</t>
    </r>
    <r>
      <rPr>
        <sz val="11"/>
        <rFont val="Calibri"/>
        <family val="2"/>
        <scheme val="minor"/>
      </rPr>
      <t xml:space="preserve">
[OPERATOR: SINGLE RESPONSE]
1)YES
2)NO
3)DON'T KNOW
4)REFUSED</t>
    </r>
  </si>
  <si>
    <t>1=fies_ranout_hhs
2-4 = fies_hungry</t>
  </si>
  <si>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</si>
  <si>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t>fies_ranout_hhs</t>
  </si>
  <si>
    <t xml:space="preserve">1-5 = fies_hungry </t>
  </si>
  <si>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</si>
  <si>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t>fies_hungry</t>
  </si>
  <si>
    <r>
      <rPr>
        <sz val="12"/>
        <rFont val="Calibri"/>
        <family val="2"/>
        <scheme val="minor"/>
      </rPr>
      <t xml:space="preserve">In the past 30 days, did you or any household member ever </t>
    </r>
    <r>
      <rPr>
        <u/>
        <sz val="12"/>
        <rFont val="Calibri"/>
        <family val="2"/>
        <scheme val="minor"/>
      </rPr>
      <t>go to sleep at night hungry</t>
    </r>
    <r>
      <rPr>
        <sz val="12"/>
        <rFont val="Calibri"/>
        <family val="2"/>
        <scheme val="minor"/>
      </rPr>
      <t xml:space="preserve"> because there was not enough food?</t>
    </r>
    <r>
      <rPr>
        <sz val="11"/>
        <rFont val="Calibri"/>
        <family val="2"/>
        <scheme val="minor"/>
      </rPr>
      <t xml:space="preserve">
[OPERATOR: SINGLE RESPONSE]
1)YES
2)NO
3)DON'T KNOW
4)REFUSED</t>
    </r>
  </si>
  <si>
    <t>1=fies_hungry_hhs
2-4 = fies_whlday</t>
  </si>
  <si>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</si>
  <si>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t>fies_hungry_hhs</t>
  </si>
  <si>
    <t>1-5 = fies_whlday</t>
  </si>
  <si>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</si>
  <si>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t>fies_whlday</t>
  </si>
  <si>
    <r>
      <rPr>
        <sz val="12"/>
        <rFont val="Calibri"/>
        <family val="2"/>
        <scheme val="minor"/>
      </rPr>
      <t>In the past 30 days, did you or any household member ever</t>
    </r>
    <r>
      <rPr>
        <u/>
        <sz val="12"/>
        <rFont val="Calibri"/>
        <family val="2"/>
        <scheme val="minor"/>
      </rPr>
      <t xml:space="preserve"> go a whole day and night without eating anything at all</t>
    </r>
    <r>
      <rPr>
        <sz val="12"/>
        <rFont val="Calibri"/>
        <family val="2"/>
        <scheme val="minor"/>
      </rPr>
      <t xml:space="preserve"> because there was not enough food?</t>
    </r>
    <r>
      <rPr>
        <sz val="11"/>
        <rFont val="Calibri"/>
        <family val="2"/>
        <scheme val="minor"/>
      </rPr>
      <t xml:space="preserve">
[OPERATOR: SINGLE RESPONSE]
1)YES
2)NO
3)DON'T KNOW
4)REFUSED</t>
    </r>
  </si>
  <si>
    <t>fies_whlday_hhs</t>
  </si>
  <si>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</si>
  <si>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</si>
  <si>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</si>
  <si>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r>
      <t xml:space="preserve">1-6 = </t>
    </r>
    <r>
      <rPr>
        <b/>
        <sz val="12"/>
        <color rgb="FF0070C0"/>
        <rFont val="Calibri"/>
        <family val="2"/>
        <scheme val="minor"/>
      </rPr>
      <t>[next question]</t>
    </r>
  </si>
  <si>
    <t>cs_stress_spent_savings</t>
  </si>
  <si>
    <t xml:space="preserve"> cs_stress_spent_savings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</si>
  <si>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spend savings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</si>
  <si>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cs_stress_sold_more_animals</t>
  </si>
  <si>
    <t>cs_stress_eat_elsewhere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</si>
  <si>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send household members to eat elsewhere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</si>
  <si>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cs_stress_borrowed_or_helped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</si>
  <si>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borrow food or rely on help from friends or relatives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</si>
  <si>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cs_stress_credit</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</si>
  <si>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purchase food on credit or borrowed food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</si>
  <si>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cs_stress_borrowed_money</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</si>
  <si>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borrow money</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 DON'T KNOW 
6) REFUSED</t>
    </r>
  </si>
  <si>
    <t>cs_stress_changed_school</t>
  </si>
  <si>
    <t>cs_crisis_sold_prod_assets</t>
  </si>
  <si>
    <t>cs_crisis_no_school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</si>
  <si>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withdraw children from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</si>
  <si>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cs_crisis_reduced_health_exp</t>
  </si>
  <si>
    <t>cs_crisis_harv_immature_crops</t>
  </si>
  <si>
    <r>
      <t>Over the</t>
    </r>
    <r>
      <rPr>
        <b/>
        <sz val="12"/>
        <rFont val="Calibri"/>
        <family val="2"/>
        <scheme val="minor"/>
      </rPr>
      <t xml:space="preserve"> past 30 days</t>
    </r>
    <r>
      <rPr>
        <sz val="12"/>
        <rFont val="Calibri"/>
        <family val="2"/>
        <scheme val="minor"/>
      </rPr>
      <t xml:space="preserve">, did anyone in your household </t>
    </r>
    <r>
      <rPr>
        <u/>
        <sz val="12"/>
        <rFont val="Calibri"/>
        <family val="2"/>
        <scheme val="minor"/>
      </rPr>
      <t>consume seed stocks that were to be held/saved for the next planting season</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</si>
  <si>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decrease expenditures on fertilizer, pesticide, fodder, animal feed, veterinary care, etc.</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</si>
  <si>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cs_emergency_sold_house</t>
  </si>
  <si>
    <t>cs_emergency_begged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</si>
  <si>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beg</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</si>
  <si>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cs_emergency_illegal</t>
  </si>
  <si>
    <t>cs_emergency_sold_last_female</t>
  </si>
  <si>
    <t>cs_emergency_hh_migration</t>
  </si>
  <si>
    <r>
      <t xml:space="preserve">Over the </t>
    </r>
    <r>
      <rPr>
        <b/>
        <sz val="12"/>
        <rFont val="Calibri"/>
        <family val="2"/>
        <scheme val="minor"/>
      </rPr>
      <t>past 30 days</t>
    </r>
    <r>
      <rPr>
        <sz val="12"/>
        <rFont val="Calibri"/>
        <family val="2"/>
        <scheme val="minor"/>
      </rPr>
      <t xml:space="preserve">, did </t>
    </r>
    <r>
      <rPr>
        <u/>
        <sz val="12"/>
        <rFont val="Calibri (Body)"/>
      </rPr>
      <t>your entire household have to m</t>
    </r>
    <r>
      <rPr>
        <u/>
        <sz val="12"/>
        <rFont val="Calibri"/>
        <family val="2"/>
        <scheme val="minor"/>
      </rPr>
      <t>igrate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</si>
  <si>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hdds</t>
  </si>
  <si>
    <t>hdds
1) hdds_cereals
2) hdds_rootstubers
3) hdds_vegetables
4) hdds_fruits
5) hdds_meat
6) hdds_eggs
7) hdds_fish
8) hdds_legumes
9) hdds_milkdairy
10) hdds_oils
11)hdds_sugar
12) hdds_condiments</t>
  </si>
  <si>
    <t>1-12 = hdds_confirmation</t>
  </si>
  <si>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</si>
  <si>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</si>
  <si>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</si>
  <si>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fcs_intro</t>
  </si>
  <si>
    <t>1 = fcs_staple_days</t>
  </si>
  <si>
    <t>if fcs_intro = 1, go to fcs_staple_days</t>
  </si>
  <si>
    <t>fcs_staple_days</t>
  </si>
  <si>
    <t>0-7 = fcs_pulses_days</t>
  </si>
  <si>
    <t>For any response, go to fcs_pulses_days</t>
  </si>
  <si>
    <t>fcs_pulses_days</t>
  </si>
  <si>
    <t>0-7 = fcs_fruit_days</t>
  </si>
  <si>
    <t>For any response, go to fcs_fruit_days</t>
  </si>
  <si>
    <t>fcs_fruit_days</t>
  </si>
  <si>
    <t>0-7 = fcs_meat_fish_days</t>
  </si>
  <si>
    <t>For any response, go to fcs_meat_fish_days</t>
  </si>
  <si>
    <t>fcs_meat_fish_days</t>
  </si>
  <si>
    <t>0-7 = fcs_dairy_days</t>
  </si>
  <si>
    <t>For any response, go to fcs_dairy_days</t>
  </si>
  <si>
    <t>fcs_dairy_days</t>
  </si>
  <si>
    <t>0-7 = fcs_sugar_days</t>
  </si>
  <si>
    <t>For any response, go to fcs_sugar_days</t>
  </si>
  <si>
    <t>fcs_sugar_days</t>
  </si>
  <si>
    <t>0-7 = fcs_oil_days</t>
  </si>
  <si>
    <t>For any response, go to fcs_oil_days</t>
  </si>
  <si>
    <t>fcs_oil_days</t>
  </si>
  <si>
    <t>0-7 = fcs_condiments_days</t>
  </si>
  <si>
    <t>For any response, go to fcs_condiments_days</t>
  </si>
  <si>
    <t>fcs_condiments_days</t>
  </si>
  <si>
    <r>
      <t xml:space="preserve">Now I will ask you about the number of days, in the </t>
    </r>
    <r>
      <rPr>
        <u/>
        <sz val="12"/>
        <color theme="1"/>
        <rFont val="Calibri"/>
        <family val="2"/>
        <scheme val="minor"/>
      </rPr>
      <t>last 7 days</t>
    </r>
    <r>
      <rPr>
        <sz val="12"/>
        <color theme="1"/>
        <rFont val="Calibri"/>
        <family val="2"/>
        <scheme val="minor"/>
      </rPr>
      <t>, during which the household has done some of the actions that I will mention to cope with the lack of food or money to buy food.
1)CONTINUE</t>
    </r>
  </si>
  <si>
    <t>1 = rcsi_less_preferred_foods</t>
  </si>
  <si>
    <t>For any response, go to rcsi_less_preferred_foods</t>
  </si>
  <si>
    <t>rcsi_less_preferred_foods</t>
  </si>
  <si>
    <r>
      <t xml:space="preserve">In the </t>
    </r>
    <r>
      <rPr>
        <b/>
        <sz val="12"/>
        <color theme="1"/>
        <rFont val="Calibri"/>
        <family val="2"/>
        <scheme val="minor"/>
      </rPr>
      <t>past 7 days</t>
    </r>
    <r>
      <rPr>
        <sz val="12"/>
        <color theme="1"/>
        <rFont val="Calibri"/>
        <family val="2"/>
        <scheme val="minor"/>
      </rPr>
      <t>, how many days did your household</t>
    </r>
    <r>
      <rPr>
        <u/>
        <sz val="12"/>
        <color theme="1"/>
        <rFont val="Calibri"/>
        <family val="2"/>
        <scheme val="minor"/>
      </rPr>
      <t xml:space="preserve"> rely on less preferred or less expensive food</t>
    </r>
    <r>
      <rPr>
        <sz val="12"/>
        <color theme="1"/>
        <rFont val="Calibri"/>
        <family val="2"/>
        <scheme val="minor"/>
      </rPr>
      <t xml:space="preserve"> due to lack of food/money?  
[OPERATOR: RECORD NUMBER OF DAYS 0 - 7 ]</t>
    </r>
  </si>
  <si>
    <t>0-7 = rcsi_borrowed_food</t>
  </si>
  <si>
    <t>For any response, go to rcsi_borrowed_food</t>
  </si>
  <si>
    <t>rcsi_borrowed_food</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</si>
  <si>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borrow food, or rely on help from a friend or relative</t>
    </r>
    <r>
      <rPr>
        <sz val="12"/>
        <color theme="1"/>
        <rFont val="Calibri"/>
        <family val="2"/>
        <scheme val="minor"/>
      </rPr>
      <t xml:space="preserve"> due to lack of food or money to buy food? 
[OPERATOR: RECORD NUMBER OF DAYS 0 - 7 ]</t>
    </r>
  </si>
  <si>
    <t>0-7 = rcsi_reduce_number_meals</t>
  </si>
  <si>
    <t>rcsi_reduce_number_meals</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</si>
  <si>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reduce the number of meals eaten in a day</t>
    </r>
    <r>
      <rPr>
        <sz val="12"/>
        <color theme="1"/>
        <rFont val="Calibri"/>
        <family val="2"/>
        <scheme val="minor"/>
      </rPr>
      <t xml:space="preserve"> due to lack of food or money to buy food?
[OPERATOR: RECORD NUMBER OF DAYS 0 - 7 ]</t>
    </r>
  </si>
  <si>
    <t>0-7 = rcsi_limit_portions</t>
  </si>
  <si>
    <t>rcsi_limit_portions</t>
  </si>
  <si>
    <r>
      <t>In the</t>
    </r>
    <r>
      <rPr>
        <b/>
        <sz val="12"/>
        <color theme="1"/>
        <rFont val="Calibri"/>
        <family val="2"/>
        <scheme val="minor"/>
      </rPr>
      <t xml:space="preserve"> past 7 days</t>
    </r>
    <r>
      <rPr>
        <sz val="12"/>
        <color theme="1"/>
        <rFont val="Calibri"/>
        <family val="2"/>
        <scheme val="minor"/>
      </rPr>
      <t xml:space="preserve">, how many days did your household </t>
    </r>
    <r>
      <rPr>
        <u/>
        <sz val="12"/>
        <color theme="1"/>
        <rFont val="Calibri"/>
        <family val="2"/>
        <scheme val="minor"/>
      </rPr>
      <t>limit portion sizes at mealtime</t>
    </r>
    <r>
      <rPr>
        <sz val="12"/>
        <color theme="1"/>
        <rFont val="Calibri"/>
        <family val="2"/>
        <scheme val="minor"/>
      </rPr>
      <t xml:space="preserve"> due to lack of food or money to buy food? 
[OPERATOR: RECORD NUMBER OF DAYS 0 - 7 ]</t>
    </r>
  </si>
  <si>
    <t>For any response, go to rcsi_reduce_number_meals</t>
  </si>
  <si>
    <r>
      <t>In the</t>
    </r>
    <r>
      <rPr>
        <b/>
        <sz val="12"/>
        <rFont val="Calibri"/>
        <family val="2"/>
        <scheme val="minor"/>
      </rPr>
      <t xml:space="preserve"> past 7 days</t>
    </r>
    <r>
      <rPr>
        <sz val="12"/>
        <rFont val="Calibri"/>
        <family val="2"/>
        <scheme val="minor"/>
      </rPr>
      <t xml:space="preserve">, how many days did your household </t>
    </r>
    <r>
      <rPr>
        <u/>
        <sz val="12"/>
        <rFont val="Calibri"/>
        <family val="2"/>
        <scheme val="minor"/>
      </rPr>
      <t>restrict consumption by adults so children could eat</t>
    </r>
    <r>
      <rPr>
        <sz val="12"/>
        <rFont val="Calibri"/>
        <family val="2"/>
        <scheme val="minor"/>
      </rPr>
      <t>, due to lack of food or money to buy food?
[OPERATOR: RECORD NUMBER OF DAYS 0 - 7 ]</t>
    </r>
  </si>
  <si>
    <t>H. NEEDS ASSISTANCE</t>
  </si>
  <si>
    <t>need</t>
  </si>
  <si>
    <t>need_2</t>
  </si>
  <si>
    <t>need_received</t>
  </si>
  <si>
    <t>I. CLOSING</t>
  </si>
  <si>
    <t>callback</t>
  </si>
  <si>
    <t>Your answers will help us to understand and respond to your community needs. May we call you back again in a few months?
[OPERATOR: SINGLE RESPONSE.]
1)YES
2)NO</t>
  </si>
  <si>
    <t>leader_contact</t>
  </si>
  <si>
    <r>
      <t xml:space="preserve">Can you provide me with the </t>
    </r>
    <r>
      <rPr>
        <b/>
        <sz val="12"/>
        <color theme="9" tint="-0.499984740745262"/>
        <rFont val="Calibri (Body)"/>
      </rPr>
      <t>contact information</t>
    </r>
    <r>
      <rPr>
        <sz val="12"/>
        <color theme="9" tint="-0.499984740745262"/>
        <rFont val="Calibri (Body)"/>
      </rPr>
      <t xml:space="preserve"> of a leader in your community?
[OPERATOR: SINGLE RESPONSE.]
1)YES 
2)NO
3)DON'T KNOW
4)REFUSED</t>
    </r>
  </si>
  <si>
    <t>1 = leader_type
2-4 = future_int_day</t>
  </si>
  <si>
    <r>
      <t xml:space="preserve">if </t>
    </r>
    <r>
      <rPr>
        <i/>
        <sz val="12"/>
        <color theme="9" tint="-0.499984740745262"/>
        <rFont val="Calibri (Body)"/>
      </rPr>
      <t xml:space="preserve">leader_contact </t>
    </r>
    <r>
      <rPr>
        <sz val="12"/>
        <color theme="9" tint="-0.499984740745262"/>
        <rFont val="Calibri (Body)"/>
      </rPr>
      <t xml:space="preserve">= 1, go to </t>
    </r>
    <r>
      <rPr>
        <i/>
        <sz val="12"/>
        <color theme="9" tint="-0.499984740745262"/>
        <rFont val="Calibri (Body)"/>
      </rPr>
      <t xml:space="preserve">leader_type;
if leader_contact </t>
    </r>
    <r>
      <rPr>
        <sz val="12"/>
        <color theme="9" tint="-0.499984740745262"/>
        <rFont val="Calibri (Body)"/>
      </rPr>
      <t xml:space="preserve">= 2-4, go to </t>
    </r>
    <r>
      <rPr>
        <i/>
        <sz val="12"/>
        <color theme="9" tint="-0.499984740745262"/>
        <rFont val="Calibri (Body)"/>
      </rPr>
      <t>future_int_day</t>
    </r>
  </si>
  <si>
    <t>no - panel</t>
  </si>
  <si>
    <t>leader_type</t>
  </si>
  <si>
    <t>1-7 = phone_number_leader</t>
  </si>
  <si>
    <r>
      <t xml:space="preserve">if </t>
    </r>
    <r>
      <rPr>
        <i/>
        <sz val="12"/>
        <color theme="9" tint="-0.499984740745262"/>
        <rFont val="Calibri (Body)"/>
      </rPr>
      <t xml:space="preserve">leader_type </t>
    </r>
    <r>
      <rPr>
        <sz val="12"/>
        <color theme="9" tint="-0.499984740745262"/>
        <rFont val="Calibri (Body)"/>
      </rPr>
      <t xml:space="preserve">= 1-7, go to </t>
    </r>
    <r>
      <rPr>
        <i/>
        <sz val="12"/>
        <color theme="9" tint="-0.499984740745262"/>
        <rFont val="Calibri (Body)"/>
      </rPr>
      <t>phone_number_leader</t>
    </r>
  </si>
  <si>
    <t>phone_number_leader</t>
  </si>
  <si>
    <t>Any Response = leader_name</t>
  </si>
  <si>
    <r>
      <t xml:space="preserve">For any response, go to </t>
    </r>
    <r>
      <rPr>
        <i/>
        <sz val="12"/>
        <color theme="9" tint="-0.499984740745262"/>
        <rFont val="Calibri (Body)"/>
      </rPr>
      <t>leader_name</t>
    </r>
  </si>
  <si>
    <t>leader_name</t>
  </si>
  <si>
    <t>Any Response = future_int_day</t>
  </si>
  <si>
    <r>
      <t xml:space="preserve">For any response, go to </t>
    </r>
    <r>
      <rPr>
        <i/>
        <sz val="12"/>
        <color theme="9" tint="-0.499984740745262"/>
        <rFont val="Calibri (Body)"/>
      </rPr>
      <t>future_int_day</t>
    </r>
  </si>
  <si>
    <t>future_int_day</t>
  </si>
  <si>
    <t>future_int_day_
1) future_int_day_mon
2) future_int_day_tues
3) future_int_day_wed
4) future_int_day_thurs
5) future_int_day_fri
6) future_int_day_sat
7) future_int_day_sun</t>
  </si>
  <si>
    <t>1-7 = future_int_time</t>
  </si>
  <si>
    <r>
      <t xml:space="preserve">if </t>
    </r>
    <r>
      <rPr>
        <i/>
        <sz val="12"/>
        <color theme="9" tint="-0.499984740745262"/>
        <rFont val="Calibri (Body)"/>
      </rPr>
      <t xml:space="preserve">l_future_int_day </t>
    </r>
    <r>
      <rPr>
        <sz val="12"/>
        <color theme="9" tint="-0.499984740745262"/>
        <rFont val="Calibri (Body)"/>
      </rPr>
      <t xml:space="preserve">= 1-7, go to </t>
    </r>
    <r>
      <rPr>
        <i/>
        <sz val="12"/>
        <color theme="9" tint="-0.499984740745262"/>
        <rFont val="Calibri (Body)"/>
      </rPr>
      <t>future_int_time</t>
    </r>
  </si>
  <si>
    <t>future_int_time</t>
  </si>
  <si>
    <t>future_int_time_ 
1) future_int_time_morn
2) future_int_time_aft
3) future_int_time_eve</t>
  </si>
  <si>
    <t>1-3 = language2</t>
  </si>
  <si>
    <r>
      <t xml:space="preserve">if </t>
    </r>
    <r>
      <rPr>
        <i/>
        <sz val="12"/>
        <color theme="9" tint="-0.499984740745262"/>
        <rFont val="Calibri (Body)"/>
      </rPr>
      <t xml:space="preserve">future_int_time </t>
    </r>
    <r>
      <rPr>
        <sz val="12"/>
        <color theme="9" tint="-0.499984740745262"/>
        <rFont val="Calibri (Body)"/>
      </rPr>
      <t xml:space="preserve">= 1-3, go to </t>
    </r>
    <r>
      <rPr>
        <i/>
        <sz val="12"/>
        <color theme="9" tint="-0.499984740745262"/>
        <rFont val="Calibri (Body)"/>
      </rPr>
      <t>language2</t>
    </r>
  </si>
  <si>
    <t>language2</t>
  </si>
  <si>
    <r>
      <t>Select the language that was mostly used to complete the interview.
[OPERATOR: SINGLE RESPONSE.]
1)English
2)</t>
    </r>
    <r>
      <rPr>
        <b/>
        <sz val="12"/>
        <color theme="4"/>
        <rFont val="Calibri"/>
        <family val="2"/>
        <scheme val="minor"/>
      </rPr>
      <t>other languages [consistent with resp_language]</t>
    </r>
  </si>
  <si>
    <r>
      <rPr>
        <b/>
        <sz val="12"/>
        <color rgb="FF0070C0"/>
        <rFont val="Calibri"/>
        <family val="2"/>
        <scheme val="minor"/>
      </rPr>
      <t xml:space="preserve">1-2 </t>
    </r>
    <r>
      <rPr>
        <sz val="12"/>
        <rFont val="Calibri"/>
        <family val="2"/>
        <scheme val="minor"/>
      </rPr>
      <t>= closeout</t>
    </r>
  </si>
  <si>
    <t>closeout</t>
  </si>
  <si>
    <r>
      <t xml:space="preserve">Thank you for your time. The interview has come to an end. </t>
    </r>
    <r>
      <rPr>
        <b/>
        <sz val="12"/>
        <color rgb="FF0070C0"/>
        <rFont val="Calibri"/>
        <family val="2"/>
        <scheme val="minor"/>
      </rPr>
      <t>You will receive your #TOPUP# airtime credit on this phone within the next 2 days.</t>
    </r>
  </si>
  <si>
    <t xml:space="preserve">AVERAGE ESTIMATED DURATION </t>
  </si>
  <si>
    <t>AVERAGE ESTIMATED DURATION (without fisheries section)</t>
  </si>
  <si>
    <t>AVERAGE ESTIMATED DURATION (without fisheries section or panel)</t>
  </si>
  <si>
    <t xml:space="preserve">Select top 10 crops </t>
  </si>
  <si>
    <t>GeoPoll code</t>
  </si>
  <si>
    <t>Dataset code</t>
  </si>
  <si>
    <t>Label (EN)</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</si>
  <si>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</si>
  <si>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</si>
  <si>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</si>
  <si>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</si>
  <si>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</si>
  <si>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</si>
  <si>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</si>
  <si>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</si>
  <si>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</si>
  <si>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</si>
  <si>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</si>
  <si>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</si>
  <si>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</si>
  <si>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</si>
  <si>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</si>
  <si>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</si>
  <si>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</si>
  <si>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</si>
  <si>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</si>
  <si>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</si>
  <si>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</si>
  <si>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</si>
  <si>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</si>
  <si>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</si>
  <si>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</si>
  <si>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</si>
  <si>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</si>
  <si>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</si>
  <si>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</si>
  <si>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</si>
  <si>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</si>
  <si>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</si>
  <si>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</si>
  <si>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</si>
  <si>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</si>
  <si>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</si>
  <si>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</si>
  <si>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</si>
  <si>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</si>
  <si>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</si>
  <si>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</si>
  <si>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</si>
  <si>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</si>
  <si>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</si>
  <si>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</si>
  <si>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</si>
  <si>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</si>
  <si>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</si>
  <si>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</si>
  <si>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</si>
  <si>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</si>
  <si>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</si>
  <si>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</si>
  <si>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</si>
  <si>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</si>
  <si>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</si>
  <si>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</si>
  <si>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</si>
  <si>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</si>
  <si>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</si>
  <si>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</si>
  <si>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</si>
  <si>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</si>
  <si>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</si>
  <si>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</si>
  <si>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</si>
  <si>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</si>
  <si>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</si>
  <si>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</si>
  <si>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</si>
  <si>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</si>
  <si>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</si>
  <si>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</si>
  <si>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</si>
  <si>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</si>
  <si>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</si>
  <si>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</si>
  <si>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</si>
  <si>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</si>
  <si>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</si>
  <si>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</si>
  <si>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</si>
  <si>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</si>
  <si>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</si>
  <si>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</si>
  <si>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</si>
  <si>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</si>
  <si>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</si>
  <si>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</si>
  <si>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</si>
  <si>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</si>
  <si>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</si>
  <si>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</si>
  <si>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</si>
  <si>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</si>
  <si>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</si>
  <si>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</si>
  <si>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</si>
  <si>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</si>
  <si>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</si>
  <si>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</si>
  <si>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</si>
  <si>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</si>
  <si>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</si>
  <si>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</si>
  <si>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</si>
  <si>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</si>
  <si>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</si>
  <si>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</si>
  <si>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</si>
  <si>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</si>
  <si>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</si>
  <si>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</si>
  <si>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</si>
  <si>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</si>
  <si>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</si>
  <si>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</si>
  <si>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</si>
  <si>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</si>
  <si>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</si>
  <si>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</si>
  <si>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</si>
  <si>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</si>
  <si>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</si>
  <si>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</si>
  <si>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</si>
  <si>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</si>
  <si>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</si>
  <si>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</si>
  <si>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</si>
  <si>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</si>
  <si>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</si>
  <si>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</si>
  <si>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</si>
  <si>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</si>
  <si>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</si>
  <si>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</si>
  <si>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</si>
  <si>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</si>
  <si>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</si>
  <si>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</si>
  <si>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</si>
  <si>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</si>
  <si>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</si>
  <si>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</si>
  <si>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</si>
  <si>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</si>
  <si>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</si>
  <si>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</si>
  <si>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</si>
  <si>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</si>
  <si>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</si>
  <si>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</si>
  <si>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</si>
  <si>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</si>
  <si>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</si>
  <si>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</si>
  <si>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</si>
  <si>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</si>
  <si>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</si>
  <si>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</si>
  <si>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</si>
  <si>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</si>
  <si>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</si>
  <si>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</si>
  <si>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</si>
  <si>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</si>
  <si>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</si>
  <si>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</si>
  <si>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</si>
  <si>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</si>
  <si>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</si>
  <si>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</si>
  <si>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</si>
  <si>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</si>
  <si>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</si>
  <si>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</si>
  <si>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</si>
  <si>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Original</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</si>
  <si>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</si>
  <si>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ADMIN1</t>
  </si>
  <si>
    <t>The first subdivision of the country, after national level; region; province; governorate; etc.</t>
  </si>
  <si>
    <t>region</t>
  </si>
  <si>
    <t>ADMIN2</t>
  </si>
  <si>
    <t>The second subdivision of the country; district; municipality; LGA; etc.</t>
  </si>
  <si>
    <t>district</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</si>
  <si>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</si>
  <si>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</si>
  <si>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</si>
  <si>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</si>
  <si>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</si>
  <si>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</si>
  <si>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</si>
  <si>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Harvesting</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</si>
  <si>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</si>
  <si>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</si>
  <si>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Jeribs</t>
  </si>
  <si>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</si>
  <si>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</si>
  <si>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</si>
  <si>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Naira</t>
  </si>
  <si>
    <t>MIN AMOUNT</t>
  </si>
  <si>
    <t>MAX AMOUNT</t>
  </si>
  <si>
    <t>THRESHOLD</t>
  </si>
  <si>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</si>
  <si>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</si>
  <si>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</si>
  <si>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</si>
  <si>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</si>
  <si>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</si>
  <si>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r>
      <t xml:space="preserve">FILL OUT FOR QUESTIONNAIRE DURATION ESTIMATION    </t>
    </r>
    <r>
      <rPr>
        <sz val="12"/>
        <color theme="0"/>
        <rFont val="Calibri"/>
        <family val="2"/>
        <scheme val="minor"/>
      </rPr>
      <t>.</t>
    </r>
  </si>
  <si>
    <t>Expected percentage of respondents cultivating crops</t>
  </si>
  <si>
    <t>Expected percentage of respondents raising livestock</t>
  </si>
  <si>
    <t>Expected percentage of respondents involved in fishery</t>
  </si>
  <si>
    <t>1-4 = phone_number_conf</t>
  </si>
  <si>
    <r>
      <t xml:space="preserve">For any response, go to </t>
    </r>
    <r>
      <rPr>
        <i/>
        <sz val="12"/>
        <rFont val="Calibri"/>
        <family val="2"/>
        <scheme val="minor"/>
      </rPr>
      <t>phone_number_conf</t>
    </r>
  </si>
  <si>
    <t>For any response, go to rcsi_limit_portions</t>
  </si>
  <si>
    <t>local measurement unit conversion</t>
  </si>
  <si>
    <t>resp_id</t>
  </si>
  <si>
    <t xml:space="preserve">Are you the head of household? 
[OPERATOR: SINGLE RESPONSE.]
1)Yes
2)No
3)DON'T KNOW
4)REFUSED
</t>
  </si>
  <si>
    <t>1 = hh_education 
2-4 = hh_gender</t>
  </si>
  <si>
    <r>
      <t>For any response, go to</t>
    </r>
    <r>
      <rPr>
        <sz val="12"/>
        <color theme="4"/>
        <rFont val="Calibri"/>
        <family val="2"/>
        <scheme val="minor"/>
      </rPr>
      <t xml:space="preserve"> [next question]</t>
    </r>
  </si>
  <si>
    <t>assistance_quality</t>
  </si>
  <si>
    <t>assistance_provider</t>
  </si>
  <si>
    <r>
      <t xml:space="preserve">1-27 = </t>
    </r>
    <r>
      <rPr>
        <sz val="12"/>
        <color theme="4"/>
        <rFont val="Calibri (Body)"/>
      </rPr>
      <t xml:space="preserve">[crp_intro </t>
    </r>
    <r>
      <rPr>
        <sz val="12"/>
        <color theme="4"/>
        <rFont val="Calibri"/>
        <family val="2"/>
        <scheme val="minor"/>
      </rPr>
      <t xml:space="preserve">or </t>
    </r>
    <r>
      <rPr>
        <sz val="12"/>
        <color theme="4"/>
        <rFont val="Calibri (Body)"/>
      </rPr>
      <t>optional question]</t>
    </r>
  </si>
  <si>
    <r>
      <t xml:space="preserve">Any Response = </t>
    </r>
    <r>
      <rPr>
        <sz val="12"/>
        <color theme="4"/>
        <rFont val="Calibri (Body)"/>
      </rPr>
      <t>covid</t>
    </r>
  </si>
  <si>
    <t>Core questions only</t>
  </si>
  <si>
    <t>Who provided your household with this assistance?
[OPERATOR: MULTIPLE RESPONSE.]
1)FAO
2)WFP
3)Other UN agencies
4)Government
5)Non-governmental/local organization
6)DON'T KNOW
7)REFUSED</t>
  </si>
  <si>
    <r>
      <t>If the income amount is over the threshold set in "Additional information", the respondent will be asked to confirm with income_main_amount_conf. Otherwise, go to</t>
    </r>
    <r>
      <rPr>
        <i/>
        <sz val="12"/>
        <color theme="4"/>
        <rFont val="Calibri (Body)"/>
      </rPr>
      <t xml:space="preserve"> income_main_comp or optional question.</t>
    </r>
  </si>
  <si>
    <r>
      <t xml:space="preserve">if </t>
    </r>
    <r>
      <rPr>
        <i/>
        <sz val="12"/>
        <rFont val="Calibri"/>
        <family val="2"/>
        <scheme val="minor"/>
      </rPr>
      <t>income_main_amount_conf</t>
    </r>
    <r>
      <rPr>
        <sz val="12"/>
        <rFont val="Calibri"/>
        <family val="2"/>
        <scheme val="minor"/>
      </rPr>
      <t xml:space="preserve"> = 1, go to </t>
    </r>
    <r>
      <rPr>
        <i/>
        <sz val="12"/>
        <color theme="4"/>
        <rFont val="Calibri (Body)"/>
      </rPr>
      <t>income_main_comp</t>
    </r>
    <r>
      <rPr>
        <sz val="12"/>
        <color theme="4"/>
        <rFont val="Calibri (Body)"/>
      </rPr>
      <t xml:space="preserve"> or optional question</t>
    </r>
  </si>
  <si>
    <r>
      <t xml:space="preserve">1 = </t>
    </r>
    <r>
      <rPr>
        <sz val="12"/>
        <color theme="4"/>
        <rFont val="Calibri"/>
        <family val="2"/>
        <scheme val="minor"/>
      </rPr>
      <t>income_main_comp</t>
    </r>
    <r>
      <rPr>
        <sz val="12"/>
        <rFont val="Calibri"/>
        <family val="2"/>
        <scheme val="minor"/>
      </rPr>
      <t xml:space="preserve"> </t>
    </r>
    <r>
      <rPr>
        <sz val="12"/>
        <color theme="4"/>
        <rFont val="Calibri (Body)"/>
      </rPr>
      <t>OR optional question</t>
    </r>
  </si>
  <si>
    <t>income_main_control</t>
  </si>
  <si>
    <t>income_sec_control</t>
  </si>
  <si>
    <r>
      <t xml:space="preserve">If the income amount is over the threshold set in "Additional information", the respondent will be asked to confirm with income_sec_amount_conf. Otherwise, go to </t>
    </r>
    <r>
      <rPr>
        <i/>
        <sz val="12"/>
        <color theme="4"/>
        <rFont val="Calibri (Body)"/>
      </rPr>
      <t>income_sec_comp</t>
    </r>
    <r>
      <rPr>
        <i/>
        <sz val="12"/>
        <rFont val="Calibri"/>
        <family val="2"/>
        <scheme val="minor"/>
      </rPr>
      <t>.</t>
    </r>
  </si>
  <si>
    <r>
      <t xml:space="preserve">if </t>
    </r>
    <r>
      <rPr>
        <i/>
        <sz val="12"/>
        <rFont val="Calibri"/>
        <family val="2"/>
        <scheme val="minor"/>
      </rPr>
      <t>income_sec_amount_conf</t>
    </r>
    <r>
      <rPr>
        <sz val="12"/>
        <rFont val="Calibri"/>
        <family val="2"/>
        <scheme val="minor"/>
      </rPr>
      <t xml:space="preserve"> = 1, go to </t>
    </r>
    <r>
      <rPr>
        <i/>
        <sz val="12"/>
        <color theme="4"/>
        <rFont val="Calibri (Body)"/>
      </rPr>
      <t>income_sec_comp</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</si>
  <si>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income_main_comp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income_main_amount_conf
</t>
    </r>
    <r>
      <rPr>
        <sz val="12"/>
        <color theme="4"/>
        <rFont val="Calibri"/>
        <family val="2"/>
        <scheme val="minor"/>
      </rPr>
      <t>8888888-8888888</t>
    </r>
    <r>
      <rPr>
        <sz val="12"/>
        <rFont val="Calibri"/>
        <family val="2"/>
        <scheme val="minor"/>
      </rPr>
      <t xml:space="preserve"> = </t>
    </r>
    <r>
      <rPr>
        <sz val="12"/>
        <color theme="4"/>
        <rFont val="Calibri (Body)"/>
      </rPr>
      <t>income_main_comp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income_main_comp OR optional question</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</si>
  <si>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income_sec_comp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income_sec_amount_conf
</t>
    </r>
    <r>
      <rPr>
        <sz val="12"/>
        <color theme="4"/>
        <rFont val="Calibri"/>
        <family val="2"/>
        <scheme val="minor"/>
      </rPr>
      <t xml:space="preserve">8888888-8888888 </t>
    </r>
    <r>
      <rPr>
        <sz val="12"/>
        <rFont val="Calibri"/>
        <family val="2"/>
        <scheme val="minor"/>
      </rPr>
      <t xml:space="preserve">= </t>
    </r>
    <r>
      <rPr>
        <sz val="12"/>
        <color theme="4"/>
        <rFont val="Calibri (Body)"/>
      </rPr>
      <t>income_sec_comp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income_sec_comp or optional question</t>
    </r>
  </si>
  <si>
    <r>
      <t xml:space="preserve">1 = </t>
    </r>
    <r>
      <rPr>
        <sz val="12"/>
        <color theme="4"/>
        <rFont val="Calibri"/>
        <family val="2"/>
        <scheme val="minor"/>
      </rPr>
      <t>income_s</t>
    </r>
    <r>
      <rPr>
        <sz val="12"/>
        <color theme="4"/>
        <rFont val="Calibri (Body)"/>
      </rPr>
      <t>ec_comp or optional question</t>
    </r>
  </si>
  <si>
    <r>
      <rPr>
        <b/>
        <sz val="12"/>
        <color rgb="FF7030A0"/>
        <rFont val="Calibri"/>
        <family val="2"/>
        <scheme val="minor"/>
      </rPr>
      <t>$MIN AMOUNT$</t>
    </r>
    <r>
      <rPr>
        <sz val="12"/>
        <color rgb="FF7030A0"/>
        <rFont val="Calibri"/>
        <family val="2"/>
        <scheme val="minor"/>
      </rPr>
      <t xml:space="preserve"> - </t>
    </r>
    <r>
      <rPr>
        <b/>
        <sz val="12"/>
        <color rgb="FF7030A0"/>
        <rFont val="Calibri"/>
        <family val="2"/>
        <scheme val="minor"/>
      </rPr>
      <t>$THRESHOLD$</t>
    </r>
    <r>
      <rPr>
        <sz val="12"/>
        <color rgb="FF7030A0"/>
        <rFont val="Calibri"/>
        <family val="2"/>
        <scheme val="minor"/>
      </rPr>
      <t xml:space="preserve"> =</t>
    </r>
    <r>
      <rPr>
        <sz val="12"/>
        <rFont val="Calibri"/>
        <family val="2"/>
        <scheme val="minor"/>
      </rPr>
      <t xml:space="preserve"> </t>
    </r>
    <r>
      <rPr>
        <sz val="12"/>
        <color theme="4"/>
        <rFont val="Calibri (Body)"/>
      </rPr>
      <t>income_third_comp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b/>
        <sz val="12"/>
        <color rgb="FF7030A0"/>
        <rFont val="Calibri"/>
        <family val="2"/>
        <scheme val="minor"/>
      </rPr>
      <t xml:space="preserve"> $MAX AMOUNT$</t>
    </r>
    <r>
      <rPr>
        <sz val="12"/>
        <color rgb="FF7030A0"/>
        <rFont val="Calibri"/>
        <family val="2"/>
        <scheme val="minor"/>
      </rPr>
      <t xml:space="preserve"> = </t>
    </r>
    <r>
      <rPr>
        <sz val="12"/>
        <rFont val="Calibri"/>
        <family val="2"/>
        <scheme val="minor"/>
      </rPr>
      <t xml:space="preserve">income_third_amount_conf
</t>
    </r>
    <r>
      <rPr>
        <sz val="12"/>
        <color theme="4"/>
        <rFont val="Calibri"/>
        <family val="2"/>
        <scheme val="minor"/>
      </rPr>
      <t>8888888-8888888</t>
    </r>
    <r>
      <rPr>
        <sz val="12"/>
        <rFont val="Calibri"/>
        <family val="2"/>
        <scheme val="minor"/>
      </rPr>
      <t xml:space="preserve"> = </t>
    </r>
    <r>
      <rPr>
        <sz val="12"/>
        <color theme="4"/>
        <rFont val="Calibri (Body)"/>
      </rPr>
      <t>income_third_comp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income_third_comp or optional question</t>
    </r>
  </si>
  <si>
    <r>
      <t xml:space="preserve">1 = </t>
    </r>
    <r>
      <rPr>
        <sz val="12"/>
        <color theme="4"/>
        <rFont val="Calibri (Body)"/>
      </rPr>
      <t>income_third_comp or optional question</t>
    </r>
  </si>
  <si>
    <r>
      <t xml:space="preserve">If the income amount is over the threshold set in "Additional information", the respondent will be asked to confirm with income_third_amount_conf. Otherwise, go to </t>
    </r>
    <r>
      <rPr>
        <i/>
        <sz val="12"/>
        <color theme="4"/>
        <rFont val="Calibri (Body)"/>
      </rPr>
      <t>income_third_comp or optional question</t>
    </r>
    <r>
      <rPr>
        <i/>
        <sz val="12"/>
        <rFont val="Calibri (Body)"/>
      </rPr>
      <t>.</t>
    </r>
  </si>
  <si>
    <r>
      <t xml:space="preserve">if </t>
    </r>
    <r>
      <rPr>
        <i/>
        <sz val="12"/>
        <rFont val="Calibri"/>
        <family val="2"/>
        <scheme val="minor"/>
      </rPr>
      <t>income_third_amount_conf</t>
    </r>
    <r>
      <rPr>
        <sz val="12"/>
        <rFont val="Calibri"/>
        <family val="2"/>
        <scheme val="minor"/>
      </rPr>
      <t xml:space="preserve"> = 1, go to </t>
    </r>
    <r>
      <rPr>
        <i/>
        <sz val="12"/>
        <color theme="4"/>
        <rFont val="Calibri (Body)"/>
      </rPr>
      <t>income_third_comp or optional question</t>
    </r>
  </si>
  <si>
    <t>income_third_control</t>
  </si>
  <si>
    <r>
      <t xml:space="preserve">1-7= </t>
    </r>
    <r>
      <rPr>
        <sz val="12"/>
        <color theme="4"/>
        <rFont val="Calibri"/>
        <family val="2"/>
        <scheme val="minor"/>
      </rPr>
      <t>shock</t>
    </r>
  </si>
  <si>
    <r>
      <t xml:space="preserve">if </t>
    </r>
    <r>
      <rPr>
        <i/>
        <sz val="12"/>
        <rFont val="Calibri"/>
        <family val="2"/>
        <scheme val="minor"/>
      </rPr>
      <t>income_third_comp</t>
    </r>
    <r>
      <rPr>
        <sz val="12"/>
        <rFont val="Calibri"/>
        <family val="2"/>
        <scheme val="minor"/>
      </rPr>
      <t xml:space="preserve"> = 1-7, go to </t>
    </r>
    <r>
      <rPr>
        <i/>
        <sz val="12"/>
        <rFont val="Calibri"/>
        <family val="2"/>
        <scheme val="minor"/>
      </rPr>
      <t>shock</t>
    </r>
  </si>
  <si>
    <r>
      <t>1-7 =</t>
    </r>
    <r>
      <rPr>
        <sz val="12"/>
        <color theme="4"/>
        <rFont val="Calibri (Body)"/>
      </rPr>
      <t xml:space="preserve"> </t>
    </r>
    <r>
      <rPr>
        <sz val="12"/>
        <color theme="4"/>
        <rFont val="Calibri"/>
        <family val="2"/>
        <scheme val="minor"/>
      </rPr>
      <t>callback</t>
    </r>
  </si>
  <si>
    <t>Form Type - Checklist
6,7 = IsNone</t>
  </si>
  <si>
    <r>
      <t xml:space="preserve">if assistance_provider = 1-7, go to </t>
    </r>
    <r>
      <rPr>
        <sz val="12"/>
        <color theme="4"/>
        <rFont val="Calibri"/>
        <family val="2"/>
        <scheme val="minor"/>
      </rPr>
      <t xml:space="preserve">callback </t>
    </r>
  </si>
  <si>
    <r>
      <t>1-</t>
    </r>
    <r>
      <rPr>
        <sz val="12"/>
        <rFont val="Calibri (Body)"/>
      </rPr>
      <t>8</t>
    </r>
    <r>
      <rPr>
        <sz val="12"/>
        <rFont val="Calibri"/>
        <family val="2"/>
        <scheme val="minor"/>
      </rPr>
      <t xml:space="preserve"> = </t>
    </r>
    <r>
      <rPr>
        <sz val="12"/>
        <color theme="4"/>
        <rFont val="Calibri"/>
        <family val="2"/>
        <scheme val="minor"/>
      </rPr>
      <t>crp_area_change OR optional question</t>
    </r>
  </si>
  <si>
    <t>You are ineligible for this survey. Thank you for your time and please look out for future surveys!</t>
  </si>
  <si>
    <r>
      <t>What is the gender of the respondent?
[OPERATOR: DO NOT ASK THIS QUESTION</t>
    </r>
    <r>
      <rPr>
        <sz val="12"/>
        <rFont val="Calibri (Body)"/>
      </rPr>
      <t xml:space="preserve"> OUT LOUD</t>
    </r>
    <r>
      <rPr>
        <sz val="12"/>
        <rFont val="Calibri"/>
        <family val="2"/>
        <scheme val="minor"/>
      </rPr>
      <t xml:space="preserve">. LISTEN TO THE VOICE AND </t>
    </r>
    <r>
      <rPr>
        <sz val="12"/>
        <rFont val="Calibri (Body)"/>
      </rPr>
      <t>SELECT THE GENDER</t>
    </r>
    <r>
      <rPr>
        <sz val="12"/>
        <rFont val="Calibri"/>
        <family val="2"/>
        <scheme val="minor"/>
      </rPr>
      <t>.]
1)Male
2)Female
3)DON'T KNOW
4)REFUSED</t>
    </r>
  </si>
  <si>
    <r>
      <t xml:space="preserve">What is your </t>
    </r>
    <r>
      <rPr>
        <b/>
        <sz val="12"/>
        <color theme="9" tint="-0.499984740745262"/>
        <rFont val="Calibri"/>
        <family val="2"/>
        <scheme val="minor"/>
      </rPr>
      <t>phone number</t>
    </r>
    <r>
      <rPr>
        <sz val="12"/>
        <color theme="9" tint="-0.499984740745262"/>
        <rFont val="Calibri"/>
        <family val="2"/>
        <scheme val="minor"/>
      </rPr>
      <t>?
[OPERATOR: RECORD THE NUMBER GIVEN]</t>
    </r>
  </si>
  <si>
    <r>
      <t xml:space="preserve">What is the additional </t>
    </r>
    <r>
      <rPr>
        <b/>
        <sz val="12"/>
        <color theme="9" tint="-0.499984740745262"/>
        <rFont val="Calibri"/>
        <family val="2"/>
        <scheme val="minor"/>
      </rPr>
      <t>phone number</t>
    </r>
    <r>
      <rPr>
        <sz val="12"/>
        <color theme="9" tint="-0.499984740745262"/>
        <rFont val="Calibri"/>
        <family val="2"/>
        <scheme val="minor"/>
      </rPr>
      <t>?
[OPERATOR: RECORD THE NUMBER GIVEN]</t>
    </r>
  </si>
  <si>
    <t>What is the name of the contact?
[OPERATOR: RECORD THE NAME OF THE CONTACT FOR THE PHONE NUMBER.]</t>
  </si>
  <si>
    <r>
      <t xml:space="preserve">Can you give me an additonal </t>
    </r>
    <r>
      <rPr>
        <b/>
        <sz val="12"/>
        <color theme="9" tint="-0.499984740745262"/>
        <rFont val="Calibri"/>
        <family val="2"/>
        <scheme val="minor"/>
      </rPr>
      <t xml:space="preserve">phone number </t>
    </r>
    <r>
      <rPr>
        <sz val="12"/>
        <color theme="9" tint="-0.499984740745262"/>
        <rFont val="Calibri"/>
        <family val="2"/>
        <scheme val="minor"/>
      </rPr>
      <t>belonging to you, a relative or a friend at which you can be reached?
[OPERATOR: SINGLE RESPONSE.]
1)YES - mine 
2)YES - friend or relative
3)NO
4)DON'T KNOW
5)REFUSED</t>
    </r>
  </si>
  <si>
    <r>
      <t xml:space="preserve">1-4 = </t>
    </r>
    <r>
      <rPr>
        <sz val="12"/>
        <rFont val="Calibri (Body)"/>
      </rPr>
      <t>resp_id</t>
    </r>
    <r>
      <rPr>
        <sz val="12"/>
        <rFont val="Calibri"/>
        <family val="2"/>
        <scheme val="minor"/>
      </rPr>
      <t xml:space="preserve">
5-6 = Ineligible</t>
    </r>
  </si>
  <si>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t>
    </r>
    <r>
      <rPr>
        <i/>
        <sz val="12"/>
        <rFont val="Calibri (Body)"/>
      </rPr>
      <t>resp_id</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</si>
  <si>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r>
      <t xml:space="preserve">if </t>
    </r>
    <r>
      <rPr>
        <i/>
        <sz val="12"/>
        <rFont val="Calibri (Body)"/>
      </rPr>
      <t>resp_id</t>
    </r>
    <r>
      <rPr>
        <sz val="12"/>
        <rFont val="Calibri (Body)"/>
      </rPr>
      <t xml:space="preserve"> = 1, go to </t>
    </r>
    <r>
      <rPr>
        <i/>
        <sz val="12"/>
        <rFont val="Calibri (Body)"/>
      </rPr>
      <t>hh_education</t>
    </r>
    <r>
      <rPr>
        <sz val="12"/>
        <rFont val="Calibri (Body)"/>
      </rPr>
      <t>. 
Otherwise, go to hh_gender.</t>
    </r>
  </si>
  <si>
    <r>
      <rPr>
        <b/>
        <i/>
        <sz val="12"/>
        <rFont val="Calibri (Body)"/>
      </rPr>
      <t>Select</t>
    </r>
    <r>
      <rPr>
        <b/>
        <i/>
        <sz val="12"/>
        <rFont val="Calibri"/>
        <family val="2"/>
        <scheme val="minor"/>
      </rPr>
      <t xml:space="preserve"> wealth indicators </t>
    </r>
    <r>
      <rPr>
        <b/>
        <i/>
        <sz val="12"/>
        <rFont val="Calibri (Body)"/>
      </rPr>
      <t>based on baseline information available; you can</t>
    </r>
    <r>
      <rPr>
        <b/>
        <i/>
        <sz val="12"/>
        <rFont val="Calibri"/>
        <family val="2"/>
        <scheme val="minor"/>
      </rPr>
      <t xml:space="preserve">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r>
  </si>
  <si>
    <r>
      <t xml:space="preserve">
</t>
    </r>
    <r>
      <rPr>
        <sz val="12"/>
        <rFont val="Calibri"/>
        <family val="2"/>
        <scheme val="minor"/>
      </rPr>
      <t>1-</t>
    </r>
    <r>
      <rPr>
        <sz val="12"/>
        <rFont val="Calibri (Body)"/>
      </rPr>
      <t>8</t>
    </r>
    <r>
      <rPr>
        <sz val="12"/>
        <rFont val="Calibri"/>
        <family val="2"/>
        <scheme val="minor"/>
      </rPr>
      <t xml:space="preserve"> =</t>
    </r>
    <r>
      <rPr>
        <b/>
        <sz val="12"/>
        <rFont val="Calibri"/>
        <family val="2"/>
        <scheme val="minor"/>
      </rPr>
      <t xml:space="preserve"> </t>
    </r>
    <r>
      <rPr>
        <b/>
        <sz val="12"/>
        <color theme="4"/>
        <rFont val="Calibri"/>
        <family val="2"/>
        <scheme val="minor"/>
      </rPr>
      <t>[income_main OR other optional question]</t>
    </r>
  </si>
  <si>
    <r>
      <t xml:space="preserve">What is the main source of light in your dwelling?
[OPERATOR: SINGLE RESPONSE.]
1)Electricity [from generator or electrical grid]
2)Candle
3)Petrol lamp
4)Lamp with batteries
</t>
    </r>
    <r>
      <rPr>
        <sz val="12"/>
        <rFont val="Calibri (Body)"/>
      </rPr>
      <t>5)Solar panel</t>
    </r>
    <r>
      <rPr>
        <sz val="12"/>
        <rFont val="Calibri"/>
        <family val="2"/>
        <scheme val="minor"/>
      </rPr>
      <t xml:space="preserve">
</t>
    </r>
    <r>
      <rPr>
        <sz val="12"/>
        <rFont val="Calibri (Body)"/>
      </rPr>
      <t>6</t>
    </r>
    <r>
      <rPr>
        <sz val="12"/>
        <rFont val="Calibri"/>
        <family val="2"/>
        <scheme val="minor"/>
      </rPr>
      <t xml:space="preserve">)Other [no electric supply to the house]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</si>
  <si>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 xml:space="preserve">How many people are part of the household?
[OPERATOR: RECORD NUMBER OF MEMBERS IN HOUSEHOLD. ENTER 88 FOR DON'T KNOW &amp; 99 FOR REFUSED.]
</t>
    </r>
    <r>
      <rPr>
        <sz val="12"/>
        <rFont val="Calibri (Body)"/>
      </rPr>
      <t>[HINT: TO BE A PART OF THE SAME HOUSEHOLD, MEMBERS MUST LIVE UNDER THE SAME ROOF, SHARE THE SAME RESOURCES &amp; EAT FROM THE SAME POT.]</t>
    </r>
  </si>
  <si>
    <r>
      <t xml:space="preserve">hh_asset_prod_
</t>
    </r>
    <r>
      <rPr>
        <sz val="12"/>
        <rFont val="Calibri (Body)"/>
      </rPr>
      <t>1) hh_asset_prod_process</t>
    </r>
    <r>
      <rPr>
        <sz val="12"/>
        <rFont val="Calibri"/>
        <family val="2"/>
        <scheme val="minor"/>
      </rPr>
      <t xml:space="preserve">
2) hh_asset_prod_farmmach
3) hh_asset_prod_sewing
4) hh_asset_prod_taxi
5) hh_asset_prod_truck
6) hh_asset_prod_other
7) hh_asset_prod_none
8) hh_asset_prod_dk
9) hh_asset_prod_ref</t>
    </r>
  </si>
  <si>
    <r>
      <t xml:space="preserve">hh_asset_transp_
1) hh_asset_transp_bici
</t>
    </r>
    <r>
      <rPr>
        <sz val="12"/>
        <rFont val="Calibri (Body)"/>
      </rPr>
      <t>2) hh_asset_transp_cart
3) hh_asset_transp_boat</t>
    </r>
    <r>
      <rPr>
        <sz val="12"/>
        <rFont val="Calibri"/>
        <family val="2"/>
        <scheme val="minor"/>
      </rPr>
      <t xml:space="preserve">
4) hh_asset_transp_motorbike
5) hh_asset_transp_car
6) hh_asset_transp_van
7) hh_asset_transp_other
8) hh_asset_transp_none
9) hh_asset_transp_dk
10) hh_asset_transp_ref</t>
    </r>
  </si>
  <si>
    <r>
      <t>1-</t>
    </r>
    <r>
      <rPr>
        <sz val="12"/>
        <rFont val="Calibri (Body)"/>
      </rPr>
      <t>9</t>
    </r>
    <r>
      <rPr>
        <sz val="12"/>
        <rFont val="Calibri"/>
        <family val="2"/>
        <scheme val="minor"/>
      </rPr>
      <t xml:space="preserve"> = </t>
    </r>
    <r>
      <rPr>
        <b/>
        <sz val="12"/>
        <color theme="4"/>
        <rFont val="Calibri"/>
        <family val="2"/>
        <scheme val="minor"/>
      </rPr>
      <t>hh_asset_transp</t>
    </r>
  </si>
  <si>
    <r>
      <t>1-</t>
    </r>
    <r>
      <rPr>
        <sz val="12"/>
        <rFont val="Calibri (Body)"/>
      </rPr>
      <t>10</t>
    </r>
    <r>
      <rPr>
        <sz val="12"/>
        <rFont val="Calibri"/>
        <family val="2"/>
        <scheme val="minor"/>
      </rPr>
      <t xml:space="preserve"> = </t>
    </r>
    <r>
      <rPr>
        <b/>
        <sz val="12"/>
        <color theme="4"/>
        <rFont val="Calibri"/>
        <family val="2"/>
        <scheme val="minor"/>
      </rPr>
      <t>hh_maritalstat</t>
    </r>
  </si>
  <si>
    <r>
      <t>1-</t>
    </r>
    <r>
      <rPr>
        <sz val="12"/>
        <rFont val="Calibri (Body)"/>
      </rPr>
      <t>5</t>
    </r>
    <r>
      <rPr>
        <sz val="12"/>
        <rFont val="Calibri"/>
        <family val="2"/>
        <scheme val="minor"/>
      </rPr>
      <t xml:space="preserve"> = [income_main_comp OR optional question]</t>
    </r>
  </si>
  <si>
    <r>
      <t xml:space="preserve">if </t>
    </r>
    <r>
      <rPr>
        <i/>
        <sz val="12"/>
        <rFont val="Calibri"/>
        <family val="2"/>
        <scheme val="minor"/>
      </rPr>
      <t>income_main_gender</t>
    </r>
    <r>
      <rPr>
        <sz val="12"/>
        <rFont val="Calibri"/>
        <family val="2"/>
        <scheme val="minor"/>
      </rPr>
      <t xml:space="preserve"> = 1-</t>
    </r>
    <r>
      <rPr>
        <sz val="12"/>
        <rFont val="Calibri (Body)"/>
      </rPr>
      <t>5</t>
    </r>
    <r>
      <rPr>
        <sz val="12"/>
        <rFont val="Calibri"/>
        <family val="2"/>
        <scheme val="minor"/>
      </rPr>
      <t>, go to income_main_comp or optional question</t>
    </r>
  </si>
  <si>
    <r>
      <t>1-5 =</t>
    </r>
    <r>
      <rPr>
        <sz val="12"/>
        <rFont val="Calibri (Body)"/>
      </rPr>
      <t xml:space="preserve"> income_main_comp</t>
    </r>
  </si>
  <si>
    <r>
      <t xml:space="preserve">if </t>
    </r>
    <r>
      <rPr>
        <i/>
        <sz val="12"/>
        <rFont val="Calibri"/>
        <family val="2"/>
        <scheme val="minor"/>
      </rPr>
      <t xml:space="preserve">income_main_control </t>
    </r>
    <r>
      <rPr>
        <sz val="12"/>
        <rFont val="Calibri"/>
        <family val="2"/>
        <scheme val="minor"/>
      </rPr>
      <t xml:space="preserve">= 1-5, go to </t>
    </r>
    <r>
      <rPr>
        <i/>
        <sz val="12"/>
        <rFont val="Calibri"/>
        <family val="2"/>
        <scheme val="minor"/>
      </rPr>
      <t>income_main_comp</t>
    </r>
  </si>
  <si>
    <r>
      <t xml:space="preserve">if </t>
    </r>
    <r>
      <rPr>
        <sz val="12"/>
        <rFont val="Calibri (Body)"/>
      </rPr>
      <t xml:space="preserve">income_main_comp = </t>
    </r>
    <r>
      <rPr>
        <sz val="12"/>
        <rFont val="Calibri"/>
        <family val="2"/>
        <scheme val="minor"/>
      </rPr>
      <t xml:space="preserve">1-7, go to </t>
    </r>
    <r>
      <rPr>
        <i/>
        <sz val="12"/>
        <rFont val="Calibri"/>
        <family val="2"/>
        <scheme val="minor"/>
      </rPr>
      <t>income_sec</t>
    </r>
  </si>
  <si>
    <r>
      <t>1-</t>
    </r>
    <r>
      <rPr>
        <sz val="12"/>
        <rFont val="Calibri (Body)"/>
      </rPr>
      <t>5</t>
    </r>
    <r>
      <rPr>
        <sz val="12"/>
        <rFont val="Calibri"/>
        <family val="2"/>
        <scheme val="minor"/>
      </rPr>
      <t xml:space="preserve"> =</t>
    </r>
    <r>
      <rPr>
        <sz val="12"/>
        <color rgb="FFFF0000"/>
        <rFont val="Calibri"/>
        <family val="2"/>
        <scheme val="minor"/>
      </rPr>
      <t xml:space="preserve"> </t>
    </r>
    <r>
      <rPr>
        <sz val="12"/>
        <color theme="4"/>
        <rFont val="Calibri"/>
        <family val="2"/>
        <scheme val="minor"/>
      </rPr>
      <t>[income_sec_comp OR optional question]</t>
    </r>
  </si>
  <si>
    <r>
      <rPr>
        <sz val="12"/>
        <rFont val="Calibri (Body)"/>
      </rPr>
      <t xml:space="preserve">1-5 = </t>
    </r>
    <r>
      <rPr>
        <sz val="12"/>
        <color theme="4"/>
        <rFont val="Calibri (Body)"/>
      </rPr>
      <t>income_sec_comp</t>
    </r>
  </si>
  <si>
    <r>
      <t>if income_sec_gender = 1-</t>
    </r>
    <r>
      <rPr>
        <sz val="12"/>
        <rFont val="Calibri (Body)"/>
      </rPr>
      <t>5</t>
    </r>
    <r>
      <rPr>
        <sz val="12"/>
        <rFont val="Calibri"/>
        <family val="2"/>
        <scheme val="minor"/>
      </rPr>
      <t>, go to</t>
    </r>
    <r>
      <rPr>
        <sz val="12"/>
        <color rgb="FFFF0000"/>
        <rFont val="Calibri"/>
        <family val="2"/>
        <scheme val="minor"/>
      </rPr>
      <t xml:space="preserve"> </t>
    </r>
    <r>
      <rPr>
        <sz val="12"/>
        <color theme="4"/>
        <rFont val="Calibri"/>
        <family val="2"/>
        <scheme val="minor"/>
      </rPr>
      <t>income_sec_comp or optional question</t>
    </r>
  </si>
  <si>
    <r>
      <rPr>
        <sz val="12"/>
        <rFont val="Calibri (Body)"/>
      </rPr>
      <t>if income_sec_control =  1-5, go to</t>
    </r>
    <r>
      <rPr>
        <sz val="12"/>
        <color rgb="FFFF0000"/>
        <rFont val="Calibri"/>
        <family val="2"/>
        <scheme val="minor"/>
      </rPr>
      <t xml:space="preserve"> </t>
    </r>
    <r>
      <rPr>
        <i/>
        <sz val="12"/>
        <color theme="4"/>
        <rFont val="Calibri (Body)"/>
      </rPr>
      <t>income_sec_comp</t>
    </r>
  </si>
  <si>
    <r>
      <t>if income_third_gender = 1-</t>
    </r>
    <r>
      <rPr>
        <sz val="12"/>
        <rFont val="Calibri (Body)"/>
      </rPr>
      <t>5</t>
    </r>
    <r>
      <rPr>
        <sz val="12"/>
        <rFont val="Calibri"/>
        <family val="2"/>
        <scheme val="minor"/>
      </rPr>
      <t xml:space="preserve">, go to </t>
    </r>
    <r>
      <rPr>
        <sz val="12"/>
        <color theme="4"/>
        <rFont val="Calibri"/>
        <family val="2"/>
        <scheme val="minor"/>
      </rPr>
      <t>[income_third_comp or optional question]</t>
    </r>
  </si>
  <si>
    <r>
      <rPr>
        <sz val="12"/>
        <rFont val="Calibri (Body)"/>
      </rPr>
      <t>if income_third_control = 1-5, go to</t>
    </r>
    <r>
      <rPr>
        <sz val="12"/>
        <color rgb="FFFF0000"/>
        <rFont val="Calibri"/>
        <family val="2"/>
        <scheme val="minor"/>
      </rPr>
      <t xml:space="preserve"> </t>
    </r>
    <r>
      <rPr>
        <i/>
        <sz val="12"/>
        <color theme="4"/>
        <rFont val="Calibri (Body)"/>
      </rPr>
      <t>income_third_comp</t>
    </r>
  </si>
  <si>
    <r>
      <rPr>
        <sz val="12"/>
        <rFont val="Calibri (Body)"/>
      </rPr>
      <t>1-5 =</t>
    </r>
    <r>
      <rPr>
        <sz val="12"/>
        <rFont val="Calibri"/>
        <family val="2"/>
        <scheme val="minor"/>
      </rPr>
      <t xml:space="preserve"> </t>
    </r>
    <r>
      <rPr>
        <sz val="12"/>
        <color theme="4"/>
        <rFont val="Calibri (Body)"/>
      </rPr>
      <t>income_third_comp</t>
    </r>
  </si>
  <si>
    <r>
      <t xml:space="preserve">covid_
1) covid_goodstransp
2) covid_marketclosed
3) covid_borderclosed
4) covid_stayhome
5) covid_gatherings
6) covid_processclosed
</t>
    </r>
    <r>
      <rPr>
        <sz val="12"/>
        <rFont val="Calibri (Body)"/>
      </rPr>
      <t>7) covid_curfew
8) covid_schoo</t>
    </r>
    <r>
      <rPr>
        <sz val="12"/>
        <rFont val="Calibri"/>
        <family val="2"/>
        <scheme val="minor"/>
      </rPr>
      <t>l
9) covid_other
10) covid_none
11) covid_dk
12) covid_ref</t>
    </r>
  </si>
  <si>
    <r>
      <t xml:space="preserve">Send if "shock" "Contains" "Population movement restrictions [e.g. due to epidemic or infrastructure damage]". If not satisfied go to, </t>
    </r>
    <r>
      <rPr>
        <b/>
        <sz val="12"/>
        <color theme="4"/>
        <rFont val="Calibri (Body)"/>
      </rPr>
      <t>[next question or crp_intro]</t>
    </r>
    <r>
      <rPr>
        <sz val="12"/>
        <rFont val="Calibri (Body)"/>
      </rPr>
      <t>.</t>
    </r>
  </si>
  <si>
    <r>
      <t xml:space="preserve">Form Type - Checklist
</t>
    </r>
    <r>
      <rPr>
        <sz val="12"/>
        <rFont val="Calibri (Body)"/>
      </rPr>
      <t>10,11,12</t>
    </r>
    <r>
      <rPr>
        <sz val="12"/>
        <rFont val="Calibri"/>
        <family val="2"/>
        <scheme val="minor"/>
      </rPr>
      <t>= IsNone</t>
    </r>
  </si>
  <si>
    <r>
      <t>1-</t>
    </r>
    <r>
      <rPr>
        <sz val="12"/>
        <rFont val="Calibri (Body)"/>
      </rPr>
      <t>12</t>
    </r>
    <r>
      <rPr>
        <sz val="12"/>
        <rFont val="Calibri"/>
        <family val="2"/>
        <scheme val="minor"/>
      </rPr>
      <t xml:space="preserve"> = </t>
    </r>
    <r>
      <rPr>
        <b/>
        <sz val="12"/>
        <color theme="4"/>
        <rFont val="Calibri"/>
        <family val="2"/>
        <scheme val="minor"/>
      </rPr>
      <t>crp_intro</t>
    </r>
  </si>
  <si>
    <r>
      <t>if crp_seed_supply = 1-</t>
    </r>
    <r>
      <rPr>
        <i/>
        <sz val="12"/>
        <rFont val="Calibri (Body)"/>
      </rPr>
      <t>10</t>
    </r>
    <r>
      <rPr>
        <i/>
        <sz val="12"/>
        <rFont val="Calibri"/>
        <family val="2"/>
        <scheme val="minor"/>
      </rPr>
      <t xml:space="preserve">, go to </t>
    </r>
    <r>
      <rPr>
        <i/>
        <sz val="12"/>
        <color theme="4"/>
        <rFont val="Calibri (Body)"/>
      </rPr>
      <t>crp_area_change</t>
    </r>
  </si>
  <si>
    <r>
      <t>1-</t>
    </r>
    <r>
      <rPr>
        <sz val="12"/>
        <rFont val="Calibri (Body)"/>
      </rPr>
      <t>10</t>
    </r>
    <r>
      <rPr>
        <sz val="12"/>
        <rFont val="Calibri"/>
        <family val="2"/>
        <scheme val="minor"/>
      </rPr>
      <t xml:space="preserve"> = </t>
    </r>
    <r>
      <rPr>
        <sz val="12"/>
        <color theme="4"/>
        <rFont val="Calibri"/>
        <family val="2"/>
        <scheme val="minor"/>
      </rPr>
      <t>crp_area_change</t>
    </r>
  </si>
  <si>
    <r>
      <t>Form Type - Checklist
9</t>
    </r>
    <r>
      <rPr>
        <sz val="12"/>
        <rFont val="Calibri (Body)"/>
      </rPr>
      <t>,10</t>
    </r>
    <r>
      <rPr>
        <sz val="12"/>
        <rFont val="Calibri"/>
        <family val="2"/>
        <scheme val="minor"/>
      </rPr>
      <t xml:space="preserve"> = IsNone</t>
    </r>
  </si>
  <si>
    <t xml:space="preserve">Select All That Apply </t>
  </si>
  <si>
    <r>
      <t>1-</t>
    </r>
    <r>
      <rPr>
        <sz val="12"/>
        <rFont val="Calibri (Body)"/>
      </rPr>
      <t>7</t>
    </r>
    <r>
      <rPr>
        <sz val="12"/>
        <rFont val="Calibri"/>
        <family val="2"/>
        <scheme val="minor"/>
      </rPr>
      <t xml:space="preserve"> =</t>
    </r>
    <r>
      <rPr>
        <sz val="12"/>
        <color rgb="FFFF0000"/>
        <rFont val="Calibri"/>
        <family val="2"/>
        <scheme val="minor"/>
      </rPr>
      <t xml:space="preserve"> </t>
    </r>
    <r>
      <rPr>
        <sz val="12"/>
        <color theme="4"/>
        <rFont val="Calibri"/>
        <family val="2"/>
        <scheme val="minor"/>
      </rPr>
      <t>crp_area_change OR optional question</t>
    </r>
  </si>
  <si>
    <r>
      <rPr>
        <sz val="12"/>
        <rFont val="Calibri (Body)"/>
      </rPr>
      <t xml:space="preserve">1-4 = </t>
    </r>
    <r>
      <rPr>
        <sz val="12"/>
        <color theme="4"/>
        <rFont val="Calibri"/>
        <family val="2"/>
        <scheme val="minor"/>
      </rPr>
      <t>crp_area_change OR optional question</t>
    </r>
  </si>
  <si>
    <r>
      <rPr>
        <sz val="12"/>
        <rFont val="Calibri (Body)"/>
      </rPr>
      <t xml:space="preserve">Open Ended - </t>
    </r>
    <r>
      <rPr>
        <sz val="12"/>
        <rFont val="Calibri"/>
        <family val="2"/>
        <scheme val="minor"/>
      </rPr>
      <t>Single Choice</t>
    </r>
  </si>
  <si>
    <r>
      <t xml:space="preserve">Has your household faced any </t>
    </r>
    <r>
      <rPr>
        <sz val="12"/>
        <rFont val="Calibri (Body)"/>
      </rPr>
      <t>significant</t>
    </r>
    <r>
      <rPr>
        <sz val="12"/>
        <rFont val="Calibri"/>
        <family val="2"/>
        <scheme val="minor"/>
      </rPr>
      <t xml:space="preserve"> difficulty </t>
    </r>
    <r>
      <rPr>
        <b/>
        <sz val="12"/>
        <rFont val="Calibri"/>
        <family val="2"/>
        <scheme val="minor"/>
      </rPr>
      <t xml:space="preserve">in terms of crop production </t>
    </r>
    <r>
      <rPr>
        <sz val="12"/>
        <rFont val="Calibri"/>
        <family val="2"/>
        <scheme val="minor"/>
      </rPr>
      <t xml:space="preserve">in </t>
    </r>
    <r>
      <rPr>
        <b/>
        <sz val="12"/>
        <color rgb="FF7030A0"/>
        <rFont val="Calibri"/>
        <family val="2"/>
        <scheme val="minor"/>
      </rPr>
      <t>$season$</t>
    </r>
    <r>
      <rPr>
        <sz val="12"/>
        <rFont val="Calibri"/>
        <family val="2"/>
        <scheme val="minor"/>
      </rPr>
      <t>?
[OPERATOR: SINGLE RESPONSE.]
1)YES
2)NO
3)DON'T KNOW
4)REFUSED</t>
    </r>
  </si>
  <si>
    <r>
      <t xml:space="preserve">Form Type - Checklist
</t>
    </r>
    <r>
      <rPr>
        <sz val="12"/>
        <rFont val="Calibri (Body)"/>
      </rPr>
      <t>7,8</t>
    </r>
    <r>
      <rPr>
        <sz val="12"/>
        <rFont val="Calibri"/>
        <family val="2"/>
        <scheme val="minor"/>
      </rPr>
      <t xml:space="preserve"> = IsNone</t>
    </r>
  </si>
  <si>
    <r>
      <rPr>
        <sz val="12"/>
        <rFont val="Calibri (Body)"/>
      </rPr>
      <t xml:space="preserve">The list of animals that were not selected at </t>
    </r>
    <r>
      <rPr>
        <i/>
        <sz val="12"/>
        <rFont val="Calibri (Body)"/>
      </rPr>
      <t>ls_main</t>
    </r>
    <r>
      <rPr>
        <sz val="12"/>
        <rFont val="Calibri (Body)"/>
      </rPr>
      <t xml:space="preserve"> will appear here with programming. </t>
    </r>
    <r>
      <rPr>
        <sz val="12"/>
        <rFont val="Calibri"/>
        <family val="2"/>
        <scheme val="minor"/>
      </rPr>
      <t xml:space="preserve">
For any response to ls_all, go to </t>
    </r>
    <r>
      <rPr>
        <b/>
        <i/>
        <sz val="12"/>
        <color theme="4"/>
        <rFont val="Calibri"/>
        <family val="2"/>
        <scheme val="minor"/>
      </rPr>
      <t>ls_salesmain</t>
    </r>
  </si>
  <si>
    <r>
      <t xml:space="preserve">Form Type - Checklist
</t>
    </r>
    <r>
      <rPr>
        <sz val="12"/>
        <rFont val="Calibri (Body)"/>
      </rPr>
      <t>12,13</t>
    </r>
    <r>
      <rPr>
        <sz val="12"/>
        <rFont val="Calibri"/>
        <family val="2"/>
        <scheme val="minor"/>
      </rPr>
      <t xml:space="preserve"> = IsNone</t>
    </r>
  </si>
  <si>
    <r>
      <t xml:space="preserve">if </t>
    </r>
    <r>
      <rPr>
        <i/>
        <sz val="12"/>
        <rFont val="Calibri"/>
        <family val="2"/>
        <scheme val="minor"/>
      </rPr>
      <t>ls_proddif_2</t>
    </r>
    <r>
      <rPr>
        <sz val="12"/>
        <rFont val="Calibri"/>
        <family val="2"/>
        <scheme val="minor"/>
      </rPr>
      <t xml:space="preserve"> = 1-</t>
    </r>
    <r>
      <rPr>
        <sz val="12"/>
        <rFont val="Calibri (Body)"/>
      </rPr>
      <t>13</t>
    </r>
    <r>
      <rPr>
        <sz val="12"/>
        <rFont val="Calibri"/>
        <family val="2"/>
        <scheme val="minor"/>
      </rPr>
      <t xml:space="preserve">, go to </t>
    </r>
    <r>
      <rPr>
        <i/>
        <sz val="12"/>
        <color theme="4"/>
        <rFont val="Calibri"/>
        <family val="2"/>
        <scheme val="minor"/>
      </rPr>
      <t>ls_salesmain</t>
    </r>
    <r>
      <rPr>
        <sz val="12"/>
        <color theme="4"/>
        <rFont val="Calibri"/>
        <family val="2"/>
        <scheme val="minor"/>
      </rPr>
      <t xml:space="preserve"> OR </t>
    </r>
    <r>
      <rPr>
        <sz val="12"/>
        <color theme="4"/>
        <rFont val="Calibri (Body)"/>
      </rPr>
      <t>optional question</t>
    </r>
  </si>
  <si>
    <r>
      <rPr>
        <sz val="12"/>
        <rFont val="Calibri"/>
        <family val="2"/>
        <scheme val="minor"/>
      </rPr>
      <t>1-</t>
    </r>
    <r>
      <rPr>
        <sz val="12"/>
        <rFont val="Calibri (Body)"/>
      </rPr>
      <t>13</t>
    </r>
    <r>
      <rPr>
        <sz val="12"/>
        <rFont val="Calibri"/>
        <family val="2"/>
        <scheme val="minor"/>
      </rPr>
      <t xml:space="preserve"> =</t>
    </r>
    <r>
      <rPr>
        <sz val="12"/>
        <color theme="4"/>
        <rFont val="Calibri"/>
        <family val="2"/>
        <scheme val="minor"/>
      </rPr>
      <t xml:space="preserve"> [ls_salesm</t>
    </r>
    <r>
      <rPr>
        <sz val="12"/>
        <color theme="4"/>
        <rFont val="Calibri (Body)"/>
      </rPr>
      <t>ain OR</t>
    </r>
    <r>
      <rPr>
        <sz val="12"/>
        <color theme="4"/>
        <rFont val="Calibri"/>
        <family val="2"/>
        <scheme val="minor"/>
      </rPr>
      <t xml:space="preserve"> optional question]</t>
    </r>
  </si>
  <si>
    <r>
      <t xml:space="preserve">Has your household faced any </t>
    </r>
    <r>
      <rPr>
        <sz val="12"/>
        <rFont val="Calibri (Body)"/>
      </rPr>
      <t xml:space="preserve">significant </t>
    </r>
    <r>
      <rPr>
        <sz val="12"/>
        <rFont val="Calibri"/>
        <family val="2"/>
        <scheme val="minor"/>
      </rPr>
      <t>difficulty with livestock production over the last 3 months?
[OPERATOR: SINGLE RESPONSE.]
1)YES 
2)NO
3)DON'T KNOW
4)REFUSED</t>
    </r>
  </si>
  <si>
    <r>
      <t xml:space="preserve">Form Type - Checklist
</t>
    </r>
    <r>
      <rPr>
        <sz val="12"/>
        <rFont val="Calibri (Body)"/>
      </rPr>
      <t>10,11</t>
    </r>
    <r>
      <rPr>
        <sz val="12"/>
        <rFont val="Calibri"/>
        <family val="2"/>
        <scheme val="minor"/>
      </rPr>
      <t xml:space="preserve"> = IsNone</t>
    </r>
  </si>
  <si>
    <r>
      <t>1-</t>
    </r>
    <r>
      <rPr>
        <sz val="12"/>
        <rFont val="Calibri (Body)"/>
      </rPr>
      <t>11</t>
    </r>
    <r>
      <rPr>
        <sz val="12"/>
        <rFont val="Calibri"/>
        <family val="2"/>
        <scheme val="minor"/>
      </rPr>
      <t xml:space="preserve"> = ls_salesprice</t>
    </r>
  </si>
  <si>
    <r>
      <t xml:space="preserve">if </t>
    </r>
    <r>
      <rPr>
        <i/>
        <sz val="12"/>
        <rFont val="Calibri"/>
        <family val="2"/>
        <scheme val="minor"/>
      </rPr>
      <t>ls_salesdif_2</t>
    </r>
    <r>
      <rPr>
        <sz val="12"/>
        <rFont val="Calibri"/>
        <family val="2"/>
        <scheme val="minor"/>
      </rPr>
      <t xml:space="preserve"> = 1-</t>
    </r>
    <r>
      <rPr>
        <sz val="12"/>
        <rFont val="Calibri (Body)"/>
      </rPr>
      <t>11</t>
    </r>
    <r>
      <rPr>
        <sz val="12"/>
        <rFont val="Calibri"/>
        <family val="2"/>
        <scheme val="minor"/>
      </rPr>
      <t xml:space="preserve">, go to </t>
    </r>
    <r>
      <rPr>
        <i/>
        <sz val="12"/>
        <rFont val="Calibri"/>
        <family val="2"/>
        <scheme val="minor"/>
      </rPr>
      <t>ls_salesprice</t>
    </r>
  </si>
  <si>
    <r>
      <rPr>
        <sz val="12"/>
        <rFont val="Calibri (Body)"/>
      </rPr>
      <t>We will now ask you some questions about fishing</t>
    </r>
    <r>
      <rPr>
        <sz val="12"/>
        <rFont val="Calibri"/>
        <family val="2"/>
        <scheme val="minor"/>
      </rPr>
      <t xml:space="preserve"> </t>
    </r>
    <r>
      <rPr>
        <sz val="12"/>
        <rFont val="Calibri (Body)"/>
      </rPr>
      <t>and aquaculture production which apply to you and anyone in your household that is involved in the</t>
    </r>
    <r>
      <rPr>
        <sz val="12"/>
        <rFont val="Calibri"/>
        <family val="2"/>
        <scheme val="minor"/>
      </rPr>
      <t xml:space="preserve"> </t>
    </r>
    <r>
      <rPr>
        <sz val="12"/>
        <rFont val="Calibri (Body)"/>
      </rPr>
      <t>capture, culture, processing or sales of fish.
1)CONTINUE</t>
    </r>
  </si>
  <si>
    <r>
      <rPr>
        <sz val="12"/>
        <rFont val="Calibri (Body)"/>
      </rPr>
      <t>1-11 =</t>
    </r>
    <r>
      <rPr>
        <sz val="12"/>
        <color theme="4"/>
        <rFont val="Calibri"/>
        <family val="2"/>
        <scheme val="minor"/>
      </rPr>
      <t xml:space="preserve"> [</t>
    </r>
    <r>
      <rPr>
        <b/>
        <sz val="12"/>
        <color theme="4"/>
        <rFont val="Calibri"/>
        <family val="2"/>
        <scheme val="minor"/>
      </rPr>
      <t xml:space="preserve">fish_salesmain </t>
    </r>
    <r>
      <rPr>
        <sz val="12"/>
        <color theme="4"/>
        <rFont val="Calibri"/>
        <family val="2"/>
        <scheme val="minor"/>
      </rPr>
      <t>OR</t>
    </r>
    <r>
      <rPr>
        <b/>
        <sz val="12"/>
        <color theme="4"/>
        <rFont val="Calibri"/>
        <family val="2"/>
        <scheme val="minor"/>
      </rPr>
      <t xml:space="preserve"> optional question</t>
    </r>
    <r>
      <rPr>
        <sz val="12"/>
        <color theme="4"/>
        <rFont val="Calibri"/>
        <family val="2"/>
        <scheme val="minor"/>
      </rPr>
      <t>]</t>
    </r>
  </si>
  <si>
    <r>
      <t>1-</t>
    </r>
    <r>
      <rPr>
        <sz val="12"/>
        <rFont val="Calibri (Body)"/>
      </rPr>
      <t>10</t>
    </r>
    <r>
      <rPr>
        <sz val="12"/>
        <rFont val="Calibri"/>
        <family val="2"/>
        <scheme val="minor"/>
      </rPr>
      <t xml:space="preserve"> = </t>
    </r>
    <r>
      <rPr>
        <sz val="12"/>
        <color theme="4"/>
        <rFont val="Calibri (Body)"/>
      </rPr>
      <t>[fish_salesmain]</t>
    </r>
  </si>
  <si>
    <r>
      <t xml:space="preserve">Form Type - Checklist
</t>
    </r>
    <r>
      <rPr>
        <sz val="12"/>
        <rFont val="Calibri (Body)"/>
      </rPr>
      <t>9,10</t>
    </r>
    <r>
      <rPr>
        <sz val="12"/>
        <rFont val="Calibri"/>
        <family val="2"/>
        <scheme val="minor"/>
      </rPr>
      <t>= IsNone</t>
    </r>
  </si>
  <si>
    <r>
      <t xml:space="preserve">Form Type - Checklist
</t>
    </r>
    <r>
      <rPr>
        <sz val="12"/>
        <rFont val="Calibri (Body)"/>
      </rPr>
      <t>9,10</t>
    </r>
    <r>
      <rPr>
        <sz val="12"/>
        <rFont val="Calibri"/>
        <family val="2"/>
        <scheme val="minor"/>
      </rPr>
      <t xml:space="preserve"> = IsNone</t>
    </r>
  </si>
  <si>
    <r>
      <t>1-</t>
    </r>
    <r>
      <rPr>
        <sz val="12"/>
        <rFont val="Calibri (Body)"/>
      </rPr>
      <t>10</t>
    </r>
    <r>
      <rPr>
        <sz val="12"/>
        <rFont val="Calibri"/>
        <family val="2"/>
        <scheme val="minor"/>
      </rPr>
      <t xml:space="preserve"> = fish_salesprice</t>
    </r>
  </si>
  <si>
    <r>
      <t xml:space="preserve">if </t>
    </r>
    <r>
      <rPr>
        <i/>
        <sz val="12"/>
        <rFont val="Calibri"/>
        <family val="2"/>
        <scheme val="minor"/>
      </rPr>
      <t>fish_salesdif</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fish_salesprice</t>
    </r>
  </si>
  <si>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</si>
  <si>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r>
      <t xml:space="preserve">Has your household received any assistance </t>
    </r>
    <r>
      <rPr>
        <sz val="12"/>
        <rFont val="Calibri (Body)"/>
      </rPr>
      <t>in the last 3 months</t>
    </r>
    <r>
      <rPr>
        <sz val="12"/>
        <rFont val="Calibri"/>
        <family val="2"/>
        <scheme val="minor"/>
      </rPr>
      <t>, and if so,</t>
    </r>
    <r>
      <rPr>
        <sz val="12"/>
        <rFont val="Calibri (Body)"/>
      </rPr>
      <t xml:space="preserve"> which kind</t>
    </r>
    <r>
      <rPr>
        <sz val="12"/>
        <rFont val="Calibri"/>
        <family val="2"/>
        <scheme val="minor"/>
      </rPr>
      <t xml:space="preserve">?
[OPERATOR: MULTIPLE RESPONSE </t>
    </r>
    <r>
      <rPr>
        <sz val="12"/>
        <rFont val="Calibri (Body)"/>
      </rPr>
      <t>POSSIBLE</t>
    </r>
    <r>
      <rPr>
        <sz val="12"/>
        <rFont val="Calibri"/>
        <family val="2"/>
        <scheme val="minor"/>
      </rPr>
      <t xml:space="preserve">. READ OUT THE OPTIONS.]
</t>
    </r>
    <r>
      <rPr>
        <sz val="12"/>
        <rFont val="Calibri (Body)"/>
      </rPr>
      <t>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r>
  </si>
  <si>
    <r>
      <t xml:space="preserve">Form Type - Checklist
</t>
    </r>
    <r>
      <rPr>
        <sz val="12"/>
        <rFont val="Calibri (Body)"/>
      </rPr>
      <t>10,11,12</t>
    </r>
    <r>
      <rPr>
        <sz val="12"/>
        <rFont val="Calibri"/>
        <family val="2"/>
        <scheme val="minor"/>
      </rPr>
      <t xml:space="preserve"> = IsNone</t>
    </r>
  </si>
  <si>
    <r>
      <t>Were you satisfied with the quality of the assistance provided? 
[OPERATOR: SINGLE RESPONSE.</t>
    </r>
    <r>
      <rPr>
        <b/>
        <sz val="12"/>
        <rFont val="Calibri"/>
        <family val="2"/>
        <scheme val="minor"/>
      </rPr>
      <t xml:space="preserve"> QUALITY OF ASSISTANCE IN TERMS OF SUFFICIENT ASSISTANCE FOR PRODUCTION OR SALES DIFFICULTY TO BE OVERCOME</t>
    </r>
    <r>
      <rPr>
        <sz val="12"/>
        <rFont val="Calibri"/>
        <family val="2"/>
        <scheme val="minor"/>
      </rPr>
      <t>.]
1)Yes
2)No - not received on time
3)No - did not meet my needs
4)No - quantity was not sufficient
5)No - there was a problem with the provider
6)No - there was a malfunction of the in-kind assistance provided [e.g. poor quality tools]
7)DON'T KNOW
8)REFUSED</t>
    </r>
  </si>
  <si>
    <r>
      <t xml:space="preserve">What is the leader's </t>
    </r>
    <r>
      <rPr>
        <b/>
        <sz val="12"/>
        <color theme="9" tint="-0.499984740745262"/>
        <rFont val="Calibri"/>
        <family val="2"/>
        <scheme val="minor"/>
      </rPr>
      <t>phone number</t>
    </r>
    <r>
      <rPr>
        <sz val="12"/>
        <color theme="9" tint="-0.499984740745262"/>
        <rFont val="Calibri"/>
        <family val="2"/>
        <scheme val="minor"/>
      </rPr>
      <t>?
[OPERATOR: RECORD THE NUMBER GIVEN]</t>
    </r>
  </si>
  <si>
    <r>
      <t xml:space="preserve">What is the leader's </t>
    </r>
    <r>
      <rPr>
        <b/>
        <sz val="12"/>
        <color theme="9" tint="-0.499984740745262"/>
        <rFont val="Calibri"/>
        <family val="2"/>
        <scheme val="minor"/>
      </rPr>
      <t>name?</t>
    </r>
    <r>
      <rPr>
        <sz val="12"/>
        <color theme="9" tint="-0.499984740745262"/>
        <rFont val="Calibri"/>
        <family val="2"/>
        <scheme val="minor"/>
      </rPr>
      <t xml:space="preserve">
[OPERATOR: RECORD THE NAME OF THE CONTACT FOR THE PHONE NUMBER.]</t>
    </r>
  </si>
  <si>
    <r>
      <t>1-</t>
    </r>
    <r>
      <rPr>
        <sz val="12"/>
        <rFont val="Calibri (Body)"/>
      </rPr>
      <t>10</t>
    </r>
    <r>
      <rPr>
        <sz val="12"/>
        <rFont val="Calibri"/>
        <family val="2"/>
        <scheme val="minor"/>
      </rPr>
      <t xml:space="preserve"> = crp_salesprice</t>
    </r>
  </si>
  <si>
    <r>
      <t xml:space="preserve">if </t>
    </r>
    <r>
      <rPr>
        <i/>
        <sz val="12"/>
        <rFont val="Calibri"/>
        <family val="2"/>
        <scheme val="minor"/>
      </rPr>
      <t>crp_salesdif_2</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crp_salesprice</t>
    </r>
  </si>
  <si>
    <t>crp_irrig_system</t>
  </si>
  <si>
    <r>
      <t>crp_irrig</t>
    </r>
    <r>
      <rPr>
        <sz val="12"/>
        <rFont val="Calibri (Body)"/>
      </rPr>
      <t>_source</t>
    </r>
  </si>
  <si>
    <t>crp_irrig_pay</t>
  </si>
  <si>
    <r>
      <t>crp_irrig</t>
    </r>
    <r>
      <rPr>
        <b/>
        <sz val="12"/>
        <rFont val="Calibri (Body)"/>
      </rPr>
      <t>_source</t>
    </r>
  </si>
  <si>
    <r>
      <rPr>
        <sz val="12"/>
        <color theme="4"/>
        <rFont val="Calibri"/>
        <family val="2"/>
        <scheme val="minor"/>
      </rPr>
      <t>1-90</t>
    </r>
    <r>
      <rPr>
        <sz val="12"/>
        <rFont val="Calibri"/>
        <family val="2"/>
        <scheme val="minor"/>
      </rPr>
      <t xml:space="preserve"> =</t>
    </r>
    <r>
      <rPr>
        <sz val="12"/>
        <color theme="4"/>
        <rFont val="Calibri"/>
        <family val="2"/>
        <scheme val="minor"/>
      </rPr>
      <t xml:space="preserve"> </t>
    </r>
    <r>
      <rPr>
        <sz val="12"/>
        <rFont val="Calibri"/>
        <family val="2"/>
        <scheme val="minor"/>
      </rPr>
      <t>crp_irrig</t>
    </r>
    <r>
      <rPr>
        <sz val="12"/>
        <rFont val="Calibri (Body)"/>
      </rPr>
      <t>_source</t>
    </r>
    <r>
      <rPr>
        <sz val="12"/>
        <color theme="4"/>
        <rFont val="Calibri"/>
        <family val="2"/>
        <scheme val="minor"/>
      </rPr>
      <t xml:space="preserve">
91 </t>
    </r>
    <r>
      <rPr>
        <sz val="12"/>
        <rFont val="Calibri"/>
        <family val="2"/>
        <scheme val="minor"/>
      </rPr>
      <t>= crp_main_check</t>
    </r>
    <r>
      <rPr>
        <sz val="12"/>
        <color theme="4"/>
        <rFont val="Calibri"/>
        <family val="2"/>
        <scheme val="minor"/>
      </rPr>
      <t xml:space="preserve">
92-93 </t>
    </r>
    <r>
      <rPr>
        <sz val="12"/>
        <rFont val="Calibri"/>
        <family val="2"/>
        <scheme val="minor"/>
      </rPr>
      <t>= crp_salesmain</t>
    </r>
  </si>
  <si>
    <r>
      <t>if crp_main = any type of crop, go to crp_irrig</t>
    </r>
    <r>
      <rPr>
        <sz val="11"/>
        <rFont val="Calibri (Body)"/>
      </rPr>
      <t>_source</t>
    </r>
    <r>
      <rPr>
        <sz val="11"/>
        <rFont val="Calibri"/>
        <family val="2"/>
        <scheme val="minor"/>
      </rPr>
      <t>;
if crp_main = "No crop production", go to crp_main_check
if crp_main = "Don't know" or "Refused", go to crp_salesmain</t>
    </r>
  </si>
  <si>
    <r>
      <rPr>
        <sz val="11"/>
        <rFont val="Calibri"/>
        <family val="2"/>
        <scheme val="minor"/>
      </rPr>
      <t xml:space="preserve">if </t>
    </r>
    <r>
      <rPr>
        <sz val="11"/>
        <rFont val="Calibri (Body)"/>
      </rPr>
      <t>crp_irrig_source = 1-8</t>
    </r>
    <r>
      <rPr>
        <sz val="11"/>
        <rFont val="Calibri"/>
        <family val="2"/>
        <scheme val="minor"/>
      </rPr>
      <t xml:space="preserve">, </t>
    </r>
    <r>
      <rPr>
        <sz val="11"/>
        <color theme="1"/>
        <rFont val="Calibri"/>
        <family val="2"/>
        <scheme val="minor"/>
      </rPr>
      <t>go to</t>
    </r>
    <r>
      <rPr>
        <sz val="11"/>
        <color theme="4"/>
        <rFont val="Calibri"/>
        <family val="2"/>
        <scheme val="minor"/>
      </rPr>
      <t xml:space="preserve"> [crp_area_change or optional question]</t>
    </r>
  </si>
  <si>
    <r>
      <rPr>
        <sz val="11"/>
        <rFont val="Calibri"/>
        <family val="2"/>
        <scheme val="minor"/>
      </rPr>
      <t xml:space="preserve">if </t>
    </r>
    <r>
      <rPr>
        <sz val="11"/>
        <rFont val="Calibri (Body)"/>
      </rPr>
      <t>crp_irrig_system = 1-7</t>
    </r>
    <r>
      <rPr>
        <sz val="11"/>
        <rFont val="Calibri"/>
        <family val="2"/>
        <scheme val="minor"/>
      </rPr>
      <t xml:space="preserve">, go to </t>
    </r>
    <r>
      <rPr>
        <sz val="11"/>
        <color theme="4"/>
        <rFont val="Calibri"/>
        <family val="2"/>
        <scheme val="minor"/>
      </rPr>
      <t>[crp_area_change or optional question]</t>
    </r>
  </si>
  <si>
    <r>
      <rPr>
        <sz val="11"/>
        <rFont val="Calibri"/>
        <family val="2"/>
        <scheme val="minor"/>
      </rPr>
      <t xml:space="preserve">if </t>
    </r>
    <r>
      <rPr>
        <sz val="11"/>
        <rFont val="Calibri (Body)"/>
      </rPr>
      <t>crp_irrig_pay = 1-4</t>
    </r>
    <r>
      <rPr>
        <sz val="11"/>
        <rFont val="Calibri"/>
        <family val="2"/>
        <scheme val="minor"/>
      </rPr>
      <t>, go to</t>
    </r>
    <r>
      <rPr>
        <sz val="11"/>
        <color rgb="FFFF0000"/>
        <rFont val="Calibri"/>
        <family val="2"/>
        <scheme val="minor"/>
      </rPr>
      <t xml:space="preserve"> </t>
    </r>
    <r>
      <rPr>
        <sz val="11"/>
        <color theme="4"/>
        <rFont val="Calibri"/>
        <family val="2"/>
        <scheme val="minor"/>
      </rPr>
      <t>[crp_area_change or optional question]</t>
    </r>
  </si>
  <si>
    <r>
      <t>fish_proddif_
1) fish_proddif_find_</t>
    </r>
    <r>
      <rPr>
        <sz val="12"/>
        <rFont val="Calibri (Body)"/>
      </rPr>
      <t>fish</t>
    </r>
    <r>
      <rPr>
        <sz val="12"/>
        <rFont val="Calibri"/>
        <family val="2"/>
        <scheme val="minor"/>
      </rPr>
      <t xml:space="preserve">
</t>
    </r>
    <r>
      <rPr>
        <sz val="12"/>
        <rFont val="Calibri (Body)"/>
      </rPr>
      <t>2) fish_proddif_pests
3</t>
    </r>
    <r>
      <rPr>
        <sz val="12"/>
        <rFont val="Calibri"/>
        <family val="2"/>
        <scheme val="minor"/>
      </rPr>
      <t>) fish_proddif_</t>
    </r>
    <r>
      <rPr>
        <sz val="12"/>
        <rFont val="Calibri (Body)"/>
      </rPr>
      <t>access_area</t>
    </r>
    <r>
      <rPr>
        <sz val="12"/>
        <rFont val="Calibri"/>
        <family val="2"/>
        <scheme val="minor"/>
      </rPr>
      <t xml:space="preserve">
</t>
    </r>
    <r>
      <rPr>
        <sz val="12"/>
        <rFont val="Calibri (Body)"/>
      </rPr>
      <t>4</t>
    </r>
    <r>
      <rPr>
        <sz val="12"/>
        <rFont val="Calibri"/>
        <family val="2"/>
        <scheme val="minor"/>
      </rPr>
      <t xml:space="preserve">) fish_proddif_fuel
</t>
    </r>
    <r>
      <rPr>
        <sz val="12"/>
        <rFont val="Calibri (Body)"/>
      </rPr>
      <t>5</t>
    </r>
    <r>
      <rPr>
        <sz val="12"/>
        <rFont val="Calibri"/>
        <family val="2"/>
        <scheme val="minor"/>
      </rPr>
      <t>) fish_proddif_input</t>
    </r>
    <r>
      <rPr>
        <sz val="12"/>
        <rFont val="Calibri (Body)"/>
      </rPr>
      <t>_access</t>
    </r>
    <r>
      <rPr>
        <sz val="12"/>
        <rFont val="Calibri"/>
        <family val="2"/>
        <scheme val="minor"/>
      </rPr>
      <t xml:space="preserve">
</t>
    </r>
    <r>
      <rPr>
        <sz val="12"/>
        <rFont val="Calibri (Body)"/>
      </rPr>
      <t>6</t>
    </r>
    <r>
      <rPr>
        <sz val="12"/>
        <rFont val="Calibri"/>
        <family val="2"/>
        <scheme val="minor"/>
      </rPr>
      <t xml:space="preserve">) fish_proddif_labour
</t>
    </r>
    <r>
      <rPr>
        <sz val="12"/>
        <rFont val="Calibri (Body)"/>
      </rPr>
      <t>7) fish_proddif_infrastructure
8) fish_proddif_damage_equip</t>
    </r>
    <r>
      <rPr>
        <sz val="12"/>
        <rFont val="Calibri"/>
        <family val="2"/>
        <scheme val="minor"/>
      </rPr>
      <t xml:space="preserve">
</t>
    </r>
    <r>
      <rPr>
        <sz val="12"/>
        <rFont val="Calibri (Body)"/>
      </rPr>
      <t>9</t>
    </r>
    <r>
      <rPr>
        <sz val="12"/>
        <rFont val="Calibri"/>
        <family val="2"/>
        <scheme val="minor"/>
      </rPr>
      <t xml:space="preserve">) fish_proddif_other
</t>
    </r>
    <r>
      <rPr>
        <sz val="12"/>
        <rFont val="Calibri (Body)"/>
      </rPr>
      <t>10</t>
    </r>
    <r>
      <rPr>
        <sz val="12"/>
        <rFont val="Calibri"/>
        <family val="2"/>
        <scheme val="minor"/>
      </rPr>
      <t xml:space="preserve">) fish_proddif_dk
</t>
    </r>
    <r>
      <rPr>
        <sz val="12"/>
        <rFont val="Calibri (Body)"/>
      </rPr>
      <t>11</t>
    </r>
    <r>
      <rPr>
        <sz val="12"/>
        <rFont val="Calibri"/>
        <family val="2"/>
        <scheme val="minor"/>
      </rPr>
      <t>) fish_proddif_ref</t>
    </r>
  </si>
  <si>
    <t>ls_feed</t>
  </si>
  <si>
    <r>
      <t xml:space="preserve">ls_feed
1) ls_feed_open_pasture
2) ls_feed_common_pasture
3) ls_feed_self_produced
4) ls_feed_purchased
</t>
    </r>
    <r>
      <rPr>
        <sz val="12"/>
        <rFont val="Calibri (Body)"/>
      </rPr>
      <t>5) ls_feed_free_dist</t>
    </r>
    <r>
      <rPr>
        <sz val="12"/>
        <rFont val="Calibri"/>
        <family val="2"/>
        <scheme val="minor"/>
      </rPr>
      <t xml:space="preserve">
6) ls_feed_other
7) ls_feed_dk
8) ls_feed_ref</t>
    </r>
  </si>
  <si>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</si>
  <si>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r>
      <t xml:space="preserve">need_received_
1) need_received_food
2) </t>
    </r>
    <r>
      <rPr>
        <sz val="12"/>
        <rFont val="Calibri (Body)"/>
      </rPr>
      <t>need_received_cash
3) need_received_vouchers_fair
4</t>
    </r>
    <r>
      <rPr>
        <sz val="12"/>
        <rFont val="Calibri"/>
        <family val="2"/>
        <scheme val="minor"/>
      </rPr>
      <t>) need_received_crop_assist
5) need_received_ls_assist
6) need_received_fish_assist
7) need_received_rehabilitation
8) need_received_sales_support
9) need_received_other
10) need_received_</t>
    </r>
    <r>
      <rPr>
        <sz val="12"/>
        <rFont val="Calibri (Body)"/>
      </rPr>
      <t>none</t>
    </r>
    <r>
      <rPr>
        <sz val="12"/>
        <rFont val="Calibri"/>
        <family val="2"/>
        <scheme val="minor"/>
      </rPr>
      <t xml:space="preserve">
11) need_received_dk
12) need_received_ref</t>
    </r>
  </si>
  <si>
    <t>cs_crisis_decrease_input_exp</t>
  </si>
  <si>
    <t>cs_crisis_consume_seed_stock</t>
  </si>
  <si>
    <r>
      <t xml:space="preserve">fish_inputdif_
1) fish_inputdif_bait_feed
2)fish_inputdif_fingerling
3) fish_inputdif_gear
4) fish_inputdif_ice
5) fish_inputdif_fuel
6) fish_inputdif_repairs
</t>
    </r>
    <r>
      <rPr>
        <sz val="12"/>
        <rFont val="Calibri (Body)"/>
      </rPr>
      <t>7) fish_inputdif_labour</t>
    </r>
    <r>
      <rPr>
        <sz val="12"/>
        <rFont val="Calibri"/>
        <family val="2"/>
        <scheme val="minor"/>
      </rPr>
      <t xml:space="preserve">
8) fish_inputdif_other 
9)fish_inputdif_dk
10) fish_inputdif_ref</t>
    </r>
  </si>
  <si>
    <r>
      <t xml:space="preserve">crp_proddif_
1) crp_proddif_plant_disease
</t>
    </r>
    <r>
      <rPr>
        <sz val="12"/>
        <rFont val="Calibri (Body)"/>
      </rPr>
      <t xml:space="preserve">2) crp_proddif_pest_outbreak
</t>
    </r>
    <r>
      <rPr>
        <sz val="12"/>
        <rFont val="Calibri"/>
        <family val="2"/>
        <scheme val="minor"/>
      </rPr>
      <t>3) crp_proddif_animal_grazing
4) crp_proddif_access_plot
5) crp_proddif_access_fertilize
6) crp_proddif_seed_quality
7) crp_proddif_seed_quantity
8) crp_proddif_access_</t>
    </r>
    <r>
      <rPr>
        <sz val="12"/>
        <rFont val="Calibri (Body)"/>
      </rPr>
      <t>pesticide</t>
    </r>
    <r>
      <rPr>
        <sz val="12"/>
        <rFont val="Calibri"/>
        <family val="2"/>
        <scheme val="minor"/>
      </rPr>
      <t xml:space="preserve">
9) crp_proddif_access_labour
10) crp_proddif_access_machinery
11) crp_proddif_access_fuel
12) crp_proddif_soil_erosion
13) crp_proddif_lack_irrigation
14) crp_proddif_excess_water
15) crp_proddif_access_credit
16) crp_proddif_other
17) crp_proddif_dk
18) crp_proddif_ref</t>
    </r>
  </si>
  <si>
    <r>
      <t>crp_saledif_
1) crp_saledif_marketing_cost
2) crp_saledif_damage</t>
    </r>
    <r>
      <rPr>
        <sz val="12"/>
        <rFont val="Calibri (Body)"/>
      </rPr>
      <t>_</t>
    </r>
    <r>
      <rPr>
        <sz val="12"/>
        <rFont val="Calibri"/>
        <family val="2"/>
        <scheme val="minor"/>
      </rPr>
      <t>losses
3) crp_saledif_low</t>
    </r>
    <r>
      <rPr>
        <sz val="12"/>
        <rFont val="Calibri (Body)"/>
      </rPr>
      <t>_</t>
    </r>
    <r>
      <rPr>
        <sz val="12"/>
        <rFont val="Calibri"/>
        <family val="2"/>
        <scheme val="minor"/>
      </rPr>
      <t xml:space="preserve">demand
</t>
    </r>
    <r>
      <rPr>
        <sz val="12"/>
        <rFont val="Calibri (Body)"/>
      </rPr>
      <t>4) crp_saledif_pay_delay</t>
    </r>
    <r>
      <rPr>
        <sz val="12"/>
        <rFont val="Calibri"/>
        <family val="2"/>
        <scheme val="minor"/>
      </rPr>
      <t xml:space="preserve">
5) crp_saledif_low</t>
    </r>
    <r>
      <rPr>
        <sz val="12"/>
        <rFont val="Calibri (Body)"/>
      </rPr>
      <t>_</t>
    </r>
    <r>
      <rPr>
        <sz val="12"/>
        <rFont val="Calibri"/>
        <family val="2"/>
        <scheme val="minor"/>
      </rPr>
      <t xml:space="preserve">price
6) crp_saledif_processing
</t>
    </r>
    <r>
      <rPr>
        <sz val="12"/>
        <rFont val="Calibri (Body)"/>
      </rPr>
      <t>7) crp_saledif_competition</t>
    </r>
    <r>
      <rPr>
        <sz val="12"/>
        <rFont val="Calibri"/>
        <family val="2"/>
        <scheme val="minor"/>
      </rPr>
      <t xml:space="preserve">
8) crp_saledif_other
9) crp_saledif_dk
10) crp_saledif_ref</t>
    </r>
  </si>
  <si>
    <r>
      <t>crp_seed_supply
1) crp_seed_ownprod
2) crp_seed_market
3) crp_seed_company
4) crp_seed_</t>
    </r>
    <r>
      <rPr>
        <sz val="12"/>
        <rFont val="Calibri (Body)"/>
      </rPr>
      <t>ngo</t>
    </r>
    <r>
      <rPr>
        <sz val="12"/>
        <rFont val="Calibri"/>
        <family val="2"/>
        <scheme val="minor"/>
      </rPr>
      <t xml:space="preserve">
5) crp_seed_organized_</t>
    </r>
    <r>
      <rPr>
        <sz val="12"/>
        <rFont val="Calibri (Body)"/>
      </rPr>
      <t>community</t>
    </r>
    <r>
      <rPr>
        <sz val="12"/>
        <rFont val="Calibri"/>
        <family val="2"/>
        <scheme val="minor"/>
      </rPr>
      <t xml:space="preserve">
6) crp_seed_gov
</t>
    </r>
    <r>
      <rPr>
        <sz val="12"/>
        <rFont val="Calibri (Body)"/>
      </rPr>
      <t xml:space="preserve">7) crp_seed_relatives_friends
8) </t>
    </r>
    <r>
      <rPr>
        <sz val="12"/>
        <rFont val="Calibri"/>
        <family val="2"/>
        <scheme val="minor"/>
      </rPr>
      <t xml:space="preserve">crp_seed_other
</t>
    </r>
    <r>
      <rPr>
        <sz val="12"/>
        <rFont val="Calibri (Body)"/>
      </rPr>
      <t>9)</t>
    </r>
    <r>
      <rPr>
        <sz val="12"/>
        <rFont val="Calibri"/>
        <family val="2"/>
        <scheme val="minor"/>
      </rPr>
      <t xml:space="preserve"> crp_seed_dk
</t>
    </r>
    <r>
      <rPr>
        <sz val="12"/>
        <rFont val="Calibri (Body)"/>
      </rPr>
      <t>10)</t>
    </r>
    <r>
      <rPr>
        <sz val="12"/>
        <rFont val="Calibri"/>
        <family val="2"/>
        <scheme val="minor"/>
      </rPr>
      <t xml:space="preserve"> crp_seed_ref</t>
    </r>
  </si>
  <si>
    <t>fcs_vegetables_days</t>
  </si>
  <si>
    <t>rcsi_restrict_adult_consumpt</t>
  </si>
  <si>
    <t>For any response, go to fcs_vegetables_days</t>
  </si>
  <si>
    <t>0-7 = fcs_vegetables_days</t>
  </si>
  <si>
    <t>0-7 = rcsi_restrict_adult_consumpt</t>
  </si>
  <si>
    <t>Form Type - Checklist
17,18 = IsNone</t>
  </si>
  <si>
    <r>
      <t xml:space="preserve">1-18 = </t>
    </r>
    <r>
      <rPr>
        <sz val="12"/>
        <color theme="4"/>
        <rFont val="Calibri (Body)"/>
      </rPr>
      <t xml:space="preserve">[crp_salesmain </t>
    </r>
    <r>
      <rPr>
        <sz val="12"/>
        <color theme="4"/>
        <rFont val="Calibri"/>
        <family val="2"/>
        <scheme val="minor"/>
      </rPr>
      <t>OR</t>
    </r>
    <r>
      <rPr>
        <sz val="12"/>
        <color theme="4"/>
        <rFont val="Calibri (Body)"/>
      </rPr>
      <t xml:space="preserve"> optional question]</t>
    </r>
  </si>
  <si>
    <r>
      <t>if crp_proddif_2 = 1-18, go to</t>
    </r>
    <r>
      <rPr>
        <sz val="12"/>
        <color theme="4"/>
        <rFont val="Calibri"/>
        <family val="2"/>
        <scheme val="minor"/>
      </rPr>
      <t xml:space="preserve"> [crp_salesmain OR optional question]</t>
    </r>
  </si>
  <si>
    <r>
      <rPr>
        <sz val="12"/>
        <rFont val="Calibri (Body)"/>
      </rPr>
      <t>Which difficulty</t>
    </r>
    <r>
      <rPr>
        <sz val="12"/>
        <rFont val="Calibri"/>
        <family val="2"/>
        <scheme val="minor"/>
      </rPr>
      <t xml:space="preserve"> </t>
    </r>
    <r>
      <rPr>
        <sz val="12"/>
        <rFont val="Calibri (Body)"/>
      </rPr>
      <t>has</t>
    </r>
    <r>
      <rPr>
        <sz val="12"/>
        <rFont val="Calibri"/>
        <family val="2"/>
        <scheme val="minor"/>
      </rPr>
      <t xml:space="preserve"> your household faced with crop production </t>
    </r>
    <r>
      <rPr>
        <sz val="12"/>
        <rFont val="Calibri (Body)"/>
      </rPr>
      <t>in</t>
    </r>
    <r>
      <rPr>
        <b/>
        <sz val="12"/>
        <rFont val="Calibri (Body)"/>
      </rPr>
      <t xml:space="preserve"> </t>
    </r>
    <r>
      <rPr>
        <b/>
        <sz val="12"/>
        <color rgb="FF7030A0"/>
        <rFont val="Calibri (Body)"/>
      </rPr>
      <t>$season$</t>
    </r>
    <r>
      <rPr>
        <sz val="12"/>
        <rFont val="Calibri"/>
        <family val="2"/>
        <scheme val="minor"/>
      </rPr>
      <t>?
[OPERATOR: MULTIPLE RESPONSE</t>
    </r>
    <r>
      <rPr>
        <sz val="12"/>
        <rFont val="Calibri (Body)"/>
      </rPr>
      <t>S POSSIBLE. SELECT</t>
    </r>
    <r>
      <rPr>
        <sz val="12"/>
        <rFont val="Calibri"/>
        <family val="2"/>
        <scheme val="minor"/>
      </rPr>
      <t xml:space="preserve">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r>
  </si>
  <si>
    <r>
      <t>1-</t>
    </r>
    <r>
      <rPr>
        <sz val="12"/>
        <rFont val="Calibri (Body)"/>
      </rPr>
      <t>5</t>
    </r>
    <r>
      <rPr>
        <sz val="12"/>
        <rFont val="Calibri"/>
        <family val="2"/>
        <scheme val="minor"/>
      </rPr>
      <t xml:space="preserve"> =</t>
    </r>
    <r>
      <rPr>
        <sz val="12"/>
        <color theme="4"/>
        <rFont val="Calibri"/>
        <family val="2"/>
        <scheme val="minor"/>
      </rPr>
      <t xml:space="preserve"> income_third_comp or optional question</t>
    </r>
  </si>
  <si>
    <t>Any Response = End poll callback</t>
  </si>
  <si>
    <r>
      <t xml:space="preserve">Currently, in which </t>
    </r>
    <r>
      <rPr>
        <b/>
        <sz val="12"/>
        <color rgb="FF7030A0"/>
        <rFont val="Calibri"/>
        <family val="2"/>
        <scheme val="minor"/>
      </rPr>
      <t>$ADMIN1$</t>
    </r>
    <r>
      <rPr>
        <sz val="12"/>
        <rFont val="Calibri"/>
        <family val="2"/>
        <scheme val="minor"/>
      </rPr>
      <t xml:space="preserve"> does your household reside?
[OPERATOR: SINGLE SELECTION.]
[HINT: HOUSEHOLD CONSISTS OF ALL MEMBERS LIVING TOGETHER, SHARING RESOURCES &amp; EATING FROM THE SAME POT.]
</t>
    </r>
    <r>
      <rPr>
        <b/>
        <sz val="12"/>
        <color theme="4"/>
        <rFont val="Calibri (Body)"/>
      </rPr>
      <t>1)ADMIN1</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</si>
  <si>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sz val="12"/>
        <color theme="4"/>
        <rFont val="Calibri"/>
        <family val="2"/>
        <scheme val="minor"/>
      </rPr>
      <t xml:space="preserve">
</t>
    </r>
    <r>
      <rPr>
        <b/>
        <sz val="12"/>
        <color theme="4"/>
        <rFont val="Calibri (Body)"/>
      </rPr>
      <t>1)ADMIN2</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</si>
  <si>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t>1 = hh_admin2_1
2-3 = Ineligible</t>
  </si>
  <si>
    <r>
      <rPr>
        <b/>
        <sz val="12"/>
        <color theme="4"/>
        <rFont val="Calibri (Body)"/>
      </rPr>
      <t>1</t>
    </r>
    <r>
      <rPr>
        <b/>
        <sz val="12"/>
        <color theme="4"/>
        <rFont val="Calibri"/>
        <family val="2"/>
        <scheme val="minor"/>
      </rPr>
      <t xml:space="preserve"> = </t>
    </r>
    <r>
      <rPr>
        <b/>
        <sz val="12"/>
        <color theme="4"/>
        <rFont val="Calibri (Body)"/>
      </rPr>
      <t xml:space="preserve"> hh_agricactivity</t>
    </r>
    <r>
      <rPr>
        <b/>
        <sz val="12"/>
        <color theme="4"/>
        <rFont val="Calibri"/>
        <family val="2"/>
        <scheme val="minor"/>
      </rPr>
      <t xml:space="preserve">
</t>
    </r>
    <r>
      <rPr>
        <b/>
        <sz val="12"/>
        <color theme="4"/>
        <rFont val="Calibri (Body)"/>
      </rPr>
      <t>2-3</t>
    </r>
    <r>
      <rPr>
        <b/>
        <sz val="12"/>
        <color theme="4"/>
        <rFont val="Calibri"/>
        <family val="2"/>
        <scheme val="minor"/>
      </rPr>
      <t xml:space="preserve"> = Ineligible</t>
    </r>
  </si>
  <si>
    <r>
      <t xml:space="preserve">Form Type - Buttons
</t>
    </r>
    <r>
      <rPr>
        <sz val="12"/>
        <rFont val="Calibri (Body)"/>
      </rPr>
      <t xml:space="preserve">IsDemographic </t>
    </r>
    <r>
      <rPr>
        <sz val="12"/>
        <rFont val="Calibri"/>
        <family val="2"/>
        <scheme val="minor"/>
      </rPr>
      <t>- ADM1</t>
    </r>
  </si>
  <si>
    <r>
      <t xml:space="preserve">Form Type - Buttons
</t>
    </r>
    <r>
      <rPr>
        <sz val="12"/>
        <rFont val="Calibri (Body)"/>
      </rPr>
      <t>IsDemographic</t>
    </r>
    <r>
      <rPr>
        <sz val="12"/>
        <rFont val="Calibri"/>
        <family val="2"/>
        <scheme val="minor"/>
      </rPr>
      <t xml:space="preserve"> - ADM2</t>
    </r>
  </si>
  <si>
    <r>
      <t xml:space="preserve">1-7 = </t>
    </r>
    <r>
      <rPr>
        <b/>
        <sz val="12"/>
        <color theme="4"/>
        <rFont val="Calibri"/>
        <family val="2"/>
        <scheme val="minor"/>
      </rPr>
      <t>hh_size</t>
    </r>
  </si>
  <si>
    <t>Form Type - Checklist
8,9,10 = IsNone</t>
  </si>
  <si>
    <t>Form Type - Checklist
7,8,9 = IsNone</t>
  </si>
  <si>
    <t>Form Type - Buttons
IsDemographic</t>
  </si>
  <si>
    <r>
      <t xml:space="preserve">Form Type - Buttons
exclude selected "income_main"
</t>
    </r>
    <r>
      <rPr>
        <sz val="12"/>
        <rFont val="Calibri (Body)"/>
      </rPr>
      <t>IsDemographic</t>
    </r>
  </si>
  <si>
    <t xml:space="preserve">Are the crops that you sell also produced by you or anyone in your household?
[OPERATOR: SINGLE RESPONSE.]
1)YES
2)NO
3)DON'T KNOW
4)REFUSED </t>
  </si>
  <si>
    <r>
      <rPr>
        <sz val="12"/>
        <rFont val="Calibri (Body)"/>
      </rPr>
      <t>Are the</t>
    </r>
    <r>
      <rPr>
        <sz val="12"/>
        <rFont val="Calibri"/>
        <family val="2"/>
        <scheme val="minor"/>
      </rPr>
      <t xml:space="preserve"> fish and/or fish products </t>
    </r>
    <r>
      <rPr>
        <sz val="12"/>
        <rFont val="Calibri (Body)"/>
      </rPr>
      <t>that you sell also captured or harvested by you or anyone in your household?
[OPERATOR: SINGLE RESPONSE</t>
    </r>
    <r>
      <rPr>
        <sz val="12"/>
        <rFont val="Calibri"/>
        <family val="2"/>
        <scheme val="minor"/>
      </rPr>
      <t xml:space="preserve">.]
</t>
    </r>
    <r>
      <rPr>
        <sz val="12"/>
        <rFont val="Calibri (Body)"/>
      </rPr>
      <t xml:space="preserve">
1)YES
2)NO
3)DON'T KNOW
4)REFUSED </t>
    </r>
  </si>
  <si>
    <r>
      <t>income_main_crop</t>
    </r>
    <r>
      <rPr>
        <b/>
        <sz val="12"/>
        <rFont val="Calibri (Body)"/>
      </rPr>
      <t>_</t>
    </r>
    <r>
      <rPr>
        <b/>
        <sz val="12"/>
        <rFont val="Calibri"/>
        <family val="2"/>
        <scheme val="minor"/>
      </rPr>
      <t>check</t>
    </r>
  </si>
  <si>
    <r>
      <t>income_main_ls</t>
    </r>
    <r>
      <rPr>
        <b/>
        <sz val="12"/>
        <rFont val="Calibri (Body)"/>
      </rPr>
      <t>_</t>
    </r>
    <r>
      <rPr>
        <b/>
        <sz val="12"/>
        <rFont val="Calibri"/>
        <family val="2"/>
        <scheme val="minor"/>
      </rPr>
      <t>check</t>
    </r>
  </si>
  <si>
    <r>
      <t>income_main_fish</t>
    </r>
    <r>
      <rPr>
        <b/>
        <sz val="12"/>
        <rFont val="Calibri (Body)"/>
      </rPr>
      <t>_</t>
    </r>
    <r>
      <rPr>
        <b/>
        <sz val="12"/>
        <rFont val="Calibri"/>
        <family val="2"/>
        <scheme val="minor"/>
      </rPr>
      <t>check</t>
    </r>
  </si>
  <si>
    <r>
      <t>income_sec_crop</t>
    </r>
    <r>
      <rPr>
        <b/>
        <sz val="12"/>
        <rFont val="Calibri (Body)"/>
      </rPr>
      <t>_</t>
    </r>
    <r>
      <rPr>
        <b/>
        <sz val="12"/>
        <rFont val="Calibri"/>
        <family val="2"/>
        <scheme val="minor"/>
      </rPr>
      <t>check</t>
    </r>
  </si>
  <si>
    <r>
      <t>income_sec_crop</t>
    </r>
    <r>
      <rPr>
        <sz val="12"/>
        <rFont val="Calibri (Body)"/>
      </rPr>
      <t>_</t>
    </r>
    <r>
      <rPr>
        <sz val="12"/>
        <rFont val="Calibri"/>
        <family val="2"/>
        <scheme val="minor"/>
      </rPr>
      <t>check</t>
    </r>
  </si>
  <si>
    <r>
      <t>income_sec_ls</t>
    </r>
    <r>
      <rPr>
        <b/>
        <sz val="12"/>
        <rFont val="Calibri (Body)"/>
      </rPr>
      <t>_</t>
    </r>
    <r>
      <rPr>
        <b/>
        <sz val="12"/>
        <rFont val="Calibri"/>
        <family val="2"/>
        <scheme val="minor"/>
      </rPr>
      <t>check</t>
    </r>
  </si>
  <si>
    <r>
      <t>income_sec_ls</t>
    </r>
    <r>
      <rPr>
        <sz val="12"/>
        <rFont val="Calibri (Body)"/>
      </rPr>
      <t>_</t>
    </r>
    <r>
      <rPr>
        <sz val="12"/>
        <rFont val="Calibri"/>
        <family val="2"/>
        <scheme val="minor"/>
      </rPr>
      <t>check</t>
    </r>
  </si>
  <si>
    <r>
      <t>income_sec_fish</t>
    </r>
    <r>
      <rPr>
        <b/>
        <sz val="12"/>
        <rFont val="Calibri (Body)"/>
      </rPr>
      <t>_</t>
    </r>
    <r>
      <rPr>
        <b/>
        <sz val="12"/>
        <rFont val="Calibri"/>
        <family val="2"/>
        <scheme val="minor"/>
      </rPr>
      <t>check</t>
    </r>
  </si>
  <si>
    <r>
      <t>income_sec_fish</t>
    </r>
    <r>
      <rPr>
        <sz val="12"/>
        <rFont val="Calibri (Body)"/>
      </rPr>
      <t>_</t>
    </r>
    <r>
      <rPr>
        <sz val="12"/>
        <rFont val="Calibri"/>
        <family val="2"/>
        <scheme val="minor"/>
      </rPr>
      <t>check</t>
    </r>
  </si>
  <si>
    <r>
      <rPr>
        <sz val="12"/>
        <rFont val="Calibri (Body)"/>
      </rPr>
      <t>if income_sec_crop_check = 1-4, go to</t>
    </r>
    <r>
      <rPr>
        <sz val="12"/>
        <color theme="4"/>
        <rFont val="Calibri"/>
        <family val="2"/>
        <scheme val="minor"/>
      </rPr>
      <t xml:space="preserve"> [income_sec_comp OR </t>
    </r>
    <r>
      <rPr>
        <sz val="12"/>
        <color theme="4"/>
        <rFont val="Calibri (Body)"/>
      </rPr>
      <t>optional question</t>
    </r>
    <r>
      <rPr>
        <sz val="12"/>
        <color theme="4"/>
        <rFont val="Calibri"/>
        <family val="2"/>
        <scheme val="minor"/>
      </rPr>
      <t>]</t>
    </r>
  </si>
  <si>
    <r>
      <rPr>
        <sz val="12"/>
        <rFont val="Calibri (Body)"/>
      </rPr>
      <t>if income_sec_ls_check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</si>
  <si>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rPr>
        <sz val="12"/>
        <rFont val="Calibri (Body)"/>
      </rPr>
      <t>if income_sec_fish_check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</si>
  <si>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t>income_third_crop</t>
    </r>
    <r>
      <rPr>
        <b/>
        <sz val="12"/>
        <rFont val="Calibri (Body)"/>
      </rPr>
      <t>_</t>
    </r>
    <r>
      <rPr>
        <b/>
        <sz val="12"/>
        <rFont val="Calibri"/>
        <family val="2"/>
        <scheme val="minor"/>
      </rPr>
      <t>check</t>
    </r>
  </si>
  <si>
    <r>
      <t>income_third_crop</t>
    </r>
    <r>
      <rPr>
        <sz val="12"/>
        <rFont val="Calibri (Body)"/>
      </rPr>
      <t>_</t>
    </r>
    <r>
      <rPr>
        <sz val="12"/>
        <rFont val="Calibri"/>
        <family val="2"/>
        <scheme val="minor"/>
      </rPr>
      <t>check</t>
    </r>
  </si>
  <si>
    <r>
      <t>income_third_ls</t>
    </r>
    <r>
      <rPr>
        <b/>
        <sz val="12"/>
        <rFont val="Calibri (Body)"/>
      </rPr>
      <t>_</t>
    </r>
    <r>
      <rPr>
        <b/>
        <sz val="12"/>
        <rFont val="Calibri"/>
        <family val="2"/>
        <scheme val="minor"/>
      </rPr>
      <t>check</t>
    </r>
  </si>
  <si>
    <r>
      <t>income_third_ls</t>
    </r>
    <r>
      <rPr>
        <sz val="12"/>
        <rFont val="Calibri (Body)"/>
      </rPr>
      <t>_</t>
    </r>
    <r>
      <rPr>
        <sz val="12"/>
        <rFont val="Calibri"/>
        <family val="2"/>
        <scheme val="minor"/>
      </rPr>
      <t>check</t>
    </r>
  </si>
  <si>
    <r>
      <t>income_third_fish</t>
    </r>
    <r>
      <rPr>
        <b/>
        <sz val="12"/>
        <rFont val="Calibri (Body)"/>
      </rPr>
      <t>_</t>
    </r>
    <r>
      <rPr>
        <b/>
        <sz val="12"/>
        <rFont val="Calibri"/>
        <family val="2"/>
        <scheme val="minor"/>
      </rPr>
      <t>check</t>
    </r>
  </si>
  <si>
    <r>
      <t>income_third_fish</t>
    </r>
    <r>
      <rPr>
        <sz val="12"/>
        <rFont val="Calibri (Body)"/>
      </rPr>
      <t>_</t>
    </r>
    <r>
      <rPr>
        <sz val="12"/>
        <rFont val="Calibri"/>
        <family val="2"/>
        <scheme val="minor"/>
      </rPr>
      <t>check</t>
    </r>
  </si>
  <si>
    <r>
      <rPr>
        <sz val="12"/>
        <rFont val="Calibri (Body)"/>
      </rPr>
      <t>if income_third_crop_check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</si>
  <si>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rPr>
        <sz val="12"/>
        <rFont val="Calibri (Body)"/>
      </rPr>
      <t>if income_third_ls_check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</si>
  <si>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rPr>
        <sz val="12"/>
        <rFont val="Calibri (Body)"/>
      </rPr>
      <t>if income_third_fish_check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</si>
  <si>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rPr>
        <sz val="12"/>
        <rFont val="Calibri (Body)"/>
      </rPr>
      <t>if income_main_crop_check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</si>
  <si>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rPr>
        <sz val="12"/>
        <rFont val="Calibri (Body)"/>
      </rPr>
      <t>if income_main_ls_check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</si>
  <si>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rPr>
        <sz val="12"/>
        <rFont val="Calibri (Body)"/>
      </rPr>
      <t>if income_main_fish_check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</si>
  <si>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t>Form Type - Buttons
exclude selected "income_main"
exclude selected "income_sec"
IsDemographic</t>
  </si>
  <si>
    <t>What is the gender of the household member[s] generating income from this source? 
[OPERATOR: SINGLE RESPONSE.]
1)Male
2)Female
3)Joint [both male &amp; female]
4)DON'T KNOW
5)REFUSED</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</si>
  <si>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</si>
  <si>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Body)"/>
      </rPr>
      <t>crp</t>
    </r>
    <r>
      <rPr>
        <i/>
        <sz val="12"/>
        <rFont val="Calibri"/>
        <family val="2"/>
        <scheme val="minor"/>
      </rPr>
      <t>_landsize_num</t>
    </r>
  </si>
  <si>
    <t>Melon [Cantaloupe]</t>
  </si>
  <si>
    <t>Green salad herbs [thyme, parsley, mint, rocca, other]</t>
  </si>
  <si>
    <t>Form Type - Dropdown
IsDemographic</t>
  </si>
  <si>
    <t>Form Type - RadioList
IsDemographic</t>
  </si>
  <si>
    <r>
      <rPr>
        <sz val="10"/>
        <rFont val="Calibri (Body)"/>
      </rPr>
      <t xml:space="preserve">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t>
    </r>
    <r>
      <rPr>
        <sz val="10"/>
        <color theme="4"/>
        <rFont val="Calibri"/>
        <family val="2"/>
        <scheme val="minor"/>
      </rPr>
      <t>"crp_salesmain",</t>
    </r>
  </si>
  <si>
    <r>
      <t xml:space="preserve">1-8 = </t>
    </r>
    <r>
      <rPr>
        <sz val="12"/>
        <color theme="4"/>
        <rFont val="Calibri"/>
        <family val="2"/>
        <scheme val="minor"/>
      </rPr>
      <t>crp_sales</t>
    </r>
    <r>
      <rPr>
        <sz val="12"/>
        <color theme="4"/>
        <rFont val="Calibri (Body)"/>
      </rPr>
      <t xml:space="preserve">main or </t>
    </r>
    <r>
      <rPr>
        <sz val="12"/>
        <color theme="4"/>
        <rFont val="Calibri"/>
        <family val="2"/>
        <scheme val="minor"/>
      </rPr>
      <t>optional question</t>
    </r>
  </si>
  <si>
    <t>Form Type - Checklist
Included unselected "crp_main"
1,2,3= IsNone</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</si>
  <si>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</si>
  <si>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Form Type - Checklist
1,13,14 = IsNone</t>
  </si>
  <si>
    <t>Form Type - Checklist
Included unselected "ls_main"
1,2,3= IsNone</t>
  </si>
  <si>
    <t>Form Type - Buttons
IsDemographic</t>
  </si>
  <si>
    <t>1 = ls_salesdif_2
2-4 = ls_salesprice</t>
  </si>
  <si>
    <t>Send if "income_main_fish_check" "Equals" "YES" Or "income_sec_fish_check" "Equals" "YES Or "income_third_fish_check" "Equals" "YES", if not satisfied go to "fies"</t>
  </si>
  <si>
    <t>Send if "fish_proddif_2" "Contains" "Access to other fishing or culture inputs [prices higher or not available]" if not satisfied go to "fish_salesmain"</t>
  </si>
  <si>
    <r>
      <t>Asked only to respondents that answered fish_proddif_2 = 4.
if fish_inputdif = 1-</t>
    </r>
    <r>
      <rPr>
        <sz val="12"/>
        <rFont val="Calibri (Body)"/>
      </rPr>
      <t>10</t>
    </r>
    <r>
      <rPr>
        <sz val="12"/>
        <rFont val="Calibri"/>
        <family val="2"/>
        <scheme val="minor"/>
      </rPr>
      <t>, go to fish_salesmain</t>
    </r>
  </si>
  <si>
    <t>Form Type - Checklist
18,19 = IsNone</t>
  </si>
  <si>
    <r>
      <t xml:space="preserve">Why did you not produce any crops in </t>
    </r>
    <r>
      <rPr>
        <b/>
        <sz val="12"/>
        <color rgb="FF7030A0"/>
        <rFont val="Calibri"/>
        <family val="2"/>
        <scheme val="minor"/>
      </rPr>
      <t>$season$</t>
    </r>
    <r>
      <rPr>
        <sz val="12"/>
        <rFont val="Calibri"/>
        <family val="2"/>
        <scheme val="minor"/>
      </rPr>
      <t>?
[OPERATOR: SINGLE RESPONSE.]
1)Don’t usually produce during this season 
2)Wasn't able to produce [e.g. due to difficulties]</t>
    </r>
  </si>
  <si>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</si>
  <si>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Do you have to pay for water rights [e.g. water rights, communal infrastructure maintenance, gas for communal pump, etc.]? 
[OPERATOR: SINGLE RESPONSE.]
1)YES
2)NO
3)DON'T KNOW
4)REFUSED</t>
  </si>
  <si>
    <r>
      <rPr>
        <sz val="12"/>
        <rFont val="Calibri (Body)"/>
      </rPr>
      <t>Who</t>
    </r>
    <r>
      <rPr>
        <sz val="12"/>
        <rFont val="Calibri"/>
        <family val="2"/>
        <scheme val="minor"/>
      </rPr>
      <t xml:space="preserve"> do you normally procure your seeds </t>
    </r>
    <r>
      <rPr>
        <sz val="12"/>
        <rFont val="Calibri (Body)"/>
      </rPr>
      <t>from</t>
    </r>
    <r>
      <rPr>
        <sz val="12"/>
        <rFont val="Calibri"/>
        <family val="2"/>
        <scheme val="minor"/>
      </rPr>
      <t>? 
[OPERATOR: MULTIPLE RESPONSES POSSIBLE.]
1)Own production
2)</t>
    </r>
    <r>
      <rPr>
        <sz val="12"/>
        <rFont val="Calibri (Body)"/>
      </rPr>
      <t xml:space="preserve">Local </t>
    </r>
    <r>
      <rPr>
        <sz val="12"/>
        <rFont val="Calibri"/>
        <family val="2"/>
        <scheme val="minor"/>
      </rPr>
      <t>market or agro-input shop/dealer
3)</t>
    </r>
    <r>
      <rPr>
        <sz val="12"/>
        <rFont val="Calibri (Body)"/>
      </rPr>
      <t xml:space="preserve">Private </t>
    </r>
    <r>
      <rPr>
        <sz val="12"/>
        <rFont val="Calibri"/>
        <family val="2"/>
        <scheme val="minor"/>
      </rPr>
      <t>seed company
4)</t>
    </r>
    <r>
      <rPr>
        <sz val="12"/>
        <rFont val="Calibri (Body)"/>
      </rPr>
      <t>NGOs</t>
    </r>
    <r>
      <rPr>
        <sz val="12"/>
        <rFont val="Calibri"/>
        <family val="2"/>
        <scheme val="minor"/>
      </rPr>
      <t xml:space="preserve">
5)Community seed banks / farmer networks / </t>
    </r>
    <r>
      <rPr>
        <sz val="12"/>
        <rFont val="Calibri (Body)"/>
      </rPr>
      <t xml:space="preserve">farmers' association / </t>
    </r>
    <r>
      <rPr>
        <sz val="12"/>
        <rFont val="Calibri"/>
        <family val="2"/>
        <scheme val="minor"/>
      </rPr>
      <t>etc.
6)Government [e.g. MoA]</t>
    </r>
    <r>
      <rPr>
        <strike/>
        <sz val="12"/>
        <rFont val="Calibri (Body)"/>
      </rPr>
      <t xml:space="preserve">
</t>
    </r>
    <r>
      <rPr>
        <sz val="12"/>
        <rFont val="Calibri (Body)"/>
      </rPr>
      <t>7)Relatives or friends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</si>
  <si>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 xml:space="preserve">What type of fishing activity does your household generally practice?
[OPERATOR: MULTIPLE RESPONSES </t>
    </r>
    <r>
      <rPr>
        <sz val="12"/>
        <rFont val="Calibri (Body)"/>
      </rPr>
      <t>POSSIBLE.</t>
    </r>
    <r>
      <rPr>
        <sz val="12"/>
        <rFont val="Calibri"/>
        <family val="2"/>
        <scheme val="minor"/>
      </rPr>
      <t>]
1)</t>
    </r>
    <r>
      <rPr>
        <sz val="12"/>
        <rFont val="Calibri (Body)"/>
      </rPr>
      <t xml:space="preserve">Near </t>
    </r>
    <r>
      <rPr>
        <sz val="12"/>
        <rFont val="Calibri"/>
        <family val="2"/>
        <scheme val="minor"/>
      </rPr>
      <t>coastal</t>
    </r>
    <r>
      <rPr>
        <sz val="12"/>
        <rFont val="Calibri (Body)"/>
      </rPr>
      <t>, delta, lagoon</t>
    </r>
    <r>
      <rPr>
        <sz val="12"/>
        <rFont val="Calibri"/>
        <family val="2"/>
        <scheme val="minor"/>
      </rPr>
      <t xml:space="preserve"> fishing
2)</t>
    </r>
    <r>
      <rPr>
        <sz val="12"/>
        <rFont val="Calibri (Body)"/>
      </rPr>
      <t>Offshore</t>
    </r>
    <r>
      <rPr>
        <sz val="12"/>
        <rFont val="Calibri"/>
        <family val="2"/>
        <scheme val="minor"/>
      </rPr>
      <t xml:space="preserve"> sea fishing
3)</t>
    </r>
    <r>
      <rPr>
        <sz val="12"/>
        <rFont val="Calibri (Body)"/>
      </rPr>
      <t xml:space="preserve">Freshwater </t>
    </r>
    <r>
      <rPr>
        <sz val="12"/>
        <rFont val="Calibri"/>
        <family val="2"/>
        <scheme val="minor"/>
      </rPr>
      <t>fishing [in lakes</t>
    </r>
    <r>
      <rPr>
        <sz val="12"/>
        <rFont val="Calibri (Body)"/>
      </rPr>
      <t>, reservoirs,</t>
    </r>
    <r>
      <rPr>
        <sz val="12"/>
        <rFont val="Calibri"/>
        <family val="2"/>
        <scheme val="minor"/>
      </rPr>
      <t xml:space="preserve"> ponds, rivers</t>
    </r>
    <r>
      <rPr>
        <sz val="12"/>
        <rFont val="Calibri (Body)"/>
      </rPr>
      <t>, or wetlands</t>
    </r>
    <r>
      <rPr>
        <sz val="12"/>
        <rFont val="Calibri"/>
        <family val="2"/>
        <scheme val="minor"/>
      </rPr>
      <t>]
4)Aquaculture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</si>
  <si>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household assets / goods</t>
    </r>
    <r>
      <rPr>
        <sz val="12"/>
        <rFont val="Calibri"/>
        <family val="2"/>
        <scheme val="minor"/>
      </rPr>
      <t xml:space="preserve">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</si>
  <si>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more animals [non-reproductive] than usual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</si>
  <si>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productive assets or means of transport</t>
    </r>
    <r>
      <rPr>
        <sz val="12"/>
        <rFont val="Calibri"/>
        <family val="2"/>
        <scheme val="minor"/>
      </rPr>
      <t xml:space="preserve">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</si>
  <si>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reduce expenses on health</t>
    </r>
    <r>
      <rPr>
        <sz val="12"/>
        <rFont val="Calibri"/>
        <family val="2"/>
        <scheme val="minor"/>
      </rPr>
      <t xml:space="preserve"> [including drugs] because of lack of food or money?
[OPERATOR: SINGLE RESPONSE]
1)Yes
2)No - because it wasn’t necessary
3)No - because you already sold those assets or did this activity within the last 12 months and you cannot continue to do it
4)Not applicable
5)DON'T KNOW 
6)REFUSED</t>
    </r>
  </si>
  <si>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harvest immature crops [e.g. green maize] to eat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</si>
  <si>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engage in illegal or degrading income activities</t>
    </r>
    <r>
      <rPr>
        <sz val="12"/>
        <rFont val="Calibri"/>
        <family val="2"/>
        <scheme val="minor"/>
      </rPr>
      <t xml:space="preserve"> [theft, prostitution] because of lack of food or money?
[OPERATOR: SINGLE RESPONSE]
1)Yes
2)No - because it wasn’t necessary
3)No - because you already sold those assets or did this activity within the last 12 months and you cannot continue to do it
4)Not applicable
5)DON'T KNOW 
6)REFUSED</t>
    </r>
  </si>
  <si>
    <r>
      <rPr>
        <sz val="12"/>
        <rFont val="Calibri (Body)"/>
      </rPr>
      <t>How does your fish catch [capture fishery] in the last 3 months [or last harvest] compare to the same period [harvest] last year?
[OPERATOR: SINGLE RESPONSE.]
1)A lot more [increased by more than 50%]
2)Slightly more</t>
    </r>
    <r>
      <rPr>
        <sz val="12"/>
        <rFont val="Calibri"/>
        <family val="2"/>
        <scheme val="minor"/>
      </rPr>
      <t xml:space="preserve">
</t>
    </r>
    <r>
      <rPr>
        <sz val="12"/>
        <rFont val="Calibri (Body)"/>
      </rPr>
      <t>3)Same</t>
    </r>
    <r>
      <rPr>
        <sz val="12"/>
        <rFont val="Calibri"/>
        <family val="2"/>
        <scheme val="minor"/>
      </rPr>
      <t xml:space="preserve">
</t>
    </r>
    <r>
      <rPr>
        <sz val="12"/>
        <rFont val="Calibri (Body)"/>
      </rPr>
      <t>4)Slightly less</t>
    </r>
    <r>
      <rPr>
        <sz val="12"/>
        <rFont val="Calibri"/>
        <family val="2"/>
        <scheme val="minor"/>
      </rPr>
      <t xml:space="preserve">
</t>
    </r>
    <r>
      <rPr>
        <sz val="12"/>
        <rFont val="Calibri (Body)"/>
      </rPr>
      <t>5)A lot less [less than half as much]
6)DON'T KNOW
7)REFUSED</t>
    </r>
  </si>
  <si>
    <r>
      <t>How often did this happen?
[OPERATOR: SINGLE RESPONSE]
1)Rarely</t>
    </r>
    <r>
      <rPr>
        <sz val="12"/>
        <rFont val="Calibri"/>
        <family val="2"/>
        <scheme val="minor"/>
      </rPr>
      <t xml:space="preserve"> [1-2 times in the past 30 days]</t>
    </r>
    <r>
      <rPr>
        <sz val="11"/>
        <rFont val="Calibri"/>
        <family val="2"/>
        <scheme val="minor"/>
      </rPr>
      <t xml:space="preserve">
2)Sometimes [</t>
    </r>
    <r>
      <rPr>
        <sz val="12"/>
        <rFont val="Calibri"/>
        <family val="2"/>
        <scheme val="minor"/>
      </rPr>
      <t>3-10 times in the past 30 days]</t>
    </r>
    <r>
      <rPr>
        <sz val="11"/>
        <rFont val="Calibri"/>
        <family val="2"/>
        <scheme val="minor"/>
      </rPr>
      <t xml:space="preserve">
3)Often</t>
    </r>
    <r>
      <rPr>
        <sz val="12"/>
        <rFont val="Calibri"/>
        <family val="2"/>
        <scheme val="minor"/>
      </rPr>
      <t xml:space="preserve"> [more than 10 times in the last 30 days]</t>
    </r>
    <r>
      <rPr>
        <sz val="11"/>
        <rFont val="Calibri"/>
        <family val="2"/>
        <scheme val="minor"/>
      </rPr>
      <t xml:space="preserve">
4)DON'T KNOW
5)REFUSED</t>
    </r>
  </si>
  <si>
    <r>
      <t xml:space="preserve">For future interviews, at what </t>
    </r>
    <r>
      <rPr>
        <b/>
        <sz val="12"/>
        <color theme="9" tint="-0.499984740745262"/>
        <rFont val="Calibri (Body)"/>
      </rPr>
      <t>time[s]</t>
    </r>
    <r>
      <rPr>
        <sz val="12"/>
        <color theme="9" tint="-0.499984740745262"/>
        <rFont val="Calibri (Body)"/>
      </rPr>
      <t xml:space="preserve"> can I call you?
[OPERATOR: MULTIPLE ANSWERS POSSIBLE.]
1)Mornings
2)Afternoons
3)Evenings</t>
    </r>
  </si>
  <si>
    <r>
      <t xml:space="preserve">For future interviews, in which </t>
    </r>
    <r>
      <rPr>
        <b/>
        <sz val="12"/>
        <color theme="9" tint="-0.499984740745262"/>
        <rFont val="Calibri"/>
        <family val="2"/>
        <scheme val="minor"/>
      </rPr>
      <t>day[s]</t>
    </r>
    <r>
      <rPr>
        <sz val="12"/>
        <color theme="9" tint="-0.499984740745262"/>
        <rFont val="Calibri"/>
        <family val="2"/>
        <scheme val="minor"/>
      </rPr>
      <t xml:space="preserve"> can I call you?
[OPERATOR: MULTIPLE ANSWERS POSSIBLE.]
1)Monday
2)Tuesday
3)Wednesday
4)Thursday
5)Friday
6)Saturday
7)Sunday</t>
    </r>
  </si>
  <si>
    <t>Codes</t>
  </si>
  <si>
    <t>1)hh_asset_prod_process
2)hh_asset_prod_farmmach
3)hh_asset_prod_sewing
4)hh_asset_prod_taxi
5)hh_asset_prod_truck
6)hh_asset_prod_other
7)hh_asset_prod_none
8)hh_asset_prod_dk
9)hh_asset_prod_ref</t>
  </si>
  <si>
    <t>1)hh_asset_transp_bici
2)hh_asset_transp_cart
3)hh_asset_transp_boat
4)hh_asset_transp_motorbike
5)hh_asset_transp_car
6)hh_asset_transp_van
7)hh_asset_transp_other
8)hh_asset_transp_none
9)hh_asset_transp_dk
10)hh_asset_transp_ref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</si>
  <si>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</si>
  <si>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1)covid_goodstransp
2)covid_marketclosed
3)covid_borderclosed
4)covid_stayhome
5)covid_gatherings
6)covid_processclosed
7)covid_curfew
8)covid_school
9)covid_other
10)covid_none
11)covid_dk
12)covid_ref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</si>
  <si>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</si>
  <si>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</si>
  <si>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</si>
  <si>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</si>
  <si>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</si>
  <si>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</si>
  <si>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</si>
  <si>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</si>
  <si>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1)ls_all_cattle
2)ls_all_goats
3)ls_all_sheep
4)ls_all_swine
5)ls_all_equine
6)ls_all_smallmammals
7)ls_all_poultry
8)ls_all_camelids
9)ls_all_other
10)ls_all_none
11)ls_all_dk
12)ls_all_ref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</si>
  <si>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</si>
  <si>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</si>
  <si>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</si>
  <si>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</si>
  <si>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</si>
  <si>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</si>
  <si>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</si>
  <si>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</si>
  <si>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Do you cultivate any other crops aside from {crp_main}, and if so which ones?
[OPERATOR: "No other crop" APPEARS AT THE END OF THE LIST OF OPTIONS. SELECT ALL CROPS LISTED BY THE RESPONDENT.]
1)No other crops
2)DON'T KNOW
3)REFUSED</t>
  </si>
  <si>
    <r>
      <t xml:space="preserve">Has your household's income from {income_main} changed in the last 3 months compared </t>
    </r>
    <r>
      <rPr>
        <sz val="12"/>
        <rFont val="Calibri (Body)"/>
      </rPr>
      <t>to the same period 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</si>
  <si>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Has your household's income from {income_sec} changed in the last 3 months compared to the same period </t>
    </r>
    <r>
      <rPr>
        <sz val="12"/>
        <rFont val="Calibri (Body)"/>
      </rPr>
      <t>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</si>
  <si>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Has your household's income from {income_third}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</si>
  <si>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How did the </t>
    </r>
    <r>
      <rPr>
        <b/>
        <sz val="12"/>
        <rFont val="Calibri"/>
        <family val="2"/>
        <scheme val="minor"/>
      </rPr>
      <t>area planted</t>
    </r>
    <r>
      <rPr>
        <sz val="12"/>
        <rFont val="Calibri"/>
        <family val="2"/>
        <scheme val="minor"/>
      </rPr>
      <t xml:space="preserve"> for {crp_main} from </t>
    </r>
    <r>
      <rPr>
        <b/>
        <sz val="12"/>
        <color rgb="FF7030A0"/>
        <rFont val="Calibri"/>
        <family val="2"/>
        <scheme val="minor"/>
      </rPr>
      <t>$season$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</si>
  <si>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How does the </t>
    </r>
    <r>
      <rPr>
        <b/>
        <sz val="12"/>
        <color rgb="FF7030A0"/>
        <rFont val="Calibri"/>
        <family val="2"/>
        <scheme val="minor"/>
      </rPr>
      <t>$expected or nothing$</t>
    </r>
    <r>
      <rPr>
        <b/>
        <sz val="12"/>
        <rFont val="Calibri"/>
        <family val="2"/>
        <scheme val="minor"/>
      </rPr>
      <t xml:space="preserve"> harvest</t>
    </r>
    <r>
      <rPr>
        <sz val="12"/>
        <rFont val="Calibri"/>
        <family val="2"/>
        <scheme val="minor"/>
      </rPr>
      <t xml:space="preserve"> of {crp_main} in the</t>
    </r>
    <r>
      <rPr>
        <b/>
        <sz val="12"/>
        <color rgb="FF7030A0"/>
        <rFont val="Calibri"/>
        <family val="2"/>
        <scheme val="minor"/>
      </rPr>
      <t xml:space="preserve"> $season$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</si>
  <si>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How much [threshed] {crp_main} </t>
    </r>
    <r>
      <rPr>
        <sz val="12"/>
        <color theme="1"/>
        <rFont val="Calibri"/>
        <family val="2"/>
        <scheme val="minor"/>
      </rPr>
      <t xml:space="preserve">did you </t>
    </r>
    <r>
      <rPr>
        <sz val="12"/>
        <rFont val="Calibri"/>
        <family val="2"/>
        <scheme val="minor"/>
      </rPr>
      <t>harvest this</t>
    </r>
    <r>
      <rPr>
        <b/>
        <sz val="12"/>
        <color rgb="FF7030A0"/>
        <rFont val="Calibri"/>
        <family val="2"/>
        <scheme val="minor"/>
      </rPr>
      <t xml:space="preserve"> $season$</t>
    </r>
    <r>
      <rPr>
        <sz val="12"/>
        <rFont val="Calibri"/>
        <family val="2"/>
        <scheme val="minor"/>
      </rPr>
      <t>?</t>
    </r>
    <r>
      <rPr>
        <b/>
        <sz val="12"/>
        <rFont val="Calibri"/>
        <family val="2"/>
        <scheme val="minor"/>
      </rPr>
      <t xml:space="preserve">
</t>
    </r>
    <r>
      <rPr>
        <sz val="12"/>
        <rFont val="Calibri"/>
        <family val="2"/>
        <scheme val="minor"/>
      </rPr>
      <t xml:space="preserve">
[OPERATOR: RECORD THE RESPONSE GIVEN. UNIT OF MEASUREMENT TO BE SPECIFIED IN NEXT QUESTION. ENTER </t>
    </r>
    <r>
      <rPr>
        <b/>
        <sz val="12"/>
        <rFont val="Calibri"/>
        <family val="2"/>
        <scheme val="minor"/>
      </rPr>
      <t>8888888</t>
    </r>
    <r>
      <rPr>
        <sz val="12"/>
        <rFont val="Calibri"/>
        <family val="2"/>
        <scheme val="minor"/>
      </rPr>
      <t xml:space="preserve"> FOR DON'T KNOW &amp; </t>
    </r>
    <r>
      <rPr>
        <b/>
        <sz val="12"/>
        <rFont val="Calibri"/>
        <family val="2"/>
        <scheme val="minor"/>
      </rPr>
      <t>9999999</t>
    </r>
    <r>
      <rPr>
        <sz val="12"/>
        <rFont val="Calibri"/>
        <family val="2"/>
        <scheme val="minor"/>
      </rPr>
      <t xml:space="preserve"> FOR REFUSED, TO BE USED RARELY - PROBE!]</t>
    </r>
  </si>
  <si>
    <r>
      <t xml:space="preserve">Last year, what proportion of your {crp_main} stock did you lose [to pests, rotting, mould, etc.] </t>
    </r>
    <r>
      <rPr>
        <sz val="12"/>
        <rFont val="Calibri (Body)"/>
      </rPr>
      <t>after the harvest</t>
    </r>
    <r>
      <rPr>
        <sz val="12"/>
        <rFont val="Calibri"/>
        <family val="2"/>
        <scheme val="minor"/>
      </rPr>
      <t>?
[OPERATOR: SINGLE RESPONSE.]
1)None
2)A little
3)An important part of it, but less than half
4)Most of it [half or more]
5)Almost everything 
6)Everything
7)DON'T KNOW
8)REFUSED</t>
    </r>
  </si>
  <si>
    <r>
      <t xml:space="preserve">How does the current price of your household's {crp_salesmain}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</si>
  <si>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</si>
  <si>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</si>
  <si>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Do you own any other livestock aside from {ls_main}, and if so which ones?
[OPERATOR: "No other livestock" APPEARS AT THE END OF THE LIST OF OPTIONS. SELECT ALL ANIMALS LISTED BY THE RESPONDENT.]
1)No other livestock
2)DON'T KNOW
3)REFUSED</t>
  </si>
  <si>
    <r>
      <t xml:space="preserve">How does the current price of your household's {ls_salesmain} compare to the average price in the same period of </t>
    </r>
    <r>
      <rPr>
        <b/>
        <sz val="12"/>
        <color rgb="FF7030A0"/>
        <rFont val="Calibri"/>
        <family val="2"/>
        <scheme val="minor"/>
      </rPr>
      <t>$</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</si>
  <si>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t>Thank you, we will call you back at {WhenCallBack} you requested. Thank you again and have a great day!
[OPERATOR: ENTER CALL NOTES BELOW, WHO YOU SPOKE TO AND WHAT THEY SAID]</t>
  </si>
  <si>
    <t>How many {crp_harv_unit} of [threshed] {crp_main} did you harvest last year during the same season?
[OPERATOR: RECORD THE RESPONSE GIVEN. ENTER 8888888 FOR DON'T KNOW &amp; 9999999 FOR REFUSED, TO BE USED RARELY - PROBE!]</t>
  </si>
  <si>
    <r>
      <t xml:space="preserve">Is the </t>
    </r>
    <r>
      <rPr>
        <b/>
        <sz val="12"/>
        <color theme="9" tint="-0.499984740745262"/>
        <rFont val="Calibri (Body)"/>
      </rPr>
      <t>phone number</t>
    </r>
    <r>
      <rPr>
        <sz val="12"/>
        <color theme="9" tint="-0.499984740745262"/>
        <rFont val="Calibri (Body)"/>
      </rPr>
      <t xml:space="preserve"> I am calling you on yours or a household members?
[OPERATOR: SINGLE RESPONSE.]
1)YES
2)NO
3)DON'T KNOW
4)REFUSED</t>
    </r>
  </si>
  <si>
    <r>
      <t xml:space="preserve">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or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t>
    </r>
    <r>
      <rPr>
        <sz val="12"/>
        <rFont val="Calibri (Body)"/>
      </rPr>
      <t>/ debt</t>
    </r>
    <r>
      <rPr>
        <sz val="12"/>
        <rFont val="Calibri"/>
        <family val="2"/>
        <scheme val="minor"/>
      </rPr>
      <t xml:space="preserve">
</t>
    </r>
    <r>
      <rPr>
        <sz val="12"/>
        <rFont val="Calibri (Body)"/>
      </rPr>
      <t>20</t>
    </r>
    <r>
      <rPr>
        <sz val="12"/>
        <rFont val="Calibri"/>
        <family val="2"/>
        <scheme val="minor"/>
      </rPr>
      <t>)REFUSED</t>
    </r>
  </si>
  <si>
    <t>Who controls the revenue that is earned from this source? 
[OPERATOR: SINGLE RESPONSE.]
1)Male household member[s]
2)Female household member[s]
3)Joint household members [both female &amp; male]
4)DON'T KNOW
5)REFUSED</t>
  </si>
  <si>
    <r>
      <t xml:space="preserve">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or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r>
  </si>
  <si>
    <r>
      <t xml:space="preserve">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and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r>
  </si>
  <si>
    <r>
      <t xml:space="preserve">Have you or anyone in your household been affected by movement restrictions or social distancing measures aimed at containing COVID-19 in the last 3 months?
[OPERATOR: MULTIPLE RESPONSES POSSIBLE.]
1)Movement restrictions [sometimes producing product scarcity or price hikes]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t>
    </r>
    <r>
      <rPr>
        <sz val="12"/>
        <rFont val="Calibri (Body)"/>
      </rPr>
      <t>7)Curfews
8)Closure of schools
9</t>
    </r>
    <r>
      <rPr>
        <sz val="12"/>
        <rFont val="Calibri"/>
        <family val="2"/>
        <scheme val="minor"/>
      </rPr>
      <t xml:space="preserve">)Other [specify]
</t>
    </r>
    <r>
      <rPr>
        <sz val="12"/>
        <rFont val="Calibri (Body)"/>
      </rPr>
      <t>10</t>
    </r>
    <r>
      <rPr>
        <sz val="12"/>
        <rFont val="Calibri"/>
        <family val="2"/>
        <scheme val="minor"/>
      </rPr>
      <t xml:space="preserve">)Not affected by restrictions
</t>
    </r>
    <r>
      <rPr>
        <sz val="12"/>
        <rFont val="Calibri (Body)"/>
      </rPr>
      <t>11</t>
    </r>
    <r>
      <rPr>
        <sz val="12"/>
        <rFont val="Calibri"/>
        <family val="2"/>
        <scheme val="minor"/>
      </rPr>
      <t xml:space="preserve">)DON'T KNOW
</t>
    </r>
    <r>
      <rPr>
        <sz val="12"/>
        <rFont val="Calibri (Body)"/>
      </rPr>
      <t>12</t>
    </r>
    <r>
      <rPr>
        <sz val="12"/>
        <rFont val="Calibri"/>
        <family val="2"/>
        <scheme val="minor"/>
      </rPr>
      <t>)REFUSED</t>
    </r>
  </si>
  <si>
    <t>Unit of measurement for harvested {crp_main} :
[OPERATOR: SINGLE SELECTION]
1)Kilograms [kgs]
2)Tonnes
3)Ounces
4)Pounds
5)Bags
6)Boxes
7)Bundles
8)Packets
9)Other [specify]</t>
  </si>
  <si>
    <r>
      <t xml:space="preserve">Has your household faced any </t>
    </r>
    <r>
      <rPr>
        <sz val="12"/>
        <rFont val="Calibri (Body)"/>
      </rPr>
      <t xml:space="preserve">significant </t>
    </r>
    <r>
      <rPr>
        <sz val="12"/>
        <rFont val="Calibri"/>
        <family val="2"/>
        <scheme val="minor"/>
      </rPr>
      <t>difficulty in the last 3 months selling your {ls_salesmain}?
[OPERATOR: SINGLE RESPONSE.]
1)YES
2)NO
3)DON'T KNOW
4)REFUSED</t>
    </r>
  </si>
  <si>
    <r>
      <t>Which fishing [</t>
    </r>
    <r>
      <rPr>
        <sz val="12"/>
        <rFont val="Calibri (Body)"/>
      </rPr>
      <t>culture] input</t>
    </r>
    <r>
      <rPr>
        <sz val="12"/>
        <rFont val="Calibri"/>
        <family val="2"/>
        <scheme val="minor"/>
      </rPr>
      <t xml:space="preserve"> material has your household had difficulties accessing in the last 3 months?
[OPERATOR: MULTIPLE RESPONSE</t>
    </r>
    <r>
      <rPr>
        <sz val="12"/>
        <rFont val="Calibri (Body)"/>
      </rPr>
      <t xml:space="preserve"> </t>
    </r>
    <r>
      <rPr>
        <sz val="12"/>
        <rFont val="Calibri"/>
        <family val="2"/>
        <scheme val="minor"/>
      </rPr>
      <t>POSSIBLE.]
1)</t>
    </r>
    <r>
      <rPr>
        <sz val="12"/>
        <rFont val="Calibri (Body)"/>
      </rPr>
      <t>Feed or bait</t>
    </r>
    <r>
      <rPr>
        <sz val="12"/>
        <rFont val="Calibri"/>
        <family val="2"/>
        <scheme val="minor"/>
      </rPr>
      <t xml:space="preserve">
</t>
    </r>
    <r>
      <rPr>
        <sz val="12"/>
        <rFont val="Calibri (Body)"/>
      </rPr>
      <t>2)Fingerlings</t>
    </r>
    <r>
      <rPr>
        <sz val="12"/>
        <rFont val="Calibri"/>
        <family val="2"/>
        <scheme val="minor"/>
      </rPr>
      <t xml:space="preserve">
</t>
    </r>
    <r>
      <rPr>
        <sz val="12"/>
        <rFont val="Calibri (Body)"/>
      </rPr>
      <t>3)Fishing g</t>
    </r>
    <r>
      <rPr>
        <sz val="12"/>
        <rFont val="Calibri"/>
        <family val="2"/>
        <scheme val="minor"/>
      </rPr>
      <t xml:space="preserve">ear </t>
    </r>
    <r>
      <rPr>
        <sz val="12"/>
        <rFont val="Calibri (Body)"/>
      </rPr>
      <t>[e.g. rods, hooks, nets]</t>
    </r>
    <r>
      <rPr>
        <sz val="12"/>
        <rFont val="Calibri"/>
        <family val="2"/>
        <scheme val="minor"/>
      </rPr>
      <t xml:space="preserve">
4)Ice
5)Fuel
6)</t>
    </r>
    <r>
      <rPr>
        <sz val="12"/>
        <rFont val="Calibri (Body)"/>
      </rPr>
      <t>Equipment</t>
    </r>
    <r>
      <rPr>
        <sz val="12"/>
        <rFont val="Calibri"/>
        <family val="2"/>
        <scheme val="minor"/>
      </rPr>
      <t xml:space="preserve"> repairs </t>
    </r>
    <r>
      <rPr>
        <sz val="12"/>
        <rFont val="Calibri (Body)"/>
      </rPr>
      <t>[including boats]</t>
    </r>
    <r>
      <rPr>
        <sz val="12"/>
        <rFont val="Calibri"/>
        <family val="2"/>
        <scheme val="minor"/>
      </rPr>
      <t xml:space="preserve"> </t>
    </r>
    <r>
      <rPr>
        <sz val="12"/>
        <rFont val="Calibri (Body)"/>
      </rPr>
      <t>or spare parts
7)Labour</t>
    </r>
    <r>
      <rPr>
        <sz val="12"/>
        <rFont val="Calibri"/>
        <family val="2"/>
        <scheme val="minor"/>
      </rPr>
      <t xml:space="preserve">
</t>
    </r>
    <r>
      <rPr>
        <sz val="12"/>
        <rFont val="Calibri (Body)"/>
      </rPr>
      <t>8)</t>
    </r>
    <r>
      <rPr>
        <sz val="12"/>
        <rFont val="Calibri"/>
        <family val="2"/>
        <scheme val="minor"/>
      </rPr>
      <t>Other [</t>
    </r>
    <r>
      <rPr>
        <sz val="12"/>
        <rFont val="Calibri (Body)"/>
      </rPr>
      <t>specify</t>
    </r>
    <r>
      <rPr>
        <sz val="12"/>
        <rFont val="Calibri"/>
        <family val="2"/>
        <scheme val="minor"/>
      </rPr>
      <t xml:space="preser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</si>
  <si>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What was</t>
    </r>
    <r>
      <rPr>
        <sz val="12"/>
        <rFont val="Calibri (Body)"/>
      </rPr>
      <t xml:space="preserve"> </t>
    </r>
    <r>
      <rPr>
        <sz val="12"/>
        <rFont val="Calibri"/>
        <family val="2"/>
        <scheme val="minor"/>
      </rPr>
      <t xml:space="preserve">the main fish product </t>
    </r>
    <r>
      <rPr>
        <sz val="12"/>
        <rFont val="Calibri (Body)"/>
      </rPr>
      <t xml:space="preserve">sold by </t>
    </r>
    <r>
      <rPr>
        <sz val="12"/>
        <rFont val="Calibri"/>
        <family val="2"/>
        <scheme val="minor"/>
      </rPr>
      <t xml:space="preserve">your household </t>
    </r>
    <r>
      <rPr>
        <sz val="12"/>
        <rFont val="Calibri (Body)"/>
      </rPr>
      <t>in the last 3 months</t>
    </r>
    <r>
      <rPr>
        <sz val="12"/>
        <rFont val="Calibri"/>
        <family val="2"/>
        <scheme val="minor"/>
      </rPr>
      <t>?
[OPERATOR: SINGLE RESPONSE.]
1)Fresh fish [any kind</t>
    </r>
    <r>
      <rPr>
        <sz val="12"/>
        <rFont val="Calibri (Body)"/>
      </rPr>
      <t>, including invertebrates</t>
    </r>
    <r>
      <rPr>
        <sz val="12"/>
        <rFont val="Calibri"/>
        <family val="2"/>
        <scheme val="minor"/>
      </rPr>
      <t>]
2)</t>
    </r>
    <r>
      <rPr>
        <sz val="12"/>
        <rFont val="Calibri (Body)"/>
      </rPr>
      <t>Preserved</t>
    </r>
    <r>
      <rPr>
        <sz val="12"/>
        <rFont val="Calibri"/>
        <family val="2"/>
        <scheme val="minor"/>
      </rPr>
      <t xml:space="preserve"> </t>
    </r>
    <r>
      <rPr>
        <sz val="12"/>
        <rFont val="Calibri (Body)"/>
      </rPr>
      <t>fish</t>
    </r>
    <r>
      <rPr>
        <sz val="12"/>
        <rFont val="Calibri"/>
        <family val="2"/>
        <scheme val="minor"/>
      </rPr>
      <t xml:space="preserve"> [</t>
    </r>
    <r>
      <rPr>
        <sz val="12"/>
        <rFont val="Calibri (Body)"/>
      </rPr>
      <t>including dry fish, smoked fish, fermented fish, salt fish</t>
    </r>
    <r>
      <rPr>
        <sz val="12"/>
        <rFont val="Calibri"/>
        <family val="2"/>
        <scheme val="minor"/>
      </rPr>
      <t xml:space="preserve">]
</t>
    </r>
    <r>
      <rPr>
        <sz val="12"/>
        <rFont val="Calibri (Body)"/>
      </rPr>
      <t>3)Frozen fish
4)Canned fish</t>
    </r>
    <r>
      <rPr>
        <sz val="12"/>
        <rFont val="Calibri"/>
        <family val="2"/>
        <scheme val="minor"/>
      </rPr>
      <t xml:space="preserve">
</t>
    </r>
    <r>
      <rPr>
        <sz val="12"/>
        <rFont val="Calibri (Body)"/>
      </rPr>
      <t>5</t>
    </r>
    <r>
      <rPr>
        <sz val="12"/>
        <rFont val="Calibri"/>
        <family val="2"/>
        <scheme val="minor"/>
      </rPr>
      <t xml:space="preserve">)Other [specify]
</t>
    </r>
    <r>
      <rPr>
        <sz val="12"/>
        <rFont val="Calibri (Body)"/>
      </rPr>
      <t>6</t>
    </r>
    <r>
      <rPr>
        <sz val="12"/>
        <rFont val="Calibri"/>
        <family val="2"/>
        <scheme val="minor"/>
      </rPr>
      <t xml:space="preserve">)DON'T KNOW
</t>
    </r>
    <r>
      <rPr>
        <sz val="12"/>
        <rFont val="Calibri (Body)"/>
      </rPr>
      <t>7</t>
    </r>
    <r>
      <rPr>
        <sz val="12"/>
        <rFont val="Calibri"/>
        <family val="2"/>
        <scheme val="minor"/>
      </rPr>
      <t>)REFUSED</t>
    </r>
  </si>
  <si>
    <r>
      <t>Has your household faced any</t>
    </r>
    <r>
      <rPr>
        <sz val="12"/>
        <rFont val="Calibri (Body)"/>
      </rPr>
      <t xml:space="preserve"> significant</t>
    </r>
    <r>
      <rPr>
        <sz val="12"/>
        <rFont val="Calibri"/>
        <family val="2"/>
        <scheme val="minor"/>
      </rPr>
      <t xml:space="preserve"> difficulty</t>
    </r>
    <r>
      <rPr>
        <sz val="12"/>
        <rFont val="Calibri (Body)"/>
      </rPr>
      <t xml:space="preserve"> marketing / selling</t>
    </r>
    <r>
      <rPr>
        <sz val="12"/>
        <rFont val="Calibri"/>
        <family val="2"/>
        <scheme val="minor"/>
      </rPr>
      <t xml:space="preserve"> your</t>
    </r>
    <r>
      <rPr>
        <sz val="12"/>
        <rFont val="Calibri (Body)"/>
      </rPr>
      <t xml:space="preserve"> {fish_salesmain} in the last 3 months</t>
    </r>
    <r>
      <rPr>
        <sz val="12"/>
        <rFont val="Calibri"/>
        <family val="2"/>
        <scheme val="minor"/>
      </rPr>
      <t>?
[OPERATOR: SINGLE RESPONSE]
1)YES
2)NO
3)DON'T KNOW
4)REFUSED</t>
    </r>
  </si>
  <si>
    <r>
      <t xml:space="preserve">Has your household faced any </t>
    </r>
    <r>
      <rPr>
        <sz val="12"/>
        <rFont val="Calibri (Body)"/>
      </rPr>
      <t xml:space="preserve">significant </t>
    </r>
    <r>
      <rPr>
        <sz val="12"/>
        <rFont val="Calibri"/>
        <family val="2"/>
        <scheme val="minor"/>
      </rPr>
      <t>difficulty in the last 3 months</t>
    </r>
    <r>
      <rPr>
        <b/>
        <sz val="12"/>
        <rFont val="Calibri"/>
        <family val="2"/>
        <scheme val="minor"/>
      </rPr>
      <t xml:space="preserve"> selling </t>
    </r>
    <r>
      <rPr>
        <sz val="12"/>
        <rFont val="Calibri"/>
        <family val="2"/>
        <scheme val="minor"/>
      </rPr>
      <t>your {crp_salesmain}?
[OPERATOR: SINGLE RESPONSE.]
1)YES
2)NO
3)DON'T KNOW
4)REFUSED</t>
    </r>
  </si>
  <si>
    <r>
      <t>Which difficulties has your household faced in the last 3 months selling your {</t>
    </r>
    <r>
      <rPr>
        <sz val="12"/>
        <rFont val="Calibri (Body)"/>
      </rPr>
      <t>crp_salesmain}</t>
    </r>
    <r>
      <rPr>
        <sz val="12"/>
        <rFont val="Calibri"/>
        <family val="2"/>
        <scheme val="minor"/>
      </rPr>
      <t xml:space="preserve">?
[OPERATOR: MULTIPLE RESPONSES POSSIBLE. SELECT OPTION(S) THAT BEST FIT THE INFORMATION PROVIDED BY THE RESPONDENTS.]
1)High </t>
    </r>
    <r>
      <rPr>
        <sz val="12"/>
        <rFont val="Calibri (Body)"/>
      </rPr>
      <t xml:space="preserve">transportation or other </t>
    </r>
    <r>
      <rPr>
        <sz val="12"/>
        <rFont val="Calibri"/>
        <family val="2"/>
        <scheme val="minor"/>
      </rPr>
      <t xml:space="preserve">marketing costs
</t>
    </r>
    <r>
      <rPr>
        <sz val="12"/>
        <rFont val="Calibri (Body)"/>
      </rPr>
      <t>2)Damages and losses due to storage difficulties and/or difficulty accessing the market [e.g. insecurity, poor infrastructure, etc.]</t>
    </r>
    <r>
      <rPr>
        <sz val="12"/>
        <rFont val="Calibri"/>
        <family val="2"/>
        <scheme val="minor"/>
      </rPr>
      <t xml:space="preserve">
3)</t>
    </r>
    <r>
      <rPr>
        <sz val="12"/>
        <rFont val="Calibri (Body)"/>
      </rPr>
      <t>Lack of demand from u</t>
    </r>
    <r>
      <rPr>
        <sz val="12"/>
        <rFont val="Calibri"/>
        <family val="2"/>
        <scheme val="minor"/>
      </rPr>
      <t>sual traders or buyers</t>
    </r>
    <r>
      <rPr>
        <strike/>
        <sz val="12"/>
        <rFont val="Calibri (Body)"/>
      </rPr>
      <t xml:space="preserve">
</t>
    </r>
    <r>
      <rPr>
        <sz val="12"/>
        <rFont val="Calibri (Body)"/>
      </rPr>
      <t>4)Payment delays from traders / buyers</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)Difficulty processing product [lack of processing inputs / equipment / etc]
</t>
    </r>
    <r>
      <rPr>
        <sz val="12"/>
        <rFont val="Calibri (Body)"/>
      </rPr>
      <t>7</t>
    </r>
    <r>
      <rPr>
        <sz val="12"/>
        <rFont val="Calibri"/>
        <family val="2"/>
        <scheme val="minor"/>
      </rPr>
      <t>)</t>
    </r>
    <r>
      <rPr>
        <sz val="12"/>
        <rFont val="Calibri (Body)"/>
      </rPr>
      <t>Market flooded with products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</si>
  <si>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rPr>
        <sz val="12"/>
        <rFont val="Calibri (Body)"/>
      </rPr>
      <t xml:space="preserve">Which </t>
    </r>
    <r>
      <rPr>
        <sz val="12"/>
        <rFont val="Calibri"/>
        <family val="2"/>
        <scheme val="minor"/>
      </rPr>
      <t xml:space="preserve">difficulties </t>
    </r>
    <r>
      <rPr>
        <sz val="12"/>
        <rFont val="Calibri (Body)"/>
      </rPr>
      <t xml:space="preserve">has </t>
    </r>
    <r>
      <rPr>
        <sz val="12"/>
        <rFont val="Calibri"/>
        <family val="2"/>
        <scheme val="minor"/>
      </rPr>
      <t xml:space="preserve">your household faced </t>
    </r>
    <r>
      <rPr>
        <sz val="12"/>
        <rFont val="Calibri (Body)"/>
      </rPr>
      <t>in the last 3 months selling your</t>
    </r>
    <r>
      <rPr>
        <sz val="12"/>
        <rFont val="Calibri"/>
        <family val="2"/>
        <scheme val="minor"/>
      </rPr>
      <t xml:space="preserve"> {fish_salesmain}?
[OPERATOR: MULTIPLE RESPONSES POSSIBLE. SELECT OPTION(S) THAT BEST FIT THE INFORMATION PROVIDED BY THE RESPONDENTS.]
1)</t>
    </r>
    <r>
      <rPr>
        <sz val="12"/>
        <rFont val="Calibri (Body)"/>
      </rPr>
      <t>High transportation or other marketing costs</t>
    </r>
    <r>
      <rPr>
        <sz val="12"/>
        <rFont val="Calibri"/>
        <family val="2"/>
        <scheme val="minor"/>
      </rPr>
      <t xml:space="preserve">
2)</t>
    </r>
    <r>
      <rPr>
        <sz val="12"/>
        <rFont val="Calibri (Body)"/>
      </rPr>
      <t>Deterioration</t>
    </r>
    <r>
      <rPr>
        <sz val="12"/>
        <rFont val="Calibri"/>
        <family val="2"/>
        <scheme val="minor"/>
      </rPr>
      <t xml:space="preserve"> and losses due to </t>
    </r>
    <r>
      <rPr>
        <sz val="12"/>
        <rFont val="Calibri (Body)"/>
      </rPr>
      <t>storage difficulties or</t>
    </r>
    <r>
      <rPr>
        <sz val="12"/>
        <rFont val="Calibri"/>
        <family val="2"/>
        <scheme val="minor"/>
      </rPr>
      <t xml:space="preserve"> delay</t>
    </r>
    <r>
      <rPr>
        <sz val="12"/>
        <rFont val="Calibri (Body)"/>
      </rPr>
      <t>s</t>
    </r>
    <r>
      <rPr>
        <sz val="12"/>
        <rFont val="Calibri"/>
        <family val="2"/>
        <scheme val="minor"/>
      </rPr>
      <t xml:space="preserve"> or inability to physically access markets
3)</t>
    </r>
    <r>
      <rPr>
        <sz val="12"/>
        <rFont val="Calibri (Body)"/>
      </rPr>
      <t>Lack of demand from u</t>
    </r>
    <r>
      <rPr>
        <sz val="12"/>
        <rFont val="Calibri"/>
        <family val="2"/>
        <scheme val="minor"/>
      </rPr>
      <t xml:space="preserve">sual </t>
    </r>
    <r>
      <rPr>
        <sz val="12"/>
        <rFont val="Calibri (Body)"/>
      </rPr>
      <t>buyers/</t>
    </r>
    <r>
      <rPr>
        <sz val="12"/>
        <rFont val="Calibri"/>
        <family val="2"/>
        <scheme val="minor"/>
      </rPr>
      <t>traders
4)</t>
    </r>
    <r>
      <rPr>
        <sz val="12"/>
        <rFont val="Calibri (Body)"/>
      </rPr>
      <t xml:space="preserve">Payment delays from traders/buyers </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)Difficulties processing product [lack of access to processing inputs / equipment / etc]
</t>
    </r>
    <r>
      <rPr>
        <sz val="12"/>
        <rFont val="Calibri (Body)"/>
      </rPr>
      <t>7)Market flooded with product</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</si>
  <si>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move children to less expensive schools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</si>
  <si>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a house or land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</si>
  <si>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your last female animals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</si>
  <si>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Now I would like to ask you a set of questions on food consumption, referring to the </t>
    </r>
    <r>
      <rPr>
        <u/>
        <sz val="12"/>
        <color theme="1"/>
        <rFont val="Calibri"/>
        <family val="2"/>
        <scheme val="minor"/>
      </rPr>
      <t>24 hours of yesterday</t>
    </r>
    <r>
      <rPr>
        <sz val="12"/>
        <color theme="1"/>
        <rFont val="Calibri"/>
        <family val="2"/>
        <scheme val="minor"/>
      </rPr>
      <t>.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r>
  </si>
  <si>
    <r>
      <t xml:space="preserve">Form Type - TextBox
</t>
    </r>
    <r>
      <rPr>
        <sz val="12"/>
        <rFont val="Calibri (Body)"/>
      </rPr>
      <t>IsCallBackDemographic</t>
    </r>
  </si>
  <si>
    <t>[OPERATOR: DO NOT READ. ANSWER QUESTION BELOW.]
THIS RESPONDENT REPORTED THEY LIVE IN:
{ADM1}
{ADM2}
1)THE GOAL FOR THIS LOCATION HAS BEEN ACHIEVED - END SURVEY
2)THE GOAL FOR THIS LOCATION IS OPEN - CONTINUE SURVEY</t>
  </si>
  <si>
    <t>1 = End Poll Quota Reached
2 = hh_agricactivity</t>
  </si>
  <si>
    <t>Form Type - Checklist 
1,26,27 = IsNone</t>
  </si>
  <si>
    <r>
      <rPr>
        <sz val="12"/>
        <rFont val="Calibri (Body)"/>
      </rPr>
      <t>Where do you normally and mainly obtain water for the production of</t>
    </r>
    <r>
      <rPr>
        <sz val="12"/>
        <rFont val="Calibri"/>
        <family val="2"/>
        <scheme val="minor"/>
      </rPr>
      <t xml:space="preserve"> {crp_main}? 
[OPERATOR: SINGLE RESPONSE.]
1)Rainfed
</t>
    </r>
    <r>
      <rPr>
        <sz val="12"/>
        <rFont val="Calibri (Body)"/>
      </rPr>
      <t>2)Groundwater
3)Natural surface water [river / lake / stream / pond / etc.]
4)Constructed water point [canal / dam / etc.]
5)Public water supply system [e.g. tap water]</t>
    </r>
    <r>
      <rPr>
        <sz val="12"/>
        <rFont val="Calibri"/>
        <family val="2"/>
        <scheme val="minor"/>
      </rPr>
      <t xml:space="preserve">
</t>
    </r>
    <r>
      <rPr>
        <sz val="12"/>
        <rFont val="Calibri (Body)"/>
      </rPr>
      <t>6</t>
    </r>
    <r>
      <rPr>
        <sz val="12"/>
        <rFont val="Calibri"/>
        <family val="2"/>
        <scheme val="minor"/>
      </rPr>
      <t xml:space="preserve">)Other [specify]
</t>
    </r>
    <r>
      <rPr>
        <sz val="12"/>
        <rFont val="Calibri (Body)"/>
      </rPr>
      <t>7</t>
    </r>
    <r>
      <rPr>
        <sz val="12"/>
        <rFont val="Calibri"/>
        <family val="2"/>
        <scheme val="minor"/>
      </rPr>
      <t xml:space="preserve">)DON'T KNOW
</t>
    </r>
    <r>
      <rPr>
        <sz val="12"/>
        <rFont val="Calibri (Body)"/>
      </rPr>
      <t>8</t>
    </r>
    <r>
      <rPr>
        <sz val="12"/>
        <rFont val="Calibri"/>
        <family val="2"/>
        <scheme val="minor"/>
      </rPr>
      <t>)REFUSED</t>
    </r>
  </si>
  <si>
    <r>
      <rPr>
        <sz val="12"/>
        <rFont val="Calibri (Body)"/>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t>
    </r>
    <r>
      <rPr>
        <sz val="12"/>
        <color rgb="FFFF0000"/>
        <rFont val="Calibri"/>
        <family val="2"/>
        <scheme val="minor"/>
      </rPr>
      <t xml:space="preserve"> </t>
    </r>
    <r>
      <rPr>
        <sz val="12"/>
        <color theme="4"/>
        <rFont val="Calibri (Body)"/>
      </rPr>
      <t>crp_area_change.</t>
    </r>
  </si>
  <si>
    <r>
      <t xml:space="preserve">if </t>
    </r>
    <r>
      <rPr>
        <i/>
        <sz val="12"/>
        <rFont val="Calibri"/>
        <family val="2"/>
        <scheme val="minor"/>
      </rPr>
      <t>callback</t>
    </r>
    <r>
      <rPr>
        <sz val="12"/>
        <rFont val="Calibri"/>
        <family val="2"/>
        <scheme val="minor"/>
      </rPr>
      <t xml:space="preserve"> = 1, go to leader_contact
if 2, go to </t>
    </r>
    <r>
      <rPr>
        <i/>
        <sz val="12"/>
        <rFont val="Calibri"/>
        <family val="2"/>
        <scheme val="minor"/>
      </rPr>
      <t>language2</t>
    </r>
  </si>
  <si>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</si>
  <si>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</si>
  <si>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r>
      <t>Does your household own any of the following producti</t>
    </r>
    <r>
      <rPr>
        <sz val="12"/>
        <rFont val="Calibri (Body)"/>
      </rPr>
      <t>ve</t>
    </r>
    <r>
      <rPr>
        <sz val="12"/>
        <rFont val="Calibri"/>
        <family val="2"/>
        <scheme val="minor"/>
      </rPr>
      <t xml:space="preserve"> assets? 
[OPERATOR: MULTIPLE RESPONSES </t>
    </r>
    <r>
      <rPr>
        <sz val="12"/>
        <rFont val="Calibri (Body)"/>
      </rPr>
      <t>POSSIBLE</t>
    </r>
    <r>
      <rPr>
        <sz val="12"/>
        <rFont val="Calibri"/>
        <family val="2"/>
        <scheme val="minor"/>
      </rPr>
      <t xml:space="preserve">. READ ANSWER OPTIONS OUT LOUD.]
</t>
    </r>
    <r>
      <rPr>
        <sz val="12"/>
        <rFont val="Calibri (Body)"/>
      </rPr>
      <t>1)Processing assets [e.g. grinding/crushing machine, mill, oil press]</t>
    </r>
    <r>
      <rPr>
        <sz val="12"/>
        <rFont val="Calibri"/>
        <family val="2"/>
        <scheme val="minor"/>
      </rPr>
      <t xml:space="preserve">
</t>
    </r>
    <r>
      <rPr>
        <sz val="12"/>
        <rFont val="Calibri (Body)"/>
      </rPr>
      <t>2</t>
    </r>
    <r>
      <rPr>
        <sz val="12"/>
        <rFont val="Calibri"/>
        <family val="2"/>
        <scheme val="minor"/>
      </rPr>
      <t xml:space="preserve">)Farm machinery [e.g. tractor, plough, sickle, etc.]
</t>
    </r>
    <r>
      <rPr>
        <sz val="12"/>
        <rFont val="Calibri (Body)"/>
      </rPr>
      <t>3</t>
    </r>
    <r>
      <rPr>
        <sz val="12"/>
        <rFont val="Calibri"/>
        <family val="2"/>
        <scheme val="minor"/>
      </rPr>
      <t xml:space="preserve">)Sewing machine </t>
    </r>
    <r>
      <rPr>
        <sz val="12"/>
        <rFont val="Calibri (Body)"/>
      </rPr>
      <t xml:space="preserve">or weaving tool </t>
    </r>
    <r>
      <rPr>
        <sz val="12"/>
        <rFont val="Calibri"/>
        <family val="2"/>
        <scheme val="minor"/>
      </rPr>
      <t xml:space="preserve">
</t>
    </r>
    <r>
      <rPr>
        <sz val="12"/>
        <rFont val="Calibri (Body)"/>
      </rPr>
      <t>4</t>
    </r>
    <r>
      <rPr>
        <sz val="12"/>
        <rFont val="Calibri"/>
        <family val="2"/>
        <scheme val="minor"/>
      </rPr>
      <t xml:space="preserve">)Taxi
</t>
    </r>
    <r>
      <rPr>
        <sz val="12"/>
        <rFont val="Calibri (Body)"/>
      </rPr>
      <t>5</t>
    </r>
    <r>
      <rPr>
        <sz val="12"/>
        <rFont val="Calibri"/>
        <family val="2"/>
        <scheme val="minor"/>
      </rPr>
      <t xml:space="preserve">)Truck
</t>
    </r>
    <r>
      <rPr>
        <sz val="12"/>
        <rFont val="Calibri (Body)"/>
      </rPr>
      <t>6</t>
    </r>
    <r>
      <rPr>
        <sz val="12"/>
        <rFont val="Calibri"/>
        <family val="2"/>
        <scheme val="minor"/>
      </rPr>
      <t>)Other productive machines</t>
    </r>
    <r>
      <rPr>
        <sz val="12"/>
        <rFont val="Calibri (Body)"/>
      </rPr>
      <t xml:space="preserve"> or assets</t>
    </r>
    <r>
      <rPr>
        <sz val="12"/>
        <rFont val="Calibri"/>
        <family val="2"/>
        <scheme val="minor"/>
      </rPr>
      <t xml:space="preserve">
</t>
    </r>
    <r>
      <rPr>
        <sz val="12"/>
        <rFont val="Calibri (Body)"/>
      </rPr>
      <t>7</t>
    </r>
    <r>
      <rPr>
        <sz val="12"/>
        <rFont val="Calibri"/>
        <family val="2"/>
        <scheme val="minor"/>
      </rPr>
      <t>)No productive machines</t>
    </r>
    <r>
      <rPr>
        <sz val="12"/>
        <rFont val="Calibri (Body)"/>
      </rPr>
      <t xml:space="preserve"> or assets</t>
    </r>
    <r>
      <rPr>
        <sz val="12"/>
        <rFont val="Calibri"/>
        <family val="2"/>
        <scheme val="minor"/>
      </rPr>
      <t xml:space="preserve">
</t>
    </r>
    <r>
      <rPr>
        <sz val="12"/>
        <rFont val="Calibri (Body)"/>
      </rPr>
      <t>8</t>
    </r>
    <r>
      <rPr>
        <sz val="12"/>
        <rFont val="Calibri"/>
        <family val="2"/>
        <scheme val="minor"/>
      </rPr>
      <t xml:space="preserve">)DON'T KNOW
</t>
    </r>
    <r>
      <rPr>
        <sz val="12"/>
        <rFont val="Calibri (Body)"/>
      </rPr>
      <t>9</t>
    </r>
    <r>
      <rPr>
        <sz val="12"/>
        <rFont val="Calibri"/>
        <family val="2"/>
        <scheme val="minor"/>
      </rPr>
      <t>)REFUSED</t>
    </r>
  </si>
  <si>
    <r>
      <t>income_main_crop</t>
    </r>
    <r>
      <rPr>
        <sz val="12"/>
        <rFont val="Calibri (Body)"/>
      </rPr>
      <t>_</t>
    </r>
    <r>
      <rPr>
        <sz val="12"/>
        <rFont val="Calibri"/>
        <family val="2"/>
        <scheme val="minor"/>
      </rPr>
      <t>check</t>
    </r>
  </si>
  <si>
    <r>
      <t>income_main_ls</t>
    </r>
    <r>
      <rPr>
        <sz val="12"/>
        <rFont val="Calibri (Body)"/>
      </rPr>
      <t>_</t>
    </r>
    <r>
      <rPr>
        <sz val="12"/>
        <rFont val="Calibri"/>
        <family val="2"/>
        <scheme val="minor"/>
      </rPr>
      <t>check</t>
    </r>
  </si>
  <si>
    <r>
      <t>income_main_fish</t>
    </r>
    <r>
      <rPr>
        <sz val="12"/>
        <rFont val="Calibri (Body)"/>
      </rPr>
      <t>_</t>
    </r>
    <r>
      <rPr>
        <sz val="12"/>
        <rFont val="Calibri"/>
        <family val="2"/>
        <scheme val="minor"/>
      </rPr>
      <t>check</t>
    </r>
  </si>
  <si>
    <r>
      <t>Has your household or community faced any particular disaster or crisis affecting your household's ability to raise an income and/or to produce food for self consumption in the last 3 months</t>
    </r>
    <r>
      <rPr>
        <sz val="11"/>
        <rFont val="Calibri (Body)"/>
      </rPr>
      <t>, and if so, which one[s]</t>
    </r>
    <r>
      <rPr>
        <sz val="11"/>
        <rFont val="Calibri"/>
        <family val="2"/>
        <scheme val="minor"/>
      </rPr>
      <t>?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t>
    </r>
    <r>
      <rPr>
        <sz val="11"/>
        <rFont val="Calibri (Body)"/>
      </rPr>
      <t xml:space="preserve"> [not due to illness/accident]</t>
    </r>
    <r>
      <rPr>
        <sz val="11"/>
        <rFont val="Calibri"/>
        <family val="2"/>
        <scheme val="minor"/>
      </rPr>
      <t xml:space="preserve">
4)Other intra</t>
    </r>
    <r>
      <rPr>
        <sz val="11"/>
        <rFont val="Calibri (Body)"/>
      </rPr>
      <t>-</t>
    </r>
    <r>
      <rPr>
        <sz val="11"/>
        <rFont val="Calibri"/>
        <family val="2"/>
        <scheme val="minor"/>
      </rPr>
      <t>household</t>
    </r>
    <r>
      <rPr>
        <sz val="11"/>
        <rFont val="Calibri (Body)"/>
      </rPr>
      <t xml:space="preserve"> </t>
    </r>
    <r>
      <rPr>
        <sz val="11"/>
        <rFont val="Calibri"/>
        <family val="2"/>
        <scheme val="minor"/>
      </rPr>
      <t>shock
5)</t>
    </r>
    <r>
      <rPr>
        <sz val="11"/>
        <rFont val="Calibri (Body)"/>
      </rPr>
      <t>Unusually</t>
    </r>
    <r>
      <rPr>
        <sz val="11"/>
        <rFont val="Calibri"/>
        <family val="2"/>
        <scheme val="minor"/>
      </rPr>
      <t xml:space="preserve"> </t>
    </r>
    <r>
      <rPr>
        <sz val="11"/>
        <rFont val="Calibri (Body)"/>
      </rPr>
      <t>high</t>
    </r>
    <r>
      <rPr>
        <sz val="11"/>
        <rFont val="Calibri"/>
        <family val="2"/>
        <scheme val="minor"/>
      </rPr>
      <t xml:space="preserve"> food prices
6)</t>
    </r>
    <r>
      <rPr>
        <sz val="11"/>
        <rFont val="Calibri (Body)"/>
      </rPr>
      <t>Unusually</t>
    </r>
    <r>
      <rPr>
        <sz val="11"/>
        <rFont val="Calibri"/>
        <family val="2"/>
        <scheme val="minor"/>
      </rPr>
      <t xml:space="preserve"> </t>
    </r>
    <r>
      <rPr>
        <sz val="11"/>
        <rFont val="Calibri (Body)"/>
      </rPr>
      <t xml:space="preserve">high </t>
    </r>
    <r>
      <rPr>
        <sz val="11"/>
        <rFont val="Calibri"/>
        <family val="2"/>
        <scheme val="minor"/>
      </rPr>
      <t>fuel prices or transport prices 
7)</t>
    </r>
    <r>
      <rPr>
        <sz val="11"/>
        <rFont val="Calibri (Body)"/>
      </rPr>
      <t>Population movement restrictions [e.g. due to epidemic or infrastructure damage]</t>
    </r>
    <r>
      <rPr>
        <sz val="11"/>
        <rFont val="Calibri"/>
        <family val="2"/>
        <scheme val="minor"/>
      </rPr>
      <t xml:space="preserve">
8)Other economic shock 
9)</t>
    </r>
    <r>
      <rPr>
        <sz val="11"/>
        <rFont val="Calibri (Body)"/>
      </rPr>
      <t>P</t>
    </r>
    <r>
      <rPr>
        <sz val="11"/>
        <rFont val="Calibri"/>
        <family val="2"/>
        <scheme val="minor"/>
      </rPr>
      <t>est outbreak
10)</t>
    </r>
    <r>
      <rPr>
        <sz val="11"/>
        <rFont val="Calibri (Body)"/>
      </rPr>
      <t>P</t>
    </r>
    <r>
      <rPr>
        <sz val="11"/>
        <rFont val="Calibri"/>
        <family val="2"/>
        <scheme val="minor"/>
      </rPr>
      <t>lant disease
11)</t>
    </r>
    <r>
      <rPr>
        <sz val="11"/>
        <rFont val="Calibri (Body)"/>
      </rPr>
      <t>A</t>
    </r>
    <r>
      <rPr>
        <sz val="11"/>
        <rFont val="Calibri"/>
        <family val="2"/>
        <scheme val="minor"/>
      </rPr>
      <t xml:space="preserve">nimal disease </t>
    </r>
    <r>
      <rPr>
        <sz val="11"/>
        <rFont val="Calibri (Body)"/>
      </rPr>
      <t>[affecting many animals]</t>
    </r>
    <r>
      <rPr>
        <sz val="11"/>
        <rFont val="Calibri"/>
        <family val="2"/>
        <scheme val="minor"/>
      </rPr>
      <t xml:space="preserve"> or death
12)Lack of physical access to pasture 
13)Other crop and livestock shock
</t>
    </r>
    <r>
      <rPr>
        <sz val="11"/>
        <rFont val="Calibri (Body)"/>
      </rPr>
      <t>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r>
  </si>
  <si>
    <r>
      <t xml:space="preserve">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t>
    </r>
    <r>
      <rPr>
        <sz val="12"/>
        <rFont val="Calibri (Body)"/>
      </rPr>
      <t>[vaccinations, treatments, spraying, advisory etc]</t>
    </r>
    <r>
      <rPr>
        <sz val="12"/>
        <rFont val="Calibri"/>
        <family val="2"/>
        <scheme val="minor"/>
      </rPr>
      <t xml:space="preserve">
5)Access to veterinary inputs [medicine for animals / tools for animal health / etc]
6)Livestock diseases or injury
7)Livestock theft
8)Access to livestock market to buy young animals
9)Access to credit
10)</t>
    </r>
    <r>
      <rPr>
        <sz val="12"/>
        <rFont val="Calibri (Body)"/>
      </rPr>
      <t>Access to manpower labour 
11)Other</t>
    </r>
    <r>
      <rPr>
        <sz val="12"/>
        <rFont val="Calibri"/>
        <family val="2"/>
        <scheme val="minor"/>
      </rPr>
      <t xml:space="preserve">
</t>
    </r>
    <r>
      <rPr>
        <sz val="12"/>
        <rFont val="Calibri (Body)"/>
      </rPr>
      <t>12</t>
    </r>
    <r>
      <rPr>
        <sz val="12"/>
        <rFont val="Calibri"/>
        <family val="2"/>
        <scheme val="minor"/>
      </rPr>
      <t xml:space="preserve">)DON'T KNOW
</t>
    </r>
    <r>
      <rPr>
        <sz val="12"/>
        <rFont val="Calibri (Body)"/>
      </rPr>
      <t>13</t>
    </r>
    <r>
      <rPr>
        <sz val="12"/>
        <rFont val="Calibri"/>
        <family val="2"/>
        <scheme val="minor"/>
      </rPr>
      <t>)REFUSED</t>
    </r>
  </si>
  <si>
    <r>
      <t xml:space="preserve">Why did the number of livestock change?
[OPERATOR: MULTIPLE RESPONSES POSSIBLE.] 
1)No </t>
    </r>
    <r>
      <rPr>
        <sz val="12"/>
        <rFont val="Calibri (Body)"/>
      </rPr>
      <t>significant</t>
    </r>
    <r>
      <rPr>
        <sz val="12"/>
        <rFont val="Calibri"/>
        <family val="2"/>
        <scheme val="minor"/>
      </rPr>
      <t xml:space="preserve"> change in livestock number
2)Did not sell as many
3)Many more were born
4)Purchased or bartered more animals this year
5)Received animals for free [restocking / gift]
</t>
    </r>
    <r>
      <rPr>
        <sz val="12"/>
        <rFont val="Calibri (Body)"/>
      </rPr>
      <t>6)Animal death due to malnutrition, drought, lack of feed
7)Animal death due to other factors [e.g. diseases, parasites, injury]
8</t>
    </r>
    <r>
      <rPr>
        <sz val="12"/>
        <rFont val="Calibri"/>
        <family val="2"/>
        <scheme val="minor"/>
      </rPr>
      <t xml:space="preserve">)Sold more than usual because of good prices
</t>
    </r>
    <r>
      <rPr>
        <sz val="12"/>
        <rFont val="Calibri (Body)"/>
      </rPr>
      <t>9</t>
    </r>
    <r>
      <rPr>
        <sz val="12"/>
        <rFont val="Calibri"/>
        <family val="2"/>
        <scheme val="minor"/>
      </rPr>
      <t xml:space="preserve">)Sold more than usual because of distress sales [unable to feed animal / need money urgently for household basic needs even if sales were unsustainable]
</t>
    </r>
    <r>
      <rPr>
        <sz val="12"/>
        <rFont val="Calibri (Body)"/>
      </rPr>
      <t>10</t>
    </r>
    <r>
      <rPr>
        <sz val="12"/>
        <rFont val="Calibri"/>
        <family val="2"/>
        <scheme val="minor"/>
      </rPr>
      <t xml:space="preserve">)Animal escaped or was lost or stolen
</t>
    </r>
    <r>
      <rPr>
        <sz val="12"/>
        <rFont val="Calibri (Body)"/>
      </rPr>
      <t>11</t>
    </r>
    <r>
      <rPr>
        <sz val="12"/>
        <rFont val="Calibri"/>
        <family val="2"/>
        <scheme val="minor"/>
      </rPr>
      <t xml:space="preserve">)Killed or gave away more animals than usual for household consumption or celebrations [marriage / funerals / etc]
</t>
    </r>
    <r>
      <rPr>
        <sz val="12"/>
        <rFont val="Calibri (Body)"/>
      </rPr>
      <t>12</t>
    </r>
    <r>
      <rPr>
        <sz val="12"/>
        <rFont val="Calibri"/>
        <family val="2"/>
        <scheme val="minor"/>
      </rPr>
      <t xml:space="preserve">)Other
</t>
    </r>
    <r>
      <rPr>
        <sz val="12"/>
        <rFont val="Calibri (Body)"/>
      </rPr>
      <t>13</t>
    </r>
    <r>
      <rPr>
        <sz val="12"/>
        <rFont val="Calibri"/>
        <family val="2"/>
        <scheme val="minor"/>
      </rPr>
      <t xml:space="preserve">)DON’T KNOW
</t>
    </r>
    <r>
      <rPr>
        <sz val="12"/>
        <rFont val="Calibri (Body)"/>
      </rPr>
      <t>14</t>
    </r>
    <r>
      <rPr>
        <sz val="12"/>
        <rFont val="Calibri"/>
        <family val="2"/>
        <scheme val="minor"/>
      </rPr>
      <t>)REFUSED</t>
    </r>
  </si>
  <si>
    <r>
      <rPr>
        <sz val="12"/>
        <rFont val="Calibri (Body)"/>
      </rPr>
      <t>How does the current price of your household's {fish_salesmain} sold compare to the average price in the same period/harvest of</t>
    </r>
    <r>
      <rPr>
        <sz val="12"/>
        <color rgb="FF7030A0"/>
        <rFont val="Calibri (Body)"/>
      </rPr>
      <t xml:space="preserve"> </t>
    </r>
    <r>
      <rPr>
        <b/>
        <sz val="12"/>
        <color rgb="FF7030A0"/>
        <rFont val="Calibri (Body)"/>
      </rPr>
      <t>$reference year$</t>
    </r>
    <r>
      <rPr>
        <sz val="12"/>
        <rFont val="Calibri (Body)"/>
      </rPr>
      <t>? 
[OPERATOR: SINGLE RESPONSE. INSIST ON THE MAIN PRODUCT MENTIONED.]
1)A lot more [increased by more than 50%]
2)Slightly more</t>
    </r>
    <r>
      <rPr>
        <sz val="12"/>
        <rFont val="Calibri"/>
        <family val="2"/>
        <scheme val="minor"/>
      </rPr>
      <t xml:space="preserve">
</t>
    </r>
    <r>
      <rPr>
        <sz val="12"/>
        <rFont val="Calibri (Body)"/>
      </rPr>
      <t>3)Same
4)Slightly less</t>
    </r>
    <r>
      <rPr>
        <sz val="12"/>
        <rFont val="Calibri"/>
        <family val="2"/>
        <scheme val="minor"/>
      </rPr>
      <t xml:space="preserve">
</t>
    </r>
    <r>
      <rPr>
        <sz val="12"/>
        <rFont val="Calibri (Body)"/>
      </rPr>
      <t>5)A lot less [less than half as much]
6)DON'T KNOW
7)REFUSED</t>
    </r>
  </si>
  <si>
    <t>Does your household need assistance for agricultural activities [including crop, livestock and fisheries/aquaculture activities] over the next 3 to 6 months?
[OPERATOR: SINGLE RESPONSE.]
1)YES
2)NO
3)DON'T KNOW
4)REFUSED</t>
  </si>
  <si>
    <r>
      <t xml:space="preserve">What are your household's greatest needs for assistance for agricultural activities [including crop, livestock or fisheries/aquaculture activities] over the next 3 to 6 months?
[OPERATOR: MULTIPLE RESPONSE. DO NOT READ THE OPTIONS.]
</t>
    </r>
    <r>
      <rPr>
        <sz val="12"/>
        <rFont val="Calibri (Body)"/>
      </rPr>
      <t>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r>
  </si>
  <si>
    <r>
      <rPr>
        <b/>
        <sz val="12"/>
        <rFont val="Calibri"/>
        <family val="2"/>
        <scheme val="minor"/>
      </rPr>
      <t>assistance_</t>
    </r>
    <r>
      <rPr>
        <sz val="12"/>
        <rFont val="Calibri"/>
        <family val="2"/>
        <scheme val="minor"/>
      </rPr>
      <t>provider
1) assistance_fao
2) assistance_wfp
3) assistance_otherun
4) assistance_gov
5) assistance_ngo
6) assistance_dk
7) assistance_ref</t>
    </r>
  </si>
  <si>
    <t>1)assistance_fao
2)assistance_wfp
3)assistance_otherun
4)assistance_gov
5)assistance_ngo
6)assistance_dk
7)assistance_ref</t>
  </si>
  <si>
    <r>
      <t>How many days over the</t>
    </r>
    <r>
      <rPr>
        <b/>
        <sz val="12"/>
        <color theme="1"/>
        <rFont val="Calibri"/>
        <family val="2"/>
        <scheme val="minor"/>
      </rPr>
      <t xml:space="preserve"> last 7 days</t>
    </r>
    <r>
      <rPr>
        <sz val="12"/>
        <color theme="1"/>
        <rFont val="Calibri"/>
        <family val="2"/>
        <scheme val="minor"/>
      </rPr>
      <t xml:space="preserve">, did members of your household eat </t>
    </r>
    <r>
      <rPr>
        <u/>
        <sz val="12"/>
        <color theme="1"/>
        <rFont val="Calibri"/>
        <family val="2"/>
        <scheme val="minor"/>
      </rPr>
      <t>starches, roots and tubers</t>
    </r>
    <r>
      <rPr>
        <sz val="12"/>
        <color theme="1"/>
        <rFont val="Calibri"/>
        <family val="2"/>
        <scheme val="minor"/>
      </rPr>
      <t xml:space="preserve"> such as rice, maize, pasta, bread, sorghum, millet, potato, yam, cassava, white sweet potato?
[OPERATOR: RECORD NUMBER OF DAYS 0 - 7.]
[HINT: IF CONSUMED ONLY IN SMALL QUANTITY, DO NOT INCLUDE.]</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</si>
  <si>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pulses and nuts</t>
    </r>
    <r>
      <rPr>
        <sz val="12"/>
        <color theme="1"/>
        <rFont val="Calibri"/>
        <family val="2"/>
        <scheme val="minor"/>
      </rPr>
      <t xml:space="preserve"> such as beans, lentils, cowpeas, soybean, pigeon peas and peanuts or other nuts?
[OPERATOR: RECORD NUMBER OF DAYS 0 - 7]</t>
    </r>
    <r>
      <rPr>
        <sz val="12"/>
        <color theme="1"/>
        <rFont val="Calibri"/>
        <family val="2"/>
        <scheme val="minor"/>
      </rPr>
      <t xml:space="preserve">
[HINT: IF CONSUMED ONLY IN SMALL QUANTITY, DO NOT INCLUDE.]</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</si>
  <si>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vegetables or leaves</t>
    </r>
    <r>
      <rPr>
        <sz val="12"/>
        <color theme="1"/>
        <rFont val="Calibri"/>
        <family val="2"/>
        <scheme val="minor"/>
      </rPr>
      <t xml:space="preserve"> such as </t>
    </r>
    <r>
      <rPr>
        <b/>
        <sz val="12"/>
        <color rgb="FF7030A0"/>
        <rFont val="Calibri"/>
        <family val="2"/>
        <scheme val="minor"/>
      </rPr>
      <t xml:space="preserve">$local vegetables$ </t>
    </r>
    <r>
      <rPr>
        <sz val="12"/>
        <color theme="1"/>
        <rFont val="Calibri"/>
        <family val="2"/>
        <scheme val="minor"/>
      </rPr>
      <t>and/or other leaves/vegetables?
[OPERATOR: RECORD NUMBER OF DAYS 0 - 7] 
[HINT: IF CONSUMED ONLY IN SMALL QUANTITY, DO NOT INCLUDE.]</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</si>
  <si>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meat, eggs or fish</t>
    </r>
    <r>
      <rPr>
        <sz val="12"/>
        <color theme="1"/>
        <rFont val="Calibri"/>
        <family val="2"/>
        <scheme val="minor"/>
      </rPr>
      <t xml:space="preserve"> [any type of meat or fish including insects, birds, bush meat, seafood, or organs]?
[OPERATOR: RECORD NUMBER OF DAYS 0 - 7]</t>
    </r>
    <r>
      <rPr>
        <sz val="12"/>
        <color theme="1"/>
        <rFont val="Calibri"/>
        <family val="2"/>
        <scheme val="minor"/>
      </rPr>
      <t xml:space="preserve">
[HINT: IF CONSUMED ONLY IN SMALL QUANTITY, DO NOT INCLUDE.]</t>
    </r>
  </si>
  <si>
    <r>
      <t xml:space="preserve">How many days over the last </t>
    </r>
    <r>
      <rPr>
        <b/>
        <sz val="12"/>
        <color theme="1"/>
        <rFont val="Calibri"/>
        <family val="2"/>
        <scheme val="minor"/>
      </rPr>
      <t>7 days</t>
    </r>
    <r>
      <rPr>
        <sz val="12"/>
        <color theme="1"/>
        <rFont val="Calibri"/>
        <family val="2"/>
        <scheme val="minor"/>
      </rPr>
      <t xml:space="preserve">, did members of your household consume fresh milk, sour milk, yogurt, cheese or other </t>
    </r>
    <r>
      <rPr>
        <u/>
        <sz val="12"/>
        <color theme="1"/>
        <rFont val="Calibri"/>
        <family val="2"/>
        <scheme val="minor"/>
      </rPr>
      <t>dairy products</t>
    </r>
    <r>
      <rPr>
        <sz val="12"/>
        <color theme="1"/>
        <rFont val="Calibri"/>
        <family val="2"/>
        <scheme val="minor"/>
      </rPr>
      <t>? [Excluding margarine/butter or small amounts of milk for tea/ coffee]
[OPERATOR: RECORD NUMBER OF DAYS 0 - 7]
[HINT: IF CONSUMED ONLY IN SMALL QUANTITY, DO NOT INCLUDE.]</t>
    </r>
  </si>
  <si>
    <r>
      <t>How many days over the</t>
    </r>
    <r>
      <rPr>
        <b/>
        <sz val="12"/>
        <color theme="1"/>
        <rFont val="Calibri"/>
        <family val="2"/>
        <scheme val="minor"/>
      </rPr>
      <t xml:space="preserve"> last 7 days</t>
    </r>
    <r>
      <rPr>
        <sz val="12"/>
        <color theme="1"/>
        <rFont val="Calibri"/>
        <family val="2"/>
        <scheme val="minor"/>
      </rPr>
      <t xml:space="preserve">, did members of your household consume </t>
    </r>
    <r>
      <rPr>
        <u/>
        <sz val="12"/>
        <color theme="1"/>
        <rFont val="Calibri"/>
        <family val="2"/>
        <scheme val="minor"/>
      </rPr>
      <t>sugar or swee</t>
    </r>
    <r>
      <rPr>
        <u/>
        <sz val="12"/>
        <color theme="1"/>
        <rFont val="Calibri (Body)"/>
      </rPr>
      <t>ts</t>
    </r>
    <r>
      <rPr>
        <sz val="12"/>
        <color theme="1"/>
        <rFont val="Calibri"/>
        <family val="2"/>
        <scheme val="minor"/>
      </rPr>
      <t xml:space="preserve"> such as sugar, honey, jam, cakes, candy, cookies, pastries, cakes and other sweets and sugary drinks?
[OPERATOR: RECORD NUMBER OF DAYS 0 - 7]</t>
    </r>
    <r>
      <rPr>
        <sz val="12"/>
        <color theme="1"/>
        <rFont val="Calibri"/>
        <family val="2"/>
        <scheme val="minor"/>
      </rPr>
      <t xml:space="preserve">
[HINT: IF CONSUMED ONLY IN SMALL QUANTITY, DO NOT INCLUDE.]</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</si>
  <si>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oil/fat/butter</t>
    </r>
    <r>
      <rPr>
        <sz val="12"/>
        <color theme="1"/>
        <rFont val="Calibri"/>
        <family val="2"/>
        <scheme val="minor"/>
      </rPr>
      <t xml:space="preserve"> such as vegetable oil, palm oil, groundnut oil, margarine, other fats / oil?
[OPERATOR: RECORD NUMBER OF DAYS 0 - 7]</t>
    </r>
    <r>
      <rPr>
        <sz val="12"/>
        <color theme="1"/>
        <rFont val="Calibri"/>
        <family val="2"/>
        <scheme val="minor"/>
      </rPr>
      <t xml:space="preserve">
[HINT: IF CONSUMED ONLY IN SMALL QUANTITY, DO NOT INCLUDE.]</t>
    </r>
  </si>
  <si>
    <t>rcsi_intro</t>
  </si>
  <si>
    <t>For any response, go to rcsi_intro</t>
  </si>
  <si>
    <t>0-7 = rcsi_intro</t>
  </si>
  <si>
    <t>Only respondents from 18-100 will be eligible for the survey.</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</si>
  <si>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</si>
  <si>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r>
      <t xml:space="preserve">How many days over the </t>
    </r>
    <r>
      <rPr>
        <b/>
        <sz val="12"/>
        <color theme="1"/>
        <rFont val="Calibri"/>
        <family val="2"/>
        <scheme val="minor"/>
      </rPr>
      <t>last</t>
    </r>
    <r>
      <rPr>
        <sz val="12"/>
        <color theme="1"/>
        <rFont val="Calibri"/>
        <family val="2"/>
        <scheme val="minor"/>
      </rPr>
      <t xml:space="preserve"> </t>
    </r>
    <r>
      <rPr>
        <b/>
        <sz val="12"/>
        <color theme="1"/>
        <rFont val="Calibri"/>
        <family val="2"/>
        <scheme val="minor"/>
      </rPr>
      <t>7 days</t>
    </r>
    <r>
      <rPr>
        <sz val="12"/>
        <color theme="1"/>
        <rFont val="Calibri"/>
        <family val="2"/>
        <scheme val="minor"/>
      </rPr>
      <t xml:space="preserve">, did members of your household eat </t>
    </r>
    <r>
      <rPr>
        <u/>
        <sz val="12"/>
        <color theme="1"/>
        <rFont val="Calibri"/>
        <family val="2"/>
        <scheme val="minor"/>
      </rPr>
      <t>spices or condiment</t>
    </r>
    <r>
      <rPr>
        <u/>
        <sz val="12"/>
        <color theme="1"/>
        <rFont val="Calibri (Body)"/>
      </rPr>
      <t>s</t>
    </r>
    <r>
      <rPr>
        <sz val="12"/>
        <color theme="1"/>
        <rFont val="Calibri"/>
        <family val="2"/>
        <scheme val="minor"/>
      </rPr>
      <t xml:space="preserve"> such as tea, coffee, cocoa, salt, garlic, spices, yeast, meat fish as a condiment or small amounts of milk for tea or coffee?
[OPERATOR: RECORD NUMBER OF DAYS 0 - 7]</t>
    </r>
  </si>
  <si>
    <r>
      <t xml:space="preserve">Do you or any member of your household own any of the following transportation assets? 
[OPERATOR: MULTIPLE RESPONSES POSSIBLE. READ ANSWER OPTIONS OUT LOUD.]
1)Bicycle
</t>
    </r>
    <r>
      <rPr>
        <sz val="12"/>
        <rFont val="Calibri (Body)"/>
      </rPr>
      <t>2)Cart [animal drawn]
3)Boat/canoe</t>
    </r>
    <r>
      <rPr>
        <sz val="12"/>
        <rFont val="Calibri"/>
        <family val="2"/>
        <scheme val="minor"/>
      </rPr>
      <t xml:space="preserve">
</t>
    </r>
    <r>
      <rPr>
        <sz val="12"/>
        <rFont val="Calibri (Body)"/>
      </rPr>
      <t>4</t>
    </r>
    <r>
      <rPr>
        <sz val="12"/>
        <rFont val="Calibri"/>
        <family val="2"/>
        <scheme val="minor"/>
      </rPr>
      <t xml:space="preserve">)Motorbike </t>
    </r>
    <r>
      <rPr>
        <sz val="12"/>
        <rFont val="Calibri (Body)"/>
      </rPr>
      <t xml:space="preserve">/ scooter / </t>
    </r>
    <r>
      <rPr>
        <sz val="12"/>
        <rFont val="Calibri"/>
        <family val="2"/>
        <scheme val="minor"/>
      </rPr>
      <t xml:space="preserve">auto rickshaw
</t>
    </r>
    <r>
      <rPr>
        <sz val="12"/>
        <rFont val="Calibri (Body)"/>
      </rPr>
      <t>5</t>
    </r>
    <r>
      <rPr>
        <sz val="12"/>
        <rFont val="Calibri"/>
        <family val="2"/>
        <scheme val="minor"/>
      </rPr>
      <t xml:space="preserve">)Car
</t>
    </r>
    <r>
      <rPr>
        <sz val="12"/>
        <rFont val="Calibri (Body)"/>
      </rPr>
      <t>6</t>
    </r>
    <r>
      <rPr>
        <sz val="12"/>
        <rFont val="Calibri"/>
        <family val="2"/>
        <scheme val="minor"/>
      </rPr>
      <t xml:space="preserve">)Van or small truck
</t>
    </r>
    <r>
      <rPr>
        <sz val="12"/>
        <rFont val="Calibri (Body)"/>
      </rPr>
      <t>7</t>
    </r>
    <r>
      <rPr>
        <sz val="12"/>
        <rFont val="Calibri"/>
        <family val="2"/>
        <scheme val="minor"/>
      </rPr>
      <t xml:space="preserve">)Other motor vehicle
</t>
    </r>
    <r>
      <rPr>
        <sz val="12"/>
        <rFont val="Calibri (Body)"/>
      </rPr>
      <t>8</t>
    </r>
    <r>
      <rPr>
        <sz val="12"/>
        <rFont val="Calibri"/>
        <family val="2"/>
        <scheme val="minor"/>
      </rPr>
      <t xml:space="preserve">)None of the above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</si>
  <si>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rPr>
        <sz val="12"/>
        <rFont val="Calibri (Body)"/>
      </rPr>
      <t>1-3 = income_main_crop_check</t>
    </r>
    <r>
      <rPr>
        <sz val="12"/>
        <rFont val="Calibri"/>
        <family val="2"/>
        <scheme val="minor"/>
      </rPr>
      <t xml:space="preserve">
4</t>
    </r>
    <r>
      <rPr>
        <sz val="12"/>
        <rFont val="Calibri (Body)"/>
      </rPr>
      <t xml:space="preserve"> = income_main_ls_check 
5 =</t>
    </r>
    <r>
      <rPr>
        <sz val="12"/>
        <color theme="4"/>
        <rFont val="Calibri (Body)"/>
      </rPr>
      <t xml:space="preserve"> income_main_comp OR optional question</t>
    </r>
    <r>
      <rPr>
        <sz val="12"/>
        <rFont val="Calibri (Body)"/>
      </rPr>
      <t xml:space="preserve">
</t>
    </r>
    <r>
      <rPr>
        <sz val="12"/>
        <rFont val="Calibri"/>
        <family val="2"/>
        <scheme val="minor"/>
      </rPr>
      <t xml:space="preserve">6 </t>
    </r>
    <r>
      <rPr>
        <sz val="12"/>
        <rFont val="Calibri (Body)"/>
      </rPr>
      <t xml:space="preserve">= income_main_fish_check </t>
    </r>
    <r>
      <rPr>
        <sz val="12"/>
        <rFont val="Calibri"/>
        <family val="2"/>
        <scheme val="minor"/>
      </rPr>
      <t xml:space="preserve">
</t>
    </r>
    <r>
      <rPr>
        <sz val="12"/>
        <rFont val="Calibri (Body)"/>
      </rPr>
      <t>7</t>
    </r>
    <r>
      <rPr>
        <sz val="12"/>
        <rFont val="Calibri"/>
        <family val="2"/>
        <scheme val="minor"/>
      </rPr>
      <t>-18 =</t>
    </r>
    <r>
      <rPr>
        <sz val="12"/>
        <color theme="4"/>
        <rFont val="Calibri"/>
        <family val="2"/>
        <scheme val="minor"/>
      </rPr>
      <t xml:space="preserve"> income_main_comp OR optional question</t>
    </r>
    <r>
      <rPr>
        <sz val="12"/>
        <rFont val="Calibri"/>
        <family val="2"/>
        <scheme val="minor"/>
      </rPr>
      <t xml:space="preserve">
19-</t>
    </r>
    <r>
      <rPr>
        <sz val="12"/>
        <rFont val="Calibri (Body)"/>
      </rPr>
      <t>20</t>
    </r>
    <r>
      <rPr>
        <sz val="12"/>
        <rFont val="Calibri"/>
        <family val="2"/>
        <scheme val="minor"/>
      </rPr>
      <t xml:space="preserve"> = shock</t>
    </r>
  </si>
  <si>
    <r>
      <rPr>
        <sz val="12"/>
        <rFont val="Calibri (Body)"/>
      </rPr>
      <t xml:space="preserve">if options #1-3 selected go to income_main_crop_check 
if options #4 selected go to income_main_ls_check 
if options #6 selected go to income_main_fish_check
</t>
    </r>
    <r>
      <rPr>
        <sz val="12"/>
        <rFont val="Calibri"/>
        <family val="2"/>
        <scheme val="minor"/>
      </rPr>
      <t xml:space="preserve">
if options #5, 7-18 selected, go to</t>
    </r>
    <r>
      <rPr>
        <sz val="12"/>
        <color theme="4"/>
        <rFont val="Calibri"/>
        <family val="2"/>
        <scheme val="minor"/>
      </rPr>
      <t xml:space="preserve"> [income_main_comp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t>
    </r>
    <r>
      <rPr>
        <sz val="12"/>
        <rFont val="Calibri (Body)"/>
      </rPr>
      <t>20</t>
    </r>
    <r>
      <rPr>
        <sz val="12"/>
        <rFont val="Calibri"/>
        <family val="2"/>
        <scheme val="minor"/>
      </rPr>
      <t xml:space="preserve"> selected, go to shock</t>
    </r>
  </si>
  <si>
    <r>
      <rPr>
        <sz val="12"/>
        <rFont val="Calibri (Body)"/>
      </rPr>
      <t>Are the livestock and livestock products</t>
    </r>
    <r>
      <rPr>
        <sz val="12"/>
        <rFont val="Calibri"/>
        <family val="2"/>
        <scheme val="minor"/>
      </rPr>
      <t xml:space="preserve"> </t>
    </r>
    <r>
      <rPr>
        <sz val="12"/>
        <rFont val="Calibri (Body)"/>
      </rPr>
      <t>that you sell also produced by you or anyone in your household?
[OPERATOR: SINGLE RESPONSE.]</t>
    </r>
    <r>
      <rPr>
        <sz val="12"/>
        <rFont val="Calibri"/>
        <family val="2"/>
        <scheme val="minor"/>
      </rPr>
      <t xml:space="preserve">
</t>
    </r>
    <r>
      <rPr>
        <sz val="12"/>
        <rFont val="Calibri (Body)"/>
      </rPr>
      <t xml:space="preserve">
1)YES
2)NO
3)DON'T KNOW
4)REFUSED </t>
    </r>
  </si>
  <si>
    <r>
      <rPr>
        <sz val="12"/>
        <rFont val="Calibri (Body)"/>
      </rPr>
      <t xml:space="preserve">1-3 = income_sec_crop_check
4 = income_sec_ls_check
5 = </t>
    </r>
    <r>
      <rPr>
        <sz val="12"/>
        <color theme="4"/>
        <rFont val="Calibri (Body)"/>
      </rPr>
      <t>income_sec_comp OR optional question</t>
    </r>
    <r>
      <rPr>
        <sz val="12"/>
        <rFont val="Calibri (Body)"/>
      </rPr>
      <t xml:space="preserve">
6 = income_sec_fish_check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income_sec_comp OR optional question</t>
    </r>
    <r>
      <rPr>
        <sz val="12"/>
        <rFont val="Calibri"/>
        <family val="2"/>
        <scheme val="minor"/>
      </rPr>
      <t xml:space="preserve">
19-21 = shock</t>
    </r>
  </si>
  <si>
    <r>
      <rPr>
        <sz val="12"/>
        <rFont val="Calibri (Body)"/>
      </rPr>
      <t xml:space="preserve">if options #1-3 selected, go to income_sec_crop_check
if options #4 selected, go to income_sec_ls_check
if options #6 selected, go to income_sec_fish_check 
</t>
    </r>
    <r>
      <rPr>
        <sz val="12"/>
        <rFont val="Calibri"/>
        <family val="2"/>
        <scheme val="minor"/>
      </rPr>
      <t xml:space="preserve">
if options #5, 7-18 selected, go to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r>
      <rPr>
        <sz val="12"/>
        <rFont val="Calibri"/>
        <family val="2"/>
        <scheme val="minor"/>
      </rPr>
      <t xml:space="preserve">
if options #19-21 selected, go to shock</t>
    </r>
  </si>
  <si>
    <r>
      <rPr>
        <sz val="12"/>
        <rFont val="Calibri (Body)"/>
      </rPr>
      <t xml:space="preserve">1-3 = income_third_crop_check
4 = income_third_ls_check
5 = </t>
    </r>
    <r>
      <rPr>
        <sz val="12"/>
        <color theme="4"/>
        <rFont val="Calibri (Body)"/>
      </rPr>
      <t>income_third_comp OR optional question</t>
    </r>
    <r>
      <rPr>
        <sz val="12"/>
        <rFont val="Calibri (Body)"/>
      </rPr>
      <t xml:space="preserve">
6 = income_third_fish_check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income_third_comp OR optional question</t>
    </r>
    <r>
      <rPr>
        <sz val="12"/>
        <rFont val="Calibri"/>
        <family val="2"/>
        <scheme val="minor"/>
      </rPr>
      <t xml:space="preserve">
19-21 = shock</t>
    </r>
  </si>
  <si>
    <r>
      <rPr>
        <sz val="12"/>
        <rFont val="Calibri (Body)"/>
      </rPr>
      <t xml:space="preserve">if options #1-3 selected, go to income_third_crop_check
if options #4 selected, go to income_third_ls_check
if option #6 selected, go to income_third_fish_check </t>
    </r>
    <r>
      <rPr>
        <sz val="12"/>
        <color rgb="FFFF0000"/>
        <rFont val="Calibri (Body)"/>
      </rPr>
      <t xml:space="preserve">
</t>
    </r>
    <r>
      <rPr>
        <sz val="12"/>
        <rFont val="Calibri"/>
        <family val="2"/>
        <scheme val="minor"/>
      </rPr>
      <t xml:space="preserve">
if options</t>
    </r>
    <r>
      <rPr>
        <sz val="12"/>
        <color rgb="FFFF0000"/>
        <rFont val="Calibri (Body)"/>
      </rPr>
      <t xml:space="preserve"> </t>
    </r>
    <r>
      <rPr>
        <sz val="12"/>
        <rFont val="Calibri"/>
        <family val="2"/>
        <scheme val="minor"/>
      </rPr>
      <t xml:space="preserve">#5, 7-18 selected, go to </t>
    </r>
    <r>
      <rPr>
        <sz val="12"/>
        <color theme="4"/>
        <rFont val="Calibri"/>
        <family val="2"/>
        <scheme val="minor"/>
      </rPr>
      <t xml:space="preserve">[income_third_comp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#19-21 selected, go to shock</t>
    </r>
  </si>
  <si>
    <r>
      <t xml:space="preserve">How much was earned [in </t>
    </r>
    <r>
      <rPr>
        <b/>
        <sz val="12"/>
        <color rgb="FF7030A0"/>
        <rFont val="Calibri"/>
        <family val="2"/>
        <scheme val="minor"/>
      </rPr>
      <t>$currency$</t>
    </r>
    <r>
      <rPr>
        <sz val="12"/>
        <rFont val="Calibri"/>
        <family val="2"/>
        <scheme val="minor"/>
      </rPr>
      <t xml:space="preserve">] from your third main source of income, {income_third}, 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</si>
  <si>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How much was earned [in </t>
    </r>
    <r>
      <rPr>
        <b/>
        <sz val="12"/>
        <color rgb="FF7030A0"/>
        <rFont val="Calibri"/>
        <family val="2"/>
        <scheme val="minor"/>
      </rPr>
      <t>$currency$</t>
    </r>
    <r>
      <rPr>
        <sz val="12"/>
        <rFont val="Calibri"/>
        <family val="2"/>
        <scheme val="minor"/>
      </rPr>
      <t>] from your second main income source, {income_sec},</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</si>
  <si>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How much was earned [in </t>
    </r>
    <r>
      <rPr>
        <b/>
        <sz val="12"/>
        <color rgb="FF7030A0"/>
        <rFont val="Calibri"/>
        <family val="2"/>
        <scheme val="minor"/>
      </rPr>
      <t>$currency$</t>
    </r>
    <r>
      <rPr>
        <sz val="12"/>
        <rFont val="Calibri"/>
        <family val="2"/>
        <scheme val="minor"/>
      </rPr>
      <t>] from your main income source, {income_main},</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</si>
  <si>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What was the main crop that you sold over the </t>
    </r>
    <r>
      <rPr>
        <b/>
        <sz val="12"/>
        <color theme="1"/>
        <rFont val="Calibri"/>
        <family val="2"/>
        <scheme val="minor"/>
      </rPr>
      <t>last 3 months</t>
    </r>
    <r>
      <rPr>
        <sz val="12"/>
        <color theme="1"/>
        <rFont val="Calibri"/>
        <family val="2"/>
        <scheme val="minor"/>
      </rPr>
      <t xml:space="preserve">?
[OPERATOR: SINGLE RESPONSE.]
</t>
    </r>
    <r>
      <rPr>
        <b/>
        <sz val="12"/>
        <color rgb="FF7030A0"/>
        <rFont val="Calibri (Body)"/>
      </rPr>
      <t xml:space="preserve">
$CROPS SOLD$</t>
    </r>
  </si>
  <si>
    <t>fish_salesdif_2</t>
  </si>
  <si>
    <t>Weighted duration</t>
  </si>
  <si>
    <t>Duration (sec)</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</si>
  <si>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</si>
  <si>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lcsi_intro</t>
  </si>
  <si>
    <t>fies_intro</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</si>
  <si>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</si>
  <si>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</si>
  <si>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season phase</t>
  </si>
  <si>
    <r>
      <t xml:space="preserve">Now I would like to ask you another set of questions on coping strategies, referring to the </t>
    </r>
    <r>
      <rPr>
        <u/>
        <sz val="12"/>
        <rFont val="Calibri"/>
        <family val="2"/>
        <scheme val="minor"/>
      </rPr>
      <t>past 30 days</t>
    </r>
    <r>
      <rPr>
        <sz val="12"/>
        <rFont val="Calibri"/>
        <family val="2"/>
        <scheme val="minor"/>
      </rPr>
      <t>.
[OPERATOR: SINGLE RESPONSE]
1)NEXT</t>
    </r>
  </si>
  <si>
    <t>What type of community leader can you provide information for?
[OPERATOR: SINGLE RESPONSE.]
1)Village / town administrator
2)Agricultural extension officer
3)Health extension officer
4)Teacher
5)Other [specify]
6)DON'T KNOW
7)REFUSED</t>
  </si>
  <si>
    <t>Comment (EN)</t>
  </si>
  <si>
    <t xml:space="preserve">Replacement (EN) </t>
  </si>
  <si>
    <t>Arabic</t>
  </si>
  <si>
    <t>Label (AR)</t>
  </si>
  <si>
    <t>Replacement (AR)</t>
  </si>
  <si>
    <t>Comment (AR)</t>
  </si>
  <si>
    <t>الرز</t>
  </si>
  <si>
    <t>القمح</t>
  </si>
  <si>
    <t>الدخن</t>
  </si>
  <si>
    <t>الذرة الرفيعة</t>
  </si>
  <si>
    <t>الذرة</t>
  </si>
  <si>
    <t>الشعير</t>
  </si>
  <si>
    <t>الحبوب الأخرى</t>
  </si>
  <si>
    <t>الكسافا</t>
  </si>
  <si>
    <t>البطاطا</t>
  </si>
  <si>
    <t>البطاطا الحلوة</t>
  </si>
  <si>
    <t>اليام</t>
  </si>
  <si>
    <t>الجزر</t>
  </si>
  <si>
    <t>القلقاس</t>
  </si>
  <si>
    <t>الدرنات الأخرى</t>
  </si>
  <si>
    <t>الفاصوليا</t>
  </si>
  <si>
    <t>العدس</t>
  </si>
  <si>
    <t>البازيلاء</t>
  </si>
  <si>
    <t>فول الصويا</t>
  </si>
  <si>
    <t>الحمص</t>
  </si>
  <si>
    <t>الفول</t>
  </si>
  <si>
    <t>الفاصوليا العريضة</t>
  </si>
  <si>
    <t>البقول الاخرى</t>
  </si>
  <si>
    <t>الملفوف</t>
  </si>
  <si>
    <t>الخس</t>
  </si>
  <si>
    <t>السبانخ - القطيفة</t>
  </si>
  <si>
    <t>أوراق الكسافا</t>
  </si>
  <si>
    <t>أوراق البطاطا</t>
  </si>
  <si>
    <t>المورينجا</t>
  </si>
  <si>
    <t>الكركديه</t>
  </si>
  <si>
    <t>القرنبيط</t>
  </si>
  <si>
    <t>الخضار الورقية الأخرى</t>
  </si>
  <si>
    <t>الطماطم</t>
  </si>
  <si>
    <t>الخيار</t>
  </si>
  <si>
    <t>اليقطين</t>
  </si>
  <si>
    <t>الباذنجان</t>
  </si>
  <si>
    <t>الكوسة</t>
  </si>
  <si>
    <t>البامية</t>
  </si>
  <si>
    <t>الفلفل حلو</t>
  </si>
  <si>
    <t>بصل</t>
  </si>
  <si>
    <t>اللوبياء</t>
  </si>
  <si>
    <t>البازلاء الخضراء</t>
  </si>
  <si>
    <t>الفول الأخضر</t>
  </si>
  <si>
    <t>الخضار غير الورقية الأخرى</t>
  </si>
  <si>
    <t>البرتقال</t>
  </si>
  <si>
    <t>الليمون</t>
  </si>
  <si>
    <t>الجريب فروت</t>
  </si>
  <si>
    <t>اليوسفي / الكليمنتين</t>
  </si>
  <si>
    <t>الحمضيات الأخرى</t>
  </si>
  <si>
    <t>الموز</t>
  </si>
  <si>
    <t>موز الجنة</t>
  </si>
  <si>
    <t>البابايا</t>
  </si>
  <si>
    <t>المانجو</t>
  </si>
  <si>
    <t>الجوافة</t>
  </si>
  <si>
    <t>الأناناس</t>
  </si>
  <si>
    <t>الأفوكادو</t>
  </si>
  <si>
    <t>البطيخ الأحمر</t>
  </si>
  <si>
    <t>التمر</t>
  </si>
  <si>
    <t>التين</t>
  </si>
  <si>
    <t>العنب</t>
  </si>
  <si>
    <t>الزيتون</t>
  </si>
  <si>
    <t>التفاح</t>
  </si>
  <si>
    <t>المشمش</t>
  </si>
  <si>
    <t>الكرز</t>
  </si>
  <si>
    <t>الدراق / النكتارين</t>
  </si>
  <si>
    <t>الفراولة</t>
  </si>
  <si>
    <t>الشمام</t>
  </si>
  <si>
    <t>الفواكه الأخرى</t>
  </si>
  <si>
    <t>جوز الهند</t>
  </si>
  <si>
    <t>الفول السوداني</t>
  </si>
  <si>
    <t>الكاجو</t>
  </si>
  <si>
    <t>جوز الكولا</t>
  </si>
  <si>
    <t>السمسم</t>
  </si>
  <si>
    <t>جوز البامبارا</t>
  </si>
  <si>
    <t>اللوز</t>
  </si>
  <si>
    <t>الجوز</t>
  </si>
  <si>
    <t>المكسرات الأخرى</t>
  </si>
  <si>
    <t>الكاكاو</t>
  </si>
  <si>
    <t>القهوة</t>
  </si>
  <si>
    <t>الشاي</t>
  </si>
  <si>
    <t>قصب السكر</t>
  </si>
  <si>
    <t>دوار الشمس</t>
  </si>
  <si>
    <t xml:space="preserve">المحاصيل الغذائية النقدية الأخرى </t>
  </si>
  <si>
    <t>القطن</t>
  </si>
  <si>
    <t>المطاط</t>
  </si>
  <si>
    <t>الجوت</t>
  </si>
  <si>
    <t>العلف</t>
  </si>
  <si>
    <t>التبغ</t>
  </si>
  <si>
    <t>القات</t>
  </si>
  <si>
    <t xml:space="preserve"> المحاصيل النقدية غير الغذائية الأخرى </t>
  </si>
  <si>
    <t>أعشاب السلطة الخضراء [زعتر ، بقدونس ، نعناع ، جرجير ، أنواع أخرى]</t>
  </si>
  <si>
    <t>التقسيم الأول للبلاد ، بعد المستوى الوطني ؛ منطقة؛ محافظة؛ ولاية ؛ إلخ.</t>
  </si>
  <si>
    <t>التقسيم الثاني للبلاد ؛ قضاء؛ بلدية؛ إلخ.</t>
  </si>
  <si>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</si>
  <si>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</si>
  <si>
    <r>
      <t xml:space="preserve">حدد وحدة القياس المحلية لمساحة الأرض ، بخلاف الفدان والهكتار والمتر المربع والقدم المربع. إذا لم تكن هناك حاجة إلى وحدة قياس أخرى ، </t>
    </r>
    <r>
      <rPr>
        <b/>
        <sz val="11"/>
        <rFont val="Calibri"/>
        <family val="2"/>
      </rPr>
      <t>احتفظ بهذه الخلية فارغة.</t>
    </r>
  </si>
  <si>
    <t>اسم العملة الرئيسية المستخدمة وطنيا ؛ دولار أمريكي؛ نيرة؛ الريال؛ بيزو؛ إلخ.</t>
  </si>
  <si>
    <t>أدخل بعض الخضروات المحلية الشائعة [لاستخدامها كأمثلة في مؤشر درجة استهلاك الغذاء].</t>
  </si>
  <si>
    <t>أدخل بعض الفاكهة المحلية الشائعة [لاستخدامها كأمثلة في مؤشر درجة استهلاك الغذاء].</t>
  </si>
  <si>
    <t>منطقة</t>
  </si>
  <si>
    <t>قضاء</t>
  </si>
  <si>
    <t>موسم الأمطار</t>
  </si>
  <si>
    <t>الحصاد</t>
  </si>
  <si>
    <t>جريب</t>
  </si>
  <si>
    <t>باذنجان ، كوسة ، قرنبيط</t>
  </si>
  <si>
    <t>التفاح والموز والبرتقال</t>
  </si>
  <si>
    <t>نيرة</t>
  </si>
  <si>
    <t>Example (AR)</t>
  </si>
  <si>
    <t>Example (EN)</t>
  </si>
  <si>
    <t>أدخل رقم الهاتف الذي تتصل به:</t>
  </si>
  <si>
    <t>رقم الهاتف: #CATI_MOBILENUMBER#
1) يجيب شخص ما 
2) جهاز الرد الالي
3) لا جواب
4) إنهاء المكالمة أو الرفض
5) معاودة الاتصال
6) قيد المراجعة
7) قطع الاتصال</t>
  </si>
  <si>
    <t>لقد تم توجيهك إلى جهاز الرد الالي</t>
  </si>
  <si>
    <t>رن الهاتف ولم يرد أحد</t>
  </si>
  <si>
    <t>الحالة تحتاج إلى مراجعة من قبل مشرف</t>
  </si>
  <si>
    <t>تم فصل الهاتف أو الهاتف خارج الخدمة</t>
  </si>
  <si>
    <t>يرجى إخبارنا سبب رفضك للمشاركة في هذه الدراسة.
[المشغل: استجابة واحدة]
1) غير مهتم
2) لا أريد أن يتم تسجيلي
3) آخر [حدد]</t>
  </si>
  <si>
    <t>ما هو التاريخ / الوقت المناسب لمعاودة الاتصال بك؟
[RECORD HH / MM / DD / MM of CALLBACK]</t>
  </si>
  <si>
    <t>شكرًا لك ، سوف نعاود الاتصال بك في #WhenCallBack# الذي طلبته. شكرا لك مرة أخرى و نتمنى لك يوم جميل!
[المُشغل: أدخل ملاحظات الاتصال أدناه ، مع من تحدثت وماذا قالوا]</t>
  </si>
  <si>
    <t>شكراً جزيلاً على وقتك، سنقوم بحذف إسمك من دراسة اليوم.</t>
  </si>
  <si>
    <t>ما اسمك؟
[المُشغل: سجل اسم المجيب. أدخل 999 في حالة الرفض.]</t>
  </si>
  <si>
    <t>ما هو اسم عائلتك؟
[المُشغل: سجل اسم عائلة المجيب. أدخل 999 في حالة الرفض.]</t>
  </si>
  <si>
    <t>كم عمرك؟
[المُشغل: سجل العمر في عدد السنوات. قم بالتقريب لأقرب رقم كامل. إذا أعطى المجيب سنة الميلاد ، فكرر السؤال. أدخل 00 للا أعرف.]</t>
  </si>
  <si>
    <t>ما هو جنس المجيب؟
[المُشغل: لا تطرح هذا السؤال. استمع إلى الصوت وحدد المربع الصحيح.]
1) ذكر
2) أنثى
3) لا أعرف
4) رفض الإجابة</t>
  </si>
  <si>
    <t>هل رقم الهاتف الذي أتصل به هو رقمك أو رقم أحد أفراد أسرتك؟
[المشغل: استجابة واحدة.]
1) نعم
2) لا
3) لا أعرف
4) رفض الإجابة</t>
  </si>
  <si>
    <t>هل يمكن أن تعطيني رقم هاتف إضافي يخصك ، أو يخص قريبًا أو صديقًا يمكن الوصول إليك من خلاله؟
[المشغل: استجابة واحدة.]
1) نعم - لي
2) نعم - صديق أو قريب
3) لا
4) لا أعرف
5) رفض الإجابة</t>
  </si>
  <si>
    <t>ما هو رقم هاتفك؟
( المشغل: قم بتسجيل الرقم المعطي لك )</t>
  </si>
  <si>
    <t>ما هو رقم الهاتف الإضافي؟
( المشغل: قم بتسجيل الرقم المعطي لك )</t>
  </si>
  <si>
    <t>ما هو اسم صاحب رقم الهاتف الإضافي الذي قمت بمشاركته؟
( المشغل: قم بتسجيل اسم صاحب رقم الهاتف )</t>
  </si>
  <si>
    <t>ما هو اسم صاحب رقم الهاتف الإضافي الذي قمت بمشاركته؟
(المشغل: قم بتسجيل اسم صاحب رقم الهاتف)</t>
  </si>
  <si>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</si>
  <si>
    <t>هل رب أسرتك ذكر أم أنثى؟
[المشغل: استجابة واحدة.]
1) ذكر
2) أنثى
3) لا أعرف
4) رفض الإجابة</t>
  </si>
  <si>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</si>
  <si>
    <t>من أين تأتي المياه التي تشربونها في المنزل؟
[المُشغل: استجابة واحدة.]
1) صنبور خاص من مياه الأنابيب
2) صنبور عام
3) بئر محمي
4) المياه المعبأة
5) مصدر آمن آخر
6) نهر
7) بئر غير محمي
8) مياه الينابيع
9) قناة أو مياه سطحية أخرى
10) مصدر آخر غير آمن
11) لا أعرف
12) رفض الإجابة</t>
  </si>
  <si>
    <t>ما هي الحالة الاجتماعية الحالية لرب الأسرة؟
[المشغل: استجابة واحدة.]
1) أعزب / لم يتزوج قط
2) متزوج
3) منفصل
4) مطلق
5) أرمل
6) لا أعرف
7) رفض الإجابة</t>
  </si>
  <si>
    <t>كم عمر رب الاسرة؟
[المشغل: استجابة واحدة.]
1) أقل من 18 عامًا
2) بين 18 و 40 عامًا
3) بين 41 و 65 عامًا
4) فوق 65 عامًا
5) لا أعرف
6) رفض الإجابة</t>
  </si>
  <si>
    <t>هل المحاصيل التي تبيعها من إنتاجك أنت أو أي شخص في أسرتك؟
[المشغل: استجابة واحدة.]
1) نعم
2) لا
3) لا أعرف
4) رفض الإجابة</t>
  </si>
  <si>
    <t>هل المواشي ومنتجاتها التي تبيعها من إنتاجك أنت أو أي شخص في أسرتك؟
[المشغل: استجابة واحدة.]
1) نعم
2) لا
3) لا أعرف
4) رفض الإجابة</t>
  </si>
  <si>
    <t>هل منتجات الأسماك التي تبيعها من إنتاجك أنت أو أي شخص في أسرتك؟
[المشغل: استجابة واحدة.]
1) نعم
2) لا
3) لا أعرف
4) رفض الإجابة</t>
  </si>
  <si>
    <r>
      <t xml:space="preserve">هل تغير دخل أسرتك من {income_main} في الأشهر الثلاثة الماضية مقارنة بنفس الفترة من </t>
    </r>
    <r>
      <rPr>
        <b/>
        <sz val="12"/>
        <color rgb="FF7030A0"/>
        <rFont val="Calibri (Body)"/>
      </rPr>
      <t>$reference year AR$</t>
    </r>
    <r>
      <rPr>
        <sz val="12"/>
        <rFont val="Calibri"/>
        <family val="2"/>
        <scheme val="minor"/>
      </rPr>
      <t>؟
[المشغل: استجابة واحدة.]
1) أكثر بكثير [زاد بنسبة تزيد عن 50٪]
2) أكثر قليلا
3) نفس الشيء
4) أقل قليلاً
5) أقل بكثير [أقل من نصف الكمية]
6) لا أعرف
7) رفض الإجابة</t>
    </r>
  </si>
  <si>
    <r>
      <t xml:space="preserve">هل تغير دخل أسرتك من {income_sec} في الأشهر الثلاثة الماضية مقارنة بنفس الفترة من </t>
    </r>
    <r>
      <rPr>
        <b/>
        <sz val="12"/>
        <color rgb="FF7030A0"/>
        <rFont val="Calibri (Body)"/>
      </rPr>
      <t>$reference year AR$</t>
    </r>
    <r>
      <rPr>
        <sz val="12"/>
        <rFont val="Calibri"/>
        <family val="2"/>
        <scheme val="minor"/>
      </rPr>
      <t>؟
[المشغل: استجابة واحدة.]
1) أكثر بكثير [زاد بنسبة تزيد عن 50٪]
2) أكثر قليلا
3) نفس الشيء
4) أقل قليلاً
5) أقل بكثير [أقل من نصف الكمية]
6) لا أعرف
7) رفض الإجابة</t>
    </r>
  </si>
  <si>
    <r>
      <t xml:space="preserve">هل تغير دخل أسرتك من {income_third} في الأشهر الثلاثة الماضية مقارنة بنفس الفترة من </t>
    </r>
    <r>
      <rPr>
        <b/>
        <sz val="12"/>
        <color rgb="FF7030A0"/>
        <rFont val="Calibri (Body)"/>
      </rPr>
      <t>$reference year AR$</t>
    </r>
    <r>
      <rPr>
        <sz val="12"/>
        <rFont val="Calibri"/>
        <family val="2"/>
        <scheme val="minor"/>
      </rPr>
      <t>؟
[المشغل: استجابة واحدة.]
1) أكثر بكثير [زاد بنسبة تزيد عن 50٪]
2) أكثر قليلا
3) نفس الشيء
4) أقل قليلاً
5) أقل بكثير [أقل من نصف الكمية]
6) لا أعرف
7) رفض الإجابة</t>
    </r>
  </si>
  <si>
    <t>إذا تأثرت أسرتك بصدمة كبيرة حديثة ذات صلة بهذا الاستبيان (على سبيل المثال ، زلزال) ، فما هي في رأيك عواقب التي شوهدت بالفعل أو المتوقعه  على أسرتك ، بكلماتك الخاصة؟
[المُشغل: سجل في بضع كلمات العواقب الرئيسية للصدمات الأخيرة . أدخل 88 للا أعرف و 99 في حالة الرفض.]</t>
  </si>
  <si>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</si>
  <si>
    <t>وحدة قياس حصاد {crp_main}:
[المشغل: اختيار واحد]
1) كيلوغرامات [كلغ]
2) أطنان
3) أوقية
4) أرطال
5) أكياس
6) صناديق
7) حزم
8) رزمات
9) آخر [حدد]</t>
  </si>
  <si>
    <t>كم كيلوغرام [كلغ] في كل وحدة؟
[المُشغل: سجل المبلغ المعطى. أدخل 88888 لـلا أعرف و 99999 في حالة الرفض]</t>
  </si>
  <si>
    <t>كم {crp_harv_unit} من {crp_main}   (المدروس/ة) قمت بحصادها العام الماضي خلال نفس الموسم؟
[المُشغل: سجل الاستجابة المُعطاة. أدخل 8888888 لـلا أعرف و 9999999 في حالة الرفض ، والتي يجب استخدامها نادرًا - تحقق!]</t>
  </si>
  <si>
    <t>في العام الماضي ، ما هي نسبة مخزونك التي خسرتها (بسبب الآفات ، والتعفن ، والعفن ، وما إلى ذلك) من إجمالي {crp_main} المخزن؟
[المشغل: استجابة واحدة.]
1) لا شيء
2) قليلا
3) جزء مهم منه ولكن أقل من النصف
4) معظمها [نصف أو أكثر]
5) كل شيء تقريبا
6) كل شيء
7) لا أعرف
8) رفض الإجابة</t>
  </si>
  <si>
    <t>هل تزرع أي محاصيل أخرى غير {crp_main} ، وإذا كان الأمر كذلك فما هي؟
1) لا محاصيل أخرى
2) لا أعرف
3) رفض الإجابة</t>
  </si>
  <si>
    <t>هل واجهت أسرتك أي صعوبة خلال الأشهر الثلاثة الماضية في بيع {crp_salesmain}؟
[المشغل: استجابة واحدة.]
1) نعم
2) لا
3) لا أعرف
4) رفض الإجابة</t>
  </si>
  <si>
    <r>
      <t>كيف تقارن السعر الحالي ل{crp_salesmain} لأسرتك بمتوسط ​​السعر في نفس الفترة من $</t>
    </r>
    <r>
      <rPr>
        <b/>
        <sz val="12"/>
        <color rgb="FF7030A0"/>
        <rFont val="Calibri (Body)"/>
      </rPr>
      <t>reference year AR$</t>
    </r>
    <r>
      <rPr>
        <sz val="12"/>
        <color theme="1"/>
        <rFont val="Calibri"/>
        <family val="2"/>
        <scheme val="minor"/>
      </rPr>
      <t>؟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r>
  </si>
  <si>
    <t>سنطرح عليك الآن بعض الأسئلة حول إنتاج الماشية التي تنطبق عليك وعلى أي شخص في أسرتك يشارك في إنتاج الماشية أو بيعها.
1) تابع</t>
  </si>
  <si>
    <t>ما هو الحيوان الرئيسي الذي قامت أسرتك بتربيته من أجل الغذاء وتوليد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</si>
  <si>
    <t>كم {ls_main] كان لديك في نفس الوقت من العام الماضي؟
[المُشغل: سجل عدد الحيوانات. أدخل 88888 للا أعرف و 99999 في حالة الرفض.]</t>
  </si>
  <si>
    <t>كم {ls_main} لديك الآن؟
[المُشغل: سجل عدد الحيوانات. أدخل 88888 للا أعرف و 99999 في حالة الرفض.]</t>
  </si>
  <si>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</si>
  <si>
    <t>هل واجهت أسرتك أي صعوبة في إنتاج الماشية خلال الأشهر الثلاثة الماضية؟
[المشغل: استجابة واحدة.]
1) نعم
2) لا
3) لا أعرف
4) رفض الإجابة</t>
  </si>
  <si>
    <t>هل تملك أي ماشية أخرى غير {ls_main} ، وإذا كان الأمر كذلك فما هي؟
[المُشغل: "لا مواشي أخرى" موجودة في خيارات الإجابة الأخيرة. حدد كل الحيوانات المدرجة.]
1) لا مواشي أخرى
2) لا أعرف
3) رفض الإجابة</t>
  </si>
  <si>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</si>
  <si>
    <t>هل واجهت أسرتك أي صعوبة خلال الأشهر الثلاثة الماضية في بيع #ls_salesmain#؟
[المشغل: استجابة واحدة.]
1) نعم
2) لا
3) لا أعرف
4) رفض الإجابة</t>
  </si>
  <si>
    <r>
      <t xml:space="preserve">كيف تقارن السعر الحالي ل {ls_salesmain} لأسرتك بمتوسط ​​السعر في نفس الفترة من </t>
    </r>
    <r>
      <rPr>
        <b/>
        <sz val="12"/>
        <color rgb="FF7030A0"/>
        <rFont val="Calibri (Body)"/>
      </rPr>
      <t>$reference year AR$</t>
    </r>
    <r>
      <rPr>
        <sz val="12"/>
        <rFont val="Calibri"/>
        <family val="2"/>
        <scheme val="minor"/>
      </rPr>
      <t>؟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r>
  </si>
  <si>
    <t>سنطرح عليك الآن بعض الأسئلة حول إنتاج الأسماك وتربية الأحياء المائية والتي تنطبق عليك وعلى أي شخص في أسرتك يشارك في إنتاج أو بيع الأسماك / تربية الأحياء المائية.
1) تابع</t>
  </si>
  <si>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</si>
  <si>
    <t>كيف يتم صيد الأسماك [الصيد] في الأشهر الثلاثة الماضية [أو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</si>
  <si>
    <t>هل واجهت أسرتك أي صعوبة خلال الأشهر الثلاثة الماضية في بيع  و تسويق  {fish_salesmain}؟
[المشغل: استجابة واحدة]
1) نعم
2) لا
3) لا أعرف
4) رفض الإجابة</t>
  </si>
  <si>
    <r>
      <t xml:space="preserve">كيف تقارن السعر الحالي لبيع  {fish_salesmain}  لأسرتك بمتوسط ​​السعر في نفس الفترة من </t>
    </r>
    <r>
      <rPr>
        <b/>
        <sz val="12"/>
        <color rgb="FF7030A0"/>
        <rFont val="Calibri (Body)"/>
      </rPr>
      <t>$reference year AR$</t>
    </r>
    <r>
      <rPr>
        <sz val="12"/>
        <rFont val="Calibri"/>
        <family val="2"/>
        <scheme val="minor"/>
      </rPr>
      <t>؟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r>
  </si>
  <si>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</si>
  <si>
    <r>
      <t>خلال الثلاثين يومًا الماضية ، هل كان هناك وقت شعرت فيه أنت أو غيرك من أفراد أسرتك</t>
    </r>
    <r>
      <rPr>
        <u/>
        <sz val="12"/>
        <rFont val="Calibri"/>
        <family val="2"/>
        <scheme val="minor"/>
      </rPr>
      <t xml:space="preserve"> بالقلق من عدم وجود ما يكفي من الطعام للأكل</t>
    </r>
    <r>
      <rPr>
        <sz val="12"/>
        <rFont val="Calibri"/>
        <family val="2"/>
        <scheme val="minor"/>
      </rPr>
      <t xml:space="preserve"> بسبب نقص المال أو الموارد الأخرى؟
[المشغل: استجابة واحدة]
1) نعم
2) لا
3) لا أعرف
4) رفض الإجابة</t>
    </r>
  </si>
  <si>
    <r>
      <t xml:space="preserve">خلال الثلاثين يومًا الماضية ، هل كان هناك وقت </t>
    </r>
    <r>
      <rPr>
        <u/>
        <sz val="12"/>
        <rFont val="Calibri"/>
        <family val="2"/>
        <scheme val="minor"/>
      </rPr>
      <t>لم تتمكن فيه أنت أو غيرك من أفراد أسرتك من تناول طعام صحي ومغذي</t>
    </r>
    <r>
      <rPr>
        <sz val="12"/>
        <rFont val="Calibri"/>
        <family val="2"/>
        <scheme val="minor"/>
      </rPr>
      <t xml:space="preserve"> بسبب نقص المال أو الموارد الأخرى؟
[المشغل: استجابة واحدة]
1) نعم
2) لا
3) لا أعرف
4) رفض الإجابة</t>
    </r>
  </si>
  <si>
    <r>
      <t>خلال الثلاثين يومًا الماضية ، هل كان هناك وقت كنت تأكل فيه أنت أو غيرك من أفراد أسرتك</t>
    </r>
    <r>
      <rPr>
        <u/>
        <sz val="12"/>
        <rFont val="Calibri"/>
        <family val="2"/>
        <scheme val="minor"/>
      </rPr>
      <t xml:space="preserve"> أنواعًا قليلة فقط من الأطعمة</t>
    </r>
    <r>
      <rPr>
        <sz val="12"/>
        <rFont val="Calibri"/>
        <family val="2"/>
        <scheme val="minor"/>
      </rPr>
      <t xml:space="preserve"> بسبب نقص المال أو الموارد الأخرى؟
[المشغل: استجابة واحدة]
1) نعم
2) لا
3) لا أعرف
4) رفض الإجابة</t>
    </r>
  </si>
  <si>
    <r>
      <t xml:space="preserve">خلال الثلاثين يومًا الماضية ، هل كان هناك وقت اضطررت فيه أنت أو غيرك من أفراد أسرتك إلى </t>
    </r>
    <r>
      <rPr>
        <u/>
        <sz val="12"/>
        <rFont val="Calibri"/>
        <family val="2"/>
        <scheme val="minor"/>
      </rPr>
      <t xml:space="preserve">تخطي وجبة </t>
    </r>
    <r>
      <rPr>
        <sz val="12"/>
        <rFont val="Calibri"/>
        <family val="2"/>
        <scheme val="minor"/>
      </rPr>
      <t>بسبب نقص المال أو الموارد الأخرى للحصول على الطعام؟
[المشغل: استجابة واحدة]
1) نعم
2) لا
3) لا أعرف
4) رفض الإجابة</t>
    </r>
  </si>
  <si>
    <r>
      <t xml:space="preserve">خلال الثلاثين يومًا الماضية ، هل كان هناك وقت تناولت فيه أنت أو غيرك من أفراد أسرتك </t>
    </r>
    <r>
      <rPr>
        <u/>
        <sz val="12"/>
        <rFont val="Calibri"/>
        <family val="2"/>
        <scheme val="minor"/>
      </rPr>
      <t>أقل مما كنت تعتقد أنه يجب عليك تناوله من الطعام</t>
    </r>
    <r>
      <rPr>
        <sz val="12"/>
        <rFont val="Calibri"/>
        <family val="2"/>
        <scheme val="minor"/>
      </rPr>
      <t xml:space="preserve"> بسبب نقص المال أو الموارد الأخرى؟
[المشغل: استجابة واحدة]
1) نعم
2) لا
3) لا أعرف
4) رفض الإجابة</t>
    </r>
  </si>
  <si>
    <r>
      <t xml:space="preserve">خلال الثلاثين يومًا الماضية ، هل كان هناك وقت </t>
    </r>
    <r>
      <rPr>
        <u/>
        <sz val="11"/>
        <rFont val="Calibri"/>
        <family val="2"/>
        <scheme val="minor"/>
      </rPr>
      <t xml:space="preserve">لم يكن فيه أي نوع طعام تأكله </t>
    </r>
    <r>
      <rPr>
        <sz val="11"/>
        <rFont val="Calibri"/>
        <family val="2"/>
        <scheme val="minor"/>
      </rPr>
      <t>في منزلك بسبب نقص الموارد للحصول على الطعام؟
[المشغل: استجابة واحدة]
1) نعم
2) لا
3) لا أعرف
4) رفض الإجابة</t>
    </r>
  </si>
  <si>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</si>
  <si>
    <r>
      <t xml:space="preserve">خلال الثلاثين يومًا الماضية ، هل سبق لك أو لأي فرد من أفراد أسرتك </t>
    </r>
    <r>
      <rPr>
        <u/>
        <sz val="11"/>
        <rFont val="Calibri"/>
        <family val="2"/>
        <scheme val="minor"/>
      </rPr>
      <t>أن تنام ليلاً وأنت جائع</t>
    </r>
    <r>
      <rPr>
        <sz val="11"/>
        <rFont val="Calibri"/>
        <family val="2"/>
        <scheme val="minor"/>
      </rPr>
      <t xml:space="preserve"> بسبب عدم وجود طعام كافٍ؟
[المشغل: استجابة واحدة]
1) نعم
2) لا
3) لا أعرف
4) رفض الإجابة</t>
    </r>
  </si>
  <si>
    <r>
      <t xml:space="preserve">خلال الثلاثين يومًا الماضية ، هل قضيت أنت أو أي فرد من أفراد أسرتك </t>
    </r>
    <r>
      <rPr>
        <u/>
        <sz val="11"/>
        <rFont val="Calibri"/>
        <family val="2"/>
        <scheme val="minor"/>
      </rPr>
      <t>يومًا كاملاً ليلاً ونهارًا دون تناول أي شيء على الإطلاق</t>
    </r>
    <r>
      <rPr>
        <sz val="11"/>
        <rFont val="Calibri"/>
        <family val="2"/>
        <scheme val="minor"/>
      </rPr>
      <t xml:space="preserve"> بسبب عدم وجود ما يكفي من الطعام؟
[المشغل: استجابة واحدة]
1) نعم
2) لا
3) لا أعرف
4) رفض الإجابة</t>
    </r>
  </si>
  <si>
    <t>الآن أود أن أسألك عن المجموعة الثانية من الأسئلة حول استراتيجيات المواجهة ، بالإشارة إلى الثلاثين يومًا الماضية.
[المشغل: استجابة واحدة]
1) التالي</t>
  </si>
  <si>
    <r>
      <t xml:space="preserve">خلال الثلاثين يومًا الماضية ، هل اضطر أي فرد في أسرتك إلى </t>
    </r>
    <r>
      <rPr>
        <u/>
        <sz val="12"/>
        <rFont val="Calibri"/>
        <family val="2"/>
        <scheme val="minor"/>
      </rPr>
      <t>إنفاق مدخرات</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</si>
  <si>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خلال الثلاثين يومًا الماضية ، هل اضطر أي فرد في أسرتك </t>
    </r>
    <r>
      <rPr>
        <u/>
        <sz val="12"/>
        <rFont val="Calibri"/>
        <family val="2"/>
        <scheme val="minor"/>
      </rPr>
      <t>لبيع حيوانات (غير تناسلية) أكثر من المعتاد</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</si>
  <si>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خلال الثلاثين يومًا الماضية ، هل اضطر أي فرد في أسرتك إلى</t>
    </r>
    <r>
      <rPr>
        <u/>
        <sz val="12"/>
        <rFont val="Calibri"/>
        <family val="2"/>
        <scheme val="minor"/>
      </rPr>
      <t xml:space="preserve"> إرسال أفراد الأسرة لتناول الطعام في مكان آخر</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</si>
  <si>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خلال الثلاثين يومًا الماضية ، هل اضطر أي فرد في أسرتك إلى </t>
    </r>
    <r>
      <rPr>
        <u/>
        <sz val="12"/>
        <rFont val="Calibri"/>
        <family val="2"/>
        <scheme val="minor"/>
      </rPr>
      <t>اقتراض الطعام أو الاعتماد على مساعدة الأصدقاء أو الأقارب</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</si>
  <si>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خلال الثلاثين يومًا الماضية ، هل اضطر أي فرد في أسرتك إلى </t>
    </r>
    <r>
      <rPr>
        <u/>
        <sz val="12"/>
        <rFont val="Calibri"/>
        <family val="2"/>
        <scheme val="minor"/>
      </rPr>
      <t>شراء الطعام عن طريق الائتمان أو اقتراض الطعام</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</si>
  <si>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خلال الثلاثين يومًا الماضية ، هل اضطر أي فرد في أسرتك إلى </t>
    </r>
    <r>
      <rPr>
        <u/>
        <sz val="12"/>
        <rFont val="Calibri"/>
        <family val="2"/>
        <scheme val="minor"/>
      </rPr>
      <t>اقتراض المال</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</si>
  <si>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خلال الثلاثين يومًا الماضية ، هل اضطر أي فرد في أسرتك إلى</t>
    </r>
    <r>
      <rPr>
        <u/>
        <sz val="12"/>
        <rFont val="Calibri"/>
        <family val="2"/>
        <scheme val="minor"/>
      </rPr>
      <t xml:space="preserve"> نقل أطفاله إلى مدرسة أقل تكلفة</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</si>
  <si>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خلال الثلاثين يومًا الماضية ، هل اضطر أي شخص في أسرتك إلى </t>
    </r>
    <r>
      <rPr>
        <u/>
        <sz val="12"/>
        <rFont val="Calibri"/>
        <family val="2"/>
        <scheme val="minor"/>
      </rPr>
      <t>بيع أصول منتجة أو وسائل نقل</t>
    </r>
    <r>
      <rPr>
        <sz val="12"/>
        <rFont val="Calibri"/>
        <family val="2"/>
        <scheme val="minor"/>
      </rPr>
      <t xml:space="preserve"> (ماكينة خياطة ، عربة يد ، دراجة ، سيارة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</si>
  <si>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خلال الثلاثين يومًا الماضية ، هل اضطر أي فرد في أسرتك إلى </t>
    </r>
    <r>
      <rPr>
        <u/>
        <sz val="12"/>
        <rFont val="Calibri"/>
        <family val="2"/>
        <scheme val="minor"/>
      </rPr>
      <t>سحب أطفاله من المدرسة</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</si>
  <si>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خلال الثلاثين يومًا الماضية ، هل اضطر أي فرد في أسرتك إلى </t>
    </r>
    <r>
      <rPr>
        <u/>
        <sz val="12"/>
        <rFont val="Calibri"/>
        <family val="2"/>
        <scheme val="minor"/>
      </rPr>
      <t>تقليل النفقات على الصحة</t>
    </r>
    <r>
      <rPr>
        <sz val="12"/>
        <rFont val="Calibri"/>
        <family val="2"/>
        <scheme val="minor"/>
      </rPr>
      <t xml:space="preserve">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</si>
  <si>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خلال الثلاثين يومًا الماضية ، هل اضطر أي فرد في أسرتك إلى </t>
    </r>
    <r>
      <rPr>
        <u/>
        <sz val="12"/>
        <rFont val="Calibri"/>
        <family val="2"/>
        <scheme val="minor"/>
      </rPr>
      <t>حصاد المحاصيل غير الناضجة (مثل الذرة الخضراء)</t>
    </r>
    <r>
      <rPr>
        <sz val="12"/>
        <rFont val="Calibri"/>
        <family val="2"/>
        <scheme val="minor"/>
      </rPr>
      <t xml:space="preserve"> لتناولها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</si>
  <si>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خلال الثلاثين يومًا الماضية ، هل </t>
    </r>
    <r>
      <rPr>
        <u/>
        <sz val="12"/>
        <rFont val="Calibri"/>
        <family val="2"/>
        <scheme val="minor"/>
      </rPr>
      <t>استهلك أي شخص في أسرتك مخزون البذور الذي كان من المقرر الاحتفاظ به / حفظه لموسم الزراعة التالي</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</si>
  <si>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خلال الثلاثين يومًا الماضية ، هل اضطر أي شخص في أسرتك إلى </t>
    </r>
    <r>
      <rPr>
        <u/>
        <sz val="12"/>
        <rFont val="Calibri"/>
        <family val="2"/>
        <scheme val="minor"/>
      </rPr>
      <t>تقليل الإنفاق على الأسمدة ومبيدات الآفات والأعلاف والأعلاف الحيوانية والرعاية البيطرية وما إلى ذلك</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</si>
  <si>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خلال الثلاثين يومًا الماضية ، هل اضطر أي فرد في أسرتك إلى </t>
    </r>
    <r>
      <rPr>
        <u/>
        <sz val="12"/>
        <rFont val="Calibri"/>
        <family val="2"/>
        <scheme val="minor"/>
      </rPr>
      <t>بيع منزل أو أرض</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</si>
  <si>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خلال الثلاثين يومًا الماضية ، هل اضطر أي فرد في أسرتك إلى </t>
    </r>
    <r>
      <rPr>
        <u/>
        <sz val="12"/>
        <rFont val="Calibri"/>
        <family val="2"/>
        <scheme val="minor"/>
      </rPr>
      <t>التسول</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</si>
  <si>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خلال الثلاثين يومًا الماضية ، هل اضطر أي فرد في أسرتك للانخراط في </t>
    </r>
    <r>
      <rPr>
        <u/>
        <sz val="12"/>
        <rFont val="Calibri"/>
        <family val="2"/>
        <scheme val="minor"/>
      </rPr>
      <t>أنشطة دخل غير قانونية أو مهينة (السرقة ، الدعارة)</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</si>
  <si>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خلال الثلاثين يومًا الماضية ، هل اضطر أي فرد في أسرتك </t>
    </r>
    <r>
      <rPr>
        <u/>
        <sz val="12"/>
        <rFont val="Calibri"/>
        <family val="2"/>
        <scheme val="minor"/>
      </rPr>
      <t>لبيع آخر إناث الحيوانات</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</si>
  <si>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خلال الثلاثين يومًا الماضية ، هل اضطرت </t>
    </r>
    <r>
      <rPr>
        <u/>
        <sz val="12"/>
        <rFont val="Calibri"/>
        <family val="2"/>
        <scheme val="minor"/>
      </rPr>
      <t>أسرتك بأكملها إلى الهجرة</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</si>
  <si>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الآن أود أن أسألك عن المجموعة الثالثة من الأسئلة حول استهلاك الغذاء ، بالإشارة إلى </t>
    </r>
    <r>
      <rPr>
        <u/>
        <sz val="12"/>
        <color theme="1"/>
        <rFont val="Calibri"/>
        <family val="2"/>
        <scheme val="minor"/>
      </rPr>
      <t>24 ساعة أمس</t>
    </r>
    <r>
      <rPr>
        <sz val="12"/>
        <color theme="1"/>
        <rFont val="Calibri"/>
        <family val="2"/>
        <scheme val="minor"/>
      </rPr>
      <t>.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r>
  </si>
  <si>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</si>
  <si>
    <t>الآن أود أن أسألك عن الأطعمة والمشروبات التي أكلتها أو شربتها أسرتك في آخر 7 أيام خلال النهار والليل [الإفطار ، والغداء ، والعشاء ، والوجبات الخفيفة]
1) تابع</t>
  </si>
  <si>
    <r>
      <t xml:space="preserve">الآن سوف أسألك عن عدد الأيام ، </t>
    </r>
    <r>
      <rPr>
        <u/>
        <sz val="12"/>
        <color theme="1"/>
        <rFont val="Calibri"/>
        <family val="2"/>
        <scheme val="minor"/>
      </rPr>
      <t>في الأيام السبعة الماضية</t>
    </r>
    <r>
      <rPr>
        <sz val="12"/>
        <color theme="1"/>
        <rFont val="Calibri"/>
        <family val="2"/>
        <scheme val="minor"/>
      </rPr>
      <t xml:space="preserve"> ، والتي قامت خلالها الأسرة ببعض الإجراءات التي سأذكرها للتغلب على نقص الطعام أو المال لشراء الطعام.
1) تابع</t>
    </r>
  </si>
  <si>
    <r>
      <t xml:space="preserve">في الأيام السبعة الماضية ، كم عدد الأيام التي اعتمدت فيها أسرتك على </t>
    </r>
    <r>
      <rPr>
        <u/>
        <sz val="12"/>
        <color theme="1"/>
        <rFont val="Calibri"/>
        <family val="2"/>
        <scheme val="minor"/>
      </rPr>
      <t>طعام أقل تفضيلًا أو أقل تكلفة</t>
    </r>
    <r>
      <rPr>
        <sz val="12"/>
        <color theme="1"/>
        <rFont val="Calibri"/>
        <family val="2"/>
        <scheme val="minor"/>
      </rPr>
      <t xml:space="preserve"> بسبب نقص الطعام / المال؟
[المُشغل: سجل عدد الأيام من صفر إلى 7]</t>
    </r>
  </si>
  <si>
    <r>
      <t xml:space="preserve">في الأيام السبعة الماضية ، كم عدد الأيام التي </t>
    </r>
    <r>
      <rPr>
        <u/>
        <sz val="12"/>
        <color theme="1"/>
        <rFont val="Calibri"/>
        <family val="2"/>
        <scheme val="minor"/>
      </rPr>
      <t>استعارت فيها أسرتك الطعام ، أو اعتمدت على المساعدة من صديق أو قريب</t>
    </r>
    <r>
      <rPr>
        <sz val="12"/>
        <color theme="1"/>
        <rFont val="Calibri"/>
        <family val="2"/>
        <scheme val="minor"/>
      </rPr>
      <t xml:space="preserve"> بسبب نقص الطعام أو المال لشراء الطعام؟
[المُشغل: سجل عدد الأيام من صفر إلى 7]</t>
    </r>
  </si>
  <si>
    <r>
      <t xml:space="preserve">في الأيام السبعة الماضية ، كم عدد الأيام التي </t>
    </r>
    <r>
      <rPr>
        <u/>
        <sz val="12"/>
        <color theme="1"/>
        <rFont val="Calibri"/>
        <family val="2"/>
        <scheme val="minor"/>
      </rPr>
      <t xml:space="preserve">قللت فيها أسرتك عدد الوجبات التي يتم تناولها في اليوم </t>
    </r>
    <r>
      <rPr>
        <sz val="12"/>
        <color theme="1"/>
        <rFont val="Calibri"/>
        <family val="2"/>
        <scheme val="minor"/>
      </rPr>
      <t>بسبب نقص الطعام أو المال لشراء الطعام؟
[المُشغل: سجل عدد الأيام من صفر إلى 7]</t>
    </r>
  </si>
  <si>
    <r>
      <t>في الأيام السبعة الماضية ، كم عدد الأيام التي</t>
    </r>
    <r>
      <rPr>
        <u/>
        <sz val="12"/>
        <color theme="1"/>
        <rFont val="Calibri"/>
        <family val="2"/>
        <scheme val="minor"/>
      </rPr>
      <t xml:space="preserve"> حددت فيها أسرتك أحجام الحصص في وقت الوجبة</t>
    </r>
    <r>
      <rPr>
        <sz val="12"/>
        <color theme="1"/>
        <rFont val="Calibri"/>
        <family val="2"/>
        <scheme val="minor"/>
      </rPr>
      <t xml:space="preserve"> بسبب نقص الطعام أو المال لشراء الطعام؟
[المُشغل: سجل عدد الأيام من صفر إلى 7]</t>
    </r>
  </si>
  <si>
    <r>
      <t xml:space="preserve">في الأيام السبعة الماضية ، كم عدد الأيام التي قامت فيها أسرتك </t>
    </r>
    <r>
      <rPr>
        <u/>
        <sz val="12"/>
        <rFont val="Calibri"/>
        <family val="2"/>
        <scheme val="minor"/>
      </rPr>
      <t>بتقييد استهلاك البالغين حتى يتمكن الأطفال من تناول الطعام</t>
    </r>
    <r>
      <rPr>
        <sz val="12"/>
        <rFont val="Calibri"/>
        <family val="2"/>
        <scheme val="minor"/>
      </rPr>
      <t xml:space="preserve"> ، بسبب نقص الطعام أو المال لشراء الطعام؟
[المُشغل: سجل عدد الأيام من صفر إلى 7]</t>
    </r>
  </si>
  <si>
    <t>ستساعدنا إجاباتك على فهم احتياجات مجتمعك والاستجابة لها. هل يمكننا الاتصال بك مرة أخرى في غضون بضعة أشهر؟
[المشغل: استجابة واحدة.]
1) نعم
2) لا</t>
  </si>
  <si>
    <t>هل يمكنك تزويدي بمعلومات الاتصال الخاصة بقائد/شخص مسؤول في مجتمعك؟
[المشغل: استجابة واحدة.]
1) نعم
2) لا
3) لا أعرف
4) رفض الإجابة</t>
  </si>
  <si>
    <t>ما وظيفة هذا القائد/الشخص المسؤول لمن يمكنك تزويد المعلومات ؟
[المشغل: استجابة واحدة.]
1) مدير قرية / بلدة
2) مرشد زراعي
3) اخصائي إرشاد صحي
4) مدرس
5) آخر (حدد)
6) لا أعرف
7) رفض الإجابة</t>
  </si>
  <si>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</si>
  <si>
    <t>للمقابلات المستقبلية ، في أي وقت (أوقات) يمكنني الاتصال بك؟
[المُشغل: إمكانية الحصول على إجابات متعددة.]
1) الصباح
2) بعد الظهر
3) المساء</t>
  </si>
  <si>
    <r>
      <t xml:space="preserve">حدد اللغة التي تم استخدامها في الغالب لإكمال المقابلة.
[المشغل: استجابة واحدة.]
1) العربية
</t>
    </r>
    <r>
      <rPr>
        <b/>
        <sz val="12"/>
        <color theme="4"/>
        <rFont val="Calibri (Body)"/>
      </rPr>
      <t>2) لغات أخرى [متوافقة مع resp_language]</t>
    </r>
  </si>
  <si>
    <t>هل لديك رغبة في بالمشاركة في هذه الدراسة؟
[المشغل: استجابة واحدة]
1) نعم
2) ليس الآن ولكن في وقت آخر في الأسبوع
3) لا</t>
  </si>
  <si>
    <t xml:space="preserve">أنت غير مؤهل للمشاركة في هذه الدراسة، شكرًا لك على وقتك. ترقب دراسات GeoPoll المستقبلية! </t>
  </si>
  <si>
    <t>أين يذهب أفراد الأسرة عادة لاستخدام المرحاض؟
[المُشغل: استجابة واحدة.]
1) مرحاض دافق/مزود بنظام شطف [مرحاض به ماء]
2) مرحاض الحفرة التقليدي [بدون ماء]
3) حفرة مفتوحة [حفرة في الأرض للفضلات بدون ماء أو سقف أو جدار]
4) مرحاض مشترك/جماعي [بالماء أو بدون الماء]
5) لا شيء - في العراء
6) لا أعرف
7) رفض الإجابة</t>
  </si>
  <si>
    <t>ما هو المصدر الرئيسي للضوء في مسكنك؟
[المشغل: استجابة واحدة.]
1) الكهرباء [من المولدات أو الشبكة الكهربائية]
2) الشموع
3) مصباح البنزين
4) مصباح بالبطاريات
5) الالواح الشمسية
5) غير ذلك [لا يوجد تغذية كهربائية للمنزل]
6) لا أعرف
7) رفض الإجابة</t>
  </si>
  <si>
    <t>أي من أنواع الإقامة التالية يصف إقامتك بشكل أفضل؟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 تعيش في قريتك / بلدتك لمدة تزيد عن عامين وهذا ما تعتبره مكان إقامتك المعتاد
2) 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
3) 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
4) شخص نازح داخليًا - لقد أُجبرت على الفرار من قريتك أو بلدتك بسبب نزاع أو كارثة طبيعية وأنت الآن نازح داخليًا في مكان إقامتك الحالي
5) لاجئ - لقد أُجبرت على الفرار من بلدك بسبب نزاع أو كارثة طبيعية وأنت الآن لاجئ في مكان إقامتك الحالي
6) لا أعرف
7) رفض الإجابة</t>
  </si>
  <si>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</si>
  <si>
    <t>من المتحكم فى الدخل الذي تكسبه الاسرة من هذا المصدر ؟
[المشغل: استجابة واحدة.]
1) الافراد الذكور
2) الافراد الاناث
3) كلا من الذكور و الاناث
4) لا أعرف
5) رفض الإجابة</t>
  </si>
  <si>
    <t>ما هو جنس الفرد ( الأفراد ) داخل الاسرة الذين يحصلون علي الدخل من هذا المصدر ؟ 
[المشغل: استجابة واحدة.]
1) ذكر
2) أنثى 
3) مختلط ( ذكر و أنثى )
4) لا أعرف
5) رفض الإجابة</t>
  </si>
  <si>
    <t>ما هو ثالث أهم مصدر دخل لأسرتك فى الثلاثه أشهر الماضية ؟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المواشي ومنتجاتها
5) انتاج و بيع العسل أو منتجات النحل 
6) إنتاج وبيع الأسماك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ثالث للدخل خلال الأشهر الثلاثة الماضية واستخدمت المدخرات أو الدين حصريًا
20) رفض الإجابة</t>
  </si>
  <si>
    <t>ما هو ثاني أهم مصدر دخل لأسرتك فى الثلاثه أشهر الماضية ؟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المواشي ومنتجاتها
5) انتاج و بيع العسل أو منتجات النحل 
6) إنتاج وبيع الأسماك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ثاني للدخل خلال الأشهر الثلاثة الماضية واستخدمت المدخرات أو الدين حصريًا
20) رفض الإجابة</t>
  </si>
  <si>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المواشي ومنتجاتها
5) انتاج و بيع العسل أو منتجات النحل 
6) إنتاج وبيع الأسماك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</si>
  <si>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</si>
  <si>
    <t>هل تأثرت أنت أو أي شخص في أسرتك بقيود على الحركة أو إجراءات التباعد الاجتماعي التي تهدف إلى احتواء فيروس الكورونا في الأشهر الثلاثة الماضية؟
[المُشغل: احتمال وجود عدة استجابات.]
1) قيود على الحركة [تؤدي أحيانًا إلى ندرة المنتج أو ارتفاع الأسعار]
2) إغلاق أسواق المواد الغذائية أو غيرها من الأعمال التجارية
3) إغلاق الحدود الدولية [التي تؤثر على شراء المدخلات المستوردة أو بيع البضائع من أجل التصدير أو التنقل الرعوي]
4) الالتزام بالبقاء في المنزل
5) حظر التجمعات
6) إغلاق مصانع معالجة الأغذية [المسلخ / تعاونيات الألبان / إلخ] أو المطاعم
7) حظر التجول
8) إغلاق المدارس
9) آخر ( حدد)
10) لم نتأثر بأي قيود
11) لا أعرف
12) رفض الإجابة</t>
  </si>
  <si>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</si>
  <si>
    <t>هل يتعين عليك الدفع مقابل الحصول علي حقوق المياه ( علي سبيل المثال حقوق المياه ، صيانة البنية التحتية المشتركة،  الغاز للمضخات المشتركة ، إلخ ) ؟ 
[المشغل: استجابة واحدة.] 
1) نعم
2) لا
3) لا أعرف
4) رفض الإجابة</t>
  </si>
  <si>
    <t>من أين تحصل عادة على البذور؟
[المُشغل: احتمال وجود عدة استجابات.]
1) الإنتاج الخاص
2) اشتريها من السوق أو متجر المدخلات الزراعية
3) اشتريها  من شركة بذور خاصة
4) االمنظمات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</si>
  <si>
    <r>
      <t xml:space="preserve">ما هو المحصول الرئيسي الذي بعته خلال الأشهر الثلاثة الماضية؟
[المشغل: استجابة واحدة.]
</t>
    </r>
    <r>
      <rPr>
        <b/>
        <sz val="12"/>
        <color rgb="FF7030A0"/>
        <rFont val="Calibri (Body)"/>
      </rPr>
      <t>$CROPS SOLD AR$</t>
    </r>
  </si>
  <si>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وفاه الحيوانات نتيجة سوء التغذية / الجفاف / قلة الغذاء
7) وفاه الحيوانات نتيجة عوامل أخري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</si>
  <si>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</si>
  <si>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</si>
  <si>
    <t xml:space="preserve">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قله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(قله مدخلات المعالجة ، المعدات و غيرها ) 
7) تشبع السوق بالمنتجات 
8) آخر
9) لا اعرف
10 ) رفض الإجابة </t>
  </si>
  <si>
    <t xml:space="preserve">هل تمتلك أسرتك أي من الأصول الإنتاجية الآتية ؟
[المشغل: عدة استجابات محتملة. يرجي قراءة اختيارات الإجابة بصوت مرتفع]
1.أصول المعالجة (على سبيل المثال ماكينات الطحن و العصر)
2. آلات زراعية ( جرار زراعي ، محراث، منجل ، غيرها)
3. ماكينات الخياطة و حياكة الصوف
4. تاكسي (سيارة أجرة)
5. شاحنة
6. آلات و معدات انتاجية أخري
7. لا تمتلك أي آلات أو أصول انتاجية 
8. لا أعرف
9. رفض الإجابة
</t>
  </si>
  <si>
    <t>هل تمتلك انت أو اي فرد من أفراد أسرتك أي من أصول النقل التالية ؟
[المشغل: عدة استجابات محتملة. يرجي قراءة اختيارات الإجابة بصوت مرتفع]
1. دراجة
2. عربة تسوق 
3. قارب
4. دراجة نارية / سكوتر / عربة الريكاشة الآلية القيادة (توك توك)
5. سيارة 
6. سيارة نقل أو شاحنة صغيرة
7. مركبة أخري
8. لا شيء مما سبق
9. لا أعرف 
10. رفض الإجابة</t>
  </si>
  <si>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</si>
  <si>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</si>
  <si>
    <t>ما هو المنتج السمكي الرئيسي الذي باعته أسرتك في الأشهر الثلاثة الماضية؟
[المشغل: استجابة واحدة.]
1) السمك الطازج [أي نوع بما في ذلك اللافقاريات]
2) الاسماك المحفوظة [بما في ذلك الاسماك الجافة / الاسماك المدخنة / الاسماك المملحة]
3) الاسماك المجمدة
4) الاسماك المعلبة
5) آخر [حدد]
6) لا أعرف
7) رفض الإجابة</t>
  </si>
  <si>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
[المشغل: استجابة واحدة.]
1) نعم
2) لا
3) لا أعرف
4) رفض الإجابة</t>
  </si>
  <si>
    <t>ما هي أكبر احتياجات أسرتك للمساعدة في إنتاج المحاصيل أو الماشية أو مصايد الأسماك / تربية الأحياء المائية خلال الأشهر الثلاثة إلى الستة المقبلة؟
[المشغل: عدة استجابات محتملة. لا تقرأ الخيارات إذا كان ذلك ممكنًا.]
1) الطعام
2) المساعدة النقدية 
3) قسائم المشتريات 
4) مدخلات انتاج المحاصيل و الخضروات [على سبيل المثال البذور و الاسمدة و المعدات] 
5) البنية التحتية لانتاج المحاصيل و الخضروات [على سبيل المثال الري، اعادة تأهيل قنوات الري و المضخات]
6) التدريبات المهنية و المعرفة / النصائح التقنية لإنتاج المحاصيل 
7) أعلاف الحيوانات [علف أو علف تكميلي]
8) الخدمات البيطرية [على سبيل المثال التطعيم والتخلص من الديدان]
9) البنية التحتية لانتاج الماشية [على سبيل المثال نقاط المياه ، ممرات التنقل الرعوي ، المأوى ، النقاط الصحية]
10) التدريبات المهنية و المعرفة / النصائح التقنية لانتاج الماشية 
11) المدخلات لانتاج الاسماك و تربية الاحياء المائية 
12)البنية التحتية لانتاج مصايد الاسماك و تربية الاحياء المائية  [اعادة تأهيل الموانيء و اصلاح البرك علي سبيل المثال]
13) التدريبات المهنية و المعرفة / النصائح التقنية لانتاج مصايد الاسماك و تربية الاحياء المائية
14) اعاده ترميم البنية التحتية و البيئية ( علي نطاق مجتمعي ) 
15) التخزين البارد
16) دعم المبيعات أو التسويق [المشتريات العامة علي سبيل المثال]
17) آخر [حدد]
18)  لا أعرف
19) رفض الإجابة</t>
  </si>
  <si>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</si>
  <si>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</si>
  <si>
    <t>ما هو رقم هاتف هذا القائد / الشخص المسؤول؟
[المُشغل: سجل الرقم المُعطى]</t>
  </si>
  <si>
    <t>ما هو اسم هذا القائد / الشخص المسؤول؟
[المُشغل: سجل اسم صاحب رقم الهاتف.]</t>
  </si>
  <si>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</si>
  <si>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</si>
  <si>
    <r>
      <t xml:space="preserve">خلال الثلاثين يومًا الماضية ، هل اضطر أي شخص في أسرتك </t>
    </r>
    <r>
      <rPr>
        <u/>
        <sz val="12"/>
        <rFont val="Calibri"/>
        <family val="2"/>
        <scheme val="minor"/>
      </rPr>
      <t>لبيع أصول / سلع منزلية</t>
    </r>
    <r>
      <rPr>
        <sz val="12"/>
        <rFont val="Calibri"/>
        <family val="2"/>
        <scheme val="minor"/>
      </rPr>
      <t xml:space="preserve">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</si>
  <si>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حكوميه
5) منظمة محلية / غير حكومية 
6) لا أعرف 
7) رفض الإجابة</t>
  </si>
  <si>
    <r>
      <t xml:space="preserve">Hello sir/ma'am, my name is #OPERATOR#, and I am calling from GeoPoll Polling Agency on behalf of the Food and Agriculture Organization of the United Nations [FAO]. We are conducting a survey on household </t>
    </r>
    <r>
      <rPr>
        <sz val="12"/>
        <rFont val="Calibri (Body)"/>
      </rPr>
      <t xml:space="preserve">livelihoods and the </t>
    </r>
    <r>
      <rPr>
        <sz val="12"/>
        <rFont val="Calibri"/>
        <family val="2"/>
        <scheme val="minor"/>
      </rPr>
      <t xml:space="preserve">ability to access food in your area. I would like to ask you some questions about your household.
The survey usually takes </t>
    </r>
    <r>
      <rPr>
        <b/>
        <sz val="12"/>
        <color rgb="FF0070C0"/>
        <rFont val="Calibri"/>
        <family val="2"/>
        <scheme val="minor"/>
      </rPr>
      <t>15/20 minutes</t>
    </r>
    <r>
      <rPr>
        <sz val="12"/>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b/>
        <sz val="12"/>
        <color rgb="FF0070C0"/>
        <rFont val="Calibri"/>
        <family val="2"/>
        <scheme val="minor"/>
      </rPr>
      <t>You will receive #TOPUP#! of communication credit as an incentive for the participation of the survey.</t>
    </r>
    <r>
      <rPr>
        <sz val="12"/>
        <color rgb="FF0070C0"/>
        <rFont val="Calibri"/>
        <family val="2"/>
        <scheme val="minor"/>
      </rPr>
      <t xml:space="preserve">
</t>
    </r>
    <r>
      <rPr>
        <sz val="12"/>
        <color theme="4"/>
        <rFont val="Calibri"/>
        <family val="2"/>
        <scheme val="minor"/>
      </rPr>
      <t xml:space="preserve">
</t>
    </r>
    <r>
      <rPr>
        <b/>
        <sz val="12"/>
        <color rgb="FF0070C0"/>
        <rFont val="Calibri"/>
        <family val="2"/>
        <scheme val="minor"/>
      </rPr>
      <t xml:space="preserve">Please note that this call may be recorded for quality purposes.
</t>
    </r>
    <r>
      <rPr>
        <sz val="12"/>
        <rFont val="Calibri"/>
        <family val="2"/>
        <scheme val="minor"/>
      </rPr>
      <t xml:space="preserve">
Do you have any questions?
[OPERATOR: ADDRESS QUESTIONS FROM RESPONDENT, IF ANY.]
1)CONTINUE</t>
    </r>
  </si>
  <si>
    <r>
      <t xml:space="preserve">ما هي اللغة التي ترغب في المتابعة بها؟
[المُشغل: اقرأ خيارات الإجابة. استجابة واحدة.]
1) عربي
2) </t>
    </r>
    <r>
      <rPr>
        <b/>
        <sz val="11"/>
        <color theme="4"/>
        <rFont val="Calibri (Body)"/>
      </rPr>
      <t>خيارات أخرى [أضف ما يلزم]</t>
    </r>
  </si>
  <si>
    <t>هل أنت رب الأسرة ؟
[المشغل: استجابة واحدة.]
1) نعم
2) لا
3) لا أعرف
4) رفض الإجابة</t>
  </si>
  <si>
    <t xml:space="preserve">هل تستخدم (أو هل يستخدم المجتمع الذي تنتمي اليه) مضخة لنظام الري ؟
[المشغل: استجابة واحدة.]
1) لا ، كل شيئ يعمل علي الجاذبية
2) نعم ، توجد مضخة مشتركة تعمل علي الديزل أو الغاز
3) نعم، توجد مضخة يدوية مشتركة
4) نعم ، توجد مضخة يدوية فى حقلي 
5) نعم، توجد مضخة تعمل بالديزل فى حقلي
6) لا أعرف
7) رفض الإجابة 
</t>
  </si>
  <si>
    <r>
      <t xml:space="preserve">1-5 = </t>
    </r>
    <r>
      <rPr>
        <sz val="12"/>
        <color rgb="FF0070C0"/>
        <rFont val="Calibri"/>
        <family val="2"/>
        <scheme val="minor"/>
      </rPr>
      <t>[</t>
    </r>
    <r>
      <rPr>
        <b/>
        <sz val="12"/>
        <color rgb="FF0070C0"/>
        <rFont val="Calibri"/>
        <family val="2"/>
        <scheme val="minor"/>
      </rPr>
      <t xml:space="preserve">lcsi_intro </t>
    </r>
    <r>
      <rPr>
        <sz val="12"/>
        <color rgb="FF0070C0"/>
        <rFont val="Calibri"/>
        <family val="2"/>
        <scheme val="minor"/>
      </rPr>
      <t xml:space="preserve">OR </t>
    </r>
    <r>
      <rPr>
        <b/>
        <sz val="12"/>
        <color rgb="FF0070C0"/>
        <rFont val="Calibri"/>
        <family val="2"/>
        <scheme val="minor"/>
      </rPr>
      <t>hdds</t>
    </r>
    <r>
      <rPr>
        <sz val="12"/>
        <color rgb="FF0070C0"/>
        <rFont val="Calibri"/>
        <family val="2"/>
        <scheme val="minor"/>
      </rPr>
      <t>]</t>
    </r>
  </si>
  <si>
    <r>
      <t xml:space="preserve">1=fies_whlday_hhs
2-4 = </t>
    </r>
    <r>
      <rPr>
        <b/>
        <sz val="12"/>
        <color rgb="FF0070C0"/>
        <rFont val="Calibri"/>
        <family val="2"/>
        <scheme val="minor"/>
      </rPr>
      <t>[lcsi_intro OR hdds]</t>
    </r>
  </si>
  <si>
    <r>
      <t>if fies_whlday = 1, go to fies_whlday_hhs. Otherwise, go to</t>
    </r>
    <r>
      <rPr>
        <sz val="12"/>
        <color theme="4"/>
        <rFont val="Calibri"/>
        <family val="2"/>
        <scheme val="minor"/>
      </rPr>
      <t xml:space="preserve"> lcsi_intro OR hdds</t>
    </r>
  </si>
  <si>
    <r>
      <t>if fies_whlday_hhs = 1-5, go to</t>
    </r>
    <r>
      <rPr>
        <sz val="12"/>
        <color theme="4"/>
        <rFont val="Calibri"/>
        <family val="2"/>
        <scheme val="minor"/>
      </rPr>
      <t xml:space="preserve"> lcsi_intro OR hdds</t>
    </r>
  </si>
  <si>
    <r>
      <t xml:space="preserve">1 = </t>
    </r>
    <r>
      <rPr>
        <b/>
        <sz val="12"/>
        <color theme="4"/>
        <rFont val="Calibri"/>
        <family val="2"/>
        <scheme val="minor"/>
      </rPr>
      <t>need or next question</t>
    </r>
  </si>
  <si>
    <r>
      <t xml:space="preserve">if </t>
    </r>
    <r>
      <rPr>
        <i/>
        <sz val="12"/>
        <rFont val="Calibri"/>
        <family val="2"/>
        <scheme val="minor"/>
      </rPr>
      <t xml:space="preserve">hdds_confirmation </t>
    </r>
    <r>
      <rPr>
        <sz val="12"/>
        <rFont val="Calibri"/>
        <family val="2"/>
        <scheme val="minor"/>
      </rPr>
      <t xml:space="preserve">= 1, go to </t>
    </r>
    <r>
      <rPr>
        <b/>
        <sz val="12"/>
        <color rgb="FF0070C0"/>
        <rFont val="Calibri"/>
        <family val="2"/>
        <scheme val="minor"/>
      </rPr>
      <t>need</t>
    </r>
    <r>
      <rPr>
        <b/>
        <i/>
        <sz val="12"/>
        <color theme="4"/>
        <rFont val="Calibri (Body)"/>
      </rPr>
      <t xml:space="preserve"> </t>
    </r>
    <r>
      <rPr>
        <b/>
        <sz val="12"/>
        <color theme="4"/>
        <rFont val="Calibri (Body)"/>
      </rPr>
      <t>or optional question</t>
    </r>
  </si>
  <si>
    <r>
      <t xml:space="preserve">0-7 = </t>
    </r>
    <r>
      <rPr>
        <b/>
        <sz val="12"/>
        <color theme="4"/>
        <rFont val="Calibri (Body)"/>
      </rPr>
      <t>need</t>
    </r>
  </si>
  <si>
    <r>
      <t xml:space="preserve">For any response, go to </t>
    </r>
    <r>
      <rPr>
        <b/>
        <sz val="12"/>
        <color theme="4"/>
        <rFont val="Calibri (Body)"/>
      </rPr>
      <t>need</t>
    </r>
  </si>
  <si>
    <r>
      <t xml:space="preserve">1 = need_2
2-4= </t>
    </r>
    <r>
      <rPr>
        <b/>
        <sz val="12"/>
        <color theme="4"/>
        <rFont val="Calibri (Body)"/>
      </rPr>
      <t>need_received</t>
    </r>
  </si>
  <si>
    <r>
      <t>1-19 =</t>
    </r>
    <r>
      <rPr>
        <b/>
        <sz val="12"/>
        <rFont val="Calibri"/>
        <family val="2"/>
        <scheme val="minor"/>
      </rPr>
      <t xml:space="preserve"> </t>
    </r>
    <r>
      <rPr>
        <b/>
        <sz val="12"/>
        <color theme="4"/>
        <rFont val="Calibri (Body)"/>
      </rPr>
      <t>need_received</t>
    </r>
  </si>
  <si>
    <r>
      <t xml:space="preserve">if </t>
    </r>
    <r>
      <rPr>
        <i/>
        <sz val="12"/>
        <rFont val="Calibri"/>
        <family val="2"/>
        <scheme val="minor"/>
      </rPr>
      <t>need_2</t>
    </r>
    <r>
      <rPr>
        <sz val="12"/>
        <rFont val="Calibri"/>
        <family val="2"/>
        <scheme val="minor"/>
      </rPr>
      <t xml:space="preserve"> = 1-19, go to </t>
    </r>
    <r>
      <rPr>
        <b/>
        <sz val="12"/>
        <color theme="4"/>
        <rFont val="Calibri (Body)"/>
      </rPr>
      <t>need_received</t>
    </r>
  </si>
  <si>
    <r>
      <t>if need_received = 1-</t>
    </r>
    <r>
      <rPr>
        <sz val="12"/>
        <rFont val="Calibri (Body)"/>
      </rPr>
      <t>9</t>
    </r>
    <r>
      <rPr>
        <sz val="12"/>
        <rFont val="Calibri"/>
        <family val="2"/>
        <scheme val="minor"/>
      </rPr>
      <t xml:space="preserve">, go to </t>
    </r>
    <r>
      <rPr>
        <sz val="12"/>
        <rFont val="Calibri (Body)"/>
      </rPr>
      <t>assistance_quality</t>
    </r>
    <r>
      <rPr>
        <sz val="12"/>
        <rFont val="Calibri"/>
        <family val="2"/>
        <scheme val="minor"/>
      </rPr>
      <t xml:space="preserve">.
</t>
    </r>
    <r>
      <rPr>
        <sz val="12"/>
        <rFont val="Calibri (Body)"/>
      </rPr>
      <t xml:space="preserve">Otherwise, go to </t>
    </r>
    <r>
      <rPr>
        <b/>
        <sz val="12"/>
        <color theme="4"/>
        <rFont val="Calibri (Body)"/>
      </rPr>
      <t>callback</t>
    </r>
    <r>
      <rPr>
        <sz val="12"/>
        <rFont val="Calibri (Body)"/>
      </rPr>
      <t xml:space="preserve">. </t>
    </r>
  </si>
  <si>
    <r>
      <t>1-9 = assistance_quality 
10</t>
    </r>
    <r>
      <rPr>
        <sz val="12"/>
        <rFont val="Calibri (Body)"/>
      </rPr>
      <t xml:space="preserve">-12 = </t>
    </r>
    <r>
      <rPr>
        <b/>
        <sz val="12"/>
        <color theme="4"/>
        <rFont val="Calibri (Body)"/>
      </rPr>
      <t>callback</t>
    </r>
  </si>
  <si>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r>
      <rPr>
        <b/>
        <sz val="11"/>
        <rFont val="Calibri"/>
        <family val="2"/>
      </rPr>
      <t>Only digits in Latin numbers should be inputted.</t>
    </r>
  </si>
  <si>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in Latin numbers should be inputted.</t>
    </r>
  </si>
  <si>
    <r>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xml:space="preserve"> Only digits in Latin numbers should be inputted.</t>
    </r>
  </si>
  <si>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in Latin numbers should be inputted.</t>
    </r>
  </si>
  <si>
    <t>العام العادي</t>
  </si>
  <si>
    <r>
      <rPr>
        <i/>
        <sz val="12"/>
        <rFont val="Calibri"/>
        <family val="2"/>
        <scheme val="minor"/>
      </rPr>
      <t xml:space="preserve">Only administered to agricultural households. Otherwise, go to "callback". </t>
    </r>
    <r>
      <rPr>
        <sz val="12"/>
        <rFont val="Calibri"/>
        <family val="2"/>
        <scheme val="minor"/>
      </rPr>
      <t xml:space="preserve">
if need = 1, go to need_2
if need = 2-4, go to </t>
    </r>
    <r>
      <rPr>
        <b/>
        <sz val="12"/>
        <color theme="4"/>
        <rFont val="Calibri (Body)"/>
      </rPr>
      <t>need_received</t>
    </r>
  </si>
  <si>
    <t>For any response, go to rcsi_restrict_adult_consumpt</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</si>
  <si>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fruit</t>
    </r>
    <r>
      <rPr>
        <sz val="12"/>
        <color theme="1"/>
        <rFont val="Calibri"/>
        <family val="2"/>
        <scheme val="minor"/>
      </rPr>
      <t xml:space="preserve"> such as</t>
    </r>
    <r>
      <rPr>
        <b/>
        <sz val="12"/>
        <color rgb="FF7030A0"/>
        <rFont val="Calibri"/>
        <family val="2"/>
        <scheme val="minor"/>
      </rPr>
      <t xml:space="preserve"> $local fruits$</t>
    </r>
    <r>
      <rPr>
        <sz val="12"/>
        <color theme="1"/>
        <rFont val="Calibri"/>
        <family val="2"/>
        <scheme val="minor"/>
      </rPr>
      <t xml:space="preserve"> and/or other fruits?
[OPERATOR: RECORD NUMBER OF DAYS 0 - 7]</t>
    </r>
    <r>
      <rPr>
        <sz val="12"/>
        <color theme="1"/>
        <rFont val="Calibri"/>
        <family val="2"/>
        <scheme val="minor"/>
      </rPr>
      <t xml:space="preserve">
[HINT: IF CONSUMED ONLY IN SMALL QUANTITY, DO NOT INCLUDE.]</t>
    </r>
  </si>
  <si>
    <r>
      <t xml:space="preserve">Now I would like to ask you about the foods and drinks your household ate or drank in the </t>
    </r>
    <r>
      <rPr>
        <u/>
        <sz val="12"/>
        <color theme="1"/>
        <rFont val="Calibri"/>
        <family val="2"/>
        <scheme val="minor"/>
      </rPr>
      <t>last 7 days</t>
    </r>
    <r>
      <rPr>
        <sz val="12"/>
        <color theme="1"/>
        <rFont val="Calibri"/>
        <family val="2"/>
        <scheme val="minor"/>
      </rPr>
      <t xml:space="preserve"> during the day and at night [breakfast, lunch, dinner, snacks]. 
1)CONTINUE
</t>
    </r>
  </si>
  <si>
    <r>
      <rPr>
        <sz val="12"/>
        <rFont val="Calibri (Body)"/>
      </rPr>
      <t xml:space="preserve">Which difficulties has </t>
    </r>
    <r>
      <rPr>
        <sz val="12"/>
        <rFont val="Calibri"/>
        <family val="2"/>
        <scheme val="minor"/>
      </rPr>
      <t>your household</t>
    </r>
    <r>
      <rPr>
        <sz val="12"/>
        <rFont val="Calibri (Body)"/>
      </rPr>
      <t xml:space="preserve"> faced with fish catch and/or harvest in </t>
    </r>
    <r>
      <rPr>
        <sz val="12"/>
        <rFont val="Calibri"/>
        <family val="2"/>
        <scheme val="minor"/>
      </rPr>
      <t xml:space="preserve">the last 3 months?
[OPERATOR: MULTIPLE RESPONSES POSSIBLE. SELECT OPTION(S) THAT BEST FIT THE INFORMATION PROVIDED BY THE RESPONDENTS.]
1)Fish is more difficult to find than in previous years in the same season </t>
    </r>
    <r>
      <rPr>
        <sz val="12"/>
        <rFont val="Calibri (Body)"/>
      </rPr>
      <t>[fishing]
2)Fish pests and diseases [aquaculture]
3)Access to fishing or aquaculture area [e.g. due to weather or security]</t>
    </r>
    <r>
      <rPr>
        <sz val="12"/>
        <rFont val="Calibri"/>
        <family val="2"/>
        <scheme val="minor"/>
      </rPr>
      <t xml:space="preserve">
</t>
    </r>
    <r>
      <rPr>
        <sz val="12"/>
        <rFont val="Calibri (Body)"/>
      </rPr>
      <t>4</t>
    </r>
    <r>
      <rPr>
        <sz val="12"/>
        <rFont val="Calibri"/>
        <family val="2"/>
        <scheme val="minor"/>
      </rPr>
      <t>)</t>
    </r>
    <r>
      <rPr>
        <sz val="12"/>
        <rFont val="Calibri (Body)"/>
      </rPr>
      <t>Access to</t>
    </r>
    <r>
      <rPr>
        <sz val="12"/>
        <rFont val="Calibri"/>
        <family val="2"/>
        <scheme val="minor"/>
      </rPr>
      <t xml:space="preserve"> fuel [prices higher or not available]
</t>
    </r>
    <r>
      <rPr>
        <sz val="12"/>
        <rFont val="Calibri (Body)"/>
      </rPr>
      <t>5</t>
    </r>
    <r>
      <rPr>
        <sz val="12"/>
        <rFont val="Calibri"/>
        <family val="2"/>
        <scheme val="minor"/>
      </rPr>
      <t>)</t>
    </r>
    <r>
      <rPr>
        <sz val="12"/>
        <rFont val="Calibri (Body)"/>
      </rPr>
      <t>Access to</t>
    </r>
    <r>
      <rPr>
        <sz val="12"/>
        <rFont val="Calibri"/>
        <family val="2"/>
        <scheme val="minor"/>
      </rPr>
      <t xml:space="preserve"> </t>
    </r>
    <r>
      <rPr>
        <sz val="12"/>
        <rFont val="Calibri (Body)"/>
      </rPr>
      <t xml:space="preserve">other </t>
    </r>
    <r>
      <rPr>
        <sz val="12"/>
        <rFont val="Calibri"/>
        <family val="2"/>
        <scheme val="minor"/>
      </rPr>
      <t xml:space="preserve">fishing </t>
    </r>
    <r>
      <rPr>
        <sz val="12"/>
        <rFont val="Calibri (Body)"/>
      </rPr>
      <t>or culture i</t>
    </r>
    <r>
      <rPr>
        <sz val="12"/>
        <rFont val="Calibri"/>
        <family val="2"/>
        <scheme val="minor"/>
      </rPr>
      <t xml:space="preserve">nputs [prices higher or not available]
</t>
    </r>
    <r>
      <rPr>
        <sz val="12"/>
        <rFont val="Calibri (Body)"/>
      </rPr>
      <t>6</t>
    </r>
    <r>
      <rPr>
        <sz val="12"/>
        <rFont val="Calibri"/>
        <family val="2"/>
        <scheme val="minor"/>
      </rPr>
      <t>)</t>
    </r>
    <r>
      <rPr>
        <sz val="12"/>
        <rFont val="Calibri (Body)"/>
      </rPr>
      <t>Access to labour or crew labour [prices higher or not available]
7)Damage or destruction of infrastructure [ponds, cages, ports, landing sites]
8)Damage or destruction of boats or gears
9)Other
10)DON'T KNOW
11)REFUSED</t>
    </r>
  </si>
  <si>
    <r>
      <t>Has your household faced any</t>
    </r>
    <r>
      <rPr>
        <sz val="12"/>
        <rFont val="Calibri (Body)"/>
      </rPr>
      <t xml:space="preserve"> significant difficulty</t>
    </r>
    <r>
      <rPr>
        <sz val="12"/>
        <rFont val="Calibri"/>
        <family val="2"/>
        <scheme val="minor"/>
      </rPr>
      <t xml:space="preserve"> with fish </t>
    </r>
    <r>
      <rPr>
        <sz val="12"/>
        <rFont val="Calibri (Body)"/>
      </rPr>
      <t>catch</t>
    </r>
    <r>
      <rPr>
        <sz val="12"/>
        <rFont val="Calibri"/>
        <family val="2"/>
        <scheme val="minor"/>
      </rPr>
      <t xml:space="preserve"> and</t>
    </r>
    <r>
      <rPr>
        <sz val="12"/>
        <rFont val="Calibri (Body)"/>
      </rPr>
      <t>/or</t>
    </r>
    <r>
      <rPr>
        <sz val="12"/>
        <rFont val="Calibri"/>
        <family val="2"/>
        <scheme val="minor"/>
      </rPr>
      <t xml:space="preserve"> harvest in the last</t>
    </r>
    <r>
      <rPr>
        <sz val="12"/>
        <rFont val="Calibri (Body)"/>
      </rPr>
      <t xml:space="preserve"> 3</t>
    </r>
    <r>
      <rPr>
        <sz val="12"/>
        <rFont val="Calibri"/>
        <family val="2"/>
        <scheme val="minor"/>
      </rPr>
      <t xml:space="preserve"> months?
[OPERATOR: SINGLE RESPONSE.]
1)YES
2)NO
3)DON'T KNOW
4)REFUSED</t>
    </r>
  </si>
  <si>
    <r>
      <t>Which difficulties has your household faced in the last 3 months selling your {ls_salesmain}?
[OPERATOR: MULTIPLE RESPONSES POSSIBLE. SELECT OPTION(S) THAT BEST FIT THE INFORMATION PROVIDED BY THE RESPONDENTS.]
1)High transportation or other marketing costs
2)</t>
    </r>
    <r>
      <rPr>
        <sz val="12"/>
        <rFont val="Calibri (Body)"/>
      </rPr>
      <t xml:space="preserve">Damage and losses during transportation or </t>
    </r>
    <r>
      <rPr>
        <sz val="12"/>
        <rFont val="Calibri"/>
        <family val="2"/>
        <scheme val="minor"/>
      </rPr>
      <t>difficulty accessing the market
3)</t>
    </r>
    <r>
      <rPr>
        <sz val="12"/>
        <rFont val="Calibri (Body)"/>
      </rPr>
      <t>Lack of demand f</t>
    </r>
    <r>
      <rPr>
        <sz val="12"/>
        <rFont val="Calibri"/>
        <family val="2"/>
        <scheme val="minor"/>
      </rPr>
      <t xml:space="preserve">rom usual traders </t>
    </r>
    <r>
      <rPr>
        <sz val="12"/>
        <rFont val="Calibri (Body)"/>
      </rPr>
      <t xml:space="preserve">or buyers </t>
    </r>
    <r>
      <rPr>
        <strike/>
        <sz val="12"/>
        <rFont val="Calibri (Body)"/>
      </rPr>
      <t xml:space="preserve"> </t>
    </r>
    <r>
      <rPr>
        <sz val="12"/>
        <rFont val="Calibri"/>
        <family val="2"/>
        <scheme val="minor"/>
      </rPr>
      <t xml:space="preserve">
4)</t>
    </r>
    <r>
      <rPr>
        <sz val="12"/>
        <rFont val="Calibri (Body)"/>
      </rPr>
      <t xml:space="preserve">Payment delays from traders / buyers </t>
    </r>
    <r>
      <rPr>
        <sz val="12"/>
        <rFont val="Calibri"/>
        <family val="2"/>
        <scheme val="minor"/>
      </rPr>
      <t xml:space="preserve">
</t>
    </r>
    <r>
      <rPr>
        <sz val="12"/>
        <rFont val="Calibri (Body)"/>
      </rPr>
      <t>5</t>
    </r>
    <r>
      <rPr>
        <sz val="12"/>
        <rFont val="Calibri"/>
        <family val="2"/>
        <scheme val="minor"/>
      </rPr>
      <t xml:space="preserve">)Low selling prices [e.g. compared to input prices / inflation]
</t>
    </r>
    <r>
      <rPr>
        <sz val="12"/>
        <rFont val="Calibri (Body)"/>
      </rPr>
      <t>6</t>
    </r>
    <r>
      <rPr>
        <sz val="12"/>
        <rFont val="Calibri"/>
        <family val="2"/>
        <scheme val="minor"/>
      </rPr>
      <t xml:space="preserve">)Closure of slaughterhouses or difficulties accessing slaughterhouses
</t>
    </r>
    <r>
      <rPr>
        <sz val="12"/>
        <rFont val="Calibri (Body)"/>
      </rPr>
      <t>7</t>
    </r>
    <r>
      <rPr>
        <sz val="12"/>
        <rFont val="Calibri"/>
        <family val="2"/>
        <scheme val="minor"/>
      </rPr>
      <t xml:space="preserve">)Difficulties processing product other than closure of slaughterhouse [lack of access to processing inputs / equipment / etc]
</t>
    </r>
    <r>
      <rPr>
        <sz val="12"/>
        <rFont val="Calibri (Body)"/>
      </rPr>
      <t>8)Market flooded with products</t>
    </r>
    <r>
      <rPr>
        <sz val="12"/>
        <rFont val="Calibri"/>
        <family val="2"/>
        <scheme val="minor"/>
      </rPr>
      <t xml:space="preserve">
</t>
    </r>
    <r>
      <rPr>
        <sz val="12"/>
        <rFont val="Calibri (Body)"/>
      </rPr>
      <t>9</t>
    </r>
    <r>
      <rPr>
        <sz val="12"/>
        <rFont val="Calibri"/>
        <family val="2"/>
        <scheme val="minor"/>
      </rPr>
      <t xml:space="preserve">)Other
</t>
    </r>
    <r>
      <rPr>
        <sz val="12"/>
        <rFont val="Calibri (Body)"/>
      </rPr>
      <t>10</t>
    </r>
    <r>
      <rPr>
        <sz val="12"/>
        <rFont val="Calibri"/>
        <family val="2"/>
        <scheme val="minor"/>
      </rPr>
      <t xml:space="preserve">)DON'T KNOW
</t>
    </r>
    <r>
      <rPr>
        <sz val="12"/>
        <rFont val="Calibri (Body)"/>
      </rPr>
      <t>11</t>
    </r>
    <r>
      <rPr>
        <sz val="12"/>
        <rFont val="Calibri"/>
        <family val="2"/>
        <scheme val="minor"/>
      </rPr>
      <t>)REFUSED</t>
    </r>
  </si>
  <si>
    <r>
      <t xml:space="preserve">Where do you usually access feed for your {ls_main}?  
[OPERATOR: MULTIPLE RESPONSES POSSIBLE.] 
1)Open pasture
2)Community-managed pasture land
3)Owned or rented field or self-produced fodder
4)Purchase feed or fodder at the market
</t>
    </r>
    <r>
      <rPr>
        <sz val="12"/>
        <rFont val="Calibri (Body)"/>
      </rPr>
      <t>5)Free distribution
6</t>
    </r>
    <r>
      <rPr>
        <sz val="12"/>
        <rFont val="Calibri"/>
        <family val="2"/>
        <scheme val="minor"/>
      </rPr>
      <t xml:space="preserve">)Other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</si>
  <si>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t>
    </r>
    <r>
      <rPr>
        <b/>
        <sz val="12"/>
        <color theme="4"/>
        <rFont val="Calibri (Body)"/>
      </rPr>
      <t>callback</t>
    </r>
    <r>
      <rPr>
        <sz val="12"/>
        <rFont val="Calibri"/>
        <family val="2"/>
        <scheme val="minor"/>
      </rPr>
      <t>".</t>
    </r>
  </si>
  <si>
    <r>
      <rPr>
        <sz val="12"/>
        <rFont val="Calibri (Body)"/>
      </rPr>
      <t>1-8 =</t>
    </r>
    <r>
      <rPr>
        <b/>
        <sz val="12"/>
        <rFont val="Calibri"/>
        <family val="2"/>
        <scheme val="minor"/>
      </rPr>
      <t xml:space="preserve"> </t>
    </r>
    <r>
      <rPr>
        <b/>
        <sz val="12"/>
        <color theme="4"/>
        <rFont val="Calibri (Body)"/>
      </rPr>
      <t>[</t>
    </r>
    <r>
      <rPr>
        <b/>
        <sz val="12"/>
        <color theme="4"/>
        <rFont val="Calibri"/>
        <family val="2"/>
        <scheme val="minor"/>
      </rPr>
      <t>callback or optional question]</t>
    </r>
  </si>
  <si>
    <r>
      <rPr>
        <sz val="12"/>
        <rFont val="Calibri (Body)"/>
      </rPr>
      <t>if assistance_quality = 1-8, go to</t>
    </r>
    <r>
      <rPr>
        <b/>
        <sz val="12"/>
        <rFont val="Calibri"/>
        <family val="2"/>
        <scheme val="minor"/>
      </rPr>
      <t xml:space="preserve"> </t>
    </r>
    <r>
      <rPr>
        <b/>
        <sz val="12"/>
        <color theme="4"/>
        <rFont val="Calibri"/>
        <family val="2"/>
        <scheme val="minor"/>
      </rPr>
      <t>callback or assistance_provider</t>
    </r>
  </si>
  <si>
    <r>
      <t xml:space="preserve">1 = </t>
    </r>
    <r>
      <rPr>
        <b/>
        <sz val="12"/>
        <color rgb="FF0070C0"/>
        <rFont val="Calibri"/>
        <family val="2"/>
        <scheme val="minor"/>
      </rPr>
      <t>[next question]</t>
    </r>
  </si>
  <si>
    <t>1 = crp_salesmain
2 = crp_proddif</t>
  </si>
  <si>
    <t>if crp_main_check = 1, go to crp_salesmain
if crp_main_check = 2, go to crp_proddif</t>
  </si>
  <si>
    <r>
      <t xml:space="preserve">1-7 = </t>
    </r>
    <r>
      <rPr>
        <sz val="12"/>
        <color theme="4"/>
        <rFont val="Calibri"/>
        <family val="2"/>
        <scheme val="minor"/>
      </rPr>
      <t>crp_proddif OR crp_harv_vol</t>
    </r>
  </si>
  <si>
    <r>
      <t>if crp_harv_change = 1-7, go to</t>
    </r>
    <r>
      <rPr>
        <sz val="12"/>
        <color theme="4"/>
        <rFont val="Calibri"/>
        <family val="2"/>
        <scheme val="minor"/>
      </rPr>
      <t xml:space="preserve"> [crp_proddif or crp_harv_vol]</t>
    </r>
  </si>
  <si>
    <r>
      <t xml:space="preserve">For any response, go to crp_harv_unit. For "Don't know" or "Refused", go to </t>
    </r>
    <r>
      <rPr>
        <sz val="12"/>
        <color theme="4"/>
        <rFont val="Calibri"/>
        <family val="2"/>
        <scheme val="minor"/>
      </rPr>
      <t>crp_proddif</t>
    </r>
  </si>
  <si>
    <t>1-1000000 = crp_harv_unit
8888888-8888888 =  crp_proddif
9999999-9999999 =  crp_proddif</t>
  </si>
  <si>
    <r>
      <t>1-1000000 =</t>
    </r>
    <r>
      <rPr>
        <sz val="12"/>
        <color theme="4"/>
        <rFont val="Calibri"/>
        <family val="2"/>
        <scheme val="minor"/>
      </rPr>
      <t xml:space="preserve"> crp_proddif</t>
    </r>
    <r>
      <rPr>
        <sz val="12"/>
        <rFont val="Calibri"/>
        <family val="2"/>
        <scheme val="minor"/>
      </rPr>
      <t xml:space="preserve">
8888888-8888888 = </t>
    </r>
    <r>
      <rPr>
        <sz val="12"/>
        <color theme="4"/>
        <rFont val="Calibri"/>
        <family val="2"/>
        <scheme val="minor"/>
      </rPr>
      <t>crp_proddif</t>
    </r>
    <r>
      <rPr>
        <sz val="12"/>
        <rFont val="Calibri"/>
        <family val="2"/>
        <scheme val="minor"/>
      </rPr>
      <t xml:space="preserve">
9999999-9999999 = </t>
    </r>
    <r>
      <rPr>
        <sz val="12"/>
        <color theme="4"/>
        <rFont val="Calibri"/>
        <family val="2"/>
        <scheme val="minor"/>
      </rPr>
      <t>crp_proddif</t>
    </r>
  </si>
  <si>
    <r>
      <t xml:space="preserve">For any response, go to </t>
    </r>
    <r>
      <rPr>
        <sz val="12"/>
        <color theme="4"/>
        <rFont val="Calibri"/>
        <family val="2"/>
        <scheme val="minor"/>
      </rPr>
      <t>crp_proddif</t>
    </r>
  </si>
  <si>
    <r>
      <rPr>
        <sz val="12"/>
        <color theme="4"/>
        <rFont val="Calibri (Body)"/>
      </rPr>
      <t xml:space="preserve">1-90 </t>
    </r>
    <r>
      <rPr>
        <sz val="12"/>
        <rFont val="Calibri"/>
        <family val="2"/>
        <scheme val="minor"/>
      </rPr>
      <t xml:space="preserve">= crp_salesdif
</t>
    </r>
    <r>
      <rPr>
        <sz val="12"/>
        <color theme="4"/>
        <rFont val="Calibri (Body)"/>
      </rPr>
      <t>91-92</t>
    </r>
    <r>
      <rPr>
        <sz val="12"/>
        <rFont val="Calibri"/>
        <family val="2"/>
        <scheme val="minor"/>
      </rPr>
      <t xml:space="preserve"> = ls_intro</t>
    </r>
  </si>
  <si>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
</t>
    </r>
    <r>
      <rPr>
        <sz val="12"/>
        <rFont val="Calibri"/>
        <family val="2"/>
        <scheme val="minor"/>
      </rPr>
      <t xml:space="preserve">If "Don't know" or "Refused", go to </t>
    </r>
    <r>
      <rPr>
        <i/>
        <sz val="12"/>
        <rFont val="Calibri"/>
        <family val="2"/>
        <scheme val="minor"/>
      </rPr>
      <t>ls_intro</t>
    </r>
  </si>
  <si>
    <r>
      <t xml:space="preserve">if </t>
    </r>
    <r>
      <rPr>
        <i/>
        <sz val="12"/>
        <rFont val="Calibri"/>
        <family val="2"/>
        <scheme val="minor"/>
      </rPr>
      <t>crp_salesdif</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t>
    </r>
    <r>
      <rPr>
        <sz val="12"/>
        <rFont val="Calibri"/>
        <family val="2"/>
        <scheme val="minor"/>
      </rPr>
      <t xml:space="preserve"> = 2-4, go to </t>
    </r>
    <r>
      <rPr>
        <i/>
        <sz val="12"/>
        <rFont val="Calibri"/>
        <family val="2"/>
        <scheme val="minor"/>
      </rPr>
      <t>crp_salesprice</t>
    </r>
  </si>
  <si>
    <t>1-9 = ls_num_lastyr
10-11 = ls_proddif</t>
  </si>
  <si>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t>
    </r>
  </si>
  <si>
    <r>
      <t>1-</t>
    </r>
    <r>
      <rPr>
        <sz val="12"/>
        <rFont val="Calibri (Body)"/>
      </rPr>
      <t>14</t>
    </r>
    <r>
      <rPr>
        <sz val="12"/>
        <rFont val="Calibri"/>
        <family val="2"/>
        <scheme val="minor"/>
      </rPr>
      <t xml:space="preserve"> = </t>
    </r>
    <r>
      <rPr>
        <sz val="12"/>
        <color rgb="FF0070C0"/>
        <rFont val="Calibri"/>
        <family val="2"/>
        <scheme val="minor"/>
      </rPr>
      <t>[</t>
    </r>
    <r>
      <rPr>
        <b/>
        <sz val="12"/>
        <color rgb="FF0070C0"/>
        <rFont val="Calibri"/>
        <family val="2"/>
        <scheme val="minor"/>
      </rPr>
      <t>ls_proddif</t>
    </r>
    <r>
      <rPr>
        <sz val="12"/>
        <color rgb="FF0070C0"/>
        <rFont val="Calibri"/>
        <family val="2"/>
        <scheme val="minor"/>
      </rPr>
      <t xml:space="preserve"> OR</t>
    </r>
    <r>
      <rPr>
        <b/>
        <sz val="12"/>
        <color rgb="FF0070C0"/>
        <rFont val="Calibri"/>
        <family val="2"/>
        <scheme val="minor"/>
      </rPr>
      <t xml:space="preserve"> optional question</t>
    </r>
    <r>
      <rPr>
        <sz val="12"/>
        <color rgb="FF0070C0"/>
        <rFont val="Calibri"/>
        <family val="2"/>
        <scheme val="minor"/>
      </rPr>
      <t>]</t>
    </r>
  </si>
  <si>
    <r>
      <t>If ls_num_change 1-</t>
    </r>
    <r>
      <rPr>
        <sz val="12"/>
        <rFont val="Calibri (Body)"/>
      </rPr>
      <t>14</t>
    </r>
    <r>
      <rPr>
        <sz val="12"/>
        <rFont val="Calibri"/>
        <family val="2"/>
        <scheme val="minor"/>
      </rPr>
      <t xml:space="preserve"> </t>
    </r>
    <r>
      <rPr>
        <sz val="12"/>
        <color theme="9" tint="-0.499984740745262"/>
        <rFont val="Calibri"/>
        <family val="2"/>
        <scheme val="minor"/>
      </rPr>
      <t>=</t>
    </r>
    <r>
      <rPr>
        <sz val="12"/>
        <color theme="4"/>
        <rFont val="Calibri"/>
        <family val="2"/>
        <scheme val="minor"/>
      </rPr>
      <t xml:space="preserve"> [ls_proddif OR optional question]</t>
    </r>
  </si>
  <si>
    <r>
      <t>1-</t>
    </r>
    <r>
      <rPr>
        <sz val="12"/>
        <rFont val="Calibri (Body)"/>
      </rPr>
      <t>8</t>
    </r>
    <r>
      <rPr>
        <sz val="12"/>
        <rFont val="Calibri"/>
        <family val="2"/>
        <scheme val="minor"/>
      </rPr>
      <t xml:space="preserve"> = ls_proddif</t>
    </r>
  </si>
  <si>
    <t>For any response, go to ls_proddif</t>
  </si>
  <si>
    <t>1-11 = ls_salesdif
12-13 = fish_intro</t>
  </si>
  <si>
    <r>
      <t xml:space="preserve">If either </t>
    </r>
    <r>
      <rPr>
        <i/>
        <sz val="12"/>
        <rFont val="Calibri"/>
        <family val="2"/>
        <scheme val="minor"/>
      </rPr>
      <t>income_main</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income_sec</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 xml:space="preserve">income_third </t>
    </r>
    <r>
      <rPr>
        <sz val="12"/>
        <rFont val="Calibri"/>
        <family val="2"/>
        <scheme val="minor"/>
      </rPr>
      <t xml:space="preserve">= "Production and sale of livestock and livestock products", then this section will be asked to respondents.
Otherwise, skip to </t>
    </r>
    <r>
      <rPr>
        <i/>
        <sz val="12"/>
        <rFont val="Calibri"/>
        <family val="2"/>
        <scheme val="minor"/>
      </rPr>
      <t>fish_main</t>
    </r>
    <r>
      <rPr>
        <sz val="12"/>
        <rFont val="Calibri"/>
        <family val="2"/>
        <scheme val="minor"/>
      </rPr>
      <t xml:space="preserve">.
if </t>
    </r>
    <r>
      <rPr>
        <i/>
        <sz val="12"/>
        <rFont val="Calibri"/>
        <family val="2"/>
        <scheme val="minor"/>
      </rPr>
      <t>ls_salesmain</t>
    </r>
    <r>
      <rPr>
        <sz val="12"/>
        <rFont val="Calibri"/>
        <family val="2"/>
        <scheme val="minor"/>
      </rPr>
      <t xml:space="preserve"> = 1-11, go to </t>
    </r>
    <r>
      <rPr>
        <i/>
        <sz val="12"/>
        <rFont val="Calibri"/>
        <family val="2"/>
        <scheme val="minor"/>
      </rPr>
      <t>ls_salesdif</t>
    </r>
    <r>
      <rPr>
        <sz val="12"/>
        <rFont val="Calibri"/>
        <family val="2"/>
        <scheme val="minor"/>
      </rPr>
      <t xml:space="preserve"> ; 
if </t>
    </r>
    <r>
      <rPr>
        <i/>
        <sz val="12"/>
        <rFont val="Calibri"/>
        <family val="2"/>
        <scheme val="minor"/>
      </rPr>
      <t>ls_salesmain</t>
    </r>
    <r>
      <rPr>
        <sz val="12"/>
        <rFont val="Calibri"/>
        <family val="2"/>
        <scheme val="minor"/>
      </rPr>
      <t xml:space="preserve"> = 12-13, go to</t>
    </r>
    <r>
      <rPr>
        <i/>
        <sz val="12"/>
        <color rgb="FF0070C0"/>
        <rFont val="Calibri"/>
        <family val="2"/>
        <scheme val="minor"/>
      </rPr>
      <t xml:space="preserve"> </t>
    </r>
    <r>
      <rPr>
        <i/>
        <sz val="12"/>
        <rFont val="Calibri"/>
        <family val="2"/>
        <scheme val="minor"/>
      </rPr>
      <t>fish_intro</t>
    </r>
  </si>
  <si>
    <r>
      <t xml:space="preserve">if </t>
    </r>
    <r>
      <rPr>
        <i/>
        <sz val="12"/>
        <rFont val="Calibri"/>
        <family val="2"/>
        <scheme val="minor"/>
      </rPr>
      <t>ls_salesdif</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t>
    </r>
    <r>
      <rPr>
        <sz val="12"/>
        <rFont val="Calibri"/>
        <family val="2"/>
        <scheme val="minor"/>
      </rPr>
      <t xml:space="preserve"> = 2-4, go to </t>
    </r>
    <r>
      <rPr>
        <i/>
        <sz val="12"/>
        <rFont val="Calibri"/>
        <family val="2"/>
        <scheme val="minor"/>
      </rPr>
      <t>ls_salesprice</t>
    </r>
  </si>
  <si>
    <t>1-7 = fish_proddif</t>
  </si>
  <si>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t>
    </r>
  </si>
  <si>
    <r>
      <t xml:space="preserve">if fish_proddif = 1, go to fish_proddif_2 ; 
if fish_proddif = 2-4, go to </t>
    </r>
    <r>
      <rPr>
        <sz val="12"/>
        <color theme="4"/>
        <rFont val="Calibri"/>
        <family val="2"/>
        <scheme val="minor"/>
      </rPr>
      <t>fish_salesmain OR optional question</t>
    </r>
  </si>
  <si>
    <t>1-5 = fish_salesdif
6-7 = fies</t>
  </si>
  <si>
    <t>1 = fish_salesdif_2
2-4 = fish_salesprice</t>
  </si>
  <si>
    <r>
      <t xml:space="preserve">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
</t>
    </r>
    <r>
      <rPr>
        <sz val="12"/>
        <rFont val="Calibri"/>
        <family val="2"/>
        <scheme val="minor"/>
      </rPr>
      <t xml:space="preserve">if </t>
    </r>
    <r>
      <rPr>
        <i/>
        <sz val="12"/>
        <rFont val="Calibri"/>
        <family val="2"/>
        <scheme val="minor"/>
      </rPr>
      <t xml:space="preserve">fish_salesmain </t>
    </r>
    <r>
      <rPr>
        <sz val="12"/>
        <rFont val="Calibri"/>
        <family val="2"/>
        <scheme val="minor"/>
      </rPr>
      <t>= 6-7</t>
    </r>
    <r>
      <rPr>
        <i/>
        <sz val="12"/>
        <rFont val="Calibri"/>
        <family val="2"/>
        <scheme val="minor"/>
      </rPr>
      <t xml:space="preserve">, </t>
    </r>
    <r>
      <rPr>
        <sz val="12"/>
        <rFont val="Calibri"/>
        <family val="2"/>
        <scheme val="minor"/>
      </rPr>
      <t xml:space="preserve">go to </t>
    </r>
    <r>
      <rPr>
        <i/>
        <sz val="12"/>
        <rFont val="Calibri"/>
        <family val="2"/>
        <scheme val="minor"/>
      </rPr>
      <t>fies</t>
    </r>
  </si>
  <si>
    <r>
      <t xml:space="preserve">if </t>
    </r>
    <r>
      <rPr>
        <i/>
        <sz val="12"/>
        <rFont val="Calibri"/>
        <family val="2"/>
        <scheme val="minor"/>
      </rPr>
      <t>fish_salesdif</t>
    </r>
    <r>
      <rPr>
        <sz val="12"/>
        <rFont val="Calibri"/>
        <family val="2"/>
        <scheme val="minor"/>
      </rPr>
      <t xml:space="preserve"> = 1, go to </t>
    </r>
    <r>
      <rPr>
        <i/>
        <sz val="12"/>
        <rFont val="Calibri"/>
        <family val="2"/>
        <scheme val="minor"/>
      </rPr>
      <t xml:space="preserve">fish_salesdif_2 </t>
    </r>
    <r>
      <rPr>
        <sz val="12"/>
        <rFont val="Calibri"/>
        <family val="2"/>
        <scheme val="minor"/>
      </rPr>
      <t xml:space="preserve">;
if </t>
    </r>
    <r>
      <rPr>
        <i/>
        <sz val="12"/>
        <rFont val="Calibri"/>
        <family val="2"/>
        <scheme val="minor"/>
      </rPr>
      <t>fish_salesdif</t>
    </r>
    <r>
      <rPr>
        <sz val="12"/>
        <rFont val="Calibri"/>
        <family val="2"/>
        <scheme val="minor"/>
      </rPr>
      <t xml:space="preserve"> = 2-4, go to </t>
    </r>
    <r>
      <rPr>
        <i/>
        <sz val="12"/>
        <rFont val="Calibri"/>
        <family val="2"/>
        <scheme val="minor"/>
      </rPr>
      <t>fish_salesprice</t>
    </r>
  </si>
  <si>
    <r>
      <t>if crp_proddif = 1, go to crp_proddif_2 ; 
if crp_proddif = 2-4, go to [</t>
    </r>
    <r>
      <rPr>
        <sz val="12"/>
        <color theme="4"/>
        <rFont val="Calibri"/>
        <family val="2"/>
        <scheme val="minor"/>
      </rPr>
      <t>crp_salesmain or optional question]</t>
    </r>
  </si>
  <si>
    <r>
      <t xml:space="preserve">if </t>
    </r>
    <r>
      <rPr>
        <i/>
        <sz val="12"/>
        <rFont val="Calibri"/>
        <family val="2"/>
        <scheme val="minor"/>
      </rPr>
      <t>ls_proddif</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t>
    </r>
    <r>
      <rPr>
        <sz val="12"/>
        <rFont val="Calibri"/>
        <family val="2"/>
        <scheme val="minor"/>
      </rPr>
      <t xml:space="preserve"> = 2-4, go to </t>
    </r>
    <r>
      <rPr>
        <sz val="12"/>
        <color theme="4"/>
        <rFont val="Calibri (Body)"/>
      </rPr>
      <t>[</t>
    </r>
    <r>
      <rPr>
        <i/>
        <sz val="12"/>
        <color theme="4"/>
        <rFont val="Calibri (Body)"/>
      </rPr>
      <t>ls</t>
    </r>
    <r>
      <rPr>
        <i/>
        <sz val="12"/>
        <color theme="4"/>
        <rFont val="Calibri"/>
        <family val="2"/>
        <scheme val="minor"/>
      </rPr>
      <t xml:space="preserve">_salesmain </t>
    </r>
    <r>
      <rPr>
        <sz val="12"/>
        <color theme="4"/>
        <rFont val="Calibri (Body)"/>
      </rPr>
      <t>OR optional question]</t>
    </r>
  </si>
  <si>
    <r>
      <t>If fish_proddif_2 = 1-</t>
    </r>
    <r>
      <rPr>
        <sz val="12"/>
        <rFont val="Calibri (Body)"/>
      </rPr>
      <t>11</t>
    </r>
    <r>
      <rPr>
        <sz val="12"/>
        <rFont val="Calibri"/>
        <family val="2"/>
        <scheme val="minor"/>
      </rPr>
      <t xml:space="preserve">, go to </t>
    </r>
    <r>
      <rPr>
        <sz val="12"/>
        <color theme="4"/>
        <rFont val="Calibri"/>
        <family val="2"/>
        <scheme val="minor"/>
      </rPr>
      <t>fish_salesmain OR optional question</t>
    </r>
  </si>
  <si>
    <r>
      <t xml:space="preserve">1 = </t>
    </r>
    <r>
      <rPr>
        <b/>
        <sz val="12"/>
        <color theme="4"/>
        <rFont val="Calibri (Body)"/>
      </rPr>
      <t>leader_contact</t>
    </r>
    <r>
      <rPr>
        <sz val="12"/>
        <rFont val="Calibri"/>
        <family val="2"/>
        <scheme val="minor"/>
      </rPr>
      <t xml:space="preserve">
2 = language2</t>
    </r>
  </si>
  <si>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theme="4"/>
        <rFont val="Calibri"/>
        <family val="2"/>
        <scheme val="minor"/>
      </rPr>
      <t>crp_salesmain or optional question</t>
    </r>
  </si>
  <si>
    <r>
      <t>if shock = 1-27, go to [</t>
    </r>
    <r>
      <rPr>
        <i/>
        <sz val="12"/>
        <color theme="4"/>
        <rFont val="Calibri"/>
        <family val="2"/>
        <scheme val="minor"/>
      </rPr>
      <t xml:space="preserve">crp_intro </t>
    </r>
    <r>
      <rPr>
        <sz val="12"/>
        <rFont val="Calibri (Body)"/>
      </rPr>
      <t>or</t>
    </r>
    <r>
      <rPr>
        <i/>
        <sz val="12"/>
        <color theme="4"/>
        <rFont val="Calibri"/>
        <family val="2"/>
        <scheme val="minor"/>
      </rPr>
      <t xml:space="preserve"> optional question</t>
    </r>
    <r>
      <rPr>
        <sz val="12"/>
        <rFont val="Calibri"/>
        <family val="2"/>
        <scheme val="minor"/>
      </rPr>
      <t>]</t>
    </r>
  </si>
  <si>
    <r>
      <rPr>
        <i/>
        <sz val="12"/>
        <color theme="4"/>
        <rFont val="Calibri (Body)"/>
      </rPr>
      <t xml:space="preserve">Asked only if respondents report "Population movement restrictions [e.g. due to epidemic or infrastructure damage]" in question on shocks. </t>
    </r>
    <r>
      <rPr>
        <i/>
        <sz val="12"/>
        <rFont val="Calibri"/>
        <family val="2"/>
        <scheme val="minor"/>
      </rPr>
      <t xml:space="preserve">
</t>
    </r>
    <r>
      <rPr>
        <sz val="12"/>
        <rFont val="Calibri"/>
        <family val="2"/>
        <scheme val="minor"/>
      </rPr>
      <t>If covid = 1-</t>
    </r>
    <r>
      <rPr>
        <sz val="12"/>
        <rFont val="Calibri (Body)"/>
      </rPr>
      <t>12</t>
    </r>
    <r>
      <rPr>
        <sz val="12"/>
        <rFont val="Calibri"/>
        <family val="2"/>
        <scheme val="minor"/>
      </rPr>
      <t xml:space="preserve">, go to </t>
    </r>
    <r>
      <rPr>
        <b/>
        <sz val="12"/>
        <color theme="4"/>
        <rFont val="Calibri (Body)"/>
      </rPr>
      <t>crp_intro</t>
    </r>
  </si>
  <si>
    <r>
      <t>shock_
1) shock_noshock
2) shock_sicknessordeathof</t>
    </r>
    <r>
      <rPr>
        <sz val="10"/>
        <rFont val="Calibri (Body)"/>
      </rPr>
      <t>hh</t>
    </r>
    <r>
      <rPr>
        <sz val="10"/>
        <rFont val="Calibri"/>
        <family val="2"/>
        <scheme val="minor"/>
      </rPr>
      <t xml:space="preserve">
3) shock_lostemplorwork
4) shock_otherintrahhshock
5) shock_higherfoodprices
6) shock_higherfuelprices
7) shock_</t>
    </r>
    <r>
      <rPr>
        <sz val="10"/>
        <rFont val="Calibri (Body)"/>
      </rPr>
      <t>mvtrestrict</t>
    </r>
    <r>
      <rPr>
        <sz val="10"/>
        <rFont val="Calibri"/>
        <family val="2"/>
        <scheme val="minor"/>
      </rPr>
      <t xml:space="preserve">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t>
    </r>
    <r>
      <rPr>
        <sz val="10"/>
        <rFont val="Calibri (Body)"/>
      </rPr>
      <t>manmade</t>
    </r>
    <r>
      <rPr>
        <sz val="10"/>
        <rFont val="Calibri"/>
        <family val="2"/>
        <scheme val="minor"/>
      </rPr>
      <t xml:space="preserve">
25) shock_othermanmadehazard
26) shock_dk
27) shock_ref</t>
    </r>
  </si>
  <si>
    <r>
      <t>ls_num_
1) ls_num_no</t>
    </r>
    <r>
      <rPr>
        <sz val="12"/>
        <rFont val="Calibri (Body)"/>
      </rPr>
      <t>_</t>
    </r>
    <r>
      <rPr>
        <sz val="12"/>
        <rFont val="Calibri"/>
        <family val="2"/>
        <scheme val="minor"/>
      </rPr>
      <t>change
2) ls_num_inc_</t>
    </r>
    <r>
      <rPr>
        <sz val="12"/>
        <rFont val="Calibri (Body)"/>
      </rPr>
      <t>less_sales</t>
    </r>
    <r>
      <rPr>
        <sz val="12"/>
        <rFont val="Calibri"/>
        <family val="2"/>
        <scheme val="minor"/>
      </rPr>
      <t xml:space="preserve">
3) ls_num_inc_more</t>
    </r>
    <r>
      <rPr>
        <sz val="12"/>
        <rFont val="Calibri (Body)"/>
      </rPr>
      <t>_birth</t>
    </r>
    <r>
      <rPr>
        <sz val="12"/>
        <rFont val="Calibri"/>
        <family val="2"/>
        <scheme val="minor"/>
      </rPr>
      <t xml:space="preserve">
4) ls_num_inc_</t>
    </r>
    <r>
      <rPr>
        <sz val="12"/>
        <rFont val="Calibri (Body)"/>
      </rPr>
      <t>more_acquired</t>
    </r>
    <r>
      <rPr>
        <sz val="12"/>
        <rFont val="Calibri"/>
        <family val="2"/>
        <scheme val="minor"/>
      </rPr>
      <t xml:space="preserve">
5) ls_num_inc_received</t>
    </r>
    <r>
      <rPr>
        <sz val="12"/>
        <rFont val="Calibri (Body)"/>
      </rPr>
      <t>_</t>
    </r>
    <r>
      <rPr>
        <sz val="12"/>
        <rFont val="Calibri"/>
        <family val="2"/>
        <scheme val="minor"/>
      </rPr>
      <t xml:space="preserve">free
</t>
    </r>
    <r>
      <rPr>
        <sz val="12"/>
        <rFont val="Calibri (Body)"/>
      </rPr>
      <t>6) ls_num_dec_poor_health</t>
    </r>
    <r>
      <rPr>
        <sz val="12"/>
        <rFont val="Calibri"/>
        <family val="2"/>
        <scheme val="minor"/>
      </rPr>
      <t xml:space="preserve">
7) ls_num_dec_</t>
    </r>
    <r>
      <rPr>
        <sz val="12"/>
        <rFont val="Calibri (Body)"/>
      </rPr>
      <t>death</t>
    </r>
    <r>
      <rPr>
        <sz val="12"/>
        <rFont val="Calibri"/>
        <family val="2"/>
        <scheme val="minor"/>
      </rPr>
      <t xml:space="preserve">
8) ls_num_dec_</t>
    </r>
    <r>
      <rPr>
        <sz val="12"/>
        <rFont val="Calibri (Body)"/>
      </rPr>
      <t>sales_good_price</t>
    </r>
    <r>
      <rPr>
        <sz val="12"/>
        <rFont val="Calibri"/>
        <family val="2"/>
        <scheme val="minor"/>
      </rPr>
      <t xml:space="preserve">
9) ls_num_dec_</t>
    </r>
    <r>
      <rPr>
        <sz val="12"/>
        <rFont val="Calibri (Body)"/>
      </rPr>
      <t>sales_distress</t>
    </r>
    <r>
      <rPr>
        <sz val="12"/>
        <rFont val="Calibri"/>
        <family val="2"/>
        <scheme val="minor"/>
      </rPr>
      <t xml:space="preserve">
10) ls_num_dec_</t>
    </r>
    <r>
      <rPr>
        <sz val="12"/>
        <rFont val="Calibri (Body)"/>
      </rPr>
      <t>escape_stolen</t>
    </r>
    <r>
      <rPr>
        <sz val="12"/>
        <rFont val="Calibri"/>
        <family val="2"/>
        <scheme val="minor"/>
      </rPr>
      <t xml:space="preserve">
11) ls_num_dec_</t>
    </r>
    <r>
      <rPr>
        <sz val="12"/>
        <rFont val="Calibri (Body)"/>
      </rPr>
      <t>consumed</t>
    </r>
    <r>
      <rPr>
        <sz val="12"/>
        <rFont val="Calibri"/>
        <family val="2"/>
        <scheme val="minor"/>
      </rPr>
      <t xml:space="preserve">
12) ls_num_inc_dec_other
13) ls_num_inc_dec_dk
14) ls_num_inc_dec_ref</t>
    </r>
  </si>
  <si>
    <r>
      <t>ls_salesdif_
1) ls_salesdif_</t>
    </r>
    <r>
      <rPr>
        <sz val="12"/>
        <rFont val="Calibri (Body)"/>
      </rPr>
      <t>marketing_cost</t>
    </r>
    <r>
      <rPr>
        <sz val="12"/>
        <rFont val="Calibri"/>
        <family val="2"/>
        <scheme val="minor"/>
      </rPr>
      <t xml:space="preserve">
2) ls_salesdif_damage_losses
3) ls_salesdif_low_demand
</t>
    </r>
    <r>
      <rPr>
        <sz val="12"/>
        <rFont val="Calibri (Body)"/>
      </rPr>
      <t>4) ls_salesdif_pay_delay</t>
    </r>
    <r>
      <rPr>
        <sz val="12"/>
        <rFont val="Calibri"/>
        <family val="2"/>
        <scheme val="minor"/>
      </rPr>
      <t xml:space="preserve">
5) ls_salesdif_low_price
6)  ls_salesdif_slaughterhouse
7) ls_salesdif_processing
</t>
    </r>
    <r>
      <rPr>
        <sz val="12"/>
        <rFont val="Calibri (Body)"/>
      </rPr>
      <t>8) ls_salesdif_competition</t>
    </r>
    <r>
      <rPr>
        <sz val="12"/>
        <rFont val="Calibri"/>
        <family val="2"/>
        <scheme val="minor"/>
      </rPr>
      <t xml:space="preserve">
9) ls_salesdif_other
10) ls_salesdif_dk
11) ls_salesdif_ref</t>
    </r>
  </si>
  <si>
    <r>
      <rPr>
        <b/>
        <sz val="12"/>
        <rFont val="Calibri"/>
        <family val="2"/>
        <scheme val="minor"/>
      </rPr>
      <t>fish_main_</t>
    </r>
    <r>
      <rPr>
        <sz val="12"/>
        <rFont val="Calibri"/>
        <family val="2"/>
        <scheme val="minor"/>
      </rPr>
      <t xml:space="preserve">
1) fish_main_coastal
2) fish_main_</t>
    </r>
    <r>
      <rPr>
        <sz val="12"/>
        <rFont val="Calibri (Body)"/>
      </rPr>
      <t>offshore_sea</t>
    </r>
    <r>
      <rPr>
        <sz val="12"/>
        <rFont val="Calibri"/>
        <family val="2"/>
        <scheme val="minor"/>
      </rPr>
      <t xml:space="preserve">
3) fish_main_</t>
    </r>
    <r>
      <rPr>
        <sz val="12"/>
        <rFont val="Calibri (Body)"/>
      </rPr>
      <t>freshwater</t>
    </r>
    <r>
      <rPr>
        <sz val="12"/>
        <rFont val="Calibri"/>
        <family val="2"/>
        <scheme val="minor"/>
      </rPr>
      <t xml:space="preserve">
4) fish_main_aquaculture
5) fish_main_dk
6) fish_main_ref</t>
    </r>
  </si>
  <si>
    <r>
      <t>fish_saledif_
1) fish_saledif_</t>
    </r>
    <r>
      <rPr>
        <sz val="12"/>
        <rFont val="Calibri (Body)"/>
      </rPr>
      <t>marketing_cost</t>
    </r>
    <r>
      <rPr>
        <sz val="12"/>
        <rFont val="Calibri"/>
        <family val="2"/>
        <scheme val="minor"/>
      </rPr>
      <t xml:space="preserve">
2) fish_saledif_damage_losses
3) fish_saledif_low_demand
</t>
    </r>
    <r>
      <rPr>
        <sz val="12"/>
        <rFont val="Calibri (Body)"/>
      </rPr>
      <t>4) fish_saledif_pay_delay</t>
    </r>
    <r>
      <rPr>
        <sz val="12"/>
        <rFont val="Calibri"/>
        <family val="2"/>
        <scheme val="minor"/>
      </rPr>
      <t xml:space="preserve">
5) fish_saledif_low_prices
6) fish_saledif_processing
</t>
    </r>
    <r>
      <rPr>
        <sz val="12"/>
        <rFont val="Calibri (Body)"/>
      </rPr>
      <t>7) fish_saledif_competition</t>
    </r>
    <r>
      <rPr>
        <sz val="12"/>
        <rFont val="Calibri"/>
        <family val="2"/>
        <scheme val="minor"/>
      </rPr>
      <t xml:space="preserve">
8) fish_saledif_other
9) fish_saledif_dk
10) fish_saledif_ref
</t>
    </r>
  </si>
  <si>
    <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b/>
        <sz val="11"/>
        <color theme="8" tint="-0.499984740745262"/>
        <rFont val="Calibri"/>
        <family val="2"/>
        <scheme val="minor"/>
      </rPr>
      <t>15/20</t>
    </r>
    <r>
      <rPr>
        <sz val="11"/>
        <color theme="1"/>
        <rFont val="Calibri"/>
        <family val="2"/>
        <scheme val="minor"/>
      </rPr>
      <t xml:space="preserve">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t>
    </r>
    <r>
      <rPr>
        <b/>
        <sz val="11"/>
        <color theme="8" tint="-0.499984740745262"/>
        <rFont val="Calibri"/>
        <family val="2"/>
        <scheme val="minor"/>
      </rPr>
      <t xml:space="preserve">سوف تتلقى #TOPUP#! ائتمان الاتصال كحافز للمشاركة في هذه الدراسة.
يرجى الملاحظة أنه قد يتم تسجيل هذه المكالمة لغاية مراقبة الجودة.
</t>
    </r>
    <r>
      <rPr>
        <sz val="11"/>
        <color theme="1"/>
        <rFont val="Calibri"/>
        <family val="2"/>
        <scheme val="minor"/>
      </rPr>
      <t xml:space="preserve">
هل لديك اسئلة؟
[المُشغل: أجب على أسئلة المُجيب ، إن وجدت.]
1) تابع</t>
    </r>
  </si>
  <si>
    <r>
      <t xml:space="preserve">حاليًا ، في أي </t>
    </r>
    <r>
      <rPr>
        <b/>
        <sz val="12"/>
        <color rgb="FF7030A0"/>
        <rFont val="Calibri (Body)"/>
      </rPr>
      <t>$ADMIN1 AR$</t>
    </r>
    <r>
      <rPr>
        <sz val="12"/>
        <rFont val="Calibri"/>
        <family val="2"/>
        <scheme val="minor"/>
      </rPr>
      <t xml:space="preserve"> تقيم أسرتك؟
[المشغل: استجابة واحدة.]
[ملحوظة: تتكون الأسرة من جميع الأعضاء الذين يعيشون معًا ، ويتشاركون الموارد ويأكلون من نفس القدر.]
1)</t>
    </r>
    <r>
      <rPr>
        <b/>
        <sz val="12"/>
        <color theme="4"/>
        <rFont val="Calibri (Body)"/>
      </rPr>
      <t xml:space="preserve"> ADMIN 1
</t>
    </r>
    <r>
      <rPr>
        <sz val="12"/>
        <rFont val="Calibri"/>
        <family val="2"/>
        <scheme val="minor"/>
      </rPr>
      <t>2) لا أعرف
3) رفض الإجابة</t>
    </r>
  </si>
  <si>
    <r>
      <t xml:space="preserve">حاليًا ، في أي </t>
    </r>
    <r>
      <rPr>
        <b/>
        <sz val="12"/>
        <color rgb="FF7030A0"/>
        <rFont val="Calibri (Body)"/>
      </rPr>
      <t>$</t>
    </r>
    <r>
      <rPr>
        <b/>
        <sz val="12"/>
        <color rgb="FF7030A0"/>
        <rFont val="Calibri (Body)"/>
      </rPr>
      <t>ADMIN2 AR$</t>
    </r>
    <r>
      <rPr>
        <sz val="12"/>
        <rFont val="Calibri"/>
        <family val="2"/>
        <scheme val="minor"/>
      </rPr>
      <t xml:space="preserve"> تقيم أسرتك؟
[المشغل: استجابة واحدة.]
1)</t>
    </r>
    <r>
      <rPr>
        <b/>
        <sz val="12"/>
        <color theme="4"/>
        <rFont val="Calibri (Body)"/>
      </rPr>
      <t xml:space="preserve"> ADMIN 2</t>
    </r>
    <r>
      <rPr>
        <sz val="12"/>
        <rFont val="Calibri"/>
        <family val="2"/>
        <scheme val="minor"/>
      </rPr>
      <t xml:space="preserve">
2) لا أعرف
3) رفض الإجابة</t>
    </r>
  </si>
  <si>
    <r>
      <t xml:space="preserve">ما المبلغ الذي كسبته أسرتك (بالعملة </t>
    </r>
    <r>
      <rPr>
        <b/>
        <sz val="12"/>
        <color rgb="FF7030A0"/>
        <rFont val="Calibri (Body)"/>
      </rPr>
      <t>$currency$</t>
    </r>
    <r>
      <rPr>
        <sz val="12"/>
        <rFont val="Calibri"/>
        <family val="2"/>
        <scheme val="minor"/>
      </rPr>
      <t xml:space="preserve">) من مصدر دخلها الرئيسي ، {income_main} ، في الأشهر الثلاثة الماضية؟
[المُشغل: تأكد مرتين من القيم المتطرفة وتأكد من تسجيل المعلومات بالعملة الصحيحة. أدخل </t>
    </r>
    <r>
      <rPr>
        <sz val="12"/>
        <color theme="4"/>
        <rFont val="Calibri (Body)"/>
      </rPr>
      <t>8888888</t>
    </r>
    <r>
      <rPr>
        <sz val="12"/>
        <rFont val="Calibri"/>
        <family val="2"/>
        <scheme val="minor"/>
      </rPr>
      <t xml:space="preserve"> للا أعرف و </t>
    </r>
    <r>
      <rPr>
        <sz val="12"/>
        <color theme="4"/>
        <rFont val="Calibri (Body)"/>
      </rPr>
      <t>9999999</t>
    </r>
    <r>
      <rPr>
        <sz val="12"/>
        <rFont val="Calibri"/>
        <family val="2"/>
        <scheme val="minor"/>
      </rPr>
      <t xml:space="preserve"> في حالة الرفض.]</t>
    </r>
  </si>
  <si>
    <r>
      <t>هل يمكنك تأكيد مبلغ الدخل الذي ذكرته للتو؟
[المُشغل: إذا كان المبلغ المكتسب من مصدر الدخل هذا خلال الأشهر الثلاثة الماضية أكثر من</t>
    </r>
    <r>
      <rPr>
        <b/>
        <sz val="12"/>
        <color rgb="FF7030A0"/>
        <rFont val="Calibri (Body)"/>
      </rPr>
      <t xml:space="preserve"> $THRESHOLD$</t>
    </r>
    <r>
      <rPr>
        <sz val="12"/>
        <rFont val="Calibri"/>
        <family val="2"/>
        <scheme val="minor"/>
      </rPr>
      <t xml:space="preserve"> ، انقر على "تابع". بخلاف ذلك ، الرجاء الرجوع وتغيير المبلغ الذي تم إدخاله.]
1) تابع</t>
    </r>
  </si>
  <si>
    <r>
      <t xml:space="preserve">ما المبلغ الذي كسبته أسرتك (بالعملة </t>
    </r>
    <r>
      <rPr>
        <b/>
        <sz val="12"/>
        <color rgb="FF7030A0"/>
        <rFont val="Calibri (Body)"/>
      </rPr>
      <t>$currency$</t>
    </r>
    <r>
      <rPr>
        <sz val="12"/>
        <rFont val="Calibri"/>
        <family val="2"/>
        <scheme val="minor"/>
      </rPr>
      <t xml:space="preserve">) من ثاني أهم مصدر دخل لها ، #income_sec# ، في الأشهر الثلاثة الماضية؟
[المُشغل: تأكد مرتين من القيم المتطرفة وتأكد من تسجيل المعلومات بالعملة الصحيحة. أدخل </t>
    </r>
    <r>
      <rPr>
        <sz val="12"/>
        <color theme="4"/>
        <rFont val="Calibri (Body)"/>
      </rPr>
      <t>8888888</t>
    </r>
    <r>
      <rPr>
        <sz val="12"/>
        <rFont val="Calibri"/>
        <family val="2"/>
        <scheme val="minor"/>
      </rPr>
      <t xml:space="preserve"> للا أعرف و </t>
    </r>
    <r>
      <rPr>
        <sz val="12"/>
        <color theme="4"/>
        <rFont val="Calibri (Body)"/>
      </rPr>
      <t>9999999</t>
    </r>
    <r>
      <rPr>
        <sz val="12"/>
        <rFont val="Calibri"/>
        <family val="2"/>
        <scheme val="minor"/>
      </rPr>
      <t xml:space="preserve"> في حالة الرفض.]</t>
    </r>
  </si>
  <si>
    <r>
      <t xml:space="preserve">هل يمكنك تأكيد مبلغ الدخل الذي ذكرته للتو؟
[المُشغل: إذا كان المبلغ المكتسب من مصدر الدخل هذا خلال الأشهر الثلاثة الماضية أكثر من </t>
    </r>
    <r>
      <rPr>
        <b/>
        <sz val="12"/>
        <color rgb="FF7030A0"/>
        <rFont val="Calibri"/>
        <family val="2"/>
        <scheme val="minor"/>
      </rPr>
      <t>$THRESHOLD$</t>
    </r>
    <r>
      <rPr>
        <sz val="12"/>
        <rFont val="Calibri"/>
        <family val="2"/>
        <scheme val="minor"/>
      </rPr>
      <t xml:space="preserve"> ، انقر على "تابع". بخلاف ذلك ، الرجاء الرجوع وتغيير المبلغ الذي تم إدخاله.]
1) تابع</t>
    </r>
  </si>
  <si>
    <r>
      <t xml:space="preserve">ما المبلغ الذي كسبته أسرتك (بالعملة </t>
    </r>
    <r>
      <rPr>
        <b/>
        <sz val="12"/>
        <color rgb="FF7030A0"/>
        <rFont val="Calibri (Body)"/>
      </rPr>
      <t>$currency$</t>
    </r>
    <r>
      <rPr>
        <sz val="12"/>
        <rFont val="Calibri"/>
        <family val="2"/>
        <scheme val="minor"/>
      </rPr>
      <t xml:space="preserve">) من ثالث أهم مصدر دخل لها ، #income_third# ، في الأشهر الثلاثة الماضية؟
[المُشغل: تأكد مرتين من القيم المتطرفة وتأكد من تسجيل المعلومات بالعملة الصحيحة. أدخل </t>
    </r>
    <r>
      <rPr>
        <sz val="12"/>
        <color theme="4"/>
        <rFont val="Calibri (Body)"/>
      </rPr>
      <t>8888888</t>
    </r>
    <r>
      <rPr>
        <sz val="12"/>
        <rFont val="Calibri"/>
        <family val="2"/>
        <scheme val="minor"/>
      </rPr>
      <t xml:space="preserve"> للا أعرف و </t>
    </r>
    <r>
      <rPr>
        <sz val="12"/>
        <color theme="4"/>
        <rFont val="Calibri (Body)"/>
      </rPr>
      <t>9999999</t>
    </r>
    <r>
      <rPr>
        <sz val="12"/>
        <rFont val="Calibri"/>
        <family val="2"/>
        <scheme val="minor"/>
      </rPr>
      <t xml:space="preserve"> في حالة الرفض.]</t>
    </r>
  </si>
  <si>
    <r>
      <t xml:space="preserve">هل يمكنك تأكيد مبلغ الدخل الذي ذكرته للتو؟
[المُشغل: إذا كان المبلغ المكتسب من مصدر الدخل هذا خلال الأشهر الثلاثة الماضية أكثر من </t>
    </r>
    <r>
      <rPr>
        <b/>
        <sz val="12"/>
        <color rgb="FF7030A0"/>
        <rFont val="Calibri (Body)"/>
      </rPr>
      <t>$THRESHOLD$</t>
    </r>
    <r>
      <rPr>
        <sz val="12"/>
        <rFont val="Calibri"/>
        <family val="2"/>
        <scheme val="minor"/>
      </rPr>
      <t xml:space="preserve"> ، انقر على "تابع". بخلاف ذلك ، الرجاء الرجوع وتغيير المبلغ الذي تم إدخاله.]
1) تابع</t>
    </r>
  </si>
  <si>
    <r>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t>
    </r>
    <r>
      <rPr>
        <b/>
        <sz val="12"/>
        <color rgb="FF7030A0"/>
        <rFont val="Calibri (Body)"/>
      </rPr>
      <t>$season AR$</t>
    </r>
    <r>
      <rPr>
        <sz val="12"/>
        <rFont val="Calibri"/>
        <family val="2"/>
        <scheme val="minor"/>
      </rPr>
      <t>. 
1) تابع</t>
    </r>
  </si>
  <si>
    <r>
      <t>وحدة قياس مساحة الارض:
[المُشغل: لا تقرأ. استجابة واحدة.]
1) فدان
2) هكتار
3) متر مربع
4) قدم مربع
5)</t>
    </r>
    <r>
      <rPr>
        <b/>
        <sz val="12"/>
        <color rgb="FF7030A0"/>
        <rFont val="Calibri (Body)"/>
      </rPr>
      <t xml:space="preserve"> $local measurement unit AR$</t>
    </r>
  </si>
  <si>
    <r>
      <t xml:space="preserve">ما هو المحصول الرئيسي الذي تزرعه أسرتك من أجل الغذاء وتوليد الدخل في موسم </t>
    </r>
    <r>
      <rPr>
        <b/>
        <sz val="12"/>
        <color rgb="FF7030A0"/>
        <rFont val="Calibri (Body)"/>
      </rPr>
      <t>$season AR$</t>
    </r>
    <r>
      <rPr>
        <sz val="12"/>
        <rFont val="Calibri"/>
        <family val="2"/>
        <scheme val="minor"/>
      </rPr>
      <t xml:space="preserve"> ، إن وجد؟
[المشغل: استجابة واحدة. "لا إنتاج للمحصول" في آخر الخيارات في النهاية.]
</t>
    </r>
    <r>
      <rPr>
        <b/>
        <sz val="12"/>
        <color rgb="FF7030A0"/>
        <rFont val="Calibri (Body)"/>
      </rPr>
      <t>$TEN MOST COMMON CROP AR$</t>
    </r>
  </si>
  <si>
    <r>
      <t>لماذا لم تنتج أي محاصيل في</t>
    </r>
    <r>
      <rPr>
        <b/>
        <sz val="12"/>
        <color rgb="FF7030A0"/>
        <rFont val="Calibri (Body)"/>
      </rPr>
      <t xml:space="preserve"> $season AR$</t>
    </r>
    <r>
      <rPr>
        <sz val="12"/>
        <rFont val="Calibri"/>
        <family val="2"/>
        <scheme val="minor"/>
      </rPr>
      <t>؟
[المشغل: استجابة واحدة.]
1) لا أنتج عادة محاصيل خلال هذا الموسم
2) لم أتمكن من إنتاج المحاصيل (على سبيل المثال بسبب الصعوبات)</t>
    </r>
  </si>
  <si>
    <r>
      <t xml:space="preserve">كيف يمكن مقارنة المساحة المزروعة ل {crp_main} في </t>
    </r>
    <r>
      <rPr>
        <b/>
        <sz val="12"/>
        <color rgb="FF7030A0"/>
        <rFont val="Calibri (Body)"/>
      </rPr>
      <t>$season AR$</t>
    </r>
    <r>
      <rPr>
        <sz val="12"/>
        <rFont val="Calibri"/>
        <family val="2"/>
        <scheme val="minor"/>
      </rPr>
      <t xml:space="preserve"> نسبةً ل </t>
    </r>
    <r>
      <rPr>
        <b/>
        <sz val="12"/>
        <color rgb="FF7030A0"/>
        <rFont val="Calibri (Body)"/>
      </rPr>
      <t>$reference year AR$</t>
    </r>
    <r>
      <rPr>
        <sz val="12"/>
        <rFont val="Calibri"/>
        <family val="2"/>
        <scheme val="minor"/>
      </rPr>
      <t>؟
[المشغل: استجابة واحدة.]
1) أكثر بكثير [زادت بنسبة تزيد عن 50٪]
2) أكثر قليلا
3) نفس الشيء
4) أقل قليلاً
5) أقل بكثير [أقل من نصف الكمية]
6) لا أعرف
7) رفض الإجابة</t>
    </r>
  </si>
  <si>
    <r>
      <t xml:space="preserve">كيف يمكن مقارنة الحصاد  </t>
    </r>
    <r>
      <rPr>
        <b/>
        <sz val="12"/>
        <color rgb="FF7030A0"/>
        <rFont val="Calibri (Body)"/>
      </rPr>
      <t>$expected or nothing AR$</t>
    </r>
    <r>
      <rPr>
        <sz val="12"/>
        <rFont val="Calibri"/>
        <family val="2"/>
        <scheme val="minor"/>
      </rPr>
      <t xml:space="preserve"> لـ {crp_main} في </t>
    </r>
    <r>
      <rPr>
        <b/>
        <sz val="12"/>
        <color rgb="FF7030A0"/>
        <rFont val="Calibri (Body)"/>
      </rPr>
      <t>$season AR$</t>
    </r>
    <r>
      <rPr>
        <sz val="12"/>
        <rFont val="Calibri"/>
        <family val="2"/>
        <scheme val="minor"/>
      </rPr>
      <t xml:space="preserve"> نسبةً ل </t>
    </r>
    <r>
      <rPr>
        <b/>
        <sz val="12"/>
        <color rgb="FF7030A0"/>
        <rFont val="Calibri (Body)"/>
      </rPr>
      <t>$reference year AR$</t>
    </r>
    <r>
      <rPr>
        <sz val="12"/>
        <rFont val="Calibri"/>
        <family val="2"/>
        <scheme val="minor"/>
      </rPr>
      <t>؟
[المشغل: استجابة واحدة.]
1) أكثر بكثير [زادت بنسبة تزيد عن 50٪]
2) أكثر قليلا
3) نفس الشيء
4) أقل قليلاً
5) أقل بكثير [أقل من نصف الكمية]
6) لا أعرف
7) رفض الإجابة</t>
    </r>
  </si>
  <si>
    <r>
      <t xml:space="preserve"> ما هي كمية ال {crp_main}  (المدروس/ة) التي قمت بحصادها هذا الموسم </t>
    </r>
    <r>
      <rPr>
        <b/>
        <sz val="12"/>
        <color rgb="FF7030A0"/>
        <rFont val="Calibri (Body)"/>
      </rPr>
      <t>$season AR$</t>
    </r>
    <r>
      <rPr>
        <sz val="12"/>
        <rFont val="Calibri"/>
        <family val="2"/>
        <scheme val="minor"/>
      </rPr>
      <t>؟
[المُشغل: سجل الاستجابة المُعطاة. يتم تحديد وحدة القياس في السؤال التالي. أدخل 8888888 للا أعرف و 9999999 في حالة الرفض ، والتي يجب استخدامها نادرًا - تحقق!]</t>
    </r>
  </si>
  <si>
    <r>
      <t>هل واجهت أسرتك أي صعوبة من حيث إنتاج المحاصيل ف</t>
    </r>
    <r>
      <rPr>
        <b/>
        <sz val="12"/>
        <color rgb="FF7030A0"/>
        <rFont val="Calibri (Body)"/>
      </rPr>
      <t>ي $season AR$</t>
    </r>
    <r>
      <rPr>
        <sz val="12"/>
        <rFont val="Calibri"/>
        <family val="2"/>
        <scheme val="minor"/>
      </rPr>
      <t>؟
[المشغل: استجابة واحدة.]
1) نعم
2) لا
3) لا أعرف
4) رفض الإجابة</t>
    </r>
  </si>
  <si>
    <r>
      <t xml:space="preserve">ما الصعوبات التي واجهتها أسرتك في إنتاج المحاصيل في </t>
    </r>
    <r>
      <rPr>
        <b/>
        <sz val="12"/>
        <color rgb="FF7030A0"/>
        <rFont val="Calibri (Body)"/>
      </rPr>
      <t>$season AR$</t>
    </r>
    <r>
      <rPr>
        <sz val="12"/>
        <rFont val="Calibri"/>
        <family val="2"/>
        <scheme val="minor"/>
      </rPr>
      <t>؟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علي تمويل
16) آخر
17) لا أعرف
18) رفض الإجابة</t>
    </r>
  </si>
  <si>
    <t>هل واجهت أسرتك أي صعوبة في صيد الأسماك و / أو حصادها في الأشهر الثلاثة الماضية؟
[المشغل: استجابة واحدة.]
1) نعم
2) لا
3) لا أعرف
4) رفض الإجابة</t>
  </si>
  <si>
    <t>ما الصعوبات التي واجهتها أسرتك في صيد الأسماك و / أو حصادها في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الافات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</si>
  <si>
    <r>
      <t xml:space="preserve">كم يومًا خلال السبعة أيام الماضية ، تناول أفراد أسرتك </t>
    </r>
    <r>
      <rPr>
        <u/>
        <sz val="12"/>
        <color theme="1"/>
        <rFont val="Calibri"/>
        <family val="2"/>
        <scheme val="minor"/>
      </rPr>
      <t>النشويات والجذور والدرنات</t>
    </r>
    <r>
      <rPr>
        <sz val="12"/>
        <color theme="1"/>
        <rFont val="Calibri"/>
        <family val="2"/>
        <scheme val="minor"/>
      </rPr>
      <t xml:space="preserve">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r>
  </si>
  <si>
    <r>
      <t xml:space="preserve">كم يومًا خلال السبعة أيام الماضية ، تناول أفراد أسرتك </t>
    </r>
    <r>
      <rPr>
        <u/>
        <sz val="12"/>
        <color theme="1"/>
        <rFont val="Calibri"/>
        <family val="2"/>
        <scheme val="minor"/>
      </rPr>
      <t>البقول والمكسرات</t>
    </r>
    <r>
      <rPr>
        <sz val="12"/>
        <color theme="1"/>
        <rFont val="Calibri"/>
        <family val="2"/>
        <scheme val="minor"/>
      </rPr>
      <t xml:space="preserve">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r>
  </si>
  <si>
    <r>
      <t xml:space="preserve">كم يومًا خلال السبعة أيام الماضية ، تناول أفراد أسرتك </t>
    </r>
    <r>
      <rPr>
        <u/>
        <sz val="12"/>
        <color theme="1"/>
        <rFont val="Calibri"/>
        <family val="2"/>
        <scheme val="minor"/>
      </rPr>
      <t>اللحوم أو البيض أو الأسماك</t>
    </r>
    <r>
      <rPr>
        <sz val="12"/>
        <color theme="1"/>
        <rFont val="Calibri"/>
        <family val="2"/>
        <scheme val="minor"/>
      </rPr>
      <t xml:space="preserve">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r>
  </si>
  <si>
    <r>
      <t xml:space="preserve">كم يومًا خلال السبعة أيام الماضية ، استهلك أفراد أسرتك الحليب الطازج أو اللبن الرائب أو الزبادي أو الجبن أو </t>
    </r>
    <r>
      <rPr>
        <u/>
        <sz val="12"/>
        <color theme="1"/>
        <rFont val="Calibri"/>
        <family val="2"/>
        <scheme val="minor"/>
      </rPr>
      <t>منتجات الألبان</t>
    </r>
    <r>
      <rPr>
        <sz val="12"/>
        <color theme="1"/>
        <rFont val="Calibri"/>
        <family val="2"/>
        <scheme val="minor"/>
      </rPr>
      <t xml:space="preserve">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r>
  </si>
  <si>
    <r>
      <t xml:space="preserve">كم يومًا خلال السبعة أيام الماضية ، استهلك أفراد أسرتك </t>
    </r>
    <r>
      <rPr>
        <u/>
        <sz val="12"/>
        <color theme="1"/>
        <rFont val="Calibri"/>
        <family val="2"/>
        <scheme val="minor"/>
      </rPr>
      <t>السكر أو الحلوى</t>
    </r>
    <r>
      <rPr>
        <sz val="12"/>
        <color theme="1"/>
        <rFont val="Calibri"/>
        <family val="2"/>
        <scheme val="minor"/>
      </rPr>
      <t xml:space="preserve">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r>
  </si>
  <si>
    <r>
      <t xml:space="preserve">كم يومًا خلال السبعة أيام الماضية ، تناول أفراد أسرتك </t>
    </r>
    <r>
      <rPr>
        <u/>
        <sz val="12"/>
        <color theme="1"/>
        <rFont val="Calibri"/>
        <family val="2"/>
        <scheme val="minor"/>
      </rPr>
      <t>الزيت / الدهون / الزبدة</t>
    </r>
    <r>
      <rPr>
        <sz val="12"/>
        <color theme="1"/>
        <rFont val="Calibri"/>
        <family val="2"/>
        <scheme val="minor"/>
      </rPr>
      <t xml:space="preserve">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r>
  </si>
  <si>
    <r>
      <t xml:space="preserve">كم يومًا خلال السبعة أيام الماضية ، تناول أفراد أسرتك </t>
    </r>
    <r>
      <rPr>
        <u/>
        <sz val="12"/>
        <color theme="1"/>
        <rFont val="Calibri"/>
        <family val="2"/>
        <scheme val="minor"/>
      </rPr>
      <t>البهارات أو التوابل</t>
    </r>
    <r>
      <rPr>
        <sz val="12"/>
        <color theme="1"/>
        <rFont val="Calibri"/>
        <family val="2"/>
        <scheme val="minor"/>
      </rPr>
      <t xml:space="preserve">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r>
  </si>
  <si>
    <r>
      <t xml:space="preserve">كم يومًا خلال السبعة أيام الماضية ، تناول أفراد أسرتك </t>
    </r>
    <r>
      <rPr>
        <u/>
        <sz val="12"/>
        <color theme="1"/>
        <rFont val="Calibri"/>
        <family val="2"/>
        <scheme val="minor"/>
      </rPr>
      <t>فواكه</t>
    </r>
    <r>
      <rPr>
        <sz val="12"/>
        <color theme="1"/>
        <rFont val="Calibri"/>
        <family val="2"/>
        <scheme val="minor"/>
      </rPr>
      <t xml:space="preserve"> مثل </t>
    </r>
    <r>
      <rPr>
        <b/>
        <sz val="12"/>
        <color rgb="FF7030A0"/>
        <rFont val="Calibri (Body)"/>
      </rPr>
      <t>$local fruits AR$</t>
    </r>
    <r>
      <rPr>
        <sz val="12"/>
        <color theme="1"/>
        <rFont val="Calibri"/>
        <family val="2"/>
        <scheme val="minor"/>
      </rPr>
      <t xml:space="preserve"> و / أو غيرها من الفواكه؟
[المُشغل: سجل عدد الأيام من صفر إلى 7]
[ملحوظة: إذا تم تناول هذه الأطعمة بكميات صغيرة فقط ، فلا تقم بتضمينها.]</t>
    </r>
  </si>
  <si>
    <r>
      <t xml:space="preserve">كم يومًا خلال السبعة أيام الماضية ، أكل أفراد أسرتك </t>
    </r>
    <r>
      <rPr>
        <u/>
        <sz val="12"/>
        <color theme="1"/>
        <rFont val="Calibri"/>
        <family val="2"/>
        <scheme val="minor"/>
      </rPr>
      <t>خضروات أو خضار ورقية</t>
    </r>
    <r>
      <rPr>
        <sz val="12"/>
        <color theme="1"/>
        <rFont val="Calibri"/>
        <family val="2"/>
        <scheme val="minor"/>
      </rPr>
      <t xml:space="preserve"> مثل  </t>
    </r>
    <r>
      <rPr>
        <b/>
        <sz val="12"/>
        <color rgb="FF7030A0"/>
        <rFont val="Calibri (Body)"/>
      </rPr>
      <t>$local vegetables AR$</t>
    </r>
    <r>
      <rPr>
        <sz val="12"/>
        <color theme="1"/>
        <rFont val="Calibri"/>
        <family val="2"/>
        <scheme val="minor"/>
      </rPr>
      <t xml:space="preserve"> و / أو خضار ورقية / خضروات أخرى؟
[المُشغل: سجل عدد الأيام من صفر إلى 7]
[ملحوظة: إذا تم تناول هذه الأطعمة بكميات صغيرة فقط ، فلا تقم بتضمينها.]</t>
    </r>
  </si>
  <si>
    <r>
      <t>شكرا لك على وقتك. انتهت المقابلة</t>
    </r>
    <r>
      <rPr>
        <b/>
        <sz val="12"/>
        <color theme="4"/>
        <rFont val="Calibri (Body)"/>
      </rPr>
      <t>. ستتلقى رصيدك #TOPUP# على هذا الهاتف في غضون اليومين المقبلين.</t>
    </r>
  </si>
  <si>
    <r>
      <t xml:space="preserve">قم بتضمين تحويل وحدة القياس المحلية إلى هكتار. بمعنى آخر ، إلى كم هو عدد وحدات القياس المحلية في هكتار واحد. </t>
    </r>
    <r>
      <rPr>
        <b/>
        <sz val="11"/>
        <rFont val="Calibri"/>
        <family val="2"/>
      </rPr>
      <t xml:space="preserve">يرجى إدخال الأرقام في الأبجدية اللاتينية (...3, 2, 1). </t>
    </r>
  </si>
  <si>
    <r>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t>
    </r>
    <r>
      <rPr>
        <b/>
        <sz val="11"/>
        <rFont val="Calibri"/>
        <family val="2"/>
      </rPr>
      <t xml:space="preserve">يرجى إدخال الأرقام في الأبجدية اللاتينية (...3, 2, 1). </t>
    </r>
  </si>
  <si>
    <r>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t>
    </r>
    <r>
      <rPr>
        <b/>
        <sz val="11"/>
        <rFont val="Calibri"/>
        <family val="2"/>
      </rPr>
      <t xml:space="preserve"> يرجى إدخال الأرقام في الأبجدية اللاتينية (...3, 2, 1). </t>
    </r>
  </si>
  <si>
    <r>
      <t>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t>
    </r>
    <r>
      <rPr>
        <b/>
        <sz val="11"/>
        <rFont val="Calibri"/>
        <family val="2"/>
      </rPr>
      <t xml:space="preserve"> يرجى إدخال الأرقام في الأبجدية اللاتينية (...3, 2, 1). </t>
    </r>
  </si>
  <si>
    <r>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r>
    <r>
      <rPr>
        <b/>
        <sz val="11"/>
        <rFont val="Calibri"/>
        <family val="2"/>
      </rPr>
      <t xml:space="preserve">يرجى إدخال الأرقام في الأبجدية اللاتينية (...3, 2, 1). </t>
    </r>
  </si>
  <si>
    <r>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r>
    <r>
      <rPr>
        <b/>
        <sz val="11"/>
        <rFont val="Calibri"/>
        <family val="2"/>
      </rPr>
      <t xml:space="preserve">يرجى إدخال الأرقام في الأبجدية اللاتينية (...3, 2, 1). </t>
    </r>
  </si>
  <si>
    <r>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r>
    <r>
      <rPr>
        <b/>
        <sz val="11"/>
        <rFont val="Calibri"/>
        <family val="2"/>
      </rPr>
      <t xml:space="preserve">يرجى إدخال الأرقام في الأبجدية اللاتينية (...3, 2, 1).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</si>
</sst>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1170000]B2dd/mm/yyyy;@"/>
  </numFmts>
  <fonts count="85">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sz val="12"/>
      <color rgb="FF0070C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u/>
      <sz val="12"/>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sz val="12"/>
      <color rgb="FFF504E7"/>
      <name val="Calibri"/>
      <family val="2"/>
      <scheme val="minor"/>
    </font>
    <font>
      <i/>
      <sz val="12"/>
      <color theme="4"/>
      <name val="Calibri"/>
      <family val="2"/>
      <scheme val="minor"/>
    </font>
    <font>
      <sz val="11"/>
      <color theme="4"/>
      <name val="Calibri"/>
      <family val="2"/>
      <scheme val="minor"/>
    </font>
    <font>
      <b/>
      <i/>
      <sz val="12"/>
      <color theme="4"/>
      <name val="Calibri"/>
      <family val="2"/>
      <scheme val="minor"/>
    </font>
    <font>
      <i/>
      <sz val="12"/>
      <color rgb="FF0070C0"/>
      <name val="Calibri"/>
      <family val="2"/>
      <scheme val="minor"/>
    </font>
    <font>
      <u/>
      <sz val="12"/>
      <color theme="1"/>
      <name val="Calibri"/>
      <family val="2"/>
      <scheme val="minor"/>
    </font>
    <font>
      <i/>
      <sz val="12"/>
      <color theme="1"/>
      <name val="Calibri"/>
      <family val="2"/>
      <scheme val="minor"/>
    </font>
    <font>
      <sz val="12"/>
      <color theme="0"/>
      <name val="Calibri"/>
      <family val="2"/>
      <scheme val="minor"/>
    </font>
    <font>
      <i/>
      <sz val="12"/>
      <color theme="0"/>
      <name val="Calibri"/>
      <family val="2"/>
      <scheme val="minor"/>
    </font>
    <font>
      <b/>
      <sz val="12"/>
      <color theme="9" tint="-0.499984740745262"/>
      <name val="Calibri"/>
      <family val="2"/>
      <scheme val="minor"/>
    </font>
    <font>
      <sz val="12"/>
      <color theme="9" tint="-0.499984740745262"/>
      <name val="Calibri"/>
      <family val="2"/>
      <scheme val="minor"/>
    </font>
    <font>
      <i/>
      <sz val="12"/>
      <name val="Calibri (Body)"/>
    </font>
    <font>
      <i/>
      <sz val="12"/>
      <color theme="4"/>
      <name val="Calibri (Body)"/>
    </font>
    <font>
      <sz val="12"/>
      <color theme="4"/>
      <name val="Calibri (Body)"/>
    </font>
    <font>
      <u/>
      <sz val="12"/>
      <name val="Calibri (Body)"/>
    </font>
    <font>
      <sz val="12"/>
      <color theme="9" tint="-0.499984740745262"/>
      <name val="Calibri (Body)"/>
    </font>
    <font>
      <b/>
      <sz val="12"/>
      <color theme="9" tint="-0.499984740745262"/>
      <name val="Calibri (Body)"/>
    </font>
    <font>
      <i/>
      <sz val="12"/>
      <color theme="9" tint="-0.499984740745262"/>
      <name val="Calibri (Body)"/>
    </font>
    <font>
      <sz val="11"/>
      <color theme="9" tint="-0.499984740745262"/>
      <name val="Calibri (Body)"/>
    </font>
    <font>
      <b/>
      <sz val="12"/>
      <color rgb="FF7030A0"/>
      <name val="Calibri (Body)"/>
    </font>
    <font>
      <sz val="10"/>
      <color theme="4"/>
      <name val="Calibri"/>
      <family val="2"/>
      <scheme val="minor"/>
    </font>
    <font>
      <sz val="12"/>
      <name val="Calibri (Body)"/>
    </font>
    <font>
      <sz val="12"/>
      <color rgb="FFFF0000"/>
      <name val="Calibri (Body)"/>
    </font>
    <font>
      <sz val="12"/>
      <color rgb="FF7030A0"/>
      <name val="Calibri (Body)"/>
    </font>
    <font>
      <strike/>
      <sz val="12"/>
      <name val="Calibri (Body)"/>
    </font>
    <font>
      <sz val="12"/>
      <name val="Calibri"/>
      <family val="2"/>
    </font>
    <font>
      <b/>
      <sz val="12"/>
      <color theme="4"/>
      <name val="Calibri (Body)"/>
    </font>
    <font>
      <sz val="11"/>
      <name val="Calibri (Body)"/>
    </font>
    <font>
      <sz val="11"/>
      <color rgb="FFFF0000"/>
      <name val="Calibri"/>
      <family val="2"/>
      <scheme val="minor"/>
    </font>
    <font>
      <b/>
      <sz val="12"/>
      <name val="Calibri (Body)"/>
    </font>
    <font>
      <b/>
      <i/>
      <sz val="12"/>
      <name val="Calibri (Body)"/>
    </font>
    <font>
      <sz val="10"/>
      <name val="Calibri (Body)"/>
    </font>
    <font>
      <b/>
      <sz val="10"/>
      <color theme="4"/>
      <name val="Calibri"/>
      <family val="2"/>
      <scheme val="minor"/>
    </font>
    <font>
      <u/>
      <sz val="12"/>
      <color theme="1"/>
      <name val="Calibri (Body)"/>
    </font>
    <font>
      <sz val="14"/>
      <name val="Calibri"/>
      <family val="2"/>
      <scheme val="minor"/>
    </font>
    <font>
      <sz val="14"/>
      <color theme="9" tint="-0.499984740745262"/>
      <name val="Inherit"/>
    </font>
    <font>
      <u/>
      <sz val="11"/>
      <name val="Calibri"/>
      <family val="2"/>
      <scheme val="minor"/>
    </font>
    <font>
      <b/>
      <sz val="11"/>
      <color theme="4"/>
      <name val="Calibri (Body)"/>
    </font>
    <font>
      <b/>
      <i/>
      <sz val="12"/>
      <color theme="4"/>
      <name val="Calibri (Body)"/>
    </font>
    <font>
      <b/>
      <sz val="11"/>
      <color theme="8" tint="-0.499984740745262"/>
      <name val="Calibri"/>
      <family val="2"/>
      <scheme val="minor"/>
    </font>
  </fonts>
  <fills count="13">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0" tint="-0.14999847407452621"/>
        <bgColor rgb="FF000000"/>
      </patternFill>
    </fill>
  </fills>
  <borders count="8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s>
  <cellStyleXfs count="19">
    <xf numFmtId="0" fontId="0" fillId="0" borderId="0"/>
    <xf numFmtId="0" fontId="16" fillId="0" borderId="0"/>
    <xf numFmtId="0" fontId="17" fillId="0" borderId="0"/>
    <xf numFmtId="0" fontId="15" fillId="0" borderId="0"/>
    <xf numFmtId="0" fontId="16" fillId="0" borderId="0"/>
    <xf numFmtId="0" fontId="15" fillId="0" borderId="0"/>
    <xf numFmtId="0" fontId="15" fillId="0" borderId="0"/>
    <xf numFmtId="0" fontId="20" fillId="8" borderId="21" applyNumberFormat="0" applyAlignment="0" applyProtection="0"/>
    <xf numFmtId="0" fontId="14" fillId="0" borderId="0"/>
    <xf numFmtId="0" fontId="14" fillId="0" borderId="0"/>
    <xf numFmtId="0" fontId="13" fillId="0" borderId="0"/>
    <xf numFmtId="9" fontId="15" fillId="0" borderId="0" applyFont="0" applyFill="0" applyBorder="0" applyAlignment="0" applyProtection="0"/>
    <xf numFmtId="0" fontId="12" fillId="0" borderId="0"/>
    <xf numFmtId="0" fontId="11" fillId="0" borderId="0"/>
    <xf numFmtId="0" fontId="11" fillId="0" borderId="0"/>
    <xf numFmtId="0" fontId="10" fillId="0" borderId="0"/>
    <xf numFmtId="0" fontId="5" fillId="0" borderId="0"/>
    <xf numFmtId="0" fontId="3" fillId="0" borderId="0"/>
    <xf numFmtId="0" fontId="2" fillId="0" borderId="0"/>
  </cellStyleXfs>
  <cellXfs count="641">
    <xf numFmtId="0" fontId="0" fillId="0" borderId="0" xfId="0"/>
    <xf numFmtId="0" fontId="0" fillId="0" borderId="22" xfId="0" applyBorder="1"/>
    <xf numFmtId="0" fontId="18" fillId="0" borderId="22" xfId="0" applyFont="1" applyBorder="1" applyAlignment="1">
      <alignment horizontal="center" vertical="center"/>
    </xf>
    <xf numFmtId="0" fontId="0" fillId="0" borderId="23" xfId="0" applyBorder="1"/>
    <xf numFmtId="0" fontId="18" fillId="0" borderId="25" xfId="0" applyFont="1" applyBorder="1" applyAlignment="1">
      <alignment horizontal="center" vertical="center"/>
    </xf>
    <xf numFmtId="0" fontId="0" fillId="0" borderId="25" xfId="0" applyBorder="1"/>
    <xf numFmtId="0" fontId="18" fillId="0" borderId="26" xfId="0" applyFont="1" applyBorder="1" applyAlignment="1">
      <alignment horizontal="center" vertical="center"/>
    </xf>
    <xf numFmtId="0" fontId="0" fillId="0" borderId="26" xfId="0" applyBorder="1"/>
    <xf numFmtId="0" fontId="18" fillId="0" borderId="1" xfId="0" applyFont="1" applyBorder="1"/>
    <xf numFmtId="0" fontId="19" fillId="0" borderId="36" xfId="3" applyFont="1" applyBorder="1" applyAlignment="1" applyProtection="1">
      <alignment horizontal="left" vertical="center" wrapText="1"/>
      <protection locked="0"/>
    </xf>
    <xf numFmtId="0" fontId="19" fillId="0" borderId="37" xfId="3" applyFont="1" applyBorder="1" applyAlignment="1" applyProtection="1">
      <alignment horizontal="left" vertical="center" wrapText="1"/>
      <protection locked="0"/>
    </xf>
    <xf numFmtId="0" fontId="19" fillId="0" borderId="37" xfId="5" applyFont="1" applyBorder="1" applyAlignment="1" applyProtection="1">
      <alignment horizontal="left" vertical="center" wrapText="1"/>
      <protection locked="0"/>
    </xf>
    <xf numFmtId="0" fontId="26" fillId="9" borderId="37" xfId="3" applyFont="1" applyFill="1" applyBorder="1" applyAlignment="1" applyProtection="1">
      <alignment horizontal="left" vertical="center" wrapText="1"/>
      <protection locked="0"/>
    </xf>
    <xf numFmtId="0" fontId="19" fillId="0" borderId="38" xfId="3" applyFont="1" applyBorder="1" applyAlignment="1" applyProtection="1">
      <alignment horizontal="left" vertical="center" wrapText="1"/>
      <protection locked="0"/>
    </xf>
    <xf numFmtId="0" fontId="19" fillId="6" borderId="8" xfId="2" applyFont="1" applyFill="1" applyBorder="1" applyAlignment="1" applyProtection="1">
      <alignment horizontal="center" vertical="center"/>
      <protection locked="0"/>
    </xf>
    <xf numFmtId="0" fontId="19" fillId="6" borderId="13" xfId="0" applyFont="1" applyFill="1" applyBorder="1" applyAlignment="1" applyProtection="1">
      <alignment horizontal="left" vertical="center" wrapText="1"/>
      <protection locked="0"/>
    </xf>
    <xf numFmtId="0" fontId="19" fillId="6" borderId="3" xfId="2" applyFont="1" applyFill="1" applyBorder="1" applyAlignment="1" applyProtection="1">
      <alignment horizontal="center" vertical="center" wrapText="1"/>
      <protection locked="0"/>
    </xf>
    <xf numFmtId="0" fontId="19" fillId="6" borderId="3" xfId="0" applyFont="1" applyFill="1" applyBorder="1" applyAlignment="1" applyProtection="1">
      <alignment horizontal="center" vertical="center" wrapText="1"/>
      <protection locked="0"/>
    </xf>
    <xf numFmtId="0" fontId="19" fillId="6" borderId="3" xfId="3" applyFont="1" applyFill="1" applyBorder="1" applyAlignment="1" applyProtection="1">
      <alignment horizontal="left" vertical="center" wrapText="1"/>
      <protection locked="0"/>
    </xf>
    <xf numFmtId="0" fontId="19" fillId="6" borderId="1" xfId="0" applyFont="1" applyFill="1" applyBorder="1" applyAlignment="1" applyProtection="1">
      <alignment horizontal="left" vertical="center" wrapText="1"/>
      <protection locked="0"/>
    </xf>
    <xf numFmtId="0" fontId="19" fillId="6" borderId="1" xfId="2" applyFont="1" applyFill="1" applyBorder="1" applyAlignment="1" applyProtection="1">
      <alignment horizontal="center" vertical="center" wrapText="1"/>
      <protection locked="0"/>
    </xf>
    <xf numFmtId="0" fontId="19" fillId="6" borderId="1" xfId="0" applyFont="1" applyFill="1" applyBorder="1" applyAlignment="1" applyProtection="1">
      <alignment horizontal="center" vertical="center" wrapText="1"/>
      <protection locked="0"/>
    </xf>
    <xf numFmtId="0" fontId="19" fillId="6" borderId="1" xfId="3" applyFont="1" applyFill="1" applyBorder="1" applyAlignment="1" applyProtection="1">
      <alignment horizontal="left" vertical="center" wrapText="1"/>
      <protection locked="0"/>
    </xf>
    <xf numFmtId="0" fontId="19" fillId="6" borderId="2" xfId="2" applyFont="1" applyFill="1" applyBorder="1" applyAlignment="1" applyProtection="1">
      <alignment horizontal="center" vertical="center" wrapText="1"/>
      <protection locked="0"/>
    </xf>
    <xf numFmtId="0" fontId="19" fillId="6" borderId="13" xfId="2" applyFont="1" applyFill="1" applyBorder="1" applyAlignment="1" applyProtection="1">
      <alignment horizontal="center" vertical="center" wrapText="1"/>
      <protection locked="0"/>
    </xf>
    <xf numFmtId="0" fontId="19" fillId="0" borderId="35" xfId="3" applyFont="1" applyBorder="1" applyAlignment="1" applyProtection="1">
      <alignment horizontal="left" vertical="center" wrapText="1"/>
      <protection locked="0"/>
    </xf>
    <xf numFmtId="0" fontId="19" fillId="6" borderId="19" xfId="2" applyFont="1" applyFill="1" applyBorder="1" applyAlignment="1" applyProtection="1">
      <alignment horizontal="center" vertical="center"/>
      <protection locked="0"/>
    </xf>
    <xf numFmtId="0" fontId="19" fillId="6" borderId="2" xfId="0" applyFont="1" applyFill="1" applyBorder="1" applyAlignment="1" applyProtection="1">
      <alignment horizontal="left" vertical="center" wrapText="1"/>
      <protection locked="0"/>
    </xf>
    <xf numFmtId="0" fontId="19" fillId="6" borderId="13" xfId="0" applyFont="1" applyFill="1" applyBorder="1" applyAlignment="1" applyProtection="1">
      <alignment horizontal="center" vertical="center" wrapText="1"/>
      <protection locked="0"/>
    </xf>
    <xf numFmtId="0" fontId="19" fillId="6" borderId="20" xfId="3" applyFont="1" applyFill="1" applyBorder="1" applyAlignment="1" applyProtection="1">
      <alignment horizontal="left" vertical="center" wrapText="1"/>
      <protection locked="0"/>
    </xf>
    <xf numFmtId="0" fontId="19" fillId="10" borderId="17" xfId="0" applyFont="1" applyFill="1" applyBorder="1" applyAlignment="1" applyProtection="1">
      <alignment horizontal="left" vertical="center" wrapText="1"/>
      <protection locked="0"/>
    </xf>
    <xf numFmtId="0" fontId="19" fillId="6" borderId="14" xfId="3" applyFont="1" applyFill="1" applyBorder="1" applyAlignment="1" applyProtection="1">
      <alignment horizontal="left" vertical="center" wrapText="1"/>
      <protection locked="0"/>
    </xf>
    <xf numFmtId="0" fontId="26" fillId="7" borderId="14" xfId="0" applyFont="1" applyFill="1" applyBorder="1" applyAlignment="1" applyProtection="1">
      <alignment horizontal="left" vertical="center" wrapText="1"/>
      <protection locked="0"/>
    </xf>
    <xf numFmtId="0" fontId="19" fillId="6" borderId="3" xfId="3" applyFont="1" applyFill="1" applyBorder="1" applyAlignment="1" applyProtection="1">
      <alignment horizontal="center" vertical="center" wrapText="1"/>
      <protection locked="0"/>
    </xf>
    <xf numFmtId="0" fontId="19" fillId="6" borderId="17" xfId="3" applyFont="1" applyFill="1" applyBorder="1" applyAlignment="1" applyProtection="1">
      <alignment horizontal="left" vertical="center" wrapText="1"/>
      <protection locked="0"/>
    </xf>
    <xf numFmtId="0" fontId="19" fillId="7" borderId="17" xfId="0" applyFont="1" applyFill="1" applyBorder="1" applyAlignment="1" applyProtection="1">
      <alignment horizontal="left" vertical="center" wrapText="1"/>
      <protection locked="0"/>
    </xf>
    <xf numFmtId="0" fontId="19" fillId="6" borderId="1" xfId="3" applyFont="1" applyFill="1" applyBorder="1" applyAlignment="1" applyProtection="1">
      <alignment horizontal="center" vertical="center" wrapText="1"/>
      <protection locked="0"/>
    </xf>
    <xf numFmtId="0" fontId="19" fillId="6" borderId="13" xfId="3" applyFont="1" applyFill="1" applyBorder="1" applyAlignment="1" applyProtection="1">
      <alignment horizontal="left" vertical="center" wrapText="1"/>
      <protection locked="0"/>
    </xf>
    <xf numFmtId="0" fontId="19" fillId="6" borderId="1" xfId="3" applyFont="1" applyFill="1" applyBorder="1" applyAlignment="1" applyProtection="1">
      <alignment vertical="center" wrapText="1"/>
      <protection locked="0"/>
    </xf>
    <xf numFmtId="0" fontId="21" fillId="6" borderId="1" xfId="2" applyFont="1" applyFill="1" applyBorder="1" applyAlignment="1" applyProtection="1">
      <alignment horizontal="center" vertical="center" wrapText="1"/>
      <protection locked="0"/>
    </xf>
    <xf numFmtId="0" fontId="19" fillId="6" borderId="6" xfId="2" applyFont="1" applyFill="1" applyBorder="1" applyAlignment="1" applyProtection="1">
      <alignment horizontal="center" vertical="center"/>
      <protection locked="0"/>
    </xf>
    <xf numFmtId="0" fontId="19" fillId="6" borderId="2" xfId="3" applyFont="1" applyFill="1" applyBorder="1" applyAlignment="1" applyProtection="1">
      <alignment horizontal="left" vertical="center" wrapText="1"/>
      <protection locked="0"/>
    </xf>
    <xf numFmtId="0" fontId="19" fillId="6" borderId="15" xfId="3" applyFont="1" applyFill="1" applyBorder="1" applyAlignment="1" applyProtection="1">
      <alignment horizontal="left" vertical="center" wrapText="1"/>
      <protection locked="0"/>
    </xf>
    <xf numFmtId="0" fontId="19" fillId="9" borderId="14" xfId="0" applyFont="1" applyFill="1" applyBorder="1" applyAlignment="1" applyProtection="1">
      <alignment horizontal="left" vertical="center" wrapText="1"/>
      <protection locked="0"/>
    </xf>
    <xf numFmtId="0" fontId="19" fillId="9" borderId="17" xfId="3" applyFont="1" applyFill="1" applyBorder="1" applyAlignment="1" applyProtection="1">
      <alignment horizontal="left" vertical="center" wrapText="1"/>
      <protection locked="0"/>
    </xf>
    <xf numFmtId="0" fontId="19" fillId="9" borderId="20" xfId="3" applyFont="1" applyFill="1" applyBorder="1" applyAlignment="1" applyProtection="1">
      <alignment horizontal="left" vertical="center" wrapText="1"/>
      <protection locked="0"/>
    </xf>
    <xf numFmtId="0" fontId="19" fillId="0" borderId="8" xfId="2" applyFont="1" applyBorder="1" applyAlignment="1" applyProtection="1">
      <alignment horizontal="center" vertical="center"/>
      <protection locked="0"/>
    </xf>
    <xf numFmtId="0" fontId="19" fillId="0" borderId="1" xfId="0" applyFont="1" applyBorder="1" applyAlignment="1" applyProtection="1">
      <alignment horizontal="left" vertical="center" wrapText="1"/>
      <protection locked="0"/>
    </xf>
    <xf numFmtId="0" fontId="19" fillId="0" borderId="1" xfId="2" applyFont="1" applyBorder="1" applyAlignment="1" applyProtection="1">
      <alignment horizontal="center" vertical="center" wrapText="1"/>
      <protection locked="0"/>
    </xf>
    <xf numFmtId="0" fontId="19" fillId="0" borderId="1" xfId="0" applyFont="1" applyBorder="1" applyAlignment="1" applyProtection="1">
      <alignment horizontal="center" vertical="center" wrapText="1"/>
      <protection locked="0"/>
    </xf>
    <xf numFmtId="0" fontId="39" fillId="0" borderId="1" xfId="0" applyFont="1" applyBorder="1"/>
    <xf numFmtId="0" fontId="19" fillId="0" borderId="50" xfId="3" applyFont="1" applyBorder="1" applyAlignment="1" applyProtection="1">
      <alignment horizontal="left" vertical="center" wrapText="1"/>
      <protection locked="0"/>
    </xf>
    <xf numFmtId="0" fontId="37" fillId="10" borderId="17" xfId="0" applyFont="1" applyFill="1" applyBorder="1" applyAlignment="1" applyProtection="1">
      <alignment horizontal="left" vertical="center" wrapText="1"/>
      <protection locked="0"/>
    </xf>
    <xf numFmtId="0" fontId="21" fillId="6" borderId="49" xfId="0" applyFont="1" applyFill="1" applyBorder="1" applyAlignment="1" applyProtection="1">
      <alignment horizontal="center" vertical="center"/>
      <protection locked="0"/>
    </xf>
    <xf numFmtId="0" fontId="19" fillId="6" borderId="49" xfId="0" applyFont="1" applyFill="1" applyBorder="1" applyAlignment="1" applyProtection="1">
      <alignment horizontal="center" vertical="center"/>
      <protection locked="0"/>
    </xf>
    <xf numFmtId="0" fontId="19" fillId="6" borderId="49" xfId="3" applyFont="1" applyFill="1" applyBorder="1" applyAlignment="1" applyProtection="1">
      <alignment horizontal="center" vertical="center" wrapText="1"/>
      <protection locked="0"/>
    </xf>
    <xf numFmtId="0" fontId="41" fillId="6" borderId="1" xfId="0" applyFont="1" applyFill="1" applyBorder="1" applyAlignment="1" applyProtection="1">
      <alignment horizontal="left" vertical="center" wrapText="1"/>
      <protection locked="0"/>
    </xf>
    <xf numFmtId="0" fontId="19" fillId="6" borderId="49" xfId="3" applyFont="1" applyFill="1" applyBorder="1" applyAlignment="1" applyProtection="1">
      <alignment vertical="center" wrapText="1"/>
      <protection locked="0"/>
    </xf>
    <xf numFmtId="0" fontId="19" fillId="6" borderId="7" xfId="2" applyFont="1" applyFill="1" applyBorder="1" applyAlignment="1" applyProtection="1">
      <alignment horizontal="center" vertical="center"/>
      <protection locked="0"/>
    </xf>
    <xf numFmtId="0" fontId="19" fillId="6" borderId="3" xfId="0" applyFont="1" applyFill="1" applyBorder="1" applyAlignment="1" applyProtection="1">
      <alignment horizontal="left" vertical="center" wrapText="1"/>
      <protection locked="0"/>
    </xf>
    <xf numFmtId="0" fontId="19" fillId="0" borderId="14" xfId="2" applyFont="1" applyBorder="1" applyAlignment="1" applyProtection="1">
      <alignment horizontal="left" vertical="center" wrapText="1"/>
      <protection locked="0"/>
    </xf>
    <xf numFmtId="0" fontId="19" fillId="9" borderId="14" xfId="3" applyFont="1" applyFill="1" applyBorder="1" applyAlignment="1" applyProtection="1">
      <alignment horizontal="left" vertical="center" wrapText="1"/>
      <protection locked="0"/>
    </xf>
    <xf numFmtId="0" fontId="19" fillId="6" borderId="17" xfId="3" applyFont="1" applyFill="1" applyBorder="1" applyAlignment="1" applyProtection="1">
      <alignment horizontal="center" vertical="center" wrapText="1"/>
      <protection locked="0"/>
    </xf>
    <xf numFmtId="0" fontId="28" fillId="12" borderId="17" xfId="0" applyFont="1" applyFill="1" applyBorder="1" applyAlignment="1" applyProtection="1">
      <alignment horizontal="center" vertical="center" wrapText="1"/>
      <protection locked="0"/>
    </xf>
    <xf numFmtId="0" fontId="28" fillId="6" borderId="17" xfId="3" applyFont="1" applyFill="1" applyBorder="1" applyAlignment="1" applyProtection="1">
      <alignment horizontal="left" vertical="center" wrapText="1"/>
      <protection locked="0"/>
    </xf>
    <xf numFmtId="0" fontId="19" fillId="9" borderId="14" xfId="3" applyFont="1" applyFill="1" applyBorder="1" applyAlignment="1" applyProtection="1">
      <alignment vertical="center" wrapText="1"/>
      <protection locked="0"/>
    </xf>
    <xf numFmtId="0" fontId="28" fillId="6" borderId="20" xfId="3" applyFont="1" applyFill="1" applyBorder="1" applyAlignment="1" applyProtection="1">
      <alignment horizontal="center" vertical="center" wrapText="1"/>
      <protection locked="0"/>
    </xf>
    <xf numFmtId="0" fontId="41" fillId="6" borderId="14" xfId="0" applyFont="1" applyFill="1" applyBorder="1" applyAlignment="1" applyProtection="1">
      <alignment horizontal="left" vertical="center" wrapText="1"/>
      <protection locked="0"/>
    </xf>
    <xf numFmtId="0" fontId="19" fillId="0" borderId="50" xfId="3" applyFont="1" applyBorder="1" applyAlignment="1" applyProtection="1">
      <alignment horizontal="left" vertical="center"/>
      <protection locked="0"/>
    </xf>
    <xf numFmtId="0" fontId="15" fillId="9" borderId="53" xfId="2" applyFont="1" applyFill="1" applyBorder="1" applyAlignment="1" applyProtection="1">
      <alignment horizontal="left" vertical="center" wrapText="1"/>
      <protection locked="0"/>
    </xf>
    <xf numFmtId="0" fontId="44" fillId="4" borderId="37" xfId="3" applyFont="1" applyFill="1" applyBorder="1" applyAlignment="1" applyProtection="1">
      <alignment horizontal="left" vertical="center" wrapText="1"/>
      <protection locked="0"/>
    </xf>
    <xf numFmtId="0" fontId="26" fillId="0" borderId="37" xfId="3" applyFont="1" applyBorder="1" applyAlignment="1" applyProtection="1">
      <alignment horizontal="left" vertical="center" wrapText="1"/>
      <protection locked="0"/>
    </xf>
    <xf numFmtId="0" fontId="19" fillId="0" borderId="30" xfId="3" applyFont="1" applyBorder="1" applyAlignment="1" applyProtection="1">
      <alignment horizontal="left" vertical="center" wrapText="1"/>
      <protection locked="0"/>
    </xf>
    <xf numFmtId="0" fontId="44" fillId="4" borderId="7" xfId="2" applyFont="1" applyFill="1" applyBorder="1" applyAlignment="1" applyProtection="1">
      <alignment horizontal="center" vertical="center"/>
      <protection locked="0"/>
    </xf>
    <xf numFmtId="0" fontId="55" fillId="4" borderId="3" xfId="2" applyFont="1" applyFill="1" applyBorder="1" applyAlignment="1" applyProtection="1">
      <alignment horizontal="center" vertical="center" wrapText="1"/>
      <protection locked="0"/>
    </xf>
    <xf numFmtId="0" fontId="55" fillId="4" borderId="3" xfId="3" applyFont="1" applyFill="1" applyBorder="1" applyAlignment="1" applyProtection="1">
      <alignment horizontal="center" vertical="center" wrapText="1"/>
      <protection locked="0"/>
    </xf>
    <xf numFmtId="0" fontId="55" fillId="4" borderId="17" xfId="3" applyFont="1" applyFill="1" applyBorder="1" applyAlignment="1" applyProtection="1">
      <alignment horizontal="left" vertical="center" wrapText="1"/>
      <protection locked="0"/>
    </xf>
    <xf numFmtId="49" fontId="55" fillId="4" borderId="61" xfId="0" applyNumberFormat="1" applyFont="1" applyFill="1" applyBorder="1" applyAlignment="1" applyProtection="1">
      <alignment vertical="center" wrapText="1"/>
      <protection locked="0"/>
    </xf>
    <xf numFmtId="0" fontId="55" fillId="4" borderId="3" xfId="3" applyFont="1" applyFill="1" applyBorder="1" applyAlignment="1" applyProtection="1">
      <alignment horizontal="left" vertical="center" wrapText="1"/>
      <protection locked="0"/>
    </xf>
    <xf numFmtId="0" fontId="44" fillId="4" borderId="3" xfId="3" applyFont="1" applyFill="1" applyBorder="1" applyAlignment="1" applyProtection="1">
      <alignment horizontal="left" vertical="center" wrapText="1"/>
      <protection locked="0"/>
    </xf>
    <xf numFmtId="0" fontId="19" fillId="0" borderId="1" xfId="3" applyFont="1" applyBorder="1" applyAlignment="1" applyProtection="1">
      <alignment horizontal="left" vertical="center" wrapText="1"/>
      <protection locked="0"/>
    </xf>
    <xf numFmtId="0" fontId="19" fillId="0" borderId="17" xfId="3" applyFont="1" applyBorder="1" applyAlignment="1" applyProtection="1">
      <alignment horizontal="center" vertical="center" wrapText="1"/>
      <protection locked="0"/>
    </xf>
    <xf numFmtId="0" fontId="19" fillId="0" borderId="14" xfId="3" applyFont="1" applyBorder="1" applyAlignment="1" applyProtection="1">
      <alignment horizontal="center" vertical="center" wrapText="1"/>
      <protection locked="0"/>
    </xf>
    <xf numFmtId="0" fontId="19" fillId="0" borderId="14" xfId="5" applyFont="1" applyBorder="1" applyAlignment="1" applyProtection="1">
      <alignment horizontal="center" vertical="center" wrapText="1"/>
      <protection locked="0"/>
    </xf>
    <xf numFmtId="0" fontId="26" fillId="0" borderId="14" xfId="3" applyFont="1" applyBorder="1" applyAlignment="1" applyProtection="1">
      <alignment horizontal="left" vertical="center" wrapText="1"/>
      <protection locked="0"/>
    </xf>
    <xf numFmtId="0" fontId="19" fillId="0" borderId="14" xfId="3" applyFont="1" applyBorder="1" applyAlignment="1" applyProtection="1">
      <alignment horizontal="left" vertical="center" wrapText="1"/>
      <protection locked="0"/>
    </xf>
    <xf numFmtId="0" fontId="19" fillId="0" borderId="15" xfId="3" applyFont="1" applyBorder="1" applyAlignment="1" applyProtection="1">
      <alignment horizontal="center" vertical="center" wrapText="1"/>
      <protection locked="0"/>
    </xf>
    <xf numFmtId="0" fontId="19" fillId="0" borderId="17" xfId="3" applyFont="1" applyBorder="1" applyAlignment="1" applyProtection="1">
      <alignment horizontal="left" vertical="center" wrapText="1"/>
      <protection locked="0"/>
    </xf>
    <xf numFmtId="0" fontId="19" fillId="0" borderId="20" xfId="3" applyFont="1" applyBorder="1" applyAlignment="1" applyProtection="1">
      <alignment horizontal="left" vertical="center" wrapText="1"/>
      <protection locked="0"/>
    </xf>
    <xf numFmtId="0" fontId="19" fillId="0" borderId="2" xfId="3" applyFont="1" applyBorder="1" applyAlignment="1" applyProtection="1">
      <alignment horizontal="left" vertical="center" wrapText="1"/>
      <protection locked="0"/>
    </xf>
    <xf numFmtId="0" fontId="19" fillId="9" borderId="14" xfId="2" applyFont="1" applyFill="1" applyBorder="1" applyAlignment="1" applyProtection="1">
      <alignment horizontal="left" vertical="center" wrapText="1"/>
      <protection locked="0"/>
    </xf>
    <xf numFmtId="0" fontId="19" fillId="0" borderId="17" xfId="2" applyFont="1" applyBorder="1" applyAlignment="1" applyProtection="1">
      <alignment horizontal="left" vertical="center" wrapText="1"/>
      <protection locked="0"/>
    </xf>
    <xf numFmtId="0" fontId="19" fillId="0" borderId="17" xfId="0" applyFont="1" applyBorder="1" applyAlignment="1" applyProtection="1">
      <alignment vertical="center"/>
      <protection locked="0"/>
    </xf>
    <xf numFmtId="0" fontId="19" fillId="0" borderId="45" xfId="3" applyFont="1" applyBorder="1" applyAlignment="1" applyProtection="1">
      <alignment horizontal="left" vertical="center" wrapText="1"/>
      <protection locked="0"/>
    </xf>
    <xf numFmtId="0" fontId="19" fillId="0" borderId="15" xfId="0" applyFont="1" applyBorder="1" applyAlignment="1" applyProtection="1">
      <alignment horizontal="left" vertical="center" wrapText="1"/>
      <protection locked="0"/>
    </xf>
    <xf numFmtId="0" fontId="19" fillId="0" borderId="15" xfId="3" applyFont="1" applyBorder="1" applyAlignment="1" applyProtection="1">
      <alignment horizontal="left" vertical="center" wrapText="1"/>
      <protection locked="0"/>
    </xf>
    <xf numFmtId="0" fontId="19" fillId="0" borderId="14" xfId="0" applyFont="1" applyBorder="1" applyAlignment="1" applyProtection="1">
      <alignment horizontal="left" vertical="center" wrapText="1"/>
      <protection locked="0"/>
    </xf>
    <xf numFmtId="0" fontId="19" fillId="0" borderId="16" xfId="2" applyFont="1" applyBorder="1" applyAlignment="1" applyProtection="1">
      <alignment horizontal="center" vertical="center" wrapText="1"/>
      <protection locked="0"/>
    </xf>
    <xf numFmtId="0" fontId="19" fillId="0" borderId="28" xfId="3" applyFont="1" applyBorder="1" applyAlignment="1" applyProtection="1">
      <alignment horizontal="left" vertical="center" wrapText="1"/>
      <protection locked="0"/>
    </xf>
    <xf numFmtId="0" fontId="19" fillId="0" borderId="7" xfId="2" applyFont="1" applyBorder="1" applyAlignment="1" applyProtection="1">
      <alignment horizontal="center" vertical="center"/>
      <protection locked="0"/>
    </xf>
    <xf numFmtId="0" fontId="19" fillId="0" borderId="3" xfId="0" applyFont="1" applyBorder="1" applyAlignment="1" applyProtection="1">
      <alignment horizontal="center" vertical="center" wrapText="1"/>
      <protection locked="0"/>
    </xf>
    <xf numFmtId="0" fontId="19" fillId="0" borderId="1" xfId="3" applyFont="1" applyBorder="1" applyAlignment="1" applyProtection="1">
      <alignment horizontal="center" vertical="center" wrapText="1"/>
      <protection locked="0"/>
    </xf>
    <xf numFmtId="0" fontId="19" fillId="0" borderId="2" xfId="2" applyFont="1" applyBorder="1" applyAlignment="1" applyProtection="1">
      <alignment horizontal="center" vertical="center"/>
      <protection locked="0"/>
    </xf>
    <xf numFmtId="0" fontId="19" fillId="0" borderId="2" xfId="2" applyFont="1" applyBorder="1" applyAlignment="1" applyProtection="1">
      <alignment horizontal="center" vertical="center" wrapText="1"/>
      <protection locked="0"/>
    </xf>
    <xf numFmtId="0" fontId="19" fillId="0" borderId="2" xfId="3" applyFont="1" applyBorder="1" applyAlignment="1" applyProtection="1">
      <alignment horizontal="center" vertical="center" wrapText="1"/>
      <protection locked="0"/>
    </xf>
    <xf numFmtId="0" fontId="19" fillId="0" borderId="3" xfId="0" applyFont="1" applyBorder="1" applyAlignment="1" applyProtection="1">
      <alignment horizontal="left" vertical="center" wrapText="1"/>
      <protection locked="0"/>
    </xf>
    <xf numFmtId="0" fontId="19" fillId="0" borderId="3" xfId="2" applyFont="1" applyBorder="1" applyAlignment="1" applyProtection="1">
      <alignment horizontal="center" vertical="center" wrapText="1"/>
      <protection locked="0"/>
    </xf>
    <xf numFmtId="0" fontId="21" fillId="0" borderId="3" xfId="0" applyFont="1" applyBorder="1" applyAlignment="1" applyProtection="1">
      <alignment horizontal="center" vertical="center" wrapText="1"/>
      <protection locked="0"/>
    </xf>
    <xf numFmtId="0" fontId="19" fillId="0" borderId="3" xfId="3" applyFont="1" applyBorder="1" applyAlignment="1" applyProtection="1">
      <alignment vertical="center" wrapText="1"/>
      <protection locked="0"/>
    </xf>
    <xf numFmtId="0" fontId="19" fillId="0" borderId="3" xfId="3" applyFont="1" applyBorder="1" applyAlignment="1" applyProtection="1">
      <alignment horizontal="center" vertical="center" wrapText="1"/>
      <protection locked="0"/>
    </xf>
    <xf numFmtId="0" fontId="19" fillId="6" borderId="1" xfId="2" applyFont="1" applyFill="1" applyBorder="1" applyAlignment="1" applyProtection="1">
      <alignment horizontal="center" vertical="center"/>
      <protection locked="0"/>
    </xf>
    <xf numFmtId="0" fontId="19" fillId="0" borderId="0" xfId="3" applyFont="1" applyAlignment="1" applyProtection="1">
      <alignment horizontal="center" vertical="center"/>
      <protection locked="0"/>
    </xf>
    <xf numFmtId="0" fontId="19" fillId="0" borderId="1" xfId="3" applyFont="1" applyBorder="1" applyAlignment="1" applyProtection="1">
      <alignment horizontal="center" vertical="center"/>
      <protection locked="0"/>
    </xf>
    <xf numFmtId="0" fontId="19" fillId="0" borderId="6" xfId="2" applyFont="1" applyBorder="1" applyAlignment="1" applyProtection="1">
      <alignment horizontal="center" vertical="center"/>
      <protection locked="0"/>
    </xf>
    <xf numFmtId="0" fontId="19" fillId="0" borderId="2" xfId="0" applyFont="1" applyBorder="1" applyAlignment="1" applyProtection="1">
      <alignment horizontal="center" vertical="center" wrapText="1"/>
      <protection locked="0"/>
    </xf>
    <xf numFmtId="0" fontId="19" fillId="0" borderId="13" xfId="0" applyFont="1" applyBorder="1" applyAlignment="1" applyProtection="1">
      <alignment horizontal="center" vertical="center" wrapText="1"/>
      <protection locked="0"/>
    </xf>
    <xf numFmtId="0" fontId="19" fillId="7" borderId="1" xfId="0" applyFont="1" applyFill="1" applyBorder="1" applyAlignment="1" applyProtection="1">
      <alignment horizontal="center" vertical="center" wrapText="1"/>
      <protection locked="0"/>
    </xf>
    <xf numFmtId="0" fontId="28" fillId="6" borderId="1" xfId="3" applyFont="1" applyFill="1" applyBorder="1" applyAlignment="1" applyProtection="1">
      <alignment horizontal="center" vertical="center" wrapText="1"/>
      <protection locked="0"/>
    </xf>
    <xf numFmtId="9" fontId="34" fillId="0" borderId="43" xfId="11" applyFont="1" applyBorder="1" applyAlignment="1" applyProtection="1">
      <alignment horizontal="center" vertical="center" wrapText="1"/>
    </xf>
    <xf numFmtId="9" fontId="34" fillId="0" borderId="48" xfId="11" applyFont="1" applyBorder="1" applyAlignment="1" applyProtection="1">
      <alignment horizontal="center" vertical="center" wrapText="1"/>
    </xf>
    <xf numFmtId="0" fontId="27" fillId="0" borderId="3" xfId="3" applyFont="1" applyBorder="1" applyAlignment="1" applyProtection="1">
      <alignment vertical="center" wrapText="1"/>
      <protection locked="0"/>
    </xf>
    <xf numFmtId="0" fontId="43" fillId="0" borderId="2" xfId="3" applyFont="1" applyBorder="1" applyAlignment="1" applyProtection="1">
      <alignment horizontal="left" vertical="center" wrapText="1"/>
      <protection locked="0"/>
    </xf>
    <xf numFmtId="0" fontId="19" fillId="0" borderId="20" xfId="3" applyFont="1" applyBorder="1" applyAlignment="1" applyProtection="1">
      <alignment horizontal="center" vertical="center" wrapText="1"/>
      <protection locked="0"/>
    </xf>
    <xf numFmtId="0" fontId="28" fillId="9" borderId="37" xfId="3" applyFont="1" applyFill="1" applyBorder="1" applyAlignment="1" applyProtection="1">
      <alignment horizontal="left" vertical="center" wrapText="1"/>
      <protection locked="0"/>
    </xf>
    <xf numFmtId="0" fontId="26" fillId="12" borderId="17" xfId="0" applyFont="1" applyFill="1" applyBorder="1" applyAlignment="1" applyProtection="1">
      <alignment horizontal="left" vertical="center" wrapText="1"/>
      <protection locked="0"/>
    </xf>
    <xf numFmtId="0" fontId="19" fillId="4" borderId="7" xfId="2" applyFont="1" applyFill="1" applyBorder="1" applyAlignment="1" applyProtection="1">
      <alignment horizontal="center" vertical="center"/>
      <protection locked="0"/>
    </xf>
    <xf numFmtId="0" fontId="19" fillId="6" borderId="17" xfId="2" applyFont="1" applyFill="1" applyBorder="1" applyAlignment="1" applyProtection="1">
      <alignment horizontal="left" vertical="center" wrapText="1"/>
      <protection locked="0"/>
    </xf>
    <xf numFmtId="0" fontId="19" fillId="0" borderId="37" xfId="3" applyFont="1" applyBorder="1" applyAlignment="1" applyProtection="1">
      <alignment horizontal="center" vertical="center" wrapText="1"/>
      <protection locked="0"/>
    </xf>
    <xf numFmtId="0" fontId="19" fillId="0" borderId="50" xfId="3" applyFont="1" applyBorder="1" applyAlignment="1" applyProtection="1">
      <alignment horizontal="center" vertical="center" wrapText="1"/>
      <protection locked="0"/>
    </xf>
    <xf numFmtId="0" fontId="19" fillId="0" borderId="0" xfId="3" applyFont="1" applyAlignment="1" applyProtection="1">
      <alignment horizontal="left" vertical="center" wrapText="1"/>
      <protection locked="0"/>
    </xf>
    <xf numFmtId="0" fontId="19" fillId="0" borderId="16" xfId="2" applyFont="1" applyBorder="1" applyAlignment="1">
      <alignment horizontal="center" vertical="center" wrapText="1"/>
    </xf>
    <xf numFmtId="0" fontId="19" fillId="0" borderId="16" xfId="2" applyFont="1" applyBorder="1" applyAlignment="1">
      <alignment horizontal="left" vertical="center" wrapText="1"/>
    </xf>
    <xf numFmtId="0" fontId="19" fillId="0" borderId="4" xfId="2" applyFont="1" applyBorder="1" applyAlignment="1">
      <alignment horizontal="center" vertical="center" wrapText="1"/>
    </xf>
    <xf numFmtId="0" fontId="19" fillId="0" borderId="4" xfId="3" applyFont="1" applyBorder="1" applyAlignment="1">
      <alignment horizontal="left" vertical="center" wrapText="1"/>
    </xf>
    <xf numFmtId="0" fontId="19" fillId="0" borderId="4" xfId="0" applyFont="1" applyBorder="1" applyAlignment="1">
      <alignment horizontal="center" vertical="center" wrapText="1"/>
    </xf>
    <xf numFmtId="0" fontId="19" fillId="0" borderId="2" xfId="2" applyFont="1" applyBorder="1" applyAlignment="1">
      <alignment horizontal="center" vertical="center" wrapText="1"/>
    </xf>
    <xf numFmtId="0" fontId="19" fillId="0" borderId="13" xfId="2" applyFont="1" applyBorder="1" applyAlignment="1">
      <alignment horizontal="center" vertical="center" wrapText="1"/>
    </xf>
    <xf numFmtId="0" fontId="19" fillId="0" borderId="13" xfId="0" applyFont="1" applyBorder="1" applyAlignment="1">
      <alignment horizontal="center" vertical="center" wrapText="1"/>
    </xf>
    <xf numFmtId="0" fontId="44" fillId="0" borderId="0" xfId="3" applyFont="1" applyProtection="1">
      <protection locked="0"/>
    </xf>
    <xf numFmtId="0" fontId="44" fillId="0" borderId="0" xfId="0" applyFont="1" applyProtection="1">
      <protection locked="0"/>
    </xf>
    <xf numFmtId="0" fontId="54" fillId="0" borderId="0" xfId="3" applyFont="1" applyAlignment="1" applyProtection="1">
      <alignment horizontal="center" vertical="center" wrapText="1"/>
      <protection locked="0"/>
    </xf>
    <xf numFmtId="0" fontId="19" fillId="0" borderId="0" xfId="0" applyFont="1" applyAlignment="1" applyProtection="1">
      <alignment horizontal="center" vertical="center"/>
      <protection locked="0"/>
    </xf>
    <xf numFmtId="0" fontId="19" fillId="0" borderId="0" xfId="0" applyFont="1" applyAlignment="1" applyProtection="1">
      <alignment horizontal="center" vertical="center" wrapText="1"/>
      <protection locked="0"/>
    </xf>
    <xf numFmtId="0" fontId="19" fillId="0" borderId="17" xfId="3" applyFont="1" applyBorder="1" applyAlignment="1">
      <alignment horizontal="left" vertical="center" wrapText="1"/>
    </xf>
    <xf numFmtId="0" fontId="19" fillId="0" borderId="3" xfId="2" applyFont="1" applyBorder="1" applyAlignment="1">
      <alignment horizontal="center" vertical="center" wrapText="1"/>
    </xf>
    <xf numFmtId="0" fontId="19" fillId="0" borderId="3" xfId="3" applyFont="1" applyBorder="1" applyAlignment="1">
      <alignment horizontal="left" vertical="center" wrapText="1"/>
    </xf>
    <xf numFmtId="0" fontId="19" fillId="0" borderId="3" xfId="0" applyFont="1" applyBorder="1" applyAlignment="1">
      <alignment horizontal="center" vertical="center" wrapText="1"/>
    </xf>
    <xf numFmtId="0" fontId="19" fillId="0" borderId="0" xfId="3" applyFont="1" applyProtection="1">
      <protection locked="0"/>
    </xf>
    <xf numFmtId="0" fontId="19" fillId="0" borderId="0" xfId="0" applyFont="1" applyProtection="1">
      <protection locked="0"/>
    </xf>
    <xf numFmtId="0" fontId="21" fillId="0" borderId="0" xfId="3" applyFont="1" applyAlignment="1" applyProtection="1">
      <alignment horizontal="center" vertical="center"/>
      <protection locked="0"/>
    </xf>
    <xf numFmtId="0" fontId="19" fillId="0" borderId="17" xfId="0" applyFont="1" applyBorder="1" applyAlignment="1">
      <alignment horizontal="left" vertical="center" wrapText="1"/>
    </xf>
    <xf numFmtId="0" fontId="19" fillId="0" borderId="14" xfId="3" applyFont="1" applyBorder="1" applyAlignment="1">
      <alignment horizontal="left" vertical="center" wrapText="1"/>
    </xf>
    <xf numFmtId="0" fontId="19" fillId="0" borderId="1" xfId="2" applyFont="1" applyBorder="1" applyAlignment="1">
      <alignment horizontal="center" vertical="center" wrapText="1"/>
    </xf>
    <xf numFmtId="0" fontId="19" fillId="0" borderId="1" xfId="0" applyFont="1" applyBorder="1" applyAlignment="1">
      <alignment horizontal="center" vertical="center" wrapText="1"/>
    </xf>
    <xf numFmtId="0" fontId="19" fillId="0" borderId="3" xfId="3" applyFont="1" applyBorder="1" applyAlignment="1">
      <alignment horizontal="center" vertical="center" wrapText="1"/>
    </xf>
    <xf numFmtId="0" fontId="19" fillId="0" borderId="0" xfId="3" applyFont="1" applyAlignment="1" applyProtection="1">
      <alignment vertical="center" wrapText="1"/>
      <protection locked="0"/>
    </xf>
    <xf numFmtId="0" fontId="19" fillId="0" borderId="50" xfId="3" applyFont="1" applyBorder="1" applyAlignment="1" applyProtection="1">
      <alignment vertical="center" wrapText="1"/>
      <protection locked="0"/>
    </xf>
    <xf numFmtId="0" fontId="19" fillId="0" borderId="20" xfId="3" applyFont="1" applyBorder="1" applyAlignment="1">
      <alignment horizontal="left" vertical="center" wrapText="1"/>
    </xf>
    <xf numFmtId="0" fontId="19" fillId="0" borderId="13" xfId="3" applyFont="1" applyBorder="1" applyAlignment="1">
      <alignment horizontal="center" vertical="center" wrapText="1"/>
    </xf>
    <xf numFmtId="0" fontId="19" fillId="0" borderId="2" xfId="3" applyFont="1" applyBorder="1" applyAlignment="1">
      <alignment horizontal="left" vertical="center" wrapText="1"/>
    </xf>
    <xf numFmtId="0" fontId="19" fillId="0" borderId="37" xfId="3" applyFont="1" applyBorder="1" applyAlignment="1" applyProtection="1">
      <alignment vertical="center" wrapText="1"/>
      <protection locked="0"/>
    </xf>
    <xf numFmtId="0" fontId="19" fillId="0" borderId="1" xfId="3" applyFont="1" applyBorder="1" applyAlignment="1">
      <alignment horizontal="center" vertical="center" wrapText="1"/>
    </xf>
    <xf numFmtId="0" fontId="15" fillId="0" borderId="0" xfId="0" applyFont="1" applyProtection="1">
      <protection locked="0"/>
    </xf>
    <xf numFmtId="0" fontId="19" fillId="0" borderId="14" xfId="0" applyFont="1" applyBorder="1" applyAlignment="1">
      <alignment horizontal="left" vertical="center" wrapText="1"/>
    </xf>
    <xf numFmtId="0" fontId="18" fillId="0" borderId="49" xfId="6" applyFont="1" applyBorder="1" applyAlignment="1">
      <alignment vertical="center" wrapText="1"/>
    </xf>
    <xf numFmtId="0" fontId="18" fillId="0" borderId="49" xfId="3" applyFont="1" applyBorder="1" applyAlignment="1">
      <alignment vertical="center" wrapText="1"/>
    </xf>
    <xf numFmtId="0" fontId="19" fillId="0" borderId="1" xfId="3" applyFont="1" applyBorder="1" applyAlignment="1">
      <alignment vertical="center" wrapText="1"/>
    </xf>
    <xf numFmtId="0" fontId="19" fillId="0" borderId="1" xfId="3" applyFont="1" applyBorder="1" applyAlignment="1">
      <alignment horizontal="left" vertical="center" wrapText="1"/>
    </xf>
    <xf numFmtId="0" fontId="21" fillId="0" borderId="1" xfId="2" applyFont="1" applyBorder="1" applyAlignment="1">
      <alignment horizontal="center" vertical="center" wrapText="1"/>
    </xf>
    <xf numFmtId="0" fontId="19" fillId="0" borderId="17" xfId="2" applyFont="1" applyBorder="1" applyAlignment="1">
      <alignment horizontal="left" vertical="center" wrapText="1"/>
    </xf>
    <xf numFmtId="0" fontId="19" fillId="0" borderId="3" xfId="3" applyFont="1" applyBorder="1" applyAlignment="1">
      <alignment vertical="center" wrapText="1"/>
    </xf>
    <xf numFmtId="0" fontId="19" fillId="0" borderId="14" xfId="0" applyFont="1" applyBorder="1" applyAlignment="1" applyProtection="1">
      <alignment vertical="center"/>
      <protection locked="0"/>
    </xf>
    <xf numFmtId="0" fontId="19" fillId="0" borderId="3" xfId="0" applyFont="1" applyBorder="1" applyAlignment="1" applyProtection="1">
      <alignment horizontal="center" vertical="center"/>
      <protection locked="0"/>
    </xf>
    <xf numFmtId="0" fontId="19" fillId="0" borderId="3" xfId="3" applyFont="1" applyBorder="1" applyAlignment="1" applyProtection="1">
      <alignment horizontal="left" vertical="center" wrapText="1"/>
      <protection locked="0"/>
    </xf>
    <xf numFmtId="0" fontId="21" fillId="0" borderId="3" xfId="0" applyFont="1" applyBorder="1" applyAlignment="1" applyProtection="1">
      <alignment horizontal="center" vertical="center"/>
      <protection locked="0"/>
    </xf>
    <xf numFmtId="0" fontId="19" fillId="0" borderId="17" xfId="0" applyFont="1" applyBorder="1" applyAlignment="1" applyProtection="1">
      <alignment horizontal="left" vertical="center" wrapText="1"/>
      <protection locked="0"/>
    </xf>
    <xf numFmtId="0" fontId="19" fillId="0" borderId="14" xfId="2" applyFont="1" applyBorder="1" applyAlignment="1">
      <alignment horizontal="left" vertical="center" wrapText="1"/>
    </xf>
    <xf numFmtId="0" fontId="19" fillId="0" borderId="1" xfId="3" applyFont="1" applyBorder="1" applyAlignment="1">
      <alignment horizontal="center" vertical="center"/>
    </xf>
    <xf numFmtId="0" fontId="41" fillId="9" borderId="0" xfId="0" applyFont="1" applyFill="1" applyAlignment="1" applyProtection="1">
      <alignment horizontal="left" vertical="center" wrapText="1"/>
      <protection locked="0"/>
    </xf>
    <xf numFmtId="0" fontId="41" fillId="0" borderId="51" xfId="0" applyFont="1" applyBorder="1" applyAlignment="1">
      <alignment horizontal="left" vertical="center" wrapText="1"/>
    </xf>
    <xf numFmtId="0" fontId="19" fillId="0" borderId="1" xfId="2" applyFont="1" applyBorder="1" applyAlignment="1" applyProtection="1">
      <alignment horizontal="left" vertical="center" wrapText="1"/>
      <protection locked="0"/>
    </xf>
    <xf numFmtId="0" fontId="19" fillId="0" borderId="0" xfId="2" applyFont="1" applyAlignment="1" applyProtection="1">
      <alignment horizontal="left" vertical="center" wrapText="1"/>
      <protection locked="0"/>
    </xf>
    <xf numFmtId="0" fontId="19" fillId="0" borderId="1" xfId="3" applyFont="1" applyBorder="1" applyAlignment="1" applyProtection="1">
      <alignment vertical="center" wrapText="1"/>
      <protection locked="0"/>
    </xf>
    <xf numFmtId="0" fontId="19" fillId="0" borderId="1" xfId="14" applyFont="1" applyBorder="1" applyAlignment="1" applyProtection="1">
      <alignment horizontal="center" vertical="center" wrapText="1"/>
      <protection locked="0"/>
    </xf>
    <xf numFmtId="0" fontId="21" fillId="0" borderId="1" xfId="14" applyFont="1" applyBorder="1" applyAlignment="1" applyProtection="1">
      <alignment horizontal="center" vertical="center" wrapText="1"/>
      <protection locked="0"/>
    </xf>
    <xf numFmtId="0" fontId="19" fillId="0" borderId="1" xfId="14" applyFont="1" applyBorder="1" applyAlignment="1">
      <alignment horizontal="center" vertical="center" wrapText="1"/>
    </xf>
    <xf numFmtId="0" fontId="21" fillId="0" borderId="1" xfId="14" applyFont="1" applyBorder="1" applyAlignment="1">
      <alignment horizontal="center" vertical="center" wrapText="1"/>
    </xf>
    <xf numFmtId="0" fontId="15" fillId="0" borderId="53" xfId="2" applyFont="1" applyBorder="1" applyAlignment="1" applyProtection="1">
      <alignment horizontal="left" vertical="center" wrapText="1"/>
      <protection locked="0"/>
    </xf>
    <xf numFmtId="0" fontId="0" fillId="0" borderId="49" xfId="2" applyFont="1" applyBorder="1" applyAlignment="1">
      <alignment horizontal="left" vertical="center" wrapText="1"/>
    </xf>
    <xf numFmtId="0" fontId="26" fillId="0" borderId="50" xfId="3" applyFont="1" applyBorder="1" applyAlignment="1" applyProtection="1">
      <alignment vertical="center" wrapText="1"/>
      <protection locked="0"/>
    </xf>
    <xf numFmtId="0" fontId="19" fillId="0" borderId="61" xfId="0" applyFont="1" applyBorder="1" applyAlignment="1" applyProtection="1">
      <alignment horizontal="left" vertical="center" wrapText="1"/>
      <protection locked="0"/>
    </xf>
    <xf numFmtId="0" fontId="26" fillId="0" borderId="37" xfId="3" applyFont="1" applyBorder="1" applyAlignment="1" applyProtection="1">
      <alignment vertical="center" wrapText="1"/>
      <protection locked="0"/>
    </xf>
    <xf numFmtId="0" fontId="28" fillId="0" borderId="17" xfId="0" applyFont="1" applyBorder="1" applyAlignment="1" applyProtection="1">
      <alignment horizontal="center" vertical="center" wrapText="1"/>
      <protection locked="0"/>
    </xf>
    <xf numFmtId="0" fontId="21" fillId="0" borderId="37" xfId="3" applyFont="1" applyBorder="1" applyAlignment="1" applyProtection="1">
      <alignment horizontal="center" vertical="center" wrapText="1"/>
      <protection locked="0"/>
    </xf>
    <xf numFmtId="0" fontId="21" fillId="0" borderId="3" xfId="0" applyFont="1" applyBorder="1" applyAlignment="1">
      <alignment horizontal="center" vertical="center" wrapText="1"/>
    </xf>
    <xf numFmtId="0" fontId="19" fillId="0" borderId="1" xfId="0" applyFont="1" applyBorder="1" applyAlignment="1">
      <alignment vertical="center" wrapText="1"/>
    </xf>
    <xf numFmtId="0" fontId="19" fillId="0" borderId="3" xfId="2" applyFont="1" applyBorder="1" applyAlignment="1" applyProtection="1">
      <alignment horizontal="center" vertical="center"/>
      <protection locked="0"/>
    </xf>
    <xf numFmtId="0" fontId="19" fillId="0" borderId="1" xfId="0" applyFont="1" applyBorder="1" applyAlignment="1">
      <alignment horizontal="left" vertical="center" wrapText="1"/>
    </xf>
    <xf numFmtId="0" fontId="19" fillId="0" borderId="3" xfId="0" applyFont="1" applyBorder="1" applyAlignment="1">
      <alignment horizontal="left" vertical="center" wrapText="1"/>
    </xf>
    <xf numFmtId="0" fontId="21" fillId="0" borderId="0" xfId="0" applyFont="1" applyAlignment="1" applyProtection="1">
      <alignment horizontal="center" vertical="center"/>
      <protection locked="0"/>
    </xf>
    <xf numFmtId="0" fontId="19" fillId="0" borderId="0" xfId="3" applyFont="1" applyAlignment="1" applyProtection="1">
      <alignment horizontal="left" vertical="center"/>
      <protection locked="0"/>
    </xf>
    <xf numFmtId="0" fontId="26" fillId="0" borderId="17" xfId="3" applyFont="1" applyBorder="1" applyAlignment="1" applyProtection="1">
      <alignment horizontal="left" vertical="center"/>
      <protection locked="0"/>
    </xf>
    <xf numFmtId="0" fontId="26" fillId="0" borderId="17" xfId="3" applyFont="1" applyBorder="1" applyAlignment="1">
      <alignment horizontal="left" vertical="center" wrapText="1"/>
    </xf>
    <xf numFmtId="0" fontId="19" fillId="0" borderId="3" xfId="2" applyFont="1" applyBorder="1" applyAlignment="1">
      <alignment horizontal="center" vertical="center"/>
    </xf>
    <xf numFmtId="0" fontId="19" fillId="0" borderId="3" xfId="0" applyFont="1" applyBorder="1" applyAlignment="1">
      <alignment horizontal="center" vertical="center"/>
    </xf>
    <xf numFmtId="0" fontId="19" fillId="0" borderId="17" xfId="2" applyFont="1" applyBorder="1" applyAlignment="1" applyProtection="1">
      <alignment horizontal="left" vertical="center"/>
      <protection locked="0"/>
    </xf>
    <xf numFmtId="0" fontId="19" fillId="0" borderId="17" xfId="2" applyFont="1" applyBorder="1" applyAlignment="1">
      <alignment horizontal="left" vertical="center"/>
    </xf>
    <xf numFmtId="0" fontId="19" fillId="0" borderId="1" xfId="2" applyFont="1" applyBorder="1" applyAlignment="1">
      <alignment horizontal="center" vertical="center"/>
    </xf>
    <xf numFmtId="0" fontId="19" fillId="0" borderId="3" xfId="2" applyFont="1" applyBorder="1" applyAlignment="1">
      <alignment horizontal="left" vertical="center" wrapText="1"/>
    </xf>
    <xf numFmtId="0" fontId="21" fillId="0" borderId="3" xfId="2" applyFont="1" applyBorder="1" applyAlignment="1">
      <alignment horizontal="center" vertical="center"/>
    </xf>
    <xf numFmtId="0" fontId="19" fillId="0" borderId="14" xfId="3" applyFont="1" applyBorder="1" applyAlignment="1">
      <alignment horizontal="center" vertical="center" wrapText="1"/>
    </xf>
    <xf numFmtId="0" fontId="19" fillId="0" borderId="18" xfId="3" applyFont="1" applyBorder="1" applyAlignment="1">
      <alignment horizontal="left" vertical="center" wrapText="1"/>
    </xf>
    <xf numFmtId="0" fontId="19" fillId="0" borderId="10" xfId="2" applyFont="1" applyBorder="1" applyAlignment="1">
      <alignment horizontal="center" vertical="center" wrapText="1"/>
    </xf>
    <xf numFmtId="0" fontId="19" fillId="0" borderId="10" xfId="3" applyFont="1" applyBorder="1" applyAlignment="1">
      <alignment horizontal="center" vertical="center" wrapText="1"/>
    </xf>
    <xf numFmtId="0" fontId="19" fillId="0" borderId="10" xfId="3" applyFont="1" applyBorder="1" applyAlignment="1">
      <alignment horizontal="left" vertical="center" wrapText="1"/>
    </xf>
    <xf numFmtId="0" fontId="19" fillId="0" borderId="12" xfId="0" applyFont="1" applyBorder="1" applyAlignment="1">
      <alignment horizontal="center" vertical="center" wrapText="1"/>
    </xf>
    <xf numFmtId="0" fontId="21" fillId="0" borderId="10" xfId="14" applyFont="1" applyBorder="1" applyAlignment="1">
      <alignment horizontal="center" vertical="center" wrapText="1"/>
    </xf>
    <xf numFmtId="0" fontId="26" fillId="0" borderId="14" xfId="3" applyFont="1" applyBorder="1" applyAlignment="1">
      <alignment horizontal="left" vertical="center" wrapText="1"/>
    </xf>
    <xf numFmtId="0" fontId="15" fillId="0" borderId="49" xfId="3" applyBorder="1" applyAlignment="1">
      <alignment horizontal="left" vertical="center" wrapText="1"/>
    </xf>
    <xf numFmtId="0" fontId="19" fillId="0" borderId="14" xfId="5" applyFont="1" applyBorder="1" applyAlignment="1">
      <alignment horizontal="center" vertical="center" wrapText="1"/>
    </xf>
    <xf numFmtId="0" fontId="19" fillId="0" borderId="14" xfId="5" applyFont="1" applyBorder="1" applyAlignment="1">
      <alignment horizontal="left" vertical="center" wrapText="1"/>
    </xf>
    <xf numFmtId="0" fontId="19" fillId="0" borderId="1" xfId="5" applyFont="1" applyBorder="1" applyAlignment="1">
      <alignment horizontal="left" vertical="center" wrapText="1"/>
    </xf>
    <xf numFmtId="0" fontId="19" fillId="0" borderId="17" xfId="3" applyFont="1" applyBorder="1" applyAlignment="1">
      <alignment horizontal="center" vertical="center" wrapText="1"/>
    </xf>
    <xf numFmtId="0" fontId="21" fillId="3" borderId="15" xfId="2" applyFont="1" applyFill="1" applyBorder="1" applyAlignment="1">
      <alignment horizontal="center" vertical="center" wrapText="1"/>
    </xf>
    <xf numFmtId="0" fontId="21" fillId="0" borderId="15" xfId="2" applyFont="1" applyBorder="1" applyAlignment="1">
      <alignment horizontal="center" vertical="center" wrapText="1"/>
    </xf>
    <xf numFmtId="0" fontId="21" fillId="0" borderId="2" xfId="2" applyFont="1" applyBorder="1" applyAlignment="1">
      <alignment horizontal="center" vertical="center" wrapText="1"/>
    </xf>
    <xf numFmtId="0" fontId="21" fillId="4" borderId="2" xfId="2" applyFont="1" applyFill="1" applyBorder="1" applyAlignment="1">
      <alignment horizontal="center" vertical="center" wrapText="1"/>
    </xf>
    <xf numFmtId="0" fontId="21" fillId="3" borderId="2" xfId="2" applyFont="1" applyFill="1" applyBorder="1" applyAlignment="1">
      <alignment horizontal="center" vertical="center" wrapText="1"/>
    </xf>
    <xf numFmtId="0" fontId="21" fillId="0" borderId="6" xfId="2" applyFont="1" applyBorder="1" applyAlignment="1">
      <alignment horizontal="center" vertical="center"/>
    </xf>
    <xf numFmtId="0" fontId="19" fillId="0" borderId="0" xfId="0" applyFont="1" applyAlignment="1" applyProtection="1">
      <alignment wrapText="1"/>
      <protection locked="0"/>
    </xf>
    <xf numFmtId="0" fontId="19" fillId="0" borderId="0" xfId="0" applyFont="1" applyAlignment="1" applyProtection="1">
      <alignment horizontal="center"/>
      <protection locked="0"/>
    </xf>
    <xf numFmtId="0" fontId="21" fillId="0" borderId="0" xfId="0" applyFont="1" applyProtection="1">
      <protection locked="0"/>
    </xf>
    <xf numFmtId="0" fontId="21" fillId="0" borderId="33" xfId="0" applyFont="1" applyBorder="1" applyProtection="1">
      <protection locked="0"/>
    </xf>
    <xf numFmtId="0" fontId="21" fillId="0" borderId="32" xfId="0" applyFont="1" applyBorder="1" applyAlignment="1" applyProtection="1">
      <alignment wrapText="1"/>
      <protection locked="0"/>
    </xf>
    <xf numFmtId="0" fontId="21" fillId="0" borderId="4" xfId="14" applyFont="1" applyBorder="1" applyAlignment="1">
      <alignment horizontal="center" vertical="center" wrapText="1"/>
    </xf>
    <xf numFmtId="0" fontId="19" fillId="0" borderId="0" xfId="3" applyFont="1" applyAlignment="1" applyProtection="1">
      <alignment wrapText="1"/>
      <protection locked="0"/>
    </xf>
    <xf numFmtId="0" fontId="21" fillId="0" borderId="13" xfId="14" applyFont="1" applyBorder="1" applyAlignment="1">
      <alignment horizontal="center" vertical="center" wrapText="1"/>
    </xf>
    <xf numFmtId="0" fontId="21" fillId="0" borderId="3" xfId="14" applyFont="1" applyBorder="1" applyAlignment="1">
      <alignment horizontal="center" vertical="center" wrapText="1"/>
    </xf>
    <xf numFmtId="0" fontId="21" fillId="6" borderId="1" xfId="14" applyFont="1" applyFill="1" applyBorder="1" applyAlignment="1" applyProtection="1">
      <alignment horizontal="center" vertical="center" wrapText="1"/>
      <protection locked="0"/>
    </xf>
    <xf numFmtId="0" fontId="21" fillId="0" borderId="2" xfId="14" applyFont="1" applyBorder="1" applyAlignment="1">
      <alignment horizontal="center" vertical="center" wrapText="1"/>
    </xf>
    <xf numFmtId="0" fontId="21" fillId="6" borderId="2" xfId="14" applyFont="1" applyFill="1" applyBorder="1" applyAlignment="1" applyProtection="1">
      <alignment horizontal="center" vertical="center" wrapText="1"/>
      <protection locked="0"/>
    </xf>
    <xf numFmtId="0" fontId="19" fillId="6" borderId="2" xfId="14" applyFont="1" applyFill="1" applyBorder="1" applyAlignment="1" applyProtection="1">
      <alignment horizontal="center" vertical="center" wrapText="1"/>
      <protection locked="0"/>
    </xf>
    <xf numFmtId="0" fontId="19" fillId="6" borderId="13" xfId="14" applyFont="1" applyFill="1" applyBorder="1" applyAlignment="1" applyProtection="1">
      <alignment horizontal="center" vertical="center" wrapText="1"/>
      <protection locked="0"/>
    </xf>
    <xf numFmtId="0" fontId="21" fillId="6" borderId="13" xfId="14" applyFont="1" applyFill="1" applyBorder="1" applyAlignment="1" applyProtection="1">
      <alignment horizontal="center" vertical="center" wrapText="1"/>
      <protection locked="0"/>
    </xf>
    <xf numFmtId="0" fontId="21" fillId="0" borderId="1" xfId="2" applyFont="1" applyBorder="1" applyAlignment="1" applyProtection="1">
      <alignment horizontal="center" vertical="center" wrapText="1"/>
      <protection locked="0"/>
    </xf>
    <xf numFmtId="0" fontId="22" fillId="0" borderId="0" xfId="3" applyFont="1" applyProtection="1">
      <protection locked="0"/>
    </xf>
    <xf numFmtId="0" fontId="19" fillId="0" borderId="0" xfId="0" applyFont="1" applyAlignment="1" applyProtection="1">
      <alignment horizontal="left" vertical="center" wrapText="1"/>
      <protection locked="0"/>
    </xf>
    <xf numFmtId="0" fontId="19" fillId="6" borderId="1" xfId="14" applyFont="1" applyFill="1" applyBorder="1" applyAlignment="1" applyProtection="1">
      <alignment horizontal="center" vertical="center" wrapText="1"/>
      <protection locked="0"/>
    </xf>
    <xf numFmtId="0" fontId="19" fillId="0" borderId="3" xfId="14" applyFont="1" applyBorder="1" applyAlignment="1">
      <alignment horizontal="center" vertical="center" wrapText="1"/>
    </xf>
    <xf numFmtId="0" fontId="27" fillId="0" borderId="2" xfId="3" applyFont="1" applyBorder="1" applyAlignment="1" applyProtection="1">
      <alignment vertical="center" wrapText="1"/>
      <protection locked="0"/>
    </xf>
    <xf numFmtId="0" fontId="54" fillId="4" borderId="3" xfId="14" applyFont="1" applyFill="1" applyBorder="1" applyAlignment="1" applyProtection="1">
      <alignment horizontal="center" vertical="center" wrapText="1"/>
      <protection locked="0"/>
    </xf>
    <xf numFmtId="0" fontId="21" fillId="0" borderId="3" xfId="14" applyFont="1" applyBorder="1" applyAlignment="1">
      <alignment horizontal="center" vertical="center"/>
    </xf>
    <xf numFmtId="0" fontId="21" fillId="0" borderId="0" xfId="0" applyFont="1" applyAlignment="1" applyProtection="1">
      <alignment horizontal="center" vertical="center" wrapText="1"/>
      <protection locked="0"/>
    </xf>
    <xf numFmtId="0" fontId="19" fillId="0" borderId="30" xfId="3" applyFont="1" applyBorder="1" applyAlignment="1" applyProtection="1">
      <alignment horizontal="center" vertical="center" wrapText="1"/>
      <protection locked="0"/>
    </xf>
    <xf numFmtId="0" fontId="19" fillId="0" borderId="20" xfId="3" applyFont="1" applyBorder="1" applyAlignment="1">
      <alignment horizontal="center" vertical="center" wrapText="1"/>
    </xf>
    <xf numFmtId="0" fontId="44" fillId="0" borderId="37" xfId="3" applyFont="1" applyBorder="1" applyAlignment="1" applyProtection="1">
      <alignment horizontal="left" vertical="center" wrapText="1"/>
      <protection locked="0"/>
    </xf>
    <xf numFmtId="0" fontId="44" fillId="0" borderId="17" xfId="3" applyFont="1" applyBorder="1" applyAlignment="1" applyProtection="1">
      <alignment horizontal="left" vertical="center" wrapText="1"/>
      <protection locked="0"/>
    </xf>
    <xf numFmtId="0" fontId="55" fillId="0" borderId="14" xfId="3" applyFont="1" applyBorder="1" applyAlignment="1" applyProtection="1">
      <alignment horizontal="left" vertical="center" wrapText="1"/>
      <protection locked="0"/>
    </xf>
    <xf numFmtId="0" fontId="55" fillId="0" borderId="1" xfId="2" applyFont="1" applyBorder="1" applyAlignment="1" applyProtection="1">
      <alignment horizontal="center" vertical="center" wrapText="1"/>
      <protection locked="0"/>
    </xf>
    <xf numFmtId="0" fontId="55" fillId="0" borderId="3" xfId="2" applyFont="1" applyBorder="1" applyAlignment="1" applyProtection="1">
      <alignment horizontal="center" vertical="center" wrapText="1"/>
      <protection locked="0"/>
    </xf>
    <xf numFmtId="49" fontId="55" fillId="0" borderId="61" xfId="0" applyNumberFormat="1" applyFont="1" applyBorder="1" applyAlignment="1" applyProtection="1">
      <alignment horizontal="left" vertical="center" wrapText="1"/>
      <protection locked="0"/>
    </xf>
    <xf numFmtId="0" fontId="55" fillId="0" borderId="3" xfId="0" applyFont="1" applyBorder="1" applyAlignment="1" applyProtection="1">
      <alignment horizontal="center" vertical="center" wrapText="1"/>
      <protection locked="0"/>
    </xf>
    <xf numFmtId="0" fontId="54" fillId="0" borderId="3" xfId="0" applyFont="1" applyBorder="1" applyAlignment="1" applyProtection="1">
      <alignment horizontal="center" vertical="center" wrapText="1"/>
      <protection locked="0"/>
    </xf>
    <xf numFmtId="0" fontId="44" fillId="0" borderId="6" xfId="2" applyFont="1" applyBorder="1" applyAlignment="1" applyProtection="1">
      <alignment horizontal="center" vertical="center"/>
      <protection locked="0"/>
    </xf>
    <xf numFmtId="0" fontId="19" fillId="0" borderId="20" xfId="0" applyFont="1" applyBorder="1" applyAlignment="1" applyProtection="1">
      <alignment horizontal="left" vertical="center" wrapText="1"/>
      <protection locked="0"/>
    </xf>
    <xf numFmtId="0" fontId="21" fillId="0" borderId="3" xfId="14" applyFont="1" applyBorder="1" applyAlignment="1" applyProtection="1">
      <alignment horizontal="center" vertical="center" wrapText="1"/>
      <protection locked="0"/>
    </xf>
    <xf numFmtId="0" fontId="21" fillId="0" borderId="2" xfId="14" applyFont="1" applyBorder="1" applyAlignment="1" applyProtection="1">
      <alignment horizontal="center" vertical="center" wrapText="1"/>
      <protection locked="0"/>
    </xf>
    <xf numFmtId="0" fontId="19" fillId="0" borderId="61" xfId="2" applyFont="1" applyBorder="1" applyAlignment="1" applyProtection="1">
      <alignment horizontal="left" vertical="center" wrapText="1"/>
      <protection locked="0"/>
    </xf>
    <xf numFmtId="0" fontId="21" fillId="0" borderId="3" xfId="2" applyFont="1" applyBorder="1" applyAlignment="1" applyProtection="1">
      <alignment horizontal="center" vertical="center" wrapText="1"/>
      <protection locked="0"/>
    </xf>
    <xf numFmtId="0" fontId="19" fillId="0" borderId="1" xfId="0" applyFont="1" applyBorder="1" applyAlignment="1" applyProtection="1">
      <alignment vertical="center" wrapText="1"/>
      <protection locked="0"/>
    </xf>
    <xf numFmtId="0" fontId="19" fillId="0" borderId="3" xfId="14" applyFont="1" applyBorder="1" applyAlignment="1" applyProtection="1">
      <alignment horizontal="center" vertical="center" wrapText="1"/>
      <protection locked="0"/>
    </xf>
    <xf numFmtId="0" fontId="19" fillId="0" borderId="49" xfId="3" applyFont="1" applyBorder="1" applyAlignment="1" applyProtection="1">
      <alignment vertical="center" wrapText="1"/>
      <protection locked="0"/>
    </xf>
    <xf numFmtId="0" fontId="19" fillId="0" borderId="17" xfId="3" applyFont="1" applyBorder="1" applyAlignment="1" applyProtection="1">
      <alignment vertical="center" wrapText="1"/>
      <protection locked="0"/>
    </xf>
    <xf numFmtId="0" fontId="19" fillId="0" borderId="2" xfId="14" applyFont="1" applyBorder="1" applyAlignment="1" applyProtection="1">
      <alignment horizontal="center" vertical="center" wrapText="1"/>
      <protection locked="0"/>
    </xf>
    <xf numFmtId="9" fontId="34" fillId="0" borderId="0" xfId="11" applyFont="1" applyFill="1" applyAlignment="1" applyProtection="1">
      <alignment horizontal="center" vertical="center"/>
    </xf>
    <xf numFmtId="0" fontId="38" fillId="3" borderId="4" xfId="2" applyFont="1" applyFill="1" applyBorder="1" applyAlignment="1">
      <alignment horizontal="center" vertical="center" wrapText="1"/>
    </xf>
    <xf numFmtId="0" fontId="38" fillId="3" borderId="34" xfId="2" applyFont="1" applyFill="1" applyBorder="1" applyAlignment="1">
      <alignment horizontal="center" vertical="center" wrapText="1"/>
    </xf>
    <xf numFmtId="165" fontId="34" fillId="0" borderId="0" xfId="0" applyNumberFormat="1" applyFont="1" applyAlignment="1">
      <alignment horizontal="center" vertical="center"/>
    </xf>
    <xf numFmtId="165" fontId="34" fillId="0" borderId="0" xfId="0" applyNumberFormat="1" applyFont="1" applyAlignment="1" applyProtection="1">
      <alignment horizontal="center" vertical="center"/>
      <protection locked="0"/>
    </xf>
    <xf numFmtId="9" fontId="34" fillId="0" borderId="0" xfId="11" applyFont="1" applyFill="1" applyAlignment="1" applyProtection="1">
      <alignment horizontal="center" vertical="center"/>
      <protection locked="0"/>
    </xf>
    <xf numFmtId="0" fontId="34" fillId="0" borderId="0" xfId="0" applyFont="1" applyAlignment="1" applyProtection="1">
      <alignment horizontal="center" vertical="center"/>
      <protection locked="0"/>
    </xf>
    <xf numFmtId="165" fontId="34" fillId="0" borderId="0" xfId="0" applyNumberFormat="1" applyFont="1" applyAlignment="1">
      <alignment horizontal="center" vertical="center" wrapText="1"/>
    </xf>
    <xf numFmtId="165" fontId="34" fillId="0" borderId="0" xfId="0" applyNumberFormat="1" applyFont="1" applyAlignment="1" applyProtection="1">
      <alignment horizontal="center" vertical="center" wrapText="1"/>
      <protection locked="0"/>
    </xf>
    <xf numFmtId="165" fontId="34" fillId="0" borderId="0" xfId="0" applyNumberFormat="1" applyFont="1" applyAlignment="1">
      <alignment horizontal="right" vertical="center"/>
    </xf>
    <xf numFmtId="0" fontId="19" fillId="0" borderId="63" xfId="3" applyFont="1" applyBorder="1" applyAlignment="1" applyProtection="1">
      <alignment horizontal="left" vertical="center" wrapText="1"/>
      <protection locked="0"/>
    </xf>
    <xf numFmtId="0" fontId="60" fillId="4" borderId="7" xfId="2" applyFont="1" applyFill="1" applyBorder="1" applyAlignment="1" applyProtection="1">
      <alignment horizontal="center" vertical="center" wrapText="1"/>
      <protection locked="0"/>
    </xf>
    <xf numFmtId="0" fontId="60" fillId="4" borderId="17" xfId="3" applyFont="1" applyFill="1" applyBorder="1" applyAlignment="1" applyProtection="1">
      <alignment horizontal="left" vertical="center" wrapText="1"/>
      <protection locked="0"/>
    </xf>
    <xf numFmtId="0" fontId="60" fillId="4" borderId="50" xfId="3" applyFont="1" applyFill="1" applyBorder="1" applyAlignment="1" applyProtection="1">
      <alignment horizontal="left" vertical="center" wrapText="1"/>
      <protection locked="0"/>
    </xf>
    <xf numFmtId="165" fontId="63" fillId="0" borderId="0" xfId="0" applyNumberFormat="1" applyFont="1" applyAlignment="1" applyProtection="1">
      <alignment horizontal="center" vertical="center" wrapText="1"/>
      <protection locked="0"/>
    </xf>
    <xf numFmtId="9" fontId="63" fillId="0" borderId="0" xfId="11" applyFont="1" applyFill="1" applyAlignment="1" applyProtection="1">
      <alignment horizontal="center" vertical="center"/>
    </xf>
    <xf numFmtId="165" fontId="63" fillId="0" borderId="0" xfId="0" applyNumberFormat="1" applyFont="1" applyAlignment="1">
      <alignment horizontal="center" vertical="center"/>
    </xf>
    <xf numFmtId="0" fontId="60" fillId="0" borderId="0" xfId="0" applyFont="1" applyAlignment="1" applyProtection="1">
      <alignment horizontal="center" vertical="center" wrapText="1"/>
      <protection locked="0"/>
    </xf>
    <xf numFmtId="0" fontId="60" fillId="0" borderId="0" xfId="3" applyFont="1" applyAlignment="1" applyProtection="1">
      <alignment wrapText="1"/>
      <protection locked="0"/>
    </xf>
    <xf numFmtId="0" fontId="61" fillId="0" borderId="0" xfId="3" applyFont="1" applyAlignment="1" applyProtection="1">
      <alignment horizontal="center" vertical="center" wrapText="1"/>
      <protection locked="0"/>
    </xf>
    <xf numFmtId="0" fontId="60" fillId="0" borderId="0" xfId="0" applyFont="1" applyAlignment="1" applyProtection="1">
      <alignment wrapText="1"/>
      <protection locked="0"/>
    </xf>
    <xf numFmtId="0" fontId="60" fillId="4" borderId="7" xfId="2" applyFont="1" applyFill="1" applyBorder="1" applyAlignment="1" applyProtection="1">
      <alignment horizontal="center" vertical="center"/>
      <protection locked="0"/>
    </xf>
    <xf numFmtId="0" fontId="60" fillId="0" borderId="0" xfId="0" applyFont="1" applyAlignment="1" applyProtection="1">
      <alignment horizontal="center" vertical="center"/>
      <protection locked="0"/>
    </xf>
    <xf numFmtId="0" fontId="60" fillId="0" borderId="0" xfId="3" applyFont="1" applyProtection="1">
      <protection locked="0"/>
    </xf>
    <xf numFmtId="0" fontId="60" fillId="0" borderId="0" xfId="0" applyFont="1" applyProtection="1">
      <protection locked="0"/>
    </xf>
    <xf numFmtId="0" fontId="61" fillId="4" borderId="1" xfId="0" applyFont="1" applyFill="1" applyBorder="1" applyAlignment="1">
      <alignment horizontal="center" vertical="center" wrapText="1"/>
    </xf>
    <xf numFmtId="0" fontId="60" fillId="4" borderId="1" xfId="0" applyFont="1" applyFill="1" applyBorder="1" applyAlignment="1">
      <alignment horizontal="center" vertical="center" wrapText="1"/>
    </xf>
    <xf numFmtId="49" fontId="60" fillId="4" borderId="39" xfId="0" applyNumberFormat="1" applyFont="1" applyFill="1" applyBorder="1" applyAlignment="1">
      <alignment horizontal="left" vertical="center" wrapText="1"/>
    </xf>
    <xf numFmtId="0" fontId="60" fillId="4" borderId="3" xfId="2" applyFont="1" applyFill="1" applyBorder="1" applyAlignment="1">
      <alignment horizontal="center" vertical="center" wrapText="1"/>
    </xf>
    <xf numFmtId="0" fontId="60" fillId="4" borderId="14" xfId="3" applyFont="1" applyFill="1" applyBorder="1" applyAlignment="1">
      <alignment horizontal="left" vertical="center" wrapText="1"/>
    </xf>
    <xf numFmtId="0" fontId="60" fillId="4" borderId="17" xfId="3" applyFont="1" applyFill="1" applyBorder="1" applyAlignment="1">
      <alignment horizontal="left" vertical="center" wrapText="1"/>
    </xf>
    <xf numFmtId="0" fontId="60" fillId="4" borderId="37" xfId="3" applyFont="1" applyFill="1" applyBorder="1" applyAlignment="1" applyProtection="1">
      <alignment horizontal="left" vertical="center" wrapText="1"/>
      <protection locked="0"/>
    </xf>
    <xf numFmtId="0" fontId="60" fillId="4" borderId="1" xfId="2" applyFont="1" applyFill="1" applyBorder="1" applyAlignment="1">
      <alignment horizontal="center" vertical="center" wrapText="1"/>
    </xf>
    <xf numFmtId="0" fontId="61" fillId="0" borderId="3" xfId="14" applyFont="1" applyBorder="1" applyAlignment="1">
      <alignment horizontal="center" vertical="center" wrapText="1"/>
    </xf>
    <xf numFmtId="0" fontId="60" fillId="0" borderId="3" xfId="14" applyFont="1" applyBorder="1" applyAlignment="1">
      <alignment horizontal="center" vertical="center" wrapText="1"/>
    </xf>
    <xf numFmtId="49" fontId="60" fillId="0" borderId="39" xfId="0" applyNumberFormat="1" applyFont="1" applyBorder="1" applyAlignment="1">
      <alignment vertical="center" wrapText="1"/>
    </xf>
    <xf numFmtId="0" fontId="60" fillId="0" borderId="1" xfId="2" applyFont="1" applyBorder="1" applyAlignment="1">
      <alignment horizontal="center" vertical="center" wrapText="1"/>
    </xf>
    <xf numFmtId="0" fontId="60" fillId="0" borderId="1" xfId="3" applyFont="1" applyBorder="1" applyAlignment="1">
      <alignment horizontal="center" vertical="center" wrapText="1"/>
    </xf>
    <xf numFmtId="0" fontId="60" fillId="0" borderId="17" xfId="3" applyFont="1" applyBorder="1" applyAlignment="1">
      <alignment horizontal="left" vertical="center" wrapText="1"/>
    </xf>
    <xf numFmtId="0" fontId="60" fillId="0" borderId="17" xfId="3" applyFont="1" applyBorder="1" applyAlignment="1" applyProtection="1">
      <alignment horizontal="left" vertical="center" wrapText="1"/>
      <protection locked="0"/>
    </xf>
    <xf numFmtId="0" fontId="60" fillId="0" borderId="37" xfId="3" applyFont="1" applyBorder="1" applyAlignment="1" applyProtection="1">
      <alignment horizontal="left" vertical="center" wrapText="1"/>
      <protection locked="0"/>
    </xf>
    <xf numFmtId="0" fontId="60" fillId="0" borderId="1" xfId="3" applyFont="1" applyBorder="1" applyAlignment="1">
      <alignment horizontal="left" vertical="center" wrapText="1"/>
    </xf>
    <xf numFmtId="0" fontId="60" fillId="0" borderId="14" xfId="3" applyFont="1" applyBorder="1" applyAlignment="1" applyProtection="1">
      <alignment horizontal="left" vertical="center" wrapText="1"/>
      <protection locked="0"/>
    </xf>
    <xf numFmtId="0" fontId="61" fillId="4" borderId="3" xfId="14" applyFont="1" applyFill="1" applyBorder="1" applyAlignment="1">
      <alignment horizontal="center" vertical="center" wrapText="1"/>
    </xf>
    <xf numFmtId="0" fontId="60" fillId="4" borderId="3" xfId="14" applyFont="1" applyFill="1" applyBorder="1" applyAlignment="1">
      <alignment horizontal="center" vertical="center" wrapText="1"/>
    </xf>
    <xf numFmtId="49" fontId="60" fillId="4" borderId="39" xfId="0" applyNumberFormat="1" applyFont="1" applyFill="1" applyBorder="1" applyAlignment="1">
      <alignment vertical="center" wrapText="1"/>
    </xf>
    <xf numFmtId="0" fontId="60" fillId="4" borderId="1" xfId="3" applyFont="1" applyFill="1" applyBorder="1" applyAlignment="1">
      <alignment horizontal="center" vertical="center" wrapText="1"/>
    </xf>
    <xf numFmtId="0" fontId="60" fillId="4" borderId="17" xfId="0" applyFont="1" applyFill="1" applyBorder="1" applyAlignment="1">
      <alignment horizontal="left" vertical="center" wrapText="1"/>
    </xf>
    <xf numFmtId="0" fontId="60" fillId="4" borderId="17" xfId="0" applyFont="1" applyFill="1" applyBorder="1" applyAlignment="1" applyProtection="1">
      <alignment horizontal="left" vertical="center" wrapText="1"/>
      <protection locked="0"/>
    </xf>
    <xf numFmtId="0" fontId="60" fillId="4" borderId="1" xfId="3" applyFont="1" applyFill="1" applyBorder="1" applyAlignment="1">
      <alignment horizontal="left" vertical="center" wrapText="1"/>
    </xf>
    <xf numFmtId="0" fontId="60" fillId="4" borderId="14" xfId="3" applyFont="1" applyFill="1" applyBorder="1" applyAlignment="1" applyProtection="1">
      <alignment horizontal="left" vertical="center" wrapText="1"/>
      <protection locked="0"/>
    </xf>
    <xf numFmtId="0" fontId="15" fillId="0" borderId="49" xfId="2" applyFont="1" applyBorder="1" applyAlignment="1" applyProtection="1">
      <alignment horizontal="left" vertical="center" wrapText="1"/>
      <protection locked="0"/>
    </xf>
    <xf numFmtId="0" fontId="39" fillId="0" borderId="1" xfId="0" applyFont="1" applyBorder="1" applyAlignment="1">
      <alignment horizontal="center" vertical="center"/>
    </xf>
    <xf numFmtId="0" fontId="18" fillId="0" borderId="1" xfId="0" applyFont="1" applyBorder="1" applyAlignment="1">
      <alignment horizontal="center"/>
    </xf>
    <xf numFmtId="0" fontId="18" fillId="0" borderId="25" xfId="0" applyFont="1" applyBorder="1"/>
    <xf numFmtId="0" fontId="39" fillId="0" borderId="1" xfId="0" applyFont="1" applyBorder="1" applyAlignment="1">
      <alignment horizontal="center" vertical="center" wrapText="1"/>
    </xf>
    <xf numFmtId="0" fontId="18" fillId="0" borderId="26" xfId="0" applyFont="1" applyBorder="1"/>
    <xf numFmtId="0" fontId="18" fillId="0" borderId="22" xfId="0" applyFont="1" applyBorder="1"/>
    <xf numFmtId="0" fontId="19" fillId="4" borderId="8" xfId="2" applyFont="1" applyFill="1" applyBorder="1" applyAlignment="1" applyProtection="1">
      <alignment horizontal="center" vertical="center"/>
      <protection locked="0"/>
    </xf>
    <xf numFmtId="0" fontId="34" fillId="0" borderId="0" xfId="0" applyFont="1" applyAlignment="1" applyProtection="1">
      <alignment horizontal="right" vertical="center"/>
      <protection locked="0"/>
    </xf>
    <xf numFmtId="9" fontId="34" fillId="0" borderId="0" xfId="11" applyFont="1" applyFill="1" applyBorder="1" applyAlignment="1" applyProtection="1">
      <alignment horizontal="right" vertical="center"/>
      <protection locked="0"/>
    </xf>
    <xf numFmtId="9" fontId="38" fillId="0" borderId="33" xfId="11" applyFont="1" applyFill="1" applyBorder="1" applyAlignment="1" applyProtection="1">
      <alignment horizontal="right" vertical="center"/>
      <protection locked="0"/>
    </xf>
    <xf numFmtId="0" fontId="38" fillId="0" borderId="33" xfId="0" applyFont="1" applyBorder="1" applyAlignment="1" applyProtection="1">
      <alignment horizontal="right" vertical="center"/>
      <protection locked="0"/>
    </xf>
    <xf numFmtId="9" fontId="38" fillId="0" borderId="66" xfId="11" applyFont="1" applyFill="1" applyBorder="1" applyAlignment="1" applyProtection="1">
      <alignment horizontal="right" vertical="center"/>
      <protection locked="0"/>
    </xf>
    <xf numFmtId="0" fontId="38" fillId="0" borderId="66" xfId="0" applyFont="1" applyBorder="1" applyAlignment="1" applyProtection="1">
      <alignment horizontal="right" vertical="center"/>
      <protection locked="0"/>
    </xf>
    <xf numFmtId="0" fontId="21" fillId="0" borderId="66" xfId="0" applyFont="1" applyBorder="1" applyProtection="1">
      <protection locked="0"/>
    </xf>
    <xf numFmtId="0" fontId="21" fillId="0" borderId="67" xfId="0" applyFont="1" applyBorder="1" applyAlignment="1" applyProtection="1">
      <alignment wrapText="1"/>
      <protection locked="0"/>
    </xf>
    <xf numFmtId="165" fontId="34" fillId="0" borderId="0" xfId="0" applyNumberFormat="1" applyFont="1" applyAlignment="1" applyProtection="1">
      <alignment horizontal="right" vertical="center"/>
      <protection locked="0"/>
    </xf>
    <xf numFmtId="0" fontId="19" fillId="0" borderId="5" xfId="2" applyFont="1" applyBorder="1" applyAlignment="1" applyProtection="1">
      <alignment horizontal="center" vertical="center"/>
      <protection locked="0"/>
    </xf>
    <xf numFmtId="0" fontId="19" fillId="0" borderId="6" xfId="2" applyFont="1" applyBorder="1" applyAlignment="1" applyProtection="1">
      <alignment horizontal="center" vertical="center" wrapText="1"/>
      <protection locked="0"/>
    </xf>
    <xf numFmtId="0" fontId="60" fillId="4" borderId="8" xfId="2" applyFont="1" applyFill="1" applyBorder="1" applyAlignment="1" applyProtection="1">
      <alignment horizontal="center" vertical="center"/>
      <protection locked="0"/>
    </xf>
    <xf numFmtId="9" fontId="63" fillId="0" borderId="0" xfId="11" applyFont="1" applyFill="1" applyAlignment="1" applyProtection="1">
      <alignment horizontal="center" vertical="center"/>
      <protection locked="0"/>
    </xf>
    <xf numFmtId="0" fontId="19" fillId="0" borderId="7" xfId="2" applyFont="1" applyBorder="1" applyAlignment="1" applyProtection="1">
      <alignment horizontal="center" vertical="center" wrapText="1"/>
      <protection locked="0"/>
    </xf>
    <xf numFmtId="0" fontId="19" fillId="0" borderId="19" xfId="2" applyFont="1" applyBorder="1" applyAlignment="1" applyProtection="1">
      <alignment horizontal="center" vertical="center"/>
      <protection locked="0"/>
    </xf>
    <xf numFmtId="0" fontId="21" fillId="0" borderId="0" xfId="3" applyFont="1" applyProtection="1">
      <protection locked="0"/>
    </xf>
    <xf numFmtId="0" fontId="28" fillId="0" borderId="50" xfId="3" applyFont="1" applyBorder="1" applyAlignment="1" applyProtection="1">
      <alignment horizontal="center" vertical="center" wrapText="1"/>
      <protection locked="0"/>
    </xf>
    <xf numFmtId="0" fontId="60" fillId="0" borderId="7" xfId="2" applyFont="1" applyBorder="1" applyAlignment="1" applyProtection="1">
      <alignment horizontal="center" vertical="center"/>
      <protection locked="0"/>
    </xf>
    <xf numFmtId="0" fontId="19" fillId="0" borderId="44" xfId="2" applyFont="1" applyBorder="1" applyAlignment="1" applyProtection="1">
      <alignment horizontal="center" vertical="center"/>
      <protection locked="0"/>
    </xf>
    <xf numFmtId="0" fontId="19" fillId="0" borderId="9" xfId="2" applyFont="1" applyBorder="1" applyAlignment="1" applyProtection="1">
      <alignment horizontal="center" vertical="center"/>
      <protection locked="0"/>
    </xf>
    <xf numFmtId="9" fontId="34" fillId="0" borderId="0" xfId="11" applyFont="1" applyFill="1" applyBorder="1" applyAlignment="1" applyProtection="1">
      <alignment horizontal="center" vertical="center"/>
      <protection locked="0"/>
    </xf>
    <xf numFmtId="0" fontId="21" fillId="3" borderId="28" xfId="0" applyFont="1" applyFill="1" applyBorder="1" applyAlignment="1" applyProtection="1">
      <alignment horizontal="center" vertical="center" wrapText="1"/>
      <protection locked="0"/>
    </xf>
    <xf numFmtId="0" fontId="28" fillId="6" borderId="2" xfId="3" applyFont="1" applyFill="1" applyBorder="1" applyAlignment="1" applyProtection="1">
      <alignment vertical="center" wrapText="1"/>
      <protection locked="0"/>
    </xf>
    <xf numFmtId="0" fontId="28" fillId="6" borderId="15" xfId="3" applyFont="1" applyFill="1" applyBorder="1" applyAlignment="1" applyProtection="1">
      <alignment vertical="center" wrapText="1"/>
      <protection locked="0"/>
    </xf>
    <xf numFmtId="0" fontId="21" fillId="6" borderId="3" xfId="0" applyFont="1" applyFill="1" applyBorder="1" applyAlignment="1" applyProtection="1">
      <alignment horizontal="center" vertical="center" wrapText="1"/>
      <protection locked="0"/>
    </xf>
    <xf numFmtId="0" fontId="19" fillId="6" borderId="1" xfId="3" applyFont="1" applyFill="1" applyBorder="1" applyProtection="1">
      <protection locked="0"/>
    </xf>
    <xf numFmtId="0" fontId="19" fillId="6" borderId="14" xfId="3" applyFont="1" applyFill="1" applyBorder="1" applyProtection="1">
      <protection locked="0"/>
    </xf>
    <xf numFmtId="0" fontId="28" fillId="6" borderId="1" xfId="3" applyFont="1" applyFill="1" applyBorder="1" applyAlignment="1" applyProtection="1">
      <alignment vertical="center" wrapText="1"/>
      <protection locked="0"/>
    </xf>
    <xf numFmtId="0" fontId="28" fillId="6" borderId="14" xfId="3" applyFont="1" applyFill="1" applyBorder="1" applyAlignment="1" applyProtection="1">
      <alignment vertical="center" wrapText="1"/>
      <protection locked="0"/>
    </xf>
    <xf numFmtId="0" fontId="26" fillId="0" borderId="50" xfId="3" applyFont="1" applyBorder="1" applyAlignment="1" applyProtection="1">
      <alignment horizontal="center" vertical="center" wrapText="1"/>
      <protection locked="0"/>
    </xf>
    <xf numFmtId="0" fontId="21" fillId="0" borderId="1" xfId="7" applyFont="1" applyFill="1" applyBorder="1" applyAlignment="1" applyProtection="1">
      <alignment horizontal="center" vertical="center"/>
    </xf>
    <xf numFmtId="0" fontId="9" fillId="0" borderId="1" xfId="0" applyFont="1" applyBorder="1" applyAlignment="1" applyProtection="1">
      <alignment horizontal="left" vertical="center" wrapText="1"/>
      <protection locked="0"/>
    </xf>
    <xf numFmtId="0" fontId="9" fillId="0" borderId="1" xfId="3" applyFont="1" applyBorder="1" applyAlignment="1" applyProtection="1">
      <alignment horizontal="left" vertical="center" wrapText="1"/>
      <protection locked="0"/>
    </xf>
    <xf numFmtId="0" fontId="9" fillId="0" borderId="3" xfId="3" applyFont="1" applyBorder="1" applyAlignment="1" applyProtection="1">
      <alignment horizontal="left" vertical="center" wrapText="1"/>
      <protection locked="0"/>
    </xf>
    <xf numFmtId="0" fontId="9" fillId="0" borderId="2" xfId="3" applyFont="1" applyBorder="1" applyAlignment="1" applyProtection="1">
      <alignment horizontal="left" vertical="center" wrapText="1"/>
      <protection locked="0"/>
    </xf>
    <xf numFmtId="0" fontId="9" fillId="6" borderId="1" xfId="3" applyFont="1" applyFill="1" applyBorder="1" applyAlignment="1" applyProtection="1">
      <alignment vertical="center" wrapText="1"/>
      <protection locked="0"/>
    </xf>
    <xf numFmtId="0" fontId="9" fillId="0" borderId="64" xfId="3" applyFont="1" applyBorder="1" applyAlignment="1">
      <alignment horizontal="left" vertical="center" wrapText="1"/>
    </xf>
    <xf numFmtId="0" fontId="9" fillId="9" borderId="1" xfId="10" applyFont="1" applyFill="1" applyBorder="1" applyAlignment="1" applyProtection="1">
      <alignment horizontal="center" vertical="center"/>
      <protection locked="0"/>
    </xf>
    <xf numFmtId="0" fontId="9" fillId="9" borderId="10" xfId="10" applyFont="1" applyFill="1" applyBorder="1" applyAlignment="1" applyProtection="1">
      <alignment horizontal="center" vertical="center"/>
      <protection locked="0"/>
    </xf>
    <xf numFmtId="164" fontId="9" fillId="9" borderId="1" xfId="10" applyNumberFormat="1" applyFont="1" applyFill="1" applyBorder="1" applyAlignment="1" applyProtection="1">
      <alignment horizontal="center" vertical="center"/>
      <protection locked="0"/>
    </xf>
    <xf numFmtId="164" fontId="9" fillId="9" borderId="10" xfId="10" applyNumberFormat="1" applyFont="1" applyFill="1" applyBorder="1" applyAlignment="1" applyProtection="1">
      <alignment horizontal="center" vertical="center"/>
      <protection locked="0"/>
    </xf>
    <xf numFmtId="0" fontId="19" fillId="0" borderId="6" xfId="2" applyFont="1" applyBorder="1" applyAlignment="1">
      <alignment horizontal="center" vertical="center"/>
    </xf>
    <xf numFmtId="0" fontId="37" fillId="0" borderId="1" xfId="2" applyFont="1" applyBorder="1" applyAlignment="1">
      <alignment horizontal="center" vertical="center" wrapText="1"/>
    </xf>
    <xf numFmtId="0" fontId="19" fillId="0" borderId="68" xfId="0" applyFont="1" applyBorder="1" applyAlignment="1" applyProtection="1">
      <alignment horizontal="left" vertical="center" wrapText="1"/>
      <protection locked="0"/>
    </xf>
    <xf numFmtId="0" fontId="19" fillId="6" borderId="68" xfId="3" applyFont="1" applyFill="1" applyBorder="1" applyAlignment="1" applyProtection="1">
      <alignment horizontal="left" vertical="center" wrapText="1"/>
      <protection locked="0"/>
    </xf>
    <xf numFmtId="0" fontId="9" fillId="0" borderId="0" xfId="0" applyFont="1" applyAlignment="1" applyProtection="1">
      <alignment horizontal="left" vertical="center"/>
      <protection locked="0"/>
    </xf>
    <xf numFmtId="0" fontId="19" fillId="12" borderId="17" xfId="0" applyFont="1" applyFill="1" applyBorder="1" applyAlignment="1" applyProtection="1">
      <alignment horizontal="left" vertical="center" wrapText="1"/>
      <protection locked="0"/>
    </xf>
    <xf numFmtId="0" fontId="19" fillId="6" borderId="17" xfId="0" applyFont="1" applyFill="1" applyBorder="1" applyAlignment="1" applyProtection="1">
      <alignment horizontal="left" vertical="center" wrapText="1"/>
      <protection locked="0"/>
    </xf>
    <xf numFmtId="0" fontId="22" fillId="6" borderId="68" xfId="3" applyFont="1" applyFill="1" applyBorder="1" applyAlignment="1" applyProtection="1">
      <alignment horizontal="left" vertical="center" wrapText="1"/>
      <protection locked="0"/>
    </xf>
    <xf numFmtId="49" fontId="55" fillId="0" borderId="39" xfId="0" applyNumberFormat="1" applyFont="1" applyBorder="1" applyAlignment="1">
      <alignment vertical="center" wrapText="1"/>
    </xf>
    <xf numFmtId="9" fontId="72" fillId="0" borderId="0" xfId="11" applyFont="1" applyFill="1" applyAlignment="1" applyProtection="1">
      <alignment horizontal="center" vertical="center"/>
      <protection locked="0"/>
    </xf>
    <xf numFmtId="0" fontId="66" fillId="0" borderId="7" xfId="2" applyFont="1" applyBorder="1" applyAlignment="1" applyProtection="1">
      <alignment horizontal="center" vertical="center"/>
      <protection locked="0"/>
    </xf>
    <xf numFmtId="0" fontId="66" fillId="0" borderId="17" xfId="2" applyFont="1" applyBorder="1" applyAlignment="1" applyProtection="1">
      <alignment horizontal="center" vertical="center"/>
      <protection locked="0"/>
    </xf>
    <xf numFmtId="0" fontId="66" fillId="0" borderId="50" xfId="3" applyFont="1" applyBorder="1" applyAlignment="1" applyProtection="1">
      <alignment horizontal="left" vertical="center" wrapText="1"/>
      <protection locked="0"/>
    </xf>
    <xf numFmtId="0" fontId="66" fillId="0" borderId="0" xfId="0" applyFont="1" applyAlignment="1" applyProtection="1">
      <alignment horizontal="center" vertical="center"/>
      <protection locked="0"/>
    </xf>
    <xf numFmtId="0" fontId="66" fillId="0" borderId="0" xfId="3" applyFont="1" applyProtection="1">
      <protection locked="0"/>
    </xf>
    <xf numFmtId="0" fontId="66" fillId="0" borderId="0" xfId="0" applyFont="1" applyProtection="1">
      <protection locked="0"/>
    </xf>
    <xf numFmtId="0" fontId="27" fillId="0" borderId="1" xfId="3" applyFont="1" applyBorder="1" applyAlignment="1" applyProtection="1">
      <alignment vertical="center" wrapText="1"/>
      <protection locked="0"/>
    </xf>
    <xf numFmtId="0" fontId="26" fillId="6" borderId="14" xfId="0" applyFont="1" applyFill="1" applyBorder="1" applyAlignment="1" applyProtection="1">
      <alignment horizontal="left" vertical="center" wrapText="1"/>
      <protection locked="0"/>
    </xf>
    <xf numFmtId="0" fontId="22" fillId="6" borderId="3" xfId="2" applyFont="1" applyFill="1" applyBorder="1" applyAlignment="1" applyProtection="1">
      <alignment horizontal="center" vertical="center" wrapText="1"/>
      <protection locked="0"/>
    </xf>
    <xf numFmtId="0" fontId="22" fillId="6" borderId="14" xfId="3" applyFont="1" applyFill="1" applyBorder="1" applyAlignment="1" applyProtection="1">
      <alignment horizontal="left" vertical="center" wrapText="1"/>
      <protection locked="0"/>
    </xf>
    <xf numFmtId="0" fontId="21" fillId="6" borderId="3" xfId="14" applyFont="1" applyFill="1" applyBorder="1" applyAlignment="1" applyProtection="1">
      <alignment horizontal="center" vertical="center" wrapText="1"/>
      <protection locked="0"/>
    </xf>
    <xf numFmtId="0" fontId="19" fillId="6" borderId="3" xfId="14" applyFont="1" applyFill="1" applyBorder="1" applyAlignment="1" applyProtection="1">
      <alignment horizontal="center" vertical="center" wrapText="1"/>
      <protection locked="0"/>
    </xf>
    <xf numFmtId="0" fontId="67" fillId="6" borderId="14" xfId="3" applyFont="1" applyFill="1" applyBorder="1" applyAlignment="1" applyProtection="1">
      <alignment horizontal="left" vertical="center" wrapText="1"/>
      <protection locked="0"/>
    </xf>
    <xf numFmtId="0" fontId="30" fillId="12" borderId="14" xfId="0" applyFont="1" applyFill="1" applyBorder="1" applyAlignment="1" applyProtection="1">
      <alignment horizontal="left" vertical="center" wrapText="1"/>
      <protection locked="0"/>
    </xf>
    <xf numFmtId="0" fontId="26" fillId="12" borderId="14" xfId="0" applyFont="1" applyFill="1" applyBorder="1" applyAlignment="1" applyProtection="1">
      <alignment horizontal="left" vertical="center" wrapText="1"/>
      <protection locked="0"/>
    </xf>
    <xf numFmtId="0" fontId="37" fillId="0" borderId="3" xfId="0" applyFont="1" applyBorder="1" applyAlignment="1">
      <alignment horizontal="center" vertical="center" wrapText="1"/>
    </xf>
    <xf numFmtId="0" fontId="18" fillId="0" borderId="1" xfId="3" applyFont="1" applyBorder="1" applyAlignment="1">
      <alignment vertical="top" wrapText="1"/>
    </xf>
    <xf numFmtId="0" fontId="66" fillId="6" borderId="1" xfId="2" applyFont="1" applyFill="1" applyBorder="1" applyAlignment="1" applyProtection="1">
      <alignment horizontal="center" vertical="center" wrapText="1"/>
      <protection locked="0"/>
    </xf>
    <xf numFmtId="0" fontId="19" fillId="6" borderId="14" xfId="2" applyFont="1" applyFill="1" applyBorder="1" applyAlignment="1" applyProtection="1">
      <alignment horizontal="left" vertical="center" wrapText="1"/>
      <protection locked="0"/>
    </xf>
    <xf numFmtId="0" fontId="19" fillId="12" borderId="3" xfId="0" applyFont="1" applyFill="1" applyBorder="1" applyAlignment="1" applyProtection="1">
      <alignment horizontal="center" vertical="center" wrapText="1"/>
      <protection locked="0"/>
    </xf>
    <xf numFmtId="0" fontId="19" fillId="6" borderId="49" xfId="3" applyFont="1" applyFill="1" applyBorder="1" applyAlignment="1" applyProtection="1">
      <alignment horizontal="left" vertical="center" wrapText="1"/>
      <protection locked="0"/>
    </xf>
    <xf numFmtId="0" fontId="28" fillId="9" borderId="36" xfId="3" applyFont="1" applyFill="1" applyBorder="1" applyAlignment="1" applyProtection="1">
      <alignment horizontal="left" vertical="center" wrapText="1"/>
      <protection locked="0"/>
    </xf>
    <xf numFmtId="49" fontId="55" fillId="0" borderId="39" xfId="0" applyNumberFormat="1" applyFont="1" applyBorder="1" applyAlignment="1">
      <alignment horizontal="left" vertical="center" wrapText="1"/>
    </xf>
    <xf numFmtId="0" fontId="19" fillId="6" borderId="2" xfId="0" applyFont="1" applyFill="1" applyBorder="1" applyAlignment="1" applyProtection="1">
      <alignment horizontal="center" vertical="center" wrapText="1"/>
      <protection locked="0"/>
    </xf>
    <xf numFmtId="0" fontId="18" fillId="0" borderId="49" xfId="2" applyFont="1" applyBorder="1" applyAlignment="1">
      <alignment horizontal="left" vertical="center" wrapText="1"/>
    </xf>
    <xf numFmtId="0" fontId="19" fillId="0" borderId="68" xfId="3" applyFont="1" applyBorder="1" applyAlignment="1" applyProtection="1">
      <alignment horizontal="center" vertical="center" wrapText="1"/>
      <protection locked="0"/>
    </xf>
    <xf numFmtId="9" fontId="34" fillId="0" borderId="0" xfId="11" applyFont="1" applyFill="1" applyAlignment="1" applyProtection="1">
      <alignment horizontal="center" vertical="center" wrapText="1"/>
    </xf>
    <xf numFmtId="0" fontId="28" fillId="0" borderId="37" xfId="3" applyFont="1" applyBorder="1" applyAlignment="1" applyProtection="1">
      <alignment horizontal="left" vertical="center" wrapText="1"/>
      <protection locked="0"/>
    </xf>
    <xf numFmtId="0" fontId="8" fillId="0" borderId="1" xfId="3" applyFont="1" applyBorder="1" applyAlignment="1">
      <alignment vertical="center" wrapText="1"/>
    </xf>
    <xf numFmtId="0" fontId="7" fillId="6" borderId="1" xfId="3" applyFont="1" applyFill="1" applyBorder="1" applyAlignment="1" applyProtection="1">
      <alignment vertical="center" wrapText="1"/>
      <protection locked="0"/>
    </xf>
    <xf numFmtId="0" fontId="29" fillId="0" borderId="17" xfId="3" applyFont="1" applyBorder="1" applyAlignment="1">
      <alignment horizontal="center" vertical="center" wrapText="1"/>
    </xf>
    <xf numFmtId="0" fontId="74" fillId="0" borderId="3" xfId="2" applyFont="1" applyBorder="1" applyAlignment="1">
      <alignment horizontal="center" vertical="center"/>
    </xf>
    <xf numFmtId="0" fontId="66" fillId="0" borderId="3" xfId="2" applyFont="1" applyBorder="1" applyAlignment="1">
      <alignment horizontal="center" vertical="center"/>
    </xf>
    <xf numFmtId="0" fontId="66" fillId="0" borderId="49" xfId="0" applyFont="1" applyBorder="1" applyAlignment="1">
      <alignment wrapText="1"/>
    </xf>
    <xf numFmtId="0" fontId="66" fillId="0" borderId="17" xfId="2" applyFont="1" applyBorder="1" applyAlignment="1">
      <alignment horizontal="left" vertical="center" wrapText="1"/>
    </xf>
    <xf numFmtId="0" fontId="71" fillId="0" borderId="17" xfId="3" applyFont="1" applyBorder="1" applyAlignment="1">
      <alignment horizontal="left" vertical="center" wrapText="1"/>
    </xf>
    <xf numFmtId="0" fontId="19" fillId="0" borderId="2" xfId="0" applyFont="1" applyBorder="1" applyAlignment="1">
      <alignment horizontal="left" vertical="center" wrapText="1"/>
    </xf>
    <xf numFmtId="0" fontId="27" fillId="0" borderId="14" xfId="3" applyFont="1" applyBorder="1" applyAlignment="1">
      <alignment horizontal="left" vertical="center" wrapText="1"/>
    </xf>
    <xf numFmtId="0" fontId="79" fillId="0" borderId="1" xfId="2" applyFont="1" applyBorder="1" applyAlignment="1">
      <alignment horizontal="center" vertical="center" wrapText="1"/>
    </xf>
    <xf numFmtId="0" fontId="19" fillId="0" borderId="2" xfId="14" applyFont="1" applyBorder="1" applyAlignment="1">
      <alignment horizontal="center" vertical="center" wrapText="1"/>
    </xf>
    <xf numFmtId="0" fontId="19" fillId="0" borderId="2" xfId="3" applyFont="1" applyBorder="1" applyAlignment="1">
      <alignment horizontal="center" vertical="center" wrapText="1"/>
    </xf>
    <xf numFmtId="0" fontId="19" fillId="0" borderId="15" xfId="3" applyFont="1" applyBorder="1" applyAlignment="1">
      <alignment horizontal="left" vertical="center" wrapText="1"/>
    </xf>
    <xf numFmtId="0" fontId="9" fillId="4" borderId="1" xfId="0" applyFont="1" applyFill="1" applyBorder="1" applyAlignment="1">
      <alignment horizontal="left" vertical="center" wrapText="1"/>
    </xf>
    <xf numFmtId="0" fontId="65" fillId="12" borderId="1" xfId="0" applyFont="1" applyFill="1" applyBorder="1" applyAlignment="1" applyProtection="1">
      <alignment horizontal="center" vertical="center"/>
      <protection locked="0"/>
    </xf>
    <xf numFmtId="0" fontId="77" fillId="12" borderId="1" xfId="0" applyFont="1" applyFill="1" applyBorder="1" applyAlignment="1" applyProtection="1">
      <alignment horizontal="center" vertical="center"/>
      <protection locked="0"/>
    </xf>
    <xf numFmtId="0" fontId="0" fillId="6" borderId="49" xfId="2" applyFont="1" applyFill="1" applyBorder="1" applyAlignment="1" applyProtection="1">
      <alignment horizontal="left" vertical="center" wrapText="1"/>
      <protection locked="0"/>
    </xf>
    <xf numFmtId="0" fontId="19" fillId="0" borderId="49" xfId="3" applyFont="1" applyBorder="1" applyAlignment="1">
      <alignment horizontal="left" vertical="center" wrapText="1"/>
    </xf>
    <xf numFmtId="0" fontId="21" fillId="0" borderId="3" xfId="2" applyFont="1" applyBorder="1" applyAlignment="1">
      <alignment horizontal="center" vertical="center" wrapText="1"/>
    </xf>
    <xf numFmtId="0" fontId="6" fillId="0" borderId="0" xfId="0" applyFont="1" applyAlignment="1">
      <alignment horizontal="left" vertical="center" wrapText="1"/>
    </xf>
    <xf numFmtId="0" fontId="23" fillId="0" borderId="1" xfId="3" applyFont="1" applyBorder="1" applyAlignment="1">
      <alignment horizontal="left" vertical="center" wrapText="1"/>
    </xf>
    <xf numFmtId="0" fontId="40" fillId="0" borderId="49" xfId="0" applyFont="1" applyBorder="1" applyAlignment="1">
      <alignment horizontal="center" vertical="center"/>
    </xf>
    <xf numFmtId="0" fontId="9" fillId="0" borderId="49" xfId="0" applyFont="1" applyBorder="1" applyAlignment="1">
      <alignment horizontal="center" vertical="center"/>
    </xf>
    <xf numFmtId="0" fontId="9" fillId="0" borderId="49" xfId="0" applyFont="1" applyBorder="1" applyAlignment="1">
      <alignment vertical="center" wrapText="1"/>
    </xf>
    <xf numFmtId="0" fontId="19" fillId="0" borderId="49" xfId="0" applyFont="1" applyBorder="1" applyAlignment="1">
      <alignment vertical="center" wrapText="1"/>
    </xf>
    <xf numFmtId="0" fontId="19" fillId="0" borderId="49" xfId="0" applyFont="1" applyBorder="1" applyAlignment="1">
      <alignment horizontal="center" vertical="center" wrapText="1"/>
    </xf>
    <xf numFmtId="0" fontId="21" fillId="0" borderId="1" xfId="0" applyFont="1" applyBorder="1" applyAlignment="1">
      <alignment horizontal="center" vertical="center"/>
    </xf>
    <xf numFmtId="0" fontId="19" fillId="0" borderId="1" xfId="0" applyFont="1" applyBorder="1" applyAlignment="1">
      <alignment horizontal="center" vertical="center"/>
    </xf>
    <xf numFmtId="0" fontId="19" fillId="0" borderId="14" xfId="0" applyFont="1" applyBorder="1" applyAlignment="1">
      <alignment vertical="center"/>
    </xf>
    <xf numFmtId="0" fontId="23" fillId="0" borderId="14" xfId="3" applyFont="1" applyBorder="1" applyAlignment="1">
      <alignment horizontal="left" vertical="center" wrapText="1"/>
    </xf>
    <xf numFmtId="0" fontId="19" fillId="0" borderId="49" xfId="3" applyFont="1" applyBorder="1" applyAlignment="1">
      <alignment vertical="center" wrapText="1"/>
    </xf>
    <xf numFmtId="0" fontId="19" fillId="0" borderId="60" xfId="3" applyFont="1" applyBorder="1" applyAlignment="1">
      <alignment horizontal="left" vertical="center" wrapText="1"/>
    </xf>
    <xf numFmtId="0" fontId="19" fillId="0" borderId="15" xfId="0" applyFont="1" applyBorder="1" applyAlignment="1">
      <alignment horizontal="left" vertical="center" wrapText="1"/>
    </xf>
    <xf numFmtId="0" fontId="22" fillId="0" borderId="49" xfId="3" applyFont="1" applyBorder="1" applyAlignment="1">
      <alignment horizontal="left" vertical="center" wrapText="1"/>
    </xf>
    <xf numFmtId="0" fontId="70" fillId="0" borderId="3" xfId="0" applyFont="1" applyBorder="1" applyAlignment="1">
      <alignment horizontal="center" vertical="center" wrapText="1"/>
    </xf>
    <xf numFmtId="0" fontId="19" fillId="0" borderId="2" xfId="0" applyFont="1" applyBorder="1" applyAlignment="1">
      <alignment horizontal="center" vertical="center" wrapText="1"/>
    </xf>
    <xf numFmtId="0" fontId="21" fillId="0" borderId="49" xfId="0" applyFont="1" applyBorder="1" applyAlignment="1">
      <alignment horizontal="center" vertical="center"/>
    </xf>
    <xf numFmtId="0" fontId="19" fillId="0" borderId="49" xfId="0" applyFont="1" applyBorder="1" applyAlignment="1">
      <alignment horizontal="center" vertical="center"/>
    </xf>
    <xf numFmtId="0" fontId="66" fillId="0" borderId="2" xfId="2" applyFont="1" applyBorder="1" applyAlignment="1">
      <alignment horizontal="center" vertical="center" wrapText="1"/>
    </xf>
    <xf numFmtId="0" fontId="19" fillId="0" borderId="0" xfId="3" applyFont="1"/>
    <xf numFmtId="0" fontId="19" fillId="6" borderId="49" xfId="0" applyFont="1" applyFill="1" applyBorder="1" applyAlignment="1" applyProtection="1">
      <alignment horizontal="center" vertical="center" wrapText="1"/>
      <protection locked="0"/>
    </xf>
    <xf numFmtId="0" fontId="66" fillId="6" borderId="2" xfId="2" applyFont="1" applyFill="1" applyBorder="1" applyAlignment="1" applyProtection="1">
      <alignment horizontal="center" vertical="center" wrapText="1"/>
      <protection locked="0"/>
    </xf>
    <xf numFmtId="0" fontId="61" fillId="4" borderId="1" xfId="0" applyFont="1" applyFill="1" applyBorder="1" applyAlignment="1" applyProtection="1">
      <alignment horizontal="center" vertical="center" wrapText="1"/>
      <protection locked="0"/>
    </xf>
    <xf numFmtId="0" fontId="60" fillId="4" borderId="1" xfId="0" applyFont="1" applyFill="1" applyBorder="1" applyAlignment="1" applyProtection="1">
      <alignment horizontal="center" vertical="center" wrapText="1"/>
      <protection locked="0"/>
    </xf>
    <xf numFmtId="49" fontId="60" fillId="4" borderId="39" xfId="0" applyNumberFormat="1" applyFont="1" applyFill="1" applyBorder="1" applyAlignment="1" applyProtection="1">
      <alignment horizontal="left" vertical="center" wrapText="1"/>
      <protection locked="0"/>
    </xf>
    <xf numFmtId="0" fontId="60" fillId="4" borderId="3" xfId="2" applyFont="1" applyFill="1" applyBorder="1" applyAlignment="1" applyProtection="1">
      <alignment horizontal="center" vertical="center" wrapText="1"/>
      <protection locked="0"/>
    </xf>
    <xf numFmtId="49" fontId="55" fillId="0" borderId="39" xfId="0" applyNumberFormat="1" applyFont="1" applyBorder="1" applyAlignment="1" applyProtection="1">
      <alignment horizontal="left" vertical="center" wrapText="1"/>
      <protection locked="0"/>
    </xf>
    <xf numFmtId="0" fontId="60" fillId="4" borderId="1" xfId="2" applyFont="1" applyFill="1" applyBorder="1" applyAlignment="1" applyProtection="1">
      <alignment horizontal="center" vertical="center" wrapText="1"/>
      <protection locked="0"/>
    </xf>
    <xf numFmtId="0" fontId="21" fillId="0" borderId="0" xfId="3" applyFont="1" applyAlignment="1">
      <alignment horizontal="center" vertical="center"/>
    </xf>
    <xf numFmtId="0" fontId="61" fillId="0" borderId="0" xfId="3" applyFont="1" applyAlignment="1">
      <alignment horizontal="center" vertical="center" wrapText="1"/>
    </xf>
    <xf numFmtId="0" fontId="19" fillId="0" borderId="0" xfId="0" applyFont="1" applyAlignment="1">
      <alignment horizontal="center" vertical="center"/>
    </xf>
    <xf numFmtId="0" fontId="19" fillId="0" borderId="0" xfId="0" applyFont="1"/>
    <xf numFmtId="0" fontId="21" fillId="0" borderId="0" xfId="3" applyFont="1" applyAlignment="1">
      <alignment horizontal="center" vertical="center" wrapText="1"/>
    </xf>
    <xf numFmtId="0" fontId="74" fillId="0" borderId="0" xfId="3" applyFont="1" applyAlignment="1">
      <alignment horizontal="center" vertical="center"/>
    </xf>
    <xf numFmtId="0" fontId="21" fillId="0" borderId="0" xfId="0" applyFont="1" applyAlignment="1">
      <alignment horizontal="center" vertical="center"/>
    </xf>
    <xf numFmtId="2" fontId="19" fillId="0" borderId="0" xfId="0" applyNumberFormat="1" applyFont="1" applyProtection="1">
      <protection locked="0"/>
    </xf>
    <xf numFmtId="2" fontId="38" fillId="0" borderId="34" xfId="0" applyNumberFormat="1" applyFont="1" applyBorder="1" applyAlignment="1" applyProtection="1">
      <alignment horizontal="right" vertical="center"/>
      <protection locked="0"/>
    </xf>
    <xf numFmtId="2" fontId="38" fillId="0" borderId="65" xfId="0" applyNumberFormat="1" applyFont="1" applyBorder="1" applyAlignment="1" applyProtection="1">
      <alignment horizontal="right" vertical="center"/>
      <protection locked="0"/>
    </xf>
    <xf numFmtId="2" fontId="38" fillId="0" borderId="11" xfId="0" applyNumberFormat="1" applyFont="1" applyBorder="1" applyAlignment="1" applyProtection="1">
      <alignment horizontal="right" vertical="center"/>
      <protection locked="0"/>
    </xf>
    <xf numFmtId="165" fontId="63" fillId="0" borderId="0" xfId="0" applyNumberFormat="1" applyFont="1" applyAlignment="1">
      <alignment horizontal="center" vertical="center" wrapText="1"/>
    </xf>
    <xf numFmtId="165" fontId="72" fillId="0" borderId="0" xfId="0" applyNumberFormat="1" applyFont="1" applyAlignment="1">
      <alignment horizontal="center" vertical="center"/>
    </xf>
    <xf numFmtId="0" fontId="19" fillId="0" borderId="1" xfId="2" applyFont="1" applyBorder="1" applyAlignment="1">
      <alignment horizontal="left" vertical="center" wrapText="1"/>
    </xf>
    <xf numFmtId="49" fontId="55" fillId="4" borderId="39" xfId="0" applyNumberFormat="1" applyFont="1" applyFill="1" applyBorder="1" applyAlignment="1">
      <alignment vertical="center" wrapText="1"/>
    </xf>
    <xf numFmtId="0" fontId="19" fillId="0" borderId="3" xfId="2" applyFont="1" applyBorder="1" applyAlignment="1" applyProtection="1">
      <alignment horizontal="left" vertical="center" wrapText="1"/>
      <protection locked="0"/>
    </xf>
    <xf numFmtId="0" fontId="5" fillId="0" borderId="1" xfId="3" applyFont="1" applyBorder="1" applyAlignment="1" applyProtection="1">
      <alignment horizontal="left" vertical="center" wrapText="1"/>
      <protection locked="0"/>
    </xf>
    <xf numFmtId="0" fontId="41" fillId="0" borderId="1" xfId="0" applyFont="1" applyBorder="1" applyAlignment="1" applyProtection="1">
      <alignment horizontal="left" vertical="center" wrapText="1"/>
      <protection locked="0"/>
    </xf>
    <xf numFmtId="0" fontId="5" fillId="0" borderId="3" xfId="3" applyFont="1" applyBorder="1" applyAlignment="1" applyProtection="1">
      <alignment horizontal="left" vertical="center" wrapText="1"/>
      <protection locked="0"/>
    </xf>
    <xf numFmtId="0" fontId="9" fillId="9" borderId="60" xfId="10" applyFont="1" applyFill="1" applyBorder="1" applyAlignment="1" applyProtection="1">
      <alignment horizontal="center" vertical="center"/>
      <protection locked="0"/>
    </xf>
    <xf numFmtId="0" fontId="9" fillId="9" borderId="14" xfId="10" applyFont="1" applyFill="1" applyBorder="1" applyAlignment="1" applyProtection="1">
      <alignment horizontal="center" vertical="center"/>
      <protection locked="0"/>
    </xf>
    <xf numFmtId="0" fontId="9" fillId="9" borderId="17" xfId="10" applyFont="1" applyFill="1" applyBorder="1" applyAlignment="1" applyProtection="1">
      <alignment horizontal="center" vertical="center"/>
      <protection locked="0"/>
    </xf>
    <xf numFmtId="0" fontId="9" fillId="9" borderId="18" xfId="10" applyFont="1" applyFill="1" applyBorder="1" applyAlignment="1" applyProtection="1">
      <alignment horizontal="center" vertical="center"/>
      <protection locked="0"/>
    </xf>
    <xf numFmtId="9" fontId="34" fillId="0" borderId="2" xfId="11" applyFont="1" applyBorder="1" applyAlignment="1" applyProtection="1">
      <alignment horizontal="center" vertical="center" wrapText="1"/>
    </xf>
    <xf numFmtId="9" fontId="34" fillId="0" borderId="10" xfId="11" applyFont="1" applyBorder="1" applyAlignment="1" applyProtection="1">
      <alignment horizontal="center" vertical="center" wrapText="1"/>
    </xf>
    <xf numFmtId="9" fontId="34" fillId="0" borderId="75" xfId="11" applyFont="1" applyBorder="1" applyAlignment="1" applyProtection="1">
      <alignment horizontal="center" vertical="center" wrapText="1"/>
    </xf>
    <xf numFmtId="0" fontId="5" fillId="9" borderId="1" xfId="16" applyFill="1" applyBorder="1" applyAlignment="1" applyProtection="1">
      <alignment horizontal="center" vertical="center"/>
      <protection locked="0"/>
    </xf>
    <xf numFmtId="0" fontId="5" fillId="9" borderId="1" xfId="16" applyFill="1" applyBorder="1" applyAlignment="1" applyProtection="1">
      <alignment horizontal="center" vertical="center" wrapText="1"/>
      <protection locked="0"/>
    </xf>
    <xf numFmtId="0" fontId="5" fillId="9" borderId="14" xfId="16" applyFill="1" applyBorder="1" applyAlignment="1" applyProtection="1">
      <alignment horizontal="center" vertical="center" wrapText="1"/>
      <protection locked="0"/>
    </xf>
    <xf numFmtId="2" fontId="5" fillId="9" borderId="69" xfId="16" applyNumberFormat="1" applyFill="1" applyBorder="1" applyAlignment="1" applyProtection="1">
      <alignment horizontal="center" vertical="center" wrapText="1"/>
      <protection locked="0"/>
    </xf>
    <xf numFmtId="0" fontId="13" fillId="0" borderId="22" xfId="10" applyBorder="1"/>
    <xf numFmtId="0" fontId="13" fillId="0" borderId="25" xfId="10" applyBorder="1"/>
    <xf numFmtId="0" fontId="13" fillId="0" borderId="25" xfId="10" applyBorder="1" applyAlignment="1">
      <alignment horizontal="left" vertical="center"/>
    </xf>
    <xf numFmtId="0" fontId="13" fillId="0" borderId="23" xfId="10" applyBorder="1"/>
    <xf numFmtId="0" fontId="13" fillId="0" borderId="55" xfId="10" applyBorder="1"/>
    <xf numFmtId="0" fontId="32" fillId="0" borderId="5" xfId="10" applyFont="1" applyBorder="1" applyAlignment="1">
      <alignment horizontal="center"/>
    </xf>
    <xf numFmtId="0" fontId="32" fillId="0" borderId="4" xfId="10" applyFont="1" applyBorder="1" applyAlignment="1">
      <alignment horizontal="center"/>
    </xf>
    <xf numFmtId="0" fontId="32" fillId="0" borderId="16" xfId="10" applyFont="1" applyBorder="1" applyAlignment="1">
      <alignment horizontal="center"/>
    </xf>
    <xf numFmtId="0" fontId="32" fillId="0" borderId="40" xfId="10" applyFont="1" applyBorder="1" applyAlignment="1">
      <alignment horizontal="center" vertical="center"/>
    </xf>
    <xf numFmtId="0" fontId="32" fillId="0" borderId="70" xfId="16" applyFont="1" applyBorder="1" applyAlignment="1">
      <alignment horizontal="center" vertical="center"/>
    </xf>
    <xf numFmtId="0" fontId="32" fillId="0" borderId="34" xfId="10" applyFont="1" applyBorder="1" applyAlignment="1">
      <alignment horizontal="center"/>
    </xf>
    <xf numFmtId="0" fontId="13" fillId="0" borderId="24" xfId="10" applyBorder="1"/>
    <xf numFmtId="0" fontId="33" fillId="0" borderId="44" xfId="10" applyFont="1" applyBorder="1" applyAlignment="1">
      <alignment vertical="center"/>
    </xf>
    <xf numFmtId="0" fontId="33" fillId="0" borderId="46" xfId="10" applyFont="1" applyBorder="1" applyAlignment="1">
      <alignment horizontal="left" vertical="center" wrapText="1"/>
    </xf>
    <xf numFmtId="0" fontId="33" fillId="0" borderId="1" xfId="16" applyFont="1" applyBorder="1" applyAlignment="1">
      <alignment vertical="center" wrapText="1"/>
    </xf>
    <xf numFmtId="0" fontId="33" fillId="0" borderId="45" xfId="10" applyFont="1" applyBorder="1" applyAlignment="1">
      <alignment horizontal="center" vertical="center" wrapText="1"/>
    </xf>
    <xf numFmtId="0" fontId="33" fillId="0" borderId="8" xfId="10" applyFont="1" applyBorder="1" applyAlignment="1">
      <alignment vertical="center"/>
    </xf>
    <xf numFmtId="0" fontId="33" fillId="0" borderId="42" xfId="10" applyFont="1" applyBorder="1" applyAlignment="1">
      <alignment horizontal="left" vertical="center" wrapText="1"/>
    </xf>
    <xf numFmtId="0" fontId="33" fillId="0" borderId="1" xfId="10" applyFont="1" applyBorder="1" applyAlignment="1">
      <alignment horizontal="center" vertical="center" wrapText="1"/>
    </xf>
    <xf numFmtId="0" fontId="34" fillId="0" borderId="42" xfId="10" applyFont="1" applyBorder="1" applyAlignment="1">
      <alignment horizontal="left" vertical="center" wrapText="1"/>
    </xf>
    <xf numFmtId="0" fontId="34" fillId="0" borderId="1" xfId="10" applyFont="1" applyBorder="1" applyAlignment="1">
      <alignment horizontal="center" vertical="center" wrapText="1"/>
    </xf>
    <xf numFmtId="0" fontId="9" fillId="0" borderId="22" xfId="10" applyFont="1" applyBorder="1"/>
    <xf numFmtId="0" fontId="35" fillId="0" borderId="8" xfId="10" applyFont="1" applyBorder="1" applyAlignment="1">
      <alignment vertical="center"/>
    </xf>
    <xf numFmtId="0" fontId="34" fillId="0" borderId="42" xfId="12" applyFont="1" applyBorder="1" applyAlignment="1">
      <alignment vertical="center" wrapText="1"/>
    </xf>
    <xf numFmtId="0" fontId="35" fillId="0" borderId="56" xfId="10" applyFont="1" applyBorder="1" applyAlignment="1">
      <alignment vertical="center"/>
    </xf>
    <xf numFmtId="2" fontId="5" fillId="4" borderId="10" xfId="16" applyNumberFormat="1" applyFill="1" applyBorder="1" applyAlignment="1">
      <alignment horizontal="center" vertical="center"/>
    </xf>
    <xf numFmtId="0" fontId="34" fillId="0" borderId="57" xfId="12" applyFont="1" applyBorder="1" applyAlignment="1">
      <alignment vertical="center" wrapText="1"/>
    </xf>
    <xf numFmtId="2" fontId="34" fillId="0" borderId="12" xfId="10" applyNumberFormat="1" applyFont="1" applyBorder="1" applyAlignment="1">
      <alignment horizontal="center" vertical="center" wrapText="1"/>
    </xf>
    <xf numFmtId="2" fontId="34" fillId="0" borderId="52" xfId="16" applyNumberFormat="1" applyFont="1" applyBorder="1" applyAlignment="1">
      <alignment horizontal="center" vertical="center" wrapText="1"/>
    </xf>
    <xf numFmtId="0" fontId="33" fillId="0" borderId="7" xfId="10" applyFont="1" applyBorder="1" applyAlignment="1">
      <alignment vertical="center"/>
    </xf>
    <xf numFmtId="0" fontId="33" fillId="0" borderId="58" xfId="10" applyFont="1" applyBorder="1" applyAlignment="1">
      <alignment horizontal="left" vertical="center" wrapText="1"/>
    </xf>
    <xf numFmtId="0" fontId="33" fillId="0" borderId="3" xfId="10" applyFont="1" applyBorder="1" applyAlignment="1">
      <alignment horizontal="center" vertical="center" wrapText="1"/>
    </xf>
    <xf numFmtId="0" fontId="33" fillId="0" borderId="8" xfId="12" applyFont="1" applyBorder="1" applyAlignment="1">
      <alignment horizontal="left" vertical="center"/>
    </xf>
    <xf numFmtId="0" fontId="34" fillId="0" borderId="42" xfId="10" applyFont="1" applyBorder="1" applyAlignment="1">
      <alignment vertical="center" wrapText="1"/>
    </xf>
    <xf numFmtId="0" fontId="34" fillId="4" borderId="0" xfId="10" applyFont="1" applyFill="1" applyAlignment="1">
      <alignment wrapText="1"/>
    </xf>
    <xf numFmtId="0" fontId="13" fillId="0" borderId="26" xfId="10" applyBorder="1"/>
    <xf numFmtId="0" fontId="35" fillId="0" borderId="9" xfId="10" applyFont="1" applyBorder="1" applyAlignment="1">
      <alignment vertical="center"/>
    </xf>
    <xf numFmtId="0" fontId="34" fillId="0" borderId="54" xfId="10" applyFont="1" applyBorder="1" applyAlignment="1">
      <alignment horizontal="left" vertical="center" wrapText="1"/>
    </xf>
    <xf numFmtId="0" fontId="34" fillId="0" borderId="10" xfId="10" applyFont="1" applyBorder="1" applyAlignment="1">
      <alignment horizontal="center" vertical="center" wrapText="1"/>
    </xf>
    <xf numFmtId="0" fontId="13" fillId="0" borderId="28" xfId="10" applyBorder="1" applyAlignment="1">
      <alignment wrapText="1"/>
    </xf>
    <xf numFmtId="0" fontId="33" fillId="0" borderId="56" xfId="10" applyFont="1" applyBorder="1" applyAlignment="1">
      <alignment vertical="center"/>
    </xf>
    <xf numFmtId="0" fontId="9" fillId="0" borderId="12" xfId="10" applyFont="1" applyBorder="1" applyAlignment="1">
      <alignment horizontal="center" vertical="center"/>
    </xf>
    <xf numFmtId="0" fontId="9" fillId="0" borderId="69" xfId="10" applyFont="1" applyBorder="1" applyAlignment="1">
      <alignment horizontal="center" vertical="center"/>
    </xf>
    <xf numFmtId="0" fontId="34" fillId="0" borderId="57" xfId="10" applyFont="1" applyBorder="1" applyAlignment="1">
      <alignment horizontal="left" vertical="center" wrapText="1"/>
    </xf>
    <xf numFmtId="0" fontId="34" fillId="4" borderId="72" xfId="16" applyFont="1" applyFill="1" applyBorder="1" applyAlignment="1">
      <alignment vertical="center" wrapText="1"/>
    </xf>
    <xf numFmtId="0" fontId="34" fillId="0" borderId="12" xfId="10" applyFont="1" applyBorder="1" applyAlignment="1">
      <alignment horizontal="center" vertical="center" wrapText="1"/>
    </xf>
    <xf numFmtId="0" fontId="34" fillId="4" borderId="52" xfId="16" applyFont="1" applyFill="1" applyBorder="1" applyAlignment="1">
      <alignment horizontal="center" vertical="center" wrapText="1"/>
    </xf>
    <xf numFmtId="164" fontId="5" fillId="0" borderId="45" xfId="16" applyNumberFormat="1" applyBorder="1" applyAlignment="1">
      <alignment horizontal="center" vertical="center"/>
    </xf>
    <xf numFmtId="0" fontId="35" fillId="0" borderId="8" xfId="10" applyFont="1" applyBorder="1" applyAlignment="1">
      <alignment horizontal="left" vertical="center" wrapText="1"/>
    </xf>
    <xf numFmtId="164" fontId="5" fillId="0" borderId="13" xfId="16" applyNumberFormat="1" applyBorder="1" applyAlignment="1">
      <alignment horizontal="center" vertical="center"/>
    </xf>
    <xf numFmtId="0" fontId="35" fillId="0" borderId="9" xfId="10" applyFont="1" applyBorder="1" applyAlignment="1">
      <alignment horizontal="left" vertical="center" wrapText="1"/>
    </xf>
    <xf numFmtId="164" fontId="5" fillId="0" borderId="10" xfId="16" applyNumberFormat="1" applyBorder="1" applyAlignment="1">
      <alignment horizontal="center" vertical="center"/>
    </xf>
    <xf numFmtId="0" fontId="13" fillId="0" borderId="26" xfId="10" applyBorder="1" applyAlignment="1">
      <alignment horizontal="left" vertical="center"/>
    </xf>
    <xf numFmtId="0" fontId="13" fillId="0" borderId="22" xfId="10" applyBorder="1" applyAlignment="1">
      <alignment horizontal="left" vertical="center"/>
    </xf>
    <xf numFmtId="0" fontId="0" fillId="0" borderId="25" xfId="0" applyBorder="1" applyAlignment="1">
      <alignment wrapText="1"/>
    </xf>
    <xf numFmtId="0" fontId="0" fillId="0" borderId="26" xfId="0" applyBorder="1" applyAlignment="1">
      <alignment wrapText="1"/>
    </xf>
    <xf numFmtId="0" fontId="0" fillId="0" borderId="22" xfId="0" applyBorder="1" applyAlignment="1">
      <alignment wrapText="1"/>
    </xf>
    <xf numFmtId="0" fontId="18" fillId="0" borderId="1" xfId="0" applyFont="1" applyBorder="1" applyAlignment="1">
      <alignment readingOrder="2"/>
    </xf>
    <xf numFmtId="0" fontId="18" fillId="0" borderId="3" xfId="0" applyFont="1" applyBorder="1" applyAlignment="1">
      <alignment readingOrder="2"/>
    </xf>
    <xf numFmtId="0" fontId="39" fillId="0" borderId="3" xfId="0" applyFont="1" applyBorder="1" applyAlignment="1">
      <alignment readingOrder="2"/>
    </xf>
    <xf numFmtId="0" fontId="34" fillId="0" borderId="71" xfId="10" applyFont="1" applyBorder="1" applyAlignment="1">
      <alignment vertical="center" wrapText="1"/>
    </xf>
    <xf numFmtId="0" fontId="34" fillId="0" borderId="76" xfId="10" applyFont="1" applyBorder="1" applyAlignment="1">
      <alignment vertical="center" wrapText="1"/>
    </xf>
    <xf numFmtId="0" fontId="34" fillId="0" borderId="73" xfId="10" applyFont="1" applyBorder="1" applyAlignment="1">
      <alignment vertical="center" wrapText="1"/>
    </xf>
    <xf numFmtId="0" fontId="34" fillId="0" borderId="74" xfId="10" applyFont="1" applyBorder="1" applyAlignment="1">
      <alignment vertical="center" wrapText="1"/>
    </xf>
    <xf numFmtId="0" fontId="33" fillId="0" borderId="47" xfId="10" applyFont="1" applyBorder="1" applyAlignment="1">
      <alignment horizontal="center" vertical="center" wrapText="1"/>
    </xf>
    <xf numFmtId="0" fontId="33" fillId="0" borderId="41" xfId="10" applyFont="1" applyBorder="1" applyAlignment="1">
      <alignment horizontal="center" vertical="center" wrapText="1"/>
    </xf>
    <xf numFmtId="0" fontId="34" fillId="0" borderId="41" xfId="10" applyFont="1" applyBorder="1" applyAlignment="1">
      <alignment horizontal="center" vertical="center" wrapText="1"/>
    </xf>
    <xf numFmtId="0" fontId="34" fillId="0" borderId="43" xfId="10" applyFont="1" applyBorder="1" applyAlignment="1">
      <alignment horizontal="center" vertical="center" wrapText="1"/>
    </xf>
    <xf numFmtId="0" fontId="34" fillId="0" borderId="68" xfId="10" applyFont="1" applyBorder="1" applyAlignment="1">
      <alignment horizontal="center" vertical="center" wrapText="1"/>
    </xf>
    <xf numFmtId="0" fontId="34" fillId="0" borderId="48" xfId="10" applyFont="1" applyBorder="1" applyAlignment="1">
      <alignment horizontal="center" vertical="center" wrapText="1"/>
    </xf>
    <xf numFmtId="0" fontId="33" fillId="0" borderId="59" xfId="10" applyFont="1" applyBorder="1" applyAlignment="1">
      <alignment horizontal="center" vertical="center" wrapText="1"/>
    </xf>
    <xf numFmtId="3" fontId="34" fillId="0" borderId="1" xfId="12" applyNumberFormat="1" applyFont="1" applyBorder="1" applyAlignment="1">
      <alignment horizontal="center" vertical="center" wrapText="1"/>
    </xf>
    <xf numFmtId="3" fontId="5" fillId="4" borderId="68" xfId="16" applyNumberFormat="1" applyFill="1" applyBorder="1" applyAlignment="1">
      <alignment horizontal="center" vertical="center"/>
    </xf>
    <xf numFmtId="3" fontId="34" fillId="0" borderId="1" xfId="10" applyNumberFormat="1" applyFont="1" applyBorder="1" applyAlignment="1">
      <alignment horizontal="center" vertical="center" wrapText="1"/>
    </xf>
    <xf numFmtId="1" fontId="12" fillId="9" borderId="14" xfId="12" applyNumberFormat="1" applyFill="1" applyBorder="1" applyAlignment="1" applyProtection="1">
      <alignment horizontal="center" vertical="center"/>
      <protection locked="0"/>
    </xf>
    <xf numFmtId="1" fontId="9" fillId="9" borderId="14" xfId="10" applyNumberFormat="1" applyFont="1" applyFill="1" applyBorder="1" applyAlignment="1" applyProtection="1">
      <alignment horizontal="center" vertical="center"/>
      <protection locked="0"/>
    </xf>
    <xf numFmtId="1" fontId="12" fillId="0" borderId="1" xfId="12" applyNumberFormat="1" applyBorder="1" applyAlignment="1">
      <alignment horizontal="center" vertical="center"/>
    </xf>
    <xf numFmtId="1" fontId="12" fillId="9" borderId="1" xfId="12" applyNumberFormat="1" applyFill="1" applyBorder="1" applyAlignment="1">
      <alignment horizontal="center" vertical="center"/>
    </xf>
    <xf numFmtId="0" fontId="4" fillId="0" borderId="1" xfId="10" applyFont="1" applyBorder="1" applyAlignment="1">
      <alignment horizontal="center" vertical="center"/>
    </xf>
    <xf numFmtId="0" fontId="21" fillId="9" borderId="1" xfId="7" applyFont="1" applyFill="1" applyBorder="1" applyAlignment="1" applyProtection="1">
      <alignment horizontal="center" vertical="center"/>
      <protection locked="0"/>
    </xf>
    <xf numFmtId="0" fontId="19" fillId="0" borderId="1" xfId="3" applyFont="1" applyBorder="1" applyAlignment="1">
      <alignment horizontal="right" vertical="center" wrapText="1"/>
    </xf>
    <xf numFmtId="0" fontId="19" fillId="0" borderId="1" xfId="5" applyFont="1" applyBorder="1" applyAlignment="1">
      <alignment horizontal="right" vertical="center" wrapText="1"/>
    </xf>
    <xf numFmtId="0" fontId="0" fillId="0" borderId="49" xfId="3" applyFont="1" applyBorder="1" applyAlignment="1">
      <alignment horizontal="right" vertical="center" wrapText="1"/>
    </xf>
    <xf numFmtId="0" fontId="19" fillId="0" borderId="1" xfId="0" applyFont="1" applyBorder="1" applyAlignment="1" applyProtection="1">
      <alignment horizontal="right" vertical="center" wrapText="1"/>
      <protection locked="0"/>
    </xf>
    <xf numFmtId="0" fontId="19" fillId="0" borderId="1" xfId="0" applyFont="1" applyBorder="1" applyAlignment="1">
      <alignment horizontal="right" vertical="center" wrapText="1"/>
    </xf>
    <xf numFmtId="0" fontId="19" fillId="0" borderId="10" xfId="3" applyFont="1" applyBorder="1" applyAlignment="1">
      <alignment horizontal="right" vertical="center" wrapText="1"/>
    </xf>
    <xf numFmtId="0" fontId="19" fillId="0" borderId="3" xfId="2" applyFont="1" applyBorder="1" applyAlignment="1">
      <alignment horizontal="right" vertical="center" wrapText="1"/>
    </xf>
    <xf numFmtId="0" fontId="19" fillId="0" borderId="3" xfId="3" applyFont="1" applyBorder="1" applyAlignment="1">
      <alignment horizontal="right" vertical="center" wrapText="1"/>
    </xf>
    <xf numFmtId="0" fontId="80" fillId="0" borderId="0" xfId="0" applyFont="1" applyAlignment="1">
      <alignment horizontal="right" vertical="center" wrapText="1"/>
    </xf>
    <xf numFmtId="0" fontId="19" fillId="0" borderId="2" xfId="0" applyFont="1" applyBorder="1" applyAlignment="1">
      <alignment horizontal="right" vertical="center" wrapText="1"/>
    </xf>
    <xf numFmtId="166" fontId="19" fillId="0" borderId="2" xfId="0" applyNumberFormat="1" applyFont="1" applyBorder="1" applyAlignment="1">
      <alignment horizontal="right" vertical="center" wrapText="1"/>
    </xf>
    <xf numFmtId="0" fontId="19" fillId="0" borderId="3" xfId="0" applyFont="1" applyBorder="1" applyAlignment="1">
      <alignment horizontal="right" vertical="center" wrapText="1"/>
    </xf>
    <xf numFmtId="0" fontId="4" fillId="4" borderId="1" xfId="0" applyFont="1" applyFill="1" applyBorder="1" applyAlignment="1">
      <alignment horizontal="right" vertical="center" wrapText="1"/>
    </xf>
    <xf numFmtId="0" fontId="19" fillId="6" borderId="13" xfId="0" applyFont="1" applyFill="1" applyBorder="1" applyAlignment="1" applyProtection="1">
      <alignment horizontal="right" vertical="center" wrapText="1"/>
      <protection locked="0"/>
    </xf>
    <xf numFmtId="0" fontId="19" fillId="6" borderId="1" xfId="0" applyFont="1" applyFill="1" applyBorder="1" applyAlignment="1" applyProtection="1">
      <alignment horizontal="right" vertical="center" wrapText="1"/>
      <protection locked="0"/>
    </xf>
    <xf numFmtId="0" fontId="19" fillId="6" borderId="2" xfId="0" applyFont="1" applyFill="1" applyBorder="1" applyAlignment="1" applyProtection="1">
      <alignment horizontal="right" vertical="center" wrapText="1"/>
      <protection locked="0"/>
    </xf>
    <xf numFmtId="0" fontId="4" fillId="0" borderId="3" xfId="3" applyFont="1" applyBorder="1" applyAlignment="1">
      <alignment horizontal="right" vertical="center" wrapText="1"/>
    </xf>
    <xf numFmtId="0" fontId="19" fillId="6" borderId="1" xfId="3" applyFont="1" applyFill="1" applyBorder="1" applyAlignment="1" applyProtection="1">
      <alignment horizontal="right" vertical="center" wrapText="1"/>
      <protection locked="0"/>
    </xf>
    <xf numFmtId="0" fontId="19" fillId="6" borderId="13" xfId="3" applyFont="1" applyFill="1" applyBorder="1" applyAlignment="1" applyProtection="1">
      <alignment horizontal="right" vertical="center" wrapText="1"/>
      <protection locked="0"/>
    </xf>
    <xf numFmtId="0" fontId="4" fillId="0" borderId="1" xfId="3" applyFont="1" applyBorder="1" applyAlignment="1">
      <alignment vertical="center" wrapText="1"/>
    </xf>
    <xf numFmtId="0" fontId="19" fillId="6" borderId="3" xfId="0" applyFont="1" applyFill="1" applyBorder="1" applyAlignment="1" applyProtection="1">
      <alignment horizontal="right" vertical="center" wrapText="1"/>
      <protection locked="0"/>
    </xf>
    <xf numFmtId="0" fontId="4" fillId="0" borderId="1" xfId="3" applyFont="1" applyBorder="1" applyAlignment="1">
      <alignment horizontal="right" vertical="center" wrapText="1"/>
    </xf>
    <xf numFmtId="0" fontId="4" fillId="0" borderId="49" xfId="0" applyFont="1" applyBorder="1" applyAlignment="1">
      <alignment vertical="center" wrapText="1"/>
    </xf>
    <xf numFmtId="0" fontId="19" fillId="0" borderId="2" xfId="3" applyFont="1" applyBorder="1" applyAlignment="1">
      <alignment horizontal="right" vertical="center" wrapText="1"/>
    </xf>
    <xf numFmtId="0" fontId="4" fillId="6" borderId="1" xfId="3" applyFont="1" applyFill="1" applyBorder="1" applyAlignment="1" applyProtection="1">
      <alignment vertical="center" wrapText="1"/>
      <protection locked="0"/>
    </xf>
    <xf numFmtId="0" fontId="19" fillId="6" borderId="2" xfId="3" applyFont="1" applyFill="1" applyBorder="1" applyAlignment="1" applyProtection="1">
      <alignment horizontal="right" vertical="center" wrapText="1"/>
      <protection locked="0"/>
    </xf>
    <xf numFmtId="0" fontId="19" fillId="0" borderId="3" xfId="3" applyFont="1" applyBorder="1" applyAlignment="1" applyProtection="1">
      <alignment horizontal="right" vertical="center" wrapText="1"/>
      <protection locked="0"/>
    </xf>
    <xf numFmtId="49" fontId="55" fillId="4" borderId="39" xfId="0" applyNumberFormat="1" applyFont="1" applyFill="1" applyBorder="1" applyAlignment="1" applyProtection="1">
      <alignment horizontal="right" vertical="center" wrapText="1"/>
      <protection locked="0"/>
    </xf>
    <xf numFmtId="0" fontId="4" fillId="0" borderId="49" xfId="3" applyFont="1" applyBorder="1" applyAlignment="1">
      <alignment horizontal="right" vertical="center" wrapText="1"/>
    </xf>
    <xf numFmtId="0" fontId="19" fillId="0" borderId="4" xfId="3" applyFont="1" applyBorder="1" applyAlignment="1">
      <alignment horizontal="right" vertical="center" wrapText="1"/>
    </xf>
    <xf numFmtId="0" fontId="19" fillId="6" borderId="49" xfId="3" applyFont="1" applyFill="1" applyBorder="1" applyAlignment="1" applyProtection="1">
      <alignment horizontal="right" vertical="center" wrapText="1"/>
      <protection locked="0"/>
    </xf>
    <xf numFmtId="0" fontId="19" fillId="0" borderId="49" xfId="3" applyFont="1" applyBorder="1" applyAlignment="1">
      <alignment horizontal="right" vertical="center" wrapText="1"/>
    </xf>
    <xf numFmtId="166" fontId="19" fillId="0" borderId="1" xfId="0" applyNumberFormat="1" applyFont="1" applyBorder="1" applyAlignment="1">
      <alignment horizontal="right" vertical="center" wrapText="1"/>
    </xf>
    <xf numFmtId="0" fontId="35" fillId="0" borderId="44" xfId="10" applyFont="1" applyBorder="1" applyAlignment="1">
      <alignment horizontal="left" vertical="center" wrapText="1"/>
    </xf>
    <xf numFmtId="164" fontId="9" fillId="9" borderId="45" xfId="10" applyNumberFormat="1" applyFont="1" applyFill="1" applyBorder="1" applyAlignment="1" applyProtection="1">
      <alignment horizontal="center" vertical="center"/>
      <protection locked="0"/>
    </xf>
    <xf numFmtId="0" fontId="34" fillId="0" borderId="46" xfId="10" applyFont="1" applyBorder="1" applyAlignment="1">
      <alignment vertical="center" wrapText="1"/>
    </xf>
    <xf numFmtId="0" fontId="34" fillId="0" borderId="79" xfId="10" applyFont="1" applyBorder="1" applyAlignment="1">
      <alignment vertical="center" wrapText="1"/>
    </xf>
    <xf numFmtId="9" fontId="34" fillId="0" borderId="80" xfId="11" applyFont="1" applyBorder="1" applyAlignment="1" applyProtection="1">
      <alignment horizontal="center" vertical="center" wrapText="1"/>
    </xf>
    <xf numFmtId="0" fontId="34" fillId="0" borderId="54" xfId="12" applyFont="1" applyBorder="1" applyAlignment="1">
      <alignment vertical="center" wrapText="1"/>
    </xf>
    <xf numFmtId="0" fontId="34" fillId="0" borderId="1" xfId="16" applyFont="1" applyBorder="1" applyAlignment="1">
      <alignment vertical="center" wrapText="1"/>
    </xf>
    <xf numFmtId="0" fontId="34" fillId="0" borderId="71" xfId="16" applyFont="1" applyBorder="1" applyAlignment="1">
      <alignment vertical="center" wrapText="1"/>
    </xf>
    <xf numFmtId="0" fontId="34" fillId="0" borderId="77" xfId="10" applyFont="1" applyBorder="1" applyAlignment="1">
      <alignment vertical="center" wrapText="1"/>
    </xf>
    <xf numFmtId="0" fontId="33" fillId="0" borderId="78" xfId="10" applyFont="1" applyBorder="1" applyAlignment="1">
      <alignment wrapText="1"/>
    </xf>
    <xf numFmtId="0" fontId="3" fillId="6" borderId="1" xfId="3" applyFont="1" applyFill="1" applyBorder="1" applyAlignment="1" applyProtection="1">
      <alignment vertical="center" wrapText="1"/>
      <protection locked="0"/>
    </xf>
    <xf numFmtId="0" fontId="2" fillId="6" borderId="1" xfId="3" applyFont="1" applyFill="1" applyBorder="1" applyAlignment="1" applyProtection="1">
      <alignment vertical="center" wrapText="1"/>
      <protection locked="0"/>
    </xf>
    <xf numFmtId="0" fontId="19" fillId="5" borderId="32" xfId="2" applyFont="1" applyFill="1" applyBorder="1" applyAlignment="1">
      <alignment horizontal="center" vertical="center"/>
    </xf>
    <xf numFmtId="0" fontId="19" fillId="5" borderId="33" xfId="2" applyFont="1" applyFill="1" applyBorder="1" applyAlignment="1">
      <alignment horizontal="center" vertical="center"/>
    </xf>
    <xf numFmtId="0" fontId="19" fillId="5" borderId="34" xfId="2" applyFont="1" applyFill="1" applyBorder="1" applyAlignment="1">
      <alignment horizontal="center" vertical="center"/>
    </xf>
    <xf numFmtId="0" fontId="42" fillId="9" borderId="35" xfId="3" applyFont="1" applyFill="1" applyBorder="1" applyAlignment="1" applyProtection="1">
      <alignment horizontal="center" vertical="center" wrapText="1"/>
      <protection locked="0"/>
    </xf>
    <xf numFmtId="0" fontId="42" fillId="9" borderId="30" xfId="3" applyFont="1" applyFill="1" applyBorder="1" applyAlignment="1" applyProtection="1">
      <alignment horizontal="center" vertical="center" wrapText="1"/>
      <protection locked="0"/>
    </xf>
    <xf numFmtId="0" fontId="42" fillId="9" borderId="50" xfId="3" applyFont="1" applyFill="1" applyBorder="1" applyAlignment="1" applyProtection="1">
      <alignment horizontal="center" vertical="center" wrapText="1"/>
      <protection locked="0"/>
    </xf>
    <xf numFmtId="0" fontId="26" fillId="0" borderId="35" xfId="3" applyFont="1" applyBorder="1" applyAlignment="1" applyProtection="1">
      <alignment horizontal="center" vertical="center" wrapText="1"/>
      <protection locked="0"/>
    </xf>
    <xf numFmtId="0" fontId="26" fillId="0" borderId="50" xfId="3" applyFont="1" applyBorder="1" applyAlignment="1" applyProtection="1">
      <alignment horizontal="center" vertical="center" wrapText="1"/>
      <protection locked="0"/>
    </xf>
    <xf numFmtId="0" fontId="26" fillId="11" borderId="2" xfId="3" applyFont="1" applyFill="1" applyBorder="1" applyAlignment="1">
      <alignment horizontal="center" vertical="center" wrapText="1"/>
    </xf>
    <xf numFmtId="0" fontId="26" fillId="11" borderId="3" xfId="3" applyFont="1" applyFill="1" applyBorder="1" applyAlignment="1">
      <alignment horizontal="center" vertical="center" wrapText="1"/>
    </xf>
    <xf numFmtId="0" fontId="28" fillId="0" borderId="35" xfId="3" applyFont="1" applyBorder="1" applyAlignment="1" applyProtection="1">
      <alignment horizontal="center" vertical="center" wrapText="1"/>
      <protection locked="0"/>
    </xf>
    <xf numFmtId="0" fontId="28" fillId="0" borderId="30" xfId="3" applyFont="1" applyBorder="1" applyAlignment="1" applyProtection="1">
      <alignment horizontal="center" vertical="center" wrapText="1"/>
      <protection locked="0"/>
    </xf>
    <xf numFmtId="0" fontId="28" fillId="0" borderId="50" xfId="3" applyFont="1" applyBorder="1" applyAlignment="1" applyProtection="1">
      <alignment horizontal="center" vertical="center" wrapText="1"/>
      <protection locked="0"/>
    </xf>
    <xf numFmtId="0" fontId="19" fillId="2" borderId="27" xfId="14" applyFont="1" applyFill="1" applyBorder="1" applyAlignment="1">
      <alignment horizontal="center" vertical="center" wrapText="1"/>
    </xf>
    <xf numFmtId="0" fontId="19" fillId="2" borderId="0" xfId="14" applyFont="1" applyFill="1" applyAlignment="1">
      <alignment horizontal="center" vertical="center" wrapText="1"/>
    </xf>
    <xf numFmtId="0" fontId="19" fillId="3" borderId="62" xfId="14" applyFont="1" applyFill="1" applyBorder="1" applyAlignment="1">
      <alignment horizontal="center" vertical="center" wrapText="1"/>
    </xf>
    <xf numFmtId="0" fontId="19" fillId="3" borderId="63" xfId="14" applyFont="1" applyFill="1" applyBorder="1" applyAlignment="1">
      <alignment horizontal="center" vertical="center" wrapText="1"/>
    </xf>
    <xf numFmtId="0" fontId="21" fillId="3" borderId="29" xfId="2" applyFont="1" applyFill="1" applyBorder="1" applyAlignment="1">
      <alignment horizontal="center" vertical="center" wrapText="1"/>
    </xf>
    <xf numFmtId="0" fontId="21" fillId="3" borderId="31" xfId="2" applyFont="1" applyFill="1" applyBorder="1" applyAlignment="1">
      <alignment horizontal="center" vertical="center" wrapText="1"/>
    </xf>
    <xf numFmtId="0" fontId="9" fillId="0" borderId="29" xfId="10" applyFont="1" applyBorder="1" applyAlignment="1">
      <alignment horizontal="center" vertical="top" textRotation="90"/>
    </xf>
    <xf numFmtId="0" fontId="13" fillId="0" borderId="30" xfId="10" applyBorder="1" applyAlignment="1">
      <alignment horizontal="center" vertical="top" textRotation="90"/>
    </xf>
    <xf numFmtId="0" fontId="13" fillId="0" borderId="31" xfId="10" applyBorder="1" applyAlignment="1">
      <alignment horizontal="center" vertical="top" textRotation="90"/>
    </xf>
    <xf numFmtId="0" fontId="9" fillId="0" borderId="29" xfId="10" applyFont="1" applyBorder="1" applyAlignment="1">
      <alignment horizontal="center" vertical="top" textRotation="90" wrapText="1"/>
    </xf>
    <xf numFmtId="0" fontId="9" fillId="0" borderId="30" xfId="10" applyFont="1" applyBorder="1" applyAlignment="1">
      <alignment horizontal="center" vertical="top" textRotation="90" wrapText="1"/>
    </xf>
    <xf numFmtId="0" fontId="9" fillId="0" borderId="31" xfId="10" applyFont="1" applyBorder="1" applyAlignment="1">
      <alignment horizontal="center" vertical="top" textRotation="90" wrapText="1"/>
    </xf>
  </cellXfs>
  <cellStyles count="19">
    <cellStyle name="Check Cell" xfId="7" builtinId="23"/>
    <cellStyle name="Normal" xfId="0" builtinId="0"/>
    <cellStyle name="Normal 2" xfId="1" xr:uid="{00000000-0005-0000-0000-000002000000}"/>
    <cellStyle name="Normal 2 2" xfId="4" xr:uid="{00000000-0005-0000-0000-000003000000}"/>
    <cellStyle name="Normal 2 2 2" xfId="9" xr:uid="{00000000-0005-0000-0000-000004000000}"/>
    <cellStyle name="Normal 2 2 3" xfId="14" xr:uid="{00000000-0005-0000-0000-000005000000}"/>
    <cellStyle name="Normal 2 2 3 2" xfId="15" xr:uid="{00000000-0005-0000-0000-000006000000}"/>
    <cellStyle name="Normal 2 2 3 3" xfId="17" xr:uid="{00000000-0005-0000-0000-000007000000}"/>
    <cellStyle name="Normal 2 2 3 4" xfId="18" xr:uid="{00000000-0005-0000-0000-000008000000}"/>
    <cellStyle name="Normal 2 3" xfId="8" xr:uid="{00000000-0005-0000-0000-000009000000}"/>
    <cellStyle name="Normal 2 4" xfId="13" xr:uid="{00000000-0005-0000-0000-00000A000000}"/>
    <cellStyle name="Normal 3" xfId="3" xr:uid="{00000000-0005-0000-0000-00000B000000}"/>
    <cellStyle name="Normal 3 2" xfId="6" xr:uid="{00000000-0005-0000-0000-00000C000000}"/>
    <cellStyle name="Normal 4" xfId="5" xr:uid="{00000000-0005-0000-0000-00000D000000}"/>
    <cellStyle name="Normal 4 2" xfId="10" xr:uid="{00000000-0005-0000-0000-00000E000000}"/>
    <cellStyle name="Normal 4 2 2" xfId="12" xr:uid="{00000000-0005-0000-0000-00000F000000}"/>
    <cellStyle name="Normal 4 2 2 2" xfId="16" xr:uid="{00000000-0005-0000-0000-000010000000}"/>
    <cellStyle name="Normal 5" xfId="2" xr:uid="{00000000-0005-0000-0000-000011000000}"/>
    <cellStyle name="Per cent" xfId="11" builtinId="5"/>
  </cellStyles>
  <dxfs count="24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6DFDC"/>
      <color rgb="FF4398B6"/>
      <color rgb="FFFFB4B2"/>
      <color rgb="FFBCBBEF"/>
      <color rgb="FFF504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C58576CE-59EB-2145-98E1-81C724736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85" b="35417"/>
        <a:stretch>
          <a:fillRect/>
        </a:stretch>
      </xdr:blipFill>
      <xdr:spPr bwMode="auto">
        <a:xfrm>
          <a:off x="0" y="28916"/>
          <a:ext cx="935182"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XEP252"/>
  <sheetViews>
    <sheetView tabSelected="1" zoomScale="80" zoomScaleNormal="80" workbookViewId="0">
      <pane xSplit="4" ySplit="3" topLeftCell="F7" activePane="bottomRight" state="frozen"/>
      <selection pane="topRight" activeCell="E1" sqref="E1"/>
      <selection pane="bottomLeft" activeCell="A4" sqref="A4"/>
      <selection pane="bottomRight" activeCell="D7" sqref="D7"/>
    </sheetView>
  </sheetViews>
  <sheetFormatPr baseColWidth="10" defaultColWidth="8.83203125" defaultRowHeight="16" outlineLevelCol="1"/>
  <cols>
    <col min="1" max="1" width="7.5" style="148" hidden="1" customWidth="1"/>
    <col min="2" max="2" width="26" style="231" customWidth="1"/>
    <col min="3" max="3" width="36.6640625" style="230" hidden="1" customWidth="1"/>
    <col min="4" max="4" width="72.6640625" style="229" customWidth="1"/>
    <col min="5" max="5" width="9.6640625" style="148" hidden="1" customWidth="1"/>
    <col min="6" max="6" width="72.6640625" style="229" customWidth="1"/>
    <col min="7" max="7" width="9.6640625" style="148" hidden="1" customWidth="1"/>
    <col min="8" max="8" width="15.83203125" style="148" customWidth="1"/>
    <col min="9" max="9" width="12.33203125" style="148" hidden="1" customWidth="1"/>
    <col min="10" max="10" width="41" style="148" hidden="1" customWidth="1"/>
    <col min="11" max="11" width="33" style="148" hidden="1" customWidth="1"/>
    <col min="12" max="12" width="41.83203125" style="148" hidden="1" customWidth="1"/>
    <col min="13" max="13" width="33.1640625" style="148" hidden="1" customWidth="1"/>
    <col min="14" max="14" width="47.33203125" style="148" customWidth="1"/>
    <col min="15" max="15" width="22.33203125" style="148" customWidth="1"/>
    <col min="16" max="16" width="40.83203125" style="148" customWidth="1"/>
    <col min="17" max="17" width="15" style="334" hidden="1" customWidth="1"/>
    <col min="18" max="18" width="8.83203125" style="162" hidden="1" customWidth="1"/>
    <col min="19" max="19" width="8.83203125" style="148" hidden="1" customWidth="1"/>
    <col min="20" max="20" width="20.6640625" style="199" hidden="1" customWidth="1"/>
    <col min="21" max="21" width="8.83203125" style="148" hidden="1" customWidth="1" outlineLevel="1"/>
    <col min="22" max="22" width="8.83203125" style="148" hidden="1" customWidth="1" collapsed="1"/>
    <col min="23" max="23" width="8.83203125" style="148" hidden="1" customWidth="1"/>
    <col min="24" max="24" width="15.33203125" style="333" hidden="1" customWidth="1"/>
    <col min="25" max="25" width="11.5" style="333" customWidth="1"/>
    <col min="26" max="26" width="10.6640625" style="148" hidden="1" customWidth="1" outlineLevel="1"/>
    <col min="27" max="27" width="8.83203125" style="148" collapsed="1"/>
    <col min="28" max="16384" width="8.83203125" style="148"/>
  </cols>
  <sheetData>
    <row r="1" spans="1:26" ht="18.75" customHeight="1" thickBot="1">
      <c r="A1" s="629" t="s">
        <v>0</v>
      </c>
      <c r="B1" s="630"/>
      <c r="C1" s="630"/>
      <c r="D1" s="630"/>
      <c r="E1" s="630"/>
      <c r="F1" s="630"/>
      <c r="G1" s="630"/>
      <c r="H1" s="630"/>
      <c r="I1" s="630"/>
      <c r="J1" s="630"/>
      <c r="K1" s="630"/>
      <c r="L1" s="630"/>
      <c r="M1" s="630"/>
      <c r="N1" s="630"/>
      <c r="O1" s="630"/>
      <c r="P1" s="630"/>
      <c r="Q1" s="279"/>
      <c r="R1" s="141"/>
      <c r="T1" s="141"/>
      <c r="X1" s="280"/>
      <c r="Y1" s="280"/>
    </row>
    <row r="2" spans="1:26" ht="15" customHeight="1" thickBot="1">
      <c r="A2" s="631" t="s">
        <v>1</v>
      </c>
      <c r="B2" s="632"/>
      <c r="C2" s="632"/>
      <c r="D2" s="632"/>
      <c r="E2" s="632"/>
      <c r="F2" s="632"/>
      <c r="G2" s="632"/>
      <c r="H2" s="632"/>
      <c r="I2" s="632"/>
      <c r="J2" s="632"/>
      <c r="K2" s="632"/>
      <c r="L2" s="632"/>
      <c r="M2" s="632"/>
      <c r="N2" s="632"/>
      <c r="O2" s="632"/>
      <c r="P2" s="633" t="s">
        <v>2</v>
      </c>
      <c r="Q2" s="279"/>
      <c r="R2" s="141"/>
      <c r="X2" s="280"/>
      <c r="Y2" s="280"/>
    </row>
    <row r="3" spans="1:26" s="231" customFormat="1" ht="61.5" customHeight="1" thickBot="1">
      <c r="A3" s="228" t="s">
        <v>3</v>
      </c>
      <c r="B3" s="227" t="s">
        <v>4</v>
      </c>
      <c r="C3" s="225" t="s">
        <v>5</v>
      </c>
      <c r="D3" s="227" t="s">
        <v>6</v>
      </c>
      <c r="E3" s="226" t="s">
        <v>7</v>
      </c>
      <c r="F3" s="227" t="s">
        <v>979</v>
      </c>
      <c r="G3" s="226" t="s">
        <v>7</v>
      </c>
      <c r="H3" s="227" t="s">
        <v>8</v>
      </c>
      <c r="I3" s="226" t="s">
        <v>9</v>
      </c>
      <c r="J3" s="225" t="s">
        <v>10</v>
      </c>
      <c r="K3" s="225" t="s">
        <v>11</v>
      </c>
      <c r="L3" s="224" t="s">
        <v>12</v>
      </c>
      <c r="M3" s="224" t="s">
        <v>865</v>
      </c>
      <c r="N3" s="223" t="s">
        <v>13</v>
      </c>
      <c r="O3" s="223" t="s">
        <v>14</v>
      </c>
      <c r="P3" s="634"/>
      <c r="Q3" s="275" t="s">
        <v>15</v>
      </c>
      <c r="R3" s="252"/>
      <c r="T3" s="354" t="s">
        <v>16</v>
      </c>
      <c r="X3" s="275" t="s">
        <v>968</v>
      </c>
      <c r="Y3" s="276" t="s">
        <v>967</v>
      </c>
      <c r="Z3" s="276" t="s">
        <v>674</v>
      </c>
    </row>
    <row r="4" spans="1:26" ht="18" customHeight="1" thickBot="1">
      <c r="A4" s="616" t="s">
        <v>17</v>
      </c>
      <c r="B4" s="617"/>
      <c r="C4" s="617"/>
      <c r="D4" s="617"/>
      <c r="E4" s="617"/>
      <c r="F4" s="617"/>
      <c r="G4" s="617"/>
      <c r="H4" s="617"/>
      <c r="I4" s="617"/>
      <c r="J4" s="617"/>
      <c r="K4" s="617"/>
      <c r="L4" s="617"/>
      <c r="M4" s="617"/>
      <c r="N4" s="617"/>
      <c r="O4" s="617"/>
      <c r="P4" s="618"/>
      <c r="Q4" s="279"/>
      <c r="R4" s="141"/>
      <c r="T4" s="199" t="s">
        <v>18</v>
      </c>
      <c r="X4" s="280"/>
      <c r="Y4" s="277" t="str">
        <f>IF(X4="","",X4*V4)</f>
        <v/>
      </c>
      <c r="Z4" s="141" t="str">
        <f>IF(T4="yes",Y4,"")</f>
        <v/>
      </c>
    </row>
    <row r="5" spans="1:26" ht="26.25" customHeight="1">
      <c r="A5" s="99" t="s">
        <v>19</v>
      </c>
      <c r="B5" s="237" t="s">
        <v>20</v>
      </c>
      <c r="C5" s="248"/>
      <c r="D5" s="145" t="s">
        <v>20</v>
      </c>
      <c r="E5" s="144">
        <f t="shared" ref="E5:E19" si="0">LEN(D5)</f>
        <v>5</v>
      </c>
      <c r="F5" s="145" t="s">
        <v>20</v>
      </c>
      <c r="G5" s="144">
        <f t="shared" ref="G5:G19" si="1">LEN(F5)</f>
        <v>5</v>
      </c>
      <c r="H5" s="144" t="s">
        <v>21</v>
      </c>
      <c r="I5" s="144" t="s">
        <v>19</v>
      </c>
      <c r="J5" s="144" t="s">
        <v>19</v>
      </c>
      <c r="K5" s="144" t="s">
        <v>22</v>
      </c>
      <c r="L5" s="143" t="s">
        <v>23</v>
      </c>
      <c r="M5" s="222" t="s">
        <v>19</v>
      </c>
      <c r="N5" s="222" t="s">
        <v>19</v>
      </c>
      <c r="O5" s="81"/>
      <c r="P5" s="9"/>
      <c r="Q5" s="279"/>
      <c r="R5" s="141"/>
      <c r="T5" s="199" t="s">
        <v>18</v>
      </c>
      <c r="X5" s="278">
        <v>0</v>
      </c>
      <c r="Y5" s="277">
        <f t="shared" ref="Y5:Y36" si="2">IF(X5="","",X5*Q5)</f>
        <v>0</v>
      </c>
      <c r="Z5" s="141" t="str">
        <f t="shared" ref="Z5:Z67" si="3">IF(T5="yes",Y5,"")</f>
        <v/>
      </c>
    </row>
    <row r="6" spans="1:26" ht="17">
      <c r="A6" s="99" t="s">
        <v>19</v>
      </c>
      <c r="B6" s="194" t="s">
        <v>24</v>
      </c>
      <c r="C6" s="146" t="s">
        <v>24</v>
      </c>
      <c r="D6" s="167" t="s">
        <v>25</v>
      </c>
      <c r="E6" s="144">
        <f t="shared" si="0"/>
        <v>48</v>
      </c>
      <c r="F6" s="571" t="s">
        <v>1091</v>
      </c>
      <c r="G6" s="144">
        <f t="shared" si="1"/>
        <v>29</v>
      </c>
      <c r="H6" s="144" t="s">
        <v>21</v>
      </c>
      <c r="I6" s="144" t="s">
        <v>19</v>
      </c>
      <c r="J6" s="144" t="s">
        <v>19</v>
      </c>
      <c r="K6" s="144" t="s">
        <v>22</v>
      </c>
      <c r="L6" s="143" t="s">
        <v>27</v>
      </c>
      <c r="M6" s="222" t="s">
        <v>19</v>
      </c>
      <c r="N6" s="222" t="s">
        <v>19</v>
      </c>
      <c r="O6" s="81"/>
      <c r="P6" s="51"/>
      <c r="Q6" s="353"/>
      <c r="R6" s="141"/>
      <c r="T6" s="199" t="s">
        <v>26</v>
      </c>
      <c r="X6" s="278">
        <v>0</v>
      </c>
      <c r="Y6" s="277">
        <f t="shared" si="2"/>
        <v>0</v>
      </c>
      <c r="Z6" s="141">
        <f t="shared" si="3"/>
        <v>0</v>
      </c>
    </row>
    <row r="7" spans="1:26" ht="136">
      <c r="A7" s="46" t="s">
        <v>19</v>
      </c>
      <c r="B7" s="186" t="s">
        <v>28</v>
      </c>
      <c r="C7" s="146" t="s">
        <v>28</v>
      </c>
      <c r="D7" s="167" t="s">
        <v>29</v>
      </c>
      <c r="E7" s="152">
        <f t="shared" si="0"/>
        <v>146</v>
      </c>
      <c r="F7" s="571" t="s">
        <v>1092</v>
      </c>
      <c r="G7" s="152">
        <f t="shared" si="1"/>
        <v>153</v>
      </c>
      <c r="H7" s="161" t="s">
        <v>30</v>
      </c>
      <c r="I7" s="152" t="s">
        <v>19</v>
      </c>
      <c r="J7" s="152" t="s">
        <v>19</v>
      </c>
      <c r="K7" s="152" t="s">
        <v>31</v>
      </c>
      <c r="L7" s="151" t="s">
        <v>32</v>
      </c>
      <c r="M7" s="222" t="s">
        <v>19</v>
      </c>
      <c r="N7" s="210" t="s">
        <v>19</v>
      </c>
      <c r="O7" s="82"/>
      <c r="P7" s="10"/>
      <c r="Q7" s="279"/>
      <c r="R7" s="141"/>
      <c r="T7" s="199" t="s">
        <v>18</v>
      </c>
      <c r="X7" s="278">
        <v>14.695307731628418</v>
      </c>
      <c r="Y7" s="277">
        <f t="shared" si="2"/>
        <v>0</v>
      </c>
      <c r="Z7" s="141" t="str">
        <f t="shared" si="3"/>
        <v/>
      </c>
    </row>
    <row r="8" spans="1:26" ht="37.5" customHeight="1">
      <c r="A8" s="46" t="s">
        <v>19</v>
      </c>
      <c r="B8" s="186" t="s">
        <v>33</v>
      </c>
      <c r="C8" s="146" t="s">
        <v>34</v>
      </c>
      <c r="D8" s="221" t="s">
        <v>35</v>
      </c>
      <c r="E8" s="152">
        <f t="shared" si="0"/>
        <v>29</v>
      </c>
      <c r="F8" s="572" t="s">
        <v>1093</v>
      </c>
      <c r="G8" s="152">
        <f t="shared" si="1"/>
        <v>33</v>
      </c>
      <c r="H8" s="161" t="s">
        <v>19</v>
      </c>
      <c r="I8" s="161" t="s">
        <v>19</v>
      </c>
      <c r="J8" s="161" t="s">
        <v>19</v>
      </c>
      <c r="K8" s="161" t="s">
        <v>19</v>
      </c>
      <c r="L8" s="220" t="s">
        <v>36</v>
      </c>
      <c r="M8" s="222" t="s">
        <v>19</v>
      </c>
      <c r="N8" s="219" t="s">
        <v>19</v>
      </c>
      <c r="O8" s="83"/>
      <c r="P8" s="11"/>
      <c r="Q8" s="279"/>
      <c r="R8" s="141"/>
      <c r="T8" s="199" t="s">
        <v>18</v>
      </c>
      <c r="X8" s="278">
        <v>0</v>
      </c>
      <c r="Y8" s="277">
        <f t="shared" si="2"/>
        <v>0</v>
      </c>
      <c r="Z8" s="141" t="str">
        <f t="shared" si="3"/>
        <v/>
      </c>
    </row>
    <row r="9" spans="1:26" ht="37.5" customHeight="1">
      <c r="A9" s="46" t="s">
        <v>19</v>
      </c>
      <c r="B9" s="186" t="s">
        <v>37</v>
      </c>
      <c r="C9" s="146" t="s">
        <v>38</v>
      </c>
      <c r="D9" s="221" t="s">
        <v>39</v>
      </c>
      <c r="E9" s="152">
        <f t="shared" si="0"/>
        <v>31</v>
      </c>
      <c r="F9" s="572" t="s">
        <v>1094</v>
      </c>
      <c r="G9" s="152">
        <f t="shared" si="1"/>
        <v>21</v>
      </c>
      <c r="H9" s="161" t="s">
        <v>19</v>
      </c>
      <c r="I9" s="161" t="s">
        <v>19</v>
      </c>
      <c r="J9" s="161" t="s">
        <v>19</v>
      </c>
      <c r="K9" s="161" t="s">
        <v>19</v>
      </c>
      <c r="L9" s="220" t="s">
        <v>40</v>
      </c>
      <c r="M9" s="222" t="s">
        <v>19</v>
      </c>
      <c r="N9" s="219" t="s">
        <v>19</v>
      </c>
      <c r="O9" s="83"/>
      <c r="P9" s="11"/>
      <c r="Q9" s="279"/>
      <c r="R9" s="141"/>
      <c r="T9" s="199" t="s">
        <v>18</v>
      </c>
      <c r="X9" s="278">
        <v>0</v>
      </c>
      <c r="Y9" s="277">
        <f t="shared" si="2"/>
        <v>0</v>
      </c>
      <c r="Z9" s="141" t="str">
        <f t="shared" si="3"/>
        <v/>
      </c>
    </row>
    <row r="10" spans="1:26" ht="37.5" customHeight="1">
      <c r="A10" s="46" t="s">
        <v>19</v>
      </c>
      <c r="B10" s="186" t="s">
        <v>41</v>
      </c>
      <c r="C10" s="146" t="s">
        <v>42</v>
      </c>
      <c r="D10" s="221" t="s">
        <v>43</v>
      </c>
      <c r="E10" s="152">
        <f t="shared" si="0"/>
        <v>34</v>
      </c>
      <c r="F10" s="572" t="s">
        <v>1095</v>
      </c>
      <c r="G10" s="152">
        <f t="shared" si="1"/>
        <v>35</v>
      </c>
      <c r="H10" s="161" t="s">
        <v>19</v>
      </c>
      <c r="I10" s="161" t="s">
        <v>19</v>
      </c>
      <c r="J10" s="161" t="s">
        <v>19</v>
      </c>
      <c r="K10" s="161" t="s">
        <v>19</v>
      </c>
      <c r="L10" s="220" t="s">
        <v>44</v>
      </c>
      <c r="M10" s="222" t="s">
        <v>19</v>
      </c>
      <c r="N10" s="219" t="s">
        <v>19</v>
      </c>
      <c r="O10" s="83"/>
      <c r="P10" s="11"/>
      <c r="Q10" s="279"/>
      <c r="R10" s="141"/>
      <c r="T10" s="199" t="s">
        <v>18</v>
      </c>
      <c r="X10" s="278">
        <v>0</v>
      </c>
      <c r="Y10" s="277">
        <f t="shared" si="2"/>
        <v>0</v>
      </c>
      <c r="Z10" s="141" t="str">
        <f t="shared" si="3"/>
        <v/>
      </c>
    </row>
    <row r="11" spans="1:26" ht="37.5" customHeight="1">
      <c r="A11" s="46" t="s">
        <v>19</v>
      </c>
      <c r="B11" s="186" t="s">
        <v>45</v>
      </c>
      <c r="C11" s="146" t="s">
        <v>46</v>
      </c>
      <c r="D11" s="221" t="s">
        <v>47</v>
      </c>
      <c r="E11" s="152">
        <f t="shared" si="0"/>
        <v>41</v>
      </c>
      <c r="F11" s="572" t="s">
        <v>1096</v>
      </c>
      <c r="G11" s="152">
        <f t="shared" si="1"/>
        <v>35</v>
      </c>
      <c r="H11" s="161" t="s">
        <v>19</v>
      </c>
      <c r="I11" s="161" t="s">
        <v>19</v>
      </c>
      <c r="J11" s="161" t="s">
        <v>19</v>
      </c>
      <c r="K11" s="161" t="s">
        <v>19</v>
      </c>
      <c r="L11" s="220" t="s">
        <v>48</v>
      </c>
      <c r="M11" s="222" t="s">
        <v>19</v>
      </c>
      <c r="N11" s="219" t="s">
        <v>19</v>
      </c>
      <c r="O11" s="83"/>
      <c r="P11" s="11"/>
      <c r="Q11" s="279"/>
      <c r="R11" s="141"/>
      <c r="T11" s="199" t="s">
        <v>18</v>
      </c>
      <c r="X11" s="278">
        <v>0</v>
      </c>
      <c r="Y11" s="277">
        <f t="shared" si="2"/>
        <v>0</v>
      </c>
      <c r="Z11" s="141" t="str">
        <f t="shared" si="3"/>
        <v/>
      </c>
    </row>
    <row r="12" spans="1:26" ht="98">
      <c r="A12" s="46" t="s">
        <v>19</v>
      </c>
      <c r="B12" s="186" t="s">
        <v>49</v>
      </c>
      <c r="C12" s="146" t="s">
        <v>49</v>
      </c>
      <c r="D12" s="218" t="s">
        <v>50</v>
      </c>
      <c r="E12" s="152">
        <f t="shared" si="0"/>
        <v>148</v>
      </c>
      <c r="F12" s="573" t="s">
        <v>1228</v>
      </c>
      <c r="G12" s="152">
        <f t="shared" si="1"/>
        <v>124</v>
      </c>
      <c r="H12" s="161" t="s">
        <v>30</v>
      </c>
      <c r="I12" s="152" t="s">
        <v>19</v>
      </c>
      <c r="J12" s="152" t="s">
        <v>19</v>
      </c>
      <c r="K12" s="152" t="s">
        <v>31</v>
      </c>
      <c r="L12" s="151" t="s">
        <v>51</v>
      </c>
      <c r="M12" s="222" t="s">
        <v>19</v>
      </c>
      <c r="N12" s="217" t="s">
        <v>52</v>
      </c>
      <c r="O12" s="84"/>
      <c r="P12" s="12" t="s">
        <v>53</v>
      </c>
      <c r="Q12" s="279"/>
      <c r="R12" s="141"/>
      <c r="T12" s="199" t="s">
        <v>18</v>
      </c>
      <c r="X12" s="278">
        <v>3.1032724380493164</v>
      </c>
      <c r="Y12" s="277">
        <f t="shared" si="2"/>
        <v>0</v>
      </c>
      <c r="Z12" s="141" t="str">
        <f t="shared" si="3"/>
        <v/>
      </c>
    </row>
    <row r="13" spans="1:26" ht="408.5" customHeight="1">
      <c r="A13" s="46" t="s">
        <v>19</v>
      </c>
      <c r="B13" s="186" t="s">
        <v>54</v>
      </c>
      <c r="C13" s="146" t="s">
        <v>54</v>
      </c>
      <c r="D13" s="47" t="s">
        <v>1227</v>
      </c>
      <c r="E13" s="152">
        <f t="shared" si="0"/>
        <v>1098</v>
      </c>
      <c r="F13" s="573" t="s">
        <v>1300</v>
      </c>
      <c r="G13" s="152">
        <f t="shared" si="1"/>
        <v>823</v>
      </c>
      <c r="H13" s="161" t="s">
        <v>30</v>
      </c>
      <c r="I13" s="152" t="s">
        <v>19</v>
      </c>
      <c r="J13" s="152" t="s">
        <v>19</v>
      </c>
      <c r="K13" s="152" t="s">
        <v>31</v>
      </c>
      <c r="L13" s="151" t="s">
        <v>55</v>
      </c>
      <c r="M13" s="222" t="s">
        <v>19</v>
      </c>
      <c r="N13" s="217" t="s">
        <v>56</v>
      </c>
      <c r="O13" s="84"/>
      <c r="P13" s="12" t="s">
        <v>57</v>
      </c>
      <c r="Q13" s="279"/>
      <c r="R13" s="141"/>
      <c r="T13" s="199" t="s">
        <v>18</v>
      </c>
      <c r="X13" s="278">
        <v>37.418449401855469</v>
      </c>
      <c r="Y13" s="277">
        <f t="shared" si="2"/>
        <v>0</v>
      </c>
      <c r="Z13" s="141" t="str">
        <f t="shared" si="3"/>
        <v/>
      </c>
    </row>
    <row r="14" spans="1:26" s="147" customFormat="1" ht="119">
      <c r="A14" s="46" t="s">
        <v>19</v>
      </c>
      <c r="B14" s="186" t="s">
        <v>58</v>
      </c>
      <c r="C14" s="146" t="s">
        <v>59</v>
      </c>
      <c r="D14" s="167" t="s">
        <v>60</v>
      </c>
      <c r="E14" s="152">
        <f t="shared" si="0"/>
        <v>134</v>
      </c>
      <c r="F14" s="573" t="s">
        <v>1191</v>
      </c>
      <c r="G14" s="152">
        <f t="shared" si="1"/>
        <v>119</v>
      </c>
      <c r="H14" s="161" t="s">
        <v>61</v>
      </c>
      <c r="I14" s="152" t="s">
        <v>19</v>
      </c>
      <c r="J14" s="152" t="s">
        <v>19</v>
      </c>
      <c r="K14" s="152" t="s">
        <v>31</v>
      </c>
      <c r="L14" s="151" t="s">
        <v>62</v>
      </c>
      <c r="M14" s="222" t="s">
        <v>19</v>
      </c>
      <c r="N14" s="151" t="s">
        <v>63</v>
      </c>
      <c r="O14" s="85"/>
      <c r="P14" s="10"/>
      <c r="Q14" s="279">
        <v>1</v>
      </c>
      <c r="R14" s="141"/>
      <c r="T14" s="199" t="s">
        <v>18</v>
      </c>
      <c r="U14" s="148"/>
      <c r="X14" s="278">
        <v>3.8059515953063965</v>
      </c>
      <c r="Y14" s="277">
        <f t="shared" si="2"/>
        <v>3.8059515953063965</v>
      </c>
      <c r="Z14" s="141" t="str">
        <f t="shared" si="3"/>
        <v/>
      </c>
    </row>
    <row r="15" spans="1:26" s="147" customFormat="1" ht="119">
      <c r="A15" s="46" t="s">
        <v>19</v>
      </c>
      <c r="B15" s="186" t="s">
        <v>64</v>
      </c>
      <c r="C15" s="146" t="s">
        <v>64</v>
      </c>
      <c r="D15" s="197" t="s">
        <v>65</v>
      </c>
      <c r="E15" s="152">
        <f t="shared" si="0"/>
        <v>153</v>
      </c>
      <c r="F15" s="575" t="s">
        <v>1097</v>
      </c>
      <c r="G15" s="152">
        <f t="shared" si="1"/>
        <v>122</v>
      </c>
      <c r="H15" s="161" t="s">
        <v>66</v>
      </c>
      <c r="I15" s="152" t="s">
        <v>19</v>
      </c>
      <c r="J15" s="152" t="s">
        <v>19</v>
      </c>
      <c r="K15" s="152" t="s">
        <v>67</v>
      </c>
      <c r="L15" s="151" t="s">
        <v>68</v>
      </c>
      <c r="M15" s="222" t="s">
        <v>19</v>
      </c>
      <c r="N15" s="151" t="s">
        <v>69</v>
      </c>
      <c r="O15" s="85"/>
      <c r="P15" s="10"/>
      <c r="Q15" s="279">
        <v>1</v>
      </c>
      <c r="R15" s="141"/>
      <c r="T15" s="149" t="s">
        <v>18</v>
      </c>
      <c r="U15" s="148"/>
      <c r="X15" s="278">
        <v>0</v>
      </c>
      <c r="Y15" s="277">
        <f t="shared" si="2"/>
        <v>0</v>
      </c>
      <c r="Z15" s="141" t="str">
        <f t="shared" si="3"/>
        <v/>
      </c>
    </row>
    <row r="16" spans="1:26" s="147" customFormat="1" ht="51">
      <c r="A16" s="46" t="s">
        <v>19</v>
      </c>
      <c r="B16" s="186" t="s">
        <v>70</v>
      </c>
      <c r="C16" s="146" t="s">
        <v>71</v>
      </c>
      <c r="D16" s="167" t="s">
        <v>72</v>
      </c>
      <c r="E16" s="152">
        <f t="shared" si="0"/>
        <v>80</v>
      </c>
      <c r="F16" s="166" t="s">
        <v>1098</v>
      </c>
      <c r="G16" s="152">
        <f t="shared" si="1"/>
        <v>89</v>
      </c>
      <c r="H16" s="161" t="s">
        <v>21</v>
      </c>
      <c r="I16" s="152" t="s">
        <v>19</v>
      </c>
      <c r="J16" s="152" t="s">
        <v>19</v>
      </c>
      <c r="K16" s="152" t="s">
        <v>920</v>
      </c>
      <c r="L16" s="151" t="s">
        <v>73</v>
      </c>
      <c r="M16" s="222" t="s">
        <v>19</v>
      </c>
      <c r="N16" s="151" t="s">
        <v>74</v>
      </c>
      <c r="O16" s="85"/>
      <c r="P16" s="10"/>
      <c r="Q16" s="279">
        <v>1</v>
      </c>
      <c r="R16" s="141"/>
      <c r="T16" s="149" t="s">
        <v>18</v>
      </c>
      <c r="U16" s="148"/>
      <c r="X16" s="278">
        <v>0</v>
      </c>
      <c r="Y16" s="277">
        <f t="shared" si="2"/>
        <v>0</v>
      </c>
      <c r="Z16" s="141" t="str">
        <f t="shared" si="3"/>
        <v/>
      </c>
    </row>
    <row r="17" spans="1:26" s="147" customFormat="1" ht="85">
      <c r="A17" s="46" t="s">
        <v>19</v>
      </c>
      <c r="B17" s="186" t="s">
        <v>75</v>
      </c>
      <c r="C17" s="146" t="s">
        <v>76</v>
      </c>
      <c r="D17" s="167" t="s">
        <v>900</v>
      </c>
      <c r="E17" s="152">
        <f t="shared" si="0"/>
        <v>176</v>
      </c>
      <c r="F17" s="571" t="s">
        <v>1099</v>
      </c>
      <c r="G17" s="152">
        <f t="shared" si="1"/>
        <v>164</v>
      </c>
      <c r="H17" s="161" t="s">
        <v>21</v>
      </c>
      <c r="I17" s="152" t="s">
        <v>19</v>
      </c>
      <c r="J17" s="152" t="s">
        <v>19</v>
      </c>
      <c r="K17" s="152" t="s">
        <v>22</v>
      </c>
      <c r="L17" s="151" t="s">
        <v>792</v>
      </c>
      <c r="M17" s="222" t="s">
        <v>19</v>
      </c>
      <c r="N17" s="210" t="s">
        <v>19</v>
      </c>
      <c r="O17" s="82"/>
      <c r="P17" s="10"/>
      <c r="Q17" s="279">
        <v>1</v>
      </c>
      <c r="R17" s="141"/>
      <c r="T17" s="149" t="s">
        <v>18</v>
      </c>
      <c r="U17" s="148"/>
      <c r="X17" s="278">
        <v>0</v>
      </c>
      <c r="Y17" s="277">
        <f t="shared" si="2"/>
        <v>0</v>
      </c>
      <c r="Z17" s="141" t="str">
        <f t="shared" si="3"/>
        <v/>
      </c>
    </row>
    <row r="18" spans="1:26" s="147" customFormat="1" ht="50.25" customHeight="1">
      <c r="A18" s="46" t="s">
        <v>19</v>
      </c>
      <c r="B18" s="186" t="s">
        <v>77</v>
      </c>
      <c r="C18" s="146" t="s">
        <v>19</v>
      </c>
      <c r="D18" s="167" t="s">
        <v>697</v>
      </c>
      <c r="E18" s="152">
        <f t="shared" si="0"/>
        <v>99</v>
      </c>
      <c r="F18" s="571" t="s">
        <v>1192</v>
      </c>
      <c r="G18" s="152">
        <f t="shared" si="1"/>
        <v>89</v>
      </c>
      <c r="H18" s="161" t="s">
        <v>19</v>
      </c>
      <c r="I18" s="152" t="s">
        <v>19</v>
      </c>
      <c r="J18" s="152" t="s">
        <v>19</v>
      </c>
      <c r="K18" s="152" t="s">
        <v>19</v>
      </c>
      <c r="L18" s="151" t="s">
        <v>78</v>
      </c>
      <c r="M18" s="222" t="s">
        <v>19</v>
      </c>
      <c r="N18" s="210" t="s">
        <v>19</v>
      </c>
      <c r="O18" s="82"/>
      <c r="P18" s="10"/>
      <c r="Q18" s="279">
        <v>1</v>
      </c>
      <c r="R18" s="141"/>
      <c r="T18" s="149" t="s">
        <v>18</v>
      </c>
      <c r="U18" s="148"/>
      <c r="X18" s="278">
        <v>0</v>
      </c>
      <c r="Y18" s="277">
        <f t="shared" si="2"/>
        <v>0</v>
      </c>
      <c r="Z18" s="141" t="str">
        <f t="shared" si="3"/>
        <v/>
      </c>
    </row>
    <row r="19" spans="1:26" s="147" customFormat="1" ht="50.25" customHeight="1" thickBot="1">
      <c r="A19" s="352" t="s">
        <v>19</v>
      </c>
      <c r="B19" s="216" t="s">
        <v>79</v>
      </c>
      <c r="C19" s="215" t="s">
        <v>80</v>
      </c>
      <c r="D19" s="214" t="s">
        <v>81</v>
      </c>
      <c r="E19" s="212">
        <f t="shared" si="0"/>
        <v>65</v>
      </c>
      <c r="F19" s="576" t="s">
        <v>1100</v>
      </c>
      <c r="G19" s="212">
        <f t="shared" si="1"/>
        <v>54</v>
      </c>
      <c r="H19" s="213" t="s">
        <v>19</v>
      </c>
      <c r="I19" s="212" t="s">
        <v>19</v>
      </c>
      <c r="J19" s="212" t="s">
        <v>19</v>
      </c>
      <c r="K19" s="212" t="s">
        <v>19</v>
      </c>
      <c r="L19" s="211" t="s">
        <v>82</v>
      </c>
      <c r="M19" s="222" t="s">
        <v>19</v>
      </c>
      <c r="N19" s="210" t="s">
        <v>19</v>
      </c>
      <c r="O19" s="86"/>
      <c r="P19" s="13"/>
      <c r="Q19" s="279">
        <v>1</v>
      </c>
      <c r="R19" s="141"/>
      <c r="T19" s="149" t="s">
        <v>18</v>
      </c>
      <c r="U19" s="148"/>
      <c r="X19" s="278">
        <v>0</v>
      </c>
      <c r="Y19" s="277">
        <f t="shared" si="2"/>
        <v>0</v>
      </c>
      <c r="Z19" s="141" t="str">
        <f t="shared" si="3"/>
        <v/>
      </c>
    </row>
    <row r="20" spans="1:26" s="452" customFormat="1" ht="17" thickBot="1">
      <c r="A20" s="616" t="s">
        <v>83</v>
      </c>
      <c r="B20" s="617"/>
      <c r="C20" s="617"/>
      <c r="D20" s="617"/>
      <c r="E20" s="617"/>
      <c r="F20" s="617"/>
      <c r="G20" s="617"/>
      <c r="H20" s="617"/>
      <c r="I20" s="617"/>
      <c r="J20" s="617"/>
      <c r="K20" s="617"/>
      <c r="L20" s="617"/>
      <c r="M20" s="617"/>
      <c r="N20" s="617"/>
      <c r="O20" s="617"/>
      <c r="P20" s="618"/>
      <c r="Q20" s="274"/>
      <c r="R20" s="463"/>
      <c r="T20" s="461"/>
      <c r="U20" s="464"/>
      <c r="X20" s="277"/>
      <c r="Y20" s="277" t="str">
        <f t="shared" si="2"/>
        <v/>
      </c>
      <c r="Z20" s="463" t="str">
        <f t="shared" si="3"/>
        <v/>
      </c>
    </row>
    <row r="21" spans="1:26" s="147" customFormat="1" ht="68.25" customHeight="1">
      <c r="A21" s="351" t="s">
        <v>19</v>
      </c>
      <c r="B21" s="209" t="s">
        <v>84</v>
      </c>
      <c r="C21" s="203" t="s">
        <v>84</v>
      </c>
      <c r="D21" s="208" t="s">
        <v>85</v>
      </c>
      <c r="E21" s="207">
        <f>LEN(D21)</f>
        <v>96</v>
      </c>
      <c r="F21" s="577" t="s">
        <v>1101</v>
      </c>
      <c r="G21" s="207">
        <f>LEN(F21)</f>
        <v>60</v>
      </c>
      <c r="H21" s="177" t="s">
        <v>21</v>
      </c>
      <c r="I21" s="207" t="s">
        <v>19</v>
      </c>
      <c r="J21" s="207" t="s">
        <v>19</v>
      </c>
      <c r="K21" s="207" t="s">
        <v>22</v>
      </c>
      <c r="L21" s="206" t="s">
        <v>86</v>
      </c>
      <c r="M21" s="222" t="s">
        <v>19</v>
      </c>
      <c r="N21" s="208" t="s">
        <v>87</v>
      </c>
      <c r="O21" s="205"/>
      <c r="P21" s="68"/>
      <c r="Q21" s="274">
        <f>1</f>
        <v>1</v>
      </c>
      <c r="R21" s="141"/>
      <c r="T21" s="461" t="s">
        <v>26</v>
      </c>
      <c r="U21" s="148"/>
      <c r="X21" s="277">
        <v>25.874027252197266</v>
      </c>
      <c r="Y21" s="277">
        <f t="shared" si="2"/>
        <v>25.874027252197266</v>
      </c>
      <c r="Z21" s="141">
        <f t="shared" si="3"/>
        <v>25.874027252197266</v>
      </c>
    </row>
    <row r="22" spans="1:26" s="147" customFormat="1" ht="51">
      <c r="A22" s="46" t="s">
        <v>19</v>
      </c>
      <c r="B22" s="209" t="s">
        <v>88</v>
      </c>
      <c r="C22" s="203" t="s">
        <v>88</v>
      </c>
      <c r="D22" s="208" t="s">
        <v>89</v>
      </c>
      <c r="E22" s="207">
        <f>LEN(D22)</f>
        <v>95</v>
      </c>
      <c r="F22" s="577" t="s">
        <v>1102</v>
      </c>
      <c r="G22" s="207">
        <f>LEN(F22)</f>
        <v>75</v>
      </c>
      <c r="H22" s="177" t="s">
        <v>21</v>
      </c>
      <c r="I22" s="207" t="s">
        <v>19</v>
      </c>
      <c r="J22" s="207" t="s">
        <v>19</v>
      </c>
      <c r="K22" s="207" t="s">
        <v>22</v>
      </c>
      <c r="L22" s="206" t="s">
        <v>90</v>
      </c>
      <c r="M22" s="222" t="s">
        <v>19</v>
      </c>
      <c r="N22" s="169" t="s">
        <v>91</v>
      </c>
      <c r="O22" s="205"/>
      <c r="P22" s="68"/>
      <c r="Q22" s="274">
        <f>1</f>
        <v>1</v>
      </c>
      <c r="R22" s="141"/>
      <c r="T22" s="461" t="s">
        <v>26</v>
      </c>
      <c r="U22" s="148"/>
      <c r="X22" s="277">
        <v>8.5994815826416016</v>
      </c>
      <c r="Y22" s="277">
        <f t="shared" si="2"/>
        <v>8.5994815826416016</v>
      </c>
      <c r="Z22" s="141">
        <f t="shared" si="3"/>
        <v>8.5994815826416016</v>
      </c>
    </row>
    <row r="23" spans="1:26" s="147" customFormat="1" ht="85">
      <c r="A23" s="99">
        <v>1</v>
      </c>
      <c r="B23" s="251" t="s">
        <v>92</v>
      </c>
      <c r="C23" s="204" t="s">
        <v>92</v>
      </c>
      <c r="D23" s="145" t="s">
        <v>93</v>
      </c>
      <c r="E23" s="203">
        <f>LEN(D23)</f>
        <v>177</v>
      </c>
      <c r="F23" s="578" t="s">
        <v>1103</v>
      </c>
      <c r="G23" s="203">
        <f>LEN(F23)</f>
        <v>135</v>
      </c>
      <c r="H23" s="203" t="s">
        <v>94</v>
      </c>
      <c r="I23" s="203" t="s">
        <v>19</v>
      </c>
      <c r="J23" s="203" t="s">
        <v>19</v>
      </c>
      <c r="K23" s="203" t="s">
        <v>22</v>
      </c>
      <c r="L23" s="143" t="s">
        <v>95</v>
      </c>
      <c r="M23" s="222" t="s">
        <v>19</v>
      </c>
      <c r="N23" s="202" t="s">
        <v>951</v>
      </c>
      <c r="O23" s="201"/>
      <c r="P23" s="68"/>
      <c r="Q23" s="274">
        <f>1</f>
        <v>1</v>
      </c>
      <c r="R23" s="141"/>
      <c r="T23" s="467" t="s">
        <v>26</v>
      </c>
      <c r="U23" s="148"/>
      <c r="X23" s="277">
        <v>9.8907184600830078</v>
      </c>
      <c r="Y23" s="277">
        <f t="shared" si="2"/>
        <v>9.8907184600830078</v>
      </c>
      <c r="Z23" s="141">
        <f t="shared" si="3"/>
        <v>9.8907184600830078</v>
      </c>
    </row>
    <row r="24" spans="1:26" s="147" customFormat="1" ht="153">
      <c r="A24" s="99">
        <f>A23+1</f>
        <v>2</v>
      </c>
      <c r="B24" s="186" t="s">
        <v>96</v>
      </c>
      <c r="C24" s="146" t="s">
        <v>96</v>
      </c>
      <c r="D24" s="167" t="s">
        <v>698</v>
      </c>
      <c r="E24" s="152">
        <f>LEN(D24)</f>
        <v>168</v>
      </c>
      <c r="F24" s="571" t="s">
        <v>1104</v>
      </c>
      <c r="G24" s="152">
        <f>LEN(F24)</f>
        <v>127</v>
      </c>
      <c r="H24" s="161" t="s">
        <v>30</v>
      </c>
      <c r="I24" s="152" t="s">
        <v>19</v>
      </c>
      <c r="J24" s="152" t="s">
        <v>19</v>
      </c>
      <c r="K24" s="152" t="s">
        <v>31</v>
      </c>
      <c r="L24" s="151" t="s">
        <v>662</v>
      </c>
      <c r="M24" s="222" t="s">
        <v>19</v>
      </c>
      <c r="N24" s="143" t="s">
        <v>663</v>
      </c>
      <c r="O24" s="87"/>
      <c r="P24" s="10"/>
      <c r="Q24" s="274">
        <f>1</f>
        <v>1</v>
      </c>
      <c r="R24" s="141"/>
      <c r="T24" s="467" t="s">
        <v>26</v>
      </c>
      <c r="U24" s="148"/>
      <c r="X24" s="277">
        <v>1.7156481742858887</v>
      </c>
      <c r="Y24" s="277">
        <f t="shared" si="2"/>
        <v>1.7156481742858887</v>
      </c>
      <c r="Z24" s="141">
        <f t="shared" si="3"/>
        <v>1.7156481742858887</v>
      </c>
    </row>
    <row r="25" spans="1:26" s="147" customFormat="1">
      <c r="A25" s="99"/>
      <c r="B25" s="265"/>
      <c r="C25" s="100"/>
      <c r="D25" s="129"/>
      <c r="E25" s="48"/>
      <c r="F25" s="48"/>
      <c r="G25" s="48"/>
      <c r="H25" s="101"/>
      <c r="I25" s="48"/>
      <c r="J25" s="48"/>
      <c r="K25" s="48"/>
      <c r="L25" s="87"/>
      <c r="M25" s="87"/>
      <c r="N25" s="87"/>
      <c r="O25" s="87"/>
      <c r="P25" s="10"/>
      <c r="Q25" s="279">
        <f>1</f>
        <v>1</v>
      </c>
      <c r="R25" s="141"/>
      <c r="T25" s="199"/>
      <c r="U25" s="148"/>
      <c r="X25" s="278"/>
      <c r="Y25" s="278" t="str">
        <f t="shared" si="2"/>
        <v/>
      </c>
      <c r="Z25" s="141" t="str">
        <f t="shared" si="3"/>
        <v/>
      </c>
    </row>
    <row r="26" spans="1:26" s="297" customFormat="1" ht="136">
      <c r="A26" s="350"/>
      <c r="B26" s="307" t="s">
        <v>97</v>
      </c>
      <c r="C26" s="308" t="s">
        <v>97</v>
      </c>
      <c r="D26" s="309" t="s">
        <v>902</v>
      </c>
      <c r="E26" s="310">
        <f t="shared" ref="E26:E33" si="4">LEN(D26)</f>
        <v>134</v>
      </c>
      <c r="F26" s="382" t="s">
        <v>1105</v>
      </c>
      <c r="G26" s="310">
        <f t="shared" ref="G26:G33" si="5">LEN(F26)</f>
        <v>124</v>
      </c>
      <c r="H26" s="311" t="s">
        <v>30</v>
      </c>
      <c r="I26" s="310" t="s">
        <v>19</v>
      </c>
      <c r="J26" s="310" t="s">
        <v>19</v>
      </c>
      <c r="K26" s="310" t="s">
        <v>31</v>
      </c>
      <c r="L26" s="312" t="s">
        <v>98</v>
      </c>
      <c r="M26" s="222" t="s">
        <v>19</v>
      </c>
      <c r="N26" s="312" t="s">
        <v>99</v>
      </c>
      <c r="O26" s="313"/>
      <c r="P26" s="314"/>
      <c r="Q26" s="289">
        <f>1</f>
        <v>1</v>
      </c>
      <c r="R26" s="296"/>
      <c r="T26" s="462" t="s">
        <v>100</v>
      </c>
      <c r="U26" s="298"/>
      <c r="X26" s="290">
        <v>6.375236988067627</v>
      </c>
      <c r="Y26" s="277">
        <f t="shared" si="2"/>
        <v>6.375236988067627</v>
      </c>
      <c r="Z26" s="141" t="str">
        <f t="shared" si="3"/>
        <v/>
      </c>
    </row>
    <row r="27" spans="1:26" s="297" customFormat="1" ht="51">
      <c r="A27" s="350"/>
      <c r="B27" s="307" t="s">
        <v>101</v>
      </c>
      <c r="C27" s="308" t="s">
        <v>102</v>
      </c>
      <c r="D27" s="382" t="s">
        <v>699</v>
      </c>
      <c r="E27" s="310">
        <f t="shared" si="4"/>
        <v>63</v>
      </c>
      <c r="F27" s="579" t="s">
        <v>1107</v>
      </c>
      <c r="G27" s="310">
        <f t="shared" si="5"/>
        <v>54</v>
      </c>
      <c r="H27" s="311" t="s">
        <v>21</v>
      </c>
      <c r="I27" s="310" t="s">
        <v>19</v>
      </c>
      <c r="J27" s="310" t="s">
        <v>19</v>
      </c>
      <c r="K27" s="310" t="s">
        <v>22</v>
      </c>
      <c r="L27" s="312" t="s">
        <v>103</v>
      </c>
      <c r="M27" s="222" t="s">
        <v>19</v>
      </c>
      <c r="N27" s="315" t="s">
        <v>104</v>
      </c>
      <c r="O27" s="316"/>
      <c r="P27" s="314"/>
      <c r="Q27" s="289">
        <f>1</f>
        <v>1</v>
      </c>
      <c r="R27" s="296"/>
      <c r="T27" s="462" t="s">
        <v>100</v>
      </c>
      <c r="U27" s="298"/>
      <c r="X27" s="290">
        <v>28.700000762939453</v>
      </c>
      <c r="Y27" s="277">
        <f t="shared" si="2"/>
        <v>28.700000762939453</v>
      </c>
      <c r="Z27" s="141" t="str">
        <f t="shared" si="3"/>
        <v/>
      </c>
    </row>
    <row r="28" spans="1:26" s="297" customFormat="1" ht="170">
      <c r="A28" s="295"/>
      <c r="B28" s="317" t="s">
        <v>105</v>
      </c>
      <c r="C28" s="318" t="s">
        <v>105</v>
      </c>
      <c r="D28" s="319" t="s">
        <v>106</v>
      </c>
      <c r="E28" s="306">
        <f t="shared" si="4"/>
        <v>211</v>
      </c>
      <c r="F28" s="475" t="s">
        <v>1106</v>
      </c>
      <c r="G28" s="306">
        <f t="shared" si="5"/>
        <v>183</v>
      </c>
      <c r="H28" s="320" t="s">
        <v>30</v>
      </c>
      <c r="I28" s="306" t="s">
        <v>19</v>
      </c>
      <c r="J28" s="306" t="s">
        <v>19</v>
      </c>
      <c r="K28" s="306" t="s">
        <v>31</v>
      </c>
      <c r="L28" s="304" t="s">
        <v>107</v>
      </c>
      <c r="M28" s="222" t="s">
        <v>19</v>
      </c>
      <c r="N28" s="321" t="s">
        <v>108</v>
      </c>
      <c r="O28" s="322"/>
      <c r="P28" s="305"/>
      <c r="Q28" s="289">
        <f>1</f>
        <v>1</v>
      </c>
      <c r="R28" s="296"/>
      <c r="T28" s="462" t="s">
        <v>100</v>
      </c>
      <c r="U28" s="298"/>
      <c r="X28" s="290">
        <v>10.141817092895508</v>
      </c>
      <c r="Y28" s="277">
        <f t="shared" si="2"/>
        <v>10.141817092895508</v>
      </c>
      <c r="Z28" s="141" t="str">
        <f t="shared" si="3"/>
        <v/>
      </c>
    </row>
    <row r="29" spans="1:26" s="297" customFormat="1" ht="51">
      <c r="A29" s="295"/>
      <c r="B29" s="317" t="s">
        <v>109</v>
      </c>
      <c r="C29" s="318" t="s">
        <v>109</v>
      </c>
      <c r="D29" s="382" t="s">
        <v>700</v>
      </c>
      <c r="E29" s="306">
        <f t="shared" si="4"/>
        <v>73</v>
      </c>
      <c r="F29" s="579" t="s">
        <v>1108</v>
      </c>
      <c r="G29" s="306">
        <f t="shared" si="5"/>
        <v>63</v>
      </c>
      <c r="H29" s="320" t="s">
        <v>21</v>
      </c>
      <c r="I29" s="306" t="s">
        <v>19</v>
      </c>
      <c r="J29" s="306" t="s">
        <v>19</v>
      </c>
      <c r="K29" s="306" t="s">
        <v>22</v>
      </c>
      <c r="L29" s="304" t="s">
        <v>110</v>
      </c>
      <c r="M29" s="222" t="s">
        <v>19</v>
      </c>
      <c r="N29" s="323" t="s">
        <v>111</v>
      </c>
      <c r="O29" s="324"/>
      <c r="P29" s="305"/>
      <c r="Q29" s="289">
        <f>1</f>
        <v>1</v>
      </c>
      <c r="R29" s="296"/>
      <c r="T29" s="462" t="s">
        <v>100</v>
      </c>
      <c r="U29" s="298"/>
      <c r="X29" s="290">
        <v>21.659982681274414</v>
      </c>
      <c r="Y29" s="277">
        <f t="shared" si="2"/>
        <v>21.659982681274414</v>
      </c>
      <c r="Z29" s="141" t="str">
        <f t="shared" si="3"/>
        <v/>
      </c>
    </row>
    <row r="30" spans="1:26" s="297" customFormat="1" ht="68">
      <c r="A30" s="295"/>
      <c r="B30" s="317" t="s">
        <v>112</v>
      </c>
      <c r="C30" s="318" t="s">
        <v>112</v>
      </c>
      <c r="D30" s="382" t="s">
        <v>701</v>
      </c>
      <c r="E30" s="306">
        <f t="shared" si="4"/>
        <v>98</v>
      </c>
      <c r="F30" s="475" t="s">
        <v>1109</v>
      </c>
      <c r="G30" s="306">
        <f t="shared" si="5"/>
        <v>94</v>
      </c>
      <c r="H30" s="320" t="s">
        <v>21</v>
      </c>
      <c r="I30" s="306" t="s">
        <v>19</v>
      </c>
      <c r="J30" s="306" t="s">
        <v>113</v>
      </c>
      <c r="K30" s="306" t="s">
        <v>22</v>
      </c>
      <c r="L30" s="304" t="s">
        <v>114</v>
      </c>
      <c r="M30" s="222" t="s">
        <v>19</v>
      </c>
      <c r="N30" s="323" t="s">
        <v>115</v>
      </c>
      <c r="O30" s="286"/>
      <c r="P30" s="305"/>
      <c r="Q30" s="289">
        <f>1</f>
        <v>1</v>
      </c>
      <c r="R30" s="296"/>
      <c r="T30" s="462" t="s">
        <v>100</v>
      </c>
      <c r="U30" s="298"/>
      <c r="X30" s="290">
        <v>11.821796417236328</v>
      </c>
      <c r="Y30" s="277">
        <f t="shared" si="2"/>
        <v>11.821796417236328</v>
      </c>
      <c r="Z30" s="141" t="str">
        <f t="shared" si="3"/>
        <v/>
      </c>
    </row>
    <row r="31" spans="1:26" s="297" customFormat="1" ht="170">
      <c r="A31" s="295"/>
      <c r="B31" s="317" t="s">
        <v>116</v>
      </c>
      <c r="C31" s="318" t="s">
        <v>116</v>
      </c>
      <c r="D31" s="382" t="s">
        <v>702</v>
      </c>
      <c r="E31" s="306">
        <f t="shared" si="4"/>
        <v>211</v>
      </c>
      <c r="F31" s="475" t="s">
        <v>1106</v>
      </c>
      <c r="G31" s="306">
        <f t="shared" si="5"/>
        <v>183</v>
      </c>
      <c r="H31" s="320" t="s">
        <v>30</v>
      </c>
      <c r="I31" s="306" t="s">
        <v>19</v>
      </c>
      <c r="J31" s="306" t="s">
        <v>19</v>
      </c>
      <c r="K31" s="306" t="s">
        <v>31</v>
      </c>
      <c r="L31" s="304" t="s">
        <v>117</v>
      </c>
      <c r="M31" s="222" t="s">
        <v>19</v>
      </c>
      <c r="N31" s="321" t="s">
        <v>118</v>
      </c>
      <c r="O31" s="322"/>
      <c r="P31" s="305"/>
      <c r="Q31" s="289">
        <f>1</f>
        <v>1</v>
      </c>
      <c r="R31" s="296"/>
      <c r="T31" s="462" t="s">
        <v>100</v>
      </c>
      <c r="U31" s="298"/>
      <c r="X31" s="290">
        <v>3.1635940074920654</v>
      </c>
      <c r="Y31" s="277">
        <f t="shared" si="2"/>
        <v>3.1635940074920654</v>
      </c>
      <c r="Z31" s="141" t="str">
        <f t="shared" si="3"/>
        <v/>
      </c>
    </row>
    <row r="32" spans="1:26" s="297" customFormat="1" ht="51">
      <c r="A32" s="295"/>
      <c r="B32" s="317" t="s">
        <v>119</v>
      </c>
      <c r="C32" s="318" t="s">
        <v>119</v>
      </c>
      <c r="D32" s="382" t="s">
        <v>700</v>
      </c>
      <c r="E32" s="306">
        <f t="shared" si="4"/>
        <v>73</v>
      </c>
      <c r="F32" s="579" t="s">
        <v>1108</v>
      </c>
      <c r="G32" s="306">
        <f t="shared" si="5"/>
        <v>63</v>
      </c>
      <c r="H32" s="320" t="s">
        <v>21</v>
      </c>
      <c r="I32" s="306" t="s">
        <v>19</v>
      </c>
      <c r="J32" s="306" t="s">
        <v>19</v>
      </c>
      <c r="K32" s="306" t="s">
        <v>22</v>
      </c>
      <c r="L32" s="304" t="s">
        <v>120</v>
      </c>
      <c r="M32" s="222" t="s">
        <v>19</v>
      </c>
      <c r="N32" s="323" t="s">
        <v>121</v>
      </c>
      <c r="O32" s="324"/>
      <c r="P32" s="305"/>
      <c r="Q32" s="289">
        <f>1</f>
        <v>1</v>
      </c>
      <c r="R32" s="296"/>
      <c r="T32" s="462" t="s">
        <v>100</v>
      </c>
      <c r="U32" s="298"/>
      <c r="X32" s="290">
        <v>10.830143928527832</v>
      </c>
      <c r="Y32" s="277">
        <f t="shared" si="2"/>
        <v>10.830143928527832</v>
      </c>
      <c r="Z32" s="141" t="str">
        <f t="shared" si="3"/>
        <v/>
      </c>
    </row>
    <row r="33" spans="1:27" s="297" customFormat="1" ht="68">
      <c r="A33" s="295"/>
      <c r="B33" s="317" t="s">
        <v>122</v>
      </c>
      <c r="C33" s="317" t="s">
        <v>123</v>
      </c>
      <c r="D33" s="382" t="s">
        <v>701</v>
      </c>
      <c r="E33" s="306">
        <f t="shared" si="4"/>
        <v>98</v>
      </c>
      <c r="F33" s="475" t="s">
        <v>1110</v>
      </c>
      <c r="G33" s="306">
        <f t="shared" si="5"/>
        <v>92</v>
      </c>
      <c r="H33" s="320" t="s">
        <v>21</v>
      </c>
      <c r="I33" s="306" t="s">
        <v>19</v>
      </c>
      <c r="J33" s="306" t="s">
        <v>124</v>
      </c>
      <c r="K33" s="306" t="s">
        <v>22</v>
      </c>
      <c r="L33" s="304" t="s">
        <v>125</v>
      </c>
      <c r="M33" s="222" t="s">
        <v>19</v>
      </c>
      <c r="N33" s="323" t="s">
        <v>126</v>
      </c>
      <c r="O33" s="286"/>
      <c r="P33" s="305"/>
      <c r="Q33" s="289">
        <f>1</f>
        <v>1</v>
      </c>
      <c r="R33" s="296"/>
      <c r="T33" s="462" t="s">
        <v>100</v>
      </c>
      <c r="U33" s="298"/>
      <c r="X33" s="290">
        <v>11.260416984558105</v>
      </c>
      <c r="Y33" s="277">
        <f t="shared" si="2"/>
        <v>11.260416984558105</v>
      </c>
      <c r="Z33" s="141" t="str">
        <f t="shared" si="3"/>
        <v/>
      </c>
    </row>
    <row r="34" spans="1:27" s="138" customFormat="1">
      <c r="A34" s="73"/>
      <c r="B34" s="250"/>
      <c r="C34" s="250"/>
      <c r="D34" s="77"/>
      <c r="E34" s="74"/>
      <c r="F34" s="74"/>
      <c r="G34" s="74"/>
      <c r="H34" s="75"/>
      <c r="I34" s="74"/>
      <c r="J34" s="74"/>
      <c r="K34" s="74"/>
      <c r="L34" s="76"/>
      <c r="M34" s="81"/>
      <c r="N34" s="78"/>
      <c r="O34" s="79"/>
      <c r="P34" s="70"/>
      <c r="Q34" s="279">
        <f>1</f>
        <v>1</v>
      </c>
      <c r="R34" s="141"/>
      <c r="T34" s="140"/>
      <c r="U34" s="139"/>
      <c r="X34" s="278"/>
      <c r="Y34" s="278" t="str">
        <f t="shared" si="2"/>
        <v/>
      </c>
      <c r="Z34" s="141" t="str">
        <f t="shared" si="3"/>
        <v/>
      </c>
    </row>
    <row r="35" spans="1:27" s="147" customFormat="1" ht="153">
      <c r="A35" s="99">
        <v>3</v>
      </c>
      <c r="B35" s="237" t="s">
        <v>127</v>
      </c>
      <c r="C35" s="146" t="s">
        <v>127</v>
      </c>
      <c r="D35" s="145" t="s">
        <v>793</v>
      </c>
      <c r="E35" s="144">
        <f>LEN(D35)</f>
        <v>226</v>
      </c>
      <c r="F35" s="578" t="s">
        <v>1301</v>
      </c>
      <c r="G35" s="144">
        <f>LEN(F35)</f>
        <v>201</v>
      </c>
      <c r="H35" s="154" t="s">
        <v>30</v>
      </c>
      <c r="I35" s="144" t="s">
        <v>19</v>
      </c>
      <c r="J35" s="144" t="s">
        <v>19</v>
      </c>
      <c r="K35" s="144" t="s">
        <v>797</v>
      </c>
      <c r="L35" s="419" t="s">
        <v>795</v>
      </c>
      <c r="M35" s="222" t="s">
        <v>19</v>
      </c>
      <c r="N35" s="624" t="s">
        <v>128</v>
      </c>
      <c r="O35" s="284"/>
      <c r="P35" s="10"/>
      <c r="Q35" s="274">
        <f>1</f>
        <v>1</v>
      </c>
      <c r="R35" s="141"/>
      <c r="T35" s="467" t="s">
        <v>26</v>
      </c>
      <c r="U35" s="148"/>
      <c r="X35" s="277">
        <v>13.957258919109854</v>
      </c>
      <c r="Y35" s="277">
        <f t="shared" si="2"/>
        <v>13.957258919109854</v>
      </c>
      <c r="Z35" s="141">
        <f t="shared" si="3"/>
        <v>13.957258919109854</v>
      </c>
    </row>
    <row r="36" spans="1:27" s="147" customFormat="1" ht="136">
      <c r="A36" s="46">
        <f>A35+1</f>
        <v>4</v>
      </c>
      <c r="B36" s="186" t="s">
        <v>129</v>
      </c>
      <c r="C36" s="146" t="s">
        <v>129</v>
      </c>
      <c r="D36" s="420" t="s">
        <v>794</v>
      </c>
      <c r="E36" s="152">
        <f>LEN(D36)</f>
        <v>120</v>
      </c>
      <c r="F36" s="580" t="s">
        <v>1302</v>
      </c>
      <c r="G36" s="152">
        <f>LEN(F36)</f>
        <v>103</v>
      </c>
      <c r="H36" s="161" t="s">
        <v>30</v>
      </c>
      <c r="I36" s="152" t="s">
        <v>19</v>
      </c>
      <c r="J36" s="152" t="s">
        <v>19</v>
      </c>
      <c r="K36" s="152" t="s">
        <v>798</v>
      </c>
      <c r="L36" s="421" t="s">
        <v>796</v>
      </c>
      <c r="M36" s="222" t="s">
        <v>19</v>
      </c>
      <c r="N36" s="625"/>
      <c r="O36" s="409"/>
      <c r="P36" s="127"/>
      <c r="Q36" s="274">
        <f>1</f>
        <v>1</v>
      </c>
      <c r="R36" s="141"/>
      <c r="T36" s="467" t="s">
        <v>26</v>
      </c>
      <c r="U36" s="148"/>
      <c r="X36" s="277">
        <v>7.9549989700317383</v>
      </c>
      <c r="Y36" s="277">
        <f t="shared" si="2"/>
        <v>7.9549989700317383</v>
      </c>
      <c r="Z36" s="141">
        <f t="shared" si="3"/>
        <v>7.9549989700317383</v>
      </c>
    </row>
    <row r="37" spans="1:27" s="147" customFormat="1" ht="153">
      <c r="A37" s="113"/>
      <c r="B37" s="239" t="s">
        <v>130</v>
      </c>
      <c r="C37" s="137" t="s">
        <v>130</v>
      </c>
      <c r="D37" s="167" t="s">
        <v>921</v>
      </c>
      <c r="E37" s="422">
        <f>LEN(D37)</f>
        <v>218</v>
      </c>
      <c r="F37" s="581" t="s">
        <v>1111</v>
      </c>
      <c r="G37" s="422">
        <f>LEN(F37)</f>
        <v>190</v>
      </c>
      <c r="H37" s="161" t="s">
        <v>30</v>
      </c>
      <c r="I37" s="161" t="s">
        <v>19</v>
      </c>
      <c r="J37" s="161" t="s">
        <v>19</v>
      </c>
      <c r="K37" s="161" t="s">
        <v>31</v>
      </c>
      <c r="L37" s="151" t="s">
        <v>922</v>
      </c>
      <c r="M37" s="222" t="s">
        <v>19</v>
      </c>
      <c r="N37" s="418"/>
      <c r="O37" s="385"/>
      <c r="P37" s="386"/>
      <c r="Q37" s="277"/>
      <c r="R37" s="277"/>
      <c r="S37" s="141"/>
      <c r="U37" s="199"/>
      <c r="V37" s="148"/>
      <c r="Y37" s="277"/>
      <c r="Z37" s="277"/>
      <c r="AA37" s="141"/>
    </row>
    <row r="38" spans="1:27" s="147" customFormat="1" ht="272">
      <c r="A38" s="113" t="e">
        <f>#REF!+1</f>
        <v>#REF!</v>
      </c>
      <c r="B38" s="239" t="s">
        <v>131</v>
      </c>
      <c r="C38" s="423" t="s">
        <v>131</v>
      </c>
      <c r="D38" s="159" t="s">
        <v>969</v>
      </c>
      <c r="E38" s="135">
        <f>LEN(D38)</f>
        <v>658</v>
      </c>
      <c r="F38" s="581" t="s">
        <v>1214</v>
      </c>
      <c r="G38" s="135">
        <f>LEN(F38)</f>
        <v>600</v>
      </c>
      <c r="H38" s="424" t="s">
        <v>30</v>
      </c>
      <c r="I38" s="135" t="s">
        <v>19</v>
      </c>
      <c r="J38" s="135" t="s">
        <v>19</v>
      </c>
      <c r="K38" s="135" t="s">
        <v>31</v>
      </c>
      <c r="L38" s="425" t="s">
        <v>703</v>
      </c>
      <c r="M38" s="222" t="s">
        <v>19</v>
      </c>
      <c r="N38" s="157" t="s">
        <v>704</v>
      </c>
      <c r="O38" s="88"/>
      <c r="P38" s="25"/>
      <c r="Q38" s="274">
        <f>1</f>
        <v>1</v>
      </c>
      <c r="R38" s="141"/>
      <c r="T38" s="467" t="s">
        <v>26</v>
      </c>
      <c r="U38" s="148"/>
      <c r="X38" s="277">
        <v>24.410839080810547</v>
      </c>
      <c r="Y38" s="277">
        <f t="shared" ref="Y38:Y69" si="6">IF(X38="","",X38*Q38)</f>
        <v>24.410839080810547</v>
      </c>
      <c r="Z38" s="141">
        <f t="shared" si="3"/>
        <v>24.410839080810547</v>
      </c>
    </row>
    <row r="39" spans="1:27" s="147" customFormat="1" ht="17" thickBot="1">
      <c r="A39" s="102"/>
      <c r="B39" s="266"/>
      <c r="C39" s="273"/>
      <c r="D39" s="89"/>
      <c r="E39" s="103"/>
      <c r="F39" s="103"/>
      <c r="G39" s="103"/>
      <c r="H39" s="104"/>
      <c r="I39" s="103"/>
      <c r="J39" s="103"/>
      <c r="K39" s="103"/>
      <c r="L39" s="89"/>
      <c r="M39" s="89"/>
      <c r="N39" s="89"/>
      <c r="O39" s="89"/>
      <c r="P39" s="25"/>
      <c r="Q39" s="279">
        <f>1</f>
        <v>1</v>
      </c>
      <c r="R39" s="141"/>
      <c r="T39" s="199"/>
      <c r="U39" s="148"/>
      <c r="X39" s="278"/>
      <c r="Y39" s="278" t="str">
        <f t="shared" si="6"/>
        <v/>
      </c>
      <c r="Z39" s="141" t="str">
        <f t="shared" si="3"/>
        <v/>
      </c>
    </row>
    <row r="40" spans="1:27" s="147" customFormat="1" ht="17" thickBot="1">
      <c r="A40" s="616" t="s">
        <v>132</v>
      </c>
      <c r="B40" s="617"/>
      <c r="C40" s="617"/>
      <c r="D40" s="617"/>
      <c r="E40" s="617"/>
      <c r="F40" s="617"/>
      <c r="G40" s="617"/>
      <c r="H40" s="617"/>
      <c r="I40" s="617"/>
      <c r="J40" s="617"/>
      <c r="K40" s="617"/>
      <c r="L40" s="617"/>
      <c r="M40" s="617"/>
      <c r="N40" s="617"/>
      <c r="O40" s="617"/>
      <c r="P40" s="618"/>
      <c r="Q40" s="279"/>
      <c r="R40" s="141"/>
      <c r="T40" s="149"/>
      <c r="U40" s="148"/>
      <c r="X40" s="278"/>
      <c r="Y40" s="277" t="str">
        <f t="shared" si="6"/>
        <v/>
      </c>
      <c r="Z40" s="141" t="str">
        <f t="shared" si="3"/>
        <v/>
      </c>
    </row>
    <row r="41" spans="1:27" s="147" customFormat="1">
      <c r="A41" s="196"/>
      <c r="B41" s="196"/>
      <c r="C41" s="196"/>
      <c r="D41" s="106"/>
      <c r="E41" s="196"/>
      <c r="F41" s="106"/>
      <c r="G41" s="196"/>
      <c r="H41" s="196"/>
      <c r="I41" s="196"/>
      <c r="J41" s="196"/>
      <c r="K41" s="196"/>
      <c r="L41" s="196"/>
      <c r="M41" s="196"/>
      <c r="N41" s="196"/>
      <c r="O41" s="196"/>
      <c r="P41" s="51"/>
      <c r="Q41" s="279">
        <f>1</f>
        <v>1</v>
      </c>
      <c r="R41" s="141"/>
      <c r="T41" s="149"/>
      <c r="U41" s="148"/>
      <c r="X41" s="278"/>
      <c r="Y41" s="278" t="str">
        <f t="shared" si="6"/>
        <v/>
      </c>
      <c r="Z41" s="141" t="str">
        <f t="shared" si="3"/>
        <v/>
      </c>
    </row>
    <row r="42" spans="1:27" s="388" customFormat="1" ht="153">
      <c r="A42" s="384" t="e">
        <f>A38+1</f>
        <v>#REF!</v>
      </c>
      <c r="B42" s="415" t="s">
        <v>666</v>
      </c>
      <c r="C42" s="416" t="s">
        <v>666</v>
      </c>
      <c r="D42" s="417" t="s">
        <v>667</v>
      </c>
      <c r="E42" s="416">
        <f>LEN(D42)</f>
        <v>97</v>
      </c>
      <c r="F42" s="603" t="s">
        <v>1229</v>
      </c>
      <c r="G42" s="416">
        <f>LEN(F42)</f>
        <v>84</v>
      </c>
      <c r="H42" s="416" t="s">
        <v>30</v>
      </c>
      <c r="I42" s="416" t="s">
        <v>19</v>
      </c>
      <c r="J42" s="416" t="s">
        <v>19</v>
      </c>
      <c r="K42" s="416" t="s">
        <v>31</v>
      </c>
      <c r="L42" s="418" t="s">
        <v>668</v>
      </c>
      <c r="M42" s="222" t="s">
        <v>19</v>
      </c>
      <c r="N42" s="418" t="s">
        <v>705</v>
      </c>
      <c r="O42" s="385"/>
      <c r="P42" s="386"/>
      <c r="Q42" s="383">
        <v>1</v>
      </c>
      <c r="R42" s="387"/>
      <c r="T42" s="466" t="s">
        <v>26</v>
      </c>
      <c r="U42" s="389"/>
      <c r="X42" s="473">
        <v>10.5</v>
      </c>
      <c r="Y42" s="277">
        <f t="shared" si="6"/>
        <v>10.5</v>
      </c>
      <c r="Z42" s="387">
        <f t="shared" si="3"/>
        <v>10.5</v>
      </c>
    </row>
    <row r="43" spans="1:27" s="147" customFormat="1" ht="136">
      <c r="A43" s="99" t="e">
        <f>A42+1</f>
        <v>#REF!</v>
      </c>
      <c r="B43" s="237" t="s">
        <v>133</v>
      </c>
      <c r="C43" s="146" t="s">
        <v>133</v>
      </c>
      <c r="D43" s="198" t="s">
        <v>134</v>
      </c>
      <c r="E43" s="144">
        <f>LEN(D43)</f>
        <v>116</v>
      </c>
      <c r="F43" s="582" t="s">
        <v>1112</v>
      </c>
      <c r="G43" s="144">
        <f>LEN(F43)</f>
        <v>92</v>
      </c>
      <c r="H43" s="146" t="s">
        <v>30</v>
      </c>
      <c r="I43" s="144" t="s">
        <v>19</v>
      </c>
      <c r="J43" s="144" t="s">
        <v>19</v>
      </c>
      <c r="K43" s="144" t="s">
        <v>31</v>
      </c>
      <c r="L43" s="143" t="s">
        <v>135</v>
      </c>
      <c r="M43" s="222" t="s">
        <v>19</v>
      </c>
      <c r="N43" s="143" t="s">
        <v>136</v>
      </c>
      <c r="O43" s="87"/>
      <c r="P43" s="51"/>
      <c r="Q43" s="274">
        <f>1</f>
        <v>1</v>
      </c>
      <c r="R43" s="141"/>
      <c r="T43" s="461" t="s">
        <v>26</v>
      </c>
      <c r="U43" s="148"/>
      <c r="X43" s="277">
        <v>10.504533767700195</v>
      </c>
      <c r="Y43" s="277">
        <f t="shared" si="6"/>
        <v>10.504533767700195</v>
      </c>
      <c r="Z43" s="141">
        <f t="shared" si="3"/>
        <v>10.504533767700195</v>
      </c>
    </row>
    <row r="44" spans="1:27" s="147" customFormat="1">
      <c r="A44" s="99"/>
      <c r="B44" s="265"/>
      <c r="C44" s="100"/>
      <c r="D44" s="105"/>
      <c r="E44" s="106"/>
      <c r="F44" s="106"/>
      <c r="G44" s="106"/>
      <c r="H44" s="100"/>
      <c r="I44" s="106"/>
      <c r="J44" s="106"/>
      <c r="K44" s="106"/>
      <c r="L44" s="87"/>
      <c r="M44" s="87"/>
      <c r="N44" s="87"/>
      <c r="O44" s="87"/>
      <c r="P44" s="51"/>
      <c r="Q44" s="279">
        <f>1</f>
        <v>1</v>
      </c>
      <c r="R44" s="141"/>
      <c r="T44" s="149"/>
      <c r="U44" s="148"/>
      <c r="X44" s="278"/>
      <c r="Y44" s="278" t="str">
        <f t="shared" si="6"/>
        <v/>
      </c>
      <c r="Z44" s="141" t="str">
        <f t="shared" si="3"/>
        <v/>
      </c>
    </row>
    <row r="45" spans="1:27" s="147" customFormat="1" ht="187">
      <c r="A45" s="46" t="e">
        <f>A43+1</f>
        <v>#REF!</v>
      </c>
      <c r="B45" s="186" t="s">
        <v>137</v>
      </c>
      <c r="C45" s="146" t="s">
        <v>137</v>
      </c>
      <c r="D45" s="426" t="s">
        <v>138</v>
      </c>
      <c r="E45" s="152">
        <f>LEN(D45)</f>
        <v>314</v>
      </c>
      <c r="F45" s="583" t="s">
        <v>1113</v>
      </c>
      <c r="G45" s="152">
        <f>LEN(F45)</f>
        <v>263</v>
      </c>
      <c r="H45" s="153" t="s">
        <v>30</v>
      </c>
      <c r="I45" s="152" t="s">
        <v>19</v>
      </c>
      <c r="J45" s="152" t="s">
        <v>19</v>
      </c>
      <c r="K45" s="152" t="s">
        <v>31</v>
      </c>
      <c r="L45" s="151" t="s">
        <v>139</v>
      </c>
      <c r="M45" s="222" t="s">
        <v>19</v>
      </c>
      <c r="N45" s="143" t="s">
        <v>140</v>
      </c>
      <c r="O45" s="87"/>
      <c r="P45" s="25"/>
      <c r="Q45" s="274">
        <f>1</f>
        <v>1</v>
      </c>
      <c r="R45" s="141"/>
      <c r="T45" s="461" t="s">
        <v>26</v>
      </c>
      <c r="U45" s="148"/>
      <c r="X45" s="277">
        <v>12.42189884185791</v>
      </c>
      <c r="Y45" s="277">
        <f t="shared" si="6"/>
        <v>12.42189884185791</v>
      </c>
      <c r="Z45" s="141">
        <f t="shared" si="3"/>
        <v>12.42189884185791</v>
      </c>
    </row>
    <row r="46" spans="1:27" s="147" customFormat="1">
      <c r="A46" s="46"/>
      <c r="B46" s="184"/>
      <c r="C46" s="100"/>
      <c r="D46" s="47"/>
      <c r="E46" s="48"/>
      <c r="F46" s="47"/>
      <c r="G46" s="48"/>
      <c r="H46" s="49"/>
      <c r="I46" s="48"/>
      <c r="J46" s="48"/>
      <c r="K46" s="48"/>
      <c r="L46" s="95"/>
      <c r="M46" s="87"/>
      <c r="N46" s="87"/>
      <c r="O46" s="87"/>
      <c r="P46" s="25"/>
      <c r="Q46" s="279">
        <f>1</f>
        <v>1</v>
      </c>
      <c r="R46" s="141"/>
      <c r="T46" s="149"/>
      <c r="U46" s="148"/>
      <c r="X46" s="278"/>
      <c r="Y46" s="278" t="str">
        <f t="shared" si="6"/>
        <v/>
      </c>
      <c r="Z46" s="141" t="str">
        <f t="shared" si="3"/>
        <v/>
      </c>
    </row>
    <row r="47" spans="1:27" s="147" customFormat="1" ht="272">
      <c r="A47" s="46">
        <v>10</v>
      </c>
      <c r="B47" s="184" t="s">
        <v>141</v>
      </c>
      <c r="C47" s="183" t="s">
        <v>141</v>
      </c>
      <c r="D47" s="47" t="s">
        <v>973</v>
      </c>
      <c r="E47" s="48">
        <f>LEN(D47)</f>
        <v>313</v>
      </c>
      <c r="F47" s="574" t="s">
        <v>1114</v>
      </c>
      <c r="G47" s="48">
        <f>LEN(F47)</f>
        <v>276</v>
      </c>
      <c r="H47" s="49" t="s">
        <v>30</v>
      </c>
      <c r="I47" s="48" t="s">
        <v>19</v>
      </c>
      <c r="J47" s="48" t="s">
        <v>19</v>
      </c>
      <c r="K47" s="48" t="s">
        <v>31</v>
      </c>
      <c r="L47" s="249" t="s">
        <v>142</v>
      </c>
      <c r="M47" s="81" t="s">
        <v>19</v>
      </c>
      <c r="N47" s="182" t="s">
        <v>143</v>
      </c>
      <c r="O47" s="65"/>
      <c r="P47" s="626" t="s">
        <v>706</v>
      </c>
      <c r="Q47" s="279">
        <f>1</f>
        <v>1</v>
      </c>
      <c r="R47" s="141"/>
      <c r="T47" s="149" t="s">
        <v>26</v>
      </c>
      <c r="U47" s="148"/>
      <c r="X47" s="278">
        <v>16.615655899047852</v>
      </c>
      <c r="Y47" s="278">
        <f t="shared" si="6"/>
        <v>16.615655899047852</v>
      </c>
      <c r="Z47" s="141">
        <f t="shared" si="3"/>
        <v>16.615655899047852</v>
      </c>
    </row>
    <row r="48" spans="1:27" s="147" customFormat="1" ht="187">
      <c r="A48" s="46">
        <v>10</v>
      </c>
      <c r="B48" s="184" t="s">
        <v>144</v>
      </c>
      <c r="C48" s="183" t="s">
        <v>144</v>
      </c>
      <c r="D48" s="47" t="s">
        <v>928</v>
      </c>
      <c r="E48" s="48">
        <f>LEN(D48)</f>
        <v>312</v>
      </c>
      <c r="F48" s="574" t="s">
        <v>1193</v>
      </c>
      <c r="G48" s="48">
        <f>LEN(F48)</f>
        <v>307</v>
      </c>
      <c r="H48" s="49" t="s">
        <v>30</v>
      </c>
      <c r="I48" s="48" t="s">
        <v>19</v>
      </c>
      <c r="J48" s="48" t="s">
        <v>19</v>
      </c>
      <c r="K48" s="48" t="s">
        <v>31</v>
      </c>
      <c r="L48" s="249" t="s">
        <v>145</v>
      </c>
      <c r="M48" s="81" t="s">
        <v>19</v>
      </c>
      <c r="N48" s="182" t="s">
        <v>143</v>
      </c>
      <c r="O48" s="65"/>
      <c r="P48" s="627"/>
      <c r="Q48" s="279">
        <f>1</f>
        <v>1</v>
      </c>
      <c r="R48" s="141"/>
      <c r="T48" s="149" t="s">
        <v>26</v>
      </c>
      <c r="U48" s="148"/>
      <c r="X48" s="278">
        <v>12.600021362304688</v>
      </c>
      <c r="Y48" s="278">
        <f t="shared" si="6"/>
        <v>12.600021362304688</v>
      </c>
      <c r="Z48" s="141">
        <f t="shared" si="3"/>
        <v>12.600021362304688</v>
      </c>
    </row>
    <row r="49" spans="1:26" s="147" customFormat="1" ht="204">
      <c r="A49" s="46">
        <v>10</v>
      </c>
      <c r="B49" s="184" t="s">
        <v>146</v>
      </c>
      <c r="C49" s="183" t="s">
        <v>146</v>
      </c>
      <c r="D49" s="47" t="s">
        <v>708</v>
      </c>
      <c r="E49" s="48">
        <f>LEN(D49)</f>
        <v>255</v>
      </c>
      <c r="F49" s="574" t="s">
        <v>1194</v>
      </c>
      <c r="G49" s="48">
        <f>LEN(F49)</f>
        <v>245</v>
      </c>
      <c r="H49" s="49" t="s">
        <v>30</v>
      </c>
      <c r="I49" s="48" t="s">
        <v>19</v>
      </c>
      <c r="J49" s="48" t="s">
        <v>19</v>
      </c>
      <c r="K49" s="48" t="s">
        <v>31</v>
      </c>
      <c r="L49" s="390" t="s">
        <v>707</v>
      </c>
      <c r="M49" s="81" t="s">
        <v>19</v>
      </c>
      <c r="N49" s="182" t="s">
        <v>143</v>
      </c>
      <c r="O49" s="65"/>
      <c r="P49" s="628"/>
      <c r="Q49" s="279">
        <f>1</f>
        <v>1</v>
      </c>
      <c r="R49" s="141"/>
      <c r="T49" s="149" t="s">
        <v>26</v>
      </c>
      <c r="U49" s="148"/>
      <c r="X49" s="278">
        <v>11.655922889709473</v>
      </c>
      <c r="Y49" s="278">
        <f t="shared" si="6"/>
        <v>11.655922889709473</v>
      </c>
      <c r="Z49" s="141">
        <f t="shared" si="3"/>
        <v>11.655922889709473</v>
      </c>
    </row>
    <row r="50" spans="1:26" s="147" customFormat="1">
      <c r="A50" s="46"/>
      <c r="B50" s="184"/>
      <c r="C50" s="270"/>
      <c r="D50" s="364"/>
      <c r="E50" s="106"/>
      <c r="F50" s="106"/>
      <c r="G50" s="106"/>
      <c r="H50" s="100"/>
      <c r="I50" s="106"/>
      <c r="J50" s="106"/>
      <c r="K50" s="106"/>
      <c r="L50" s="120"/>
      <c r="M50" s="87"/>
      <c r="N50" s="272"/>
      <c r="O50" s="272"/>
      <c r="P50" s="349"/>
      <c r="Q50" s="279">
        <f>1</f>
        <v>1</v>
      </c>
      <c r="R50" s="141"/>
      <c r="T50" s="149"/>
      <c r="U50" s="148"/>
      <c r="X50" s="278"/>
      <c r="Y50" s="278" t="str">
        <f t="shared" si="6"/>
        <v/>
      </c>
      <c r="Z50" s="141" t="str">
        <f t="shared" si="3"/>
        <v/>
      </c>
    </row>
    <row r="51" spans="1:26" s="147" customFormat="1" ht="409.5" customHeight="1">
      <c r="A51" s="14">
        <f>A49+1</f>
        <v>11</v>
      </c>
      <c r="B51" s="238" t="s">
        <v>147</v>
      </c>
      <c r="C51" s="17" t="s">
        <v>147</v>
      </c>
      <c r="D51" s="15" t="s">
        <v>148</v>
      </c>
      <c r="E51" s="16">
        <f t="shared" ref="E51:E56" si="7">LEN(D51)</f>
        <v>1333</v>
      </c>
      <c r="F51" s="585" t="s">
        <v>1195</v>
      </c>
      <c r="G51" s="16">
        <f t="shared" ref="G51:G56" si="8">LEN(F51)</f>
        <v>987</v>
      </c>
      <c r="H51" s="17" t="s">
        <v>30</v>
      </c>
      <c r="I51" s="16" t="s">
        <v>19</v>
      </c>
      <c r="J51" s="16" t="s">
        <v>19</v>
      </c>
      <c r="K51" s="16" t="s">
        <v>31</v>
      </c>
      <c r="L51" s="18" t="s">
        <v>799</v>
      </c>
      <c r="M51" s="81" t="s">
        <v>19</v>
      </c>
      <c r="N51" s="38" t="s">
        <v>669</v>
      </c>
      <c r="O51" s="62"/>
      <c r="P51" s="51"/>
      <c r="Q51" s="279">
        <f>1</f>
        <v>1</v>
      </c>
      <c r="R51" s="141"/>
      <c r="T51" s="149" t="s">
        <v>18</v>
      </c>
      <c r="U51" s="148"/>
      <c r="X51" s="278">
        <v>13.220664978027344</v>
      </c>
      <c r="Y51" s="278">
        <f t="shared" si="6"/>
        <v>13.220664978027344</v>
      </c>
      <c r="Z51" s="141" t="str">
        <f t="shared" si="3"/>
        <v/>
      </c>
    </row>
    <row r="52" spans="1:26" s="147" customFormat="1" ht="102">
      <c r="A52" s="14">
        <f>A51+1</f>
        <v>12</v>
      </c>
      <c r="B52" s="238" t="s">
        <v>149</v>
      </c>
      <c r="C52" s="21" t="s">
        <v>149</v>
      </c>
      <c r="D52" s="19" t="s">
        <v>709</v>
      </c>
      <c r="E52" s="20">
        <f t="shared" si="7"/>
        <v>269</v>
      </c>
      <c r="F52" s="585" t="s">
        <v>1196</v>
      </c>
      <c r="G52" s="20">
        <f t="shared" si="8"/>
        <v>247</v>
      </c>
      <c r="H52" s="21" t="s">
        <v>94</v>
      </c>
      <c r="I52" s="20" t="s">
        <v>19</v>
      </c>
      <c r="J52" s="20" t="s">
        <v>19</v>
      </c>
      <c r="K52" s="20" t="s">
        <v>22</v>
      </c>
      <c r="L52" s="22" t="s">
        <v>150</v>
      </c>
      <c r="M52" s="81" t="s">
        <v>19</v>
      </c>
      <c r="N52" s="38" t="s">
        <v>669</v>
      </c>
      <c r="O52" s="62"/>
      <c r="P52" s="10"/>
      <c r="Q52" s="279">
        <f>1</f>
        <v>1</v>
      </c>
      <c r="R52" s="141"/>
      <c r="T52" s="149" t="s">
        <v>18</v>
      </c>
      <c r="U52" s="148"/>
      <c r="X52" s="278">
        <v>16.902294158935547</v>
      </c>
      <c r="Y52" s="278">
        <f t="shared" si="6"/>
        <v>16.902294158935547</v>
      </c>
      <c r="Z52" s="141" t="str">
        <f t="shared" si="3"/>
        <v/>
      </c>
    </row>
    <row r="53" spans="1:26" s="147" customFormat="1" ht="238">
      <c r="A53" s="14">
        <f>A52+1</f>
        <v>13</v>
      </c>
      <c r="B53" s="238" t="s">
        <v>151</v>
      </c>
      <c r="C53" s="247" t="s">
        <v>710</v>
      </c>
      <c r="D53" s="19" t="s">
        <v>929</v>
      </c>
      <c r="E53" s="20">
        <f t="shared" si="7"/>
        <v>406</v>
      </c>
      <c r="F53" s="585" t="s">
        <v>1212</v>
      </c>
      <c r="G53" s="20">
        <f t="shared" si="8"/>
        <v>382</v>
      </c>
      <c r="H53" s="21" t="s">
        <v>152</v>
      </c>
      <c r="I53" s="20" t="s">
        <v>19</v>
      </c>
      <c r="J53" s="20" t="s">
        <v>19</v>
      </c>
      <c r="K53" s="20" t="s">
        <v>801</v>
      </c>
      <c r="L53" s="22" t="s">
        <v>712</v>
      </c>
      <c r="M53" s="81" t="s">
        <v>866</v>
      </c>
      <c r="N53" s="38" t="s">
        <v>669</v>
      </c>
      <c r="O53" s="62"/>
      <c r="P53" s="71" t="s">
        <v>154</v>
      </c>
      <c r="Q53" s="279">
        <f>1</f>
        <v>1</v>
      </c>
      <c r="R53" s="141"/>
      <c r="T53" s="149" t="s">
        <v>18</v>
      </c>
      <c r="U53" s="148"/>
      <c r="X53" s="278">
        <v>16.957803726196289</v>
      </c>
      <c r="Y53" s="278">
        <f t="shared" si="6"/>
        <v>16.957803726196289</v>
      </c>
      <c r="Z53" s="141" t="str">
        <f t="shared" si="3"/>
        <v/>
      </c>
    </row>
    <row r="54" spans="1:26" s="147" customFormat="1" ht="255">
      <c r="A54" s="14">
        <f>A53+1</f>
        <v>14</v>
      </c>
      <c r="B54" s="238" t="s">
        <v>155</v>
      </c>
      <c r="C54" s="247" t="s">
        <v>711</v>
      </c>
      <c r="D54" s="19" t="s">
        <v>954</v>
      </c>
      <c r="E54" s="20">
        <f t="shared" si="7"/>
        <v>336</v>
      </c>
      <c r="F54" s="585" t="s">
        <v>1213</v>
      </c>
      <c r="G54" s="20">
        <f t="shared" si="8"/>
        <v>328</v>
      </c>
      <c r="H54" s="21" t="s">
        <v>152</v>
      </c>
      <c r="I54" s="20" t="s">
        <v>19</v>
      </c>
      <c r="J54" s="20" t="s">
        <v>19</v>
      </c>
      <c r="K54" s="20" t="s">
        <v>800</v>
      </c>
      <c r="L54" s="22" t="s">
        <v>713</v>
      </c>
      <c r="M54" s="81" t="s">
        <v>867</v>
      </c>
      <c r="N54" s="38" t="s">
        <v>669</v>
      </c>
      <c r="O54" s="62"/>
      <c r="P54" s="71" t="s">
        <v>154</v>
      </c>
      <c r="Q54" s="279">
        <f>1</f>
        <v>1</v>
      </c>
      <c r="R54" s="141"/>
      <c r="T54" s="149" t="s">
        <v>18</v>
      </c>
      <c r="U54" s="148"/>
      <c r="X54" s="278">
        <v>11.022028923034668</v>
      </c>
      <c r="Y54" s="278">
        <f t="shared" si="6"/>
        <v>11.022028923034668</v>
      </c>
      <c r="Z54" s="141" t="str">
        <f t="shared" si="3"/>
        <v/>
      </c>
    </row>
    <row r="55" spans="1:26" s="147" customFormat="1" ht="187">
      <c r="A55" s="14">
        <f>A54+1</f>
        <v>15</v>
      </c>
      <c r="B55" s="243" t="s">
        <v>156</v>
      </c>
      <c r="C55" s="242" t="s">
        <v>156</v>
      </c>
      <c r="D55" s="15" t="s">
        <v>157</v>
      </c>
      <c r="E55" s="23">
        <f t="shared" si="7"/>
        <v>180</v>
      </c>
      <c r="F55" s="584" t="s">
        <v>1115</v>
      </c>
      <c r="G55" s="23">
        <f t="shared" si="8"/>
        <v>152</v>
      </c>
      <c r="H55" s="21" t="s">
        <v>30</v>
      </c>
      <c r="I55" s="24" t="s">
        <v>19</v>
      </c>
      <c r="J55" s="24" t="s">
        <v>19</v>
      </c>
      <c r="K55" s="20" t="s">
        <v>31</v>
      </c>
      <c r="L55" s="22" t="s">
        <v>158</v>
      </c>
      <c r="M55" s="81" t="s">
        <v>19</v>
      </c>
      <c r="N55" s="38" t="s">
        <v>669</v>
      </c>
      <c r="O55" s="117"/>
      <c r="P55" s="25"/>
      <c r="Q55" s="279">
        <f>1</f>
        <v>1</v>
      </c>
      <c r="R55" s="141"/>
      <c r="T55" s="149" t="s">
        <v>18</v>
      </c>
      <c r="U55" s="148"/>
      <c r="X55" s="278">
        <v>9.9618663787841797</v>
      </c>
      <c r="Y55" s="278">
        <f t="shared" si="6"/>
        <v>9.9618663787841797</v>
      </c>
      <c r="Z55" s="141" t="str">
        <f t="shared" si="3"/>
        <v/>
      </c>
    </row>
    <row r="56" spans="1:26" s="147" customFormat="1" ht="171" thickBot="1">
      <c r="A56" s="14">
        <f>A55+1</f>
        <v>16</v>
      </c>
      <c r="B56" s="240" t="s">
        <v>159</v>
      </c>
      <c r="C56" s="241" t="s">
        <v>159</v>
      </c>
      <c r="D56" s="27" t="s">
        <v>160</v>
      </c>
      <c r="E56" s="23">
        <f t="shared" si="7"/>
        <v>133</v>
      </c>
      <c r="F56" s="586" t="s">
        <v>1116</v>
      </c>
      <c r="G56" s="23">
        <f t="shared" si="8"/>
        <v>147</v>
      </c>
      <c r="H56" s="21" t="s">
        <v>30</v>
      </c>
      <c r="I56" s="23" t="s">
        <v>19</v>
      </c>
      <c r="J56" s="23" t="s">
        <v>19</v>
      </c>
      <c r="K56" s="20" t="s">
        <v>31</v>
      </c>
      <c r="L56" s="22" t="s">
        <v>161</v>
      </c>
      <c r="M56" s="81" t="s">
        <v>19</v>
      </c>
      <c r="N56" s="38" t="s">
        <v>669</v>
      </c>
      <c r="O56" s="66"/>
      <c r="P56" s="10"/>
      <c r="Q56" s="279">
        <f>1</f>
        <v>1</v>
      </c>
      <c r="R56" s="141"/>
      <c r="T56" s="149" t="s">
        <v>18</v>
      </c>
      <c r="U56" s="148"/>
      <c r="X56" s="278">
        <v>7.02484130859375</v>
      </c>
      <c r="Y56" s="278">
        <f t="shared" si="6"/>
        <v>7.02484130859375</v>
      </c>
      <c r="Z56" s="141" t="str">
        <f t="shared" si="3"/>
        <v/>
      </c>
    </row>
    <row r="57" spans="1:26" s="452" customFormat="1" ht="17" thickBot="1">
      <c r="A57" s="616" t="s">
        <v>162</v>
      </c>
      <c r="B57" s="617"/>
      <c r="C57" s="617"/>
      <c r="D57" s="617"/>
      <c r="E57" s="617"/>
      <c r="F57" s="617"/>
      <c r="G57" s="617"/>
      <c r="H57" s="617"/>
      <c r="I57" s="617"/>
      <c r="J57" s="617"/>
      <c r="K57" s="617"/>
      <c r="L57" s="617"/>
      <c r="M57" s="617"/>
      <c r="N57" s="617"/>
      <c r="O57" s="617"/>
      <c r="P57" s="618"/>
      <c r="Q57" s="274"/>
      <c r="R57" s="463"/>
      <c r="T57" s="461"/>
      <c r="U57" s="464"/>
      <c r="X57" s="277"/>
      <c r="Y57" s="277" t="str">
        <f t="shared" si="6"/>
        <v/>
      </c>
      <c r="Z57" s="463" t="str">
        <f t="shared" si="3"/>
        <v/>
      </c>
    </row>
    <row r="58" spans="1:26" s="147" customFormat="1">
      <c r="A58" s="196"/>
      <c r="B58" s="196"/>
      <c r="C58" s="196"/>
      <c r="D58" s="106"/>
      <c r="E58" s="196"/>
      <c r="F58" s="196"/>
      <c r="G58" s="196"/>
      <c r="H58" s="196"/>
      <c r="I58" s="196"/>
      <c r="J58" s="196"/>
      <c r="K58" s="196"/>
      <c r="L58" s="196"/>
      <c r="M58" s="87"/>
      <c r="N58" s="196"/>
      <c r="O58" s="196"/>
      <c r="P58" s="51"/>
      <c r="Q58" s="279">
        <f>1</f>
        <v>1</v>
      </c>
      <c r="R58" s="141"/>
      <c r="T58" s="149"/>
      <c r="U58" s="148"/>
      <c r="X58" s="278"/>
      <c r="Y58" s="278" t="str">
        <f t="shared" si="6"/>
        <v/>
      </c>
      <c r="Z58" s="141" t="str">
        <f t="shared" si="3"/>
        <v/>
      </c>
    </row>
    <row r="59" spans="1:26" s="147" customFormat="1" ht="409.6">
      <c r="A59" s="99">
        <f>A56+1</f>
        <v>17</v>
      </c>
      <c r="B59" s="237" t="s">
        <v>163</v>
      </c>
      <c r="C59" s="146" t="s">
        <v>163</v>
      </c>
      <c r="D59" s="145" t="s">
        <v>903</v>
      </c>
      <c r="E59" s="144">
        <f>LEN(D59)</f>
        <v>1204</v>
      </c>
      <c r="F59" s="443" t="s">
        <v>1201</v>
      </c>
      <c r="G59" s="144">
        <f>LEN(F59)</f>
        <v>1108</v>
      </c>
      <c r="H59" s="146" t="s">
        <v>30</v>
      </c>
      <c r="I59" s="144" t="s">
        <v>19</v>
      </c>
      <c r="J59" s="144" t="s">
        <v>19</v>
      </c>
      <c r="K59" s="144" t="s">
        <v>802</v>
      </c>
      <c r="L59" s="143" t="s">
        <v>955</v>
      </c>
      <c r="M59" s="222" t="s">
        <v>19</v>
      </c>
      <c r="N59" s="150" t="s">
        <v>956</v>
      </c>
      <c r="O59" s="52"/>
      <c r="P59" s="51"/>
      <c r="Q59" s="274">
        <f>1</f>
        <v>1</v>
      </c>
      <c r="R59" s="141"/>
      <c r="T59" s="461" t="s">
        <v>26</v>
      </c>
      <c r="U59" s="148"/>
      <c r="X59" s="277">
        <v>31.888334274291992</v>
      </c>
      <c r="Y59" s="277">
        <f t="shared" si="6"/>
        <v>31.888334274291992</v>
      </c>
      <c r="Z59" s="141">
        <f t="shared" si="3"/>
        <v>31.888334274291992</v>
      </c>
    </row>
    <row r="60" spans="1:26" s="147" customFormat="1" ht="136">
      <c r="A60" s="99"/>
      <c r="B60" s="237" t="s">
        <v>806</v>
      </c>
      <c r="C60" s="248" t="s">
        <v>930</v>
      </c>
      <c r="D60" s="151" t="s">
        <v>804</v>
      </c>
      <c r="E60" s="144">
        <f>LEN(D60)</f>
        <v>143</v>
      </c>
      <c r="F60" s="443" t="s">
        <v>1117</v>
      </c>
      <c r="G60" s="144">
        <f>LEN(F60)</f>
        <v>123</v>
      </c>
      <c r="H60" s="146" t="s">
        <v>30</v>
      </c>
      <c r="I60" s="144" t="s">
        <v>19</v>
      </c>
      <c r="J60" s="144" t="s">
        <v>19</v>
      </c>
      <c r="K60" s="144" t="s">
        <v>31</v>
      </c>
      <c r="L60" s="143" t="s">
        <v>165</v>
      </c>
      <c r="M60" s="222" t="s">
        <v>19</v>
      </c>
      <c r="N60" s="150" t="s">
        <v>827</v>
      </c>
      <c r="O60" s="52"/>
      <c r="P60" s="51"/>
      <c r="Q60" s="274">
        <f>1</f>
        <v>1</v>
      </c>
      <c r="R60" s="141"/>
      <c r="T60" s="461" t="s">
        <v>26</v>
      </c>
      <c r="U60" s="148"/>
      <c r="X60" s="277">
        <v>8</v>
      </c>
      <c r="Y60" s="277">
        <f t="shared" si="6"/>
        <v>8</v>
      </c>
      <c r="Z60" s="141">
        <f t="shared" si="3"/>
        <v>8</v>
      </c>
    </row>
    <row r="61" spans="1:26" s="147" customFormat="1" ht="153">
      <c r="A61" s="99"/>
      <c r="B61" s="237" t="s">
        <v>807</v>
      </c>
      <c r="C61" s="248" t="s">
        <v>931</v>
      </c>
      <c r="D61" s="151" t="s">
        <v>957</v>
      </c>
      <c r="E61" s="144">
        <f t="shared" ref="E61:E62" si="9">LEN(D61)</f>
        <v>170</v>
      </c>
      <c r="F61" s="443" t="s">
        <v>1118</v>
      </c>
      <c r="G61" s="144">
        <f>LEN(F61)</f>
        <v>132</v>
      </c>
      <c r="H61" s="146" t="s">
        <v>30</v>
      </c>
      <c r="I61" s="144" t="s">
        <v>19</v>
      </c>
      <c r="J61" s="144" t="s">
        <v>19</v>
      </c>
      <c r="K61" s="144" t="s">
        <v>31</v>
      </c>
      <c r="L61" s="143" t="s">
        <v>165</v>
      </c>
      <c r="M61" s="222" t="s">
        <v>19</v>
      </c>
      <c r="N61" s="150" t="s">
        <v>828</v>
      </c>
      <c r="O61" s="52"/>
      <c r="P61" s="51"/>
      <c r="Q61" s="274">
        <f>1</f>
        <v>1</v>
      </c>
      <c r="R61" s="141"/>
      <c r="T61" s="461" t="s">
        <v>26</v>
      </c>
      <c r="U61" s="148"/>
      <c r="X61" s="277">
        <v>8</v>
      </c>
      <c r="Y61" s="277">
        <f t="shared" si="6"/>
        <v>8</v>
      </c>
      <c r="Z61" s="141">
        <f t="shared" ref="Z61:Z62" si="10">IF(T61="yes",Y61,"")</f>
        <v>8</v>
      </c>
    </row>
    <row r="62" spans="1:26" s="147" customFormat="1" ht="153">
      <c r="A62" s="99"/>
      <c r="B62" s="237" t="s">
        <v>808</v>
      </c>
      <c r="C62" s="248" t="s">
        <v>932</v>
      </c>
      <c r="D62" s="151" t="s">
        <v>805</v>
      </c>
      <c r="E62" s="144">
        <f t="shared" si="9"/>
        <v>176</v>
      </c>
      <c r="F62" s="443" t="s">
        <v>1119</v>
      </c>
      <c r="G62" s="144">
        <f>LEN(F64)</f>
        <v>244</v>
      </c>
      <c r="H62" s="146" t="s">
        <v>30</v>
      </c>
      <c r="I62" s="144" t="s">
        <v>19</v>
      </c>
      <c r="J62" s="144" t="s">
        <v>19</v>
      </c>
      <c r="K62" s="144" t="s">
        <v>31</v>
      </c>
      <c r="L62" s="143" t="s">
        <v>165</v>
      </c>
      <c r="M62" s="222" t="s">
        <v>19</v>
      </c>
      <c r="N62" s="150" t="s">
        <v>829</v>
      </c>
      <c r="O62" s="52"/>
      <c r="P62" s="51"/>
      <c r="Q62" s="274">
        <f>1</f>
        <v>1</v>
      </c>
      <c r="R62" s="141"/>
      <c r="T62" s="461" t="s">
        <v>26</v>
      </c>
      <c r="U62" s="148"/>
      <c r="X62" s="277">
        <v>8</v>
      </c>
      <c r="Y62" s="277">
        <f t="shared" si="6"/>
        <v>8</v>
      </c>
      <c r="Z62" s="141">
        <f t="shared" si="10"/>
        <v>8</v>
      </c>
    </row>
    <row r="63" spans="1:26" s="147" customFormat="1">
      <c r="A63" s="99"/>
      <c r="B63" s="265"/>
      <c r="C63" s="270"/>
      <c r="D63" s="271"/>
      <c r="E63" s="106"/>
      <c r="G63" s="106"/>
      <c r="H63" s="100"/>
      <c r="I63" s="106"/>
      <c r="J63" s="106"/>
      <c r="K63" s="106"/>
      <c r="L63" s="87"/>
      <c r="M63" s="60"/>
      <c r="N63" s="175"/>
      <c r="O63" s="175"/>
      <c r="P63" s="51"/>
      <c r="Q63" s="279">
        <f>1</f>
        <v>1</v>
      </c>
      <c r="R63" s="141"/>
      <c r="T63" s="149"/>
      <c r="U63" s="148"/>
      <c r="X63" s="278"/>
      <c r="Y63" s="278" t="str">
        <f t="shared" si="6"/>
        <v/>
      </c>
      <c r="Z63" s="141" t="str">
        <f t="shared" si="3"/>
        <v/>
      </c>
    </row>
    <row r="64" spans="1:26" s="147" customFormat="1" ht="136">
      <c r="A64" s="14">
        <v>18</v>
      </c>
      <c r="B64" s="238" t="s">
        <v>167</v>
      </c>
      <c r="C64" s="17" t="s">
        <v>167</v>
      </c>
      <c r="D64" s="22" t="s">
        <v>964</v>
      </c>
      <c r="E64" s="20">
        <f>LEN(D64)</f>
        <v>233</v>
      </c>
      <c r="F64" s="588" t="s">
        <v>1303</v>
      </c>
      <c r="G64" s="20">
        <f>LEN(F66)</f>
        <v>170</v>
      </c>
      <c r="H64" s="20" t="s">
        <v>94</v>
      </c>
      <c r="I64" s="20" t="s">
        <v>19</v>
      </c>
      <c r="J64" s="20" t="s">
        <v>19</v>
      </c>
      <c r="K64" s="20" t="s">
        <v>22</v>
      </c>
      <c r="L64" s="31" t="s">
        <v>683</v>
      </c>
      <c r="M64" s="81" t="s">
        <v>19</v>
      </c>
      <c r="N64" s="391" t="s">
        <v>676</v>
      </c>
      <c r="O64" s="32"/>
      <c r="P64" s="622" t="s">
        <v>168</v>
      </c>
      <c r="Q64" s="279">
        <f>1</f>
        <v>1</v>
      </c>
      <c r="R64" s="141"/>
      <c r="T64" s="149" t="s">
        <v>18</v>
      </c>
      <c r="U64" s="148"/>
      <c r="X64" s="278">
        <v>31.963766098022461</v>
      </c>
      <c r="Y64" s="278">
        <f t="shared" si="6"/>
        <v>31.963766098022461</v>
      </c>
      <c r="Z64" s="141" t="str">
        <f t="shared" si="3"/>
        <v/>
      </c>
    </row>
    <row r="65" spans="1:16370" s="147" customFormat="1" ht="119">
      <c r="A65" s="14">
        <v>18</v>
      </c>
      <c r="B65" s="238" t="s">
        <v>169</v>
      </c>
      <c r="C65" s="247" t="s">
        <v>169</v>
      </c>
      <c r="D65" s="22" t="s">
        <v>170</v>
      </c>
      <c r="E65" s="20">
        <f>LEN(D65)</f>
        <v>253</v>
      </c>
      <c r="F65" s="588" t="s">
        <v>1304</v>
      </c>
      <c r="G65" s="20">
        <f>LEN(F67)</f>
        <v>166</v>
      </c>
      <c r="H65" s="33" t="s">
        <v>30</v>
      </c>
      <c r="I65" s="16" t="s">
        <v>19</v>
      </c>
      <c r="J65" s="16" t="s">
        <v>19</v>
      </c>
      <c r="K65" s="16" t="s">
        <v>31</v>
      </c>
      <c r="L65" s="34" t="s">
        <v>678</v>
      </c>
      <c r="M65" s="81" t="s">
        <v>19</v>
      </c>
      <c r="N65" s="380" t="s">
        <v>677</v>
      </c>
      <c r="O65" s="35"/>
      <c r="P65" s="623"/>
      <c r="Q65" s="279">
        <f>1</f>
        <v>1</v>
      </c>
      <c r="R65" s="141"/>
      <c r="T65" s="149" t="s">
        <v>18</v>
      </c>
      <c r="U65" s="148"/>
      <c r="X65" s="278">
        <v>2.2273674011230469</v>
      </c>
      <c r="Y65" s="278">
        <f t="shared" si="6"/>
        <v>2.2273674011230469</v>
      </c>
      <c r="Z65" s="141" t="str">
        <f t="shared" si="3"/>
        <v/>
      </c>
    </row>
    <row r="66" spans="1:16370" s="147" customFormat="1" ht="170">
      <c r="A66" s="58">
        <v>19</v>
      </c>
      <c r="B66" s="394" t="s">
        <v>166</v>
      </c>
      <c r="C66" s="395" t="s">
        <v>166</v>
      </c>
      <c r="D66" s="57" t="s">
        <v>831</v>
      </c>
      <c r="E66" s="16">
        <f>LEN(D66)</f>
        <v>181</v>
      </c>
      <c r="F66" s="588" t="s">
        <v>1198</v>
      </c>
      <c r="G66" s="16">
        <f>LEN(F68)</f>
        <v>0</v>
      </c>
      <c r="H66" s="17" t="s">
        <v>30</v>
      </c>
      <c r="I66" s="16" t="s">
        <v>19</v>
      </c>
      <c r="J66" s="16" t="s">
        <v>19</v>
      </c>
      <c r="K66" s="16" t="s">
        <v>31</v>
      </c>
      <c r="L66" s="34" t="s">
        <v>714</v>
      </c>
      <c r="M66" s="81" t="s">
        <v>19</v>
      </c>
      <c r="N66" s="379" t="s">
        <v>715</v>
      </c>
      <c r="O66" s="379"/>
      <c r="P66" s="51"/>
      <c r="Q66" s="279">
        <f>1</f>
        <v>1</v>
      </c>
      <c r="R66" s="141"/>
      <c r="T66" s="149" t="s">
        <v>18</v>
      </c>
      <c r="U66" s="148"/>
      <c r="X66" s="278">
        <v>4.7874016761779785</v>
      </c>
      <c r="Y66" s="278">
        <f t="shared" si="6"/>
        <v>4.7874016761779785</v>
      </c>
      <c r="Z66" s="141" t="str">
        <f t="shared" si="3"/>
        <v/>
      </c>
    </row>
    <row r="67" spans="1:16370" s="147" customFormat="1" ht="153">
      <c r="A67" s="26">
        <v>20</v>
      </c>
      <c r="B67" s="243" t="s">
        <v>679</v>
      </c>
      <c r="C67" s="247" t="s">
        <v>679</v>
      </c>
      <c r="D67" s="37" t="s">
        <v>904</v>
      </c>
      <c r="E67" s="24">
        <f>LEN(D67)</f>
        <v>215</v>
      </c>
      <c r="F67" s="588" t="s">
        <v>1197</v>
      </c>
      <c r="G67" s="24">
        <f>LEN(F69)</f>
        <v>268</v>
      </c>
      <c r="H67" s="36" t="s">
        <v>30</v>
      </c>
      <c r="I67" s="20" t="s">
        <v>19</v>
      </c>
      <c r="J67" s="20" t="s">
        <v>19</v>
      </c>
      <c r="K67" s="20" t="s">
        <v>31</v>
      </c>
      <c r="L67" s="22" t="s">
        <v>716</v>
      </c>
      <c r="M67" s="81" t="s">
        <v>19</v>
      </c>
      <c r="N67" s="31" t="s">
        <v>717</v>
      </c>
      <c r="O67" s="377"/>
      <c r="P67" s="10"/>
      <c r="Q67" s="279">
        <f>1</f>
        <v>1</v>
      </c>
      <c r="R67" s="141"/>
      <c r="S67" s="378"/>
      <c r="T67" s="149" t="s">
        <v>18</v>
      </c>
      <c r="U67" s="148"/>
      <c r="V67" s="378"/>
      <c r="W67" s="378"/>
      <c r="X67" s="278">
        <v>20.918367385864258</v>
      </c>
      <c r="Y67" s="278">
        <f t="shared" si="6"/>
        <v>20.918367385864258</v>
      </c>
      <c r="Z67" s="141" t="str">
        <f t="shared" si="3"/>
        <v/>
      </c>
      <c r="AA67" s="378"/>
      <c r="AB67" s="378"/>
      <c r="AC67" s="378"/>
      <c r="AD67" s="378"/>
      <c r="AE67" s="378"/>
      <c r="AF67" s="378"/>
      <c r="AG67" s="378"/>
      <c r="AH67" s="378"/>
      <c r="AI67" s="378"/>
      <c r="AJ67" s="378"/>
      <c r="AK67" s="378"/>
      <c r="AL67" s="378"/>
      <c r="AM67" s="378"/>
      <c r="AN67" s="378"/>
      <c r="AO67" s="378"/>
      <c r="AP67" s="378"/>
      <c r="AQ67" s="378"/>
      <c r="AR67" s="378"/>
      <c r="AS67" s="378"/>
      <c r="AT67" s="378"/>
      <c r="AU67" s="378"/>
      <c r="AV67" s="378"/>
      <c r="AW67" s="378"/>
      <c r="AX67" s="378"/>
      <c r="AY67" s="378"/>
      <c r="AZ67" s="378"/>
      <c r="BA67" s="378"/>
      <c r="BB67" s="378"/>
      <c r="BC67" s="378"/>
      <c r="BD67" s="378"/>
      <c r="BE67" s="378"/>
      <c r="BF67" s="378"/>
      <c r="BG67" s="378"/>
      <c r="BH67" s="378"/>
      <c r="BI67" s="378"/>
      <c r="BJ67" s="378"/>
      <c r="BK67" s="378"/>
      <c r="BL67" s="378"/>
      <c r="BM67" s="378"/>
      <c r="BN67" s="378"/>
      <c r="BO67" s="378"/>
      <c r="BP67" s="378"/>
      <c r="BQ67" s="378"/>
      <c r="BR67" s="378"/>
      <c r="BS67" s="378"/>
      <c r="BT67" s="378"/>
      <c r="BU67" s="378"/>
      <c r="BV67" s="378"/>
      <c r="BW67" s="378"/>
      <c r="BX67" s="378"/>
      <c r="BY67" s="378"/>
      <c r="BZ67" s="378"/>
      <c r="CA67" s="378"/>
      <c r="CB67" s="378"/>
      <c r="CC67" s="378"/>
      <c r="CD67" s="378"/>
      <c r="CE67" s="378"/>
      <c r="CF67" s="378"/>
      <c r="CG67" s="378"/>
      <c r="CH67" s="378"/>
      <c r="CI67" s="378"/>
      <c r="CJ67" s="378"/>
      <c r="CK67" s="378"/>
      <c r="CL67" s="378"/>
      <c r="CM67" s="378"/>
      <c r="CN67" s="378"/>
      <c r="CO67" s="378"/>
      <c r="CP67" s="378"/>
      <c r="CQ67" s="378"/>
      <c r="CR67" s="378"/>
      <c r="CS67" s="378"/>
      <c r="CT67" s="378"/>
      <c r="CU67" s="378"/>
      <c r="CV67" s="378"/>
      <c r="CW67" s="378"/>
      <c r="CX67" s="378"/>
      <c r="CY67" s="378"/>
      <c r="CZ67" s="378"/>
      <c r="DA67" s="378"/>
      <c r="DB67" s="378"/>
      <c r="DC67" s="378"/>
      <c r="DD67" s="378"/>
      <c r="DE67" s="378"/>
      <c r="DF67" s="378"/>
      <c r="DG67" s="378"/>
      <c r="DH67" s="378"/>
      <c r="DI67" s="378"/>
      <c r="DJ67" s="378"/>
      <c r="DK67" s="378"/>
      <c r="DL67" s="378"/>
      <c r="DM67" s="378"/>
      <c r="DN67" s="378"/>
      <c r="DO67" s="378"/>
      <c r="DP67" s="378"/>
      <c r="DQ67" s="378"/>
      <c r="DR67" s="378"/>
      <c r="DS67" s="378"/>
      <c r="DT67" s="378"/>
      <c r="DU67" s="378"/>
      <c r="DV67" s="378"/>
      <c r="DW67" s="378"/>
      <c r="DX67" s="378"/>
      <c r="DY67" s="378"/>
      <c r="DZ67" s="378"/>
      <c r="EA67" s="378"/>
      <c r="EB67" s="378"/>
      <c r="EC67" s="378"/>
      <c r="ED67" s="378"/>
      <c r="EE67" s="378"/>
      <c r="EF67" s="378"/>
      <c r="EG67" s="378"/>
      <c r="EH67" s="378"/>
      <c r="EI67" s="378"/>
      <c r="EJ67" s="378"/>
      <c r="EK67" s="378"/>
      <c r="EL67" s="378"/>
      <c r="EM67" s="378"/>
      <c r="EN67" s="378"/>
      <c r="EO67" s="378"/>
      <c r="EP67" s="378"/>
      <c r="EQ67" s="378"/>
      <c r="ER67" s="378"/>
      <c r="ES67" s="378"/>
      <c r="ET67" s="378"/>
      <c r="EU67" s="378"/>
      <c r="EV67" s="378"/>
      <c r="EW67" s="378"/>
      <c r="EX67" s="378"/>
      <c r="EY67" s="378"/>
      <c r="EZ67" s="378"/>
      <c r="FA67" s="378"/>
      <c r="FB67" s="378"/>
      <c r="FC67" s="378"/>
      <c r="FD67" s="378"/>
      <c r="FE67" s="378"/>
      <c r="FF67" s="378"/>
      <c r="FG67" s="378"/>
      <c r="FH67" s="378"/>
      <c r="FI67" s="378"/>
      <c r="FJ67" s="378"/>
      <c r="FK67" s="378"/>
      <c r="FL67" s="378"/>
      <c r="FM67" s="378"/>
      <c r="FN67" s="378"/>
      <c r="FO67" s="378"/>
      <c r="FP67" s="378"/>
      <c r="FQ67" s="378"/>
      <c r="FR67" s="378"/>
      <c r="FS67" s="378"/>
      <c r="FT67" s="378"/>
      <c r="FU67" s="378"/>
      <c r="FV67" s="378"/>
      <c r="FW67" s="378"/>
      <c r="FX67" s="378"/>
      <c r="FY67" s="378"/>
      <c r="FZ67" s="378"/>
      <c r="GA67" s="378"/>
      <c r="GB67" s="378"/>
      <c r="GC67" s="378"/>
      <c r="GD67" s="378"/>
      <c r="GE67" s="378"/>
      <c r="GF67" s="378"/>
      <c r="GG67" s="378"/>
      <c r="GH67" s="378"/>
      <c r="GI67" s="378"/>
      <c r="GJ67" s="378"/>
      <c r="GK67" s="378"/>
      <c r="GL67" s="378"/>
      <c r="GM67" s="378"/>
      <c r="GN67" s="378"/>
      <c r="GO67" s="378"/>
      <c r="GP67" s="378"/>
      <c r="GQ67" s="378"/>
      <c r="GR67" s="378"/>
      <c r="GS67" s="378"/>
      <c r="GT67" s="378"/>
      <c r="GU67" s="378"/>
      <c r="GV67" s="378"/>
      <c r="GW67" s="378"/>
      <c r="GX67" s="378"/>
      <c r="GY67" s="378"/>
      <c r="GZ67" s="378"/>
      <c r="HA67" s="378"/>
      <c r="HB67" s="378"/>
      <c r="HC67" s="378"/>
      <c r="HD67" s="378"/>
      <c r="HE67" s="378"/>
      <c r="HF67" s="378"/>
      <c r="HG67" s="378"/>
      <c r="HH67" s="378"/>
      <c r="HI67" s="378"/>
      <c r="HJ67" s="378"/>
      <c r="HK67" s="378"/>
      <c r="HL67" s="378"/>
      <c r="HM67" s="378"/>
      <c r="HN67" s="378"/>
      <c r="HO67" s="378"/>
      <c r="HP67" s="378"/>
      <c r="HQ67" s="378"/>
      <c r="HR67" s="378"/>
      <c r="HS67" s="378"/>
      <c r="HT67" s="378"/>
      <c r="HU67" s="378"/>
      <c r="HV67" s="378"/>
      <c r="HW67" s="378"/>
      <c r="HX67" s="378"/>
      <c r="HY67" s="378"/>
      <c r="HZ67" s="378"/>
      <c r="IA67" s="378"/>
      <c r="IB67" s="378"/>
      <c r="IC67" s="378"/>
      <c r="ID67" s="378"/>
      <c r="IE67" s="378"/>
      <c r="IF67" s="378"/>
      <c r="IG67" s="378"/>
      <c r="IH67" s="378"/>
      <c r="II67" s="378"/>
      <c r="IJ67" s="378"/>
      <c r="IK67" s="378"/>
      <c r="IL67" s="378"/>
      <c r="IM67" s="378"/>
      <c r="IN67" s="378"/>
      <c r="IO67" s="378"/>
      <c r="IP67" s="378"/>
      <c r="IQ67" s="378"/>
      <c r="IR67" s="378"/>
      <c r="IS67" s="378"/>
      <c r="IT67" s="378"/>
      <c r="IU67" s="378"/>
      <c r="IV67" s="378"/>
      <c r="IW67" s="378"/>
      <c r="IX67" s="378"/>
      <c r="IY67" s="378"/>
      <c r="IZ67" s="378"/>
      <c r="JA67" s="378"/>
      <c r="JB67" s="378"/>
      <c r="JC67" s="378"/>
      <c r="JD67" s="378"/>
      <c r="JE67" s="378"/>
      <c r="JF67" s="378"/>
      <c r="JG67" s="378"/>
      <c r="JH67" s="378"/>
      <c r="JI67" s="378"/>
      <c r="JJ67" s="378"/>
      <c r="JK67" s="378"/>
      <c r="JL67" s="378"/>
      <c r="JM67" s="378"/>
      <c r="JN67" s="378"/>
      <c r="JO67" s="378"/>
      <c r="JP67" s="378"/>
      <c r="JQ67" s="378"/>
      <c r="JR67" s="378"/>
      <c r="JS67" s="378"/>
      <c r="JT67" s="378"/>
      <c r="JU67" s="378"/>
      <c r="JV67" s="378"/>
      <c r="JW67" s="378"/>
      <c r="JX67" s="378"/>
      <c r="JY67" s="378"/>
      <c r="JZ67" s="378"/>
      <c r="KA67" s="378"/>
      <c r="KB67" s="378"/>
      <c r="KC67" s="378"/>
      <c r="KD67" s="378"/>
      <c r="KE67" s="378"/>
      <c r="KF67" s="378"/>
      <c r="KG67" s="378"/>
      <c r="KH67" s="378"/>
      <c r="KI67" s="378"/>
      <c r="KJ67" s="378"/>
      <c r="KK67" s="378"/>
      <c r="KL67" s="378"/>
      <c r="KM67" s="378"/>
      <c r="KN67" s="378"/>
      <c r="KO67" s="378"/>
      <c r="KP67" s="378"/>
      <c r="KQ67" s="378"/>
      <c r="KR67" s="378"/>
      <c r="KS67" s="378"/>
      <c r="KT67" s="378"/>
      <c r="KU67" s="378"/>
      <c r="KV67" s="378"/>
      <c r="KW67" s="378"/>
      <c r="KX67" s="378"/>
      <c r="KY67" s="378"/>
      <c r="KZ67" s="378"/>
      <c r="LA67" s="378"/>
      <c r="LB67" s="378"/>
      <c r="LC67" s="378"/>
      <c r="LD67" s="378"/>
      <c r="LE67" s="378"/>
      <c r="LF67" s="378"/>
      <c r="LG67" s="378"/>
      <c r="LH67" s="378"/>
      <c r="LI67" s="378"/>
      <c r="LJ67" s="378"/>
      <c r="LK67" s="378"/>
      <c r="LL67" s="378"/>
      <c r="LM67" s="378"/>
      <c r="LN67" s="378"/>
      <c r="LO67" s="378"/>
      <c r="LP67" s="378"/>
      <c r="LQ67" s="378"/>
      <c r="LR67" s="378"/>
      <c r="LS67" s="378"/>
      <c r="LT67" s="378"/>
      <c r="LU67" s="378"/>
      <c r="LV67" s="378"/>
      <c r="LW67" s="378"/>
      <c r="LX67" s="378"/>
      <c r="LY67" s="378"/>
      <c r="LZ67" s="378"/>
      <c r="MA67" s="378"/>
      <c r="MB67" s="378"/>
      <c r="MC67" s="378"/>
      <c r="MD67" s="378"/>
      <c r="ME67" s="378"/>
      <c r="MF67" s="378"/>
      <c r="MG67" s="378"/>
      <c r="MH67" s="378"/>
      <c r="MI67" s="378"/>
      <c r="MJ67" s="378"/>
      <c r="MK67" s="378"/>
      <c r="ML67" s="378"/>
      <c r="MM67" s="378"/>
      <c r="MN67" s="378"/>
      <c r="MO67" s="378"/>
      <c r="MP67" s="378"/>
      <c r="MQ67" s="378"/>
      <c r="MR67" s="378"/>
      <c r="MS67" s="378"/>
      <c r="MT67" s="378"/>
      <c r="MU67" s="378"/>
      <c r="MV67" s="378"/>
      <c r="MW67" s="378"/>
      <c r="MX67" s="378"/>
      <c r="MY67" s="378"/>
      <c r="MZ67" s="378"/>
      <c r="NA67" s="378"/>
      <c r="NB67" s="378"/>
      <c r="NC67" s="378"/>
      <c r="ND67" s="378"/>
      <c r="NE67" s="378"/>
      <c r="NF67" s="378"/>
      <c r="NG67" s="378"/>
      <c r="NH67" s="378"/>
      <c r="NI67" s="378"/>
      <c r="NJ67" s="378"/>
      <c r="NK67" s="378"/>
      <c r="NL67" s="378"/>
      <c r="NM67" s="378"/>
      <c r="NN67" s="378"/>
      <c r="NO67" s="378"/>
      <c r="NP67" s="378"/>
      <c r="NQ67" s="378"/>
      <c r="NR67" s="378"/>
      <c r="NS67" s="378"/>
      <c r="NT67" s="378"/>
      <c r="NU67" s="378"/>
      <c r="NV67" s="378"/>
      <c r="NW67" s="378"/>
      <c r="NX67" s="378"/>
      <c r="NY67" s="378"/>
      <c r="NZ67" s="378"/>
      <c r="OA67" s="378"/>
      <c r="OB67" s="378"/>
      <c r="OC67" s="378"/>
      <c r="OD67" s="378"/>
      <c r="OE67" s="378"/>
      <c r="OF67" s="378"/>
      <c r="OG67" s="378"/>
      <c r="OH67" s="378"/>
      <c r="OI67" s="378"/>
      <c r="OJ67" s="378"/>
      <c r="OK67" s="378"/>
      <c r="OL67" s="378"/>
      <c r="OM67" s="378"/>
      <c r="ON67" s="378"/>
      <c r="OO67" s="378"/>
      <c r="OP67" s="378"/>
      <c r="OQ67" s="378"/>
      <c r="OR67" s="378"/>
      <c r="OS67" s="378"/>
      <c r="OT67" s="378"/>
      <c r="OU67" s="378"/>
      <c r="OV67" s="378"/>
      <c r="OW67" s="378"/>
      <c r="OX67" s="378"/>
      <c r="OY67" s="378"/>
      <c r="OZ67" s="378"/>
      <c r="PA67" s="378"/>
      <c r="PB67" s="378"/>
      <c r="PC67" s="378"/>
      <c r="PD67" s="378"/>
      <c r="PE67" s="378"/>
      <c r="PF67" s="378"/>
      <c r="PG67" s="378"/>
      <c r="PH67" s="378"/>
      <c r="PI67" s="378"/>
      <c r="PJ67" s="378"/>
      <c r="PK67" s="378"/>
      <c r="PL67" s="378"/>
      <c r="PM67" s="378"/>
      <c r="PN67" s="378"/>
      <c r="PO67" s="378"/>
      <c r="PP67" s="378"/>
      <c r="PQ67" s="378"/>
      <c r="PR67" s="378"/>
      <c r="PS67" s="378"/>
      <c r="PT67" s="378"/>
      <c r="PU67" s="378"/>
      <c r="PV67" s="378"/>
      <c r="PW67" s="378"/>
      <c r="PX67" s="378"/>
      <c r="PY67" s="378"/>
      <c r="PZ67" s="378"/>
      <c r="QA67" s="378"/>
      <c r="QB67" s="378"/>
      <c r="QC67" s="378"/>
      <c r="QD67" s="378"/>
      <c r="QE67" s="378"/>
      <c r="QF67" s="378"/>
      <c r="QG67" s="378"/>
      <c r="QH67" s="378"/>
      <c r="QI67" s="378"/>
      <c r="QJ67" s="378"/>
      <c r="QK67" s="378"/>
      <c r="QL67" s="378"/>
      <c r="QM67" s="378"/>
      <c r="QN67" s="378"/>
      <c r="QO67" s="378"/>
      <c r="QP67" s="378"/>
      <c r="QQ67" s="378"/>
      <c r="QR67" s="378"/>
      <c r="QS67" s="378"/>
      <c r="QT67" s="378"/>
      <c r="QU67" s="378"/>
      <c r="QV67" s="378"/>
      <c r="QW67" s="378"/>
      <c r="QX67" s="378"/>
      <c r="QY67" s="378"/>
      <c r="QZ67" s="378"/>
      <c r="RA67" s="378"/>
      <c r="RB67" s="378"/>
      <c r="RC67" s="378"/>
      <c r="RD67" s="378"/>
      <c r="RE67" s="378"/>
      <c r="RF67" s="378"/>
      <c r="RG67" s="378"/>
      <c r="RH67" s="378"/>
      <c r="RI67" s="378"/>
      <c r="RJ67" s="378"/>
      <c r="RK67" s="378"/>
      <c r="RL67" s="378"/>
      <c r="RM67" s="378"/>
      <c r="RN67" s="378"/>
      <c r="RO67" s="378"/>
      <c r="RP67" s="378"/>
      <c r="RQ67" s="378"/>
      <c r="RR67" s="378"/>
      <c r="RS67" s="378"/>
      <c r="RT67" s="378"/>
      <c r="RU67" s="378"/>
      <c r="RV67" s="378"/>
      <c r="RW67" s="378"/>
      <c r="RX67" s="378"/>
      <c r="RY67" s="378"/>
      <c r="RZ67" s="378"/>
      <c r="SA67" s="378"/>
      <c r="SB67" s="378"/>
      <c r="SC67" s="378"/>
      <c r="SD67" s="378"/>
      <c r="SE67" s="378"/>
      <c r="SF67" s="378"/>
      <c r="SG67" s="378"/>
      <c r="SH67" s="378"/>
      <c r="SI67" s="378"/>
      <c r="SJ67" s="378"/>
      <c r="SK67" s="378"/>
      <c r="SL67" s="378"/>
      <c r="SM67" s="378"/>
      <c r="SN67" s="378"/>
      <c r="SO67" s="378"/>
      <c r="SP67" s="378"/>
      <c r="SQ67" s="378"/>
      <c r="SR67" s="378"/>
      <c r="SS67" s="378"/>
      <c r="ST67" s="378"/>
      <c r="SU67" s="378"/>
      <c r="SV67" s="378"/>
      <c r="SW67" s="378"/>
      <c r="SX67" s="378"/>
      <c r="SY67" s="378"/>
      <c r="SZ67" s="378"/>
      <c r="TA67" s="378"/>
      <c r="TB67" s="378"/>
      <c r="TC67" s="378"/>
      <c r="TD67" s="378"/>
      <c r="TE67" s="378"/>
      <c r="TF67" s="378"/>
      <c r="TG67" s="378"/>
      <c r="TH67" s="378"/>
      <c r="TI67" s="378"/>
      <c r="TJ67" s="378"/>
      <c r="TK67" s="378"/>
      <c r="TL67" s="378"/>
      <c r="TM67" s="378"/>
      <c r="TN67" s="378"/>
      <c r="TO67" s="378"/>
      <c r="TP67" s="378"/>
      <c r="TQ67" s="378"/>
      <c r="TR67" s="378"/>
      <c r="TS67" s="378"/>
      <c r="TT67" s="378"/>
      <c r="TU67" s="378"/>
      <c r="TV67" s="378"/>
      <c r="TW67" s="378"/>
      <c r="TX67" s="378"/>
      <c r="TY67" s="378"/>
      <c r="TZ67" s="378"/>
      <c r="UA67" s="378"/>
      <c r="UB67" s="378"/>
      <c r="UC67" s="378"/>
      <c r="UD67" s="378"/>
      <c r="UE67" s="378"/>
      <c r="UF67" s="378"/>
      <c r="UG67" s="378"/>
      <c r="UH67" s="378"/>
      <c r="UI67" s="378"/>
      <c r="UJ67" s="378"/>
      <c r="UK67" s="378"/>
      <c r="UL67" s="378"/>
      <c r="UM67" s="378"/>
      <c r="UN67" s="378"/>
      <c r="UO67" s="378"/>
      <c r="UP67" s="378"/>
      <c r="UQ67" s="378"/>
      <c r="UR67" s="378"/>
      <c r="US67" s="378"/>
      <c r="UT67" s="378"/>
      <c r="UU67" s="378"/>
      <c r="UV67" s="378"/>
      <c r="UW67" s="378"/>
      <c r="UX67" s="378"/>
      <c r="UY67" s="378"/>
      <c r="UZ67" s="378"/>
      <c r="VA67" s="378"/>
      <c r="VB67" s="378"/>
      <c r="VC67" s="378"/>
      <c r="VD67" s="378"/>
      <c r="VE67" s="378"/>
      <c r="VF67" s="378"/>
      <c r="VG67" s="378"/>
      <c r="VH67" s="378"/>
      <c r="VI67" s="378"/>
      <c r="VJ67" s="378"/>
      <c r="VK67" s="378"/>
      <c r="VL67" s="378"/>
      <c r="VM67" s="378"/>
      <c r="VN67" s="378"/>
      <c r="VO67" s="378"/>
      <c r="VP67" s="378"/>
      <c r="VQ67" s="378"/>
      <c r="VR67" s="378"/>
      <c r="VS67" s="378"/>
      <c r="VT67" s="378"/>
      <c r="VU67" s="378"/>
      <c r="VV67" s="378"/>
      <c r="VW67" s="378"/>
      <c r="VX67" s="378"/>
      <c r="VY67" s="378"/>
      <c r="VZ67" s="378"/>
      <c r="WA67" s="378"/>
      <c r="WB67" s="378"/>
      <c r="WC67" s="378"/>
      <c r="WD67" s="378"/>
      <c r="WE67" s="378"/>
      <c r="WF67" s="378"/>
      <c r="WG67" s="378"/>
      <c r="WH67" s="378"/>
      <c r="WI67" s="378"/>
      <c r="WJ67" s="378"/>
      <c r="WK67" s="378"/>
      <c r="WL67" s="378"/>
      <c r="WM67" s="378"/>
      <c r="WN67" s="378"/>
      <c r="WO67" s="378"/>
      <c r="WP67" s="378"/>
      <c r="WQ67" s="378"/>
      <c r="WR67" s="378"/>
      <c r="WS67" s="378"/>
      <c r="WT67" s="378"/>
      <c r="WU67" s="378"/>
      <c r="WV67" s="378"/>
      <c r="WW67" s="378"/>
      <c r="WX67" s="378"/>
      <c r="WY67" s="378"/>
      <c r="WZ67" s="378"/>
      <c r="XA67" s="378"/>
      <c r="XB67" s="378"/>
      <c r="XC67" s="378"/>
      <c r="XD67" s="378"/>
      <c r="XE67" s="378"/>
      <c r="XF67" s="378"/>
      <c r="XG67" s="378"/>
      <c r="XH67" s="378"/>
      <c r="XI67" s="378"/>
      <c r="XJ67" s="378"/>
      <c r="XK67" s="378"/>
      <c r="XL67" s="378"/>
      <c r="XM67" s="378"/>
      <c r="XN67" s="378"/>
      <c r="XO67" s="378"/>
      <c r="XP67" s="378"/>
      <c r="XQ67" s="378"/>
      <c r="XR67" s="378"/>
      <c r="XS67" s="378"/>
      <c r="XT67" s="378"/>
      <c r="XU67" s="378"/>
      <c r="XV67" s="378"/>
      <c r="XW67" s="378"/>
      <c r="XX67" s="378"/>
      <c r="XY67" s="378"/>
      <c r="XZ67" s="378"/>
      <c r="YA67" s="378"/>
      <c r="YB67" s="378"/>
      <c r="YC67" s="378"/>
      <c r="YD67" s="378"/>
      <c r="YE67" s="378"/>
      <c r="YF67" s="378"/>
      <c r="YG67" s="378"/>
      <c r="YH67" s="378"/>
      <c r="YI67" s="378"/>
      <c r="YJ67" s="378"/>
      <c r="YK67" s="378"/>
      <c r="YL67" s="378"/>
      <c r="YM67" s="378"/>
      <c r="YN67" s="378"/>
      <c r="YO67" s="378"/>
      <c r="YP67" s="378"/>
      <c r="YQ67" s="378"/>
      <c r="YR67" s="378"/>
      <c r="YS67" s="378"/>
      <c r="YT67" s="378"/>
      <c r="YU67" s="378"/>
      <c r="YV67" s="378"/>
      <c r="YW67" s="378"/>
      <c r="YX67" s="378"/>
      <c r="YY67" s="378"/>
      <c r="YZ67" s="378"/>
      <c r="ZA67" s="378"/>
      <c r="ZB67" s="378"/>
      <c r="ZC67" s="378"/>
      <c r="ZD67" s="378"/>
      <c r="ZE67" s="378"/>
      <c r="ZF67" s="378"/>
      <c r="ZG67" s="378"/>
      <c r="ZH67" s="378"/>
      <c r="ZI67" s="378"/>
      <c r="ZJ67" s="378"/>
      <c r="ZK67" s="378"/>
      <c r="ZL67" s="378"/>
      <c r="ZM67" s="378"/>
      <c r="ZN67" s="378"/>
      <c r="ZO67" s="378"/>
      <c r="ZP67" s="378"/>
      <c r="ZQ67" s="378"/>
      <c r="ZR67" s="378"/>
      <c r="ZS67" s="378"/>
      <c r="ZT67" s="378"/>
      <c r="ZU67" s="378"/>
      <c r="ZV67" s="378"/>
      <c r="ZW67" s="378"/>
      <c r="ZX67" s="378"/>
      <c r="ZY67" s="378"/>
      <c r="ZZ67" s="378"/>
      <c r="AAA67" s="378"/>
      <c r="AAB67" s="378"/>
      <c r="AAC67" s="378"/>
      <c r="AAD67" s="378"/>
      <c r="AAE67" s="378"/>
      <c r="AAF67" s="378"/>
      <c r="AAG67" s="378"/>
      <c r="AAH67" s="378"/>
      <c r="AAI67" s="378"/>
      <c r="AAJ67" s="378"/>
      <c r="AAK67" s="378"/>
      <c r="AAL67" s="378"/>
      <c r="AAM67" s="378"/>
      <c r="AAN67" s="378"/>
      <c r="AAO67" s="378"/>
      <c r="AAP67" s="378"/>
      <c r="AAQ67" s="378"/>
      <c r="AAR67" s="378"/>
      <c r="AAS67" s="378"/>
      <c r="AAT67" s="378"/>
      <c r="AAU67" s="378"/>
      <c r="AAV67" s="378"/>
      <c r="AAW67" s="378"/>
      <c r="AAX67" s="378"/>
      <c r="AAY67" s="378"/>
      <c r="AAZ67" s="378"/>
      <c r="ABA67" s="378"/>
      <c r="ABB67" s="378"/>
      <c r="ABC67" s="378"/>
      <c r="ABD67" s="378"/>
      <c r="ABE67" s="378"/>
      <c r="ABF67" s="378"/>
      <c r="ABG67" s="378"/>
      <c r="ABH67" s="378"/>
      <c r="ABI67" s="378"/>
      <c r="ABJ67" s="378"/>
      <c r="ABK67" s="378"/>
      <c r="ABL67" s="378"/>
      <c r="ABM67" s="378"/>
      <c r="ABN67" s="378"/>
      <c r="ABO67" s="378"/>
      <c r="ABP67" s="378"/>
      <c r="ABQ67" s="378"/>
      <c r="ABR67" s="378"/>
      <c r="ABS67" s="378"/>
      <c r="ABT67" s="378"/>
      <c r="ABU67" s="378"/>
      <c r="ABV67" s="378"/>
      <c r="ABW67" s="378"/>
      <c r="ABX67" s="378"/>
      <c r="ABY67" s="378"/>
      <c r="ABZ67" s="378"/>
      <c r="ACA67" s="378"/>
      <c r="ACB67" s="378"/>
      <c r="ACC67" s="378"/>
      <c r="ACD67" s="378"/>
      <c r="ACE67" s="378"/>
      <c r="ACF67" s="378"/>
      <c r="ACG67" s="378"/>
      <c r="ACH67" s="378"/>
      <c r="ACI67" s="378"/>
      <c r="ACJ67" s="378"/>
      <c r="ACK67" s="378"/>
      <c r="ACL67" s="378"/>
      <c r="ACM67" s="378"/>
      <c r="ACN67" s="378"/>
      <c r="ACO67" s="378"/>
      <c r="ACP67" s="378"/>
      <c r="ACQ67" s="378"/>
      <c r="ACR67" s="378"/>
      <c r="ACS67" s="378"/>
      <c r="ACT67" s="378"/>
      <c r="ACU67" s="378"/>
      <c r="ACV67" s="378"/>
      <c r="ACW67" s="378"/>
      <c r="ACX67" s="378"/>
      <c r="ACY67" s="378"/>
      <c r="ACZ67" s="378"/>
      <c r="ADA67" s="378"/>
      <c r="ADB67" s="378"/>
      <c r="ADC67" s="378"/>
      <c r="ADD67" s="378"/>
      <c r="ADE67" s="378"/>
      <c r="ADF67" s="378"/>
      <c r="ADG67" s="378"/>
      <c r="ADH67" s="378"/>
      <c r="ADI67" s="378"/>
      <c r="ADJ67" s="378"/>
      <c r="ADK67" s="378"/>
      <c r="ADL67" s="378"/>
      <c r="ADM67" s="378"/>
      <c r="ADN67" s="378"/>
      <c r="ADO67" s="378"/>
      <c r="ADP67" s="378"/>
      <c r="ADQ67" s="378"/>
      <c r="ADR67" s="378"/>
      <c r="ADS67" s="378"/>
      <c r="ADT67" s="378"/>
      <c r="ADU67" s="378"/>
      <c r="ADV67" s="378"/>
      <c r="ADW67" s="378"/>
      <c r="ADX67" s="378"/>
      <c r="ADY67" s="378"/>
      <c r="ADZ67" s="378"/>
      <c r="AEA67" s="378"/>
      <c r="AEB67" s="378"/>
      <c r="AEC67" s="378"/>
      <c r="AED67" s="378"/>
      <c r="AEE67" s="378"/>
      <c r="AEF67" s="378"/>
      <c r="AEG67" s="378"/>
      <c r="AEH67" s="378"/>
      <c r="AEI67" s="378"/>
      <c r="AEJ67" s="378"/>
      <c r="AEK67" s="378"/>
      <c r="AEL67" s="378"/>
      <c r="AEM67" s="378"/>
      <c r="AEN67" s="378"/>
      <c r="AEO67" s="378"/>
      <c r="AEP67" s="378"/>
      <c r="AEQ67" s="378"/>
      <c r="AER67" s="378"/>
      <c r="AES67" s="378"/>
      <c r="AET67" s="378"/>
      <c r="AEU67" s="378"/>
      <c r="AEV67" s="378"/>
      <c r="AEW67" s="378"/>
      <c r="AEX67" s="378"/>
      <c r="AEY67" s="378"/>
      <c r="AEZ67" s="378"/>
      <c r="AFA67" s="378"/>
      <c r="AFB67" s="378"/>
      <c r="AFC67" s="378"/>
      <c r="AFD67" s="378"/>
      <c r="AFE67" s="378"/>
      <c r="AFF67" s="378"/>
      <c r="AFG67" s="378"/>
      <c r="AFH67" s="378"/>
      <c r="AFI67" s="378"/>
      <c r="AFJ67" s="378"/>
      <c r="AFK67" s="378"/>
      <c r="AFL67" s="378"/>
      <c r="AFM67" s="378"/>
      <c r="AFN67" s="378"/>
      <c r="AFO67" s="378"/>
      <c r="AFP67" s="378"/>
      <c r="AFQ67" s="378"/>
      <c r="AFR67" s="378"/>
      <c r="AFS67" s="378"/>
      <c r="AFT67" s="378"/>
      <c r="AFU67" s="378"/>
      <c r="AFV67" s="378"/>
      <c r="AFW67" s="378"/>
      <c r="AFX67" s="378"/>
      <c r="AFY67" s="378"/>
      <c r="AFZ67" s="378"/>
      <c r="AGA67" s="378"/>
      <c r="AGB67" s="378"/>
      <c r="AGC67" s="378"/>
      <c r="AGD67" s="378"/>
      <c r="AGE67" s="378"/>
      <c r="AGF67" s="378"/>
      <c r="AGG67" s="378"/>
      <c r="AGH67" s="378"/>
      <c r="AGI67" s="378"/>
      <c r="AGJ67" s="378"/>
      <c r="AGK67" s="378"/>
      <c r="AGL67" s="378"/>
      <c r="AGM67" s="378"/>
      <c r="AGN67" s="378"/>
      <c r="AGO67" s="378"/>
      <c r="AGP67" s="378"/>
      <c r="AGQ67" s="378"/>
      <c r="AGR67" s="378"/>
      <c r="AGS67" s="378"/>
      <c r="AGT67" s="378"/>
      <c r="AGU67" s="378"/>
      <c r="AGV67" s="378"/>
      <c r="AGW67" s="378"/>
      <c r="AGX67" s="378"/>
      <c r="AGY67" s="378"/>
      <c r="AGZ67" s="378"/>
      <c r="AHA67" s="378"/>
      <c r="AHB67" s="378"/>
      <c r="AHC67" s="378"/>
      <c r="AHD67" s="378"/>
      <c r="AHE67" s="378"/>
      <c r="AHF67" s="378"/>
      <c r="AHG67" s="378"/>
      <c r="AHH67" s="378"/>
      <c r="AHI67" s="378"/>
      <c r="AHJ67" s="378"/>
      <c r="AHK67" s="378"/>
      <c r="AHL67" s="378"/>
      <c r="AHM67" s="378"/>
      <c r="AHN67" s="378"/>
      <c r="AHO67" s="378"/>
      <c r="AHP67" s="378"/>
      <c r="AHQ67" s="378"/>
      <c r="AHR67" s="378"/>
      <c r="AHS67" s="378"/>
      <c r="AHT67" s="378"/>
      <c r="AHU67" s="378"/>
      <c r="AHV67" s="378"/>
      <c r="AHW67" s="378"/>
      <c r="AHX67" s="378"/>
      <c r="AHY67" s="378"/>
      <c r="AHZ67" s="378"/>
      <c r="AIA67" s="378"/>
      <c r="AIB67" s="378"/>
      <c r="AIC67" s="378"/>
      <c r="AID67" s="378"/>
      <c r="AIE67" s="378"/>
      <c r="AIF67" s="378"/>
      <c r="AIG67" s="378"/>
      <c r="AIH67" s="378"/>
      <c r="AII67" s="378"/>
      <c r="AIJ67" s="378"/>
      <c r="AIK67" s="378"/>
      <c r="AIL67" s="378"/>
      <c r="AIM67" s="378"/>
      <c r="AIN67" s="378"/>
      <c r="AIO67" s="378"/>
      <c r="AIP67" s="378"/>
      <c r="AIQ67" s="378"/>
      <c r="AIR67" s="378"/>
      <c r="AIS67" s="378"/>
      <c r="AIT67" s="378"/>
      <c r="AIU67" s="378"/>
      <c r="AIV67" s="378"/>
      <c r="AIW67" s="378"/>
      <c r="AIX67" s="378"/>
      <c r="AIY67" s="378"/>
      <c r="AIZ67" s="378"/>
      <c r="AJA67" s="378"/>
      <c r="AJB67" s="378"/>
      <c r="AJC67" s="378"/>
      <c r="AJD67" s="378"/>
      <c r="AJE67" s="378"/>
      <c r="AJF67" s="378"/>
      <c r="AJG67" s="378"/>
      <c r="AJH67" s="378"/>
      <c r="AJI67" s="378"/>
      <c r="AJJ67" s="378"/>
      <c r="AJK67" s="378"/>
      <c r="AJL67" s="378"/>
      <c r="AJM67" s="378"/>
      <c r="AJN67" s="378"/>
      <c r="AJO67" s="378"/>
      <c r="AJP67" s="378"/>
      <c r="AJQ67" s="378"/>
      <c r="AJR67" s="378"/>
      <c r="AJS67" s="378"/>
      <c r="AJT67" s="378"/>
      <c r="AJU67" s="378"/>
      <c r="AJV67" s="378"/>
      <c r="AJW67" s="378"/>
      <c r="AJX67" s="378"/>
      <c r="AJY67" s="378"/>
      <c r="AJZ67" s="378"/>
      <c r="AKA67" s="378"/>
      <c r="AKB67" s="378"/>
      <c r="AKC67" s="378"/>
      <c r="AKD67" s="378"/>
      <c r="AKE67" s="378"/>
      <c r="AKF67" s="378"/>
      <c r="AKG67" s="378"/>
      <c r="AKH67" s="378"/>
      <c r="AKI67" s="378"/>
      <c r="AKJ67" s="378"/>
      <c r="AKK67" s="378"/>
      <c r="AKL67" s="378"/>
      <c r="AKM67" s="378"/>
      <c r="AKN67" s="378"/>
      <c r="AKO67" s="378"/>
      <c r="AKP67" s="378"/>
      <c r="AKQ67" s="378"/>
      <c r="AKR67" s="378"/>
      <c r="AKS67" s="378"/>
      <c r="AKT67" s="378"/>
      <c r="AKU67" s="378"/>
      <c r="AKV67" s="378"/>
      <c r="AKW67" s="378"/>
      <c r="AKX67" s="378"/>
      <c r="AKY67" s="378"/>
      <c r="AKZ67" s="378"/>
      <c r="ALA67" s="378"/>
      <c r="ALB67" s="378"/>
      <c r="ALC67" s="378"/>
      <c r="ALD67" s="378"/>
      <c r="ALE67" s="378"/>
      <c r="ALF67" s="378"/>
      <c r="ALG67" s="378"/>
      <c r="ALH67" s="378"/>
      <c r="ALI67" s="378"/>
      <c r="ALJ67" s="378"/>
      <c r="ALK67" s="378"/>
      <c r="ALL67" s="378"/>
      <c r="ALM67" s="378"/>
      <c r="ALN67" s="378"/>
      <c r="ALO67" s="378"/>
      <c r="ALP67" s="378"/>
      <c r="ALQ67" s="378"/>
      <c r="ALR67" s="378"/>
      <c r="ALS67" s="378"/>
      <c r="ALT67" s="378"/>
      <c r="ALU67" s="378"/>
      <c r="ALV67" s="378"/>
      <c r="ALW67" s="378"/>
      <c r="ALX67" s="378"/>
      <c r="ALY67" s="378"/>
      <c r="ALZ67" s="378"/>
      <c r="AMA67" s="378"/>
      <c r="AMB67" s="378"/>
      <c r="AMC67" s="378"/>
      <c r="AMD67" s="378"/>
      <c r="AME67" s="378"/>
      <c r="AMF67" s="378"/>
      <c r="AMG67" s="378"/>
      <c r="AMH67" s="378"/>
      <c r="AMI67" s="378"/>
      <c r="AMJ67" s="378"/>
      <c r="AMK67" s="378"/>
      <c r="AML67" s="378"/>
      <c r="AMM67" s="378"/>
      <c r="AMN67" s="378"/>
      <c r="AMO67" s="378"/>
      <c r="AMP67" s="378"/>
      <c r="AMQ67" s="378"/>
      <c r="AMR67" s="378"/>
      <c r="AMS67" s="378"/>
      <c r="AMT67" s="378"/>
      <c r="AMU67" s="378"/>
      <c r="AMV67" s="378"/>
      <c r="AMW67" s="378"/>
      <c r="AMX67" s="378"/>
      <c r="AMY67" s="378"/>
      <c r="AMZ67" s="378"/>
      <c r="ANA67" s="378"/>
      <c r="ANB67" s="378"/>
      <c r="ANC67" s="378"/>
      <c r="AND67" s="378"/>
      <c r="ANE67" s="378"/>
      <c r="ANF67" s="378"/>
      <c r="ANG67" s="378"/>
      <c r="ANH67" s="378"/>
      <c r="ANI67" s="378"/>
      <c r="ANJ67" s="378"/>
      <c r="ANK67" s="378"/>
      <c r="ANL67" s="378"/>
      <c r="ANM67" s="378"/>
      <c r="ANN67" s="378"/>
      <c r="ANO67" s="378"/>
      <c r="ANP67" s="378"/>
      <c r="ANQ67" s="378"/>
      <c r="ANR67" s="378"/>
      <c r="ANS67" s="378"/>
      <c r="ANT67" s="378"/>
      <c r="ANU67" s="378"/>
      <c r="ANV67" s="378"/>
      <c r="ANW67" s="378"/>
      <c r="ANX67" s="378"/>
      <c r="ANY67" s="378"/>
      <c r="ANZ67" s="378"/>
      <c r="AOA67" s="378"/>
      <c r="AOB67" s="378"/>
      <c r="AOC67" s="378"/>
      <c r="AOD67" s="378"/>
      <c r="AOE67" s="378"/>
      <c r="AOF67" s="378"/>
      <c r="AOG67" s="378"/>
      <c r="AOH67" s="378"/>
      <c r="AOI67" s="378"/>
      <c r="AOJ67" s="378"/>
      <c r="AOK67" s="378"/>
      <c r="AOL67" s="378"/>
      <c r="AOM67" s="378"/>
      <c r="AON67" s="378"/>
      <c r="AOO67" s="378"/>
      <c r="AOP67" s="378"/>
      <c r="AOQ67" s="378"/>
      <c r="AOR67" s="378"/>
      <c r="AOS67" s="378"/>
      <c r="AOT67" s="378"/>
      <c r="AOU67" s="378"/>
      <c r="AOV67" s="378"/>
      <c r="AOW67" s="378"/>
      <c r="AOX67" s="378"/>
      <c r="AOY67" s="378"/>
      <c r="AOZ67" s="378"/>
      <c r="APA67" s="378"/>
      <c r="APB67" s="378"/>
      <c r="APC67" s="378"/>
      <c r="APD67" s="378"/>
      <c r="APE67" s="378"/>
      <c r="APF67" s="378"/>
      <c r="APG67" s="378"/>
      <c r="APH67" s="378"/>
      <c r="API67" s="378"/>
      <c r="APJ67" s="378"/>
      <c r="APK67" s="378"/>
      <c r="APL67" s="378"/>
      <c r="APM67" s="378"/>
      <c r="APN67" s="378"/>
      <c r="APO67" s="378"/>
      <c r="APP67" s="378"/>
      <c r="APQ67" s="378"/>
      <c r="APR67" s="378"/>
      <c r="APS67" s="378"/>
      <c r="APT67" s="378"/>
      <c r="APU67" s="378"/>
      <c r="APV67" s="378"/>
      <c r="APW67" s="378"/>
      <c r="APX67" s="378"/>
      <c r="APY67" s="378"/>
      <c r="APZ67" s="378"/>
      <c r="AQA67" s="378"/>
      <c r="AQB67" s="378"/>
      <c r="AQC67" s="378"/>
      <c r="AQD67" s="378"/>
      <c r="AQE67" s="378"/>
      <c r="AQF67" s="378"/>
      <c r="AQG67" s="378"/>
      <c r="AQH67" s="378"/>
      <c r="AQI67" s="378"/>
      <c r="AQJ67" s="378"/>
      <c r="AQK67" s="378"/>
      <c r="AQL67" s="378"/>
      <c r="AQM67" s="378"/>
      <c r="AQN67" s="378"/>
      <c r="AQO67" s="378"/>
      <c r="AQP67" s="378"/>
      <c r="AQQ67" s="378"/>
      <c r="AQR67" s="378"/>
      <c r="AQS67" s="378"/>
      <c r="AQT67" s="378"/>
      <c r="AQU67" s="378"/>
      <c r="AQV67" s="378"/>
      <c r="AQW67" s="378"/>
      <c r="AQX67" s="378"/>
      <c r="AQY67" s="378"/>
      <c r="AQZ67" s="378"/>
      <c r="ARA67" s="378"/>
      <c r="ARB67" s="378"/>
      <c r="ARC67" s="378"/>
      <c r="ARD67" s="378"/>
      <c r="ARE67" s="378"/>
      <c r="ARF67" s="378"/>
      <c r="ARG67" s="378"/>
      <c r="ARH67" s="378"/>
      <c r="ARI67" s="378"/>
      <c r="ARJ67" s="378"/>
      <c r="ARK67" s="378"/>
      <c r="ARL67" s="378"/>
      <c r="ARM67" s="378"/>
      <c r="ARN67" s="378"/>
      <c r="ARO67" s="378"/>
      <c r="ARP67" s="378"/>
      <c r="ARQ67" s="378"/>
      <c r="ARR67" s="378"/>
      <c r="ARS67" s="378"/>
      <c r="ART67" s="378"/>
      <c r="ARU67" s="378"/>
      <c r="ARV67" s="378"/>
      <c r="ARW67" s="378"/>
      <c r="ARX67" s="378"/>
      <c r="ARY67" s="378"/>
      <c r="ARZ67" s="378"/>
      <c r="ASA67" s="378"/>
      <c r="ASB67" s="378"/>
      <c r="ASC67" s="378"/>
      <c r="ASD67" s="378"/>
      <c r="ASE67" s="378"/>
      <c r="ASF67" s="378"/>
      <c r="ASG67" s="378"/>
      <c r="ASH67" s="378"/>
      <c r="ASI67" s="378"/>
      <c r="ASJ67" s="378"/>
      <c r="ASK67" s="378"/>
      <c r="ASL67" s="378"/>
      <c r="ASM67" s="378"/>
      <c r="ASN67" s="378"/>
      <c r="ASO67" s="378"/>
      <c r="ASP67" s="378"/>
      <c r="ASQ67" s="378"/>
      <c r="ASR67" s="378"/>
      <c r="ASS67" s="378"/>
      <c r="AST67" s="378"/>
      <c r="ASU67" s="378"/>
      <c r="ASV67" s="378"/>
      <c r="ASW67" s="378"/>
      <c r="ASX67" s="378"/>
      <c r="ASY67" s="378"/>
      <c r="ASZ67" s="378"/>
      <c r="ATA67" s="378"/>
      <c r="ATB67" s="378"/>
      <c r="ATC67" s="378"/>
      <c r="ATD67" s="378"/>
      <c r="ATE67" s="378"/>
      <c r="ATF67" s="378"/>
      <c r="ATG67" s="378"/>
      <c r="ATH67" s="378"/>
      <c r="ATI67" s="378"/>
      <c r="ATJ67" s="378"/>
      <c r="ATK67" s="378"/>
      <c r="ATL67" s="378"/>
      <c r="ATM67" s="378"/>
      <c r="ATN67" s="378"/>
      <c r="ATO67" s="378"/>
      <c r="ATP67" s="378"/>
      <c r="ATQ67" s="378"/>
      <c r="ATR67" s="378"/>
      <c r="ATS67" s="378"/>
      <c r="ATT67" s="378"/>
      <c r="ATU67" s="378"/>
      <c r="ATV67" s="378"/>
      <c r="ATW67" s="378"/>
      <c r="ATX67" s="378"/>
      <c r="ATY67" s="378"/>
      <c r="ATZ67" s="378"/>
      <c r="AUA67" s="378"/>
      <c r="AUB67" s="378"/>
      <c r="AUC67" s="378"/>
      <c r="AUD67" s="378"/>
      <c r="AUE67" s="378"/>
      <c r="AUF67" s="378"/>
      <c r="AUG67" s="378"/>
      <c r="AUH67" s="378"/>
      <c r="AUI67" s="378"/>
      <c r="AUJ67" s="378"/>
      <c r="AUK67" s="378"/>
      <c r="AUL67" s="378"/>
      <c r="AUM67" s="378"/>
      <c r="AUN67" s="378"/>
      <c r="AUO67" s="378"/>
      <c r="AUP67" s="378"/>
      <c r="AUQ67" s="378"/>
      <c r="AUR67" s="378"/>
      <c r="AUS67" s="378"/>
      <c r="AUT67" s="378"/>
      <c r="AUU67" s="378"/>
      <c r="AUV67" s="378"/>
      <c r="AUW67" s="378"/>
      <c r="AUX67" s="378"/>
      <c r="AUY67" s="378"/>
      <c r="AUZ67" s="378"/>
      <c r="AVA67" s="378"/>
      <c r="AVB67" s="378"/>
      <c r="AVC67" s="378"/>
      <c r="AVD67" s="378"/>
      <c r="AVE67" s="378"/>
      <c r="AVF67" s="378"/>
      <c r="AVG67" s="378"/>
      <c r="AVH67" s="378"/>
      <c r="AVI67" s="378"/>
      <c r="AVJ67" s="378"/>
      <c r="AVK67" s="378"/>
      <c r="AVL67" s="378"/>
      <c r="AVM67" s="378"/>
      <c r="AVN67" s="378"/>
      <c r="AVO67" s="378"/>
      <c r="AVP67" s="378"/>
      <c r="AVQ67" s="378"/>
      <c r="AVR67" s="378"/>
      <c r="AVS67" s="378"/>
      <c r="AVT67" s="378"/>
      <c r="AVU67" s="378"/>
      <c r="AVV67" s="378"/>
      <c r="AVW67" s="378"/>
      <c r="AVX67" s="378"/>
      <c r="AVY67" s="378"/>
      <c r="AVZ67" s="378"/>
      <c r="AWA67" s="378"/>
      <c r="AWB67" s="378"/>
      <c r="AWC67" s="378"/>
      <c r="AWD67" s="378"/>
      <c r="AWE67" s="378"/>
      <c r="AWF67" s="378"/>
      <c r="AWG67" s="378"/>
      <c r="AWH67" s="378"/>
      <c r="AWI67" s="378"/>
      <c r="AWJ67" s="378"/>
      <c r="AWK67" s="378"/>
      <c r="AWL67" s="378"/>
      <c r="AWM67" s="378"/>
      <c r="AWN67" s="378"/>
      <c r="AWO67" s="378"/>
      <c r="AWP67" s="378"/>
      <c r="AWQ67" s="378"/>
      <c r="AWR67" s="378"/>
      <c r="AWS67" s="378"/>
      <c r="AWT67" s="378"/>
      <c r="AWU67" s="378"/>
      <c r="AWV67" s="378"/>
      <c r="AWW67" s="378"/>
      <c r="AWX67" s="378"/>
      <c r="AWY67" s="378"/>
      <c r="AWZ67" s="378"/>
      <c r="AXA67" s="378"/>
      <c r="AXB67" s="378"/>
      <c r="AXC67" s="378"/>
      <c r="AXD67" s="378"/>
      <c r="AXE67" s="378"/>
      <c r="AXF67" s="378"/>
      <c r="AXG67" s="378"/>
      <c r="AXH67" s="378"/>
      <c r="AXI67" s="378"/>
      <c r="AXJ67" s="378"/>
      <c r="AXK67" s="378"/>
      <c r="AXL67" s="378"/>
      <c r="AXM67" s="378"/>
      <c r="AXN67" s="378"/>
      <c r="AXO67" s="378"/>
      <c r="AXP67" s="378"/>
      <c r="AXQ67" s="378"/>
      <c r="AXR67" s="378"/>
      <c r="AXS67" s="378"/>
      <c r="AXT67" s="378"/>
      <c r="AXU67" s="378"/>
      <c r="AXV67" s="378"/>
      <c r="AXW67" s="378"/>
      <c r="AXX67" s="378"/>
      <c r="AXY67" s="378"/>
      <c r="AXZ67" s="378"/>
      <c r="AYA67" s="378"/>
      <c r="AYB67" s="378"/>
      <c r="AYC67" s="378"/>
      <c r="AYD67" s="378"/>
      <c r="AYE67" s="378"/>
      <c r="AYF67" s="378"/>
      <c r="AYG67" s="378"/>
      <c r="AYH67" s="378"/>
      <c r="AYI67" s="378"/>
      <c r="AYJ67" s="378"/>
      <c r="AYK67" s="378"/>
      <c r="AYL67" s="378"/>
      <c r="AYM67" s="378"/>
      <c r="AYN67" s="378"/>
      <c r="AYO67" s="378"/>
      <c r="AYP67" s="378"/>
      <c r="AYQ67" s="378"/>
      <c r="AYR67" s="378"/>
      <c r="AYS67" s="378"/>
      <c r="AYT67" s="378"/>
      <c r="AYU67" s="378"/>
      <c r="AYV67" s="378"/>
      <c r="AYW67" s="378"/>
      <c r="AYX67" s="378"/>
      <c r="AYY67" s="378"/>
      <c r="AYZ67" s="378"/>
      <c r="AZA67" s="378"/>
      <c r="AZB67" s="378"/>
      <c r="AZC67" s="378"/>
      <c r="AZD67" s="378"/>
      <c r="AZE67" s="378"/>
      <c r="AZF67" s="378"/>
      <c r="AZG67" s="378"/>
      <c r="AZH67" s="378"/>
      <c r="AZI67" s="378"/>
      <c r="AZJ67" s="378"/>
      <c r="AZK67" s="378"/>
      <c r="AZL67" s="378"/>
      <c r="AZM67" s="378"/>
      <c r="AZN67" s="378"/>
      <c r="AZO67" s="378"/>
      <c r="AZP67" s="378"/>
      <c r="AZQ67" s="378"/>
      <c r="AZR67" s="378"/>
      <c r="AZS67" s="378"/>
      <c r="AZT67" s="378"/>
      <c r="AZU67" s="378"/>
      <c r="AZV67" s="378"/>
      <c r="AZW67" s="378"/>
      <c r="AZX67" s="378"/>
      <c r="AZY67" s="378"/>
      <c r="AZZ67" s="378"/>
      <c r="BAA67" s="378"/>
      <c r="BAB67" s="378"/>
      <c r="BAC67" s="378"/>
      <c r="BAD67" s="378"/>
      <c r="BAE67" s="378"/>
      <c r="BAF67" s="378"/>
      <c r="BAG67" s="378"/>
      <c r="BAH67" s="378"/>
      <c r="BAI67" s="378"/>
      <c r="BAJ67" s="378"/>
      <c r="BAK67" s="378"/>
      <c r="BAL67" s="378"/>
      <c r="BAM67" s="378"/>
      <c r="BAN67" s="378"/>
      <c r="BAO67" s="378"/>
      <c r="BAP67" s="378"/>
      <c r="BAQ67" s="378"/>
      <c r="BAR67" s="378"/>
      <c r="BAS67" s="378"/>
      <c r="BAT67" s="378"/>
      <c r="BAU67" s="378"/>
      <c r="BAV67" s="378"/>
      <c r="BAW67" s="378"/>
      <c r="BAX67" s="378"/>
      <c r="BAY67" s="378"/>
      <c r="BAZ67" s="378"/>
      <c r="BBA67" s="378"/>
      <c r="BBB67" s="378"/>
      <c r="BBC67" s="378"/>
      <c r="BBD67" s="378"/>
      <c r="BBE67" s="378"/>
      <c r="BBF67" s="378"/>
      <c r="BBG67" s="378"/>
      <c r="BBH67" s="378"/>
      <c r="BBI67" s="378"/>
      <c r="BBJ67" s="378"/>
      <c r="BBK67" s="378"/>
      <c r="BBL67" s="378"/>
      <c r="BBM67" s="378"/>
      <c r="BBN67" s="378"/>
      <c r="BBO67" s="378"/>
      <c r="BBP67" s="378"/>
      <c r="BBQ67" s="378"/>
      <c r="BBR67" s="378"/>
      <c r="BBS67" s="378"/>
      <c r="BBT67" s="378"/>
      <c r="BBU67" s="378"/>
      <c r="BBV67" s="378"/>
      <c r="BBW67" s="378"/>
      <c r="BBX67" s="378"/>
      <c r="BBY67" s="378"/>
      <c r="BBZ67" s="378"/>
      <c r="BCA67" s="378"/>
      <c r="BCB67" s="378"/>
      <c r="BCC67" s="378"/>
      <c r="BCD67" s="378"/>
      <c r="BCE67" s="378"/>
      <c r="BCF67" s="378"/>
      <c r="BCG67" s="378"/>
      <c r="BCH67" s="378"/>
      <c r="BCI67" s="378"/>
      <c r="BCJ67" s="378"/>
      <c r="BCK67" s="378"/>
      <c r="BCL67" s="378"/>
      <c r="BCM67" s="378"/>
      <c r="BCN67" s="378"/>
      <c r="BCO67" s="378"/>
      <c r="BCP67" s="378"/>
      <c r="BCQ67" s="378"/>
      <c r="BCR67" s="378"/>
      <c r="BCS67" s="378"/>
      <c r="BCT67" s="378"/>
      <c r="BCU67" s="378"/>
      <c r="BCV67" s="378"/>
      <c r="BCW67" s="378"/>
      <c r="BCX67" s="378"/>
      <c r="BCY67" s="378"/>
      <c r="BCZ67" s="378"/>
      <c r="BDA67" s="378"/>
      <c r="BDB67" s="378"/>
      <c r="BDC67" s="378"/>
      <c r="BDD67" s="378"/>
      <c r="BDE67" s="378"/>
      <c r="BDF67" s="378"/>
      <c r="BDG67" s="378"/>
      <c r="BDH67" s="378"/>
      <c r="BDI67" s="378"/>
      <c r="BDJ67" s="378"/>
      <c r="BDK67" s="378"/>
      <c r="BDL67" s="378"/>
      <c r="BDM67" s="378"/>
      <c r="BDN67" s="378"/>
      <c r="BDO67" s="378"/>
      <c r="BDP67" s="378"/>
      <c r="BDQ67" s="378"/>
      <c r="BDR67" s="378"/>
      <c r="BDS67" s="378"/>
      <c r="BDT67" s="378"/>
      <c r="BDU67" s="378"/>
      <c r="BDV67" s="378"/>
      <c r="BDW67" s="378"/>
      <c r="BDX67" s="378"/>
      <c r="BDY67" s="378"/>
      <c r="BDZ67" s="378"/>
      <c r="BEA67" s="378"/>
      <c r="BEB67" s="378"/>
      <c r="BEC67" s="378"/>
      <c r="BED67" s="378"/>
      <c r="BEE67" s="378"/>
      <c r="BEF67" s="378"/>
      <c r="BEG67" s="378"/>
      <c r="BEH67" s="378"/>
      <c r="BEI67" s="378"/>
      <c r="BEJ67" s="378"/>
      <c r="BEK67" s="378"/>
      <c r="BEL67" s="378"/>
      <c r="BEM67" s="378"/>
      <c r="BEN67" s="378"/>
      <c r="BEO67" s="378"/>
      <c r="BEP67" s="378"/>
      <c r="BEQ67" s="378"/>
      <c r="BER67" s="378"/>
      <c r="BES67" s="378"/>
      <c r="BET67" s="378"/>
      <c r="BEU67" s="378"/>
      <c r="BEV67" s="378"/>
      <c r="BEW67" s="378"/>
      <c r="BEX67" s="378"/>
      <c r="BEY67" s="378"/>
      <c r="BEZ67" s="378"/>
      <c r="BFA67" s="378"/>
      <c r="BFB67" s="378"/>
      <c r="BFC67" s="378"/>
      <c r="BFD67" s="378"/>
      <c r="BFE67" s="378"/>
      <c r="BFF67" s="378"/>
      <c r="BFG67" s="378"/>
      <c r="BFH67" s="378"/>
      <c r="BFI67" s="378"/>
      <c r="BFJ67" s="378"/>
      <c r="BFK67" s="378"/>
      <c r="BFL67" s="378"/>
      <c r="BFM67" s="378"/>
      <c r="BFN67" s="378"/>
      <c r="BFO67" s="378"/>
      <c r="BFP67" s="378"/>
      <c r="BFQ67" s="378"/>
      <c r="BFR67" s="378"/>
      <c r="BFS67" s="378"/>
      <c r="BFT67" s="378"/>
      <c r="BFU67" s="378"/>
      <c r="BFV67" s="378"/>
      <c r="BFW67" s="378"/>
      <c r="BFX67" s="378"/>
      <c r="BFY67" s="378"/>
      <c r="BFZ67" s="378"/>
      <c r="BGA67" s="378"/>
      <c r="BGB67" s="378"/>
      <c r="BGC67" s="378"/>
      <c r="BGD67" s="378"/>
      <c r="BGE67" s="378"/>
      <c r="BGF67" s="378"/>
      <c r="BGG67" s="378"/>
      <c r="BGH67" s="378"/>
      <c r="BGI67" s="378"/>
      <c r="BGJ67" s="378"/>
      <c r="BGK67" s="378"/>
      <c r="BGL67" s="378"/>
      <c r="BGM67" s="378"/>
      <c r="BGN67" s="378"/>
      <c r="BGO67" s="378"/>
      <c r="BGP67" s="378"/>
      <c r="BGQ67" s="378"/>
      <c r="BGR67" s="378"/>
      <c r="BGS67" s="378"/>
      <c r="BGT67" s="378"/>
      <c r="BGU67" s="378"/>
      <c r="BGV67" s="378"/>
      <c r="BGW67" s="378"/>
      <c r="BGX67" s="378"/>
      <c r="BGY67" s="378"/>
      <c r="BGZ67" s="378"/>
      <c r="BHA67" s="378"/>
      <c r="BHB67" s="378"/>
      <c r="BHC67" s="378"/>
      <c r="BHD67" s="378"/>
      <c r="BHE67" s="378"/>
      <c r="BHF67" s="378"/>
      <c r="BHG67" s="378"/>
      <c r="BHH67" s="378"/>
      <c r="BHI67" s="378"/>
      <c r="BHJ67" s="378"/>
      <c r="BHK67" s="378"/>
      <c r="BHL67" s="378"/>
      <c r="BHM67" s="378"/>
      <c r="BHN67" s="378"/>
      <c r="BHO67" s="378"/>
      <c r="BHP67" s="378"/>
      <c r="BHQ67" s="378"/>
      <c r="BHR67" s="378"/>
      <c r="BHS67" s="378"/>
      <c r="BHT67" s="378"/>
      <c r="BHU67" s="378"/>
      <c r="BHV67" s="378"/>
      <c r="BHW67" s="378"/>
      <c r="BHX67" s="378"/>
      <c r="BHY67" s="378"/>
      <c r="BHZ67" s="378"/>
      <c r="BIA67" s="378"/>
      <c r="BIB67" s="378"/>
      <c r="BIC67" s="378"/>
      <c r="BID67" s="378"/>
      <c r="BIE67" s="378"/>
      <c r="BIF67" s="378"/>
      <c r="BIG67" s="378"/>
      <c r="BIH67" s="378"/>
      <c r="BII67" s="378"/>
      <c r="BIJ67" s="378"/>
      <c r="BIK67" s="378"/>
      <c r="BIL67" s="378"/>
      <c r="BIM67" s="378"/>
      <c r="BIN67" s="378"/>
      <c r="BIO67" s="378"/>
      <c r="BIP67" s="378"/>
      <c r="BIQ67" s="378"/>
      <c r="BIR67" s="378"/>
      <c r="BIS67" s="378"/>
      <c r="BIT67" s="378"/>
      <c r="BIU67" s="378"/>
      <c r="BIV67" s="378"/>
      <c r="BIW67" s="378"/>
      <c r="BIX67" s="378"/>
      <c r="BIY67" s="378"/>
      <c r="BIZ67" s="378"/>
      <c r="BJA67" s="378"/>
      <c r="BJB67" s="378"/>
      <c r="BJC67" s="378"/>
      <c r="BJD67" s="378"/>
      <c r="BJE67" s="378"/>
      <c r="BJF67" s="378"/>
      <c r="BJG67" s="378"/>
      <c r="BJH67" s="378"/>
      <c r="BJI67" s="378"/>
      <c r="BJJ67" s="378"/>
      <c r="BJK67" s="378"/>
      <c r="BJL67" s="378"/>
      <c r="BJM67" s="378"/>
      <c r="BJN67" s="378"/>
      <c r="BJO67" s="378"/>
      <c r="BJP67" s="378"/>
      <c r="BJQ67" s="378"/>
      <c r="BJR67" s="378"/>
      <c r="BJS67" s="378"/>
      <c r="BJT67" s="378"/>
      <c r="BJU67" s="378"/>
      <c r="BJV67" s="378"/>
      <c r="BJW67" s="378"/>
      <c r="BJX67" s="378"/>
      <c r="BJY67" s="378"/>
      <c r="BJZ67" s="378"/>
      <c r="BKA67" s="378"/>
      <c r="BKB67" s="378"/>
      <c r="BKC67" s="378"/>
      <c r="BKD67" s="378"/>
      <c r="BKE67" s="378"/>
      <c r="BKF67" s="378"/>
      <c r="BKG67" s="378"/>
      <c r="BKH67" s="378"/>
      <c r="BKI67" s="378"/>
      <c r="BKJ67" s="378"/>
      <c r="BKK67" s="378"/>
      <c r="BKL67" s="378"/>
      <c r="BKM67" s="378"/>
      <c r="BKN67" s="378"/>
      <c r="BKO67" s="378"/>
      <c r="BKP67" s="378"/>
      <c r="BKQ67" s="378"/>
      <c r="BKR67" s="378"/>
      <c r="BKS67" s="378"/>
      <c r="BKT67" s="378"/>
      <c r="BKU67" s="378"/>
      <c r="BKV67" s="378"/>
      <c r="BKW67" s="378"/>
      <c r="BKX67" s="378"/>
      <c r="BKY67" s="378"/>
      <c r="BKZ67" s="378"/>
      <c r="BLA67" s="378"/>
      <c r="BLB67" s="378"/>
      <c r="BLC67" s="378"/>
      <c r="BLD67" s="378"/>
      <c r="BLE67" s="378"/>
      <c r="BLF67" s="378"/>
      <c r="BLG67" s="378"/>
      <c r="BLH67" s="378"/>
      <c r="BLI67" s="378"/>
      <c r="BLJ67" s="378"/>
      <c r="BLK67" s="378"/>
      <c r="BLL67" s="378"/>
      <c r="BLM67" s="378"/>
      <c r="BLN67" s="378"/>
      <c r="BLO67" s="378"/>
      <c r="BLP67" s="378"/>
      <c r="BLQ67" s="378"/>
      <c r="BLR67" s="378"/>
      <c r="BLS67" s="378"/>
      <c r="BLT67" s="378"/>
      <c r="BLU67" s="378"/>
      <c r="BLV67" s="378"/>
      <c r="BLW67" s="378"/>
      <c r="BLX67" s="378"/>
      <c r="BLY67" s="378"/>
      <c r="BLZ67" s="378"/>
      <c r="BMA67" s="378"/>
      <c r="BMB67" s="378"/>
      <c r="BMC67" s="378"/>
      <c r="BMD67" s="378"/>
      <c r="BME67" s="378"/>
      <c r="BMF67" s="378"/>
      <c r="BMG67" s="378"/>
      <c r="BMH67" s="378"/>
      <c r="BMI67" s="378"/>
      <c r="BMJ67" s="378"/>
      <c r="BMK67" s="378"/>
      <c r="BML67" s="378"/>
      <c r="BMM67" s="378"/>
      <c r="BMN67" s="378"/>
      <c r="BMO67" s="378"/>
      <c r="BMP67" s="378"/>
      <c r="BMQ67" s="378"/>
      <c r="BMR67" s="378"/>
      <c r="BMS67" s="378"/>
      <c r="BMT67" s="378"/>
      <c r="BMU67" s="378"/>
      <c r="BMV67" s="378"/>
      <c r="BMW67" s="378"/>
      <c r="BMX67" s="378"/>
      <c r="BMY67" s="378"/>
      <c r="BMZ67" s="378"/>
      <c r="BNA67" s="378"/>
      <c r="BNB67" s="378"/>
      <c r="BNC67" s="378"/>
      <c r="BND67" s="378"/>
      <c r="BNE67" s="378"/>
      <c r="BNF67" s="378"/>
      <c r="BNG67" s="378"/>
      <c r="BNH67" s="378"/>
      <c r="BNI67" s="378"/>
      <c r="BNJ67" s="378"/>
      <c r="BNK67" s="378"/>
      <c r="BNL67" s="378"/>
      <c r="BNM67" s="378"/>
      <c r="BNN67" s="378"/>
      <c r="BNO67" s="378"/>
      <c r="BNP67" s="378"/>
      <c r="BNQ67" s="378"/>
      <c r="BNR67" s="378"/>
      <c r="BNS67" s="378"/>
      <c r="BNT67" s="378"/>
      <c r="BNU67" s="378"/>
      <c r="BNV67" s="378"/>
      <c r="BNW67" s="378"/>
      <c r="BNX67" s="378"/>
      <c r="BNY67" s="378"/>
      <c r="BNZ67" s="378"/>
      <c r="BOA67" s="378"/>
      <c r="BOB67" s="378"/>
      <c r="BOC67" s="378"/>
      <c r="BOD67" s="378"/>
      <c r="BOE67" s="378"/>
      <c r="BOF67" s="378"/>
      <c r="BOG67" s="378"/>
      <c r="BOH67" s="378"/>
      <c r="BOI67" s="378"/>
      <c r="BOJ67" s="378"/>
      <c r="BOK67" s="378"/>
      <c r="BOL67" s="378"/>
      <c r="BOM67" s="378"/>
      <c r="BON67" s="378"/>
      <c r="BOO67" s="378"/>
      <c r="BOP67" s="378"/>
      <c r="BOQ67" s="378"/>
      <c r="BOR67" s="378"/>
      <c r="BOS67" s="378"/>
      <c r="BOT67" s="378"/>
      <c r="BOU67" s="378"/>
      <c r="BOV67" s="378"/>
      <c r="BOW67" s="378"/>
      <c r="BOX67" s="378"/>
      <c r="BOY67" s="378"/>
      <c r="BOZ67" s="378"/>
      <c r="BPA67" s="378"/>
      <c r="BPB67" s="378"/>
      <c r="BPC67" s="378"/>
      <c r="BPD67" s="378"/>
      <c r="BPE67" s="378"/>
      <c r="BPF67" s="378"/>
      <c r="BPG67" s="378"/>
      <c r="BPH67" s="378"/>
      <c r="BPI67" s="378"/>
      <c r="BPJ67" s="378"/>
      <c r="BPK67" s="378"/>
      <c r="BPL67" s="378"/>
      <c r="BPM67" s="378"/>
      <c r="BPN67" s="378"/>
      <c r="BPO67" s="378"/>
      <c r="BPP67" s="378"/>
      <c r="BPQ67" s="378"/>
      <c r="BPR67" s="378"/>
      <c r="BPS67" s="378"/>
      <c r="BPT67" s="378"/>
      <c r="BPU67" s="378"/>
      <c r="BPV67" s="378"/>
      <c r="BPW67" s="378"/>
      <c r="BPX67" s="378"/>
      <c r="BPY67" s="378"/>
      <c r="BPZ67" s="378"/>
      <c r="BQA67" s="378"/>
      <c r="BQB67" s="378"/>
      <c r="BQC67" s="378"/>
      <c r="BQD67" s="378"/>
      <c r="BQE67" s="378"/>
      <c r="BQF67" s="378"/>
      <c r="BQG67" s="378"/>
      <c r="BQH67" s="378"/>
      <c r="BQI67" s="378"/>
      <c r="BQJ67" s="378"/>
      <c r="BQK67" s="378"/>
      <c r="BQL67" s="378"/>
      <c r="BQM67" s="378"/>
      <c r="BQN67" s="378"/>
      <c r="BQO67" s="378"/>
      <c r="BQP67" s="378"/>
      <c r="BQQ67" s="378"/>
      <c r="BQR67" s="378"/>
      <c r="BQS67" s="378"/>
      <c r="BQT67" s="378"/>
      <c r="BQU67" s="378"/>
      <c r="BQV67" s="378"/>
      <c r="BQW67" s="378"/>
      <c r="BQX67" s="378"/>
      <c r="BQY67" s="378"/>
      <c r="BQZ67" s="378"/>
      <c r="BRA67" s="378"/>
      <c r="BRB67" s="378"/>
      <c r="BRC67" s="378"/>
      <c r="BRD67" s="378"/>
      <c r="BRE67" s="378"/>
      <c r="BRF67" s="378"/>
      <c r="BRG67" s="378"/>
      <c r="BRH67" s="378"/>
      <c r="BRI67" s="378"/>
      <c r="BRJ67" s="378"/>
      <c r="BRK67" s="378"/>
      <c r="BRL67" s="378"/>
      <c r="BRM67" s="378"/>
      <c r="BRN67" s="378"/>
      <c r="BRO67" s="378"/>
      <c r="BRP67" s="378"/>
      <c r="BRQ67" s="378"/>
      <c r="BRR67" s="378"/>
      <c r="BRS67" s="378"/>
      <c r="BRT67" s="378"/>
      <c r="BRU67" s="378"/>
      <c r="BRV67" s="378"/>
      <c r="BRW67" s="378"/>
      <c r="BRX67" s="378"/>
      <c r="BRY67" s="378"/>
      <c r="BRZ67" s="378"/>
      <c r="BSA67" s="378"/>
      <c r="BSB67" s="378"/>
      <c r="BSC67" s="378"/>
      <c r="BSD67" s="378"/>
      <c r="BSE67" s="378"/>
      <c r="BSF67" s="378"/>
      <c r="BSG67" s="378"/>
      <c r="BSH67" s="378"/>
      <c r="BSI67" s="378"/>
      <c r="BSJ67" s="378"/>
      <c r="BSK67" s="378"/>
      <c r="BSL67" s="378"/>
      <c r="BSM67" s="378"/>
      <c r="BSN67" s="378"/>
      <c r="BSO67" s="378"/>
      <c r="BSP67" s="378"/>
      <c r="BSQ67" s="378"/>
      <c r="BSR67" s="378"/>
      <c r="BSS67" s="378"/>
      <c r="BST67" s="378"/>
      <c r="BSU67" s="378"/>
      <c r="BSV67" s="378"/>
      <c r="BSW67" s="378"/>
      <c r="BSX67" s="378"/>
      <c r="BSY67" s="378"/>
      <c r="BSZ67" s="378"/>
      <c r="BTA67" s="378"/>
      <c r="BTB67" s="378"/>
      <c r="BTC67" s="378"/>
      <c r="BTD67" s="378"/>
      <c r="BTE67" s="378"/>
      <c r="BTF67" s="378"/>
      <c r="BTG67" s="378"/>
      <c r="BTH67" s="378"/>
      <c r="BTI67" s="378"/>
      <c r="BTJ67" s="378"/>
      <c r="BTK67" s="378"/>
      <c r="BTL67" s="378"/>
      <c r="BTM67" s="378"/>
      <c r="BTN67" s="378"/>
      <c r="BTO67" s="378"/>
      <c r="BTP67" s="378"/>
      <c r="BTQ67" s="378"/>
      <c r="BTR67" s="378"/>
      <c r="BTS67" s="378"/>
      <c r="BTT67" s="378"/>
      <c r="BTU67" s="378"/>
      <c r="BTV67" s="378"/>
      <c r="BTW67" s="378"/>
      <c r="BTX67" s="378"/>
      <c r="BTY67" s="378"/>
      <c r="BTZ67" s="378"/>
      <c r="BUA67" s="378"/>
      <c r="BUB67" s="378"/>
      <c r="BUC67" s="378"/>
      <c r="BUD67" s="378"/>
      <c r="BUE67" s="378"/>
      <c r="BUF67" s="378"/>
      <c r="BUG67" s="378"/>
      <c r="BUH67" s="378"/>
      <c r="BUI67" s="378"/>
      <c r="BUJ67" s="378"/>
      <c r="BUK67" s="378"/>
      <c r="BUL67" s="378"/>
      <c r="BUM67" s="378"/>
      <c r="BUN67" s="378"/>
      <c r="BUO67" s="378"/>
      <c r="BUP67" s="378"/>
      <c r="BUQ67" s="378"/>
      <c r="BUR67" s="378"/>
      <c r="BUS67" s="378"/>
      <c r="BUT67" s="378"/>
      <c r="BUU67" s="378"/>
      <c r="BUV67" s="378"/>
      <c r="BUW67" s="378"/>
      <c r="BUX67" s="378"/>
      <c r="BUY67" s="378"/>
      <c r="BUZ67" s="378"/>
      <c r="BVA67" s="378"/>
      <c r="BVB67" s="378"/>
      <c r="BVC67" s="378"/>
      <c r="BVD67" s="378"/>
      <c r="BVE67" s="378"/>
      <c r="BVF67" s="378"/>
      <c r="BVG67" s="378"/>
      <c r="BVH67" s="378"/>
      <c r="BVI67" s="378"/>
      <c r="BVJ67" s="378"/>
      <c r="BVK67" s="378"/>
      <c r="BVL67" s="378"/>
      <c r="BVM67" s="378"/>
      <c r="BVN67" s="378"/>
      <c r="BVO67" s="378"/>
      <c r="BVP67" s="378"/>
      <c r="BVQ67" s="378"/>
      <c r="BVR67" s="378"/>
      <c r="BVS67" s="378"/>
      <c r="BVT67" s="378"/>
      <c r="BVU67" s="378"/>
      <c r="BVV67" s="378"/>
      <c r="BVW67" s="378"/>
      <c r="BVX67" s="378"/>
      <c r="BVY67" s="378"/>
      <c r="BVZ67" s="378"/>
      <c r="BWA67" s="378"/>
      <c r="BWB67" s="378"/>
      <c r="BWC67" s="378"/>
      <c r="BWD67" s="378"/>
      <c r="BWE67" s="378"/>
      <c r="BWF67" s="378"/>
      <c r="BWG67" s="378"/>
      <c r="BWH67" s="378"/>
      <c r="BWI67" s="378"/>
      <c r="BWJ67" s="378"/>
      <c r="BWK67" s="378"/>
      <c r="BWL67" s="378"/>
      <c r="BWM67" s="378"/>
      <c r="BWN67" s="378"/>
      <c r="BWO67" s="378"/>
      <c r="BWP67" s="378"/>
      <c r="BWQ67" s="378"/>
      <c r="BWR67" s="378"/>
      <c r="BWS67" s="378"/>
      <c r="BWT67" s="378"/>
      <c r="BWU67" s="378"/>
      <c r="BWV67" s="378"/>
      <c r="BWW67" s="378"/>
      <c r="BWX67" s="378"/>
      <c r="BWY67" s="378"/>
      <c r="BWZ67" s="378"/>
      <c r="BXA67" s="378"/>
      <c r="BXB67" s="378"/>
      <c r="BXC67" s="378"/>
      <c r="BXD67" s="378"/>
      <c r="BXE67" s="378"/>
      <c r="BXF67" s="378"/>
      <c r="BXG67" s="378"/>
      <c r="BXH67" s="378"/>
      <c r="BXI67" s="378"/>
      <c r="BXJ67" s="378"/>
      <c r="BXK67" s="378"/>
      <c r="BXL67" s="378"/>
      <c r="BXM67" s="378"/>
      <c r="BXN67" s="378"/>
      <c r="BXO67" s="378"/>
      <c r="BXP67" s="378"/>
      <c r="BXQ67" s="378"/>
      <c r="BXR67" s="378"/>
      <c r="BXS67" s="378"/>
      <c r="BXT67" s="378"/>
      <c r="BXU67" s="378"/>
      <c r="BXV67" s="378"/>
      <c r="BXW67" s="378"/>
      <c r="BXX67" s="378"/>
      <c r="BXY67" s="378"/>
      <c r="BXZ67" s="378"/>
      <c r="BYA67" s="378"/>
      <c r="BYB67" s="378"/>
      <c r="BYC67" s="378"/>
      <c r="BYD67" s="378"/>
      <c r="BYE67" s="378"/>
      <c r="BYF67" s="378"/>
      <c r="BYG67" s="378"/>
      <c r="BYH67" s="378"/>
      <c r="BYI67" s="378"/>
      <c r="BYJ67" s="378"/>
      <c r="BYK67" s="378"/>
      <c r="BYL67" s="378"/>
      <c r="BYM67" s="378"/>
      <c r="BYN67" s="378"/>
      <c r="BYO67" s="378"/>
      <c r="BYP67" s="378"/>
      <c r="BYQ67" s="378"/>
      <c r="BYR67" s="378"/>
      <c r="BYS67" s="378"/>
      <c r="BYT67" s="378"/>
      <c r="BYU67" s="378"/>
      <c r="BYV67" s="378"/>
      <c r="BYW67" s="378"/>
      <c r="BYX67" s="378"/>
      <c r="BYY67" s="378"/>
      <c r="BYZ67" s="378"/>
      <c r="BZA67" s="378"/>
      <c r="BZB67" s="378"/>
      <c r="BZC67" s="378"/>
      <c r="BZD67" s="378"/>
      <c r="BZE67" s="378"/>
      <c r="BZF67" s="378"/>
      <c r="BZG67" s="378"/>
      <c r="BZH67" s="378"/>
      <c r="BZI67" s="378"/>
      <c r="BZJ67" s="378"/>
      <c r="BZK67" s="378"/>
      <c r="BZL67" s="378"/>
      <c r="BZM67" s="378"/>
      <c r="BZN67" s="378"/>
      <c r="BZO67" s="378"/>
      <c r="BZP67" s="378"/>
      <c r="BZQ67" s="378"/>
      <c r="BZR67" s="378"/>
      <c r="BZS67" s="378"/>
      <c r="BZT67" s="378"/>
      <c r="BZU67" s="378"/>
      <c r="BZV67" s="378"/>
      <c r="BZW67" s="378"/>
      <c r="BZX67" s="378"/>
      <c r="BZY67" s="378"/>
      <c r="BZZ67" s="378"/>
      <c r="CAA67" s="378"/>
      <c r="CAB67" s="378"/>
      <c r="CAC67" s="378"/>
      <c r="CAD67" s="378"/>
      <c r="CAE67" s="378"/>
      <c r="CAF67" s="378"/>
      <c r="CAG67" s="378"/>
      <c r="CAH67" s="378"/>
      <c r="CAI67" s="378"/>
      <c r="CAJ67" s="378"/>
      <c r="CAK67" s="378"/>
      <c r="CAL67" s="378"/>
      <c r="CAM67" s="378"/>
      <c r="CAN67" s="378"/>
      <c r="CAO67" s="378"/>
      <c r="CAP67" s="378"/>
      <c r="CAQ67" s="378"/>
      <c r="CAR67" s="378"/>
      <c r="CAS67" s="378"/>
      <c r="CAT67" s="378"/>
      <c r="CAU67" s="378"/>
      <c r="CAV67" s="378"/>
      <c r="CAW67" s="378"/>
      <c r="CAX67" s="378"/>
      <c r="CAY67" s="378"/>
      <c r="CAZ67" s="378"/>
      <c r="CBA67" s="378"/>
      <c r="CBB67" s="378"/>
      <c r="CBC67" s="378"/>
      <c r="CBD67" s="378"/>
      <c r="CBE67" s="378"/>
      <c r="CBF67" s="378"/>
      <c r="CBG67" s="378"/>
      <c r="CBH67" s="378"/>
      <c r="CBI67" s="378"/>
      <c r="CBJ67" s="378"/>
      <c r="CBK67" s="378"/>
      <c r="CBL67" s="378"/>
      <c r="CBM67" s="378"/>
      <c r="CBN67" s="378"/>
      <c r="CBO67" s="378"/>
      <c r="CBP67" s="378"/>
      <c r="CBQ67" s="378"/>
      <c r="CBR67" s="378"/>
      <c r="CBS67" s="378"/>
      <c r="CBT67" s="378"/>
      <c r="CBU67" s="378"/>
      <c r="CBV67" s="378"/>
      <c r="CBW67" s="378"/>
      <c r="CBX67" s="378"/>
      <c r="CBY67" s="378"/>
      <c r="CBZ67" s="378"/>
      <c r="CCA67" s="378"/>
      <c r="CCB67" s="378"/>
      <c r="CCC67" s="378"/>
      <c r="CCD67" s="378"/>
      <c r="CCE67" s="378"/>
      <c r="CCF67" s="378"/>
      <c r="CCG67" s="378"/>
      <c r="CCH67" s="378"/>
      <c r="CCI67" s="378"/>
      <c r="CCJ67" s="378"/>
      <c r="CCK67" s="378"/>
      <c r="CCL67" s="378"/>
      <c r="CCM67" s="378"/>
      <c r="CCN67" s="378"/>
      <c r="CCO67" s="378"/>
      <c r="CCP67" s="378"/>
      <c r="CCQ67" s="378"/>
      <c r="CCR67" s="378"/>
      <c r="CCS67" s="378"/>
      <c r="CCT67" s="378"/>
      <c r="CCU67" s="378"/>
      <c r="CCV67" s="378"/>
      <c r="CCW67" s="378"/>
      <c r="CCX67" s="378"/>
      <c r="CCY67" s="378"/>
      <c r="CCZ67" s="378"/>
      <c r="CDA67" s="378"/>
      <c r="CDB67" s="378"/>
      <c r="CDC67" s="378"/>
      <c r="CDD67" s="378"/>
      <c r="CDE67" s="378"/>
      <c r="CDF67" s="378"/>
      <c r="CDG67" s="378"/>
      <c r="CDH67" s="378"/>
      <c r="CDI67" s="378"/>
      <c r="CDJ67" s="378"/>
      <c r="CDK67" s="378"/>
      <c r="CDL67" s="378"/>
      <c r="CDM67" s="378"/>
      <c r="CDN67" s="378"/>
      <c r="CDO67" s="378"/>
      <c r="CDP67" s="378"/>
      <c r="CDQ67" s="378"/>
      <c r="CDR67" s="378"/>
      <c r="CDS67" s="378"/>
      <c r="CDT67" s="378"/>
      <c r="CDU67" s="378"/>
      <c r="CDV67" s="378"/>
      <c r="CDW67" s="378"/>
      <c r="CDX67" s="378"/>
      <c r="CDY67" s="378"/>
      <c r="CDZ67" s="378"/>
      <c r="CEA67" s="378"/>
      <c r="CEB67" s="378"/>
      <c r="CEC67" s="378"/>
      <c r="CED67" s="378"/>
      <c r="CEE67" s="378"/>
      <c r="CEF67" s="378"/>
      <c r="CEG67" s="378"/>
      <c r="CEH67" s="378"/>
      <c r="CEI67" s="378"/>
      <c r="CEJ67" s="378"/>
      <c r="CEK67" s="378"/>
      <c r="CEL67" s="378"/>
      <c r="CEM67" s="378"/>
      <c r="CEN67" s="378"/>
      <c r="CEO67" s="378"/>
      <c r="CEP67" s="378"/>
      <c r="CEQ67" s="378"/>
      <c r="CER67" s="378"/>
      <c r="CES67" s="378"/>
      <c r="CET67" s="378"/>
      <c r="CEU67" s="378"/>
      <c r="CEV67" s="378"/>
      <c r="CEW67" s="378"/>
      <c r="CEX67" s="378"/>
      <c r="CEY67" s="378"/>
      <c r="CEZ67" s="378"/>
      <c r="CFA67" s="378"/>
      <c r="CFB67" s="378"/>
      <c r="CFC67" s="378"/>
      <c r="CFD67" s="378"/>
      <c r="CFE67" s="378"/>
      <c r="CFF67" s="378"/>
      <c r="CFG67" s="378"/>
      <c r="CFH67" s="378"/>
      <c r="CFI67" s="378"/>
      <c r="CFJ67" s="378"/>
      <c r="CFK67" s="378"/>
      <c r="CFL67" s="378"/>
      <c r="CFM67" s="378"/>
      <c r="CFN67" s="378"/>
      <c r="CFO67" s="378"/>
      <c r="CFP67" s="378"/>
      <c r="CFQ67" s="378"/>
      <c r="CFR67" s="378"/>
      <c r="CFS67" s="378"/>
      <c r="CFT67" s="378"/>
      <c r="CFU67" s="378"/>
      <c r="CFV67" s="378"/>
      <c r="CFW67" s="378"/>
      <c r="CFX67" s="378"/>
      <c r="CFY67" s="378"/>
      <c r="CFZ67" s="378"/>
      <c r="CGA67" s="378"/>
      <c r="CGB67" s="378"/>
      <c r="CGC67" s="378"/>
      <c r="CGD67" s="378"/>
      <c r="CGE67" s="378"/>
      <c r="CGF67" s="378"/>
      <c r="CGG67" s="378"/>
      <c r="CGH67" s="378"/>
      <c r="CGI67" s="378"/>
      <c r="CGJ67" s="378"/>
      <c r="CGK67" s="378"/>
      <c r="CGL67" s="378"/>
      <c r="CGM67" s="378"/>
      <c r="CGN67" s="378"/>
      <c r="CGO67" s="378"/>
      <c r="CGP67" s="378"/>
      <c r="CGQ67" s="378"/>
      <c r="CGR67" s="378"/>
      <c r="CGS67" s="378"/>
      <c r="CGT67" s="378"/>
      <c r="CGU67" s="378"/>
      <c r="CGV67" s="378"/>
      <c r="CGW67" s="378"/>
      <c r="CGX67" s="378"/>
      <c r="CGY67" s="378"/>
      <c r="CGZ67" s="378"/>
      <c r="CHA67" s="378"/>
      <c r="CHB67" s="378"/>
      <c r="CHC67" s="378"/>
      <c r="CHD67" s="378"/>
      <c r="CHE67" s="378"/>
      <c r="CHF67" s="378"/>
      <c r="CHG67" s="378"/>
      <c r="CHH67" s="378"/>
      <c r="CHI67" s="378"/>
      <c r="CHJ67" s="378"/>
      <c r="CHK67" s="378"/>
      <c r="CHL67" s="378"/>
      <c r="CHM67" s="378"/>
      <c r="CHN67" s="378"/>
      <c r="CHO67" s="378"/>
      <c r="CHP67" s="378"/>
      <c r="CHQ67" s="378"/>
      <c r="CHR67" s="378"/>
      <c r="CHS67" s="378"/>
      <c r="CHT67" s="378"/>
      <c r="CHU67" s="378"/>
      <c r="CHV67" s="378"/>
      <c r="CHW67" s="378"/>
      <c r="CHX67" s="378"/>
      <c r="CHY67" s="378"/>
      <c r="CHZ67" s="378"/>
      <c r="CIA67" s="378"/>
      <c r="CIB67" s="378"/>
      <c r="CIC67" s="378"/>
      <c r="CID67" s="378"/>
      <c r="CIE67" s="378"/>
      <c r="CIF67" s="378"/>
      <c r="CIG67" s="378"/>
      <c r="CIH67" s="378"/>
      <c r="CII67" s="378"/>
      <c r="CIJ67" s="378"/>
      <c r="CIK67" s="378"/>
      <c r="CIL67" s="378"/>
      <c r="CIM67" s="378"/>
      <c r="CIN67" s="378"/>
      <c r="CIO67" s="378"/>
      <c r="CIP67" s="378"/>
      <c r="CIQ67" s="378"/>
      <c r="CIR67" s="378"/>
      <c r="CIS67" s="378"/>
      <c r="CIT67" s="378"/>
      <c r="CIU67" s="378"/>
      <c r="CIV67" s="378"/>
      <c r="CIW67" s="378"/>
      <c r="CIX67" s="378"/>
      <c r="CIY67" s="378"/>
      <c r="CIZ67" s="378"/>
      <c r="CJA67" s="378"/>
      <c r="CJB67" s="378"/>
      <c r="CJC67" s="378"/>
      <c r="CJD67" s="378"/>
      <c r="CJE67" s="378"/>
      <c r="CJF67" s="378"/>
      <c r="CJG67" s="378"/>
      <c r="CJH67" s="378"/>
      <c r="CJI67" s="378"/>
      <c r="CJJ67" s="378"/>
      <c r="CJK67" s="378"/>
      <c r="CJL67" s="378"/>
      <c r="CJM67" s="378"/>
      <c r="CJN67" s="378"/>
      <c r="CJO67" s="378"/>
      <c r="CJP67" s="378"/>
      <c r="CJQ67" s="378"/>
      <c r="CJR67" s="378"/>
      <c r="CJS67" s="378"/>
      <c r="CJT67" s="378"/>
      <c r="CJU67" s="378"/>
      <c r="CJV67" s="378"/>
      <c r="CJW67" s="378"/>
      <c r="CJX67" s="378"/>
      <c r="CJY67" s="378"/>
      <c r="CJZ67" s="378"/>
      <c r="CKA67" s="378"/>
      <c r="CKB67" s="378"/>
      <c r="CKC67" s="378"/>
      <c r="CKD67" s="378"/>
      <c r="CKE67" s="378"/>
      <c r="CKF67" s="378"/>
      <c r="CKG67" s="378"/>
      <c r="CKH67" s="378"/>
      <c r="CKI67" s="378"/>
      <c r="CKJ67" s="378"/>
      <c r="CKK67" s="378"/>
      <c r="CKL67" s="378"/>
      <c r="CKM67" s="378"/>
      <c r="CKN67" s="378"/>
      <c r="CKO67" s="378"/>
      <c r="CKP67" s="378"/>
      <c r="CKQ67" s="378"/>
      <c r="CKR67" s="378"/>
      <c r="CKS67" s="378"/>
      <c r="CKT67" s="378"/>
      <c r="CKU67" s="378"/>
      <c r="CKV67" s="378"/>
      <c r="CKW67" s="378"/>
      <c r="CKX67" s="378"/>
      <c r="CKY67" s="378"/>
      <c r="CKZ67" s="378"/>
      <c r="CLA67" s="378"/>
      <c r="CLB67" s="378"/>
      <c r="CLC67" s="378"/>
      <c r="CLD67" s="378"/>
      <c r="CLE67" s="378"/>
      <c r="CLF67" s="378"/>
      <c r="CLG67" s="378"/>
      <c r="CLH67" s="378"/>
      <c r="CLI67" s="378"/>
      <c r="CLJ67" s="378"/>
      <c r="CLK67" s="378"/>
      <c r="CLL67" s="378"/>
      <c r="CLM67" s="378"/>
      <c r="CLN67" s="378"/>
      <c r="CLO67" s="378"/>
      <c r="CLP67" s="378"/>
      <c r="CLQ67" s="378"/>
      <c r="CLR67" s="378"/>
      <c r="CLS67" s="378"/>
      <c r="CLT67" s="378"/>
      <c r="CLU67" s="378"/>
      <c r="CLV67" s="378"/>
      <c r="CLW67" s="378"/>
      <c r="CLX67" s="378"/>
      <c r="CLY67" s="378"/>
      <c r="CLZ67" s="378"/>
      <c r="CMA67" s="378"/>
      <c r="CMB67" s="378"/>
      <c r="CMC67" s="378"/>
      <c r="CMD67" s="378"/>
      <c r="CME67" s="378"/>
      <c r="CMF67" s="378"/>
      <c r="CMG67" s="378"/>
      <c r="CMH67" s="378"/>
      <c r="CMI67" s="378"/>
      <c r="CMJ67" s="378"/>
      <c r="CMK67" s="378"/>
      <c r="CML67" s="378"/>
      <c r="CMM67" s="378"/>
      <c r="CMN67" s="378"/>
      <c r="CMO67" s="378"/>
      <c r="CMP67" s="378"/>
      <c r="CMQ67" s="378"/>
      <c r="CMR67" s="378"/>
      <c r="CMS67" s="378"/>
      <c r="CMT67" s="378"/>
      <c r="CMU67" s="378"/>
      <c r="CMV67" s="378"/>
      <c r="CMW67" s="378"/>
      <c r="CMX67" s="378"/>
      <c r="CMY67" s="378"/>
      <c r="CMZ67" s="378"/>
      <c r="CNA67" s="378"/>
      <c r="CNB67" s="378"/>
      <c r="CNC67" s="378"/>
      <c r="CND67" s="378"/>
      <c r="CNE67" s="378"/>
      <c r="CNF67" s="378"/>
      <c r="CNG67" s="378"/>
      <c r="CNH67" s="378"/>
      <c r="CNI67" s="378"/>
      <c r="CNJ67" s="378"/>
      <c r="CNK67" s="378"/>
      <c r="CNL67" s="378"/>
      <c r="CNM67" s="378"/>
      <c r="CNN67" s="378"/>
      <c r="CNO67" s="378"/>
      <c r="CNP67" s="378"/>
      <c r="CNQ67" s="378"/>
      <c r="CNR67" s="378"/>
      <c r="CNS67" s="378"/>
      <c r="CNT67" s="378"/>
      <c r="CNU67" s="378"/>
      <c r="CNV67" s="378"/>
      <c r="CNW67" s="378"/>
      <c r="CNX67" s="378"/>
      <c r="CNY67" s="378"/>
      <c r="CNZ67" s="378"/>
      <c r="COA67" s="378"/>
      <c r="COB67" s="378"/>
      <c r="COC67" s="378"/>
      <c r="COD67" s="378"/>
      <c r="COE67" s="378"/>
      <c r="COF67" s="378"/>
      <c r="COG67" s="378"/>
      <c r="COH67" s="378"/>
      <c r="COI67" s="378"/>
      <c r="COJ67" s="378"/>
      <c r="COK67" s="378"/>
      <c r="COL67" s="378"/>
      <c r="COM67" s="378"/>
      <c r="CON67" s="378"/>
      <c r="COO67" s="378"/>
      <c r="COP67" s="378"/>
      <c r="COQ67" s="378"/>
      <c r="COR67" s="378"/>
      <c r="COS67" s="378"/>
      <c r="COT67" s="378"/>
      <c r="COU67" s="378"/>
      <c r="COV67" s="378"/>
      <c r="COW67" s="378"/>
      <c r="COX67" s="378"/>
      <c r="COY67" s="378"/>
      <c r="COZ67" s="378"/>
      <c r="CPA67" s="378"/>
      <c r="CPB67" s="378"/>
      <c r="CPC67" s="378"/>
      <c r="CPD67" s="378"/>
      <c r="CPE67" s="378"/>
      <c r="CPF67" s="378"/>
      <c r="CPG67" s="378"/>
      <c r="CPH67" s="378"/>
      <c r="CPI67" s="378"/>
      <c r="CPJ67" s="378"/>
      <c r="CPK67" s="378"/>
      <c r="CPL67" s="378"/>
      <c r="CPM67" s="378"/>
      <c r="CPN67" s="378"/>
      <c r="CPO67" s="378"/>
      <c r="CPP67" s="378"/>
      <c r="CPQ67" s="378"/>
      <c r="CPR67" s="378"/>
      <c r="CPS67" s="378"/>
      <c r="CPT67" s="378"/>
      <c r="CPU67" s="378"/>
      <c r="CPV67" s="378"/>
      <c r="CPW67" s="378"/>
      <c r="CPX67" s="378"/>
      <c r="CPY67" s="378"/>
      <c r="CPZ67" s="378"/>
      <c r="CQA67" s="378"/>
      <c r="CQB67" s="378"/>
      <c r="CQC67" s="378"/>
      <c r="CQD67" s="378"/>
      <c r="CQE67" s="378"/>
      <c r="CQF67" s="378"/>
      <c r="CQG67" s="378"/>
      <c r="CQH67" s="378"/>
      <c r="CQI67" s="378"/>
      <c r="CQJ67" s="378"/>
      <c r="CQK67" s="378"/>
      <c r="CQL67" s="378"/>
      <c r="CQM67" s="378"/>
      <c r="CQN67" s="378"/>
      <c r="CQO67" s="378"/>
      <c r="CQP67" s="378"/>
      <c r="CQQ67" s="378"/>
      <c r="CQR67" s="378"/>
      <c r="CQS67" s="378"/>
      <c r="CQT67" s="378"/>
      <c r="CQU67" s="378"/>
      <c r="CQV67" s="378"/>
      <c r="CQW67" s="378"/>
      <c r="CQX67" s="378"/>
      <c r="CQY67" s="378"/>
      <c r="CQZ67" s="378"/>
      <c r="CRA67" s="378"/>
      <c r="CRB67" s="378"/>
      <c r="CRC67" s="378"/>
      <c r="CRD67" s="378"/>
      <c r="CRE67" s="378"/>
      <c r="CRF67" s="378"/>
      <c r="CRG67" s="378"/>
      <c r="CRH67" s="378"/>
      <c r="CRI67" s="378"/>
      <c r="CRJ67" s="378"/>
      <c r="CRK67" s="378"/>
      <c r="CRL67" s="378"/>
      <c r="CRM67" s="378"/>
      <c r="CRN67" s="378"/>
      <c r="CRO67" s="378"/>
      <c r="CRP67" s="378"/>
      <c r="CRQ67" s="378"/>
      <c r="CRR67" s="378"/>
      <c r="CRS67" s="378"/>
      <c r="CRT67" s="378"/>
      <c r="CRU67" s="378"/>
      <c r="CRV67" s="378"/>
      <c r="CRW67" s="378"/>
      <c r="CRX67" s="378"/>
      <c r="CRY67" s="378"/>
      <c r="CRZ67" s="378"/>
      <c r="CSA67" s="378"/>
      <c r="CSB67" s="378"/>
      <c r="CSC67" s="378"/>
      <c r="CSD67" s="378"/>
      <c r="CSE67" s="378"/>
      <c r="CSF67" s="378"/>
      <c r="CSG67" s="378"/>
      <c r="CSH67" s="378"/>
      <c r="CSI67" s="378"/>
      <c r="CSJ67" s="378"/>
      <c r="CSK67" s="378"/>
      <c r="CSL67" s="378"/>
      <c r="CSM67" s="378"/>
      <c r="CSN67" s="378"/>
      <c r="CSO67" s="378"/>
      <c r="CSP67" s="378"/>
      <c r="CSQ67" s="378"/>
      <c r="CSR67" s="378"/>
      <c r="CSS67" s="378"/>
      <c r="CST67" s="378"/>
      <c r="CSU67" s="378"/>
      <c r="CSV67" s="378"/>
      <c r="CSW67" s="378"/>
      <c r="CSX67" s="378"/>
      <c r="CSY67" s="378"/>
      <c r="CSZ67" s="378"/>
      <c r="CTA67" s="378"/>
      <c r="CTB67" s="378"/>
      <c r="CTC67" s="378"/>
      <c r="CTD67" s="378"/>
      <c r="CTE67" s="378"/>
      <c r="CTF67" s="378"/>
      <c r="CTG67" s="378"/>
      <c r="CTH67" s="378"/>
      <c r="CTI67" s="378"/>
      <c r="CTJ67" s="378"/>
      <c r="CTK67" s="378"/>
      <c r="CTL67" s="378"/>
      <c r="CTM67" s="378"/>
      <c r="CTN67" s="378"/>
      <c r="CTO67" s="378"/>
      <c r="CTP67" s="378"/>
      <c r="CTQ67" s="378"/>
      <c r="CTR67" s="378"/>
      <c r="CTS67" s="378"/>
      <c r="CTT67" s="378"/>
      <c r="CTU67" s="378"/>
      <c r="CTV67" s="378"/>
      <c r="CTW67" s="378"/>
      <c r="CTX67" s="378"/>
      <c r="CTY67" s="378"/>
      <c r="CTZ67" s="378"/>
      <c r="CUA67" s="378"/>
      <c r="CUB67" s="378"/>
      <c r="CUC67" s="378"/>
      <c r="CUD67" s="378"/>
      <c r="CUE67" s="378"/>
      <c r="CUF67" s="378"/>
      <c r="CUG67" s="378"/>
      <c r="CUH67" s="378"/>
      <c r="CUI67" s="378"/>
      <c r="CUJ67" s="378"/>
      <c r="CUK67" s="378"/>
      <c r="CUL67" s="378"/>
      <c r="CUM67" s="378"/>
      <c r="CUN67" s="378"/>
      <c r="CUO67" s="378"/>
      <c r="CUP67" s="378"/>
      <c r="CUQ67" s="378"/>
      <c r="CUR67" s="378"/>
      <c r="CUS67" s="378"/>
      <c r="CUT67" s="378"/>
      <c r="CUU67" s="378"/>
      <c r="CUV67" s="378"/>
      <c r="CUW67" s="378"/>
      <c r="CUX67" s="378"/>
      <c r="CUY67" s="378"/>
      <c r="CUZ67" s="378"/>
      <c r="CVA67" s="378"/>
      <c r="CVB67" s="378"/>
      <c r="CVC67" s="378"/>
      <c r="CVD67" s="378"/>
      <c r="CVE67" s="378"/>
      <c r="CVF67" s="378"/>
      <c r="CVG67" s="378"/>
      <c r="CVH67" s="378"/>
      <c r="CVI67" s="378"/>
      <c r="CVJ67" s="378"/>
      <c r="CVK67" s="378"/>
      <c r="CVL67" s="378"/>
      <c r="CVM67" s="378"/>
      <c r="CVN67" s="378"/>
      <c r="CVO67" s="378"/>
      <c r="CVP67" s="378"/>
      <c r="CVQ67" s="378"/>
      <c r="CVR67" s="378"/>
      <c r="CVS67" s="378"/>
      <c r="CVT67" s="378"/>
      <c r="CVU67" s="378"/>
      <c r="CVV67" s="378"/>
      <c r="CVW67" s="378"/>
      <c r="CVX67" s="378"/>
      <c r="CVY67" s="378"/>
      <c r="CVZ67" s="378"/>
      <c r="CWA67" s="378"/>
      <c r="CWB67" s="378"/>
      <c r="CWC67" s="378"/>
      <c r="CWD67" s="378"/>
      <c r="CWE67" s="378"/>
      <c r="CWF67" s="378"/>
      <c r="CWG67" s="378"/>
      <c r="CWH67" s="378"/>
      <c r="CWI67" s="378"/>
      <c r="CWJ67" s="378"/>
      <c r="CWK67" s="378"/>
      <c r="CWL67" s="378"/>
      <c r="CWM67" s="378"/>
      <c r="CWN67" s="378"/>
      <c r="CWO67" s="378"/>
      <c r="CWP67" s="378"/>
      <c r="CWQ67" s="378"/>
      <c r="CWR67" s="378"/>
      <c r="CWS67" s="378"/>
      <c r="CWT67" s="378"/>
      <c r="CWU67" s="378"/>
      <c r="CWV67" s="378"/>
      <c r="CWW67" s="378"/>
      <c r="CWX67" s="378"/>
      <c r="CWY67" s="378"/>
      <c r="CWZ67" s="378"/>
      <c r="CXA67" s="378"/>
      <c r="CXB67" s="378"/>
      <c r="CXC67" s="378"/>
      <c r="CXD67" s="378"/>
      <c r="CXE67" s="378"/>
      <c r="CXF67" s="378"/>
      <c r="CXG67" s="378"/>
      <c r="CXH67" s="378"/>
      <c r="CXI67" s="378"/>
      <c r="CXJ67" s="378"/>
      <c r="CXK67" s="378"/>
      <c r="CXL67" s="378"/>
      <c r="CXM67" s="378"/>
      <c r="CXN67" s="378"/>
      <c r="CXO67" s="378"/>
      <c r="CXP67" s="378"/>
      <c r="CXQ67" s="378"/>
      <c r="CXR67" s="378"/>
      <c r="CXS67" s="378"/>
      <c r="CXT67" s="378"/>
      <c r="CXU67" s="378"/>
      <c r="CXV67" s="378"/>
      <c r="CXW67" s="378"/>
      <c r="CXX67" s="378"/>
      <c r="CXY67" s="378"/>
      <c r="CXZ67" s="378"/>
      <c r="CYA67" s="378"/>
      <c r="CYB67" s="378"/>
      <c r="CYC67" s="378"/>
      <c r="CYD67" s="378"/>
      <c r="CYE67" s="378"/>
      <c r="CYF67" s="378"/>
      <c r="CYG67" s="378"/>
      <c r="CYH67" s="378"/>
      <c r="CYI67" s="378"/>
      <c r="CYJ67" s="378"/>
      <c r="CYK67" s="378"/>
      <c r="CYL67" s="378"/>
      <c r="CYM67" s="378"/>
      <c r="CYN67" s="378"/>
      <c r="CYO67" s="378"/>
      <c r="CYP67" s="378"/>
      <c r="CYQ67" s="378"/>
      <c r="CYR67" s="378"/>
      <c r="CYS67" s="378"/>
      <c r="CYT67" s="378"/>
      <c r="CYU67" s="378"/>
      <c r="CYV67" s="378"/>
      <c r="CYW67" s="378"/>
      <c r="CYX67" s="378"/>
      <c r="CYY67" s="378"/>
      <c r="CYZ67" s="378"/>
      <c r="CZA67" s="378"/>
      <c r="CZB67" s="378"/>
      <c r="CZC67" s="378"/>
      <c r="CZD67" s="378"/>
      <c r="CZE67" s="378"/>
      <c r="CZF67" s="378"/>
      <c r="CZG67" s="378"/>
      <c r="CZH67" s="378"/>
      <c r="CZI67" s="378"/>
      <c r="CZJ67" s="378"/>
      <c r="CZK67" s="378"/>
      <c r="CZL67" s="378"/>
      <c r="CZM67" s="378"/>
      <c r="CZN67" s="378"/>
      <c r="CZO67" s="378"/>
      <c r="CZP67" s="378"/>
      <c r="CZQ67" s="378"/>
      <c r="CZR67" s="378"/>
      <c r="CZS67" s="378"/>
      <c r="CZT67" s="378"/>
      <c r="CZU67" s="378"/>
      <c r="CZV67" s="378"/>
      <c r="CZW67" s="378"/>
      <c r="CZX67" s="378"/>
      <c r="CZY67" s="378"/>
      <c r="CZZ67" s="378"/>
      <c r="DAA67" s="378"/>
      <c r="DAB67" s="378"/>
      <c r="DAC67" s="378"/>
      <c r="DAD67" s="378"/>
      <c r="DAE67" s="378"/>
      <c r="DAF67" s="378"/>
      <c r="DAG67" s="378"/>
      <c r="DAH67" s="378"/>
      <c r="DAI67" s="378"/>
      <c r="DAJ67" s="378"/>
      <c r="DAK67" s="378"/>
      <c r="DAL67" s="378"/>
      <c r="DAM67" s="378"/>
      <c r="DAN67" s="378"/>
      <c r="DAO67" s="378"/>
      <c r="DAP67" s="378"/>
      <c r="DAQ67" s="378"/>
      <c r="DAR67" s="378"/>
      <c r="DAS67" s="378"/>
      <c r="DAT67" s="378"/>
      <c r="DAU67" s="378"/>
      <c r="DAV67" s="378"/>
      <c r="DAW67" s="378"/>
      <c r="DAX67" s="378"/>
      <c r="DAY67" s="378"/>
      <c r="DAZ67" s="378"/>
      <c r="DBA67" s="378"/>
      <c r="DBB67" s="378"/>
      <c r="DBC67" s="378"/>
      <c r="DBD67" s="378"/>
      <c r="DBE67" s="378"/>
      <c r="DBF67" s="378"/>
      <c r="DBG67" s="378"/>
      <c r="DBH67" s="378"/>
      <c r="DBI67" s="378"/>
      <c r="DBJ67" s="378"/>
      <c r="DBK67" s="378"/>
      <c r="DBL67" s="378"/>
      <c r="DBM67" s="378"/>
      <c r="DBN67" s="378"/>
      <c r="DBO67" s="378"/>
      <c r="DBP67" s="378"/>
      <c r="DBQ67" s="378"/>
      <c r="DBR67" s="378"/>
      <c r="DBS67" s="378"/>
      <c r="DBT67" s="378"/>
      <c r="DBU67" s="378"/>
      <c r="DBV67" s="378"/>
      <c r="DBW67" s="378"/>
      <c r="DBX67" s="378"/>
      <c r="DBY67" s="378"/>
      <c r="DBZ67" s="378"/>
      <c r="DCA67" s="378"/>
      <c r="DCB67" s="378"/>
      <c r="DCC67" s="378"/>
      <c r="DCD67" s="378"/>
      <c r="DCE67" s="378"/>
      <c r="DCF67" s="378"/>
      <c r="DCG67" s="378"/>
      <c r="DCH67" s="378"/>
      <c r="DCI67" s="378"/>
      <c r="DCJ67" s="378"/>
      <c r="DCK67" s="378"/>
      <c r="DCL67" s="378"/>
      <c r="DCM67" s="378"/>
      <c r="DCN67" s="378"/>
      <c r="DCO67" s="378"/>
      <c r="DCP67" s="378"/>
      <c r="DCQ67" s="378"/>
      <c r="DCR67" s="378"/>
      <c r="DCS67" s="378"/>
      <c r="DCT67" s="378"/>
      <c r="DCU67" s="378"/>
      <c r="DCV67" s="378"/>
      <c r="DCW67" s="378"/>
      <c r="DCX67" s="378"/>
      <c r="DCY67" s="378"/>
      <c r="DCZ67" s="378"/>
      <c r="DDA67" s="378"/>
      <c r="DDB67" s="378"/>
      <c r="DDC67" s="378"/>
      <c r="DDD67" s="378"/>
      <c r="DDE67" s="378"/>
      <c r="DDF67" s="378"/>
      <c r="DDG67" s="378"/>
      <c r="DDH67" s="378"/>
      <c r="DDI67" s="378"/>
      <c r="DDJ67" s="378"/>
      <c r="DDK67" s="378"/>
      <c r="DDL67" s="378"/>
      <c r="DDM67" s="378"/>
      <c r="DDN67" s="378"/>
      <c r="DDO67" s="378"/>
      <c r="DDP67" s="378"/>
      <c r="DDQ67" s="378"/>
      <c r="DDR67" s="378"/>
      <c r="DDS67" s="378"/>
      <c r="DDT67" s="378"/>
      <c r="DDU67" s="378"/>
      <c r="DDV67" s="378"/>
      <c r="DDW67" s="378"/>
      <c r="DDX67" s="378"/>
      <c r="DDY67" s="378"/>
      <c r="DDZ67" s="378"/>
      <c r="DEA67" s="378"/>
      <c r="DEB67" s="378"/>
      <c r="DEC67" s="378"/>
      <c r="DED67" s="378"/>
      <c r="DEE67" s="378"/>
      <c r="DEF67" s="378"/>
      <c r="DEG67" s="378"/>
      <c r="DEH67" s="378"/>
      <c r="DEI67" s="378"/>
      <c r="DEJ67" s="378"/>
      <c r="DEK67" s="378"/>
      <c r="DEL67" s="378"/>
      <c r="DEM67" s="378"/>
      <c r="DEN67" s="378"/>
      <c r="DEO67" s="378"/>
      <c r="DEP67" s="378"/>
      <c r="DEQ67" s="378"/>
      <c r="DER67" s="378"/>
      <c r="DES67" s="378"/>
      <c r="DET67" s="378"/>
      <c r="DEU67" s="378"/>
      <c r="DEV67" s="378"/>
      <c r="DEW67" s="378"/>
      <c r="DEX67" s="378"/>
      <c r="DEY67" s="378"/>
      <c r="DEZ67" s="378"/>
      <c r="DFA67" s="378"/>
      <c r="DFB67" s="378"/>
      <c r="DFC67" s="378"/>
      <c r="DFD67" s="378"/>
      <c r="DFE67" s="378"/>
      <c r="DFF67" s="378"/>
      <c r="DFG67" s="378"/>
      <c r="DFH67" s="378"/>
      <c r="DFI67" s="378"/>
      <c r="DFJ67" s="378"/>
      <c r="DFK67" s="378"/>
      <c r="DFL67" s="378"/>
      <c r="DFM67" s="378"/>
      <c r="DFN67" s="378"/>
      <c r="DFO67" s="378"/>
      <c r="DFP67" s="378"/>
      <c r="DFQ67" s="378"/>
      <c r="DFR67" s="378"/>
      <c r="DFS67" s="378"/>
      <c r="DFT67" s="378"/>
      <c r="DFU67" s="378"/>
      <c r="DFV67" s="378"/>
      <c r="DFW67" s="378"/>
      <c r="DFX67" s="378"/>
      <c r="DFY67" s="378"/>
      <c r="DFZ67" s="378"/>
      <c r="DGA67" s="378"/>
      <c r="DGB67" s="378"/>
      <c r="DGC67" s="378"/>
      <c r="DGD67" s="378"/>
      <c r="DGE67" s="378"/>
      <c r="DGF67" s="378"/>
      <c r="DGG67" s="378"/>
      <c r="DGH67" s="378"/>
      <c r="DGI67" s="378"/>
      <c r="DGJ67" s="378"/>
      <c r="DGK67" s="378"/>
      <c r="DGL67" s="378"/>
      <c r="DGM67" s="378"/>
      <c r="DGN67" s="378"/>
      <c r="DGO67" s="378"/>
      <c r="DGP67" s="378"/>
      <c r="DGQ67" s="378"/>
      <c r="DGR67" s="378"/>
      <c r="DGS67" s="378"/>
      <c r="DGT67" s="378"/>
      <c r="DGU67" s="378"/>
      <c r="DGV67" s="378"/>
      <c r="DGW67" s="378"/>
      <c r="DGX67" s="378"/>
      <c r="DGY67" s="378"/>
      <c r="DGZ67" s="378"/>
      <c r="DHA67" s="378"/>
      <c r="DHB67" s="378"/>
      <c r="DHC67" s="378"/>
      <c r="DHD67" s="378"/>
      <c r="DHE67" s="378"/>
      <c r="DHF67" s="378"/>
      <c r="DHG67" s="378"/>
      <c r="DHH67" s="378"/>
      <c r="DHI67" s="378"/>
      <c r="DHJ67" s="378"/>
      <c r="DHK67" s="378"/>
      <c r="DHL67" s="378"/>
      <c r="DHM67" s="378"/>
      <c r="DHN67" s="378"/>
      <c r="DHO67" s="378"/>
      <c r="DHP67" s="378"/>
      <c r="DHQ67" s="378"/>
      <c r="DHR67" s="378"/>
      <c r="DHS67" s="378"/>
      <c r="DHT67" s="378"/>
      <c r="DHU67" s="378"/>
      <c r="DHV67" s="378"/>
      <c r="DHW67" s="378"/>
      <c r="DHX67" s="378"/>
      <c r="DHY67" s="378"/>
      <c r="DHZ67" s="378"/>
      <c r="DIA67" s="378"/>
      <c r="DIB67" s="378"/>
      <c r="DIC67" s="378"/>
      <c r="DID67" s="378"/>
      <c r="DIE67" s="378"/>
      <c r="DIF67" s="378"/>
      <c r="DIG67" s="378"/>
      <c r="DIH67" s="378"/>
      <c r="DII67" s="378"/>
      <c r="DIJ67" s="378"/>
      <c r="DIK67" s="378"/>
      <c r="DIL67" s="378"/>
      <c r="DIM67" s="378"/>
      <c r="DIN67" s="378"/>
      <c r="DIO67" s="378"/>
      <c r="DIP67" s="378"/>
      <c r="DIQ67" s="378"/>
      <c r="DIR67" s="378"/>
      <c r="DIS67" s="378"/>
      <c r="DIT67" s="378"/>
      <c r="DIU67" s="378"/>
      <c r="DIV67" s="378"/>
      <c r="DIW67" s="378"/>
      <c r="DIX67" s="378"/>
      <c r="DIY67" s="378"/>
      <c r="DIZ67" s="378"/>
      <c r="DJA67" s="378"/>
      <c r="DJB67" s="378"/>
      <c r="DJC67" s="378"/>
      <c r="DJD67" s="378"/>
      <c r="DJE67" s="378"/>
      <c r="DJF67" s="378"/>
      <c r="DJG67" s="378"/>
      <c r="DJH67" s="378"/>
      <c r="DJI67" s="378"/>
      <c r="DJJ67" s="378"/>
      <c r="DJK67" s="378"/>
      <c r="DJL67" s="378"/>
      <c r="DJM67" s="378"/>
      <c r="DJN67" s="378"/>
      <c r="DJO67" s="378"/>
      <c r="DJP67" s="378"/>
      <c r="DJQ67" s="378"/>
      <c r="DJR67" s="378"/>
      <c r="DJS67" s="378"/>
      <c r="DJT67" s="378"/>
      <c r="DJU67" s="378"/>
      <c r="DJV67" s="378"/>
      <c r="DJW67" s="378"/>
      <c r="DJX67" s="378"/>
      <c r="DJY67" s="378"/>
      <c r="DJZ67" s="378"/>
      <c r="DKA67" s="378"/>
      <c r="DKB67" s="378"/>
      <c r="DKC67" s="378"/>
      <c r="DKD67" s="378"/>
      <c r="DKE67" s="378"/>
      <c r="DKF67" s="378"/>
      <c r="DKG67" s="378"/>
      <c r="DKH67" s="378"/>
      <c r="DKI67" s="378"/>
      <c r="DKJ67" s="378"/>
      <c r="DKK67" s="378"/>
      <c r="DKL67" s="378"/>
      <c r="DKM67" s="378"/>
      <c r="DKN67" s="378"/>
      <c r="DKO67" s="378"/>
      <c r="DKP67" s="378"/>
      <c r="DKQ67" s="378"/>
      <c r="DKR67" s="378"/>
      <c r="DKS67" s="378"/>
      <c r="DKT67" s="378"/>
      <c r="DKU67" s="378"/>
      <c r="DKV67" s="378"/>
      <c r="DKW67" s="378"/>
      <c r="DKX67" s="378"/>
      <c r="DKY67" s="378"/>
      <c r="DKZ67" s="378"/>
      <c r="DLA67" s="378"/>
      <c r="DLB67" s="378"/>
      <c r="DLC67" s="378"/>
      <c r="DLD67" s="378"/>
      <c r="DLE67" s="378"/>
      <c r="DLF67" s="378"/>
      <c r="DLG67" s="378"/>
      <c r="DLH67" s="378"/>
      <c r="DLI67" s="378"/>
      <c r="DLJ67" s="378"/>
      <c r="DLK67" s="378"/>
      <c r="DLL67" s="378"/>
      <c r="DLM67" s="378"/>
      <c r="DLN67" s="378"/>
      <c r="DLO67" s="378"/>
      <c r="DLP67" s="378"/>
      <c r="DLQ67" s="378"/>
      <c r="DLR67" s="378"/>
      <c r="DLS67" s="378"/>
      <c r="DLT67" s="378"/>
      <c r="DLU67" s="378"/>
      <c r="DLV67" s="378"/>
      <c r="DLW67" s="378"/>
      <c r="DLX67" s="378"/>
      <c r="DLY67" s="378"/>
      <c r="DLZ67" s="378"/>
      <c r="DMA67" s="378"/>
      <c r="DMB67" s="378"/>
      <c r="DMC67" s="378"/>
      <c r="DMD67" s="378"/>
      <c r="DME67" s="378"/>
      <c r="DMF67" s="378"/>
      <c r="DMG67" s="378"/>
      <c r="DMH67" s="378"/>
      <c r="DMI67" s="378"/>
      <c r="DMJ67" s="378"/>
      <c r="DMK67" s="378"/>
      <c r="DML67" s="378"/>
      <c r="DMM67" s="378"/>
      <c r="DMN67" s="378"/>
      <c r="DMO67" s="378"/>
      <c r="DMP67" s="378"/>
      <c r="DMQ67" s="378"/>
      <c r="DMR67" s="378"/>
      <c r="DMS67" s="378"/>
      <c r="DMT67" s="378"/>
      <c r="DMU67" s="378"/>
      <c r="DMV67" s="378"/>
      <c r="DMW67" s="378"/>
      <c r="DMX67" s="378"/>
      <c r="DMY67" s="378"/>
      <c r="DMZ67" s="378"/>
      <c r="DNA67" s="378"/>
      <c r="DNB67" s="378"/>
      <c r="DNC67" s="378"/>
      <c r="DND67" s="378"/>
      <c r="DNE67" s="378"/>
      <c r="DNF67" s="378"/>
      <c r="DNG67" s="378"/>
      <c r="DNH67" s="378"/>
      <c r="DNI67" s="378"/>
      <c r="DNJ67" s="378"/>
      <c r="DNK67" s="378"/>
      <c r="DNL67" s="378"/>
      <c r="DNM67" s="378"/>
      <c r="DNN67" s="378"/>
      <c r="DNO67" s="378"/>
      <c r="DNP67" s="378"/>
      <c r="DNQ67" s="378"/>
      <c r="DNR67" s="378"/>
      <c r="DNS67" s="378"/>
      <c r="DNT67" s="378"/>
      <c r="DNU67" s="378"/>
      <c r="DNV67" s="378"/>
      <c r="DNW67" s="378"/>
      <c r="DNX67" s="378"/>
      <c r="DNY67" s="378"/>
      <c r="DNZ67" s="378"/>
      <c r="DOA67" s="378"/>
      <c r="DOB67" s="378"/>
      <c r="DOC67" s="378"/>
      <c r="DOD67" s="378"/>
      <c r="DOE67" s="378"/>
      <c r="DOF67" s="378"/>
      <c r="DOG67" s="378"/>
      <c r="DOH67" s="378"/>
      <c r="DOI67" s="378"/>
      <c r="DOJ67" s="378"/>
      <c r="DOK67" s="378"/>
      <c r="DOL67" s="378"/>
      <c r="DOM67" s="378"/>
      <c r="DON67" s="378"/>
      <c r="DOO67" s="378"/>
      <c r="DOP67" s="378"/>
      <c r="DOQ67" s="378"/>
      <c r="DOR67" s="378"/>
      <c r="DOS67" s="378"/>
      <c r="DOT67" s="378"/>
      <c r="DOU67" s="378"/>
      <c r="DOV67" s="378"/>
      <c r="DOW67" s="378"/>
      <c r="DOX67" s="378"/>
      <c r="DOY67" s="378"/>
      <c r="DOZ67" s="378"/>
      <c r="DPA67" s="378"/>
      <c r="DPB67" s="378"/>
      <c r="DPC67" s="378"/>
      <c r="DPD67" s="378"/>
      <c r="DPE67" s="378"/>
      <c r="DPF67" s="378"/>
      <c r="DPG67" s="378"/>
      <c r="DPH67" s="378"/>
      <c r="DPI67" s="378"/>
      <c r="DPJ67" s="378"/>
      <c r="DPK67" s="378"/>
      <c r="DPL67" s="378"/>
      <c r="DPM67" s="378"/>
      <c r="DPN67" s="378"/>
      <c r="DPO67" s="378"/>
      <c r="DPP67" s="378"/>
      <c r="DPQ67" s="378"/>
      <c r="DPR67" s="378"/>
      <c r="DPS67" s="378"/>
      <c r="DPT67" s="378"/>
      <c r="DPU67" s="378"/>
      <c r="DPV67" s="378"/>
      <c r="DPW67" s="378"/>
      <c r="DPX67" s="378"/>
      <c r="DPY67" s="378"/>
      <c r="DPZ67" s="378"/>
      <c r="DQA67" s="378"/>
      <c r="DQB67" s="378"/>
      <c r="DQC67" s="378"/>
      <c r="DQD67" s="378"/>
      <c r="DQE67" s="378"/>
      <c r="DQF67" s="378"/>
      <c r="DQG67" s="378"/>
      <c r="DQH67" s="378"/>
      <c r="DQI67" s="378"/>
      <c r="DQJ67" s="378"/>
      <c r="DQK67" s="378"/>
      <c r="DQL67" s="378"/>
      <c r="DQM67" s="378"/>
      <c r="DQN67" s="378"/>
      <c r="DQO67" s="378"/>
      <c r="DQP67" s="378"/>
      <c r="DQQ67" s="378"/>
      <c r="DQR67" s="378"/>
      <c r="DQS67" s="378"/>
      <c r="DQT67" s="378"/>
      <c r="DQU67" s="378"/>
      <c r="DQV67" s="378"/>
      <c r="DQW67" s="378"/>
      <c r="DQX67" s="378"/>
      <c r="DQY67" s="378"/>
      <c r="DQZ67" s="378"/>
      <c r="DRA67" s="378"/>
      <c r="DRB67" s="378"/>
      <c r="DRC67" s="378"/>
      <c r="DRD67" s="378"/>
      <c r="DRE67" s="378"/>
      <c r="DRF67" s="378"/>
      <c r="DRG67" s="378"/>
      <c r="DRH67" s="378"/>
      <c r="DRI67" s="378"/>
      <c r="DRJ67" s="378"/>
      <c r="DRK67" s="378"/>
      <c r="DRL67" s="378"/>
      <c r="DRM67" s="378"/>
      <c r="DRN67" s="378"/>
      <c r="DRO67" s="378"/>
      <c r="DRP67" s="378"/>
      <c r="DRQ67" s="378"/>
      <c r="DRR67" s="378"/>
      <c r="DRS67" s="378"/>
      <c r="DRT67" s="378"/>
      <c r="DRU67" s="378"/>
      <c r="DRV67" s="378"/>
      <c r="DRW67" s="378"/>
      <c r="DRX67" s="378"/>
      <c r="DRY67" s="378"/>
      <c r="DRZ67" s="378"/>
      <c r="DSA67" s="378"/>
      <c r="DSB67" s="378"/>
      <c r="DSC67" s="378"/>
      <c r="DSD67" s="378"/>
      <c r="DSE67" s="378"/>
      <c r="DSF67" s="378"/>
      <c r="DSG67" s="378"/>
      <c r="DSH67" s="378"/>
      <c r="DSI67" s="378"/>
      <c r="DSJ67" s="378"/>
      <c r="DSK67" s="378"/>
      <c r="DSL67" s="378"/>
      <c r="DSM67" s="378"/>
      <c r="DSN67" s="378"/>
      <c r="DSO67" s="378"/>
      <c r="DSP67" s="378"/>
      <c r="DSQ67" s="378"/>
      <c r="DSR67" s="378"/>
      <c r="DSS67" s="378"/>
      <c r="DST67" s="378"/>
      <c r="DSU67" s="378"/>
      <c r="DSV67" s="378"/>
      <c r="DSW67" s="378"/>
      <c r="DSX67" s="378"/>
      <c r="DSY67" s="378"/>
      <c r="DSZ67" s="378"/>
      <c r="DTA67" s="378"/>
      <c r="DTB67" s="378"/>
      <c r="DTC67" s="378"/>
      <c r="DTD67" s="378"/>
      <c r="DTE67" s="378"/>
      <c r="DTF67" s="378"/>
      <c r="DTG67" s="378"/>
      <c r="DTH67" s="378"/>
      <c r="DTI67" s="378"/>
      <c r="DTJ67" s="378"/>
      <c r="DTK67" s="378"/>
      <c r="DTL67" s="378"/>
      <c r="DTM67" s="378"/>
      <c r="DTN67" s="378"/>
      <c r="DTO67" s="378"/>
      <c r="DTP67" s="378"/>
      <c r="DTQ67" s="378"/>
      <c r="DTR67" s="378"/>
      <c r="DTS67" s="378"/>
      <c r="DTT67" s="378"/>
      <c r="DTU67" s="378"/>
      <c r="DTV67" s="378"/>
      <c r="DTW67" s="378"/>
      <c r="DTX67" s="378"/>
      <c r="DTY67" s="378"/>
      <c r="DTZ67" s="378"/>
      <c r="DUA67" s="378"/>
      <c r="DUB67" s="378"/>
      <c r="DUC67" s="378"/>
      <c r="DUD67" s="378"/>
      <c r="DUE67" s="378"/>
      <c r="DUF67" s="378"/>
      <c r="DUG67" s="378"/>
      <c r="DUH67" s="378"/>
      <c r="DUI67" s="378"/>
      <c r="DUJ67" s="378"/>
      <c r="DUK67" s="378"/>
      <c r="DUL67" s="378"/>
      <c r="DUM67" s="378"/>
      <c r="DUN67" s="378"/>
      <c r="DUO67" s="378"/>
      <c r="DUP67" s="378"/>
      <c r="DUQ67" s="378"/>
      <c r="DUR67" s="378"/>
      <c r="DUS67" s="378"/>
      <c r="DUT67" s="378"/>
      <c r="DUU67" s="378"/>
      <c r="DUV67" s="378"/>
      <c r="DUW67" s="378"/>
      <c r="DUX67" s="378"/>
      <c r="DUY67" s="378"/>
      <c r="DUZ67" s="378"/>
      <c r="DVA67" s="378"/>
      <c r="DVB67" s="378"/>
      <c r="DVC67" s="378"/>
      <c r="DVD67" s="378"/>
      <c r="DVE67" s="378"/>
      <c r="DVF67" s="378"/>
      <c r="DVG67" s="378"/>
      <c r="DVH67" s="378"/>
      <c r="DVI67" s="378"/>
      <c r="DVJ67" s="378"/>
      <c r="DVK67" s="378"/>
      <c r="DVL67" s="378"/>
      <c r="DVM67" s="378"/>
      <c r="DVN67" s="378"/>
      <c r="DVO67" s="378"/>
      <c r="DVP67" s="378"/>
      <c r="DVQ67" s="378"/>
      <c r="DVR67" s="378"/>
      <c r="DVS67" s="378"/>
      <c r="DVT67" s="378"/>
      <c r="DVU67" s="378"/>
      <c r="DVV67" s="378"/>
      <c r="DVW67" s="378"/>
      <c r="DVX67" s="378"/>
      <c r="DVY67" s="378"/>
      <c r="DVZ67" s="378"/>
      <c r="DWA67" s="378"/>
      <c r="DWB67" s="378"/>
      <c r="DWC67" s="378"/>
      <c r="DWD67" s="378"/>
      <c r="DWE67" s="378"/>
      <c r="DWF67" s="378"/>
      <c r="DWG67" s="378"/>
      <c r="DWH67" s="378"/>
      <c r="DWI67" s="378"/>
      <c r="DWJ67" s="378"/>
      <c r="DWK67" s="378"/>
      <c r="DWL67" s="378"/>
      <c r="DWM67" s="378"/>
      <c r="DWN67" s="378"/>
      <c r="DWO67" s="378"/>
      <c r="DWP67" s="378"/>
      <c r="DWQ67" s="378"/>
      <c r="DWR67" s="378"/>
      <c r="DWS67" s="378"/>
      <c r="DWT67" s="378"/>
      <c r="DWU67" s="378"/>
      <c r="DWV67" s="378"/>
      <c r="DWW67" s="378"/>
      <c r="DWX67" s="378"/>
      <c r="DWY67" s="378"/>
      <c r="DWZ67" s="378"/>
      <c r="DXA67" s="378"/>
      <c r="DXB67" s="378"/>
      <c r="DXC67" s="378"/>
      <c r="DXD67" s="378"/>
      <c r="DXE67" s="378"/>
      <c r="DXF67" s="378"/>
      <c r="DXG67" s="378"/>
      <c r="DXH67" s="378"/>
      <c r="DXI67" s="378"/>
      <c r="DXJ67" s="378"/>
      <c r="DXK67" s="378"/>
      <c r="DXL67" s="378"/>
      <c r="DXM67" s="378"/>
      <c r="DXN67" s="378"/>
      <c r="DXO67" s="378"/>
      <c r="DXP67" s="378"/>
      <c r="DXQ67" s="378"/>
      <c r="DXR67" s="378"/>
      <c r="DXS67" s="378"/>
      <c r="DXT67" s="378"/>
      <c r="DXU67" s="378"/>
      <c r="DXV67" s="378"/>
      <c r="DXW67" s="378"/>
      <c r="DXX67" s="378"/>
      <c r="DXY67" s="378"/>
      <c r="DXZ67" s="378"/>
      <c r="DYA67" s="378"/>
      <c r="DYB67" s="378"/>
      <c r="DYC67" s="378"/>
      <c r="DYD67" s="378"/>
      <c r="DYE67" s="378"/>
      <c r="DYF67" s="378"/>
      <c r="DYG67" s="378"/>
      <c r="DYH67" s="378"/>
      <c r="DYI67" s="378"/>
      <c r="DYJ67" s="378"/>
      <c r="DYK67" s="378"/>
      <c r="DYL67" s="378"/>
      <c r="DYM67" s="378"/>
      <c r="DYN67" s="378"/>
      <c r="DYO67" s="378"/>
      <c r="DYP67" s="378"/>
      <c r="DYQ67" s="378"/>
      <c r="DYR67" s="378"/>
      <c r="DYS67" s="378"/>
      <c r="DYT67" s="378"/>
      <c r="DYU67" s="378"/>
      <c r="DYV67" s="378"/>
      <c r="DYW67" s="378"/>
      <c r="DYX67" s="378"/>
      <c r="DYY67" s="378"/>
      <c r="DYZ67" s="378"/>
      <c r="DZA67" s="378"/>
      <c r="DZB67" s="378"/>
      <c r="DZC67" s="378"/>
      <c r="DZD67" s="378"/>
      <c r="DZE67" s="378"/>
      <c r="DZF67" s="378"/>
      <c r="DZG67" s="378"/>
      <c r="DZH67" s="378"/>
      <c r="DZI67" s="378"/>
      <c r="DZJ67" s="378"/>
      <c r="DZK67" s="378"/>
      <c r="DZL67" s="378"/>
      <c r="DZM67" s="378"/>
      <c r="DZN67" s="378"/>
      <c r="DZO67" s="378"/>
      <c r="DZP67" s="378"/>
      <c r="DZQ67" s="378"/>
      <c r="DZR67" s="378"/>
      <c r="DZS67" s="378"/>
      <c r="DZT67" s="378"/>
      <c r="DZU67" s="378"/>
      <c r="DZV67" s="378"/>
      <c r="DZW67" s="378"/>
      <c r="DZX67" s="378"/>
      <c r="DZY67" s="378"/>
      <c r="DZZ67" s="378"/>
      <c r="EAA67" s="378"/>
      <c r="EAB67" s="378"/>
      <c r="EAC67" s="378"/>
      <c r="EAD67" s="378"/>
      <c r="EAE67" s="378"/>
      <c r="EAF67" s="378"/>
      <c r="EAG67" s="378"/>
      <c r="EAH67" s="378"/>
      <c r="EAI67" s="378"/>
      <c r="EAJ67" s="378"/>
      <c r="EAK67" s="378"/>
      <c r="EAL67" s="378"/>
      <c r="EAM67" s="378"/>
      <c r="EAN67" s="378"/>
      <c r="EAO67" s="378"/>
      <c r="EAP67" s="378"/>
      <c r="EAQ67" s="378"/>
      <c r="EAR67" s="378"/>
      <c r="EAS67" s="378"/>
      <c r="EAT67" s="378"/>
      <c r="EAU67" s="378"/>
      <c r="EAV67" s="378"/>
      <c r="EAW67" s="378"/>
      <c r="EAX67" s="378"/>
      <c r="EAY67" s="378"/>
      <c r="EAZ67" s="378"/>
      <c r="EBA67" s="378"/>
      <c r="EBB67" s="378"/>
      <c r="EBC67" s="378"/>
      <c r="EBD67" s="378"/>
      <c r="EBE67" s="378"/>
      <c r="EBF67" s="378"/>
      <c r="EBG67" s="378"/>
      <c r="EBH67" s="378"/>
      <c r="EBI67" s="378"/>
      <c r="EBJ67" s="378"/>
      <c r="EBK67" s="378"/>
      <c r="EBL67" s="378"/>
      <c r="EBM67" s="378"/>
      <c r="EBN67" s="378"/>
      <c r="EBO67" s="378"/>
      <c r="EBP67" s="378"/>
      <c r="EBQ67" s="378"/>
      <c r="EBR67" s="378"/>
      <c r="EBS67" s="378"/>
      <c r="EBT67" s="378"/>
      <c r="EBU67" s="378"/>
      <c r="EBV67" s="378"/>
      <c r="EBW67" s="378"/>
      <c r="EBX67" s="378"/>
      <c r="EBY67" s="378"/>
      <c r="EBZ67" s="378"/>
      <c r="ECA67" s="378"/>
      <c r="ECB67" s="378"/>
      <c r="ECC67" s="378"/>
      <c r="ECD67" s="378"/>
      <c r="ECE67" s="378"/>
      <c r="ECF67" s="378"/>
      <c r="ECG67" s="378"/>
      <c r="ECH67" s="378"/>
      <c r="ECI67" s="378"/>
      <c r="ECJ67" s="378"/>
      <c r="ECK67" s="378"/>
      <c r="ECL67" s="378"/>
      <c r="ECM67" s="378"/>
      <c r="ECN67" s="378"/>
      <c r="ECO67" s="378"/>
      <c r="ECP67" s="378"/>
      <c r="ECQ67" s="378"/>
      <c r="ECR67" s="378"/>
      <c r="ECS67" s="378"/>
      <c r="ECT67" s="378"/>
      <c r="ECU67" s="378"/>
      <c r="ECV67" s="378"/>
      <c r="ECW67" s="378"/>
      <c r="ECX67" s="378"/>
      <c r="ECY67" s="378"/>
      <c r="ECZ67" s="378"/>
      <c r="EDA67" s="378"/>
      <c r="EDB67" s="378"/>
      <c r="EDC67" s="378"/>
      <c r="EDD67" s="378"/>
      <c r="EDE67" s="378"/>
      <c r="EDF67" s="378"/>
      <c r="EDG67" s="378"/>
      <c r="EDH67" s="378"/>
      <c r="EDI67" s="378"/>
      <c r="EDJ67" s="378"/>
      <c r="EDK67" s="378"/>
      <c r="EDL67" s="378"/>
      <c r="EDM67" s="378"/>
      <c r="EDN67" s="378"/>
      <c r="EDO67" s="378"/>
      <c r="EDP67" s="378"/>
      <c r="EDQ67" s="378"/>
      <c r="EDR67" s="378"/>
      <c r="EDS67" s="378"/>
      <c r="EDT67" s="378"/>
      <c r="EDU67" s="378"/>
      <c r="EDV67" s="378"/>
      <c r="EDW67" s="378"/>
      <c r="EDX67" s="378"/>
      <c r="EDY67" s="378"/>
      <c r="EDZ67" s="378"/>
      <c r="EEA67" s="378"/>
      <c r="EEB67" s="378"/>
      <c r="EEC67" s="378"/>
      <c r="EED67" s="378"/>
      <c r="EEE67" s="378"/>
      <c r="EEF67" s="378"/>
      <c r="EEG67" s="378"/>
      <c r="EEH67" s="378"/>
      <c r="EEI67" s="378"/>
      <c r="EEJ67" s="378"/>
      <c r="EEK67" s="378"/>
      <c r="EEL67" s="378"/>
      <c r="EEM67" s="378"/>
      <c r="EEN67" s="378"/>
      <c r="EEO67" s="378"/>
      <c r="EEP67" s="378"/>
      <c r="EEQ67" s="378"/>
      <c r="EER67" s="378"/>
      <c r="EES67" s="378"/>
      <c r="EET67" s="378"/>
      <c r="EEU67" s="378"/>
      <c r="EEV67" s="378"/>
      <c r="EEW67" s="378"/>
      <c r="EEX67" s="378"/>
      <c r="EEY67" s="378"/>
      <c r="EEZ67" s="378"/>
      <c r="EFA67" s="378"/>
      <c r="EFB67" s="378"/>
      <c r="EFC67" s="378"/>
      <c r="EFD67" s="378"/>
      <c r="EFE67" s="378"/>
      <c r="EFF67" s="378"/>
      <c r="EFG67" s="378"/>
      <c r="EFH67" s="378"/>
      <c r="EFI67" s="378"/>
      <c r="EFJ67" s="378"/>
      <c r="EFK67" s="378"/>
      <c r="EFL67" s="378"/>
      <c r="EFM67" s="378"/>
      <c r="EFN67" s="378"/>
      <c r="EFO67" s="378"/>
      <c r="EFP67" s="378"/>
      <c r="EFQ67" s="378"/>
      <c r="EFR67" s="378"/>
      <c r="EFS67" s="378"/>
      <c r="EFT67" s="378"/>
      <c r="EFU67" s="378"/>
      <c r="EFV67" s="378"/>
      <c r="EFW67" s="378"/>
      <c r="EFX67" s="378"/>
      <c r="EFY67" s="378"/>
      <c r="EFZ67" s="378"/>
      <c r="EGA67" s="378"/>
      <c r="EGB67" s="378"/>
      <c r="EGC67" s="378"/>
      <c r="EGD67" s="378"/>
      <c r="EGE67" s="378"/>
      <c r="EGF67" s="378"/>
      <c r="EGG67" s="378"/>
      <c r="EGH67" s="378"/>
      <c r="EGI67" s="378"/>
      <c r="EGJ67" s="378"/>
      <c r="EGK67" s="378"/>
      <c r="EGL67" s="378"/>
      <c r="EGM67" s="378"/>
      <c r="EGN67" s="378"/>
      <c r="EGO67" s="378"/>
      <c r="EGP67" s="378"/>
      <c r="EGQ67" s="378"/>
      <c r="EGR67" s="378"/>
      <c r="EGS67" s="378"/>
      <c r="EGT67" s="378"/>
      <c r="EGU67" s="378"/>
      <c r="EGV67" s="378"/>
      <c r="EGW67" s="378"/>
      <c r="EGX67" s="378"/>
      <c r="EGY67" s="378"/>
      <c r="EGZ67" s="378"/>
      <c r="EHA67" s="378"/>
      <c r="EHB67" s="378"/>
      <c r="EHC67" s="378"/>
      <c r="EHD67" s="378"/>
      <c r="EHE67" s="378"/>
      <c r="EHF67" s="378"/>
      <c r="EHG67" s="378"/>
      <c r="EHH67" s="378"/>
      <c r="EHI67" s="378"/>
      <c r="EHJ67" s="378"/>
      <c r="EHK67" s="378"/>
      <c r="EHL67" s="378"/>
      <c r="EHM67" s="378"/>
      <c r="EHN67" s="378"/>
      <c r="EHO67" s="378"/>
      <c r="EHP67" s="378"/>
      <c r="EHQ67" s="378"/>
      <c r="EHR67" s="378"/>
      <c r="EHS67" s="378"/>
      <c r="EHT67" s="378"/>
      <c r="EHU67" s="378"/>
      <c r="EHV67" s="378"/>
      <c r="EHW67" s="378"/>
      <c r="EHX67" s="378"/>
      <c r="EHY67" s="378"/>
      <c r="EHZ67" s="378"/>
      <c r="EIA67" s="378"/>
      <c r="EIB67" s="378"/>
      <c r="EIC67" s="378"/>
      <c r="EID67" s="378"/>
      <c r="EIE67" s="378"/>
      <c r="EIF67" s="378"/>
      <c r="EIG67" s="378"/>
      <c r="EIH67" s="378"/>
      <c r="EII67" s="378"/>
      <c r="EIJ67" s="378"/>
      <c r="EIK67" s="378"/>
      <c r="EIL67" s="378"/>
      <c r="EIM67" s="378"/>
      <c r="EIN67" s="378"/>
      <c r="EIO67" s="378"/>
      <c r="EIP67" s="378"/>
      <c r="EIQ67" s="378"/>
      <c r="EIR67" s="378"/>
      <c r="EIS67" s="378"/>
      <c r="EIT67" s="378"/>
      <c r="EIU67" s="378"/>
      <c r="EIV67" s="378"/>
      <c r="EIW67" s="378"/>
      <c r="EIX67" s="378"/>
      <c r="EIY67" s="378"/>
      <c r="EIZ67" s="378"/>
      <c r="EJA67" s="378"/>
      <c r="EJB67" s="378"/>
      <c r="EJC67" s="378"/>
      <c r="EJD67" s="378"/>
      <c r="EJE67" s="378"/>
      <c r="EJF67" s="378"/>
      <c r="EJG67" s="378"/>
      <c r="EJH67" s="378"/>
      <c r="EJI67" s="378"/>
      <c r="EJJ67" s="378"/>
      <c r="EJK67" s="378"/>
      <c r="EJL67" s="378"/>
      <c r="EJM67" s="378"/>
      <c r="EJN67" s="378"/>
      <c r="EJO67" s="378"/>
      <c r="EJP67" s="378"/>
      <c r="EJQ67" s="378"/>
      <c r="EJR67" s="378"/>
      <c r="EJS67" s="378"/>
      <c r="EJT67" s="378"/>
      <c r="EJU67" s="378"/>
      <c r="EJV67" s="378"/>
      <c r="EJW67" s="378"/>
      <c r="EJX67" s="378"/>
      <c r="EJY67" s="378"/>
      <c r="EJZ67" s="378"/>
      <c r="EKA67" s="378"/>
      <c r="EKB67" s="378"/>
      <c r="EKC67" s="378"/>
      <c r="EKD67" s="378"/>
      <c r="EKE67" s="378"/>
      <c r="EKF67" s="378"/>
      <c r="EKG67" s="378"/>
      <c r="EKH67" s="378"/>
      <c r="EKI67" s="378"/>
      <c r="EKJ67" s="378"/>
      <c r="EKK67" s="378"/>
      <c r="EKL67" s="378"/>
      <c r="EKM67" s="378"/>
      <c r="EKN67" s="378"/>
      <c r="EKO67" s="378"/>
      <c r="EKP67" s="378"/>
      <c r="EKQ67" s="378"/>
      <c r="EKR67" s="378"/>
      <c r="EKS67" s="378"/>
      <c r="EKT67" s="378"/>
      <c r="EKU67" s="378"/>
      <c r="EKV67" s="378"/>
      <c r="EKW67" s="378"/>
      <c r="EKX67" s="378"/>
      <c r="EKY67" s="378"/>
      <c r="EKZ67" s="378"/>
      <c r="ELA67" s="378"/>
      <c r="ELB67" s="378"/>
      <c r="ELC67" s="378"/>
      <c r="ELD67" s="378"/>
      <c r="ELE67" s="378"/>
      <c r="ELF67" s="378"/>
      <c r="ELG67" s="378"/>
      <c r="ELH67" s="378"/>
      <c r="ELI67" s="378"/>
      <c r="ELJ67" s="378"/>
      <c r="ELK67" s="378"/>
      <c r="ELL67" s="378"/>
      <c r="ELM67" s="378"/>
      <c r="ELN67" s="378"/>
      <c r="ELO67" s="378"/>
      <c r="ELP67" s="378"/>
      <c r="ELQ67" s="378"/>
      <c r="ELR67" s="378"/>
      <c r="ELS67" s="378"/>
      <c r="ELT67" s="378"/>
      <c r="ELU67" s="378"/>
      <c r="ELV67" s="378"/>
      <c r="ELW67" s="378"/>
      <c r="ELX67" s="378"/>
      <c r="ELY67" s="378"/>
      <c r="ELZ67" s="378"/>
      <c r="EMA67" s="378"/>
      <c r="EMB67" s="378"/>
      <c r="EMC67" s="378"/>
      <c r="EMD67" s="378"/>
      <c r="EME67" s="378"/>
      <c r="EMF67" s="378"/>
      <c r="EMG67" s="378"/>
      <c r="EMH67" s="378"/>
      <c r="EMI67" s="378"/>
      <c r="EMJ67" s="378"/>
      <c r="EMK67" s="378"/>
      <c r="EML67" s="378"/>
      <c r="EMM67" s="378"/>
      <c r="EMN67" s="378"/>
      <c r="EMO67" s="378"/>
      <c r="EMP67" s="378"/>
      <c r="EMQ67" s="378"/>
      <c r="EMR67" s="378"/>
      <c r="EMS67" s="378"/>
      <c r="EMT67" s="378"/>
      <c r="EMU67" s="378"/>
      <c r="EMV67" s="378"/>
      <c r="EMW67" s="378"/>
      <c r="EMX67" s="378"/>
      <c r="EMY67" s="378"/>
      <c r="EMZ67" s="378"/>
      <c r="ENA67" s="378"/>
      <c r="ENB67" s="378"/>
      <c r="ENC67" s="378"/>
      <c r="END67" s="378"/>
      <c r="ENE67" s="378"/>
      <c r="ENF67" s="378"/>
      <c r="ENG67" s="378"/>
      <c r="ENH67" s="378"/>
      <c r="ENI67" s="378"/>
      <c r="ENJ67" s="378"/>
      <c r="ENK67" s="378"/>
      <c r="ENL67" s="378"/>
      <c r="ENM67" s="378"/>
      <c r="ENN67" s="378"/>
      <c r="ENO67" s="378"/>
      <c r="ENP67" s="378"/>
      <c r="ENQ67" s="378"/>
      <c r="ENR67" s="378"/>
      <c r="ENS67" s="378"/>
      <c r="ENT67" s="378"/>
      <c r="ENU67" s="378"/>
      <c r="ENV67" s="378"/>
      <c r="ENW67" s="378"/>
      <c r="ENX67" s="378"/>
      <c r="ENY67" s="378"/>
      <c r="ENZ67" s="378"/>
      <c r="EOA67" s="378"/>
      <c r="EOB67" s="378"/>
      <c r="EOC67" s="378"/>
      <c r="EOD67" s="378"/>
      <c r="EOE67" s="378"/>
      <c r="EOF67" s="378"/>
      <c r="EOG67" s="378"/>
      <c r="EOH67" s="378"/>
      <c r="EOI67" s="378"/>
      <c r="EOJ67" s="378"/>
      <c r="EOK67" s="378"/>
      <c r="EOL67" s="378"/>
      <c r="EOM67" s="378"/>
      <c r="EON67" s="378"/>
      <c r="EOO67" s="378"/>
      <c r="EOP67" s="378"/>
      <c r="EOQ67" s="378"/>
      <c r="EOR67" s="378"/>
      <c r="EOS67" s="378"/>
      <c r="EOT67" s="378"/>
      <c r="EOU67" s="378"/>
      <c r="EOV67" s="378"/>
      <c r="EOW67" s="378"/>
      <c r="EOX67" s="378"/>
      <c r="EOY67" s="378"/>
      <c r="EOZ67" s="378"/>
      <c r="EPA67" s="378"/>
      <c r="EPB67" s="378"/>
      <c r="EPC67" s="378"/>
      <c r="EPD67" s="378"/>
      <c r="EPE67" s="378"/>
      <c r="EPF67" s="378"/>
      <c r="EPG67" s="378"/>
      <c r="EPH67" s="378"/>
      <c r="EPI67" s="378"/>
      <c r="EPJ67" s="378"/>
      <c r="EPK67" s="378"/>
      <c r="EPL67" s="378"/>
      <c r="EPM67" s="378"/>
      <c r="EPN67" s="378"/>
      <c r="EPO67" s="378"/>
      <c r="EPP67" s="378"/>
      <c r="EPQ67" s="378"/>
      <c r="EPR67" s="378"/>
      <c r="EPS67" s="378"/>
      <c r="EPT67" s="378"/>
      <c r="EPU67" s="378"/>
      <c r="EPV67" s="378"/>
      <c r="EPW67" s="378"/>
      <c r="EPX67" s="378"/>
      <c r="EPY67" s="378"/>
      <c r="EPZ67" s="378"/>
      <c r="EQA67" s="378"/>
      <c r="EQB67" s="378"/>
      <c r="EQC67" s="378"/>
      <c r="EQD67" s="378"/>
      <c r="EQE67" s="378"/>
      <c r="EQF67" s="378"/>
      <c r="EQG67" s="378"/>
      <c r="EQH67" s="378"/>
      <c r="EQI67" s="378"/>
      <c r="EQJ67" s="378"/>
      <c r="EQK67" s="378"/>
      <c r="EQL67" s="378"/>
      <c r="EQM67" s="378"/>
      <c r="EQN67" s="378"/>
      <c r="EQO67" s="378"/>
      <c r="EQP67" s="378"/>
      <c r="EQQ67" s="378"/>
      <c r="EQR67" s="378"/>
      <c r="EQS67" s="378"/>
      <c r="EQT67" s="378"/>
      <c r="EQU67" s="378"/>
      <c r="EQV67" s="378"/>
      <c r="EQW67" s="378"/>
      <c r="EQX67" s="378"/>
      <c r="EQY67" s="378"/>
      <c r="EQZ67" s="378"/>
      <c r="ERA67" s="378"/>
      <c r="ERB67" s="378"/>
      <c r="ERC67" s="378"/>
      <c r="ERD67" s="378"/>
      <c r="ERE67" s="378"/>
      <c r="ERF67" s="378"/>
      <c r="ERG67" s="378"/>
      <c r="ERH67" s="378"/>
      <c r="ERI67" s="378"/>
      <c r="ERJ67" s="378"/>
      <c r="ERK67" s="378"/>
      <c r="ERL67" s="378"/>
      <c r="ERM67" s="378"/>
      <c r="ERN67" s="378"/>
      <c r="ERO67" s="378"/>
      <c r="ERP67" s="378"/>
      <c r="ERQ67" s="378"/>
      <c r="ERR67" s="378"/>
      <c r="ERS67" s="378"/>
      <c r="ERT67" s="378"/>
      <c r="ERU67" s="378"/>
      <c r="ERV67" s="378"/>
      <c r="ERW67" s="378"/>
      <c r="ERX67" s="378"/>
      <c r="ERY67" s="378"/>
      <c r="ERZ67" s="378"/>
      <c r="ESA67" s="378"/>
      <c r="ESB67" s="378"/>
      <c r="ESC67" s="378"/>
      <c r="ESD67" s="378"/>
      <c r="ESE67" s="378"/>
      <c r="ESF67" s="378"/>
      <c r="ESG67" s="378"/>
      <c r="ESH67" s="378"/>
      <c r="ESI67" s="378"/>
      <c r="ESJ67" s="378"/>
      <c r="ESK67" s="378"/>
      <c r="ESL67" s="378"/>
      <c r="ESM67" s="378"/>
      <c r="ESN67" s="378"/>
      <c r="ESO67" s="378"/>
      <c r="ESP67" s="378"/>
      <c r="ESQ67" s="378"/>
      <c r="ESR67" s="378"/>
      <c r="ESS67" s="378"/>
      <c r="EST67" s="378"/>
      <c r="ESU67" s="378"/>
      <c r="ESV67" s="378"/>
      <c r="ESW67" s="378"/>
      <c r="ESX67" s="378"/>
      <c r="ESY67" s="378"/>
      <c r="ESZ67" s="378"/>
      <c r="ETA67" s="378"/>
      <c r="ETB67" s="378"/>
      <c r="ETC67" s="378"/>
      <c r="ETD67" s="378"/>
      <c r="ETE67" s="378"/>
      <c r="ETF67" s="378"/>
      <c r="ETG67" s="378"/>
      <c r="ETH67" s="378"/>
      <c r="ETI67" s="378"/>
      <c r="ETJ67" s="378"/>
      <c r="ETK67" s="378"/>
      <c r="ETL67" s="378"/>
      <c r="ETM67" s="378"/>
      <c r="ETN67" s="378"/>
      <c r="ETO67" s="378"/>
      <c r="ETP67" s="378"/>
      <c r="ETQ67" s="378"/>
      <c r="ETR67" s="378"/>
      <c r="ETS67" s="378"/>
      <c r="ETT67" s="378"/>
      <c r="ETU67" s="378"/>
      <c r="ETV67" s="378"/>
      <c r="ETW67" s="378"/>
      <c r="ETX67" s="378"/>
      <c r="ETY67" s="378"/>
      <c r="ETZ67" s="378"/>
      <c r="EUA67" s="378"/>
      <c r="EUB67" s="378"/>
      <c r="EUC67" s="378"/>
      <c r="EUD67" s="378"/>
      <c r="EUE67" s="378"/>
      <c r="EUF67" s="378"/>
      <c r="EUG67" s="378"/>
      <c r="EUH67" s="378"/>
      <c r="EUI67" s="378"/>
      <c r="EUJ67" s="378"/>
      <c r="EUK67" s="378"/>
      <c r="EUL67" s="378"/>
      <c r="EUM67" s="378"/>
      <c r="EUN67" s="378"/>
      <c r="EUO67" s="378"/>
      <c r="EUP67" s="378"/>
      <c r="EUQ67" s="378"/>
      <c r="EUR67" s="378"/>
      <c r="EUS67" s="378"/>
      <c r="EUT67" s="378"/>
      <c r="EUU67" s="378"/>
      <c r="EUV67" s="378"/>
      <c r="EUW67" s="378"/>
      <c r="EUX67" s="378"/>
      <c r="EUY67" s="378"/>
      <c r="EUZ67" s="378"/>
      <c r="EVA67" s="378"/>
      <c r="EVB67" s="378"/>
      <c r="EVC67" s="378"/>
      <c r="EVD67" s="378"/>
      <c r="EVE67" s="378"/>
      <c r="EVF67" s="378"/>
      <c r="EVG67" s="378"/>
      <c r="EVH67" s="378"/>
      <c r="EVI67" s="378"/>
      <c r="EVJ67" s="378"/>
      <c r="EVK67" s="378"/>
      <c r="EVL67" s="378"/>
      <c r="EVM67" s="378"/>
      <c r="EVN67" s="378"/>
      <c r="EVO67" s="378"/>
      <c r="EVP67" s="378"/>
      <c r="EVQ67" s="378"/>
      <c r="EVR67" s="378"/>
      <c r="EVS67" s="378"/>
      <c r="EVT67" s="378"/>
      <c r="EVU67" s="378"/>
      <c r="EVV67" s="378"/>
      <c r="EVW67" s="378"/>
      <c r="EVX67" s="378"/>
      <c r="EVY67" s="378"/>
      <c r="EVZ67" s="378"/>
      <c r="EWA67" s="378"/>
      <c r="EWB67" s="378"/>
      <c r="EWC67" s="378"/>
      <c r="EWD67" s="378"/>
      <c r="EWE67" s="378"/>
      <c r="EWF67" s="378"/>
      <c r="EWG67" s="378"/>
      <c r="EWH67" s="378"/>
      <c r="EWI67" s="378"/>
      <c r="EWJ67" s="378"/>
      <c r="EWK67" s="378"/>
      <c r="EWL67" s="378"/>
      <c r="EWM67" s="378"/>
      <c r="EWN67" s="378"/>
      <c r="EWO67" s="378"/>
      <c r="EWP67" s="378"/>
      <c r="EWQ67" s="378"/>
      <c r="EWR67" s="378"/>
      <c r="EWS67" s="378"/>
      <c r="EWT67" s="378"/>
      <c r="EWU67" s="378"/>
      <c r="EWV67" s="378"/>
      <c r="EWW67" s="378"/>
      <c r="EWX67" s="378"/>
      <c r="EWY67" s="378"/>
      <c r="EWZ67" s="378"/>
      <c r="EXA67" s="378"/>
      <c r="EXB67" s="378"/>
      <c r="EXC67" s="378"/>
      <c r="EXD67" s="378"/>
      <c r="EXE67" s="378"/>
      <c r="EXF67" s="378"/>
      <c r="EXG67" s="378"/>
      <c r="EXH67" s="378"/>
      <c r="EXI67" s="378"/>
      <c r="EXJ67" s="378"/>
      <c r="EXK67" s="378"/>
      <c r="EXL67" s="378"/>
      <c r="EXM67" s="378"/>
      <c r="EXN67" s="378"/>
      <c r="EXO67" s="378"/>
      <c r="EXP67" s="378"/>
      <c r="EXQ67" s="378"/>
      <c r="EXR67" s="378"/>
      <c r="EXS67" s="378"/>
      <c r="EXT67" s="378"/>
      <c r="EXU67" s="378"/>
      <c r="EXV67" s="378"/>
      <c r="EXW67" s="378"/>
      <c r="EXX67" s="378"/>
      <c r="EXY67" s="378"/>
      <c r="EXZ67" s="378"/>
      <c r="EYA67" s="378"/>
      <c r="EYB67" s="378"/>
      <c r="EYC67" s="378"/>
      <c r="EYD67" s="378"/>
      <c r="EYE67" s="378"/>
      <c r="EYF67" s="378"/>
      <c r="EYG67" s="378"/>
      <c r="EYH67" s="378"/>
      <c r="EYI67" s="378"/>
      <c r="EYJ67" s="378"/>
      <c r="EYK67" s="378"/>
      <c r="EYL67" s="378"/>
      <c r="EYM67" s="378"/>
      <c r="EYN67" s="378"/>
      <c r="EYO67" s="378"/>
      <c r="EYP67" s="378"/>
      <c r="EYQ67" s="378"/>
      <c r="EYR67" s="378"/>
      <c r="EYS67" s="378"/>
      <c r="EYT67" s="378"/>
      <c r="EYU67" s="378"/>
      <c r="EYV67" s="378"/>
      <c r="EYW67" s="378"/>
      <c r="EYX67" s="378"/>
      <c r="EYY67" s="378"/>
      <c r="EYZ67" s="378"/>
      <c r="EZA67" s="378"/>
      <c r="EZB67" s="378"/>
      <c r="EZC67" s="378"/>
      <c r="EZD67" s="378"/>
      <c r="EZE67" s="378"/>
      <c r="EZF67" s="378"/>
      <c r="EZG67" s="378"/>
      <c r="EZH67" s="378"/>
      <c r="EZI67" s="378"/>
      <c r="EZJ67" s="378"/>
      <c r="EZK67" s="378"/>
      <c r="EZL67" s="378"/>
      <c r="EZM67" s="378"/>
      <c r="EZN67" s="378"/>
      <c r="EZO67" s="378"/>
      <c r="EZP67" s="378"/>
      <c r="EZQ67" s="378"/>
      <c r="EZR67" s="378"/>
      <c r="EZS67" s="378"/>
      <c r="EZT67" s="378"/>
      <c r="EZU67" s="378"/>
      <c r="EZV67" s="378"/>
      <c r="EZW67" s="378"/>
      <c r="EZX67" s="378"/>
      <c r="EZY67" s="378"/>
      <c r="EZZ67" s="378"/>
      <c r="FAA67" s="378"/>
      <c r="FAB67" s="378"/>
      <c r="FAC67" s="378"/>
      <c r="FAD67" s="378"/>
      <c r="FAE67" s="378"/>
      <c r="FAF67" s="378"/>
      <c r="FAG67" s="378"/>
      <c r="FAH67" s="378"/>
      <c r="FAI67" s="378"/>
      <c r="FAJ67" s="378"/>
      <c r="FAK67" s="378"/>
      <c r="FAL67" s="378"/>
      <c r="FAM67" s="378"/>
      <c r="FAN67" s="378"/>
      <c r="FAO67" s="378"/>
      <c r="FAP67" s="378"/>
      <c r="FAQ67" s="378"/>
      <c r="FAR67" s="378"/>
      <c r="FAS67" s="378"/>
      <c r="FAT67" s="378"/>
      <c r="FAU67" s="378"/>
      <c r="FAV67" s="378"/>
      <c r="FAW67" s="378"/>
      <c r="FAX67" s="378"/>
      <c r="FAY67" s="378"/>
      <c r="FAZ67" s="378"/>
      <c r="FBA67" s="378"/>
      <c r="FBB67" s="378"/>
      <c r="FBC67" s="378"/>
      <c r="FBD67" s="378"/>
      <c r="FBE67" s="378"/>
      <c r="FBF67" s="378"/>
      <c r="FBG67" s="378"/>
      <c r="FBH67" s="378"/>
      <c r="FBI67" s="378"/>
      <c r="FBJ67" s="378"/>
      <c r="FBK67" s="378"/>
      <c r="FBL67" s="378"/>
      <c r="FBM67" s="378"/>
      <c r="FBN67" s="378"/>
      <c r="FBO67" s="378"/>
      <c r="FBP67" s="378"/>
      <c r="FBQ67" s="378"/>
      <c r="FBR67" s="378"/>
      <c r="FBS67" s="378"/>
      <c r="FBT67" s="378"/>
      <c r="FBU67" s="378"/>
      <c r="FBV67" s="378"/>
      <c r="FBW67" s="378"/>
      <c r="FBX67" s="378"/>
      <c r="FBY67" s="378"/>
      <c r="FBZ67" s="378"/>
      <c r="FCA67" s="378"/>
      <c r="FCB67" s="378"/>
      <c r="FCC67" s="378"/>
      <c r="FCD67" s="378"/>
      <c r="FCE67" s="378"/>
      <c r="FCF67" s="378"/>
      <c r="FCG67" s="378"/>
      <c r="FCH67" s="378"/>
      <c r="FCI67" s="378"/>
      <c r="FCJ67" s="378"/>
      <c r="FCK67" s="378"/>
      <c r="FCL67" s="378"/>
      <c r="FCM67" s="378"/>
      <c r="FCN67" s="378"/>
      <c r="FCO67" s="378"/>
      <c r="FCP67" s="378"/>
      <c r="FCQ67" s="378"/>
      <c r="FCR67" s="378"/>
      <c r="FCS67" s="378"/>
      <c r="FCT67" s="378"/>
      <c r="FCU67" s="378"/>
      <c r="FCV67" s="378"/>
      <c r="FCW67" s="378"/>
      <c r="FCX67" s="378"/>
      <c r="FCY67" s="378"/>
      <c r="FCZ67" s="378"/>
      <c r="FDA67" s="378"/>
      <c r="FDB67" s="378"/>
      <c r="FDC67" s="378"/>
      <c r="FDD67" s="378"/>
      <c r="FDE67" s="378"/>
      <c r="FDF67" s="378"/>
      <c r="FDG67" s="378"/>
      <c r="FDH67" s="378"/>
      <c r="FDI67" s="378"/>
      <c r="FDJ67" s="378"/>
      <c r="FDK67" s="378"/>
      <c r="FDL67" s="378"/>
      <c r="FDM67" s="378"/>
      <c r="FDN67" s="378"/>
      <c r="FDO67" s="378"/>
      <c r="FDP67" s="378"/>
      <c r="FDQ67" s="378"/>
      <c r="FDR67" s="378"/>
      <c r="FDS67" s="378"/>
      <c r="FDT67" s="378"/>
      <c r="FDU67" s="378"/>
      <c r="FDV67" s="378"/>
      <c r="FDW67" s="378"/>
      <c r="FDX67" s="378"/>
      <c r="FDY67" s="378"/>
      <c r="FDZ67" s="378"/>
      <c r="FEA67" s="378"/>
      <c r="FEB67" s="378"/>
      <c r="FEC67" s="378"/>
      <c r="FED67" s="378"/>
      <c r="FEE67" s="378"/>
      <c r="FEF67" s="378"/>
      <c r="FEG67" s="378"/>
      <c r="FEH67" s="378"/>
      <c r="FEI67" s="378"/>
      <c r="FEJ67" s="378"/>
      <c r="FEK67" s="378"/>
      <c r="FEL67" s="378"/>
      <c r="FEM67" s="378"/>
      <c r="FEN67" s="378"/>
      <c r="FEO67" s="378"/>
      <c r="FEP67" s="378"/>
      <c r="FEQ67" s="378"/>
      <c r="FER67" s="378"/>
      <c r="FES67" s="378"/>
      <c r="FET67" s="378"/>
      <c r="FEU67" s="378"/>
      <c r="FEV67" s="378"/>
      <c r="FEW67" s="378"/>
      <c r="FEX67" s="378"/>
      <c r="FEY67" s="378"/>
      <c r="FEZ67" s="378"/>
      <c r="FFA67" s="378"/>
      <c r="FFB67" s="378"/>
      <c r="FFC67" s="378"/>
      <c r="FFD67" s="378"/>
      <c r="FFE67" s="378"/>
      <c r="FFF67" s="378"/>
      <c r="FFG67" s="378"/>
      <c r="FFH67" s="378"/>
      <c r="FFI67" s="378"/>
      <c r="FFJ67" s="378"/>
      <c r="FFK67" s="378"/>
      <c r="FFL67" s="378"/>
      <c r="FFM67" s="378"/>
      <c r="FFN67" s="378"/>
      <c r="FFO67" s="378"/>
      <c r="FFP67" s="378"/>
      <c r="FFQ67" s="378"/>
      <c r="FFR67" s="378"/>
      <c r="FFS67" s="378"/>
      <c r="FFT67" s="378"/>
      <c r="FFU67" s="378"/>
      <c r="FFV67" s="378"/>
      <c r="FFW67" s="378"/>
      <c r="FFX67" s="378"/>
      <c r="FFY67" s="378"/>
      <c r="FFZ67" s="378"/>
      <c r="FGA67" s="378"/>
      <c r="FGB67" s="378"/>
      <c r="FGC67" s="378"/>
      <c r="FGD67" s="378"/>
      <c r="FGE67" s="378"/>
      <c r="FGF67" s="378"/>
      <c r="FGG67" s="378"/>
      <c r="FGH67" s="378"/>
      <c r="FGI67" s="378"/>
      <c r="FGJ67" s="378"/>
      <c r="FGK67" s="378"/>
      <c r="FGL67" s="378"/>
      <c r="FGM67" s="378"/>
      <c r="FGN67" s="378"/>
      <c r="FGO67" s="378"/>
      <c r="FGP67" s="378"/>
      <c r="FGQ67" s="378"/>
      <c r="FGR67" s="378"/>
      <c r="FGS67" s="378"/>
      <c r="FGT67" s="378"/>
      <c r="FGU67" s="378"/>
      <c r="FGV67" s="378"/>
      <c r="FGW67" s="378"/>
      <c r="FGX67" s="378"/>
      <c r="FGY67" s="378"/>
      <c r="FGZ67" s="378"/>
      <c r="FHA67" s="378"/>
      <c r="FHB67" s="378"/>
      <c r="FHC67" s="378"/>
      <c r="FHD67" s="378"/>
      <c r="FHE67" s="378"/>
      <c r="FHF67" s="378"/>
      <c r="FHG67" s="378"/>
      <c r="FHH67" s="378"/>
      <c r="FHI67" s="378"/>
      <c r="FHJ67" s="378"/>
      <c r="FHK67" s="378"/>
      <c r="FHL67" s="378"/>
      <c r="FHM67" s="378"/>
      <c r="FHN67" s="378"/>
      <c r="FHO67" s="378"/>
      <c r="FHP67" s="378"/>
      <c r="FHQ67" s="378"/>
      <c r="FHR67" s="378"/>
      <c r="FHS67" s="378"/>
      <c r="FHT67" s="378"/>
      <c r="FHU67" s="378"/>
      <c r="FHV67" s="378"/>
      <c r="FHW67" s="378"/>
      <c r="FHX67" s="378"/>
      <c r="FHY67" s="378"/>
      <c r="FHZ67" s="378"/>
      <c r="FIA67" s="378"/>
      <c r="FIB67" s="378"/>
      <c r="FIC67" s="378"/>
      <c r="FID67" s="378"/>
      <c r="FIE67" s="378"/>
      <c r="FIF67" s="378"/>
      <c r="FIG67" s="378"/>
      <c r="FIH67" s="378"/>
      <c r="FII67" s="378"/>
      <c r="FIJ67" s="378"/>
      <c r="FIK67" s="378"/>
      <c r="FIL67" s="378"/>
      <c r="FIM67" s="378"/>
      <c r="FIN67" s="378"/>
      <c r="FIO67" s="378"/>
      <c r="FIP67" s="378"/>
      <c r="FIQ67" s="378"/>
      <c r="FIR67" s="378"/>
      <c r="FIS67" s="378"/>
      <c r="FIT67" s="378"/>
      <c r="FIU67" s="378"/>
      <c r="FIV67" s="378"/>
      <c r="FIW67" s="378"/>
      <c r="FIX67" s="378"/>
      <c r="FIY67" s="378"/>
      <c r="FIZ67" s="378"/>
      <c r="FJA67" s="378"/>
      <c r="FJB67" s="378"/>
      <c r="FJC67" s="378"/>
      <c r="FJD67" s="378"/>
      <c r="FJE67" s="378"/>
      <c r="FJF67" s="378"/>
      <c r="FJG67" s="378"/>
      <c r="FJH67" s="378"/>
      <c r="FJI67" s="378"/>
      <c r="FJJ67" s="378"/>
      <c r="FJK67" s="378"/>
      <c r="FJL67" s="378"/>
      <c r="FJM67" s="378"/>
      <c r="FJN67" s="378"/>
      <c r="FJO67" s="378"/>
      <c r="FJP67" s="378"/>
      <c r="FJQ67" s="378"/>
      <c r="FJR67" s="378"/>
      <c r="FJS67" s="378"/>
      <c r="FJT67" s="378"/>
      <c r="FJU67" s="378"/>
      <c r="FJV67" s="378"/>
      <c r="FJW67" s="378"/>
      <c r="FJX67" s="378"/>
      <c r="FJY67" s="378"/>
      <c r="FJZ67" s="378"/>
      <c r="FKA67" s="378"/>
      <c r="FKB67" s="378"/>
      <c r="FKC67" s="378"/>
      <c r="FKD67" s="378"/>
      <c r="FKE67" s="378"/>
      <c r="FKF67" s="378"/>
      <c r="FKG67" s="378"/>
      <c r="FKH67" s="378"/>
      <c r="FKI67" s="378"/>
      <c r="FKJ67" s="378"/>
      <c r="FKK67" s="378"/>
      <c r="FKL67" s="378"/>
      <c r="FKM67" s="378"/>
      <c r="FKN67" s="378"/>
      <c r="FKO67" s="378"/>
      <c r="FKP67" s="378"/>
      <c r="FKQ67" s="378"/>
      <c r="FKR67" s="378"/>
      <c r="FKS67" s="378"/>
      <c r="FKT67" s="378"/>
      <c r="FKU67" s="378"/>
      <c r="FKV67" s="378"/>
      <c r="FKW67" s="378"/>
      <c r="FKX67" s="378"/>
      <c r="FKY67" s="378"/>
      <c r="FKZ67" s="378"/>
      <c r="FLA67" s="378"/>
      <c r="FLB67" s="378"/>
      <c r="FLC67" s="378"/>
      <c r="FLD67" s="378"/>
      <c r="FLE67" s="378"/>
      <c r="FLF67" s="378"/>
      <c r="FLG67" s="378"/>
      <c r="FLH67" s="378"/>
      <c r="FLI67" s="378"/>
      <c r="FLJ67" s="378"/>
      <c r="FLK67" s="378"/>
      <c r="FLL67" s="378"/>
      <c r="FLM67" s="378"/>
      <c r="FLN67" s="378"/>
      <c r="FLO67" s="378"/>
      <c r="FLP67" s="378"/>
      <c r="FLQ67" s="378"/>
      <c r="FLR67" s="378"/>
      <c r="FLS67" s="378"/>
      <c r="FLT67" s="378"/>
      <c r="FLU67" s="378"/>
      <c r="FLV67" s="378"/>
      <c r="FLW67" s="378"/>
      <c r="FLX67" s="378"/>
      <c r="FLY67" s="378"/>
      <c r="FLZ67" s="378"/>
      <c r="FMA67" s="378"/>
      <c r="FMB67" s="378"/>
      <c r="FMC67" s="378"/>
      <c r="FMD67" s="378"/>
      <c r="FME67" s="378"/>
      <c r="FMF67" s="378"/>
      <c r="FMG67" s="378"/>
      <c r="FMH67" s="378"/>
      <c r="FMI67" s="378"/>
      <c r="FMJ67" s="378"/>
      <c r="FMK67" s="378"/>
      <c r="FML67" s="378"/>
      <c r="FMM67" s="378"/>
      <c r="FMN67" s="378"/>
      <c r="FMO67" s="378"/>
      <c r="FMP67" s="378"/>
      <c r="FMQ67" s="378"/>
      <c r="FMR67" s="378"/>
      <c r="FMS67" s="378"/>
      <c r="FMT67" s="378"/>
      <c r="FMU67" s="378"/>
      <c r="FMV67" s="378"/>
      <c r="FMW67" s="378"/>
      <c r="FMX67" s="378"/>
      <c r="FMY67" s="378"/>
      <c r="FMZ67" s="378"/>
      <c r="FNA67" s="378"/>
      <c r="FNB67" s="378"/>
      <c r="FNC67" s="378"/>
      <c r="FND67" s="378"/>
      <c r="FNE67" s="378"/>
      <c r="FNF67" s="378"/>
      <c r="FNG67" s="378"/>
      <c r="FNH67" s="378"/>
      <c r="FNI67" s="378"/>
      <c r="FNJ67" s="378"/>
      <c r="FNK67" s="378"/>
      <c r="FNL67" s="378"/>
      <c r="FNM67" s="378"/>
      <c r="FNN67" s="378"/>
      <c r="FNO67" s="378"/>
      <c r="FNP67" s="378"/>
      <c r="FNQ67" s="378"/>
      <c r="FNR67" s="378"/>
      <c r="FNS67" s="378"/>
      <c r="FNT67" s="378"/>
      <c r="FNU67" s="378"/>
      <c r="FNV67" s="378"/>
      <c r="FNW67" s="378"/>
      <c r="FNX67" s="378"/>
      <c r="FNY67" s="378"/>
      <c r="FNZ67" s="378"/>
      <c r="FOA67" s="378"/>
      <c r="FOB67" s="378"/>
      <c r="FOC67" s="378"/>
      <c r="FOD67" s="378"/>
      <c r="FOE67" s="378"/>
      <c r="FOF67" s="378"/>
      <c r="FOG67" s="378"/>
      <c r="FOH67" s="378"/>
      <c r="FOI67" s="378"/>
      <c r="FOJ67" s="378"/>
      <c r="FOK67" s="378"/>
      <c r="FOL67" s="378"/>
      <c r="FOM67" s="378"/>
      <c r="FON67" s="378"/>
      <c r="FOO67" s="378"/>
      <c r="FOP67" s="378"/>
      <c r="FOQ67" s="378"/>
      <c r="FOR67" s="378"/>
      <c r="FOS67" s="378"/>
      <c r="FOT67" s="378"/>
      <c r="FOU67" s="378"/>
      <c r="FOV67" s="378"/>
      <c r="FOW67" s="378"/>
      <c r="FOX67" s="378"/>
      <c r="FOY67" s="378"/>
      <c r="FOZ67" s="378"/>
      <c r="FPA67" s="378"/>
      <c r="FPB67" s="378"/>
      <c r="FPC67" s="378"/>
      <c r="FPD67" s="378"/>
      <c r="FPE67" s="378"/>
      <c r="FPF67" s="378"/>
      <c r="FPG67" s="378"/>
      <c r="FPH67" s="378"/>
      <c r="FPI67" s="378"/>
      <c r="FPJ67" s="378"/>
      <c r="FPK67" s="378"/>
      <c r="FPL67" s="378"/>
      <c r="FPM67" s="378"/>
      <c r="FPN67" s="378"/>
      <c r="FPO67" s="378"/>
      <c r="FPP67" s="378"/>
      <c r="FPQ67" s="378"/>
      <c r="FPR67" s="378"/>
      <c r="FPS67" s="378"/>
      <c r="FPT67" s="378"/>
      <c r="FPU67" s="378"/>
      <c r="FPV67" s="378"/>
      <c r="FPW67" s="378"/>
      <c r="FPX67" s="378"/>
      <c r="FPY67" s="378"/>
      <c r="FPZ67" s="378"/>
      <c r="FQA67" s="378"/>
      <c r="FQB67" s="378"/>
      <c r="FQC67" s="378"/>
      <c r="FQD67" s="378"/>
      <c r="FQE67" s="378"/>
      <c r="FQF67" s="378"/>
      <c r="FQG67" s="378"/>
      <c r="FQH67" s="378"/>
      <c r="FQI67" s="378"/>
      <c r="FQJ67" s="378"/>
      <c r="FQK67" s="378"/>
      <c r="FQL67" s="378"/>
      <c r="FQM67" s="378"/>
      <c r="FQN67" s="378"/>
      <c r="FQO67" s="378"/>
      <c r="FQP67" s="378"/>
      <c r="FQQ67" s="378"/>
      <c r="FQR67" s="378"/>
      <c r="FQS67" s="378"/>
      <c r="FQT67" s="378"/>
      <c r="FQU67" s="378"/>
      <c r="FQV67" s="378"/>
      <c r="FQW67" s="378"/>
      <c r="FQX67" s="378"/>
      <c r="FQY67" s="378"/>
      <c r="FQZ67" s="378"/>
      <c r="FRA67" s="378"/>
      <c r="FRB67" s="378"/>
      <c r="FRC67" s="378"/>
      <c r="FRD67" s="378"/>
      <c r="FRE67" s="378"/>
      <c r="FRF67" s="378"/>
      <c r="FRG67" s="378"/>
      <c r="FRH67" s="378"/>
      <c r="FRI67" s="378"/>
      <c r="FRJ67" s="378"/>
      <c r="FRK67" s="378"/>
      <c r="FRL67" s="378"/>
      <c r="FRM67" s="378"/>
      <c r="FRN67" s="378"/>
      <c r="FRO67" s="378"/>
      <c r="FRP67" s="378"/>
      <c r="FRQ67" s="378"/>
      <c r="FRR67" s="378"/>
      <c r="FRS67" s="378"/>
      <c r="FRT67" s="378"/>
      <c r="FRU67" s="378"/>
      <c r="FRV67" s="378"/>
      <c r="FRW67" s="378"/>
      <c r="FRX67" s="378"/>
      <c r="FRY67" s="378"/>
      <c r="FRZ67" s="378"/>
      <c r="FSA67" s="378"/>
      <c r="FSB67" s="378"/>
      <c r="FSC67" s="378"/>
      <c r="FSD67" s="378"/>
      <c r="FSE67" s="378"/>
      <c r="FSF67" s="378"/>
      <c r="FSG67" s="378"/>
      <c r="FSH67" s="378"/>
      <c r="FSI67" s="378"/>
      <c r="FSJ67" s="378"/>
      <c r="FSK67" s="378"/>
      <c r="FSL67" s="378"/>
      <c r="FSM67" s="378"/>
      <c r="FSN67" s="378"/>
      <c r="FSO67" s="378"/>
      <c r="FSP67" s="378"/>
      <c r="FSQ67" s="378"/>
      <c r="FSR67" s="378"/>
      <c r="FSS67" s="378"/>
      <c r="FST67" s="378"/>
      <c r="FSU67" s="378"/>
      <c r="FSV67" s="378"/>
      <c r="FSW67" s="378"/>
      <c r="FSX67" s="378"/>
      <c r="FSY67" s="378"/>
      <c r="FSZ67" s="378"/>
      <c r="FTA67" s="378"/>
      <c r="FTB67" s="378"/>
      <c r="FTC67" s="378"/>
      <c r="FTD67" s="378"/>
      <c r="FTE67" s="378"/>
      <c r="FTF67" s="378"/>
      <c r="FTG67" s="378"/>
      <c r="FTH67" s="378"/>
      <c r="FTI67" s="378"/>
      <c r="FTJ67" s="378"/>
      <c r="FTK67" s="378"/>
      <c r="FTL67" s="378"/>
      <c r="FTM67" s="378"/>
      <c r="FTN67" s="378"/>
      <c r="FTO67" s="378"/>
      <c r="FTP67" s="378"/>
      <c r="FTQ67" s="378"/>
      <c r="FTR67" s="378"/>
      <c r="FTS67" s="378"/>
      <c r="FTT67" s="378"/>
      <c r="FTU67" s="378"/>
      <c r="FTV67" s="378"/>
      <c r="FTW67" s="378"/>
      <c r="FTX67" s="378"/>
      <c r="FTY67" s="378"/>
      <c r="FTZ67" s="378"/>
      <c r="FUA67" s="378"/>
      <c r="FUB67" s="378"/>
      <c r="FUC67" s="378"/>
      <c r="FUD67" s="378"/>
      <c r="FUE67" s="378"/>
      <c r="FUF67" s="378"/>
      <c r="FUG67" s="378"/>
      <c r="FUH67" s="378"/>
      <c r="FUI67" s="378"/>
      <c r="FUJ67" s="378"/>
      <c r="FUK67" s="378"/>
      <c r="FUL67" s="378"/>
      <c r="FUM67" s="378"/>
      <c r="FUN67" s="378"/>
      <c r="FUO67" s="378"/>
      <c r="FUP67" s="378"/>
      <c r="FUQ67" s="378"/>
      <c r="FUR67" s="378"/>
      <c r="FUS67" s="378"/>
      <c r="FUT67" s="378"/>
      <c r="FUU67" s="378"/>
      <c r="FUV67" s="378"/>
      <c r="FUW67" s="378"/>
      <c r="FUX67" s="378"/>
      <c r="FUY67" s="378"/>
      <c r="FUZ67" s="378"/>
      <c r="FVA67" s="378"/>
      <c r="FVB67" s="378"/>
      <c r="FVC67" s="378"/>
      <c r="FVD67" s="378"/>
      <c r="FVE67" s="378"/>
      <c r="FVF67" s="378"/>
      <c r="FVG67" s="378"/>
      <c r="FVH67" s="378"/>
      <c r="FVI67" s="378"/>
      <c r="FVJ67" s="378"/>
      <c r="FVK67" s="378"/>
      <c r="FVL67" s="378"/>
      <c r="FVM67" s="378"/>
      <c r="FVN67" s="378"/>
      <c r="FVO67" s="378"/>
      <c r="FVP67" s="378"/>
      <c r="FVQ67" s="378"/>
      <c r="FVR67" s="378"/>
      <c r="FVS67" s="378"/>
      <c r="FVT67" s="378"/>
      <c r="FVU67" s="378"/>
      <c r="FVV67" s="378"/>
      <c r="FVW67" s="378"/>
      <c r="FVX67" s="378"/>
      <c r="FVY67" s="378"/>
      <c r="FVZ67" s="378"/>
      <c r="FWA67" s="378"/>
      <c r="FWB67" s="378"/>
      <c r="FWC67" s="378"/>
      <c r="FWD67" s="378"/>
      <c r="FWE67" s="378"/>
      <c r="FWF67" s="378"/>
      <c r="FWG67" s="378"/>
      <c r="FWH67" s="378"/>
      <c r="FWI67" s="378"/>
      <c r="FWJ67" s="378"/>
      <c r="FWK67" s="378"/>
      <c r="FWL67" s="378"/>
      <c r="FWM67" s="378"/>
      <c r="FWN67" s="378"/>
      <c r="FWO67" s="378"/>
      <c r="FWP67" s="378"/>
      <c r="FWQ67" s="378"/>
      <c r="FWR67" s="378"/>
      <c r="FWS67" s="378"/>
      <c r="FWT67" s="378"/>
      <c r="FWU67" s="378"/>
      <c r="FWV67" s="378"/>
      <c r="FWW67" s="378"/>
      <c r="FWX67" s="378"/>
      <c r="FWY67" s="378"/>
      <c r="FWZ67" s="378"/>
      <c r="FXA67" s="378"/>
      <c r="FXB67" s="378"/>
      <c r="FXC67" s="378"/>
      <c r="FXD67" s="378"/>
      <c r="FXE67" s="378"/>
      <c r="FXF67" s="378"/>
      <c r="FXG67" s="378"/>
      <c r="FXH67" s="378"/>
      <c r="FXI67" s="378"/>
      <c r="FXJ67" s="378"/>
      <c r="FXK67" s="378"/>
      <c r="FXL67" s="378"/>
      <c r="FXM67" s="378"/>
      <c r="FXN67" s="378"/>
      <c r="FXO67" s="378"/>
      <c r="FXP67" s="378"/>
      <c r="FXQ67" s="378"/>
      <c r="FXR67" s="378"/>
      <c r="FXS67" s="378"/>
      <c r="FXT67" s="378"/>
      <c r="FXU67" s="378"/>
      <c r="FXV67" s="378"/>
      <c r="FXW67" s="378"/>
      <c r="FXX67" s="378"/>
      <c r="FXY67" s="378"/>
      <c r="FXZ67" s="378"/>
      <c r="FYA67" s="378"/>
      <c r="FYB67" s="378"/>
      <c r="FYC67" s="378"/>
      <c r="FYD67" s="378"/>
      <c r="FYE67" s="378"/>
      <c r="FYF67" s="378"/>
      <c r="FYG67" s="378"/>
      <c r="FYH67" s="378"/>
      <c r="FYI67" s="378"/>
      <c r="FYJ67" s="378"/>
      <c r="FYK67" s="378"/>
      <c r="FYL67" s="378"/>
      <c r="FYM67" s="378"/>
      <c r="FYN67" s="378"/>
      <c r="FYO67" s="378"/>
      <c r="FYP67" s="378"/>
      <c r="FYQ67" s="378"/>
      <c r="FYR67" s="378"/>
      <c r="FYS67" s="378"/>
      <c r="FYT67" s="378"/>
      <c r="FYU67" s="378"/>
      <c r="FYV67" s="378"/>
      <c r="FYW67" s="378"/>
      <c r="FYX67" s="378"/>
      <c r="FYY67" s="378"/>
      <c r="FYZ67" s="378"/>
      <c r="FZA67" s="378"/>
      <c r="FZB67" s="378"/>
      <c r="FZC67" s="378"/>
      <c r="FZD67" s="378"/>
      <c r="FZE67" s="378"/>
      <c r="FZF67" s="378"/>
      <c r="FZG67" s="378"/>
      <c r="FZH67" s="378"/>
      <c r="FZI67" s="378"/>
      <c r="FZJ67" s="378"/>
      <c r="FZK67" s="378"/>
      <c r="FZL67" s="378"/>
      <c r="FZM67" s="378"/>
      <c r="FZN67" s="378"/>
      <c r="FZO67" s="378"/>
      <c r="FZP67" s="378"/>
      <c r="FZQ67" s="378"/>
      <c r="FZR67" s="378"/>
      <c r="FZS67" s="378"/>
      <c r="FZT67" s="378"/>
      <c r="FZU67" s="378"/>
      <c r="FZV67" s="378"/>
      <c r="FZW67" s="378"/>
      <c r="FZX67" s="378"/>
      <c r="FZY67" s="378"/>
      <c r="FZZ67" s="378"/>
      <c r="GAA67" s="378"/>
      <c r="GAB67" s="378"/>
      <c r="GAC67" s="378"/>
      <c r="GAD67" s="378"/>
      <c r="GAE67" s="378"/>
      <c r="GAF67" s="378"/>
      <c r="GAG67" s="378"/>
      <c r="GAH67" s="378"/>
      <c r="GAI67" s="378"/>
      <c r="GAJ67" s="378"/>
      <c r="GAK67" s="378"/>
      <c r="GAL67" s="378"/>
      <c r="GAM67" s="378"/>
      <c r="GAN67" s="378"/>
      <c r="GAO67" s="378"/>
      <c r="GAP67" s="378"/>
      <c r="GAQ67" s="378"/>
      <c r="GAR67" s="378"/>
      <c r="GAS67" s="378"/>
      <c r="GAT67" s="378"/>
      <c r="GAU67" s="378"/>
      <c r="GAV67" s="378"/>
      <c r="GAW67" s="378"/>
      <c r="GAX67" s="378"/>
      <c r="GAY67" s="378"/>
      <c r="GAZ67" s="378"/>
      <c r="GBA67" s="378"/>
      <c r="GBB67" s="378"/>
      <c r="GBC67" s="378"/>
      <c r="GBD67" s="378"/>
      <c r="GBE67" s="378"/>
      <c r="GBF67" s="378"/>
      <c r="GBG67" s="378"/>
      <c r="GBH67" s="378"/>
      <c r="GBI67" s="378"/>
      <c r="GBJ67" s="378"/>
      <c r="GBK67" s="378"/>
      <c r="GBL67" s="378"/>
      <c r="GBM67" s="378"/>
      <c r="GBN67" s="378"/>
      <c r="GBO67" s="378"/>
      <c r="GBP67" s="378"/>
      <c r="GBQ67" s="378"/>
      <c r="GBR67" s="378"/>
      <c r="GBS67" s="378"/>
      <c r="GBT67" s="378"/>
      <c r="GBU67" s="378"/>
      <c r="GBV67" s="378"/>
      <c r="GBW67" s="378"/>
      <c r="GBX67" s="378"/>
      <c r="GBY67" s="378"/>
      <c r="GBZ67" s="378"/>
      <c r="GCA67" s="378"/>
      <c r="GCB67" s="378"/>
      <c r="GCC67" s="378"/>
      <c r="GCD67" s="378"/>
      <c r="GCE67" s="378"/>
      <c r="GCF67" s="378"/>
      <c r="GCG67" s="378"/>
      <c r="GCH67" s="378"/>
      <c r="GCI67" s="378"/>
      <c r="GCJ67" s="378"/>
      <c r="GCK67" s="378"/>
      <c r="GCL67" s="378"/>
      <c r="GCM67" s="378"/>
      <c r="GCN67" s="378"/>
      <c r="GCO67" s="378"/>
      <c r="GCP67" s="378"/>
      <c r="GCQ67" s="378"/>
      <c r="GCR67" s="378"/>
      <c r="GCS67" s="378"/>
      <c r="GCT67" s="378"/>
      <c r="GCU67" s="378"/>
      <c r="GCV67" s="378"/>
      <c r="GCW67" s="378"/>
      <c r="GCX67" s="378"/>
      <c r="GCY67" s="378"/>
      <c r="GCZ67" s="378"/>
      <c r="GDA67" s="378"/>
      <c r="GDB67" s="378"/>
      <c r="GDC67" s="378"/>
      <c r="GDD67" s="378"/>
      <c r="GDE67" s="378"/>
      <c r="GDF67" s="378"/>
      <c r="GDG67" s="378"/>
      <c r="GDH67" s="378"/>
      <c r="GDI67" s="378"/>
      <c r="GDJ67" s="378"/>
      <c r="GDK67" s="378"/>
      <c r="GDL67" s="378"/>
      <c r="GDM67" s="378"/>
      <c r="GDN67" s="378"/>
      <c r="GDO67" s="378"/>
      <c r="GDP67" s="378"/>
      <c r="GDQ67" s="378"/>
      <c r="GDR67" s="378"/>
      <c r="GDS67" s="378"/>
      <c r="GDT67" s="378"/>
      <c r="GDU67" s="378"/>
      <c r="GDV67" s="378"/>
      <c r="GDW67" s="378"/>
      <c r="GDX67" s="378"/>
      <c r="GDY67" s="378"/>
      <c r="GDZ67" s="378"/>
      <c r="GEA67" s="378"/>
      <c r="GEB67" s="378"/>
      <c r="GEC67" s="378"/>
      <c r="GED67" s="378"/>
      <c r="GEE67" s="378"/>
      <c r="GEF67" s="378"/>
      <c r="GEG67" s="378"/>
      <c r="GEH67" s="378"/>
      <c r="GEI67" s="378"/>
      <c r="GEJ67" s="378"/>
      <c r="GEK67" s="378"/>
      <c r="GEL67" s="378"/>
      <c r="GEM67" s="378"/>
      <c r="GEN67" s="378"/>
      <c r="GEO67" s="378"/>
      <c r="GEP67" s="378"/>
      <c r="GEQ67" s="378"/>
      <c r="GER67" s="378"/>
      <c r="GES67" s="378"/>
      <c r="GET67" s="378"/>
      <c r="GEU67" s="378"/>
      <c r="GEV67" s="378"/>
      <c r="GEW67" s="378"/>
      <c r="GEX67" s="378"/>
      <c r="GEY67" s="378"/>
      <c r="GEZ67" s="378"/>
      <c r="GFA67" s="378"/>
      <c r="GFB67" s="378"/>
      <c r="GFC67" s="378"/>
      <c r="GFD67" s="378"/>
      <c r="GFE67" s="378"/>
      <c r="GFF67" s="378"/>
      <c r="GFG67" s="378"/>
      <c r="GFH67" s="378"/>
      <c r="GFI67" s="378"/>
      <c r="GFJ67" s="378"/>
      <c r="GFK67" s="378"/>
      <c r="GFL67" s="378"/>
      <c r="GFM67" s="378"/>
      <c r="GFN67" s="378"/>
      <c r="GFO67" s="378"/>
      <c r="GFP67" s="378"/>
      <c r="GFQ67" s="378"/>
      <c r="GFR67" s="378"/>
      <c r="GFS67" s="378"/>
      <c r="GFT67" s="378"/>
      <c r="GFU67" s="378"/>
      <c r="GFV67" s="378"/>
      <c r="GFW67" s="378"/>
      <c r="GFX67" s="378"/>
      <c r="GFY67" s="378"/>
      <c r="GFZ67" s="378"/>
      <c r="GGA67" s="378"/>
      <c r="GGB67" s="378"/>
      <c r="GGC67" s="378"/>
      <c r="GGD67" s="378"/>
      <c r="GGE67" s="378"/>
      <c r="GGF67" s="378"/>
      <c r="GGG67" s="378"/>
      <c r="GGH67" s="378"/>
      <c r="GGI67" s="378"/>
      <c r="GGJ67" s="378"/>
      <c r="GGK67" s="378"/>
      <c r="GGL67" s="378"/>
      <c r="GGM67" s="378"/>
      <c r="GGN67" s="378"/>
      <c r="GGO67" s="378"/>
      <c r="GGP67" s="378"/>
      <c r="GGQ67" s="378"/>
      <c r="GGR67" s="378"/>
      <c r="GGS67" s="378"/>
      <c r="GGT67" s="378"/>
      <c r="GGU67" s="378"/>
      <c r="GGV67" s="378"/>
      <c r="GGW67" s="378"/>
      <c r="GGX67" s="378"/>
      <c r="GGY67" s="378"/>
      <c r="GGZ67" s="378"/>
      <c r="GHA67" s="378"/>
      <c r="GHB67" s="378"/>
      <c r="GHC67" s="378"/>
      <c r="GHD67" s="378"/>
      <c r="GHE67" s="378"/>
      <c r="GHF67" s="378"/>
      <c r="GHG67" s="378"/>
      <c r="GHH67" s="378"/>
      <c r="GHI67" s="378"/>
      <c r="GHJ67" s="378"/>
      <c r="GHK67" s="378"/>
      <c r="GHL67" s="378"/>
      <c r="GHM67" s="378"/>
      <c r="GHN67" s="378"/>
      <c r="GHO67" s="378"/>
      <c r="GHP67" s="378"/>
      <c r="GHQ67" s="378"/>
      <c r="GHR67" s="378"/>
      <c r="GHS67" s="378"/>
      <c r="GHT67" s="378"/>
      <c r="GHU67" s="378"/>
      <c r="GHV67" s="378"/>
      <c r="GHW67" s="378"/>
      <c r="GHX67" s="378"/>
      <c r="GHY67" s="378"/>
      <c r="GHZ67" s="378"/>
      <c r="GIA67" s="378"/>
      <c r="GIB67" s="378"/>
      <c r="GIC67" s="378"/>
      <c r="GID67" s="378"/>
      <c r="GIE67" s="378"/>
      <c r="GIF67" s="378"/>
      <c r="GIG67" s="378"/>
      <c r="GIH67" s="378"/>
      <c r="GII67" s="378"/>
      <c r="GIJ67" s="378"/>
      <c r="GIK67" s="378"/>
      <c r="GIL67" s="378"/>
      <c r="GIM67" s="378"/>
      <c r="GIN67" s="378"/>
      <c r="GIO67" s="378"/>
      <c r="GIP67" s="378"/>
      <c r="GIQ67" s="378"/>
      <c r="GIR67" s="378"/>
      <c r="GIS67" s="378"/>
      <c r="GIT67" s="378"/>
      <c r="GIU67" s="378"/>
      <c r="GIV67" s="378"/>
      <c r="GIW67" s="378"/>
      <c r="GIX67" s="378"/>
      <c r="GIY67" s="378"/>
      <c r="GIZ67" s="378"/>
      <c r="GJA67" s="378"/>
      <c r="GJB67" s="378"/>
      <c r="GJC67" s="378"/>
      <c r="GJD67" s="378"/>
      <c r="GJE67" s="378"/>
      <c r="GJF67" s="378"/>
      <c r="GJG67" s="378"/>
      <c r="GJH67" s="378"/>
      <c r="GJI67" s="378"/>
      <c r="GJJ67" s="378"/>
      <c r="GJK67" s="378"/>
      <c r="GJL67" s="378"/>
      <c r="GJM67" s="378"/>
      <c r="GJN67" s="378"/>
      <c r="GJO67" s="378"/>
      <c r="GJP67" s="378"/>
      <c r="GJQ67" s="378"/>
      <c r="GJR67" s="378"/>
      <c r="GJS67" s="378"/>
      <c r="GJT67" s="378"/>
      <c r="GJU67" s="378"/>
      <c r="GJV67" s="378"/>
      <c r="GJW67" s="378"/>
      <c r="GJX67" s="378"/>
      <c r="GJY67" s="378"/>
      <c r="GJZ67" s="378"/>
      <c r="GKA67" s="378"/>
      <c r="GKB67" s="378"/>
      <c r="GKC67" s="378"/>
      <c r="GKD67" s="378"/>
      <c r="GKE67" s="378"/>
      <c r="GKF67" s="378"/>
      <c r="GKG67" s="378"/>
      <c r="GKH67" s="378"/>
      <c r="GKI67" s="378"/>
      <c r="GKJ67" s="378"/>
      <c r="GKK67" s="378"/>
      <c r="GKL67" s="378"/>
      <c r="GKM67" s="378"/>
      <c r="GKN67" s="378"/>
      <c r="GKO67" s="378"/>
      <c r="GKP67" s="378"/>
      <c r="GKQ67" s="378"/>
      <c r="GKR67" s="378"/>
      <c r="GKS67" s="378"/>
      <c r="GKT67" s="378"/>
      <c r="GKU67" s="378"/>
      <c r="GKV67" s="378"/>
      <c r="GKW67" s="378"/>
      <c r="GKX67" s="378"/>
      <c r="GKY67" s="378"/>
      <c r="GKZ67" s="378"/>
      <c r="GLA67" s="378"/>
      <c r="GLB67" s="378"/>
      <c r="GLC67" s="378"/>
      <c r="GLD67" s="378"/>
      <c r="GLE67" s="378"/>
      <c r="GLF67" s="378"/>
      <c r="GLG67" s="378"/>
      <c r="GLH67" s="378"/>
      <c r="GLI67" s="378"/>
      <c r="GLJ67" s="378"/>
      <c r="GLK67" s="378"/>
      <c r="GLL67" s="378"/>
      <c r="GLM67" s="378"/>
      <c r="GLN67" s="378"/>
      <c r="GLO67" s="378"/>
      <c r="GLP67" s="378"/>
      <c r="GLQ67" s="378"/>
      <c r="GLR67" s="378"/>
      <c r="GLS67" s="378"/>
      <c r="GLT67" s="378"/>
      <c r="GLU67" s="378"/>
      <c r="GLV67" s="378"/>
      <c r="GLW67" s="378"/>
      <c r="GLX67" s="378"/>
      <c r="GLY67" s="378"/>
      <c r="GLZ67" s="378"/>
      <c r="GMA67" s="378"/>
      <c r="GMB67" s="378"/>
      <c r="GMC67" s="378"/>
      <c r="GMD67" s="378"/>
      <c r="GME67" s="378"/>
      <c r="GMF67" s="378"/>
      <c r="GMG67" s="378"/>
      <c r="GMH67" s="378"/>
      <c r="GMI67" s="378"/>
      <c r="GMJ67" s="378"/>
      <c r="GMK67" s="378"/>
      <c r="GML67" s="378"/>
      <c r="GMM67" s="378"/>
      <c r="GMN67" s="378"/>
      <c r="GMO67" s="378"/>
      <c r="GMP67" s="378"/>
      <c r="GMQ67" s="378"/>
      <c r="GMR67" s="378"/>
      <c r="GMS67" s="378"/>
      <c r="GMT67" s="378"/>
      <c r="GMU67" s="378"/>
      <c r="GMV67" s="378"/>
      <c r="GMW67" s="378"/>
      <c r="GMX67" s="378"/>
      <c r="GMY67" s="378"/>
      <c r="GMZ67" s="378"/>
      <c r="GNA67" s="378"/>
      <c r="GNB67" s="378"/>
      <c r="GNC67" s="378"/>
      <c r="GND67" s="378"/>
      <c r="GNE67" s="378"/>
      <c r="GNF67" s="378"/>
      <c r="GNG67" s="378"/>
      <c r="GNH67" s="378"/>
      <c r="GNI67" s="378"/>
      <c r="GNJ67" s="378"/>
      <c r="GNK67" s="378"/>
      <c r="GNL67" s="378"/>
      <c r="GNM67" s="378"/>
      <c r="GNN67" s="378"/>
      <c r="GNO67" s="378"/>
      <c r="GNP67" s="378"/>
      <c r="GNQ67" s="378"/>
      <c r="GNR67" s="378"/>
      <c r="GNS67" s="378"/>
      <c r="GNT67" s="378"/>
      <c r="GNU67" s="378"/>
      <c r="GNV67" s="378"/>
      <c r="GNW67" s="378"/>
      <c r="GNX67" s="378"/>
      <c r="GNY67" s="378"/>
      <c r="GNZ67" s="378"/>
      <c r="GOA67" s="378"/>
      <c r="GOB67" s="378"/>
      <c r="GOC67" s="378"/>
      <c r="GOD67" s="378"/>
      <c r="GOE67" s="378"/>
      <c r="GOF67" s="378"/>
      <c r="GOG67" s="378"/>
      <c r="GOH67" s="378"/>
      <c r="GOI67" s="378"/>
      <c r="GOJ67" s="378"/>
      <c r="GOK67" s="378"/>
      <c r="GOL67" s="378"/>
      <c r="GOM67" s="378"/>
      <c r="GON67" s="378"/>
      <c r="GOO67" s="378"/>
      <c r="GOP67" s="378"/>
      <c r="GOQ67" s="378"/>
      <c r="GOR67" s="378"/>
      <c r="GOS67" s="378"/>
      <c r="GOT67" s="378"/>
      <c r="GOU67" s="378"/>
      <c r="GOV67" s="378"/>
      <c r="GOW67" s="378"/>
      <c r="GOX67" s="378"/>
      <c r="GOY67" s="378"/>
      <c r="GOZ67" s="378"/>
      <c r="GPA67" s="378"/>
      <c r="GPB67" s="378"/>
      <c r="GPC67" s="378"/>
      <c r="GPD67" s="378"/>
      <c r="GPE67" s="378"/>
      <c r="GPF67" s="378"/>
      <c r="GPG67" s="378"/>
      <c r="GPH67" s="378"/>
      <c r="GPI67" s="378"/>
      <c r="GPJ67" s="378"/>
      <c r="GPK67" s="378"/>
      <c r="GPL67" s="378"/>
      <c r="GPM67" s="378"/>
      <c r="GPN67" s="378"/>
      <c r="GPO67" s="378"/>
      <c r="GPP67" s="378"/>
      <c r="GPQ67" s="378"/>
      <c r="GPR67" s="378"/>
      <c r="GPS67" s="378"/>
      <c r="GPT67" s="378"/>
      <c r="GPU67" s="378"/>
      <c r="GPV67" s="378"/>
      <c r="GPW67" s="378"/>
      <c r="GPX67" s="378"/>
      <c r="GPY67" s="378"/>
      <c r="GPZ67" s="378"/>
      <c r="GQA67" s="378"/>
      <c r="GQB67" s="378"/>
      <c r="GQC67" s="378"/>
      <c r="GQD67" s="378"/>
      <c r="GQE67" s="378"/>
      <c r="GQF67" s="378"/>
      <c r="GQG67" s="378"/>
      <c r="GQH67" s="378"/>
      <c r="GQI67" s="378"/>
      <c r="GQJ67" s="378"/>
      <c r="GQK67" s="378"/>
      <c r="GQL67" s="378"/>
      <c r="GQM67" s="378"/>
      <c r="GQN67" s="378"/>
      <c r="GQO67" s="378"/>
      <c r="GQP67" s="378"/>
      <c r="GQQ67" s="378"/>
      <c r="GQR67" s="378"/>
      <c r="GQS67" s="378"/>
      <c r="GQT67" s="378"/>
      <c r="GQU67" s="378"/>
      <c r="GQV67" s="378"/>
      <c r="GQW67" s="378"/>
      <c r="GQX67" s="378"/>
      <c r="GQY67" s="378"/>
      <c r="GQZ67" s="378"/>
      <c r="GRA67" s="378"/>
      <c r="GRB67" s="378"/>
      <c r="GRC67" s="378"/>
      <c r="GRD67" s="378"/>
      <c r="GRE67" s="378"/>
      <c r="GRF67" s="378"/>
      <c r="GRG67" s="378"/>
      <c r="GRH67" s="378"/>
      <c r="GRI67" s="378"/>
      <c r="GRJ67" s="378"/>
      <c r="GRK67" s="378"/>
      <c r="GRL67" s="378"/>
      <c r="GRM67" s="378"/>
      <c r="GRN67" s="378"/>
      <c r="GRO67" s="378"/>
      <c r="GRP67" s="378"/>
      <c r="GRQ67" s="378"/>
      <c r="GRR67" s="378"/>
      <c r="GRS67" s="378"/>
      <c r="GRT67" s="378"/>
      <c r="GRU67" s="378"/>
      <c r="GRV67" s="378"/>
      <c r="GRW67" s="378"/>
      <c r="GRX67" s="378"/>
      <c r="GRY67" s="378"/>
      <c r="GRZ67" s="378"/>
      <c r="GSA67" s="378"/>
      <c r="GSB67" s="378"/>
      <c r="GSC67" s="378"/>
      <c r="GSD67" s="378"/>
      <c r="GSE67" s="378"/>
      <c r="GSF67" s="378"/>
      <c r="GSG67" s="378"/>
      <c r="GSH67" s="378"/>
      <c r="GSI67" s="378"/>
      <c r="GSJ67" s="378"/>
      <c r="GSK67" s="378"/>
      <c r="GSL67" s="378"/>
      <c r="GSM67" s="378"/>
      <c r="GSN67" s="378"/>
      <c r="GSO67" s="378"/>
      <c r="GSP67" s="378"/>
      <c r="GSQ67" s="378"/>
      <c r="GSR67" s="378"/>
      <c r="GSS67" s="378"/>
      <c r="GST67" s="378"/>
      <c r="GSU67" s="378"/>
      <c r="GSV67" s="378"/>
      <c r="GSW67" s="378"/>
      <c r="GSX67" s="378"/>
      <c r="GSY67" s="378"/>
      <c r="GSZ67" s="378"/>
      <c r="GTA67" s="378"/>
      <c r="GTB67" s="378"/>
      <c r="GTC67" s="378"/>
      <c r="GTD67" s="378"/>
      <c r="GTE67" s="378"/>
      <c r="GTF67" s="378"/>
      <c r="GTG67" s="378"/>
      <c r="GTH67" s="378"/>
      <c r="GTI67" s="378"/>
      <c r="GTJ67" s="378"/>
      <c r="GTK67" s="378"/>
      <c r="GTL67" s="378"/>
      <c r="GTM67" s="378"/>
      <c r="GTN67" s="378"/>
      <c r="GTO67" s="378"/>
      <c r="GTP67" s="378"/>
      <c r="GTQ67" s="378"/>
      <c r="GTR67" s="378"/>
      <c r="GTS67" s="378"/>
      <c r="GTT67" s="378"/>
      <c r="GTU67" s="378"/>
      <c r="GTV67" s="378"/>
      <c r="GTW67" s="378"/>
      <c r="GTX67" s="378"/>
      <c r="GTY67" s="378"/>
      <c r="GTZ67" s="378"/>
      <c r="GUA67" s="378"/>
      <c r="GUB67" s="378"/>
      <c r="GUC67" s="378"/>
      <c r="GUD67" s="378"/>
      <c r="GUE67" s="378"/>
      <c r="GUF67" s="378"/>
      <c r="GUG67" s="378"/>
      <c r="GUH67" s="378"/>
      <c r="GUI67" s="378"/>
      <c r="GUJ67" s="378"/>
      <c r="GUK67" s="378"/>
      <c r="GUL67" s="378"/>
      <c r="GUM67" s="378"/>
      <c r="GUN67" s="378"/>
      <c r="GUO67" s="378"/>
      <c r="GUP67" s="378"/>
      <c r="GUQ67" s="378"/>
      <c r="GUR67" s="378"/>
      <c r="GUS67" s="378"/>
      <c r="GUT67" s="378"/>
      <c r="GUU67" s="378"/>
      <c r="GUV67" s="378"/>
      <c r="GUW67" s="378"/>
      <c r="GUX67" s="378"/>
      <c r="GUY67" s="378"/>
      <c r="GUZ67" s="378"/>
      <c r="GVA67" s="378"/>
      <c r="GVB67" s="378"/>
      <c r="GVC67" s="378"/>
      <c r="GVD67" s="378"/>
      <c r="GVE67" s="378"/>
      <c r="GVF67" s="378"/>
      <c r="GVG67" s="378"/>
      <c r="GVH67" s="378"/>
      <c r="GVI67" s="378"/>
      <c r="GVJ67" s="378"/>
      <c r="GVK67" s="378"/>
      <c r="GVL67" s="378"/>
      <c r="GVM67" s="378"/>
      <c r="GVN67" s="378"/>
      <c r="GVO67" s="378"/>
      <c r="GVP67" s="378"/>
      <c r="GVQ67" s="378"/>
      <c r="GVR67" s="378"/>
      <c r="GVS67" s="378"/>
      <c r="GVT67" s="378"/>
      <c r="GVU67" s="378"/>
      <c r="GVV67" s="378"/>
      <c r="GVW67" s="378"/>
      <c r="GVX67" s="378"/>
      <c r="GVY67" s="378"/>
      <c r="GVZ67" s="378"/>
      <c r="GWA67" s="378"/>
      <c r="GWB67" s="378"/>
      <c r="GWC67" s="378"/>
      <c r="GWD67" s="378"/>
      <c r="GWE67" s="378"/>
      <c r="GWF67" s="378"/>
      <c r="GWG67" s="378"/>
      <c r="GWH67" s="378"/>
      <c r="GWI67" s="378"/>
      <c r="GWJ67" s="378"/>
      <c r="GWK67" s="378"/>
      <c r="GWL67" s="378"/>
      <c r="GWM67" s="378"/>
      <c r="GWN67" s="378"/>
      <c r="GWO67" s="378"/>
      <c r="GWP67" s="378"/>
      <c r="GWQ67" s="378"/>
      <c r="GWR67" s="378"/>
      <c r="GWS67" s="378"/>
      <c r="GWT67" s="378"/>
      <c r="GWU67" s="378"/>
      <c r="GWV67" s="378"/>
      <c r="GWW67" s="378"/>
      <c r="GWX67" s="378"/>
      <c r="GWY67" s="378"/>
      <c r="GWZ67" s="378"/>
      <c r="GXA67" s="378"/>
      <c r="GXB67" s="378"/>
      <c r="GXC67" s="378"/>
      <c r="GXD67" s="378"/>
      <c r="GXE67" s="378"/>
      <c r="GXF67" s="378"/>
      <c r="GXG67" s="378"/>
      <c r="GXH67" s="378"/>
      <c r="GXI67" s="378"/>
      <c r="GXJ67" s="378"/>
      <c r="GXK67" s="378"/>
      <c r="GXL67" s="378"/>
      <c r="GXM67" s="378"/>
      <c r="GXN67" s="378"/>
      <c r="GXO67" s="378"/>
      <c r="GXP67" s="378"/>
      <c r="GXQ67" s="378"/>
      <c r="GXR67" s="378"/>
      <c r="GXS67" s="378"/>
      <c r="GXT67" s="378"/>
      <c r="GXU67" s="378"/>
      <c r="GXV67" s="378"/>
      <c r="GXW67" s="378"/>
      <c r="GXX67" s="378"/>
      <c r="GXY67" s="378"/>
      <c r="GXZ67" s="378"/>
      <c r="GYA67" s="378"/>
      <c r="GYB67" s="378"/>
      <c r="GYC67" s="378"/>
      <c r="GYD67" s="378"/>
      <c r="GYE67" s="378"/>
      <c r="GYF67" s="378"/>
      <c r="GYG67" s="378"/>
      <c r="GYH67" s="378"/>
      <c r="GYI67" s="378"/>
      <c r="GYJ67" s="378"/>
      <c r="GYK67" s="378"/>
      <c r="GYL67" s="378"/>
      <c r="GYM67" s="378"/>
      <c r="GYN67" s="378"/>
      <c r="GYO67" s="378"/>
      <c r="GYP67" s="378"/>
      <c r="GYQ67" s="378"/>
      <c r="GYR67" s="378"/>
      <c r="GYS67" s="378"/>
      <c r="GYT67" s="378"/>
      <c r="GYU67" s="378"/>
      <c r="GYV67" s="378"/>
      <c r="GYW67" s="378"/>
      <c r="GYX67" s="378"/>
      <c r="GYY67" s="378"/>
      <c r="GYZ67" s="378"/>
      <c r="GZA67" s="378"/>
      <c r="GZB67" s="378"/>
      <c r="GZC67" s="378"/>
      <c r="GZD67" s="378"/>
      <c r="GZE67" s="378"/>
      <c r="GZF67" s="378"/>
      <c r="GZG67" s="378"/>
      <c r="GZH67" s="378"/>
      <c r="GZI67" s="378"/>
      <c r="GZJ67" s="378"/>
      <c r="GZK67" s="378"/>
      <c r="GZL67" s="378"/>
      <c r="GZM67" s="378"/>
      <c r="GZN67" s="378"/>
      <c r="GZO67" s="378"/>
      <c r="GZP67" s="378"/>
      <c r="GZQ67" s="378"/>
      <c r="GZR67" s="378"/>
      <c r="GZS67" s="378"/>
      <c r="GZT67" s="378"/>
      <c r="GZU67" s="378"/>
      <c r="GZV67" s="378"/>
      <c r="GZW67" s="378"/>
      <c r="GZX67" s="378"/>
      <c r="GZY67" s="378"/>
      <c r="GZZ67" s="378"/>
      <c r="HAA67" s="378"/>
      <c r="HAB67" s="378"/>
      <c r="HAC67" s="378"/>
      <c r="HAD67" s="378"/>
      <c r="HAE67" s="378"/>
      <c r="HAF67" s="378"/>
      <c r="HAG67" s="378"/>
      <c r="HAH67" s="378"/>
      <c r="HAI67" s="378"/>
      <c r="HAJ67" s="378"/>
      <c r="HAK67" s="378"/>
      <c r="HAL67" s="378"/>
      <c r="HAM67" s="378"/>
      <c r="HAN67" s="378"/>
      <c r="HAO67" s="378"/>
      <c r="HAP67" s="378"/>
      <c r="HAQ67" s="378"/>
      <c r="HAR67" s="378"/>
      <c r="HAS67" s="378"/>
      <c r="HAT67" s="378"/>
      <c r="HAU67" s="378"/>
      <c r="HAV67" s="378"/>
      <c r="HAW67" s="378"/>
      <c r="HAX67" s="378"/>
      <c r="HAY67" s="378"/>
      <c r="HAZ67" s="378"/>
      <c r="HBA67" s="378"/>
      <c r="HBB67" s="378"/>
      <c r="HBC67" s="378"/>
      <c r="HBD67" s="378"/>
      <c r="HBE67" s="378"/>
      <c r="HBF67" s="378"/>
      <c r="HBG67" s="378"/>
      <c r="HBH67" s="378"/>
      <c r="HBI67" s="378"/>
      <c r="HBJ67" s="378"/>
      <c r="HBK67" s="378"/>
      <c r="HBL67" s="378"/>
      <c r="HBM67" s="378"/>
      <c r="HBN67" s="378"/>
      <c r="HBO67" s="378"/>
      <c r="HBP67" s="378"/>
      <c r="HBQ67" s="378"/>
      <c r="HBR67" s="378"/>
      <c r="HBS67" s="378"/>
      <c r="HBT67" s="378"/>
      <c r="HBU67" s="378"/>
      <c r="HBV67" s="378"/>
      <c r="HBW67" s="378"/>
      <c r="HBX67" s="378"/>
      <c r="HBY67" s="378"/>
      <c r="HBZ67" s="378"/>
      <c r="HCA67" s="378"/>
      <c r="HCB67" s="378"/>
      <c r="HCC67" s="378"/>
      <c r="HCD67" s="378"/>
      <c r="HCE67" s="378"/>
      <c r="HCF67" s="378"/>
      <c r="HCG67" s="378"/>
      <c r="HCH67" s="378"/>
      <c r="HCI67" s="378"/>
      <c r="HCJ67" s="378"/>
      <c r="HCK67" s="378"/>
      <c r="HCL67" s="378"/>
      <c r="HCM67" s="378"/>
      <c r="HCN67" s="378"/>
      <c r="HCO67" s="378"/>
      <c r="HCP67" s="378"/>
      <c r="HCQ67" s="378"/>
      <c r="HCR67" s="378"/>
      <c r="HCS67" s="378"/>
      <c r="HCT67" s="378"/>
      <c r="HCU67" s="378"/>
      <c r="HCV67" s="378"/>
      <c r="HCW67" s="378"/>
      <c r="HCX67" s="378"/>
      <c r="HCY67" s="378"/>
      <c r="HCZ67" s="378"/>
      <c r="HDA67" s="378"/>
      <c r="HDB67" s="378"/>
      <c r="HDC67" s="378"/>
      <c r="HDD67" s="378"/>
      <c r="HDE67" s="378"/>
      <c r="HDF67" s="378"/>
      <c r="HDG67" s="378"/>
      <c r="HDH67" s="378"/>
      <c r="HDI67" s="378"/>
      <c r="HDJ67" s="378"/>
      <c r="HDK67" s="378"/>
      <c r="HDL67" s="378"/>
      <c r="HDM67" s="378"/>
      <c r="HDN67" s="378"/>
      <c r="HDO67" s="378"/>
      <c r="HDP67" s="378"/>
      <c r="HDQ67" s="378"/>
      <c r="HDR67" s="378"/>
      <c r="HDS67" s="378"/>
      <c r="HDT67" s="378"/>
      <c r="HDU67" s="378"/>
      <c r="HDV67" s="378"/>
      <c r="HDW67" s="378"/>
      <c r="HDX67" s="378"/>
      <c r="HDY67" s="378"/>
      <c r="HDZ67" s="378"/>
      <c r="HEA67" s="378"/>
      <c r="HEB67" s="378"/>
      <c r="HEC67" s="378"/>
      <c r="HED67" s="378"/>
      <c r="HEE67" s="378"/>
      <c r="HEF67" s="378"/>
      <c r="HEG67" s="378"/>
      <c r="HEH67" s="378"/>
      <c r="HEI67" s="378"/>
      <c r="HEJ67" s="378"/>
      <c r="HEK67" s="378"/>
      <c r="HEL67" s="378"/>
      <c r="HEM67" s="378"/>
      <c r="HEN67" s="378"/>
      <c r="HEO67" s="378"/>
      <c r="HEP67" s="378"/>
      <c r="HEQ67" s="378"/>
      <c r="HER67" s="378"/>
      <c r="HES67" s="378"/>
      <c r="HET67" s="378"/>
      <c r="HEU67" s="378"/>
      <c r="HEV67" s="378"/>
      <c r="HEW67" s="378"/>
      <c r="HEX67" s="378"/>
      <c r="HEY67" s="378"/>
      <c r="HEZ67" s="378"/>
      <c r="HFA67" s="378"/>
      <c r="HFB67" s="378"/>
      <c r="HFC67" s="378"/>
      <c r="HFD67" s="378"/>
      <c r="HFE67" s="378"/>
      <c r="HFF67" s="378"/>
      <c r="HFG67" s="378"/>
      <c r="HFH67" s="378"/>
      <c r="HFI67" s="378"/>
      <c r="HFJ67" s="378"/>
      <c r="HFK67" s="378"/>
      <c r="HFL67" s="378"/>
      <c r="HFM67" s="378"/>
      <c r="HFN67" s="378"/>
      <c r="HFO67" s="378"/>
      <c r="HFP67" s="378"/>
      <c r="HFQ67" s="378"/>
      <c r="HFR67" s="378"/>
      <c r="HFS67" s="378"/>
      <c r="HFT67" s="378"/>
      <c r="HFU67" s="378"/>
      <c r="HFV67" s="378"/>
      <c r="HFW67" s="378"/>
      <c r="HFX67" s="378"/>
      <c r="HFY67" s="378"/>
      <c r="HFZ67" s="378"/>
      <c r="HGA67" s="378"/>
      <c r="HGB67" s="378"/>
      <c r="HGC67" s="378"/>
      <c r="HGD67" s="378"/>
      <c r="HGE67" s="378"/>
      <c r="HGF67" s="378"/>
      <c r="HGG67" s="378"/>
      <c r="HGH67" s="378"/>
      <c r="HGI67" s="378"/>
      <c r="HGJ67" s="378"/>
      <c r="HGK67" s="378"/>
      <c r="HGL67" s="378"/>
      <c r="HGM67" s="378"/>
      <c r="HGN67" s="378"/>
      <c r="HGO67" s="378"/>
      <c r="HGP67" s="378"/>
      <c r="HGQ67" s="378"/>
      <c r="HGR67" s="378"/>
      <c r="HGS67" s="378"/>
      <c r="HGT67" s="378"/>
      <c r="HGU67" s="378"/>
      <c r="HGV67" s="378"/>
      <c r="HGW67" s="378"/>
      <c r="HGX67" s="378"/>
      <c r="HGY67" s="378"/>
      <c r="HGZ67" s="378"/>
      <c r="HHA67" s="378"/>
      <c r="HHB67" s="378"/>
      <c r="HHC67" s="378"/>
      <c r="HHD67" s="378"/>
      <c r="HHE67" s="378"/>
      <c r="HHF67" s="378"/>
      <c r="HHG67" s="378"/>
      <c r="HHH67" s="378"/>
      <c r="HHI67" s="378"/>
      <c r="HHJ67" s="378"/>
      <c r="HHK67" s="378"/>
      <c r="HHL67" s="378"/>
      <c r="HHM67" s="378"/>
      <c r="HHN67" s="378"/>
      <c r="HHO67" s="378"/>
      <c r="HHP67" s="378"/>
      <c r="HHQ67" s="378"/>
      <c r="HHR67" s="378"/>
      <c r="HHS67" s="378"/>
      <c r="HHT67" s="378"/>
      <c r="HHU67" s="378"/>
      <c r="HHV67" s="378"/>
      <c r="HHW67" s="378"/>
      <c r="HHX67" s="378"/>
      <c r="HHY67" s="378"/>
      <c r="HHZ67" s="378"/>
      <c r="HIA67" s="378"/>
      <c r="HIB67" s="378"/>
      <c r="HIC67" s="378"/>
      <c r="HID67" s="378"/>
      <c r="HIE67" s="378"/>
      <c r="HIF67" s="378"/>
      <c r="HIG67" s="378"/>
      <c r="HIH67" s="378"/>
      <c r="HII67" s="378"/>
      <c r="HIJ67" s="378"/>
      <c r="HIK67" s="378"/>
      <c r="HIL67" s="378"/>
      <c r="HIM67" s="378"/>
      <c r="HIN67" s="378"/>
      <c r="HIO67" s="378"/>
      <c r="HIP67" s="378"/>
      <c r="HIQ67" s="378"/>
      <c r="HIR67" s="378"/>
      <c r="HIS67" s="378"/>
      <c r="HIT67" s="378"/>
      <c r="HIU67" s="378"/>
      <c r="HIV67" s="378"/>
      <c r="HIW67" s="378"/>
      <c r="HIX67" s="378"/>
      <c r="HIY67" s="378"/>
      <c r="HIZ67" s="378"/>
      <c r="HJA67" s="378"/>
      <c r="HJB67" s="378"/>
      <c r="HJC67" s="378"/>
      <c r="HJD67" s="378"/>
      <c r="HJE67" s="378"/>
      <c r="HJF67" s="378"/>
      <c r="HJG67" s="378"/>
      <c r="HJH67" s="378"/>
      <c r="HJI67" s="378"/>
      <c r="HJJ67" s="378"/>
      <c r="HJK67" s="378"/>
      <c r="HJL67" s="378"/>
      <c r="HJM67" s="378"/>
      <c r="HJN67" s="378"/>
      <c r="HJO67" s="378"/>
      <c r="HJP67" s="378"/>
      <c r="HJQ67" s="378"/>
      <c r="HJR67" s="378"/>
      <c r="HJS67" s="378"/>
      <c r="HJT67" s="378"/>
      <c r="HJU67" s="378"/>
      <c r="HJV67" s="378"/>
      <c r="HJW67" s="378"/>
      <c r="HJX67" s="378"/>
      <c r="HJY67" s="378"/>
      <c r="HJZ67" s="378"/>
      <c r="HKA67" s="378"/>
      <c r="HKB67" s="378"/>
      <c r="HKC67" s="378"/>
      <c r="HKD67" s="378"/>
      <c r="HKE67" s="378"/>
      <c r="HKF67" s="378"/>
      <c r="HKG67" s="378"/>
      <c r="HKH67" s="378"/>
      <c r="HKI67" s="378"/>
      <c r="HKJ67" s="378"/>
      <c r="HKK67" s="378"/>
      <c r="HKL67" s="378"/>
      <c r="HKM67" s="378"/>
      <c r="HKN67" s="378"/>
      <c r="HKO67" s="378"/>
      <c r="HKP67" s="378"/>
      <c r="HKQ67" s="378"/>
      <c r="HKR67" s="378"/>
      <c r="HKS67" s="378"/>
      <c r="HKT67" s="378"/>
      <c r="HKU67" s="378"/>
      <c r="HKV67" s="378"/>
      <c r="HKW67" s="378"/>
      <c r="HKX67" s="378"/>
      <c r="HKY67" s="378"/>
      <c r="HKZ67" s="378"/>
      <c r="HLA67" s="378"/>
      <c r="HLB67" s="378"/>
      <c r="HLC67" s="378"/>
      <c r="HLD67" s="378"/>
      <c r="HLE67" s="378"/>
      <c r="HLF67" s="378"/>
      <c r="HLG67" s="378"/>
      <c r="HLH67" s="378"/>
      <c r="HLI67" s="378"/>
      <c r="HLJ67" s="378"/>
      <c r="HLK67" s="378"/>
      <c r="HLL67" s="378"/>
      <c r="HLM67" s="378"/>
      <c r="HLN67" s="378"/>
      <c r="HLO67" s="378"/>
      <c r="HLP67" s="378"/>
      <c r="HLQ67" s="378"/>
      <c r="HLR67" s="378"/>
      <c r="HLS67" s="378"/>
      <c r="HLT67" s="378"/>
      <c r="HLU67" s="378"/>
      <c r="HLV67" s="378"/>
      <c r="HLW67" s="378"/>
      <c r="HLX67" s="378"/>
      <c r="HLY67" s="378"/>
      <c r="HLZ67" s="378"/>
      <c r="HMA67" s="378"/>
      <c r="HMB67" s="378"/>
      <c r="HMC67" s="378"/>
      <c r="HMD67" s="378"/>
      <c r="HME67" s="378"/>
      <c r="HMF67" s="378"/>
      <c r="HMG67" s="378"/>
      <c r="HMH67" s="378"/>
      <c r="HMI67" s="378"/>
      <c r="HMJ67" s="378"/>
      <c r="HMK67" s="378"/>
      <c r="HML67" s="378"/>
      <c r="HMM67" s="378"/>
      <c r="HMN67" s="378"/>
      <c r="HMO67" s="378"/>
      <c r="HMP67" s="378"/>
      <c r="HMQ67" s="378"/>
      <c r="HMR67" s="378"/>
      <c r="HMS67" s="378"/>
      <c r="HMT67" s="378"/>
      <c r="HMU67" s="378"/>
      <c r="HMV67" s="378"/>
      <c r="HMW67" s="378"/>
      <c r="HMX67" s="378"/>
      <c r="HMY67" s="378"/>
      <c r="HMZ67" s="378"/>
      <c r="HNA67" s="378"/>
      <c r="HNB67" s="378"/>
      <c r="HNC67" s="378"/>
      <c r="HND67" s="378"/>
      <c r="HNE67" s="378"/>
      <c r="HNF67" s="378"/>
      <c r="HNG67" s="378"/>
      <c r="HNH67" s="378"/>
      <c r="HNI67" s="378"/>
      <c r="HNJ67" s="378"/>
      <c r="HNK67" s="378"/>
      <c r="HNL67" s="378"/>
      <c r="HNM67" s="378"/>
      <c r="HNN67" s="378"/>
      <c r="HNO67" s="378"/>
      <c r="HNP67" s="378"/>
      <c r="HNQ67" s="378"/>
      <c r="HNR67" s="378"/>
      <c r="HNS67" s="378"/>
      <c r="HNT67" s="378"/>
      <c r="HNU67" s="378"/>
      <c r="HNV67" s="378"/>
      <c r="HNW67" s="378"/>
      <c r="HNX67" s="378"/>
      <c r="HNY67" s="378"/>
      <c r="HNZ67" s="378"/>
      <c r="HOA67" s="378"/>
      <c r="HOB67" s="378"/>
      <c r="HOC67" s="378"/>
      <c r="HOD67" s="378"/>
      <c r="HOE67" s="378"/>
      <c r="HOF67" s="378"/>
      <c r="HOG67" s="378"/>
      <c r="HOH67" s="378"/>
      <c r="HOI67" s="378"/>
      <c r="HOJ67" s="378"/>
      <c r="HOK67" s="378"/>
      <c r="HOL67" s="378"/>
      <c r="HOM67" s="378"/>
      <c r="HON67" s="378"/>
      <c r="HOO67" s="378"/>
      <c r="HOP67" s="378"/>
      <c r="HOQ67" s="378"/>
      <c r="HOR67" s="378"/>
      <c r="HOS67" s="378"/>
      <c r="HOT67" s="378"/>
      <c r="HOU67" s="378"/>
      <c r="HOV67" s="378"/>
      <c r="HOW67" s="378"/>
      <c r="HOX67" s="378"/>
      <c r="HOY67" s="378"/>
      <c r="HOZ67" s="378"/>
      <c r="HPA67" s="378"/>
      <c r="HPB67" s="378"/>
      <c r="HPC67" s="378"/>
      <c r="HPD67" s="378"/>
      <c r="HPE67" s="378"/>
      <c r="HPF67" s="378"/>
      <c r="HPG67" s="378"/>
      <c r="HPH67" s="378"/>
      <c r="HPI67" s="378"/>
      <c r="HPJ67" s="378"/>
      <c r="HPK67" s="378"/>
      <c r="HPL67" s="378"/>
      <c r="HPM67" s="378"/>
      <c r="HPN67" s="378"/>
      <c r="HPO67" s="378"/>
      <c r="HPP67" s="378"/>
      <c r="HPQ67" s="378"/>
      <c r="HPR67" s="378"/>
      <c r="HPS67" s="378"/>
      <c r="HPT67" s="378"/>
      <c r="HPU67" s="378"/>
      <c r="HPV67" s="378"/>
      <c r="HPW67" s="378"/>
      <c r="HPX67" s="378"/>
      <c r="HPY67" s="378"/>
      <c r="HPZ67" s="378"/>
      <c r="HQA67" s="378"/>
      <c r="HQB67" s="378"/>
      <c r="HQC67" s="378"/>
      <c r="HQD67" s="378"/>
      <c r="HQE67" s="378"/>
      <c r="HQF67" s="378"/>
      <c r="HQG67" s="378"/>
      <c r="HQH67" s="378"/>
      <c r="HQI67" s="378"/>
      <c r="HQJ67" s="378"/>
      <c r="HQK67" s="378"/>
      <c r="HQL67" s="378"/>
      <c r="HQM67" s="378"/>
      <c r="HQN67" s="378"/>
      <c r="HQO67" s="378"/>
      <c r="HQP67" s="378"/>
      <c r="HQQ67" s="378"/>
      <c r="HQR67" s="378"/>
      <c r="HQS67" s="378"/>
      <c r="HQT67" s="378"/>
      <c r="HQU67" s="378"/>
      <c r="HQV67" s="378"/>
      <c r="HQW67" s="378"/>
      <c r="HQX67" s="378"/>
      <c r="HQY67" s="378"/>
      <c r="HQZ67" s="378"/>
      <c r="HRA67" s="378"/>
      <c r="HRB67" s="378"/>
      <c r="HRC67" s="378"/>
      <c r="HRD67" s="378"/>
      <c r="HRE67" s="378"/>
      <c r="HRF67" s="378"/>
      <c r="HRG67" s="378"/>
      <c r="HRH67" s="378"/>
      <c r="HRI67" s="378"/>
      <c r="HRJ67" s="378"/>
      <c r="HRK67" s="378"/>
      <c r="HRL67" s="378"/>
      <c r="HRM67" s="378"/>
      <c r="HRN67" s="378"/>
      <c r="HRO67" s="378"/>
      <c r="HRP67" s="378"/>
      <c r="HRQ67" s="378"/>
      <c r="HRR67" s="378"/>
      <c r="HRS67" s="378"/>
      <c r="HRT67" s="378"/>
      <c r="HRU67" s="378"/>
      <c r="HRV67" s="378"/>
      <c r="HRW67" s="378"/>
      <c r="HRX67" s="378"/>
      <c r="HRY67" s="378"/>
      <c r="HRZ67" s="378"/>
      <c r="HSA67" s="378"/>
      <c r="HSB67" s="378"/>
      <c r="HSC67" s="378"/>
      <c r="HSD67" s="378"/>
      <c r="HSE67" s="378"/>
      <c r="HSF67" s="378"/>
      <c r="HSG67" s="378"/>
      <c r="HSH67" s="378"/>
      <c r="HSI67" s="378"/>
      <c r="HSJ67" s="378"/>
      <c r="HSK67" s="378"/>
      <c r="HSL67" s="378"/>
      <c r="HSM67" s="378"/>
      <c r="HSN67" s="378"/>
      <c r="HSO67" s="378"/>
      <c r="HSP67" s="378"/>
      <c r="HSQ67" s="378"/>
      <c r="HSR67" s="378"/>
      <c r="HSS67" s="378"/>
      <c r="HST67" s="378"/>
      <c r="HSU67" s="378"/>
      <c r="HSV67" s="378"/>
      <c r="HSW67" s="378"/>
      <c r="HSX67" s="378"/>
      <c r="HSY67" s="378"/>
      <c r="HSZ67" s="378"/>
      <c r="HTA67" s="378"/>
      <c r="HTB67" s="378"/>
      <c r="HTC67" s="378"/>
      <c r="HTD67" s="378"/>
      <c r="HTE67" s="378"/>
      <c r="HTF67" s="378"/>
      <c r="HTG67" s="378"/>
      <c r="HTH67" s="378"/>
      <c r="HTI67" s="378"/>
      <c r="HTJ67" s="378"/>
      <c r="HTK67" s="378"/>
      <c r="HTL67" s="378"/>
      <c r="HTM67" s="378"/>
      <c r="HTN67" s="378"/>
      <c r="HTO67" s="378"/>
      <c r="HTP67" s="378"/>
      <c r="HTQ67" s="378"/>
      <c r="HTR67" s="378"/>
      <c r="HTS67" s="378"/>
      <c r="HTT67" s="378"/>
      <c r="HTU67" s="378"/>
      <c r="HTV67" s="378"/>
      <c r="HTW67" s="378"/>
      <c r="HTX67" s="378"/>
      <c r="HTY67" s="378"/>
      <c r="HTZ67" s="378"/>
      <c r="HUA67" s="378"/>
      <c r="HUB67" s="378"/>
      <c r="HUC67" s="378"/>
      <c r="HUD67" s="378"/>
      <c r="HUE67" s="378"/>
      <c r="HUF67" s="378"/>
      <c r="HUG67" s="378"/>
      <c r="HUH67" s="378"/>
      <c r="HUI67" s="378"/>
      <c r="HUJ67" s="378"/>
      <c r="HUK67" s="378"/>
      <c r="HUL67" s="378"/>
      <c r="HUM67" s="378"/>
      <c r="HUN67" s="378"/>
      <c r="HUO67" s="378"/>
      <c r="HUP67" s="378"/>
      <c r="HUQ67" s="378"/>
      <c r="HUR67" s="378"/>
      <c r="HUS67" s="378"/>
      <c r="HUT67" s="378"/>
      <c r="HUU67" s="378"/>
      <c r="HUV67" s="378"/>
      <c r="HUW67" s="378"/>
      <c r="HUX67" s="378"/>
      <c r="HUY67" s="378"/>
      <c r="HUZ67" s="378"/>
      <c r="HVA67" s="378"/>
      <c r="HVB67" s="378"/>
      <c r="HVC67" s="378"/>
      <c r="HVD67" s="378"/>
      <c r="HVE67" s="378"/>
      <c r="HVF67" s="378"/>
      <c r="HVG67" s="378"/>
      <c r="HVH67" s="378"/>
      <c r="HVI67" s="378"/>
      <c r="HVJ67" s="378"/>
      <c r="HVK67" s="378"/>
      <c r="HVL67" s="378"/>
      <c r="HVM67" s="378"/>
      <c r="HVN67" s="378"/>
      <c r="HVO67" s="378"/>
      <c r="HVP67" s="378"/>
      <c r="HVQ67" s="378"/>
      <c r="HVR67" s="378"/>
      <c r="HVS67" s="378"/>
      <c r="HVT67" s="378"/>
      <c r="HVU67" s="378"/>
      <c r="HVV67" s="378"/>
      <c r="HVW67" s="378"/>
      <c r="HVX67" s="378"/>
      <c r="HVY67" s="378"/>
      <c r="HVZ67" s="378"/>
      <c r="HWA67" s="378"/>
      <c r="HWB67" s="378"/>
      <c r="HWC67" s="378"/>
      <c r="HWD67" s="378"/>
      <c r="HWE67" s="378"/>
      <c r="HWF67" s="378"/>
      <c r="HWG67" s="378"/>
      <c r="HWH67" s="378"/>
      <c r="HWI67" s="378"/>
      <c r="HWJ67" s="378"/>
      <c r="HWK67" s="378"/>
      <c r="HWL67" s="378"/>
      <c r="HWM67" s="378"/>
      <c r="HWN67" s="378"/>
      <c r="HWO67" s="378"/>
      <c r="HWP67" s="378"/>
      <c r="HWQ67" s="378"/>
      <c r="HWR67" s="378"/>
      <c r="HWS67" s="378"/>
      <c r="HWT67" s="378"/>
      <c r="HWU67" s="378"/>
      <c r="HWV67" s="378"/>
      <c r="HWW67" s="378"/>
      <c r="HWX67" s="378"/>
      <c r="HWY67" s="378"/>
      <c r="HWZ67" s="378"/>
      <c r="HXA67" s="378"/>
      <c r="HXB67" s="378"/>
      <c r="HXC67" s="378"/>
      <c r="HXD67" s="378"/>
      <c r="HXE67" s="378"/>
      <c r="HXF67" s="378"/>
      <c r="HXG67" s="378"/>
      <c r="HXH67" s="378"/>
      <c r="HXI67" s="378"/>
      <c r="HXJ67" s="378"/>
      <c r="HXK67" s="378"/>
      <c r="HXL67" s="378"/>
      <c r="HXM67" s="378"/>
      <c r="HXN67" s="378"/>
      <c r="HXO67" s="378"/>
      <c r="HXP67" s="378"/>
      <c r="HXQ67" s="378"/>
      <c r="HXR67" s="378"/>
      <c r="HXS67" s="378"/>
      <c r="HXT67" s="378"/>
      <c r="HXU67" s="378"/>
      <c r="HXV67" s="378"/>
      <c r="HXW67" s="378"/>
      <c r="HXX67" s="378"/>
      <c r="HXY67" s="378"/>
      <c r="HXZ67" s="378"/>
      <c r="HYA67" s="378"/>
      <c r="HYB67" s="378"/>
      <c r="HYC67" s="378"/>
      <c r="HYD67" s="378"/>
      <c r="HYE67" s="378"/>
      <c r="HYF67" s="378"/>
      <c r="HYG67" s="378"/>
      <c r="HYH67" s="378"/>
      <c r="HYI67" s="378"/>
      <c r="HYJ67" s="378"/>
      <c r="HYK67" s="378"/>
      <c r="HYL67" s="378"/>
      <c r="HYM67" s="378"/>
      <c r="HYN67" s="378"/>
      <c r="HYO67" s="378"/>
      <c r="HYP67" s="378"/>
      <c r="HYQ67" s="378"/>
      <c r="HYR67" s="378"/>
      <c r="HYS67" s="378"/>
      <c r="HYT67" s="378"/>
      <c r="HYU67" s="378"/>
      <c r="HYV67" s="378"/>
      <c r="HYW67" s="378"/>
      <c r="HYX67" s="378"/>
      <c r="HYY67" s="378"/>
      <c r="HYZ67" s="378"/>
      <c r="HZA67" s="378"/>
      <c r="HZB67" s="378"/>
      <c r="HZC67" s="378"/>
      <c r="HZD67" s="378"/>
      <c r="HZE67" s="378"/>
      <c r="HZF67" s="378"/>
      <c r="HZG67" s="378"/>
      <c r="HZH67" s="378"/>
      <c r="HZI67" s="378"/>
      <c r="HZJ67" s="378"/>
      <c r="HZK67" s="378"/>
      <c r="HZL67" s="378"/>
      <c r="HZM67" s="378"/>
      <c r="HZN67" s="378"/>
      <c r="HZO67" s="378"/>
      <c r="HZP67" s="378"/>
      <c r="HZQ67" s="378"/>
      <c r="HZR67" s="378"/>
      <c r="HZS67" s="378"/>
      <c r="HZT67" s="378"/>
      <c r="HZU67" s="378"/>
      <c r="HZV67" s="378"/>
      <c r="HZW67" s="378"/>
      <c r="HZX67" s="378"/>
      <c r="HZY67" s="378"/>
      <c r="HZZ67" s="378"/>
      <c r="IAA67" s="378"/>
      <c r="IAB67" s="378"/>
      <c r="IAC67" s="378"/>
      <c r="IAD67" s="378"/>
      <c r="IAE67" s="378"/>
      <c r="IAF67" s="378"/>
      <c r="IAG67" s="378"/>
      <c r="IAH67" s="378"/>
      <c r="IAI67" s="378"/>
      <c r="IAJ67" s="378"/>
      <c r="IAK67" s="378"/>
      <c r="IAL67" s="378"/>
      <c r="IAM67" s="378"/>
      <c r="IAN67" s="378"/>
      <c r="IAO67" s="378"/>
      <c r="IAP67" s="378"/>
      <c r="IAQ67" s="378"/>
      <c r="IAR67" s="378"/>
      <c r="IAS67" s="378"/>
      <c r="IAT67" s="378"/>
      <c r="IAU67" s="378"/>
      <c r="IAV67" s="378"/>
      <c r="IAW67" s="378"/>
      <c r="IAX67" s="378"/>
      <c r="IAY67" s="378"/>
      <c r="IAZ67" s="378"/>
      <c r="IBA67" s="378"/>
      <c r="IBB67" s="378"/>
      <c r="IBC67" s="378"/>
      <c r="IBD67" s="378"/>
      <c r="IBE67" s="378"/>
      <c r="IBF67" s="378"/>
      <c r="IBG67" s="378"/>
      <c r="IBH67" s="378"/>
      <c r="IBI67" s="378"/>
      <c r="IBJ67" s="378"/>
      <c r="IBK67" s="378"/>
      <c r="IBL67" s="378"/>
      <c r="IBM67" s="378"/>
      <c r="IBN67" s="378"/>
      <c r="IBO67" s="378"/>
      <c r="IBP67" s="378"/>
      <c r="IBQ67" s="378"/>
      <c r="IBR67" s="378"/>
      <c r="IBS67" s="378"/>
      <c r="IBT67" s="378"/>
      <c r="IBU67" s="378"/>
      <c r="IBV67" s="378"/>
      <c r="IBW67" s="378"/>
      <c r="IBX67" s="378"/>
      <c r="IBY67" s="378"/>
      <c r="IBZ67" s="378"/>
      <c r="ICA67" s="378"/>
      <c r="ICB67" s="378"/>
      <c r="ICC67" s="378"/>
      <c r="ICD67" s="378"/>
      <c r="ICE67" s="378"/>
      <c r="ICF67" s="378"/>
      <c r="ICG67" s="378"/>
      <c r="ICH67" s="378"/>
      <c r="ICI67" s="378"/>
      <c r="ICJ67" s="378"/>
      <c r="ICK67" s="378"/>
      <c r="ICL67" s="378"/>
      <c r="ICM67" s="378"/>
      <c r="ICN67" s="378"/>
      <c r="ICO67" s="378"/>
      <c r="ICP67" s="378"/>
      <c r="ICQ67" s="378"/>
      <c r="ICR67" s="378"/>
      <c r="ICS67" s="378"/>
      <c r="ICT67" s="378"/>
      <c r="ICU67" s="378"/>
      <c r="ICV67" s="378"/>
      <c r="ICW67" s="378"/>
      <c r="ICX67" s="378"/>
      <c r="ICY67" s="378"/>
      <c r="ICZ67" s="378"/>
      <c r="IDA67" s="378"/>
      <c r="IDB67" s="378"/>
      <c r="IDC67" s="378"/>
      <c r="IDD67" s="378"/>
      <c r="IDE67" s="378"/>
      <c r="IDF67" s="378"/>
      <c r="IDG67" s="378"/>
      <c r="IDH67" s="378"/>
      <c r="IDI67" s="378"/>
      <c r="IDJ67" s="378"/>
      <c r="IDK67" s="378"/>
      <c r="IDL67" s="378"/>
      <c r="IDM67" s="378"/>
      <c r="IDN67" s="378"/>
      <c r="IDO67" s="378"/>
      <c r="IDP67" s="378"/>
      <c r="IDQ67" s="378"/>
      <c r="IDR67" s="378"/>
      <c r="IDS67" s="378"/>
      <c r="IDT67" s="378"/>
      <c r="IDU67" s="378"/>
      <c r="IDV67" s="378"/>
      <c r="IDW67" s="378"/>
      <c r="IDX67" s="378"/>
      <c r="IDY67" s="378"/>
      <c r="IDZ67" s="378"/>
      <c r="IEA67" s="378"/>
      <c r="IEB67" s="378"/>
      <c r="IEC67" s="378"/>
      <c r="IED67" s="378"/>
      <c r="IEE67" s="378"/>
      <c r="IEF67" s="378"/>
      <c r="IEG67" s="378"/>
      <c r="IEH67" s="378"/>
      <c r="IEI67" s="378"/>
      <c r="IEJ67" s="378"/>
      <c r="IEK67" s="378"/>
      <c r="IEL67" s="378"/>
      <c r="IEM67" s="378"/>
      <c r="IEN67" s="378"/>
      <c r="IEO67" s="378"/>
      <c r="IEP67" s="378"/>
      <c r="IEQ67" s="378"/>
      <c r="IER67" s="378"/>
      <c r="IES67" s="378"/>
      <c r="IET67" s="378"/>
      <c r="IEU67" s="378"/>
      <c r="IEV67" s="378"/>
      <c r="IEW67" s="378"/>
      <c r="IEX67" s="378"/>
      <c r="IEY67" s="378"/>
      <c r="IEZ67" s="378"/>
      <c r="IFA67" s="378"/>
      <c r="IFB67" s="378"/>
      <c r="IFC67" s="378"/>
      <c r="IFD67" s="378"/>
      <c r="IFE67" s="378"/>
      <c r="IFF67" s="378"/>
      <c r="IFG67" s="378"/>
      <c r="IFH67" s="378"/>
      <c r="IFI67" s="378"/>
      <c r="IFJ67" s="378"/>
      <c r="IFK67" s="378"/>
      <c r="IFL67" s="378"/>
      <c r="IFM67" s="378"/>
      <c r="IFN67" s="378"/>
      <c r="IFO67" s="378"/>
      <c r="IFP67" s="378"/>
      <c r="IFQ67" s="378"/>
      <c r="IFR67" s="378"/>
      <c r="IFS67" s="378"/>
      <c r="IFT67" s="378"/>
      <c r="IFU67" s="378"/>
      <c r="IFV67" s="378"/>
      <c r="IFW67" s="378"/>
      <c r="IFX67" s="378"/>
      <c r="IFY67" s="378"/>
      <c r="IFZ67" s="378"/>
      <c r="IGA67" s="378"/>
      <c r="IGB67" s="378"/>
      <c r="IGC67" s="378"/>
      <c r="IGD67" s="378"/>
      <c r="IGE67" s="378"/>
      <c r="IGF67" s="378"/>
      <c r="IGG67" s="378"/>
      <c r="IGH67" s="378"/>
      <c r="IGI67" s="378"/>
      <c r="IGJ67" s="378"/>
      <c r="IGK67" s="378"/>
      <c r="IGL67" s="378"/>
      <c r="IGM67" s="378"/>
      <c r="IGN67" s="378"/>
      <c r="IGO67" s="378"/>
      <c r="IGP67" s="378"/>
      <c r="IGQ67" s="378"/>
      <c r="IGR67" s="378"/>
      <c r="IGS67" s="378"/>
      <c r="IGT67" s="378"/>
      <c r="IGU67" s="378"/>
      <c r="IGV67" s="378"/>
      <c r="IGW67" s="378"/>
      <c r="IGX67" s="378"/>
      <c r="IGY67" s="378"/>
      <c r="IGZ67" s="378"/>
      <c r="IHA67" s="378"/>
      <c r="IHB67" s="378"/>
      <c r="IHC67" s="378"/>
      <c r="IHD67" s="378"/>
      <c r="IHE67" s="378"/>
      <c r="IHF67" s="378"/>
      <c r="IHG67" s="378"/>
      <c r="IHH67" s="378"/>
      <c r="IHI67" s="378"/>
      <c r="IHJ67" s="378"/>
      <c r="IHK67" s="378"/>
      <c r="IHL67" s="378"/>
      <c r="IHM67" s="378"/>
      <c r="IHN67" s="378"/>
      <c r="IHO67" s="378"/>
      <c r="IHP67" s="378"/>
      <c r="IHQ67" s="378"/>
      <c r="IHR67" s="378"/>
      <c r="IHS67" s="378"/>
      <c r="IHT67" s="378"/>
      <c r="IHU67" s="378"/>
      <c r="IHV67" s="378"/>
      <c r="IHW67" s="378"/>
      <c r="IHX67" s="378"/>
      <c r="IHY67" s="378"/>
      <c r="IHZ67" s="378"/>
      <c r="IIA67" s="378"/>
      <c r="IIB67" s="378"/>
      <c r="IIC67" s="378"/>
      <c r="IID67" s="378"/>
      <c r="IIE67" s="378"/>
      <c r="IIF67" s="378"/>
      <c r="IIG67" s="378"/>
      <c r="IIH67" s="378"/>
      <c r="III67" s="378"/>
      <c r="IIJ67" s="378"/>
      <c r="IIK67" s="378"/>
      <c r="IIL67" s="378"/>
      <c r="IIM67" s="378"/>
      <c r="IIN67" s="378"/>
      <c r="IIO67" s="378"/>
      <c r="IIP67" s="378"/>
      <c r="IIQ67" s="378"/>
      <c r="IIR67" s="378"/>
      <c r="IIS67" s="378"/>
      <c r="IIT67" s="378"/>
      <c r="IIU67" s="378"/>
      <c r="IIV67" s="378"/>
      <c r="IIW67" s="378"/>
      <c r="IIX67" s="378"/>
      <c r="IIY67" s="378"/>
      <c r="IIZ67" s="378"/>
      <c r="IJA67" s="378"/>
      <c r="IJB67" s="378"/>
      <c r="IJC67" s="378"/>
      <c r="IJD67" s="378"/>
      <c r="IJE67" s="378"/>
      <c r="IJF67" s="378"/>
      <c r="IJG67" s="378"/>
      <c r="IJH67" s="378"/>
      <c r="IJI67" s="378"/>
      <c r="IJJ67" s="378"/>
      <c r="IJK67" s="378"/>
      <c r="IJL67" s="378"/>
      <c r="IJM67" s="378"/>
      <c r="IJN67" s="378"/>
      <c r="IJO67" s="378"/>
      <c r="IJP67" s="378"/>
      <c r="IJQ67" s="378"/>
      <c r="IJR67" s="378"/>
      <c r="IJS67" s="378"/>
      <c r="IJT67" s="378"/>
      <c r="IJU67" s="378"/>
      <c r="IJV67" s="378"/>
      <c r="IJW67" s="378"/>
      <c r="IJX67" s="378"/>
      <c r="IJY67" s="378"/>
      <c r="IJZ67" s="378"/>
      <c r="IKA67" s="378"/>
      <c r="IKB67" s="378"/>
      <c r="IKC67" s="378"/>
      <c r="IKD67" s="378"/>
      <c r="IKE67" s="378"/>
      <c r="IKF67" s="378"/>
      <c r="IKG67" s="378"/>
      <c r="IKH67" s="378"/>
      <c r="IKI67" s="378"/>
      <c r="IKJ67" s="378"/>
      <c r="IKK67" s="378"/>
      <c r="IKL67" s="378"/>
      <c r="IKM67" s="378"/>
      <c r="IKN67" s="378"/>
      <c r="IKO67" s="378"/>
      <c r="IKP67" s="378"/>
      <c r="IKQ67" s="378"/>
      <c r="IKR67" s="378"/>
      <c r="IKS67" s="378"/>
      <c r="IKT67" s="378"/>
      <c r="IKU67" s="378"/>
      <c r="IKV67" s="378"/>
      <c r="IKW67" s="378"/>
      <c r="IKX67" s="378"/>
      <c r="IKY67" s="378"/>
      <c r="IKZ67" s="378"/>
      <c r="ILA67" s="378"/>
      <c r="ILB67" s="378"/>
      <c r="ILC67" s="378"/>
      <c r="ILD67" s="378"/>
      <c r="ILE67" s="378"/>
      <c r="ILF67" s="378"/>
      <c r="ILG67" s="378"/>
      <c r="ILH67" s="378"/>
      <c r="ILI67" s="378"/>
      <c r="ILJ67" s="378"/>
      <c r="ILK67" s="378"/>
      <c r="ILL67" s="378"/>
      <c r="ILM67" s="378"/>
      <c r="ILN67" s="378"/>
      <c r="ILO67" s="378"/>
      <c r="ILP67" s="378"/>
      <c r="ILQ67" s="378"/>
      <c r="ILR67" s="378"/>
      <c r="ILS67" s="378"/>
      <c r="ILT67" s="378"/>
      <c r="ILU67" s="378"/>
      <c r="ILV67" s="378"/>
      <c r="ILW67" s="378"/>
      <c r="ILX67" s="378"/>
      <c r="ILY67" s="378"/>
      <c r="ILZ67" s="378"/>
      <c r="IMA67" s="378"/>
      <c r="IMB67" s="378"/>
      <c r="IMC67" s="378"/>
      <c r="IMD67" s="378"/>
      <c r="IME67" s="378"/>
      <c r="IMF67" s="378"/>
      <c r="IMG67" s="378"/>
      <c r="IMH67" s="378"/>
      <c r="IMI67" s="378"/>
      <c r="IMJ67" s="378"/>
      <c r="IMK67" s="378"/>
      <c r="IML67" s="378"/>
      <c r="IMM67" s="378"/>
      <c r="IMN67" s="378"/>
      <c r="IMO67" s="378"/>
      <c r="IMP67" s="378"/>
      <c r="IMQ67" s="378"/>
      <c r="IMR67" s="378"/>
      <c r="IMS67" s="378"/>
      <c r="IMT67" s="378"/>
      <c r="IMU67" s="378"/>
      <c r="IMV67" s="378"/>
      <c r="IMW67" s="378"/>
      <c r="IMX67" s="378"/>
      <c r="IMY67" s="378"/>
      <c r="IMZ67" s="378"/>
      <c r="INA67" s="378"/>
      <c r="INB67" s="378"/>
      <c r="INC67" s="378"/>
      <c r="IND67" s="378"/>
      <c r="INE67" s="378"/>
      <c r="INF67" s="378"/>
      <c r="ING67" s="378"/>
      <c r="INH67" s="378"/>
      <c r="INI67" s="378"/>
      <c r="INJ67" s="378"/>
      <c r="INK67" s="378"/>
      <c r="INL67" s="378"/>
      <c r="INM67" s="378"/>
      <c r="INN67" s="378"/>
      <c r="INO67" s="378"/>
      <c r="INP67" s="378"/>
      <c r="INQ67" s="378"/>
      <c r="INR67" s="378"/>
      <c r="INS67" s="378"/>
      <c r="INT67" s="378"/>
      <c r="INU67" s="378"/>
      <c r="INV67" s="378"/>
      <c r="INW67" s="378"/>
      <c r="INX67" s="378"/>
      <c r="INY67" s="378"/>
      <c r="INZ67" s="378"/>
      <c r="IOA67" s="378"/>
      <c r="IOB67" s="378"/>
      <c r="IOC67" s="378"/>
      <c r="IOD67" s="378"/>
      <c r="IOE67" s="378"/>
      <c r="IOF67" s="378"/>
      <c r="IOG67" s="378"/>
      <c r="IOH67" s="378"/>
      <c r="IOI67" s="378"/>
      <c r="IOJ67" s="378"/>
      <c r="IOK67" s="378"/>
      <c r="IOL67" s="378"/>
      <c r="IOM67" s="378"/>
      <c r="ION67" s="378"/>
      <c r="IOO67" s="378"/>
      <c r="IOP67" s="378"/>
      <c r="IOQ67" s="378"/>
      <c r="IOR67" s="378"/>
      <c r="IOS67" s="378"/>
      <c r="IOT67" s="378"/>
      <c r="IOU67" s="378"/>
      <c r="IOV67" s="378"/>
      <c r="IOW67" s="378"/>
      <c r="IOX67" s="378"/>
      <c r="IOY67" s="378"/>
      <c r="IOZ67" s="378"/>
      <c r="IPA67" s="378"/>
      <c r="IPB67" s="378"/>
      <c r="IPC67" s="378"/>
      <c r="IPD67" s="378"/>
      <c r="IPE67" s="378"/>
      <c r="IPF67" s="378"/>
      <c r="IPG67" s="378"/>
      <c r="IPH67" s="378"/>
      <c r="IPI67" s="378"/>
      <c r="IPJ67" s="378"/>
      <c r="IPK67" s="378"/>
      <c r="IPL67" s="378"/>
      <c r="IPM67" s="378"/>
      <c r="IPN67" s="378"/>
      <c r="IPO67" s="378"/>
      <c r="IPP67" s="378"/>
      <c r="IPQ67" s="378"/>
      <c r="IPR67" s="378"/>
      <c r="IPS67" s="378"/>
      <c r="IPT67" s="378"/>
      <c r="IPU67" s="378"/>
      <c r="IPV67" s="378"/>
      <c r="IPW67" s="378"/>
      <c r="IPX67" s="378"/>
      <c r="IPY67" s="378"/>
      <c r="IPZ67" s="378"/>
      <c r="IQA67" s="378"/>
      <c r="IQB67" s="378"/>
      <c r="IQC67" s="378"/>
      <c r="IQD67" s="378"/>
      <c r="IQE67" s="378"/>
      <c r="IQF67" s="378"/>
      <c r="IQG67" s="378"/>
      <c r="IQH67" s="378"/>
      <c r="IQI67" s="378"/>
      <c r="IQJ67" s="378"/>
      <c r="IQK67" s="378"/>
      <c r="IQL67" s="378"/>
      <c r="IQM67" s="378"/>
      <c r="IQN67" s="378"/>
      <c r="IQO67" s="378"/>
      <c r="IQP67" s="378"/>
      <c r="IQQ67" s="378"/>
      <c r="IQR67" s="378"/>
      <c r="IQS67" s="378"/>
      <c r="IQT67" s="378"/>
      <c r="IQU67" s="378"/>
      <c r="IQV67" s="378"/>
      <c r="IQW67" s="378"/>
      <c r="IQX67" s="378"/>
      <c r="IQY67" s="378"/>
      <c r="IQZ67" s="378"/>
      <c r="IRA67" s="378"/>
      <c r="IRB67" s="378"/>
      <c r="IRC67" s="378"/>
      <c r="IRD67" s="378"/>
      <c r="IRE67" s="378"/>
      <c r="IRF67" s="378"/>
      <c r="IRG67" s="378"/>
      <c r="IRH67" s="378"/>
      <c r="IRI67" s="378"/>
      <c r="IRJ67" s="378"/>
      <c r="IRK67" s="378"/>
      <c r="IRL67" s="378"/>
      <c r="IRM67" s="378"/>
      <c r="IRN67" s="378"/>
      <c r="IRO67" s="378"/>
      <c r="IRP67" s="378"/>
      <c r="IRQ67" s="378"/>
      <c r="IRR67" s="378"/>
      <c r="IRS67" s="378"/>
      <c r="IRT67" s="378"/>
      <c r="IRU67" s="378"/>
      <c r="IRV67" s="378"/>
      <c r="IRW67" s="378"/>
      <c r="IRX67" s="378"/>
      <c r="IRY67" s="378"/>
      <c r="IRZ67" s="378"/>
      <c r="ISA67" s="378"/>
      <c r="ISB67" s="378"/>
      <c r="ISC67" s="378"/>
      <c r="ISD67" s="378"/>
      <c r="ISE67" s="378"/>
      <c r="ISF67" s="378"/>
      <c r="ISG67" s="378"/>
      <c r="ISH67" s="378"/>
      <c r="ISI67" s="378"/>
      <c r="ISJ67" s="378"/>
      <c r="ISK67" s="378"/>
      <c r="ISL67" s="378"/>
      <c r="ISM67" s="378"/>
      <c r="ISN67" s="378"/>
      <c r="ISO67" s="378"/>
      <c r="ISP67" s="378"/>
      <c r="ISQ67" s="378"/>
      <c r="ISR67" s="378"/>
      <c r="ISS67" s="378"/>
      <c r="IST67" s="378"/>
      <c r="ISU67" s="378"/>
      <c r="ISV67" s="378"/>
      <c r="ISW67" s="378"/>
      <c r="ISX67" s="378"/>
      <c r="ISY67" s="378"/>
      <c r="ISZ67" s="378"/>
      <c r="ITA67" s="378"/>
      <c r="ITB67" s="378"/>
      <c r="ITC67" s="378"/>
      <c r="ITD67" s="378"/>
      <c r="ITE67" s="378"/>
      <c r="ITF67" s="378"/>
      <c r="ITG67" s="378"/>
      <c r="ITH67" s="378"/>
      <c r="ITI67" s="378"/>
      <c r="ITJ67" s="378"/>
      <c r="ITK67" s="378"/>
      <c r="ITL67" s="378"/>
      <c r="ITM67" s="378"/>
      <c r="ITN67" s="378"/>
      <c r="ITO67" s="378"/>
      <c r="ITP67" s="378"/>
      <c r="ITQ67" s="378"/>
      <c r="ITR67" s="378"/>
      <c r="ITS67" s="378"/>
      <c r="ITT67" s="378"/>
      <c r="ITU67" s="378"/>
      <c r="ITV67" s="378"/>
      <c r="ITW67" s="378"/>
      <c r="ITX67" s="378"/>
      <c r="ITY67" s="378"/>
      <c r="ITZ67" s="378"/>
      <c r="IUA67" s="378"/>
      <c r="IUB67" s="378"/>
      <c r="IUC67" s="378"/>
      <c r="IUD67" s="378"/>
      <c r="IUE67" s="378"/>
      <c r="IUF67" s="378"/>
      <c r="IUG67" s="378"/>
      <c r="IUH67" s="378"/>
      <c r="IUI67" s="378"/>
      <c r="IUJ67" s="378"/>
      <c r="IUK67" s="378"/>
      <c r="IUL67" s="378"/>
      <c r="IUM67" s="378"/>
      <c r="IUN67" s="378"/>
      <c r="IUO67" s="378"/>
      <c r="IUP67" s="378"/>
      <c r="IUQ67" s="378"/>
      <c r="IUR67" s="378"/>
      <c r="IUS67" s="378"/>
      <c r="IUT67" s="378"/>
      <c r="IUU67" s="378"/>
      <c r="IUV67" s="378"/>
      <c r="IUW67" s="378"/>
      <c r="IUX67" s="378"/>
      <c r="IUY67" s="378"/>
      <c r="IUZ67" s="378"/>
      <c r="IVA67" s="378"/>
      <c r="IVB67" s="378"/>
      <c r="IVC67" s="378"/>
      <c r="IVD67" s="378"/>
      <c r="IVE67" s="378"/>
      <c r="IVF67" s="378"/>
      <c r="IVG67" s="378"/>
      <c r="IVH67" s="378"/>
      <c r="IVI67" s="378"/>
      <c r="IVJ67" s="378"/>
      <c r="IVK67" s="378"/>
      <c r="IVL67" s="378"/>
      <c r="IVM67" s="378"/>
      <c r="IVN67" s="378"/>
      <c r="IVO67" s="378"/>
      <c r="IVP67" s="378"/>
      <c r="IVQ67" s="378"/>
      <c r="IVR67" s="378"/>
      <c r="IVS67" s="378"/>
      <c r="IVT67" s="378"/>
      <c r="IVU67" s="378"/>
      <c r="IVV67" s="378"/>
      <c r="IVW67" s="378"/>
      <c r="IVX67" s="378"/>
      <c r="IVY67" s="378"/>
      <c r="IVZ67" s="378"/>
      <c r="IWA67" s="378"/>
      <c r="IWB67" s="378"/>
      <c r="IWC67" s="378"/>
      <c r="IWD67" s="378"/>
      <c r="IWE67" s="378"/>
      <c r="IWF67" s="378"/>
      <c r="IWG67" s="378"/>
      <c r="IWH67" s="378"/>
      <c r="IWI67" s="378"/>
      <c r="IWJ67" s="378"/>
      <c r="IWK67" s="378"/>
      <c r="IWL67" s="378"/>
      <c r="IWM67" s="378"/>
      <c r="IWN67" s="378"/>
      <c r="IWO67" s="378"/>
      <c r="IWP67" s="378"/>
      <c r="IWQ67" s="378"/>
      <c r="IWR67" s="378"/>
      <c r="IWS67" s="378"/>
      <c r="IWT67" s="378"/>
      <c r="IWU67" s="378"/>
      <c r="IWV67" s="378"/>
      <c r="IWW67" s="378"/>
      <c r="IWX67" s="378"/>
      <c r="IWY67" s="378"/>
      <c r="IWZ67" s="378"/>
      <c r="IXA67" s="378"/>
      <c r="IXB67" s="378"/>
      <c r="IXC67" s="378"/>
      <c r="IXD67" s="378"/>
      <c r="IXE67" s="378"/>
      <c r="IXF67" s="378"/>
      <c r="IXG67" s="378"/>
      <c r="IXH67" s="378"/>
      <c r="IXI67" s="378"/>
      <c r="IXJ67" s="378"/>
      <c r="IXK67" s="378"/>
      <c r="IXL67" s="378"/>
      <c r="IXM67" s="378"/>
      <c r="IXN67" s="378"/>
      <c r="IXO67" s="378"/>
      <c r="IXP67" s="378"/>
      <c r="IXQ67" s="378"/>
      <c r="IXR67" s="378"/>
      <c r="IXS67" s="378"/>
      <c r="IXT67" s="378"/>
      <c r="IXU67" s="378"/>
      <c r="IXV67" s="378"/>
      <c r="IXW67" s="378"/>
      <c r="IXX67" s="378"/>
      <c r="IXY67" s="378"/>
      <c r="IXZ67" s="378"/>
      <c r="IYA67" s="378"/>
      <c r="IYB67" s="378"/>
      <c r="IYC67" s="378"/>
      <c r="IYD67" s="378"/>
      <c r="IYE67" s="378"/>
      <c r="IYF67" s="378"/>
      <c r="IYG67" s="378"/>
      <c r="IYH67" s="378"/>
      <c r="IYI67" s="378"/>
      <c r="IYJ67" s="378"/>
      <c r="IYK67" s="378"/>
      <c r="IYL67" s="378"/>
      <c r="IYM67" s="378"/>
      <c r="IYN67" s="378"/>
      <c r="IYO67" s="378"/>
      <c r="IYP67" s="378"/>
      <c r="IYQ67" s="378"/>
      <c r="IYR67" s="378"/>
      <c r="IYS67" s="378"/>
      <c r="IYT67" s="378"/>
      <c r="IYU67" s="378"/>
      <c r="IYV67" s="378"/>
      <c r="IYW67" s="378"/>
      <c r="IYX67" s="378"/>
      <c r="IYY67" s="378"/>
      <c r="IYZ67" s="378"/>
      <c r="IZA67" s="378"/>
      <c r="IZB67" s="378"/>
      <c r="IZC67" s="378"/>
      <c r="IZD67" s="378"/>
      <c r="IZE67" s="378"/>
      <c r="IZF67" s="378"/>
      <c r="IZG67" s="378"/>
      <c r="IZH67" s="378"/>
      <c r="IZI67" s="378"/>
      <c r="IZJ67" s="378"/>
      <c r="IZK67" s="378"/>
      <c r="IZL67" s="378"/>
      <c r="IZM67" s="378"/>
      <c r="IZN67" s="378"/>
      <c r="IZO67" s="378"/>
      <c r="IZP67" s="378"/>
      <c r="IZQ67" s="378"/>
      <c r="IZR67" s="378"/>
      <c r="IZS67" s="378"/>
      <c r="IZT67" s="378"/>
      <c r="IZU67" s="378"/>
      <c r="IZV67" s="378"/>
      <c r="IZW67" s="378"/>
      <c r="IZX67" s="378"/>
      <c r="IZY67" s="378"/>
      <c r="IZZ67" s="378"/>
      <c r="JAA67" s="378"/>
      <c r="JAB67" s="378"/>
      <c r="JAC67" s="378"/>
      <c r="JAD67" s="378"/>
      <c r="JAE67" s="378"/>
      <c r="JAF67" s="378"/>
      <c r="JAG67" s="378"/>
      <c r="JAH67" s="378"/>
      <c r="JAI67" s="378"/>
      <c r="JAJ67" s="378"/>
      <c r="JAK67" s="378"/>
      <c r="JAL67" s="378"/>
      <c r="JAM67" s="378"/>
      <c r="JAN67" s="378"/>
      <c r="JAO67" s="378"/>
      <c r="JAP67" s="378"/>
      <c r="JAQ67" s="378"/>
      <c r="JAR67" s="378"/>
      <c r="JAS67" s="378"/>
      <c r="JAT67" s="378"/>
      <c r="JAU67" s="378"/>
      <c r="JAV67" s="378"/>
      <c r="JAW67" s="378"/>
      <c r="JAX67" s="378"/>
      <c r="JAY67" s="378"/>
      <c r="JAZ67" s="378"/>
      <c r="JBA67" s="378"/>
      <c r="JBB67" s="378"/>
      <c r="JBC67" s="378"/>
      <c r="JBD67" s="378"/>
      <c r="JBE67" s="378"/>
      <c r="JBF67" s="378"/>
      <c r="JBG67" s="378"/>
      <c r="JBH67" s="378"/>
      <c r="JBI67" s="378"/>
      <c r="JBJ67" s="378"/>
      <c r="JBK67" s="378"/>
      <c r="JBL67" s="378"/>
      <c r="JBM67" s="378"/>
      <c r="JBN67" s="378"/>
      <c r="JBO67" s="378"/>
      <c r="JBP67" s="378"/>
      <c r="JBQ67" s="378"/>
      <c r="JBR67" s="378"/>
      <c r="JBS67" s="378"/>
      <c r="JBT67" s="378"/>
      <c r="JBU67" s="378"/>
      <c r="JBV67" s="378"/>
      <c r="JBW67" s="378"/>
      <c r="JBX67" s="378"/>
      <c r="JBY67" s="378"/>
      <c r="JBZ67" s="378"/>
      <c r="JCA67" s="378"/>
      <c r="JCB67" s="378"/>
      <c r="JCC67" s="378"/>
      <c r="JCD67" s="378"/>
      <c r="JCE67" s="378"/>
      <c r="JCF67" s="378"/>
      <c r="JCG67" s="378"/>
      <c r="JCH67" s="378"/>
      <c r="JCI67" s="378"/>
      <c r="JCJ67" s="378"/>
      <c r="JCK67" s="378"/>
      <c r="JCL67" s="378"/>
      <c r="JCM67" s="378"/>
      <c r="JCN67" s="378"/>
      <c r="JCO67" s="378"/>
      <c r="JCP67" s="378"/>
      <c r="JCQ67" s="378"/>
      <c r="JCR67" s="378"/>
      <c r="JCS67" s="378"/>
      <c r="JCT67" s="378"/>
      <c r="JCU67" s="378"/>
      <c r="JCV67" s="378"/>
      <c r="JCW67" s="378"/>
      <c r="JCX67" s="378"/>
      <c r="JCY67" s="378"/>
      <c r="JCZ67" s="378"/>
      <c r="JDA67" s="378"/>
      <c r="JDB67" s="378"/>
      <c r="JDC67" s="378"/>
      <c r="JDD67" s="378"/>
      <c r="JDE67" s="378"/>
      <c r="JDF67" s="378"/>
      <c r="JDG67" s="378"/>
      <c r="JDH67" s="378"/>
      <c r="JDI67" s="378"/>
      <c r="JDJ67" s="378"/>
      <c r="JDK67" s="378"/>
      <c r="JDL67" s="378"/>
      <c r="JDM67" s="378"/>
      <c r="JDN67" s="378"/>
      <c r="JDO67" s="378"/>
      <c r="JDP67" s="378"/>
      <c r="JDQ67" s="378"/>
      <c r="JDR67" s="378"/>
      <c r="JDS67" s="378"/>
      <c r="JDT67" s="378"/>
      <c r="JDU67" s="378"/>
      <c r="JDV67" s="378"/>
      <c r="JDW67" s="378"/>
      <c r="JDX67" s="378"/>
      <c r="JDY67" s="378"/>
      <c r="JDZ67" s="378"/>
      <c r="JEA67" s="378"/>
      <c r="JEB67" s="378"/>
      <c r="JEC67" s="378"/>
      <c r="JED67" s="378"/>
      <c r="JEE67" s="378"/>
      <c r="JEF67" s="378"/>
      <c r="JEG67" s="378"/>
      <c r="JEH67" s="378"/>
      <c r="JEI67" s="378"/>
      <c r="JEJ67" s="378"/>
      <c r="JEK67" s="378"/>
      <c r="JEL67" s="378"/>
      <c r="JEM67" s="378"/>
      <c r="JEN67" s="378"/>
      <c r="JEO67" s="378"/>
      <c r="JEP67" s="378"/>
      <c r="JEQ67" s="378"/>
      <c r="JER67" s="378"/>
      <c r="JES67" s="378"/>
      <c r="JET67" s="378"/>
      <c r="JEU67" s="378"/>
      <c r="JEV67" s="378"/>
      <c r="JEW67" s="378"/>
      <c r="JEX67" s="378"/>
      <c r="JEY67" s="378"/>
      <c r="JEZ67" s="378"/>
      <c r="JFA67" s="378"/>
      <c r="JFB67" s="378"/>
      <c r="JFC67" s="378"/>
      <c r="JFD67" s="378"/>
      <c r="JFE67" s="378"/>
      <c r="JFF67" s="378"/>
      <c r="JFG67" s="378"/>
      <c r="JFH67" s="378"/>
      <c r="JFI67" s="378"/>
      <c r="JFJ67" s="378"/>
      <c r="JFK67" s="378"/>
      <c r="JFL67" s="378"/>
      <c r="JFM67" s="378"/>
      <c r="JFN67" s="378"/>
      <c r="JFO67" s="378"/>
      <c r="JFP67" s="378"/>
      <c r="JFQ67" s="378"/>
      <c r="JFR67" s="378"/>
      <c r="JFS67" s="378"/>
      <c r="JFT67" s="378"/>
      <c r="JFU67" s="378"/>
      <c r="JFV67" s="378"/>
      <c r="JFW67" s="378"/>
      <c r="JFX67" s="378"/>
      <c r="JFY67" s="378"/>
      <c r="JFZ67" s="378"/>
      <c r="JGA67" s="378"/>
      <c r="JGB67" s="378"/>
      <c r="JGC67" s="378"/>
      <c r="JGD67" s="378"/>
      <c r="JGE67" s="378"/>
      <c r="JGF67" s="378"/>
      <c r="JGG67" s="378"/>
      <c r="JGH67" s="378"/>
      <c r="JGI67" s="378"/>
      <c r="JGJ67" s="378"/>
      <c r="JGK67" s="378"/>
      <c r="JGL67" s="378"/>
      <c r="JGM67" s="378"/>
      <c r="JGN67" s="378"/>
      <c r="JGO67" s="378"/>
      <c r="JGP67" s="378"/>
      <c r="JGQ67" s="378"/>
      <c r="JGR67" s="378"/>
      <c r="JGS67" s="378"/>
      <c r="JGT67" s="378"/>
      <c r="JGU67" s="378"/>
      <c r="JGV67" s="378"/>
      <c r="JGW67" s="378"/>
      <c r="JGX67" s="378"/>
      <c r="JGY67" s="378"/>
      <c r="JGZ67" s="378"/>
      <c r="JHA67" s="378"/>
      <c r="JHB67" s="378"/>
      <c r="JHC67" s="378"/>
      <c r="JHD67" s="378"/>
      <c r="JHE67" s="378"/>
      <c r="JHF67" s="378"/>
      <c r="JHG67" s="378"/>
      <c r="JHH67" s="378"/>
      <c r="JHI67" s="378"/>
      <c r="JHJ67" s="378"/>
      <c r="JHK67" s="378"/>
      <c r="JHL67" s="378"/>
      <c r="JHM67" s="378"/>
      <c r="JHN67" s="378"/>
      <c r="JHO67" s="378"/>
      <c r="JHP67" s="378"/>
      <c r="JHQ67" s="378"/>
      <c r="JHR67" s="378"/>
      <c r="JHS67" s="378"/>
      <c r="JHT67" s="378"/>
      <c r="JHU67" s="378"/>
      <c r="JHV67" s="378"/>
      <c r="JHW67" s="378"/>
      <c r="JHX67" s="378"/>
      <c r="JHY67" s="378"/>
      <c r="JHZ67" s="378"/>
      <c r="JIA67" s="378"/>
      <c r="JIB67" s="378"/>
      <c r="JIC67" s="378"/>
      <c r="JID67" s="378"/>
      <c r="JIE67" s="378"/>
      <c r="JIF67" s="378"/>
      <c r="JIG67" s="378"/>
      <c r="JIH67" s="378"/>
      <c r="JII67" s="378"/>
      <c r="JIJ67" s="378"/>
      <c r="JIK67" s="378"/>
      <c r="JIL67" s="378"/>
      <c r="JIM67" s="378"/>
      <c r="JIN67" s="378"/>
      <c r="JIO67" s="378"/>
      <c r="JIP67" s="378"/>
      <c r="JIQ67" s="378"/>
      <c r="JIR67" s="378"/>
      <c r="JIS67" s="378"/>
      <c r="JIT67" s="378"/>
      <c r="JIU67" s="378"/>
      <c r="JIV67" s="378"/>
      <c r="JIW67" s="378"/>
      <c r="JIX67" s="378"/>
      <c r="JIY67" s="378"/>
      <c r="JIZ67" s="378"/>
      <c r="JJA67" s="378"/>
      <c r="JJB67" s="378"/>
      <c r="JJC67" s="378"/>
      <c r="JJD67" s="378"/>
      <c r="JJE67" s="378"/>
      <c r="JJF67" s="378"/>
      <c r="JJG67" s="378"/>
      <c r="JJH67" s="378"/>
      <c r="JJI67" s="378"/>
      <c r="JJJ67" s="378"/>
      <c r="JJK67" s="378"/>
      <c r="JJL67" s="378"/>
      <c r="JJM67" s="378"/>
      <c r="JJN67" s="378"/>
      <c r="JJO67" s="378"/>
      <c r="JJP67" s="378"/>
      <c r="JJQ67" s="378"/>
      <c r="JJR67" s="378"/>
      <c r="JJS67" s="378"/>
      <c r="JJT67" s="378"/>
      <c r="JJU67" s="378"/>
      <c r="JJV67" s="378"/>
      <c r="JJW67" s="378"/>
      <c r="JJX67" s="378"/>
      <c r="JJY67" s="378"/>
      <c r="JJZ67" s="378"/>
      <c r="JKA67" s="378"/>
      <c r="JKB67" s="378"/>
      <c r="JKC67" s="378"/>
      <c r="JKD67" s="378"/>
      <c r="JKE67" s="378"/>
      <c r="JKF67" s="378"/>
      <c r="JKG67" s="378"/>
      <c r="JKH67" s="378"/>
      <c r="JKI67" s="378"/>
      <c r="JKJ67" s="378"/>
      <c r="JKK67" s="378"/>
      <c r="JKL67" s="378"/>
      <c r="JKM67" s="378"/>
      <c r="JKN67" s="378"/>
      <c r="JKO67" s="378"/>
      <c r="JKP67" s="378"/>
      <c r="JKQ67" s="378"/>
      <c r="JKR67" s="378"/>
      <c r="JKS67" s="378"/>
      <c r="JKT67" s="378"/>
      <c r="JKU67" s="378"/>
      <c r="JKV67" s="378"/>
      <c r="JKW67" s="378"/>
      <c r="JKX67" s="378"/>
      <c r="JKY67" s="378"/>
      <c r="JKZ67" s="378"/>
      <c r="JLA67" s="378"/>
      <c r="JLB67" s="378"/>
      <c r="JLC67" s="378"/>
      <c r="JLD67" s="378"/>
      <c r="JLE67" s="378"/>
      <c r="JLF67" s="378"/>
      <c r="JLG67" s="378"/>
      <c r="JLH67" s="378"/>
      <c r="JLI67" s="378"/>
      <c r="JLJ67" s="378"/>
      <c r="JLK67" s="378"/>
      <c r="JLL67" s="378"/>
      <c r="JLM67" s="378"/>
      <c r="JLN67" s="378"/>
      <c r="JLO67" s="378"/>
      <c r="JLP67" s="378"/>
      <c r="JLQ67" s="378"/>
      <c r="JLR67" s="378"/>
      <c r="JLS67" s="378"/>
      <c r="JLT67" s="378"/>
      <c r="JLU67" s="378"/>
      <c r="JLV67" s="378"/>
      <c r="JLW67" s="378"/>
      <c r="JLX67" s="378"/>
      <c r="JLY67" s="378"/>
      <c r="JLZ67" s="378"/>
      <c r="JMA67" s="378"/>
      <c r="JMB67" s="378"/>
      <c r="JMC67" s="378"/>
      <c r="JMD67" s="378"/>
      <c r="JME67" s="378"/>
      <c r="JMF67" s="378"/>
      <c r="JMG67" s="378"/>
      <c r="JMH67" s="378"/>
      <c r="JMI67" s="378"/>
      <c r="JMJ67" s="378"/>
      <c r="JMK67" s="378"/>
      <c r="JML67" s="378"/>
      <c r="JMM67" s="378"/>
      <c r="JMN67" s="378"/>
      <c r="JMO67" s="378"/>
      <c r="JMP67" s="378"/>
      <c r="JMQ67" s="378"/>
      <c r="JMR67" s="378"/>
      <c r="JMS67" s="378"/>
      <c r="JMT67" s="378"/>
      <c r="JMU67" s="378"/>
      <c r="JMV67" s="378"/>
      <c r="JMW67" s="378"/>
      <c r="JMX67" s="378"/>
      <c r="JMY67" s="378"/>
      <c r="JMZ67" s="378"/>
      <c r="JNA67" s="378"/>
      <c r="JNB67" s="378"/>
      <c r="JNC67" s="378"/>
      <c r="JND67" s="378"/>
      <c r="JNE67" s="378"/>
      <c r="JNF67" s="378"/>
      <c r="JNG67" s="378"/>
      <c r="JNH67" s="378"/>
      <c r="JNI67" s="378"/>
      <c r="JNJ67" s="378"/>
      <c r="JNK67" s="378"/>
      <c r="JNL67" s="378"/>
      <c r="JNM67" s="378"/>
      <c r="JNN67" s="378"/>
      <c r="JNO67" s="378"/>
      <c r="JNP67" s="378"/>
      <c r="JNQ67" s="378"/>
      <c r="JNR67" s="378"/>
      <c r="JNS67" s="378"/>
      <c r="JNT67" s="378"/>
      <c r="JNU67" s="378"/>
      <c r="JNV67" s="378"/>
      <c r="JNW67" s="378"/>
      <c r="JNX67" s="378"/>
      <c r="JNY67" s="378"/>
      <c r="JNZ67" s="378"/>
      <c r="JOA67" s="378"/>
      <c r="JOB67" s="378"/>
      <c r="JOC67" s="378"/>
      <c r="JOD67" s="378"/>
      <c r="JOE67" s="378"/>
      <c r="JOF67" s="378"/>
      <c r="JOG67" s="378"/>
      <c r="JOH67" s="378"/>
      <c r="JOI67" s="378"/>
      <c r="JOJ67" s="378"/>
      <c r="JOK67" s="378"/>
      <c r="JOL67" s="378"/>
      <c r="JOM67" s="378"/>
      <c r="JON67" s="378"/>
      <c r="JOO67" s="378"/>
      <c r="JOP67" s="378"/>
      <c r="JOQ67" s="378"/>
      <c r="JOR67" s="378"/>
      <c r="JOS67" s="378"/>
      <c r="JOT67" s="378"/>
      <c r="JOU67" s="378"/>
      <c r="JOV67" s="378"/>
      <c r="JOW67" s="378"/>
      <c r="JOX67" s="378"/>
      <c r="JOY67" s="378"/>
      <c r="JOZ67" s="378"/>
      <c r="JPA67" s="378"/>
      <c r="JPB67" s="378"/>
      <c r="JPC67" s="378"/>
      <c r="JPD67" s="378"/>
      <c r="JPE67" s="378"/>
      <c r="JPF67" s="378"/>
      <c r="JPG67" s="378"/>
      <c r="JPH67" s="378"/>
      <c r="JPI67" s="378"/>
      <c r="JPJ67" s="378"/>
      <c r="JPK67" s="378"/>
      <c r="JPL67" s="378"/>
      <c r="JPM67" s="378"/>
      <c r="JPN67" s="378"/>
      <c r="JPO67" s="378"/>
      <c r="JPP67" s="378"/>
      <c r="JPQ67" s="378"/>
      <c r="JPR67" s="378"/>
      <c r="JPS67" s="378"/>
      <c r="JPT67" s="378"/>
      <c r="JPU67" s="378"/>
      <c r="JPV67" s="378"/>
      <c r="JPW67" s="378"/>
      <c r="JPX67" s="378"/>
      <c r="JPY67" s="378"/>
      <c r="JPZ67" s="378"/>
      <c r="JQA67" s="378"/>
      <c r="JQB67" s="378"/>
      <c r="JQC67" s="378"/>
      <c r="JQD67" s="378"/>
      <c r="JQE67" s="378"/>
      <c r="JQF67" s="378"/>
      <c r="JQG67" s="378"/>
      <c r="JQH67" s="378"/>
      <c r="JQI67" s="378"/>
      <c r="JQJ67" s="378"/>
      <c r="JQK67" s="378"/>
      <c r="JQL67" s="378"/>
      <c r="JQM67" s="378"/>
      <c r="JQN67" s="378"/>
      <c r="JQO67" s="378"/>
      <c r="JQP67" s="378"/>
      <c r="JQQ67" s="378"/>
      <c r="JQR67" s="378"/>
      <c r="JQS67" s="378"/>
      <c r="JQT67" s="378"/>
      <c r="JQU67" s="378"/>
      <c r="JQV67" s="378"/>
      <c r="JQW67" s="378"/>
      <c r="JQX67" s="378"/>
      <c r="JQY67" s="378"/>
      <c r="JQZ67" s="378"/>
      <c r="JRA67" s="378"/>
      <c r="JRB67" s="378"/>
      <c r="JRC67" s="378"/>
      <c r="JRD67" s="378"/>
      <c r="JRE67" s="378"/>
      <c r="JRF67" s="378"/>
      <c r="JRG67" s="378"/>
      <c r="JRH67" s="378"/>
      <c r="JRI67" s="378"/>
      <c r="JRJ67" s="378"/>
      <c r="JRK67" s="378"/>
      <c r="JRL67" s="378"/>
      <c r="JRM67" s="378"/>
      <c r="JRN67" s="378"/>
      <c r="JRO67" s="378"/>
      <c r="JRP67" s="378"/>
      <c r="JRQ67" s="378"/>
      <c r="JRR67" s="378"/>
      <c r="JRS67" s="378"/>
      <c r="JRT67" s="378"/>
      <c r="JRU67" s="378"/>
      <c r="JRV67" s="378"/>
      <c r="JRW67" s="378"/>
      <c r="JRX67" s="378"/>
      <c r="JRY67" s="378"/>
      <c r="JRZ67" s="378"/>
      <c r="JSA67" s="378"/>
      <c r="JSB67" s="378"/>
      <c r="JSC67" s="378"/>
      <c r="JSD67" s="378"/>
      <c r="JSE67" s="378"/>
      <c r="JSF67" s="378"/>
      <c r="JSG67" s="378"/>
      <c r="JSH67" s="378"/>
      <c r="JSI67" s="378"/>
      <c r="JSJ67" s="378"/>
      <c r="JSK67" s="378"/>
      <c r="JSL67" s="378"/>
      <c r="JSM67" s="378"/>
      <c r="JSN67" s="378"/>
      <c r="JSO67" s="378"/>
      <c r="JSP67" s="378"/>
      <c r="JSQ67" s="378"/>
      <c r="JSR67" s="378"/>
      <c r="JSS67" s="378"/>
      <c r="JST67" s="378"/>
      <c r="JSU67" s="378"/>
      <c r="JSV67" s="378"/>
      <c r="JSW67" s="378"/>
      <c r="JSX67" s="378"/>
      <c r="JSY67" s="378"/>
      <c r="JSZ67" s="378"/>
      <c r="JTA67" s="378"/>
      <c r="JTB67" s="378"/>
      <c r="JTC67" s="378"/>
      <c r="JTD67" s="378"/>
      <c r="JTE67" s="378"/>
      <c r="JTF67" s="378"/>
      <c r="JTG67" s="378"/>
      <c r="JTH67" s="378"/>
      <c r="JTI67" s="378"/>
      <c r="JTJ67" s="378"/>
      <c r="JTK67" s="378"/>
      <c r="JTL67" s="378"/>
      <c r="JTM67" s="378"/>
      <c r="JTN67" s="378"/>
      <c r="JTO67" s="378"/>
      <c r="JTP67" s="378"/>
      <c r="JTQ67" s="378"/>
      <c r="JTR67" s="378"/>
      <c r="JTS67" s="378"/>
      <c r="JTT67" s="378"/>
      <c r="JTU67" s="378"/>
      <c r="JTV67" s="378"/>
      <c r="JTW67" s="378"/>
      <c r="JTX67" s="378"/>
      <c r="JTY67" s="378"/>
      <c r="JTZ67" s="378"/>
      <c r="JUA67" s="378"/>
      <c r="JUB67" s="378"/>
      <c r="JUC67" s="378"/>
      <c r="JUD67" s="378"/>
      <c r="JUE67" s="378"/>
      <c r="JUF67" s="378"/>
      <c r="JUG67" s="378"/>
      <c r="JUH67" s="378"/>
      <c r="JUI67" s="378"/>
      <c r="JUJ67" s="378"/>
      <c r="JUK67" s="378"/>
      <c r="JUL67" s="378"/>
      <c r="JUM67" s="378"/>
      <c r="JUN67" s="378"/>
      <c r="JUO67" s="378"/>
      <c r="JUP67" s="378"/>
      <c r="JUQ67" s="378"/>
      <c r="JUR67" s="378"/>
      <c r="JUS67" s="378"/>
      <c r="JUT67" s="378"/>
      <c r="JUU67" s="378"/>
      <c r="JUV67" s="378"/>
      <c r="JUW67" s="378"/>
      <c r="JUX67" s="378"/>
      <c r="JUY67" s="378"/>
      <c r="JUZ67" s="378"/>
      <c r="JVA67" s="378"/>
      <c r="JVB67" s="378"/>
      <c r="JVC67" s="378"/>
      <c r="JVD67" s="378"/>
      <c r="JVE67" s="378"/>
      <c r="JVF67" s="378"/>
      <c r="JVG67" s="378"/>
      <c r="JVH67" s="378"/>
      <c r="JVI67" s="378"/>
      <c r="JVJ67" s="378"/>
      <c r="JVK67" s="378"/>
      <c r="JVL67" s="378"/>
      <c r="JVM67" s="378"/>
      <c r="JVN67" s="378"/>
      <c r="JVO67" s="378"/>
      <c r="JVP67" s="378"/>
      <c r="JVQ67" s="378"/>
      <c r="JVR67" s="378"/>
      <c r="JVS67" s="378"/>
      <c r="JVT67" s="378"/>
      <c r="JVU67" s="378"/>
      <c r="JVV67" s="378"/>
      <c r="JVW67" s="378"/>
      <c r="JVX67" s="378"/>
      <c r="JVY67" s="378"/>
      <c r="JVZ67" s="378"/>
      <c r="JWA67" s="378"/>
      <c r="JWB67" s="378"/>
      <c r="JWC67" s="378"/>
      <c r="JWD67" s="378"/>
      <c r="JWE67" s="378"/>
      <c r="JWF67" s="378"/>
      <c r="JWG67" s="378"/>
      <c r="JWH67" s="378"/>
      <c r="JWI67" s="378"/>
      <c r="JWJ67" s="378"/>
      <c r="JWK67" s="378"/>
      <c r="JWL67" s="378"/>
      <c r="JWM67" s="378"/>
      <c r="JWN67" s="378"/>
      <c r="JWO67" s="378"/>
      <c r="JWP67" s="378"/>
      <c r="JWQ67" s="378"/>
      <c r="JWR67" s="378"/>
      <c r="JWS67" s="378"/>
      <c r="JWT67" s="378"/>
      <c r="JWU67" s="378"/>
      <c r="JWV67" s="378"/>
      <c r="JWW67" s="378"/>
      <c r="JWX67" s="378"/>
      <c r="JWY67" s="378"/>
      <c r="JWZ67" s="378"/>
      <c r="JXA67" s="378"/>
      <c r="JXB67" s="378"/>
      <c r="JXC67" s="378"/>
      <c r="JXD67" s="378"/>
      <c r="JXE67" s="378"/>
      <c r="JXF67" s="378"/>
      <c r="JXG67" s="378"/>
      <c r="JXH67" s="378"/>
      <c r="JXI67" s="378"/>
      <c r="JXJ67" s="378"/>
      <c r="JXK67" s="378"/>
      <c r="JXL67" s="378"/>
      <c r="JXM67" s="378"/>
      <c r="JXN67" s="378"/>
      <c r="JXO67" s="378"/>
      <c r="JXP67" s="378"/>
      <c r="JXQ67" s="378"/>
      <c r="JXR67" s="378"/>
      <c r="JXS67" s="378"/>
      <c r="JXT67" s="378"/>
      <c r="JXU67" s="378"/>
      <c r="JXV67" s="378"/>
      <c r="JXW67" s="378"/>
      <c r="JXX67" s="378"/>
      <c r="JXY67" s="378"/>
      <c r="JXZ67" s="378"/>
      <c r="JYA67" s="378"/>
      <c r="JYB67" s="378"/>
      <c r="JYC67" s="378"/>
      <c r="JYD67" s="378"/>
      <c r="JYE67" s="378"/>
      <c r="JYF67" s="378"/>
      <c r="JYG67" s="378"/>
      <c r="JYH67" s="378"/>
      <c r="JYI67" s="378"/>
      <c r="JYJ67" s="378"/>
      <c r="JYK67" s="378"/>
      <c r="JYL67" s="378"/>
      <c r="JYM67" s="378"/>
      <c r="JYN67" s="378"/>
      <c r="JYO67" s="378"/>
      <c r="JYP67" s="378"/>
      <c r="JYQ67" s="378"/>
      <c r="JYR67" s="378"/>
      <c r="JYS67" s="378"/>
      <c r="JYT67" s="378"/>
      <c r="JYU67" s="378"/>
      <c r="JYV67" s="378"/>
      <c r="JYW67" s="378"/>
      <c r="JYX67" s="378"/>
      <c r="JYY67" s="378"/>
      <c r="JYZ67" s="378"/>
      <c r="JZA67" s="378"/>
      <c r="JZB67" s="378"/>
      <c r="JZC67" s="378"/>
      <c r="JZD67" s="378"/>
      <c r="JZE67" s="378"/>
      <c r="JZF67" s="378"/>
      <c r="JZG67" s="378"/>
      <c r="JZH67" s="378"/>
      <c r="JZI67" s="378"/>
      <c r="JZJ67" s="378"/>
      <c r="JZK67" s="378"/>
      <c r="JZL67" s="378"/>
      <c r="JZM67" s="378"/>
      <c r="JZN67" s="378"/>
      <c r="JZO67" s="378"/>
      <c r="JZP67" s="378"/>
      <c r="JZQ67" s="378"/>
      <c r="JZR67" s="378"/>
      <c r="JZS67" s="378"/>
      <c r="JZT67" s="378"/>
      <c r="JZU67" s="378"/>
      <c r="JZV67" s="378"/>
      <c r="JZW67" s="378"/>
      <c r="JZX67" s="378"/>
      <c r="JZY67" s="378"/>
      <c r="JZZ67" s="378"/>
      <c r="KAA67" s="378"/>
      <c r="KAB67" s="378"/>
      <c r="KAC67" s="378"/>
      <c r="KAD67" s="378"/>
      <c r="KAE67" s="378"/>
      <c r="KAF67" s="378"/>
      <c r="KAG67" s="378"/>
      <c r="KAH67" s="378"/>
      <c r="KAI67" s="378"/>
      <c r="KAJ67" s="378"/>
      <c r="KAK67" s="378"/>
      <c r="KAL67" s="378"/>
      <c r="KAM67" s="378"/>
      <c r="KAN67" s="378"/>
      <c r="KAO67" s="378"/>
      <c r="KAP67" s="378"/>
      <c r="KAQ67" s="378"/>
      <c r="KAR67" s="378"/>
      <c r="KAS67" s="378"/>
      <c r="KAT67" s="378"/>
      <c r="KAU67" s="378"/>
      <c r="KAV67" s="378"/>
      <c r="KAW67" s="378"/>
      <c r="KAX67" s="378"/>
      <c r="KAY67" s="378"/>
      <c r="KAZ67" s="378"/>
      <c r="KBA67" s="378"/>
      <c r="KBB67" s="378"/>
      <c r="KBC67" s="378"/>
      <c r="KBD67" s="378"/>
      <c r="KBE67" s="378"/>
      <c r="KBF67" s="378"/>
      <c r="KBG67" s="378"/>
      <c r="KBH67" s="378"/>
      <c r="KBI67" s="378"/>
      <c r="KBJ67" s="378"/>
      <c r="KBK67" s="378"/>
      <c r="KBL67" s="378"/>
      <c r="KBM67" s="378"/>
      <c r="KBN67" s="378"/>
      <c r="KBO67" s="378"/>
      <c r="KBP67" s="378"/>
      <c r="KBQ67" s="378"/>
      <c r="KBR67" s="378"/>
      <c r="KBS67" s="378"/>
      <c r="KBT67" s="378"/>
      <c r="KBU67" s="378"/>
      <c r="KBV67" s="378"/>
      <c r="KBW67" s="378"/>
      <c r="KBX67" s="378"/>
      <c r="KBY67" s="378"/>
      <c r="KBZ67" s="378"/>
      <c r="KCA67" s="378"/>
      <c r="KCB67" s="378"/>
      <c r="KCC67" s="378"/>
      <c r="KCD67" s="378"/>
      <c r="KCE67" s="378"/>
      <c r="KCF67" s="378"/>
      <c r="KCG67" s="378"/>
      <c r="KCH67" s="378"/>
      <c r="KCI67" s="378"/>
      <c r="KCJ67" s="378"/>
      <c r="KCK67" s="378"/>
      <c r="KCL67" s="378"/>
      <c r="KCM67" s="378"/>
      <c r="KCN67" s="378"/>
      <c r="KCO67" s="378"/>
      <c r="KCP67" s="378"/>
      <c r="KCQ67" s="378"/>
      <c r="KCR67" s="378"/>
      <c r="KCS67" s="378"/>
      <c r="KCT67" s="378"/>
      <c r="KCU67" s="378"/>
      <c r="KCV67" s="378"/>
      <c r="KCW67" s="378"/>
      <c r="KCX67" s="378"/>
      <c r="KCY67" s="378"/>
      <c r="KCZ67" s="378"/>
      <c r="KDA67" s="378"/>
      <c r="KDB67" s="378"/>
      <c r="KDC67" s="378"/>
      <c r="KDD67" s="378"/>
      <c r="KDE67" s="378"/>
      <c r="KDF67" s="378"/>
      <c r="KDG67" s="378"/>
      <c r="KDH67" s="378"/>
      <c r="KDI67" s="378"/>
      <c r="KDJ67" s="378"/>
      <c r="KDK67" s="378"/>
      <c r="KDL67" s="378"/>
      <c r="KDM67" s="378"/>
      <c r="KDN67" s="378"/>
      <c r="KDO67" s="378"/>
      <c r="KDP67" s="378"/>
      <c r="KDQ67" s="378"/>
      <c r="KDR67" s="378"/>
      <c r="KDS67" s="378"/>
      <c r="KDT67" s="378"/>
      <c r="KDU67" s="378"/>
      <c r="KDV67" s="378"/>
      <c r="KDW67" s="378"/>
      <c r="KDX67" s="378"/>
      <c r="KDY67" s="378"/>
      <c r="KDZ67" s="378"/>
      <c r="KEA67" s="378"/>
      <c r="KEB67" s="378"/>
      <c r="KEC67" s="378"/>
      <c r="KED67" s="378"/>
      <c r="KEE67" s="378"/>
      <c r="KEF67" s="378"/>
      <c r="KEG67" s="378"/>
      <c r="KEH67" s="378"/>
      <c r="KEI67" s="378"/>
      <c r="KEJ67" s="378"/>
      <c r="KEK67" s="378"/>
      <c r="KEL67" s="378"/>
      <c r="KEM67" s="378"/>
      <c r="KEN67" s="378"/>
      <c r="KEO67" s="378"/>
      <c r="KEP67" s="378"/>
      <c r="KEQ67" s="378"/>
      <c r="KER67" s="378"/>
      <c r="KES67" s="378"/>
      <c r="KET67" s="378"/>
      <c r="KEU67" s="378"/>
      <c r="KEV67" s="378"/>
      <c r="KEW67" s="378"/>
      <c r="KEX67" s="378"/>
      <c r="KEY67" s="378"/>
      <c r="KEZ67" s="378"/>
      <c r="KFA67" s="378"/>
      <c r="KFB67" s="378"/>
      <c r="KFC67" s="378"/>
      <c r="KFD67" s="378"/>
      <c r="KFE67" s="378"/>
      <c r="KFF67" s="378"/>
      <c r="KFG67" s="378"/>
      <c r="KFH67" s="378"/>
      <c r="KFI67" s="378"/>
      <c r="KFJ67" s="378"/>
      <c r="KFK67" s="378"/>
      <c r="KFL67" s="378"/>
      <c r="KFM67" s="378"/>
      <c r="KFN67" s="378"/>
      <c r="KFO67" s="378"/>
      <c r="KFP67" s="378"/>
      <c r="KFQ67" s="378"/>
      <c r="KFR67" s="378"/>
      <c r="KFS67" s="378"/>
      <c r="KFT67" s="378"/>
      <c r="KFU67" s="378"/>
      <c r="KFV67" s="378"/>
      <c r="KFW67" s="378"/>
      <c r="KFX67" s="378"/>
      <c r="KFY67" s="378"/>
      <c r="KFZ67" s="378"/>
      <c r="KGA67" s="378"/>
      <c r="KGB67" s="378"/>
      <c r="KGC67" s="378"/>
      <c r="KGD67" s="378"/>
      <c r="KGE67" s="378"/>
      <c r="KGF67" s="378"/>
      <c r="KGG67" s="378"/>
      <c r="KGH67" s="378"/>
      <c r="KGI67" s="378"/>
      <c r="KGJ67" s="378"/>
      <c r="KGK67" s="378"/>
      <c r="KGL67" s="378"/>
      <c r="KGM67" s="378"/>
      <c r="KGN67" s="378"/>
      <c r="KGO67" s="378"/>
      <c r="KGP67" s="378"/>
      <c r="KGQ67" s="378"/>
      <c r="KGR67" s="378"/>
      <c r="KGS67" s="378"/>
      <c r="KGT67" s="378"/>
      <c r="KGU67" s="378"/>
      <c r="KGV67" s="378"/>
      <c r="KGW67" s="378"/>
      <c r="KGX67" s="378"/>
      <c r="KGY67" s="378"/>
      <c r="KGZ67" s="378"/>
      <c r="KHA67" s="378"/>
      <c r="KHB67" s="378"/>
      <c r="KHC67" s="378"/>
      <c r="KHD67" s="378"/>
      <c r="KHE67" s="378"/>
      <c r="KHF67" s="378"/>
      <c r="KHG67" s="378"/>
      <c r="KHH67" s="378"/>
      <c r="KHI67" s="378"/>
      <c r="KHJ67" s="378"/>
      <c r="KHK67" s="378"/>
      <c r="KHL67" s="378"/>
      <c r="KHM67" s="378"/>
      <c r="KHN67" s="378"/>
      <c r="KHO67" s="378"/>
      <c r="KHP67" s="378"/>
      <c r="KHQ67" s="378"/>
      <c r="KHR67" s="378"/>
      <c r="KHS67" s="378"/>
      <c r="KHT67" s="378"/>
      <c r="KHU67" s="378"/>
      <c r="KHV67" s="378"/>
      <c r="KHW67" s="378"/>
      <c r="KHX67" s="378"/>
      <c r="KHY67" s="378"/>
      <c r="KHZ67" s="378"/>
      <c r="KIA67" s="378"/>
      <c r="KIB67" s="378"/>
      <c r="KIC67" s="378"/>
      <c r="KID67" s="378"/>
      <c r="KIE67" s="378"/>
      <c r="KIF67" s="378"/>
      <c r="KIG67" s="378"/>
      <c r="KIH67" s="378"/>
      <c r="KII67" s="378"/>
      <c r="KIJ67" s="378"/>
      <c r="KIK67" s="378"/>
      <c r="KIL67" s="378"/>
      <c r="KIM67" s="378"/>
      <c r="KIN67" s="378"/>
      <c r="KIO67" s="378"/>
      <c r="KIP67" s="378"/>
      <c r="KIQ67" s="378"/>
      <c r="KIR67" s="378"/>
      <c r="KIS67" s="378"/>
      <c r="KIT67" s="378"/>
      <c r="KIU67" s="378"/>
      <c r="KIV67" s="378"/>
      <c r="KIW67" s="378"/>
      <c r="KIX67" s="378"/>
      <c r="KIY67" s="378"/>
      <c r="KIZ67" s="378"/>
      <c r="KJA67" s="378"/>
      <c r="KJB67" s="378"/>
      <c r="KJC67" s="378"/>
      <c r="KJD67" s="378"/>
      <c r="KJE67" s="378"/>
      <c r="KJF67" s="378"/>
      <c r="KJG67" s="378"/>
      <c r="KJH67" s="378"/>
      <c r="KJI67" s="378"/>
      <c r="KJJ67" s="378"/>
      <c r="KJK67" s="378"/>
      <c r="KJL67" s="378"/>
      <c r="KJM67" s="378"/>
      <c r="KJN67" s="378"/>
      <c r="KJO67" s="378"/>
      <c r="KJP67" s="378"/>
      <c r="KJQ67" s="378"/>
      <c r="KJR67" s="378"/>
      <c r="KJS67" s="378"/>
      <c r="KJT67" s="378"/>
      <c r="KJU67" s="378"/>
      <c r="KJV67" s="378"/>
      <c r="KJW67" s="378"/>
      <c r="KJX67" s="378"/>
      <c r="KJY67" s="378"/>
      <c r="KJZ67" s="378"/>
      <c r="KKA67" s="378"/>
      <c r="KKB67" s="378"/>
      <c r="KKC67" s="378"/>
      <c r="KKD67" s="378"/>
      <c r="KKE67" s="378"/>
      <c r="KKF67" s="378"/>
      <c r="KKG67" s="378"/>
      <c r="KKH67" s="378"/>
      <c r="KKI67" s="378"/>
      <c r="KKJ67" s="378"/>
      <c r="KKK67" s="378"/>
      <c r="KKL67" s="378"/>
      <c r="KKM67" s="378"/>
      <c r="KKN67" s="378"/>
      <c r="KKO67" s="378"/>
      <c r="KKP67" s="378"/>
      <c r="KKQ67" s="378"/>
      <c r="KKR67" s="378"/>
      <c r="KKS67" s="378"/>
      <c r="KKT67" s="378"/>
      <c r="KKU67" s="378"/>
      <c r="KKV67" s="378"/>
      <c r="KKW67" s="378"/>
      <c r="KKX67" s="378"/>
      <c r="KKY67" s="378"/>
      <c r="KKZ67" s="378"/>
      <c r="KLA67" s="378"/>
      <c r="KLB67" s="378"/>
      <c r="KLC67" s="378"/>
      <c r="KLD67" s="378"/>
      <c r="KLE67" s="378"/>
      <c r="KLF67" s="378"/>
      <c r="KLG67" s="378"/>
      <c r="KLH67" s="378"/>
      <c r="KLI67" s="378"/>
      <c r="KLJ67" s="378"/>
      <c r="KLK67" s="378"/>
      <c r="KLL67" s="378"/>
      <c r="KLM67" s="378"/>
      <c r="KLN67" s="378"/>
      <c r="KLO67" s="378"/>
      <c r="KLP67" s="378"/>
      <c r="KLQ67" s="378"/>
      <c r="KLR67" s="378"/>
      <c r="KLS67" s="378"/>
      <c r="KLT67" s="378"/>
      <c r="KLU67" s="378"/>
      <c r="KLV67" s="378"/>
      <c r="KLW67" s="378"/>
      <c r="KLX67" s="378"/>
      <c r="KLY67" s="378"/>
      <c r="KLZ67" s="378"/>
      <c r="KMA67" s="378"/>
      <c r="KMB67" s="378"/>
      <c r="KMC67" s="378"/>
      <c r="KMD67" s="378"/>
      <c r="KME67" s="378"/>
      <c r="KMF67" s="378"/>
      <c r="KMG67" s="378"/>
      <c r="KMH67" s="378"/>
      <c r="KMI67" s="378"/>
      <c r="KMJ67" s="378"/>
      <c r="KMK67" s="378"/>
      <c r="KML67" s="378"/>
      <c r="KMM67" s="378"/>
      <c r="KMN67" s="378"/>
      <c r="KMO67" s="378"/>
      <c r="KMP67" s="378"/>
      <c r="KMQ67" s="378"/>
      <c r="KMR67" s="378"/>
      <c r="KMS67" s="378"/>
      <c r="KMT67" s="378"/>
      <c r="KMU67" s="378"/>
      <c r="KMV67" s="378"/>
      <c r="KMW67" s="378"/>
      <c r="KMX67" s="378"/>
      <c r="KMY67" s="378"/>
      <c r="KMZ67" s="378"/>
      <c r="KNA67" s="378"/>
      <c r="KNB67" s="378"/>
      <c r="KNC67" s="378"/>
      <c r="KND67" s="378"/>
      <c r="KNE67" s="378"/>
      <c r="KNF67" s="378"/>
      <c r="KNG67" s="378"/>
      <c r="KNH67" s="378"/>
      <c r="KNI67" s="378"/>
      <c r="KNJ67" s="378"/>
      <c r="KNK67" s="378"/>
      <c r="KNL67" s="378"/>
      <c r="KNM67" s="378"/>
      <c r="KNN67" s="378"/>
      <c r="KNO67" s="378"/>
      <c r="KNP67" s="378"/>
      <c r="KNQ67" s="378"/>
      <c r="KNR67" s="378"/>
      <c r="KNS67" s="378"/>
      <c r="KNT67" s="378"/>
      <c r="KNU67" s="378"/>
      <c r="KNV67" s="378"/>
      <c r="KNW67" s="378"/>
      <c r="KNX67" s="378"/>
      <c r="KNY67" s="378"/>
      <c r="KNZ67" s="378"/>
      <c r="KOA67" s="378"/>
      <c r="KOB67" s="378"/>
      <c r="KOC67" s="378"/>
      <c r="KOD67" s="378"/>
      <c r="KOE67" s="378"/>
      <c r="KOF67" s="378"/>
      <c r="KOG67" s="378"/>
      <c r="KOH67" s="378"/>
      <c r="KOI67" s="378"/>
      <c r="KOJ67" s="378"/>
      <c r="KOK67" s="378"/>
      <c r="KOL67" s="378"/>
      <c r="KOM67" s="378"/>
      <c r="KON67" s="378"/>
      <c r="KOO67" s="378"/>
      <c r="KOP67" s="378"/>
      <c r="KOQ67" s="378"/>
      <c r="KOR67" s="378"/>
      <c r="KOS67" s="378"/>
      <c r="KOT67" s="378"/>
      <c r="KOU67" s="378"/>
      <c r="KOV67" s="378"/>
      <c r="KOW67" s="378"/>
      <c r="KOX67" s="378"/>
      <c r="KOY67" s="378"/>
      <c r="KOZ67" s="378"/>
      <c r="KPA67" s="378"/>
      <c r="KPB67" s="378"/>
      <c r="KPC67" s="378"/>
      <c r="KPD67" s="378"/>
      <c r="KPE67" s="378"/>
      <c r="KPF67" s="378"/>
      <c r="KPG67" s="378"/>
      <c r="KPH67" s="378"/>
      <c r="KPI67" s="378"/>
      <c r="KPJ67" s="378"/>
      <c r="KPK67" s="378"/>
      <c r="KPL67" s="378"/>
      <c r="KPM67" s="378"/>
      <c r="KPN67" s="378"/>
      <c r="KPO67" s="378"/>
      <c r="KPP67" s="378"/>
      <c r="KPQ67" s="378"/>
      <c r="KPR67" s="378"/>
      <c r="KPS67" s="378"/>
      <c r="KPT67" s="378"/>
      <c r="KPU67" s="378"/>
      <c r="KPV67" s="378"/>
      <c r="KPW67" s="378"/>
      <c r="KPX67" s="378"/>
      <c r="KPY67" s="378"/>
      <c r="KPZ67" s="378"/>
      <c r="KQA67" s="378"/>
      <c r="KQB67" s="378"/>
      <c r="KQC67" s="378"/>
      <c r="KQD67" s="378"/>
      <c r="KQE67" s="378"/>
      <c r="KQF67" s="378"/>
      <c r="KQG67" s="378"/>
      <c r="KQH67" s="378"/>
      <c r="KQI67" s="378"/>
      <c r="KQJ67" s="378"/>
      <c r="KQK67" s="378"/>
      <c r="KQL67" s="378"/>
      <c r="KQM67" s="378"/>
      <c r="KQN67" s="378"/>
      <c r="KQO67" s="378"/>
      <c r="KQP67" s="378"/>
      <c r="KQQ67" s="378"/>
      <c r="KQR67" s="378"/>
      <c r="KQS67" s="378"/>
      <c r="KQT67" s="378"/>
      <c r="KQU67" s="378"/>
      <c r="KQV67" s="378"/>
      <c r="KQW67" s="378"/>
      <c r="KQX67" s="378"/>
      <c r="KQY67" s="378"/>
      <c r="KQZ67" s="378"/>
      <c r="KRA67" s="378"/>
      <c r="KRB67" s="378"/>
      <c r="KRC67" s="378"/>
      <c r="KRD67" s="378"/>
      <c r="KRE67" s="378"/>
      <c r="KRF67" s="378"/>
      <c r="KRG67" s="378"/>
      <c r="KRH67" s="378"/>
      <c r="KRI67" s="378"/>
      <c r="KRJ67" s="378"/>
      <c r="KRK67" s="378"/>
      <c r="KRL67" s="378"/>
      <c r="KRM67" s="378"/>
      <c r="KRN67" s="378"/>
      <c r="KRO67" s="378"/>
      <c r="KRP67" s="378"/>
      <c r="KRQ67" s="378"/>
      <c r="KRR67" s="378"/>
      <c r="KRS67" s="378"/>
      <c r="KRT67" s="378"/>
      <c r="KRU67" s="378"/>
      <c r="KRV67" s="378"/>
      <c r="KRW67" s="378"/>
      <c r="KRX67" s="378"/>
      <c r="KRY67" s="378"/>
      <c r="KRZ67" s="378"/>
      <c r="KSA67" s="378"/>
      <c r="KSB67" s="378"/>
      <c r="KSC67" s="378"/>
      <c r="KSD67" s="378"/>
      <c r="KSE67" s="378"/>
      <c r="KSF67" s="378"/>
      <c r="KSG67" s="378"/>
      <c r="KSH67" s="378"/>
      <c r="KSI67" s="378"/>
      <c r="KSJ67" s="378"/>
      <c r="KSK67" s="378"/>
      <c r="KSL67" s="378"/>
      <c r="KSM67" s="378"/>
      <c r="KSN67" s="378"/>
      <c r="KSO67" s="378"/>
      <c r="KSP67" s="378"/>
      <c r="KSQ67" s="378"/>
      <c r="KSR67" s="378"/>
      <c r="KSS67" s="378"/>
      <c r="KST67" s="378"/>
      <c r="KSU67" s="378"/>
      <c r="KSV67" s="378"/>
      <c r="KSW67" s="378"/>
      <c r="KSX67" s="378"/>
      <c r="KSY67" s="378"/>
      <c r="KSZ67" s="378"/>
      <c r="KTA67" s="378"/>
      <c r="KTB67" s="378"/>
      <c r="KTC67" s="378"/>
      <c r="KTD67" s="378"/>
      <c r="KTE67" s="378"/>
      <c r="KTF67" s="378"/>
      <c r="KTG67" s="378"/>
      <c r="KTH67" s="378"/>
      <c r="KTI67" s="378"/>
      <c r="KTJ67" s="378"/>
      <c r="KTK67" s="378"/>
      <c r="KTL67" s="378"/>
      <c r="KTM67" s="378"/>
      <c r="KTN67" s="378"/>
      <c r="KTO67" s="378"/>
      <c r="KTP67" s="378"/>
      <c r="KTQ67" s="378"/>
      <c r="KTR67" s="378"/>
      <c r="KTS67" s="378"/>
      <c r="KTT67" s="378"/>
      <c r="KTU67" s="378"/>
      <c r="KTV67" s="378"/>
      <c r="KTW67" s="378"/>
      <c r="KTX67" s="378"/>
      <c r="KTY67" s="378"/>
      <c r="KTZ67" s="378"/>
      <c r="KUA67" s="378"/>
      <c r="KUB67" s="378"/>
      <c r="KUC67" s="378"/>
      <c r="KUD67" s="378"/>
      <c r="KUE67" s="378"/>
      <c r="KUF67" s="378"/>
      <c r="KUG67" s="378"/>
      <c r="KUH67" s="378"/>
      <c r="KUI67" s="378"/>
      <c r="KUJ67" s="378"/>
      <c r="KUK67" s="378"/>
      <c r="KUL67" s="378"/>
      <c r="KUM67" s="378"/>
      <c r="KUN67" s="378"/>
      <c r="KUO67" s="378"/>
      <c r="KUP67" s="378"/>
      <c r="KUQ67" s="378"/>
      <c r="KUR67" s="378"/>
      <c r="KUS67" s="378"/>
      <c r="KUT67" s="378"/>
      <c r="KUU67" s="378"/>
      <c r="KUV67" s="378"/>
      <c r="KUW67" s="378"/>
      <c r="KUX67" s="378"/>
      <c r="KUY67" s="378"/>
      <c r="KUZ67" s="378"/>
      <c r="KVA67" s="378"/>
      <c r="KVB67" s="378"/>
      <c r="KVC67" s="378"/>
      <c r="KVD67" s="378"/>
      <c r="KVE67" s="378"/>
      <c r="KVF67" s="378"/>
      <c r="KVG67" s="378"/>
      <c r="KVH67" s="378"/>
      <c r="KVI67" s="378"/>
      <c r="KVJ67" s="378"/>
      <c r="KVK67" s="378"/>
      <c r="KVL67" s="378"/>
      <c r="KVM67" s="378"/>
      <c r="KVN67" s="378"/>
      <c r="KVO67" s="378"/>
      <c r="KVP67" s="378"/>
      <c r="KVQ67" s="378"/>
      <c r="KVR67" s="378"/>
      <c r="KVS67" s="378"/>
      <c r="KVT67" s="378"/>
      <c r="KVU67" s="378"/>
      <c r="KVV67" s="378"/>
      <c r="KVW67" s="378"/>
      <c r="KVX67" s="378"/>
      <c r="KVY67" s="378"/>
      <c r="KVZ67" s="378"/>
      <c r="KWA67" s="378"/>
      <c r="KWB67" s="378"/>
      <c r="KWC67" s="378"/>
      <c r="KWD67" s="378"/>
      <c r="KWE67" s="378"/>
      <c r="KWF67" s="378"/>
      <c r="KWG67" s="378"/>
      <c r="KWH67" s="378"/>
      <c r="KWI67" s="378"/>
      <c r="KWJ67" s="378"/>
      <c r="KWK67" s="378"/>
      <c r="KWL67" s="378"/>
      <c r="KWM67" s="378"/>
      <c r="KWN67" s="378"/>
      <c r="KWO67" s="378"/>
      <c r="KWP67" s="378"/>
      <c r="KWQ67" s="378"/>
      <c r="KWR67" s="378"/>
      <c r="KWS67" s="378"/>
      <c r="KWT67" s="378"/>
      <c r="KWU67" s="378"/>
      <c r="KWV67" s="378"/>
      <c r="KWW67" s="378"/>
      <c r="KWX67" s="378"/>
      <c r="KWY67" s="378"/>
      <c r="KWZ67" s="378"/>
      <c r="KXA67" s="378"/>
      <c r="KXB67" s="378"/>
      <c r="KXC67" s="378"/>
      <c r="KXD67" s="378"/>
      <c r="KXE67" s="378"/>
      <c r="KXF67" s="378"/>
      <c r="KXG67" s="378"/>
      <c r="KXH67" s="378"/>
      <c r="KXI67" s="378"/>
      <c r="KXJ67" s="378"/>
      <c r="KXK67" s="378"/>
      <c r="KXL67" s="378"/>
      <c r="KXM67" s="378"/>
      <c r="KXN67" s="378"/>
      <c r="KXO67" s="378"/>
      <c r="KXP67" s="378"/>
      <c r="KXQ67" s="378"/>
      <c r="KXR67" s="378"/>
      <c r="KXS67" s="378"/>
      <c r="KXT67" s="378"/>
      <c r="KXU67" s="378"/>
      <c r="KXV67" s="378"/>
      <c r="KXW67" s="378"/>
      <c r="KXX67" s="378"/>
      <c r="KXY67" s="378"/>
      <c r="KXZ67" s="378"/>
      <c r="KYA67" s="378"/>
      <c r="KYB67" s="378"/>
      <c r="KYC67" s="378"/>
      <c r="KYD67" s="378"/>
      <c r="KYE67" s="378"/>
      <c r="KYF67" s="378"/>
      <c r="KYG67" s="378"/>
      <c r="KYH67" s="378"/>
      <c r="KYI67" s="378"/>
      <c r="KYJ67" s="378"/>
      <c r="KYK67" s="378"/>
      <c r="KYL67" s="378"/>
      <c r="KYM67" s="378"/>
      <c r="KYN67" s="378"/>
      <c r="KYO67" s="378"/>
      <c r="KYP67" s="378"/>
      <c r="KYQ67" s="378"/>
      <c r="KYR67" s="378"/>
      <c r="KYS67" s="378"/>
      <c r="KYT67" s="378"/>
      <c r="KYU67" s="378"/>
      <c r="KYV67" s="378"/>
      <c r="KYW67" s="378"/>
      <c r="KYX67" s="378"/>
      <c r="KYY67" s="378"/>
      <c r="KYZ67" s="378"/>
      <c r="KZA67" s="378"/>
      <c r="KZB67" s="378"/>
      <c r="KZC67" s="378"/>
      <c r="KZD67" s="378"/>
      <c r="KZE67" s="378"/>
      <c r="KZF67" s="378"/>
      <c r="KZG67" s="378"/>
      <c r="KZH67" s="378"/>
      <c r="KZI67" s="378"/>
      <c r="KZJ67" s="378"/>
      <c r="KZK67" s="378"/>
      <c r="KZL67" s="378"/>
      <c r="KZM67" s="378"/>
      <c r="KZN67" s="378"/>
      <c r="KZO67" s="378"/>
      <c r="KZP67" s="378"/>
      <c r="KZQ67" s="378"/>
      <c r="KZR67" s="378"/>
      <c r="KZS67" s="378"/>
      <c r="KZT67" s="378"/>
      <c r="KZU67" s="378"/>
      <c r="KZV67" s="378"/>
      <c r="KZW67" s="378"/>
      <c r="KZX67" s="378"/>
      <c r="KZY67" s="378"/>
      <c r="KZZ67" s="378"/>
      <c r="LAA67" s="378"/>
      <c r="LAB67" s="378"/>
      <c r="LAC67" s="378"/>
      <c r="LAD67" s="378"/>
      <c r="LAE67" s="378"/>
      <c r="LAF67" s="378"/>
      <c r="LAG67" s="378"/>
      <c r="LAH67" s="378"/>
      <c r="LAI67" s="378"/>
      <c r="LAJ67" s="378"/>
      <c r="LAK67" s="378"/>
      <c r="LAL67" s="378"/>
      <c r="LAM67" s="378"/>
      <c r="LAN67" s="378"/>
      <c r="LAO67" s="378"/>
      <c r="LAP67" s="378"/>
      <c r="LAQ67" s="378"/>
      <c r="LAR67" s="378"/>
      <c r="LAS67" s="378"/>
      <c r="LAT67" s="378"/>
      <c r="LAU67" s="378"/>
      <c r="LAV67" s="378"/>
      <c r="LAW67" s="378"/>
      <c r="LAX67" s="378"/>
      <c r="LAY67" s="378"/>
      <c r="LAZ67" s="378"/>
      <c r="LBA67" s="378"/>
      <c r="LBB67" s="378"/>
      <c r="LBC67" s="378"/>
      <c r="LBD67" s="378"/>
      <c r="LBE67" s="378"/>
      <c r="LBF67" s="378"/>
      <c r="LBG67" s="378"/>
      <c r="LBH67" s="378"/>
      <c r="LBI67" s="378"/>
      <c r="LBJ67" s="378"/>
      <c r="LBK67" s="378"/>
      <c r="LBL67" s="378"/>
      <c r="LBM67" s="378"/>
      <c r="LBN67" s="378"/>
      <c r="LBO67" s="378"/>
      <c r="LBP67" s="378"/>
      <c r="LBQ67" s="378"/>
      <c r="LBR67" s="378"/>
      <c r="LBS67" s="378"/>
      <c r="LBT67" s="378"/>
      <c r="LBU67" s="378"/>
      <c r="LBV67" s="378"/>
      <c r="LBW67" s="378"/>
      <c r="LBX67" s="378"/>
      <c r="LBY67" s="378"/>
      <c r="LBZ67" s="378"/>
      <c r="LCA67" s="378"/>
      <c r="LCB67" s="378"/>
      <c r="LCC67" s="378"/>
      <c r="LCD67" s="378"/>
      <c r="LCE67" s="378"/>
      <c r="LCF67" s="378"/>
      <c r="LCG67" s="378"/>
      <c r="LCH67" s="378"/>
      <c r="LCI67" s="378"/>
      <c r="LCJ67" s="378"/>
      <c r="LCK67" s="378"/>
      <c r="LCL67" s="378"/>
      <c r="LCM67" s="378"/>
      <c r="LCN67" s="378"/>
      <c r="LCO67" s="378"/>
      <c r="LCP67" s="378"/>
      <c r="LCQ67" s="378"/>
      <c r="LCR67" s="378"/>
      <c r="LCS67" s="378"/>
      <c r="LCT67" s="378"/>
      <c r="LCU67" s="378"/>
      <c r="LCV67" s="378"/>
      <c r="LCW67" s="378"/>
      <c r="LCX67" s="378"/>
      <c r="LCY67" s="378"/>
      <c r="LCZ67" s="378"/>
      <c r="LDA67" s="378"/>
      <c r="LDB67" s="378"/>
      <c r="LDC67" s="378"/>
      <c r="LDD67" s="378"/>
      <c r="LDE67" s="378"/>
      <c r="LDF67" s="378"/>
      <c r="LDG67" s="378"/>
      <c r="LDH67" s="378"/>
      <c r="LDI67" s="378"/>
      <c r="LDJ67" s="378"/>
      <c r="LDK67" s="378"/>
      <c r="LDL67" s="378"/>
      <c r="LDM67" s="378"/>
      <c r="LDN67" s="378"/>
      <c r="LDO67" s="378"/>
      <c r="LDP67" s="378"/>
      <c r="LDQ67" s="378"/>
      <c r="LDR67" s="378"/>
      <c r="LDS67" s="378"/>
      <c r="LDT67" s="378"/>
      <c r="LDU67" s="378"/>
      <c r="LDV67" s="378"/>
      <c r="LDW67" s="378"/>
      <c r="LDX67" s="378"/>
      <c r="LDY67" s="378"/>
      <c r="LDZ67" s="378"/>
      <c r="LEA67" s="378"/>
      <c r="LEB67" s="378"/>
      <c r="LEC67" s="378"/>
      <c r="LED67" s="378"/>
      <c r="LEE67" s="378"/>
      <c r="LEF67" s="378"/>
      <c r="LEG67" s="378"/>
      <c r="LEH67" s="378"/>
      <c r="LEI67" s="378"/>
      <c r="LEJ67" s="378"/>
      <c r="LEK67" s="378"/>
      <c r="LEL67" s="378"/>
      <c r="LEM67" s="378"/>
      <c r="LEN67" s="378"/>
      <c r="LEO67" s="378"/>
      <c r="LEP67" s="378"/>
      <c r="LEQ67" s="378"/>
      <c r="LER67" s="378"/>
      <c r="LES67" s="378"/>
      <c r="LET67" s="378"/>
      <c r="LEU67" s="378"/>
      <c r="LEV67" s="378"/>
      <c r="LEW67" s="378"/>
      <c r="LEX67" s="378"/>
      <c r="LEY67" s="378"/>
      <c r="LEZ67" s="378"/>
      <c r="LFA67" s="378"/>
      <c r="LFB67" s="378"/>
      <c r="LFC67" s="378"/>
      <c r="LFD67" s="378"/>
      <c r="LFE67" s="378"/>
      <c r="LFF67" s="378"/>
      <c r="LFG67" s="378"/>
      <c r="LFH67" s="378"/>
      <c r="LFI67" s="378"/>
      <c r="LFJ67" s="378"/>
      <c r="LFK67" s="378"/>
      <c r="LFL67" s="378"/>
      <c r="LFM67" s="378"/>
      <c r="LFN67" s="378"/>
      <c r="LFO67" s="378"/>
      <c r="LFP67" s="378"/>
      <c r="LFQ67" s="378"/>
      <c r="LFR67" s="378"/>
      <c r="LFS67" s="378"/>
      <c r="LFT67" s="378"/>
      <c r="LFU67" s="378"/>
      <c r="LFV67" s="378"/>
      <c r="LFW67" s="378"/>
      <c r="LFX67" s="378"/>
      <c r="LFY67" s="378"/>
      <c r="LFZ67" s="378"/>
      <c r="LGA67" s="378"/>
      <c r="LGB67" s="378"/>
      <c r="LGC67" s="378"/>
      <c r="LGD67" s="378"/>
      <c r="LGE67" s="378"/>
      <c r="LGF67" s="378"/>
      <c r="LGG67" s="378"/>
      <c r="LGH67" s="378"/>
      <c r="LGI67" s="378"/>
      <c r="LGJ67" s="378"/>
      <c r="LGK67" s="378"/>
      <c r="LGL67" s="378"/>
      <c r="LGM67" s="378"/>
      <c r="LGN67" s="378"/>
      <c r="LGO67" s="378"/>
      <c r="LGP67" s="378"/>
      <c r="LGQ67" s="378"/>
      <c r="LGR67" s="378"/>
      <c r="LGS67" s="378"/>
      <c r="LGT67" s="378"/>
      <c r="LGU67" s="378"/>
      <c r="LGV67" s="378"/>
      <c r="LGW67" s="378"/>
      <c r="LGX67" s="378"/>
      <c r="LGY67" s="378"/>
      <c r="LGZ67" s="378"/>
      <c r="LHA67" s="378"/>
      <c r="LHB67" s="378"/>
      <c r="LHC67" s="378"/>
      <c r="LHD67" s="378"/>
      <c r="LHE67" s="378"/>
      <c r="LHF67" s="378"/>
      <c r="LHG67" s="378"/>
      <c r="LHH67" s="378"/>
      <c r="LHI67" s="378"/>
      <c r="LHJ67" s="378"/>
      <c r="LHK67" s="378"/>
      <c r="LHL67" s="378"/>
      <c r="LHM67" s="378"/>
      <c r="LHN67" s="378"/>
      <c r="LHO67" s="378"/>
      <c r="LHP67" s="378"/>
      <c r="LHQ67" s="378"/>
      <c r="LHR67" s="378"/>
      <c r="LHS67" s="378"/>
      <c r="LHT67" s="378"/>
      <c r="LHU67" s="378"/>
      <c r="LHV67" s="378"/>
      <c r="LHW67" s="378"/>
      <c r="LHX67" s="378"/>
      <c r="LHY67" s="378"/>
      <c r="LHZ67" s="378"/>
      <c r="LIA67" s="378"/>
      <c r="LIB67" s="378"/>
      <c r="LIC67" s="378"/>
      <c r="LID67" s="378"/>
      <c r="LIE67" s="378"/>
      <c r="LIF67" s="378"/>
      <c r="LIG67" s="378"/>
      <c r="LIH67" s="378"/>
      <c r="LII67" s="378"/>
      <c r="LIJ67" s="378"/>
      <c r="LIK67" s="378"/>
      <c r="LIL67" s="378"/>
      <c r="LIM67" s="378"/>
      <c r="LIN67" s="378"/>
      <c r="LIO67" s="378"/>
      <c r="LIP67" s="378"/>
      <c r="LIQ67" s="378"/>
      <c r="LIR67" s="378"/>
      <c r="LIS67" s="378"/>
      <c r="LIT67" s="378"/>
      <c r="LIU67" s="378"/>
      <c r="LIV67" s="378"/>
      <c r="LIW67" s="378"/>
      <c r="LIX67" s="378"/>
      <c r="LIY67" s="378"/>
      <c r="LIZ67" s="378"/>
      <c r="LJA67" s="378"/>
      <c r="LJB67" s="378"/>
      <c r="LJC67" s="378"/>
      <c r="LJD67" s="378"/>
      <c r="LJE67" s="378"/>
      <c r="LJF67" s="378"/>
      <c r="LJG67" s="378"/>
      <c r="LJH67" s="378"/>
      <c r="LJI67" s="378"/>
      <c r="LJJ67" s="378"/>
      <c r="LJK67" s="378"/>
      <c r="LJL67" s="378"/>
      <c r="LJM67" s="378"/>
      <c r="LJN67" s="378"/>
      <c r="LJO67" s="378"/>
      <c r="LJP67" s="378"/>
      <c r="LJQ67" s="378"/>
      <c r="LJR67" s="378"/>
      <c r="LJS67" s="378"/>
      <c r="LJT67" s="378"/>
      <c r="LJU67" s="378"/>
      <c r="LJV67" s="378"/>
      <c r="LJW67" s="378"/>
      <c r="LJX67" s="378"/>
      <c r="LJY67" s="378"/>
      <c r="LJZ67" s="378"/>
      <c r="LKA67" s="378"/>
      <c r="LKB67" s="378"/>
      <c r="LKC67" s="378"/>
      <c r="LKD67" s="378"/>
      <c r="LKE67" s="378"/>
      <c r="LKF67" s="378"/>
      <c r="LKG67" s="378"/>
      <c r="LKH67" s="378"/>
      <c r="LKI67" s="378"/>
      <c r="LKJ67" s="378"/>
      <c r="LKK67" s="378"/>
      <c r="LKL67" s="378"/>
      <c r="LKM67" s="378"/>
      <c r="LKN67" s="378"/>
      <c r="LKO67" s="378"/>
      <c r="LKP67" s="378"/>
      <c r="LKQ67" s="378"/>
      <c r="LKR67" s="378"/>
      <c r="LKS67" s="378"/>
      <c r="LKT67" s="378"/>
      <c r="LKU67" s="378"/>
      <c r="LKV67" s="378"/>
      <c r="LKW67" s="378"/>
      <c r="LKX67" s="378"/>
      <c r="LKY67" s="378"/>
      <c r="LKZ67" s="378"/>
      <c r="LLA67" s="378"/>
      <c r="LLB67" s="378"/>
      <c r="LLC67" s="378"/>
      <c r="LLD67" s="378"/>
      <c r="LLE67" s="378"/>
      <c r="LLF67" s="378"/>
      <c r="LLG67" s="378"/>
      <c r="LLH67" s="378"/>
      <c r="LLI67" s="378"/>
      <c r="LLJ67" s="378"/>
      <c r="LLK67" s="378"/>
      <c r="LLL67" s="378"/>
      <c r="LLM67" s="378"/>
      <c r="LLN67" s="378"/>
      <c r="LLO67" s="378"/>
      <c r="LLP67" s="378"/>
      <c r="LLQ67" s="378"/>
      <c r="LLR67" s="378"/>
      <c r="LLS67" s="378"/>
      <c r="LLT67" s="378"/>
      <c r="LLU67" s="378"/>
      <c r="LLV67" s="378"/>
      <c r="LLW67" s="378"/>
      <c r="LLX67" s="378"/>
      <c r="LLY67" s="378"/>
      <c r="LLZ67" s="378"/>
      <c r="LMA67" s="378"/>
      <c r="LMB67" s="378"/>
      <c r="LMC67" s="378"/>
      <c r="LMD67" s="378"/>
      <c r="LME67" s="378"/>
      <c r="LMF67" s="378"/>
      <c r="LMG67" s="378"/>
      <c r="LMH67" s="378"/>
      <c r="LMI67" s="378"/>
      <c r="LMJ67" s="378"/>
      <c r="LMK67" s="378"/>
      <c r="LML67" s="378"/>
      <c r="LMM67" s="378"/>
      <c r="LMN67" s="378"/>
      <c r="LMO67" s="378"/>
      <c r="LMP67" s="378"/>
      <c r="LMQ67" s="378"/>
      <c r="LMR67" s="378"/>
      <c r="LMS67" s="378"/>
      <c r="LMT67" s="378"/>
      <c r="LMU67" s="378"/>
      <c r="LMV67" s="378"/>
      <c r="LMW67" s="378"/>
      <c r="LMX67" s="378"/>
      <c r="LMY67" s="378"/>
      <c r="LMZ67" s="378"/>
      <c r="LNA67" s="378"/>
      <c r="LNB67" s="378"/>
      <c r="LNC67" s="378"/>
      <c r="LND67" s="378"/>
      <c r="LNE67" s="378"/>
      <c r="LNF67" s="378"/>
      <c r="LNG67" s="378"/>
      <c r="LNH67" s="378"/>
      <c r="LNI67" s="378"/>
      <c r="LNJ67" s="378"/>
      <c r="LNK67" s="378"/>
      <c r="LNL67" s="378"/>
      <c r="LNM67" s="378"/>
      <c r="LNN67" s="378"/>
      <c r="LNO67" s="378"/>
      <c r="LNP67" s="378"/>
      <c r="LNQ67" s="378"/>
      <c r="LNR67" s="378"/>
      <c r="LNS67" s="378"/>
      <c r="LNT67" s="378"/>
      <c r="LNU67" s="378"/>
      <c r="LNV67" s="378"/>
      <c r="LNW67" s="378"/>
      <c r="LNX67" s="378"/>
      <c r="LNY67" s="378"/>
      <c r="LNZ67" s="378"/>
      <c r="LOA67" s="378"/>
      <c r="LOB67" s="378"/>
      <c r="LOC67" s="378"/>
      <c r="LOD67" s="378"/>
      <c r="LOE67" s="378"/>
      <c r="LOF67" s="378"/>
      <c r="LOG67" s="378"/>
      <c r="LOH67" s="378"/>
      <c r="LOI67" s="378"/>
      <c r="LOJ67" s="378"/>
      <c r="LOK67" s="378"/>
      <c r="LOL67" s="378"/>
      <c r="LOM67" s="378"/>
      <c r="LON67" s="378"/>
      <c r="LOO67" s="378"/>
      <c r="LOP67" s="378"/>
      <c r="LOQ67" s="378"/>
      <c r="LOR67" s="378"/>
      <c r="LOS67" s="378"/>
      <c r="LOT67" s="378"/>
      <c r="LOU67" s="378"/>
      <c r="LOV67" s="378"/>
      <c r="LOW67" s="378"/>
      <c r="LOX67" s="378"/>
      <c r="LOY67" s="378"/>
      <c r="LOZ67" s="378"/>
      <c r="LPA67" s="378"/>
      <c r="LPB67" s="378"/>
      <c r="LPC67" s="378"/>
      <c r="LPD67" s="378"/>
      <c r="LPE67" s="378"/>
      <c r="LPF67" s="378"/>
      <c r="LPG67" s="378"/>
      <c r="LPH67" s="378"/>
      <c r="LPI67" s="378"/>
      <c r="LPJ67" s="378"/>
      <c r="LPK67" s="378"/>
      <c r="LPL67" s="378"/>
      <c r="LPM67" s="378"/>
      <c r="LPN67" s="378"/>
      <c r="LPO67" s="378"/>
      <c r="LPP67" s="378"/>
      <c r="LPQ67" s="378"/>
      <c r="LPR67" s="378"/>
      <c r="LPS67" s="378"/>
      <c r="LPT67" s="378"/>
      <c r="LPU67" s="378"/>
      <c r="LPV67" s="378"/>
      <c r="LPW67" s="378"/>
      <c r="LPX67" s="378"/>
      <c r="LPY67" s="378"/>
      <c r="LPZ67" s="378"/>
      <c r="LQA67" s="378"/>
      <c r="LQB67" s="378"/>
      <c r="LQC67" s="378"/>
      <c r="LQD67" s="378"/>
      <c r="LQE67" s="378"/>
      <c r="LQF67" s="378"/>
      <c r="LQG67" s="378"/>
      <c r="LQH67" s="378"/>
      <c r="LQI67" s="378"/>
      <c r="LQJ67" s="378"/>
      <c r="LQK67" s="378"/>
      <c r="LQL67" s="378"/>
      <c r="LQM67" s="378"/>
      <c r="LQN67" s="378"/>
      <c r="LQO67" s="378"/>
      <c r="LQP67" s="378"/>
      <c r="LQQ67" s="378"/>
      <c r="LQR67" s="378"/>
      <c r="LQS67" s="378"/>
      <c r="LQT67" s="378"/>
      <c r="LQU67" s="378"/>
      <c r="LQV67" s="378"/>
      <c r="LQW67" s="378"/>
      <c r="LQX67" s="378"/>
      <c r="LQY67" s="378"/>
      <c r="LQZ67" s="378"/>
      <c r="LRA67" s="378"/>
      <c r="LRB67" s="378"/>
      <c r="LRC67" s="378"/>
      <c r="LRD67" s="378"/>
      <c r="LRE67" s="378"/>
      <c r="LRF67" s="378"/>
      <c r="LRG67" s="378"/>
      <c r="LRH67" s="378"/>
      <c r="LRI67" s="378"/>
      <c r="LRJ67" s="378"/>
      <c r="LRK67" s="378"/>
      <c r="LRL67" s="378"/>
      <c r="LRM67" s="378"/>
      <c r="LRN67" s="378"/>
      <c r="LRO67" s="378"/>
      <c r="LRP67" s="378"/>
      <c r="LRQ67" s="378"/>
      <c r="LRR67" s="378"/>
      <c r="LRS67" s="378"/>
      <c r="LRT67" s="378"/>
      <c r="LRU67" s="378"/>
      <c r="LRV67" s="378"/>
      <c r="LRW67" s="378"/>
      <c r="LRX67" s="378"/>
      <c r="LRY67" s="378"/>
      <c r="LRZ67" s="378"/>
      <c r="LSA67" s="378"/>
      <c r="LSB67" s="378"/>
      <c r="LSC67" s="378"/>
      <c r="LSD67" s="378"/>
      <c r="LSE67" s="378"/>
      <c r="LSF67" s="378"/>
      <c r="LSG67" s="378"/>
      <c r="LSH67" s="378"/>
      <c r="LSI67" s="378"/>
      <c r="LSJ67" s="378"/>
      <c r="LSK67" s="378"/>
      <c r="LSL67" s="378"/>
      <c r="LSM67" s="378"/>
      <c r="LSN67" s="378"/>
      <c r="LSO67" s="378"/>
      <c r="LSP67" s="378"/>
      <c r="LSQ67" s="378"/>
      <c r="LSR67" s="378"/>
      <c r="LSS67" s="378"/>
      <c r="LST67" s="378"/>
      <c r="LSU67" s="378"/>
      <c r="LSV67" s="378"/>
      <c r="LSW67" s="378"/>
      <c r="LSX67" s="378"/>
      <c r="LSY67" s="378"/>
      <c r="LSZ67" s="378"/>
      <c r="LTA67" s="378"/>
      <c r="LTB67" s="378"/>
      <c r="LTC67" s="378"/>
      <c r="LTD67" s="378"/>
      <c r="LTE67" s="378"/>
      <c r="LTF67" s="378"/>
      <c r="LTG67" s="378"/>
      <c r="LTH67" s="378"/>
      <c r="LTI67" s="378"/>
      <c r="LTJ67" s="378"/>
      <c r="LTK67" s="378"/>
      <c r="LTL67" s="378"/>
      <c r="LTM67" s="378"/>
      <c r="LTN67" s="378"/>
      <c r="LTO67" s="378"/>
      <c r="LTP67" s="378"/>
      <c r="LTQ67" s="378"/>
      <c r="LTR67" s="378"/>
      <c r="LTS67" s="378"/>
      <c r="LTT67" s="378"/>
      <c r="LTU67" s="378"/>
      <c r="LTV67" s="378"/>
      <c r="LTW67" s="378"/>
      <c r="LTX67" s="378"/>
      <c r="LTY67" s="378"/>
      <c r="LTZ67" s="378"/>
      <c r="LUA67" s="378"/>
      <c r="LUB67" s="378"/>
      <c r="LUC67" s="378"/>
      <c r="LUD67" s="378"/>
      <c r="LUE67" s="378"/>
      <c r="LUF67" s="378"/>
      <c r="LUG67" s="378"/>
      <c r="LUH67" s="378"/>
      <c r="LUI67" s="378"/>
      <c r="LUJ67" s="378"/>
      <c r="LUK67" s="378"/>
      <c r="LUL67" s="378"/>
      <c r="LUM67" s="378"/>
      <c r="LUN67" s="378"/>
      <c r="LUO67" s="378"/>
      <c r="LUP67" s="378"/>
      <c r="LUQ67" s="378"/>
      <c r="LUR67" s="378"/>
      <c r="LUS67" s="378"/>
      <c r="LUT67" s="378"/>
      <c r="LUU67" s="378"/>
      <c r="LUV67" s="378"/>
      <c r="LUW67" s="378"/>
      <c r="LUX67" s="378"/>
      <c r="LUY67" s="378"/>
      <c r="LUZ67" s="378"/>
      <c r="LVA67" s="378"/>
      <c r="LVB67" s="378"/>
      <c r="LVC67" s="378"/>
      <c r="LVD67" s="378"/>
      <c r="LVE67" s="378"/>
      <c r="LVF67" s="378"/>
      <c r="LVG67" s="378"/>
      <c r="LVH67" s="378"/>
      <c r="LVI67" s="378"/>
      <c r="LVJ67" s="378"/>
      <c r="LVK67" s="378"/>
      <c r="LVL67" s="378"/>
      <c r="LVM67" s="378"/>
      <c r="LVN67" s="378"/>
      <c r="LVO67" s="378"/>
      <c r="LVP67" s="378"/>
      <c r="LVQ67" s="378"/>
      <c r="LVR67" s="378"/>
      <c r="LVS67" s="378"/>
      <c r="LVT67" s="378"/>
      <c r="LVU67" s="378"/>
      <c r="LVV67" s="378"/>
      <c r="LVW67" s="378"/>
      <c r="LVX67" s="378"/>
      <c r="LVY67" s="378"/>
      <c r="LVZ67" s="378"/>
      <c r="LWA67" s="378"/>
      <c r="LWB67" s="378"/>
      <c r="LWC67" s="378"/>
      <c r="LWD67" s="378"/>
      <c r="LWE67" s="378"/>
      <c r="LWF67" s="378"/>
      <c r="LWG67" s="378"/>
      <c r="LWH67" s="378"/>
      <c r="LWI67" s="378"/>
      <c r="LWJ67" s="378"/>
      <c r="LWK67" s="378"/>
      <c r="LWL67" s="378"/>
      <c r="LWM67" s="378"/>
      <c r="LWN67" s="378"/>
      <c r="LWO67" s="378"/>
      <c r="LWP67" s="378"/>
      <c r="LWQ67" s="378"/>
      <c r="LWR67" s="378"/>
      <c r="LWS67" s="378"/>
      <c r="LWT67" s="378"/>
      <c r="LWU67" s="378"/>
      <c r="LWV67" s="378"/>
      <c r="LWW67" s="378"/>
      <c r="LWX67" s="378"/>
      <c r="LWY67" s="378"/>
      <c r="LWZ67" s="378"/>
      <c r="LXA67" s="378"/>
      <c r="LXB67" s="378"/>
      <c r="LXC67" s="378"/>
      <c r="LXD67" s="378"/>
      <c r="LXE67" s="378"/>
      <c r="LXF67" s="378"/>
      <c r="LXG67" s="378"/>
      <c r="LXH67" s="378"/>
      <c r="LXI67" s="378"/>
      <c r="LXJ67" s="378"/>
      <c r="LXK67" s="378"/>
      <c r="LXL67" s="378"/>
      <c r="LXM67" s="378"/>
      <c r="LXN67" s="378"/>
      <c r="LXO67" s="378"/>
      <c r="LXP67" s="378"/>
      <c r="LXQ67" s="378"/>
      <c r="LXR67" s="378"/>
      <c r="LXS67" s="378"/>
      <c r="LXT67" s="378"/>
      <c r="LXU67" s="378"/>
      <c r="LXV67" s="378"/>
      <c r="LXW67" s="378"/>
      <c r="LXX67" s="378"/>
      <c r="LXY67" s="378"/>
      <c r="LXZ67" s="378"/>
      <c r="LYA67" s="378"/>
      <c r="LYB67" s="378"/>
      <c r="LYC67" s="378"/>
      <c r="LYD67" s="378"/>
      <c r="LYE67" s="378"/>
      <c r="LYF67" s="378"/>
      <c r="LYG67" s="378"/>
      <c r="LYH67" s="378"/>
      <c r="LYI67" s="378"/>
      <c r="LYJ67" s="378"/>
      <c r="LYK67" s="378"/>
      <c r="LYL67" s="378"/>
      <c r="LYM67" s="378"/>
      <c r="LYN67" s="378"/>
      <c r="LYO67" s="378"/>
      <c r="LYP67" s="378"/>
      <c r="LYQ67" s="378"/>
      <c r="LYR67" s="378"/>
      <c r="LYS67" s="378"/>
      <c r="LYT67" s="378"/>
      <c r="LYU67" s="378"/>
      <c r="LYV67" s="378"/>
      <c r="LYW67" s="378"/>
      <c r="LYX67" s="378"/>
      <c r="LYY67" s="378"/>
      <c r="LYZ67" s="378"/>
      <c r="LZA67" s="378"/>
      <c r="LZB67" s="378"/>
      <c r="LZC67" s="378"/>
      <c r="LZD67" s="378"/>
      <c r="LZE67" s="378"/>
      <c r="LZF67" s="378"/>
      <c r="LZG67" s="378"/>
      <c r="LZH67" s="378"/>
      <c r="LZI67" s="378"/>
      <c r="LZJ67" s="378"/>
      <c r="LZK67" s="378"/>
      <c r="LZL67" s="378"/>
      <c r="LZM67" s="378"/>
      <c r="LZN67" s="378"/>
      <c r="LZO67" s="378"/>
      <c r="LZP67" s="378"/>
      <c r="LZQ67" s="378"/>
      <c r="LZR67" s="378"/>
      <c r="LZS67" s="378"/>
      <c r="LZT67" s="378"/>
      <c r="LZU67" s="378"/>
      <c r="LZV67" s="378"/>
      <c r="LZW67" s="378"/>
      <c r="LZX67" s="378"/>
      <c r="LZY67" s="378"/>
      <c r="LZZ67" s="378"/>
      <c r="MAA67" s="378"/>
      <c r="MAB67" s="378"/>
      <c r="MAC67" s="378"/>
      <c r="MAD67" s="378"/>
      <c r="MAE67" s="378"/>
      <c r="MAF67" s="378"/>
      <c r="MAG67" s="378"/>
      <c r="MAH67" s="378"/>
      <c r="MAI67" s="378"/>
      <c r="MAJ67" s="378"/>
      <c r="MAK67" s="378"/>
      <c r="MAL67" s="378"/>
      <c r="MAM67" s="378"/>
      <c r="MAN67" s="378"/>
      <c r="MAO67" s="378"/>
      <c r="MAP67" s="378"/>
      <c r="MAQ67" s="378"/>
      <c r="MAR67" s="378"/>
      <c r="MAS67" s="378"/>
      <c r="MAT67" s="378"/>
      <c r="MAU67" s="378"/>
      <c r="MAV67" s="378"/>
      <c r="MAW67" s="378"/>
      <c r="MAX67" s="378"/>
      <c r="MAY67" s="378"/>
      <c r="MAZ67" s="378"/>
      <c r="MBA67" s="378"/>
      <c r="MBB67" s="378"/>
      <c r="MBC67" s="378"/>
      <c r="MBD67" s="378"/>
      <c r="MBE67" s="378"/>
      <c r="MBF67" s="378"/>
      <c r="MBG67" s="378"/>
      <c r="MBH67" s="378"/>
      <c r="MBI67" s="378"/>
      <c r="MBJ67" s="378"/>
      <c r="MBK67" s="378"/>
      <c r="MBL67" s="378"/>
      <c r="MBM67" s="378"/>
      <c r="MBN67" s="378"/>
      <c r="MBO67" s="378"/>
      <c r="MBP67" s="378"/>
      <c r="MBQ67" s="378"/>
      <c r="MBR67" s="378"/>
      <c r="MBS67" s="378"/>
      <c r="MBT67" s="378"/>
      <c r="MBU67" s="378"/>
      <c r="MBV67" s="378"/>
      <c r="MBW67" s="378"/>
      <c r="MBX67" s="378"/>
      <c r="MBY67" s="378"/>
      <c r="MBZ67" s="378"/>
      <c r="MCA67" s="378"/>
      <c r="MCB67" s="378"/>
      <c r="MCC67" s="378"/>
      <c r="MCD67" s="378"/>
      <c r="MCE67" s="378"/>
      <c r="MCF67" s="378"/>
      <c r="MCG67" s="378"/>
      <c r="MCH67" s="378"/>
      <c r="MCI67" s="378"/>
      <c r="MCJ67" s="378"/>
      <c r="MCK67" s="378"/>
      <c r="MCL67" s="378"/>
      <c r="MCM67" s="378"/>
      <c r="MCN67" s="378"/>
      <c r="MCO67" s="378"/>
      <c r="MCP67" s="378"/>
      <c r="MCQ67" s="378"/>
      <c r="MCR67" s="378"/>
      <c r="MCS67" s="378"/>
      <c r="MCT67" s="378"/>
      <c r="MCU67" s="378"/>
      <c r="MCV67" s="378"/>
      <c r="MCW67" s="378"/>
      <c r="MCX67" s="378"/>
      <c r="MCY67" s="378"/>
      <c r="MCZ67" s="378"/>
      <c r="MDA67" s="378"/>
      <c r="MDB67" s="378"/>
      <c r="MDC67" s="378"/>
      <c r="MDD67" s="378"/>
      <c r="MDE67" s="378"/>
      <c r="MDF67" s="378"/>
      <c r="MDG67" s="378"/>
      <c r="MDH67" s="378"/>
      <c r="MDI67" s="378"/>
      <c r="MDJ67" s="378"/>
      <c r="MDK67" s="378"/>
      <c r="MDL67" s="378"/>
      <c r="MDM67" s="378"/>
      <c r="MDN67" s="378"/>
      <c r="MDO67" s="378"/>
      <c r="MDP67" s="378"/>
      <c r="MDQ67" s="378"/>
      <c r="MDR67" s="378"/>
      <c r="MDS67" s="378"/>
      <c r="MDT67" s="378"/>
      <c r="MDU67" s="378"/>
      <c r="MDV67" s="378"/>
      <c r="MDW67" s="378"/>
      <c r="MDX67" s="378"/>
      <c r="MDY67" s="378"/>
      <c r="MDZ67" s="378"/>
      <c r="MEA67" s="378"/>
      <c r="MEB67" s="378"/>
      <c r="MEC67" s="378"/>
      <c r="MED67" s="378"/>
      <c r="MEE67" s="378"/>
      <c r="MEF67" s="378"/>
      <c r="MEG67" s="378"/>
      <c r="MEH67" s="378"/>
      <c r="MEI67" s="378"/>
      <c r="MEJ67" s="378"/>
      <c r="MEK67" s="378"/>
      <c r="MEL67" s="378"/>
      <c r="MEM67" s="378"/>
      <c r="MEN67" s="378"/>
      <c r="MEO67" s="378"/>
      <c r="MEP67" s="378"/>
      <c r="MEQ67" s="378"/>
      <c r="MER67" s="378"/>
      <c r="MES67" s="378"/>
      <c r="MET67" s="378"/>
      <c r="MEU67" s="378"/>
      <c r="MEV67" s="378"/>
      <c r="MEW67" s="378"/>
      <c r="MEX67" s="378"/>
      <c r="MEY67" s="378"/>
      <c r="MEZ67" s="378"/>
      <c r="MFA67" s="378"/>
      <c r="MFB67" s="378"/>
      <c r="MFC67" s="378"/>
      <c r="MFD67" s="378"/>
      <c r="MFE67" s="378"/>
      <c r="MFF67" s="378"/>
      <c r="MFG67" s="378"/>
      <c r="MFH67" s="378"/>
      <c r="MFI67" s="378"/>
      <c r="MFJ67" s="378"/>
      <c r="MFK67" s="378"/>
      <c r="MFL67" s="378"/>
      <c r="MFM67" s="378"/>
      <c r="MFN67" s="378"/>
      <c r="MFO67" s="378"/>
      <c r="MFP67" s="378"/>
      <c r="MFQ67" s="378"/>
      <c r="MFR67" s="378"/>
      <c r="MFS67" s="378"/>
      <c r="MFT67" s="378"/>
      <c r="MFU67" s="378"/>
      <c r="MFV67" s="378"/>
      <c r="MFW67" s="378"/>
      <c r="MFX67" s="378"/>
      <c r="MFY67" s="378"/>
      <c r="MFZ67" s="378"/>
      <c r="MGA67" s="378"/>
      <c r="MGB67" s="378"/>
      <c r="MGC67" s="378"/>
      <c r="MGD67" s="378"/>
      <c r="MGE67" s="378"/>
      <c r="MGF67" s="378"/>
      <c r="MGG67" s="378"/>
      <c r="MGH67" s="378"/>
      <c r="MGI67" s="378"/>
      <c r="MGJ67" s="378"/>
      <c r="MGK67" s="378"/>
      <c r="MGL67" s="378"/>
      <c r="MGM67" s="378"/>
      <c r="MGN67" s="378"/>
      <c r="MGO67" s="378"/>
      <c r="MGP67" s="378"/>
      <c r="MGQ67" s="378"/>
      <c r="MGR67" s="378"/>
      <c r="MGS67" s="378"/>
      <c r="MGT67" s="378"/>
      <c r="MGU67" s="378"/>
      <c r="MGV67" s="378"/>
      <c r="MGW67" s="378"/>
      <c r="MGX67" s="378"/>
      <c r="MGY67" s="378"/>
      <c r="MGZ67" s="378"/>
      <c r="MHA67" s="378"/>
      <c r="MHB67" s="378"/>
      <c r="MHC67" s="378"/>
      <c r="MHD67" s="378"/>
      <c r="MHE67" s="378"/>
      <c r="MHF67" s="378"/>
      <c r="MHG67" s="378"/>
      <c r="MHH67" s="378"/>
      <c r="MHI67" s="378"/>
      <c r="MHJ67" s="378"/>
      <c r="MHK67" s="378"/>
      <c r="MHL67" s="378"/>
      <c r="MHM67" s="378"/>
      <c r="MHN67" s="378"/>
      <c r="MHO67" s="378"/>
      <c r="MHP67" s="378"/>
      <c r="MHQ67" s="378"/>
      <c r="MHR67" s="378"/>
      <c r="MHS67" s="378"/>
      <c r="MHT67" s="378"/>
      <c r="MHU67" s="378"/>
      <c r="MHV67" s="378"/>
      <c r="MHW67" s="378"/>
      <c r="MHX67" s="378"/>
      <c r="MHY67" s="378"/>
      <c r="MHZ67" s="378"/>
      <c r="MIA67" s="378"/>
      <c r="MIB67" s="378"/>
      <c r="MIC67" s="378"/>
      <c r="MID67" s="378"/>
      <c r="MIE67" s="378"/>
      <c r="MIF67" s="378"/>
      <c r="MIG67" s="378"/>
      <c r="MIH67" s="378"/>
      <c r="MII67" s="378"/>
      <c r="MIJ67" s="378"/>
      <c r="MIK67" s="378"/>
      <c r="MIL67" s="378"/>
      <c r="MIM67" s="378"/>
      <c r="MIN67" s="378"/>
      <c r="MIO67" s="378"/>
      <c r="MIP67" s="378"/>
      <c r="MIQ67" s="378"/>
      <c r="MIR67" s="378"/>
      <c r="MIS67" s="378"/>
      <c r="MIT67" s="378"/>
      <c r="MIU67" s="378"/>
      <c r="MIV67" s="378"/>
      <c r="MIW67" s="378"/>
      <c r="MIX67" s="378"/>
      <c r="MIY67" s="378"/>
      <c r="MIZ67" s="378"/>
      <c r="MJA67" s="378"/>
      <c r="MJB67" s="378"/>
      <c r="MJC67" s="378"/>
      <c r="MJD67" s="378"/>
      <c r="MJE67" s="378"/>
      <c r="MJF67" s="378"/>
      <c r="MJG67" s="378"/>
      <c r="MJH67" s="378"/>
      <c r="MJI67" s="378"/>
      <c r="MJJ67" s="378"/>
      <c r="MJK67" s="378"/>
      <c r="MJL67" s="378"/>
      <c r="MJM67" s="378"/>
      <c r="MJN67" s="378"/>
      <c r="MJO67" s="378"/>
      <c r="MJP67" s="378"/>
      <c r="MJQ67" s="378"/>
      <c r="MJR67" s="378"/>
      <c r="MJS67" s="378"/>
      <c r="MJT67" s="378"/>
      <c r="MJU67" s="378"/>
      <c r="MJV67" s="378"/>
      <c r="MJW67" s="378"/>
      <c r="MJX67" s="378"/>
      <c r="MJY67" s="378"/>
      <c r="MJZ67" s="378"/>
      <c r="MKA67" s="378"/>
      <c r="MKB67" s="378"/>
      <c r="MKC67" s="378"/>
      <c r="MKD67" s="378"/>
      <c r="MKE67" s="378"/>
      <c r="MKF67" s="378"/>
      <c r="MKG67" s="378"/>
      <c r="MKH67" s="378"/>
      <c r="MKI67" s="378"/>
      <c r="MKJ67" s="378"/>
      <c r="MKK67" s="378"/>
      <c r="MKL67" s="378"/>
      <c r="MKM67" s="378"/>
      <c r="MKN67" s="378"/>
      <c r="MKO67" s="378"/>
      <c r="MKP67" s="378"/>
      <c r="MKQ67" s="378"/>
      <c r="MKR67" s="378"/>
      <c r="MKS67" s="378"/>
      <c r="MKT67" s="378"/>
      <c r="MKU67" s="378"/>
      <c r="MKV67" s="378"/>
      <c r="MKW67" s="378"/>
      <c r="MKX67" s="378"/>
      <c r="MKY67" s="378"/>
      <c r="MKZ67" s="378"/>
      <c r="MLA67" s="378"/>
      <c r="MLB67" s="378"/>
      <c r="MLC67" s="378"/>
      <c r="MLD67" s="378"/>
      <c r="MLE67" s="378"/>
      <c r="MLF67" s="378"/>
      <c r="MLG67" s="378"/>
      <c r="MLH67" s="378"/>
      <c r="MLI67" s="378"/>
      <c r="MLJ67" s="378"/>
      <c r="MLK67" s="378"/>
      <c r="MLL67" s="378"/>
      <c r="MLM67" s="378"/>
      <c r="MLN67" s="378"/>
      <c r="MLO67" s="378"/>
      <c r="MLP67" s="378"/>
      <c r="MLQ67" s="378"/>
      <c r="MLR67" s="378"/>
      <c r="MLS67" s="378"/>
      <c r="MLT67" s="378"/>
      <c r="MLU67" s="378"/>
      <c r="MLV67" s="378"/>
      <c r="MLW67" s="378"/>
      <c r="MLX67" s="378"/>
      <c r="MLY67" s="378"/>
      <c r="MLZ67" s="378"/>
      <c r="MMA67" s="378"/>
      <c r="MMB67" s="378"/>
      <c r="MMC67" s="378"/>
      <c r="MMD67" s="378"/>
      <c r="MME67" s="378"/>
      <c r="MMF67" s="378"/>
      <c r="MMG67" s="378"/>
      <c r="MMH67" s="378"/>
      <c r="MMI67" s="378"/>
      <c r="MMJ67" s="378"/>
      <c r="MMK67" s="378"/>
      <c r="MML67" s="378"/>
      <c r="MMM67" s="378"/>
      <c r="MMN67" s="378"/>
      <c r="MMO67" s="378"/>
      <c r="MMP67" s="378"/>
      <c r="MMQ67" s="378"/>
      <c r="MMR67" s="378"/>
      <c r="MMS67" s="378"/>
      <c r="MMT67" s="378"/>
      <c r="MMU67" s="378"/>
      <c r="MMV67" s="378"/>
      <c r="MMW67" s="378"/>
      <c r="MMX67" s="378"/>
      <c r="MMY67" s="378"/>
      <c r="MMZ67" s="378"/>
      <c r="MNA67" s="378"/>
      <c r="MNB67" s="378"/>
      <c r="MNC67" s="378"/>
      <c r="MND67" s="378"/>
      <c r="MNE67" s="378"/>
      <c r="MNF67" s="378"/>
      <c r="MNG67" s="378"/>
      <c r="MNH67" s="378"/>
      <c r="MNI67" s="378"/>
      <c r="MNJ67" s="378"/>
      <c r="MNK67" s="378"/>
      <c r="MNL67" s="378"/>
      <c r="MNM67" s="378"/>
      <c r="MNN67" s="378"/>
      <c r="MNO67" s="378"/>
      <c r="MNP67" s="378"/>
      <c r="MNQ67" s="378"/>
      <c r="MNR67" s="378"/>
      <c r="MNS67" s="378"/>
      <c r="MNT67" s="378"/>
      <c r="MNU67" s="378"/>
      <c r="MNV67" s="378"/>
      <c r="MNW67" s="378"/>
      <c r="MNX67" s="378"/>
      <c r="MNY67" s="378"/>
      <c r="MNZ67" s="378"/>
      <c r="MOA67" s="378"/>
      <c r="MOB67" s="378"/>
      <c r="MOC67" s="378"/>
      <c r="MOD67" s="378"/>
      <c r="MOE67" s="378"/>
      <c r="MOF67" s="378"/>
      <c r="MOG67" s="378"/>
      <c r="MOH67" s="378"/>
      <c r="MOI67" s="378"/>
      <c r="MOJ67" s="378"/>
      <c r="MOK67" s="378"/>
      <c r="MOL67" s="378"/>
      <c r="MOM67" s="378"/>
      <c r="MON67" s="378"/>
      <c r="MOO67" s="378"/>
      <c r="MOP67" s="378"/>
      <c r="MOQ67" s="378"/>
      <c r="MOR67" s="378"/>
      <c r="MOS67" s="378"/>
      <c r="MOT67" s="378"/>
      <c r="MOU67" s="378"/>
      <c r="MOV67" s="378"/>
      <c r="MOW67" s="378"/>
      <c r="MOX67" s="378"/>
      <c r="MOY67" s="378"/>
      <c r="MOZ67" s="378"/>
      <c r="MPA67" s="378"/>
      <c r="MPB67" s="378"/>
      <c r="MPC67" s="378"/>
      <c r="MPD67" s="378"/>
      <c r="MPE67" s="378"/>
      <c r="MPF67" s="378"/>
      <c r="MPG67" s="378"/>
      <c r="MPH67" s="378"/>
      <c r="MPI67" s="378"/>
      <c r="MPJ67" s="378"/>
      <c r="MPK67" s="378"/>
      <c r="MPL67" s="378"/>
      <c r="MPM67" s="378"/>
      <c r="MPN67" s="378"/>
      <c r="MPO67" s="378"/>
      <c r="MPP67" s="378"/>
      <c r="MPQ67" s="378"/>
      <c r="MPR67" s="378"/>
      <c r="MPS67" s="378"/>
      <c r="MPT67" s="378"/>
      <c r="MPU67" s="378"/>
      <c r="MPV67" s="378"/>
      <c r="MPW67" s="378"/>
      <c r="MPX67" s="378"/>
      <c r="MPY67" s="378"/>
      <c r="MPZ67" s="378"/>
      <c r="MQA67" s="378"/>
      <c r="MQB67" s="378"/>
      <c r="MQC67" s="378"/>
      <c r="MQD67" s="378"/>
      <c r="MQE67" s="378"/>
      <c r="MQF67" s="378"/>
      <c r="MQG67" s="378"/>
      <c r="MQH67" s="378"/>
      <c r="MQI67" s="378"/>
      <c r="MQJ67" s="378"/>
      <c r="MQK67" s="378"/>
      <c r="MQL67" s="378"/>
      <c r="MQM67" s="378"/>
      <c r="MQN67" s="378"/>
      <c r="MQO67" s="378"/>
      <c r="MQP67" s="378"/>
      <c r="MQQ67" s="378"/>
      <c r="MQR67" s="378"/>
      <c r="MQS67" s="378"/>
      <c r="MQT67" s="378"/>
      <c r="MQU67" s="378"/>
      <c r="MQV67" s="378"/>
      <c r="MQW67" s="378"/>
      <c r="MQX67" s="378"/>
      <c r="MQY67" s="378"/>
      <c r="MQZ67" s="378"/>
      <c r="MRA67" s="378"/>
      <c r="MRB67" s="378"/>
      <c r="MRC67" s="378"/>
      <c r="MRD67" s="378"/>
      <c r="MRE67" s="378"/>
      <c r="MRF67" s="378"/>
      <c r="MRG67" s="378"/>
      <c r="MRH67" s="378"/>
      <c r="MRI67" s="378"/>
      <c r="MRJ67" s="378"/>
      <c r="MRK67" s="378"/>
      <c r="MRL67" s="378"/>
      <c r="MRM67" s="378"/>
      <c r="MRN67" s="378"/>
      <c r="MRO67" s="378"/>
      <c r="MRP67" s="378"/>
      <c r="MRQ67" s="378"/>
      <c r="MRR67" s="378"/>
      <c r="MRS67" s="378"/>
      <c r="MRT67" s="378"/>
      <c r="MRU67" s="378"/>
      <c r="MRV67" s="378"/>
      <c r="MRW67" s="378"/>
      <c r="MRX67" s="378"/>
      <c r="MRY67" s="378"/>
      <c r="MRZ67" s="378"/>
      <c r="MSA67" s="378"/>
      <c r="MSB67" s="378"/>
      <c r="MSC67" s="378"/>
      <c r="MSD67" s="378"/>
      <c r="MSE67" s="378"/>
      <c r="MSF67" s="378"/>
      <c r="MSG67" s="378"/>
      <c r="MSH67" s="378"/>
      <c r="MSI67" s="378"/>
      <c r="MSJ67" s="378"/>
      <c r="MSK67" s="378"/>
      <c r="MSL67" s="378"/>
      <c r="MSM67" s="378"/>
      <c r="MSN67" s="378"/>
      <c r="MSO67" s="378"/>
      <c r="MSP67" s="378"/>
      <c r="MSQ67" s="378"/>
      <c r="MSR67" s="378"/>
      <c r="MSS67" s="378"/>
      <c r="MST67" s="378"/>
      <c r="MSU67" s="378"/>
      <c r="MSV67" s="378"/>
      <c r="MSW67" s="378"/>
      <c r="MSX67" s="378"/>
      <c r="MSY67" s="378"/>
      <c r="MSZ67" s="378"/>
      <c r="MTA67" s="378"/>
      <c r="MTB67" s="378"/>
      <c r="MTC67" s="378"/>
      <c r="MTD67" s="378"/>
      <c r="MTE67" s="378"/>
      <c r="MTF67" s="378"/>
      <c r="MTG67" s="378"/>
      <c r="MTH67" s="378"/>
      <c r="MTI67" s="378"/>
      <c r="MTJ67" s="378"/>
      <c r="MTK67" s="378"/>
      <c r="MTL67" s="378"/>
      <c r="MTM67" s="378"/>
      <c r="MTN67" s="378"/>
      <c r="MTO67" s="378"/>
      <c r="MTP67" s="378"/>
      <c r="MTQ67" s="378"/>
      <c r="MTR67" s="378"/>
      <c r="MTS67" s="378"/>
      <c r="MTT67" s="378"/>
      <c r="MTU67" s="378"/>
      <c r="MTV67" s="378"/>
      <c r="MTW67" s="378"/>
      <c r="MTX67" s="378"/>
      <c r="MTY67" s="378"/>
      <c r="MTZ67" s="378"/>
      <c r="MUA67" s="378"/>
      <c r="MUB67" s="378"/>
      <c r="MUC67" s="378"/>
      <c r="MUD67" s="378"/>
      <c r="MUE67" s="378"/>
      <c r="MUF67" s="378"/>
      <c r="MUG67" s="378"/>
      <c r="MUH67" s="378"/>
      <c r="MUI67" s="378"/>
      <c r="MUJ67" s="378"/>
      <c r="MUK67" s="378"/>
      <c r="MUL67" s="378"/>
      <c r="MUM67" s="378"/>
      <c r="MUN67" s="378"/>
      <c r="MUO67" s="378"/>
      <c r="MUP67" s="378"/>
      <c r="MUQ67" s="378"/>
      <c r="MUR67" s="378"/>
      <c r="MUS67" s="378"/>
      <c r="MUT67" s="378"/>
      <c r="MUU67" s="378"/>
      <c r="MUV67" s="378"/>
      <c r="MUW67" s="378"/>
      <c r="MUX67" s="378"/>
      <c r="MUY67" s="378"/>
      <c r="MUZ67" s="378"/>
      <c r="MVA67" s="378"/>
      <c r="MVB67" s="378"/>
      <c r="MVC67" s="378"/>
      <c r="MVD67" s="378"/>
      <c r="MVE67" s="378"/>
      <c r="MVF67" s="378"/>
      <c r="MVG67" s="378"/>
      <c r="MVH67" s="378"/>
      <c r="MVI67" s="378"/>
      <c r="MVJ67" s="378"/>
      <c r="MVK67" s="378"/>
      <c r="MVL67" s="378"/>
      <c r="MVM67" s="378"/>
      <c r="MVN67" s="378"/>
      <c r="MVO67" s="378"/>
      <c r="MVP67" s="378"/>
      <c r="MVQ67" s="378"/>
      <c r="MVR67" s="378"/>
      <c r="MVS67" s="378"/>
      <c r="MVT67" s="378"/>
      <c r="MVU67" s="378"/>
      <c r="MVV67" s="378"/>
      <c r="MVW67" s="378"/>
      <c r="MVX67" s="378"/>
      <c r="MVY67" s="378"/>
      <c r="MVZ67" s="378"/>
      <c r="MWA67" s="378"/>
      <c r="MWB67" s="378"/>
      <c r="MWC67" s="378"/>
      <c r="MWD67" s="378"/>
      <c r="MWE67" s="378"/>
      <c r="MWF67" s="378"/>
      <c r="MWG67" s="378"/>
      <c r="MWH67" s="378"/>
      <c r="MWI67" s="378"/>
      <c r="MWJ67" s="378"/>
      <c r="MWK67" s="378"/>
      <c r="MWL67" s="378"/>
      <c r="MWM67" s="378"/>
      <c r="MWN67" s="378"/>
      <c r="MWO67" s="378"/>
      <c r="MWP67" s="378"/>
      <c r="MWQ67" s="378"/>
      <c r="MWR67" s="378"/>
      <c r="MWS67" s="378"/>
      <c r="MWT67" s="378"/>
      <c r="MWU67" s="378"/>
      <c r="MWV67" s="378"/>
      <c r="MWW67" s="378"/>
      <c r="MWX67" s="378"/>
      <c r="MWY67" s="378"/>
      <c r="MWZ67" s="378"/>
      <c r="MXA67" s="378"/>
      <c r="MXB67" s="378"/>
      <c r="MXC67" s="378"/>
      <c r="MXD67" s="378"/>
      <c r="MXE67" s="378"/>
      <c r="MXF67" s="378"/>
      <c r="MXG67" s="378"/>
      <c r="MXH67" s="378"/>
      <c r="MXI67" s="378"/>
      <c r="MXJ67" s="378"/>
      <c r="MXK67" s="378"/>
      <c r="MXL67" s="378"/>
      <c r="MXM67" s="378"/>
      <c r="MXN67" s="378"/>
      <c r="MXO67" s="378"/>
      <c r="MXP67" s="378"/>
      <c r="MXQ67" s="378"/>
      <c r="MXR67" s="378"/>
      <c r="MXS67" s="378"/>
      <c r="MXT67" s="378"/>
      <c r="MXU67" s="378"/>
      <c r="MXV67" s="378"/>
      <c r="MXW67" s="378"/>
      <c r="MXX67" s="378"/>
      <c r="MXY67" s="378"/>
      <c r="MXZ67" s="378"/>
      <c r="MYA67" s="378"/>
      <c r="MYB67" s="378"/>
      <c r="MYC67" s="378"/>
      <c r="MYD67" s="378"/>
      <c r="MYE67" s="378"/>
      <c r="MYF67" s="378"/>
      <c r="MYG67" s="378"/>
      <c r="MYH67" s="378"/>
      <c r="MYI67" s="378"/>
      <c r="MYJ67" s="378"/>
      <c r="MYK67" s="378"/>
      <c r="MYL67" s="378"/>
      <c r="MYM67" s="378"/>
      <c r="MYN67" s="378"/>
      <c r="MYO67" s="378"/>
      <c r="MYP67" s="378"/>
      <c r="MYQ67" s="378"/>
      <c r="MYR67" s="378"/>
      <c r="MYS67" s="378"/>
      <c r="MYT67" s="378"/>
      <c r="MYU67" s="378"/>
      <c r="MYV67" s="378"/>
      <c r="MYW67" s="378"/>
      <c r="MYX67" s="378"/>
      <c r="MYY67" s="378"/>
      <c r="MYZ67" s="378"/>
      <c r="MZA67" s="378"/>
      <c r="MZB67" s="378"/>
      <c r="MZC67" s="378"/>
      <c r="MZD67" s="378"/>
      <c r="MZE67" s="378"/>
      <c r="MZF67" s="378"/>
      <c r="MZG67" s="378"/>
      <c r="MZH67" s="378"/>
      <c r="MZI67" s="378"/>
      <c r="MZJ67" s="378"/>
      <c r="MZK67" s="378"/>
      <c r="MZL67" s="378"/>
      <c r="MZM67" s="378"/>
      <c r="MZN67" s="378"/>
      <c r="MZO67" s="378"/>
      <c r="MZP67" s="378"/>
      <c r="MZQ67" s="378"/>
      <c r="MZR67" s="378"/>
      <c r="MZS67" s="378"/>
      <c r="MZT67" s="378"/>
      <c r="MZU67" s="378"/>
      <c r="MZV67" s="378"/>
      <c r="MZW67" s="378"/>
      <c r="MZX67" s="378"/>
      <c r="MZY67" s="378"/>
      <c r="MZZ67" s="378"/>
      <c r="NAA67" s="378"/>
      <c r="NAB67" s="378"/>
      <c r="NAC67" s="378"/>
      <c r="NAD67" s="378"/>
      <c r="NAE67" s="378"/>
      <c r="NAF67" s="378"/>
      <c r="NAG67" s="378"/>
      <c r="NAH67" s="378"/>
      <c r="NAI67" s="378"/>
      <c r="NAJ67" s="378"/>
      <c r="NAK67" s="378"/>
      <c r="NAL67" s="378"/>
      <c r="NAM67" s="378"/>
      <c r="NAN67" s="378"/>
      <c r="NAO67" s="378"/>
      <c r="NAP67" s="378"/>
      <c r="NAQ67" s="378"/>
      <c r="NAR67" s="378"/>
      <c r="NAS67" s="378"/>
      <c r="NAT67" s="378"/>
      <c r="NAU67" s="378"/>
      <c r="NAV67" s="378"/>
      <c r="NAW67" s="378"/>
      <c r="NAX67" s="378"/>
      <c r="NAY67" s="378"/>
      <c r="NAZ67" s="378"/>
      <c r="NBA67" s="378"/>
      <c r="NBB67" s="378"/>
      <c r="NBC67" s="378"/>
      <c r="NBD67" s="378"/>
      <c r="NBE67" s="378"/>
      <c r="NBF67" s="378"/>
      <c r="NBG67" s="378"/>
      <c r="NBH67" s="378"/>
      <c r="NBI67" s="378"/>
      <c r="NBJ67" s="378"/>
      <c r="NBK67" s="378"/>
      <c r="NBL67" s="378"/>
      <c r="NBM67" s="378"/>
      <c r="NBN67" s="378"/>
      <c r="NBO67" s="378"/>
      <c r="NBP67" s="378"/>
      <c r="NBQ67" s="378"/>
      <c r="NBR67" s="378"/>
      <c r="NBS67" s="378"/>
      <c r="NBT67" s="378"/>
      <c r="NBU67" s="378"/>
      <c r="NBV67" s="378"/>
      <c r="NBW67" s="378"/>
      <c r="NBX67" s="378"/>
      <c r="NBY67" s="378"/>
      <c r="NBZ67" s="378"/>
      <c r="NCA67" s="378"/>
      <c r="NCB67" s="378"/>
      <c r="NCC67" s="378"/>
      <c r="NCD67" s="378"/>
      <c r="NCE67" s="378"/>
      <c r="NCF67" s="378"/>
      <c r="NCG67" s="378"/>
      <c r="NCH67" s="378"/>
      <c r="NCI67" s="378"/>
      <c r="NCJ67" s="378"/>
      <c r="NCK67" s="378"/>
      <c r="NCL67" s="378"/>
      <c r="NCM67" s="378"/>
      <c r="NCN67" s="378"/>
      <c r="NCO67" s="378"/>
      <c r="NCP67" s="378"/>
      <c r="NCQ67" s="378"/>
      <c r="NCR67" s="378"/>
      <c r="NCS67" s="378"/>
      <c r="NCT67" s="378"/>
      <c r="NCU67" s="378"/>
      <c r="NCV67" s="378"/>
      <c r="NCW67" s="378"/>
      <c r="NCX67" s="378"/>
      <c r="NCY67" s="378"/>
      <c r="NCZ67" s="378"/>
      <c r="NDA67" s="378"/>
      <c r="NDB67" s="378"/>
      <c r="NDC67" s="378"/>
      <c r="NDD67" s="378"/>
      <c r="NDE67" s="378"/>
      <c r="NDF67" s="378"/>
      <c r="NDG67" s="378"/>
      <c r="NDH67" s="378"/>
      <c r="NDI67" s="378"/>
      <c r="NDJ67" s="378"/>
      <c r="NDK67" s="378"/>
      <c r="NDL67" s="378"/>
      <c r="NDM67" s="378"/>
      <c r="NDN67" s="378"/>
      <c r="NDO67" s="378"/>
      <c r="NDP67" s="378"/>
      <c r="NDQ67" s="378"/>
      <c r="NDR67" s="378"/>
      <c r="NDS67" s="378"/>
      <c r="NDT67" s="378"/>
      <c r="NDU67" s="378"/>
      <c r="NDV67" s="378"/>
      <c r="NDW67" s="378"/>
      <c r="NDX67" s="378"/>
      <c r="NDY67" s="378"/>
      <c r="NDZ67" s="378"/>
      <c r="NEA67" s="378"/>
      <c r="NEB67" s="378"/>
      <c r="NEC67" s="378"/>
      <c r="NED67" s="378"/>
      <c r="NEE67" s="378"/>
      <c r="NEF67" s="378"/>
      <c r="NEG67" s="378"/>
      <c r="NEH67" s="378"/>
      <c r="NEI67" s="378"/>
      <c r="NEJ67" s="378"/>
      <c r="NEK67" s="378"/>
      <c r="NEL67" s="378"/>
      <c r="NEM67" s="378"/>
      <c r="NEN67" s="378"/>
      <c r="NEO67" s="378"/>
      <c r="NEP67" s="378"/>
      <c r="NEQ67" s="378"/>
      <c r="NER67" s="378"/>
      <c r="NES67" s="378"/>
      <c r="NET67" s="378"/>
      <c r="NEU67" s="378"/>
      <c r="NEV67" s="378"/>
      <c r="NEW67" s="378"/>
      <c r="NEX67" s="378"/>
      <c r="NEY67" s="378"/>
      <c r="NEZ67" s="378"/>
      <c r="NFA67" s="378"/>
      <c r="NFB67" s="378"/>
      <c r="NFC67" s="378"/>
      <c r="NFD67" s="378"/>
      <c r="NFE67" s="378"/>
      <c r="NFF67" s="378"/>
      <c r="NFG67" s="378"/>
      <c r="NFH67" s="378"/>
      <c r="NFI67" s="378"/>
      <c r="NFJ67" s="378"/>
      <c r="NFK67" s="378"/>
      <c r="NFL67" s="378"/>
      <c r="NFM67" s="378"/>
      <c r="NFN67" s="378"/>
      <c r="NFO67" s="378"/>
      <c r="NFP67" s="378"/>
      <c r="NFQ67" s="378"/>
      <c r="NFR67" s="378"/>
      <c r="NFS67" s="378"/>
      <c r="NFT67" s="378"/>
      <c r="NFU67" s="378"/>
      <c r="NFV67" s="378"/>
      <c r="NFW67" s="378"/>
      <c r="NFX67" s="378"/>
      <c r="NFY67" s="378"/>
      <c r="NFZ67" s="378"/>
      <c r="NGA67" s="378"/>
      <c r="NGB67" s="378"/>
      <c r="NGC67" s="378"/>
      <c r="NGD67" s="378"/>
      <c r="NGE67" s="378"/>
      <c r="NGF67" s="378"/>
      <c r="NGG67" s="378"/>
      <c r="NGH67" s="378"/>
      <c r="NGI67" s="378"/>
      <c r="NGJ67" s="378"/>
      <c r="NGK67" s="378"/>
      <c r="NGL67" s="378"/>
      <c r="NGM67" s="378"/>
      <c r="NGN67" s="378"/>
      <c r="NGO67" s="378"/>
      <c r="NGP67" s="378"/>
      <c r="NGQ67" s="378"/>
      <c r="NGR67" s="378"/>
      <c r="NGS67" s="378"/>
      <c r="NGT67" s="378"/>
      <c r="NGU67" s="378"/>
      <c r="NGV67" s="378"/>
      <c r="NGW67" s="378"/>
      <c r="NGX67" s="378"/>
      <c r="NGY67" s="378"/>
      <c r="NGZ67" s="378"/>
      <c r="NHA67" s="378"/>
      <c r="NHB67" s="378"/>
      <c r="NHC67" s="378"/>
      <c r="NHD67" s="378"/>
      <c r="NHE67" s="378"/>
      <c r="NHF67" s="378"/>
      <c r="NHG67" s="378"/>
      <c r="NHH67" s="378"/>
      <c r="NHI67" s="378"/>
      <c r="NHJ67" s="378"/>
      <c r="NHK67" s="378"/>
      <c r="NHL67" s="378"/>
      <c r="NHM67" s="378"/>
      <c r="NHN67" s="378"/>
      <c r="NHO67" s="378"/>
      <c r="NHP67" s="378"/>
      <c r="NHQ67" s="378"/>
      <c r="NHR67" s="378"/>
      <c r="NHS67" s="378"/>
      <c r="NHT67" s="378"/>
      <c r="NHU67" s="378"/>
      <c r="NHV67" s="378"/>
      <c r="NHW67" s="378"/>
      <c r="NHX67" s="378"/>
      <c r="NHY67" s="378"/>
      <c r="NHZ67" s="378"/>
      <c r="NIA67" s="378"/>
      <c r="NIB67" s="378"/>
      <c r="NIC67" s="378"/>
      <c r="NID67" s="378"/>
      <c r="NIE67" s="378"/>
      <c r="NIF67" s="378"/>
      <c r="NIG67" s="378"/>
      <c r="NIH67" s="378"/>
      <c r="NII67" s="378"/>
      <c r="NIJ67" s="378"/>
      <c r="NIK67" s="378"/>
      <c r="NIL67" s="378"/>
      <c r="NIM67" s="378"/>
      <c r="NIN67" s="378"/>
      <c r="NIO67" s="378"/>
      <c r="NIP67" s="378"/>
      <c r="NIQ67" s="378"/>
      <c r="NIR67" s="378"/>
      <c r="NIS67" s="378"/>
      <c r="NIT67" s="378"/>
      <c r="NIU67" s="378"/>
      <c r="NIV67" s="378"/>
      <c r="NIW67" s="378"/>
      <c r="NIX67" s="378"/>
      <c r="NIY67" s="378"/>
      <c r="NIZ67" s="378"/>
      <c r="NJA67" s="378"/>
      <c r="NJB67" s="378"/>
      <c r="NJC67" s="378"/>
      <c r="NJD67" s="378"/>
      <c r="NJE67" s="378"/>
      <c r="NJF67" s="378"/>
      <c r="NJG67" s="378"/>
      <c r="NJH67" s="378"/>
      <c r="NJI67" s="378"/>
      <c r="NJJ67" s="378"/>
      <c r="NJK67" s="378"/>
      <c r="NJL67" s="378"/>
      <c r="NJM67" s="378"/>
      <c r="NJN67" s="378"/>
      <c r="NJO67" s="378"/>
      <c r="NJP67" s="378"/>
      <c r="NJQ67" s="378"/>
      <c r="NJR67" s="378"/>
      <c r="NJS67" s="378"/>
      <c r="NJT67" s="378"/>
      <c r="NJU67" s="378"/>
      <c r="NJV67" s="378"/>
      <c r="NJW67" s="378"/>
      <c r="NJX67" s="378"/>
      <c r="NJY67" s="378"/>
      <c r="NJZ67" s="378"/>
      <c r="NKA67" s="378"/>
      <c r="NKB67" s="378"/>
      <c r="NKC67" s="378"/>
      <c r="NKD67" s="378"/>
      <c r="NKE67" s="378"/>
      <c r="NKF67" s="378"/>
      <c r="NKG67" s="378"/>
      <c r="NKH67" s="378"/>
      <c r="NKI67" s="378"/>
      <c r="NKJ67" s="378"/>
      <c r="NKK67" s="378"/>
      <c r="NKL67" s="378"/>
      <c r="NKM67" s="378"/>
      <c r="NKN67" s="378"/>
      <c r="NKO67" s="378"/>
      <c r="NKP67" s="378"/>
      <c r="NKQ67" s="378"/>
      <c r="NKR67" s="378"/>
      <c r="NKS67" s="378"/>
      <c r="NKT67" s="378"/>
      <c r="NKU67" s="378"/>
      <c r="NKV67" s="378"/>
      <c r="NKW67" s="378"/>
      <c r="NKX67" s="378"/>
      <c r="NKY67" s="378"/>
      <c r="NKZ67" s="378"/>
      <c r="NLA67" s="378"/>
      <c r="NLB67" s="378"/>
      <c r="NLC67" s="378"/>
      <c r="NLD67" s="378"/>
      <c r="NLE67" s="378"/>
      <c r="NLF67" s="378"/>
      <c r="NLG67" s="378"/>
      <c r="NLH67" s="378"/>
      <c r="NLI67" s="378"/>
      <c r="NLJ67" s="378"/>
      <c r="NLK67" s="378"/>
      <c r="NLL67" s="378"/>
      <c r="NLM67" s="378"/>
      <c r="NLN67" s="378"/>
      <c r="NLO67" s="378"/>
      <c r="NLP67" s="378"/>
      <c r="NLQ67" s="378"/>
      <c r="NLR67" s="378"/>
      <c r="NLS67" s="378"/>
      <c r="NLT67" s="378"/>
      <c r="NLU67" s="378"/>
      <c r="NLV67" s="378"/>
      <c r="NLW67" s="378"/>
      <c r="NLX67" s="378"/>
      <c r="NLY67" s="378"/>
      <c r="NLZ67" s="378"/>
      <c r="NMA67" s="378"/>
      <c r="NMB67" s="378"/>
      <c r="NMC67" s="378"/>
      <c r="NMD67" s="378"/>
      <c r="NME67" s="378"/>
      <c r="NMF67" s="378"/>
      <c r="NMG67" s="378"/>
      <c r="NMH67" s="378"/>
      <c r="NMI67" s="378"/>
      <c r="NMJ67" s="378"/>
      <c r="NMK67" s="378"/>
      <c r="NML67" s="378"/>
      <c r="NMM67" s="378"/>
      <c r="NMN67" s="378"/>
      <c r="NMO67" s="378"/>
      <c r="NMP67" s="378"/>
      <c r="NMQ67" s="378"/>
      <c r="NMR67" s="378"/>
      <c r="NMS67" s="378"/>
      <c r="NMT67" s="378"/>
      <c r="NMU67" s="378"/>
      <c r="NMV67" s="378"/>
      <c r="NMW67" s="378"/>
      <c r="NMX67" s="378"/>
      <c r="NMY67" s="378"/>
      <c r="NMZ67" s="378"/>
      <c r="NNA67" s="378"/>
      <c r="NNB67" s="378"/>
      <c r="NNC67" s="378"/>
      <c r="NND67" s="378"/>
      <c r="NNE67" s="378"/>
      <c r="NNF67" s="378"/>
      <c r="NNG67" s="378"/>
      <c r="NNH67" s="378"/>
      <c r="NNI67" s="378"/>
      <c r="NNJ67" s="378"/>
      <c r="NNK67" s="378"/>
      <c r="NNL67" s="378"/>
      <c r="NNM67" s="378"/>
      <c r="NNN67" s="378"/>
      <c r="NNO67" s="378"/>
      <c r="NNP67" s="378"/>
      <c r="NNQ67" s="378"/>
      <c r="NNR67" s="378"/>
      <c r="NNS67" s="378"/>
      <c r="NNT67" s="378"/>
      <c r="NNU67" s="378"/>
      <c r="NNV67" s="378"/>
      <c r="NNW67" s="378"/>
      <c r="NNX67" s="378"/>
      <c r="NNY67" s="378"/>
      <c r="NNZ67" s="378"/>
      <c r="NOA67" s="378"/>
      <c r="NOB67" s="378"/>
      <c r="NOC67" s="378"/>
      <c r="NOD67" s="378"/>
      <c r="NOE67" s="378"/>
      <c r="NOF67" s="378"/>
      <c r="NOG67" s="378"/>
      <c r="NOH67" s="378"/>
      <c r="NOI67" s="378"/>
      <c r="NOJ67" s="378"/>
      <c r="NOK67" s="378"/>
      <c r="NOL67" s="378"/>
      <c r="NOM67" s="378"/>
      <c r="NON67" s="378"/>
      <c r="NOO67" s="378"/>
      <c r="NOP67" s="378"/>
      <c r="NOQ67" s="378"/>
      <c r="NOR67" s="378"/>
      <c r="NOS67" s="378"/>
      <c r="NOT67" s="378"/>
      <c r="NOU67" s="378"/>
      <c r="NOV67" s="378"/>
      <c r="NOW67" s="378"/>
      <c r="NOX67" s="378"/>
      <c r="NOY67" s="378"/>
      <c r="NOZ67" s="378"/>
      <c r="NPA67" s="378"/>
      <c r="NPB67" s="378"/>
      <c r="NPC67" s="378"/>
      <c r="NPD67" s="378"/>
      <c r="NPE67" s="378"/>
      <c r="NPF67" s="378"/>
      <c r="NPG67" s="378"/>
      <c r="NPH67" s="378"/>
      <c r="NPI67" s="378"/>
      <c r="NPJ67" s="378"/>
      <c r="NPK67" s="378"/>
      <c r="NPL67" s="378"/>
      <c r="NPM67" s="378"/>
      <c r="NPN67" s="378"/>
      <c r="NPO67" s="378"/>
      <c r="NPP67" s="378"/>
      <c r="NPQ67" s="378"/>
      <c r="NPR67" s="378"/>
      <c r="NPS67" s="378"/>
      <c r="NPT67" s="378"/>
      <c r="NPU67" s="378"/>
      <c r="NPV67" s="378"/>
      <c r="NPW67" s="378"/>
      <c r="NPX67" s="378"/>
      <c r="NPY67" s="378"/>
      <c r="NPZ67" s="378"/>
      <c r="NQA67" s="378"/>
      <c r="NQB67" s="378"/>
      <c r="NQC67" s="378"/>
      <c r="NQD67" s="378"/>
      <c r="NQE67" s="378"/>
      <c r="NQF67" s="378"/>
      <c r="NQG67" s="378"/>
      <c r="NQH67" s="378"/>
      <c r="NQI67" s="378"/>
      <c r="NQJ67" s="378"/>
      <c r="NQK67" s="378"/>
      <c r="NQL67" s="378"/>
      <c r="NQM67" s="378"/>
      <c r="NQN67" s="378"/>
      <c r="NQO67" s="378"/>
      <c r="NQP67" s="378"/>
      <c r="NQQ67" s="378"/>
      <c r="NQR67" s="378"/>
      <c r="NQS67" s="378"/>
      <c r="NQT67" s="378"/>
      <c r="NQU67" s="378"/>
      <c r="NQV67" s="378"/>
      <c r="NQW67" s="378"/>
      <c r="NQX67" s="378"/>
      <c r="NQY67" s="378"/>
      <c r="NQZ67" s="378"/>
      <c r="NRA67" s="378"/>
      <c r="NRB67" s="378"/>
      <c r="NRC67" s="378"/>
      <c r="NRD67" s="378"/>
      <c r="NRE67" s="378"/>
      <c r="NRF67" s="378"/>
      <c r="NRG67" s="378"/>
      <c r="NRH67" s="378"/>
      <c r="NRI67" s="378"/>
      <c r="NRJ67" s="378"/>
      <c r="NRK67" s="378"/>
      <c r="NRL67" s="378"/>
      <c r="NRM67" s="378"/>
      <c r="NRN67" s="378"/>
      <c r="NRO67" s="378"/>
      <c r="NRP67" s="378"/>
      <c r="NRQ67" s="378"/>
      <c r="NRR67" s="378"/>
      <c r="NRS67" s="378"/>
      <c r="NRT67" s="378"/>
      <c r="NRU67" s="378"/>
      <c r="NRV67" s="378"/>
      <c r="NRW67" s="378"/>
      <c r="NRX67" s="378"/>
      <c r="NRY67" s="378"/>
      <c r="NRZ67" s="378"/>
      <c r="NSA67" s="378"/>
      <c r="NSB67" s="378"/>
      <c r="NSC67" s="378"/>
      <c r="NSD67" s="378"/>
      <c r="NSE67" s="378"/>
      <c r="NSF67" s="378"/>
      <c r="NSG67" s="378"/>
      <c r="NSH67" s="378"/>
      <c r="NSI67" s="378"/>
      <c r="NSJ67" s="378"/>
      <c r="NSK67" s="378"/>
      <c r="NSL67" s="378"/>
      <c r="NSM67" s="378"/>
      <c r="NSN67" s="378"/>
      <c r="NSO67" s="378"/>
      <c r="NSP67" s="378"/>
      <c r="NSQ67" s="378"/>
      <c r="NSR67" s="378"/>
      <c r="NSS67" s="378"/>
      <c r="NST67" s="378"/>
      <c r="NSU67" s="378"/>
      <c r="NSV67" s="378"/>
      <c r="NSW67" s="378"/>
      <c r="NSX67" s="378"/>
      <c r="NSY67" s="378"/>
      <c r="NSZ67" s="378"/>
      <c r="NTA67" s="378"/>
      <c r="NTB67" s="378"/>
      <c r="NTC67" s="378"/>
      <c r="NTD67" s="378"/>
      <c r="NTE67" s="378"/>
      <c r="NTF67" s="378"/>
      <c r="NTG67" s="378"/>
      <c r="NTH67" s="378"/>
      <c r="NTI67" s="378"/>
      <c r="NTJ67" s="378"/>
      <c r="NTK67" s="378"/>
      <c r="NTL67" s="378"/>
      <c r="NTM67" s="378"/>
      <c r="NTN67" s="378"/>
      <c r="NTO67" s="378"/>
      <c r="NTP67" s="378"/>
      <c r="NTQ67" s="378"/>
      <c r="NTR67" s="378"/>
      <c r="NTS67" s="378"/>
      <c r="NTT67" s="378"/>
      <c r="NTU67" s="378"/>
      <c r="NTV67" s="378"/>
      <c r="NTW67" s="378"/>
      <c r="NTX67" s="378"/>
      <c r="NTY67" s="378"/>
      <c r="NTZ67" s="378"/>
      <c r="NUA67" s="378"/>
      <c r="NUB67" s="378"/>
      <c r="NUC67" s="378"/>
      <c r="NUD67" s="378"/>
      <c r="NUE67" s="378"/>
      <c r="NUF67" s="378"/>
      <c r="NUG67" s="378"/>
      <c r="NUH67" s="378"/>
      <c r="NUI67" s="378"/>
      <c r="NUJ67" s="378"/>
      <c r="NUK67" s="378"/>
      <c r="NUL67" s="378"/>
      <c r="NUM67" s="378"/>
      <c r="NUN67" s="378"/>
      <c r="NUO67" s="378"/>
      <c r="NUP67" s="378"/>
      <c r="NUQ67" s="378"/>
      <c r="NUR67" s="378"/>
      <c r="NUS67" s="378"/>
      <c r="NUT67" s="378"/>
      <c r="NUU67" s="378"/>
      <c r="NUV67" s="378"/>
      <c r="NUW67" s="378"/>
      <c r="NUX67" s="378"/>
      <c r="NUY67" s="378"/>
      <c r="NUZ67" s="378"/>
      <c r="NVA67" s="378"/>
      <c r="NVB67" s="378"/>
      <c r="NVC67" s="378"/>
      <c r="NVD67" s="378"/>
      <c r="NVE67" s="378"/>
      <c r="NVF67" s="378"/>
      <c r="NVG67" s="378"/>
      <c r="NVH67" s="378"/>
      <c r="NVI67" s="378"/>
      <c r="NVJ67" s="378"/>
      <c r="NVK67" s="378"/>
      <c r="NVL67" s="378"/>
      <c r="NVM67" s="378"/>
      <c r="NVN67" s="378"/>
      <c r="NVO67" s="378"/>
      <c r="NVP67" s="378"/>
      <c r="NVQ67" s="378"/>
      <c r="NVR67" s="378"/>
      <c r="NVS67" s="378"/>
      <c r="NVT67" s="378"/>
      <c r="NVU67" s="378"/>
      <c r="NVV67" s="378"/>
      <c r="NVW67" s="378"/>
      <c r="NVX67" s="378"/>
      <c r="NVY67" s="378"/>
      <c r="NVZ67" s="378"/>
      <c r="NWA67" s="378"/>
      <c r="NWB67" s="378"/>
      <c r="NWC67" s="378"/>
      <c r="NWD67" s="378"/>
      <c r="NWE67" s="378"/>
      <c r="NWF67" s="378"/>
      <c r="NWG67" s="378"/>
      <c r="NWH67" s="378"/>
      <c r="NWI67" s="378"/>
      <c r="NWJ67" s="378"/>
      <c r="NWK67" s="378"/>
      <c r="NWL67" s="378"/>
      <c r="NWM67" s="378"/>
      <c r="NWN67" s="378"/>
      <c r="NWO67" s="378"/>
      <c r="NWP67" s="378"/>
      <c r="NWQ67" s="378"/>
      <c r="NWR67" s="378"/>
      <c r="NWS67" s="378"/>
      <c r="NWT67" s="378"/>
      <c r="NWU67" s="378"/>
      <c r="NWV67" s="378"/>
      <c r="NWW67" s="378"/>
      <c r="NWX67" s="378"/>
      <c r="NWY67" s="378"/>
      <c r="NWZ67" s="378"/>
      <c r="NXA67" s="378"/>
      <c r="NXB67" s="378"/>
      <c r="NXC67" s="378"/>
      <c r="NXD67" s="378"/>
      <c r="NXE67" s="378"/>
      <c r="NXF67" s="378"/>
      <c r="NXG67" s="378"/>
      <c r="NXH67" s="378"/>
      <c r="NXI67" s="378"/>
      <c r="NXJ67" s="378"/>
      <c r="NXK67" s="378"/>
      <c r="NXL67" s="378"/>
      <c r="NXM67" s="378"/>
      <c r="NXN67" s="378"/>
      <c r="NXO67" s="378"/>
      <c r="NXP67" s="378"/>
      <c r="NXQ67" s="378"/>
      <c r="NXR67" s="378"/>
      <c r="NXS67" s="378"/>
      <c r="NXT67" s="378"/>
      <c r="NXU67" s="378"/>
      <c r="NXV67" s="378"/>
      <c r="NXW67" s="378"/>
      <c r="NXX67" s="378"/>
      <c r="NXY67" s="378"/>
      <c r="NXZ67" s="378"/>
      <c r="NYA67" s="378"/>
      <c r="NYB67" s="378"/>
      <c r="NYC67" s="378"/>
      <c r="NYD67" s="378"/>
      <c r="NYE67" s="378"/>
      <c r="NYF67" s="378"/>
      <c r="NYG67" s="378"/>
      <c r="NYH67" s="378"/>
      <c r="NYI67" s="378"/>
      <c r="NYJ67" s="378"/>
      <c r="NYK67" s="378"/>
      <c r="NYL67" s="378"/>
      <c r="NYM67" s="378"/>
      <c r="NYN67" s="378"/>
      <c r="NYO67" s="378"/>
      <c r="NYP67" s="378"/>
      <c r="NYQ67" s="378"/>
      <c r="NYR67" s="378"/>
      <c r="NYS67" s="378"/>
      <c r="NYT67" s="378"/>
      <c r="NYU67" s="378"/>
      <c r="NYV67" s="378"/>
      <c r="NYW67" s="378"/>
      <c r="NYX67" s="378"/>
      <c r="NYY67" s="378"/>
      <c r="NYZ67" s="378"/>
      <c r="NZA67" s="378"/>
      <c r="NZB67" s="378"/>
      <c r="NZC67" s="378"/>
      <c r="NZD67" s="378"/>
      <c r="NZE67" s="378"/>
      <c r="NZF67" s="378"/>
      <c r="NZG67" s="378"/>
      <c r="NZH67" s="378"/>
      <c r="NZI67" s="378"/>
      <c r="NZJ67" s="378"/>
      <c r="NZK67" s="378"/>
      <c r="NZL67" s="378"/>
      <c r="NZM67" s="378"/>
      <c r="NZN67" s="378"/>
      <c r="NZO67" s="378"/>
      <c r="NZP67" s="378"/>
      <c r="NZQ67" s="378"/>
      <c r="NZR67" s="378"/>
      <c r="NZS67" s="378"/>
      <c r="NZT67" s="378"/>
      <c r="NZU67" s="378"/>
      <c r="NZV67" s="378"/>
      <c r="NZW67" s="378"/>
      <c r="NZX67" s="378"/>
      <c r="NZY67" s="378"/>
      <c r="NZZ67" s="378"/>
      <c r="OAA67" s="378"/>
      <c r="OAB67" s="378"/>
      <c r="OAC67" s="378"/>
      <c r="OAD67" s="378"/>
      <c r="OAE67" s="378"/>
      <c r="OAF67" s="378"/>
      <c r="OAG67" s="378"/>
      <c r="OAH67" s="378"/>
      <c r="OAI67" s="378"/>
      <c r="OAJ67" s="378"/>
      <c r="OAK67" s="378"/>
      <c r="OAL67" s="378"/>
      <c r="OAM67" s="378"/>
      <c r="OAN67" s="378"/>
      <c r="OAO67" s="378"/>
      <c r="OAP67" s="378"/>
      <c r="OAQ67" s="378"/>
      <c r="OAR67" s="378"/>
      <c r="OAS67" s="378"/>
      <c r="OAT67" s="378"/>
      <c r="OAU67" s="378"/>
      <c r="OAV67" s="378"/>
      <c r="OAW67" s="378"/>
      <c r="OAX67" s="378"/>
      <c r="OAY67" s="378"/>
      <c r="OAZ67" s="378"/>
      <c r="OBA67" s="378"/>
      <c r="OBB67" s="378"/>
      <c r="OBC67" s="378"/>
      <c r="OBD67" s="378"/>
      <c r="OBE67" s="378"/>
      <c r="OBF67" s="378"/>
      <c r="OBG67" s="378"/>
      <c r="OBH67" s="378"/>
      <c r="OBI67" s="378"/>
      <c r="OBJ67" s="378"/>
      <c r="OBK67" s="378"/>
      <c r="OBL67" s="378"/>
      <c r="OBM67" s="378"/>
      <c r="OBN67" s="378"/>
      <c r="OBO67" s="378"/>
      <c r="OBP67" s="378"/>
      <c r="OBQ67" s="378"/>
      <c r="OBR67" s="378"/>
      <c r="OBS67" s="378"/>
      <c r="OBT67" s="378"/>
      <c r="OBU67" s="378"/>
      <c r="OBV67" s="378"/>
      <c r="OBW67" s="378"/>
      <c r="OBX67" s="378"/>
      <c r="OBY67" s="378"/>
      <c r="OBZ67" s="378"/>
      <c r="OCA67" s="378"/>
      <c r="OCB67" s="378"/>
      <c r="OCC67" s="378"/>
      <c r="OCD67" s="378"/>
      <c r="OCE67" s="378"/>
      <c r="OCF67" s="378"/>
      <c r="OCG67" s="378"/>
      <c r="OCH67" s="378"/>
      <c r="OCI67" s="378"/>
      <c r="OCJ67" s="378"/>
      <c r="OCK67" s="378"/>
      <c r="OCL67" s="378"/>
      <c r="OCM67" s="378"/>
      <c r="OCN67" s="378"/>
      <c r="OCO67" s="378"/>
      <c r="OCP67" s="378"/>
      <c r="OCQ67" s="378"/>
      <c r="OCR67" s="378"/>
      <c r="OCS67" s="378"/>
      <c r="OCT67" s="378"/>
      <c r="OCU67" s="378"/>
      <c r="OCV67" s="378"/>
      <c r="OCW67" s="378"/>
      <c r="OCX67" s="378"/>
      <c r="OCY67" s="378"/>
      <c r="OCZ67" s="378"/>
      <c r="ODA67" s="378"/>
      <c r="ODB67" s="378"/>
      <c r="ODC67" s="378"/>
      <c r="ODD67" s="378"/>
      <c r="ODE67" s="378"/>
      <c r="ODF67" s="378"/>
      <c r="ODG67" s="378"/>
      <c r="ODH67" s="378"/>
      <c r="ODI67" s="378"/>
      <c r="ODJ67" s="378"/>
      <c r="ODK67" s="378"/>
      <c r="ODL67" s="378"/>
      <c r="ODM67" s="378"/>
      <c r="ODN67" s="378"/>
      <c r="ODO67" s="378"/>
      <c r="ODP67" s="378"/>
      <c r="ODQ67" s="378"/>
      <c r="ODR67" s="378"/>
      <c r="ODS67" s="378"/>
      <c r="ODT67" s="378"/>
      <c r="ODU67" s="378"/>
      <c r="ODV67" s="378"/>
      <c r="ODW67" s="378"/>
      <c r="ODX67" s="378"/>
      <c r="ODY67" s="378"/>
      <c r="ODZ67" s="378"/>
      <c r="OEA67" s="378"/>
      <c r="OEB67" s="378"/>
      <c r="OEC67" s="378"/>
      <c r="OED67" s="378"/>
      <c r="OEE67" s="378"/>
      <c r="OEF67" s="378"/>
      <c r="OEG67" s="378"/>
      <c r="OEH67" s="378"/>
      <c r="OEI67" s="378"/>
      <c r="OEJ67" s="378"/>
      <c r="OEK67" s="378"/>
      <c r="OEL67" s="378"/>
      <c r="OEM67" s="378"/>
      <c r="OEN67" s="378"/>
      <c r="OEO67" s="378"/>
      <c r="OEP67" s="378"/>
      <c r="OEQ67" s="378"/>
      <c r="OER67" s="378"/>
      <c r="OES67" s="378"/>
      <c r="OET67" s="378"/>
      <c r="OEU67" s="378"/>
      <c r="OEV67" s="378"/>
      <c r="OEW67" s="378"/>
      <c r="OEX67" s="378"/>
      <c r="OEY67" s="378"/>
      <c r="OEZ67" s="378"/>
      <c r="OFA67" s="378"/>
      <c r="OFB67" s="378"/>
      <c r="OFC67" s="378"/>
      <c r="OFD67" s="378"/>
      <c r="OFE67" s="378"/>
      <c r="OFF67" s="378"/>
      <c r="OFG67" s="378"/>
      <c r="OFH67" s="378"/>
      <c r="OFI67" s="378"/>
      <c r="OFJ67" s="378"/>
      <c r="OFK67" s="378"/>
      <c r="OFL67" s="378"/>
      <c r="OFM67" s="378"/>
      <c r="OFN67" s="378"/>
      <c r="OFO67" s="378"/>
      <c r="OFP67" s="378"/>
      <c r="OFQ67" s="378"/>
      <c r="OFR67" s="378"/>
      <c r="OFS67" s="378"/>
      <c r="OFT67" s="378"/>
      <c r="OFU67" s="378"/>
      <c r="OFV67" s="378"/>
      <c r="OFW67" s="378"/>
      <c r="OFX67" s="378"/>
      <c r="OFY67" s="378"/>
      <c r="OFZ67" s="378"/>
      <c r="OGA67" s="378"/>
      <c r="OGB67" s="378"/>
      <c r="OGC67" s="378"/>
      <c r="OGD67" s="378"/>
      <c r="OGE67" s="378"/>
      <c r="OGF67" s="378"/>
      <c r="OGG67" s="378"/>
      <c r="OGH67" s="378"/>
      <c r="OGI67" s="378"/>
      <c r="OGJ67" s="378"/>
      <c r="OGK67" s="378"/>
      <c r="OGL67" s="378"/>
      <c r="OGM67" s="378"/>
      <c r="OGN67" s="378"/>
      <c r="OGO67" s="378"/>
      <c r="OGP67" s="378"/>
      <c r="OGQ67" s="378"/>
      <c r="OGR67" s="378"/>
      <c r="OGS67" s="378"/>
      <c r="OGT67" s="378"/>
      <c r="OGU67" s="378"/>
      <c r="OGV67" s="378"/>
      <c r="OGW67" s="378"/>
      <c r="OGX67" s="378"/>
      <c r="OGY67" s="378"/>
      <c r="OGZ67" s="378"/>
      <c r="OHA67" s="378"/>
      <c r="OHB67" s="378"/>
      <c r="OHC67" s="378"/>
      <c r="OHD67" s="378"/>
      <c r="OHE67" s="378"/>
      <c r="OHF67" s="378"/>
      <c r="OHG67" s="378"/>
      <c r="OHH67" s="378"/>
      <c r="OHI67" s="378"/>
      <c r="OHJ67" s="378"/>
      <c r="OHK67" s="378"/>
      <c r="OHL67" s="378"/>
      <c r="OHM67" s="378"/>
      <c r="OHN67" s="378"/>
      <c r="OHO67" s="378"/>
      <c r="OHP67" s="378"/>
      <c r="OHQ67" s="378"/>
      <c r="OHR67" s="378"/>
      <c r="OHS67" s="378"/>
      <c r="OHT67" s="378"/>
      <c r="OHU67" s="378"/>
      <c r="OHV67" s="378"/>
      <c r="OHW67" s="378"/>
      <c r="OHX67" s="378"/>
      <c r="OHY67" s="378"/>
      <c r="OHZ67" s="378"/>
      <c r="OIA67" s="378"/>
      <c r="OIB67" s="378"/>
      <c r="OIC67" s="378"/>
      <c r="OID67" s="378"/>
      <c r="OIE67" s="378"/>
      <c r="OIF67" s="378"/>
      <c r="OIG67" s="378"/>
      <c r="OIH67" s="378"/>
      <c r="OII67" s="378"/>
      <c r="OIJ67" s="378"/>
      <c r="OIK67" s="378"/>
      <c r="OIL67" s="378"/>
      <c r="OIM67" s="378"/>
      <c r="OIN67" s="378"/>
      <c r="OIO67" s="378"/>
      <c r="OIP67" s="378"/>
      <c r="OIQ67" s="378"/>
      <c r="OIR67" s="378"/>
      <c r="OIS67" s="378"/>
      <c r="OIT67" s="378"/>
      <c r="OIU67" s="378"/>
      <c r="OIV67" s="378"/>
      <c r="OIW67" s="378"/>
      <c r="OIX67" s="378"/>
      <c r="OIY67" s="378"/>
      <c r="OIZ67" s="378"/>
      <c r="OJA67" s="378"/>
      <c r="OJB67" s="378"/>
      <c r="OJC67" s="378"/>
      <c r="OJD67" s="378"/>
      <c r="OJE67" s="378"/>
      <c r="OJF67" s="378"/>
      <c r="OJG67" s="378"/>
      <c r="OJH67" s="378"/>
      <c r="OJI67" s="378"/>
      <c r="OJJ67" s="378"/>
      <c r="OJK67" s="378"/>
      <c r="OJL67" s="378"/>
      <c r="OJM67" s="378"/>
      <c r="OJN67" s="378"/>
      <c r="OJO67" s="378"/>
      <c r="OJP67" s="378"/>
      <c r="OJQ67" s="378"/>
      <c r="OJR67" s="378"/>
      <c r="OJS67" s="378"/>
      <c r="OJT67" s="378"/>
      <c r="OJU67" s="378"/>
      <c r="OJV67" s="378"/>
      <c r="OJW67" s="378"/>
      <c r="OJX67" s="378"/>
      <c r="OJY67" s="378"/>
      <c r="OJZ67" s="378"/>
      <c r="OKA67" s="378"/>
      <c r="OKB67" s="378"/>
      <c r="OKC67" s="378"/>
      <c r="OKD67" s="378"/>
      <c r="OKE67" s="378"/>
      <c r="OKF67" s="378"/>
      <c r="OKG67" s="378"/>
      <c r="OKH67" s="378"/>
      <c r="OKI67" s="378"/>
      <c r="OKJ67" s="378"/>
      <c r="OKK67" s="378"/>
      <c r="OKL67" s="378"/>
      <c r="OKM67" s="378"/>
      <c r="OKN67" s="378"/>
      <c r="OKO67" s="378"/>
      <c r="OKP67" s="378"/>
      <c r="OKQ67" s="378"/>
      <c r="OKR67" s="378"/>
      <c r="OKS67" s="378"/>
      <c r="OKT67" s="378"/>
      <c r="OKU67" s="378"/>
      <c r="OKV67" s="378"/>
      <c r="OKW67" s="378"/>
      <c r="OKX67" s="378"/>
      <c r="OKY67" s="378"/>
      <c r="OKZ67" s="378"/>
      <c r="OLA67" s="378"/>
      <c r="OLB67" s="378"/>
      <c r="OLC67" s="378"/>
      <c r="OLD67" s="378"/>
      <c r="OLE67" s="378"/>
      <c r="OLF67" s="378"/>
      <c r="OLG67" s="378"/>
      <c r="OLH67" s="378"/>
      <c r="OLI67" s="378"/>
      <c r="OLJ67" s="378"/>
      <c r="OLK67" s="378"/>
      <c r="OLL67" s="378"/>
      <c r="OLM67" s="378"/>
      <c r="OLN67" s="378"/>
      <c r="OLO67" s="378"/>
      <c r="OLP67" s="378"/>
      <c r="OLQ67" s="378"/>
      <c r="OLR67" s="378"/>
      <c r="OLS67" s="378"/>
      <c r="OLT67" s="378"/>
      <c r="OLU67" s="378"/>
      <c r="OLV67" s="378"/>
      <c r="OLW67" s="378"/>
      <c r="OLX67" s="378"/>
      <c r="OLY67" s="378"/>
      <c r="OLZ67" s="378"/>
      <c r="OMA67" s="378"/>
      <c r="OMB67" s="378"/>
      <c r="OMC67" s="378"/>
      <c r="OMD67" s="378"/>
      <c r="OME67" s="378"/>
      <c r="OMF67" s="378"/>
      <c r="OMG67" s="378"/>
      <c r="OMH67" s="378"/>
      <c r="OMI67" s="378"/>
      <c r="OMJ67" s="378"/>
      <c r="OMK67" s="378"/>
      <c r="OML67" s="378"/>
      <c r="OMM67" s="378"/>
      <c r="OMN67" s="378"/>
      <c r="OMO67" s="378"/>
      <c r="OMP67" s="378"/>
      <c r="OMQ67" s="378"/>
      <c r="OMR67" s="378"/>
      <c r="OMS67" s="378"/>
      <c r="OMT67" s="378"/>
      <c r="OMU67" s="378"/>
      <c r="OMV67" s="378"/>
      <c r="OMW67" s="378"/>
      <c r="OMX67" s="378"/>
      <c r="OMY67" s="378"/>
      <c r="OMZ67" s="378"/>
      <c r="ONA67" s="378"/>
      <c r="ONB67" s="378"/>
      <c r="ONC67" s="378"/>
      <c r="OND67" s="378"/>
      <c r="ONE67" s="378"/>
      <c r="ONF67" s="378"/>
      <c r="ONG67" s="378"/>
      <c r="ONH67" s="378"/>
      <c r="ONI67" s="378"/>
      <c r="ONJ67" s="378"/>
      <c r="ONK67" s="378"/>
      <c r="ONL67" s="378"/>
      <c r="ONM67" s="378"/>
      <c r="ONN67" s="378"/>
      <c r="ONO67" s="378"/>
      <c r="ONP67" s="378"/>
      <c r="ONQ67" s="378"/>
      <c r="ONR67" s="378"/>
      <c r="ONS67" s="378"/>
      <c r="ONT67" s="378"/>
      <c r="ONU67" s="378"/>
      <c r="ONV67" s="378"/>
      <c r="ONW67" s="378"/>
      <c r="ONX67" s="378"/>
      <c r="ONY67" s="378"/>
      <c r="ONZ67" s="378"/>
      <c r="OOA67" s="378"/>
      <c r="OOB67" s="378"/>
      <c r="OOC67" s="378"/>
      <c r="OOD67" s="378"/>
      <c r="OOE67" s="378"/>
      <c r="OOF67" s="378"/>
      <c r="OOG67" s="378"/>
      <c r="OOH67" s="378"/>
      <c r="OOI67" s="378"/>
      <c r="OOJ67" s="378"/>
      <c r="OOK67" s="378"/>
      <c r="OOL67" s="378"/>
      <c r="OOM67" s="378"/>
      <c r="OON67" s="378"/>
      <c r="OOO67" s="378"/>
      <c r="OOP67" s="378"/>
      <c r="OOQ67" s="378"/>
      <c r="OOR67" s="378"/>
      <c r="OOS67" s="378"/>
      <c r="OOT67" s="378"/>
      <c r="OOU67" s="378"/>
      <c r="OOV67" s="378"/>
      <c r="OOW67" s="378"/>
      <c r="OOX67" s="378"/>
      <c r="OOY67" s="378"/>
      <c r="OOZ67" s="378"/>
      <c r="OPA67" s="378"/>
      <c r="OPB67" s="378"/>
      <c r="OPC67" s="378"/>
      <c r="OPD67" s="378"/>
      <c r="OPE67" s="378"/>
      <c r="OPF67" s="378"/>
      <c r="OPG67" s="378"/>
      <c r="OPH67" s="378"/>
      <c r="OPI67" s="378"/>
      <c r="OPJ67" s="378"/>
      <c r="OPK67" s="378"/>
      <c r="OPL67" s="378"/>
      <c r="OPM67" s="378"/>
      <c r="OPN67" s="378"/>
      <c r="OPO67" s="378"/>
      <c r="OPP67" s="378"/>
      <c r="OPQ67" s="378"/>
      <c r="OPR67" s="378"/>
      <c r="OPS67" s="378"/>
      <c r="OPT67" s="378"/>
      <c r="OPU67" s="378"/>
      <c r="OPV67" s="378"/>
      <c r="OPW67" s="378"/>
      <c r="OPX67" s="378"/>
      <c r="OPY67" s="378"/>
      <c r="OPZ67" s="378"/>
      <c r="OQA67" s="378"/>
      <c r="OQB67" s="378"/>
      <c r="OQC67" s="378"/>
      <c r="OQD67" s="378"/>
      <c r="OQE67" s="378"/>
      <c r="OQF67" s="378"/>
      <c r="OQG67" s="378"/>
      <c r="OQH67" s="378"/>
      <c r="OQI67" s="378"/>
      <c r="OQJ67" s="378"/>
      <c r="OQK67" s="378"/>
      <c r="OQL67" s="378"/>
      <c r="OQM67" s="378"/>
      <c r="OQN67" s="378"/>
      <c r="OQO67" s="378"/>
      <c r="OQP67" s="378"/>
      <c r="OQQ67" s="378"/>
      <c r="OQR67" s="378"/>
      <c r="OQS67" s="378"/>
      <c r="OQT67" s="378"/>
      <c r="OQU67" s="378"/>
      <c r="OQV67" s="378"/>
      <c r="OQW67" s="378"/>
      <c r="OQX67" s="378"/>
      <c r="OQY67" s="378"/>
      <c r="OQZ67" s="378"/>
      <c r="ORA67" s="378"/>
      <c r="ORB67" s="378"/>
      <c r="ORC67" s="378"/>
      <c r="ORD67" s="378"/>
      <c r="ORE67" s="378"/>
      <c r="ORF67" s="378"/>
      <c r="ORG67" s="378"/>
      <c r="ORH67" s="378"/>
      <c r="ORI67" s="378"/>
      <c r="ORJ67" s="378"/>
      <c r="ORK67" s="378"/>
      <c r="ORL67" s="378"/>
      <c r="ORM67" s="378"/>
      <c r="ORN67" s="378"/>
      <c r="ORO67" s="378"/>
      <c r="ORP67" s="378"/>
      <c r="ORQ67" s="378"/>
      <c r="ORR67" s="378"/>
      <c r="ORS67" s="378"/>
      <c r="ORT67" s="378"/>
      <c r="ORU67" s="378"/>
      <c r="ORV67" s="378"/>
      <c r="ORW67" s="378"/>
      <c r="ORX67" s="378"/>
      <c r="ORY67" s="378"/>
      <c r="ORZ67" s="378"/>
      <c r="OSA67" s="378"/>
      <c r="OSB67" s="378"/>
      <c r="OSC67" s="378"/>
      <c r="OSD67" s="378"/>
      <c r="OSE67" s="378"/>
      <c r="OSF67" s="378"/>
      <c r="OSG67" s="378"/>
      <c r="OSH67" s="378"/>
      <c r="OSI67" s="378"/>
      <c r="OSJ67" s="378"/>
      <c r="OSK67" s="378"/>
      <c r="OSL67" s="378"/>
      <c r="OSM67" s="378"/>
      <c r="OSN67" s="378"/>
      <c r="OSO67" s="378"/>
      <c r="OSP67" s="378"/>
      <c r="OSQ67" s="378"/>
      <c r="OSR67" s="378"/>
      <c r="OSS67" s="378"/>
      <c r="OST67" s="378"/>
      <c r="OSU67" s="378"/>
      <c r="OSV67" s="378"/>
      <c r="OSW67" s="378"/>
      <c r="OSX67" s="378"/>
      <c r="OSY67" s="378"/>
      <c r="OSZ67" s="378"/>
      <c r="OTA67" s="378"/>
      <c r="OTB67" s="378"/>
      <c r="OTC67" s="378"/>
      <c r="OTD67" s="378"/>
      <c r="OTE67" s="378"/>
      <c r="OTF67" s="378"/>
      <c r="OTG67" s="378"/>
      <c r="OTH67" s="378"/>
      <c r="OTI67" s="378"/>
      <c r="OTJ67" s="378"/>
      <c r="OTK67" s="378"/>
      <c r="OTL67" s="378"/>
      <c r="OTM67" s="378"/>
      <c r="OTN67" s="378"/>
      <c r="OTO67" s="378"/>
      <c r="OTP67" s="378"/>
      <c r="OTQ67" s="378"/>
      <c r="OTR67" s="378"/>
      <c r="OTS67" s="378"/>
      <c r="OTT67" s="378"/>
      <c r="OTU67" s="378"/>
      <c r="OTV67" s="378"/>
      <c r="OTW67" s="378"/>
      <c r="OTX67" s="378"/>
      <c r="OTY67" s="378"/>
      <c r="OTZ67" s="378"/>
      <c r="OUA67" s="378"/>
      <c r="OUB67" s="378"/>
      <c r="OUC67" s="378"/>
      <c r="OUD67" s="378"/>
      <c r="OUE67" s="378"/>
      <c r="OUF67" s="378"/>
      <c r="OUG67" s="378"/>
      <c r="OUH67" s="378"/>
      <c r="OUI67" s="378"/>
      <c r="OUJ67" s="378"/>
      <c r="OUK67" s="378"/>
      <c r="OUL67" s="378"/>
      <c r="OUM67" s="378"/>
      <c r="OUN67" s="378"/>
      <c r="OUO67" s="378"/>
      <c r="OUP67" s="378"/>
      <c r="OUQ67" s="378"/>
      <c r="OUR67" s="378"/>
      <c r="OUS67" s="378"/>
      <c r="OUT67" s="378"/>
      <c r="OUU67" s="378"/>
      <c r="OUV67" s="378"/>
      <c r="OUW67" s="378"/>
      <c r="OUX67" s="378"/>
      <c r="OUY67" s="378"/>
      <c r="OUZ67" s="378"/>
      <c r="OVA67" s="378"/>
      <c r="OVB67" s="378"/>
      <c r="OVC67" s="378"/>
      <c r="OVD67" s="378"/>
      <c r="OVE67" s="378"/>
      <c r="OVF67" s="378"/>
      <c r="OVG67" s="378"/>
      <c r="OVH67" s="378"/>
      <c r="OVI67" s="378"/>
      <c r="OVJ67" s="378"/>
      <c r="OVK67" s="378"/>
      <c r="OVL67" s="378"/>
      <c r="OVM67" s="378"/>
      <c r="OVN67" s="378"/>
      <c r="OVO67" s="378"/>
      <c r="OVP67" s="378"/>
      <c r="OVQ67" s="378"/>
      <c r="OVR67" s="378"/>
      <c r="OVS67" s="378"/>
      <c r="OVT67" s="378"/>
      <c r="OVU67" s="378"/>
      <c r="OVV67" s="378"/>
      <c r="OVW67" s="378"/>
      <c r="OVX67" s="378"/>
      <c r="OVY67" s="378"/>
      <c r="OVZ67" s="378"/>
      <c r="OWA67" s="378"/>
      <c r="OWB67" s="378"/>
      <c r="OWC67" s="378"/>
      <c r="OWD67" s="378"/>
      <c r="OWE67" s="378"/>
      <c r="OWF67" s="378"/>
      <c r="OWG67" s="378"/>
      <c r="OWH67" s="378"/>
      <c r="OWI67" s="378"/>
      <c r="OWJ67" s="378"/>
      <c r="OWK67" s="378"/>
      <c r="OWL67" s="378"/>
      <c r="OWM67" s="378"/>
      <c r="OWN67" s="378"/>
      <c r="OWO67" s="378"/>
      <c r="OWP67" s="378"/>
      <c r="OWQ67" s="378"/>
      <c r="OWR67" s="378"/>
      <c r="OWS67" s="378"/>
      <c r="OWT67" s="378"/>
      <c r="OWU67" s="378"/>
      <c r="OWV67" s="378"/>
      <c r="OWW67" s="378"/>
      <c r="OWX67" s="378"/>
      <c r="OWY67" s="378"/>
      <c r="OWZ67" s="378"/>
      <c r="OXA67" s="378"/>
      <c r="OXB67" s="378"/>
      <c r="OXC67" s="378"/>
      <c r="OXD67" s="378"/>
      <c r="OXE67" s="378"/>
      <c r="OXF67" s="378"/>
      <c r="OXG67" s="378"/>
      <c r="OXH67" s="378"/>
      <c r="OXI67" s="378"/>
      <c r="OXJ67" s="378"/>
      <c r="OXK67" s="378"/>
      <c r="OXL67" s="378"/>
      <c r="OXM67" s="378"/>
      <c r="OXN67" s="378"/>
      <c r="OXO67" s="378"/>
      <c r="OXP67" s="378"/>
      <c r="OXQ67" s="378"/>
      <c r="OXR67" s="378"/>
      <c r="OXS67" s="378"/>
      <c r="OXT67" s="378"/>
      <c r="OXU67" s="378"/>
      <c r="OXV67" s="378"/>
      <c r="OXW67" s="378"/>
      <c r="OXX67" s="378"/>
      <c r="OXY67" s="378"/>
      <c r="OXZ67" s="378"/>
      <c r="OYA67" s="378"/>
      <c r="OYB67" s="378"/>
      <c r="OYC67" s="378"/>
      <c r="OYD67" s="378"/>
      <c r="OYE67" s="378"/>
      <c r="OYF67" s="378"/>
      <c r="OYG67" s="378"/>
      <c r="OYH67" s="378"/>
      <c r="OYI67" s="378"/>
      <c r="OYJ67" s="378"/>
      <c r="OYK67" s="378"/>
      <c r="OYL67" s="378"/>
      <c r="OYM67" s="378"/>
      <c r="OYN67" s="378"/>
      <c r="OYO67" s="378"/>
      <c r="OYP67" s="378"/>
      <c r="OYQ67" s="378"/>
      <c r="OYR67" s="378"/>
      <c r="OYS67" s="378"/>
      <c r="OYT67" s="378"/>
      <c r="OYU67" s="378"/>
      <c r="OYV67" s="378"/>
      <c r="OYW67" s="378"/>
      <c r="OYX67" s="378"/>
      <c r="OYY67" s="378"/>
      <c r="OYZ67" s="378"/>
      <c r="OZA67" s="378"/>
      <c r="OZB67" s="378"/>
      <c r="OZC67" s="378"/>
      <c r="OZD67" s="378"/>
      <c r="OZE67" s="378"/>
      <c r="OZF67" s="378"/>
      <c r="OZG67" s="378"/>
      <c r="OZH67" s="378"/>
      <c r="OZI67" s="378"/>
      <c r="OZJ67" s="378"/>
      <c r="OZK67" s="378"/>
      <c r="OZL67" s="378"/>
      <c r="OZM67" s="378"/>
      <c r="OZN67" s="378"/>
      <c r="OZO67" s="378"/>
      <c r="OZP67" s="378"/>
      <c r="OZQ67" s="378"/>
      <c r="OZR67" s="378"/>
      <c r="OZS67" s="378"/>
      <c r="OZT67" s="378"/>
      <c r="OZU67" s="378"/>
      <c r="OZV67" s="378"/>
      <c r="OZW67" s="378"/>
      <c r="OZX67" s="378"/>
      <c r="OZY67" s="378"/>
      <c r="OZZ67" s="378"/>
      <c r="PAA67" s="378"/>
      <c r="PAB67" s="378"/>
      <c r="PAC67" s="378"/>
      <c r="PAD67" s="378"/>
      <c r="PAE67" s="378"/>
      <c r="PAF67" s="378"/>
      <c r="PAG67" s="378"/>
      <c r="PAH67" s="378"/>
      <c r="PAI67" s="378"/>
      <c r="PAJ67" s="378"/>
      <c r="PAK67" s="378"/>
      <c r="PAL67" s="378"/>
      <c r="PAM67" s="378"/>
      <c r="PAN67" s="378"/>
      <c r="PAO67" s="378"/>
      <c r="PAP67" s="378"/>
      <c r="PAQ67" s="378"/>
      <c r="PAR67" s="378"/>
      <c r="PAS67" s="378"/>
      <c r="PAT67" s="378"/>
      <c r="PAU67" s="378"/>
      <c r="PAV67" s="378"/>
      <c r="PAW67" s="378"/>
      <c r="PAX67" s="378"/>
      <c r="PAY67" s="378"/>
      <c r="PAZ67" s="378"/>
      <c r="PBA67" s="378"/>
      <c r="PBB67" s="378"/>
      <c r="PBC67" s="378"/>
      <c r="PBD67" s="378"/>
      <c r="PBE67" s="378"/>
      <c r="PBF67" s="378"/>
      <c r="PBG67" s="378"/>
      <c r="PBH67" s="378"/>
      <c r="PBI67" s="378"/>
      <c r="PBJ67" s="378"/>
      <c r="PBK67" s="378"/>
      <c r="PBL67" s="378"/>
      <c r="PBM67" s="378"/>
      <c r="PBN67" s="378"/>
      <c r="PBO67" s="378"/>
      <c r="PBP67" s="378"/>
      <c r="PBQ67" s="378"/>
      <c r="PBR67" s="378"/>
      <c r="PBS67" s="378"/>
      <c r="PBT67" s="378"/>
      <c r="PBU67" s="378"/>
      <c r="PBV67" s="378"/>
      <c r="PBW67" s="378"/>
      <c r="PBX67" s="378"/>
      <c r="PBY67" s="378"/>
      <c r="PBZ67" s="378"/>
      <c r="PCA67" s="378"/>
      <c r="PCB67" s="378"/>
      <c r="PCC67" s="378"/>
      <c r="PCD67" s="378"/>
      <c r="PCE67" s="378"/>
      <c r="PCF67" s="378"/>
      <c r="PCG67" s="378"/>
      <c r="PCH67" s="378"/>
      <c r="PCI67" s="378"/>
      <c r="PCJ67" s="378"/>
      <c r="PCK67" s="378"/>
      <c r="PCL67" s="378"/>
      <c r="PCM67" s="378"/>
      <c r="PCN67" s="378"/>
      <c r="PCO67" s="378"/>
      <c r="PCP67" s="378"/>
      <c r="PCQ67" s="378"/>
      <c r="PCR67" s="378"/>
      <c r="PCS67" s="378"/>
      <c r="PCT67" s="378"/>
      <c r="PCU67" s="378"/>
      <c r="PCV67" s="378"/>
      <c r="PCW67" s="378"/>
      <c r="PCX67" s="378"/>
      <c r="PCY67" s="378"/>
      <c r="PCZ67" s="378"/>
      <c r="PDA67" s="378"/>
      <c r="PDB67" s="378"/>
      <c r="PDC67" s="378"/>
      <c r="PDD67" s="378"/>
      <c r="PDE67" s="378"/>
      <c r="PDF67" s="378"/>
      <c r="PDG67" s="378"/>
      <c r="PDH67" s="378"/>
      <c r="PDI67" s="378"/>
      <c r="PDJ67" s="378"/>
      <c r="PDK67" s="378"/>
      <c r="PDL67" s="378"/>
      <c r="PDM67" s="378"/>
      <c r="PDN67" s="378"/>
      <c r="PDO67" s="378"/>
      <c r="PDP67" s="378"/>
      <c r="PDQ67" s="378"/>
      <c r="PDR67" s="378"/>
      <c r="PDS67" s="378"/>
      <c r="PDT67" s="378"/>
      <c r="PDU67" s="378"/>
      <c r="PDV67" s="378"/>
      <c r="PDW67" s="378"/>
      <c r="PDX67" s="378"/>
      <c r="PDY67" s="378"/>
      <c r="PDZ67" s="378"/>
      <c r="PEA67" s="378"/>
      <c r="PEB67" s="378"/>
      <c r="PEC67" s="378"/>
      <c r="PED67" s="378"/>
      <c r="PEE67" s="378"/>
      <c r="PEF67" s="378"/>
      <c r="PEG67" s="378"/>
      <c r="PEH67" s="378"/>
      <c r="PEI67" s="378"/>
      <c r="PEJ67" s="378"/>
      <c r="PEK67" s="378"/>
      <c r="PEL67" s="378"/>
      <c r="PEM67" s="378"/>
      <c r="PEN67" s="378"/>
      <c r="PEO67" s="378"/>
      <c r="PEP67" s="378"/>
      <c r="PEQ67" s="378"/>
      <c r="PER67" s="378"/>
      <c r="PES67" s="378"/>
      <c r="PET67" s="378"/>
      <c r="PEU67" s="378"/>
      <c r="PEV67" s="378"/>
      <c r="PEW67" s="378"/>
      <c r="PEX67" s="378"/>
      <c r="PEY67" s="378"/>
      <c r="PEZ67" s="378"/>
      <c r="PFA67" s="378"/>
      <c r="PFB67" s="378"/>
      <c r="PFC67" s="378"/>
      <c r="PFD67" s="378"/>
      <c r="PFE67" s="378"/>
      <c r="PFF67" s="378"/>
      <c r="PFG67" s="378"/>
      <c r="PFH67" s="378"/>
      <c r="PFI67" s="378"/>
      <c r="PFJ67" s="378"/>
      <c r="PFK67" s="378"/>
      <c r="PFL67" s="378"/>
      <c r="PFM67" s="378"/>
      <c r="PFN67" s="378"/>
      <c r="PFO67" s="378"/>
      <c r="PFP67" s="378"/>
      <c r="PFQ67" s="378"/>
      <c r="PFR67" s="378"/>
      <c r="PFS67" s="378"/>
      <c r="PFT67" s="378"/>
      <c r="PFU67" s="378"/>
      <c r="PFV67" s="378"/>
      <c r="PFW67" s="378"/>
      <c r="PFX67" s="378"/>
      <c r="PFY67" s="378"/>
      <c r="PFZ67" s="378"/>
      <c r="PGA67" s="378"/>
      <c r="PGB67" s="378"/>
      <c r="PGC67" s="378"/>
      <c r="PGD67" s="378"/>
      <c r="PGE67" s="378"/>
      <c r="PGF67" s="378"/>
      <c r="PGG67" s="378"/>
      <c r="PGH67" s="378"/>
      <c r="PGI67" s="378"/>
      <c r="PGJ67" s="378"/>
      <c r="PGK67" s="378"/>
      <c r="PGL67" s="378"/>
      <c r="PGM67" s="378"/>
      <c r="PGN67" s="378"/>
      <c r="PGO67" s="378"/>
      <c r="PGP67" s="378"/>
      <c r="PGQ67" s="378"/>
      <c r="PGR67" s="378"/>
      <c r="PGS67" s="378"/>
      <c r="PGT67" s="378"/>
      <c r="PGU67" s="378"/>
      <c r="PGV67" s="378"/>
      <c r="PGW67" s="378"/>
      <c r="PGX67" s="378"/>
      <c r="PGY67" s="378"/>
      <c r="PGZ67" s="378"/>
      <c r="PHA67" s="378"/>
      <c r="PHB67" s="378"/>
      <c r="PHC67" s="378"/>
      <c r="PHD67" s="378"/>
      <c r="PHE67" s="378"/>
      <c r="PHF67" s="378"/>
      <c r="PHG67" s="378"/>
      <c r="PHH67" s="378"/>
      <c r="PHI67" s="378"/>
      <c r="PHJ67" s="378"/>
      <c r="PHK67" s="378"/>
      <c r="PHL67" s="378"/>
      <c r="PHM67" s="378"/>
      <c r="PHN67" s="378"/>
      <c r="PHO67" s="378"/>
      <c r="PHP67" s="378"/>
      <c r="PHQ67" s="378"/>
      <c r="PHR67" s="378"/>
      <c r="PHS67" s="378"/>
      <c r="PHT67" s="378"/>
      <c r="PHU67" s="378"/>
      <c r="PHV67" s="378"/>
      <c r="PHW67" s="378"/>
      <c r="PHX67" s="378"/>
      <c r="PHY67" s="378"/>
      <c r="PHZ67" s="378"/>
      <c r="PIA67" s="378"/>
      <c r="PIB67" s="378"/>
      <c r="PIC67" s="378"/>
      <c r="PID67" s="378"/>
      <c r="PIE67" s="378"/>
      <c r="PIF67" s="378"/>
      <c r="PIG67" s="378"/>
      <c r="PIH67" s="378"/>
      <c r="PII67" s="378"/>
      <c r="PIJ67" s="378"/>
      <c r="PIK67" s="378"/>
      <c r="PIL67" s="378"/>
      <c r="PIM67" s="378"/>
      <c r="PIN67" s="378"/>
      <c r="PIO67" s="378"/>
      <c r="PIP67" s="378"/>
      <c r="PIQ67" s="378"/>
      <c r="PIR67" s="378"/>
      <c r="PIS67" s="378"/>
      <c r="PIT67" s="378"/>
      <c r="PIU67" s="378"/>
      <c r="PIV67" s="378"/>
      <c r="PIW67" s="378"/>
      <c r="PIX67" s="378"/>
      <c r="PIY67" s="378"/>
      <c r="PIZ67" s="378"/>
      <c r="PJA67" s="378"/>
      <c r="PJB67" s="378"/>
      <c r="PJC67" s="378"/>
      <c r="PJD67" s="378"/>
      <c r="PJE67" s="378"/>
      <c r="PJF67" s="378"/>
      <c r="PJG67" s="378"/>
      <c r="PJH67" s="378"/>
      <c r="PJI67" s="378"/>
      <c r="PJJ67" s="378"/>
      <c r="PJK67" s="378"/>
      <c r="PJL67" s="378"/>
      <c r="PJM67" s="378"/>
      <c r="PJN67" s="378"/>
      <c r="PJO67" s="378"/>
      <c r="PJP67" s="378"/>
      <c r="PJQ67" s="378"/>
      <c r="PJR67" s="378"/>
      <c r="PJS67" s="378"/>
      <c r="PJT67" s="378"/>
      <c r="PJU67" s="378"/>
      <c r="PJV67" s="378"/>
      <c r="PJW67" s="378"/>
      <c r="PJX67" s="378"/>
      <c r="PJY67" s="378"/>
      <c r="PJZ67" s="378"/>
      <c r="PKA67" s="378"/>
      <c r="PKB67" s="378"/>
      <c r="PKC67" s="378"/>
      <c r="PKD67" s="378"/>
      <c r="PKE67" s="378"/>
      <c r="PKF67" s="378"/>
      <c r="PKG67" s="378"/>
      <c r="PKH67" s="378"/>
      <c r="PKI67" s="378"/>
      <c r="PKJ67" s="378"/>
      <c r="PKK67" s="378"/>
      <c r="PKL67" s="378"/>
      <c r="PKM67" s="378"/>
      <c r="PKN67" s="378"/>
      <c r="PKO67" s="378"/>
      <c r="PKP67" s="378"/>
      <c r="PKQ67" s="378"/>
      <c r="PKR67" s="378"/>
      <c r="PKS67" s="378"/>
      <c r="PKT67" s="378"/>
      <c r="PKU67" s="378"/>
      <c r="PKV67" s="378"/>
      <c r="PKW67" s="378"/>
      <c r="PKX67" s="378"/>
      <c r="PKY67" s="378"/>
      <c r="PKZ67" s="378"/>
      <c r="PLA67" s="378"/>
      <c r="PLB67" s="378"/>
      <c r="PLC67" s="378"/>
      <c r="PLD67" s="378"/>
      <c r="PLE67" s="378"/>
      <c r="PLF67" s="378"/>
      <c r="PLG67" s="378"/>
      <c r="PLH67" s="378"/>
      <c r="PLI67" s="378"/>
      <c r="PLJ67" s="378"/>
      <c r="PLK67" s="378"/>
      <c r="PLL67" s="378"/>
      <c r="PLM67" s="378"/>
      <c r="PLN67" s="378"/>
      <c r="PLO67" s="378"/>
      <c r="PLP67" s="378"/>
      <c r="PLQ67" s="378"/>
      <c r="PLR67" s="378"/>
      <c r="PLS67" s="378"/>
      <c r="PLT67" s="378"/>
      <c r="PLU67" s="378"/>
      <c r="PLV67" s="378"/>
      <c r="PLW67" s="378"/>
      <c r="PLX67" s="378"/>
      <c r="PLY67" s="378"/>
      <c r="PLZ67" s="378"/>
      <c r="PMA67" s="378"/>
      <c r="PMB67" s="378"/>
      <c r="PMC67" s="378"/>
      <c r="PMD67" s="378"/>
      <c r="PME67" s="378"/>
      <c r="PMF67" s="378"/>
      <c r="PMG67" s="378"/>
      <c r="PMH67" s="378"/>
      <c r="PMI67" s="378"/>
      <c r="PMJ67" s="378"/>
      <c r="PMK67" s="378"/>
      <c r="PML67" s="378"/>
      <c r="PMM67" s="378"/>
      <c r="PMN67" s="378"/>
      <c r="PMO67" s="378"/>
      <c r="PMP67" s="378"/>
      <c r="PMQ67" s="378"/>
      <c r="PMR67" s="378"/>
      <c r="PMS67" s="378"/>
      <c r="PMT67" s="378"/>
      <c r="PMU67" s="378"/>
      <c r="PMV67" s="378"/>
      <c r="PMW67" s="378"/>
      <c r="PMX67" s="378"/>
      <c r="PMY67" s="378"/>
      <c r="PMZ67" s="378"/>
      <c r="PNA67" s="378"/>
      <c r="PNB67" s="378"/>
      <c r="PNC67" s="378"/>
      <c r="PND67" s="378"/>
      <c r="PNE67" s="378"/>
      <c r="PNF67" s="378"/>
      <c r="PNG67" s="378"/>
      <c r="PNH67" s="378"/>
      <c r="PNI67" s="378"/>
      <c r="PNJ67" s="378"/>
      <c r="PNK67" s="378"/>
      <c r="PNL67" s="378"/>
      <c r="PNM67" s="378"/>
      <c r="PNN67" s="378"/>
      <c r="PNO67" s="378"/>
      <c r="PNP67" s="378"/>
      <c r="PNQ67" s="378"/>
      <c r="PNR67" s="378"/>
      <c r="PNS67" s="378"/>
      <c r="PNT67" s="378"/>
      <c r="PNU67" s="378"/>
      <c r="PNV67" s="378"/>
      <c r="PNW67" s="378"/>
      <c r="PNX67" s="378"/>
      <c r="PNY67" s="378"/>
      <c r="PNZ67" s="378"/>
      <c r="POA67" s="378"/>
      <c r="POB67" s="378"/>
      <c r="POC67" s="378"/>
      <c r="POD67" s="378"/>
      <c r="POE67" s="378"/>
      <c r="POF67" s="378"/>
      <c r="POG67" s="378"/>
      <c r="POH67" s="378"/>
      <c r="POI67" s="378"/>
      <c r="POJ67" s="378"/>
      <c r="POK67" s="378"/>
      <c r="POL67" s="378"/>
      <c r="POM67" s="378"/>
      <c r="PON67" s="378"/>
      <c r="POO67" s="378"/>
      <c r="POP67" s="378"/>
      <c r="POQ67" s="378"/>
      <c r="POR67" s="378"/>
      <c r="POS67" s="378"/>
      <c r="POT67" s="378"/>
      <c r="POU67" s="378"/>
      <c r="POV67" s="378"/>
      <c r="POW67" s="378"/>
      <c r="POX67" s="378"/>
      <c r="POY67" s="378"/>
      <c r="POZ67" s="378"/>
      <c r="PPA67" s="378"/>
      <c r="PPB67" s="378"/>
      <c r="PPC67" s="378"/>
      <c r="PPD67" s="378"/>
      <c r="PPE67" s="378"/>
      <c r="PPF67" s="378"/>
      <c r="PPG67" s="378"/>
      <c r="PPH67" s="378"/>
      <c r="PPI67" s="378"/>
      <c r="PPJ67" s="378"/>
      <c r="PPK67" s="378"/>
      <c r="PPL67" s="378"/>
      <c r="PPM67" s="378"/>
      <c r="PPN67" s="378"/>
      <c r="PPO67" s="378"/>
      <c r="PPP67" s="378"/>
      <c r="PPQ67" s="378"/>
      <c r="PPR67" s="378"/>
      <c r="PPS67" s="378"/>
      <c r="PPT67" s="378"/>
      <c r="PPU67" s="378"/>
      <c r="PPV67" s="378"/>
      <c r="PPW67" s="378"/>
      <c r="PPX67" s="378"/>
      <c r="PPY67" s="378"/>
      <c r="PPZ67" s="378"/>
      <c r="PQA67" s="378"/>
      <c r="PQB67" s="378"/>
      <c r="PQC67" s="378"/>
      <c r="PQD67" s="378"/>
      <c r="PQE67" s="378"/>
      <c r="PQF67" s="378"/>
      <c r="PQG67" s="378"/>
      <c r="PQH67" s="378"/>
      <c r="PQI67" s="378"/>
      <c r="PQJ67" s="378"/>
      <c r="PQK67" s="378"/>
      <c r="PQL67" s="378"/>
      <c r="PQM67" s="378"/>
      <c r="PQN67" s="378"/>
      <c r="PQO67" s="378"/>
      <c r="PQP67" s="378"/>
      <c r="PQQ67" s="378"/>
      <c r="PQR67" s="378"/>
      <c r="PQS67" s="378"/>
      <c r="PQT67" s="378"/>
      <c r="PQU67" s="378"/>
      <c r="PQV67" s="378"/>
      <c r="PQW67" s="378"/>
      <c r="PQX67" s="378"/>
      <c r="PQY67" s="378"/>
      <c r="PQZ67" s="378"/>
      <c r="PRA67" s="378"/>
      <c r="PRB67" s="378"/>
      <c r="PRC67" s="378"/>
      <c r="PRD67" s="378"/>
      <c r="PRE67" s="378"/>
      <c r="PRF67" s="378"/>
      <c r="PRG67" s="378"/>
      <c r="PRH67" s="378"/>
      <c r="PRI67" s="378"/>
      <c r="PRJ67" s="378"/>
      <c r="PRK67" s="378"/>
      <c r="PRL67" s="378"/>
      <c r="PRM67" s="378"/>
      <c r="PRN67" s="378"/>
      <c r="PRO67" s="378"/>
      <c r="PRP67" s="378"/>
      <c r="PRQ67" s="378"/>
      <c r="PRR67" s="378"/>
      <c r="PRS67" s="378"/>
      <c r="PRT67" s="378"/>
      <c r="PRU67" s="378"/>
      <c r="PRV67" s="378"/>
      <c r="PRW67" s="378"/>
      <c r="PRX67" s="378"/>
      <c r="PRY67" s="378"/>
      <c r="PRZ67" s="378"/>
      <c r="PSA67" s="378"/>
      <c r="PSB67" s="378"/>
      <c r="PSC67" s="378"/>
      <c r="PSD67" s="378"/>
      <c r="PSE67" s="378"/>
      <c r="PSF67" s="378"/>
      <c r="PSG67" s="378"/>
      <c r="PSH67" s="378"/>
      <c r="PSI67" s="378"/>
      <c r="PSJ67" s="378"/>
      <c r="PSK67" s="378"/>
      <c r="PSL67" s="378"/>
      <c r="PSM67" s="378"/>
      <c r="PSN67" s="378"/>
      <c r="PSO67" s="378"/>
      <c r="PSP67" s="378"/>
      <c r="PSQ67" s="378"/>
      <c r="PSR67" s="378"/>
      <c r="PSS67" s="378"/>
      <c r="PST67" s="378"/>
      <c r="PSU67" s="378"/>
      <c r="PSV67" s="378"/>
      <c r="PSW67" s="378"/>
      <c r="PSX67" s="378"/>
      <c r="PSY67" s="378"/>
      <c r="PSZ67" s="378"/>
      <c r="PTA67" s="378"/>
      <c r="PTB67" s="378"/>
      <c r="PTC67" s="378"/>
      <c r="PTD67" s="378"/>
      <c r="PTE67" s="378"/>
      <c r="PTF67" s="378"/>
      <c r="PTG67" s="378"/>
      <c r="PTH67" s="378"/>
      <c r="PTI67" s="378"/>
      <c r="PTJ67" s="378"/>
      <c r="PTK67" s="378"/>
      <c r="PTL67" s="378"/>
      <c r="PTM67" s="378"/>
      <c r="PTN67" s="378"/>
      <c r="PTO67" s="378"/>
      <c r="PTP67" s="378"/>
      <c r="PTQ67" s="378"/>
      <c r="PTR67" s="378"/>
      <c r="PTS67" s="378"/>
      <c r="PTT67" s="378"/>
      <c r="PTU67" s="378"/>
      <c r="PTV67" s="378"/>
      <c r="PTW67" s="378"/>
      <c r="PTX67" s="378"/>
      <c r="PTY67" s="378"/>
      <c r="PTZ67" s="378"/>
      <c r="PUA67" s="378"/>
      <c r="PUB67" s="378"/>
      <c r="PUC67" s="378"/>
      <c r="PUD67" s="378"/>
      <c r="PUE67" s="378"/>
      <c r="PUF67" s="378"/>
      <c r="PUG67" s="378"/>
      <c r="PUH67" s="378"/>
      <c r="PUI67" s="378"/>
      <c r="PUJ67" s="378"/>
      <c r="PUK67" s="378"/>
      <c r="PUL67" s="378"/>
      <c r="PUM67" s="378"/>
      <c r="PUN67" s="378"/>
      <c r="PUO67" s="378"/>
      <c r="PUP67" s="378"/>
      <c r="PUQ67" s="378"/>
      <c r="PUR67" s="378"/>
      <c r="PUS67" s="378"/>
      <c r="PUT67" s="378"/>
      <c r="PUU67" s="378"/>
      <c r="PUV67" s="378"/>
      <c r="PUW67" s="378"/>
      <c r="PUX67" s="378"/>
      <c r="PUY67" s="378"/>
      <c r="PUZ67" s="378"/>
      <c r="PVA67" s="378"/>
      <c r="PVB67" s="378"/>
      <c r="PVC67" s="378"/>
      <c r="PVD67" s="378"/>
      <c r="PVE67" s="378"/>
      <c r="PVF67" s="378"/>
      <c r="PVG67" s="378"/>
      <c r="PVH67" s="378"/>
      <c r="PVI67" s="378"/>
      <c r="PVJ67" s="378"/>
      <c r="PVK67" s="378"/>
      <c r="PVL67" s="378"/>
      <c r="PVM67" s="378"/>
      <c r="PVN67" s="378"/>
      <c r="PVO67" s="378"/>
      <c r="PVP67" s="378"/>
      <c r="PVQ67" s="378"/>
      <c r="PVR67" s="378"/>
      <c r="PVS67" s="378"/>
      <c r="PVT67" s="378"/>
      <c r="PVU67" s="378"/>
      <c r="PVV67" s="378"/>
      <c r="PVW67" s="378"/>
      <c r="PVX67" s="378"/>
      <c r="PVY67" s="378"/>
      <c r="PVZ67" s="378"/>
      <c r="PWA67" s="378"/>
      <c r="PWB67" s="378"/>
      <c r="PWC67" s="378"/>
      <c r="PWD67" s="378"/>
      <c r="PWE67" s="378"/>
      <c r="PWF67" s="378"/>
      <c r="PWG67" s="378"/>
      <c r="PWH67" s="378"/>
      <c r="PWI67" s="378"/>
      <c r="PWJ67" s="378"/>
      <c r="PWK67" s="378"/>
      <c r="PWL67" s="378"/>
      <c r="PWM67" s="378"/>
      <c r="PWN67" s="378"/>
      <c r="PWO67" s="378"/>
      <c r="PWP67" s="378"/>
      <c r="PWQ67" s="378"/>
      <c r="PWR67" s="378"/>
      <c r="PWS67" s="378"/>
      <c r="PWT67" s="378"/>
      <c r="PWU67" s="378"/>
      <c r="PWV67" s="378"/>
      <c r="PWW67" s="378"/>
      <c r="PWX67" s="378"/>
      <c r="PWY67" s="378"/>
      <c r="PWZ67" s="378"/>
      <c r="PXA67" s="378"/>
      <c r="PXB67" s="378"/>
      <c r="PXC67" s="378"/>
      <c r="PXD67" s="378"/>
      <c r="PXE67" s="378"/>
      <c r="PXF67" s="378"/>
      <c r="PXG67" s="378"/>
      <c r="PXH67" s="378"/>
      <c r="PXI67" s="378"/>
      <c r="PXJ67" s="378"/>
      <c r="PXK67" s="378"/>
      <c r="PXL67" s="378"/>
      <c r="PXM67" s="378"/>
      <c r="PXN67" s="378"/>
      <c r="PXO67" s="378"/>
      <c r="PXP67" s="378"/>
      <c r="PXQ67" s="378"/>
      <c r="PXR67" s="378"/>
      <c r="PXS67" s="378"/>
      <c r="PXT67" s="378"/>
      <c r="PXU67" s="378"/>
      <c r="PXV67" s="378"/>
      <c r="PXW67" s="378"/>
      <c r="PXX67" s="378"/>
      <c r="PXY67" s="378"/>
      <c r="PXZ67" s="378"/>
      <c r="PYA67" s="378"/>
      <c r="PYB67" s="378"/>
      <c r="PYC67" s="378"/>
      <c r="PYD67" s="378"/>
      <c r="PYE67" s="378"/>
      <c r="PYF67" s="378"/>
      <c r="PYG67" s="378"/>
      <c r="PYH67" s="378"/>
      <c r="PYI67" s="378"/>
      <c r="PYJ67" s="378"/>
      <c r="PYK67" s="378"/>
      <c r="PYL67" s="378"/>
      <c r="PYM67" s="378"/>
      <c r="PYN67" s="378"/>
      <c r="PYO67" s="378"/>
      <c r="PYP67" s="378"/>
      <c r="PYQ67" s="378"/>
      <c r="PYR67" s="378"/>
      <c r="PYS67" s="378"/>
      <c r="PYT67" s="378"/>
      <c r="PYU67" s="378"/>
      <c r="PYV67" s="378"/>
      <c r="PYW67" s="378"/>
      <c r="PYX67" s="378"/>
      <c r="PYY67" s="378"/>
      <c r="PYZ67" s="378"/>
      <c r="PZA67" s="378"/>
      <c r="PZB67" s="378"/>
      <c r="PZC67" s="378"/>
      <c r="PZD67" s="378"/>
      <c r="PZE67" s="378"/>
      <c r="PZF67" s="378"/>
      <c r="PZG67" s="378"/>
      <c r="PZH67" s="378"/>
      <c r="PZI67" s="378"/>
      <c r="PZJ67" s="378"/>
      <c r="PZK67" s="378"/>
      <c r="PZL67" s="378"/>
      <c r="PZM67" s="378"/>
      <c r="PZN67" s="378"/>
      <c r="PZO67" s="378"/>
      <c r="PZP67" s="378"/>
      <c r="PZQ67" s="378"/>
      <c r="PZR67" s="378"/>
      <c r="PZS67" s="378"/>
      <c r="PZT67" s="378"/>
      <c r="PZU67" s="378"/>
      <c r="PZV67" s="378"/>
      <c r="PZW67" s="378"/>
      <c r="PZX67" s="378"/>
      <c r="PZY67" s="378"/>
      <c r="PZZ67" s="378"/>
      <c r="QAA67" s="378"/>
      <c r="QAB67" s="378"/>
      <c r="QAC67" s="378"/>
      <c r="QAD67" s="378"/>
      <c r="QAE67" s="378"/>
      <c r="QAF67" s="378"/>
      <c r="QAG67" s="378"/>
      <c r="QAH67" s="378"/>
      <c r="QAI67" s="378"/>
      <c r="QAJ67" s="378"/>
      <c r="QAK67" s="378"/>
      <c r="QAL67" s="378"/>
      <c r="QAM67" s="378"/>
      <c r="QAN67" s="378"/>
      <c r="QAO67" s="378"/>
      <c r="QAP67" s="378"/>
      <c r="QAQ67" s="378"/>
      <c r="QAR67" s="378"/>
      <c r="QAS67" s="378"/>
      <c r="QAT67" s="378"/>
      <c r="QAU67" s="378"/>
      <c r="QAV67" s="378"/>
      <c r="QAW67" s="378"/>
      <c r="QAX67" s="378"/>
      <c r="QAY67" s="378"/>
      <c r="QAZ67" s="378"/>
      <c r="QBA67" s="378"/>
      <c r="QBB67" s="378"/>
      <c r="QBC67" s="378"/>
      <c r="QBD67" s="378"/>
      <c r="QBE67" s="378"/>
      <c r="QBF67" s="378"/>
      <c r="QBG67" s="378"/>
      <c r="QBH67" s="378"/>
      <c r="QBI67" s="378"/>
      <c r="QBJ67" s="378"/>
      <c r="QBK67" s="378"/>
      <c r="QBL67" s="378"/>
      <c r="QBM67" s="378"/>
      <c r="QBN67" s="378"/>
      <c r="QBO67" s="378"/>
      <c r="QBP67" s="378"/>
      <c r="QBQ67" s="378"/>
      <c r="QBR67" s="378"/>
      <c r="QBS67" s="378"/>
      <c r="QBT67" s="378"/>
      <c r="QBU67" s="378"/>
      <c r="QBV67" s="378"/>
      <c r="QBW67" s="378"/>
      <c r="QBX67" s="378"/>
      <c r="QBY67" s="378"/>
      <c r="QBZ67" s="378"/>
      <c r="QCA67" s="378"/>
      <c r="QCB67" s="378"/>
      <c r="QCC67" s="378"/>
      <c r="QCD67" s="378"/>
      <c r="QCE67" s="378"/>
      <c r="QCF67" s="378"/>
      <c r="QCG67" s="378"/>
      <c r="QCH67" s="378"/>
      <c r="QCI67" s="378"/>
      <c r="QCJ67" s="378"/>
      <c r="QCK67" s="378"/>
      <c r="QCL67" s="378"/>
      <c r="QCM67" s="378"/>
      <c r="QCN67" s="378"/>
      <c r="QCO67" s="378"/>
      <c r="QCP67" s="378"/>
      <c r="QCQ67" s="378"/>
      <c r="QCR67" s="378"/>
      <c r="QCS67" s="378"/>
      <c r="QCT67" s="378"/>
      <c r="QCU67" s="378"/>
      <c r="QCV67" s="378"/>
      <c r="QCW67" s="378"/>
      <c r="QCX67" s="378"/>
      <c r="QCY67" s="378"/>
      <c r="QCZ67" s="378"/>
      <c r="QDA67" s="378"/>
      <c r="QDB67" s="378"/>
      <c r="QDC67" s="378"/>
      <c r="QDD67" s="378"/>
      <c r="QDE67" s="378"/>
      <c r="QDF67" s="378"/>
      <c r="QDG67" s="378"/>
      <c r="QDH67" s="378"/>
      <c r="QDI67" s="378"/>
      <c r="QDJ67" s="378"/>
      <c r="QDK67" s="378"/>
      <c r="QDL67" s="378"/>
      <c r="QDM67" s="378"/>
      <c r="QDN67" s="378"/>
      <c r="QDO67" s="378"/>
      <c r="QDP67" s="378"/>
      <c r="QDQ67" s="378"/>
      <c r="QDR67" s="378"/>
      <c r="QDS67" s="378"/>
      <c r="QDT67" s="378"/>
      <c r="QDU67" s="378"/>
      <c r="QDV67" s="378"/>
      <c r="QDW67" s="378"/>
      <c r="QDX67" s="378"/>
      <c r="QDY67" s="378"/>
      <c r="QDZ67" s="378"/>
      <c r="QEA67" s="378"/>
      <c r="QEB67" s="378"/>
      <c r="QEC67" s="378"/>
      <c r="QED67" s="378"/>
      <c r="QEE67" s="378"/>
      <c r="QEF67" s="378"/>
      <c r="QEG67" s="378"/>
      <c r="QEH67" s="378"/>
      <c r="QEI67" s="378"/>
      <c r="QEJ67" s="378"/>
      <c r="QEK67" s="378"/>
      <c r="QEL67" s="378"/>
      <c r="QEM67" s="378"/>
      <c r="QEN67" s="378"/>
      <c r="QEO67" s="378"/>
      <c r="QEP67" s="378"/>
      <c r="QEQ67" s="378"/>
      <c r="QER67" s="378"/>
      <c r="QES67" s="378"/>
      <c r="QET67" s="378"/>
      <c r="QEU67" s="378"/>
      <c r="QEV67" s="378"/>
      <c r="QEW67" s="378"/>
      <c r="QEX67" s="378"/>
      <c r="QEY67" s="378"/>
      <c r="QEZ67" s="378"/>
      <c r="QFA67" s="378"/>
      <c r="QFB67" s="378"/>
      <c r="QFC67" s="378"/>
      <c r="QFD67" s="378"/>
      <c r="QFE67" s="378"/>
      <c r="QFF67" s="378"/>
      <c r="QFG67" s="378"/>
      <c r="QFH67" s="378"/>
      <c r="QFI67" s="378"/>
      <c r="QFJ67" s="378"/>
      <c r="QFK67" s="378"/>
      <c r="QFL67" s="378"/>
      <c r="QFM67" s="378"/>
      <c r="QFN67" s="378"/>
      <c r="QFO67" s="378"/>
      <c r="QFP67" s="378"/>
      <c r="QFQ67" s="378"/>
      <c r="QFR67" s="378"/>
      <c r="QFS67" s="378"/>
      <c r="QFT67" s="378"/>
      <c r="QFU67" s="378"/>
      <c r="QFV67" s="378"/>
      <c r="QFW67" s="378"/>
      <c r="QFX67" s="378"/>
      <c r="QFY67" s="378"/>
      <c r="QFZ67" s="378"/>
      <c r="QGA67" s="378"/>
      <c r="QGB67" s="378"/>
      <c r="QGC67" s="378"/>
      <c r="QGD67" s="378"/>
      <c r="QGE67" s="378"/>
      <c r="QGF67" s="378"/>
      <c r="QGG67" s="378"/>
      <c r="QGH67" s="378"/>
      <c r="QGI67" s="378"/>
      <c r="QGJ67" s="378"/>
      <c r="QGK67" s="378"/>
      <c r="QGL67" s="378"/>
      <c r="QGM67" s="378"/>
      <c r="QGN67" s="378"/>
      <c r="QGO67" s="378"/>
      <c r="QGP67" s="378"/>
      <c r="QGQ67" s="378"/>
      <c r="QGR67" s="378"/>
      <c r="QGS67" s="378"/>
      <c r="QGT67" s="378"/>
      <c r="QGU67" s="378"/>
      <c r="QGV67" s="378"/>
      <c r="QGW67" s="378"/>
      <c r="QGX67" s="378"/>
      <c r="QGY67" s="378"/>
      <c r="QGZ67" s="378"/>
      <c r="QHA67" s="378"/>
      <c r="QHB67" s="378"/>
      <c r="QHC67" s="378"/>
      <c r="QHD67" s="378"/>
      <c r="QHE67" s="378"/>
      <c r="QHF67" s="378"/>
      <c r="QHG67" s="378"/>
      <c r="QHH67" s="378"/>
      <c r="QHI67" s="378"/>
      <c r="QHJ67" s="378"/>
      <c r="QHK67" s="378"/>
      <c r="QHL67" s="378"/>
      <c r="QHM67" s="378"/>
      <c r="QHN67" s="378"/>
      <c r="QHO67" s="378"/>
      <c r="QHP67" s="378"/>
      <c r="QHQ67" s="378"/>
      <c r="QHR67" s="378"/>
      <c r="QHS67" s="378"/>
      <c r="QHT67" s="378"/>
      <c r="QHU67" s="378"/>
      <c r="QHV67" s="378"/>
      <c r="QHW67" s="378"/>
      <c r="QHX67" s="378"/>
      <c r="QHY67" s="378"/>
      <c r="QHZ67" s="378"/>
      <c r="QIA67" s="378"/>
      <c r="QIB67" s="378"/>
      <c r="QIC67" s="378"/>
      <c r="QID67" s="378"/>
      <c r="QIE67" s="378"/>
      <c r="QIF67" s="378"/>
      <c r="QIG67" s="378"/>
      <c r="QIH67" s="378"/>
      <c r="QII67" s="378"/>
      <c r="QIJ67" s="378"/>
      <c r="QIK67" s="378"/>
      <c r="QIL67" s="378"/>
      <c r="QIM67" s="378"/>
      <c r="QIN67" s="378"/>
      <c r="QIO67" s="378"/>
      <c r="QIP67" s="378"/>
      <c r="QIQ67" s="378"/>
      <c r="QIR67" s="378"/>
      <c r="QIS67" s="378"/>
      <c r="QIT67" s="378"/>
      <c r="QIU67" s="378"/>
      <c r="QIV67" s="378"/>
      <c r="QIW67" s="378"/>
      <c r="QIX67" s="378"/>
      <c r="QIY67" s="378"/>
      <c r="QIZ67" s="378"/>
      <c r="QJA67" s="378"/>
      <c r="QJB67" s="378"/>
      <c r="QJC67" s="378"/>
      <c r="QJD67" s="378"/>
      <c r="QJE67" s="378"/>
      <c r="QJF67" s="378"/>
      <c r="QJG67" s="378"/>
      <c r="QJH67" s="378"/>
      <c r="QJI67" s="378"/>
      <c r="QJJ67" s="378"/>
      <c r="QJK67" s="378"/>
      <c r="QJL67" s="378"/>
      <c r="QJM67" s="378"/>
      <c r="QJN67" s="378"/>
      <c r="QJO67" s="378"/>
      <c r="QJP67" s="378"/>
      <c r="QJQ67" s="378"/>
      <c r="QJR67" s="378"/>
      <c r="QJS67" s="378"/>
      <c r="QJT67" s="378"/>
      <c r="QJU67" s="378"/>
      <c r="QJV67" s="378"/>
      <c r="QJW67" s="378"/>
      <c r="QJX67" s="378"/>
      <c r="QJY67" s="378"/>
      <c r="QJZ67" s="378"/>
      <c r="QKA67" s="378"/>
      <c r="QKB67" s="378"/>
      <c r="QKC67" s="378"/>
      <c r="QKD67" s="378"/>
      <c r="QKE67" s="378"/>
      <c r="QKF67" s="378"/>
      <c r="QKG67" s="378"/>
      <c r="QKH67" s="378"/>
      <c r="QKI67" s="378"/>
      <c r="QKJ67" s="378"/>
      <c r="QKK67" s="378"/>
      <c r="QKL67" s="378"/>
      <c r="QKM67" s="378"/>
      <c r="QKN67" s="378"/>
      <c r="QKO67" s="378"/>
      <c r="QKP67" s="378"/>
      <c r="QKQ67" s="378"/>
      <c r="QKR67" s="378"/>
      <c r="QKS67" s="378"/>
      <c r="QKT67" s="378"/>
      <c r="QKU67" s="378"/>
      <c r="QKV67" s="378"/>
      <c r="QKW67" s="378"/>
      <c r="QKX67" s="378"/>
      <c r="QKY67" s="378"/>
      <c r="QKZ67" s="378"/>
      <c r="QLA67" s="378"/>
      <c r="QLB67" s="378"/>
      <c r="QLC67" s="378"/>
      <c r="QLD67" s="378"/>
      <c r="QLE67" s="378"/>
      <c r="QLF67" s="378"/>
      <c r="QLG67" s="378"/>
      <c r="QLH67" s="378"/>
      <c r="QLI67" s="378"/>
      <c r="QLJ67" s="378"/>
      <c r="QLK67" s="378"/>
      <c r="QLL67" s="378"/>
      <c r="QLM67" s="378"/>
      <c r="QLN67" s="378"/>
      <c r="QLO67" s="378"/>
      <c r="QLP67" s="378"/>
      <c r="QLQ67" s="378"/>
      <c r="QLR67" s="378"/>
      <c r="QLS67" s="378"/>
      <c r="QLT67" s="378"/>
      <c r="QLU67" s="378"/>
      <c r="QLV67" s="378"/>
      <c r="QLW67" s="378"/>
      <c r="QLX67" s="378"/>
      <c r="QLY67" s="378"/>
      <c r="QLZ67" s="378"/>
      <c r="QMA67" s="378"/>
      <c r="QMB67" s="378"/>
      <c r="QMC67" s="378"/>
      <c r="QMD67" s="378"/>
      <c r="QME67" s="378"/>
      <c r="QMF67" s="378"/>
      <c r="QMG67" s="378"/>
      <c r="QMH67" s="378"/>
      <c r="QMI67" s="378"/>
      <c r="QMJ67" s="378"/>
      <c r="QMK67" s="378"/>
      <c r="QML67" s="378"/>
      <c r="QMM67" s="378"/>
      <c r="QMN67" s="378"/>
      <c r="QMO67" s="378"/>
      <c r="QMP67" s="378"/>
      <c r="QMQ67" s="378"/>
      <c r="QMR67" s="378"/>
      <c r="QMS67" s="378"/>
      <c r="QMT67" s="378"/>
      <c r="QMU67" s="378"/>
      <c r="QMV67" s="378"/>
      <c r="QMW67" s="378"/>
      <c r="QMX67" s="378"/>
      <c r="QMY67" s="378"/>
      <c r="QMZ67" s="378"/>
      <c r="QNA67" s="378"/>
      <c r="QNB67" s="378"/>
      <c r="QNC67" s="378"/>
      <c r="QND67" s="378"/>
      <c r="QNE67" s="378"/>
      <c r="QNF67" s="378"/>
      <c r="QNG67" s="378"/>
      <c r="QNH67" s="378"/>
      <c r="QNI67" s="378"/>
      <c r="QNJ67" s="378"/>
      <c r="QNK67" s="378"/>
      <c r="QNL67" s="378"/>
      <c r="QNM67" s="378"/>
      <c r="QNN67" s="378"/>
      <c r="QNO67" s="378"/>
      <c r="QNP67" s="378"/>
      <c r="QNQ67" s="378"/>
      <c r="QNR67" s="378"/>
      <c r="QNS67" s="378"/>
      <c r="QNT67" s="378"/>
      <c r="QNU67" s="378"/>
      <c r="QNV67" s="378"/>
      <c r="QNW67" s="378"/>
      <c r="QNX67" s="378"/>
      <c r="QNY67" s="378"/>
      <c r="QNZ67" s="378"/>
      <c r="QOA67" s="378"/>
      <c r="QOB67" s="378"/>
      <c r="QOC67" s="378"/>
      <c r="QOD67" s="378"/>
      <c r="QOE67" s="378"/>
      <c r="QOF67" s="378"/>
      <c r="QOG67" s="378"/>
      <c r="QOH67" s="378"/>
      <c r="QOI67" s="378"/>
      <c r="QOJ67" s="378"/>
      <c r="QOK67" s="378"/>
      <c r="QOL67" s="378"/>
      <c r="QOM67" s="378"/>
      <c r="QON67" s="378"/>
      <c r="QOO67" s="378"/>
      <c r="QOP67" s="378"/>
      <c r="QOQ67" s="378"/>
      <c r="QOR67" s="378"/>
      <c r="QOS67" s="378"/>
      <c r="QOT67" s="378"/>
      <c r="QOU67" s="378"/>
      <c r="QOV67" s="378"/>
      <c r="QOW67" s="378"/>
      <c r="QOX67" s="378"/>
      <c r="QOY67" s="378"/>
      <c r="QOZ67" s="378"/>
      <c r="QPA67" s="378"/>
      <c r="QPB67" s="378"/>
      <c r="QPC67" s="378"/>
      <c r="QPD67" s="378"/>
      <c r="QPE67" s="378"/>
      <c r="QPF67" s="378"/>
      <c r="QPG67" s="378"/>
      <c r="QPH67" s="378"/>
      <c r="QPI67" s="378"/>
      <c r="QPJ67" s="378"/>
      <c r="QPK67" s="378"/>
      <c r="QPL67" s="378"/>
      <c r="QPM67" s="378"/>
      <c r="QPN67" s="378"/>
      <c r="QPO67" s="378"/>
      <c r="QPP67" s="378"/>
      <c r="QPQ67" s="378"/>
      <c r="QPR67" s="378"/>
      <c r="QPS67" s="378"/>
      <c r="QPT67" s="378"/>
      <c r="QPU67" s="378"/>
      <c r="QPV67" s="378"/>
      <c r="QPW67" s="378"/>
      <c r="QPX67" s="378"/>
      <c r="QPY67" s="378"/>
      <c r="QPZ67" s="378"/>
      <c r="QQA67" s="378"/>
      <c r="QQB67" s="378"/>
      <c r="QQC67" s="378"/>
      <c r="QQD67" s="378"/>
      <c r="QQE67" s="378"/>
      <c r="QQF67" s="378"/>
      <c r="QQG67" s="378"/>
      <c r="QQH67" s="378"/>
      <c r="QQI67" s="378"/>
      <c r="QQJ67" s="378"/>
      <c r="QQK67" s="378"/>
      <c r="QQL67" s="378"/>
      <c r="QQM67" s="378"/>
      <c r="QQN67" s="378"/>
      <c r="QQO67" s="378"/>
      <c r="QQP67" s="378"/>
      <c r="QQQ67" s="378"/>
      <c r="QQR67" s="378"/>
      <c r="QQS67" s="378"/>
      <c r="QQT67" s="378"/>
      <c r="QQU67" s="378"/>
      <c r="QQV67" s="378"/>
      <c r="QQW67" s="378"/>
      <c r="QQX67" s="378"/>
      <c r="QQY67" s="378"/>
      <c r="QQZ67" s="378"/>
      <c r="QRA67" s="378"/>
      <c r="QRB67" s="378"/>
      <c r="QRC67" s="378"/>
      <c r="QRD67" s="378"/>
      <c r="QRE67" s="378"/>
      <c r="QRF67" s="378"/>
      <c r="QRG67" s="378"/>
      <c r="QRH67" s="378"/>
      <c r="QRI67" s="378"/>
      <c r="QRJ67" s="378"/>
      <c r="QRK67" s="378"/>
      <c r="QRL67" s="378"/>
      <c r="QRM67" s="378"/>
      <c r="QRN67" s="378"/>
      <c r="QRO67" s="378"/>
      <c r="QRP67" s="378"/>
      <c r="QRQ67" s="378"/>
      <c r="QRR67" s="378"/>
      <c r="QRS67" s="378"/>
      <c r="QRT67" s="378"/>
      <c r="QRU67" s="378"/>
      <c r="QRV67" s="378"/>
      <c r="QRW67" s="378"/>
      <c r="QRX67" s="378"/>
      <c r="QRY67" s="378"/>
      <c r="QRZ67" s="378"/>
      <c r="QSA67" s="378"/>
      <c r="QSB67" s="378"/>
      <c r="QSC67" s="378"/>
      <c r="QSD67" s="378"/>
      <c r="QSE67" s="378"/>
      <c r="QSF67" s="378"/>
      <c r="QSG67" s="378"/>
      <c r="QSH67" s="378"/>
      <c r="QSI67" s="378"/>
      <c r="QSJ67" s="378"/>
      <c r="QSK67" s="378"/>
      <c r="QSL67" s="378"/>
      <c r="QSM67" s="378"/>
      <c r="QSN67" s="378"/>
      <c r="QSO67" s="378"/>
      <c r="QSP67" s="378"/>
      <c r="QSQ67" s="378"/>
      <c r="QSR67" s="378"/>
      <c r="QSS67" s="378"/>
      <c r="QST67" s="378"/>
      <c r="QSU67" s="378"/>
      <c r="QSV67" s="378"/>
      <c r="QSW67" s="378"/>
      <c r="QSX67" s="378"/>
      <c r="QSY67" s="378"/>
      <c r="QSZ67" s="378"/>
      <c r="QTA67" s="378"/>
      <c r="QTB67" s="378"/>
      <c r="QTC67" s="378"/>
      <c r="QTD67" s="378"/>
      <c r="QTE67" s="378"/>
      <c r="QTF67" s="378"/>
      <c r="QTG67" s="378"/>
      <c r="QTH67" s="378"/>
      <c r="QTI67" s="378"/>
      <c r="QTJ67" s="378"/>
      <c r="QTK67" s="378"/>
      <c r="QTL67" s="378"/>
      <c r="QTM67" s="378"/>
      <c r="QTN67" s="378"/>
      <c r="QTO67" s="378"/>
      <c r="QTP67" s="378"/>
      <c r="QTQ67" s="378"/>
      <c r="QTR67" s="378"/>
      <c r="QTS67" s="378"/>
      <c r="QTT67" s="378"/>
      <c r="QTU67" s="378"/>
      <c r="QTV67" s="378"/>
      <c r="QTW67" s="378"/>
      <c r="QTX67" s="378"/>
      <c r="QTY67" s="378"/>
      <c r="QTZ67" s="378"/>
      <c r="QUA67" s="378"/>
      <c r="QUB67" s="378"/>
      <c r="QUC67" s="378"/>
      <c r="QUD67" s="378"/>
      <c r="QUE67" s="378"/>
      <c r="QUF67" s="378"/>
      <c r="QUG67" s="378"/>
      <c r="QUH67" s="378"/>
      <c r="QUI67" s="378"/>
      <c r="QUJ67" s="378"/>
      <c r="QUK67" s="378"/>
      <c r="QUL67" s="378"/>
      <c r="QUM67" s="378"/>
      <c r="QUN67" s="378"/>
      <c r="QUO67" s="378"/>
      <c r="QUP67" s="378"/>
      <c r="QUQ67" s="378"/>
      <c r="QUR67" s="378"/>
      <c r="QUS67" s="378"/>
      <c r="QUT67" s="378"/>
      <c r="QUU67" s="378"/>
      <c r="QUV67" s="378"/>
      <c r="QUW67" s="378"/>
      <c r="QUX67" s="378"/>
      <c r="QUY67" s="378"/>
      <c r="QUZ67" s="378"/>
      <c r="QVA67" s="378"/>
      <c r="QVB67" s="378"/>
      <c r="QVC67" s="378"/>
      <c r="QVD67" s="378"/>
      <c r="QVE67" s="378"/>
      <c r="QVF67" s="378"/>
      <c r="QVG67" s="378"/>
      <c r="QVH67" s="378"/>
      <c r="QVI67" s="378"/>
      <c r="QVJ67" s="378"/>
      <c r="QVK67" s="378"/>
      <c r="QVL67" s="378"/>
      <c r="QVM67" s="378"/>
      <c r="QVN67" s="378"/>
      <c r="QVO67" s="378"/>
      <c r="QVP67" s="378"/>
      <c r="QVQ67" s="378"/>
      <c r="QVR67" s="378"/>
      <c r="QVS67" s="378"/>
      <c r="QVT67" s="378"/>
      <c r="QVU67" s="378"/>
      <c r="QVV67" s="378"/>
      <c r="QVW67" s="378"/>
      <c r="QVX67" s="378"/>
      <c r="QVY67" s="378"/>
      <c r="QVZ67" s="378"/>
      <c r="QWA67" s="378"/>
      <c r="QWB67" s="378"/>
      <c r="QWC67" s="378"/>
      <c r="QWD67" s="378"/>
      <c r="QWE67" s="378"/>
      <c r="QWF67" s="378"/>
      <c r="QWG67" s="378"/>
      <c r="QWH67" s="378"/>
      <c r="QWI67" s="378"/>
      <c r="QWJ67" s="378"/>
      <c r="QWK67" s="378"/>
      <c r="QWL67" s="378"/>
      <c r="QWM67" s="378"/>
      <c r="QWN67" s="378"/>
      <c r="QWO67" s="378"/>
      <c r="QWP67" s="378"/>
      <c r="QWQ67" s="378"/>
      <c r="QWR67" s="378"/>
      <c r="QWS67" s="378"/>
      <c r="QWT67" s="378"/>
      <c r="QWU67" s="378"/>
      <c r="QWV67" s="378"/>
      <c r="QWW67" s="378"/>
      <c r="QWX67" s="378"/>
      <c r="QWY67" s="378"/>
      <c r="QWZ67" s="378"/>
      <c r="QXA67" s="378"/>
      <c r="QXB67" s="378"/>
      <c r="QXC67" s="378"/>
      <c r="QXD67" s="378"/>
      <c r="QXE67" s="378"/>
      <c r="QXF67" s="378"/>
      <c r="QXG67" s="378"/>
      <c r="QXH67" s="378"/>
      <c r="QXI67" s="378"/>
      <c r="QXJ67" s="378"/>
      <c r="QXK67" s="378"/>
      <c r="QXL67" s="378"/>
      <c r="QXM67" s="378"/>
      <c r="QXN67" s="378"/>
      <c r="QXO67" s="378"/>
      <c r="QXP67" s="378"/>
      <c r="QXQ67" s="378"/>
      <c r="QXR67" s="378"/>
      <c r="QXS67" s="378"/>
      <c r="QXT67" s="378"/>
      <c r="QXU67" s="378"/>
      <c r="QXV67" s="378"/>
      <c r="QXW67" s="378"/>
      <c r="QXX67" s="378"/>
      <c r="QXY67" s="378"/>
      <c r="QXZ67" s="378"/>
      <c r="QYA67" s="378"/>
      <c r="QYB67" s="378"/>
      <c r="QYC67" s="378"/>
      <c r="QYD67" s="378"/>
      <c r="QYE67" s="378"/>
      <c r="QYF67" s="378"/>
      <c r="QYG67" s="378"/>
      <c r="QYH67" s="378"/>
      <c r="QYI67" s="378"/>
      <c r="QYJ67" s="378"/>
      <c r="QYK67" s="378"/>
      <c r="QYL67" s="378"/>
      <c r="QYM67" s="378"/>
      <c r="QYN67" s="378"/>
      <c r="QYO67" s="378"/>
      <c r="QYP67" s="378"/>
      <c r="QYQ67" s="378"/>
      <c r="QYR67" s="378"/>
      <c r="QYS67" s="378"/>
      <c r="QYT67" s="378"/>
      <c r="QYU67" s="378"/>
      <c r="QYV67" s="378"/>
      <c r="QYW67" s="378"/>
      <c r="QYX67" s="378"/>
      <c r="QYY67" s="378"/>
      <c r="QYZ67" s="378"/>
      <c r="QZA67" s="378"/>
      <c r="QZB67" s="378"/>
      <c r="QZC67" s="378"/>
      <c r="QZD67" s="378"/>
      <c r="QZE67" s="378"/>
      <c r="QZF67" s="378"/>
      <c r="QZG67" s="378"/>
      <c r="QZH67" s="378"/>
      <c r="QZI67" s="378"/>
      <c r="QZJ67" s="378"/>
      <c r="QZK67" s="378"/>
      <c r="QZL67" s="378"/>
      <c r="QZM67" s="378"/>
      <c r="QZN67" s="378"/>
      <c r="QZO67" s="378"/>
      <c r="QZP67" s="378"/>
      <c r="QZQ67" s="378"/>
      <c r="QZR67" s="378"/>
      <c r="QZS67" s="378"/>
      <c r="QZT67" s="378"/>
      <c r="QZU67" s="378"/>
      <c r="QZV67" s="378"/>
      <c r="QZW67" s="378"/>
      <c r="QZX67" s="378"/>
      <c r="QZY67" s="378"/>
      <c r="QZZ67" s="378"/>
      <c r="RAA67" s="378"/>
      <c r="RAB67" s="378"/>
      <c r="RAC67" s="378"/>
      <c r="RAD67" s="378"/>
      <c r="RAE67" s="378"/>
      <c r="RAF67" s="378"/>
      <c r="RAG67" s="378"/>
      <c r="RAH67" s="378"/>
      <c r="RAI67" s="378"/>
      <c r="RAJ67" s="378"/>
      <c r="RAK67" s="378"/>
      <c r="RAL67" s="378"/>
      <c r="RAM67" s="378"/>
      <c r="RAN67" s="378"/>
      <c r="RAO67" s="378"/>
      <c r="RAP67" s="378"/>
      <c r="RAQ67" s="378"/>
      <c r="RAR67" s="378"/>
      <c r="RAS67" s="378"/>
      <c r="RAT67" s="378"/>
      <c r="RAU67" s="378"/>
      <c r="RAV67" s="378"/>
      <c r="RAW67" s="378"/>
      <c r="RAX67" s="378"/>
      <c r="RAY67" s="378"/>
      <c r="RAZ67" s="378"/>
      <c r="RBA67" s="378"/>
      <c r="RBB67" s="378"/>
      <c r="RBC67" s="378"/>
      <c r="RBD67" s="378"/>
      <c r="RBE67" s="378"/>
      <c r="RBF67" s="378"/>
      <c r="RBG67" s="378"/>
      <c r="RBH67" s="378"/>
      <c r="RBI67" s="378"/>
      <c r="RBJ67" s="378"/>
      <c r="RBK67" s="378"/>
      <c r="RBL67" s="378"/>
      <c r="RBM67" s="378"/>
      <c r="RBN67" s="378"/>
      <c r="RBO67" s="378"/>
      <c r="RBP67" s="378"/>
      <c r="RBQ67" s="378"/>
      <c r="RBR67" s="378"/>
      <c r="RBS67" s="378"/>
      <c r="RBT67" s="378"/>
      <c r="RBU67" s="378"/>
      <c r="RBV67" s="378"/>
      <c r="RBW67" s="378"/>
      <c r="RBX67" s="378"/>
      <c r="RBY67" s="378"/>
      <c r="RBZ67" s="378"/>
      <c r="RCA67" s="378"/>
      <c r="RCB67" s="378"/>
      <c r="RCC67" s="378"/>
      <c r="RCD67" s="378"/>
      <c r="RCE67" s="378"/>
      <c r="RCF67" s="378"/>
      <c r="RCG67" s="378"/>
      <c r="RCH67" s="378"/>
      <c r="RCI67" s="378"/>
      <c r="RCJ67" s="378"/>
      <c r="RCK67" s="378"/>
      <c r="RCL67" s="378"/>
      <c r="RCM67" s="378"/>
      <c r="RCN67" s="378"/>
      <c r="RCO67" s="378"/>
      <c r="RCP67" s="378"/>
      <c r="RCQ67" s="378"/>
      <c r="RCR67" s="378"/>
      <c r="RCS67" s="378"/>
      <c r="RCT67" s="378"/>
      <c r="RCU67" s="378"/>
      <c r="RCV67" s="378"/>
      <c r="RCW67" s="378"/>
      <c r="RCX67" s="378"/>
      <c r="RCY67" s="378"/>
      <c r="RCZ67" s="378"/>
      <c r="RDA67" s="378"/>
      <c r="RDB67" s="378"/>
      <c r="RDC67" s="378"/>
      <c r="RDD67" s="378"/>
      <c r="RDE67" s="378"/>
      <c r="RDF67" s="378"/>
      <c r="RDG67" s="378"/>
      <c r="RDH67" s="378"/>
      <c r="RDI67" s="378"/>
      <c r="RDJ67" s="378"/>
      <c r="RDK67" s="378"/>
      <c r="RDL67" s="378"/>
      <c r="RDM67" s="378"/>
      <c r="RDN67" s="378"/>
      <c r="RDO67" s="378"/>
      <c r="RDP67" s="378"/>
      <c r="RDQ67" s="378"/>
      <c r="RDR67" s="378"/>
      <c r="RDS67" s="378"/>
      <c r="RDT67" s="378"/>
      <c r="RDU67" s="378"/>
      <c r="RDV67" s="378"/>
      <c r="RDW67" s="378"/>
      <c r="RDX67" s="378"/>
      <c r="RDY67" s="378"/>
      <c r="RDZ67" s="378"/>
      <c r="REA67" s="378"/>
      <c r="REB67" s="378"/>
      <c r="REC67" s="378"/>
      <c r="RED67" s="378"/>
      <c r="REE67" s="378"/>
      <c r="REF67" s="378"/>
      <c r="REG67" s="378"/>
      <c r="REH67" s="378"/>
      <c r="REI67" s="378"/>
      <c r="REJ67" s="378"/>
      <c r="REK67" s="378"/>
      <c r="REL67" s="378"/>
      <c r="REM67" s="378"/>
      <c r="REN67" s="378"/>
      <c r="REO67" s="378"/>
      <c r="REP67" s="378"/>
      <c r="REQ67" s="378"/>
      <c r="RER67" s="378"/>
      <c r="RES67" s="378"/>
      <c r="RET67" s="378"/>
      <c r="REU67" s="378"/>
      <c r="REV67" s="378"/>
      <c r="REW67" s="378"/>
      <c r="REX67" s="378"/>
      <c r="REY67" s="378"/>
      <c r="REZ67" s="378"/>
      <c r="RFA67" s="378"/>
      <c r="RFB67" s="378"/>
      <c r="RFC67" s="378"/>
      <c r="RFD67" s="378"/>
      <c r="RFE67" s="378"/>
      <c r="RFF67" s="378"/>
      <c r="RFG67" s="378"/>
      <c r="RFH67" s="378"/>
      <c r="RFI67" s="378"/>
      <c r="RFJ67" s="378"/>
      <c r="RFK67" s="378"/>
      <c r="RFL67" s="378"/>
      <c r="RFM67" s="378"/>
      <c r="RFN67" s="378"/>
      <c r="RFO67" s="378"/>
      <c r="RFP67" s="378"/>
      <c r="RFQ67" s="378"/>
      <c r="RFR67" s="378"/>
      <c r="RFS67" s="378"/>
      <c r="RFT67" s="378"/>
      <c r="RFU67" s="378"/>
      <c r="RFV67" s="378"/>
      <c r="RFW67" s="378"/>
      <c r="RFX67" s="378"/>
      <c r="RFY67" s="378"/>
      <c r="RFZ67" s="378"/>
      <c r="RGA67" s="378"/>
      <c r="RGB67" s="378"/>
      <c r="RGC67" s="378"/>
      <c r="RGD67" s="378"/>
      <c r="RGE67" s="378"/>
      <c r="RGF67" s="378"/>
      <c r="RGG67" s="378"/>
      <c r="RGH67" s="378"/>
      <c r="RGI67" s="378"/>
      <c r="RGJ67" s="378"/>
      <c r="RGK67" s="378"/>
      <c r="RGL67" s="378"/>
      <c r="RGM67" s="378"/>
      <c r="RGN67" s="378"/>
      <c r="RGO67" s="378"/>
      <c r="RGP67" s="378"/>
      <c r="RGQ67" s="378"/>
      <c r="RGR67" s="378"/>
      <c r="RGS67" s="378"/>
      <c r="RGT67" s="378"/>
      <c r="RGU67" s="378"/>
      <c r="RGV67" s="378"/>
      <c r="RGW67" s="378"/>
      <c r="RGX67" s="378"/>
      <c r="RGY67" s="378"/>
      <c r="RGZ67" s="378"/>
      <c r="RHA67" s="378"/>
      <c r="RHB67" s="378"/>
      <c r="RHC67" s="378"/>
      <c r="RHD67" s="378"/>
      <c r="RHE67" s="378"/>
      <c r="RHF67" s="378"/>
      <c r="RHG67" s="378"/>
      <c r="RHH67" s="378"/>
      <c r="RHI67" s="378"/>
      <c r="RHJ67" s="378"/>
      <c r="RHK67" s="378"/>
      <c r="RHL67" s="378"/>
      <c r="RHM67" s="378"/>
      <c r="RHN67" s="378"/>
      <c r="RHO67" s="378"/>
      <c r="RHP67" s="378"/>
      <c r="RHQ67" s="378"/>
      <c r="RHR67" s="378"/>
      <c r="RHS67" s="378"/>
      <c r="RHT67" s="378"/>
      <c r="RHU67" s="378"/>
      <c r="RHV67" s="378"/>
      <c r="RHW67" s="378"/>
      <c r="RHX67" s="378"/>
      <c r="RHY67" s="378"/>
      <c r="RHZ67" s="378"/>
      <c r="RIA67" s="378"/>
      <c r="RIB67" s="378"/>
      <c r="RIC67" s="378"/>
      <c r="RID67" s="378"/>
      <c r="RIE67" s="378"/>
      <c r="RIF67" s="378"/>
      <c r="RIG67" s="378"/>
      <c r="RIH67" s="378"/>
      <c r="RII67" s="378"/>
      <c r="RIJ67" s="378"/>
      <c r="RIK67" s="378"/>
      <c r="RIL67" s="378"/>
      <c r="RIM67" s="378"/>
      <c r="RIN67" s="378"/>
      <c r="RIO67" s="378"/>
      <c r="RIP67" s="378"/>
      <c r="RIQ67" s="378"/>
      <c r="RIR67" s="378"/>
      <c r="RIS67" s="378"/>
      <c r="RIT67" s="378"/>
      <c r="RIU67" s="378"/>
      <c r="RIV67" s="378"/>
      <c r="RIW67" s="378"/>
      <c r="RIX67" s="378"/>
      <c r="RIY67" s="378"/>
      <c r="RIZ67" s="378"/>
      <c r="RJA67" s="378"/>
      <c r="RJB67" s="378"/>
      <c r="RJC67" s="378"/>
      <c r="RJD67" s="378"/>
      <c r="RJE67" s="378"/>
      <c r="RJF67" s="378"/>
      <c r="RJG67" s="378"/>
      <c r="RJH67" s="378"/>
      <c r="RJI67" s="378"/>
      <c r="RJJ67" s="378"/>
      <c r="RJK67" s="378"/>
      <c r="RJL67" s="378"/>
      <c r="RJM67" s="378"/>
      <c r="RJN67" s="378"/>
      <c r="RJO67" s="378"/>
      <c r="RJP67" s="378"/>
      <c r="RJQ67" s="378"/>
      <c r="RJR67" s="378"/>
      <c r="RJS67" s="378"/>
      <c r="RJT67" s="378"/>
      <c r="RJU67" s="378"/>
      <c r="RJV67" s="378"/>
      <c r="RJW67" s="378"/>
      <c r="RJX67" s="378"/>
      <c r="RJY67" s="378"/>
      <c r="RJZ67" s="378"/>
      <c r="RKA67" s="378"/>
      <c r="RKB67" s="378"/>
      <c r="RKC67" s="378"/>
      <c r="RKD67" s="378"/>
      <c r="RKE67" s="378"/>
      <c r="RKF67" s="378"/>
      <c r="RKG67" s="378"/>
      <c r="RKH67" s="378"/>
      <c r="RKI67" s="378"/>
      <c r="RKJ67" s="378"/>
      <c r="RKK67" s="378"/>
      <c r="RKL67" s="378"/>
      <c r="RKM67" s="378"/>
      <c r="RKN67" s="378"/>
      <c r="RKO67" s="378"/>
      <c r="RKP67" s="378"/>
      <c r="RKQ67" s="378"/>
      <c r="RKR67" s="378"/>
      <c r="RKS67" s="378"/>
      <c r="RKT67" s="378"/>
      <c r="RKU67" s="378"/>
      <c r="RKV67" s="378"/>
      <c r="RKW67" s="378"/>
      <c r="RKX67" s="378"/>
      <c r="RKY67" s="378"/>
      <c r="RKZ67" s="378"/>
      <c r="RLA67" s="378"/>
      <c r="RLB67" s="378"/>
      <c r="RLC67" s="378"/>
      <c r="RLD67" s="378"/>
      <c r="RLE67" s="378"/>
      <c r="RLF67" s="378"/>
      <c r="RLG67" s="378"/>
      <c r="RLH67" s="378"/>
      <c r="RLI67" s="378"/>
      <c r="RLJ67" s="378"/>
      <c r="RLK67" s="378"/>
      <c r="RLL67" s="378"/>
      <c r="RLM67" s="378"/>
      <c r="RLN67" s="378"/>
      <c r="RLO67" s="378"/>
      <c r="RLP67" s="378"/>
      <c r="RLQ67" s="378"/>
      <c r="RLR67" s="378"/>
      <c r="RLS67" s="378"/>
      <c r="RLT67" s="378"/>
      <c r="RLU67" s="378"/>
      <c r="RLV67" s="378"/>
      <c r="RLW67" s="378"/>
      <c r="RLX67" s="378"/>
      <c r="RLY67" s="378"/>
      <c r="RLZ67" s="378"/>
      <c r="RMA67" s="378"/>
      <c r="RMB67" s="378"/>
      <c r="RMC67" s="378"/>
      <c r="RMD67" s="378"/>
      <c r="RME67" s="378"/>
      <c r="RMF67" s="378"/>
      <c r="RMG67" s="378"/>
      <c r="RMH67" s="378"/>
      <c r="RMI67" s="378"/>
      <c r="RMJ67" s="378"/>
      <c r="RMK67" s="378"/>
      <c r="RML67" s="378"/>
      <c r="RMM67" s="378"/>
      <c r="RMN67" s="378"/>
      <c r="RMO67" s="378"/>
      <c r="RMP67" s="378"/>
      <c r="RMQ67" s="378"/>
      <c r="RMR67" s="378"/>
      <c r="RMS67" s="378"/>
      <c r="RMT67" s="378"/>
      <c r="RMU67" s="378"/>
      <c r="RMV67" s="378"/>
      <c r="RMW67" s="378"/>
      <c r="RMX67" s="378"/>
      <c r="RMY67" s="378"/>
      <c r="RMZ67" s="378"/>
      <c r="RNA67" s="378"/>
      <c r="RNB67" s="378"/>
      <c r="RNC67" s="378"/>
      <c r="RND67" s="378"/>
      <c r="RNE67" s="378"/>
      <c r="RNF67" s="378"/>
      <c r="RNG67" s="378"/>
      <c r="RNH67" s="378"/>
      <c r="RNI67" s="378"/>
      <c r="RNJ67" s="378"/>
      <c r="RNK67" s="378"/>
      <c r="RNL67" s="378"/>
      <c r="RNM67" s="378"/>
      <c r="RNN67" s="378"/>
      <c r="RNO67" s="378"/>
      <c r="RNP67" s="378"/>
      <c r="RNQ67" s="378"/>
      <c r="RNR67" s="378"/>
      <c r="RNS67" s="378"/>
      <c r="RNT67" s="378"/>
      <c r="RNU67" s="378"/>
      <c r="RNV67" s="378"/>
      <c r="RNW67" s="378"/>
      <c r="RNX67" s="378"/>
      <c r="RNY67" s="378"/>
      <c r="RNZ67" s="378"/>
      <c r="ROA67" s="378"/>
      <c r="ROB67" s="378"/>
      <c r="ROC67" s="378"/>
      <c r="ROD67" s="378"/>
      <c r="ROE67" s="378"/>
      <c r="ROF67" s="378"/>
      <c r="ROG67" s="378"/>
      <c r="ROH67" s="378"/>
      <c r="ROI67" s="378"/>
      <c r="ROJ67" s="378"/>
      <c r="ROK67" s="378"/>
      <c r="ROL67" s="378"/>
      <c r="ROM67" s="378"/>
      <c r="RON67" s="378"/>
      <c r="ROO67" s="378"/>
      <c r="ROP67" s="378"/>
      <c r="ROQ67" s="378"/>
      <c r="ROR67" s="378"/>
      <c r="ROS67" s="378"/>
      <c r="ROT67" s="378"/>
      <c r="ROU67" s="378"/>
      <c r="ROV67" s="378"/>
      <c r="ROW67" s="378"/>
      <c r="ROX67" s="378"/>
      <c r="ROY67" s="378"/>
      <c r="ROZ67" s="378"/>
      <c r="RPA67" s="378"/>
      <c r="RPB67" s="378"/>
      <c r="RPC67" s="378"/>
      <c r="RPD67" s="378"/>
      <c r="RPE67" s="378"/>
      <c r="RPF67" s="378"/>
      <c r="RPG67" s="378"/>
      <c r="RPH67" s="378"/>
      <c r="RPI67" s="378"/>
      <c r="RPJ67" s="378"/>
      <c r="RPK67" s="378"/>
      <c r="RPL67" s="378"/>
      <c r="RPM67" s="378"/>
      <c r="RPN67" s="378"/>
      <c r="RPO67" s="378"/>
      <c r="RPP67" s="378"/>
      <c r="RPQ67" s="378"/>
      <c r="RPR67" s="378"/>
      <c r="RPS67" s="378"/>
      <c r="RPT67" s="378"/>
      <c r="RPU67" s="378"/>
      <c r="RPV67" s="378"/>
      <c r="RPW67" s="378"/>
      <c r="RPX67" s="378"/>
      <c r="RPY67" s="378"/>
      <c r="RPZ67" s="378"/>
      <c r="RQA67" s="378"/>
      <c r="RQB67" s="378"/>
      <c r="RQC67" s="378"/>
      <c r="RQD67" s="378"/>
      <c r="RQE67" s="378"/>
      <c r="RQF67" s="378"/>
      <c r="RQG67" s="378"/>
      <c r="RQH67" s="378"/>
      <c r="RQI67" s="378"/>
      <c r="RQJ67" s="378"/>
      <c r="RQK67" s="378"/>
      <c r="RQL67" s="378"/>
      <c r="RQM67" s="378"/>
      <c r="RQN67" s="378"/>
      <c r="RQO67" s="378"/>
      <c r="RQP67" s="378"/>
      <c r="RQQ67" s="378"/>
      <c r="RQR67" s="378"/>
      <c r="RQS67" s="378"/>
      <c r="RQT67" s="378"/>
      <c r="RQU67" s="378"/>
      <c r="RQV67" s="378"/>
      <c r="RQW67" s="378"/>
      <c r="RQX67" s="378"/>
      <c r="RQY67" s="378"/>
      <c r="RQZ67" s="378"/>
      <c r="RRA67" s="378"/>
      <c r="RRB67" s="378"/>
      <c r="RRC67" s="378"/>
      <c r="RRD67" s="378"/>
      <c r="RRE67" s="378"/>
      <c r="RRF67" s="378"/>
      <c r="RRG67" s="378"/>
      <c r="RRH67" s="378"/>
      <c r="RRI67" s="378"/>
      <c r="RRJ67" s="378"/>
      <c r="RRK67" s="378"/>
      <c r="RRL67" s="378"/>
      <c r="RRM67" s="378"/>
      <c r="RRN67" s="378"/>
      <c r="RRO67" s="378"/>
      <c r="RRP67" s="378"/>
      <c r="RRQ67" s="378"/>
      <c r="RRR67" s="378"/>
      <c r="RRS67" s="378"/>
      <c r="RRT67" s="378"/>
      <c r="RRU67" s="378"/>
      <c r="RRV67" s="378"/>
      <c r="RRW67" s="378"/>
      <c r="RRX67" s="378"/>
      <c r="RRY67" s="378"/>
      <c r="RRZ67" s="378"/>
      <c r="RSA67" s="378"/>
      <c r="RSB67" s="378"/>
      <c r="RSC67" s="378"/>
      <c r="RSD67" s="378"/>
      <c r="RSE67" s="378"/>
      <c r="RSF67" s="378"/>
      <c r="RSG67" s="378"/>
      <c r="RSH67" s="378"/>
      <c r="RSI67" s="378"/>
      <c r="RSJ67" s="378"/>
      <c r="RSK67" s="378"/>
      <c r="RSL67" s="378"/>
      <c r="RSM67" s="378"/>
      <c r="RSN67" s="378"/>
      <c r="RSO67" s="378"/>
      <c r="RSP67" s="378"/>
      <c r="RSQ67" s="378"/>
      <c r="RSR67" s="378"/>
      <c r="RSS67" s="378"/>
      <c r="RST67" s="378"/>
      <c r="RSU67" s="378"/>
      <c r="RSV67" s="378"/>
      <c r="RSW67" s="378"/>
      <c r="RSX67" s="378"/>
      <c r="RSY67" s="378"/>
      <c r="RSZ67" s="378"/>
      <c r="RTA67" s="378"/>
      <c r="RTB67" s="378"/>
      <c r="RTC67" s="378"/>
      <c r="RTD67" s="378"/>
      <c r="RTE67" s="378"/>
      <c r="RTF67" s="378"/>
      <c r="RTG67" s="378"/>
      <c r="RTH67" s="378"/>
      <c r="RTI67" s="378"/>
      <c r="RTJ67" s="378"/>
      <c r="RTK67" s="378"/>
      <c r="RTL67" s="378"/>
      <c r="RTM67" s="378"/>
      <c r="RTN67" s="378"/>
      <c r="RTO67" s="378"/>
      <c r="RTP67" s="378"/>
      <c r="RTQ67" s="378"/>
      <c r="RTR67" s="378"/>
      <c r="RTS67" s="378"/>
      <c r="RTT67" s="378"/>
      <c r="RTU67" s="378"/>
      <c r="RTV67" s="378"/>
      <c r="RTW67" s="378"/>
      <c r="RTX67" s="378"/>
      <c r="RTY67" s="378"/>
      <c r="RTZ67" s="378"/>
      <c r="RUA67" s="378"/>
      <c r="RUB67" s="378"/>
      <c r="RUC67" s="378"/>
      <c r="RUD67" s="378"/>
      <c r="RUE67" s="378"/>
      <c r="RUF67" s="378"/>
      <c r="RUG67" s="378"/>
      <c r="RUH67" s="378"/>
      <c r="RUI67" s="378"/>
      <c r="RUJ67" s="378"/>
      <c r="RUK67" s="378"/>
      <c r="RUL67" s="378"/>
      <c r="RUM67" s="378"/>
      <c r="RUN67" s="378"/>
      <c r="RUO67" s="378"/>
      <c r="RUP67" s="378"/>
      <c r="RUQ67" s="378"/>
      <c r="RUR67" s="378"/>
      <c r="RUS67" s="378"/>
      <c r="RUT67" s="378"/>
      <c r="RUU67" s="378"/>
      <c r="RUV67" s="378"/>
      <c r="RUW67" s="378"/>
      <c r="RUX67" s="378"/>
      <c r="RUY67" s="378"/>
      <c r="RUZ67" s="378"/>
      <c r="RVA67" s="378"/>
      <c r="RVB67" s="378"/>
      <c r="RVC67" s="378"/>
      <c r="RVD67" s="378"/>
      <c r="RVE67" s="378"/>
      <c r="RVF67" s="378"/>
      <c r="RVG67" s="378"/>
      <c r="RVH67" s="378"/>
      <c r="RVI67" s="378"/>
      <c r="RVJ67" s="378"/>
      <c r="RVK67" s="378"/>
      <c r="RVL67" s="378"/>
      <c r="RVM67" s="378"/>
      <c r="RVN67" s="378"/>
      <c r="RVO67" s="378"/>
      <c r="RVP67" s="378"/>
      <c r="RVQ67" s="378"/>
      <c r="RVR67" s="378"/>
      <c r="RVS67" s="378"/>
      <c r="RVT67" s="378"/>
      <c r="RVU67" s="378"/>
      <c r="RVV67" s="378"/>
      <c r="RVW67" s="378"/>
      <c r="RVX67" s="378"/>
      <c r="RVY67" s="378"/>
      <c r="RVZ67" s="378"/>
      <c r="RWA67" s="378"/>
      <c r="RWB67" s="378"/>
      <c r="RWC67" s="378"/>
      <c r="RWD67" s="378"/>
      <c r="RWE67" s="378"/>
      <c r="RWF67" s="378"/>
      <c r="RWG67" s="378"/>
      <c r="RWH67" s="378"/>
      <c r="RWI67" s="378"/>
      <c r="RWJ67" s="378"/>
      <c r="RWK67" s="378"/>
      <c r="RWL67" s="378"/>
      <c r="RWM67" s="378"/>
      <c r="RWN67" s="378"/>
      <c r="RWO67" s="378"/>
      <c r="RWP67" s="378"/>
      <c r="RWQ67" s="378"/>
      <c r="RWR67" s="378"/>
      <c r="RWS67" s="378"/>
      <c r="RWT67" s="378"/>
      <c r="RWU67" s="378"/>
      <c r="RWV67" s="378"/>
      <c r="RWW67" s="378"/>
      <c r="RWX67" s="378"/>
      <c r="RWY67" s="378"/>
      <c r="RWZ67" s="378"/>
      <c r="RXA67" s="378"/>
      <c r="RXB67" s="378"/>
      <c r="RXC67" s="378"/>
      <c r="RXD67" s="378"/>
      <c r="RXE67" s="378"/>
      <c r="RXF67" s="378"/>
      <c r="RXG67" s="378"/>
      <c r="RXH67" s="378"/>
      <c r="RXI67" s="378"/>
      <c r="RXJ67" s="378"/>
      <c r="RXK67" s="378"/>
      <c r="RXL67" s="378"/>
      <c r="RXM67" s="378"/>
      <c r="RXN67" s="378"/>
      <c r="RXO67" s="378"/>
      <c r="RXP67" s="378"/>
      <c r="RXQ67" s="378"/>
      <c r="RXR67" s="378"/>
      <c r="RXS67" s="378"/>
      <c r="RXT67" s="378"/>
      <c r="RXU67" s="378"/>
      <c r="RXV67" s="378"/>
      <c r="RXW67" s="378"/>
      <c r="RXX67" s="378"/>
      <c r="RXY67" s="378"/>
      <c r="RXZ67" s="378"/>
      <c r="RYA67" s="378"/>
      <c r="RYB67" s="378"/>
      <c r="RYC67" s="378"/>
      <c r="RYD67" s="378"/>
      <c r="RYE67" s="378"/>
      <c r="RYF67" s="378"/>
      <c r="RYG67" s="378"/>
      <c r="RYH67" s="378"/>
      <c r="RYI67" s="378"/>
      <c r="RYJ67" s="378"/>
      <c r="RYK67" s="378"/>
      <c r="RYL67" s="378"/>
      <c r="RYM67" s="378"/>
      <c r="RYN67" s="378"/>
      <c r="RYO67" s="378"/>
      <c r="RYP67" s="378"/>
      <c r="RYQ67" s="378"/>
      <c r="RYR67" s="378"/>
      <c r="RYS67" s="378"/>
      <c r="RYT67" s="378"/>
      <c r="RYU67" s="378"/>
      <c r="RYV67" s="378"/>
      <c r="RYW67" s="378"/>
      <c r="RYX67" s="378"/>
      <c r="RYY67" s="378"/>
      <c r="RYZ67" s="378"/>
      <c r="RZA67" s="378"/>
      <c r="RZB67" s="378"/>
      <c r="RZC67" s="378"/>
      <c r="RZD67" s="378"/>
      <c r="RZE67" s="378"/>
      <c r="RZF67" s="378"/>
      <c r="RZG67" s="378"/>
      <c r="RZH67" s="378"/>
      <c r="RZI67" s="378"/>
      <c r="RZJ67" s="378"/>
      <c r="RZK67" s="378"/>
      <c r="RZL67" s="378"/>
      <c r="RZM67" s="378"/>
      <c r="RZN67" s="378"/>
      <c r="RZO67" s="378"/>
      <c r="RZP67" s="378"/>
      <c r="RZQ67" s="378"/>
      <c r="RZR67" s="378"/>
      <c r="RZS67" s="378"/>
      <c r="RZT67" s="378"/>
      <c r="RZU67" s="378"/>
      <c r="RZV67" s="378"/>
      <c r="RZW67" s="378"/>
      <c r="RZX67" s="378"/>
      <c r="RZY67" s="378"/>
      <c r="RZZ67" s="378"/>
      <c r="SAA67" s="378"/>
      <c r="SAB67" s="378"/>
      <c r="SAC67" s="378"/>
      <c r="SAD67" s="378"/>
      <c r="SAE67" s="378"/>
      <c r="SAF67" s="378"/>
      <c r="SAG67" s="378"/>
      <c r="SAH67" s="378"/>
      <c r="SAI67" s="378"/>
      <c r="SAJ67" s="378"/>
      <c r="SAK67" s="378"/>
      <c r="SAL67" s="378"/>
      <c r="SAM67" s="378"/>
      <c r="SAN67" s="378"/>
      <c r="SAO67" s="378"/>
      <c r="SAP67" s="378"/>
      <c r="SAQ67" s="378"/>
      <c r="SAR67" s="378"/>
      <c r="SAS67" s="378"/>
      <c r="SAT67" s="378"/>
      <c r="SAU67" s="378"/>
      <c r="SAV67" s="378"/>
      <c r="SAW67" s="378"/>
      <c r="SAX67" s="378"/>
      <c r="SAY67" s="378"/>
      <c r="SAZ67" s="378"/>
      <c r="SBA67" s="378"/>
      <c r="SBB67" s="378"/>
      <c r="SBC67" s="378"/>
      <c r="SBD67" s="378"/>
      <c r="SBE67" s="378"/>
      <c r="SBF67" s="378"/>
      <c r="SBG67" s="378"/>
      <c r="SBH67" s="378"/>
      <c r="SBI67" s="378"/>
      <c r="SBJ67" s="378"/>
      <c r="SBK67" s="378"/>
      <c r="SBL67" s="378"/>
      <c r="SBM67" s="378"/>
      <c r="SBN67" s="378"/>
      <c r="SBO67" s="378"/>
      <c r="SBP67" s="378"/>
      <c r="SBQ67" s="378"/>
      <c r="SBR67" s="378"/>
      <c r="SBS67" s="378"/>
      <c r="SBT67" s="378"/>
      <c r="SBU67" s="378"/>
      <c r="SBV67" s="378"/>
      <c r="SBW67" s="378"/>
      <c r="SBX67" s="378"/>
      <c r="SBY67" s="378"/>
      <c r="SBZ67" s="378"/>
      <c r="SCA67" s="378"/>
      <c r="SCB67" s="378"/>
      <c r="SCC67" s="378"/>
      <c r="SCD67" s="378"/>
      <c r="SCE67" s="378"/>
      <c r="SCF67" s="378"/>
      <c r="SCG67" s="378"/>
      <c r="SCH67" s="378"/>
      <c r="SCI67" s="378"/>
      <c r="SCJ67" s="378"/>
      <c r="SCK67" s="378"/>
      <c r="SCL67" s="378"/>
      <c r="SCM67" s="378"/>
      <c r="SCN67" s="378"/>
      <c r="SCO67" s="378"/>
      <c r="SCP67" s="378"/>
      <c r="SCQ67" s="378"/>
      <c r="SCR67" s="378"/>
      <c r="SCS67" s="378"/>
      <c r="SCT67" s="378"/>
      <c r="SCU67" s="378"/>
      <c r="SCV67" s="378"/>
      <c r="SCW67" s="378"/>
      <c r="SCX67" s="378"/>
      <c r="SCY67" s="378"/>
      <c r="SCZ67" s="378"/>
      <c r="SDA67" s="378"/>
      <c r="SDB67" s="378"/>
      <c r="SDC67" s="378"/>
      <c r="SDD67" s="378"/>
      <c r="SDE67" s="378"/>
      <c r="SDF67" s="378"/>
      <c r="SDG67" s="378"/>
      <c r="SDH67" s="378"/>
      <c r="SDI67" s="378"/>
      <c r="SDJ67" s="378"/>
      <c r="SDK67" s="378"/>
      <c r="SDL67" s="378"/>
      <c r="SDM67" s="378"/>
      <c r="SDN67" s="378"/>
      <c r="SDO67" s="378"/>
      <c r="SDP67" s="378"/>
      <c r="SDQ67" s="378"/>
      <c r="SDR67" s="378"/>
      <c r="SDS67" s="378"/>
      <c r="SDT67" s="378"/>
      <c r="SDU67" s="378"/>
      <c r="SDV67" s="378"/>
      <c r="SDW67" s="378"/>
      <c r="SDX67" s="378"/>
      <c r="SDY67" s="378"/>
      <c r="SDZ67" s="378"/>
      <c r="SEA67" s="378"/>
      <c r="SEB67" s="378"/>
      <c r="SEC67" s="378"/>
      <c r="SED67" s="378"/>
      <c r="SEE67" s="378"/>
      <c r="SEF67" s="378"/>
      <c r="SEG67" s="378"/>
      <c r="SEH67" s="378"/>
      <c r="SEI67" s="378"/>
      <c r="SEJ67" s="378"/>
      <c r="SEK67" s="378"/>
      <c r="SEL67" s="378"/>
      <c r="SEM67" s="378"/>
      <c r="SEN67" s="378"/>
      <c r="SEO67" s="378"/>
      <c r="SEP67" s="378"/>
      <c r="SEQ67" s="378"/>
      <c r="SER67" s="378"/>
      <c r="SES67" s="378"/>
      <c r="SET67" s="378"/>
      <c r="SEU67" s="378"/>
      <c r="SEV67" s="378"/>
      <c r="SEW67" s="378"/>
      <c r="SEX67" s="378"/>
      <c r="SEY67" s="378"/>
      <c r="SEZ67" s="378"/>
      <c r="SFA67" s="378"/>
      <c r="SFB67" s="378"/>
      <c r="SFC67" s="378"/>
      <c r="SFD67" s="378"/>
      <c r="SFE67" s="378"/>
      <c r="SFF67" s="378"/>
      <c r="SFG67" s="378"/>
      <c r="SFH67" s="378"/>
      <c r="SFI67" s="378"/>
      <c r="SFJ67" s="378"/>
      <c r="SFK67" s="378"/>
      <c r="SFL67" s="378"/>
      <c r="SFM67" s="378"/>
      <c r="SFN67" s="378"/>
      <c r="SFO67" s="378"/>
      <c r="SFP67" s="378"/>
      <c r="SFQ67" s="378"/>
      <c r="SFR67" s="378"/>
      <c r="SFS67" s="378"/>
      <c r="SFT67" s="378"/>
      <c r="SFU67" s="378"/>
      <c r="SFV67" s="378"/>
      <c r="SFW67" s="378"/>
      <c r="SFX67" s="378"/>
      <c r="SFY67" s="378"/>
      <c r="SFZ67" s="378"/>
      <c r="SGA67" s="378"/>
      <c r="SGB67" s="378"/>
      <c r="SGC67" s="378"/>
      <c r="SGD67" s="378"/>
      <c r="SGE67" s="378"/>
      <c r="SGF67" s="378"/>
      <c r="SGG67" s="378"/>
      <c r="SGH67" s="378"/>
      <c r="SGI67" s="378"/>
      <c r="SGJ67" s="378"/>
      <c r="SGK67" s="378"/>
      <c r="SGL67" s="378"/>
      <c r="SGM67" s="378"/>
      <c r="SGN67" s="378"/>
      <c r="SGO67" s="378"/>
      <c r="SGP67" s="378"/>
      <c r="SGQ67" s="378"/>
      <c r="SGR67" s="378"/>
      <c r="SGS67" s="378"/>
      <c r="SGT67" s="378"/>
      <c r="SGU67" s="378"/>
      <c r="SGV67" s="378"/>
      <c r="SGW67" s="378"/>
      <c r="SGX67" s="378"/>
      <c r="SGY67" s="378"/>
      <c r="SGZ67" s="378"/>
      <c r="SHA67" s="378"/>
      <c r="SHB67" s="378"/>
      <c r="SHC67" s="378"/>
      <c r="SHD67" s="378"/>
      <c r="SHE67" s="378"/>
      <c r="SHF67" s="378"/>
      <c r="SHG67" s="378"/>
      <c r="SHH67" s="378"/>
      <c r="SHI67" s="378"/>
      <c r="SHJ67" s="378"/>
      <c r="SHK67" s="378"/>
      <c r="SHL67" s="378"/>
      <c r="SHM67" s="378"/>
      <c r="SHN67" s="378"/>
      <c r="SHO67" s="378"/>
      <c r="SHP67" s="378"/>
      <c r="SHQ67" s="378"/>
      <c r="SHR67" s="378"/>
      <c r="SHS67" s="378"/>
      <c r="SHT67" s="378"/>
      <c r="SHU67" s="378"/>
      <c r="SHV67" s="378"/>
      <c r="SHW67" s="378"/>
      <c r="SHX67" s="378"/>
      <c r="SHY67" s="378"/>
      <c r="SHZ67" s="378"/>
      <c r="SIA67" s="378"/>
      <c r="SIB67" s="378"/>
      <c r="SIC67" s="378"/>
      <c r="SID67" s="378"/>
      <c r="SIE67" s="378"/>
      <c r="SIF67" s="378"/>
      <c r="SIG67" s="378"/>
      <c r="SIH67" s="378"/>
      <c r="SII67" s="378"/>
      <c r="SIJ67" s="378"/>
      <c r="SIK67" s="378"/>
      <c r="SIL67" s="378"/>
      <c r="SIM67" s="378"/>
      <c r="SIN67" s="378"/>
      <c r="SIO67" s="378"/>
      <c r="SIP67" s="378"/>
      <c r="SIQ67" s="378"/>
      <c r="SIR67" s="378"/>
      <c r="SIS67" s="378"/>
      <c r="SIT67" s="378"/>
      <c r="SIU67" s="378"/>
      <c r="SIV67" s="378"/>
      <c r="SIW67" s="378"/>
      <c r="SIX67" s="378"/>
      <c r="SIY67" s="378"/>
      <c r="SIZ67" s="378"/>
      <c r="SJA67" s="378"/>
      <c r="SJB67" s="378"/>
      <c r="SJC67" s="378"/>
      <c r="SJD67" s="378"/>
      <c r="SJE67" s="378"/>
      <c r="SJF67" s="378"/>
      <c r="SJG67" s="378"/>
      <c r="SJH67" s="378"/>
      <c r="SJI67" s="378"/>
      <c r="SJJ67" s="378"/>
      <c r="SJK67" s="378"/>
      <c r="SJL67" s="378"/>
      <c r="SJM67" s="378"/>
      <c r="SJN67" s="378"/>
      <c r="SJO67" s="378"/>
      <c r="SJP67" s="378"/>
      <c r="SJQ67" s="378"/>
      <c r="SJR67" s="378"/>
      <c r="SJS67" s="378"/>
      <c r="SJT67" s="378"/>
      <c r="SJU67" s="378"/>
      <c r="SJV67" s="378"/>
      <c r="SJW67" s="378"/>
      <c r="SJX67" s="378"/>
      <c r="SJY67" s="378"/>
      <c r="SJZ67" s="378"/>
      <c r="SKA67" s="378"/>
      <c r="SKB67" s="378"/>
      <c r="SKC67" s="378"/>
      <c r="SKD67" s="378"/>
      <c r="SKE67" s="378"/>
      <c r="SKF67" s="378"/>
      <c r="SKG67" s="378"/>
      <c r="SKH67" s="378"/>
      <c r="SKI67" s="378"/>
      <c r="SKJ67" s="378"/>
      <c r="SKK67" s="378"/>
      <c r="SKL67" s="378"/>
      <c r="SKM67" s="378"/>
      <c r="SKN67" s="378"/>
      <c r="SKO67" s="378"/>
      <c r="SKP67" s="378"/>
      <c r="SKQ67" s="378"/>
      <c r="SKR67" s="378"/>
      <c r="SKS67" s="378"/>
      <c r="SKT67" s="378"/>
      <c r="SKU67" s="378"/>
      <c r="SKV67" s="378"/>
      <c r="SKW67" s="378"/>
      <c r="SKX67" s="378"/>
      <c r="SKY67" s="378"/>
      <c r="SKZ67" s="378"/>
      <c r="SLA67" s="378"/>
      <c r="SLB67" s="378"/>
      <c r="SLC67" s="378"/>
      <c r="SLD67" s="378"/>
      <c r="SLE67" s="378"/>
      <c r="SLF67" s="378"/>
      <c r="SLG67" s="378"/>
      <c r="SLH67" s="378"/>
      <c r="SLI67" s="378"/>
      <c r="SLJ67" s="378"/>
      <c r="SLK67" s="378"/>
      <c r="SLL67" s="378"/>
      <c r="SLM67" s="378"/>
      <c r="SLN67" s="378"/>
      <c r="SLO67" s="378"/>
      <c r="SLP67" s="378"/>
      <c r="SLQ67" s="378"/>
      <c r="SLR67" s="378"/>
      <c r="SLS67" s="378"/>
      <c r="SLT67" s="378"/>
      <c r="SLU67" s="378"/>
      <c r="SLV67" s="378"/>
      <c r="SLW67" s="378"/>
      <c r="SLX67" s="378"/>
      <c r="SLY67" s="378"/>
      <c r="SLZ67" s="378"/>
      <c r="SMA67" s="378"/>
      <c r="SMB67" s="378"/>
      <c r="SMC67" s="378"/>
      <c r="SMD67" s="378"/>
      <c r="SME67" s="378"/>
      <c r="SMF67" s="378"/>
      <c r="SMG67" s="378"/>
      <c r="SMH67" s="378"/>
      <c r="SMI67" s="378"/>
      <c r="SMJ67" s="378"/>
      <c r="SMK67" s="378"/>
      <c r="SML67" s="378"/>
      <c r="SMM67" s="378"/>
      <c r="SMN67" s="378"/>
      <c r="SMO67" s="378"/>
      <c r="SMP67" s="378"/>
      <c r="SMQ67" s="378"/>
      <c r="SMR67" s="378"/>
      <c r="SMS67" s="378"/>
      <c r="SMT67" s="378"/>
      <c r="SMU67" s="378"/>
      <c r="SMV67" s="378"/>
      <c r="SMW67" s="378"/>
      <c r="SMX67" s="378"/>
      <c r="SMY67" s="378"/>
      <c r="SMZ67" s="378"/>
      <c r="SNA67" s="378"/>
      <c r="SNB67" s="378"/>
      <c r="SNC67" s="378"/>
      <c r="SND67" s="378"/>
      <c r="SNE67" s="378"/>
      <c r="SNF67" s="378"/>
      <c r="SNG67" s="378"/>
      <c r="SNH67" s="378"/>
      <c r="SNI67" s="378"/>
      <c r="SNJ67" s="378"/>
      <c r="SNK67" s="378"/>
      <c r="SNL67" s="378"/>
      <c r="SNM67" s="378"/>
      <c r="SNN67" s="378"/>
      <c r="SNO67" s="378"/>
      <c r="SNP67" s="378"/>
      <c r="SNQ67" s="378"/>
      <c r="SNR67" s="378"/>
      <c r="SNS67" s="378"/>
      <c r="SNT67" s="378"/>
      <c r="SNU67" s="378"/>
      <c r="SNV67" s="378"/>
      <c r="SNW67" s="378"/>
      <c r="SNX67" s="378"/>
      <c r="SNY67" s="378"/>
      <c r="SNZ67" s="378"/>
      <c r="SOA67" s="378"/>
      <c r="SOB67" s="378"/>
      <c r="SOC67" s="378"/>
      <c r="SOD67" s="378"/>
      <c r="SOE67" s="378"/>
      <c r="SOF67" s="378"/>
      <c r="SOG67" s="378"/>
      <c r="SOH67" s="378"/>
      <c r="SOI67" s="378"/>
      <c r="SOJ67" s="378"/>
      <c r="SOK67" s="378"/>
      <c r="SOL67" s="378"/>
      <c r="SOM67" s="378"/>
      <c r="SON67" s="378"/>
      <c r="SOO67" s="378"/>
      <c r="SOP67" s="378"/>
      <c r="SOQ67" s="378"/>
      <c r="SOR67" s="378"/>
      <c r="SOS67" s="378"/>
      <c r="SOT67" s="378"/>
      <c r="SOU67" s="378"/>
      <c r="SOV67" s="378"/>
      <c r="SOW67" s="378"/>
      <c r="SOX67" s="378"/>
      <c r="SOY67" s="378"/>
      <c r="SOZ67" s="378"/>
      <c r="SPA67" s="378"/>
      <c r="SPB67" s="378"/>
      <c r="SPC67" s="378"/>
      <c r="SPD67" s="378"/>
      <c r="SPE67" s="378"/>
      <c r="SPF67" s="378"/>
      <c r="SPG67" s="378"/>
      <c r="SPH67" s="378"/>
      <c r="SPI67" s="378"/>
      <c r="SPJ67" s="378"/>
      <c r="SPK67" s="378"/>
      <c r="SPL67" s="378"/>
      <c r="SPM67" s="378"/>
      <c r="SPN67" s="378"/>
      <c r="SPO67" s="378"/>
      <c r="SPP67" s="378"/>
      <c r="SPQ67" s="378"/>
      <c r="SPR67" s="378"/>
      <c r="SPS67" s="378"/>
      <c r="SPT67" s="378"/>
      <c r="SPU67" s="378"/>
      <c r="SPV67" s="378"/>
      <c r="SPW67" s="378"/>
      <c r="SPX67" s="378"/>
      <c r="SPY67" s="378"/>
      <c r="SPZ67" s="378"/>
      <c r="SQA67" s="378"/>
      <c r="SQB67" s="378"/>
      <c r="SQC67" s="378"/>
      <c r="SQD67" s="378"/>
      <c r="SQE67" s="378"/>
      <c r="SQF67" s="378"/>
      <c r="SQG67" s="378"/>
      <c r="SQH67" s="378"/>
      <c r="SQI67" s="378"/>
      <c r="SQJ67" s="378"/>
      <c r="SQK67" s="378"/>
      <c r="SQL67" s="378"/>
      <c r="SQM67" s="378"/>
      <c r="SQN67" s="378"/>
      <c r="SQO67" s="378"/>
      <c r="SQP67" s="378"/>
      <c r="SQQ67" s="378"/>
      <c r="SQR67" s="378"/>
      <c r="SQS67" s="378"/>
      <c r="SQT67" s="378"/>
      <c r="SQU67" s="378"/>
      <c r="SQV67" s="378"/>
      <c r="SQW67" s="378"/>
      <c r="SQX67" s="378"/>
      <c r="SQY67" s="378"/>
      <c r="SQZ67" s="378"/>
      <c r="SRA67" s="378"/>
      <c r="SRB67" s="378"/>
      <c r="SRC67" s="378"/>
      <c r="SRD67" s="378"/>
      <c r="SRE67" s="378"/>
      <c r="SRF67" s="378"/>
      <c r="SRG67" s="378"/>
      <c r="SRH67" s="378"/>
      <c r="SRI67" s="378"/>
      <c r="SRJ67" s="378"/>
      <c r="SRK67" s="378"/>
      <c r="SRL67" s="378"/>
      <c r="SRM67" s="378"/>
      <c r="SRN67" s="378"/>
      <c r="SRO67" s="378"/>
      <c r="SRP67" s="378"/>
      <c r="SRQ67" s="378"/>
      <c r="SRR67" s="378"/>
      <c r="SRS67" s="378"/>
      <c r="SRT67" s="378"/>
      <c r="SRU67" s="378"/>
      <c r="SRV67" s="378"/>
      <c r="SRW67" s="378"/>
      <c r="SRX67" s="378"/>
      <c r="SRY67" s="378"/>
      <c r="SRZ67" s="378"/>
      <c r="SSA67" s="378"/>
      <c r="SSB67" s="378"/>
      <c r="SSC67" s="378"/>
      <c r="SSD67" s="378"/>
      <c r="SSE67" s="378"/>
      <c r="SSF67" s="378"/>
      <c r="SSG67" s="378"/>
      <c r="SSH67" s="378"/>
      <c r="SSI67" s="378"/>
      <c r="SSJ67" s="378"/>
      <c r="SSK67" s="378"/>
      <c r="SSL67" s="378"/>
      <c r="SSM67" s="378"/>
      <c r="SSN67" s="378"/>
      <c r="SSO67" s="378"/>
      <c r="SSP67" s="378"/>
      <c r="SSQ67" s="378"/>
      <c r="SSR67" s="378"/>
      <c r="SSS67" s="378"/>
      <c r="SST67" s="378"/>
      <c r="SSU67" s="378"/>
      <c r="SSV67" s="378"/>
      <c r="SSW67" s="378"/>
      <c r="SSX67" s="378"/>
      <c r="SSY67" s="378"/>
      <c r="SSZ67" s="378"/>
      <c r="STA67" s="378"/>
      <c r="STB67" s="378"/>
      <c r="STC67" s="378"/>
      <c r="STD67" s="378"/>
      <c r="STE67" s="378"/>
      <c r="STF67" s="378"/>
      <c r="STG67" s="378"/>
      <c r="STH67" s="378"/>
      <c r="STI67" s="378"/>
      <c r="STJ67" s="378"/>
      <c r="STK67" s="378"/>
      <c r="STL67" s="378"/>
      <c r="STM67" s="378"/>
      <c r="STN67" s="378"/>
      <c r="STO67" s="378"/>
      <c r="STP67" s="378"/>
      <c r="STQ67" s="378"/>
      <c r="STR67" s="378"/>
      <c r="STS67" s="378"/>
      <c r="STT67" s="378"/>
      <c r="STU67" s="378"/>
      <c r="STV67" s="378"/>
      <c r="STW67" s="378"/>
      <c r="STX67" s="378"/>
      <c r="STY67" s="378"/>
      <c r="STZ67" s="378"/>
      <c r="SUA67" s="378"/>
      <c r="SUB67" s="378"/>
      <c r="SUC67" s="378"/>
      <c r="SUD67" s="378"/>
      <c r="SUE67" s="378"/>
      <c r="SUF67" s="378"/>
      <c r="SUG67" s="378"/>
      <c r="SUH67" s="378"/>
      <c r="SUI67" s="378"/>
      <c r="SUJ67" s="378"/>
      <c r="SUK67" s="378"/>
      <c r="SUL67" s="378"/>
      <c r="SUM67" s="378"/>
      <c r="SUN67" s="378"/>
      <c r="SUO67" s="378"/>
      <c r="SUP67" s="378"/>
      <c r="SUQ67" s="378"/>
      <c r="SUR67" s="378"/>
      <c r="SUS67" s="378"/>
      <c r="SUT67" s="378"/>
      <c r="SUU67" s="378"/>
      <c r="SUV67" s="378"/>
      <c r="SUW67" s="378"/>
      <c r="SUX67" s="378"/>
      <c r="SUY67" s="378"/>
      <c r="SUZ67" s="378"/>
      <c r="SVA67" s="378"/>
      <c r="SVB67" s="378"/>
      <c r="SVC67" s="378"/>
      <c r="SVD67" s="378"/>
      <c r="SVE67" s="378"/>
      <c r="SVF67" s="378"/>
      <c r="SVG67" s="378"/>
      <c r="SVH67" s="378"/>
      <c r="SVI67" s="378"/>
      <c r="SVJ67" s="378"/>
      <c r="SVK67" s="378"/>
      <c r="SVL67" s="378"/>
      <c r="SVM67" s="378"/>
      <c r="SVN67" s="378"/>
      <c r="SVO67" s="378"/>
      <c r="SVP67" s="378"/>
      <c r="SVQ67" s="378"/>
      <c r="SVR67" s="378"/>
      <c r="SVS67" s="378"/>
      <c r="SVT67" s="378"/>
      <c r="SVU67" s="378"/>
      <c r="SVV67" s="378"/>
      <c r="SVW67" s="378"/>
      <c r="SVX67" s="378"/>
      <c r="SVY67" s="378"/>
      <c r="SVZ67" s="378"/>
      <c r="SWA67" s="378"/>
      <c r="SWB67" s="378"/>
      <c r="SWC67" s="378"/>
      <c r="SWD67" s="378"/>
      <c r="SWE67" s="378"/>
      <c r="SWF67" s="378"/>
      <c r="SWG67" s="378"/>
      <c r="SWH67" s="378"/>
      <c r="SWI67" s="378"/>
      <c r="SWJ67" s="378"/>
      <c r="SWK67" s="378"/>
      <c r="SWL67" s="378"/>
      <c r="SWM67" s="378"/>
      <c r="SWN67" s="378"/>
      <c r="SWO67" s="378"/>
      <c r="SWP67" s="378"/>
      <c r="SWQ67" s="378"/>
      <c r="SWR67" s="378"/>
      <c r="SWS67" s="378"/>
      <c r="SWT67" s="378"/>
      <c r="SWU67" s="378"/>
      <c r="SWV67" s="378"/>
      <c r="SWW67" s="378"/>
      <c r="SWX67" s="378"/>
      <c r="SWY67" s="378"/>
      <c r="SWZ67" s="378"/>
      <c r="SXA67" s="378"/>
      <c r="SXB67" s="378"/>
      <c r="SXC67" s="378"/>
      <c r="SXD67" s="378"/>
      <c r="SXE67" s="378"/>
      <c r="SXF67" s="378"/>
      <c r="SXG67" s="378"/>
      <c r="SXH67" s="378"/>
      <c r="SXI67" s="378"/>
      <c r="SXJ67" s="378"/>
      <c r="SXK67" s="378"/>
      <c r="SXL67" s="378"/>
      <c r="SXM67" s="378"/>
      <c r="SXN67" s="378"/>
      <c r="SXO67" s="378"/>
      <c r="SXP67" s="378"/>
      <c r="SXQ67" s="378"/>
      <c r="SXR67" s="378"/>
      <c r="SXS67" s="378"/>
      <c r="SXT67" s="378"/>
      <c r="SXU67" s="378"/>
      <c r="SXV67" s="378"/>
      <c r="SXW67" s="378"/>
      <c r="SXX67" s="378"/>
      <c r="SXY67" s="378"/>
      <c r="SXZ67" s="378"/>
      <c r="SYA67" s="378"/>
      <c r="SYB67" s="378"/>
      <c r="SYC67" s="378"/>
      <c r="SYD67" s="378"/>
      <c r="SYE67" s="378"/>
      <c r="SYF67" s="378"/>
      <c r="SYG67" s="378"/>
      <c r="SYH67" s="378"/>
      <c r="SYI67" s="378"/>
      <c r="SYJ67" s="378"/>
      <c r="SYK67" s="378"/>
      <c r="SYL67" s="378"/>
      <c r="SYM67" s="378"/>
      <c r="SYN67" s="378"/>
      <c r="SYO67" s="378"/>
      <c r="SYP67" s="378"/>
      <c r="SYQ67" s="378"/>
      <c r="SYR67" s="378"/>
      <c r="SYS67" s="378"/>
      <c r="SYT67" s="378"/>
      <c r="SYU67" s="378"/>
      <c r="SYV67" s="378"/>
      <c r="SYW67" s="378"/>
      <c r="SYX67" s="378"/>
      <c r="SYY67" s="378"/>
      <c r="SYZ67" s="378"/>
      <c r="SZA67" s="378"/>
      <c r="SZB67" s="378"/>
      <c r="SZC67" s="378"/>
      <c r="SZD67" s="378"/>
      <c r="SZE67" s="378"/>
      <c r="SZF67" s="378"/>
      <c r="SZG67" s="378"/>
      <c r="SZH67" s="378"/>
      <c r="SZI67" s="378"/>
      <c r="SZJ67" s="378"/>
      <c r="SZK67" s="378"/>
      <c r="SZL67" s="378"/>
      <c r="SZM67" s="378"/>
      <c r="SZN67" s="378"/>
      <c r="SZO67" s="378"/>
      <c r="SZP67" s="378"/>
      <c r="SZQ67" s="378"/>
      <c r="SZR67" s="378"/>
      <c r="SZS67" s="378"/>
      <c r="SZT67" s="378"/>
      <c r="SZU67" s="378"/>
      <c r="SZV67" s="378"/>
      <c r="SZW67" s="378"/>
      <c r="SZX67" s="378"/>
      <c r="SZY67" s="378"/>
      <c r="SZZ67" s="378"/>
      <c r="TAA67" s="378"/>
      <c r="TAB67" s="378"/>
      <c r="TAC67" s="378"/>
      <c r="TAD67" s="378"/>
      <c r="TAE67" s="378"/>
      <c r="TAF67" s="378"/>
      <c r="TAG67" s="378"/>
      <c r="TAH67" s="378"/>
      <c r="TAI67" s="378"/>
      <c r="TAJ67" s="378"/>
      <c r="TAK67" s="378"/>
      <c r="TAL67" s="378"/>
      <c r="TAM67" s="378"/>
      <c r="TAN67" s="378"/>
      <c r="TAO67" s="378"/>
      <c r="TAP67" s="378"/>
      <c r="TAQ67" s="378"/>
      <c r="TAR67" s="378"/>
      <c r="TAS67" s="378"/>
      <c r="TAT67" s="378"/>
      <c r="TAU67" s="378"/>
      <c r="TAV67" s="378"/>
      <c r="TAW67" s="378"/>
      <c r="TAX67" s="378"/>
      <c r="TAY67" s="378"/>
      <c r="TAZ67" s="378"/>
      <c r="TBA67" s="378"/>
      <c r="TBB67" s="378"/>
      <c r="TBC67" s="378"/>
      <c r="TBD67" s="378"/>
      <c r="TBE67" s="378"/>
      <c r="TBF67" s="378"/>
      <c r="TBG67" s="378"/>
      <c r="TBH67" s="378"/>
      <c r="TBI67" s="378"/>
      <c r="TBJ67" s="378"/>
      <c r="TBK67" s="378"/>
      <c r="TBL67" s="378"/>
      <c r="TBM67" s="378"/>
      <c r="TBN67" s="378"/>
      <c r="TBO67" s="378"/>
      <c r="TBP67" s="378"/>
      <c r="TBQ67" s="378"/>
      <c r="TBR67" s="378"/>
      <c r="TBS67" s="378"/>
      <c r="TBT67" s="378"/>
      <c r="TBU67" s="378"/>
      <c r="TBV67" s="378"/>
      <c r="TBW67" s="378"/>
      <c r="TBX67" s="378"/>
      <c r="TBY67" s="378"/>
      <c r="TBZ67" s="378"/>
      <c r="TCA67" s="378"/>
      <c r="TCB67" s="378"/>
      <c r="TCC67" s="378"/>
      <c r="TCD67" s="378"/>
      <c r="TCE67" s="378"/>
      <c r="TCF67" s="378"/>
      <c r="TCG67" s="378"/>
      <c r="TCH67" s="378"/>
      <c r="TCI67" s="378"/>
      <c r="TCJ67" s="378"/>
      <c r="TCK67" s="378"/>
      <c r="TCL67" s="378"/>
      <c r="TCM67" s="378"/>
      <c r="TCN67" s="378"/>
      <c r="TCO67" s="378"/>
      <c r="TCP67" s="378"/>
      <c r="TCQ67" s="378"/>
      <c r="TCR67" s="378"/>
      <c r="TCS67" s="378"/>
      <c r="TCT67" s="378"/>
      <c r="TCU67" s="378"/>
      <c r="TCV67" s="378"/>
      <c r="TCW67" s="378"/>
      <c r="TCX67" s="378"/>
      <c r="TCY67" s="378"/>
      <c r="TCZ67" s="378"/>
      <c r="TDA67" s="378"/>
      <c r="TDB67" s="378"/>
      <c r="TDC67" s="378"/>
      <c r="TDD67" s="378"/>
      <c r="TDE67" s="378"/>
      <c r="TDF67" s="378"/>
      <c r="TDG67" s="378"/>
      <c r="TDH67" s="378"/>
      <c r="TDI67" s="378"/>
      <c r="TDJ67" s="378"/>
      <c r="TDK67" s="378"/>
      <c r="TDL67" s="378"/>
      <c r="TDM67" s="378"/>
      <c r="TDN67" s="378"/>
      <c r="TDO67" s="378"/>
      <c r="TDP67" s="378"/>
      <c r="TDQ67" s="378"/>
      <c r="TDR67" s="378"/>
      <c r="TDS67" s="378"/>
      <c r="TDT67" s="378"/>
      <c r="TDU67" s="378"/>
      <c r="TDV67" s="378"/>
      <c r="TDW67" s="378"/>
      <c r="TDX67" s="378"/>
      <c r="TDY67" s="378"/>
      <c r="TDZ67" s="378"/>
      <c r="TEA67" s="378"/>
      <c r="TEB67" s="378"/>
      <c r="TEC67" s="378"/>
      <c r="TED67" s="378"/>
      <c r="TEE67" s="378"/>
      <c r="TEF67" s="378"/>
      <c r="TEG67" s="378"/>
      <c r="TEH67" s="378"/>
      <c r="TEI67" s="378"/>
      <c r="TEJ67" s="378"/>
      <c r="TEK67" s="378"/>
      <c r="TEL67" s="378"/>
      <c r="TEM67" s="378"/>
      <c r="TEN67" s="378"/>
      <c r="TEO67" s="378"/>
      <c r="TEP67" s="378"/>
      <c r="TEQ67" s="378"/>
      <c r="TER67" s="378"/>
      <c r="TES67" s="378"/>
      <c r="TET67" s="378"/>
      <c r="TEU67" s="378"/>
      <c r="TEV67" s="378"/>
      <c r="TEW67" s="378"/>
      <c r="TEX67" s="378"/>
      <c r="TEY67" s="378"/>
      <c r="TEZ67" s="378"/>
      <c r="TFA67" s="378"/>
      <c r="TFB67" s="378"/>
      <c r="TFC67" s="378"/>
      <c r="TFD67" s="378"/>
      <c r="TFE67" s="378"/>
      <c r="TFF67" s="378"/>
      <c r="TFG67" s="378"/>
      <c r="TFH67" s="378"/>
      <c r="TFI67" s="378"/>
      <c r="TFJ67" s="378"/>
      <c r="TFK67" s="378"/>
      <c r="TFL67" s="378"/>
      <c r="TFM67" s="378"/>
      <c r="TFN67" s="378"/>
      <c r="TFO67" s="378"/>
      <c r="TFP67" s="378"/>
      <c r="TFQ67" s="378"/>
      <c r="TFR67" s="378"/>
      <c r="TFS67" s="378"/>
      <c r="TFT67" s="378"/>
      <c r="TFU67" s="378"/>
      <c r="TFV67" s="378"/>
      <c r="TFW67" s="378"/>
      <c r="TFX67" s="378"/>
      <c r="TFY67" s="378"/>
      <c r="TFZ67" s="378"/>
      <c r="TGA67" s="378"/>
      <c r="TGB67" s="378"/>
      <c r="TGC67" s="378"/>
      <c r="TGD67" s="378"/>
      <c r="TGE67" s="378"/>
      <c r="TGF67" s="378"/>
      <c r="TGG67" s="378"/>
      <c r="TGH67" s="378"/>
      <c r="TGI67" s="378"/>
      <c r="TGJ67" s="378"/>
      <c r="TGK67" s="378"/>
      <c r="TGL67" s="378"/>
      <c r="TGM67" s="378"/>
      <c r="TGN67" s="378"/>
      <c r="TGO67" s="378"/>
      <c r="TGP67" s="378"/>
      <c r="TGQ67" s="378"/>
      <c r="TGR67" s="378"/>
      <c r="TGS67" s="378"/>
      <c r="TGT67" s="378"/>
      <c r="TGU67" s="378"/>
      <c r="TGV67" s="378"/>
      <c r="TGW67" s="378"/>
      <c r="TGX67" s="378"/>
      <c r="TGY67" s="378"/>
      <c r="TGZ67" s="378"/>
      <c r="THA67" s="378"/>
      <c r="THB67" s="378"/>
      <c r="THC67" s="378"/>
      <c r="THD67" s="378"/>
      <c r="THE67" s="378"/>
      <c r="THF67" s="378"/>
      <c r="THG67" s="378"/>
      <c r="THH67" s="378"/>
      <c r="THI67" s="378"/>
      <c r="THJ67" s="378"/>
      <c r="THK67" s="378"/>
      <c r="THL67" s="378"/>
      <c r="THM67" s="378"/>
      <c r="THN67" s="378"/>
      <c r="THO67" s="378"/>
      <c r="THP67" s="378"/>
      <c r="THQ67" s="378"/>
      <c r="THR67" s="378"/>
      <c r="THS67" s="378"/>
      <c r="THT67" s="378"/>
      <c r="THU67" s="378"/>
      <c r="THV67" s="378"/>
      <c r="THW67" s="378"/>
      <c r="THX67" s="378"/>
      <c r="THY67" s="378"/>
      <c r="THZ67" s="378"/>
      <c r="TIA67" s="378"/>
      <c r="TIB67" s="378"/>
      <c r="TIC67" s="378"/>
      <c r="TID67" s="378"/>
      <c r="TIE67" s="378"/>
      <c r="TIF67" s="378"/>
      <c r="TIG67" s="378"/>
      <c r="TIH67" s="378"/>
      <c r="TII67" s="378"/>
      <c r="TIJ67" s="378"/>
      <c r="TIK67" s="378"/>
      <c r="TIL67" s="378"/>
      <c r="TIM67" s="378"/>
      <c r="TIN67" s="378"/>
      <c r="TIO67" s="378"/>
      <c r="TIP67" s="378"/>
      <c r="TIQ67" s="378"/>
      <c r="TIR67" s="378"/>
      <c r="TIS67" s="378"/>
      <c r="TIT67" s="378"/>
      <c r="TIU67" s="378"/>
      <c r="TIV67" s="378"/>
      <c r="TIW67" s="378"/>
      <c r="TIX67" s="378"/>
      <c r="TIY67" s="378"/>
      <c r="TIZ67" s="378"/>
      <c r="TJA67" s="378"/>
      <c r="TJB67" s="378"/>
      <c r="TJC67" s="378"/>
      <c r="TJD67" s="378"/>
      <c r="TJE67" s="378"/>
      <c r="TJF67" s="378"/>
      <c r="TJG67" s="378"/>
      <c r="TJH67" s="378"/>
      <c r="TJI67" s="378"/>
      <c r="TJJ67" s="378"/>
      <c r="TJK67" s="378"/>
      <c r="TJL67" s="378"/>
      <c r="TJM67" s="378"/>
      <c r="TJN67" s="378"/>
      <c r="TJO67" s="378"/>
      <c r="TJP67" s="378"/>
      <c r="TJQ67" s="378"/>
      <c r="TJR67" s="378"/>
      <c r="TJS67" s="378"/>
      <c r="TJT67" s="378"/>
      <c r="TJU67" s="378"/>
      <c r="TJV67" s="378"/>
      <c r="TJW67" s="378"/>
      <c r="TJX67" s="378"/>
      <c r="TJY67" s="378"/>
      <c r="TJZ67" s="378"/>
      <c r="TKA67" s="378"/>
      <c r="TKB67" s="378"/>
      <c r="TKC67" s="378"/>
      <c r="TKD67" s="378"/>
      <c r="TKE67" s="378"/>
      <c r="TKF67" s="378"/>
      <c r="TKG67" s="378"/>
      <c r="TKH67" s="378"/>
      <c r="TKI67" s="378"/>
      <c r="TKJ67" s="378"/>
      <c r="TKK67" s="378"/>
      <c r="TKL67" s="378"/>
      <c r="TKM67" s="378"/>
      <c r="TKN67" s="378"/>
      <c r="TKO67" s="378"/>
      <c r="TKP67" s="378"/>
      <c r="TKQ67" s="378"/>
      <c r="TKR67" s="378"/>
      <c r="TKS67" s="378"/>
      <c r="TKT67" s="378"/>
      <c r="TKU67" s="378"/>
      <c r="TKV67" s="378"/>
      <c r="TKW67" s="378"/>
      <c r="TKX67" s="378"/>
      <c r="TKY67" s="378"/>
      <c r="TKZ67" s="378"/>
      <c r="TLA67" s="378"/>
      <c r="TLB67" s="378"/>
      <c r="TLC67" s="378"/>
      <c r="TLD67" s="378"/>
      <c r="TLE67" s="378"/>
      <c r="TLF67" s="378"/>
      <c r="TLG67" s="378"/>
      <c r="TLH67" s="378"/>
      <c r="TLI67" s="378"/>
      <c r="TLJ67" s="378"/>
      <c r="TLK67" s="378"/>
      <c r="TLL67" s="378"/>
      <c r="TLM67" s="378"/>
      <c r="TLN67" s="378"/>
      <c r="TLO67" s="378"/>
      <c r="TLP67" s="378"/>
      <c r="TLQ67" s="378"/>
      <c r="TLR67" s="378"/>
      <c r="TLS67" s="378"/>
      <c r="TLT67" s="378"/>
      <c r="TLU67" s="378"/>
      <c r="TLV67" s="378"/>
      <c r="TLW67" s="378"/>
      <c r="TLX67" s="378"/>
      <c r="TLY67" s="378"/>
      <c r="TLZ67" s="378"/>
      <c r="TMA67" s="378"/>
      <c r="TMB67" s="378"/>
      <c r="TMC67" s="378"/>
      <c r="TMD67" s="378"/>
      <c r="TME67" s="378"/>
      <c r="TMF67" s="378"/>
      <c r="TMG67" s="378"/>
      <c r="TMH67" s="378"/>
      <c r="TMI67" s="378"/>
      <c r="TMJ67" s="378"/>
      <c r="TMK67" s="378"/>
      <c r="TML67" s="378"/>
      <c r="TMM67" s="378"/>
      <c r="TMN67" s="378"/>
      <c r="TMO67" s="378"/>
      <c r="TMP67" s="378"/>
      <c r="TMQ67" s="378"/>
      <c r="TMR67" s="378"/>
      <c r="TMS67" s="378"/>
      <c r="TMT67" s="378"/>
      <c r="TMU67" s="378"/>
      <c r="TMV67" s="378"/>
      <c r="TMW67" s="378"/>
      <c r="TMX67" s="378"/>
      <c r="TMY67" s="378"/>
      <c r="TMZ67" s="378"/>
      <c r="TNA67" s="378"/>
      <c r="TNB67" s="378"/>
      <c r="TNC67" s="378"/>
      <c r="TND67" s="378"/>
      <c r="TNE67" s="378"/>
      <c r="TNF67" s="378"/>
      <c r="TNG67" s="378"/>
      <c r="TNH67" s="378"/>
      <c r="TNI67" s="378"/>
      <c r="TNJ67" s="378"/>
      <c r="TNK67" s="378"/>
      <c r="TNL67" s="378"/>
      <c r="TNM67" s="378"/>
      <c r="TNN67" s="378"/>
      <c r="TNO67" s="378"/>
      <c r="TNP67" s="378"/>
      <c r="TNQ67" s="378"/>
      <c r="TNR67" s="378"/>
      <c r="TNS67" s="378"/>
      <c r="TNT67" s="378"/>
      <c r="TNU67" s="378"/>
      <c r="TNV67" s="378"/>
      <c r="TNW67" s="378"/>
      <c r="TNX67" s="378"/>
      <c r="TNY67" s="378"/>
      <c r="TNZ67" s="378"/>
      <c r="TOA67" s="378"/>
      <c r="TOB67" s="378"/>
      <c r="TOC67" s="378"/>
      <c r="TOD67" s="378"/>
      <c r="TOE67" s="378"/>
      <c r="TOF67" s="378"/>
      <c r="TOG67" s="378"/>
      <c r="TOH67" s="378"/>
      <c r="TOI67" s="378"/>
      <c r="TOJ67" s="378"/>
      <c r="TOK67" s="378"/>
      <c r="TOL67" s="378"/>
      <c r="TOM67" s="378"/>
      <c r="TON67" s="378"/>
      <c r="TOO67" s="378"/>
      <c r="TOP67" s="378"/>
      <c r="TOQ67" s="378"/>
      <c r="TOR67" s="378"/>
      <c r="TOS67" s="378"/>
      <c r="TOT67" s="378"/>
      <c r="TOU67" s="378"/>
      <c r="TOV67" s="378"/>
      <c r="TOW67" s="378"/>
      <c r="TOX67" s="378"/>
      <c r="TOY67" s="378"/>
      <c r="TOZ67" s="378"/>
      <c r="TPA67" s="378"/>
      <c r="TPB67" s="378"/>
      <c r="TPC67" s="378"/>
      <c r="TPD67" s="378"/>
      <c r="TPE67" s="378"/>
      <c r="TPF67" s="378"/>
      <c r="TPG67" s="378"/>
      <c r="TPH67" s="378"/>
      <c r="TPI67" s="378"/>
      <c r="TPJ67" s="378"/>
      <c r="TPK67" s="378"/>
      <c r="TPL67" s="378"/>
      <c r="TPM67" s="378"/>
      <c r="TPN67" s="378"/>
      <c r="TPO67" s="378"/>
      <c r="TPP67" s="378"/>
      <c r="TPQ67" s="378"/>
      <c r="TPR67" s="378"/>
      <c r="TPS67" s="378"/>
      <c r="TPT67" s="378"/>
      <c r="TPU67" s="378"/>
      <c r="TPV67" s="378"/>
      <c r="TPW67" s="378"/>
      <c r="TPX67" s="378"/>
      <c r="TPY67" s="378"/>
      <c r="TPZ67" s="378"/>
      <c r="TQA67" s="378"/>
      <c r="TQB67" s="378"/>
      <c r="TQC67" s="378"/>
      <c r="TQD67" s="378"/>
      <c r="TQE67" s="378"/>
      <c r="TQF67" s="378"/>
      <c r="TQG67" s="378"/>
      <c r="TQH67" s="378"/>
      <c r="TQI67" s="378"/>
      <c r="TQJ67" s="378"/>
      <c r="TQK67" s="378"/>
      <c r="TQL67" s="378"/>
      <c r="TQM67" s="378"/>
      <c r="TQN67" s="378"/>
      <c r="TQO67" s="378"/>
      <c r="TQP67" s="378"/>
      <c r="TQQ67" s="378"/>
      <c r="TQR67" s="378"/>
      <c r="TQS67" s="378"/>
      <c r="TQT67" s="378"/>
      <c r="TQU67" s="378"/>
      <c r="TQV67" s="378"/>
      <c r="TQW67" s="378"/>
      <c r="TQX67" s="378"/>
      <c r="TQY67" s="378"/>
      <c r="TQZ67" s="378"/>
      <c r="TRA67" s="378"/>
      <c r="TRB67" s="378"/>
      <c r="TRC67" s="378"/>
      <c r="TRD67" s="378"/>
      <c r="TRE67" s="378"/>
      <c r="TRF67" s="378"/>
      <c r="TRG67" s="378"/>
      <c r="TRH67" s="378"/>
      <c r="TRI67" s="378"/>
      <c r="TRJ67" s="378"/>
      <c r="TRK67" s="378"/>
      <c r="TRL67" s="378"/>
      <c r="TRM67" s="378"/>
      <c r="TRN67" s="378"/>
      <c r="TRO67" s="378"/>
      <c r="TRP67" s="378"/>
      <c r="TRQ67" s="378"/>
      <c r="TRR67" s="378"/>
      <c r="TRS67" s="378"/>
      <c r="TRT67" s="378"/>
      <c r="TRU67" s="378"/>
      <c r="TRV67" s="378"/>
      <c r="TRW67" s="378"/>
      <c r="TRX67" s="378"/>
      <c r="TRY67" s="378"/>
      <c r="TRZ67" s="378"/>
      <c r="TSA67" s="378"/>
      <c r="TSB67" s="378"/>
      <c r="TSC67" s="378"/>
      <c r="TSD67" s="378"/>
      <c r="TSE67" s="378"/>
      <c r="TSF67" s="378"/>
      <c r="TSG67" s="378"/>
      <c r="TSH67" s="378"/>
      <c r="TSI67" s="378"/>
      <c r="TSJ67" s="378"/>
      <c r="TSK67" s="378"/>
      <c r="TSL67" s="378"/>
      <c r="TSM67" s="378"/>
      <c r="TSN67" s="378"/>
      <c r="TSO67" s="378"/>
      <c r="TSP67" s="378"/>
      <c r="TSQ67" s="378"/>
      <c r="TSR67" s="378"/>
      <c r="TSS67" s="378"/>
      <c r="TST67" s="378"/>
      <c r="TSU67" s="378"/>
      <c r="TSV67" s="378"/>
      <c r="TSW67" s="378"/>
      <c r="TSX67" s="378"/>
      <c r="TSY67" s="378"/>
      <c r="TSZ67" s="378"/>
      <c r="TTA67" s="378"/>
      <c r="TTB67" s="378"/>
      <c r="TTC67" s="378"/>
      <c r="TTD67" s="378"/>
      <c r="TTE67" s="378"/>
      <c r="TTF67" s="378"/>
      <c r="TTG67" s="378"/>
      <c r="TTH67" s="378"/>
      <c r="TTI67" s="378"/>
      <c r="TTJ67" s="378"/>
      <c r="TTK67" s="378"/>
      <c r="TTL67" s="378"/>
      <c r="TTM67" s="378"/>
      <c r="TTN67" s="378"/>
      <c r="TTO67" s="378"/>
      <c r="TTP67" s="378"/>
      <c r="TTQ67" s="378"/>
      <c r="TTR67" s="378"/>
      <c r="TTS67" s="378"/>
      <c r="TTT67" s="378"/>
      <c r="TTU67" s="378"/>
      <c r="TTV67" s="378"/>
      <c r="TTW67" s="378"/>
      <c r="TTX67" s="378"/>
      <c r="TTY67" s="378"/>
      <c r="TTZ67" s="378"/>
      <c r="TUA67" s="378"/>
      <c r="TUB67" s="378"/>
      <c r="TUC67" s="378"/>
      <c r="TUD67" s="378"/>
      <c r="TUE67" s="378"/>
      <c r="TUF67" s="378"/>
      <c r="TUG67" s="378"/>
      <c r="TUH67" s="378"/>
      <c r="TUI67" s="378"/>
      <c r="TUJ67" s="378"/>
      <c r="TUK67" s="378"/>
      <c r="TUL67" s="378"/>
      <c r="TUM67" s="378"/>
      <c r="TUN67" s="378"/>
      <c r="TUO67" s="378"/>
      <c r="TUP67" s="378"/>
      <c r="TUQ67" s="378"/>
      <c r="TUR67" s="378"/>
      <c r="TUS67" s="378"/>
      <c r="TUT67" s="378"/>
      <c r="TUU67" s="378"/>
      <c r="TUV67" s="378"/>
      <c r="TUW67" s="378"/>
      <c r="TUX67" s="378"/>
      <c r="TUY67" s="378"/>
      <c r="TUZ67" s="378"/>
      <c r="TVA67" s="378"/>
      <c r="TVB67" s="378"/>
      <c r="TVC67" s="378"/>
      <c r="TVD67" s="378"/>
      <c r="TVE67" s="378"/>
      <c r="TVF67" s="378"/>
      <c r="TVG67" s="378"/>
      <c r="TVH67" s="378"/>
      <c r="TVI67" s="378"/>
      <c r="TVJ67" s="378"/>
      <c r="TVK67" s="378"/>
      <c r="TVL67" s="378"/>
      <c r="TVM67" s="378"/>
      <c r="TVN67" s="378"/>
      <c r="TVO67" s="378"/>
      <c r="TVP67" s="378"/>
      <c r="TVQ67" s="378"/>
      <c r="TVR67" s="378"/>
      <c r="TVS67" s="378"/>
      <c r="TVT67" s="378"/>
      <c r="TVU67" s="378"/>
      <c r="TVV67" s="378"/>
      <c r="TVW67" s="378"/>
      <c r="TVX67" s="378"/>
      <c r="TVY67" s="378"/>
      <c r="TVZ67" s="378"/>
      <c r="TWA67" s="378"/>
      <c r="TWB67" s="378"/>
      <c r="TWC67" s="378"/>
      <c r="TWD67" s="378"/>
      <c r="TWE67" s="378"/>
      <c r="TWF67" s="378"/>
      <c r="TWG67" s="378"/>
      <c r="TWH67" s="378"/>
      <c r="TWI67" s="378"/>
      <c r="TWJ67" s="378"/>
      <c r="TWK67" s="378"/>
      <c r="TWL67" s="378"/>
      <c r="TWM67" s="378"/>
      <c r="TWN67" s="378"/>
      <c r="TWO67" s="378"/>
      <c r="TWP67" s="378"/>
      <c r="TWQ67" s="378"/>
      <c r="TWR67" s="378"/>
      <c r="TWS67" s="378"/>
      <c r="TWT67" s="378"/>
      <c r="TWU67" s="378"/>
      <c r="TWV67" s="378"/>
      <c r="TWW67" s="378"/>
      <c r="TWX67" s="378"/>
      <c r="TWY67" s="378"/>
      <c r="TWZ67" s="378"/>
      <c r="TXA67" s="378"/>
      <c r="TXB67" s="378"/>
      <c r="TXC67" s="378"/>
      <c r="TXD67" s="378"/>
      <c r="TXE67" s="378"/>
      <c r="TXF67" s="378"/>
      <c r="TXG67" s="378"/>
      <c r="TXH67" s="378"/>
      <c r="TXI67" s="378"/>
      <c r="TXJ67" s="378"/>
      <c r="TXK67" s="378"/>
      <c r="TXL67" s="378"/>
      <c r="TXM67" s="378"/>
      <c r="TXN67" s="378"/>
      <c r="TXO67" s="378"/>
      <c r="TXP67" s="378"/>
      <c r="TXQ67" s="378"/>
      <c r="TXR67" s="378"/>
      <c r="TXS67" s="378"/>
      <c r="TXT67" s="378"/>
      <c r="TXU67" s="378"/>
      <c r="TXV67" s="378"/>
      <c r="TXW67" s="378"/>
      <c r="TXX67" s="378"/>
      <c r="TXY67" s="378"/>
      <c r="TXZ67" s="378"/>
      <c r="TYA67" s="378"/>
      <c r="TYB67" s="378"/>
      <c r="TYC67" s="378"/>
      <c r="TYD67" s="378"/>
      <c r="TYE67" s="378"/>
      <c r="TYF67" s="378"/>
      <c r="TYG67" s="378"/>
      <c r="TYH67" s="378"/>
      <c r="TYI67" s="378"/>
      <c r="TYJ67" s="378"/>
      <c r="TYK67" s="378"/>
      <c r="TYL67" s="378"/>
      <c r="TYM67" s="378"/>
      <c r="TYN67" s="378"/>
      <c r="TYO67" s="378"/>
      <c r="TYP67" s="378"/>
      <c r="TYQ67" s="378"/>
      <c r="TYR67" s="378"/>
      <c r="TYS67" s="378"/>
      <c r="TYT67" s="378"/>
      <c r="TYU67" s="378"/>
      <c r="TYV67" s="378"/>
      <c r="TYW67" s="378"/>
      <c r="TYX67" s="378"/>
      <c r="TYY67" s="378"/>
      <c r="TYZ67" s="378"/>
      <c r="TZA67" s="378"/>
      <c r="TZB67" s="378"/>
      <c r="TZC67" s="378"/>
      <c r="TZD67" s="378"/>
      <c r="TZE67" s="378"/>
      <c r="TZF67" s="378"/>
      <c r="TZG67" s="378"/>
      <c r="TZH67" s="378"/>
      <c r="TZI67" s="378"/>
      <c r="TZJ67" s="378"/>
      <c r="TZK67" s="378"/>
      <c r="TZL67" s="378"/>
      <c r="TZM67" s="378"/>
      <c r="TZN67" s="378"/>
      <c r="TZO67" s="378"/>
      <c r="TZP67" s="378"/>
      <c r="TZQ67" s="378"/>
      <c r="TZR67" s="378"/>
      <c r="TZS67" s="378"/>
      <c r="TZT67" s="378"/>
      <c r="TZU67" s="378"/>
      <c r="TZV67" s="378"/>
      <c r="TZW67" s="378"/>
      <c r="TZX67" s="378"/>
      <c r="TZY67" s="378"/>
      <c r="TZZ67" s="378"/>
      <c r="UAA67" s="378"/>
      <c r="UAB67" s="378"/>
      <c r="UAC67" s="378"/>
      <c r="UAD67" s="378"/>
      <c r="UAE67" s="378"/>
      <c r="UAF67" s="378"/>
      <c r="UAG67" s="378"/>
      <c r="UAH67" s="378"/>
      <c r="UAI67" s="378"/>
      <c r="UAJ67" s="378"/>
      <c r="UAK67" s="378"/>
      <c r="UAL67" s="378"/>
      <c r="UAM67" s="378"/>
      <c r="UAN67" s="378"/>
      <c r="UAO67" s="378"/>
      <c r="UAP67" s="378"/>
      <c r="UAQ67" s="378"/>
      <c r="UAR67" s="378"/>
      <c r="UAS67" s="378"/>
      <c r="UAT67" s="378"/>
      <c r="UAU67" s="378"/>
      <c r="UAV67" s="378"/>
      <c r="UAW67" s="378"/>
      <c r="UAX67" s="378"/>
      <c r="UAY67" s="378"/>
      <c r="UAZ67" s="378"/>
      <c r="UBA67" s="378"/>
      <c r="UBB67" s="378"/>
      <c r="UBC67" s="378"/>
      <c r="UBD67" s="378"/>
      <c r="UBE67" s="378"/>
      <c r="UBF67" s="378"/>
      <c r="UBG67" s="378"/>
      <c r="UBH67" s="378"/>
      <c r="UBI67" s="378"/>
      <c r="UBJ67" s="378"/>
      <c r="UBK67" s="378"/>
      <c r="UBL67" s="378"/>
      <c r="UBM67" s="378"/>
      <c r="UBN67" s="378"/>
      <c r="UBO67" s="378"/>
      <c r="UBP67" s="378"/>
      <c r="UBQ67" s="378"/>
      <c r="UBR67" s="378"/>
      <c r="UBS67" s="378"/>
      <c r="UBT67" s="378"/>
      <c r="UBU67" s="378"/>
      <c r="UBV67" s="378"/>
      <c r="UBW67" s="378"/>
      <c r="UBX67" s="378"/>
      <c r="UBY67" s="378"/>
      <c r="UBZ67" s="378"/>
      <c r="UCA67" s="378"/>
      <c r="UCB67" s="378"/>
      <c r="UCC67" s="378"/>
      <c r="UCD67" s="378"/>
      <c r="UCE67" s="378"/>
      <c r="UCF67" s="378"/>
      <c r="UCG67" s="378"/>
      <c r="UCH67" s="378"/>
      <c r="UCI67" s="378"/>
      <c r="UCJ67" s="378"/>
      <c r="UCK67" s="378"/>
      <c r="UCL67" s="378"/>
      <c r="UCM67" s="378"/>
      <c r="UCN67" s="378"/>
      <c r="UCO67" s="378"/>
      <c r="UCP67" s="378"/>
      <c r="UCQ67" s="378"/>
      <c r="UCR67" s="378"/>
      <c r="UCS67" s="378"/>
      <c r="UCT67" s="378"/>
      <c r="UCU67" s="378"/>
      <c r="UCV67" s="378"/>
      <c r="UCW67" s="378"/>
      <c r="UCX67" s="378"/>
      <c r="UCY67" s="378"/>
      <c r="UCZ67" s="378"/>
      <c r="UDA67" s="378"/>
      <c r="UDB67" s="378"/>
      <c r="UDC67" s="378"/>
      <c r="UDD67" s="378"/>
      <c r="UDE67" s="378"/>
      <c r="UDF67" s="378"/>
      <c r="UDG67" s="378"/>
      <c r="UDH67" s="378"/>
      <c r="UDI67" s="378"/>
      <c r="UDJ67" s="378"/>
      <c r="UDK67" s="378"/>
      <c r="UDL67" s="378"/>
      <c r="UDM67" s="378"/>
      <c r="UDN67" s="378"/>
      <c r="UDO67" s="378"/>
      <c r="UDP67" s="378"/>
      <c r="UDQ67" s="378"/>
      <c r="UDR67" s="378"/>
      <c r="UDS67" s="378"/>
      <c r="UDT67" s="378"/>
      <c r="UDU67" s="378"/>
      <c r="UDV67" s="378"/>
      <c r="UDW67" s="378"/>
      <c r="UDX67" s="378"/>
      <c r="UDY67" s="378"/>
      <c r="UDZ67" s="378"/>
      <c r="UEA67" s="378"/>
      <c r="UEB67" s="378"/>
      <c r="UEC67" s="378"/>
      <c r="UED67" s="378"/>
      <c r="UEE67" s="378"/>
      <c r="UEF67" s="378"/>
      <c r="UEG67" s="378"/>
      <c r="UEH67" s="378"/>
      <c r="UEI67" s="378"/>
      <c r="UEJ67" s="378"/>
      <c r="UEK67" s="378"/>
      <c r="UEL67" s="378"/>
      <c r="UEM67" s="378"/>
      <c r="UEN67" s="378"/>
      <c r="UEO67" s="378"/>
      <c r="UEP67" s="378"/>
      <c r="UEQ67" s="378"/>
      <c r="UER67" s="378"/>
      <c r="UES67" s="378"/>
      <c r="UET67" s="378"/>
      <c r="UEU67" s="378"/>
      <c r="UEV67" s="378"/>
      <c r="UEW67" s="378"/>
      <c r="UEX67" s="378"/>
      <c r="UEY67" s="378"/>
      <c r="UEZ67" s="378"/>
      <c r="UFA67" s="378"/>
      <c r="UFB67" s="378"/>
      <c r="UFC67" s="378"/>
      <c r="UFD67" s="378"/>
      <c r="UFE67" s="378"/>
      <c r="UFF67" s="378"/>
      <c r="UFG67" s="378"/>
      <c r="UFH67" s="378"/>
      <c r="UFI67" s="378"/>
      <c r="UFJ67" s="378"/>
      <c r="UFK67" s="378"/>
      <c r="UFL67" s="378"/>
      <c r="UFM67" s="378"/>
      <c r="UFN67" s="378"/>
      <c r="UFO67" s="378"/>
      <c r="UFP67" s="378"/>
      <c r="UFQ67" s="378"/>
      <c r="UFR67" s="378"/>
      <c r="UFS67" s="378"/>
      <c r="UFT67" s="378"/>
      <c r="UFU67" s="378"/>
      <c r="UFV67" s="378"/>
      <c r="UFW67" s="378"/>
      <c r="UFX67" s="378"/>
      <c r="UFY67" s="378"/>
      <c r="UFZ67" s="378"/>
      <c r="UGA67" s="378"/>
      <c r="UGB67" s="378"/>
      <c r="UGC67" s="378"/>
      <c r="UGD67" s="378"/>
      <c r="UGE67" s="378"/>
      <c r="UGF67" s="378"/>
      <c r="UGG67" s="378"/>
      <c r="UGH67" s="378"/>
      <c r="UGI67" s="378"/>
      <c r="UGJ67" s="378"/>
      <c r="UGK67" s="378"/>
      <c r="UGL67" s="378"/>
      <c r="UGM67" s="378"/>
      <c r="UGN67" s="378"/>
      <c r="UGO67" s="378"/>
      <c r="UGP67" s="378"/>
      <c r="UGQ67" s="378"/>
      <c r="UGR67" s="378"/>
      <c r="UGS67" s="378"/>
      <c r="UGT67" s="378"/>
      <c r="UGU67" s="378"/>
      <c r="UGV67" s="378"/>
      <c r="UGW67" s="378"/>
      <c r="UGX67" s="378"/>
      <c r="UGY67" s="378"/>
      <c r="UGZ67" s="378"/>
      <c r="UHA67" s="378"/>
      <c r="UHB67" s="378"/>
      <c r="UHC67" s="378"/>
      <c r="UHD67" s="378"/>
      <c r="UHE67" s="378"/>
      <c r="UHF67" s="378"/>
      <c r="UHG67" s="378"/>
      <c r="UHH67" s="378"/>
      <c r="UHI67" s="378"/>
      <c r="UHJ67" s="378"/>
      <c r="UHK67" s="378"/>
      <c r="UHL67" s="378"/>
      <c r="UHM67" s="378"/>
      <c r="UHN67" s="378"/>
      <c r="UHO67" s="378"/>
      <c r="UHP67" s="378"/>
      <c r="UHQ67" s="378"/>
      <c r="UHR67" s="378"/>
      <c r="UHS67" s="378"/>
      <c r="UHT67" s="378"/>
      <c r="UHU67" s="378"/>
      <c r="UHV67" s="378"/>
      <c r="UHW67" s="378"/>
      <c r="UHX67" s="378"/>
      <c r="UHY67" s="378"/>
      <c r="UHZ67" s="378"/>
      <c r="UIA67" s="378"/>
      <c r="UIB67" s="378"/>
      <c r="UIC67" s="378"/>
      <c r="UID67" s="378"/>
      <c r="UIE67" s="378"/>
      <c r="UIF67" s="378"/>
      <c r="UIG67" s="378"/>
      <c r="UIH67" s="378"/>
      <c r="UII67" s="378"/>
      <c r="UIJ67" s="378"/>
      <c r="UIK67" s="378"/>
      <c r="UIL67" s="378"/>
      <c r="UIM67" s="378"/>
      <c r="UIN67" s="378"/>
      <c r="UIO67" s="378"/>
      <c r="UIP67" s="378"/>
      <c r="UIQ67" s="378"/>
      <c r="UIR67" s="378"/>
      <c r="UIS67" s="378"/>
      <c r="UIT67" s="378"/>
      <c r="UIU67" s="378"/>
      <c r="UIV67" s="378"/>
      <c r="UIW67" s="378"/>
      <c r="UIX67" s="378"/>
      <c r="UIY67" s="378"/>
      <c r="UIZ67" s="378"/>
      <c r="UJA67" s="378"/>
      <c r="UJB67" s="378"/>
      <c r="UJC67" s="378"/>
      <c r="UJD67" s="378"/>
      <c r="UJE67" s="378"/>
      <c r="UJF67" s="378"/>
      <c r="UJG67" s="378"/>
      <c r="UJH67" s="378"/>
      <c r="UJI67" s="378"/>
      <c r="UJJ67" s="378"/>
      <c r="UJK67" s="378"/>
      <c r="UJL67" s="378"/>
      <c r="UJM67" s="378"/>
      <c r="UJN67" s="378"/>
      <c r="UJO67" s="378"/>
      <c r="UJP67" s="378"/>
      <c r="UJQ67" s="378"/>
      <c r="UJR67" s="378"/>
      <c r="UJS67" s="378"/>
      <c r="UJT67" s="378"/>
      <c r="UJU67" s="378"/>
      <c r="UJV67" s="378"/>
      <c r="UJW67" s="378"/>
      <c r="UJX67" s="378"/>
      <c r="UJY67" s="378"/>
      <c r="UJZ67" s="378"/>
      <c r="UKA67" s="378"/>
      <c r="UKB67" s="378"/>
      <c r="UKC67" s="378"/>
      <c r="UKD67" s="378"/>
      <c r="UKE67" s="378"/>
      <c r="UKF67" s="378"/>
      <c r="UKG67" s="378"/>
      <c r="UKH67" s="378"/>
      <c r="UKI67" s="378"/>
      <c r="UKJ67" s="378"/>
      <c r="UKK67" s="378"/>
      <c r="UKL67" s="378"/>
      <c r="UKM67" s="378"/>
      <c r="UKN67" s="378"/>
      <c r="UKO67" s="378"/>
      <c r="UKP67" s="378"/>
      <c r="UKQ67" s="378"/>
      <c r="UKR67" s="378"/>
      <c r="UKS67" s="378"/>
      <c r="UKT67" s="378"/>
      <c r="UKU67" s="378"/>
      <c r="UKV67" s="378"/>
      <c r="UKW67" s="378"/>
      <c r="UKX67" s="378"/>
      <c r="UKY67" s="378"/>
      <c r="UKZ67" s="378"/>
      <c r="ULA67" s="378"/>
      <c r="ULB67" s="378"/>
      <c r="ULC67" s="378"/>
      <c r="ULD67" s="378"/>
      <c r="ULE67" s="378"/>
      <c r="ULF67" s="378"/>
      <c r="ULG67" s="378"/>
      <c r="ULH67" s="378"/>
      <c r="ULI67" s="378"/>
      <c r="ULJ67" s="378"/>
      <c r="ULK67" s="378"/>
      <c r="ULL67" s="378"/>
      <c r="ULM67" s="378"/>
      <c r="ULN67" s="378"/>
      <c r="ULO67" s="378"/>
      <c r="ULP67" s="378"/>
      <c r="ULQ67" s="378"/>
      <c r="ULR67" s="378"/>
      <c r="ULS67" s="378"/>
      <c r="ULT67" s="378"/>
      <c r="ULU67" s="378"/>
      <c r="ULV67" s="378"/>
      <c r="ULW67" s="378"/>
      <c r="ULX67" s="378"/>
      <c r="ULY67" s="378"/>
      <c r="ULZ67" s="378"/>
      <c r="UMA67" s="378"/>
      <c r="UMB67" s="378"/>
      <c r="UMC67" s="378"/>
      <c r="UMD67" s="378"/>
      <c r="UME67" s="378"/>
      <c r="UMF67" s="378"/>
      <c r="UMG67" s="378"/>
      <c r="UMH67" s="378"/>
      <c r="UMI67" s="378"/>
      <c r="UMJ67" s="378"/>
      <c r="UMK67" s="378"/>
      <c r="UML67" s="378"/>
      <c r="UMM67" s="378"/>
      <c r="UMN67" s="378"/>
      <c r="UMO67" s="378"/>
      <c r="UMP67" s="378"/>
      <c r="UMQ67" s="378"/>
      <c r="UMR67" s="378"/>
      <c r="UMS67" s="378"/>
      <c r="UMT67" s="378"/>
      <c r="UMU67" s="378"/>
      <c r="UMV67" s="378"/>
      <c r="UMW67" s="378"/>
      <c r="UMX67" s="378"/>
      <c r="UMY67" s="378"/>
      <c r="UMZ67" s="378"/>
      <c r="UNA67" s="378"/>
      <c r="UNB67" s="378"/>
      <c r="UNC67" s="378"/>
      <c r="UND67" s="378"/>
      <c r="UNE67" s="378"/>
      <c r="UNF67" s="378"/>
      <c r="UNG67" s="378"/>
      <c r="UNH67" s="378"/>
      <c r="UNI67" s="378"/>
      <c r="UNJ67" s="378"/>
      <c r="UNK67" s="378"/>
      <c r="UNL67" s="378"/>
      <c r="UNM67" s="378"/>
      <c r="UNN67" s="378"/>
      <c r="UNO67" s="378"/>
      <c r="UNP67" s="378"/>
      <c r="UNQ67" s="378"/>
      <c r="UNR67" s="378"/>
      <c r="UNS67" s="378"/>
      <c r="UNT67" s="378"/>
      <c r="UNU67" s="378"/>
      <c r="UNV67" s="378"/>
      <c r="UNW67" s="378"/>
      <c r="UNX67" s="378"/>
      <c r="UNY67" s="378"/>
      <c r="UNZ67" s="378"/>
      <c r="UOA67" s="378"/>
      <c r="UOB67" s="378"/>
      <c r="UOC67" s="378"/>
      <c r="UOD67" s="378"/>
      <c r="UOE67" s="378"/>
      <c r="UOF67" s="378"/>
      <c r="UOG67" s="378"/>
      <c r="UOH67" s="378"/>
      <c r="UOI67" s="378"/>
      <c r="UOJ67" s="378"/>
      <c r="UOK67" s="378"/>
      <c r="UOL67" s="378"/>
      <c r="UOM67" s="378"/>
      <c r="UON67" s="378"/>
      <c r="UOO67" s="378"/>
      <c r="UOP67" s="378"/>
      <c r="UOQ67" s="378"/>
      <c r="UOR67" s="378"/>
      <c r="UOS67" s="378"/>
      <c r="UOT67" s="378"/>
      <c r="UOU67" s="378"/>
      <c r="UOV67" s="378"/>
      <c r="UOW67" s="378"/>
      <c r="UOX67" s="378"/>
      <c r="UOY67" s="378"/>
      <c r="UOZ67" s="378"/>
      <c r="UPA67" s="378"/>
      <c r="UPB67" s="378"/>
      <c r="UPC67" s="378"/>
      <c r="UPD67" s="378"/>
      <c r="UPE67" s="378"/>
      <c r="UPF67" s="378"/>
      <c r="UPG67" s="378"/>
      <c r="UPH67" s="378"/>
      <c r="UPI67" s="378"/>
      <c r="UPJ67" s="378"/>
      <c r="UPK67" s="378"/>
      <c r="UPL67" s="378"/>
      <c r="UPM67" s="378"/>
      <c r="UPN67" s="378"/>
      <c r="UPO67" s="378"/>
      <c r="UPP67" s="378"/>
      <c r="UPQ67" s="378"/>
      <c r="UPR67" s="378"/>
      <c r="UPS67" s="378"/>
      <c r="UPT67" s="378"/>
      <c r="UPU67" s="378"/>
      <c r="UPV67" s="378"/>
      <c r="UPW67" s="378"/>
      <c r="UPX67" s="378"/>
      <c r="UPY67" s="378"/>
      <c r="UPZ67" s="378"/>
      <c r="UQA67" s="378"/>
      <c r="UQB67" s="378"/>
      <c r="UQC67" s="378"/>
      <c r="UQD67" s="378"/>
      <c r="UQE67" s="378"/>
      <c r="UQF67" s="378"/>
      <c r="UQG67" s="378"/>
      <c r="UQH67" s="378"/>
      <c r="UQI67" s="378"/>
      <c r="UQJ67" s="378"/>
      <c r="UQK67" s="378"/>
      <c r="UQL67" s="378"/>
      <c r="UQM67" s="378"/>
      <c r="UQN67" s="378"/>
      <c r="UQO67" s="378"/>
      <c r="UQP67" s="378"/>
      <c r="UQQ67" s="378"/>
      <c r="UQR67" s="378"/>
      <c r="UQS67" s="378"/>
      <c r="UQT67" s="378"/>
      <c r="UQU67" s="378"/>
      <c r="UQV67" s="378"/>
      <c r="UQW67" s="378"/>
      <c r="UQX67" s="378"/>
      <c r="UQY67" s="378"/>
      <c r="UQZ67" s="378"/>
      <c r="URA67" s="378"/>
      <c r="URB67" s="378"/>
      <c r="URC67" s="378"/>
      <c r="URD67" s="378"/>
      <c r="URE67" s="378"/>
      <c r="URF67" s="378"/>
      <c r="URG67" s="378"/>
      <c r="URH67" s="378"/>
      <c r="URI67" s="378"/>
      <c r="URJ67" s="378"/>
      <c r="URK67" s="378"/>
      <c r="URL67" s="378"/>
      <c r="URM67" s="378"/>
      <c r="URN67" s="378"/>
      <c r="URO67" s="378"/>
      <c r="URP67" s="378"/>
      <c r="URQ67" s="378"/>
      <c r="URR67" s="378"/>
      <c r="URS67" s="378"/>
      <c r="URT67" s="378"/>
      <c r="URU67" s="378"/>
      <c r="URV67" s="378"/>
      <c r="URW67" s="378"/>
      <c r="URX67" s="378"/>
      <c r="URY67" s="378"/>
      <c r="URZ67" s="378"/>
      <c r="USA67" s="378"/>
      <c r="USB67" s="378"/>
      <c r="USC67" s="378"/>
      <c r="USD67" s="378"/>
      <c r="USE67" s="378"/>
      <c r="USF67" s="378"/>
      <c r="USG67" s="378"/>
      <c r="USH67" s="378"/>
      <c r="USI67" s="378"/>
      <c r="USJ67" s="378"/>
      <c r="USK67" s="378"/>
      <c r="USL67" s="378"/>
      <c r="USM67" s="378"/>
      <c r="USN67" s="378"/>
      <c r="USO67" s="378"/>
      <c r="USP67" s="378"/>
      <c r="USQ67" s="378"/>
      <c r="USR67" s="378"/>
      <c r="USS67" s="378"/>
      <c r="UST67" s="378"/>
      <c r="USU67" s="378"/>
      <c r="USV67" s="378"/>
      <c r="USW67" s="378"/>
      <c r="USX67" s="378"/>
      <c r="USY67" s="378"/>
      <c r="USZ67" s="378"/>
      <c r="UTA67" s="378"/>
      <c r="UTB67" s="378"/>
      <c r="UTC67" s="378"/>
      <c r="UTD67" s="378"/>
      <c r="UTE67" s="378"/>
      <c r="UTF67" s="378"/>
      <c r="UTG67" s="378"/>
      <c r="UTH67" s="378"/>
      <c r="UTI67" s="378"/>
      <c r="UTJ67" s="378"/>
      <c r="UTK67" s="378"/>
      <c r="UTL67" s="378"/>
      <c r="UTM67" s="378"/>
      <c r="UTN67" s="378"/>
      <c r="UTO67" s="378"/>
      <c r="UTP67" s="378"/>
      <c r="UTQ67" s="378"/>
      <c r="UTR67" s="378"/>
      <c r="UTS67" s="378"/>
      <c r="UTT67" s="378"/>
      <c r="UTU67" s="378"/>
      <c r="UTV67" s="378"/>
      <c r="UTW67" s="378"/>
      <c r="UTX67" s="378"/>
      <c r="UTY67" s="378"/>
      <c r="UTZ67" s="378"/>
      <c r="UUA67" s="378"/>
      <c r="UUB67" s="378"/>
      <c r="UUC67" s="378"/>
      <c r="UUD67" s="378"/>
      <c r="UUE67" s="378"/>
      <c r="UUF67" s="378"/>
      <c r="UUG67" s="378"/>
      <c r="UUH67" s="378"/>
      <c r="UUI67" s="378"/>
      <c r="UUJ67" s="378"/>
      <c r="UUK67" s="378"/>
      <c r="UUL67" s="378"/>
      <c r="UUM67" s="378"/>
      <c r="UUN67" s="378"/>
      <c r="UUO67" s="378"/>
      <c r="UUP67" s="378"/>
      <c r="UUQ67" s="378"/>
      <c r="UUR67" s="378"/>
      <c r="UUS67" s="378"/>
      <c r="UUT67" s="378"/>
      <c r="UUU67" s="378"/>
      <c r="UUV67" s="378"/>
      <c r="UUW67" s="378"/>
      <c r="UUX67" s="378"/>
      <c r="UUY67" s="378"/>
      <c r="UUZ67" s="378"/>
      <c r="UVA67" s="378"/>
      <c r="UVB67" s="378"/>
      <c r="UVC67" s="378"/>
      <c r="UVD67" s="378"/>
      <c r="UVE67" s="378"/>
      <c r="UVF67" s="378"/>
      <c r="UVG67" s="378"/>
      <c r="UVH67" s="378"/>
      <c r="UVI67" s="378"/>
      <c r="UVJ67" s="378"/>
      <c r="UVK67" s="378"/>
      <c r="UVL67" s="378"/>
      <c r="UVM67" s="378"/>
      <c r="UVN67" s="378"/>
      <c r="UVO67" s="378"/>
      <c r="UVP67" s="378"/>
      <c r="UVQ67" s="378"/>
      <c r="UVR67" s="378"/>
      <c r="UVS67" s="378"/>
      <c r="UVT67" s="378"/>
      <c r="UVU67" s="378"/>
      <c r="UVV67" s="378"/>
      <c r="UVW67" s="378"/>
      <c r="UVX67" s="378"/>
      <c r="UVY67" s="378"/>
      <c r="UVZ67" s="378"/>
      <c r="UWA67" s="378"/>
      <c r="UWB67" s="378"/>
      <c r="UWC67" s="378"/>
      <c r="UWD67" s="378"/>
      <c r="UWE67" s="378"/>
      <c r="UWF67" s="378"/>
      <c r="UWG67" s="378"/>
      <c r="UWH67" s="378"/>
      <c r="UWI67" s="378"/>
      <c r="UWJ67" s="378"/>
      <c r="UWK67" s="378"/>
      <c r="UWL67" s="378"/>
      <c r="UWM67" s="378"/>
      <c r="UWN67" s="378"/>
      <c r="UWO67" s="378"/>
      <c r="UWP67" s="378"/>
      <c r="UWQ67" s="378"/>
      <c r="UWR67" s="378"/>
      <c r="UWS67" s="378"/>
      <c r="UWT67" s="378"/>
      <c r="UWU67" s="378"/>
      <c r="UWV67" s="378"/>
      <c r="UWW67" s="378"/>
      <c r="UWX67" s="378"/>
      <c r="UWY67" s="378"/>
      <c r="UWZ67" s="378"/>
      <c r="UXA67" s="378"/>
      <c r="UXB67" s="378"/>
      <c r="UXC67" s="378"/>
      <c r="UXD67" s="378"/>
      <c r="UXE67" s="378"/>
      <c r="UXF67" s="378"/>
      <c r="UXG67" s="378"/>
      <c r="UXH67" s="378"/>
      <c r="UXI67" s="378"/>
      <c r="UXJ67" s="378"/>
      <c r="UXK67" s="378"/>
      <c r="UXL67" s="378"/>
      <c r="UXM67" s="378"/>
      <c r="UXN67" s="378"/>
      <c r="UXO67" s="378"/>
      <c r="UXP67" s="378"/>
      <c r="UXQ67" s="378"/>
      <c r="UXR67" s="378"/>
      <c r="UXS67" s="378"/>
      <c r="UXT67" s="378"/>
      <c r="UXU67" s="378"/>
      <c r="UXV67" s="378"/>
      <c r="UXW67" s="378"/>
      <c r="UXX67" s="378"/>
      <c r="UXY67" s="378"/>
      <c r="UXZ67" s="378"/>
      <c r="UYA67" s="378"/>
      <c r="UYB67" s="378"/>
      <c r="UYC67" s="378"/>
      <c r="UYD67" s="378"/>
      <c r="UYE67" s="378"/>
      <c r="UYF67" s="378"/>
      <c r="UYG67" s="378"/>
      <c r="UYH67" s="378"/>
      <c r="UYI67" s="378"/>
      <c r="UYJ67" s="378"/>
      <c r="UYK67" s="378"/>
      <c r="UYL67" s="378"/>
      <c r="UYM67" s="378"/>
      <c r="UYN67" s="378"/>
      <c r="UYO67" s="378"/>
      <c r="UYP67" s="378"/>
      <c r="UYQ67" s="378"/>
      <c r="UYR67" s="378"/>
      <c r="UYS67" s="378"/>
      <c r="UYT67" s="378"/>
      <c r="UYU67" s="378"/>
      <c r="UYV67" s="378"/>
      <c r="UYW67" s="378"/>
      <c r="UYX67" s="378"/>
      <c r="UYY67" s="378"/>
      <c r="UYZ67" s="378"/>
      <c r="UZA67" s="378"/>
      <c r="UZB67" s="378"/>
      <c r="UZC67" s="378"/>
      <c r="UZD67" s="378"/>
      <c r="UZE67" s="378"/>
      <c r="UZF67" s="378"/>
      <c r="UZG67" s="378"/>
      <c r="UZH67" s="378"/>
      <c r="UZI67" s="378"/>
      <c r="UZJ67" s="378"/>
      <c r="UZK67" s="378"/>
      <c r="UZL67" s="378"/>
      <c r="UZM67" s="378"/>
      <c r="UZN67" s="378"/>
      <c r="UZO67" s="378"/>
      <c r="UZP67" s="378"/>
      <c r="UZQ67" s="378"/>
      <c r="UZR67" s="378"/>
      <c r="UZS67" s="378"/>
      <c r="UZT67" s="378"/>
      <c r="UZU67" s="378"/>
      <c r="UZV67" s="378"/>
      <c r="UZW67" s="378"/>
      <c r="UZX67" s="378"/>
      <c r="UZY67" s="378"/>
      <c r="UZZ67" s="378"/>
      <c r="VAA67" s="378"/>
      <c r="VAB67" s="378"/>
      <c r="VAC67" s="378"/>
      <c r="VAD67" s="378"/>
      <c r="VAE67" s="378"/>
      <c r="VAF67" s="378"/>
      <c r="VAG67" s="378"/>
      <c r="VAH67" s="378"/>
      <c r="VAI67" s="378"/>
      <c r="VAJ67" s="378"/>
      <c r="VAK67" s="378"/>
      <c r="VAL67" s="378"/>
      <c r="VAM67" s="378"/>
      <c r="VAN67" s="378"/>
      <c r="VAO67" s="378"/>
      <c r="VAP67" s="378"/>
      <c r="VAQ67" s="378"/>
      <c r="VAR67" s="378"/>
      <c r="VAS67" s="378"/>
      <c r="VAT67" s="378"/>
      <c r="VAU67" s="378"/>
      <c r="VAV67" s="378"/>
      <c r="VAW67" s="378"/>
      <c r="VAX67" s="378"/>
      <c r="VAY67" s="378"/>
      <c r="VAZ67" s="378"/>
      <c r="VBA67" s="378"/>
      <c r="VBB67" s="378"/>
      <c r="VBC67" s="378"/>
      <c r="VBD67" s="378"/>
      <c r="VBE67" s="378"/>
      <c r="VBF67" s="378"/>
      <c r="VBG67" s="378"/>
      <c r="VBH67" s="378"/>
      <c r="VBI67" s="378"/>
      <c r="VBJ67" s="378"/>
      <c r="VBK67" s="378"/>
      <c r="VBL67" s="378"/>
      <c r="VBM67" s="378"/>
      <c r="VBN67" s="378"/>
      <c r="VBO67" s="378"/>
      <c r="VBP67" s="378"/>
      <c r="VBQ67" s="378"/>
      <c r="VBR67" s="378"/>
      <c r="VBS67" s="378"/>
      <c r="VBT67" s="378"/>
      <c r="VBU67" s="378"/>
      <c r="VBV67" s="378"/>
      <c r="VBW67" s="378"/>
      <c r="VBX67" s="378"/>
      <c r="VBY67" s="378"/>
      <c r="VBZ67" s="378"/>
      <c r="VCA67" s="378"/>
      <c r="VCB67" s="378"/>
      <c r="VCC67" s="378"/>
      <c r="VCD67" s="378"/>
      <c r="VCE67" s="378"/>
      <c r="VCF67" s="378"/>
      <c r="VCG67" s="378"/>
      <c r="VCH67" s="378"/>
      <c r="VCI67" s="378"/>
      <c r="VCJ67" s="378"/>
      <c r="VCK67" s="378"/>
      <c r="VCL67" s="378"/>
      <c r="VCM67" s="378"/>
      <c r="VCN67" s="378"/>
      <c r="VCO67" s="378"/>
      <c r="VCP67" s="378"/>
      <c r="VCQ67" s="378"/>
      <c r="VCR67" s="378"/>
      <c r="VCS67" s="378"/>
      <c r="VCT67" s="378"/>
      <c r="VCU67" s="378"/>
      <c r="VCV67" s="378"/>
      <c r="VCW67" s="378"/>
      <c r="VCX67" s="378"/>
      <c r="VCY67" s="378"/>
      <c r="VCZ67" s="378"/>
      <c r="VDA67" s="378"/>
      <c r="VDB67" s="378"/>
      <c r="VDC67" s="378"/>
      <c r="VDD67" s="378"/>
      <c r="VDE67" s="378"/>
      <c r="VDF67" s="378"/>
      <c r="VDG67" s="378"/>
      <c r="VDH67" s="378"/>
      <c r="VDI67" s="378"/>
      <c r="VDJ67" s="378"/>
      <c r="VDK67" s="378"/>
      <c r="VDL67" s="378"/>
      <c r="VDM67" s="378"/>
      <c r="VDN67" s="378"/>
      <c r="VDO67" s="378"/>
      <c r="VDP67" s="378"/>
      <c r="VDQ67" s="378"/>
      <c r="VDR67" s="378"/>
      <c r="VDS67" s="378"/>
      <c r="VDT67" s="378"/>
      <c r="VDU67" s="378"/>
      <c r="VDV67" s="378"/>
      <c r="VDW67" s="378"/>
      <c r="VDX67" s="378"/>
      <c r="VDY67" s="378"/>
      <c r="VDZ67" s="378"/>
      <c r="VEA67" s="378"/>
      <c r="VEB67" s="378"/>
      <c r="VEC67" s="378"/>
      <c r="VED67" s="378"/>
      <c r="VEE67" s="378"/>
      <c r="VEF67" s="378"/>
      <c r="VEG67" s="378"/>
      <c r="VEH67" s="378"/>
      <c r="VEI67" s="378"/>
      <c r="VEJ67" s="378"/>
      <c r="VEK67" s="378"/>
      <c r="VEL67" s="378"/>
      <c r="VEM67" s="378"/>
      <c r="VEN67" s="378"/>
      <c r="VEO67" s="378"/>
      <c r="VEP67" s="378"/>
      <c r="VEQ67" s="378"/>
      <c r="VER67" s="378"/>
      <c r="VES67" s="378"/>
      <c r="VET67" s="378"/>
      <c r="VEU67" s="378"/>
      <c r="VEV67" s="378"/>
      <c r="VEW67" s="378"/>
      <c r="VEX67" s="378"/>
      <c r="VEY67" s="378"/>
      <c r="VEZ67" s="378"/>
      <c r="VFA67" s="378"/>
      <c r="VFB67" s="378"/>
      <c r="VFC67" s="378"/>
      <c r="VFD67" s="378"/>
      <c r="VFE67" s="378"/>
      <c r="VFF67" s="378"/>
      <c r="VFG67" s="378"/>
      <c r="VFH67" s="378"/>
      <c r="VFI67" s="378"/>
      <c r="VFJ67" s="378"/>
      <c r="VFK67" s="378"/>
      <c r="VFL67" s="378"/>
      <c r="VFM67" s="378"/>
      <c r="VFN67" s="378"/>
      <c r="VFO67" s="378"/>
      <c r="VFP67" s="378"/>
      <c r="VFQ67" s="378"/>
      <c r="VFR67" s="378"/>
      <c r="VFS67" s="378"/>
      <c r="VFT67" s="378"/>
      <c r="VFU67" s="378"/>
      <c r="VFV67" s="378"/>
      <c r="VFW67" s="378"/>
      <c r="VFX67" s="378"/>
      <c r="VFY67" s="378"/>
      <c r="VFZ67" s="378"/>
      <c r="VGA67" s="378"/>
      <c r="VGB67" s="378"/>
      <c r="VGC67" s="378"/>
      <c r="VGD67" s="378"/>
      <c r="VGE67" s="378"/>
      <c r="VGF67" s="378"/>
      <c r="VGG67" s="378"/>
      <c r="VGH67" s="378"/>
      <c r="VGI67" s="378"/>
      <c r="VGJ67" s="378"/>
      <c r="VGK67" s="378"/>
      <c r="VGL67" s="378"/>
      <c r="VGM67" s="378"/>
      <c r="VGN67" s="378"/>
      <c r="VGO67" s="378"/>
      <c r="VGP67" s="378"/>
      <c r="VGQ67" s="378"/>
      <c r="VGR67" s="378"/>
      <c r="VGS67" s="378"/>
      <c r="VGT67" s="378"/>
      <c r="VGU67" s="378"/>
      <c r="VGV67" s="378"/>
      <c r="VGW67" s="378"/>
      <c r="VGX67" s="378"/>
      <c r="VGY67" s="378"/>
      <c r="VGZ67" s="378"/>
      <c r="VHA67" s="378"/>
      <c r="VHB67" s="378"/>
      <c r="VHC67" s="378"/>
      <c r="VHD67" s="378"/>
      <c r="VHE67" s="378"/>
      <c r="VHF67" s="378"/>
      <c r="VHG67" s="378"/>
      <c r="VHH67" s="378"/>
      <c r="VHI67" s="378"/>
      <c r="VHJ67" s="378"/>
      <c r="VHK67" s="378"/>
      <c r="VHL67" s="378"/>
      <c r="VHM67" s="378"/>
      <c r="VHN67" s="378"/>
      <c r="VHO67" s="378"/>
      <c r="VHP67" s="378"/>
      <c r="VHQ67" s="378"/>
      <c r="VHR67" s="378"/>
      <c r="VHS67" s="378"/>
      <c r="VHT67" s="378"/>
      <c r="VHU67" s="378"/>
      <c r="VHV67" s="378"/>
      <c r="VHW67" s="378"/>
      <c r="VHX67" s="378"/>
      <c r="VHY67" s="378"/>
      <c r="VHZ67" s="378"/>
      <c r="VIA67" s="378"/>
      <c r="VIB67" s="378"/>
      <c r="VIC67" s="378"/>
      <c r="VID67" s="378"/>
      <c r="VIE67" s="378"/>
      <c r="VIF67" s="378"/>
      <c r="VIG67" s="378"/>
      <c r="VIH67" s="378"/>
      <c r="VII67" s="378"/>
      <c r="VIJ67" s="378"/>
      <c r="VIK67" s="378"/>
      <c r="VIL67" s="378"/>
      <c r="VIM67" s="378"/>
      <c r="VIN67" s="378"/>
      <c r="VIO67" s="378"/>
      <c r="VIP67" s="378"/>
      <c r="VIQ67" s="378"/>
      <c r="VIR67" s="378"/>
      <c r="VIS67" s="378"/>
      <c r="VIT67" s="378"/>
      <c r="VIU67" s="378"/>
      <c r="VIV67" s="378"/>
      <c r="VIW67" s="378"/>
      <c r="VIX67" s="378"/>
      <c r="VIY67" s="378"/>
      <c r="VIZ67" s="378"/>
      <c r="VJA67" s="378"/>
      <c r="VJB67" s="378"/>
      <c r="VJC67" s="378"/>
      <c r="VJD67" s="378"/>
      <c r="VJE67" s="378"/>
      <c r="VJF67" s="378"/>
      <c r="VJG67" s="378"/>
      <c r="VJH67" s="378"/>
      <c r="VJI67" s="378"/>
      <c r="VJJ67" s="378"/>
      <c r="VJK67" s="378"/>
      <c r="VJL67" s="378"/>
      <c r="VJM67" s="378"/>
      <c r="VJN67" s="378"/>
      <c r="VJO67" s="378"/>
      <c r="VJP67" s="378"/>
      <c r="VJQ67" s="378"/>
      <c r="VJR67" s="378"/>
      <c r="VJS67" s="378"/>
      <c r="VJT67" s="378"/>
      <c r="VJU67" s="378"/>
      <c r="VJV67" s="378"/>
      <c r="VJW67" s="378"/>
      <c r="VJX67" s="378"/>
      <c r="VJY67" s="378"/>
      <c r="VJZ67" s="378"/>
      <c r="VKA67" s="378"/>
      <c r="VKB67" s="378"/>
      <c r="VKC67" s="378"/>
      <c r="VKD67" s="378"/>
      <c r="VKE67" s="378"/>
      <c r="VKF67" s="378"/>
      <c r="VKG67" s="378"/>
      <c r="VKH67" s="378"/>
      <c r="VKI67" s="378"/>
      <c r="VKJ67" s="378"/>
      <c r="VKK67" s="378"/>
      <c r="VKL67" s="378"/>
      <c r="VKM67" s="378"/>
      <c r="VKN67" s="378"/>
      <c r="VKO67" s="378"/>
      <c r="VKP67" s="378"/>
      <c r="VKQ67" s="378"/>
      <c r="VKR67" s="378"/>
      <c r="VKS67" s="378"/>
      <c r="VKT67" s="378"/>
      <c r="VKU67" s="378"/>
      <c r="VKV67" s="378"/>
      <c r="VKW67" s="378"/>
      <c r="VKX67" s="378"/>
      <c r="VKY67" s="378"/>
      <c r="VKZ67" s="378"/>
      <c r="VLA67" s="378"/>
      <c r="VLB67" s="378"/>
      <c r="VLC67" s="378"/>
      <c r="VLD67" s="378"/>
      <c r="VLE67" s="378"/>
      <c r="VLF67" s="378"/>
      <c r="VLG67" s="378"/>
      <c r="VLH67" s="378"/>
      <c r="VLI67" s="378"/>
      <c r="VLJ67" s="378"/>
      <c r="VLK67" s="378"/>
      <c r="VLL67" s="378"/>
      <c r="VLM67" s="378"/>
      <c r="VLN67" s="378"/>
      <c r="VLO67" s="378"/>
      <c r="VLP67" s="378"/>
      <c r="VLQ67" s="378"/>
      <c r="VLR67" s="378"/>
      <c r="VLS67" s="378"/>
      <c r="VLT67" s="378"/>
      <c r="VLU67" s="378"/>
      <c r="VLV67" s="378"/>
      <c r="VLW67" s="378"/>
      <c r="VLX67" s="378"/>
      <c r="VLY67" s="378"/>
      <c r="VLZ67" s="378"/>
      <c r="VMA67" s="378"/>
      <c r="VMB67" s="378"/>
      <c r="VMC67" s="378"/>
      <c r="VMD67" s="378"/>
      <c r="VME67" s="378"/>
      <c r="VMF67" s="378"/>
      <c r="VMG67" s="378"/>
      <c r="VMH67" s="378"/>
      <c r="VMI67" s="378"/>
      <c r="VMJ67" s="378"/>
      <c r="VMK67" s="378"/>
      <c r="VML67" s="378"/>
      <c r="VMM67" s="378"/>
      <c r="VMN67" s="378"/>
      <c r="VMO67" s="378"/>
      <c r="VMP67" s="378"/>
      <c r="VMQ67" s="378"/>
      <c r="VMR67" s="378"/>
      <c r="VMS67" s="378"/>
      <c r="VMT67" s="378"/>
      <c r="VMU67" s="378"/>
      <c r="VMV67" s="378"/>
      <c r="VMW67" s="378"/>
      <c r="VMX67" s="378"/>
      <c r="VMY67" s="378"/>
      <c r="VMZ67" s="378"/>
      <c r="VNA67" s="378"/>
      <c r="VNB67" s="378"/>
      <c r="VNC67" s="378"/>
      <c r="VND67" s="378"/>
      <c r="VNE67" s="378"/>
      <c r="VNF67" s="378"/>
      <c r="VNG67" s="378"/>
      <c r="VNH67" s="378"/>
      <c r="VNI67" s="378"/>
      <c r="VNJ67" s="378"/>
      <c r="VNK67" s="378"/>
      <c r="VNL67" s="378"/>
      <c r="VNM67" s="378"/>
      <c r="VNN67" s="378"/>
      <c r="VNO67" s="378"/>
      <c r="VNP67" s="378"/>
      <c r="VNQ67" s="378"/>
      <c r="VNR67" s="378"/>
      <c r="VNS67" s="378"/>
      <c r="VNT67" s="378"/>
      <c r="VNU67" s="378"/>
      <c r="VNV67" s="378"/>
      <c r="VNW67" s="378"/>
      <c r="VNX67" s="378"/>
      <c r="VNY67" s="378"/>
      <c r="VNZ67" s="378"/>
      <c r="VOA67" s="378"/>
      <c r="VOB67" s="378"/>
      <c r="VOC67" s="378"/>
      <c r="VOD67" s="378"/>
      <c r="VOE67" s="378"/>
      <c r="VOF67" s="378"/>
      <c r="VOG67" s="378"/>
      <c r="VOH67" s="378"/>
      <c r="VOI67" s="378"/>
      <c r="VOJ67" s="378"/>
      <c r="VOK67" s="378"/>
      <c r="VOL67" s="378"/>
      <c r="VOM67" s="378"/>
      <c r="VON67" s="378"/>
      <c r="VOO67" s="378"/>
      <c r="VOP67" s="378"/>
      <c r="VOQ67" s="378"/>
      <c r="VOR67" s="378"/>
      <c r="VOS67" s="378"/>
      <c r="VOT67" s="378"/>
      <c r="VOU67" s="378"/>
      <c r="VOV67" s="378"/>
      <c r="VOW67" s="378"/>
      <c r="VOX67" s="378"/>
      <c r="VOY67" s="378"/>
      <c r="VOZ67" s="378"/>
      <c r="VPA67" s="378"/>
      <c r="VPB67" s="378"/>
      <c r="VPC67" s="378"/>
      <c r="VPD67" s="378"/>
      <c r="VPE67" s="378"/>
      <c r="VPF67" s="378"/>
      <c r="VPG67" s="378"/>
      <c r="VPH67" s="378"/>
      <c r="VPI67" s="378"/>
      <c r="VPJ67" s="378"/>
      <c r="VPK67" s="378"/>
      <c r="VPL67" s="378"/>
      <c r="VPM67" s="378"/>
      <c r="VPN67" s="378"/>
      <c r="VPO67" s="378"/>
      <c r="VPP67" s="378"/>
      <c r="VPQ67" s="378"/>
      <c r="VPR67" s="378"/>
      <c r="VPS67" s="378"/>
      <c r="VPT67" s="378"/>
      <c r="VPU67" s="378"/>
      <c r="VPV67" s="378"/>
      <c r="VPW67" s="378"/>
      <c r="VPX67" s="378"/>
      <c r="VPY67" s="378"/>
      <c r="VPZ67" s="378"/>
      <c r="VQA67" s="378"/>
      <c r="VQB67" s="378"/>
      <c r="VQC67" s="378"/>
      <c r="VQD67" s="378"/>
      <c r="VQE67" s="378"/>
      <c r="VQF67" s="378"/>
      <c r="VQG67" s="378"/>
      <c r="VQH67" s="378"/>
      <c r="VQI67" s="378"/>
      <c r="VQJ67" s="378"/>
      <c r="VQK67" s="378"/>
      <c r="VQL67" s="378"/>
      <c r="VQM67" s="378"/>
      <c r="VQN67" s="378"/>
      <c r="VQO67" s="378"/>
      <c r="VQP67" s="378"/>
      <c r="VQQ67" s="378"/>
      <c r="VQR67" s="378"/>
      <c r="VQS67" s="378"/>
      <c r="VQT67" s="378"/>
      <c r="VQU67" s="378"/>
      <c r="VQV67" s="378"/>
      <c r="VQW67" s="378"/>
      <c r="VQX67" s="378"/>
      <c r="VQY67" s="378"/>
      <c r="VQZ67" s="378"/>
      <c r="VRA67" s="378"/>
      <c r="VRB67" s="378"/>
      <c r="VRC67" s="378"/>
      <c r="VRD67" s="378"/>
      <c r="VRE67" s="378"/>
      <c r="VRF67" s="378"/>
      <c r="VRG67" s="378"/>
      <c r="VRH67" s="378"/>
      <c r="VRI67" s="378"/>
      <c r="VRJ67" s="378"/>
      <c r="VRK67" s="378"/>
      <c r="VRL67" s="378"/>
      <c r="VRM67" s="378"/>
      <c r="VRN67" s="378"/>
      <c r="VRO67" s="378"/>
      <c r="VRP67" s="378"/>
      <c r="VRQ67" s="378"/>
      <c r="VRR67" s="378"/>
      <c r="VRS67" s="378"/>
      <c r="VRT67" s="378"/>
      <c r="VRU67" s="378"/>
      <c r="VRV67" s="378"/>
      <c r="VRW67" s="378"/>
      <c r="VRX67" s="378"/>
      <c r="VRY67" s="378"/>
      <c r="VRZ67" s="378"/>
      <c r="VSA67" s="378"/>
      <c r="VSB67" s="378"/>
      <c r="VSC67" s="378"/>
      <c r="VSD67" s="378"/>
      <c r="VSE67" s="378"/>
      <c r="VSF67" s="378"/>
      <c r="VSG67" s="378"/>
      <c r="VSH67" s="378"/>
      <c r="VSI67" s="378"/>
      <c r="VSJ67" s="378"/>
      <c r="VSK67" s="378"/>
      <c r="VSL67" s="378"/>
      <c r="VSM67" s="378"/>
      <c r="VSN67" s="378"/>
      <c r="VSO67" s="378"/>
      <c r="VSP67" s="378"/>
      <c r="VSQ67" s="378"/>
      <c r="VSR67" s="378"/>
      <c r="VSS67" s="378"/>
      <c r="VST67" s="378"/>
      <c r="VSU67" s="378"/>
      <c r="VSV67" s="378"/>
      <c r="VSW67" s="378"/>
      <c r="VSX67" s="378"/>
      <c r="VSY67" s="378"/>
      <c r="VSZ67" s="378"/>
      <c r="VTA67" s="378"/>
      <c r="VTB67" s="378"/>
      <c r="VTC67" s="378"/>
      <c r="VTD67" s="378"/>
      <c r="VTE67" s="378"/>
      <c r="VTF67" s="378"/>
      <c r="VTG67" s="378"/>
      <c r="VTH67" s="378"/>
      <c r="VTI67" s="378"/>
      <c r="VTJ67" s="378"/>
      <c r="VTK67" s="378"/>
      <c r="VTL67" s="378"/>
      <c r="VTM67" s="378"/>
      <c r="VTN67" s="378"/>
      <c r="VTO67" s="378"/>
      <c r="VTP67" s="378"/>
      <c r="VTQ67" s="378"/>
      <c r="VTR67" s="378"/>
      <c r="VTS67" s="378"/>
      <c r="VTT67" s="378"/>
      <c r="VTU67" s="378"/>
      <c r="VTV67" s="378"/>
      <c r="VTW67" s="378"/>
      <c r="VTX67" s="378"/>
      <c r="VTY67" s="378"/>
      <c r="VTZ67" s="378"/>
      <c r="VUA67" s="378"/>
      <c r="VUB67" s="378"/>
      <c r="VUC67" s="378"/>
      <c r="VUD67" s="378"/>
      <c r="VUE67" s="378"/>
      <c r="VUF67" s="378"/>
      <c r="VUG67" s="378"/>
      <c r="VUH67" s="378"/>
      <c r="VUI67" s="378"/>
      <c r="VUJ67" s="378"/>
      <c r="VUK67" s="378"/>
      <c r="VUL67" s="378"/>
      <c r="VUM67" s="378"/>
      <c r="VUN67" s="378"/>
      <c r="VUO67" s="378"/>
      <c r="VUP67" s="378"/>
      <c r="VUQ67" s="378"/>
      <c r="VUR67" s="378"/>
      <c r="VUS67" s="378"/>
      <c r="VUT67" s="378"/>
      <c r="VUU67" s="378"/>
      <c r="VUV67" s="378"/>
      <c r="VUW67" s="378"/>
      <c r="VUX67" s="378"/>
      <c r="VUY67" s="378"/>
      <c r="VUZ67" s="378"/>
      <c r="VVA67" s="378"/>
      <c r="VVB67" s="378"/>
      <c r="VVC67" s="378"/>
      <c r="VVD67" s="378"/>
      <c r="VVE67" s="378"/>
      <c r="VVF67" s="378"/>
      <c r="VVG67" s="378"/>
      <c r="VVH67" s="378"/>
      <c r="VVI67" s="378"/>
      <c r="VVJ67" s="378"/>
      <c r="VVK67" s="378"/>
      <c r="VVL67" s="378"/>
      <c r="VVM67" s="378"/>
      <c r="VVN67" s="378"/>
      <c r="VVO67" s="378"/>
      <c r="VVP67" s="378"/>
      <c r="VVQ67" s="378"/>
      <c r="VVR67" s="378"/>
      <c r="VVS67" s="378"/>
      <c r="VVT67" s="378"/>
      <c r="VVU67" s="378"/>
      <c r="VVV67" s="378"/>
      <c r="VVW67" s="378"/>
      <c r="VVX67" s="378"/>
      <c r="VVY67" s="378"/>
      <c r="VVZ67" s="378"/>
      <c r="VWA67" s="378"/>
      <c r="VWB67" s="378"/>
      <c r="VWC67" s="378"/>
      <c r="VWD67" s="378"/>
      <c r="VWE67" s="378"/>
      <c r="VWF67" s="378"/>
      <c r="VWG67" s="378"/>
      <c r="VWH67" s="378"/>
      <c r="VWI67" s="378"/>
      <c r="VWJ67" s="378"/>
      <c r="VWK67" s="378"/>
      <c r="VWL67" s="378"/>
      <c r="VWM67" s="378"/>
      <c r="VWN67" s="378"/>
      <c r="VWO67" s="378"/>
      <c r="VWP67" s="378"/>
      <c r="VWQ67" s="378"/>
      <c r="VWR67" s="378"/>
      <c r="VWS67" s="378"/>
      <c r="VWT67" s="378"/>
      <c r="VWU67" s="378"/>
      <c r="VWV67" s="378"/>
      <c r="VWW67" s="378"/>
      <c r="VWX67" s="378"/>
      <c r="VWY67" s="378"/>
      <c r="VWZ67" s="378"/>
      <c r="VXA67" s="378"/>
      <c r="VXB67" s="378"/>
      <c r="VXC67" s="378"/>
      <c r="VXD67" s="378"/>
      <c r="VXE67" s="378"/>
      <c r="VXF67" s="378"/>
      <c r="VXG67" s="378"/>
      <c r="VXH67" s="378"/>
      <c r="VXI67" s="378"/>
      <c r="VXJ67" s="378"/>
      <c r="VXK67" s="378"/>
      <c r="VXL67" s="378"/>
      <c r="VXM67" s="378"/>
      <c r="VXN67" s="378"/>
      <c r="VXO67" s="378"/>
      <c r="VXP67" s="378"/>
      <c r="VXQ67" s="378"/>
      <c r="VXR67" s="378"/>
      <c r="VXS67" s="378"/>
      <c r="VXT67" s="378"/>
      <c r="VXU67" s="378"/>
      <c r="VXV67" s="378"/>
      <c r="VXW67" s="378"/>
      <c r="VXX67" s="378"/>
      <c r="VXY67" s="378"/>
      <c r="VXZ67" s="378"/>
      <c r="VYA67" s="378"/>
      <c r="VYB67" s="378"/>
      <c r="VYC67" s="378"/>
      <c r="VYD67" s="378"/>
      <c r="VYE67" s="378"/>
      <c r="VYF67" s="378"/>
      <c r="VYG67" s="378"/>
      <c r="VYH67" s="378"/>
      <c r="VYI67" s="378"/>
      <c r="VYJ67" s="378"/>
      <c r="VYK67" s="378"/>
      <c r="VYL67" s="378"/>
      <c r="VYM67" s="378"/>
      <c r="VYN67" s="378"/>
      <c r="VYO67" s="378"/>
      <c r="VYP67" s="378"/>
      <c r="VYQ67" s="378"/>
      <c r="VYR67" s="378"/>
      <c r="VYS67" s="378"/>
      <c r="VYT67" s="378"/>
      <c r="VYU67" s="378"/>
      <c r="VYV67" s="378"/>
      <c r="VYW67" s="378"/>
      <c r="VYX67" s="378"/>
      <c r="VYY67" s="378"/>
      <c r="VYZ67" s="378"/>
      <c r="VZA67" s="378"/>
      <c r="VZB67" s="378"/>
      <c r="VZC67" s="378"/>
      <c r="VZD67" s="378"/>
      <c r="VZE67" s="378"/>
      <c r="VZF67" s="378"/>
      <c r="VZG67" s="378"/>
      <c r="VZH67" s="378"/>
      <c r="VZI67" s="378"/>
      <c r="VZJ67" s="378"/>
      <c r="VZK67" s="378"/>
      <c r="VZL67" s="378"/>
      <c r="VZM67" s="378"/>
      <c r="VZN67" s="378"/>
      <c r="VZO67" s="378"/>
      <c r="VZP67" s="378"/>
      <c r="VZQ67" s="378"/>
      <c r="VZR67" s="378"/>
      <c r="VZS67" s="378"/>
      <c r="VZT67" s="378"/>
      <c r="VZU67" s="378"/>
      <c r="VZV67" s="378"/>
      <c r="VZW67" s="378"/>
      <c r="VZX67" s="378"/>
      <c r="VZY67" s="378"/>
      <c r="VZZ67" s="378"/>
      <c r="WAA67" s="378"/>
      <c r="WAB67" s="378"/>
      <c r="WAC67" s="378"/>
      <c r="WAD67" s="378"/>
      <c r="WAE67" s="378"/>
      <c r="WAF67" s="378"/>
      <c r="WAG67" s="378"/>
      <c r="WAH67" s="378"/>
      <c r="WAI67" s="378"/>
      <c r="WAJ67" s="378"/>
      <c r="WAK67" s="378"/>
      <c r="WAL67" s="378"/>
      <c r="WAM67" s="378"/>
      <c r="WAN67" s="378"/>
      <c r="WAO67" s="378"/>
      <c r="WAP67" s="378"/>
      <c r="WAQ67" s="378"/>
      <c r="WAR67" s="378"/>
      <c r="WAS67" s="378"/>
      <c r="WAT67" s="378"/>
      <c r="WAU67" s="378"/>
      <c r="WAV67" s="378"/>
      <c r="WAW67" s="378"/>
      <c r="WAX67" s="378"/>
      <c r="WAY67" s="378"/>
      <c r="WAZ67" s="378"/>
      <c r="WBA67" s="378"/>
      <c r="WBB67" s="378"/>
      <c r="WBC67" s="378"/>
      <c r="WBD67" s="378"/>
      <c r="WBE67" s="378"/>
      <c r="WBF67" s="378"/>
      <c r="WBG67" s="378"/>
      <c r="WBH67" s="378"/>
      <c r="WBI67" s="378"/>
      <c r="WBJ67" s="378"/>
      <c r="WBK67" s="378"/>
      <c r="WBL67" s="378"/>
      <c r="WBM67" s="378"/>
      <c r="WBN67" s="378"/>
      <c r="WBO67" s="378"/>
      <c r="WBP67" s="378"/>
      <c r="WBQ67" s="378"/>
      <c r="WBR67" s="378"/>
      <c r="WBS67" s="378"/>
      <c r="WBT67" s="378"/>
      <c r="WBU67" s="378"/>
      <c r="WBV67" s="378"/>
      <c r="WBW67" s="378"/>
      <c r="WBX67" s="378"/>
      <c r="WBY67" s="378"/>
      <c r="WBZ67" s="378"/>
      <c r="WCA67" s="378"/>
      <c r="WCB67" s="378"/>
      <c r="WCC67" s="378"/>
      <c r="WCD67" s="378"/>
      <c r="WCE67" s="378"/>
      <c r="WCF67" s="378"/>
      <c r="WCG67" s="378"/>
      <c r="WCH67" s="378"/>
      <c r="WCI67" s="378"/>
      <c r="WCJ67" s="378"/>
      <c r="WCK67" s="378"/>
      <c r="WCL67" s="378"/>
      <c r="WCM67" s="378"/>
      <c r="WCN67" s="378"/>
      <c r="WCO67" s="378"/>
      <c r="WCP67" s="378"/>
      <c r="WCQ67" s="378"/>
      <c r="WCR67" s="378"/>
      <c r="WCS67" s="378"/>
      <c r="WCT67" s="378"/>
      <c r="WCU67" s="378"/>
      <c r="WCV67" s="378"/>
      <c r="WCW67" s="378"/>
      <c r="WCX67" s="378"/>
      <c r="WCY67" s="378"/>
      <c r="WCZ67" s="378"/>
      <c r="WDA67" s="378"/>
      <c r="WDB67" s="378"/>
      <c r="WDC67" s="378"/>
      <c r="WDD67" s="378"/>
      <c r="WDE67" s="378"/>
      <c r="WDF67" s="378"/>
      <c r="WDG67" s="378"/>
      <c r="WDH67" s="378"/>
      <c r="WDI67" s="378"/>
      <c r="WDJ67" s="378"/>
      <c r="WDK67" s="378"/>
      <c r="WDL67" s="378"/>
      <c r="WDM67" s="378"/>
      <c r="WDN67" s="378"/>
      <c r="WDO67" s="378"/>
      <c r="WDP67" s="378"/>
      <c r="WDQ67" s="378"/>
      <c r="WDR67" s="378"/>
      <c r="WDS67" s="378"/>
      <c r="WDT67" s="378"/>
      <c r="WDU67" s="378"/>
      <c r="WDV67" s="378"/>
      <c r="WDW67" s="378"/>
      <c r="WDX67" s="378"/>
      <c r="WDY67" s="378"/>
      <c r="WDZ67" s="378"/>
      <c r="WEA67" s="378"/>
      <c r="WEB67" s="378"/>
      <c r="WEC67" s="378"/>
      <c r="WED67" s="378"/>
      <c r="WEE67" s="378"/>
      <c r="WEF67" s="378"/>
      <c r="WEG67" s="378"/>
      <c r="WEH67" s="378"/>
      <c r="WEI67" s="378"/>
      <c r="WEJ67" s="378"/>
      <c r="WEK67" s="378"/>
      <c r="WEL67" s="378"/>
      <c r="WEM67" s="378"/>
      <c r="WEN67" s="378"/>
      <c r="WEO67" s="378"/>
      <c r="WEP67" s="378"/>
      <c r="WEQ67" s="378"/>
      <c r="WER67" s="378"/>
      <c r="WES67" s="378"/>
      <c r="WET67" s="378"/>
      <c r="WEU67" s="378"/>
      <c r="WEV67" s="378"/>
      <c r="WEW67" s="378"/>
      <c r="WEX67" s="378"/>
      <c r="WEY67" s="378"/>
      <c r="WEZ67" s="378"/>
      <c r="WFA67" s="378"/>
      <c r="WFB67" s="378"/>
      <c r="WFC67" s="378"/>
      <c r="WFD67" s="378"/>
      <c r="WFE67" s="378"/>
      <c r="WFF67" s="378"/>
      <c r="WFG67" s="378"/>
      <c r="WFH67" s="378"/>
      <c r="WFI67" s="378"/>
      <c r="WFJ67" s="378"/>
      <c r="WFK67" s="378"/>
      <c r="WFL67" s="378"/>
      <c r="WFM67" s="378"/>
      <c r="WFN67" s="378"/>
      <c r="WFO67" s="378"/>
      <c r="WFP67" s="378"/>
      <c r="WFQ67" s="378"/>
      <c r="WFR67" s="378"/>
      <c r="WFS67" s="378"/>
      <c r="WFT67" s="378"/>
      <c r="WFU67" s="378"/>
      <c r="WFV67" s="378"/>
      <c r="WFW67" s="378"/>
      <c r="WFX67" s="378"/>
      <c r="WFY67" s="378"/>
      <c r="WFZ67" s="378"/>
      <c r="WGA67" s="378"/>
      <c r="WGB67" s="378"/>
      <c r="WGC67" s="378"/>
      <c r="WGD67" s="378"/>
      <c r="WGE67" s="378"/>
      <c r="WGF67" s="378"/>
      <c r="WGG67" s="378"/>
      <c r="WGH67" s="378"/>
      <c r="WGI67" s="378"/>
      <c r="WGJ67" s="378"/>
      <c r="WGK67" s="378"/>
      <c r="WGL67" s="378"/>
      <c r="WGM67" s="378"/>
      <c r="WGN67" s="378"/>
      <c r="WGO67" s="378"/>
      <c r="WGP67" s="378"/>
      <c r="WGQ67" s="378"/>
      <c r="WGR67" s="378"/>
      <c r="WGS67" s="378"/>
      <c r="WGT67" s="378"/>
      <c r="WGU67" s="378"/>
      <c r="WGV67" s="378"/>
      <c r="WGW67" s="378"/>
      <c r="WGX67" s="378"/>
      <c r="WGY67" s="378"/>
      <c r="WGZ67" s="378"/>
      <c r="WHA67" s="378"/>
      <c r="WHB67" s="378"/>
      <c r="WHC67" s="378"/>
      <c r="WHD67" s="378"/>
      <c r="WHE67" s="378"/>
      <c r="WHF67" s="378"/>
      <c r="WHG67" s="378"/>
      <c r="WHH67" s="378"/>
      <c r="WHI67" s="378"/>
      <c r="WHJ67" s="378"/>
      <c r="WHK67" s="378"/>
      <c r="WHL67" s="378"/>
      <c r="WHM67" s="378"/>
      <c r="WHN67" s="378"/>
      <c r="WHO67" s="378"/>
      <c r="WHP67" s="378"/>
      <c r="WHQ67" s="378"/>
      <c r="WHR67" s="378"/>
      <c r="WHS67" s="378"/>
      <c r="WHT67" s="378"/>
      <c r="WHU67" s="378"/>
      <c r="WHV67" s="378"/>
      <c r="WHW67" s="378"/>
      <c r="WHX67" s="378"/>
      <c r="WHY67" s="378"/>
      <c r="WHZ67" s="378"/>
      <c r="WIA67" s="378"/>
      <c r="WIB67" s="378"/>
      <c r="WIC67" s="378"/>
      <c r="WID67" s="378"/>
      <c r="WIE67" s="378"/>
      <c r="WIF67" s="378"/>
      <c r="WIG67" s="378"/>
      <c r="WIH67" s="378"/>
      <c r="WII67" s="378"/>
      <c r="WIJ67" s="378"/>
      <c r="WIK67" s="378"/>
      <c r="WIL67" s="378"/>
      <c r="WIM67" s="378"/>
      <c r="WIN67" s="378"/>
      <c r="WIO67" s="378"/>
      <c r="WIP67" s="378"/>
      <c r="WIQ67" s="378"/>
      <c r="WIR67" s="378"/>
      <c r="WIS67" s="378"/>
      <c r="WIT67" s="378"/>
      <c r="WIU67" s="378"/>
      <c r="WIV67" s="378"/>
      <c r="WIW67" s="378"/>
      <c r="WIX67" s="378"/>
      <c r="WIY67" s="378"/>
      <c r="WIZ67" s="378"/>
      <c r="WJA67" s="378"/>
      <c r="WJB67" s="378"/>
      <c r="WJC67" s="378"/>
      <c r="WJD67" s="378"/>
      <c r="WJE67" s="378"/>
      <c r="WJF67" s="378"/>
      <c r="WJG67" s="378"/>
      <c r="WJH67" s="378"/>
      <c r="WJI67" s="378"/>
      <c r="WJJ67" s="378"/>
      <c r="WJK67" s="378"/>
      <c r="WJL67" s="378"/>
      <c r="WJM67" s="378"/>
      <c r="WJN67" s="378"/>
      <c r="WJO67" s="378"/>
      <c r="WJP67" s="378"/>
      <c r="WJQ67" s="378"/>
      <c r="WJR67" s="378"/>
      <c r="WJS67" s="378"/>
      <c r="WJT67" s="378"/>
      <c r="WJU67" s="378"/>
      <c r="WJV67" s="378"/>
      <c r="WJW67" s="378"/>
      <c r="WJX67" s="378"/>
      <c r="WJY67" s="378"/>
      <c r="WJZ67" s="378"/>
      <c r="WKA67" s="378"/>
      <c r="WKB67" s="378"/>
      <c r="WKC67" s="378"/>
      <c r="WKD67" s="378"/>
      <c r="WKE67" s="378"/>
      <c r="WKF67" s="378"/>
      <c r="WKG67" s="378"/>
      <c r="WKH67" s="378"/>
      <c r="WKI67" s="378"/>
      <c r="WKJ67" s="378"/>
      <c r="WKK67" s="378"/>
      <c r="WKL67" s="378"/>
      <c r="WKM67" s="378"/>
      <c r="WKN67" s="378"/>
      <c r="WKO67" s="378"/>
      <c r="WKP67" s="378"/>
      <c r="WKQ67" s="378"/>
      <c r="WKR67" s="378"/>
      <c r="WKS67" s="378"/>
      <c r="WKT67" s="378"/>
      <c r="WKU67" s="378"/>
      <c r="WKV67" s="378"/>
      <c r="WKW67" s="378"/>
      <c r="WKX67" s="378"/>
      <c r="WKY67" s="378"/>
      <c r="WKZ67" s="378"/>
      <c r="WLA67" s="378"/>
      <c r="WLB67" s="378"/>
      <c r="WLC67" s="378"/>
      <c r="WLD67" s="378"/>
      <c r="WLE67" s="378"/>
      <c r="WLF67" s="378"/>
      <c r="WLG67" s="378"/>
      <c r="WLH67" s="378"/>
      <c r="WLI67" s="378"/>
      <c r="WLJ67" s="378"/>
      <c r="WLK67" s="378"/>
      <c r="WLL67" s="378"/>
      <c r="WLM67" s="378"/>
      <c r="WLN67" s="378"/>
      <c r="WLO67" s="378"/>
      <c r="WLP67" s="378"/>
      <c r="WLQ67" s="378"/>
      <c r="WLR67" s="378"/>
      <c r="WLS67" s="378"/>
      <c r="WLT67" s="378"/>
      <c r="WLU67" s="378"/>
      <c r="WLV67" s="378"/>
      <c r="WLW67" s="378"/>
      <c r="WLX67" s="378"/>
      <c r="WLY67" s="378"/>
      <c r="WLZ67" s="378"/>
      <c r="WMA67" s="378"/>
      <c r="WMB67" s="378"/>
      <c r="WMC67" s="378"/>
      <c r="WMD67" s="378"/>
      <c r="WME67" s="378"/>
      <c r="WMF67" s="378"/>
      <c r="WMG67" s="378"/>
      <c r="WMH67" s="378"/>
      <c r="WMI67" s="378"/>
      <c r="WMJ67" s="378"/>
      <c r="WMK67" s="378"/>
      <c r="WML67" s="378"/>
      <c r="WMM67" s="378"/>
      <c r="WMN67" s="378"/>
      <c r="WMO67" s="378"/>
      <c r="WMP67" s="378"/>
      <c r="WMQ67" s="378"/>
      <c r="WMR67" s="378"/>
      <c r="WMS67" s="378"/>
      <c r="WMT67" s="378"/>
      <c r="WMU67" s="378"/>
      <c r="WMV67" s="378"/>
      <c r="WMW67" s="378"/>
      <c r="WMX67" s="378"/>
      <c r="WMY67" s="378"/>
      <c r="WMZ67" s="378"/>
      <c r="WNA67" s="378"/>
      <c r="WNB67" s="378"/>
      <c r="WNC67" s="378"/>
      <c r="WND67" s="378"/>
      <c r="WNE67" s="378"/>
      <c r="WNF67" s="378"/>
      <c r="WNG67" s="378"/>
      <c r="WNH67" s="378"/>
      <c r="WNI67" s="378"/>
      <c r="WNJ67" s="378"/>
      <c r="WNK67" s="378"/>
      <c r="WNL67" s="378"/>
      <c r="WNM67" s="378"/>
      <c r="WNN67" s="378"/>
      <c r="WNO67" s="378"/>
      <c r="WNP67" s="378"/>
      <c r="WNQ67" s="378"/>
      <c r="WNR67" s="378"/>
      <c r="WNS67" s="378"/>
      <c r="WNT67" s="378"/>
      <c r="WNU67" s="378"/>
      <c r="WNV67" s="378"/>
      <c r="WNW67" s="378"/>
      <c r="WNX67" s="378"/>
      <c r="WNY67" s="378"/>
      <c r="WNZ67" s="378"/>
      <c r="WOA67" s="378"/>
      <c r="WOB67" s="378"/>
      <c r="WOC67" s="378"/>
      <c r="WOD67" s="378"/>
      <c r="WOE67" s="378"/>
      <c r="WOF67" s="378"/>
      <c r="WOG67" s="378"/>
      <c r="WOH67" s="378"/>
      <c r="WOI67" s="378"/>
      <c r="WOJ67" s="378"/>
      <c r="WOK67" s="378"/>
      <c r="WOL67" s="378"/>
      <c r="WOM67" s="378"/>
      <c r="WON67" s="378"/>
      <c r="WOO67" s="378"/>
      <c r="WOP67" s="378"/>
      <c r="WOQ67" s="378"/>
      <c r="WOR67" s="378"/>
      <c r="WOS67" s="378"/>
      <c r="WOT67" s="378"/>
      <c r="WOU67" s="378"/>
      <c r="WOV67" s="378"/>
      <c r="WOW67" s="378"/>
      <c r="WOX67" s="378"/>
      <c r="WOY67" s="378"/>
      <c r="WOZ67" s="378"/>
      <c r="WPA67" s="378"/>
      <c r="WPB67" s="378"/>
      <c r="WPC67" s="378"/>
      <c r="WPD67" s="378"/>
      <c r="WPE67" s="378"/>
      <c r="WPF67" s="378"/>
      <c r="WPG67" s="378"/>
      <c r="WPH67" s="378"/>
      <c r="WPI67" s="378"/>
      <c r="WPJ67" s="378"/>
      <c r="WPK67" s="378"/>
      <c r="WPL67" s="378"/>
      <c r="WPM67" s="378"/>
      <c r="WPN67" s="378"/>
      <c r="WPO67" s="378"/>
      <c r="WPP67" s="378"/>
      <c r="WPQ67" s="378"/>
      <c r="WPR67" s="378"/>
      <c r="WPS67" s="378"/>
      <c r="WPT67" s="378"/>
      <c r="WPU67" s="378"/>
      <c r="WPV67" s="378"/>
      <c r="WPW67" s="378"/>
      <c r="WPX67" s="378"/>
      <c r="WPY67" s="378"/>
      <c r="WPZ67" s="378"/>
      <c r="WQA67" s="378"/>
      <c r="WQB67" s="378"/>
      <c r="WQC67" s="378"/>
      <c r="WQD67" s="378"/>
      <c r="WQE67" s="378"/>
      <c r="WQF67" s="378"/>
      <c r="WQG67" s="378"/>
      <c r="WQH67" s="378"/>
      <c r="WQI67" s="378"/>
      <c r="WQJ67" s="378"/>
      <c r="WQK67" s="378"/>
      <c r="WQL67" s="378"/>
      <c r="WQM67" s="378"/>
      <c r="WQN67" s="378"/>
      <c r="WQO67" s="378"/>
      <c r="WQP67" s="378"/>
      <c r="WQQ67" s="378"/>
      <c r="WQR67" s="378"/>
      <c r="WQS67" s="378"/>
      <c r="WQT67" s="378"/>
      <c r="WQU67" s="378"/>
      <c r="WQV67" s="378"/>
      <c r="WQW67" s="378"/>
      <c r="WQX67" s="378"/>
      <c r="WQY67" s="378"/>
      <c r="WQZ67" s="378"/>
      <c r="WRA67" s="378"/>
      <c r="WRB67" s="378"/>
      <c r="WRC67" s="378"/>
      <c r="WRD67" s="378"/>
      <c r="WRE67" s="378"/>
      <c r="WRF67" s="378"/>
      <c r="WRG67" s="378"/>
      <c r="WRH67" s="378"/>
      <c r="WRI67" s="378"/>
      <c r="WRJ67" s="378"/>
      <c r="WRK67" s="378"/>
      <c r="WRL67" s="378"/>
      <c r="WRM67" s="378"/>
      <c r="WRN67" s="378"/>
      <c r="WRO67" s="378"/>
      <c r="WRP67" s="378"/>
      <c r="WRQ67" s="378"/>
      <c r="WRR67" s="378"/>
      <c r="WRS67" s="378"/>
      <c r="WRT67" s="378"/>
      <c r="WRU67" s="378"/>
      <c r="WRV67" s="378"/>
      <c r="WRW67" s="378"/>
      <c r="WRX67" s="378"/>
      <c r="WRY67" s="378"/>
      <c r="WRZ67" s="378"/>
      <c r="WSA67" s="378"/>
      <c r="WSB67" s="378"/>
      <c r="WSC67" s="378"/>
      <c r="WSD67" s="378"/>
      <c r="WSE67" s="378"/>
      <c r="WSF67" s="378"/>
      <c r="WSG67" s="378"/>
      <c r="WSH67" s="378"/>
      <c r="WSI67" s="378"/>
      <c r="WSJ67" s="378"/>
      <c r="WSK67" s="378"/>
      <c r="WSL67" s="378"/>
      <c r="WSM67" s="378"/>
      <c r="WSN67" s="378"/>
      <c r="WSO67" s="378"/>
      <c r="WSP67" s="378"/>
      <c r="WSQ67" s="378"/>
      <c r="WSR67" s="378"/>
      <c r="WSS67" s="378"/>
      <c r="WST67" s="378"/>
      <c r="WSU67" s="378"/>
      <c r="WSV67" s="378"/>
      <c r="WSW67" s="378"/>
      <c r="WSX67" s="378"/>
      <c r="WSY67" s="378"/>
      <c r="WSZ67" s="378"/>
      <c r="WTA67" s="378"/>
      <c r="WTB67" s="378"/>
      <c r="WTC67" s="378"/>
      <c r="WTD67" s="378"/>
      <c r="WTE67" s="378"/>
      <c r="WTF67" s="378"/>
      <c r="WTG67" s="378"/>
      <c r="WTH67" s="378"/>
      <c r="WTI67" s="378"/>
      <c r="WTJ67" s="378"/>
      <c r="WTK67" s="378"/>
      <c r="WTL67" s="378"/>
      <c r="WTM67" s="378"/>
      <c r="WTN67" s="378"/>
      <c r="WTO67" s="378"/>
      <c r="WTP67" s="378"/>
      <c r="WTQ67" s="378"/>
      <c r="WTR67" s="378"/>
      <c r="WTS67" s="378"/>
      <c r="WTT67" s="378"/>
      <c r="WTU67" s="378"/>
      <c r="WTV67" s="378"/>
      <c r="WTW67" s="378"/>
      <c r="WTX67" s="378"/>
      <c r="WTY67" s="378"/>
      <c r="WTZ67" s="378"/>
      <c r="WUA67" s="378"/>
      <c r="WUB67" s="378"/>
      <c r="WUC67" s="378"/>
      <c r="WUD67" s="378"/>
      <c r="WUE67" s="378"/>
      <c r="WUF67" s="378"/>
      <c r="WUG67" s="378"/>
      <c r="WUH67" s="378"/>
      <c r="WUI67" s="378"/>
      <c r="WUJ67" s="378"/>
      <c r="WUK67" s="378"/>
      <c r="WUL67" s="378"/>
      <c r="WUM67" s="378"/>
      <c r="WUN67" s="378"/>
      <c r="WUO67" s="378"/>
      <c r="WUP67" s="378"/>
      <c r="WUQ67" s="378"/>
      <c r="WUR67" s="378"/>
      <c r="WUS67" s="378"/>
      <c r="WUT67" s="378"/>
      <c r="WUU67" s="378"/>
      <c r="WUV67" s="378"/>
      <c r="WUW67" s="378"/>
      <c r="WUX67" s="378"/>
      <c r="WUY67" s="378"/>
      <c r="WUZ67" s="378"/>
      <c r="WVA67" s="378"/>
      <c r="WVB67" s="378"/>
      <c r="WVC67" s="378"/>
      <c r="WVD67" s="378"/>
      <c r="WVE67" s="378"/>
      <c r="WVF67" s="378"/>
      <c r="WVG67" s="378"/>
      <c r="WVH67" s="378"/>
      <c r="WVI67" s="378"/>
      <c r="WVJ67" s="378"/>
      <c r="WVK67" s="378"/>
      <c r="WVL67" s="378"/>
      <c r="WVM67" s="378"/>
      <c r="WVN67" s="378"/>
      <c r="WVO67" s="378"/>
      <c r="WVP67" s="378"/>
      <c r="WVQ67" s="378"/>
      <c r="WVR67" s="378"/>
      <c r="WVS67" s="378"/>
      <c r="WVT67" s="378"/>
      <c r="WVU67" s="378"/>
      <c r="WVV67" s="378"/>
      <c r="WVW67" s="378"/>
      <c r="WVX67" s="378"/>
      <c r="WVY67" s="378"/>
      <c r="WVZ67" s="378"/>
      <c r="WWA67" s="378"/>
      <c r="WWB67" s="378"/>
      <c r="WWC67" s="378"/>
      <c r="WWD67" s="378"/>
      <c r="WWE67" s="378"/>
      <c r="WWF67" s="378"/>
      <c r="WWG67" s="378"/>
      <c r="WWH67" s="378"/>
      <c r="WWI67" s="378"/>
      <c r="WWJ67" s="378"/>
      <c r="WWK67" s="378"/>
      <c r="WWL67" s="378"/>
      <c r="WWM67" s="378"/>
      <c r="WWN67" s="378"/>
      <c r="WWO67" s="378"/>
      <c r="WWP67" s="378"/>
      <c r="WWQ67" s="378"/>
      <c r="WWR67" s="378"/>
      <c r="WWS67" s="378"/>
      <c r="WWT67" s="378"/>
      <c r="WWU67" s="378"/>
      <c r="WWV67" s="378"/>
      <c r="WWW67" s="378"/>
      <c r="WWX67" s="378"/>
      <c r="WWY67" s="378"/>
      <c r="WWZ67" s="378"/>
      <c r="WXA67" s="378"/>
      <c r="WXB67" s="378"/>
      <c r="WXC67" s="378"/>
      <c r="WXD67" s="378"/>
      <c r="WXE67" s="378"/>
      <c r="WXF67" s="378"/>
      <c r="WXG67" s="378"/>
      <c r="WXH67" s="378"/>
      <c r="WXI67" s="378"/>
      <c r="WXJ67" s="378"/>
      <c r="WXK67" s="378"/>
      <c r="WXL67" s="378"/>
      <c r="WXM67" s="378"/>
      <c r="WXN67" s="378"/>
      <c r="WXO67" s="378"/>
      <c r="WXP67" s="378"/>
      <c r="WXQ67" s="378"/>
      <c r="WXR67" s="378"/>
      <c r="WXS67" s="378"/>
      <c r="WXT67" s="378"/>
      <c r="WXU67" s="378"/>
      <c r="WXV67" s="378"/>
      <c r="WXW67" s="378"/>
      <c r="WXX67" s="378"/>
      <c r="WXY67" s="378"/>
      <c r="WXZ67" s="378"/>
      <c r="WYA67" s="378"/>
      <c r="WYB67" s="378"/>
      <c r="WYC67" s="378"/>
      <c r="WYD67" s="378"/>
      <c r="WYE67" s="378"/>
      <c r="WYF67" s="378"/>
      <c r="WYG67" s="378"/>
      <c r="WYH67" s="378"/>
      <c r="WYI67" s="378"/>
      <c r="WYJ67" s="378"/>
      <c r="WYK67" s="378"/>
      <c r="WYL67" s="378"/>
      <c r="WYM67" s="378"/>
      <c r="WYN67" s="378"/>
      <c r="WYO67" s="378"/>
      <c r="WYP67" s="378"/>
      <c r="WYQ67" s="378"/>
      <c r="WYR67" s="378"/>
      <c r="WYS67" s="378"/>
      <c r="WYT67" s="378"/>
      <c r="WYU67" s="378"/>
      <c r="WYV67" s="378"/>
      <c r="WYW67" s="378"/>
      <c r="WYX67" s="378"/>
      <c r="WYY67" s="378"/>
      <c r="WYZ67" s="378"/>
      <c r="WZA67" s="378"/>
      <c r="WZB67" s="378"/>
      <c r="WZC67" s="378"/>
      <c r="WZD67" s="378"/>
      <c r="WZE67" s="378"/>
      <c r="WZF67" s="378"/>
      <c r="WZG67" s="378"/>
      <c r="WZH67" s="378"/>
      <c r="WZI67" s="378"/>
      <c r="WZJ67" s="378"/>
      <c r="WZK67" s="378"/>
      <c r="WZL67" s="378"/>
      <c r="WZM67" s="378"/>
      <c r="WZN67" s="378"/>
      <c r="WZO67" s="378"/>
      <c r="WZP67" s="378"/>
      <c r="WZQ67" s="378"/>
      <c r="WZR67" s="378"/>
      <c r="WZS67" s="378"/>
      <c r="WZT67" s="378"/>
      <c r="WZU67" s="378"/>
      <c r="WZV67" s="378"/>
      <c r="WZW67" s="378"/>
      <c r="WZX67" s="378"/>
      <c r="WZY67" s="378"/>
      <c r="WZZ67" s="378"/>
      <c r="XAA67" s="378"/>
      <c r="XAB67" s="378"/>
      <c r="XAC67" s="378"/>
      <c r="XAD67" s="378"/>
      <c r="XAE67" s="378"/>
      <c r="XAF67" s="378"/>
      <c r="XAG67" s="378"/>
      <c r="XAH67" s="378"/>
      <c r="XAI67" s="378"/>
      <c r="XAJ67" s="378"/>
      <c r="XAK67" s="378"/>
      <c r="XAL67" s="378"/>
      <c r="XAM67" s="378"/>
      <c r="XAN67" s="378"/>
      <c r="XAO67" s="378"/>
      <c r="XAP67" s="378"/>
      <c r="XAQ67" s="378"/>
      <c r="XAR67" s="378"/>
      <c r="XAS67" s="378"/>
      <c r="XAT67" s="378"/>
      <c r="XAU67" s="378"/>
      <c r="XAV67" s="378"/>
      <c r="XAW67" s="378"/>
      <c r="XAX67" s="378"/>
      <c r="XAY67" s="378"/>
      <c r="XAZ67" s="378"/>
      <c r="XBA67" s="378"/>
      <c r="XBB67" s="378"/>
      <c r="XBC67" s="378"/>
      <c r="XBD67" s="378"/>
      <c r="XBE67" s="378"/>
      <c r="XBF67" s="378"/>
      <c r="XBG67" s="378"/>
      <c r="XBH67" s="378"/>
      <c r="XBI67" s="378"/>
      <c r="XBJ67" s="378"/>
      <c r="XBK67" s="378"/>
      <c r="XBL67" s="378"/>
      <c r="XBM67" s="378"/>
      <c r="XBN67" s="378"/>
      <c r="XBO67" s="378"/>
      <c r="XBP67" s="378"/>
      <c r="XBQ67" s="378"/>
      <c r="XBR67" s="378"/>
      <c r="XBS67" s="378"/>
      <c r="XBT67" s="378"/>
      <c r="XBU67" s="378"/>
      <c r="XBV67" s="378"/>
      <c r="XBW67" s="378"/>
      <c r="XBX67" s="378"/>
      <c r="XBY67" s="378"/>
      <c r="XBZ67" s="378"/>
      <c r="XCA67" s="378"/>
      <c r="XCB67" s="378"/>
      <c r="XCC67" s="378"/>
      <c r="XCD67" s="378"/>
      <c r="XCE67" s="378"/>
      <c r="XCF67" s="378"/>
      <c r="XCG67" s="378"/>
      <c r="XCH67" s="378"/>
      <c r="XCI67" s="378"/>
      <c r="XCJ67" s="378"/>
      <c r="XCK67" s="378"/>
      <c r="XCL67" s="378"/>
      <c r="XCM67" s="378"/>
      <c r="XCN67" s="378"/>
      <c r="XCO67" s="378"/>
      <c r="XCP67" s="378"/>
      <c r="XCQ67" s="378"/>
      <c r="XCR67" s="378"/>
      <c r="XCS67" s="378"/>
      <c r="XCT67" s="378"/>
      <c r="XCU67" s="378"/>
      <c r="XCV67" s="378"/>
      <c r="XCW67" s="378"/>
      <c r="XCX67" s="378"/>
      <c r="XCY67" s="378"/>
      <c r="XCZ67" s="378"/>
      <c r="XDA67" s="378"/>
      <c r="XDB67" s="378"/>
      <c r="XDC67" s="378"/>
      <c r="XDD67" s="378"/>
      <c r="XDE67" s="378"/>
      <c r="XDF67" s="378"/>
      <c r="XDG67" s="378"/>
      <c r="XDH67" s="378"/>
      <c r="XDI67" s="378"/>
      <c r="XDJ67" s="378"/>
      <c r="XDK67" s="378"/>
      <c r="XDL67" s="378"/>
      <c r="XDM67" s="378"/>
      <c r="XDN67" s="378"/>
      <c r="XDO67" s="378"/>
      <c r="XDP67" s="378"/>
      <c r="XDQ67" s="378"/>
      <c r="XDR67" s="378"/>
      <c r="XDS67" s="378"/>
      <c r="XDT67" s="378"/>
      <c r="XDU67" s="378"/>
      <c r="XDV67" s="378"/>
      <c r="XDW67" s="378"/>
      <c r="XDX67" s="378"/>
      <c r="XDY67" s="378"/>
      <c r="XDZ67" s="378"/>
      <c r="XEA67" s="378"/>
      <c r="XEB67" s="378"/>
      <c r="XEC67" s="378"/>
      <c r="XED67" s="378"/>
      <c r="XEE67" s="378"/>
      <c r="XEF67" s="378"/>
      <c r="XEG67" s="378"/>
      <c r="XEH67" s="378"/>
      <c r="XEI67" s="378"/>
      <c r="XEJ67" s="378"/>
      <c r="XEK67" s="378"/>
      <c r="XEL67" s="378"/>
      <c r="XEM67" s="378"/>
      <c r="XEN67" s="378"/>
      <c r="XEO67" s="378"/>
      <c r="XEP67" s="378"/>
    </row>
    <row r="68" spans="1:16370" s="147" customFormat="1">
      <c r="A68" s="46"/>
      <c r="B68" s="184"/>
      <c r="C68" s="270"/>
      <c r="D68" s="80"/>
      <c r="E68" s="48"/>
      <c r="F68" s="476"/>
      <c r="G68" s="48"/>
      <c r="H68" s="109"/>
      <c r="I68" s="106"/>
      <c r="J68" s="106"/>
      <c r="K68" s="106"/>
      <c r="L68" s="87"/>
      <c r="M68" s="60"/>
      <c r="N68" s="175"/>
      <c r="O68" s="175"/>
      <c r="P68" s="362"/>
      <c r="Q68" s="279">
        <f>1</f>
        <v>1</v>
      </c>
      <c r="R68" s="141"/>
      <c r="T68" s="149"/>
      <c r="U68" s="148"/>
      <c r="X68" s="278"/>
      <c r="Y68" s="278" t="str">
        <f t="shared" si="6"/>
        <v/>
      </c>
      <c r="Z68" s="141" t="str">
        <f t="shared" ref="Z68:Z131" si="11">IF(T68="yes",Y68,"")</f>
        <v/>
      </c>
    </row>
    <row r="69" spans="1:16370" s="147" customFormat="1" ht="204">
      <c r="A69" s="46">
        <v>21</v>
      </c>
      <c r="B69" s="186" t="s">
        <v>171</v>
      </c>
      <c r="C69" s="146" t="s">
        <v>171</v>
      </c>
      <c r="D69" s="166" t="s">
        <v>888</v>
      </c>
      <c r="E69" s="152">
        <f>LEN(D69)</f>
        <v>297</v>
      </c>
      <c r="F69" s="166" t="s">
        <v>1120</v>
      </c>
      <c r="G69" s="152">
        <f>LEN(F71)</f>
        <v>1112</v>
      </c>
      <c r="H69" s="161" t="s">
        <v>30</v>
      </c>
      <c r="I69" s="152" t="s">
        <v>19</v>
      </c>
      <c r="J69" s="152" t="s">
        <v>19</v>
      </c>
      <c r="K69" s="152" t="s">
        <v>31</v>
      </c>
      <c r="L69" s="176" t="s">
        <v>172</v>
      </c>
      <c r="M69" s="222" t="s">
        <v>19</v>
      </c>
      <c r="N69" s="176" t="s">
        <v>718</v>
      </c>
      <c r="O69" s="60"/>
      <c r="P69" s="10"/>
      <c r="Q69" s="274">
        <f>1</f>
        <v>1</v>
      </c>
      <c r="R69" s="141"/>
      <c r="T69" s="461" t="s">
        <v>26</v>
      </c>
      <c r="U69" s="148"/>
      <c r="X69" s="277">
        <v>22.126214981079102</v>
      </c>
      <c r="Y69" s="277">
        <f t="shared" si="6"/>
        <v>22.126214981079102</v>
      </c>
      <c r="Z69" s="141">
        <f t="shared" si="11"/>
        <v>22.126214981079102</v>
      </c>
    </row>
    <row r="70" spans="1:16370" s="147" customFormat="1">
      <c r="A70" s="46"/>
      <c r="B70" s="184"/>
      <c r="C70" s="100"/>
      <c r="D70" s="182"/>
      <c r="E70" s="48"/>
      <c r="F70" s="48"/>
      <c r="G70" s="48"/>
      <c r="H70" s="101"/>
      <c r="I70" s="48"/>
      <c r="J70" s="48"/>
      <c r="K70" s="48"/>
      <c r="L70" s="91"/>
      <c r="M70" s="60"/>
      <c r="N70" s="91"/>
      <c r="O70" s="91"/>
      <c r="P70" s="10"/>
      <c r="Q70" s="279">
        <f>1</f>
        <v>1</v>
      </c>
      <c r="R70" s="141"/>
      <c r="T70" s="149"/>
      <c r="U70" s="148"/>
      <c r="X70" s="278"/>
      <c r="Y70" s="278" t="str">
        <f t="shared" ref="Y70:Y101" si="12">IF(X70="","",X70*Q70)</f>
        <v/>
      </c>
      <c r="Z70" s="141" t="str">
        <f t="shared" si="11"/>
        <v/>
      </c>
    </row>
    <row r="71" spans="1:16370" s="147" customFormat="1" ht="409.25" customHeight="1">
      <c r="A71" s="46">
        <f>A69+1</f>
        <v>22</v>
      </c>
      <c r="B71" s="186" t="s">
        <v>173</v>
      </c>
      <c r="C71" s="146" t="s">
        <v>173</v>
      </c>
      <c r="D71" s="166" t="s">
        <v>905</v>
      </c>
      <c r="E71" s="152">
        <f>LEN(D71)</f>
        <v>1218</v>
      </c>
      <c r="F71" s="166" t="s">
        <v>1200</v>
      </c>
      <c r="G71" s="152" t="e">
        <f>LEN(#REF!)</f>
        <v>#REF!</v>
      </c>
      <c r="H71" s="161" t="s">
        <v>30</v>
      </c>
      <c r="I71" s="152" t="s">
        <v>19</v>
      </c>
      <c r="J71" s="152" t="s">
        <v>19</v>
      </c>
      <c r="K71" s="152" t="s">
        <v>803</v>
      </c>
      <c r="L71" s="143" t="s">
        <v>958</v>
      </c>
      <c r="M71" s="222" t="s">
        <v>19</v>
      </c>
      <c r="N71" s="150" t="s">
        <v>959</v>
      </c>
      <c r="O71" s="52"/>
      <c r="P71" s="10"/>
      <c r="Q71" s="274">
        <f>1</f>
        <v>1</v>
      </c>
      <c r="R71" s="141"/>
      <c r="T71" s="461" t="s">
        <v>26</v>
      </c>
      <c r="U71" s="148"/>
      <c r="X71" s="277">
        <v>18.710653305053711</v>
      </c>
      <c r="Y71" s="277">
        <f t="shared" si="12"/>
        <v>18.710653305053711</v>
      </c>
      <c r="Z71" s="141">
        <f t="shared" si="11"/>
        <v>18.710653305053711</v>
      </c>
    </row>
    <row r="72" spans="1:16370" s="235" customFormat="1" ht="182" customHeight="1">
      <c r="A72" s="46"/>
      <c r="B72" s="237" t="s">
        <v>809</v>
      </c>
      <c r="C72" s="248" t="s">
        <v>810</v>
      </c>
      <c r="D72" s="151" t="s">
        <v>804</v>
      </c>
      <c r="E72" s="144">
        <f>LEN(D72)</f>
        <v>143</v>
      </c>
      <c r="F72" s="443" t="s">
        <v>1117</v>
      </c>
      <c r="G72" s="144" t="e">
        <f>LEN(#REF!)</f>
        <v>#REF!</v>
      </c>
      <c r="H72" s="146" t="s">
        <v>30</v>
      </c>
      <c r="I72" s="144" t="s">
        <v>19</v>
      </c>
      <c r="J72" s="144" t="s">
        <v>19</v>
      </c>
      <c r="K72" s="144" t="s">
        <v>31</v>
      </c>
      <c r="L72" s="143" t="s">
        <v>174</v>
      </c>
      <c r="M72" s="222" t="s">
        <v>19</v>
      </c>
      <c r="N72" s="150" t="s">
        <v>815</v>
      </c>
      <c r="O72" s="52"/>
      <c r="P72" s="51"/>
      <c r="Q72" s="410">
        <f>1</f>
        <v>1</v>
      </c>
      <c r="R72" s="142"/>
      <c r="T72" s="465" t="s">
        <v>26</v>
      </c>
      <c r="U72" s="229"/>
      <c r="X72" s="281">
        <v>8</v>
      </c>
      <c r="Y72" s="281">
        <f t="shared" si="12"/>
        <v>8</v>
      </c>
      <c r="Z72" s="142">
        <f t="shared" ref="Z72:Z74" si="13">IF(T72="yes",Y72,"")</f>
        <v>8</v>
      </c>
    </row>
    <row r="73" spans="1:16370" s="235" customFormat="1" ht="182" customHeight="1">
      <c r="A73" s="46"/>
      <c r="B73" s="237" t="s">
        <v>811</v>
      </c>
      <c r="C73" s="248" t="s">
        <v>812</v>
      </c>
      <c r="D73" s="151" t="s">
        <v>957</v>
      </c>
      <c r="E73" s="144">
        <f>LEN(D73)</f>
        <v>170</v>
      </c>
      <c r="F73" s="443" t="s">
        <v>1118</v>
      </c>
      <c r="G73" s="144">
        <f>LEN(F77)</f>
        <v>227</v>
      </c>
      <c r="H73" s="146" t="s">
        <v>30</v>
      </c>
      <c r="I73" s="144" t="s">
        <v>19</v>
      </c>
      <c r="J73" s="144" t="s">
        <v>19</v>
      </c>
      <c r="K73" s="144" t="s">
        <v>31</v>
      </c>
      <c r="L73" s="143" t="s">
        <v>174</v>
      </c>
      <c r="M73" s="222" t="s">
        <v>19</v>
      </c>
      <c r="N73" s="150" t="s">
        <v>816</v>
      </c>
      <c r="O73" s="52"/>
      <c r="P73" s="51"/>
      <c r="Q73" s="410">
        <f>1</f>
        <v>1</v>
      </c>
      <c r="R73" s="142"/>
      <c r="T73" s="465" t="s">
        <v>26</v>
      </c>
      <c r="U73" s="229"/>
      <c r="X73" s="281">
        <v>8</v>
      </c>
      <c r="Y73" s="281">
        <f t="shared" si="12"/>
        <v>8</v>
      </c>
      <c r="Z73" s="142">
        <f t="shared" si="13"/>
        <v>8</v>
      </c>
    </row>
    <row r="74" spans="1:16370" s="147" customFormat="1" ht="182" customHeight="1">
      <c r="A74" s="46"/>
      <c r="B74" s="237" t="s">
        <v>813</v>
      </c>
      <c r="C74" s="248" t="s">
        <v>814</v>
      </c>
      <c r="D74" s="151" t="s">
        <v>805</v>
      </c>
      <c r="E74" s="144">
        <f>LEN(D74)</f>
        <v>176</v>
      </c>
      <c r="F74" s="443" t="s">
        <v>1119</v>
      </c>
      <c r="G74" s="144">
        <f>LEN(F78)</f>
        <v>170</v>
      </c>
      <c r="H74" s="146" t="s">
        <v>30</v>
      </c>
      <c r="I74" s="144" t="s">
        <v>19</v>
      </c>
      <c r="J74" s="144" t="s">
        <v>19</v>
      </c>
      <c r="K74" s="144" t="s">
        <v>31</v>
      </c>
      <c r="L74" s="143" t="s">
        <v>174</v>
      </c>
      <c r="M74" s="222" t="s">
        <v>19</v>
      </c>
      <c r="N74" s="150" t="s">
        <v>817</v>
      </c>
      <c r="O74" s="52"/>
      <c r="P74" s="51"/>
      <c r="Q74" s="274">
        <f>1</f>
        <v>1</v>
      </c>
      <c r="R74" s="141"/>
      <c r="T74" s="461" t="s">
        <v>26</v>
      </c>
      <c r="U74" s="148"/>
      <c r="X74" s="277">
        <v>8</v>
      </c>
      <c r="Y74" s="277">
        <f t="shared" si="12"/>
        <v>8</v>
      </c>
      <c r="Z74" s="141">
        <f t="shared" si="13"/>
        <v>8</v>
      </c>
    </row>
    <row r="75" spans="1:16370" s="147" customFormat="1">
      <c r="A75" s="99"/>
      <c r="B75" s="265"/>
      <c r="C75" s="270"/>
      <c r="D75" s="271"/>
      <c r="E75" s="106"/>
      <c r="G75" s="106"/>
      <c r="H75" s="100"/>
      <c r="I75" s="106"/>
      <c r="J75" s="106"/>
      <c r="K75" s="106"/>
      <c r="L75" s="87"/>
      <c r="M75" s="60"/>
      <c r="N75" s="175"/>
      <c r="O75" s="175"/>
      <c r="P75" s="51"/>
      <c r="Q75" s="279">
        <f>1</f>
        <v>1</v>
      </c>
      <c r="R75" s="141"/>
      <c r="T75" s="149"/>
      <c r="U75" s="148"/>
      <c r="X75" s="278"/>
      <c r="Y75" s="278" t="str">
        <f t="shared" si="12"/>
        <v/>
      </c>
      <c r="Z75" s="141" t="str">
        <f t="shared" si="11"/>
        <v/>
      </c>
    </row>
    <row r="76" spans="1:16370" s="147" customFormat="1" ht="136">
      <c r="A76" s="14">
        <v>23</v>
      </c>
      <c r="B76" s="238" t="s">
        <v>176</v>
      </c>
      <c r="C76" s="17" t="s">
        <v>176</v>
      </c>
      <c r="D76" s="22" t="s">
        <v>963</v>
      </c>
      <c r="E76" s="20">
        <f>LEN(D76)</f>
        <v>239</v>
      </c>
      <c r="F76" s="588" t="s">
        <v>1305</v>
      </c>
      <c r="G76" s="20">
        <f>LEN(F80)</f>
        <v>0</v>
      </c>
      <c r="H76" s="20" t="s">
        <v>94</v>
      </c>
      <c r="I76" s="20" t="s">
        <v>19</v>
      </c>
      <c r="J76" s="20" t="s">
        <v>19</v>
      </c>
      <c r="K76" s="20" t="s">
        <v>22</v>
      </c>
      <c r="L76" s="31" t="s">
        <v>684</v>
      </c>
      <c r="M76" s="81" t="s">
        <v>19</v>
      </c>
      <c r="N76" s="32" t="s">
        <v>681</v>
      </c>
      <c r="O76" s="32"/>
      <c r="P76" s="622" t="s">
        <v>168</v>
      </c>
      <c r="Q76" s="279">
        <f>1</f>
        <v>1</v>
      </c>
      <c r="R76" s="141"/>
      <c r="T76" s="149" t="s">
        <v>18</v>
      </c>
      <c r="U76" s="148"/>
      <c r="X76" s="278">
        <v>23.200380325317383</v>
      </c>
      <c r="Y76" s="278">
        <f t="shared" si="12"/>
        <v>23.200380325317383</v>
      </c>
      <c r="Z76" s="141" t="str">
        <f t="shared" si="11"/>
        <v/>
      </c>
    </row>
    <row r="77" spans="1:16370" s="147" customFormat="1" ht="119">
      <c r="A77" s="14">
        <v>23</v>
      </c>
      <c r="B77" s="238" t="s">
        <v>177</v>
      </c>
      <c r="C77" s="247" t="s">
        <v>177</v>
      </c>
      <c r="D77" s="22" t="s">
        <v>170</v>
      </c>
      <c r="E77" s="20">
        <f>LEN(D77)</f>
        <v>253</v>
      </c>
      <c r="F77" s="588" t="s">
        <v>1306</v>
      </c>
      <c r="G77" s="20">
        <f>LEN(F81)</f>
        <v>267</v>
      </c>
      <c r="H77" s="33" t="s">
        <v>30</v>
      </c>
      <c r="I77" s="16" t="s">
        <v>19</v>
      </c>
      <c r="J77" s="16" t="s">
        <v>19</v>
      </c>
      <c r="K77" s="16" t="s">
        <v>31</v>
      </c>
      <c r="L77" s="34" t="s">
        <v>685</v>
      </c>
      <c r="M77" s="81" t="s">
        <v>19</v>
      </c>
      <c r="N77" s="34" t="s">
        <v>682</v>
      </c>
      <c r="O77" s="34"/>
      <c r="P77" s="623"/>
      <c r="Q77" s="279">
        <f>1</f>
        <v>1</v>
      </c>
      <c r="R77" s="141"/>
      <c r="T77" s="149" t="s">
        <v>18</v>
      </c>
      <c r="U77" s="148"/>
      <c r="X77" s="278">
        <v>1.9277389049530029</v>
      </c>
      <c r="Y77" s="278">
        <f t="shared" si="12"/>
        <v>1.9277389049530029</v>
      </c>
      <c r="Z77" s="141" t="str">
        <f t="shared" si="11"/>
        <v/>
      </c>
    </row>
    <row r="78" spans="1:16370" s="147" customFormat="1" ht="170">
      <c r="A78" s="58">
        <v>24</v>
      </c>
      <c r="B78" s="394" t="s">
        <v>175</v>
      </c>
      <c r="C78" s="395" t="s">
        <v>175</v>
      </c>
      <c r="D78" s="57" t="s">
        <v>831</v>
      </c>
      <c r="E78" s="16">
        <f>LEN(D78)</f>
        <v>181</v>
      </c>
      <c r="F78" s="588" t="s">
        <v>1198</v>
      </c>
      <c r="G78" s="16">
        <f>LEN(F82)</f>
        <v>0</v>
      </c>
      <c r="H78" s="17" t="s">
        <v>30</v>
      </c>
      <c r="I78" s="16" t="s">
        <v>19</v>
      </c>
      <c r="J78" s="16" t="s">
        <v>19</v>
      </c>
      <c r="K78" s="16" t="s">
        <v>31</v>
      </c>
      <c r="L78" s="34" t="s">
        <v>719</v>
      </c>
      <c r="M78" s="81" t="s">
        <v>19</v>
      </c>
      <c r="N78" s="379" t="s">
        <v>721</v>
      </c>
      <c r="O78" s="380"/>
      <c r="P78" s="51"/>
      <c r="Q78" s="279">
        <f>1</f>
        <v>1</v>
      </c>
      <c r="R78" s="141"/>
      <c r="T78" s="149" t="s">
        <v>18</v>
      </c>
      <c r="U78" s="148"/>
      <c r="X78" s="278">
        <v>4.7874016761779785</v>
      </c>
      <c r="Y78" s="278">
        <f t="shared" si="12"/>
        <v>4.7874016761779785</v>
      </c>
      <c r="Z78" s="141" t="str">
        <f t="shared" si="11"/>
        <v/>
      </c>
    </row>
    <row r="79" spans="1:16370" s="147" customFormat="1" ht="153">
      <c r="A79" s="26">
        <v>25</v>
      </c>
      <c r="B79" s="238" t="s">
        <v>680</v>
      </c>
      <c r="C79" s="247" t="s">
        <v>680</v>
      </c>
      <c r="D79" s="37" t="s">
        <v>904</v>
      </c>
      <c r="E79" s="24">
        <f>LEN(D79)</f>
        <v>215</v>
      </c>
      <c r="F79" s="588" t="s">
        <v>1197</v>
      </c>
      <c r="G79" s="24">
        <f>LEN(F83)</f>
        <v>1112</v>
      </c>
      <c r="H79" s="36" t="s">
        <v>30</v>
      </c>
      <c r="I79" s="20" t="s">
        <v>19</v>
      </c>
      <c r="J79" s="20" t="s">
        <v>19</v>
      </c>
      <c r="K79" s="20" t="s">
        <v>31</v>
      </c>
      <c r="L79" s="396" t="s">
        <v>720</v>
      </c>
      <c r="M79" s="81" t="s">
        <v>19</v>
      </c>
      <c r="N79" s="393" t="s">
        <v>722</v>
      </c>
      <c r="O79" s="381"/>
      <c r="P79" s="10"/>
      <c r="Q79" s="279">
        <f>1</f>
        <v>1</v>
      </c>
      <c r="R79" s="141"/>
      <c r="S79" s="378"/>
      <c r="T79" s="149" t="s">
        <v>18</v>
      </c>
      <c r="U79" s="148"/>
      <c r="V79" s="378"/>
      <c r="W79" s="378"/>
      <c r="X79" s="278">
        <v>20.918367385864258</v>
      </c>
      <c r="Y79" s="278">
        <f t="shared" si="12"/>
        <v>20.918367385864258</v>
      </c>
      <c r="Z79" s="141" t="str">
        <f t="shared" si="11"/>
        <v/>
      </c>
      <c r="AA79" s="378"/>
      <c r="AB79" s="378"/>
      <c r="AC79" s="378"/>
      <c r="AD79" s="378"/>
      <c r="AE79" s="378"/>
      <c r="AF79" s="378"/>
      <c r="AG79" s="378"/>
      <c r="AH79" s="378"/>
      <c r="AI79" s="378"/>
      <c r="AJ79" s="378"/>
      <c r="AK79" s="378"/>
      <c r="AL79" s="378"/>
      <c r="AM79" s="378"/>
      <c r="AN79" s="378"/>
      <c r="AO79" s="378"/>
      <c r="AP79" s="378"/>
      <c r="AQ79" s="378"/>
      <c r="AR79" s="378"/>
      <c r="AS79" s="378"/>
      <c r="AT79" s="378"/>
      <c r="AU79" s="378"/>
      <c r="AV79" s="378"/>
      <c r="AW79" s="378"/>
      <c r="AX79" s="378"/>
      <c r="AY79" s="378"/>
      <c r="AZ79" s="378"/>
      <c r="BA79" s="378"/>
      <c r="BB79" s="378"/>
      <c r="BC79" s="378"/>
      <c r="BD79" s="378"/>
      <c r="BE79" s="378"/>
      <c r="BF79" s="378"/>
      <c r="BG79" s="378"/>
      <c r="BH79" s="378"/>
      <c r="BI79" s="378"/>
      <c r="BJ79" s="378"/>
      <c r="BK79" s="378"/>
      <c r="BL79" s="378"/>
      <c r="BM79" s="378"/>
      <c r="BN79" s="378"/>
      <c r="BO79" s="378"/>
      <c r="BP79" s="378"/>
      <c r="BQ79" s="378"/>
      <c r="BR79" s="378"/>
      <c r="BS79" s="378"/>
      <c r="BT79" s="378"/>
      <c r="BU79" s="378"/>
      <c r="BV79" s="378"/>
      <c r="BW79" s="378"/>
      <c r="BX79" s="378"/>
      <c r="BY79" s="378"/>
      <c r="BZ79" s="378"/>
      <c r="CA79" s="378"/>
      <c r="CB79" s="378"/>
      <c r="CC79" s="378"/>
      <c r="CD79" s="378"/>
      <c r="CE79" s="378"/>
      <c r="CF79" s="378"/>
      <c r="CG79" s="378"/>
      <c r="CH79" s="378"/>
      <c r="CI79" s="378"/>
      <c r="CJ79" s="378"/>
      <c r="CK79" s="378"/>
      <c r="CL79" s="378"/>
      <c r="CM79" s="378"/>
      <c r="CN79" s="378"/>
      <c r="CO79" s="378"/>
      <c r="CP79" s="378"/>
      <c r="CQ79" s="378"/>
      <c r="CR79" s="378"/>
      <c r="CS79" s="378"/>
      <c r="CT79" s="378"/>
      <c r="CU79" s="378"/>
      <c r="CV79" s="378"/>
      <c r="CW79" s="378"/>
      <c r="CX79" s="378"/>
      <c r="CY79" s="378"/>
      <c r="CZ79" s="378"/>
      <c r="DA79" s="378"/>
      <c r="DB79" s="378"/>
      <c r="DC79" s="378"/>
      <c r="DD79" s="378"/>
      <c r="DE79" s="378"/>
      <c r="DF79" s="378"/>
      <c r="DG79" s="378"/>
      <c r="DH79" s="378"/>
      <c r="DI79" s="378"/>
      <c r="DJ79" s="378"/>
      <c r="DK79" s="378"/>
      <c r="DL79" s="378"/>
      <c r="DM79" s="378"/>
      <c r="DN79" s="378"/>
      <c r="DO79" s="378"/>
      <c r="DP79" s="378"/>
      <c r="DQ79" s="378"/>
      <c r="DR79" s="378"/>
      <c r="DS79" s="378"/>
      <c r="DT79" s="378"/>
      <c r="DU79" s="378"/>
      <c r="DV79" s="378"/>
      <c r="DW79" s="378"/>
      <c r="DX79" s="378"/>
      <c r="DY79" s="378"/>
      <c r="DZ79" s="378"/>
      <c r="EA79" s="378"/>
      <c r="EB79" s="378"/>
      <c r="EC79" s="378"/>
      <c r="ED79" s="378"/>
      <c r="EE79" s="378"/>
      <c r="EF79" s="378"/>
      <c r="EG79" s="378"/>
      <c r="EH79" s="378"/>
      <c r="EI79" s="378"/>
      <c r="EJ79" s="378"/>
      <c r="EK79" s="378"/>
      <c r="EL79" s="378"/>
      <c r="EM79" s="378"/>
      <c r="EN79" s="378"/>
      <c r="EO79" s="378"/>
      <c r="EP79" s="378"/>
      <c r="EQ79" s="378"/>
      <c r="ER79" s="378"/>
      <c r="ES79" s="378"/>
      <c r="ET79" s="378"/>
      <c r="EU79" s="378"/>
      <c r="EV79" s="378"/>
      <c r="EW79" s="378"/>
      <c r="EX79" s="378"/>
      <c r="EY79" s="378"/>
      <c r="EZ79" s="378"/>
      <c r="FA79" s="378"/>
      <c r="FB79" s="378"/>
      <c r="FC79" s="378"/>
      <c r="FD79" s="378"/>
      <c r="FE79" s="378"/>
      <c r="FF79" s="378"/>
      <c r="FG79" s="378"/>
      <c r="FH79" s="378"/>
      <c r="FI79" s="378"/>
      <c r="FJ79" s="378"/>
      <c r="FK79" s="378"/>
      <c r="FL79" s="378"/>
      <c r="FM79" s="378"/>
      <c r="FN79" s="378"/>
      <c r="FO79" s="378"/>
      <c r="FP79" s="378"/>
      <c r="FQ79" s="378"/>
      <c r="FR79" s="378"/>
      <c r="FS79" s="378"/>
      <c r="FT79" s="378"/>
      <c r="FU79" s="378"/>
      <c r="FV79" s="378"/>
      <c r="FW79" s="378"/>
      <c r="FX79" s="378"/>
      <c r="FY79" s="378"/>
      <c r="FZ79" s="378"/>
      <c r="GA79" s="378"/>
      <c r="GB79" s="378"/>
      <c r="GC79" s="378"/>
      <c r="GD79" s="378"/>
      <c r="GE79" s="378"/>
      <c r="GF79" s="378"/>
      <c r="GG79" s="378"/>
      <c r="GH79" s="378"/>
      <c r="GI79" s="378"/>
      <c r="GJ79" s="378"/>
      <c r="GK79" s="378"/>
      <c r="GL79" s="378"/>
      <c r="GM79" s="378"/>
      <c r="GN79" s="378"/>
      <c r="GO79" s="378"/>
      <c r="GP79" s="378"/>
      <c r="GQ79" s="378"/>
      <c r="GR79" s="378"/>
      <c r="GS79" s="378"/>
      <c r="GT79" s="378"/>
      <c r="GU79" s="378"/>
      <c r="GV79" s="378"/>
      <c r="GW79" s="378"/>
      <c r="GX79" s="378"/>
      <c r="GY79" s="378"/>
      <c r="GZ79" s="378"/>
      <c r="HA79" s="378"/>
      <c r="HB79" s="378"/>
      <c r="HC79" s="378"/>
      <c r="HD79" s="378"/>
      <c r="HE79" s="378"/>
      <c r="HF79" s="378"/>
      <c r="HG79" s="378"/>
      <c r="HH79" s="378"/>
      <c r="HI79" s="378"/>
      <c r="HJ79" s="378"/>
      <c r="HK79" s="378"/>
      <c r="HL79" s="378"/>
      <c r="HM79" s="378"/>
      <c r="HN79" s="378"/>
      <c r="HO79" s="378"/>
      <c r="HP79" s="378"/>
      <c r="HQ79" s="378"/>
      <c r="HR79" s="378"/>
      <c r="HS79" s="378"/>
      <c r="HT79" s="378"/>
      <c r="HU79" s="378"/>
      <c r="HV79" s="378"/>
      <c r="HW79" s="378"/>
      <c r="HX79" s="378"/>
      <c r="HY79" s="378"/>
      <c r="HZ79" s="378"/>
      <c r="IA79" s="378"/>
      <c r="IB79" s="378"/>
      <c r="IC79" s="378"/>
      <c r="ID79" s="378"/>
      <c r="IE79" s="378"/>
      <c r="IF79" s="378"/>
      <c r="IG79" s="378"/>
      <c r="IH79" s="378"/>
      <c r="II79" s="378"/>
      <c r="IJ79" s="378"/>
      <c r="IK79" s="378"/>
      <c r="IL79" s="378"/>
      <c r="IM79" s="378"/>
      <c r="IN79" s="378"/>
      <c r="IO79" s="378"/>
      <c r="IP79" s="378"/>
      <c r="IQ79" s="378"/>
      <c r="IR79" s="378"/>
      <c r="IS79" s="378"/>
      <c r="IT79" s="378"/>
      <c r="IU79" s="378"/>
      <c r="IV79" s="378"/>
      <c r="IW79" s="378"/>
      <c r="IX79" s="378"/>
      <c r="IY79" s="378"/>
      <c r="IZ79" s="378"/>
      <c r="JA79" s="378"/>
      <c r="JB79" s="378"/>
      <c r="JC79" s="378"/>
      <c r="JD79" s="378"/>
      <c r="JE79" s="378"/>
      <c r="JF79" s="378"/>
      <c r="JG79" s="378"/>
      <c r="JH79" s="378"/>
      <c r="JI79" s="378"/>
      <c r="JJ79" s="378"/>
      <c r="JK79" s="378"/>
      <c r="JL79" s="378"/>
      <c r="JM79" s="378"/>
      <c r="JN79" s="378"/>
      <c r="JO79" s="378"/>
      <c r="JP79" s="378"/>
      <c r="JQ79" s="378"/>
      <c r="JR79" s="378"/>
      <c r="JS79" s="378"/>
      <c r="JT79" s="378"/>
      <c r="JU79" s="378"/>
      <c r="JV79" s="378"/>
      <c r="JW79" s="378"/>
      <c r="JX79" s="378"/>
      <c r="JY79" s="378"/>
      <c r="JZ79" s="378"/>
      <c r="KA79" s="378"/>
      <c r="KB79" s="378"/>
      <c r="KC79" s="378"/>
      <c r="KD79" s="378"/>
      <c r="KE79" s="378"/>
      <c r="KF79" s="378"/>
      <c r="KG79" s="378"/>
      <c r="KH79" s="378"/>
      <c r="KI79" s="378"/>
      <c r="KJ79" s="378"/>
      <c r="KK79" s="378"/>
      <c r="KL79" s="378"/>
      <c r="KM79" s="378"/>
      <c r="KN79" s="378"/>
      <c r="KO79" s="378"/>
      <c r="KP79" s="378"/>
      <c r="KQ79" s="378"/>
      <c r="KR79" s="378"/>
      <c r="KS79" s="378"/>
      <c r="KT79" s="378"/>
      <c r="KU79" s="378"/>
      <c r="KV79" s="378"/>
      <c r="KW79" s="378"/>
      <c r="KX79" s="378"/>
      <c r="KY79" s="378"/>
      <c r="KZ79" s="378"/>
      <c r="LA79" s="378"/>
      <c r="LB79" s="378"/>
      <c r="LC79" s="378"/>
      <c r="LD79" s="378"/>
      <c r="LE79" s="378"/>
      <c r="LF79" s="378"/>
      <c r="LG79" s="378"/>
      <c r="LH79" s="378"/>
      <c r="LI79" s="378"/>
      <c r="LJ79" s="378"/>
      <c r="LK79" s="378"/>
      <c r="LL79" s="378"/>
      <c r="LM79" s="378"/>
      <c r="LN79" s="378"/>
      <c r="LO79" s="378"/>
      <c r="LP79" s="378"/>
      <c r="LQ79" s="378"/>
      <c r="LR79" s="378"/>
      <c r="LS79" s="378"/>
      <c r="LT79" s="378"/>
      <c r="LU79" s="378"/>
      <c r="LV79" s="378"/>
      <c r="LW79" s="378"/>
      <c r="LX79" s="378"/>
      <c r="LY79" s="378"/>
      <c r="LZ79" s="378"/>
      <c r="MA79" s="378"/>
      <c r="MB79" s="378"/>
      <c r="MC79" s="378"/>
      <c r="MD79" s="378"/>
      <c r="ME79" s="378"/>
      <c r="MF79" s="378"/>
      <c r="MG79" s="378"/>
      <c r="MH79" s="378"/>
      <c r="MI79" s="378"/>
      <c r="MJ79" s="378"/>
      <c r="MK79" s="378"/>
      <c r="ML79" s="378"/>
      <c r="MM79" s="378"/>
      <c r="MN79" s="378"/>
      <c r="MO79" s="378"/>
      <c r="MP79" s="378"/>
      <c r="MQ79" s="378"/>
      <c r="MR79" s="378"/>
      <c r="MS79" s="378"/>
      <c r="MT79" s="378"/>
      <c r="MU79" s="378"/>
      <c r="MV79" s="378"/>
      <c r="MW79" s="378"/>
      <c r="MX79" s="378"/>
      <c r="MY79" s="378"/>
      <c r="MZ79" s="378"/>
      <c r="NA79" s="378"/>
      <c r="NB79" s="378"/>
      <c r="NC79" s="378"/>
      <c r="ND79" s="378"/>
      <c r="NE79" s="378"/>
      <c r="NF79" s="378"/>
      <c r="NG79" s="378"/>
      <c r="NH79" s="378"/>
      <c r="NI79" s="378"/>
      <c r="NJ79" s="378"/>
      <c r="NK79" s="378"/>
      <c r="NL79" s="378"/>
      <c r="NM79" s="378"/>
      <c r="NN79" s="378"/>
      <c r="NO79" s="378"/>
      <c r="NP79" s="378"/>
      <c r="NQ79" s="378"/>
      <c r="NR79" s="378"/>
      <c r="NS79" s="378"/>
      <c r="NT79" s="378"/>
      <c r="NU79" s="378"/>
      <c r="NV79" s="378"/>
      <c r="NW79" s="378"/>
      <c r="NX79" s="378"/>
      <c r="NY79" s="378"/>
      <c r="NZ79" s="378"/>
      <c r="OA79" s="378"/>
      <c r="OB79" s="378"/>
      <c r="OC79" s="378"/>
      <c r="OD79" s="378"/>
      <c r="OE79" s="378"/>
      <c r="OF79" s="378"/>
      <c r="OG79" s="378"/>
      <c r="OH79" s="378"/>
      <c r="OI79" s="378"/>
      <c r="OJ79" s="378"/>
      <c r="OK79" s="378"/>
      <c r="OL79" s="378"/>
      <c r="OM79" s="378"/>
      <c r="ON79" s="378"/>
      <c r="OO79" s="378"/>
      <c r="OP79" s="378"/>
      <c r="OQ79" s="378"/>
      <c r="OR79" s="378"/>
      <c r="OS79" s="378"/>
      <c r="OT79" s="378"/>
      <c r="OU79" s="378"/>
      <c r="OV79" s="378"/>
      <c r="OW79" s="378"/>
      <c r="OX79" s="378"/>
      <c r="OY79" s="378"/>
      <c r="OZ79" s="378"/>
      <c r="PA79" s="378"/>
      <c r="PB79" s="378"/>
      <c r="PC79" s="378"/>
      <c r="PD79" s="378"/>
      <c r="PE79" s="378"/>
      <c r="PF79" s="378"/>
      <c r="PG79" s="378"/>
      <c r="PH79" s="378"/>
      <c r="PI79" s="378"/>
      <c r="PJ79" s="378"/>
      <c r="PK79" s="378"/>
      <c r="PL79" s="378"/>
      <c r="PM79" s="378"/>
      <c r="PN79" s="378"/>
      <c r="PO79" s="378"/>
      <c r="PP79" s="378"/>
      <c r="PQ79" s="378"/>
      <c r="PR79" s="378"/>
      <c r="PS79" s="378"/>
      <c r="PT79" s="378"/>
      <c r="PU79" s="378"/>
      <c r="PV79" s="378"/>
      <c r="PW79" s="378"/>
      <c r="PX79" s="378"/>
      <c r="PY79" s="378"/>
      <c r="PZ79" s="378"/>
      <c r="QA79" s="378"/>
      <c r="QB79" s="378"/>
      <c r="QC79" s="378"/>
      <c r="QD79" s="378"/>
      <c r="QE79" s="378"/>
      <c r="QF79" s="378"/>
      <c r="QG79" s="378"/>
      <c r="QH79" s="378"/>
      <c r="QI79" s="378"/>
      <c r="QJ79" s="378"/>
      <c r="QK79" s="378"/>
      <c r="QL79" s="378"/>
      <c r="QM79" s="378"/>
      <c r="QN79" s="378"/>
      <c r="QO79" s="378"/>
      <c r="QP79" s="378"/>
      <c r="QQ79" s="378"/>
      <c r="QR79" s="378"/>
      <c r="QS79" s="378"/>
      <c r="QT79" s="378"/>
      <c r="QU79" s="378"/>
      <c r="QV79" s="378"/>
      <c r="QW79" s="378"/>
      <c r="QX79" s="378"/>
      <c r="QY79" s="378"/>
      <c r="QZ79" s="378"/>
      <c r="RA79" s="378"/>
      <c r="RB79" s="378"/>
      <c r="RC79" s="378"/>
      <c r="RD79" s="378"/>
      <c r="RE79" s="378"/>
      <c r="RF79" s="378"/>
      <c r="RG79" s="378"/>
      <c r="RH79" s="378"/>
      <c r="RI79" s="378"/>
      <c r="RJ79" s="378"/>
      <c r="RK79" s="378"/>
      <c r="RL79" s="378"/>
      <c r="RM79" s="378"/>
      <c r="RN79" s="378"/>
      <c r="RO79" s="378"/>
      <c r="RP79" s="378"/>
      <c r="RQ79" s="378"/>
      <c r="RR79" s="378"/>
      <c r="RS79" s="378"/>
      <c r="RT79" s="378"/>
      <c r="RU79" s="378"/>
      <c r="RV79" s="378"/>
      <c r="RW79" s="378"/>
      <c r="RX79" s="378"/>
      <c r="RY79" s="378"/>
      <c r="RZ79" s="378"/>
      <c r="SA79" s="378"/>
      <c r="SB79" s="378"/>
      <c r="SC79" s="378"/>
      <c r="SD79" s="378"/>
      <c r="SE79" s="378"/>
      <c r="SF79" s="378"/>
      <c r="SG79" s="378"/>
      <c r="SH79" s="378"/>
      <c r="SI79" s="378"/>
      <c r="SJ79" s="378"/>
      <c r="SK79" s="378"/>
      <c r="SL79" s="378"/>
      <c r="SM79" s="378"/>
      <c r="SN79" s="378"/>
      <c r="SO79" s="378"/>
      <c r="SP79" s="378"/>
      <c r="SQ79" s="378"/>
      <c r="SR79" s="378"/>
      <c r="SS79" s="378"/>
      <c r="ST79" s="378"/>
      <c r="SU79" s="378"/>
      <c r="SV79" s="378"/>
      <c r="SW79" s="378"/>
      <c r="SX79" s="378"/>
      <c r="SY79" s="378"/>
      <c r="SZ79" s="378"/>
      <c r="TA79" s="378"/>
      <c r="TB79" s="378"/>
      <c r="TC79" s="378"/>
      <c r="TD79" s="378"/>
      <c r="TE79" s="378"/>
      <c r="TF79" s="378"/>
      <c r="TG79" s="378"/>
      <c r="TH79" s="378"/>
      <c r="TI79" s="378"/>
      <c r="TJ79" s="378"/>
      <c r="TK79" s="378"/>
      <c r="TL79" s="378"/>
      <c r="TM79" s="378"/>
      <c r="TN79" s="378"/>
      <c r="TO79" s="378"/>
      <c r="TP79" s="378"/>
      <c r="TQ79" s="378"/>
      <c r="TR79" s="378"/>
      <c r="TS79" s="378"/>
      <c r="TT79" s="378"/>
      <c r="TU79" s="378"/>
      <c r="TV79" s="378"/>
      <c r="TW79" s="378"/>
      <c r="TX79" s="378"/>
      <c r="TY79" s="378"/>
      <c r="TZ79" s="378"/>
      <c r="UA79" s="378"/>
      <c r="UB79" s="378"/>
      <c r="UC79" s="378"/>
      <c r="UD79" s="378"/>
      <c r="UE79" s="378"/>
      <c r="UF79" s="378"/>
      <c r="UG79" s="378"/>
      <c r="UH79" s="378"/>
      <c r="UI79" s="378"/>
      <c r="UJ79" s="378"/>
      <c r="UK79" s="378"/>
      <c r="UL79" s="378"/>
      <c r="UM79" s="378"/>
      <c r="UN79" s="378"/>
      <c r="UO79" s="378"/>
      <c r="UP79" s="378"/>
      <c r="UQ79" s="378"/>
      <c r="UR79" s="378"/>
      <c r="US79" s="378"/>
      <c r="UT79" s="378"/>
      <c r="UU79" s="378"/>
      <c r="UV79" s="378"/>
      <c r="UW79" s="378"/>
      <c r="UX79" s="378"/>
      <c r="UY79" s="378"/>
      <c r="UZ79" s="378"/>
      <c r="VA79" s="378"/>
      <c r="VB79" s="378"/>
      <c r="VC79" s="378"/>
      <c r="VD79" s="378"/>
      <c r="VE79" s="378"/>
      <c r="VF79" s="378"/>
      <c r="VG79" s="378"/>
      <c r="VH79" s="378"/>
      <c r="VI79" s="378"/>
      <c r="VJ79" s="378"/>
      <c r="VK79" s="378"/>
      <c r="VL79" s="378"/>
      <c r="VM79" s="378"/>
      <c r="VN79" s="378"/>
      <c r="VO79" s="378"/>
      <c r="VP79" s="378"/>
      <c r="VQ79" s="378"/>
      <c r="VR79" s="378"/>
      <c r="VS79" s="378"/>
      <c r="VT79" s="378"/>
      <c r="VU79" s="378"/>
      <c r="VV79" s="378"/>
      <c r="VW79" s="378"/>
      <c r="VX79" s="378"/>
      <c r="VY79" s="378"/>
      <c r="VZ79" s="378"/>
      <c r="WA79" s="378"/>
      <c r="WB79" s="378"/>
      <c r="WC79" s="378"/>
      <c r="WD79" s="378"/>
      <c r="WE79" s="378"/>
      <c r="WF79" s="378"/>
      <c r="WG79" s="378"/>
      <c r="WH79" s="378"/>
      <c r="WI79" s="378"/>
      <c r="WJ79" s="378"/>
      <c r="WK79" s="378"/>
      <c r="WL79" s="378"/>
      <c r="WM79" s="378"/>
      <c r="WN79" s="378"/>
      <c r="WO79" s="378"/>
      <c r="WP79" s="378"/>
      <c r="WQ79" s="378"/>
      <c r="WR79" s="378"/>
      <c r="WS79" s="378"/>
      <c r="WT79" s="378"/>
      <c r="WU79" s="378"/>
      <c r="WV79" s="378"/>
      <c r="WW79" s="378"/>
      <c r="WX79" s="378"/>
      <c r="WY79" s="378"/>
      <c r="WZ79" s="378"/>
      <c r="XA79" s="378"/>
      <c r="XB79" s="378"/>
      <c r="XC79" s="378"/>
      <c r="XD79" s="378"/>
      <c r="XE79" s="378"/>
      <c r="XF79" s="378"/>
      <c r="XG79" s="378"/>
      <c r="XH79" s="378"/>
      <c r="XI79" s="378"/>
      <c r="XJ79" s="378"/>
      <c r="XK79" s="378"/>
      <c r="XL79" s="378"/>
      <c r="XM79" s="378"/>
      <c r="XN79" s="378"/>
      <c r="XO79" s="378"/>
      <c r="XP79" s="378"/>
      <c r="XQ79" s="378"/>
      <c r="XR79" s="378"/>
      <c r="XS79" s="378"/>
      <c r="XT79" s="378"/>
      <c r="XU79" s="378"/>
      <c r="XV79" s="378"/>
      <c r="XW79" s="378"/>
      <c r="XX79" s="378"/>
      <c r="XY79" s="378"/>
      <c r="XZ79" s="378"/>
      <c r="YA79" s="378"/>
      <c r="YB79" s="378"/>
      <c r="YC79" s="378"/>
      <c r="YD79" s="378"/>
      <c r="YE79" s="378"/>
      <c r="YF79" s="378"/>
      <c r="YG79" s="378"/>
      <c r="YH79" s="378"/>
      <c r="YI79" s="378"/>
      <c r="YJ79" s="378"/>
      <c r="YK79" s="378"/>
      <c r="YL79" s="378"/>
      <c r="YM79" s="378"/>
      <c r="YN79" s="378"/>
      <c r="YO79" s="378"/>
      <c r="YP79" s="378"/>
      <c r="YQ79" s="378"/>
      <c r="YR79" s="378"/>
      <c r="YS79" s="378"/>
      <c r="YT79" s="378"/>
      <c r="YU79" s="378"/>
      <c r="YV79" s="378"/>
      <c r="YW79" s="378"/>
      <c r="YX79" s="378"/>
      <c r="YY79" s="378"/>
      <c r="YZ79" s="378"/>
      <c r="ZA79" s="378"/>
      <c r="ZB79" s="378"/>
      <c r="ZC79" s="378"/>
      <c r="ZD79" s="378"/>
      <c r="ZE79" s="378"/>
      <c r="ZF79" s="378"/>
      <c r="ZG79" s="378"/>
      <c r="ZH79" s="378"/>
      <c r="ZI79" s="378"/>
      <c r="ZJ79" s="378"/>
      <c r="ZK79" s="378"/>
      <c r="ZL79" s="378"/>
      <c r="ZM79" s="378"/>
      <c r="ZN79" s="378"/>
      <c r="ZO79" s="378"/>
      <c r="ZP79" s="378"/>
      <c r="ZQ79" s="378"/>
      <c r="ZR79" s="378"/>
      <c r="ZS79" s="378"/>
      <c r="ZT79" s="378"/>
      <c r="ZU79" s="378"/>
      <c r="ZV79" s="378"/>
      <c r="ZW79" s="378"/>
      <c r="ZX79" s="378"/>
      <c r="ZY79" s="378"/>
      <c r="ZZ79" s="378"/>
      <c r="AAA79" s="378"/>
      <c r="AAB79" s="378"/>
      <c r="AAC79" s="378"/>
      <c r="AAD79" s="378"/>
      <c r="AAE79" s="378"/>
      <c r="AAF79" s="378"/>
      <c r="AAG79" s="378"/>
      <c r="AAH79" s="378"/>
      <c r="AAI79" s="378"/>
      <c r="AAJ79" s="378"/>
      <c r="AAK79" s="378"/>
      <c r="AAL79" s="378"/>
      <c r="AAM79" s="378"/>
      <c r="AAN79" s="378"/>
      <c r="AAO79" s="378"/>
      <c r="AAP79" s="378"/>
      <c r="AAQ79" s="378"/>
      <c r="AAR79" s="378"/>
      <c r="AAS79" s="378"/>
      <c r="AAT79" s="378"/>
      <c r="AAU79" s="378"/>
      <c r="AAV79" s="378"/>
      <c r="AAW79" s="378"/>
      <c r="AAX79" s="378"/>
      <c r="AAY79" s="378"/>
      <c r="AAZ79" s="378"/>
      <c r="ABA79" s="378"/>
      <c r="ABB79" s="378"/>
      <c r="ABC79" s="378"/>
      <c r="ABD79" s="378"/>
      <c r="ABE79" s="378"/>
      <c r="ABF79" s="378"/>
      <c r="ABG79" s="378"/>
      <c r="ABH79" s="378"/>
      <c r="ABI79" s="378"/>
      <c r="ABJ79" s="378"/>
      <c r="ABK79" s="378"/>
      <c r="ABL79" s="378"/>
      <c r="ABM79" s="378"/>
      <c r="ABN79" s="378"/>
      <c r="ABO79" s="378"/>
      <c r="ABP79" s="378"/>
      <c r="ABQ79" s="378"/>
      <c r="ABR79" s="378"/>
      <c r="ABS79" s="378"/>
      <c r="ABT79" s="378"/>
      <c r="ABU79" s="378"/>
      <c r="ABV79" s="378"/>
      <c r="ABW79" s="378"/>
      <c r="ABX79" s="378"/>
      <c r="ABY79" s="378"/>
      <c r="ABZ79" s="378"/>
      <c r="ACA79" s="378"/>
      <c r="ACB79" s="378"/>
      <c r="ACC79" s="378"/>
      <c r="ACD79" s="378"/>
      <c r="ACE79" s="378"/>
      <c r="ACF79" s="378"/>
      <c r="ACG79" s="378"/>
      <c r="ACH79" s="378"/>
      <c r="ACI79" s="378"/>
      <c r="ACJ79" s="378"/>
      <c r="ACK79" s="378"/>
      <c r="ACL79" s="378"/>
      <c r="ACM79" s="378"/>
      <c r="ACN79" s="378"/>
      <c r="ACO79" s="378"/>
      <c r="ACP79" s="378"/>
      <c r="ACQ79" s="378"/>
      <c r="ACR79" s="378"/>
      <c r="ACS79" s="378"/>
      <c r="ACT79" s="378"/>
      <c r="ACU79" s="378"/>
      <c r="ACV79" s="378"/>
      <c r="ACW79" s="378"/>
      <c r="ACX79" s="378"/>
      <c r="ACY79" s="378"/>
      <c r="ACZ79" s="378"/>
      <c r="ADA79" s="378"/>
      <c r="ADB79" s="378"/>
      <c r="ADC79" s="378"/>
      <c r="ADD79" s="378"/>
      <c r="ADE79" s="378"/>
      <c r="ADF79" s="378"/>
      <c r="ADG79" s="378"/>
      <c r="ADH79" s="378"/>
      <c r="ADI79" s="378"/>
      <c r="ADJ79" s="378"/>
      <c r="ADK79" s="378"/>
      <c r="ADL79" s="378"/>
      <c r="ADM79" s="378"/>
      <c r="ADN79" s="378"/>
      <c r="ADO79" s="378"/>
      <c r="ADP79" s="378"/>
      <c r="ADQ79" s="378"/>
      <c r="ADR79" s="378"/>
      <c r="ADS79" s="378"/>
      <c r="ADT79" s="378"/>
      <c r="ADU79" s="378"/>
      <c r="ADV79" s="378"/>
      <c r="ADW79" s="378"/>
      <c r="ADX79" s="378"/>
      <c r="ADY79" s="378"/>
      <c r="ADZ79" s="378"/>
      <c r="AEA79" s="378"/>
      <c r="AEB79" s="378"/>
      <c r="AEC79" s="378"/>
      <c r="AED79" s="378"/>
      <c r="AEE79" s="378"/>
      <c r="AEF79" s="378"/>
      <c r="AEG79" s="378"/>
      <c r="AEH79" s="378"/>
      <c r="AEI79" s="378"/>
      <c r="AEJ79" s="378"/>
      <c r="AEK79" s="378"/>
      <c r="AEL79" s="378"/>
      <c r="AEM79" s="378"/>
      <c r="AEN79" s="378"/>
      <c r="AEO79" s="378"/>
      <c r="AEP79" s="378"/>
      <c r="AEQ79" s="378"/>
      <c r="AER79" s="378"/>
      <c r="AES79" s="378"/>
      <c r="AET79" s="378"/>
      <c r="AEU79" s="378"/>
      <c r="AEV79" s="378"/>
      <c r="AEW79" s="378"/>
      <c r="AEX79" s="378"/>
      <c r="AEY79" s="378"/>
      <c r="AEZ79" s="378"/>
      <c r="AFA79" s="378"/>
      <c r="AFB79" s="378"/>
      <c r="AFC79" s="378"/>
      <c r="AFD79" s="378"/>
      <c r="AFE79" s="378"/>
      <c r="AFF79" s="378"/>
      <c r="AFG79" s="378"/>
      <c r="AFH79" s="378"/>
      <c r="AFI79" s="378"/>
      <c r="AFJ79" s="378"/>
      <c r="AFK79" s="378"/>
      <c r="AFL79" s="378"/>
      <c r="AFM79" s="378"/>
      <c r="AFN79" s="378"/>
      <c r="AFO79" s="378"/>
      <c r="AFP79" s="378"/>
      <c r="AFQ79" s="378"/>
      <c r="AFR79" s="378"/>
      <c r="AFS79" s="378"/>
      <c r="AFT79" s="378"/>
      <c r="AFU79" s="378"/>
      <c r="AFV79" s="378"/>
      <c r="AFW79" s="378"/>
      <c r="AFX79" s="378"/>
      <c r="AFY79" s="378"/>
      <c r="AFZ79" s="378"/>
      <c r="AGA79" s="378"/>
      <c r="AGB79" s="378"/>
      <c r="AGC79" s="378"/>
      <c r="AGD79" s="378"/>
      <c r="AGE79" s="378"/>
      <c r="AGF79" s="378"/>
      <c r="AGG79" s="378"/>
      <c r="AGH79" s="378"/>
      <c r="AGI79" s="378"/>
      <c r="AGJ79" s="378"/>
      <c r="AGK79" s="378"/>
      <c r="AGL79" s="378"/>
      <c r="AGM79" s="378"/>
      <c r="AGN79" s="378"/>
      <c r="AGO79" s="378"/>
      <c r="AGP79" s="378"/>
      <c r="AGQ79" s="378"/>
      <c r="AGR79" s="378"/>
      <c r="AGS79" s="378"/>
      <c r="AGT79" s="378"/>
      <c r="AGU79" s="378"/>
      <c r="AGV79" s="378"/>
      <c r="AGW79" s="378"/>
      <c r="AGX79" s="378"/>
      <c r="AGY79" s="378"/>
      <c r="AGZ79" s="378"/>
      <c r="AHA79" s="378"/>
      <c r="AHB79" s="378"/>
      <c r="AHC79" s="378"/>
      <c r="AHD79" s="378"/>
      <c r="AHE79" s="378"/>
      <c r="AHF79" s="378"/>
      <c r="AHG79" s="378"/>
      <c r="AHH79" s="378"/>
      <c r="AHI79" s="378"/>
      <c r="AHJ79" s="378"/>
      <c r="AHK79" s="378"/>
      <c r="AHL79" s="378"/>
      <c r="AHM79" s="378"/>
      <c r="AHN79" s="378"/>
      <c r="AHO79" s="378"/>
      <c r="AHP79" s="378"/>
      <c r="AHQ79" s="378"/>
      <c r="AHR79" s="378"/>
      <c r="AHS79" s="378"/>
      <c r="AHT79" s="378"/>
      <c r="AHU79" s="378"/>
      <c r="AHV79" s="378"/>
      <c r="AHW79" s="378"/>
      <c r="AHX79" s="378"/>
      <c r="AHY79" s="378"/>
      <c r="AHZ79" s="378"/>
      <c r="AIA79" s="378"/>
      <c r="AIB79" s="378"/>
      <c r="AIC79" s="378"/>
      <c r="AID79" s="378"/>
      <c r="AIE79" s="378"/>
      <c r="AIF79" s="378"/>
      <c r="AIG79" s="378"/>
      <c r="AIH79" s="378"/>
      <c r="AII79" s="378"/>
      <c r="AIJ79" s="378"/>
      <c r="AIK79" s="378"/>
      <c r="AIL79" s="378"/>
      <c r="AIM79" s="378"/>
      <c r="AIN79" s="378"/>
      <c r="AIO79" s="378"/>
      <c r="AIP79" s="378"/>
      <c r="AIQ79" s="378"/>
      <c r="AIR79" s="378"/>
      <c r="AIS79" s="378"/>
      <c r="AIT79" s="378"/>
      <c r="AIU79" s="378"/>
      <c r="AIV79" s="378"/>
      <c r="AIW79" s="378"/>
      <c r="AIX79" s="378"/>
      <c r="AIY79" s="378"/>
      <c r="AIZ79" s="378"/>
      <c r="AJA79" s="378"/>
      <c r="AJB79" s="378"/>
      <c r="AJC79" s="378"/>
      <c r="AJD79" s="378"/>
      <c r="AJE79" s="378"/>
      <c r="AJF79" s="378"/>
      <c r="AJG79" s="378"/>
      <c r="AJH79" s="378"/>
      <c r="AJI79" s="378"/>
      <c r="AJJ79" s="378"/>
      <c r="AJK79" s="378"/>
      <c r="AJL79" s="378"/>
      <c r="AJM79" s="378"/>
      <c r="AJN79" s="378"/>
      <c r="AJO79" s="378"/>
      <c r="AJP79" s="378"/>
      <c r="AJQ79" s="378"/>
      <c r="AJR79" s="378"/>
      <c r="AJS79" s="378"/>
      <c r="AJT79" s="378"/>
      <c r="AJU79" s="378"/>
      <c r="AJV79" s="378"/>
      <c r="AJW79" s="378"/>
      <c r="AJX79" s="378"/>
      <c r="AJY79" s="378"/>
      <c r="AJZ79" s="378"/>
      <c r="AKA79" s="378"/>
      <c r="AKB79" s="378"/>
      <c r="AKC79" s="378"/>
      <c r="AKD79" s="378"/>
      <c r="AKE79" s="378"/>
      <c r="AKF79" s="378"/>
      <c r="AKG79" s="378"/>
      <c r="AKH79" s="378"/>
      <c r="AKI79" s="378"/>
      <c r="AKJ79" s="378"/>
      <c r="AKK79" s="378"/>
      <c r="AKL79" s="378"/>
      <c r="AKM79" s="378"/>
      <c r="AKN79" s="378"/>
      <c r="AKO79" s="378"/>
      <c r="AKP79" s="378"/>
      <c r="AKQ79" s="378"/>
      <c r="AKR79" s="378"/>
      <c r="AKS79" s="378"/>
      <c r="AKT79" s="378"/>
      <c r="AKU79" s="378"/>
      <c r="AKV79" s="378"/>
      <c r="AKW79" s="378"/>
      <c r="AKX79" s="378"/>
      <c r="AKY79" s="378"/>
      <c r="AKZ79" s="378"/>
      <c r="ALA79" s="378"/>
      <c r="ALB79" s="378"/>
      <c r="ALC79" s="378"/>
      <c r="ALD79" s="378"/>
      <c r="ALE79" s="378"/>
      <c r="ALF79" s="378"/>
      <c r="ALG79" s="378"/>
      <c r="ALH79" s="378"/>
      <c r="ALI79" s="378"/>
      <c r="ALJ79" s="378"/>
      <c r="ALK79" s="378"/>
      <c r="ALL79" s="378"/>
      <c r="ALM79" s="378"/>
      <c r="ALN79" s="378"/>
      <c r="ALO79" s="378"/>
      <c r="ALP79" s="378"/>
      <c r="ALQ79" s="378"/>
      <c r="ALR79" s="378"/>
      <c r="ALS79" s="378"/>
      <c r="ALT79" s="378"/>
      <c r="ALU79" s="378"/>
      <c r="ALV79" s="378"/>
      <c r="ALW79" s="378"/>
      <c r="ALX79" s="378"/>
      <c r="ALY79" s="378"/>
      <c r="ALZ79" s="378"/>
      <c r="AMA79" s="378"/>
      <c r="AMB79" s="378"/>
      <c r="AMC79" s="378"/>
      <c r="AMD79" s="378"/>
      <c r="AME79" s="378"/>
      <c r="AMF79" s="378"/>
      <c r="AMG79" s="378"/>
      <c r="AMH79" s="378"/>
      <c r="AMI79" s="378"/>
      <c r="AMJ79" s="378"/>
      <c r="AMK79" s="378"/>
      <c r="AML79" s="378"/>
      <c r="AMM79" s="378"/>
      <c r="AMN79" s="378"/>
      <c r="AMO79" s="378"/>
      <c r="AMP79" s="378"/>
      <c r="AMQ79" s="378"/>
      <c r="AMR79" s="378"/>
      <c r="AMS79" s="378"/>
      <c r="AMT79" s="378"/>
      <c r="AMU79" s="378"/>
      <c r="AMV79" s="378"/>
      <c r="AMW79" s="378"/>
      <c r="AMX79" s="378"/>
      <c r="AMY79" s="378"/>
      <c r="AMZ79" s="378"/>
      <c r="ANA79" s="378"/>
      <c r="ANB79" s="378"/>
      <c r="ANC79" s="378"/>
      <c r="AND79" s="378"/>
      <c r="ANE79" s="378"/>
      <c r="ANF79" s="378"/>
      <c r="ANG79" s="378"/>
      <c r="ANH79" s="378"/>
      <c r="ANI79" s="378"/>
      <c r="ANJ79" s="378"/>
      <c r="ANK79" s="378"/>
      <c r="ANL79" s="378"/>
      <c r="ANM79" s="378"/>
      <c r="ANN79" s="378"/>
      <c r="ANO79" s="378"/>
      <c r="ANP79" s="378"/>
      <c r="ANQ79" s="378"/>
      <c r="ANR79" s="378"/>
      <c r="ANS79" s="378"/>
      <c r="ANT79" s="378"/>
      <c r="ANU79" s="378"/>
      <c r="ANV79" s="378"/>
      <c r="ANW79" s="378"/>
      <c r="ANX79" s="378"/>
      <c r="ANY79" s="378"/>
      <c r="ANZ79" s="378"/>
      <c r="AOA79" s="378"/>
      <c r="AOB79" s="378"/>
      <c r="AOC79" s="378"/>
      <c r="AOD79" s="378"/>
      <c r="AOE79" s="378"/>
      <c r="AOF79" s="378"/>
      <c r="AOG79" s="378"/>
      <c r="AOH79" s="378"/>
      <c r="AOI79" s="378"/>
      <c r="AOJ79" s="378"/>
      <c r="AOK79" s="378"/>
      <c r="AOL79" s="378"/>
      <c r="AOM79" s="378"/>
      <c r="AON79" s="378"/>
      <c r="AOO79" s="378"/>
      <c r="AOP79" s="378"/>
      <c r="AOQ79" s="378"/>
      <c r="AOR79" s="378"/>
      <c r="AOS79" s="378"/>
      <c r="AOT79" s="378"/>
      <c r="AOU79" s="378"/>
      <c r="AOV79" s="378"/>
      <c r="AOW79" s="378"/>
      <c r="AOX79" s="378"/>
      <c r="AOY79" s="378"/>
      <c r="AOZ79" s="378"/>
      <c r="APA79" s="378"/>
      <c r="APB79" s="378"/>
      <c r="APC79" s="378"/>
      <c r="APD79" s="378"/>
      <c r="APE79" s="378"/>
      <c r="APF79" s="378"/>
      <c r="APG79" s="378"/>
      <c r="APH79" s="378"/>
      <c r="API79" s="378"/>
      <c r="APJ79" s="378"/>
      <c r="APK79" s="378"/>
      <c r="APL79" s="378"/>
      <c r="APM79" s="378"/>
      <c r="APN79" s="378"/>
      <c r="APO79" s="378"/>
      <c r="APP79" s="378"/>
      <c r="APQ79" s="378"/>
      <c r="APR79" s="378"/>
      <c r="APS79" s="378"/>
      <c r="APT79" s="378"/>
      <c r="APU79" s="378"/>
      <c r="APV79" s="378"/>
      <c r="APW79" s="378"/>
      <c r="APX79" s="378"/>
      <c r="APY79" s="378"/>
      <c r="APZ79" s="378"/>
      <c r="AQA79" s="378"/>
      <c r="AQB79" s="378"/>
      <c r="AQC79" s="378"/>
      <c r="AQD79" s="378"/>
      <c r="AQE79" s="378"/>
      <c r="AQF79" s="378"/>
      <c r="AQG79" s="378"/>
      <c r="AQH79" s="378"/>
      <c r="AQI79" s="378"/>
      <c r="AQJ79" s="378"/>
      <c r="AQK79" s="378"/>
      <c r="AQL79" s="378"/>
      <c r="AQM79" s="378"/>
      <c r="AQN79" s="378"/>
      <c r="AQO79" s="378"/>
      <c r="AQP79" s="378"/>
      <c r="AQQ79" s="378"/>
      <c r="AQR79" s="378"/>
      <c r="AQS79" s="378"/>
      <c r="AQT79" s="378"/>
      <c r="AQU79" s="378"/>
      <c r="AQV79" s="378"/>
      <c r="AQW79" s="378"/>
      <c r="AQX79" s="378"/>
      <c r="AQY79" s="378"/>
      <c r="AQZ79" s="378"/>
      <c r="ARA79" s="378"/>
      <c r="ARB79" s="378"/>
      <c r="ARC79" s="378"/>
      <c r="ARD79" s="378"/>
      <c r="ARE79" s="378"/>
      <c r="ARF79" s="378"/>
      <c r="ARG79" s="378"/>
      <c r="ARH79" s="378"/>
      <c r="ARI79" s="378"/>
      <c r="ARJ79" s="378"/>
      <c r="ARK79" s="378"/>
      <c r="ARL79" s="378"/>
      <c r="ARM79" s="378"/>
      <c r="ARN79" s="378"/>
      <c r="ARO79" s="378"/>
      <c r="ARP79" s="378"/>
      <c r="ARQ79" s="378"/>
      <c r="ARR79" s="378"/>
      <c r="ARS79" s="378"/>
      <c r="ART79" s="378"/>
      <c r="ARU79" s="378"/>
      <c r="ARV79" s="378"/>
      <c r="ARW79" s="378"/>
      <c r="ARX79" s="378"/>
      <c r="ARY79" s="378"/>
      <c r="ARZ79" s="378"/>
      <c r="ASA79" s="378"/>
      <c r="ASB79" s="378"/>
      <c r="ASC79" s="378"/>
      <c r="ASD79" s="378"/>
      <c r="ASE79" s="378"/>
      <c r="ASF79" s="378"/>
      <c r="ASG79" s="378"/>
      <c r="ASH79" s="378"/>
      <c r="ASI79" s="378"/>
      <c r="ASJ79" s="378"/>
      <c r="ASK79" s="378"/>
      <c r="ASL79" s="378"/>
      <c r="ASM79" s="378"/>
      <c r="ASN79" s="378"/>
      <c r="ASO79" s="378"/>
      <c r="ASP79" s="378"/>
      <c r="ASQ79" s="378"/>
      <c r="ASR79" s="378"/>
      <c r="ASS79" s="378"/>
      <c r="AST79" s="378"/>
      <c r="ASU79" s="378"/>
      <c r="ASV79" s="378"/>
      <c r="ASW79" s="378"/>
      <c r="ASX79" s="378"/>
      <c r="ASY79" s="378"/>
      <c r="ASZ79" s="378"/>
      <c r="ATA79" s="378"/>
      <c r="ATB79" s="378"/>
      <c r="ATC79" s="378"/>
      <c r="ATD79" s="378"/>
      <c r="ATE79" s="378"/>
      <c r="ATF79" s="378"/>
      <c r="ATG79" s="378"/>
      <c r="ATH79" s="378"/>
      <c r="ATI79" s="378"/>
      <c r="ATJ79" s="378"/>
      <c r="ATK79" s="378"/>
      <c r="ATL79" s="378"/>
      <c r="ATM79" s="378"/>
      <c r="ATN79" s="378"/>
      <c r="ATO79" s="378"/>
      <c r="ATP79" s="378"/>
      <c r="ATQ79" s="378"/>
      <c r="ATR79" s="378"/>
      <c r="ATS79" s="378"/>
      <c r="ATT79" s="378"/>
      <c r="ATU79" s="378"/>
      <c r="ATV79" s="378"/>
      <c r="ATW79" s="378"/>
      <c r="ATX79" s="378"/>
      <c r="ATY79" s="378"/>
      <c r="ATZ79" s="378"/>
      <c r="AUA79" s="378"/>
      <c r="AUB79" s="378"/>
      <c r="AUC79" s="378"/>
      <c r="AUD79" s="378"/>
      <c r="AUE79" s="378"/>
      <c r="AUF79" s="378"/>
      <c r="AUG79" s="378"/>
      <c r="AUH79" s="378"/>
      <c r="AUI79" s="378"/>
      <c r="AUJ79" s="378"/>
      <c r="AUK79" s="378"/>
      <c r="AUL79" s="378"/>
      <c r="AUM79" s="378"/>
      <c r="AUN79" s="378"/>
      <c r="AUO79" s="378"/>
      <c r="AUP79" s="378"/>
      <c r="AUQ79" s="378"/>
      <c r="AUR79" s="378"/>
      <c r="AUS79" s="378"/>
      <c r="AUT79" s="378"/>
      <c r="AUU79" s="378"/>
      <c r="AUV79" s="378"/>
      <c r="AUW79" s="378"/>
      <c r="AUX79" s="378"/>
      <c r="AUY79" s="378"/>
      <c r="AUZ79" s="378"/>
      <c r="AVA79" s="378"/>
      <c r="AVB79" s="378"/>
      <c r="AVC79" s="378"/>
      <c r="AVD79" s="378"/>
      <c r="AVE79" s="378"/>
      <c r="AVF79" s="378"/>
      <c r="AVG79" s="378"/>
      <c r="AVH79" s="378"/>
      <c r="AVI79" s="378"/>
      <c r="AVJ79" s="378"/>
      <c r="AVK79" s="378"/>
      <c r="AVL79" s="378"/>
      <c r="AVM79" s="378"/>
      <c r="AVN79" s="378"/>
      <c r="AVO79" s="378"/>
      <c r="AVP79" s="378"/>
      <c r="AVQ79" s="378"/>
      <c r="AVR79" s="378"/>
      <c r="AVS79" s="378"/>
      <c r="AVT79" s="378"/>
      <c r="AVU79" s="378"/>
      <c r="AVV79" s="378"/>
      <c r="AVW79" s="378"/>
      <c r="AVX79" s="378"/>
      <c r="AVY79" s="378"/>
      <c r="AVZ79" s="378"/>
      <c r="AWA79" s="378"/>
      <c r="AWB79" s="378"/>
      <c r="AWC79" s="378"/>
      <c r="AWD79" s="378"/>
      <c r="AWE79" s="378"/>
      <c r="AWF79" s="378"/>
      <c r="AWG79" s="378"/>
      <c r="AWH79" s="378"/>
      <c r="AWI79" s="378"/>
      <c r="AWJ79" s="378"/>
      <c r="AWK79" s="378"/>
      <c r="AWL79" s="378"/>
      <c r="AWM79" s="378"/>
      <c r="AWN79" s="378"/>
      <c r="AWO79" s="378"/>
      <c r="AWP79" s="378"/>
      <c r="AWQ79" s="378"/>
      <c r="AWR79" s="378"/>
      <c r="AWS79" s="378"/>
      <c r="AWT79" s="378"/>
      <c r="AWU79" s="378"/>
      <c r="AWV79" s="378"/>
      <c r="AWW79" s="378"/>
      <c r="AWX79" s="378"/>
      <c r="AWY79" s="378"/>
      <c r="AWZ79" s="378"/>
      <c r="AXA79" s="378"/>
      <c r="AXB79" s="378"/>
      <c r="AXC79" s="378"/>
      <c r="AXD79" s="378"/>
      <c r="AXE79" s="378"/>
      <c r="AXF79" s="378"/>
      <c r="AXG79" s="378"/>
      <c r="AXH79" s="378"/>
      <c r="AXI79" s="378"/>
      <c r="AXJ79" s="378"/>
      <c r="AXK79" s="378"/>
      <c r="AXL79" s="378"/>
      <c r="AXM79" s="378"/>
      <c r="AXN79" s="378"/>
      <c r="AXO79" s="378"/>
      <c r="AXP79" s="378"/>
      <c r="AXQ79" s="378"/>
      <c r="AXR79" s="378"/>
      <c r="AXS79" s="378"/>
      <c r="AXT79" s="378"/>
      <c r="AXU79" s="378"/>
      <c r="AXV79" s="378"/>
      <c r="AXW79" s="378"/>
      <c r="AXX79" s="378"/>
      <c r="AXY79" s="378"/>
      <c r="AXZ79" s="378"/>
      <c r="AYA79" s="378"/>
      <c r="AYB79" s="378"/>
      <c r="AYC79" s="378"/>
      <c r="AYD79" s="378"/>
      <c r="AYE79" s="378"/>
      <c r="AYF79" s="378"/>
      <c r="AYG79" s="378"/>
      <c r="AYH79" s="378"/>
      <c r="AYI79" s="378"/>
      <c r="AYJ79" s="378"/>
      <c r="AYK79" s="378"/>
      <c r="AYL79" s="378"/>
      <c r="AYM79" s="378"/>
      <c r="AYN79" s="378"/>
      <c r="AYO79" s="378"/>
      <c r="AYP79" s="378"/>
      <c r="AYQ79" s="378"/>
      <c r="AYR79" s="378"/>
      <c r="AYS79" s="378"/>
      <c r="AYT79" s="378"/>
      <c r="AYU79" s="378"/>
      <c r="AYV79" s="378"/>
      <c r="AYW79" s="378"/>
      <c r="AYX79" s="378"/>
      <c r="AYY79" s="378"/>
      <c r="AYZ79" s="378"/>
      <c r="AZA79" s="378"/>
      <c r="AZB79" s="378"/>
      <c r="AZC79" s="378"/>
      <c r="AZD79" s="378"/>
      <c r="AZE79" s="378"/>
      <c r="AZF79" s="378"/>
      <c r="AZG79" s="378"/>
      <c r="AZH79" s="378"/>
      <c r="AZI79" s="378"/>
      <c r="AZJ79" s="378"/>
      <c r="AZK79" s="378"/>
      <c r="AZL79" s="378"/>
      <c r="AZM79" s="378"/>
      <c r="AZN79" s="378"/>
      <c r="AZO79" s="378"/>
      <c r="AZP79" s="378"/>
      <c r="AZQ79" s="378"/>
      <c r="AZR79" s="378"/>
      <c r="AZS79" s="378"/>
      <c r="AZT79" s="378"/>
      <c r="AZU79" s="378"/>
      <c r="AZV79" s="378"/>
      <c r="AZW79" s="378"/>
      <c r="AZX79" s="378"/>
      <c r="AZY79" s="378"/>
      <c r="AZZ79" s="378"/>
      <c r="BAA79" s="378"/>
      <c r="BAB79" s="378"/>
      <c r="BAC79" s="378"/>
      <c r="BAD79" s="378"/>
      <c r="BAE79" s="378"/>
      <c r="BAF79" s="378"/>
      <c r="BAG79" s="378"/>
      <c r="BAH79" s="378"/>
      <c r="BAI79" s="378"/>
      <c r="BAJ79" s="378"/>
      <c r="BAK79" s="378"/>
      <c r="BAL79" s="378"/>
      <c r="BAM79" s="378"/>
      <c r="BAN79" s="378"/>
      <c r="BAO79" s="378"/>
      <c r="BAP79" s="378"/>
      <c r="BAQ79" s="378"/>
      <c r="BAR79" s="378"/>
      <c r="BAS79" s="378"/>
      <c r="BAT79" s="378"/>
      <c r="BAU79" s="378"/>
      <c r="BAV79" s="378"/>
      <c r="BAW79" s="378"/>
      <c r="BAX79" s="378"/>
      <c r="BAY79" s="378"/>
      <c r="BAZ79" s="378"/>
      <c r="BBA79" s="378"/>
      <c r="BBB79" s="378"/>
      <c r="BBC79" s="378"/>
      <c r="BBD79" s="378"/>
      <c r="BBE79" s="378"/>
      <c r="BBF79" s="378"/>
      <c r="BBG79" s="378"/>
      <c r="BBH79" s="378"/>
      <c r="BBI79" s="378"/>
      <c r="BBJ79" s="378"/>
      <c r="BBK79" s="378"/>
      <c r="BBL79" s="378"/>
      <c r="BBM79" s="378"/>
      <c r="BBN79" s="378"/>
      <c r="BBO79" s="378"/>
      <c r="BBP79" s="378"/>
      <c r="BBQ79" s="378"/>
      <c r="BBR79" s="378"/>
      <c r="BBS79" s="378"/>
      <c r="BBT79" s="378"/>
      <c r="BBU79" s="378"/>
      <c r="BBV79" s="378"/>
      <c r="BBW79" s="378"/>
      <c r="BBX79" s="378"/>
      <c r="BBY79" s="378"/>
      <c r="BBZ79" s="378"/>
      <c r="BCA79" s="378"/>
      <c r="BCB79" s="378"/>
      <c r="BCC79" s="378"/>
      <c r="BCD79" s="378"/>
      <c r="BCE79" s="378"/>
      <c r="BCF79" s="378"/>
      <c r="BCG79" s="378"/>
      <c r="BCH79" s="378"/>
      <c r="BCI79" s="378"/>
      <c r="BCJ79" s="378"/>
      <c r="BCK79" s="378"/>
      <c r="BCL79" s="378"/>
      <c r="BCM79" s="378"/>
      <c r="BCN79" s="378"/>
      <c r="BCO79" s="378"/>
      <c r="BCP79" s="378"/>
      <c r="BCQ79" s="378"/>
      <c r="BCR79" s="378"/>
      <c r="BCS79" s="378"/>
      <c r="BCT79" s="378"/>
      <c r="BCU79" s="378"/>
      <c r="BCV79" s="378"/>
      <c r="BCW79" s="378"/>
      <c r="BCX79" s="378"/>
      <c r="BCY79" s="378"/>
      <c r="BCZ79" s="378"/>
      <c r="BDA79" s="378"/>
      <c r="BDB79" s="378"/>
      <c r="BDC79" s="378"/>
      <c r="BDD79" s="378"/>
      <c r="BDE79" s="378"/>
      <c r="BDF79" s="378"/>
      <c r="BDG79" s="378"/>
      <c r="BDH79" s="378"/>
      <c r="BDI79" s="378"/>
      <c r="BDJ79" s="378"/>
      <c r="BDK79" s="378"/>
      <c r="BDL79" s="378"/>
      <c r="BDM79" s="378"/>
      <c r="BDN79" s="378"/>
      <c r="BDO79" s="378"/>
      <c r="BDP79" s="378"/>
      <c r="BDQ79" s="378"/>
      <c r="BDR79" s="378"/>
      <c r="BDS79" s="378"/>
      <c r="BDT79" s="378"/>
      <c r="BDU79" s="378"/>
      <c r="BDV79" s="378"/>
      <c r="BDW79" s="378"/>
      <c r="BDX79" s="378"/>
      <c r="BDY79" s="378"/>
      <c r="BDZ79" s="378"/>
      <c r="BEA79" s="378"/>
      <c r="BEB79" s="378"/>
      <c r="BEC79" s="378"/>
      <c r="BED79" s="378"/>
      <c r="BEE79" s="378"/>
      <c r="BEF79" s="378"/>
      <c r="BEG79" s="378"/>
      <c r="BEH79" s="378"/>
      <c r="BEI79" s="378"/>
      <c r="BEJ79" s="378"/>
      <c r="BEK79" s="378"/>
      <c r="BEL79" s="378"/>
      <c r="BEM79" s="378"/>
      <c r="BEN79" s="378"/>
      <c r="BEO79" s="378"/>
      <c r="BEP79" s="378"/>
      <c r="BEQ79" s="378"/>
      <c r="BER79" s="378"/>
      <c r="BES79" s="378"/>
      <c r="BET79" s="378"/>
      <c r="BEU79" s="378"/>
      <c r="BEV79" s="378"/>
      <c r="BEW79" s="378"/>
      <c r="BEX79" s="378"/>
      <c r="BEY79" s="378"/>
      <c r="BEZ79" s="378"/>
      <c r="BFA79" s="378"/>
      <c r="BFB79" s="378"/>
      <c r="BFC79" s="378"/>
      <c r="BFD79" s="378"/>
      <c r="BFE79" s="378"/>
      <c r="BFF79" s="378"/>
      <c r="BFG79" s="378"/>
      <c r="BFH79" s="378"/>
      <c r="BFI79" s="378"/>
      <c r="BFJ79" s="378"/>
      <c r="BFK79" s="378"/>
      <c r="BFL79" s="378"/>
      <c r="BFM79" s="378"/>
      <c r="BFN79" s="378"/>
      <c r="BFO79" s="378"/>
      <c r="BFP79" s="378"/>
      <c r="BFQ79" s="378"/>
      <c r="BFR79" s="378"/>
      <c r="BFS79" s="378"/>
      <c r="BFT79" s="378"/>
      <c r="BFU79" s="378"/>
      <c r="BFV79" s="378"/>
      <c r="BFW79" s="378"/>
      <c r="BFX79" s="378"/>
      <c r="BFY79" s="378"/>
      <c r="BFZ79" s="378"/>
      <c r="BGA79" s="378"/>
      <c r="BGB79" s="378"/>
      <c r="BGC79" s="378"/>
      <c r="BGD79" s="378"/>
      <c r="BGE79" s="378"/>
      <c r="BGF79" s="378"/>
      <c r="BGG79" s="378"/>
      <c r="BGH79" s="378"/>
      <c r="BGI79" s="378"/>
      <c r="BGJ79" s="378"/>
      <c r="BGK79" s="378"/>
      <c r="BGL79" s="378"/>
      <c r="BGM79" s="378"/>
      <c r="BGN79" s="378"/>
      <c r="BGO79" s="378"/>
      <c r="BGP79" s="378"/>
      <c r="BGQ79" s="378"/>
      <c r="BGR79" s="378"/>
      <c r="BGS79" s="378"/>
      <c r="BGT79" s="378"/>
      <c r="BGU79" s="378"/>
      <c r="BGV79" s="378"/>
      <c r="BGW79" s="378"/>
      <c r="BGX79" s="378"/>
      <c r="BGY79" s="378"/>
      <c r="BGZ79" s="378"/>
      <c r="BHA79" s="378"/>
      <c r="BHB79" s="378"/>
      <c r="BHC79" s="378"/>
      <c r="BHD79" s="378"/>
      <c r="BHE79" s="378"/>
      <c r="BHF79" s="378"/>
      <c r="BHG79" s="378"/>
      <c r="BHH79" s="378"/>
      <c r="BHI79" s="378"/>
      <c r="BHJ79" s="378"/>
      <c r="BHK79" s="378"/>
      <c r="BHL79" s="378"/>
      <c r="BHM79" s="378"/>
      <c r="BHN79" s="378"/>
      <c r="BHO79" s="378"/>
      <c r="BHP79" s="378"/>
      <c r="BHQ79" s="378"/>
      <c r="BHR79" s="378"/>
      <c r="BHS79" s="378"/>
      <c r="BHT79" s="378"/>
      <c r="BHU79" s="378"/>
      <c r="BHV79" s="378"/>
      <c r="BHW79" s="378"/>
      <c r="BHX79" s="378"/>
      <c r="BHY79" s="378"/>
      <c r="BHZ79" s="378"/>
      <c r="BIA79" s="378"/>
      <c r="BIB79" s="378"/>
      <c r="BIC79" s="378"/>
      <c r="BID79" s="378"/>
      <c r="BIE79" s="378"/>
      <c r="BIF79" s="378"/>
      <c r="BIG79" s="378"/>
      <c r="BIH79" s="378"/>
      <c r="BII79" s="378"/>
      <c r="BIJ79" s="378"/>
      <c r="BIK79" s="378"/>
      <c r="BIL79" s="378"/>
      <c r="BIM79" s="378"/>
      <c r="BIN79" s="378"/>
      <c r="BIO79" s="378"/>
      <c r="BIP79" s="378"/>
      <c r="BIQ79" s="378"/>
      <c r="BIR79" s="378"/>
      <c r="BIS79" s="378"/>
      <c r="BIT79" s="378"/>
      <c r="BIU79" s="378"/>
      <c r="BIV79" s="378"/>
      <c r="BIW79" s="378"/>
      <c r="BIX79" s="378"/>
      <c r="BIY79" s="378"/>
      <c r="BIZ79" s="378"/>
      <c r="BJA79" s="378"/>
      <c r="BJB79" s="378"/>
      <c r="BJC79" s="378"/>
      <c r="BJD79" s="378"/>
      <c r="BJE79" s="378"/>
      <c r="BJF79" s="378"/>
      <c r="BJG79" s="378"/>
      <c r="BJH79" s="378"/>
      <c r="BJI79" s="378"/>
      <c r="BJJ79" s="378"/>
      <c r="BJK79" s="378"/>
      <c r="BJL79" s="378"/>
      <c r="BJM79" s="378"/>
      <c r="BJN79" s="378"/>
      <c r="BJO79" s="378"/>
      <c r="BJP79" s="378"/>
      <c r="BJQ79" s="378"/>
      <c r="BJR79" s="378"/>
      <c r="BJS79" s="378"/>
      <c r="BJT79" s="378"/>
      <c r="BJU79" s="378"/>
      <c r="BJV79" s="378"/>
      <c r="BJW79" s="378"/>
      <c r="BJX79" s="378"/>
      <c r="BJY79" s="378"/>
      <c r="BJZ79" s="378"/>
      <c r="BKA79" s="378"/>
      <c r="BKB79" s="378"/>
      <c r="BKC79" s="378"/>
      <c r="BKD79" s="378"/>
      <c r="BKE79" s="378"/>
      <c r="BKF79" s="378"/>
      <c r="BKG79" s="378"/>
      <c r="BKH79" s="378"/>
      <c r="BKI79" s="378"/>
      <c r="BKJ79" s="378"/>
      <c r="BKK79" s="378"/>
      <c r="BKL79" s="378"/>
      <c r="BKM79" s="378"/>
      <c r="BKN79" s="378"/>
      <c r="BKO79" s="378"/>
      <c r="BKP79" s="378"/>
      <c r="BKQ79" s="378"/>
      <c r="BKR79" s="378"/>
      <c r="BKS79" s="378"/>
      <c r="BKT79" s="378"/>
      <c r="BKU79" s="378"/>
      <c r="BKV79" s="378"/>
      <c r="BKW79" s="378"/>
      <c r="BKX79" s="378"/>
      <c r="BKY79" s="378"/>
      <c r="BKZ79" s="378"/>
      <c r="BLA79" s="378"/>
      <c r="BLB79" s="378"/>
      <c r="BLC79" s="378"/>
      <c r="BLD79" s="378"/>
      <c r="BLE79" s="378"/>
      <c r="BLF79" s="378"/>
      <c r="BLG79" s="378"/>
      <c r="BLH79" s="378"/>
      <c r="BLI79" s="378"/>
      <c r="BLJ79" s="378"/>
      <c r="BLK79" s="378"/>
      <c r="BLL79" s="378"/>
      <c r="BLM79" s="378"/>
      <c r="BLN79" s="378"/>
      <c r="BLO79" s="378"/>
      <c r="BLP79" s="378"/>
      <c r="BLQ79" s="378"/>
      <c r="BLR79" s="378"/>
      <c r="BLS79" s="378"/>
      <c r="BLT79" s="378"/>
      <c r="BLU79" s="378"/>
      <c r="BLV79" s="378"/>
      <c r="BLW79" s="378"/>
      <c r="BLX79" s="378"/>
      <c r="BLY79" s="378"/>
      <c r="BLZ79" s="378"/>
      <c r="BMA79" s="378"/>
      <c r="BMB79" s="378"/>
      <c r="BMC79" s="378"/>
      <c r="BMD79" s="378"/>
      <c r="BME79" s="378"/>
      <c r="BMF79" s="378"/>
      <c r="BMG79" s="378"/>
      <c r="BMH79" s="378"/>
      <c r="BMI79" s="378"/>
      <c r="BMJ79" s="378"/>
      <c r="BMK79" s="378"/>
      <c r="BML79" s="378"/>
      <c r="BMM79" s="378"/>
      <c r="BMN79" s="378"/>
      <c r="BMO79" s="378"/>
      <c r="BMP79" s="378"/>
      <c r="BMQ79" s="378"/>
      <c r="BMR79" s="378"/>
      <c r="BMS79" s="378"/>
      <c r="BMT79" s="378"/>
      <c r="BMU79" s="378"/>
      <c r="BMV79" s="378"/>
      <c r="BMW79" s="378"/>
      <c r="BMX79" s="378"/>
      <c r="BMY79" s="378"/>
      <c r="BMZ79" s="378"/>
      <c r="BNA79" s="378"/>
      <c r="BNB79" s="378"/>
      <c r="BNC79" s="378"/>
      <c r="BND79" s="378"/>
      <c r="BNE79" s="378"/>
      <c r="BNF79" s="378"/>
      <c r="BNG79" s="378"/>
      <c r="BNH79" s="378"/>
      <c r="BNI79" s="378"/>
      <c r="BNJ79" s="378"/>
      <c r="BNK79" s="378"/>
      <c r="BNL79" s="378"/>
      <c r="BNM79" s="378"/>
      <c r="BNN79" s="378"/>
      <c r="BNO79" s="378"/>
      <c r="BNP79" s="378"/>
      <c r="BNQ79" s="378"/>
      <c r="BNR79" s="378"/>
      <c r="BNS79" s="378"/>
      <c r="BNT79" s="378"/>
      <c r="BNU79" s="378"/>
      <c r="BNV79" s="378"/>
      <c r="BNW79" s="378"/>
      <c r="BNX79" s="378"/>
      <c r="BNY79" s="378"/>
      <c r="BNZ79" s="378"/>
      <c r="BOA79" s="378"/>
      <c r="BOB79" s="378"/>
      <c r="BOC79" s="378"/>
      <c r="BOD79" s="378"/>
      <c r="BOE79" s="378"/>
      <c r="BOF79" s="378"/>
      <c r="BOG79" s="378"/>
      <c r="BOH79" s="378"/>
      <c r="BOI79" s="378"/>
      <c r="BOJ79" s="378"/>
      <c r="BOK79" s="378"/>
      <c r="BOL79" s="378"/>
      <c r="BOM79" s="378"/>
      <c r="BON79" s="378"/>
      <c r="BOO79" s="378"/>
      <c r="BOP79" s="378"/>
      <c r="BOQ79" s="378"/>
      <c r="BOR79" s="378"/>
      <c r="BOS79" s="378"/>
      <c r="BOT79" s="378"/>
      <c r="BOU79" s="378"/>
      <c r="BOV79" s="378"/>
      <c r="BOW79" s="378"/>
      <c r="BOX79" s="378"/>
      <c r="BOY79" s="378"/>
      <c r="BOZ79" s="378"/>
      <c r="BPA79" s="378"/>
      <c r="BPB79" s="378"/>
      <c r="BPC79" s="378"/>
      <c r="BPD79" s="378"/>
      <c r="BPE79" s="378"/>
      <c r="BPF79" s="378"/>
      <c r="BPG79" s="378"/>
      <c r="BPH79" s="378"/>
      <c r="BPI79" s="378"/>
      <c r="BPJ79" s="378"/>
      <c r="BPK79" s="378"/>
      <c r="BPL79" s="378"/>
      <c r="BPM79" s="378"/>
      <c r="BPN79" s="378"/>
      <c r="BPO79" s="378"/>
      <c r="BPP79" s="378"/>
      <c r="BPQ79" s="378"/>
      <c r="BPR79" s="378"/>
      <c r="BPS79" s="378"/>
      <c r="BPT79" s="378"/>
      <c r="BPU79" s="378"/>
      <c r="BPV79" s="378"/>
      <c r="BPW79" s="378"/>
      <c r="BPX79" s="378"/>
      <c r="BPY79" s="378"/>
      <c r="BPZ79" s="378"/>
      <c r="BQA79" s="378"/>
      <c r="BQB79" s="378"/>
      <c r="BQC79" s="378"/>
      <c r="BQD79" s="378"/>
      <c r="BQE79" s="378"/>
      <c r="BQF79" s="378"/>
      <c r="BQG79" s="378"/>
      <c r="BQH79" s="378"/>
      <c r="BQI79" s="378"/>
      <c r="BQJ79" s="378"/>
      <c r="BQK79" s="378"/>
      <c r="BQL79" s="378"/>
      <c r="BQM79" s="378"/>
      <c r="BQN79" s="378"/>
      <c r="BQO79" s="378"/>
      <c r="BQP79" s="378"/>
      <c r="BQQ79" s="378"/>
      <c r="BQR79" s="378"/>
      <c r="BQS79" s="378"/>
      <c r="BQT79" s="378"/>
      <c r="BQU79" s="378"/>
      <c r="BQV79" s="378"/>
      <c r="BQW79" s="378"/>
      <c r="BQX79" s="378"/>
      <c r="BQY79" s="378"/>
      <c r="BQZ79" s="378"/>
      <c r="BRA79" s="378"/>
      <c r="BRB79" s="378"/>
      <c r="BRC79" s="378"/>
      <c r="BRD79" s="378"/>
      <c r="BRE79" s="378"/>
      <c r="BRF79" s="378"/>
      <c r="BRG79" s="378"/>
      <c r="BRH79" s="378"/>
      <c r="BRI79" s="378"/>
      <c r="BRJ79" s="378"/>
      <c r="BRK79" s="378"/>
      <c r="BRL79" s="378"/>
      <c r="BRM79" s="378"/>
      <c r="BRN79" s="378"/>
      <c r="BRO79" s="378"/>
      <c r="BRP79" s="378"/>
      <c r="BRQ79" s="378"/>
      <c r="BRR79" s="378"/>
      <c r="BRS79" s="378"/>
      <c r="BRT79" s="378"/>
      <c r="BRU79" s="378"/>
      <c r="BRV79" s="378"/>
      <c r="BRW79" s="378"/>
      <c r="BRX79" s="378"/>
      <c r="BRY79" s="378"/>
      <c r="BRZ79" s="378"/>
      <c r="BSA79" s="378"/>
      <c r="BSB79" s="378"/>
      <c r="BSC79" s="378"/>
      <c r="BSD79" s="378"/>
      <c r="BSE79" s="378"/>
      <c r="BSF79" s="378"/>
      <c r="BSG79" s="378"/>
      <c r="BSH79" s="378"/>
      <c r="BSI79" s="378"/>
      <c r="BSJ79" s="378"/>
      <c r="BSK79" s="378"/>
      <c r="BSL79" s="378"/>
      <c r="BSM79" s="378"/>
      <c r="BSN79" s="378"/>
      <c r="BSO79" s="378"/>
      <c r="BSP79" s="378"/>
      <c r="BSQ79" s="378"/>
      <c r="BSR79" s="378"/>
      <c r="BSS79" s="378"/>
      <c r="BST79" s="378"/>
      <c r="BSU79" s="378"/>
      <c r="BSV79" s="378"/>
      <c r="BSW79" s="378"/>
      <c r="BSX79" s="378"/>
      <c r="BSY79" s="378"/>
      <c r="BSZ79" s="378"/>
      <c r="BTA79" s="378"/>
      <c r="BTB79" s="378"/>
      <c r="BTC79" s="378"/>
      <c r="BTD79" s="378"/>
      <c r="BTE79" s="378"/>
      <c r="BTF79" s="378"/>
      <c r="BTG79" s="378"/>
      <c r="BTH79" s="378"/>
      <c r="BTI79" s="378"/>
      <c r="BTJ79" s="378"/>
      <c r="BTK79" s="378"/>
      <c r="BTL79" s="378"/>
      <c r="BTM79" s="378"/>
      <c r="BTN79" s="378"/>
      <c r="BTO79" s="378"/>
      <c r="BTP79" s="378"/>
      <c r="BTQ79" s="378"/>
      <c r="BTR79" s="378"/>
      <c r="BTS79" s="378"/>
      <c r="BTT79" s="378"/>
      <c r="BTU79" s="378"/>
      <c r="BTV79" s="378"/>
      <c r="BTW79" s="378"/>
      <c r="BTX79" s="378"/>
      <c r="BTY79" s="378"/>
      <c r="BTZ79" s="378"/>
      <c r="BUA79" s="378"/>
      <c r="BUB79" s="378"/>
      <c r="BUC79" s="378"/>
      <c r="BUD79" s="378"/>
      <c r="BUE79" s="378"/>
      <c r="BUF79" s="378"/>
      <c r="BUG79" s="378"/>
      <c r="BUH79" s="378"/>
      <c r="BUI79" s="378"/>
      <c r="BUJ79" s="378"/>
      <c r="BUK79" s="378"/>
      <c r="BUL79" s="378"/>
      <c r="BUM79" s="378"/>
      <c r="BUN79" s="378"/>
      <c r="BUO79" s="378"/>
      <c r="BUP79" s="378"/>
      <c r="BUQ79" s="378"/>
      <c r="BUR79" s="378"/>
      <c r="BUS79" s="378"/>
      <c r="BUT79" s="378"/>
      <c r="BUU79" s="378"/>
      <c r="BUV79" s="378"/>
      <c r="BUW79" s="378"/>
      <c r="BUX79" s="378"/>
      <c r="BUY79" s="378"/>
      <c r="BUZ79" s="378"/>
      <c r="BVA79" s="378"/>
      <c r="BVB79" s="378"/>
      <c r="BVC79" s="378"/>
      <c r="BVD79" s="378"/>
      <c r="BVE79" s="378"/>
      <c r="BVF79" s="378"/>
      <c r="BVG79" s="378"/>
      <c r="BVH79" s="378"/>
      <c r="BVI79" s="378"/>
      <c r="BVJ79" s="378"/>
      <c r="BVK79" s="378"/>
      <c r="BVL79" s="378"/>
      <c r="BVM79" s="378"/>
      <c r="BVN79" s="378"/>
      <c r="BVO79" s="378"/>
      <c r="BVP79" s="378"/>
      <c r="BVQ79" s="378"/>
      <c r="BVR79" s="378"/>
      <c r="BVS79" s="378"/>
      <c r="BVT79" s="378"/>
      <c r="BVU79" s="378"/>
      <c r="BVV79" s="378"/>
      <c r="BVW79" s="378"/>
      <c r="BVX79" s="378"/>
      <c r="BVY79" s="378"/>
      <c r="BVZ79" s="378"/>
      <c r="BWA79" s="378"/>
      <c r="BWB79" s="378"/>
      <c r="BWC79" s="378"/>
      <c r="BWD79" s="378"/>
      <c r="BWE79" s="378"/>
      <c r="BWF79" s="378"/>
      <c r="BWG79" s="378"/>
      <c r="BWH79" s="378"/>
      <c r="BWI79" s="378"/>
      <c r="BWJ79" s="378"/>
      <c r="BWK79" s="378"/>
      <c r="BWL79" s="378"/>
      <c r="BWM79" s="378"/>
      <c r="BWN79" s="378"/>
      <c r="BWO79" s="378"/>
      <c r="BWP79" s="378"/>
      <c r="BWQ79" s="378"/>
      <c r="BWR79" s="378"/>
      <c r="BWS79" s="378"/>
      <c r="BWT79" s="378"/>
      <c r="BWU79" s="378"/>
      <c r="BWV79" s="378"/>
      <c r="BWW79" s="378"/>
      <c r="BWX79" s="378"/>
      <c r="BWY79" s="378"/>
      <c r="BWZ79" s="378"/>
      <c r="BXA79" s="378"/>
      <c r="BXB79" s="378"/>
      <c r="BXC79" s="378"/>
      <c r="BXD79" s="378"/>
      <c r="BXE79" s="378"/>
      <c r="BXF79" s="378"/>
      <c r="BXG79" s="378"/>
      <c r="BXH79" s="378"/>
      <c r="BXI79" s="378"/>
      <c r="BXJ79" s="378"/>
      <c r="BXK79" s="378"/>
      <c r="BXL79" s="378"/>
      <c r="BXM79" s="378"/>
      <c r="BXN79" s="378"/>
      <c r="BXO79" s="378"/>
      <c r="BXP79" s="378"/>
      <c r="BXQ79" s="378"/>
      <c r="BXR79" s="378"/>
      <c r="BXS79" s="378"/>
      <c r="BXT79" s="378"/>
      <c r="BXU79" s="378"/>
      <c r="BXV79" s="378"/>
      <c r="BXW79" s="378"/>
      <c r="BXX79" s="378"/>
      <c r="BXY79" s="378"/>
      <c r="BXZ79" s="378"/>
      <c r="BYA79" s="378"/>
      <c r="BYB79" s="378"/>
      <c r="BYC79" s="378"/>
      <c r="BYD79" s="378"/>
      <c r="BYE79" s="378"/>
      <c r="BYF79" s="378"/>
      <c r="BYG79" s="378"/>
      <c r="BYH79" s="378"/>
      <c r="BYI79" s="378"/>
      <c r="BYJ79" s="378"/>
      <c r="BYK79" s="378"/>
      <c r="BYL79" s="378"/>
      <c r="BYM79" s="378"/>
      <c r="BYN79" s="378"/>
      <c r="BYO79" s="378"/>
      <c r="BYP79" s="378"/>
      <c r="BYQ79" s="378"/>
      <c r="BYR79" s="378"/>
      <c r="BYS79" s="378"/>
      <c r="BYT79" s="378"/>
      <c r="BYU79" s="378"/>
      <c r="BYV79" s="378"/>
      <c r="BYW79" s="378"/>
      <c r="BYX79" s="378"/>
      <c r="BYY79" s="378"/>
      <c r="BYZ79" s="378"/>
      <c r="BZA79" s="378"/>
      <c r="BZB79" s="378"/>
      <c r="BZC79" s="378"/>
      <c r="BZD79" s="378"/>
      <c r="BZE79" s="378"/>
      <c r="BZF79" s="378"/>
      <c r="BZG79" s="378"/>
      <c r="BZH79" s="378"/>
      <c r="BZI79" s="378"/>
      <c r="BZJ79" s="378"/>
      <c r="BZK79" s="378"/>
      <c r="BZL79" s="378"/>
      <c r="BZM79" s="378"/>
      <c r="BZN79" s="378"/>
      <c r="BZO79" s="378"/>
      <c r="BZP79" s="378"/>
      <c r="BZQ79" s="378"/>
      <c r="BZR79" s="378"/>
      <c r="BZS79" s="378"/>
      <c r="BZT79" s="378"/>
      <c r="BZU79" s="378"/>
      <c r="BZV79" s="378"/>
      <c r="BZW79" s="378"/>
      <c r="BZX79" s="378"/>
      <c r="BZY79" s="378"/>
      <c r="BZZ79" s="378"/>
      <c r="CAA79" s="378"/>
      <c r="CAB79" s="378"/>
      <c r="CAC79" s="378"/>
      <c r="CAD79" s="378"/>
      <c r="CAE79" s="378"/>
      <c r="CAF79" s="378"/>
      <c r="CAG79" s="378"/>
      <c r="CAH79" s="378"/>
      <c r="CAI79" s="378"/>
      <c r="CAJ79" s="378"/>
      <c r="CAK79" s="378"/>
      <c r="CAL79" s="378"/>
      <c r="CAM79" s="378"/>
      <c r="CAN79" s="378"/>
      <c r="CAO79" s="378"/>
      <c r="CAP79" s="378"/>
      <c r="CAQ79" s="378"/>
      <c r="CAR79" s="378"/>
      <c r="CAS79" s="378"/>
      <c r="CAT79" s="378"/>
      <c r="CAU79" s="378"/>
      <c r="CAV79" s="378"/>
      <c r="CAW79" s="378"/>
      <c r="CAX79" s="378"/>
      <c r="CAY79" s="378"/>
      <c r="CAZ79" s="378"/>
      <c r="CBA79" s="378"/>
      <c r="CBB79" s="378"/>
      <c r="CBC79" s="378"/>
      <c r="CBD79" s="378"/>
      <c r="CBE79" s="378"/>
      <c r="CBF79" s="378"/>
      <c r="CBG79" s="378"/>
      <c r="CBH79" s="378"/>
      <c r="CBI79" s="378"/>
      <c r="CBJ79" s="378"/>
      <c r="CBK79" s="378"/>
      <c r="CBL79" s="378"/>
      <c r="CBM79" s="378"/>
      <c r="CBN79" s="378"/>
      <c r="CBO79" s="378"/>
      <c r="CBP79" s="378"/>
      <c r="CBQ79" s="378"/>
      <c r="CBR79" s="378"/>
      <c r="CBS79" s="378"/>
      <c r="CBT79" s="378"/>
      <c r="CBU79" s="378"/>
      <c r="CBV79" s="378"/>
      <c r="CBW79" s="378"/>
      <c r="CBX79" s="378"/>
      <c r="CBY79" s="378"/>
      <c r="CBZ79" s="378"/>
      <c r="CCA79" s="378"/>
      <c r="CCB79" s="378"/>
      <c r="CCC79" s="378"/>
      <c r="CCD79" s="378"/>
      <c r="CCE79" s="378"/>
      <c r="CCF79" s="378"/>
      <c r="CCG79" s="378"/>
      <c r="CCH79" s="378"/>
      <c r="CCI79" s="378"/>
      <c r="CCJ79" s="378"/>
      <c r="CCK79" s="378"/>
      <c r="CCL79" s="378"/>
      <c r="CCM79" s="378"/>
      <c r="CCN79" s="378"/>
      <c r="CCO79" s="378"/>
      <c r="CCP79" s="378"/>
      <c r="CCQ79" s="378"/>
      <c r="CCR79" s="378"/>
      <c r="CCS79" s="378"/>
      <c r="CCT79" s="378"/>
      <c r="CCU79" s="378"/>
      <c r="CCV79" s="378"/>
      <c r="CCW79" s="378"/>
      <c r="CCX79" s="378"/>
      <c r="CCY79" s="378"/>
      <c r="CCZ79" s="378"/>
      <c r="CDA79" s="378"/>
      <c r="CDB79" s="378"/>
      <c r="CDC79" s="378"/>
      <c r="CDD79" s="378"/>
      <c r="CDE79" s="378"/>
      <c r="CDF79" s="378"/>
      <c r="CDG79" s="378"/>
      <c r="CDH79" s="378"/>
      <c r="CDI79" s="378"/>
      <c r="CDJ79" s="378"/>
      <c r="CDK79" s="378"/>
      <c r="CDL79" s="378"/>
      <c r="CDM79" s="378"/>
      <c r="CDN79" s="378"/>
      <c r="CDO79" s="378"/>
      <c r="CDP79" s="378"/>
      <c r="CDQ79" s="378"/>
      <c r="CDR79" s="378"/>
      <c r="CDS79" s="378"/>
      <c r="CDT79" s="378"/>
      <c r="CDU79" s="378"/>
      <c r="CDV79" s="378"/>
      <c r="CDW79" s="378"/>
      <c r="CDX79" s="378"/>
      <c r="CDY79" s="378"/>
      <c r="CDZ79" s="378"/>
      <c r="CEA79" s="378"/>
      <c r="CEB79" s="378"/>
      <c r="CEC79" s="378"/>
      <c r="CED79" s="378"/>
      <c r="CEE79" s="378"/>
      <c r="CEF79" s="378"/>
      <c r="CEG79" s="378"/>
      <c r="CEH79" s="378"/>
      <c r="CEI79" s="378"/>
      <c r="CEJ79" s="378"/>
      <c r="CEK79" s="378"/>
      <c r="CEL79" s="378"/>
      <c r="CEM79" s="378"/>
      <c r="CEN79" s="378"/>
      <c r="CEO79" s="378"/>
      <c r="CEP79" s="378"/>
      <c r="CEQ79" s="378"/>
      <c r="CER79" s="378"/>
      <c r="CES79" s="378"/>
      <c r="CET79" s="378"/>
      <c r="CEU79" s="378"/>
      <c r="CEV79" s="378"/>
      <c r="CEW79" s="378"/>
      <c r="CEX79" s="378"/>
      <c r="CEY79" s="378"/>
      <c r="CEZ79" s="378"/>
      <c r="CFA79" s="378"/>
      <c r="CFB79" s="378"/>
      <c r="CFC79" s="378"/>
      <c r="CFD79" s="378"/>
      <c r="CFE79" s="378"/>
      <c r="CFF79" s="378"/>
      <c r="CFG79" s="378"/>
      <c r="CFH79" s="378"/>
      <c r="CFI79" s="378"/>
      <c r="CFJ79" s="378"/>
      <c r="CFK79" s="378"/>
      <c r="CFL79" s="378"/>
      <c r="CFM79" s="378"/>
      <c r="CFN79" s="378"/>
      <c r="CFO79" s="378"/>
      <c r="CFP79" s="378"/>
      <c r="CFQ79" s="378"/>
      <c r="CFR79" s="378"/>
      <c r="CFS79" s="378"/>
      <c r="CFT79" s="378"/>
      <c r="CFU79" s="378"/>
      <c r="CFV79" s="378"/>
      <c r="CFW79" s="378"/>
      <c r="CFX79" s="378"/>
      <c r="CFY79" s="378"/>
      <c r="CFZ79" s="378"/>
      <c r="CGA79" s="378"/>
      <c r="CGB79" s="378"/>
      <c r="CGC79" s="378"/>
      <c r="CGD79" s="378"/>
      <c r="CGE79" s="378"/>
      <c r="CGF79" s="378"/>
      <c r="CGG79" s="378"/>
      <c r="CGH79" s="378"/>
      <c r="CGI79" s="378"/>
      <c r="CGJ79" s="378"/>
      <c r="CGK79" s="378"/>
      <c r="CGL79" s="378"/>
      <c r="CGM79" s="378"/>
      <c r="CGN79" s="378"/>
      <c r="CGO79" s="378"/>
      <c r="CGP79" s="378"/>
      <c r="CGQ79" s="378"/>
      <c r="CGR79" s="378"/>
      <c r="CGS79" s="378"/>
      <c r="CGT79" s="378"/>
      <c r="CGU79" s="378"/>
      <c r="CGV79" s="378"/>
      <c r="CGW79" s="378"/>
      <c r="CGX79" s="378"/>
      <c r="CGY79" s="378"/>
      <c r="CGZ79" s="378"/>
      <c r="CHA79" s="378"/>
      <c r="CHB79" s="378"/>
      <c r="CHC79" s="378"/>
      <c r="CHD79" s="378"/>
      <c r="CHE79" s="378"/>
      <c r="CHF79" s="378"/>
      <c r="CHG79" s="378"/>
      <c r="CHH79" s="378"/>
      <c r="CHI79" s="378"/>
      <c r="CHJ79" s="378"/>
      <c r="CHK79" s="378"/>
      <c r="CHL79" s="378"/>
      <c r="CHM79" s="378"/>
      <c r="CHN79" s="378"/>
      <c r="CHO79" s="378"/>
      <c r="CHP79" s="378"/>
      <c r="CHQ79" s="378"/>
      <c r="CHR79" s="378"/>
      <c r="CHS79" s="378"/>
      <c r="CHT79" s="378"/>
      <c r="CHU79" s="378"/>
      <c r="CHV79" s="378"/>
      <c r="CHW79" s="378"/>
      <c r="CHX79" s="378"/>
      <c r="CHY79" s="378"/>
      <c r="CHZ79" s="378"/>
      <c r="CIA79" s="378"/>
      <c r="CIB79" s="378"/>
      <c r="CIC79" s="378"/>
      <c r="CID79" s="378"/>
      <c r="CIE79" s="378"/>
      <c r="CIF79" s="378"/>
      <c r="CIG79" s="378"/>
      <c r="CIH79" s="378"/>
      <c r="CII79" s="378"/>
      <c r="CIJ79" s="378"/>
      <c r="CIK79" s="378"/>
      <c r="CIL79" s="378"/>
      <c r="CIM79" s="378"/>
      <c r="CIN79" s="378"/>
      <c r="CIO79" s="378"/>
      <c r="CIP79" s="378"/>
      <c r="CIQ79" s="378"/>
      <c r="CIR79" s="378"/>
      <c r="CIS79" s="378"/>
      <c r="CIT79" s="378"/>
      <c r="CIU79" s="378"/>
      <c r="CIV79" s="378"/>
      <c r="CIW79" s="378"/>
      <c r="CIX79" s="378"/>
      <c r="CIY79" s="378"/>
      <c r="CIZ79" s="378"/>
      <c r="CJA79" s="378"/>
      <c r="CJB79" s="378"/>
      <c r="CJC79" s="378"/>
      <c r="CJD79" s="378"/>
      <c r="CJE79" s="378"/>
      <c r="CJF79" s="378"/>
      <c r="CJG79" s="378"/>
      <c r="CJH79" s="378"/>
      <c r="CJI79" s="378"/>
      <c r="CJJ79" s="378"/>
      <c r="CJK79" s="378"/>
      <c r="CJL79" s="378"/>
      <c r="CJM79" s="378"/>
      <c r="CJN79" s="378"/>
      <c r="CJO79" s="378"/>
      <c r="CJP79" s="378"/>
      <c r="CJQ79" s="378"/>
      <c r="CJR79" s="378"/>
      <c r="CJS79" s="378"/>
      <c r="CJT79" s="378"/>
      <c r="CJU79" s="378"/>
      <c r="CJV79" s="378"/>
      <c r="CJW79" s="378"/>
      <c r="CJX79" s="378"/>
      <c r="CJY79" s="378"/>
      <c r="CJZ79" s="378"/>
      <c r="CKA79" s="378"/>
      <c r="CKB79" s="378"/>
      <c r="CKC79" s="378"/>
      <c r="CKD79" s="378"/>
      <c r="CKE79" s="378"/>
      <c r="CKF79" s="378"/>
      <c r="CKG79" s="378"/>
      <c r="CKH79" s="378"/>
      <c r="CKI79" s="378"/>
      <c r="CKJ79" s="378"/>
      <c r="CKK79" s="378"/>
      <c r="CKL79" s="378"/>
      <c r="CKM79" s="378"/>
      <c r="CKN79" s="378"/>
      <c r="CKO79" s="378"/>
      <c r="CKP79" s="378"/>
      <c r="CKQ79" s="378"/>
      <c r="CKR79" s="378"/>
      <c r="CKS79" s="378"/>
      <c r="CKT79" s="378"/>
      <c r="CKU79" s="378"/>
      <c r="CKV79" s="378"/>
      <c r="CKW79" s="378"/>
      <c r="CKX79" s="378"/>
      <c r="CKY79" s="378"/>
      <c r="CKZ79" s="378"/>
      <c r="CLA79" s="378"/>
      <c r="CLB79" s="378"/>
      <c r="CLC79" s="378"/>
      <c r="CLD79" s="378"/>
      <c r="CLE79" s="378"/>
      <c r="CLF79" s="378"/>
      <c r="CLG79" s="378"/>
      <c r="CLH79" s="378"/>
      <c r="CLI79" s="378"/>
      <c r="CLJ79" s="378"/>
      <c r="CLK79" s="378"/>
      <c r="CLL79" s="378"/>
      <c r="CLM79" s="378"/>
      <c r="CLN79" s="378"/>
      <c r="CLO79" s="378"/>
      <c r="CLP79" s="378"/>
      <c r="CLQ79" s="378"/>
      <c r="CLR79" s="378"/>
      <c r="CLS79" s="378"/>
      <c r="CLT79" s="378"/>
      <c r="CLU79" s="378"/>
      <c r="CLV79" s="378"/>
      <c r="CLW79" s="378"/>
      <c r="CLX79" s="378"/>
      <c r="CLY79" s="378"/>
      <c r="CLZ79" s="378"/>
      <c r="CMA79" s="378"/>
      <c r="CMB79" s="378"/>
      <c r="CMC79" s="378"/>
      <c r="CMD79" s="378"/>
      <c r="CME79" s="378"/>
      <c r="CMF79" s="378"/>
      <c r="CMG79" s="378"/>
      <c r="CMH79" s="378"/>
      <c r="CMI79" s="378"/>
      <c r="CMJ79" s="378"/>
      <c r="CMK79" s="378"/>
      <c r="CML79" s="378"/>
      <c r="CMM79" s="378"/>
      <c r="CMN79" s="378"/>
      <c r="CMO79" s="378"/>
      <c r="CMP79" s="378"/>
      <c r="CMQ79" s="378"/>
      <c r="CMR79" s="378"/>
      <c r="CMS79" s="378"/>
      <c r="CMT79" s="378"/>
      <c r="CMU79" s="378"/>
      <c r="CMV79" s="378"/>
      <c r="CMW79" s="378"/>
      <c r="CMX79" s="378"/>
      <c r="CMY79" s="378"/>
      <c r="CMZ79" s="378"/>
      <c r="CNA79" s="378"/>
      <c r="CNB79" s="378"/>
      <c r="CNC79" s="378"/>
      <c r="CND79" s="378"/>
      <c r="CNE79" s="378"/>
      <c r="CNF79" s="378"/>
      <c r="CNG79" s="378"/>
      <c r="CNH79" s="378"/>
      <c r="CNI79" s="378"/>
      <c r="CNJ79" s="378"/>
      <c r="CNK79" s="378"/>
      <c r="CNL79" s="378"/>
      <c r="CNM79" s="378"/>
      <c r="CNN79" s="378"/>
      <c r="CNO79" s="378"/>
      <c r="CNP79" s="378"/>
      <c r="CNQ79" s="378"/>
      <c r="CNR79" s="378"/>
      <c r="CNS79" s="378"/>
      <c r="CNT79" s="378"/>
      <c r="CNU79" s="378"/>
      <c r="CNV79" s="378"/>
      <c r="CNW79" s="378"/>
      <c r="CNX79" s="378"/>
      <c r="CNY79" s="378"/>
      <c r="CNZ79" s="378"/>
      <c r="COA79" s="378"/>
      <c r="COB79" s="378"/>
      <c r="COC79" s="378"/>
      <c r="COD79" s="378"/>
      <c r="COE79" s="378"/>
      <c r="COF79" s="378"/>
      <c r="COG79" s="378"/>
      <c r="COH79" s="378"/>
      <c r="COI79" s="378"/>
      <c r="COJ79" s="378"/>
      <c r="COK79" s="378"/>
      <c r="COL79" s="378"/>
      <c r="COM79" s="378"/>
      <c r="CON79" s="378"/>
      <c r="COO79" s="378"/>
      <c r="COP79" s="378"/>
      <c r="COQ79" s="378"/>
      <c r="COR79" s="378"/>
      <c r="COS79" s="378"/>
      <c r="COT79" s="378"/>
      <c r="COU79" s="378"/>
      <c r="COV79" s="378"/>
      <c r="COW79" s="378"/>
      <c r="COX79" s="378"/>
      <c r="COY79" s="378"/>
      <c r="COZ79" s="378"/>
      <c r="CPA79" s="378"/>
      <c r="CPB79" s="378"/>
      <c r="CPC79" s="378"/>
      <c r="CPD79" s="378"/>
      <c r="CPE79" s="378"/>
      <c r="CPF79" s="378"/>
      <c r="CPG79" s="378"/>
      <c r="CPH79" s="378"/>
      <c r="CPI79" s="378"/>
      <c r="CPJ79" s="378"/>
      <c r="CPK79" s="378"/>
      <c r="CPL79" s="378"/>
      <c r="CPM79" s="378"/>
      <c r="CPN79" s="378"/>
      <c r="CPO79" s="378"/>
      <c r="CPP79" s="378"/>
      <c r="CPQ79" s="378"/>
      <c r="CPR79" s="378"/>
      <c r="CPS79" s="378"/>
      <c r="CPT79" s="378"/>
      <c r="CPU79" s="378"/>
      <c r="CPV79" s="378"/>
      <c r="CPW79" s="378"/>
      <c r="CPX79" s="378"/>
      <c r="CPY79" s="378"/>
      <c r="CPZ79" s="378"/>
      <c r="CQA79" s="378"/>
      <c r="CQB79" s="378"/>
      <c r="CQC79" s="378"/>
      <c r="CQD79" s="378"/>
      <c r="CQE79" s="378"/>
      <c r="CQF79" s="378"/>
      <c r="CQG79" s="378"/>
      <c r="CQH79" s="378"/>
      <c r="CQI79" s="378"/>
      <c r="CQJ79" s="378"/>
      <c r="CQK79" s="378"/>
      <c r="CQL79" s="378"/>
      <c r="CQM79" s="378"/>
      <c r="CQN79" s="378"/>
      <c r="CQO79" s="378"/>
      <c r="CQP79" s="378"/>
      <c r="CQQ79" s="378"/>
      <c r="CQR79" s="378"/>
      <c r="CQS79" s="378"/>
      <c r="CQT79" s="378"/>
      <c r="CQU79" s="378"/>
      <c r="CQV79" s="378"/>
      <c r="CQW79" s="378"/>
      <c r="CQX79" s="378"/>
      <c r="CQY79" s="378"/>
      <c r="CQZ79" s="378"/>
      <c r="CRA79" s="378"/>
      <c r="CRB79" s="378"/>
      <c r="CRC79" s="378"/>
      <c r="CRD79" s="378"/>
      <c r="CRE79" s="378"/>
      <c r="CRF79" s="378"/>
      <c r="CRG79" s="378"/>
      <c r="CRH79" s="378"/>
      <c r="CRI79" s="378"/>
      <c r="CRJ79" s="378"/>
      <c r="CRK79" s="378"/>
      <c r="CRL79" s="378"/>
      <c r="CRM79" s="378"/>
      <c r="CRN79" s="378"/>
      <c r="CRO79" s="378"/>
      <c r="CRP79" s="378"/>
      <c r="CRQ79" s="378"/>
      <c r="CRR79" s="378"/>
      <c r="CRS79" s="378"/>
      <c r="CRT79" s="378"/>
      <c r="CRU79" s="378"/>
      <c r="CRV79" s="378"/>
      <c r="CRW79" s="378"/>
      <c r="CRX79" s="378"/>
      <c r="CRY79" s="378"/>
      <c r="CRZ79" s="378"/>
      <c r="CSA79" s="378"/>
      <c r="CSB79" s="378"/>
      <c r="CSC79" s="378"/>
      <c r="CSD79" s="378"/>
      <c r="CSE79" s="378"/>
      <c r="CSF79" s="378"/>
      <c r="CSG79" s="378"/>
      <c r="CSH79" s="378"/>
      <c r="CSI79" s="378"/>
      <c r="CSJ79" s="378"/>
      <c r="CSK79" s="378"/>
      <c r="CSL79" s="378"/>
      <c r="CSM79" s="378"/>
      <c r="CSN79" s="378"/>
      <c r="CSO79" s="378"/>
      <c r="CSP79" s="378"/>
      <c r="CSQ79" s="378"/>
      <c r="CSR79" s="378"/>
      <c r="CSS79" s="378"/>
      <c r="CST79" s="378"/>
      <c r="CSU79" s="378"/>
      <c r="CSV79" s="378"/>
      <c r="CSW79" s="378"/>
      <c r="CSX79" s="378"/>
      <c r="CSY79" s="378"/>
      <c r="CSZ79" s="378"/>
      <c r="CTA79" s="378"/>
      <c r="CTB79" s="378"/>
      <c r="CTC79" s="378"/>
      <c r="CTD79" s="378"/>
      <c r="CTE79" s="378"/>
      <c r="CTF79" s="378"/>
      <c r="CTG79" s="378"/>
      <c r="CTH79" s="378"/>
      <c r="CTI79" s="378"/>
      <c r="CTJ79" s="378"/>
      <c r="CTK79" s="378"/>
      <c r="CTL79" s="378"/>
      <c r="CTM79" s="378"/>
      <c r="CTN79" s="378"/>
      <c r="CTO79" s="378"/>
      <c r="CTP79" s="378"/>
      <c r="CTQ79" s="378"/>
      <c r="CTR79" s="378"/>
      <c r="CTS79" s="378"/>
      <c r="CTT79" s="378"/>
      <c r="CTU79" s="378"/>
      <c r="CTV79" s="378"/>
      <c r="CTW79" s="378"/>
      <c r="CTX79" s="378"/>
      <c r="CTY79" s="378"/>
      <c r="CTZ79" s="378"/>
      <c r="CUA79" s="378"/>
      <c r="CUB79" s="378"/>
      <c r="CUC79" s="378"/>
      <c r="CUD79" s="378"/>
      <c r="CUE79" s="378"/>
      <c r="CUF79" s="378"/>
      <c r="CUG79" s="378"/>
      <c r="CUH79" s="378"/>
      <c r="CUI79" s="378"/>
      <c r="CUJ79" s="378"/>
      <c r="CUK79" s="378"/>
      <c r="CUL79" s="378"/>
      <c r="CUM79" s="378"/>
      <c r="CUN79" s="378"/>
      <c r="CUO79" s="378"/>
      <c r="CUP79" s="378"/>
      <c r="CUQ79" s="378"/>
      <c r="CUR79" s="378"/>
      <c r="CUS79" s="378"/>
      <c r="CUT79" s="378"/>
      <c r="CUU79" s="378"/>
      <c r="CUV79" s="378"/>
      <c r="CUW79" s="378"/>
      <c r="CUX79" s="378"/>
      <c r="CUY79" s="378"/>
      <c r="CUZ79" s="378"/>
      <c r="CVA79" s="378"/>
      <c r="CVB79" s="378"/>
      <c r="CVC79" s="378"/>
      <c r="CVD79" s="378"/>
      <c r="CVE79" s="378"/>
      <c r="CVF79" s="378"/>
      <c r="CVG79" s="378"/>
      <c r="CVH79" s="378"/>
      <c r="CVI79" s="378"/>
      <c r="CVJ79" s="378"/>
      <c r="CVK79" s="378"/>
      <c r="CVL79" s="378"/>
      <c r="CVM79" s="378"/>
      <c r="CVN79" s="378"/>
      <c r="CVO79" s="378"/>
      <c r="CVP79" s="378"/>
      <c r="CVQ79" s="378"/>
      <c r="CVR79" s="378"/>
      <c r="CVS79" s="378"/>
      <c r="CVT79" s="378"/>
      <c r="CVU79" s="378"/>
      <c r="CVV79" s="378"/>
      <c r="CVW79" s="378"/>
      <c r="CVX79" s="378"/>
      <c r="CVY79" s="378"/>
      <c r="CVZ79" s="378"/>
      <c r="CWA79" s="378"/>
      <c r="CWB79" s="378"/>
      <c r="CWC79" s="378"/>
      <c r="CWD79" s="378"/>
      <c r="CWE79" s="378"/>
      <c r="CWF79" s="378"/>
      <c r="CWG79" s="378"/>
      <c r="CWH79" s="378"/>
      <c r="CWI79" s="378"/>
      <c r="CWJ79" s="378"/>
      <c r="CWK79" s="378"/>
      <c r="CWL79" s="378"/>
      <c r="CWM79" s="378"/>
      <c r="CWN79" s="378"/>
      <c r="CWO79" s="378"/>
      <c r="CWP79" s="378"/>
      <c r="CWQ79" s="378"/>
      <c r="CWR79" s="378"/>
      <c r="CWS79" s="378"/>
      <c r="CWT79" s="378"/>
      <c r="CWU79" s="378"/>
      <c r="CWV79" s="378"/>
      <c r="CWW79" s="378"/>
      <c r="CWX79" s="378"/>
      <c r="CWY79" s="378"/>
      <c r="CWZ79" s="378"/>
      <c r="CXA79" s="378"/>
      <c r="CXB79" s="378"/>
      <c r="CXC79" s="378"/>
      <c r="CXD79" s="378"/>
      <c r="CXE79" s="378"/>
      <c r="CXF79" s="378"/>
      <c r="CXG79" s="378"/>
      <c r="CXH79" s="378"/>
      <c r="CXI79" s="378"/>
      <c r="CXJ79" s="378"/>
      <c r="CXK79" s="378"/>
      <c r="CXL79" s="378"/>
      <c r="CXM79" s="378"/>
      <c r="CXN79" s="378"/>
      <c r="CXO79" s="378"/>
      <c r="CXP79" s="378"/>
      <c r="CXQ79" s="378"/>
      <c r="CXR79" s="378"/>
      <c r="CXS79" s="378"/>
      <c r="CXT79" s="378"/>
      <c r="CXU79" s="378"/>
      <c r="CXV79" s="378"/>
      <c r="CXW79" s="378"/>
      <c r="CXX79" s="378"/>
      <c r="CXY79" s="378"/>
      <c r="CXZ79" s="378"/>
      <c r="CYA79" s="378"/>
      <c r="CYB79" s="378"/>
      <c r="CYC79" s="378"/>
      <c r="CYD79" s="378"/>
      <c r="CYE79" s="378"/>
      <c r="CYF79" s="378"/>
      <c r="CYG79" s="378"/>
      <c r="CYH79" s="378"/>
      <c r="CYI79" s="378"/>
      <c r="CYJ79" s="378"/>
      <c r="CYK79" s="378"/>
      <c r="CYL79" s="378"/>
      <c r="CYM79" s="378"/>
      <c r="CYN79" s="378"/>
      <c r="CYO79" s="378"/>
      <c r="CYP79" s="378"/>
      <c r="CYQ79" s="378"/>
      <c r="CYR79" s="378"/>
      <c r="CYS79" s="378"/>
      <c r="CYT79" s="378"/>
      <c r="CYU79" s="378"/>
      <c r="CYV79" s="378"/>
      <c r="CYW79" s="378"/>
      <c r="CYX79" s="378"/>
      <c r="CYY79" s="378"/>
      <c r="CYZ79" s="378"/>
      <c r="CZA79" s="378"/>
      <c r="CZB79" s="378"/>
      <c r="CZC79" s="378"/>
      <c r="CZD79" s="378"/>
      <c r="CZE79" s="378"/>
      <c r="CZF79" s="378"/>
      <c r="CZG79" s="378"/>
      <c r="CZH79" s="378"/>
      <c r="CZI79" s="378"/>
      <c r="CZJ79" s="378"/>
      <c r="CZK79" s="378"/>
      <c r="CZL79" s="378"/>
      <c r="CZM79" s="378"/>
      <c r="CZN79" s="378"/>
      <c r="CZO79" s="378"/>
      <c r="CZP79" s="378"/>
      <c r="CZQ79" s="378"/>
      <c r="CZR79" s="378"/>
      <c r="CZS79" s="378"/>
      <c r="CZT79" s="378"/>
      <c r="CZU79" s="378"/>
      <c r="CZV79" s="378"/>
      <c r="CZW79" s="378"/>
      <c r="CZX79" s="378"/>
      <c r="CZY79" s="378"/>
      <c r="CZZ79" s="378"/>
      <c r="DAA79" s="378"/>
      <c r="DAB79" s="378"/>
      <c r="DAC79" s="378"/>
      <c r="DAD79" s="378"/>
      <c r="DAE79" s="378"/>
      <c r="DAF79" s="378"/>
      <c r="DAG79" s="378"/>
      <c r="DAH79" s="378"/>
      <c r="DAI79" s="378"/>
      <c r="DAJ79" s="378"/>
      <c r="DAK79" s="378"/>
      <c r="DAL79" s="378"/>
      <c r="DAM79" s="378"/>
      <c r="DAN79" s="378"/>
      <c r="DAO79" s="378"/>
      <c r="DAP79" s="378"/>
      <c r="DAQ79" s="378"/>
      <c r="DAR79" s="378"/>
      <c r="DAS79" s="378"/>
      <c r="DAT79" s="378"/>
      <c r="DAU79" s="378"/>
      <c r="DAV79" s="378"/>
      <c r="DAW79" s="378"/>
      <c r="DAX79" s="378"/>
      <c r="DAY79" s="378"/>
      <c r="DAZ79" s="378"/>
      <c r="DBA79" s="378"/>
      <c r="DBB79" s="378"/>
      <c r="DBC79" s="378"/>
      <c r="DBD79" s="378"/>
      <c r="DBE79" s="378"/>
      <c r="DBF79" s="378"/>
      <c r="DBG79" s="378"/>
      <c r="DBH79" s="378"/>
      <c r="DBI79" s="378"/>
      <c r="DBJ79" s="378"/>
      <c r="DBK79" s="378"/>
      <c r="DBL79" s="378"/>
      <c r="DBM79" s="378"/>
      <c r="DBN79" s="378"/>
      <c r="DBO79" s="378"/>
      <c r="DBP79" s="378"/>
      <c r="DBQ79" s="378"/>
      <c r="DBR79" s="378"/>
      <c r="DBS79" s="378"/>
      <c r="DBT79" s="378"/>
      <c r="DBU79" s="378"/>
      <c r="DBV79" s="378"/>
      <c r="DBW79" s="378"/>
      <c r="DBX79" s="378"/>
      <c r="DBY79" s="378"/>
      <c r="DBZ79" s="378"/>
      <c r="DCA79" s="378"/>
      <c r="DCB79" s="378"/>
      <c r="DCC79" s="378"/>
      <c r="DCD79" s="378"/>
      <c r="DCE79" s="378"/>
      <c r="DCF79" s="378"/>
      <c r="DCG79" s="378"/>
      <c r="DCH79" s="378"/>
      <c r="DCI79" s="378"/>
      <c r="DCJ79" s="378"/>
      <c r="DCK79" s="378"/>
      <c r="DCL79" s="378"/>
      <c r="DCM79" s="378"/>
      <c r="DCN79" s="378"/>
      <c r="DCO79" s="378"/>
      <c r="DCP79" s="378"/>
      <c r="DCQ79" s="378"/>
      <c r="DCR79" s="378"/>
      <c r="DCS79" s="378"/>
      <c r="DCT79" s="378"/>
      <c r="DCU79" s="378"/>
      <c r="DCV79" s="378"/>
      <c r="DCW79" s="378"/>
      <c r="DCX79" s="378"/>
      <c r="DCY79" s="378"/>
      <c r="DCZ79" s="378"/>
      <c r="DDA79" s="378"/>
      <c r="DDB79" s="378"/>
      <c r="DDC79" s="378"/>
      <c r="DDD79" s="378"/>
      <c r="DDE79" s="378"/>
      <c r="DDF79" s="378"/>
      <c r="DDG79" s="378"/>
      <c r="DDH79" s="378"/>
      <c r="DDI79" s="378"/>
      <c r="DDJ79" s="378"/>
      <c r="DDK79" s="378"/>
      <c r="DDL79" s="378"/>
      <c r="DDM79" s="378"/>
      <c r="DDN79" s="378"/>
      <c r="DDO79" s="378"/>
      <c r="DDP79" s="378"/>
      <c r="DDQ79" s="378"/>
      <c r="DDR79" s="378"/>
      <c r="DDS79" s="378"/>
      <c r="DDT79" s="378"/>
      <c r="DDU79" s="378"/>
      <c r="DDV79" s="378"/>
      <c r="DDW79" s="378"/>
      <c r="DDX79" s="378"/>
      <c r="DDY79" s="378"/>
      <c r="DDZ79" s="378"/>
      <c r="DEA79" s="378"/>
      <c r="DEB79" s="378"/>
      <c r="DEC79" s="378"/>
      <c r="DED79" s="378"/>
      <c r="DEE79" s="378"/>
      <c r="DEF79" s="378"/>
      <c r="DEG79" s="378"/>
      <c r="DEH79" s="378"/>
      <c r="DEI79" s="378"/>
      <c r="DEJ79" s="378"/>
      <c r="DEK79" s="378"/>
      <c r="DEL79" s="378"/>
      <c r="DEM79" s="378"/>
      <c r="DEN79" s="378"/>
      <c r="DEO79" s="378"/>
      <c r="DEP79" s="378"/>
      <c r="DEQ79" s="378"/>
      <c r="DER79" s="378"/>
      <c r="DES79" s="378"/>
      <c r="DET79" s="378"/>
      <c r="DEU79" s="378"/>
      <c r="DEV79" s="378"/>
      <c r="DEW79" s="378"/>
      <c r="DEX79" s="378"/>
      <c r="DEY79" s="378"/>
      <c r="DEZ79" s="378"/>
      <c r="DFA79" s="378"/>
      <c r="DFB79" s="378"/>
      <c r="DFC79" s="378"/>
      <c r="DFD79" s="378"/>
      <c r="DFE79" s="378"/>
      <c r="DFF79" s="378"/>
      <c r="DFG79" s="378"/>
      <c r="DFH79" s="378"/>
      <c r="DFI79" s="378"/>
      <c r="DFJ79" s="378"/>
      <c r="DFK79" s="378"/>
      <c r="DFL79" s="378"/>
      <c r="DFM79" s="378"/>
      <c r="DFN79" s="378"/>
      <c r="DFO79" s="378"/>
      <c r="DFP79" s="378"/>
      <c r="DFQ79" s="378"/>
      <c r="DFR79" s="378"/>
      <c r="DFS79" s="378"/>
      <c r="DFT79" s="378"/>
      <c r="DFU79" s="378"/>
      <c r="DFV79" s="378"/>
      <c r="DFW79" s="378"/>
      <c r="DFX79" s="378"/>
      <c r="DFY79" s="378"/>
      <c r="DFZ79" s="378"/>
      <c r="DGA79" s="378"/>
      <c r="DGB79" s="378"/>
      <c r="DGC79" s="378"/>
      <c r="DGD79" s="378"/>
      <c r="DGE79" s="378"/>
      <c r="DGF79" s="378"/>
      <c r="DGG79" s="378"/>
      <c r="DGH79" s="378"/>
      <c r="DGI79" s="378"/>
      <c r="DGJ79" s="378"/>
      <c r="DGK79" s="378"/>
      <c r="DGL79" s="378"/>
      <c r="DGM79" s="378"/>
      <c r="DGN79" s="378"/>
      <c r="DGO79" s="378"/>
      <c r="DGP79" s="378"/>
      <c r="DGQ79" s="378"/>
      <c r="DGR79" s="378"/>
      <c r="DGS79" s="378"/>
      <c r="DGT79" s="378"/>
      <c r="DGU79" s="378"/>
      <c r="DGV79" s="378"/>
      <c r="DGW79" s="378"/>
      <c r="DGX79" s="378"/>
      <c r="DGY79" s="378"/>
      <c r="DGZ79" s="378"/>
      <c r="DHA79" s="378"/>
      <c r="DHB79" s="378"/>
      <c r="DHC79" s="378"/>
      <c r="DHD79" s="378"/>
      <c r="DHE79" s="378"/>
      <c r="DHF79" s="378"/>
      <c r="DHG79" s="378"/>
      <c r="DHH79" s="378"/>
      <c r="DHI79" s="378"/>
      <c r="DHJ79" s="378"/>
      <c r="DHK79" s="378"/>
      <c r="DHL79" s="378"/>
      <c r="DHM79" s="378"/>
      <c r="DHN79" s="378"/>
      <c r="DHO79" s="378"/>
      <c r="DHP79" s="378"/>
      <c r="DHQ79" s="378"/>
      <c r="DHR79" s="378"/>
      <c r="DHS79" s="378"/>
      <c r="DHT79" s="378"/>
      <c r="DHU79" s="378"/>
      <c r="DHV79" s="378"/>
      <c r="DHW79" s="378"/>
      <c r="DHX79" s="378"/>
      <c r="DHY79" s="378"/>
      <c r="DHZ79" s="378"/>
      <c r="DIA79" s="378"/>
      <c r="DIB79" s="378"/>
      <c r="DIC79" s="378"/>
      <c r="DID79" s="378"/>
      <c r="DIE79" s="378"/>
      <c r="DIF79" s="378"/>
      <c r="DIG79" s="378"/>
      <c r="DIH79" s="378"/>
      <c r="DII79" s="378"/>
      <c r="DIJ79" s="378"/>
      <c r="DIK79" s="378"/>
      <c r="DIL79" s="378"/>
      <c r="DIM79" s="378"/>
      <c r="DIN79" s="378"/>
      <c r="DIO79" s="378"/>
      <c r="DIP79" s="378"/>
      <c r="DIQ79" s="378"/>
      <c r="DIR79" s="378"/>
      <c r="DIS79" s="378"/>
      <c r="DIT79" s="378"/>
      <c r="DIU79" s="378"/>
      <c r="DIV79" s="378"/>
      <c r="DIW79" s="378"/>
      <c r="DIX79" s="378"/>
      <c r="DIY79" s="378"/>
      <c r="DIZ79" s="378"/>
      <c r="DJA79" s="378"/>
      <c r="DJB79" s="378"/>
      <c r="DJC79" s="378"/>
      <c r="DJD79" s="378"/>
      <c r="DJE79" s="378"/>
      <c r="DJF79" s="378"/>
      <c r="DJG79" s="378"/>
      <c r="DJH79" s="378"/>
      <c r="DJI79" s="378"/>
      <c r="DJJ79" s="378"/>
      <c r="DJK79" s="378"/>
      <c r="DJL79" s="378"/>
      <c r="DJM79" s="378"/>
      <c r="DJN79" s="378"/>
      <c r="DJO79" s="378"/>
      <c r="DJP79" s="378"/>
      <c r="DJQ79" s="378"/>
      <c r="DJR79" s="378"/>
      <c r="DJS79" s="378"/>
      <c r="DJT79" s="378"/>
      <c r="DJU79" s="378"/>
      <c r="DJV79" s="378"/>
      <c r="DJW79" s="378"/>
      <c r="DJX79" s="378"/>
      <c r="DJY79" s="378"/>
      <c r="DJZ79" s="378"/>
      <c r="DKA79" s="378"/>
      <c r="DKB79" s="378"/>
      <c r="DKC79" s="378"/>
      <c r="DKD79" s="378"/>
      <c r="DKE79" s="378"/>
      <c r="DKF79" s="378"/>
      <c r="DKG79" s="378"/>
      <c r="DKH79" s="378"/>
      <c r="DKI79" s="378"/>
      <c r="DKJ79" s="378"/>
      <c r="DKK79" s="378"/>
      <c r="DKL79" s="378"/>
      <c r="DKM79" s="378"/>
      <c r="DKN79" s="378"/>
      <c r="DKO79" s="378"/>
      <c r="DKP79" s="378"/>
      <c r="DKQ79" s="378"/>
      <c r="DKR79" s="378"/>
      <c r="DKS79" s="378"/>
      <c r="DKT79" s="378"/>
      <c r="DKU79" s="378"/>
      <c r="DKV79" s="378"/>
      <c r="DKW79" s="378"/>
      <c r="DKX79" s="378"/>
      <c r="DKY79" s="378"/>
      <c r="DKZ79" s="378"/>
      <c r="DLA79" s="378"/>
      <c r="DLB79" s="378"/>
      <c r="DLC79" s="378"/>
      <c r="DLD79" s="378"/>
      <c r="DLE79" s="378"/>
      <c r="DLF79" s="378"/>
      <c r="DLG79" s="378"/>
      <c r="DLH79" s="378"/>
      <c r="DLI79" s="378"/>
      <c r="DLJ79" s="378"/>
      <c r="DLK79" s="378"/>
      <c r="DLL79" s="378"/>
      <c r="DLM79" s="378"/>
      <c r="DLN79" s="378"/>
      <c r="DLO79" s="378"/>
      <c r="DLP79" s="378"/>
      <c r="DLQ79" s="378"/>
      <c r="DLR79" s="378"/>
      <c r="DLS79" s="378"/>
      <c r="DLT79" s="378"/>
      <c r="DLU79" s="378"/>
      <c r="DLV79" s="378"/>
      <c r="DLW79" s="378"/>
      <c r="DLX79" s="378"/>
      <c r="DLY79" s="378"/>
      <c r="DLZ79" s="378"/>
      <c r="DMA79" s="378"/>
      <c r="DMB79" s="378"/>
      <c r="DMC79" s="378"/>
      <c r="DMD79" s="378"/>
      <c r="DME79" s="378"/>
      <c r="DMF79" s="378"/>
      <c r="DMG79" s="378"/>
      <c r="DMH79" s="378"/>
      <c r="DMI79" s="378"/>
      <c r="DMJ79" s="378"/>
      <c r="DMK79" s="378"/>
      <c r="DML79" s="378"/>
      <c r="DMM79" s="378"/>
      <c r="DMN79" s="378"/>
      <c r="DMO79" s="378"/>
      <c r="DMP79" s="378"/>
      <c r="DMQ79" s="378"/>
      <c r="DMR79" s="378"/>
      <c r="DMS79" s="378"/>
      <c r="DMT79" s="378"/>
      <c r="DMU79" s="378"/>
      <c r="DMV79" s="378"/>
      <c r="DMW79" s="378"/>
      <c r="DMX79" s="378"/>
      <c r="DMY79" s="378"/>
      <c r="DMZ79" s="378"/>
      <c r="DNA79" s="378"/>
      <c r="DNB79" s="378"/>
      <c r="DNC79" s="378"/>
      <c r="DND79" s="378"/>
      <c r="DNE79" s="378"/>
      <c r="DNF79" s="378"/>
      <c r="DNG79" s="378"/>
      <c r="DNH79" s="378"/>
      <c r="DNI79" s="378"/>
      <c r="DNJ79" s="378"/>
      <c r="DNK79" s="378"/>
      <c r="DNL79" s="378"/>
      <c r="DNM79" s="378"/>
      <c r="DNN79" s="378"/>
      <c r="DNO79" s="378"/>
      <c r="DNP79" s="378"/>
      <c r="DNQ79" s="378"/>
      <c r="DNR79" s="378"/>
      <c r="DNS79" s="378"/>
      <c r="DNT79" s="378"/>
      <c r="DNU79" s="378"/>
      <c r="DNV79" s="378"/>
      <c r="DNW79" s="378"/>
      <c r="DNX79" s="378"/>
      <c r="DNY79" s="378"/>
      <c r="DNZ79" s="378"/>
      <c r="DOA79" s="378"/>
      <c r="DOB79" s="378"/>
      <c r="DOC79" s="378"/>
      <c r="DOD79" s="378"/>
      <c r="DOE79" s="378"/>
      <c r="DOF79" s="378"/>
      <c r="DOG79" s="378"/>
      <c r="DOH79" s="378"/>
      <c r="DOI79" s="378"/>
      <c r="DOJ79" s="378"/>
      <c r="DOK79" s="378"/>
      <c r="DOL79" s="378"/>
      <c r="DOM79" s="378"/>
      <c r="DON79" s="378"/>
      <c r="DOO79" s="378"/>
      <c r="DOP79" s="378"/>
      <c r="DOQ79" s="378"/>
      <c r="DOR79" s="378"/>
      <c r="DOS79" s="378"/>
      <c r="DOT79" s="378"/>
      <c r="DOU79" s="378"/>
      <c r="DOV79" s="378"/>
      <c r="DOW79" s="378"/>
      <c r="DOX79" s="378"/>
      <c r="DOY79" s="378"/>
      <c r="DOZ79" s="378"/>
      <c r="DPA79" s="378"/>
      <c r="DPB79" s="378"/>
      <c r="DPC79" s="378"/>
      <c r="DPD79" s="378"/>
      <c r="DPE79" s="378"/>
      <c r="DPF79" s="378"/>
      <c r="DPG79" s="378"/>
      <c r="DPH79" s="378"/>
      <c r="DPI79" s="378"/>
      <c r="DPJ79" s="378"/>
      <c r="DPK79" s="378"/>
      <c r="DPL79" s="378"/>
      <c r="DPM79" s="378"/>
      <c r="DPN79" s="378"/>
      <c r="DPO79" s="378"/>
      <c r="DPP79" s="378"/>
      <c r="DPQ79" s="378"/>
      <c r="DPR79" s="378"/>
      <c r="DPS79" s="378"/>
      <c r="DPT79" s="378"/>
      <c r="DPU79" s="378"/>
      <c r="DPV79" s="378"/>
      <c r="DPW79" s="378"/>
      <c r="DPX79" s="378"/>
      <c r="DPY79" s="378"/>
      <c r="DPZ79" s="378"/>
      <c r="DQA79" s="378"/>
      <c r="DQB79" s="378"/>
      <c r="DQC79" s="378"/>
      <c r="DQD79" s="378"/>
      <c r="DQE79" s="378"/>
      <c r="DQF79" s="378"/>
      <c r="DQG79" s="378"/>
      <c r="DQH79" s="378"/>
      <c r="DQI79" s="378"/>
      <c r="DQJ79" s="378"/>
      <c r="DQK79" s="378"/>
      <c r="DQL79" s="378"/>
      <c r="DQM79" s="378"/>
      <c r="DQN79" s="378"/>
      <c r="DQO79" s="378"/>
      <c r="DQP79" s="378"/>
      <c r="DQQ79" s="378"/>
      <c r="DQR79" s="378"/>
      <c r="DQS79" s="378"/>
      <c r="DQT79" s="378"/>
      <c r="DQU79" s="378"/>
      <c r="DQV79" s="378"/>
      <c r="DQW79" s="378"/>
      <c r="DQX79" s="378"/>
      <c r="DQY79" s="378"/>
      <c r="DQZ79" s="378"/>
      <c r="DRA79" s="378"/>
      <c r="DRB79" s="378"/>
      <c r="DRC79" s="378"/>
      <c r="DRD79" s="378"/>
      <c r="DRE79" s="378"/>
      <c r="DRF79" s="378"/>
      <c r="DRG79" s="378"/>
      <c r="DRH79" s="378"/>
      <c r="DRI79" s="378"/>
      <c r="DRJ79" s="378"/>
      <c r="DRK79" s="378"/>
      <c r="DRL79" s="378"/>
      <c r="DRM79" s="378"/>
      <c r="DRN79" s="378"/>
      <c r="DRO79" s="378"/>
      <c r="DRP79" s="378"/>
      <c r="DRQ79" s="378"/>
      <c r="DRR79" s="378"/>
      <c r="DRS79" s="378"/>
      <c r="DRT79" s="378"/>
      <c r="DRU79" s="378"/>
      <c r="DRV79" s="378"/>
      <c r="DRW79" s="378"/>
      <c r="DRX79" s="378"/>
      <c r="DRY79" s="378"/>
      <c r="DRZ79" s="378"/>
      <c r="DSA79" s="378"/>
      <c r="DSB79" s="378"/>
      <c r="DSC79" s="378"/>
      <c r="DSD79" s="378"/>
      <c r="DSE79" s="378"/>
      <c r="DSF79" s="378"/>
      <c r="DSG79" s="378"/>
      <c r="DSH79" s="378"/>
      <c r="DSI79" s="378"/>
      <c r="DSJ79" s="378"/>
      <c r="DSK79" s="378"/>
      <c r="DSL79" s="378"/>
      <c r="DSM79" s="378"/>
      <c r="DSN79" s="378"/>
      <c r="DSO79" s="378"/>
      <c r="DSP79" s="378"/>
      <c r="DSQ79" s="378"/>
      <c r="DSR79" s="378"/>
      <c r="DSS79" s="378"/>
      <c r="DST79" s="378"/>
      <c r="DSU79" s="378"/>
      <c r="DSV79" s="378"/>
      <c r="DSW79" s="378"/>
      <c r="DSX79" s="378"/>
      <c r="DSY79" s="378"/>
      <c r="DSZ79" s="378"/>
      <c r="DTA79" s="378"/>
      <c r="DTB79" s="378"/>
      <c r="DTC79" s="378"/>
      <c r="DTD79" s="378"/>
      <c r="DTE79" s="378"/>
      <c r="DTF79" s="378"/>
      <c r="DTG79" s="378"/>
      <c r="DTH79" s="378"/>
      <c r="DTI79" s="378"/>
      <c r="DTJ79" s="378"/>
      <c r="DTK79" s="378"/>
      <c r="DTL79" s="378"/>
      <c r="DTM79" s="378"/>
      <c r="DTN79" s="378"/>
      <c r="DTO79" s="378"/>
      <c r="DTP79" s="378"/>
      <c r="DTQ79" s="378"/>
      <c r="DTR79" s="378"/>
      <c r="DTS79" s="378"/>
      <c r="DTT79" s="378"/>
      <c r="DTU79" s="378"/>
      <c r="DTV79" s="378"/>
      <c r="DTW79" s="378"/>
      <c r="DTX79" s="378"/>
      <c r="DTY79" s="378"/>
      <c r="DTZ79" s="378"/>
      <c r="DUA79" s="378"/>
      <c r="DUB79" s="378"/>
      <c r="DUC79" s="378"/>
      <c r="DUD79" s="378"/>
      <c r="DUE79" s="378"/>
      <c r="DUF79" s="378"/>
      <c r="DUG79" s="378"/>
      <c r="DUH79" s="378"/>
      <c r="DUI79" s="378"/>
      <c r="DUJ79" s="378"/>
      <c r="DUK79" s="378"/>
      <c r="DUL79" s="378"/>
      <c r="DUM79" s="378"/>
      <c r="DUN79" s="378"/>
      <c r="DUO79" s="378"/>
      <c r="DUP79" s="378"/>
      <c r="DUQ79" s="378"/>
      <c r="DUR79" s="378"/>
      <c r="DUS79" s="378"/>
      <c r="DUT79" s="378"/>
      <c r="DUU79" s="378"/>
      <c r="DUV79" s="378"/>
      <c r="DUW79" s="378"/>
      <c r="DUX79" s="378"/>
      <c r="DUY79" s="378"/>
      <c r="DUZ79" s="378"/>
      <c r="DVA79" s="378"/>
      <c r="DVB79" s="378"/>
      <c r="DVC79" s="378"/>
      <c r="DVD79" s="378"/>
      <c r="DVE79" s="378"/>
      <c r="DVF79" s="378"/>
      <c r="DVG79" s="378"/>
      <c r="DVH79" s="378"/>
      <c r="DVI79" s="378"/>
      <c r="DVJ79" s="378"/>
      <c r="DVK79" s="378"/>
      <c r="DVL79" s="378"/>
      <c r="DVM79" s="378"/>
      <c r="DVN79" s="378"/>
      <c r="DVO79" s="378"/>
      <c r="DVP79" s="378"/>
      <c r="DVQ79" s="378"/>
      <c r="DVR79" s="378"/>
      <c r="DVS79" s="378"/>
      <c r="DVT79" s="378"/>
      <c r="DVU79" s="378"/>
      <c r="DVV79" s="378"/>
      <c r="DVW79" s="378"/>
      <c r="DVX79" s="378"/>
      <c r="DVY79" s="378"/>
      <c r="DVZ79" s="378"/>
      <c r="DWA79" s="378"/>
      <c r="DWB79" s="378"/>
      <c r="DWC79" s="378"/>
      <c r="DWD79" s="378"/>
      <c r="DWE79" s="378"/>
      <c r="DWF79" s="378"/>
      <c r="DWG79" s="378"/>
      <c r="DWH79" s="378"/>
      <c r="DWI79" s="378"/>
      <c r="DWJ79" s="378"/>
      <c r="DWK79" s="378"/>
      <c r="DWL79" s="378"/>
      <c r="DWM79" s="378"/>
      <c r="DWN79" s="378"/>
      <c r="DWO79" s="378"/>
      <c r="DWP79" s="378"/>
      <c r="DWQ79" s="378"/>
      <c r="DWR79" s="378"/>
      <c r="DWS79" s="378"/>
      <c r="DWT79" s="378"/>
      <c r="DWU79" s="378"/>
      <c r="DWV79" s="378"/>
      <c r="DWW79" s="378"/>
      <c r="DWX79" s="378"/>
      <c r="DWY79" s="378"/>
      <c r="DWZ79" s="378"/>
      <c r="DXA79" s="378"/>
      <c r="DXB79" s="378"/>
      <c r="DXC79" s="378"/>
      <c r="DXD79" s="378"/>
      <c r="DXE79" s="378"/>
      <c r="DXF79" s="378"/>
      <c r="DXG79" s="378"/>
      <c r="DXH79" s="378"/>
      <c r="DXI79" s="378"/>
      <c r="DXJ79" s="378"/>
      <c r="DXK79" s="378"/>
      <c r="DXL79" s="378"/>
      <c r="DXM79" s="378"/>
      <c r="DXN79" s="378"/>
      <c r="DXO79" s="378"/>
      <c r="DXP79" s="378"/>
      <c r="DXQ79" s="378"/>
      <c r="DXR79" s="378"/>
      <c r="DXS79" s="378"/>
      <c r="DXT79" s="378"/>
      <c r="DXU79" s="378"/>
      <c r="DXV79" s="378"/>
      <c r="DXW79" s="378"/>
      <c r="DXX79" s="378"/>
      <c r="DXY79" s="378"/>
      <c r="DXZ79" s="378"/>
      <c r="DYA79" s="378"/>
      <c r="DYB79" s="378"/>
      <c r="DYC79" s="378"/>
      <c r="DYD79" s="378"/>
      <c r="DYE79" s="378"/>
      <c r="DYF79" s="378"/>
      <c r="DYG79" s="378"/>
      <c r="DYH79" s="378"/>
      <c r="DYI79" s="378"/>
      <c r="DYJ79" s="378"/>
      <c r="DYK79" s="378"/>
      <c r="DYL79" s="378"/>
      <c r="DYM79" s="378"/>
      <c r="DYN79" s="378"/>
      <c r="DYO79" s="378"/>
      <c r="DYP79" s="378"/>
      <c r="DYQ79" s="378"/>
      <c r="DYR79" s="378"/>
      <c r="DYS79" s="378"/>
      <c r="DYT79" s="378"/>
      <c r="DYU79" s="378"/>
      <c r="DYV79" s="378"/>
      <c r="DYW79" s="378"/>
      <c r="DYX79" s="378"/>
      <c r="DYY79" s="378"/>
      <c r="DYZ79" s="378"/>
      <c r="DZA79" s="378"/>
      <c r="DZB79" s="378"/>
      <c r="DZC79" s="378"/>
      <c r="DZD79" s="378"/>
      <c r="DZE79" s="378"/>
      <c r="DZF79" s="378"/>
      <c r="DZG79" s="378"/>
      <c r="DZH79" s="378"/>
      <c r="DZI79" s="378"/>
      <c r="DZJ79" s="378"/>
      <c r="DZK79" s="378"/>
      <c r="DZL79" s="378"/>
      <c r="DZM79" s="378"/>
      <c r="DZN79" s="378"/>
      <c r="DZO79" s="378"/>
      <c r="DZP79" s="378"/>
      <c r="DZQ79" s="378"/>
      <c r="DZR79" s="378"/>
      <c r="DZS79" s="378"/>
      <c r="DZT79" s="378"/>
      <c r="DZU79" s="378"/>
      <c r="DZV79" s="378"/>
      <c r="DZW79" s="378"/>
      <c r="DZX79" s="378"/>
      <c r="DZY79" s="378"/>
      <c r="DZZ79" s="378"/>
      <c r="EAA79" s="378"/>
      <c r="EAB79" s="378"/>
      <c r="EAC79" s="378"/>
      <c r="EAD79" s="378"/>
      <c r="EAE79" s="378"/>
      <c r="EAF79" s="378"/>
      <c r="EAG79" s="378"/>
      <c r="EAH79" s="378"/>
      <c r="EAI79" s="378"/>
      <c r="EAJ79" s="378"/>
      <c r="EAK79" s="378"/>
      <c r="EAL79" s="378"/>
      <c r="EAM79" s="378"/>
      <c r="EAN79" s="378"/>
      <c r="EAO79" s="378"/>
      <c r="EAP79" s="378"/>
      <c r="EAQ79" s="378"/>
      <c r="EAR79" s="378"/>
      <c r="EAS79" s="378"/>
      <c r="EAT79" s="378"/>
      <c r="EAU79" s="378"/>
      <c r="EAV79" s="378"/>
      <c r="EAW79" s="378"/>
      <c r="EAX79" s="378"/>
      <c r="EAY79" s="378"/>
      <c r="EAZ79" s="378"/>
      <c r="EBA79" s="378"/>
      <c r="EBB79" s="378"/>
      <c r="EBC79" s="378"/>
      <c r="EBD79" s="378"/>
      <c r="EBE79" s="378"/>
      <c r="EBF79" s="378"/>
      <c r="EBG79" s="378"/>
      <c r="EBH79" s="378"/>
      <c r="EBI79" s="378"/>
      <c r="EBJ79" s="378"/>
      <c r="EBK79" s="378"/>
      <c r="EBL79" s="378"/>
      <c r="EBM79" s="378"/>
      <c r="EBN79" s="378"/>
      <c r="EBO79" s="378"/>
      <c r="EBP79" s="378"/>
      <c r="EBQ79" s="378"/>
      <c r="EBR79" s="378"/>
      <c r="EBS79" s="378"/>
      <c r="EBT79" s="378"/>
      <c r="EBU79" s="378"/>
      <c r="EBV79" s="378"/>
      <c r="EBW79" s="378"/>
      <c r="EBX79" s="378"/>
      <c r="EBY79" s="378"/>
      <c r="EBZ79" s="378"/>
      <c r="ECA79" s="378"/>
      <c r="ECB79" s="378"/>
      <c r="ECC79" s="378"/>
      <c r="ECD79" s="378"/>
      <c r="ECE79" s="378"/>
      <c r="ECF79" s="378"/>
      <c r="ECG79" s="378"/>
      <c r="ECH79" s="378"/>
      <c r="ECI79" s="378"/>
      <c r="ECJ79" s="378"/>
      <c r="ECK79" s="378"/>
      <c r="ECL79" s="378"/>
      <c r="ECM79" s="378"/>
      <c r="ECN79" s="378"/>
      <c r="ECO79" s="378"/>
      <c r="ECP79" s="378"/>
      <c r="ECQ79" s="378"/>
      <c r="ECR79" s="378"/>
      <c r="ECS79" s="378"/>
      <c r="ECT79" s="378"/>
      <c r="ECU79" s="378"/>
      <c r="ECV79" s="378"/>
      <c r="ECW79" s="378"/>
      <c r="ECX79" s="378"/>
      <c r="ECY79" s="378"/>
      <c r="ECZ79" s="378"/>
      <c r="EDA79" s="378"/>
      <c r="EDB79" s="378"/>
      <c r="EDC79" s="378"/>
      <c r="EDD79" s="378"/>
      <c r="EDE79" s="378"/>
      <c r="EDF79" s="378"/>
      <c r="EDG79" s="378"/>
      <c r="EDH79" s="378"/>
      <c r="EDI79" s="378"/>
      <c r="EDJ79" s="378"/>
      <c r="EDK79" s="378"/>
      <c r="EDL79" s="378"/>
      <c r="EDM79" s="378"/>
      <c r="EDN79" s="378"/>
      <c r="EDO79" s="378"/>
      <c r="EDP79" s="378"/>
      <c r="EDQ79" s="378"/>
      <c r="EDR79" s="378"/>
      <c r="EDS79" s="378"/>
      <c r="EDT79" s="378"/>
      <c r="EDU79" s="378"/>
      <c r="EDV79" s="378"/>
      <c r="EDW79" s="378"/>
      <c r="EDX79" s="378"/>
      <c r="EDY79" s="378"/>
      <c r="EDZ79" s="378"/>
      <c r="EEA79" s="378"/>
      <c r="EEB79" s="378"/>
      <c r="EEC79" s="378"/>
      <c r="EED79" s="378"/>
      <c r="EEE79" s="378"/>
      <c r="EEF79" s="378"/>
      <c r="EEG79" s="378"/>
      <c r="EEH79" s="378"/>
      <c r="EEI79" s="378"/>
      <c r="EEJ79" s="378"/>
      <c r="EEK79" s="378"/>
      <c r="EEL79" s="378"/>
      <c r="EEM79" s="378"/>
      <c r="EEN79" s="378"/>
      <c r="EEO79" s="378"/>
      <c r="EEP79" s="378"/>
      <c r="EEQ79" s="378"/>
      <c r="EER79" s="378"/>
      <c r="EES79" s="378"/>
      <c r="EET79" s="378"/>
      <c r="EEU79" s="378"/>
      <c r="EEV79" s="378"/>
      <c r="EEW79" s="378"/>
      <c r="EEX79" s="378"/>
      <c r="EEY79" s="378"/>
      <c r="EEZ79" s="378"/>
      <c r="EFA79" s="378"/>
      <c r="EFB79" s="378"/>
      <c r="EFC79" s="378"/>
      <c r="EFD79" s="378"/>
      <c r="EFE79" s="378"/>
      <c r="EFF79" s="378"/>
      <c r="EFG79" s="378"/>
      <c r="EFH79" s="378"/>
      <c r="EFI79" s="378"/>
      <c r="EFJ79" s="378"/>
      <c r="EFK79" s="378"/>
      <c r="EFL79" s="378"/>
      <c r="EFM79" s="378"/>
      <c r="EFN79" s="378"/>
      <c r="EFO79" s="378"/>
      <c r="EFP79" s="378"/>
      <c r="EFQ79" s="378"/>
      <c r="EFR79" s="378"/>
      <c r="EFS79" s="378"/>
      <c r="EFT79" s="378"/>
      <c r="EFU79" s="378"/>
      <c r="EFV79" s="378"/>
      <c r="EFW79" s="378"/>
      <c r="EFX79" s="378"/>
      <c r="EFY79" s="378"/>
      <c r="EFZ79" s="378"/>
      <c r="EGA79" s="378"/>
      <c r="EGB79" s="378"/>
      <c r="EGC79" s="378"/>
      <c r="EGD79" s="378"/>
      <c r="EGE79" s="378"/>
      <c r="EGF79" s="378"/>
      <c r="EGG79" s="378"/>
      <c r="EGH79" s="378"/>
      <c r="EGI79" s="378"/>
      <c r="EGJ79" s="378"/>
      <c r="EGK79" s="378"/>
      <c r="EGL79" s="378"/>
      <c r="EGM79" s="378"/>
      <c r="EGN79" s="378"/>
      <c r="EGO79" s="378"/>
      <c r="EGP79" s="378"/>
      <c r="EGQ79" s="378"/>
      <c r="EGR79" s="378"/>
      <c r="EGS79" s="378"/>
      <c r="EGT79" s="378"/>
      <c r="EGU79" s="378"/>
      <c r="EGV79" s="378"/>
      <c r="EGW79" s="378"/>
      <c r="EGX79" s="378"/>
      <c r="EGY79" s="378"/>
      <c r="EGZ79" s="378"/>
      <c r="EHA79" s="378"/>
      <c r="EHB79" s="378"/>
      <c r="EHC79" s="378"/>
      <c r="EHD79" s="378"/>
      <c r="EHE79" s="378"/>
      <c r="EHF79" s="378"/>
      <c r="EHG79" s="378"/>
      <c r="EHH79" s="378"/>
      <c r="EHI79" s="378"/>
      <c r="EHJ79" s="378"/>
      <c r="EHK79" s="378"/>
      <c r="EHL79" s="378"/>
      <c r="EHM79" s="378"/>
      <c r="EHN79" s="378"/>
      <c r="EHO79" s="378"/>
      <c r="EHP79" s="378"/>
      <c r="EHQ79" s="378"/>
      <c r="EHR79" s="378"/>
      <c r="EHS79" s="378"/>
      <c r="EHT79" s="378"/>
      <c r="EHU79" s="378"/>
      <c r="EHV79" s="378"/>
      <c r="EHW79" s="378"/>
      <c r="EHX79" s="378"/>
      <c r="EHY79" s="378"/>
      <c r="EHZ79" s="378"/>
      <c r="EIA79" s="378"/>
      <c r="EIB79" s="378"/>
      <c r="EIC79" s="378"/>
      <c r="EID79" s="378"/>
      <c r="EIE79" s="378"/>
      <c r="EIF79" s="378"/>
      <c r="EIG79" s="378"/>
      <c r="EIH79" s="378"/>
      <c r="EII79" s="378"/>
      <c r="EIJ79" s="378"/>
      <c r="EIK79" s="378"/>
      <c r="EIL79" s="378"/>
      <c r="EIM79" s="378"/>
      <c r="EIN79" s="378"/>
      <c r="EIO79" s="378"/>
      <c r="EIP79" s="378"/>
      <c r="EIQ79" s="378"/>
      <c r="EIR79" s="378"/>
      <c r="EIS79" s="378"/>
      <c r="EIT79" s="378"/>
      <c r="EIU79" s="378"/>
      <c r="EIV79" s="378"/>
      <c r="EIW79" s="378"/>
      <c r="EIX79" s="378"/>
      <c r="EIY79" s="378"/>
      <c r="EIZ79" s="378"/>
      <c r="EJA79" s="378"/>
      <c r="EJB79" s="378"/>
      <c r="EJC79" s="378"/>
      <c r="EJD79" s="378"/>
      <c r="EJE79" s="378"/>
      <c r="EJF79" s="378"/>
      <c r="EJG79" s="378"/>
      <c r="EJH79" s="378"/>
      <c r="EJI79" s="378"/>
      <c r="EJJ79" s="378"/>
      <c r="EJK79" s="378"/>
      <c r="EJL79" s="378"/>
      <c r="EJM79" s="378"/>
      <c r="EJN79" s="378"/>
      <c r="EJO79" s="378"/>
      <c r="EJP79" s="378"/>
      <c r="EJQ79" s="378"/>
      <c r="EJR79" s="378"/>
      <c r="EJS79" s="378"/>
      <c r="EJT79" s="378"/>
      <c r="EJU79" s="378"/>
      <c r="EJV79" s="378"/>
      <c r="EJW79" s="378"/>
      <c r="EJX79" s="378"/>
      <c r="EJY79" s="378"/>
      <c r="EJZ79" s="378"/>
      <c r="EKA79" s="378"/>
      <c r="EKB79" s="378"/>
      <c r="EKC79" s="378"/>
      <c r="EKD79" s="378"/>
      <c r="EKE79" s="378"/>
      <c r="EKF79" s="378"/>
      <c r="EKG79" s="378"/>
      <c r="EKH79" s="378"/>
      <c r="EKI79" s="378"/>
      <c r="EKJ79" s="378"/>
      <c r="EKK79" s="378"/>
      <c r="EKL79" s="378"/>
      <c r="EKM79" s="378"/>
      <c r="EKN79" s="378"/>
      <c r="EKO79" s="378"/>
      <c r="EKP79" s="378"/>
      <c r="EKQ79" s="378"/>
      <c r="EKR79" s="378"/>
      <c r="EKS79" s="378"/>
      <c r="EKT79" s="378"/>
      <c r="EKU79" s="378"/>
      <c r="EKV79" s="378"/>
      <c r="EKW79" s="378"/>
      <c r="EKX79" s="378"/>
      <c r="EKY79" s="378"/>
      <c r="EKZ79" s="378"/>
      <c r="ELA79" s="378"/>
      <c r="ELB79" s="378"/>
      <c r="ELC79" s="378"/>
      <c r="ELD79" s="378"/>
      <c r="ELE79" s="378"/>
      <c r="ELF79" s="378"/>
      <c r="ELG79" s="378"/>
      <c r="ELH79" s="378"/>
      <c r="ELI79" s="378"/>
      <c r="ELJ79" s="378"/>
      <c r="ELK79" s="378"/>
      <c r="ELL79" s="378"/>
      <c r="ELM79" s="378"/>
      <c r="ELN79" s="378"/>
      <c r="ELO79" s="378"/>
      <c r="ELP79" s="378"/>
      <c r="ELQ79" s="378"/>
      <c r="ELR79" s="378"/>
      <c r="ELS79" s="378"/>
      <c r="ELT79" s="378"/>
      <c r="ELU79" s="378"/>
      <c r="ELV79" s="378"/>
      <c r="ELW79" s="378"/>
      <c r="ELX79" s="378"/>
      <c r="ELY79" s="378"/>
      <c r="ELZ79" s="378"/>
      <c r="EMA79" s="378"/>
      <c r="EMB79" s="378"/>
      <c r="EMC79" s="378"/>
      <c r="EMD79" s="378"/>
      <c r="EME79" s="378"/>
      <c r="EMF79" s="378"/>
      <c r="EMG79" s="378"/>
      <c r="EMH79" s="378"/>
      <c r="EMI79" s="378"/>
      <c r="EMJ79" s="378"/>
      <c r="EMK79" s="378"/>
      <c r="EML79" s="378"/>
      <c r="EMM79" s="378"/>
      <c r="EMN79" s="378"/>
      <c r="EMO79" s="378"/>
      <c r="EMP79" s="378"/>
      <c r="EMQ79" s="378"/>
      <c r="EMR79" s="378"/>
      <c r="EMS79" s="378"/>
      <c r="EMT79" s="378"/>
      <c r="EMU79" s="378"/>
      <c r="EMV79" s="378"/>
      <c r="EMW79" s="378"/>
      <c r="EMX79" s="378"/>
      <c r="EMY79" s="378"/>
      <c r="EMZ79" s="378"/>
      <c r="ENA79" s="378"/>
      <c r="ENB79" s="378"/>
      <c r="ENC79" s="378"/>
      <c r="END79" s="378"/>
      <c r="ENE79" s="378"/>
      <c r="ENF79" s="378"/>
      <c r="ENG79" s="378"/>
      <c r="ENH79" s="378"/>
      <c r="ENI79" s="378"/>
      <c r="ENJ79" s="378"/>
      <c r="ENK79" s="378"/>
      <c r="ENL79" s="378"/>
      <c r="ENM79" s="378"/>
      <c r="ENN79" s="378"/>
      <c r="ENO79" s="378"/>
      <c r="ENP79" s="378"/>
      <c r="ENQ79" s="378"/>
      <c r="ENR79" s="378"/>
      <c r="ENS79" s="378"/>
      <c r="ENT79" s="378"/>
      <c r="ENU79" s="378"/>
      <c r="ENV79" s="378"/>
      <c r="ENW79" s="378"/>
      <c r="ENX79" s="378"/>
      <c r="ENY79" s="378"/>
      <c r="ENZ79" s="378"/>
      <c r="EOA79" s="378"/>
      <c r="EOB79" s="378"/>
      <c r="EOC79" s="378"/>
      <c r="EOD79" s="378"/>
      <c r="EOE79" s="378"/>
      <c r="EOF79" s="378"/>
      <c r="EOG79" s="378"/>
      <c r="EOH79" s="378"/>
      <c r="EOI79" s="378"/>
      <c r="EOJ79" s="378"/>
      <c r="EOK79" s="378"/>
      <c r="EOL79" s="378"/>
      <c r="EOM79" s="378"/>
      <c r="EON79" s="378"/>
      <c r="EOO79" s="378"/>
      <c r="EOP79" s="378"/>
      <c r="EOQ79" s="378"/>
      <c r="EOR79" s="378"/>
      <c r="EOS79" s="378"/>
      <c r="EOT79" s="378"/>
      <c r="EOU79" s="378"/>
      <c r="EOV79" s="378"/>
      <c r="EOW79" s="378"/>
      <c r="EOX79" s="378"/>
      <c r="EOY79" s="378"/>
      <c r="EOZ79" s="378"/>
      <c r="EPA79" s="378"/>
      <c r="EPB79" s="378"/>
      <c r="EPC79" s="378"/>
      <c r="EPD79" s="378"/>
      <c r="EPE79" s="378"/>
      <c r="EPF79" s="378"/>
      <c r="EPG79" s="378"/>
      <c r="EPH79" s="378"/>
      <c r="EPI79" s="378"/>
      <c r="EPJ79" s="378"/>
      <c r="EPK79" s="378"/>
      <c r="EPL79" s="378"/>
      <c r="EPM79" s="378"/>
      <c r="EPN79" s="378"/>
      <c r="EPO79" s="378"/>
      <c r="EPP79" s="378"/>
      <c r="EPQ79" s="378"/>
      <c r="EPR79" s="378"/>
      <c r="EPS79" s="378"/>
      <c r="EPT79" s="378"/>
      <c r="EPU79" s="378"/>
      <c r="EPV79" s="378"/>
      <c r="EPW79" s="378"/>
      <c r="EPX79" s="378"/>
      <c r="EPY79" s="378"/>
      <c r="EPZ79" s="378"/>
      <c r="EQA79" s="378"/>
      <c r="EQB79" s="378"/>
      <c r="EQC79" s="378"/>
      <c r="EQD79" s="378"/>
      <c r="EQE79" s="378"/>
      <c r="EQF79" s="378"/>
      <c r="EQG79" s="378"/>
      <c r="EQH79" s="378"/>
      <c r="EQI79" s="378"/>
      <c r="EQJ79" s="378"/>
      <c r="EQK79" s="378"/>
      <c r="EQL79" s="378"/>
      <c r="EQM79" s="378"/>
      <c r="EQN79" s="378"/>
      <c r="EQO79" s="378"/>
      <c r="EQP79" s="378"/>
      <c r="EQQ79" s="378"/>
      <c r="EQR79" s="378"/>
      <c r="EQS79" s="378"/>
      <c r="EQT79" s="378"/>
      <c r="EQU79" s="378"/>
      <c r="EQV79" s="378"/>
      <c r="EQW79" s="378"/>
      <c r="EQX79" s="378"/>
      <c r="EQY79" s="378"/>
      <c r="EQZ79" s="378"/>
      <c r="ERA79" s="378"/>
      <c r="ERB79" s="378"/>
      <c r="ERC79" s="378"/>
      <c r="ERD79" s="378"/>
      <c r="ERE79" s="378"/>
      <c r="ERF79" s="378"/>
      <c r="ERG79" s="378"/>
      <c r="ERH79" s="378"/>
      <c r="ERI79" s="378"/>
      <c r="ERJ79" s="378"/>
      <c r="ERK79" s="378"/>
      <c r="ERL79" s="378"/>
      <c r="ERM79" s="378"/>
      <c r="ERN79" s="378"/>
      <c r="ERO79" s="378"/>
      <c r="ERP79" s="378"/>
      <c r="ERQ79" s="378"/>
      <c r="ERR79" s="378"/>
      <c r="ERS79" s="378"/>
      <c r="ERT79" s="378"/>
      <c r="ERU79" s="378"/>
      <c r="ERV79" s="378"/>
      <c r="ERW79" s="378"/>
      <c r="ERX79" s="378"/>
      <c r="ERY79" s="378"/>
      <c r="ERZ79" s="378"/>
      <c r="ESA79" s="378"/>
      <c r="ESB79" s="378"/>
      <c r="ESC79" s="378"/>
      <c r="ESD79" s="378"/>
      <c r="ESE79" s="378"/>
      <c r="ESF79" s="378"/>
      <c r="ESG79" s="378"/>
      <c r="ESH79" s="378"/>
      <c r="ESI79" s="378"/>
      <c r="ESJ79" s="378"/>
      <c r="ESK79" s="378"/>
      <c r="ESL79" s="378"/>
      <c r="ESM79" s="378"/>
      <c r="ESN79" s="378"/>
      <c r="ESO79" s="378"/>
      <c r="ESP79" s="378"/>
      <c r="ESQ79" s="378"/>
      <c r="ESR79" s="378"/>
      <c r="ESS79" s="378"/>
      <c r="EST79" s="378"/>
      <c r="ESU79" s="378"/>
      <c r="ESV79" s="378"/>
      <c r="ESW79" s="378"/>
      <c r="ESX79" s="378"/>
      <c r="ESY79" s="378"/>
      <c r="ESZ79" s="378"/>
      <c r="ETA79" s="378"/>
      <c r="ETB79" s="378"/>
      <c r="ETC79" s="378"/>
      <c r="ETD79" s="378"/>
      <c r="ETE79" s="378"/>
      <c r="ETF79" s="378"/>
      <c r="ETG79" s="378"/>
      <c r="ETH79" s="378"/>
      <c r="ETI79" s="378"/>
      <c r="ETJ79" s="378"/>
      <c r="ETK79" s="378"/>
      <c r="ETL79" s="378"/>
      <c r="ETM79" s="378"/>
      <c r="ETN79" s="378"/>
      <c r="ETO79" s="378"/>
      <c r="ETP79" s="378"/>
      <c r="ETQ79" s="378"/>
      <c r="ETR79" s="378"/>
      <c r="ETS79" s="378"/>
      <c r="ETT79" s="378"/>
      <c r="ETU79" s="378"/>
      <c r="ETV79" s="378"/>
      <c r="ETW79" s="378"/>
      <c r="ETX79" s="378"/>
      <c r="ETY79" s="378"/>
      <c r="ETZ79" s="378"/>
      <c r="EUA79" s="378"/>
      <c r="EUB79" s="378"/>
      <c r="EUC79" s="378"/>
      <c r="EUD79" s="378"/>
      <c r="EUE79" s="378"/>
      <c r="EUF79" s="378"/>
      <c r="EUG79" s="378"/>
      <c r="EUH79" s="378"/>
      <c r="EUI79" s="378"/>
      <c r="EUJ79" s="378"/>
      <c r="EUK79" s="378"/>
      <c r="EUL79" s="378"/>
      <c r="EUM79" s="378"/>
      <c r="EUN79" s="378"/>
      <c r="EUO79" s="378"/>
      <c r="EUP79" s="378"/>
      <c r="EUQ79" s="378"/>
      <c r="EUR79" s="378"/>
      <c r="EUS79" s="378"/>
      <c r="EUT79" s="378"/>
      <c r="EUU79" s="378"/>
      <c r="EUV79" s="378"/>
      <c r="EUW79" s="378"/>
      <c r="EUX79" s="378"/>
      <c r="EUY79" s="378"/>
      <c r="EUZ79" s="378"/>
      <c r="EVA79" s="378"/>
      <c r="EVB79" s="378"/>
      <c r="EVC79" s="378"/>
      <c r="EVD79" s="378"/>
      <c r="EVE79" s="378"/>
      <c r="EVF79" s="378"/>
      <c r="EVG79" s="378"/>
      <c r="EVH79" s="378"/>
      <c r="EVI79" s="378"/>
      <c r="EVJ79" s="378"/>
      <c r="EVK79" s="378"/>
      <c r="EVL79" s="378"/>
      <c r="EVM79" s="378"/>
      <c r="EVN79" s="378"/>
      <c r="EVO79" s="378"/>
      <c r="EVP79" s="378"/>
      <c r="EVQ79" s="378"/>
      <c r="EVR79" s="378"/>
      <c r="EVS79" s="378"/>
      <c r="EVT79" s="378"/>
      <c r="EVU79" s="378"/>
      <c r="EVV79" s="378"/>
      <c r="EVW79" s="378"/>
      <c r="EVX79" s="378"/>
      <c r="EVY79" s="378"/>
      <c r="EVZ79" s="378"/>
      <c r="EWA79" s="378"/>
      <c r="EWB79" s="378"/>
      <c r="EWC79" s="378"/>
      <c r="EWD79" s="378"/>
      <c r="EWE79" s="378"/>
      <c r="EWF79" s="378"/>
      <c r="EWG79" s="378"/>
      <c r="EWH79" s="378"/>
      <c r="EWI79" s="378"/>
      <c r="EWJ79" s="378"/>
      <c r="EWK79" s="378"/>
      <c r="EWL79" s="378"/>
      <c r="EWM79" s="378"/>
      <c r="EWN79" s="378"/>
      <c r="EWO79" s="378"/>
      <c r="EWP79" s="378"/>
      <c r="EWQ79" s="378"/>
      <c r="EWR79" s="378"/>
      <c r="EWS79" s="378"/>
      <c r="EWT79" s="378"/>
      <c r="EWU79" s="378"/>
      <c r="EWV79" s="378"/>
      <c r="EWW79" s="378"/>
      <c r="EWX79" s="378"/>
      <c r="EWY79" s="378"/>
      <c r="EWZ79" s="378"/>
      <c r="EXA79" s="378"/>
      <c r="EXB79" s="378"/>
      <c r="EXC79" s="378"/>
      <c r="EXD79" s="378"/>
      <c r="EXE79" s="378"/>
      <c r="EXF79" s="378"/>
      <c r="EXG79" s="378"/>
      <c r="EXH79" s="378"/>
      <c r="EXI79" s="378"/>
      <c r="EXJ79" s="378"/>
      <c r="EXK79" s="378"/>
      <c r="EXL79" s="378"/>
      <c r="EXM79" s="378"/>
      <c r="EXN79" s="378"/>
      <c r="EXO79" s="378"/>
      <c r="EXP79" s="378"/>
      <c r="EXQ79" s="378"/>
      <c r="EXR79" s="378"/>
      <c r="EXS79" s="378"/>
      <c r="EXT79" s="378"/>
      <c r="EXU79" s="378"/>
      <c r="EXV79" s="378"/>
      <c r="EXW79" s="378"/>
      <c r="EXX79" s="378"/>
      <c r="EXY79" s="378"/>
      <c r="EXZ79" s="378"/>
      <c r="EYA79" s="378"/>
      <c r="EYB79" s="378"/>
      <c r="EYC79" s="378"/>
      <c r="EYD79" s="378"/>
      <c r="EYE79" s="378"/>
      <c r="EYF79" s="378"/>
      <c r="EYG79" s="378"/>
      <c r="EYH79" s="378"/>
      <c r="EYI79" s="378"/>
      <c r="EYJ79" s="378"/>
      <c r="EYK79" s="378"/>
      <c r="EYL79" s="378"/>
      <c r="EYM79" s="378"/>
      <c r="EYN79" s="378"/>
      <c r="EYO79" s="378"/>
      <c r="EYP79" s="378"/>
      <c r="EYQ79" s="378"/>
      <c r="EYR79" s="378"/>
      <c r="EYS79" s="378"/>
      <c r="EYT79" s="378"/>
      <c r="EYU79" s="378"/>
      <c r="EYV79" s="378"/>
      <c r="EYW79" s="378"/>
      <c r="EYX79" s="378"/>
      <c r="EYY79" s="378"/>
      <c r="EYZ79" s="378"/>
      <c r="EZA79" s="378"/>
      <c r="EZB79" s="378"/>
      <c r="EZC79" s="378"/>
      <c r="EZD79" s="378"/>
      <c r="EZE79" s="378"/>
      <c r="EZF79" s="378"/>
      <c r="EZG79" s="378"/>
      <c r="EZH79" s="378"/>
      <c r="EZI79" s="378"/>
      <c r="EZJ79" s="378"/>
      <c r="EZK79" s="378"/>
      <c r="EZL79" s="378"/>
      <c r="EZM79" s="378"/>
      <c r="EZN79" s="378"/>
      <c r="EZO79" s="378"/>
      <c r="EZP79" s="378"/>
      <c r="EZQ79" s="378"/>
      <c r="EZR79" s="378"/>
      <c r="EZS79" s="378"/>
      <c r="EZT79" s="378"/>
      <c r="EZU79" s="378"/>
      <c r="EZV79" s="378"/>
      <c r="EZW79" s="378"/>
      <c r="EZX79" s="378"/>
      <c r="EZY79" s="378"/>
      <c r="EZZ79" s="378"/>
      <c r="FAA79" s="378"/>
      <c r="FAB79" s="378"/>
      <c r="FAC79" s="378"/>
      <c r="FAD79" s="378"/>
      <c r="FAE79" s="378"/>
      <c r="FAF79" s="378"/>
      <c r="FAG79" s="378"/>
      <c r="FAH79" s="378"/>
      <c r="FAI79" s="378"/>
      <c r="FAJ79" s="378"/>
      <c r="FAK79" s="378"/>
      <c r="FAL79" s="378"/>
      <c r="FAM79" s="378"/>
      <c r="FAN79" s="378"/>
      <c r="FAO79" s="378"/>
      <c r="FAP79" s="378"/>
      <c r="FAQ79" s="378"/>
      <c r="FAR79" s="378"/>
      <c r="FAS79" s="378"/>
      <c r="FAT79" s="378"/>
      <c r="FAU79" s="378"/>
      <c r="FAV79" s="378"/>
      <c r="FAW79" s="378"/>
      <c r="FAX79" s="378"/>
      <c r="FAY79" s="378"/>
      <c r="FAZ79" s="378"/>
      <c r="FBA79" s="378"/>
      <c r="FBB79" s="378"/>
      <c r="FBC79" s="378"/>
      <c r="FBD79" s="378"/>
      <c r="FBE79" s="378"/>
      <c r="FBF79" s="378"/>
      <c r="FBG79" s="378"/>
      <c r="FBH79" s="378"/>
      <c r="FBI79" s="378"/>
      <c r="FBJ79" s="378"/>
      <c r="FBK79" s="378"/>
      <c r="FBL79" s="378"/>
      <c r="FBM79" s="378"/>
      <c r="FBN79" s="378"/>
      <c r="FBO79" s="378"/>
      <c r="FBP79" s="378"/>
      <c r="FBQ79" s="378"/>
      <c r="FBR79" s="378"/>
      <c r="FBS79" s="378"/>
      <c r="FBT79" s="378"/>
      <c r="FBU79" s="378"/>
      <c r="FBV79" s="378"/>
      <c r="FBW79" s="378"/>
      <c r="FBX79" s="378"/>
      <c r="FBY79" s="378"/>
      <c r="FBZ79" s="378"/>
      <c r="FCA79" s="378"/>
      <c r="FCB79" s="378"/>
      <c r="FCC79" s="378"/>
      <c r="FCD79" s="378"/>
      <c r="FCE79" s="378"/>
      <c r="FCF79" s="378"/>
      <c r="FCG79" s="378"/>
      <c r="FCH79" s="378"/>
      <c r="FCI79" s="378"/>
      <c r="FCJ79" s="378"/>
      <c r="FCK79" s="378"/>
      <c r="FCL79" s="378"/>
      <c r="FCM79" s="378"/>
      <c r="FCN79" s="378"/>
      <c r="FCO79" s="378"/>
      <c r="FCP79" s="378"/>
      <c r="FCQ79" s="378"/>
      <c r="FCR79" s="378"/>
      <c r="FCS79" s="378"/>
      <c r="FCT79" s="378"/>
      <c r="FCU79" s="378"/>
      <c r="FCV79" s="378"/>
      <c r="FCW79" s="378"/>
      <c r="FCX79" s="378"/>
      <c r="FCY79" s="378"/>
      <c r="FCZ79" s="378"/>
      <c r="FDA79" s="378"/>
      <c r="FDB79" s="378"/>
      <c r="FDC79" s="378"/>
      <c r="FDD79" s="378"/>
      <c r="FDE79" s="378"/>
      <c r="FDF79" s="378"/>
      <c r="FDG79" s="378"/>
      <c r="FDH79" s="378"/>
      <c r="FDI79" s="378"/>
      <c r="FDJ79" s="378"/>
      <c r="FDK79" s="378"/>
      <c r="FDL79" s="378"/>
      <c r="FDM79" s="378"/>
      <c r="FDN79" s="378"/>
      <c r="FDO79" s="378"/>
      <c r="FDP79" s="378"/>
      <c r="FDQ79" s="378"/>
      <c r="FDR79" s="378"/>
      <c r="FDS79" s="378"/>
      <c r="FDT79" s="378"/>
      <c r="FDU79" s="378"/>
      <c r="FDV79" s="378"/>
      <c r="FDW79" s="378"/>
      <c r="FDX79" s="378"/>
      <c r="FDY79" s="378"/>
      <c r="FDZ79" s="378"/>
      <c r="FEA79" s="378"/>
      <c r="FEB79" s="378"/>
      <c r="FEC79" s="378"/>
      <c r="FED79" s="378"/>
      <c r="FEE79" s="378"/>
      <c r="FEF79" s="378"/>
      <c r="FEG79" s="378"/>
      <c r="FEH79" s="378"/>
      <c r="FEI79" s="378"/>
      <c r="FEJ79" s="378"/>
      <c r="FEK79" s="378"/>
      <c r="FEL79" s="378"/>
      <c r="FEM79" s="378"/>
      <c r="FEN79" s="378"/>
      <c r="FEO79" s="378"/>
      <c r="FEP79" s="378"/>
      <c r="FEQ79" s="378"/>
      <c r="FER79" s="378"/>
      <c r="FES79" s="378"/>
      <c r="FET79" s="378"/>
      <c r="FEU79" s="378"/>
      <c r="FEV79" s="378"/>
      <c r="FEW79" s="378"/>
      <c r="FEX79" s="378"/>
      <c r="FEY79" s="378"/>
      <c r="FEZ79" s="378"/>
      <c r="FFA79" s="378"/>
      <c r="FFB79" s="378"/>
      <c r="FFC79" s="378"/>
      <c r="FFD79" s="378"/>
      <c r="FFE79" s="378"/>
      <c r="FFF79" s="378"/>
      <c r="FFG79" s="378"/>
      <c r="FFH79" s="378"/>
      <c r="FFI79" s="378"/>
      <c r="FFJ79" s="378"/>
      <c r="FFK79" s="378"/>
      <c r="FFL79" s="378"/>
      <c r="FFM79" s="378"/>
      <c r="FFN79" s="378"/>
      <c r="FFO79" s="378"/>
      <c r="FFP79" s="378"/>
      <c r="FFQ79" s="378"/>
      <c r="FFR79" s="378"/>
      <c r="FFS79" s="378"/>
      <c r="FFT79" s="378"/>
      <c r="FFU79" s="378"/>
      <c r="FFV79" s="378"/>
      <c r="FFW79" s="378"/>
      <c r="FFX79" s="378"/>
      <c r="FFY79" s="378"/>
      <c r="FFZ79" s="378"/>
      <c r="FGA79" s="378"/>
      <c r="FGB79" s="378"/>
      <c r="FGC79" s="378"/>
      <c r="FGD79" s="378"/>
      <c r="FGE79" s="378"/>
      <c r="FGF79" s="378"/>
      <c r="FGG79" s="378"/>
      <c r="FGH79" s="378"/>
      <c r="FGI79" s="378"/>
      <c r="FGJ79" s="378"/>
      <c r="FGK79" s="378"/>
      <c r="FGL79" s="378"/>
      <c r="FGM79" s="378"/>
      <c r="FGN79" s="378"/>
      <c r="FGO79" s="378"/>
      <c r="FGP79" s="378"/>
      <c r="FGQ79" s="378"/>
      <c r="FGR79" s="378"/>
      <c r="FGS79" s="378"/>
      <c r="FGT79" s="378"/>
      <c r="FGU79" s="378"/>
      <c r="FGV79" s="378"/>
      <c r="FGW79" s="378"/>
      <c r="FGX79" s="378"/>
      <c r="FGY79" s="378"/>
      <c r="FGZ79" s="378"/>
      <c r="FHA79" s="378"/>
      <c r="FHB79" s="378"/>
      <c r="FHC79" s="378"/>
      <c r="FHD79" s="378"/>
      <c r="FHE79" s="378"/>
      <c r="FHF79" s="378"/>
      <c r="FHG79" s="378"/>
      <c r="FHH79" s="378"/>
      <c r="FHI79" s="378"/>
      <c r="FHJ79" s="378"/>
      <c r="FHK79" s="378"/>
      <c r="FHL79" s="378"/>
      <c r="FHM79" s="378"/>
      <c r="FHN79" s="378"/>
      <c r="FHO79" s="378"/>
      <c r="FHP79" s="378"/>
      <c r="FHQ79" s="378"/>
      <c r="FHR79" s="378"/>
      <c r="FHS79" s="378"/>
      <c r="FHT79" s="378"/>
      <c r="FHU79" s="378"/>
      <c r="FHV79" s="378"/>
      <c r="FHW79" s="378"/>
      <c r="FHX79" s="378"/>
      <c r="FHY79" s="378"/>
      <c r="FHZ79" s="378"/>
      <c r="FIA79" s="378"/>
      <c r="FIB79" s="378"/>
      <c r="FIC79" s="378"/>
      <c r="FID79" s="378"/>
      <c r="FIE79" s="378"/>
      <c r="FIF79" s="378"/>
      <c r="FIG79" s="378"/>
      <c r="FIH79" s="378"/>
      <c r="FII79" s="378"/>
      <c r="FIJ79" s="378"/>
      <c r="FIK79" s="378"/>
      <c r="FIL79" s="378"/>
      <c r="FIM79" s="378"/>
      <c r="FIN79" s="378"/>
      <c r="FIO79" s="378"/>
      <c r="FIP79" s="378"/>
      <c r="FIQ79" s="378"/>
      <c r="FIR79" s="378"/>
      <c r="FIS79" s="378"/>
      <c r="FIT79" s="378"/>
      <c r="FIU79" s="378"/>
      <c r="FIV79" s="378"/>
      <c r="FIW79" s="378"/>
      <c r="FIX79" s="378"/>
      <c r="FIY79" s="378"/>
      <c r="FIZ79" s="378"/>
      <c r="FJA79" s="378"/>
      <c r="FJB79" s="378"/>
      <c r="FJC79" s="378"/>
      <c r="FJD79" s="378"/>
      <c r="FJE79" s="378"/>
      <c r="FJF79" s="378"/>
      <c r="FJG79" s="378"/>
      <c r="FJH79" s="378"/>
      <c r="FJI79" s="378"/>
      <c r="FJJ79" s="378"/>
      <c r="FJK79" s="378"/>
      <c r="FJL79" s="378"/>
      <c r="FJM79" s="378"/>
      <c r="FJN79" s="378"/>
      <c r="FJO79" s="378"/>
      <c r="FJP79" s="378"/>
      <c r="FJQ79" s="378"/>
      <c r="FJR79" s="378"/>
      <c r="FJS79" s="378"/>
      <c r="FJT79" s="378"/>
      <c r="FJU79" s="378"/>
      <c r="FJV79" s="378"/>
      <c r="FJW79" s="378"/>
      <c r="FJX79" s="378"/>
      <c r="FJY79" s="378"/>
      <c r="FJZ79" s="378"/>
      <c r="FKA79" s="378"/>
      <c r="FKB79" s="378"/>
      <c r="FKC79" s="378"/>
      <c r="FKD79" s="378"/>
      <c r="FKE79" s="378"/>
      <c r="FKF79" s="378"/>
      <c r="FKG79" s="378"/>
      <c r="FKH79" s="378"/>
      <c r="FKI79" s="378"/>
      <c r="FKJ79" s="378"/>
      <c r="FKK79" s="378"/>
      <c r="FKL79" s="378"/>
      <c r="FKM79" s="378"/>
      <c r="FKN79" s="378"/>
      <c r="FKO79" s="378"/>
      <c r="FKP79" s="378"/>
      <c r="FKQ79" s="378"/>
      <c r="FKR79" s="378"/>
      <c r="FKS79" s="378"/>
      <c r="FKT79" s="378"/>
      <c r="FKU79" s="378"/>
      <c r="FKV79" s="378"/>
      <c r="FKW79" s="378"/>
      <c r="FKX79" s="378"/>
      <c r="FKY79" s="378"/>
      <c r="FKZ79" s="378"/>
      <c r="FLA79" s="378"/>
      <c r="FLB79" s="378"/>
      <c r="FLC79" s="378"/>
      <c r="FLD79" s="378"/>
      <c r="FLE79" s="378"/>
      <c r="FLF79" s="378"/>
      <c r="FLG79" s="378"/>
      <c r="FLH79" s="378"/>
      <c r="FLI79" s="378"/>
      <c r="FLJ79" s="378"/>
      <c r="FLK79" s="378"/>
      <c r="FLL79" s="378"/>
      <c r="FLM79" s="378"/>
      <c r="FLN79" s="378"/>
      <c r="FLO79" s="378"/>
      <c r="FLP79" s="378"/>
      <c r="FLQ79" s="378"/>
      <c r="FLR79" s="378"/>
      <c r="FLS79" s="378"/>
      <c r="FLT79" s="378"/>
      <c r="FLU79" s="378"/>
      <c r="FLV79" s="378"/>
      <c r="FLW79" s="378"/>
      <c r="FLX79" s="378"/>
      <c r="FLY79" s="378"/>
      <c r="FLZ79" s="378"/>
      <c r="FMA79" s="378"/>
      <c r="FMB79" s="378"/>
      <c r="FMC79" s="378"/>
      <c r="FMD79" s="378"/>
      <c r="FME79" s="378"/>
      <c r="FMF79" s="378"/>
      <c r="FMG79" s="378"/>
      <c r="FMH79" s="378"/>
      <c r="FMI79" s="378"/>
      <c r="FMJ79" s="378"/>
      <c r="FMK79" s="378"/>
      <c r="FML79" s="378"/>
      <c r="FMM79" s="378"/>
      <c r="FMN79" s="378"/>
      <c r="FMO79" s="378"/>
      <c r="FMP79" s="378"/>
      <c r="FMQ79" s="378"/>
      <c r="FMR79" s="378"/>
      <c r="FMS79" s="378"/>
      <c r="FMT79" s="378"/>
      <c r="FMU79" s="378"/>
      <c r="FMV79" s="378"/>
      <c r="FMW79" s="378"/>
      <c r="FMX79" s="378"/>
      <c r="FMY79" s="378"/>
      <c r="FMZ79" s="378"/>
      <c r="FNA79" s="378"/>
      <c r="FNB79" s="378"/>
      <c r="FNC79" s="378"/>
      <c r="FND79" s="378"/>
      <c r="FNE79" s="378"/>
      <c r="FNF79" s="378"/>
      <c r="FNG79" s="378"/>
      <c r="FNH79" s="378"/>
      <c r="FNI79" s="378"/>
      <c r="FNJ79" s="378"/>
      <c r="FNK79" s="378"/>
      <c r="FNL79" s="378"/>
      <c r="FNM79" s="378"/>
      <c r="FNN79" s="378"/>
      <c r="FNO79" s="378"/>
      <c r="FNP79" s="378"/>
      <c r="FNQ79" s="378"/>
      <c r="FNR79" s="378"/>
      <c r="FNS79" s="378"/>
      <c r="FNT79" s="378"/>
      <c r="FNU79" s="378"/>
      <c r="FNV79" s="378"/>
      <c r="FNW79" s="378"/>
      <c r="FNX79" s="378"/>
      <c r="FNY79" s="378"/>
      <c r="FNZ79" s="378"/>
      <c r="FOA79" s="378"/>
      <c r="FOB79" s="378"/>
      <c r="FOC79" s="378"/>
      <c r="FOD79" s="378"/>
      <c r="FOE79" s="378"/>
      <c r="FOF79" s="378"/>
      <c r="FOG79" s="378"/>
      <c r="FOH79" s="378"/>
      <c r="FOI79" s="378"/>
      <c r="FOJ79" s="378"/>
      <c r="FOK79" s="378"/>
      <c r="FOL79" s="378"/>
      <c r="FOM79" s="378"/>
      <c r="FON79" s="378"/>
      <c r="FOO79" s="378"/>
      <c r="FOP79" s="378"/>
      <c r="FOQ79" s="378"/>
      <c r="FOR79" s="378"/>
      <c r="FOS79" s="378"/>
      <c r="FOT79" s="378"/>
      <c r="FOU79" s="378"/>
      <c r="FOV79" s="378"/>
      <c r="FOW79" s="378"/>
      <c r="FOX79" s="378"/>
      <c r="FOY79" s="378"/>
      <c r="FOZ79" s="378"/>
      <c r="FPA79" s="378"/>
      <c r="FPB79" s="378"/>
      <c r="FPC79" s="378"/>
      <c r="FPD79" s="378"/>
      <c r="FPE79" s="378"/>
      <c r="FPF79" s="378"/>
      <c r="FPG79" s="378"/>
      <c r="FPH79" s="378"/>
      <c r="FPI79" s="378"/>
      <c r="FPJ79" s="378"/>
      <c r="FPK79" s="378"/>
      <c r="FPL79" s="378"/>
      <c r="FPM79" s="378"/>
      <c r="FPN79" s="378"/>
      <c r="FPO79" s="378"/>
      <c r="FPP79" s="378"/>
      <c r="FPQ79" s="378"/>
      <c r="FPR79" s="378"/>
      <c r="FPS79" s="378"/>
      <c r="FPT79" s="378"/>
      <c r="FPU79" s="378"/>
      <c r="FPV79" s="378"/>
      <c r="FPW79" s="378"/>
      <c r="FPX79" s="378"/>
      <c r="FPY79" s="378"/>
      <c r="FPZ79" s="378"/>
      <c r="FQA79" s="378"/>
      <c r="FQB79" s="378"/>
      <c r="FQC79" s="378"/>
      <c r="FQD79" s="378"/>
      <c r="FQE79" s="378"/>
      <c r="FQF79" s="378"/>
      <c r="FQG79" s="378"/>
      <c r="FQH79" s="378"/>
      <c r="FQI79" s="378"/>
      <c r="FQJ79" s="378"/>
      <c r="FQK79" s="378"/>
      <c r="FQL79" s="378"/>
      <c r="FQM79" s="378"/>
      <c r="FQN79" s="378"/>
      <c r="FQO79" s="378"/>
      <c r="FQP79" s="378"/>
      <c r="FQQ79" s="378"/>
      <c r="FQR79" s="378"/>
      <c r="FQS79" s="378"/>
      <c r="FQT79" s="378"/>
      <c r="FQU79" s="378"/>
      <c r="FQV79" s="378"/>
      <c r="FQW79" s="378"/>
      <c r="FQX79" s="378"/>
      <c r="FQY79" s="378"/>
      <c r="FQZ79" s="378"/>
      <c r="FRA79" s="378"/>
      <c r="FRB79" s="378"/>
      <c r="FRC79" s="378"/>
      <c r="FRD79" s="378"/>
      <c r="FRE79" s="378"/>
      <c r="FRF79" s="378"/>
      <c r="FRG79" s="378"/>
      <c r="FRH79" s="378"/>
      <c r="FRI79" s="378"/>
      <c r="FRJ79" s="378"/>
      <c r="FRK79" s="378"/>
      <c r="FRL79" s="378"/>
      <c r="FRM79" s="378"/>
      <c r="FRN79" s="378"/>
      <c r="FRO79" s="378"/>
      <c r="FRP79" s="378"/>
      <c r="FRQ79" s="378"/>
      <c r="FRR79" s="378"/>
      <c r="FRS79" s="378"/>
      <c r="FRT79" s="378"/>
      <c r="FRU79" s="378"/>
      <c r="FRV79" s="378"/>
      <c r="FRW79" s="378"/>
      <c r="FRX79" s="378"/>
      <c r="FRY79" s="378"/>
      <c r="FRZ79" s="378"/>
      <c r="FSA79" s="378"/>
      <c r="FSB79" s="378"/>
      <c r="FSC79" s="378"/>
      <c r="FSD79" s="378"/>
      <c r="FSE79" s="378"/>
      <c r="FSF79" s="378"/>
      <c r="FSG79" s="378"/>
      <c r="FSH79" s="378"/>
      <c r="FSI79" s="378"/>
      <c r="FSJ79" s="378"/>
      <c r="FSK79" s="378"/>
      <c r="FSL79" s="378"/>
      <c r="FSM79" s="378"/>
      <c r="FSN79" s="378"/>
      <c r="FSO79" s="378"/>
      <c r="FSP79" s="378"/>
      <c r="FSQ79" s="378"/>
      <c r="FSR79" s="378"/>
      <c r="FSS79" s="378"/>
      <c r="FST79" s="378"/>
      <c r="FSU79" s="378"/>
      <c r="FSV79" s="378"/>
      <c r="FSW79" s="378"/>
      <c r="FSX79" s="378"/>
      <c r="FSY79" s="378"/>
      <c r="FSZ79" s="378"/>
      <c r="FTA79" s="378"/>
      <c r="FTB79" s="378"/>
      <c r="FTC79" s="378"/>
      <c r="FTD79" s="378"/>
      <c r="FTE79" s="378"/>
      <c r="FTF79" s="378"/>
      <c r="FTG79" s="378"/>
      <c r="FTH79" s="378"/>
      <c r="FTI79" s="378"/>
      <c r="FTJ79" s="378"/>
      <c r="FTK79" s="378"/>
      <c r="FTL79" s="378"/>
      <c r="FTM79" s="378"/>
      <c r="FTN79" s="378"/>
      <c r="FTO79" s="378"/>
      <c r="FTP79" s="378"/>
      <c r="FTQ79" s="378"/>
      <c r="FTR79" s="378"/>
      <c r="FTS79" s="378"/>
      <c r="FTT79" s="378"/>
      <c r="FTU79" s="378"/>
      <c r="FTV79" s="378"/>
      <c r="FTW79" s="378"/>
      <c r="FTX79" s="378"/>
      <c r="FTY79" s="378"/>
      <c r="FTZ79" s="378"/>
      <c r="FUA79" s="378"/>
      <c r="FUB79" s="378"/>
      <c r="FUC79" s="378"/>
      <c r="FUD79" s="378"/>
      <c r="FUE79" s="378"/>
      <c r="FUF79" s="378"/>
      <c r="FUG79" s="378"/>
      <c r="FUH79" s="378"/>
      <c r="FUI79" s="378"/>
      <c r="FUJ79" s="378"/>
      <c r="FUK79" s="378"/>
      <c r="FUL79" s="378"/>
      <c r="FUM79" s="378"/>
      <c r="FUN79" s="378"/>
      <c r="FUO79" s="378"/>
      <c r="FUP79" s="378"/>
      <c r="FUQ79" s="378"/>
      <c r="FUR79" s="378"/>
      <c r="FUS79" s="378"/>
      <c r="FUT79" s="378"/>
      <c r="FUU79" s="378"/>
      <c r="FUV79" s="378"/>
      <c r="FUW79" s="378"/>
      <c r="FUX79" s="378"/>
      <c r="FUY79" s="378"/>
      <c r="FUZ79" s="378"/>
      <c r="FVA79" s="378"/>
      <c r="FVB79" s="378"/>
      <c r="FVC79" s="378"/>
      <c r="FVD79" s="378"/>
      <c r="FVE79" s="378"/>
      <c r="FVF79" s="378"/>
      <c r="FVG79" s="378"/>
      <c r="FVH79" s="378"/>
      <c r="FVI79" s="378"/>
      <c r="FVJ79" s="378"/>
      <c r="FVK79" s="378"/>
      <c r="FVL79" s="378"/>
      <c r="FVM79" s="378"/>
      <c r="FVN79" s="378"/>
      <c r="FVO79" s="378"/>
      <c r="FVP79" s="378"/>
      <c r="FVQ79" s="378"/>
      <c r="FVR79" s="378"/>
      <c r="FVS79" s="378"/>
      <c r="FVT79" s="378"/>
      <c r="FVU79" s="378"/>
      <c r="FVV79" s="378"/>
      <c r="FVW79" s="378"/>
      <c r="FVX79" s="378"/>
      <c r="FVY79" s="378"/>
      <c r="FVZ79" s="378"/>
      <c r="FWA79" s="378"/>
      <c r="FWB79" s="378"/>
      <c r="FWC79" s="378"/>
      <c r="FWD79" s="378"/>
      <c r="FWE79" s="378"/>
      <c r="FWF79" s="378"/>
      <c r="FWG79" s="378"/>
      <c r="FWH79" s="378"/>
      <c r="FWI79" s="378"/>
      <c r="FWJ79" s="378"/>
      <c r="FWK79" s="378"/>
      <c r="FWL79" s="378"/>
      <c r="FWM79" s="378"/>
      <c r="FWN79" s="378"/>
      <c r="FWO79" s="378"/>
      <c r="FWP79" s="378"/>
      <c r="FWQ79" s="378"/>
      <c r="FWR79" s="378"/>
      <c r="FWS79" s="378"/>
      <c r="FWT79" s="378"/>
      <c r="FWU79" s="378"/>
      <c r="FWV79" s="378"/>
      <c r="FWW79" s="378"/>
      <c r="FWX79" s="378"/>
      <c r="FWY79" s="378"/>
      <c r="FWZ79" s="378"/>
      <c r="FXA79" s="378"/>
      <c r="FXB79" s="378"/>
      <c r="FXC79" s="378"/>
      <c r="FXD79" s="378"/>
      <c r="FXE79" s="378"/>
      <c r="FXF79" s="378"/>
      <c r="FXG79" s="378"/>
      <c r="FXH79" s="378"/>
      <c r="FXI79" s="378"/>
      <c r="FXJ79" s="378"/>
      <c r="FXK79" s="378"/>
      <c r="FXL79" s="378"/>
      <c r="FXM79" s="378"/>
      <c r="FXN79" s="378"/>
      <c r="FXO79" s="378"/>
      <c r="FXP79" s="378"/>
      <c r="FXQ79" s="378"/>
      <c r="FXR79" s="378"/>
      <c r="FXS79" s="378"/>
      <c r="FXT79" s="378"/>
      <c r="FXU79" s="378"/>
      <c r="FXV79" s="378"/>
      <c r="FXW79" s="378"/>
      <c r="FXX79" s="378"/>
      <c r="FXY79" s="378"/>
      <c r="FXZ79" s="378"/>
      <c r="FYA79" s="378"/>
      <c r="FYB79" s="378"/>
      <c r="FYC79" s="378"/>
      <c r="FYD79" s="378"/>
      <c r="FYE79" s="378"/>
      <c r="FYF79" s="378"/>
      <c r="FYG79" s="378"/>
      <c r="FYH79" s="378"/>
      <c r="FYI79" s="378"/>
      <c r="FYJ79" s="378"/>
      <c r="FYK79" s="378"/>
      <c r="FYL79" s="378"/>
      <c r="FYM79" s="378"/>
      <c r="FYN79" s="378"/>
      <c r="FYO79" s="378"/>
      <c r="FYP79" s="378"/>
      <c r="FYQ79" s="378"/>
      <c r="FYR79" s="378"/>
      <c r="FYS79" s="378"/>
      <c r="FYT79" s="378"/>
      <c r="FYU79" s="378"/>
      <c r="FYV79" s="378"/>
      <c r="FYW79" s="378"/>
      <c r="FYX79" s="378"/>
      <c r="FYY79" s="378"/>
      <c r="FYZ79" s="378"/>
      <c r="FZA79" s="378"/>
      <c r="FZB79" s="378"/>
      <c r="FZC79" s="378"/>
      <c r="FZD79" s="378"/>
      <c r="FZE79" s="378"/>
      <c r="FZF79" s="378"/>
      <c r="FZG79" s="378"/>
      <c r="FZH79" s="378"/>
      <c r="FZI79" s="378"/>
      <c r="FZJ79" s="378"/>
      <c r="FZK79" s="378"/>
      <c r="FZL79" s="378"/>
      <c r="FZM79" s="378"/>
      <c r="FZN79" s="378"/>
      <c r="FZO79" s="378"/>
      <c r="FZP79" s="378"/>
      <c r="FZQ79" s="378"/>
      <c r="FZR79" s="378"/>
      <c r="FZS79" s="378"/>
      <c r="FZT79" s="378"/>
      <c r="FZU79" s="378"/>
      <c r="FZV79" s="378"/>
      <c r="FZW79" s="378"/>
      <c r="FZX79" s="378"/>
      <c r="FZY79" s="378"/>
      <c r="FZZ79" s="378"/>
      <c r="GAA79" s="378"/>
      <c r="GAB79" s="378"/>
      <c r="GAC79" s="378"/>
      <c r="GAD79" s="378"/>
      <c r="GAE79" s="378"/>
      <c r="GAF79" s="378"/>
      <c r="GAG79" s="378"/>
      <c r="GAH79" s="378"/>
      <c r="GAI79" s="378"/>
      <c r="GAJ79" s="378"/>
      <c r="GAK79" s="378"/>
      <c r="GAL79" s="378"/>
      <c r="GAM79" s="378"/>
      <c r="GAN79" s="378"/>
      <c r="GAO79" s="378"/>
      <c r="GAP79" s="378"/>
      <c r="GAQ79" s="378"/>
      <c r="GAR79" s="378"/>
      <c r="GAS79" s="378"/>
      <c r="GAT79" s="378"/>
      <c r="GAU79" s="378"/>
      <c r="GAV79" s="378"/>
      <c r="GAW79" s="378"/>
      <c r="GAX79" s="378"/>
      <c r="GAY79" s="378"/>
      <c r="GAZ79" s="378"/>
      <c r="GBA79" s="378"/>
      <c r="GBB79" s="378"/>
      <c r="GBC79" s="378"/>
      <c r="GBD79" s="378"/>
      <c r="GBE79" s="378"/>
      <c r="GBF79" s="378"/>
      <c r="GBG79" s="378"/>
      <c r="GBH79" s="378"/>
      <c r="GBI79" s="378"/>
      <c r="GBJ79" s="378"/>
      <c r="GBK79" s="378"/>
      <c r="GBL79" s="378"/>
      <c r="GBM79" s="378"/>
      <c r="GBN79" s="378"/>
      <c r="GBO79" s="378"/>
      <c r="GBP79" s="378"/>
      <c r="GBQ79" s="378"/>
      <c r="GBR79" s="378"/>
      <c r="GBS79" s="378"/>
      <c r="GBT79" s="378"/>
      <c r="GBU79" s="378"/>
      <c r="GBV79" s="378"/>
      <c r="GBW79" s="378"/>
      <c r="GBX79" s="378"/>
      <c r="GBY79" s="378"/>
      <c r="GBZ79" s="378"/>
      <c r="GCA79" s="378"/>
      <c r="GCB79" s="378"/>
      <c r="GCC79" s="378"/>
      <c r="GCD79" s="378"/>
      <c r="GCE79" s="378"/>
      <c r="GCF79" s="378"/>
      <c r="GCG79" s="378"/>
      <c r="GCH79" s="378"/>
      <c r="GCI79" s="378"/>
      <c r="GCJ79" s="378"/>
      <c r="GCK79" s="378"/>
      <c r="GCL79" s="378"/>
      <c r="GCM79" s="378"/>
      <c r="GCN79" s="378"/>
      <c r="GCO79" s="378"/>
      <c r="GCP79" s="378"/>
      <c r="GCQ79" s="378"/>
      <c r="GCR79" s="378"/>
      <c r="GCS79" s="378"/>
      <c r="GCT79" s="378"/>
      <c r="GCU79" s="378"/>
      <c r="GCV79" s="378"/>
      <c r="GCW79" s="378"/>
      <c r="GCX79" s="378"/>
      <c r="GCY79" s="378"/>
      <c r="GCZ79" s="378"/>
      <c r="GDA79" s="378"/>
      <c r="GDB79" s="378"/>
      <c r="GDC79" s="378"/>
      <c r="GDD79" s="378"/>
      <c r="GDE79" s="378"/>
      <c r="GDF79" s="378"/>
      <c r="GDG79" s="378"/>
      <c r="GDH79" s="378"/>
      <c r="GDI79" s="378"/>
      <c r="GDJ79" s="378"/>
      <c r="GDK79" s="378"/>
      <c r="GDL79" s="378"/>
      <c r="GDM79" s="378"/>
      <c r="GDN79" s="378"/>
      <c r="GDO79" s="378"/>
      <c r="GDP79" s="378"/>
      <c r="GDQ79" s="378"/>
      <c r="GDR79" s="378"/>
      <c r="GDS79" s="378"/>
      <c r="GDT79" s="378"/>
      <c r="GDU79" s="378"/>
      <c r="GDV79" s="378"/>
      <c r="GDW79" s="378"/>
      <c r="GDX79" s="378"/>
      <c r="GDY79" s="378"/>
      <c r="GDZ79" s="378"/>
      <c r="GEA79" s="378"/>
      <c r="GEB79" s="378"/>
      <c r="GEC79" s="378"/>
      <c r="GED79" s="378"/>
      <c r="GEE79" s="378"/>
      <c r="GEF79" s="378"/>
      <c r="GEG79" s="378"/>
      <c r="GEH79" s="378"/>
      <c r="GEI79" s="378"/>
      <c r="GEJ79" s="378"/>
      <c r="GEK79" s="378"/>
      <c r="GEL79" s="378"/>
      <c r="GEM79" s="378"/>
      <c r="GEN79" s="378"/>
      <c r="GEO79" s="378"/>
      <c r="GEP79" s="378"/>
      <c r="GEQ79" s="378"/>
      <c r="GER79" s="378"/>
      <c r="GES79" s="378"/>
      <c r="GET79" s="378"/>
      <c r="GEU79" s="378"/>
      <c r="GEV79" s="378"/>
      <c r="GEW79" s="378"/>
      <c r="GEX79" s="378"/>
      <c r="GEY79" s="378"/>
      <c r="GEZ79" s="378"/>
      <c r="GFA79" s="378"/>
      <c r="GFB79" s="378"/>
      <c r="GFC79" s="378"/>
      <c r="GFD79" s="378"/>
      <c r="GFE79" s="378"/>
      <c r="GFF79" s="378"/>
      <c r="GFG79" s="378"/>
      <c r="GFH79" s="378"/>
      <c r="GFI79" s="378"/>
      <c r="GFJ79" s="378"/>
      <c r="GFK79" s="378"/>
      <c r="GFL79" s="378"/>
      <c r="GFM79" s="378"/>
      <c r="GFN79" s="378"/>
      <c r="GFO79" s="378"/>
      <c r="GFP79" s="378"/>
      <c r="GFQ79" s="378"/>
      <c r="GFR79" s="378"/>
      <c r="GFS79" s="378"/>
      <c r="GFT79" s="378"/>
      <c r="GFU79" s="378"/>
      <c r="GFV79" s="378"/>
      <c r="GFW79" s="378"/>
      <c r="GFX79" s="378"/>
      <c r="GFY79" s="378"/>
      <c r="GFZ79" s="378"/>
      <c r="GGA79" s="378"/>
      <c r="GGB79" s="378"/>
      <c r="GGC79" s="378"/>
      <c r="GGD79" s="378"/>
      <c r="GGE79" s="378"/>
      <c r="GGF79" s="378"/>
      <c r="GGG79" s="378"/>
      <c r="GGH79" s="378"/>
      <c r="GGI79" s="378"/>
      <c r="GGJ79" s="378"/>
      <c r="GGK79" s="378"/>
      <c r="GGL79" s="378"/>
      <c r="GGM79" s="378"/>
      <c r="GGN79" s="378"/>
      <c r="GGO79" s="378"/>
      <c r="GGP79" s="378"/>
      <c r="GGQ79" s="378"/>
      <c r="GGR79" s="378"/>
      <c r="GGS79" s="378"/>
      <c r="GGT79" s="378"/>
      <c r="GGU79" s="378"/>
      <c r="GGV79" s="378"/>
      <c r="GGW79" s="378"/>
      <c r="GGX79" s="378"/>
      <c r="GGY79" s="378"/>
      <c r="GGZ79" s="378"/>
      <c r="GHA79" s="378"/>
      <c r="GHB79" s="378"/>
      <c r="GHC79" s="378"/>
      <c r="GHD79" s="378"/>
      <c r="GHE79" s="378"/>
      <c r="GHF79" s="378"/>
      <c r="GHG79" s="378"/>
      <c r="GHH79" s="378"/>
      <c r="GHI79" s="378"/>
      <c r="GHJ79" s="378"/>
      <c r="GHK79" s="378"/>
      <c r="GHL79" s="378"/>
      <c r="GHM79" s="378"/>
      <c r="GHN79" s="378"/>
      <c r="GHO79" s="378"/>
      <c r="GHP79" s="378"/>
      <c r="GHQ79" s="378"/>
      <c r="GHR79" s="378"/>
      <c r="GHS79" s="378"/>
      <c r="GHT79" s="378"/>
      <c r="GHU79" s="378"/>
      <c r="GHV79" s="378"/>
      <c r="GHW79" s="378"/>
      <c r="GHX79" s="378"/>
      <c r="GHY79" s="378"/>
      <c r="GHZ79" s="378"/>
      <c r="GIA79" s="378"/>
      <c r="GIB79" s="378"/>
      <c r="GIC79" s="378"/>
      <c r="GID79" s="378"/>
      <c r="GIE79" s="378"/>
      <c r="GIF79" s="378"/>
      <c r="GIG79" s="378"/>
      <c r="GIH79" s="378"/>
      <c r="GII79" s="378"/>
      <c r="GIJ79" s="378"/>
      <c r="GIK79" s="378"/>
      <c r="GIL79" s="378"/>
      <c r="GIM79" s="378"/>
      <c r="GIN79" s="378"/>
      <c r="GIO79" s="378"/>
      <c r="GIP79" s="378"/>
      <c r="GIQ79" s="378"/>
      <c r="GIR79" s="378"/>
      <c r="GIS79" s="378"/>
      <c r="GIT79" s="378"/>
      <c r="GIU79" s="378"/>
      <c r="GIV79" s="378"/>
      <c r="GIW79" s="378"/>
      <c r="GIX79" s="378"/>
      <c r="GIY79" s="378"/>
      <c r="GIZ79" s="378"/>
      <c r="GJA79" s="378"/>
      <c r="GJB79" s="378"/>
      <c r="GJC79" s="378"/>
      <c r="GJD79" s="378"/>
      <c r="GJE79" s="378"/>
      <c r="GJF79" s="378"/>
      <c r="GJG79" s="378"/>
      <c r="GJH79" s="378"/>
      <c r="GJI79" s="378"/>
      <c r="GJJ79" s="378"/>
      <c r="GJK79" s="378"/>
      <c r="GJL79" s="378"/>
      <c r="GJM79" s="378"/>
      <c r="GJN79" s="378"/>
      <c r="GJO79" s="378"/>
      <c r="GJP79" s="378"/>
      <c r="GJQ79" s="378"/>
      <c r="GJR79" s="378"/>
      <c r="GJS79" s="378"/>
      <c r="GJT79" s="378"/>
      <c r="GJU79" s="378"/>
      <c r="GJV79" s="378"/>
      <c r="GJW79" s="378"/>
      <c r="GJX79" s="378"/>
      <c r="GJY79" s="378"/>
      <c r="GJZ79" s="378"/>
      <c r="GKA79" s="378"/>
      <c r="GKB79" s="378"/>
      <c r="GKC79" s="378"/>
      <c r="GKD79" s="378"/>
      <c r="GKE79" s="378"/>
      <c r="GKF79" s="378"/>
      <c r="GKG79" s="378"/>
      <c r="GKH79" s="378"/>
      <c r="GKI79" s="378"/>
      <c r="GKJ79" s="378"/>
      <c r="GKK79" s="378"/>
      <c r="GKL79" s="378"/>
      <c r="GKM79" s="378"/>
      <c r="GKN79" s="378"/>
      <c r="GKO79" s="378"/>
      <c r="GKP79" s="378"/>
      <c r="GKQ79" s="378"/>
      <c r="GKR79" s="378"/>
      <c r="GKS79" s="378"/>
      <c r="GKT79" s="378"/>
      <c r="GKU79" s="378"/>
      <c r="GKV79" s="378"/>
      <c r="GKW79" s="378"/>
      <c r="GKX79" s="378"/>
      <c r="GKY79" s="378"/>
      <c r="GKZ79" s="378"/>
      <c r="GLA79" s="378"/>
      <c r="GLB79" s="378"/>
      <c r="GLC79" s="378"/>
      <c r="GLD79" s="378"/>
      <c r="GLE79" s="378"/>
      <c r="GLF79" s="378"/>
      <c r="GLG79" s="378"/>
      <c r="GLH79" s="378"/>
      <c r="GLI79" s="378"/>
      <c r="GLJ79" s="378"/>
      <c r="GLK79" s="378"/>
      <c r="GLL79" s="378"/>
      <c r="GLM79" s="378"/>
      <c r="GLN79" s="378"/>
      <c r="GLO79" s="378"/>
      <c r="GLP79" s="378"/>
      <c r="GLQ79" s="378"/>
      <c r="GLR79" s="378"/>
      <c r="GLS79" s="378"/>
      <c r="GLT79" s="378"/>
      <c r="GLU79" s="378"/>
      <c r="GLV79" s="378"/>
      <c r="GLW79" s="378"/>
      <c r="GLX79" s="378"/>
      <c r="GLY79" s="378"/>
      <c r="GLZ79" s="378"/>
      <c r="GMA79" s="378"/>
      <c r="GMB79" s="378"/>
      <c r="GMC79" s="378"/>
      <c r="GMD79" s="378"/>
      <c r="GME79" s="378"/>
      <c r="GMF79" s="378"/>
      <c r="GMG79" s="378"/>
      <c r="GMH79" s="378"/>
      <c r="GMI79" s="378"/>
      <c r="GMJ79" s="378"/>
      <c r="GMK79" s="378"/>
      <c r="GML79" s="378"/>
      <c r="GMM79" s="378"/>
      <c r="GMN79" s="378"/>
      <c r="GMO79" s="378"/>
      <c r="GMP79" s="378"/>
      <c r="GMQ79" s="378"/>
      <c r="GMR79" s="378"/>
      <c r="GMS79" s="378"/>
      <c r="GMT79" s="378"/>
      <c r="GMU79" s="378"/>
      <c r="GMV79" s="378"/>
      <c r="GMW79" s="378"/>
      <c r="GMX79" s="378"/>
      <c r="GMY79" s="378"/>
      <c r="GMZ79" s="378"/>
      <c r="GNA79" s="378"/>
      <c r="GNB79" s="378"/>
      <c r="GNC79" s="378"/>
      <c r="GND79" s="378"/>
      <c r="GNE79" s="378"/>
      <c r="GNF79" s="378"/>
      <c r="GNG79" s="378"/>
      <c r="GNH79" s="378"/>
      <c r="GNI79" s="378"/>
      <c r="GNJ79" s="378"/>
      <c r="GNK79" s="378"/>
      <c r="GNL79" s="378"/>
      <c r="GNM79" s="378"/>
      <c r="GNN79" s="378"/>
      <c r="GNO79" s="378"/>
      <c r="GNP79" s="378"/>
      <c r="GNQ79" s="378"/>
      <c r="GNR79" s="378"/>
      <c r="GNS79" s="378"/>
      <c r="GNT79" s="378"/>
      <c r="GNU79" s="378"/>
      <c r="GNV79" s="378"/>
      <c r="GNW79" s="378"/>
      <c r="GNX79" s="378"/>
      <c r="GNY79" s="378"/>
      <c r="GNZ79" s="378"/>
      <c r="GOA79" s="378"/>
      <c r="GOB79" s="378"/>
      <c r="GOC79" s="378"/>
      <c r="GOD79" s="378"/>
      <c r="GOE79" s="378"/>
      <c r="GOF79" s="378"/>
      <c r="GOG79" s="378"/>
      <c r="GOH79" s="378"/>
      <c r="GOI79" s="378"/>
      <c r="GOJ79" s="378"/>
      <c r="GOK79" s="378"/>
      <c r="GOL79" s="378"/>
      <c r="GOM79" s="378"/>
      <c r="GON79" s="378"/>
      <c r="GOO79" s="378"/>
      <c r="GOP79" s="378"/>
      <c r="GOQ79" s="378"/>
      <c r="GOR79" s="378"/>
      <c r="GOS79" s="378"/>
      <c r="GOT79" s="378"/>
      <c r="GOU79" s="378"/>
      <c r="GOV79" s="378"/>
      <c r="GOW79" s="378"/>
      <c r="GOX79" s="378"/>
      <c r="GOY79" s="378"/>
      <c r="GOZ79" s="378"/>
      <c r="GPA79" s="378"/>
      <c r="GPB79" s="378"/>
      <c r="GPC79" s="378"/>
      <c r="GPD79" s="378"/>
      <c r="GPE79" s="378"/>
      <c r="GPF79" s="378"/>
      <c r="GPG79" s="378"/>
      <c r="GPH79" s="378"/>
      <c r="GPI79" s="378"/>
      <c r="GPJ79" s="378"/>
      <c r="GPK79" s="378"/>
      <c r="GPL79" s="378"/>
      <c r="GPM79" s="378"/>
      <c r="GPN79" s="378"/>
      <c r="GPO79" s="378"/>
      <c r="GPP79" s="378"/>
      <c r="GPQ79" s="378"/>
      <c r="GPR79" s="378"/>
      <c r="GPS79" s="378"/>
      <c r="GPT79" s="378"/>
      <c r="GPU79" s="378"/>
      <c r="GPV79" s="378"/>
      <c r="GPW79" s="378"/>
      <c r="GPX79" s="378"/>
      <c r="GPY79" s="378"/>
      <c r="GPZ79" s="378"/>
      <c r="GQA79" s="378"/>
      <c r="GQB79" s="378"/>
      <c r="GQC79" s="378"/>
      <c r="GQD79" s="378"/>
      <c r="GQE79" s="378"/>
      <c r="GQF79" s="378"/>
      <c r="GQG79" s="378"/>
      <c r="GQH79" s="378"/>
      <c r="GQI79" s="378"/>
      <c r="GQJ79" s="378"/>
      <c r="GQK79" s="378"/>
      <c r="GQL79" s="378"/>
      <c r="GQM79" s="378"/>
      <c r="GQN79" s="378"/>
      <c r="GQO79" s="378"/>
      <c r="GQP79" s="378"/>
      <c r="GQQ79" s="378"/>
      <c r="GQR79" s="378"/>
      <c r="GQS79" s="378"/>
      <c r="GQT79" s="378"/>
      <c r="GQU79" s="378"/>
      <c r="GQV79" s="378"/>
      <c r="GQW79" s="378"/>
      <c r="GQX79" s="378"/>
      <c r="GQY79" s="378"/>
      <c r="GQZ79" s="378"/>
      <c r="GRA79" s="378"/>
      <c r="GRB79" s="378"/>
      <c r="GRC79" s="378"/>
      <c r="GRD79" s="378"/>
      <c r="GRE79" s="378"/>
      <c r="GRF79" s="378"/>
      <c r="GRG79" s="378"/>
      <c r="GRH79" s="378"/>
      <c r="GRI79" s="378"/>
      <c r="GRJ79" s="378"/>
      <c r="GRK79" s="378"/>
      <c r="GRL79" s="378"/>
      <c r="GRM79" s="378"/>
      <c r="GRN79" s="378"/>
      <c r="GRO79" s="378"/>
      <c r="GRP79" s="378"/>
      <c r="GRQ79" s="378"/>
      <c r="GRR79" s="378"/>
      <c r="GRS79" s="378"/>
      <c r="GRT79" s="378"/>
      <c r="GRU79" s="378"/>
      <c r="GRV79" s="378"/>
      <c r="GRW79" s="378"/>
      <c r="GRX79" s="378"/>
      <c r="GRY79" s="378"/>
      <c r="GRZ79" s="378"/>
      <c r="GSA79" s="378"/>
      <c r="GSB79" s="378"/>
      <c r="GSC79" s="378"/>
      <c r="GSD79" s="378"/>
      <c r="GSE79" s="378"/>
      <c r="GSF79" s="378"/>
      <c r="GSG79" s="378"/>
      <c r="GSH79" s="378"/>
      <c r="GSI79" s="378"/>
      <c r="GSJ79" s="378"/>
      <c r="GSK79" s="378"/>
      <c r="GSL79" s="378"/>
      <c r="GSM79" s="378"/>
      <c r="GSN79" s="378"/>
      <c r="GSO79" s="378"/>
      <c r="GSP79" s="378"/>
      <c r="GSQ79" s="378"/>
      <c r="GSR79" s="378"/>
      <c r="GSS79" s="378"/>
      <c r="GST79" s="378"/>
      <c r="GSU79" s="378"/>
      <c r="GSV79" s="378"/>
      <c r="GSW79" s="378"/>
      <c r="GSX79" s="378"/>
      <c r="GSY79" s="378"/>
      <c r="GSZ79" s="378"/>
      <c r="GTA79" s="378"/>
      <c r="GTB79" s="378"/>
      <c r="GTC79" s="378"/>
      <c r="GTD79" s="378"/>
      <c r="GTE79" s="378"/>
      <c r="GTF79" s="378"/>
      <c r="GTG79" s="378"/>
      <c r="GTH79" s="378"/>
      <c r="GTI79" s="378"/>
      <c r="GTJ79" s="378"/>
      <c r="GTK79" s="378"/>
      <c r="GTL79" s="378"/>
      <c r="GTM79" s="378"/>
      <c r="GTN79" s="378"/>
      <c r="GTO79" s="378"/>
      <c r="GTP79" s="378"/>
      <c r="GTQ79" s="378"/>
      <c r="GTR79" s="378"/>
      <c r="GTS79" s="378"/>
      <c r="GTT79" s="378"/>
      <c r="GTU79" s="378"/>
      <c r="GTV79" s="378"/>
      <c r="GTW79" s="378"/>
      <c r="GTX79" s="378"/>
      <c r="GTY79" s="378"/>
      <c r="GTZ79" s="378"/>
      <c r="GUA79" s="378"/>
      <c r="GUB79" s="378"/>
      <c r="GUC79" s="378"/>
      <c r="GUD79" s="378"/>
      <c r="GUE79" s="378"/>
      <c r="GUF79" s="378"/>
      <c r="GUG79" s="378"/>
      <c r="GUH79" s="378"/>
      <c r="GUI79" s="378"/>
      <c r="GUJ79" s="378"/>
      <c r="GUK79" s="378"/>
      <c r="GUL79" s="378"/>
      <c r="GUM79" s="378"/>
      <c r="GUN79" s="378"/>
      <c r="GUO79" s="378"/>
      <c r="GUP79" s="378"/>
      <c r="GUQ79" s="378"/>
      <c r="GUR79" s="378"/>
      <c r="GUS79" s="378"/>
      <c r="GUT79" s="378"/>
      <c r="GUU79" s="378"/>
      <c r="GUV79" s="378"/>
      <c r="GUW79" s="378"/>
      <c r="GUX79" s="378"/>
      <c r="GUY79" s="378"/>
      <c r="GUZ79" s="378"/>
      <c r="GVA79" s="378"/>
      <c r="GVB79" s="378"/>
      <c r="GVC79" s="378"/>
      <c r="GVD79" s="378"/>
      <c r="GVE79" s="378"/>
      <c r="GVF79" s="378"/>
      <c r="GVG79" s="378"/>
      <c r="GVH79" s="378"/>
      <c r="GVI79" s="378"/>
      <c r="GVJ79" s="378"/>
      <c r="GVK79" s="378"/>
      <c r="GVL79" s="378"/>
      <c r="GVM79" s="378"/>
      <c r="GVN79" s="378"/>
      <c r="GVO79" s="378"/>
      <c r="GVP79" s="378"/>
      <c r="GVQ79" s="378"/>
      <c r="GVR79" s="378"/>
      <c r="GVS79" s="378"/>
      <c r="GVT79" s="378"/>
      <c r="GVU79" s="378"/>
      <c r="GVV79" s="378"/>
      <c r="GVW79" s="378"/>
      <c r="GVX79" s="378"/>
      <c r="GVY79" s="378"/>
      <c r="GVZ79" s="378"/>
      <c r="GWA79" s="378"/>
      <c r="GWB79" s="378"/>
      <c r="GWC79" s="378"/>
      <c r="GWD79" s="378"/>
      <c r="GWE79" s="378"/>
      <c r="GWF79" s="378"/>
      <c r="GWG79" s="378"/>
      <c r="GWH79" s="378"/>
      <c r="GWI79" s="378"/>
      <c r="GWJ79" s="378"/>
      <c r="GWK79" s="378"/>
      <c r="GWL79" s="378"/>
      <c r="GWM79" s="378"/>
      <c r="GWN79" s="378"/>
      <c r="GWO79" s="378"/>
      <c r="GWP79" s="378"/>
      <c r="GWQ79" s="378"/>
      <c r="GWR79" s="378"/>
      <c r="GWS79" s="378"/>
      <c r="GWT79" s="378"/>
      <c r="GWU79" s="378"/>
      <c r="GWV79" s="378"/>
      <c r="GWW79" s="378"/>
      <c r="GWX79" s="378"/>
      <c r="GWY79" s="378"/>
      <c r="GWZ79" s="378"/>
      <c r="GXA79" s="378"/>
      <c r="GXB79" s="378"/>
      <c r="GXC79" s="378"/>
      <c r="GXD79" s="378"/>
      <c r="GXE79" s="378"/>
      <c r="GXF79" s="378"/>
      <c r="GXG79" s="378"/>
      <c r="GXH79" s="378"/>
      <c r="GXI79" s="378"/>
      <c r="GXJ79" s="378"/>
      <c r="GXK79" s="378"/>
      <c r="GXL79" s="378"/>
      <c r="GXM79" s="378"/>
      <c r="GXN79" s="378"/>
      <c r="GXO79" s="378"/>
      <c r="GXP79" s="378"/>
      <c r="GXQ79" s="378"/>
      <c r="GXR79" s="378"/>
      <c r="GXS79" s="378"/>
      <c r="GXT79" s="378"/>
      <c r="GXU79" s="378"/>
      <c r="GXV79" s="378"/>
      <c r="GXW79" s="378"/>
      <c r="GXX79" s="378"/>
      <c r="GXY79" s="378"/>
      <c r="GXZ79" s="378"/>
      <c r="GYA79" s="378"/>
      <c r="GYB79" s="378"/>
      <c r="GYC79" s="378"/>
      <c r="GYD79" s="378"/>
      <c r="GYE79" s="378"/>
      <c r="GYF79" s="378"/>
      <c r="GYG79" s="378"/>
      <c r="GYH79" s="378"/>
      <c r="GYI79" s="378"/>
      <c r="GYJ79" s="378"/>
      <c r="GYK79" s="378"/>
      <c r="GYL79" s="378"/>
      <c r="GYM79" s="378"/>
      <c r="GYN79" s="378"/>
      <c r="GYO79" s="378"/>
      <c r="GYP79" s="378"/>
      <c r="GYQ79" s="378"/>
      <c r="GYR79" s="378"/>
      <c r="GYS79" s="378"/>
      <c r="GYT79" s="378"/>
      <c r="GYU79" s="378"/>
      <c r="GYV79" s="378"/>
      <c r="GYW79" s="378"/>
      <c r="GYX79" s="378"/>
      <c r="GYY79" s="378"/>
      <c r="GYZ79" s="378"/>
      <c r="GZA79" s="378"/>
      <c r="GZB79" s="378"/>
      <c r="GZC79" s="378"/>
      <c r="GZD79" s="378"/>
      <c r="GZE79" s="378"/>
      <c r="GZF79" s="378"/>
      <c r="GZG79" s="378"/>
      <c r="GZH79" s="378"/>
      <c r="GZI79" s="378"/>
      <c r="GZJ79" s="378"/>
      <c r="GZK79" s="378"/>
      <c r="GZL79" s="378"/>
      <c r="GZM79" s="378"/>
      <c r="GZN79" s="378"/>
      <c r="GZO79" s="378"/>
      <c r="GZP79" s="378"/>
      <c r="GZQ79" s="378"/>
      <c r="GZR79" s="378"/>
      <c r="GZS79" s="378"/>
      <c r="GZT79" s="378"/>
      <c r="GZU79" s="378"/>
      <c r="GZV79" s="378"/>
      <c r="GZW79" s="378"/>
      <c r="GZX79" s="378"/>
      <c r="GZY79" s="378"/>
      <c r="GZZ79" s="378"/>
      <c r="HAA79" s="378"/>
      <c r="HAB79" s="378"/>
      <c r="HAC79" s="378"/>
      <c r="HAD79" s="378"/>
      <c r="HAE79" s="378"/>
      <c r="HAF79" s="378"/>
      <c r="HAG79" s="378"/>
      <c r="HAH79" s="378"/>
      <c r="HAI79" s="378"/>
      <c r="HAJ79" s="378"/>
      <c r="HAK79" s="378"/>
      <c r="HAL79" s="378"/>
      <c r="HAM79" s="378"/>
      <c r="HAN79" s="378"/>
      <c r="HAO79" s="378"/>
      <c r="HAP79" s="378"/>
      <c r="HAQ79" s="378"/>
      <c r="HAR79" s="378"/>
      <c r="HAS79" s="378"/>
      <c r="HAT79" s="378"/>
      <c r="HAU79" s="378"/>
      <c r="HAV79" s="378"/>
      <c r="HAW79" s="378"/>
      <c r="HAX79" s="378"/>
      <c r="HAY79" s="378"/>
      <c r="HAZ79" s="378"/>
      <c r="HBA79" s="378"/>
      <c r="HBB79" s="378"/>
      <c r="HBC79" s="378"/>
      <c r="HBD79" s="378"/>
      <c r="HBE79" s="378"/>
      <c r="HBF79" s="378"/>
      <c r="HBG79" s="378"/>
      <c r="HBH79" s="378"/>
      <c r="HBI79" s="378"/>
      <c r="HBJ79" s="378"/>
      <c r="HBK79" s="378"/>
      <c r="HBL79" s="378"/>
      <c r="HBM79" s="378"/>
      <c r="HBN79" s="378"/>
      <c r="HBO79" s="378"/>
      <c r="HBP79" s="378"/>
      <c r="HBQ79" s="378"/>
      <c r="HBR79" s="378"/>
      <c r="HBS79" s="378"/>
      <c r="HBT79" s="378"/>
      <c r="HBU79" s="378"/>
      <c r="HBV79" s="378"/>
      <c r="HBW79" s="378"/>
      <c r="HBX79" s="378"/>
      <c r="HBY79" s="378"/>
      <c r="HBZ79" s="378"/>
      <c r="HCA79" s="378"/>
      <c r="HCB79" s="378"/>
      <c r="HCC79" s="378"/>
      <c r="HCD79" s="378"/>
      <c r="HCE79" s="378"/>
      <c r="HCF79" s="378"/>
      <c r="HCG79" s="378"/>
      <c r="HCH79" s="378"/>
      <c r="HCI79" s="378"/>
      <c r="HCJ79" s="378"/>
      <c r="HCK79" s="378"/>
      <c r="HCL79" s="378"/>
      <c r="HCM79" s="378"/>
      <c r="HCN79" s="378"/>
      <c r="HCO79" s="378"/>
      <c r="HCP79" s="378"/>
      <c r="HCQ79" s="378"/>
      <c r="HCR79" s="378"/>
      <c r="HCS79" s="378"/>
      <c r="HCT79" s="378"/>
      <c r="HCU79" s="378"/>
      <c r="HCV79" s="378"/>
      <c r="HCW79" s="378"/>
      <c r="HCX79" s="378"/>
      <c r="HCY79" s="378"/>
      <c r="HCZ79" s="378"/>
      <c r="HDA79" s="378"/>
      <c r="HDB79" s="378"/>
      <c r="HDC79" s="378"/>
      <c r="HDD79" s="378"/>
      <c r="HDE79" s="378"/>
      <c r="HDF79" s="378"/>
      <c r="HDG79" s="378"/>
      <c r="HDH79" s="378"/>
      <c r="HDI79" s="378"/>
      <c r="HDJ79" s="378"/>
      <c r="HDK79" s="378"/>
      <c r="HDL79" s="378"/>
      <c r="HDM79" s="378"/>
      <c r="HDN79" s="378"/>
      <c r="HDO79" s="378"/>
      <c r="HDP79" s="378"/>
      <c r="HDQ79" s="378"/>
      <c r="HDR79" s="378"/>
      <c r="HDS79" s="378"/>
      <c r="HDT79" s="378"/>
      <c r="HDU79" s="378"/>
      <c r="HDV79" s="378"/>
      <c r="HDW79" s="378"/>
      <c r="HDX79" s="378"/>
      <c r="HDY79" s="378"/>
      <c r="HDZ79" s="378"/>
      <c r="HEA79" s="378"/>
      <c r="HEB79" s="378"/>
      <c r="HEC79" s="378"/>
      <c r="HED79" s="378"/>
      <c r="HEE79" s="378"/>
      <c r="HEF79" s="378"/>
      <c r="HEG79" s="378"/>
      <c r="HEH79" s="378"/>
      <c r="HEI79" s="378"/>
      <c r="HEJ79" s="378"/>
      <c r="HEK79" s="378"/>
      <c r="HEL79" s="378"/>
      <c r="HEM79" s="378"/>
      <c r="HEN79" s="378"/>
      <c r="HEO79" s="378"/>
      <c r="HEP79" s="378"/>
      <c r="HEQ79" s="378"/>
      <c r="HER79" s="378"/>
      <c r="HES79" s="378"/>
      <c r="HET79" s="378"/>
      <c r="HEU79" s="378"/>
      <c r="HEV79" s="378"/>
      <c r="HEW79" s="378"/>
      <c r="HEX79" s="378"/>
      <c r="HEY79" s="378"/>
      <c r="HEZ79" s="378"/>
      <c r="HFA79" s="378"/>
      <c r="HFB79" s="378"/>
      <c r="HFC79" s="378"/>
      <c r="HFD79" s="378"/>
      <c r="HFE79" s="378"/>
      <c r="HFF79" s="378"/>
      <c r="HFG79" s="378"/>
      <c r="HFH79" s="378"/>
      <c r="HFI79" s="378"/>
      <c r="HFJ79" s="378"/>
      <c r="HFK79" s="378"/>
      <c r="HFL79" s="378"/>
      <c r="HFM79" s="378"/>
      <c r="HFN79" s="378"/>
      <c r="HFO79" s="378"/>
      <c r="HFP79" s="378"/>
      <c r="HFQ79" s="378"/>
      <c r="HFR79" s="378"/>
      <c r="HFS79" s="378"/>
      <c r="HFT79" s="378"/>
      <c r="HFU79" s="378"/>
      <c r="HFV79" s="378"/>
      <c r="HFW79" s="378"/>
      <c r="HFX79" s="378"/>
      <c r="HFY79" s="378"/>
      <c r="HFZ79" s="378"/>
      <c r="HGA79" s="378"/>
      <c r="HGB79" s="378"/>
      <c r="HGC79" s="378"/>
      <c r="HGD79" s="378"/>
      <c r="HGE79" s="378"/>
      <c r="HGF79" s="378"/>
      <c r="HGG79" s="378"/>
      <c r="HGH79" s="378"/>
      <c r="HGI79" s="378"/>
      <c r="HGJ79" s="378"/>
      <c r="HGK79" s="378"/>
      <c r="HGL79" s="378"/>
      <c r="HGM79" s="378"/>
      <c r="HGN79" s="378"/>
      <c r="HGO79" s="378"/>
      <c r="HGP79" s="378"/>
      <c r="HGQ79" s="378"/>
      <c r="HGR79" s="378"/>
      <c r="HGS79" s="378"/>
      <c r="HGT79" s="378"/>
      <c r="HGU79" s="378"/>
      <c r="HGV79" s="378"/>
      <c r="HGW79" s="378"/>
      <c r="HGX79" s="378"/>
      <c r="HGY79" s="378"/>
      <c r="HGZ79" s="378"/>
      <c r="HHA79" s="378"/>
      <c r="HHB79" s="378"/>
      <c r="HHC79" s="378"/>
      <c r="HHD79" s="378"/>
      <c r="HHE79" s="378"/>
      <c r="HHF79" s="378"/>
      <c r="HHG79" s="378"/>
      <c r="HHH79" s="378"/>
      <c r="HHI79" s="378"/>
      <c r="HHJ79" s="378"/>
      <c r="HHK79" s="378"/>
      <c r="HHL79" s="378"/>
      <c r="HHM79" s="378"/>
      <c r="HHN79" s="378"/>
      <c r="HHO79" s="378"/>
      <c r="HHP79" s="378"/>
      <c r="HHQ79" s="378"/>
      <c r="HHR79" s="378"/>
      <c r="HHS79" s="378"/>
      <c r="HHT79" s="378"/>
      <c r="HHU79" s="378"/>
      <c r="HHV79" s="378"/>
      <c r="HHW79" s="378"/>
      <c r="HHX79" s="378"/>
      <c r="HHY79" s="378"/>
      <c r="HHZ79" s="378"/>
      <c r="HIA79" s="378"/>
      <c r="HIB79" s="378"/>
      <c r="HIC79" s="378"/>
      <c r="HID79" s="378"/>
      <c r="HIE79" s="378"/>
      <c r="HIF79" s="378"/>
      <c r="HIG79" s="378"/>
      <c r="HIH79" s="378"/>
      <c r="HII79" s="378"/>
      <c r="HIJ79" s="378"/>
      <c r="HIK79" s="378"/>
      <c r="HIL79" s="378"/>
      <c r="HIM79" s="378"/>
      <c r="HIN79" s="378"/>
      <c r="HIO79" s="378"/>
      <c r="HIP79" s="378"/>
      <c r="HIQ79" s="378"/>
      <c r="HIR79" s="378"/>
      <c r="HIS79" s="378"/>
      <c r="HIT79" s="378"/>
      <c r="HIU79" s="378"/>
      <c r="HIV79" s="378"/>
      <c r="HIW79" s="378"/>
      <c r="HIX79" s="378"/>
      <c r="HIY79" s="378"/>
      <c r="HIZ79" s="378"/>
      <c r="HJA79" s="378"/>
      <c r="HJB79" s="378"/>
      <c r="HJC79" s="378"/>
      <c r="HJD79" s="378"/>
      <c r="HJE79" s="378"/>
      <c r="HJF79" s="378"/>
      <c r="HJG79" s="378"/>
      <c r="HJH79" s="378"/>
      <c r="HJI79" s="378"/>
      <c r="HJJ79" s="378"/>
      <c r="HJK79" s="378"/>
      <c r="HJL79" s="378"/>
      <c r="HJM79" s="378"/>
      <c r="HJN79" s="378"/>
      <c r="HJO79" s="378"/>
      <c r="HJP79" s="378"/>
      <c r="HJQ79" s="378"/>
      <c r="HJR79" s="378"/>
      <c r="HJS79" s="378"/>
      <c r="HJT79" s="378"/>
      <c r="HJU79" s="378"/>
      <c r="HJV79" s="378"/>
      <c r="HJW79" s="378"/>
      <c r="HJX79" s="378"/>
      <c r="HJY79" s="378"/>
      <c r="HJZ79" s="378"/>
      <c r="HKA79" s="378"/>
      <c r="HKB79" s="378"/>
      <c r="HKC79" s="378"/>
      <c r="HKD79" s="378"/>
      <c r="HKE79" s="378"/>
      <c r="HKF79" s="378"/>
      <c r="HKG79" s="378"/>
      <c r="HKH79" s="378"/>
      <c r="HKI79" s="378"/>
      <c r="HKJ79" s="378"/>
      <c r="HKK79" s="378"/>
      <c r="HKL79" s="378"/>
      <c r="HKM79" s="378"/>
      <c r="HKN79" s="378"/>
      <c r="HKO79" s="378"/>
      <c r="HKP79" s="378"/>
      <c r="HKQ79" s="378"/>
      <c r="HKR79" s="378"/>
      <c r="HKS79" s="378"/>
      <c r="HKT79" s="378"/>
      <c r="HKU79" s="378"/>
      <c r="HKV79" s="378"/>
      <c r="HKW79" s="378"/>
      <c r="HKX79" s="378"/>
      <c r="HKY79" s="378"/>
      <c r="HKZ79" s="378"/>
      <c r="HLA79" s="378"/>
      <c r="HLB79" s="378"/>
      <c r="HLC79" s="378"/>
      <c r="HLD79" s="378"/>
      <c r="HLE79" s="378"/>
      <c r="HLF79" s="378"/>
      <c r="HLG79" s="378"/>
      <c r="HLH79" s="378"/>
      <c r="HLI79" s="378"/>
      <c r="HLJ79" s="378"/>
      <c r="HLK79" s="378"/>
      <c r="HLL79" s="378"/>
      <c r="HLM79" s="378"/>
      <c r="HLN79" s="378"/>
      <c r="HLO79" s="378"/>
      <c r="HLP79" s="378"/>
      <c r="HLQ79" s="378"/>
      <c r="HLR79" s="378"/>
      <c r="HLS79" s="378"/>
      <c r="HLT79" s="378"/>
      <c r="HLU79" s="378"/>
      <c r="HLV79" s="378"/>
      <c r="HLW79" s="378"/>
      <c r="HLX79" s="378"/>
      <c r="HLY79" s="378"/>
      <c r="HLZ79" s="378"/>
      <c r="HMA79" s="378"/>
      <c r="HMB79" s="378"/>
      <c r="HMC79" s="378"/>
      <c r="HMD79" s="378"/>
      <c r="HME79" s="378"/>
      <c r="HMF79" s="378"/>
      <c r="HMG79" s="378"/>
      <c r="HMH79" s="378"/>
      <c r="HMI79" s="378"/>
      <c r="HMJ79" s="378"/>
      <c r="HMK79" s="378"/>
      <c r="HML79" s="378"/>
      <c r="HMM79" s="378"/>
      <c r="HMN79" s="378"/>
      <c r="HMO79" s="378"/>
      <c r="HMP79" s="378"/>
      <c r="HMQ79" s="378"/>
      <c r="HMR79" s="378"/>
      <c r="HMS79" s="378"/>
      <c r="HMT79" s="378"/>
      <c r="HMU79" s="378"/>
      <c r="HMV79" s="378"/>
      <c r="HMW79" s="378"/>
      <c r="HMX79" s="378"/>
      <c r="HMY79" s="378"/>
      <c r="HMZ79" s="378"/>
      <c r="HNA79" s="378"/>
      <c r="HNB79" s="378"/>
      <c r="HNC79" s="378"/>
      <c r="HND79" s="378"/>
      <c r="HNE79" s="378"/>
      <c r="HNF79" s="378"/>
      <c r="HNG79" s="378"/>
      <c r="HNH79" s="378"/>
      <c r="HNI79" s="378"/>
      <c r="HNJ79" s="378"/>
      <c r="HNK79" s="378"/>
      <c r="HNL79" s="378"/>
      <c r="HNM79" s="378"/>
      <c r="HNN79" s="378"/>
      <c r="HNO79" s="378"/>
      <c r="HNP79" s="378"/>
      <c r="HNQ79" s="378"/>
      <c r="HNR79" s="378"/>
      <c r="HNS79" s="378"/>
      <c r="HNT79" s="378"/>
      <c r="HNU79" s="378"/>
      <c r="HNV79" s="378"/>
      <c r="HNW79" s="378"/>
      <c r="HNX79" s="378"/>
      <c r="HNY79" s="378"/>
      <c r="HNZ79" s="378"/>
      <c r="HOA79" s="378"/>
      <c r="HOB79" s="378"/>
      <c r="HOC79" s="378"/>
      <c r="HOD79" s="378"/>
      <c r="HOE79" s="378"/>
      <c r="HOF79" s="378"/>
      <c r="HOG79" s="378"/>
      <c r="HOH79" s="378"/>
      <c r="HOI79" s="378"/>
      <c r="HOJ79" s="378"/>
      <c r="HOK79" s="378"/>
      <c r="HOL79" s="378"/>
      <c r="HOM79" s="378"/>
      <c r="HON79" s="378"/>
      <c r="HOO79" s="378"/>
      <c r="HOP79" s="378"/>
      <c r="HOQ79" s="378"/>
      <c r="HOR79" s="378"/>
      <c r="HOS79" s="378"/>
      <c r="HOT79" s="378"/>
      <c r="HOU79" s="378"/>
      <c r="HOV79" s="378"/>
      <c r="HOW79" s="378"/>
      <c r="HOX79" s="378"/>
      <c r="HOY79" s="378"/>
      <c r="HOZ79" s="378"/>
      <c r="HPA79" s="378"/>
      <c r="HPB79" s="378"/>
      <c r="HPC79" s="378"/>
      <c r="HPD79" s="378"/>
      <c r="HPE79" s="378"/>
      <c r="HPF79" s="378"/>
      <c r="HPG79" s="378"/>
      <c r="HPH79" s="378"/>
      <c r="HPI79" s="378"/>
      <c r="HPJ79" s="378"/>
      <c r="HPK79" s="378"/>
      <c r="HPL79" s="378"/>
      <c r="HPM79" s="378"/>
      <c r="HPN79" s="378"/>
      <c r="HPO79" s="378"/>
      <c r="HPP79" s="378"/>
      <c r="HPQ79" s="378"/>
      <c r="HPR79" s="378"/>
      <c r="HPS79" s="378"/>
      <c r="HPT79" s="378"/>
      <c r="HPU79" s="378"/>
      <c r="HPV79" s="378"/>
      <c r="HPW79" s="378"/>
      <c r="HPX79" s="378"/>
      <c r="HPY79" s="378"/>
      <c r="HPZ79" s="378"/>
      <c r="HQA79" s="378"/>
      <c r="HQB79" s="378"/>
      <c r="HQC79" s="378"/>
      <c r="HQD79" s="378"/>
      <c r="HQE79" s="378"/>
      <c r="HQF79" s="378"/>
      <c r="HQG79" s="378"/>
      <c r="HQH79" s="378"/>
      <c r="HQI79" s="378"/>
      <c r="HQJ79" s="378"/>
      <c r="HQK79" s="378"/>
      <c r="HQL79" s="378"/>
      <c r="HQM79" s="378"/>
      <c r="HQN79" s="378"/>
      <c r="HQO79" s="378"/>
      <c r="HQP79" s="378"/>
      <c r="HQQ79" s="378"/>
      <c r="HQR79" s="378"/>
      <c r="HQS79" s="378"/>
      <c r="HQT79" s="378"/>
      <c r="HQU79" s="378"/>
      <c r="HQV79" s="378"/>
      <c r="HQW79" s="378"/>
      <c r="HQX79" s="378"/>
      <c r="HQY79" s="378"/>
      <c r="HQZ79" s="378"/>
      <c r="HRA79" s="378"/>
      <c r="HRB79" s="378"/>
      <c r="HRC79" s="378"/>
      <c r="HRD79" s="378"/>
      <c r="HRE79" s="378"/>
      <c r="HRF79" s="378"/>
      <c r="HRG79" s="378"/>
      <c r="HRH79" s="378"/>
      <c r="HRI79" s="378"/>
      <c r="HRJ79" s="378"/>
      <c r="HRK79" s="378"/>
      <c r="HRL79" s="378"/>
      <c r="HRM79" s="378"/>
      <c r="HRN79" s="378"/>
      <c r="HRO79" s="378"/>
      <c r="HRP79" s="378"/>
      <c r="HRQ79" s="378"/>
      <c r="HRR79" s="378"/>
      <c r="HRS79" s="378"/>
      <c r="HRT79" s="378"/>
      <c r="HRU79" s="378"/>
      <c r="HRV79" s="378"/>
      <c r="HRW79" s="378"/>
      <c r="HRX79" s="378"/>
      <c r="HRY79" s="378"/>
      <c r="HRZ79" s="378"/>
      <c r="HSA79" s="378"/>
      <c r="HSB79" s="378"/>
      <c r="HSC79" s="378"/>
      <c r="HSD79" s="378"/>
      <c r="HSE79" s="378"/>
      <c r="HSF79" s="378"/>
      <c r="HSG79" s="378"/>
      <c r="HSH79" s="378"/>
      <c r="HSI79" s="378"/>
      <c r="HSJ79" s="378"/>
      <c r="HSK79" s="378"/>
      <c r="HSL79" s="378"/>
      <c r="HSM79" s="378"/>
      <c r="HSN79" s="378"/>
      <c r="HSO79" s="378"/>
      <c r="HSP79" s="378"/>
      <c r="HSQ79" s="378"/>
      <c r="HSR79" s="378"/>
      <c r="HSS79" s="378"/>
      <c r="HST79" s="378"/>
      <c r="HSU79" s="378"/>
      <c r="HSV79" s="378"/>
      <c r="HSW79" s="378"/>
      <c r="HSX79" s="378"/>
      <c r="HSY79" s="378"/>
      <c r="HSZ79" s="378"/>
      <c r="HTA79" s="378"/>
      <c r="HTB79" s="378"/>
      <c r="HTC79" s="378"/>
      <c r="HTD79" s="378"/>
      <c r="HTE79" s="378"/>
      <c r="HTF79" s="378"/>
      <c r="HTG79" s="378"/>
      <c r="HTH79" s="378"/>
      <c r="HTI79" s="378"/>
      <c r="HTJ79" s="378"/>
      <c r="HTK79" s="378"/>
      <c r="HTL79" s="378"/>
      <c r="HTM79" s="378"/>
      <c r="HTN79" s="378"/>
      <c r="HTO79" s="378"/>
      <c r="HTP79" s="378"/>
      <c r="HTQ79" s="378"/>
      <c r="HTR79" s="378"/>
      <c r="HTS79" s="378"/>
      <c r="HTT79" s="378"/>
      <c r="HTU79" s="378"/>
      <c r="HTV79" s="378"/>
      <c r="HTW79" s="378"/>
      <c r="HTX79" s="378"/>
      <c r="HTY79" s="378"/>
      <c r="HTZ79" s="378"/>
      <c r="HUA79" s="378"/>
      <c r="HUB79" s="378"/>
      <c r="HUC79" s="378"/>
      <c r="HUD79" s="378"/>
      <c r="HUE79" s="378"/>
      <c r="HUF79" s="378"/>
      <c r="HUG79" s="378"/>
      <c r="HUH79" s="378"/>
      <c r="HUI79" s="378"/>
      <c r="HUJ79" s="378"/>
      <c r="HUK79" s="378"/>
      <c r="HUL79" s="378"/>
      <c r="HUM79" s="378"/>
      <c r="HUN79" s="378"/>
      <c r="HUO79" s="378"/>
      <c r="HUP79" s="378"/>
      <c r="HUQ79" s="378"/>
      <c r="HUR79" s="378"/>
      <c r="HUS79" s="378"/>
      <c r="HUT79" s="378"/>
      <c r="HUU79" s="378"/>
      <c r="HUV79" s="378"/>
      <c r="HUW79" s="378"/>
      <c r="HUX79" s="378"/>
      <c r="HUY79" s="378"/>
      <c r="HUZ79" s="378"/>
      <c r="HVA79" s="378"/>
      <c r="HVB79" s="378"/>
      <c r="HVC79" s="378"/>
      <c r="HVD79" s="378"/>
      <c r="HVE79" s="378"/>
      <c r="HVF79" s="378"/>
      <c r="HVG79" s="378"/>
      <c r="HVH79" s="378"/>
      <c r="HVI79" s="378"/>
      <c r="HVJ79" s="378"/>
      <c r="HVK79" s="378"/>
      <c r="HVL79" s="378"/>
      <c r="HVM79" s="378"/>
      <c r="HVN79" s="378"/>
      <c r="HVO79" s="378"/>
      <c r="HVP79" s="378"/>
      <c r="HVQ79" s="378"/>
      <c r="HVR79" s="378"/>
      <c r="HVS79" s="378"/>
      <c r="HVT79" s="378"/>
      <c r="HVU79" s="378"/>
      <c r="HVV79" s="378"/>
      <c r="HVW79" s="378"/>
      <c r="HVX79" s="378"/>
      <c r="HVY79" s="378"/>
      <c r="HVZ79" s="378"/>
      <c r="HWA79" s="378"/>
      <c r="HWB79" s="378"/>
      <c r="HWC79" s="378"/>
      <c r="HWD79" s="378"/>
      <c r="HWE79" s="378"/>
      <c r="HWF79" s="378"/>
      <c r="HWG79" s="378"/>
      <c r="HWH79" s="378"/>
      <c r="HWI79" s="378"/>
      <c r="HWJ79" s="378"/>
      <c r="HWK79" s="378"/>
      <c r="HWL79" s="378"/>
      <c r="HWM79" s="378"/>
      <c r="HWN79" s="378"/>
      <c r="HWO79" s="378"/>
      <c r="HWP79" s="378"/>
      <c r="HWQ79" s="378"/>
      <c r="HWR79" s="378"/>
      <c r="HWS79" s="378"/>
      <c r="HWT79" s="378"/>
      <c r="HWU79" s="378"/>
      <c r="HWV79" s="378"/>
      <c r="HWW79" s="378"/>
      <c r="HWX79" s="378"/>
      <c r="HWY79" s="378"/>
      <c r="HWZ79" s="378"/>
      <c r="HXA79" s="378"/>
      <c r="HXB79" s="378"/>
      <c r="HXC79" s="378"/>
      <c r="HXD79" s="378"/>
      <c r="HXE79" s="378"/>
      <c r="HXF79" s="378"/>
      <c r="HXG79" s="378"/>
      <c r="HXH79" s="378"/>
      <c r="HXI79" s="378"/>
      <c r="HXJ79" s="378"/>
      <c r="HXK79" s="378"/>
      <c r="HXL79" s="378"/>
      <c r="HXM79" s="378"/>
      <c r="HXN79" s="378"/>
      <c r="HXO79" s="378"/>
      <c r="HXP79" s="378"/>
      <c r="HXQ79" s="378"/>
      <c r="HXR79" s="378"/>
      <c r="HXS79" s="378"/>
      <c r="HXT79" s="378"/>
      <c r="HXU79" s="378"/>
      <c r="HXV79" s="378"/>
      <c r="HXW79" s="378"/>
      <c r="HXX79" s="378"/>
      <c r="HXY79" s="378"/>
      <c r="HXZ79" s="378"/>
      <c r="HYA79" s="378"/>
      <c r="HYB79" s="378"/>
      <c r="HYC79" s="378"/>
      <c r="HYD79" s="378"/>
      <c r="HYE79" s="378"/>
      <c r="HYF79" s="378"/>
      <c r="HYG79" s="378"/>
      <c r="HYH79" s="378"/>
      <c r="HYI79" s="378"/>
      <c r="HYJ79" s="378"/>
      <c r="HYK79" s="378"/>
      <c r="HYL79" s="378"/>
      <c r="HYM79" s="378"/>
      <c r="HYN79" s="378"/>
      <c r="HYO79" s="378"/>
      <c r="HYP79" s="378"/>
      <c r="HYQ79" s="378"/>
      <c r="HYR79" s="378"/>
      <c r="HYS79" s="378"/>
      <c r="HYT79" s="378"/>
      <c r="HYU79" s="378"/>
      <c r="HYV79" s="378"/>
      <c r="HYW79" s="378"/>
      <c r="HYX79" s="378"/>
      <c r="HYY79" s="378"/>
      <c r="HYZ79" s="378"/>
      <c r="HZA79" s="378"/>
      <c r="HZB79" s="378"/>
      <c r="HZC79" s="378"/>
      <c r="HZD79" s="378"/>
      <c r="HZE79" s="378"/>
      <c r="HZF79" s="378"/>
      <c r="HZG79" s="378"/>
      <c r="HZH79" s="378"/>
      <c r="HZI79" s="378"/>
      <c r="HZJ79" s="378"/>
      <c r="HZK79" s="378"/>
      <c r="HZL79" s="378"/>
      <c r="HZM79" s="378"/>
      <c r="HZN79" s="378"/>
      <c r="HZO79" s="378"/>
      <c r="HZP79" s="378"/>
      <c r="HZQ79" s="378"/>
      <c r="HZR79" s="378"/>
      <c r="HZS79" s="378"/>
      <c r="HZT79" s="378"/>
      <c r="HZU79" s="378"/>
      <c r="HZV79" s="378"/>
      <c r="HZW79" s="378"/>
      <c r="HZX79" s="378"/>
      <c r="HZY79" s="378"/>
      <c r="HZZ79" s="378"/>
      <c r="IAA79" s="378"/>
      <c r="IAB79" s="378"/>
      <c r="IAC79" s="378"/>
      <c r="IAD79" s="378"/>
      <c r="IAE79" s="378"/>
      <c r="IAF79" s="378"/>
      <c r="IAG79" s="378"/>
      <c r="IAH79" s="378"/>
      <c r="IAI79" s="378"/>
      <c r="IAJ79" s="378"/>
      <c r="IAK79" s="378"/>
      <c r="IAL79" s="378"/>
      <c r="IAM79" s="378"/>
      <c r="IAN79" s="378"/>
      <c r="IAO79" s="378"/>
      <c r="IAP79" s="378"/>
      <c r="IAQ79" s="378"/>
      <c r="IAR79" s="378"/>
      <c r="IAS79" s="378"/>
      <c r="IAT79" s="378"/>
      <c r="IAU79" s="378"/>
      <c r="IAV79" s="378"/>
      <c r="IAW79" s="378"/>
      <c r="IAX79" s="378"/>
      <c r="IAY79" s="378"/>
      <c r="IAZ79" s="378"/>
      <c r="IBA79" s="378"/>
      <c r="IBB79" s="378"/>
      <c r="IBC79" s="378"/>
      <c r="IBD79" s="378"/>
      <c r="IBE79" s="378"/>
      <c r="IBF79" s="378"/>
      <c r="IBG79" s="378"/>
      <c r="IBH79" s="378"/>
      <c r="IBI79" s="378"/>
      <c r="IBJ79" s="378"/>
      <c r="IBK79" s="378"/>
      <c r="IBL79" s="378"/>
      <c r="IBM79" s="378"/>
      <c r="IBN79" s="378"/>
      <c r="IBO79" s="378"/>
      <c r="IBP79" s="378"/>
      <c r="IBQ79" s="378"/>
      <c r="IBR79" s="378"/>
      <c r="IBS79" s="378"/>
      <c r="IBT79" s="378"/>
      <c r="IBU79" s="378"/>
      <c r="IBV79" s="378"/>
      <c r="IBW79" s="378"/>
      <c r="IBX79" s="378"/>
      <c r="IBY79" s="378"/>
      <c r="IBZ79" s="378"/>
      <c r="ICA79" s="378"/>
      <c r="ICB79" s="378"/>
      <c r="ICC79" s="378"/>
      <c r="ICD79" s="378"/>
      <c r="ICE79" s="378"/>
      <c r="ICF79" s="378"/>
      <c r="ICG79" s="378"/>
      <c r="ICH79" s="378"/>
      <c r="ICI79" s="378"/>
      <c r="ICJ79" s="378"/>
      <c r="ICK79" s="378"/>
      <c r="ICL79" s="378"/>
      <c r="ICM79" s="378"/>
      <c r="ICN79" s="378"/>
      <c r="ICO79" s="378"/>
      <c r="ICP79" s="378"/>
      <c r="ICQ79" s="378"/>
      <c r="ICR79" s="378"/>
      <c r="ICS79" s="378"/>
      <c r="ICT79" s="378"/>
      <c r="ICU79" s="378"/>
      <c r="ICV79" s="378"/>
      <c r="ICW79" s="378"/>
      <c r="ICX79" s="378"/>
      <c r="ICY79" s="378"/>
      <c r="ICZ79" s="378"/>
      <c r="IDA79" s="378"/>
      <c r="IDB79" s="378"/>
      <c r="IDC79" s="378"/>
      <c r="IDD79" s="378"/>
      <c r="IDE79" s="378"/>
      <c r="IDF79" s="378"/>
      <c r="IDG79" s="378"/>
      <c r="IDH79" s="378"/>
      <c r="IDI79" s="378"/>
      <c r="IDJ79" s="378"/>
      <c r="IDK79" s="378"/>
      <c r="IDL79" s="378"/>
      <c r="IDM79" s="378"/>
      <c r="IDN79" s="378"/>
      <c r="IDO79" s="378"/>
      <c r="IDP79" s="378"/>
      <c r="IDQ79" s="378"/>
      <c r="IDR79" s="378"/>
      <c r="IDS79" s="378"/>
      <c r="IDT79" s="378"/>
      <c r="IDU79" s="378"/>
      <c r="IDV79" s="378"/>
      <c r="IDW79" s="378"/>
      <c r="IDX79" s="378"/>
      <c r="IDY79" s="378"/>
      <c r="IDZ79" s="378"/>
      <c r="IEA79" s="378"/>
      <c r="IEB79" s="378"/>
      <c r="IEC79" s="378"/>
      <c r="IED79" s="378"/>
      <c r="IEE79" s="378"/>
      <c r="IEF79" s="378"/>
      <c r="IEG79" s="378"/>
      <c r="IEH79" s="378"/>
      <c r="IEI79" s="378"/>
      <c r="IEJ79" s="378"/>
      <c r="IEK79" s="378"/>
      <c r="IEL79" s="378"/>
      <c r="IEM79" s="378"/>
      <c r="IEN79" s="378"/>
      <c r="IEO79" s="378"/>
      <c r="IEP79" s="378"/>
      <c r="IEQ79" s="378"/>
      <c r="IER79" s="378"/>
      <c r="IES79" s="378"/>
      <c r="IET79" s="378"/>
      <c r="IEU79" s="378"/>
      <c r="IEV79" s="378"/>
      <c r="IEW79" s="378"/>
      <c r="IEX79" s="378"/>
      <c r="IEY79" s="378"/>
      <c r="IEZ79" s="378"/>
      <c r="IFA79" s="378"/>
      <c r="IFB79" s="378"/>
      <c r="IFC79" s="378"/>
      <c r="IFD79" s="378"/>
      <c r="IFE79" s="378"/>
      <c r="IFF79" s="378"/>
      <c r="IFG79" s="378"/>
      <c r="IFH79" s="378"/>
      <c r="IFI79" s="378"/>
      <c r="IFJ79" s="378"/>
      <c r="IFK79" s="378"/>
      <c r="IFL79" s="378"/>
      <c r="IFM79" s="378"/>
      <c r="IFN79" s="378"/>
      <c r="IFO79" s="378"/>
      <c r="IFP79" s="378"/>
      <c r="IFQ79" s="378"/>
      <c r="IFR79" s="378"/>
      <c r="IFS79" s="378"/>
      <c r="IFT79" s="378"/>
      <c r="IFU79" s="378"/>
      <c r="IFV79" s="378"/>
      <c r="IFW79" s="378"/>
      <c r="IFX79" s="378"/>
      <c r="IFY79" s="378"/>
      <c r="IFZ79" s="378"/>
      <c r="IGA79" s="378"/>
      <c r="IGB79" s="378"/>
      <c r="IGC79" s="378"/>
      <c r="IGD79" s="378"/>
      <c r="IGE79" s="378"/>
      <c r="IGF79" s="378"/>
      <c r="IGG79" s="378"/>
      <c r="IGH79" s="378"/>
      <c r="IGI79" s="378"/>
      <c r="IGJ79" s="378"/>
      <c r="IGK79" s="378"/>
      <c r="IGL79" s="378"/>
      <c r="IGM79" s="378"/>
      <c r="IGN79" s="378"/>
      <c r="IGO79" s="378"/>
      <c r="IGP79" s="378"/>
      <c r="IGQ79" s="378"/>
      <c r="IGR79" s="378"/>
      <c r="IGS79" s="378"/>
      <c r="IGT79" s="378"/>
      <c r="IGU79" s="378"/>
      <c r="IGV79" s="378"/>
      <c r="IGW79" s="378"/>
      <c r="IGX79" s="378"/>
      <c r="IGY79" s="378"/>
      <c r="IGZ79" s="378"/>
      <c r="IHA79" s="378"/>
      <c r="IHB79" s="378"/>
      <c r="IHC79" s="378"/>
      <c r="IHD79" s="378"/>
      <c r="IHE79" s="378"/>
      <c r="IHF79" s="378"/>
      <c r="IHG79" s="378"/>
      <c r="IHH79" s="378"/>
      <c r="IHI79" s="378"/>
      <c r="IHJ79" s="378"/>
      <c r="IHK79" s="378"/>
      <c r="IHL79" s="378"/>
      <c r="IHM79" s="378"/>
      <c r="IHN79" s="378"/>
      <c r="IHO79" s="378"/>
      <c r="IHP79" s="378"/>
      <c r="IHQ79" s="378"/>
      <c r="IHR79" s="378"/>
      <c r="IHS79" s="378"/>
      <c r="IHT79" s="378"/>
      <c r="IHU79" s="378"/>
      <c r="IHV79" s="378"/>
      <c r="IHW79" s="378"/>
      <c r="IHX79" s="378"/>
      <c r="IHY79" s="378"/>
      <c r="IHZ79" s="378"/>
      <c r="IIA79" s="378"/>
      <c r="IIB79" s="378"/>
      <c r="IIC79" s="378"/>
      <c r="IID79" s="378"/>
      <c r="IIE79" s="378"/>
      <c r="IIF79" s="378"/>
      <c r="IIG79" s="378"/>
      <c r="IIH79" s="378"/>
      <c r="III79" s="378"/>
      <c r="IIJ79" s="378"/>
      <c r="IIK79" s="378"/>
      <c r="IIL79" s="378"/>
      <c r="IIM79" s="378"/>
      <c r="IIN79" s="378"/>
      <c r="IIO79" s="378"/>
      <c r="IIP79" s="378"/>
      <c r="IIQ79" s="378"/>
      <c r="IIR79" s="378"/>
      <c r="IIS79" s="378"/>
      <c r="IIT79" s="378"/>
      <c r="IIU79" s="378"/>
      <c r="IIV79" s="378"/>
      <c r="IIW79" s="378"/>
      <c r="IIX79" s="378"/>
      <c r="IIY79" s="378"/>
      <c r="IIZ79" s="378"/>
      <c r="IJA79" s="378"/>
      <c r="IJB79" s="378"/>
      <c r="IJC79" s="378"/>
      <c r="IJD79" s="378"/>
      <c r="IJE79" s="378"/>
      <c r="IJF79" s="378"/>
      <c r="IJG79" s="378"/>
      <c r="IJH79" s="378"/>
      <c r="IJI79" s="378"/>
      <c r="IJJ79" s="378"/>
      <c r="IJK79" s="378"/>
      <c r="IJL79" s="378"/>
      <c r="IJM79" s="378"/>
      <c r="IJN79" s="378"/>
      <c r="IJO79" s="378"/>
      <c r="IJP79" s="378"/>
      <c r="IJQ79" s="378"/>
      <c r="IJR79" s="378"/>
      <c r="IJS79" s="378"/>
      <c r="IJT79" s="378"/>
      <c r="IJU79" s="378"/>
      <c r="IJV79" s="378"/>
      <c r="IJW79" s="378"/>
      <c r="IJX79" s="378"/>
      <c r="IJY79" s="378"/>
      <c r="IJZ79" s="378"/>
      <c r="IKA79" s="378"/>
      <c r="IKB79" s="378"/>
      <c r="IKC79" s="378"/>
      <c r="IKD79" s="378"/>
      <c r="IKE79" s="378"/>
      <c r="IKF79" s="378"/>
      <c r="IKG79" s="378"/>
      <c r="IKH79" s="378"/>
      <c r="IKI79" s="378"/>
      <c r="IKJ79" s="378"/>
      <c r="IKK79" s="378"/>
      <c r="IKL79" s="378"/>
      <c r="IKM79" s="378"/>
      <c r="IKN79" s="378"/>
      <c r="IKO79" s="378"/>
      <c r="IKP79" s="378"/>
      <c r="IKQ79" s="378"/>
      <c r="IKR79" s="378"/>
      <c r="IKS79" s="378"/>
      <c r="IKT79" s="378"/>
      <c r="IKU79" s="378"/>
      <c r="IKV79" s="378"/>
      <c r="IKW79" s="378"/>
      <c r="IKX79" s="378"/>
      <c r="IKY79" s="378"/>
      <c r="IKZ79" s="378"/>
      <c r="ILA79" s="378"/>
      <c r="ILB79" s="378"/>
      <c r="ILC79" s="378"/>
      <c r="ILD79" s="378"/>
      <c r="ILE79" s="378"/>
      <c r="ILF79" s="378"/>
      <c r="ILG79" s="378"/>
      <c r="ILH79" s="378"/>
      <c r="ILI79" s="378"/>
      <c r="ILJ79" s="378"/>
      <c r="ILK79" s="378"/>
      <c r="ILL79" s="378"/>
      <c r="ILM79" s="378"/>
      <c r="ILN79" s="378"/>
      <c r="ILO79" s="378"/>
      <c r="ILP79" s="378"/>
      <c r="ILQ79" s="378"/>
      <c r="ILR79" s="378"/>
      <c r="ILS79" s="378"/>
      <c r="ILT79" s="378"/>
      <c r="ILU79" s="378"/>
      <c r="ILV79" s="378"/>
      <c r="ILW79" s="378"/>
      <c r="ILX79" s="378"/>
      <c r="ILY79" s="378"/>
      <c r="ILZ79" s="378"/>
      <c r="IMA79" s="378"/>
      <c r="IMB79" s="378"/>
      <c r="IMC79" s="378"/>
      <c r="IMD79" s="378"/>
      <c r="IME79" s="378"/>
      <c r="IMF79" s="378"/>
      <c r="IMG79" s="378"/>
      <c r="IMH79" s="378"/>
      <c r="IMI79" s="378"/>
      <c r="IMJ79" s="378"/>
      <c r="IMK79" s="378"/>
      <c r="IML79" s="378"/>
      <c r="IMM79" s="378"/>
      <c r="IMN79" s="378"/>
      <c r="IMO79" s="378"/>
      <c r="IMP79" s="378"/>
      <c r="IMQ79" s="378"/>
      <c r="IMR79" s="378"/>
      <c r="IMS79" s="378"/>
      <c r="IMT79" s="378"/>
      <c r="IMU79" s="378"/>
      <c r="IMV79" s="378"/>
      <c r="IMW79" s="378"/>
      <c r="IMX79" s="378"/>
      <c r="IMY79" s="378"/>
      <c r="IMZ79" s="378"/>
      <c r="INA79" s="378"/>
      <c r="INB79" s="378"/>
      <c r="INC79" s="378"/>
      <c r="IND79" s="378"/>
      <c r="INE79" s="378"/>
      <c r="INF79" s="378"/>
      <c r="ING79" s="378"/>
      <c r="INH79" s="378"/>
      <c r="INI79" s="378"/>
      <c r="INJ79" s="378"/>
      <c r="INK79" s="378"/>
      <c r="INL79" s="378"/>
      <c r="INM79" s="378"/>
      <c r="INN79" s="378"/>
      <c r="INO79" s="378"/>
      <c r="INP79" s="378"/>
      <c r="INQ79" s="378"/>
      <c r="INR79" s="378"/>
      <c r="INS79" s="378"/>
      <c r="INT79" s="378"/>
      <c r="INU79" s="378"/>
      <c r="INV79" s="378"/>
      <c r="INW79" s="378"/>
      <c r="INX79" s="378"/>
      <c r="INY79" s="378"/>
      <c r="INZ79" s="378"/>
      <c r="IOA79" s="378"/>
      <c r="IOB79" s="378"/>
      <c r="IOC79" s="378"/>
      <c r="IOD79" s="378"/>
      <c r="IOE79" s="378"/>
      <c r="IOF79" s="378"/>
      <c r="IOG79" s="378"/>
      <c r="IOH79" s="378"/>
      <c r="IOI79" s="378"/>
      <c r="IOJ79" s="378"/>
      <c r="IOK79" s="378"/>
      <c r="IOL79" s="378"/>
      <c r="IOM79" s="378"/>
      <c r="ION79" s="378"/>
      <c r="IOO79" s="378"/>
      <c r="IOP79" s="378"/>
      <c r="IOQ79" s="378"/>
      <c r="IOR79" s="378"/>
      <c r="IOS79" s="378"/>
      <c r="IOT79" s="378"/>
      <c r="IOU79" s="378"/>
      <c r="IOV79" s="378"/>
      <c r="IOW79" s="378"/>
      <c r="IOX79" s="378"/>
      <c r="IOY79" s="378"/>
      <c r="IOZ79" s="378"/>
      <c r="IPA79" s="378"/>
      <c r="IPB79" s="378"/>
      <c r="IPC79" s="378"/>
      <c r="IPD79" s="378"/>
      <c r="IPE79" s="378"/>
      <c r="IPF79" s="378"/>
      <c r="IPG79" s="378"/>
      <c r="IPH79" s="378"/>
      <c r="IPI79" s="378"/>
      <c r="IPJ79" s="378"/>
      <c r="IPK79" s="378"/>
      <c r="IPL79" s="378"/>
      <c r="IPM79" s="378"/>
      <c r="IPN79" s="378"/>
      <c r="IPO79" s="378"/>
      <c r="IPP79" s="378"/>
      <c r="IPQ79" s="378"/>
      <c r="IPR79" s="378"/>
      <c r="IPS79" s="378"/>
      <c r="IPT79" s="378"/>
      <c r="IPU79" s="378"/>
      <c r="IPV79" s="378"/>
      <c r="IPW79" s="378"/>
      <c r="IPX79" s="378"/>
      <c r="IPY79" s="378"/>
      <c r="IPZ79" s="378"/>
      <c r="IQA79" s="378"/>
      <c r="IQB79" s="378"/>
      <c r="IQC79" s="378"/>
      <c r="IQD79" s="378"/>
      <c r="IQE79" s="378"/>
      <c r="IQF79" s="378"/>
      <c r="IQG79" s="378"/>
      <c r="IQH79" s="378"/>
      <c r="IQI79" s="378"/>
      <c r="IQJ79" s="378"/>
      <c r="IQK79" s="378"/>
      <c r="IQL79" s="378"/>
      <c r="IQM79" s="378"/>
      <c r="IQN79" s="378"/>
      <c r="IQO79" s="378"/>
      <c r="IQP79" s="378"/>
      <c r="IQQ79" s="378"/>
      <c r="IQR79" s="378"/>
      <c r="IQS79" s="378"/>
      <c r="IQT79" s="378"/>
      <c r="IQU79" s="378"/>
      <c r="IQV79" s="378"/>
      <c r="IQW79" s="378"/>
      <c r="IQX79" s="378"/>
      <c r="IQY79" s="378"/>
      <c r="IQZ79" s="378"/>
      <c r="IRA79" s="378"/>
      <c r="IRB79" s="378"/>
      <c r="IRC79" s="378"/>
      <c r="IRD79" s="378"/>
      <c r="IRE79" s="378"/>
      <c r="IRF79" s="378"/>
      <c r="IRG79" s="378"/>
      <c r="IRH79" s="378"/>
      <c r="IRI79" s="378"/>
      <c r="IRJ79" s="378"/>
      <c r="IRK79" s="378"/>
      <c r="IRL79" s="378"/>
      <c r="IRM79" s="378"/>
      <c r="IRN79" s="378"/>
      <c r="IRO79" s="378"/>
      <c r="IRP79" s="378"/>
      <c r="IRQ79" s="378"/>
      <c r="IRR79" s="378"/>
      <c r="IRS79" s="378"/>
      <c r="IRT79" s="378"/>
      <c r="IRU79" s="378"/>
      <c r="IRV79" s="378"/>
      <c r="IRW79" s="378"/>
      <c r="IRX79" s="378"/>
      <c r="IRY79" s="378"/>
      <c r="IRZ79" s="378"/>
      <c r="ISA79" s="378"/>
      <c r="ISB79" s="378"/>
      <c r="ISC79" s="378"/>
      <c r="ISD79" s="378"/>
      <c r="ISE79" s="378"/>
      <c r="ISF79" s="378"/>
      <c r="ISG79" s="378"/>
      <c r="ISH79" s="378"/>
      <c r="ISI79" s="378"/>
      <c r="ISJ79" s="378"/>
      <c r="ISK79" s="378"/>
      <c r="ISL79" s="378"/>
      <c r="ISM79" s="378"/>
      <c r="ISN79" s="378"/>
      <c r="ISO79" s="378"/>
      <c r="ISP79" s="378"/>
      <c r="ISQ79" s="378"/>
      <c r="ISR79" s="378"/>
      <c r="ISS79" s="378"/>
      <c r="IST79" s="378"/>
      <c r="ISU79" s="378"/>
      <c r="ISV79" s="378"/>
      <c r="ISW79" s="378"/>
      <c r="ISX79" s="378"/>
      <c r="ISY79" s="378"/>
      <c r="ISZ79" s="378"/>
      <c r="ITA79" s="378"/>
      <c r="ITB79" s="378"/>
      <c r="ITC79" s="378"/>
      <c r="ITD79" s="378"/>
      <c r="ITE79" s="378"/>
      <c r="ITF79" s="378"/>
      <c r="ITG79" s="378"/>
      <c r="ITH79" s="378"/>
      <c r="ITI79" s="378"/>
      <c r="ITJ79" s="378"/>
      <c r="ITK79" s="378"/>
      <c r="ITL79" s="378"/>
      <c r="ITM79" s="378"/>
      <c r="ITN79" s="378"/>
      <c r="ITO79" s="378"/>
      <c r="ITP79" s="378"/>
      <c r="ITQ79" s="378"/>
      <c r="ITR79" s="378"/>
      <c r="ITS79" s="378"/>
      <c r="ITT79" s="378"/>
      <c r="ITU79" s="378"/>
      <c r="ITV79" s="378"/>
      <c r="ITW79" s="378"/>
      <c r="ITX79" s="378"/>
      <c r="ITY79" s="378"/>
      <c r="ITZ79" s="378"/>
      <c r="IUA79" s="378"/>
      <c r="IUB79" s="378"/>
      <c r="IUC79" s="378"/>
      <c r="IUD79" s="378"/>
      <c r="IUE79" s="378"/>
      <c r="IUF79" s="378"/>
      <c r="IUG79" s="378"/>
      <c r="IUH79" s="378"/>
      <c r="IUI79" s="378"/>
      <c r="IUJ79" s="378"/>
      <c r="IUK79" s="378"/>
      <c r="IUL79" s="378"/>
      <c r="IUM79" s="378"/>
      <c r="IUN79" s="378"/>
      <c r="IUO79" s="378"/>
      <c r="IUP79" s="378"/>
      <c r="IUQ79" s="378"/>
      <c r="IUR79" s="378"/>
      <c r="IUS79" s="378"/>
      <c r="IUT79" s="378"/>
      <c r="IUU79" s="378"/>
      <c r="IUV79" s="378"/>
      <c r="IUW79" s="378"/>
      <c r="IUX79" s="378"/>
      <c r="IUY79" s="378"/>
      <c r="IUZ79" s="378"/>
      <c r="IVA79" s="378"/>
      <c r="IVB79" s="378"/>
      <c r="IVC79" s="378"/>
      <c r="IVD79" s="378"/>
      <c r="IVE79" s="378"/>
      <c r="IVF79" s="378"/>
      <c r="IVG79" s="378"/>
      <c r="IVH79" s="378"/>
      <c r="IVI79" s="378"/>
      <c r="IVJ79" s="378"/>
      <c r="IVK79" s="378"/>
      <c r="IVL79" s="378"/>
      <c r="IVM79" s="378"/>
      <c r="IVN79" s="378"/>
      <c r="IVO79" s="378"/>
      <c r="IVP79" s="378"/>
      <c r="IVQ79" s="378"/>
      <c r="IVR79" s="378"/>
      <c r="IVS79" s="378"/>
      <c r="IVT79" s="378"/>
      <c r="IVU79" s="378"/>
      <c r="IVV79" s="378"/>
      <c r="IVW79" s="378"/>
      <c r="IVX79" s="378"/>
      <c r="IVY79" s="378"/>
      <c r="IVZ79" s="378"/>
      <c r="IWA79" s="378"/>
      <c r="IWB79" s="378"/>
      <c r="IWC79" s="378"/>
      <c r="IWD79" s="378"/>
      <c r="IWE79" s="378"/>
      <c r="IWF79" s="378"/>
      <c r="IWG79" s="378"/>
      <c r="IWH79" s="378"/>
      <c r="IWI79" s="378"/>
      <c r="IWJ79" s="378"/>
      <c r="IWK79" s="378"/>
      <c r="IWL79" s="378"/>
      <c r="IWM79" s="378"/>
      <c r="IWN79" s="378"/>
      <c r="IWO79" s="378"/>
      <c r="IWP79" s="378"/>
      <c r="IWQ79" s="378"/>
      <c r="IWR79" s="378"/>
      <c r="IWS79" s="378"/>
      <c r="IWT79" s="378"/>
      <c r="IWU79" s="378"/>
      <c r="IWV79" s="378"/>
      <c r="IWW79" s="378"/>
      <c r="IWX79" s="378"/>
      <c r="IWY79" s="378"/>
      <c r="IWZ79" s="378"/>
      <c r="IXA79" s="378"/>
      <c r="IXB79" s="378"/>
      <c r="IXC79" s="378"/>
      <c r="IXD79" s="378"/>
      <c r="IXE79" s="378"/>
      <c r="IXF79" s="378"/>
      <c r="IXG79" s="378"/>
      <c r="IXH79" s="378"/>
      <c r="IXI79" s="378"/>
      <c r="IXJ79" s="378"/>
      <c r="IXK79" s="378"/>
      <c r="IXL79" s="378"/>
      <c r="IXM79" s="378"/>
      <c r="IXN79" s="378"/>
      <c r="IXO79" s="378"/>
      <c r="IXP79" s="378"/>
      <c r="IXQ79" s="378"/>
      <c r="IXR79" s="378"/>
      <c r="IXS79" s="378"/>
      <c r="IXT79" s="378"/>
      <c r="IXU79" s="378"/>
      <c r="IXV79" s="378"/>
      <c r="IXW79" s="378"/>
      <c r="IXX79" s="378"/>
      <c r="IXY79" s="378"/>
      <c r="IXZ79" s="378"/>
      <c r="IYA79" s="378"/>
      <c r="IYB79" s="378"/>
      <c r="IYC79" s="378"/>
      <c r="IYD79" s="378"/>
      <c r="IYE79" s="378"/>
      <c r="IYF79" s="378"/>
      <c r="IYG79" s="378"/>
      <c r="IYH79" s="378"/>
      <c r="IYI79" s="378"/>
      <c r="IYJ79" s="378"/>
      <c r="IYK79" s="378"/>
      <c r="IYL79" s="378"/>
      <c r="IYM79" s="378"/>
      <c r="IYN79" s="378"/>
      <c r="IYO79" s="378"/>
      <c r="IYP79" s="378"/>
      <c r="IYQ79" s="378"/>
      <c r="IYR79" s="378"/>
      <c r="IYS79" s="378"/>
      <c r="IYT79" s="378"/>
      <c r="IYU79" s="378"/>
      <c r="IYV79" s="378"/>
      <c r="IYW79" s="378"/>
      <c r="IYX79" s="378"/>
      <c r="IYY79" s="378"/>
      <c r="IYZ79" s="378"/>
      <c r="IZA79" s="378"/>
      <c r="IZB79" s="378"/>
      <c r="IZC79" s="378"/>
      <c r="IZD79" s="378"/>
      <c r="IZE79" s="378"/>
      <c r="IZF79" s="378"/>
      <c r="IZG79" s="378"/>
      <c r="IZH79" s="378"/>
      <c r="IZI79" s="378"/>
      <c r="IZJ79" s="378"/>
      <c r="IZK79" s="378"/>
      <c r="IZL79" s="378"/>
      <c r="IZM79" s="378"/>
      <c r="IZN79" s="378"/>
      <c r="IZO79" s="378"/>
      <c r="IZP79" s="378"/>
      <c r="IZQ79" s="378"/>
      <c r="IZR79" s="378"/>
      <c r="IZS79" s="378"/>
      <c r="IZT79" s="378"/>
      <c r="IZU79" s="378"/>
      <c r="IZV79" s="378"/>
      <c r="IZW79" s="378"/>
      <c r="IZX79" s="378"/>
      <c r="IZY79" s="378"/>
      <c r="IZZ79" s="378"/>
      <c r="JAA79" s="378"/>
      <c r="JAB79" s="378"/>
      <c r="JAC79" s="378"/>
      <c r="JAD79" s="378"/>
      <c r="JAE79" s="378"/>
      <c r="JAF79" s="378"/>
      <c r="JAG79" s="378"/>
      <c r="JAH79" s="378"/>
      <c r="JAI79" s="378"/>
      <c r="JAJ79" s="378"/>
      <c r="JAK79" s="378"/>
      <c r="JAL79" s="378"/>
      <c r="JAM79" s="378"/>
      <c r="JAN79" s="378"/>
      <c r="JAO79" s="378"/>
      <c r="JAP79" s="378"/>
      <c r="JAQ79" s="378"/>
      <c r="JAR79" s="378"/>
      <c r="JAS79" s="378"/>
      <c r="JAT79" s="378"/>
      <c r="JAU79" s="378"/>
      <c r="JAV79" s="378"/>
      <c r="JAW79" s="378"/>
      <c r="JAX79" s="378"/>
      <c r="JAY79" s="378"/>
      <c r="JAZ79" s="378"/>
      <c r="JBA79" s="378"/>
      <c r="JBB79" s="378"/>
      <c r="JBC79" s="378"/>
      <c r="JBD79" s="378"/>
      <c r="JBE79" s="378"/>
      <c r="JBF79" s="378"/>
      <c r="JBG79" s="378"/>
      <c r="JBH79" s="378"/>
      <c r="JBI79" s="378"/>
      <c r="JBJ79" s="378"/>
      <c r="JBK79" s="378"/>
      <c r="JBL79" s="378"/>
      <c r="JBM79" s="378"/>
      <c r="JBN79" s="378"/>
      <c r="JBO79" s="378"/>
      <c r="JBP79" s="378"/>
      <c r="JBQ79" s="378"/>
      <c r="JBR79" s="378"/>
      <c r="JBS79" s="378"/>
      <c r="JBT79" s="378"/>
      <c r="JBU79" s="378"/>
      <c r="JBV79" s="378"/>
      <c r="JBW79" s="378"/>
      <c r="JBX79" s="378"/>
      <c r="JBY79" s="378"/>
      <c r="JBZ79" s="378"/>
      <c r="JCA79" s="378"/>
      <c r="JCB79" s="378"/>
      <c r="JCC79" s="378"/>
      <c r="JCD79" s="378"/>
      <c r="JCE79" s="378"/>
      <c r="JCF79" s="378"/>
      <c r="JCG79" s="378"/>
      <c r="JCH79" s="378"/>
      <c r="JCI79" s="378"/>
      <c r="JCJ79" s="378"/>
      <c r="JCK79" s="378"/>
      <c r="JCL79" s="378"/>
      <c r="JCM79" s="378"/>
      <c r="JCN79" s="378"/>
      <c r="JCO79" s="378"/>
      <c r="JCP79" s="378"/>
      <c r="JCQ79" s="378"/>
      <c r="JCR79" s="378"/>
      <c r="JCS79" s="378"/>
      <c r="JCT79" s="378"/>
      <c r="JCU79" s="378"/>
      <c r="JCV79" s="378"/>
      <c r="JCW79" s="378"/>
      <c r="JCX79" s="378"/>
      <c r="JCY79" s="378"/>
      <c r="JCZ79" s="378"/>
      <c r="JDA79" s="378"/>
      <c r="JDB79" s="378"/>
      <c r="JDC79" s="378"/>
      <c r="JDD79" s="378"/>
      <c r="JDE79" s="378"/>
      <c r="JDF79" s="378"/>
      <c r="JDG79" s="378"/>
      <c r="JDH79" s="378"/>
      <c r="JDI79" s="378"/>
      <c r="JDJ79" s="378"/>
      <c r="JDK79" s="378"/>
      <c r="JDL79" s="378"/>
      <c r="JDM79" s="378"/>
      <c r="JDN79" s="378"/>
      <c r="JDO79" s="378"/>
      <c r="JDP79" s="378"/>
      <c r="JDQ79" s="378"/>
      <c r="JDR79" s="378"/>
      <c r="JDS79" s="378"/>
      <c r="JDT79" s="378"/>
      <c r="JDU79" s="378"/>
      <c r="JDV79" s="378"/>
      <c r="JDW79" s="378"/>
      <c r="JDX79" s="378"/>
      <c r="JDY79" s="378"/>
      <c r="JDZ79" s="378"/>
      <c r="JEA79" s="378"/>
      <c r="JEB79" s="378"/>
      <c r="JEC79" s="378"/>
      <c r="JED79" s="378"/>
      <c r="JEE79" s="378"/>
      <c r="JEF79" s="378"/>
      <c r="JEG79" s="378"/>
      <c r="JEH79" s="378"/>
      <c r="JEI79" s="378"/>
      <c r="JEJ79" s="378"/>
      <c r="JEK79" s="378"/>
      <c r="JEL79" s="378"/>
      <c r="JEM79" s="378"/>
      <c r="JEN79" s="378"/>
      <c r="JEO79" s="378"/>
      <c r="JEP79" s="378"/>
      <c r="JEQ79" s="378"/>
      <c r="JER79" s="378"/>
      <c r="JES79" s="378"/>
      <c r="JET79" s="378"/>
      <c r="JEU79" s="378"/>
      <c r="JEV79" s="378"/>
      <c r="JEW79" s="378"/>
      <c r="JEX79" s="378"/>
      <c r="JEY79" s="378"/>
      <c r="JEZ79" s="378"/>
      <c r="JFA79" s="378"/>
      <c r="JFB79" s="378"/>
      <c r="JFC79" s="378"/>
      <c r="JFD79" s="378"/>
      <c r="JFE79" s="378"/>
      <c r="JFF79" s="378"/>
      <c r="JFG79" s="378"/>
      <c r="JFH79" s="378"/>
      <c r="JFI79" s="378"/>
      <c r="JFJ79" s="378"/>
      <c r="JFK79" s="378"/>
      <c r="JFL79" s="378"/>
      <c r="JFM79" s="378"/>
      <c r="JFN79" s="378"/>
      <c r="JFO79" s="378"/>
      <c r="JFP79" s="378"/>
      <c r="JFQ79" s="378"/>
      <c r="JFR79" s="378"/>
      <c r="JFS79" s="378"/>
      <c r="JFT79" s="378"/>
      <c r="JFU79" s="378"/>
      <c r="JFV79" s="378"/>
      <c r="JFW79" s="378"/>
      <c r="JFX79" s="378"/>
      <c r="JFY79" s="378"/>
      <c r="JFZ79" s="378"/>
      <c r="JGA79" s="378"/>
      <c r="JGB79" s="378"/>
      <c r="JGC79" s="378"/>
      <c r="JGD79" s="378"/>
      <c r="JGE79" s="378"/>
      <c r="JGF79" s="378"/>
      <c r="JGG79" s="378"/>
      <c r="JGH79" s="378"/>
      <c r="JGI79" s="378"/>
      <c r="JGJ79" s="378"/>
      <c r="JGK79" s="378"/>
      <c r="JGL79" s="378"/>
      <c r="JGM79" s="378"/>
      <c r="JGN79" s="378"/>
      <c r="JGO79" s="378"/>
      <c r="JGP79" s="378"/>
      <c r="JGQ79" s="378"/>
      <c r="JGR79" s="378"/>
      <c r="JGS79" s="378"/>
      <c r="JGT79" s="378"/>
      <c r="JGU79" s="378"/>
      <c r="JGV79" s="378"/>
      <c r="JGW79" s="378"/>
      <c r="JGX79" s="378"/>
      <c r="JGY79" s="378"/>
      <c r="JGZ79" s="378"/>
      <c r="JHA79" s="378"/>
      <c r="JHB79" s="378"/>
      <c r="JHC79" s="378"/>
      <c r="JHD79" s="378"/>
      <c r="JHE79" s="378"/>
      <c r="JHF79" s="378"/>
      <c r="JHG79" s="378"/>
      <c r="JHH79" s="378"/>
      <c r="JHI79" s="378"/>
      <c r="JHJ79" s="378"/>
      <c r="JHK79" s="378"/>
      <c r="JHL79" s="378"/>
      <c r="JHM79" s="378"/>
      <c r="JHN79" s="378"/>
      <c r="JHO79" s="378"/>
      <c r="JHP79" s="378"/>
      <c r="JHQ79" s="378"/>
      <c r="JHR79" s="378"/>
      <c r="JHS79" s="378"/>
      <c r="JHT79" s="378"/>
      <c r="JHU79" s="378"/>
      <c r="JHV79" s="378"/>
      <c r="JHW79" s="378"/>
      <c r="JHX79" s="378"/>
      <c r="JHY79" s="378"/>
      <c r="JHZ79" s="378"/>
      <c r="JIA79" s="378"/>
      <c r="JIB79" s="378"/>
      <c r="JIC79" s="378"/>
      <c r="JID79" s="378"/>
      <c r="JIE79" s="378"/>
      <c r="JIF79" s="378"/>
      <c r="JIG79" s="378"/>
      <c r="JIH79" s="378"/>
      <c r="JII79" s="378"/>
      <c r="JIJ79" s="378"/>
      <c r="JIK79" s="378"/>
      <c r="JIL79" s="378"/>
      <c r="JIM79" s="378"/>
      <c r="JIN79" s="378"/>
      <c r="JIO79" s="378"/>
      <c r="JIP79" s="378"/>
      <c r="JIQ79" s="378"/>
      <c r="JIR79" s="378"/>
      <c r="JIS79" s="378"/>
      <c r="JIT79" s="378"/>
      <c r="JIU79" s="378"/>
      <c r="JIV79" s="378"/>
      <c r="JIW79" s="378"/>
      <c r="JIX79" s="378"/>
      <c r="JIY79" s="378"/>
      <c r="JIZ79" s="378"/>
      <c r="JJA79" s="378"/>
      <c r="JJB79" s="378"/>
      <c r="JJC79" s="378"/>
      <c r="JJD79" s="378"/>
      <c r="JJE79" s="378"/>
      <c r="JJF79" s="378"/>
      <c r="JJG79" s="378"/>
      <c r="JJH79" s="378"/>
      <c r="JJI79" s="378"/>
      <c r="JJJ79" s="378"/>
      <c r="JJK79" s="378"/>
      <c r="JJL79" s="378"/>
      <c r="JJM79" s="378"/>
      <c r="JJN79" s="378"/>
      <c r="JJO79" s="378"/>
      <c r="JJP79" s="378"/>
      <c r="JJQ79" s="378"/>
      <c r="JJR79" s="378"/>
      <c r="JJS79" s="378"/>
      <c r="JJT79" s="378"/>
      <c r="JJU79" s="378"/>
      <c r="JJV79" s="378"/>
      <c r="JJW79" s="378"/>
      <c r="JJX79" s="378"/>
      <c r="JJY79" s="378"/>
      <c r="JJZ79" s="378"/>
      <c r="JKA79" s="378"/>
      <c r="JKB79" s="378"/>
      <c r="JKC79" s="378"/>
      <c r="JKD79" s="378"/>
      <c r="JKE79" s="378"/>
      <c r="JKF79" s="378"/>
      <c r="JKG79" s="378"/>
      <c r="JKH79" s="378"/>
      <c r="JKI79" s="378"/>
      <c r="JKJ79" s="378"/>
      <c r="JKK79" s="378"/>
      <c r="JKL79" s="378"/>
      <c r="JKM79" s="378"/>
      <c r="JKN79" s="378"/>
      <c r="JKO79" s="378"/>
      <c r="JKP79" s="378"/>
      <c r="JKQ79" s="378"/>
      <c r="JKR79" s="378"/>
      <c r="JKS79" s="378"/>
      <c r="JKT79" s="378"/>
      <c r="JKU79" s="378"/>
      <c r="JKV79" s="378"/>
      <c r="JKW79" s="378"/>
      <c r="JKX79" s="378"/>
      <c r="JKY79" s="378"/>
      <c r="JKZ79" s="378"/>
      <c r="JLA79" s="378"/>
      <c r="JLB79" s="378"/>
      <c r="JLC79" s="378"/>
      <c r="JLD79" s="378"/>
      <c r="JLE79" s="378"/>
      <c r="JLF79" s="378"/>
      <c r="JLG79" s="378"/>
      <c r="JLH79" s="378"/>
      <c r="JLI79" s="378"/>
      <c r="JLJ79" s="378"/>
      <c r="JLK79" s="378"/>
      <c r="JLL79" s="378"/>
      <c r="JLM79" s="378"/>
      <c r="JLN79" s="378"/>
      <c r="JLO79" s="378"/>
      <c r="JLP79" s="378"/>
      <c r="JLQ79" s="378"/>
      <c r="JLR79" s="378"/>
      <c r="JLS79" s="378"/>
      <c r="JLT79" s="378"/>
      <c r="JLU79" s="378"/>
      <c r="JLV79" s="378"/>
      <c r="JLW79" s="378"/>
      <c r="JLX79" s="378"/>
      <c r="JLY79" s="378"/>
      <c r="JLZ79" s="378"/>
      <c r="JMA79" s="378"/>
      <c r="JMB79" s="378"/>
      <c r="JMC79" s="378"/>
      <c r="JMD79" s="378"/>
      <c r="JME79" s="378"/>
      <c r="JMF79" s="378"/>
      <c r="JMG79" s="378"/>
      <c r="JMH79" s="378"/>
      <c r="JMI79" s="378"/>
      <c r="JMJ79" s="378"/>
      <c r="JMK79" s="378"/>
      <c r="JML79" s="378"/>
      <c r="JMM79" s="378"/>
      <c r="JMN79" s="378"/>
      <c r="JMO79" s="378"/>
      <c r="JMP79" s="378"/>
      <c r="JMQ79" s="378"/>
      <c r="JMR79" s="378"/>
      <c r="JMS79" s="378"/>
      <c r="JMT79" s="378"/>
      <c r="JMU79" s="378"/>
      <c r="JMV79" s="378"/>
      <c r="JMW79" s="378"/>
      <c r="JMX79" s="378"/>
      <c r="JMY79" s="378"/>
      <c r="JMZ79" s="378"/>
      <c r="JNA79" s="378"/>
      <c r="JNB79" s="378"/>
      <c r="JNC79" s="378"/>
      <c r="JND79" s="378"/>
      <c r="JNE79" s="378"/>
      <c r="JNF79" s="378"/>
      <c r="JNG79" s="378"/>
      <c r="JNH79" s="378"/>
      <c r="JNI79" s="378"/>
      <c r="JNJ79" s="378"/>
      <c r="JNK79" s="378"/>
      <c r="JNL79" s="378"/>
      <c r="JNM79" s="378"/>
      <c r="JNN79" s="378"/>
      <c r="JNO79" s="378"/>
      <c r="JNP79" s="378"/>
      <c r="JNQ79" s="378"/>
      <c r="JNR79" s="378"/>
      <c r="JNS79" s="378"/>
      <c r="JNT79" s="378"/>
      <c r="JNU79" s="378"/>
      <c r="JNV79" s="378"/>
      <c r="JNW79" s="378"/>
      <c r="JNX79" s="378"/>
      <c r="JNY79" s="378"/>
      <c r="JNZ79" s="378"/>
      <c r="JOA79" s="378"/>
      <c r="JOB79" s="378"/>
      <c r="JOC79" s="378"/>
      <c r="JOD79" s="378"/>
      <c r="JOE79" s="378"/>
      <c r="JOF79" s="378"/>
      <c r="JOG79" s="378"/>
      <c r="JOH79" s="378"/>
      <c r="JOI79" s="378"/>
      <c r="JOJ79" s="378"/>
      <c r="JOK79" s="378"/>
      <c r="JOL79" s="378"/>
      <c r="JOM79" s="378"/>
      <c r="JON79" s="378"/>
      <c r="JOO79" s="378"/>
      <c r="JOP79" s="378"/>
      <c r="JOQ79" s="378"/>
      <c r="JOR79" s="378"/>
      <c r="JOS79" s="378"/>
      <c r="JOT79" s="378"/>
      <c r="JOU79" s="378"/>
      <c r="JOV79" s="378"/>
      <c r="JOW79" s="378"/>
      <c r="JOX79" s="378"/>
      <c r="JOY79" s="378"/>
      <c r="JOZ79" s="378"/>
      <c r="JPA79" s="378"/>
      <c r="JPB79" s="378"/>
      <c r="JPC79" s="378"/>
      <c r="JPD79" s="378"/>
      <c r="JPE79" s="378"/>
      <c r="JPF79" s="378"/>
      <c r="JPG79" s="378"/>
      <c r="JPH79" s="378"/>
      <c r="JPI79" s="378"/>
      <c r="JPJ79" s="378"/>
      <c r="JPK79" s="378"/>
      <c r="JPL79" s="378"/>
      <c r="JPM79" s="378"/>
      <c r="JPN79" s="378"/>
      <c r="JPO79" s="378"/>
      <c r="JPP79" s="378"/>
      <c r="JPQ79" s="378"/>
      <c r="JPR79" s="378"/>
      <c r="JPS79" s="378"/>
      <c r="JPT79" s="378"/>
      <c r="JPU79" s="378"/>
      <c r="JPV79" s="378"/>
      <c r="JPW79" s="378"/>
      <c r="JPX79" s="378"/>
      <c r="JPY79" s="378"/>
      <c r="JPZ79" s="378"/>
      <c r="JQA79" s="378"/>
      <c r="JQB79" s="378"/>
      <c r="JQC79" s="378"/>
      <c r="JQD79" s="378"/>
      <c r="JQE79" s="378"/>
      <c r="JQF79" s="378"/>
      <c r="JQG79" s="378"/>
      <c r="JQH79" s="378"/>
      <c r="JQI79" s="378"/>
      <c r="JQJ79" s="378"/>
      <c r="JQK79" s="378"/>
      <c r="JQL79" s="378"/>
      <c r="JQM79" s="378"/>
      <c r="JQN79" s="378"/>
      <c r="JQO79" s="378"/>
      <c r="JQP79" s="378"/>
      <c r="JQQ79" s="378"/>
      <c r="JQR79" s="378"/>
      <c r="JQS79" s="378"/>
      <c r="JQT79" s="378"/>
      <c r="JQU79" s="378"/>
      <c r="JQV79" s="378"/>
      <c r="JQW79" s="378"/>
      <c r="JQX79" s="378"/>
      <c r="JQY79" s="378"/>
      <c r="JQZ79" s="378"/>
      <c r="JRA79" s="378"/>
      <c r="JRB79" s="378"/>
      <c r="JRC79" s="378"/>
      <c r="JRD79" s="378"/>
      <c r="JRE79" s="378"/>
      <c r="JRF79" s="378"/>
      <c r="JRG79" s="378"/>
      <c r="JRH79" s="378"/>
      <c r="JRI79" s="378"/>
      <c r="JRJ79" s="378"/>
      <c r="JRK79" s="378"/>
      <c r="JRL79" s="378"/>
      <c r="JRM79" s="378"/>
      <c r="JRN79" s="378"/>
      <c r="JRO79" s="378"/>
      <c r="JRP79" s="378"/>
      <c r="JRQ79" s="378"/>
      <c r="JRR79" s="378"/>
      <c r="JRS79" s="378"/>
      <c r="JRT79" s="378"/>
      <c r="JRU79" s="378"/>
      <c r="JRV79" s="378"/>
      <c r="JRW79" s="378"/>
      <c r="JRX79" s="378"/>
      <c r="JRY79" s="378"/>
      <c r="JRZ79" s="378"/>
      <c r="JSA79" s="378"/>
      <c r="JSB79" s="378"/>
      <c r="JSC79" s="378"/>
      <c r="JSD79" s="378"/>
      <c r="JSE79" s="378"/>
      <c r="JSF79" s="378"/>
      <c r="JSG79" s="378"/>
      <c r="JSH79" s="378"/>
      <c r="JSI79" s="378"/>
      <c r="JSJ79" s="378"/>
      <c r="JSK79" s="378"/>
      <c r="JSL79" s="378"/>
      <c r="JSM79" s="378"/>
      <c r="JSN79" s="378"/>
      <c r="JSO79" s="378"/>
      <c r="JSP79" s="378"/>
      <c r="JSQ79" s="378"/>
      <c r="JSR79" s="378"/>
      <c r="JSS79" s="378"/>
      <c r="JST79" s="378"/>
      <c r="JSU79" s="378"/>
      <c r="JSV79" s="378"/>
      <c r="JSW79" s="378"/>
      <c r="JSX79" s="378"/>
      <c r="JSY79" s="378"/>
      <c r="JSZ79" s="378"/>
      <c r="JTA79" s="378"/>
      <c r="JTB79" s="378"/>
      <c r="JTC79" s="378"/>
      <c r="JTD79" s="378"/>
      <c r="JTE79" s="378"/>
      <c r="JTF79" s="378"/>
      <c r="JTG79" s="378"/>
      <c r="JTH79" s="378"/>
      <c r="JTI79" s="378"/>
      <c r="JTJ79" s="378"/>
      <c r="JTK79" s="378"/>
      <c r="JTL79" s="378"/>
      <c r="JTM79" s="378"/>
      <c r="JTN79" s="378"/>
      <c r="JTO79" s="378"/>
      <c r="JTP79" s="378"/>
      <c r="JTQ79" s="378"/>
      <c r="JTR79" s="378"/>
      <c r="JTS79" s="378"/>
      <c r="JTT79" s="378"/>
      <c r="JTU79" s="378"/>
      <c r="JTV79" s="378"/>
      <c r="JTW79" s="378"/>
      <c r="JTX79" s="378"/>
      <c r="JTY79" s="378"/>
      <c r="JTZ79" s="378"/>
      <c r="JUA79" s="378"/>
      <c r="JUB79" s="378"/>
      <c r="JUC79" s="378"/>
      <c r="JUD79" s="378"/>
      <c r="JUE79" s="378"/>
      <c r="JUF79" s="378"/>
      <c r="JUG79" s="378"/>
      <c r="JUH79" s="378"/>
      <c r="JUI79" s="378"/>
      <c r="JUJ79" s="378"/>
      <c r="JUK79" s="378"/>
      <c r="JUL79" s="378"/>
      <c r="JUM79" s="378"/>
      <c r="JUN79" s="378"/>
      <c r="JUO79" s="378"/>
      <c r="JUP79" s="378"/>
      <c r="JUQ79" s="378"/>
      <c r="JUR79" s="378"/>
      <c r="JUS79" s="378"/>
      <c r="JUT79" s="378"/>
      <c r="JUU79" s="378"/>
      <c r="JUV79" s="378"/>
      <c r="JUW79" s="378"/>
      <c r="JUX79" s="378"/>
      <c r="JUY79" s="378"/>
      <c r="JUZ79" s="378"/>
      <c r="JVA79" s="378"/>
      <c r="JVB79" s="378"/>
      <c r="JVC79" s="378"/>
      <c r="JVD79" s="378"/>
      <c r="JVE79" s="378"/>
      <c r="JVF79" s="378"/>
      <c r="JVG79" s="378"/>
      <c r="JVH79" s="378"/>
      <c r="JVI79" s="378"/>
      <c r="JVJ79" s="378"/>
      <c r="JVK79" s="378"/>
      <c r="JVL79" s="378"/>
      <c r="JVM79" s="378"/>
      <c r="JVN79" s="378"/>
      <c r="JVO79" s="378"/>
      <c r="JVP79" s="378"/>
      <c r="JVQ79" s="378"/>
      <c r="JVR79" s="378"/>
      <c r="JVS79" s="378"/>
      <c r="JVT79" s="378"/>
      <c r="JVU79" s="378"/>
      <c r="JVV79" s="378"/>
      <c r="JVW79" s="378"/>
      <c r="JVX79" s="378"/>
      <c r="JVY79" s="378"/>
      <c r="JVZ79" s="378"/>
      <c r="JWA79" s="378"/>
      <c r="JWB79" s="378"/>
      <c r="JWC79" s="378"/>
      <c r="JWD79" s="378"/>
      <c r="JWE79" s="378"/>
      <c r="JWF79" s="378"/>
      <c r="JWG79" s="378"/>
      <c r="JWH79" s="378"/>
      <c r="JWI79" s="378"/>
      <c r="JWJ79" s="378"/>
      <c r="JWK79" s="378"/>
      <c r="JWL79" s="378"/>
      <c r="JWM79" s="378"/>
      <c r="JWN79" s="378"/>
      <c r="JWO79" s="378"/>
      <c r="JWP79" s="378"/>
      <c r="JWQ79" s="378"/>
      <c r="JWR79" s="378"/>
      <c r="JWS79" s="378"/>
      <c r="JWT79" s="378"/>
      <c r="JWU79" s="378"/>
      <c r="JWV79" s="378"/>
      <c r="JWW79" s="378"/>
      <c r="JWX79" s="378"/>
      <c r="JWY79" s="378"/>
      <c r="JWZ79" s="378"/>
      <c r="JXA79" s="378"/>
      <c r="JXB79" s="378"/>
      <c r="JXC79" s="378"/>
      <c r="JXD79" s="378"/>
      <c r="JXE79" s="378"/>
      <c r="JXF79" s="378"/>
      <c r="JXG79" s="378"/>
      <c r="JXH79" s="378"/>
      <c r="JXI79" s="378"/>
      <c r="JXJ79" s="378"/>
      <c r="JXK79" s="378"/>
      <c r="JXL79" s="378"/>
      <c r="JXM79" s="378"/>
      <c r="JXN79" s="378"/>
      <c r="JXO79" s="378"/>
      <c r="JXP79" s="378"/>
      <c r="JXQ79" s="378"/>
      <c r="JXR79" s="378"/>
      <c r="JXS79" s="378"/>
      <c r="JXT79" s="378"/>
      <c r="JXU79" s="378"/>
      <c r="JXV79" s="378"/>
      <c r="JXW79" s="378"/>
      <c r="JXX79" s="378"/>
      <c r="JXY79" s="378"/>
      <c r="JXZ79" s="378"/>
      <c r="JYA79" s="378"/>
      <c r="JYB79" s="378"/>
      <c r="JYC79" s="378"/>
      <c r="JYD79" s="378"/>
      <c r="JYE79" s="378"/>
      <c r="JYF79" s="378"/>
      <c r="JYG79" s="378"/>
      <c r="JYH79" s="378"/>
      <c r="JYI79" s="378"/>
      <c r="JYJ79" s="378"/>
      <c r="JYK79" s="378"/>
      <c r="JYL79" s="378"/>
      <c r="JYM79" s="378"/>
      <c r="JYN79" s="378"/>
      <c r="JYO79" s="378"/>
      <c r="JYP79" s="378"/>
      <c r="JYQ79" s="378"/>
      <c r="JYR79" s="378"/>
      <c r="JYS79" s="378"/>
      <c r="JYT79" s="378"/>
      <c r="JYU79" s="378"/>
      <c r="JYV79" s="378"/>
      <c r="JYW79" s="378"/>
      <c r="JYX79" s="378"/>
      <c r="JYY79" s="378"/>
      <c r="JYZ79" s="378"/>
      <c r="JZA79" s="378"/>
      <c r="JZB79" s="378"/>
      <c r="JZC79" s="378"/>
      <c r="JZD79" s="378"/>
      <c r="JZE79" s="378"/>
      <c r="JZF79" s="378"/>
      <c r="JZG79" s="378"/>
      <c r="JZH79" s="378"/>
      <c r="JZI79" s="378"/>
      <c r="JZJ79" s="378"/>
      <c r="JZK79" s="378"/>
      <c r="JZL79" s="378"/>
      <c r="JZM79" s="378"/>
      <c r="JZN79" s="378"/>
      <c r="JZO79" s="378"/>
      <c r="JZP79" s="378"/>
      <c r="JZQ79" s="378"/>
      <c r="JZR79" s="378"/>
      <c r="JZS79" s="378"/>
      <c r="JZT79" s="378"/>
      <c r="JZU79" s="378"/>
      <c r="JZV79" s="378"/>
      <c r="JZW79" s="378"/>
      <c r="JZX79" s="378"/>
      <c r="JZY79" s="378"/>
      <c r="JZZ79" s="378"/>
      <c r="KAA79" s="378"/>
      <c r="KAB79" s="378"/>
      <c r="KAC79" s="378"/>
      <c r="KAD79" s="378"/>
      <c r="KAE79" s="378"/>
      <c r="KAF79" s="378"/>
      <c r="KAG79" s="378"/>
      <c r="KAH79" s="378"/>
      <c r="KAI79" s="378"/>
      <c r="KAJ79" s="378"/>
      <c r="KAK79" s="378"/>
      <c r="KAL79" s="378"/>
      <c r="KAM79" s="378"/>
      <c r="KAN79" s="378"/>
      <c r="KAO79" s="378"/>
      <c r="KAP79" s="378"/>
      <c r="KAQ79" s="378"/>
      <c r="KAR79" s="378"/>
      <c r="KAS79" s="378"/>
      <c r="KAT79" s="378"/>
      <c r="KAU79" s="378"/>
      <c r="KAV79" s="378"/>
      <c r="KAW79" s="378"/>
      <c r="KAX79" s="378"/>
      <c r="KAY79" s="378"/>
      <c r="KAZ79" s="378"/>
      <c r="KBA79" s="378"/>
      <c r="KBB79" s="378"/>
      <c r="KBC79" s="378"/>
      <c r="KBD79" s="378"/>
      <c r="KBE79" s="378"/>
      <c r="KBF79" s="378"/>
      <c r="KBG79" s="378"/>
      <c r="KBH79" s="378"/>
      <c r="KBI79" s="378"/>
      <c r="KBJ79" s="378"/>
      <c r="KBK79" s="378"/>
      <c r="KBL79" s="378"/>
      <c r="KBM79" s="378"/>
      <c r="KBN79" s="378"/>
      <c r="KBO79" s="378"/>
      <c r="KBP79" s="378"/>
      <c r="KBQ79" s="378"/>
      <c r="KBR79" s="378"/>
      <c r="KBS79" s="378"/>
      <c r="KBT79" s="378"/>
      <c r="KBU79" s="378"/>
      <c r="KBV79" s="378"/>
      <c r="KBW79" s="378"/>
      <c r="KBX79" s="378"/>
      <c r="KBY79" s="378"/>
      <c r="KBZ79" s="378"/>
      <c r="KCA79" s="378"/>
      <c r="KCB79" s="378"/>
      <c r="KCC79" s="378"/>
      <c r="KCD79" s="378"/>
      <c r="KCE79" s="378"/>
      <c r="KCF79" s="378"/>
      <c r="KCG79" s="378"/>
      <c r="KCH79" s="378"/>
      <c r="KCI79" s="378"/>
      <c r="KCJ79" s="378"/>
      <c r="KCK79" s="378"/>
      <c r="KCL79" s="378"/>
      <c r="KCM79" s="378"/>
      <c r="KCN79" s="378"/>
      <c r="KCO79" s="378"/>
      <c r="KCP79" s="378"/>
      <c r="KCQ79" s="378"/>
      <c r="KCR79" s="378"/>
      <c r="KCS79" s="378"/>
      <c r="KCT79" s="378"/>
      <c r="KCU79" s="378"/>
      <c r="KCV79" s="378"/>
      <c r="KCW79" s="378"/>
      <c r="KCX79" s="378"/>
      <c r="KCY79" s="378"/>
      <c r="KCZ79" s="378"/>
      <c r="KDA79" s="378"/>
      <c r="KDB79" s="378"/>
      <c r="KDC79" s="378"/>
      <c r="KDD79" s="378"/>
      <c r="KDE79" s="378"/>
      <c r="KDF79" s="378"/>
      <c r="KDG79" s="378"/>
      <c r="KDH79" s="378"/>
      <c r="KDI79" s="378"/>
      <c r="KDJ79" s="378"/>
      <c r="KDK79" s="378"/>
      <c r="KDL79" s="378"/>
      <c r="KDM79" s="378"/>
      <c r="KDN79" s="378"/>
      <c r="KDO79" s="378"/>
      <c r="KDP79" s="378"/>
      <c r="KDQ79" s="378"/>
      <c r="KDR79" s="378"/>
      <c r="KDS79" s="378"/>
      <c r="KDT79" s="378"/>
      <c r="KDU79" s="378"/>
      <c r="KDV79" s="378"/>
      <c r="KDW79" s="378"/>
      <c r="KDX79" s="378"/>
      <c r="KDY79" s="378"/>
      <c r="KDZ79" s="378"/>
      <c r="KEA79" s="378"/>
      <c r="KEB79" s="378"/>
      <c r="KEC79" s="378"/>
      <c r="KED79" s="378"/>
      <c r="KEE79" s="378"/>
      <c r="KEF79" s="378"/>
      <c r="KEG79" s="378"/>
      <c r="KEH79" s="378"/>
      <c r="KEI79" s="378"/>
      <c r="KEJ79" s="378"/>
      <c r="KEK79" s="378"/>
      <c r="KEL79" s="378"/>
      <c r="KEM79" s="378"/>
      <c r="KEN79" s="378"/>
      <c r="KEO79" s="378"/>
      <c r="KEP79" s="378"/>
      <c r="KEQ79" s="378"/>
      <c r="KER79" s="378"/>
      <c r="KES79" s="378"/>
      <c r="KET79" s="378"/>
      <c r="KEU79" s="378"/>
      <c r="KEV79" s="378"/>
      <c r="KEW79" s="378"/>
      <c r="KEX79" s="378"/>
      <c r="KEY79" s="378"/>
      <c r="KEZ79" s="378"/>
      <c r="KFA79" s="378"/>
      <c r="KFB79" s="378"/>
      <c r="KFC79" s="378"/>
      <c r="KFD79" s="378"/>
      <c r="KFE79" s="378"/>
      <c r="KFF79" s="378"/>
      <c r="KFG79" s="378"/>
      <c r="KFH79" s="378"/>
      <c r="KFI79" s="378"/>
      <c r="KFJ79" s="378"/>
      <c r="KFK79" s="378"/>
      <c r="KFL79" s="378"/>
      <c r="KFM79" s="378"/>
      <c r="KFN79" s="378"/>
      <c r="KFO79" s="378"/>
      <c r="KFP79" s="378"/>
      <c r="KFQ79" s="378"/>
      <c r="KFR79" s="378"/>
      <c r="KFS79" s="378"/>
      <c r="KFT79" s="378"/>
      <c r="KFU79" s="378"/>
      <c r="KFV79" s="378"/>
      <c r="KFW79" s="378"/>
      <c r="KFX79" s="378"/>
      <c r="KFY79" s="378"/>
      <c r="KFZ79" s="378"/>
      <c r="KGA79" s="378"/>
      <c r="KGB79" s="378"/>
      <c r="KGC79" s="378"/>
      <c r="KGD79" s="378"/>
      <c r="KGE79" s="378"/>
      <c r="KGF79" s="378"/>
      <c r="KGG79" s="378"/>
      <c r="KGH79" s="378"/>
      <c r="KGI79" s="378"/>
      <c r="KGJ79" s="378"/>
      <c r="KGK79" s="378"/>
      <c r="KGL79" s="378"/>
      <c r="KGM79" s="378"/>
      <c r="KGN79" s="378"/>
      <c r="KGO79" s="378"/>
      <c r="KGP79" s="378"/>
      <c r="KGQ79" s="378"/>
      <c r="KGR79" s="378"/>
      <c r="KGS79" s="378"/>
      <c r="KGT79" s="378"/>
      <c r="KGU79" s="378"/>
      <c r="KGV79" s="378"/>
      <c r="KGW79" s="378"/>
      <c r="KGX79" s="378"/>
      <c r="KGY79" s="378"/>
      <c r="KGZ79" s="378"/>
      <c r="KHA79" s="378"/>
      <c r="KHB79" s="378"/>
      <c r="KHC79" s="378"/>
      <c r="KHD79" s="378"/>
      <c r="KHE79" s="378"/>
      <c r="KHF79" s="378"/>
      <c r="KHG79" s="378"/>
      <c r="KHH79" s="378"/>
      <c r="KHI79" s="378"/>
      <c r="KHJ79" s="378"/>
      <c r="KHK79" s="378"/>
      <c r="KHL79" s="378"/>
      <c r="KHM79" s="378"/>
      <c r="KHN79" s="378"/>
      <c r="KHO79" s="378"/>
      <c r="KHP79" s="378"/>
      <c r="KHQ79" s="378"/>
      <c r="KHR79" s="378"/>
      <c r="KHS79" s="378"/>
      <c r="KHT79" s="378"/>
      <c r="KHU79" s="378"/>
      <c r="KHV79" s="378"/>
      <c r="KHW79" s="378"/>
      <c r="KHX79" s="378"/>
      <c r="KHY79" s="378"/>
      <c r="KHZ79" s="378"/>
      <c r="KIA79" s="378"/>
      <c r="KIB79" s="378"/>
      <c r="KIC79" s="378"/>
      <c r="KID79" s="378"/>
      <c r="KIE79" s="378"/>
      <c r="KIF79" s="378"/>
      <c r="KIG79" s="378"/>
      <c r="KIH79" s="378"/>
      <c r="KII79" s="378"/>
      <c r="KIJ79" s="378"/>
      <c r="KIK79" s="378"/>
      <c r="KIL79" s="378"/>
      <c r="KIM79" s="378"/>
      <c r="KIN79" s="378"/>
      <c r="KIO79" s="378"/>
      <c r="KIP79" s="378"/>
      <c r="KIQ79" s="378"/>
      <c r="KIR79" s="378"/>
      <c r="KIS79" s="378"/>
      <c r="KIT79" s="378"/>
      <c r="KIU79" s="378"/>
      <c r="KIV79" s="378"/>
      <c r="KIW79" s="378"/>
      <c r="KIX79" s="378"/>
      <c r="KIY79" s="378"/>
      <c r="KIZ79" s="378"/>
      <c r="KJA79" s="378"/>
      <c r="KJB79" s="378"/>
      <c r="KJC79" s="378"/>
      <c r="KJD79" s="378"/>
      <c r="KJE79" s="378"/>
      <c r="KJF79" s="378"/>
      <c r="KJG79" s="378"/>
      <c r="KJH79" s="378"/>
      <c r="KJI79" s="378"/>
      <c r="KJJ79" s="378"/>
      <c r="KJK79" s="378"/>
      <c r="KJL79" s="378"/>
      <c r="KJM79" s="378"/>
      <c r="KJN79" s="378"/>
      <c r="KJO79" s="378"/>
      <c r="KJP79" s="378"/>
      <c r="KJQ79" s="378"/>
      <c r="KJR79" s="378"/>
      <c r="KJS79" s="378"/>
      <c r="KJT79" s="378"/>
      <c r="KJU79" s="378"/>
      <c r="KJV79" s="378"/>
      <c r="KJW79" s="378"/>
      <c r="KJX79" s="378"/>
      <c r="KJY79" s="378"/>
      <c r="KJZ79" s="378"/>
      <c r="KKA79" s="378"/>
      <c r="KKB79" s="378"/>
      <c r="KKC79" s="378"/>
      <c r="KKD79" s="378"/>
      <c r="KKE79" s="378"/>
      <c r="KKF79" s="378"/>
      <c r="KKG79" s="378"/>
      <c r="KKH79" s="378"/>
      <c r="KKI79" s="378"/>
      <c r="KKJ79" s="378"/>
      <c r="KKK79" s="378"/>
      <c r="KKL79" s="378"/>
      <c r="KKM79" s="378"/>
      <c r="KKN79" s="378"/>
      <c r="KKO79" s="378"/>
      <c r="KKP79" s="378"/>
      <c r="KKQ79" s="378"/>
      <c r="KKR79" s="378"/>
      <c r="KKS79" s="378"/>
      <c r="KKT79" s="378"/>
      <c r="KKU79" s="378"/>
      <c r="KKV79" s="378"/>
      <c r="KKW79" s="378"/>
      <c r="KKX79" s="378"/>
      <c r="KKY79" s="378"/>
      <c r="KKZ79" s="378"/>
      <c r="KLA79" s="378"/>
      <c r="KLB79" s="378"/>
      <c r="KLC79" s="378"/>
      <c r="KLD79" s="378"/>
      <c r="KLE79" s="378"/>
      <c r="KLF79" s="378"/>
      <c r="KLG79" s="378"/>
      <c r="KLH79" s="378"/>
      <c r="KLI79" s="378"/>
      <c r="KLJ79" s="378"/>
      <c r="KLK79" s="378"/>
      <c r="KLL79" s="378"/>
      <c r="KLM79" s="378"/>
      <c r="KLN79" s="378"/>
      <c r="KLO79" s="378"/>
      <c r="KLP79" s="378"/>
      <c r="KLQ79" s="378"/>
      <c r="KLR79" s="378"/>
      <c r="KLS79" s="378"/>
      <c r="KLT79" s="378"/>
      <c r="KLU79" s="378"/>
      <c r="KLV79" s="378"/>
      <c r="KLW79" s="378"/>
      <c r="KLX79" s="378"/>
      <c r="KLY79" s="378"/>
      <c r="KLZ79" s="378"/>
      <c r="KMA79" s="378"/>
      <c r="KMB79" s="378"/>
      <c r="KMC79" s="378"/>
      <c r="KMD79" s="378"/>
      <c r="KME79" s="378"/>
      <c r="KMF79" s="378"/>
      <c r="KMG79" s="378"/>
      <c r="KMH79" s="378"/>
      <c r="KMI79" s="378"/>
      <c r="KMJ79" s="378"/>
      <c r="KMK79" s="378"/>
      <c r="KML79" s="378"/>
      <c r="KMM79" s="378"/>
      <c r="KMN79" s="378"/>
      <c r="KMO79" s="378"/>
      <c r="KMP79" s="378"/>
      <c r="KMQ79" s="378"/>
      <c r="KMR79" s="378"/>
      <c r="KMS79" s="378"/>
      <c r="KMT79" s="378"/>
      <c r="KMU79" s="378"/>
      <c r="KMV79" s="378"/>
      <c r="KMW79" s="378"/>
      <c r="KMX79" s="378"/>
      <c r="KMY79" s="378"/>
      <c r="KMZ79" s="378"/>
      <c r="KNA79" s="378"/>
      <c r="KNB79" s="378"/>
      <c r="KNC79" s="378"/>
      <c r="KND79" s="378"/>
      <c r="KNE79" s="378"/>
      <c r="KNF79" s="378"/>
      <c r="KNG79" s="378"/>
      <c r="KNH79" s="378"/>
      <c r="KNI79" s="378"/>
      <c r="KNJ79" s="378"/>
      <c r="KNK79" s="378"/>
      <c r="KNL79" s="378"/>
      <c r="KNM79" s="378"/>
      <c r="KNN79" s="378"/>
      <c r="KNO79" s="378"/>
      <c r="KNP79" s="378"/>
      <c r="KNQ79" s="378"/>
      <c r="KNR79" s="378"/>
      <c r="KNS79" s="378"/>
      <c r="KNT79" s="378"/>
      <c r="KNU79" s="378"/>
      <c r="KNV79" s="378"/>
      <c r="KNW79" s="378"/>
      <c r="KNX79" s="378"/>
      <c r="KNY79" s="378"/>
      <c r="KNZ79" s="378"/>
      <c r="KOA79" s="378"/>
      <c r="KOB79" s="378"/>
      <c r="KOC79" s="378"/>
      <c r="KOD79" s="378"/>
      <c r="KOE79" s="378"/>
      <c r="KOF79" s="378"/>
      <c r="KOG79" s="378"/>
      <c r="KOH79" s="378"/>
      <c r="KOI79" s="378"/>
      <c r="KOJ79" s="378"/>
      <c r="KOK79" s="378"/>
      <c r="KOL79" s="378"/>
      <c r="KOM79" s="378"/>
      <c r="KON79" s="378"/>
      <c r="KOO79" s="378"/>
      <c r="KOP79" s="378"/>
      <c r="KOQ79" s="378"/>
      <c r="KOR79" s="378"/>
      <c r="KOS79" s="378"/>
      <c r="KOT79" s="378"/>
      <c r="KOU79" s="378"/>
      <c r="KOV79" s="378"/>
      <c r="KOW79" s="378"/>
      <c r="KOX79" s="378"/>
      <c r="KOY79" s="378"/>
      <c r="KOZ79" s="378"/>
      <c r="KPA79" s="378"/>
      <c r="KPB79" s="378"/>
      <c r="KPC79" s="378"/>
      <c r="KPD79" s="378"/>
      <c r="KPE79" s="378"/>
      <c r="KPF79" s="378"/>
      <c r="KPG79" s="378"/>
      <c r="KPH79" s="378"/>
      <c r="KPI79" s="378"/>
      <c r="KPJ79" s="378"/>
      <c r="KPK79" s="378"/>
      <c r="KPL79" s="378"/>
      <c r="KPM79" s="378"/>
      <c r="KPN79" s="378"/>
      <c r="KPO79" s="378"/>
      <c r="KPP79" s="378"/>
      <c r="KPQ79" s="378"/>
      <c r="KPR79" s="378"/>
      <c r="KPS79" s="378"/>
      <c r="KPT79" s="378"/>
      <c r="KPU79" s="378"/>
      <c r="KPV79" s="378"/>
      <c r="KPW79" s="378"/>
      <c r="KPX79" s="378"/>
      <c r="KPY79" s="378"/>
      <c r="KPZ79" s="378"/>
      <c r="KQA79" s="378"/>
      <c r="KQB79" s="378"/>
      <c r="KQC79" s="378"/>
      <c r="KQD79" s="378"/>
      <c r="KQE79" s="378"/>
      <c r="KQF79" s="378"/>
      <c r="KQG79" s="378"/>
      <c r="KQH79" s="378"/>
      <c r="KQI79" s="378"/>
      <c r="KQJ79" s="378"/>
      <c r="KQK79" s="378"/>
      <c r="KQL79" s="378"/>
      <c r="KQM79" s="378"/>
      <c r="KQN79" s="378"/>
      <c r="KQO79" s="378"/>
      <c r="KQP79" s="378"/>
      <c r="KQQ79" s="378"/>
      <c r="KQR79" s="378"/>
      <c r="KQS79" s="378"/>
      <c r="KQT79" s="378"/>
      <c r="KQU79" s="378"/>
      <c r="KQV79" s="378"/>
      <c r="KQW79" s="378"/>
      <c r="KQX79" s="378"/>
      <c r="KQY79" s="378"/>
      <c r="KQZ79" s="378"/>
      <c r="KRA79" s="378"/>
      <c r="KRB79" s="378"/>
      <c r="KRC79" s="378"/>
      <c r="KRD79" s="378"/>
      <c r="KRE79" s="378"/>
      <c r="KRF79" s="378"/>
      <c r="KRG79" s="378"/>
      <c r="KRH79" s="378"/>
      <c r="KRI79" s="378"/>
      <c r="KRJ79" s="378"/>
      <c r="KRK79" s="378"/>
      <c r="KRL79" s="378"/>
      <c r="KRM79" s="378"/>
      <c r="KRN79" s="378"/>
      <c r="KRO79" s="378"/>
      <c r="KRP79" s="378"/>
      <c r="KRQ79" s="378"/>
      <c r="KRR79" s="378"/>
      <c r="KRS79" s="378"/>
      <c r="KRT79" s="378"/>
      <c r="KRU79" s="378"/>
      <c r="KRV79" s="378"/>
      <c r="KRW79" s="378"/>
      <c r="KRX79" s="378"/>
      <c r="KRY79" s="378"/>
      <c r="KRZ79" s="378"/>
      <c r="KSA79" s="378"/>
      <c r="KSB79" s="378"/>
      <c r="KSC79" s="378"/>
      <c r="KSD79" s="378"/>
      <c r="KSE79" s="378"/>
      <c r="KSF79" s="378"/>
      <c r="KSG79" s="378"/>
      <c r="KSH79" s="378"/>
      <c r="KSI79" s="378"/>
      <c r="KSJ79" s="378"/>
      <c r="KSK79" s="378"/>
      <c r="KSL79" s="378"/>
      <c r="KSM79" s="378"/>
      <c r="KSN79" s="378"/>
      <c r="KSO79" s="378"/>
      <c r="KSP79" s="378"/>
      <c r="KSQ79" s="378"/>
      <c r="KSR79" s="378"/>
      <c r="KSS79" s="378"/>
      <c r="KST79" s="378"/>
      <c r="KSU79" s="378"/>
      <c r="KSV79" s="378"/>
      <c r="KSW79" s="378"/>
      <c r="KSX79" s="378"/>
      <c r="KSY79" s="378"/>
      <c r="KSZ79" s="378"/>
      <c r="KTA79" s="378"/>
      <c r="KTB79" s="378"/>
      <c r="KTC79" s="378"/>
      <c r="KTD79" s="378"/>
      <c r="KTE79" s="378"/>
      <c r="KTF79" s="378"/>
      <c r="KTG79" s="378"/>
      <c r="KTH79" s="378"/>
      <c r="KTI79" s="378"/>
      <c r="KTJ79" s="378"/>
      <c r="KTK79" s="378"/>
      <c r="KTL79" s="378"/>
      <c r="KTM79" s="378"/>
      <c r="KTN79" s="378"/>
      <c r="KTO79" s="378"/>
      <c r="KTP79" s="378"/>
      <c r="KTQ79" s="378"/>
      <c r="KTR79" s="378"/>
      <c r="KTS79" s="378"/>
      <c r="KTT79" s="378"/>
      <c r="KTU79" s="378"/>
      <c r="KTV79" s="378"/>
      <c r="KTW79" s="378"/>
      <c r="KTX79" s="378"/>
      <c r="KTY79" s="378"/>
      <c r="KTZ79" s="378"/>
      <c r="KUA79" s="378"/>
      <c r="KUB79" s="378"/>
      <c r="KUC79" s="378"/>
      <c r="KUD79" s="378"/>
      <c r="KUE79" s="378"/>
      <c r="KUF79" s="378"/>
      <c r="KUG79" s="378"/>
      <c r="KUH79" s="378"/>
      <c r="KUI79" s="378"/>
      <c r="KUJ79" s="378"/>
      <c r="KUK79" s="378"/>
      <c r="KUL79" s="378"/>
      <c r="KUM79" s="378"/>
      <c r="KUN79" s="378"/>
      <c r="KUO79" s="378"/>
      <c r="KUP79" s="378"/>
      <c r="KUQ79" s="378"/>
      <c r="KUR79" s="378"/>
      <c r="KUS79" s="378"/>
      <c r="KUT79" s="378"/>
      <c r="KUU79" s="378"/>
      <c r="KUV79" s="378"/>
      <c r="KUW79" s="378"/>
      <c r="KUX79" s="378"/>
      <c r="KUY79" s="378"/>
      <c r="KUZ79" s="378"/>
      <c r="KVA79" s="378"/>
      <c r="KVB79" s="378"/>
      <c r="KVC79" s="378"/>
      <c r="KVD79" s="378"/>
      <c r="KVE79" s="378"/>
      <c r="KVF79" s="378"/>
      <c r="KVG79" s="378"/>
      <c r="KVH79" s="378"/>
      <c r="KVI79" s="378"/>
      <c r="KVJ79" s="378"/>
      <c r="KVK79" s="378"/>
      <c r="KVL79" s="378"/>
      <c r="KVM79" s="378"/>
      <c r="KVN79" s="378"/>
      <c r="KVO79" s="378"/>
      <c r="KVP79" s="378"/>
      <c r="KVQ79" s="378"/>
      <c r="KVR79" s="378"/>
      <c r="KVS79" s="378"/>
      <c r="KVT79" s="378"/>
      <c r="KVU79" s="378"/>
      <c r="KVV79" s="378"/>
      <c r="KVW79" s="378"/>
      <c r="KVX79" s="378"/>
      <c r="KVY79" s="378"/>
      <c r="KVZ79" s="378"/>
      <c r="KWA79" s="378"/>
      <c r="KWB79" s="378"/>
      <c r="KWC79" s="378"/>
      <c r="KWD79" s="378"/>
      <c r="KWE79" s="378"/>
      <c r="KWF79" s="378"/>
      <c r="KWG79" s="378"/>
      <c r="KWH79" s="378"/>
      <c r="KWI79" s="378"/>
      <c r="KWJ79" s="378"/>
      <c r="KWK79" s="378"/>
      <c r="KWL79" s="378"/>
      <c r="KWM79" s="378"/>
      <c r="KWN79" s="378"/>
      <c r="KWO79" s="378"/>
      <c r="KWP79" s="378"/>
      <c r="KWQ79" s="378"/>
      <c r="KWR79" s="378"/>
      <c r="KWS79" s="378"/>
      <c r="KWT79" s="378"/>
      <c r="KWU79" s="378"/>
      <c r="KWV79" s="378"/>
      <c r="KWW79" s="378"/>
      <c r="KWX79" s="378"/>
      <c r="KWY79" s="378"/>
      <c r="KWZ79" s="378"/>
      <c r="KXA79" s="378"/>
      <c r="KXB79" s="378"/>
      <c r="KXC79" s="378"/>
      <c r="KXD79" s="378"/>
      <c r="KXE79" s="378"/>
      <c r="KXF79" s="378"/>
      <c r="KXG79" s="378"/>
      <c r="KXH79" s="378"/>
      <c r="KXI79" s="378"/>
      <c r="KXJ79" s="378"/>
      <c r="KXK79" s="378"/>
      <c r="KXL79" s="378"/>
      <c r="KXM79" s="378"/>
      <c r="KXN79" s="378"/>
      <c r="KXO79" s="378"/>
      <c r="KXP79" s="378"/>
      <c r="KXQ79" s="378"/>
      <c r="KXR79" s="378"/>
      <c r="KXS79" s="378"/>
      <c r="KXT79" s="378"/>
      <c r="KXU79" s="378"/>
      <c r="KXV79" s="378"/>
      <c r="KXW79" s="378"/>
      <c r="KXX79" s="378"/>
      <c r="KXY79" s="378"/>
      <c r="KXZ79" s="378"/>
      <c r="KYA79" s="378"/>
      <c r="KYB79" s="378"/>
      <c r="KYC79" s="378"/>
      <c r="KYD79" s="378"/>
      <c r="KYE79" s="378"/>
      <c r="KYF79" s="378"/>
      <c r="KYG79" s="378"/>
      <c r="KYH79" s="378"/>
      <c r="KYI79" s="378"/>
      <c r="KYJ79" s="378"/>
      <c r="KYK79" s="378"/>
      <c r="KYL79" s="378"/>
      <c r="KYM79" s="378"/>
      <c r="KYN79" s="378"/>
      <c r="KYO79" s="378"/>
      <c r="KYP79" s="378"/>
      <c r="KYQ79" s="378"/>
      <c r="KYR79" s="378"/>
      <c r="KYS79" s="378"/>
      <c r="KYT79" s="378"/>
      <c r="KYU79" s="378"/>
      <c r="KYV79" s="378"/>
      <c r="KYW79" s="378"/>
      <c r="KYX79" s="378"/>
      <c r="KYY79" s="378"/>
      <c r="KYZ79" s="378"/>
      <c r="KZA79" s="378"/>
      <c r="KZB79" s="378"/>
      <c r="KZC79" s="378"/>
      <c r="KZD79" s="378"/>
      <c r="KZE79" s="378"/>
      <c r="KZF79" s="378"/>
      <c r="KZG79" s="378"/>
      <c r="KZH79" s="378"/>
      <c r="KZI79" s="378"/>
      <c r="KZJ79" s="378"/>
      <c r="KZK79" s="378"/>
      <c r="KZL79" s="378"/>
      <c r="KZM79" s="378"/>
      <c r="KZN79" s="378"/>
      <c r="KZO79" s="378"/>
      <c r="KZP79" s="378"/>
      <c r="KZQ79" s="378"/>
      <c r="KZR79" s="378"/>
      <c r="KZS79" s="378"/>
      <c r="KZT79" s="378"/>
      <c r="KZU79" s="378"/>
      <c r="KZV79" s="378"/>
      <c r="KZW79" s="378"/>
      <c r="KZX79" s="378"/>
      <c r="KZY79" s="378"/>
      <c r="KZZ79" s="378"/>
      <c r="LAA79" s="378"/>
      <c r="LAB79" s="378"/>
      <c r="LAC79" s="378"/>
      <c r="LAD79" s="378"/>
      <c r="LAE79" s="378"/>
      <c r="LAF79" s="378"/>
      <c r="LAG79" s="378"/>
      <c r="LAH79" s="378"/>
      <c r="LAI79" s="378"/>
      <c r="LAJ79" s="378"/>
      <c r="LAK79" s="378"/>
      <c r="LAL79" s="378"/>
      <c r="LAM79" s="378"/>
      <c r="LAN79" s="378"/>
      <c r="LAO79" s="378"/>
      <c r="LAP79" s="378"/>
      <c r="LAQ79" s="378"/>
      <c r="LAR79" s="378"/>
      <c r="LAS79" s="378"/>
      <c r="LAT79" s="378"/>
      <c r="LAU79" s="378"/>
      <c r="LAV79" s="378"/>
      <c r="LAW79" s="378"/>
      <c r="LAX79" s="378"/>
      <c r="LAY79" s="378"/>
      <c r="LAZ79" s="378"/>
      <c r="LBA79" s="378"/>
      <c r="LBB79" s="378"/>
      <c r="LBC79" s="378"/>
      <c r="LBD79" s="378"/>
      <c r="LBE79" s="378"/>
      <c r="LBF79" s="378"/>
      <c r="LBG79" s="378"/>
      <c r="LBH79" s="378"/>
      <c r="LBI79" s="378"/>
      <c r="LBJ79" s="378"/>
      <c r="LBK79" s="378"/>
      <c r="LBL79" s="378"/>
      <c r="LBM79" s="378"/>
      <c r="LBN79" s="378"/>
      <c r="LBO79" s="378"/>
      <c r="LBP79" s="378"/>
      <c r="LBQ79" s="378"/>
      <c r="LBR79" s="378"/>
      <c r="LBS79" s="378"/>
      <c r="LBT79" s="378"/>
      <c r="LBU79" s="378"/>
      <c r="LBV79" s="378"/>
      <c r="LBW79" s="378"/>
      <c r="LBX79" s="378"/>
      <c r="LBY79" s="378"/>
      <c r="LBZ79" s="378"/>
      <c r="LCA79" s="378"/>
      <c r="LCB79" s="378"/>
      <c r="LCC79" s="378"/>
      <c r="LCD79" s="378"/>
      <c r="LCE79" s="378"/>
      <c r="LCF79" s="378"/>
      <c r="LCG79" s="378"/>
      <c r="LCH79" s="378"/>
      <c r="LCI79" s="378"/>
      <c r="LCJ79" s="378"/>
      <c r="LCK79" s="378"/>
      <c r="LCL79" s="378"/>
      <c r="LCM79" s="378"/>
      <c r="LCN79" s="378"/>
      <c r="LCO79" s="378"/>
      <c r="LCP79" s="378"/>
      <c r="LCQ79" s="378"/>
      <c r="LCR79" s="378"/>
      <c r="LCS79" s="378"/>
      <c r="LCT79" s="378"/>
      <c r="LCU79" s="378"/>
      <c r="LCV79" s="378"/>
      <c r="LCW79" s="378"/>
      <c r="LCX79" s="378"/>
      <c r="LCY79" s="378"/>
      <c r="LCZ79" s="378"/>
      <c r="LDA79" s="378"/>
      <c r="LDB79" s="378"/>
      <c r="LDC79" s="378"/>
      <c r="LDD79" s="378"/>
      <c r="LDE79" s="378"/>
      <c r="LDF79" s="378"/>
      <c r="LDG79" s="378"/>
      <c r="LDH79" s="378"/>
      <c r="LDI79" s="378"/>
      <c r="LDJ79" s="378"/>
      <c r="LDK79" s="378"/>
      <c r="LDL79" s="378"/>
      <c r="LDM79" s="378"/>
      <c r="LDN79" s="378"/>
      <c r="LDO79" s="378"/>
      <c r="LDP79" s="378"/>
      <c r="LDQ79" s="378"/>
      <c r="LDR79" s="378"/>
      <c r="LDS79" s="378"/>
      <c r="LDT79" s="378"/>
      <c r="LDU79" s="378"/>
      <c r="LDV79" s="378"/>
      <c r="LDW79" s="378"/>
      <c r="LDX79" s="378"/>
      <c r="LDY79" s="378"/>
      <c r="LDZ79" s="378"/>
      <c r="LEA79" s="378"/>
      <c r="LEB79" s="378"/>
      <c r="LEC79" s="378"/>
      <c r="LED79" s="378"/>
      <c r="LEE79" s="378"/>
      <c r="LEF79" s="378"/>
      <c r="LEG79" s="378"/>
      <c r="LEH79" s="378"/>
      <c r="LEI79" s="378"/>
      <c r="LEJ79" s="378"/>
      <c r="LEK79" s="378"/>
      <c r="LEL79" s="378"/>
      <c r="LEM79" s="378"/>
      <c r="LEN79" s="378"/>
      <c r="LEO79" s="378"/>
      <c r="LEP79" s="378"/>
      <c r="LEQ79" s="378"/>
      <c r="LER79" s="378"/>
      <c r="LES79" s="378"/>
      <c r="LET79" s="378"/>
      <c r="LEU79" s="378"/>
      <c r="LEV79" s="378"/>
      <c r="LEW79" s="378"/>
      <c r="LEX79" s="378"/>
      <c r="LEY79" s="378"/>
      <c r="LEZ79" s="378"/>
      <c r="LFA79" s="378"/>
      <c r="LFB79" s="378"/>
      <c r="LFC79" s="378"/>
      <c r="LFD79" s="378"/>
      <c r="LFE79" s="378"/>
      <c r="LFF79" s="378"/>
      <c r="LFG79" s="378"/>
      <c r="LFH79" s="378"/>
      <c r="LFI79" s="378"/>
      <c r="LFJ79" s="378"/>
      <c r="LFK79" s="378"/>
      <c r="LFL79" s="378"/>
      <c r="LFM79" s="378"/>
      <c r="LFN79" s="378"/>
      <c r="LFO79" s="378"/>
      <c r="LFP79" s="378"/>
      <c r="LFQ79" s="378"/>
      <c r="LFR79" s="378"/>
      <c r="LFS79" s="378"/>
      <c r="LFT79" s="378"/>
      <c r="LFU79" s="378"/>
      <c r="LFV79" s="378"/>
      <c r="LFW79" s="378"/>
      <c r="LFX79" s="378"/>
      <c r="LFY79" s="378"/>
      <c r="LFZ79" s="378"/>
      <c r="LGA79" s="378"/>
      <c r="LGB79" s="378"/>
      <c r="LGC79" s="378"/>
      <c r="LGD79" s="378"/>
      <c r="LGE79" s="378"/>
      <c r="LGF79" s="378"/>
      <c r="LGG79" s="378"/>
      <c r="LGH79" s="378"/>
      <c r="LGI79" s="378"/>
      <c r="LGJ79" s="378"/>
      <c r="LGK79" s="378"/>
      <c r="LGL79" s="378"/>
      <c r="LGM79" s="378"/>
      <c r="LGN79" s="378"/>
      <c r="LGO79" s="378"/>
      <c r="LGP79" s="378"/>
      <c r="LGQ79" s="378"/>
      <c r="LGR79" s="378"/>
      <c r="LGS79" s="378"/>
      <c r="LGT79" s="378"/>
      <c r="LGU79" s="378"/>
      <c r="LGV79" s="378"/>
      <c r="LGW79" s="378"/>
      <c r="LGX79" s="378"/>
      <c r="LGY79" s="378"/>
      <c r="LGZ79" s="378"/>
      <c r="LHA79" s="378"/>
      <c r="LHB79" s="378"/>
      <c r="LHC79" s="378"/>
      <c r="LHD79" s="378"/>
      <c r="LHE79" s="378"/>
      <c r="LHF79" s="378"/>
      <c r="LHG79" s="378"/>
      <c r="LHH79" s="378"/>
      <c r="LHI79" s="378"/>
      <c r="LHJ79" s="378"/>
      <c r="LHK79" s="378"/>
      <c r="LHL79" s="378"/>
      <c r="LHM79" s="378"/>
      <c r="LHN79" s="378"/>
      <c r="LHO79" s="378"/>
      <c r="LHP79" s="378"/>
      <c r="LHQ79" s="378"/>
      <c r="LHR79" s="378"/>
      <c r="LHS79" s="378"/>
      <c r="LHT79" s="378"/>
      <c r="LHU79" s="378"/>
      <c r="LHV79" s="378"/>
      <c r="LHW79" s="378"/>
      <c r="LHX79" s="378"/>
      <c r="LHY79" s="378"/>
      <c r="LHZ79" s="378"/>
      <c r="LIA79" s="378"/>
      <c r="LIB79" s="378"/>
      <c r="LIC79" s="378"/>
      <c r="LID79" s="378"/>
      <c r="LIE79" s="378"/>
      <c r="LIF79" s="378"/>
      <c r="LIG79" s="378"/>
      <c r="LIH79" s="378"/>
      <c r="LII79" s="378"/>
      <c r="LIJ79" s="378"/>
      <c r="LIK79" s="378"/>
      <c r="LIL79" s="378"/>
      <c r="LIM79" s="378"/>
      <c r="LIN79" s="378"/>
      <c r="LIO79" s="378"/>
      <c r="LIP79" s="378"/>
      <c r="LIQ79" s="378"/>
      <c r="LIR79" s="378"/>
      <c r="LIS79" s="378"/>
      <c r="LIT79" s="378"/>
      <c r="LIU79" s="378"/>
      <c r="LIV79" s="378"/>
      <c r="LIW79" s="378"/>
      <c r="LIX79" s="378"/>
      <c r="LIY79" s="378"/>
      <c r="LIZ79" s="378"/>
      <c r="LJA79" s="378"/>
      <c r="LJB79" s="378"/>
      <c r="LJC79" s="378"/>
      <c r="LJD79" s="378"/>
      <c r="LJE79" s="378"/>
      <c r="LJF79" s="378"/>
      <c r="LJG79" s="378"/>
      <c r="LJH79" s="378"/>
      <c r="LJI79" s="378"/>
      <c r="LJJ79" s="378"/>
      <c r="LJK79" s="378"/>
      <c r="LJL79" s="378"/>
      <c r="LJM79" s="378"/>
      <c r="LJN79" s="378"/>
      <c r="LJO79" s="378"/>
      <c r="LJP79" s="378"/>
      <c r="LJQ79" s="378"/>
      <c r="LJR79" s="378"/>
      <c r="LJS79" s="378"/>
      <c r="LJT79" s="378"/>
      <c r="LJU79" s="378"/>
      <c r="LJV79" s="378"/>
      <c r="LJW79" s="378"/>
      <c r="LJX79" s="378"/>
      <c r="LJY79" s="378"/>
      <c r="LJZ79" s="378"/>
      <c r="LKA79" s="378"/>
      <c r="LKB79" s="378"/>
      <c r="LKC79" s="378"/>
      <c r="LKD79" s="378"/>
      <c r="LKE79" s="378"/>
      <c r="LKF79" s="378"/>
      <c r="LKG79" s="378"/>
      <c r="LKH79" s="378"/>
      <c r="LKI79" s="378"/>
      <c r="LKJ79" s="378"/>
      <c r="LKK79" s="378"/>
      <c r="LKL79" s="378"/>
      <c r="LKM79" s="378"/>
      <c r="LKN79" s="378"/>
      <c r="LKO79" s="378"/>
      <c r="LKP79" s="378"/>
      <c r="LKQ79" s="378"/>
      <c r="LKR79" s="378"/>
      <c r="LKS79" s="378"/>
      <c r="LKT79" s="378"/>
      <c r="LKU79" s="378"/>
      <c r="LKV79" s="378"/>
      <c r="LKW79" s="378"/>
      <c r="LKX79" s="378"/>
      <c r="LKY79" s="378"/>
      <c r="LKZ79" s="378"/>
      <c r="LLA79" s="378"/>
      <c r="LLB79" s="378"/>
      <c r="LLC79" s="378"/>
      <c r="LLD79" s="378"/>
      <c r="LLE79" s="378"/>
      <c r="LLF79" s="378"/>
      <c r="LLG79" s="378"/>
      <c r="LLH79" s="378"/>
      <c r="LLI79" s="378"/>
      <c r="LLJ79" s="378"/>
      <c r="LLK79" s="378"/>
      <c r="LLL79" s="378"/>
      <c r="LLM79" s="378"/>
      <c r="LLN79" s="378"/>
      <c r="LLO79" s="378"/>
      <c r="LLP79" s="378"/>
      <c r="LLQ79" s="378"/>
      <c r="LLR79" s="378"/>
      <c r="LLS79" s="378"/>
      <c r="LLT79" s="378"/>
      <c r="LLU79" s="378"/>
      <c r="LLV79" s="378"/>
      <c r="LLW79" s="378"/>
      <c r="LLX79" s="378"/>
      <c r="LLY79" s="378"/>
      <c r="LLZ79" s="378"/>
      <c r="LMA79" s="378"/>
      <c r="LMB79" s="378"/>
      <c r="LMC79" s="378"/>
      <c r="LMD79" s="378"/>
      <c r="LME79" s="378"/>
      <c r="LMF79" s="378"/>
      <c r="LMG79" s="378"/>
      <c r="LMH79" s="378"/>
      <c r="LMI79" s="378"/>
      <c r="LMJ79" s="378"/>
      <c r="LMK79" s="378"/>
      <c r="LML79" s="378"/>
      <c r="LMM79" s="378"/>
      <c r="LMN79" s="378"/>
      <c r="LMO79" s="378"/>
      <c r="LMP79" s="378"/>
      <c r="LMQ79" s="378"/>
      <c r="LMR79" s="378"/>
      <c r="LMS79" s="378"/>
      <c r="LMT79" s="378"/>
      <c r="LMU79" s="378"/>
      <c r="LMV79" s="378"/>
      <c r="LMW79" s="378"/>
      <c r="LMX79" s="378"/>
      <c r="LMY79" s="378"/>
      <c r="LMZ79" s="378"/>
      <c r="LNA79" s="378"/>
      <c r="LNB79" s="378"/>
      <c r="LNC79" s="378"/>
      <c r="LND79" s="378"/>
      <c r="LNE79" s="378"/>
      <c r="LNF79" s="378"/>
      <c r="LNG79" s="378"/>
      <c r="LNH79" s="378"/>
      <c r="LNI79" s="378"/>
      <c r="LNJ79" s="378"/>
      <c r="LNK79" s="378"/>
      <c r="LNL79" s="378"/>
      <c r="LNM79" s="378"/>
      <c r="LNN79" s="378"/>
      <c r="LNO79" s="378"/>
      <c r="LNP79" s="378"/>
      <c r="LNQ79" s="378"/>
      <c r="LNR79" s="378"/>
      <c r="LNS79" s="378"/>
      <c r="LNT79" s="378"/>
      <c r="LNU79" s="378"/>
      <c r="LNV79" s="378"/>
      <c r="LNW79" s="378"/>
      <c r="LNX79" s="378"/>
      <c r="LNY79" s="378"/>
      <c r="LNZ79" s="378"/>
      <c r="LOA79" s="378"/>
      <c r="LOB79" s="378"/>
      <c r="LOC79" s="378"/>
      <c r="LOD79" s="378"/>
      <c r="LOE79" s="378"/>
      <c r="LOF79" s="378"/>
      <c r="LOG79" s="378"/>
      <c r="LOH79" s="378"/>
      <c r="LOI79" s="378"/>
      <c r="LOJ79" s="378"/>
      <c r="LOK79" s="378"/>
      <c r="LOL79" s="378"/>
      <c r="LOM79" s="378"/>
      <c r="LON79" s="378"/>
      <c r="LOO79" s="378"/>
      <c r="LOP79" s="378"/>
      <c r="LOQ79" s="378"/>
      <c r="LOR79" s="378"/>
      <c r="LOS79" s="378"/>
      <c r="LOT79" s="378"/>
      <c r="LOU79" s="378"/>
      <c r="LOV79" s="378"/>
      <c r="LOW79" s="378"/>
      <c r="LOX79" s="378"/>
      <c r="LOY79" s="378"/>
      <c r="LOZ79" s="378"/>
      <c r="LPA79" s="378"/>
      <c r="LPB79" s="378"/>
      <c r="LPC79" s="378"/>
      <c r="LPD79" s="378"/>
      <c r="LPE79" s="378"/>
      <c r="LPF79" s="378"/>
      <c r="LPG79" s="378"/>
      <c r="LPH79" s="378"/>
      <c r="LPI79" s="378"/>
      <c r="LPJ79" s="378"/>
      <c r="LPK79" s="378"/>
      <c r="LPL79" s="378"/>
      <c r="LPM79" s="378"/>
      <c r="LPN79" s="378"/>
      <c r="LPO79" s="378"/>
      <c r="LPP79" s="378"/>
      <c r="LPQ79" s="378"/>
      <c r="LPR79" s="378"/>
      <c r="LPS79" s="378"/>
      <c r="LPT79" s="378"/>
      <c r="LPU79" s="378"/>
      <c r="LPV79" s="378"/>
      <c r="LPW79" s="378"/>
      <c r="LPX79" s="378"/>
      <c r="LPY79" s="378"/>
      <c r="LPZ79" s="378"/>
      <c r="LQA79" s="378"/>
      <c r="LQB79" s="378"/>
      <c r="LQC79" s="378"/>
      <c r="LQD79" s="378"/>
      <c r="LQE79" s="378"/>
      <c r="LQF79" s="378"/>
      <c r="LQG79" s="378"/>
      <c r="LQH79" s="378"/>
      <c r="LQI79" s="378"/>
      <c r="LQJ79" s="378"/>
      <c r="LQK79" s="378"/>
      <c r="LQL79" s="378"/>
      <c r="LQM79" s="378"/>
      <c r="LQN79" s="378"/>
      <c r="LQO79" s="378"/>
      <c r="LQP79" s="378"/>
      <c r="LQQ79" s="378"/>
      <c r="LQR79" s="378"/>
      <c r="LQS79" s="378"/>
      <c r="LQT79" s="378"/>
      <c r="LQU79" s="378"/>
      <c r="LQV79" s="378"/>
      <c r="LQW79" s="378"/>
      <c r="LQX79" s="378"/>
      <c r="LQY79" s="378"/>
      <c r="LQZ79" s="378"/>
      <c r="LRA79" s="378"/>
      <c r="LRB79" s="378"/>
      <c r="LRC79" s="378"/>
      <c r="LRD79" s="378"/>
      <c r="LRE79" s="378"/>
      <c r="LRF79" s="378"/>
      <c r="LRG79" s="378"/>
      <c r="LRH79" s="378"/>
      <c r="LRI79" s="378"/>
      <c r="LRJ79" s="378"/>
      <c r="LRK79" s="378"/>
      <c r="LRL79" s="378"/>
      <c r="LRM79" s="378"/>
      <c r="LRN79" s="378"/>
      <c r="LRO79" s="378"/>
      <c r="LRP79" s="378"/>
      <c r="LRQ79" s="378"/>
      <c r="LRR79" s="378"/>
      <c r="LRS79" s="378"/>
      <c r="LRT79" s="378"/>
      <c r="LRU79" s="378"/>
      <c r="LRV79" s="378"/>
      <c r="LRW79" s="378"/>
      <c r="LRX79" s="378"/>
      <c r="LRY79" s="378"/>
      <c r="LRZ79" s="378"/>
      <c r="LSA79" s="378"/>
      <c r="LSB79" s="378"/>
      <c r="LSC79" s="378"/>
      <c r="LSD79" s="378"/>
      <c r="LSE79" s="378"/>
      <c r="LSF79" s="378"/>
      <c r="LSG79" s="378"/>
      <c r="LSH79" s="378"/>
      <c r="LSI79" s="378"/>
      <c r="LSJ79" s="378"/>
      <c r="LSK79" s="378"/>
      <c r="LSL79" s="378"/>
      <c r="LSM79" s="378"/>
      <c r="LSN79" s="378"/>
      <c r="LSO79" s="378"/>
      <c r="LSP79" s="378"/>
      <c r="LSQ79" s="378"/>
      <c r="LSR79" s="378"/>
      <c r="LSS79" s="378"/>
      <c r="LST79" s="378"/>
      <c r="LSU79" s="378"/>
      <c r="LSV79" s="378"/>
      <c r="LSW79" s="378"/>
      <c r="LSX79" s="378"/>
      <c r="LSY79" s="378"/>
      <c r="LSZ79" s="378"/>
      <c r="LTA79" s="378"/>
      <c r="LTB79" s="378"/>
      <c r="LTC79" s="378"/>
      <c r="LTD79" s="378"/>
      <c r="LTE79" s="378"/>
      <c r="LTF79" s="378"/>
      <c r="LTG79" s="378"/>
      <c r="LTH79" s="378"/>
      <c r="LTI79" s="378"/>
      <c r="LTJ79" s="378"/>
      <c r="LTK79" s="378"/>
      <c r="LTL79" s="378"/>
      <c r="LTM79" s="378"/>
      <c r="LTN79" s="378"/>
      <c r="LTO79" s="378"/>
      <c r="LTP79" s="378"/>
      <c r="LTQ79" s="378"/>
      <c r="LTR79" s="378"/>
      <c r="LTS79" s="378"/>
      <c r="LTT79" s="378"/>
      <c r="LTU79" s="378"/>
      <c r="LTV79" s="378"/>
      <c r="LTW79" s="378"/>
      <c r="LTX79" s="378"/>
      <c r="LTY79" s="378"/>
      <c r="LTZ79" s="378"/>
      <c r="LUA79" s="378"/>
      <c r="LUB79" s="378"/>
      <c r="LUC79" s="378"/>
      <c r="LUD79" s="378"/>
      <c r="LUE79" s="378"/>
      <c r="LUF79" s="378"/>
      <c r="LUG79" s="378"/>
      <c r="LUH79" s="378"/>
      <c r="LUI79" s="378"/>
      <c r="LUJ79" s="378"/>
      <c r="LUK79" s="378"/>
      <c r="LUL79" s="378"/>
      <c r="LUM79" s="378"/>
      <c r="LUN79" s="378"/>
      <c r="LUO79" s="378"/>
      <c r="LUP79" s="378"/>
      <c r="LUQ79" s="378"/>
      <c r="LUR79" s="378"/>
      <c r="LUS79" s="378"/>
      <c r="LUT79" s="378"/>
      <c r="LUU79" s="378"/>
      <c r="LUV79" s="378"/>
      <c r="LUW79" s="378"/>
      <c r="LUX79" s="378"/>
      <c r="LUY79" s="378"/>
      <c r="LUZ79" s="378"/>
      <c r="LVA79" s="378"/>
      <c r="LVB79" s="378"/>
      <c r="LVC79" s="378"/>
      <c r="LVD79" s="378"/>
      <c r="LVE79" s="378"/>
      <c r="LVF79" s="378"/>
      <c r="LVG79" s="378"/>
      <c r="LVH79" s="378"/>
      <c r="LVI79" s="378"/>
      <c r="LVJ79" s="378"/>
      <c r="LVK79" s="378"/>
      <c r="LVL79" s="378"/>
      <c r="LVM79" s="378"/>
      <c r="LVN79" s="378"/>
      <c r="LVO79" s="378"/>
      <c r="LVP79" s="378"/>
      <c r="LVQ79" s="378"/>
      <c r="LVR79" s="378"/>
      <c r="LVS79" s="378"/>
      <c r="LVT79" s="378"/>
      <c r="LVU79" s="378"/>
      <c r="LVV79" s="378"/>
      <c r="LVW79" s="378"/>
      <c r="LVX79" s="378"/>
      <c r="LVY79" s="378"/>
      <c r="LVZ79" s="378"/>
      <c r="LWA79" s="378"/>
      <c r="LWB79" s="378"/>
      <c r="LWC79" s="378"/>
      <c r="LWD79" s="378"/>
      <c r="LWE79" s="378"/>
      <c r="LWF79" s="378"/>
      <c r="LWG79" s="378"/>
      <c r="LWH79" s="378"/>
      <c r="LWI79" s="378"/>
      <c r="LWJ79" s="378"/>
      <c r="LWK79" s="378"/>
      <c r="LWL79" s="378"/>
      <c r="LWM79" s="378"/>
      <c r="LWN79" s="378"/>
      <c r="LWO79" s="378"/>
      <c r="LWP79" s="378"/>
      <c r="LWQ79" s="378"/>
      <c r="LWR79" s="378"/>
      <c r="LWS79" s="378"/>
      <c r="LWT79" s="378"/>
      <c r="LWU79" s="378"/>
      <c r="LWV79" s="378"/>
      <c r="LWW79" s="378"/>
      <c r="LWX79" s="378"/>
      <c r="LWY79" s="378"/>
      <c r="LWZ79" s="378"/>
      <c r="LXA79" s="378"/>
      <c r="LXB79" s="378"/>
      <c r="LXC79" s="378"/>
      <c r="LXD79" s="378"/>
      <c r="LXE79" s="378"/>
      <c r="LXF79" s="378"/>
      <c r="LXG79" s="378"/>
      <c r="LXH79" s="378"/>
      <c r="LXI79" s="378"/>
      <c r="LXJ79" s="378"/>
      <c r="LXK79" s="378"/>
      <c r="LXL79" s="378"/>
      <c r="LXM79" s="378"/>
      <c r="LXN79" s="378"/>
      <c r="LXO79" s="378"/>
      <c r="LXP79" s="378"/>
      <c r="LXQ79" s="378"/>
      <c r="LXR79" s="378"/>
      <c r="LXS79" s="378"/>
      <c r="LXT79" s="378"/>
      <c r="LXU79" s="378"/>
      <c r="LXV79" s="378"/>
      <c r="LXW79" s="378"/>
      <c r="LXX79" s="378"/>
      <c r="LXY79" s="378"/>
      <c r="LXZ79" s="378"/>
      <c r="LYA79" s="378"/>
      <c r="LYB79" s="378"/>
      <c r="LYC79" s="378"/>
      <c r="LYD79" s="378"/>
      <c r="LYE79" s="378"/>
      <c r="LYF79" s="378"/>
      <c r="LYG79" s="378"/>
      <c r="LYH79" s="378"/>
      <c r="LYI79" s="378"/>
      <c r="LYJ79" s="378"/>
      <c r="LYK79" s="378"/>
      <c r="LYL79" s="378"/>
      <c r="LYM79" s="378"/>
      <c r="LYN79" s="378"/>
      <c r="LYO79" s="378"/>
      <c r="LYP79" s="378"/>
      <c r="LYQ79" s="378"/>
      <c r="LYR79" s="378"/>
      <c r="LYS79" s="378"/>
      <c r="LYT79" s="378"/>
      <c r="LYU79" s="378"/>
      <c r="LYV79" s="378"/>
      <c r="LYW79" s="378"/>
      <c r="LYX79" s="378"/>
      <c r="LYY79" s="378"/>
      <c r="LYZ79" s="378"/>
      <c r="LZA79" s="378"/>
      <c r="LZB79" s="378"/>
      <c r="LZC79" s="378"/>
      <c r="LZD79" s="378"/>
      <c r="LZE79" s="378"/>
      <c r="LZF79" s="378"/>
      <c r="LZG79" s="378"/>
      <c r="LZH79" s="378"/>
      <c r="LZI79" s="378"/>
      <c r="LZJ79" s="378"/>
      <c r="LZK79" s="378"/>
      <c r="LZL79" s="378"/>
      <c r="LZM79" s="378"/>
      <c r="LZN79" s="378"/>
      <c r="LZO79" s="378"/>
      <c r="LZP79" s="378"/>
      <c r="LZQ79" s="378"/>
      <c r="LZR79" s="378"/>
      <c r="LZS79" s="378"/>
      <c r="LZT79" s="378"/>
      <c r="LZU79" s="378"/>
      <c r="LZV79" s="378"/>
      <c r="LZW79" s="378"/>
      <c r="LZX79" s="378"/>
      <c r="LZY79" s="378"/>
      <c r="LZZ79" s="378"/>
      <c r="MAA79" s="378"/>
      <c r="MAB79" s="378"/>
      <c r="MAC79" s="378"/>
      <c r="MAD79" s="378"/>
      <c r="MAE79" s="378"/>
      <c r="MAF79" s="378"/>
      <c r="MAG79" s="378"/>
      <c r="MAH79" s="378"/>
      <c r="MAI79" s="378"/>
      <c r="MAJ79" s="378"/>
      <c r="MAK79" s="378"/>
      <c r="MAL79" s="378"/>
      <c r="MAM79" s="378"/>
      <c r="MAN79" s="378"/>
      <c r="MAO79" s="378"/>
      <c r="MAP79" s="378"/>
      <c r="MAQ79" s="378"/>
      <c r="MAR79" s="378"/>
      <c r="MAS79" s="378"/>
      <c r="MAT79" s="378"/>
      <c r="MAU79" s="378"/>
      <c r="MAV79" s="378"/>
      <c r="MAW79" s="378"/>
      <c r="MAX79" s="378"/>
      <c r="MAY79" s="378"/>
      <c r="MAZ79" s="378"/>
      <c r="MBA79" s="378"/>
      <c r="MBB79" s="378"/>
      <c r="MBC79" s="378"/>
      <c r="MBD79" s="378"/>
      <c r="MBE79" s="378"/>
      <c r="MBF79" s="378"/>
      <c r="MBG79" s="378"/>
      <c r="MBH79" s="378"/>
      <c r="MBI79" s="378"/>
      <c r="MBJ79" s="378"/>
      <c r="MBK79" s="378"/>
      <c r="MBL79" s="378"/>
      <c r="MBM79" s="378"/>
      <c r="MBN79" s="378"/>
      <c r="MBO79" s="378"/>
      <c r="MBP79" s="378"/>
      <c r="MBQ79" s="378"/>
      <c r="MBR79" s="378"/>
      <c r="MBS79" s="378"/>
      <c r="MBT79" s="378"/>
      <c r="MBU79" s="378"/>
      <c r="MBV79" s="378"/>
      <c r="MBW79" s="378"/>
      <c r="MBX79" s="378"/>
      <c r="MBY79" s="378"/>
      <c r="MBZ79" s="378"/>
      <c r="MCA79" s="378"/>
      <c r="MCB79" s="378"/>
      <c r="MCC79" s="378"/>
      <c r="MCD79" s="378"/>
      <c r="MCE79" s="378"/>
      <c r="MCF79" s="378"/>
      <c r="MCG79" s="378"/>
      <c r="MCH79" s="378"/>
      <c r="MCI79" s="378"/>
      <c r="MCJ79" s="378"/>
      <c r="MCK79" s="378"/>
      <c r="MCL79" s="378"/>
      <c r="MCM79" s="378"/>
      <c r="MCN79" s="378"/>
      <c r="MCO79" s="378"/>
      <c r="MCP79" s="378"/>
      <c r="MCQ79" s="378"/>
      <c r="MCR79" s="378"/>
      <c r="MCS79" s="378"/>
      <c r="MCT79" s="378"/>
      <c r="MCU79" s="378"/>
      <c r="MCV79" s="378"/>
      <c r="MCW79" s="378"/>
      <c r="MCX79" s="378"/>
      <c r="MCY79" s="378"/>
      <c r="MCZ79" s="378"/>
      <c r="MDA79" s="378"/>
      <c r="MDB79" s="378"/>
      <c r="MDC79" s="378"/>
      <c r="MDD79" s="378"/>
      <c r="MDE79" s="378"/>
      <c r="MDF79" s="378"/>
      <c r="MDG79" s="378"/>
      <c r="MDH79" s="378"/>
      <c r="MDI79" s="378"/>
      <c r="MDJ79" s="378"/>
      <c r="MDK79" s="378"/>
      <c r="MDL79" s="378"/>
      <c r="MDM79" s="378"/>
      <c r="MDN79" s="378"/>
      <c r="MDO79" s="378"/>
      <c r="MDP79" s="378"/>
      <c r="MDQ79" s="378"/>
      <c r="MDR79" s="378"/>
      <c r="MDS79" s="378"/>
      <c r="MDT79" s="378"/>
      <c r="MDU79" s="378"/>
      <c r="MDV79" s="378"/>
      <c r="MDW79" s="378"/>
      <c r="MDX79" s="378"/>
      <c r="MDY79" s="378"/>
      <c r="MDZ79" s="378"/>
      <c r="MEA79" s="378"/>
      <c r="MEB79" s="378"/>
      <c r="MEC79" s="378"/>
      <c r="MED79" s="378"/>
      <c r="MEE79" s="378"/>
      <c r="MEF79" s="378"/>
      <c r="MEG79" s="378"/>
      <c r="MEH79" s="378"/>
      <c r="MEI79" s="378"/>
      <c r="MEJ79" s="378"/>
      <c r="MEK79" s="378"/>
      <c r="MEL79" s="378"/>
      <c r="MEM79" s="378"/>
      <c r="MEN79" s="378"/>
      <c r="MEO79" s="378"/>
      <c r="MEP79" s="378"/>
      <c r="MEQ79" s="378"/>
      <c r="MER79" s="378"/>
      <c r="MES79" s="378"/>
      <c r="MET79" s="378"/>
      <c r="MEU79" s="378"/>
      <c r="MEV79" s="378"/>
      <c r="MEW79" s="378"/>
      <c r="MEX79" s="378"/>
      <c r="MEY79" s="378"/>
      <c r="MEZ79" s="378"/>
      <c r="MFA79" s="378"/>
      <c r="MFB79" s="378"/>
      <c r="MFC79" s="378"/>
      <c r="MFD79" s="378"/>
      <c r="MFE79" s="378"/>
      <c r="MFF79" s="378"/>
      <c r="MFG79" s="378"/>
      <c r="MFH79" s="378"/>
      <c r="MFI79" s="378"/>
      <c r="MFJ79" s="378"/>
      <c r="MFK79" s="378"/>
      <c r="MFL79" s="378"/>
      <c r="MFM79" s="378"/>
      <c r="MFN79" s="378"/>
      <c r="MFO79" s="378"/>
      <c r="MFP79" s="378"/>
      <c r="MFQ79" s="378"/>
      <c r="MFR79" s="378"/>
      <c r="MFS79" s="378"/>
      <c r="MFT79" s="378"/>
      <c r="MFU79" s="378"/>
      <c r="MFV79" s="378"/>
      <c r="MFW79" s="378"/>
      <c r="MFX79" s="378"/>
      <c r="MFY79" s="378"/>
      <c r="MFZ79" s="378"/>
      <c r="MGA79" s="378"/>
      <c r="MGB79" s="378"/>
      <c r="MGC79" s="378"/>
      <c r="MGD79" s="378"/>
      <c r="MGE79" s="378"/>
      <c r="MGF79" s="378"/>
      <c r="MGG79" s="378"/>
      <c r="MGH79" s="378"/>
      <c r="MGI79" s="378"/>
      <c r="MGJ79" s="378"/>
      <c r="MGK79" s="378"/>
      <c r="MGL79" s="378"/>
      <c r="MGM79" s="378"/>
      <c r="MGN79" s="378"/>
      <c r="MGO79" s="378"/>
      <c r="MGP79" s="378"/>
      <c r="MGQ79" s="378"/>
      <c r="MGR79" s="378"/>
      <c r="MGS79" s="378"/>
      <c r="MGT79" s="378"/>
      <c r="MGU79" s="378"/>
      <c r="MGV79" s="378"/>
      <c r="MGW79" s="378"/>
      <c r="MGX79" s="378"/>
      <c r="MGY79" s="378"/>
      <c r="MGZ79" s="378"/>
      <c r="MHA79" s="378"/>
      <c r="MHB79" s="378"/>
      <c r="MHC79" s="378"/>
      <c r="MHD79" s="378"/>
      <c r="MHE79" s="378"/>
      <c r="MHF79" s="378"/>
      <c r="MHG79" s="378"/>
      <c r="MHH79" s="378"/>
      <c r="MHI79" s="378"/>
      <c r="MHJ79" s="378"/>
      <c r="MHK79" s="378"/>
      <c r="MHL79" s="378"/>
      <c r="MHM79" s="378"/>
      <c r="MHN79" s="378"/>
      <c r="MHO79" s="378"/>
      <c r="MHP79" s="378"/>
      <c r="MHQ79" s="378"/>
      <c r="MHR79" s="378"/>
      <c r="MHS79" s="378"/>
      <c r="MHT79" s="378"/>
      <c r="MHU79" s="378"/>
      <c r="MHV79" s="378"/>
      <c r="MHW79" s="378"/>
      <c r="MHX79" s="378"/>
      <c r="MHY79" s="378"/>
      <c r="MHZ79" s="378"/>
      <c r="MIA79" s="378"/>
      <c r="MIB79" s="378"/>
      <c r="MIC79" s="378"/>
      <c r="MID79" s="378"/>
      <c r="MIE79" s="378"/>
      <c r="MIF79" s="378"/>
      <c r="MIG79" s="378"/>
      <c r="MIH79" s="378"/>
      <c r="MII79" s="378"/>
      <c r="MIJ79" s="378"/>
      <c r="MIK79" s="378"/>
      <c r="MIL79" s="378"/>
      <c r="MIM79" s="378"/>
      <c r="MIN79" s="378"/>
      <c r="MIO79" s="378"/>
      <c r="MIP79" s="378"/>
      <c r="MIQ79" s="378"/>
      <c r="MIR79" s="378"/>
      <c r="MIS79" s="378"/>
      <c r="MIT79" s="378"/>
      <c r="MIU79" s="378"/>
      <c r="MIV79" s="378"/>
      <c r="MIW79" s="378"/>
      <c r="MIX79" s="378"/>
      <c r="MIY79" s="378"/>
      <c r="MIZ79" s="378"/>
      <c r="MJA79" s="378"/>
      <c r="MJB79" s="378"/>
      <c r="MJC79" s="378"/>
      <c r="MJD79" s="378"/>
      <c r="MJE79" s="378"/>
      <c r="MJF79" s="378"/>
      <c r="MJG79" s="378"/>
      <c r="MJH79" s="378"/>
      <c r="MJI79" s="378"/>
      <c r="MJJ79" s="378"/>
      <c r="MJK79" s="378"/>
      <c r="MJL79" s="378"/>
      <c r="MJM79" s="378"/>
      <c r="MJN79" s="378"/>
      <c r="MJO79" s="378"/>
      <c r="MJP79" s="378"/>
      <c r="MJQ79" s="378"/>
      <c r="MJR79" s="378"/>
      <c r="MJS79" s="378"/>
      <c r="MJT79" s="378"/>
      <c r="MJU79" s="378"/>
      <c r="MJV79" s="378"/>
      <c r="MJW79" s="378"/>
      <c r="MJX79" s="378"/>
      <c r="MJY79" s="378"/>
      <c r="MJZ79" s="378"/>
      <c r="MKA79" s="378"/>
      <c r="MKB79" s="378"/>
      <c r="MKC79" s="378"/>
      <c r="MKD79" s="378"/>
      <c r="MKE79" s="378"/>
      <c r="MKF79" s="378"/>
      <c r="MKG79" s="378"/>
      <c r="MKH79" s="378"/>
      <c r="MKI79" s="378"/>
      <c r="MKJ79" s="378"/>
      <c r="MKK79" s="378"/>
      <c r="MKL79" s="378"/>
      <c r="MKM79" s="378"/>
      <c r="MKN79" s="378"/>
      <c r="MKO79" s="378"/>
      <c r="MKP79" s="378"/>
      <c r="MKQ79" s="378"/>
      <c r="MKR79" s="378"/>
      <c r="MKS79" s="378"/>
      <c r="MKT79" s="378"/>
      <c r="MKU79" s="378"/>
      <c r="MKV79" s="378"/>
      <c r="MKW79" s="378"/>
      <c r="MKX79" s="378"/>
      <c r="MKY79" s="378"/>
      <c r="MKZ79" s="378"/>
      <c r="MLA79" s="378"/>
      <c r="MLB79" s="378"/>
      <c r="MLC79" s="378"/>
      <c r="MLD79" s="378"/>
      <c r="MLE79" s="378"/>
      <c r="MLF79" s="378"/>
      <c r="MLG79" s="378"/>
      <c r="MLH79" s="378"/>
      <c r="MLI79" s="378"/>
      <c r="MLJ79" s="378"/>
      <c r="MLK79" s="378"/>
      <c r="MLL79" s="378"/>
      <c r="MLM79" s="378"/>
      <c r="MLN79" s="378"/>
      <c r="MLO79" s="378"/>
      <c r="MLP79" s="378"/>
      <c r="MLQ79" s="378"/>
      <c r="MLR79" s="378"/>
      <c r="MLS79" s="378"/>
      <c r="MLT79" s="378"/>
      <c r="MLU79" s="378"/>
      <c r="MLV79" s="378"/>
      <c r="MLW79" s="378"/>
      <c r="MLX79" s="378"/>
      <c r="MLY79" s="378"/>
      <c r="MLZ79" s="378"/>
      <c r="MMA79" s="378"/>
      <c r="MMB79" s="378"/>
      <c r="MMC79" s="378"/>
      <c r="MMD79" s="378"/>
      <c r="MME79" s="378"/>
      <c r="MMF79" s="378"/>
      <c r="MMG79" s="378"/>
      <c r="MMH79" s="378"/>
      <c r="MMI79" s="378"/>
      <c r="MMJ79" s="378"/>
      <c r="MMK79" s="378"/>
      <c r="MML79" s="378"/>
      <c r="MMM79" s="378"/>
      <c r="MMN79" s="378"/>
      <c r="MMO79" s="378"/>
      <c r="MMP79" s="378"/>
      <c r="MMQ79" s="378"/>
      <c r="MMR79" s="378"/>
      <c r="MMS79" s="378"/>
      <c r="MMT79" s="378"/>
      <c r="MMU79" s="378"/>
      <c r="MMV79" s="378"/>
      <c r="MMW79" s="378"/>
      <c r="MMX79" s="378"/>
      <c r="MMY79" s="378"/>
      <c r="MMZ79" s="378"/>
      <c r="MNA79" s="378"/>
      <c r="MNB79" s="378"/>
      <c r="MNC79" s="378"/>
      <c r="MND79" s="378"/>
      <c r="MNE79" s="378"/>
      <c r="MNF79" s="378"/>
      <c r="MNG79" s="378"/>
      <c r="MNH79" s="378"/>
      <c r="MNI79" s="378"/>
      <c r="MNJ79" s="378"/>
      <c r="MNK79" s="378"/>
      <c r="MNL79" s="378"/>
      <c r="MNM79" s="378"/>
      <c r="MNN79" s="378"/>
      <c r="MNO79" s="378"/>
      <c r="MNP79" s="378"/>
      <c r="MNQ79" s="378"/>
      <c r="MNR79" s="378"/>
      <c r="MNS79" s="378"/>
      <c r="MNT79" s="378"/>
      <c r="MNU79" s="378"/>
      <c r="MNV79" s="378"/>
      <c r="MNW79" s="378"/>
      <c r="MNX79" s="378"/>
      <c r="MNY79" s="378"/>
      <c r="MNZ79" s="378"/>
      <c r="MOA79" s="378"/>
      <c r="MOB79" s="378"/>
      <c r="MOC79" s="378"/>
      <c r="MOD79" s="378"/>
      <c r="MOE79" s="378"/>
      <c r="MOF79" s="378"/>
      <c r="MOG79" s="378"/>
      <c r="MOH79" s="378"/>
      <c r="MOI79" s="378"/>
      <c r="MOJ79" s="378"/>
      <c r="MOK79" s="378"/>
      <c r="MOL79" s="378"/>
      <c r="MOM79" s="378"/>
      <c r="MON79" s="378"/>
      <c r="MOO79" s="378"/>
      <c r="MOP79" s="378"/>
      <c r="MOQ79" s="378"/>
      <c r="MOR79" s="378"/>
      <c r="MOS79" s="378"/>
      <c r="MOT79" s="378"/>
      <c r="MOU79" s="378"/>
      <c r="MOV79" s="378"/>
      <c r="MOW79" s="378"/>
      <c r="MOX79" s="378"/>
      <c r="MOY79" s="378"/>
      <c r="MOZ79" s="378"/>
      <c r="MPA79" s="378"/>
      <c r="MPB79" s="378"/>
      <c r="MPC79" s="378"/>
      <c r="MPD79" s="378"/>
      <c r="MPE79" s="378"/>
      <c r="MPF79" s="378"/>
      <c r="MPG79" s="378"/>
      <c r="MPH79" s="378"/>
      <c r="MPI79" s="378"/>
      <c r="MPJ79" s="378"/>
      <c r="MPK79" s="378"/>
      <c r="MPL79" s="378"/>
      <c r="MPM79" s="378"/>
      <c r="MPN79" s="378"/>
      <c r="MPO79" s="378"/>
      <c r="MPP79" s="378"/>
      <c r="MPQ79" s="378"/>
      <c r="MPR79" s="378"/>
      <c r="MPS79" s="378"/>
      <c r="MPT79" s="378"/>
      <c r="MPU79" s="378"/>
      <c r="MPV79" s="378"/>
      <c r="MPW79" s="378"/>
      <c r="MPX79" s="378"/>
      <c r="MPY79" s="378"/>
      <c r="MPZ79" s="378"/>
      <c r="MQA79" s="378"/>
      <c r="MQB79" s="378"/>
      <c r="MQC79" s="378"/>
      <c r="MQD79" s="378"/>
      <c r="MQE79" s="378"/>
      <c r="MQF79" s="378"/>
      <c r="MQG79" s="378"/>
      <c r="MQH79" s="378"/>
      <c r="MQI79" s="378"/>
      <c r="MQJ79" s="378"/>
      <c r="MQK79" s="378"/>
      <c r="MQL79" s="378"/>
      <c r="MQM79" s="378"/>
      <c r="MQN79" s="378"/>
      <c r="MQO79" s="378"/>
      <c r="MQP79" s="378"/>
      <c r="MQQ79" s="378"/>
      <c r="MQR79" s="378"/>
      <c r="MQS79" s="378"/>
      <c r="MQT79" s="378"/>
      <c r="MQU79" s="378"/>
      <c r="MQV79" s="378"/>
      <c r="MQW79" s="378"/>
      <c r="MQX79" s="378"/>
      <c r="MQY79" s="378"/>
      <c r="MQZ79" s="378"/>
      <c r="MRA79" s="378"/>
      <c r="MRB79" s="378"/>
      <c r="MRC79" s="378"/>
      <c r="MRD79" s="378"/>
      <c r="MRE79" s="378"/>
      <c r="MRF79" s="378"/>
      <c r="MRG79" s="378"/>
      <c r="MRH79" s="378"/>
      <c r="MRI79" s="378"/>
      <c r="MRJ79" s="378"/>
      <c r="MRK79" s="378"/>
      <c r="MRL79" s="378"/>
      <c r="MRM79" s="378"/>
      <c r="MRN79" s="378"/>
      <c r="MRO79" s="378"/>
      <c r="MRP79" s="378"/>
      <c r="MRQ79" s="378"/>
      <c r="MRR79" s="378"/>
      <c r="MRS79" s="378"/>
      <c r="MRT79" s="378"/>
      <c r="MRU79" s="378"/>
      <c r="MRV79" s="378"/>
      <c r="MRW79" s="378"/>
      <c r="MRX79" s="378"/>
      <c r="MRY79" s="378"/>
      <c r="MRZ79" s="378"/>
      <c r="MSA79" s="378"/>
      <c r="MSB79" s="378"/>
      <c r="MSC79" s="378"/>
      <c r="MSD79" s="378"/>
      <c r="MSE79" s="378"/>
      <c r="MSF79" s="378"/>
      <c r="MSG79" s="378"/>
      <c r="MSH79" s="378"/>
      <c r="MSI79" s="378"/>
      <c r="MSJ79" s="378"/>
      <c r="MSK79" s="378"/>
      <c r="MSL79" s="378"/>
      <c r="MSM79" s="378"/>
      <c r="MSN79" s="378"/>
      <c r="MSO79" s="378"/>
      <c r="MSP79" s="378"/>
      <c r="MSQ79" s="378"/>
      <c r="MSR79" s="378"/>
      <c r="MSS79" s="378"/>
      <c r="MST79" s="378"/>
      <c r="MSU79" s="378"/>
      <c r="MSV79" s="378"/>
      <c r="MSW79" s="378"/>
      <c r="MSX79" s="378"/>
      <c r="MSY79" s="378"/>
      <c r="MSZ79" s="378"/>
      <c r="MTA79" s="378"/>
      <c r="MTB79" s="378"/>
      <c r="MTC79" s="378"/>
      <c r="MTD79" s="378"/>
      <c r="MTE79" s="378"/>
      <c r="MTF79" s="378"/>
      <c r="MTG79" s="378"/>
      <c r="MTH79" s="378"/>
      <c r="MTI79" s="378"/>
      <c r="MTJ79" s="378"/>
      <c r="MTK79" s="378"/>
      <c r="MTL79" s="378"/>
      <c r="MTM79" s="378"/>
      <c r="MTN79" s="378"/>
      <c r="MTO79" s="378"/>
      <c r="MTP79" s="378"/>
      <c r="MTQ79" s="378"/>
      <c r="MTR79" s="378"/>
      <c r="MTS79" s="378"/>
      <c r="MTT79" s="378"/>
      <c r="MTU79" s="378"/>
      <c r="MTV79" s="378"/>
      <c r="MTW79" s="378"/>
      <c r="MTX79" s="378"/>
      <c r="MTY79" s="378"/>
      <c r="MTZ79" s="378"/>
      <c r="MUA79" s="378"/>
      <c r="MUB79" s="378"/>
      <c r="MUC79" s="378"/>
      <c r="MUD79" s="378"/>
      <c r="MUE79" s="378"/>
      <c r="MUF79" s="378"/>
      <c r="MUG79" s="378"/>
      <c r="MUH79" s="378"/>
      <c r="MUI79" s="378"/>
      <c r="MUJ79" s="378"/>
      <c r="MUK79" s="378"/>
      <c r="MUL79" s="378"/>
      <c r="MUM79" s="378"/>
      <c r="MUN79" s="378"/>
      <c r="MUO79" s="378"/>
      <c r="MUP79" s="378"/>
      <c r="MUQ79" s="378"/>
      <c r="MUR79" s="378"/>
      <c r="MUS79" s="378"/>
      <c r="MUT79" s="378"/>
      <c r="MUU79" s="378"/>
      <c r="MUV79" s="378"/>
      <c r="MUW79" s="378"/>
      <c r="MUX79" s="378"/>
      <c r="MUY79" s="378"/>
      <c r="MUZ79" s="378"/>
      <c r="MVA79" s="378"/>
      <c r="MVB79" s="378"/>
      <c r="MVC79" s="378"/>
      <c r="MVD79" s="378"/>
      <c r="MVE79" s="378"/>
      <c r="MVF79" s="378"/>
      <c r="MVG79" s="378"/>
      <c r="MVH79" s="378"/>
      <c r="MVI79" s="378"/>
      <c r="MVJ79" s="378"/>
      <c r="MVK79" s="378"/>
      <c r="MVL79" s="378"/>
      <c r="MVM79" s="378"/>
      <c r="MVN79" s="378"/>
      <c r="MVO79" s="378"/>
      <c r="MVP79" s="378"/>
      <c r="MVQ79" s="378"/>
      <c r="MVR79" s="378"/>
      <c r="MVS79" s="378"/>
      <c r="MVT79" s="378"/>
      <c r="MVU79" s="378"/>
      <c r="MVV79" s="378"/>
      <c r="MVW79" s="378"/>
      <c r="MVX79" s="378"/>
      <c r="MVY79" s="378"/>
      <c r="MVZ79" s="378"/>
      <c r="MWA79" s="378"/>
      <c r="MWB79" s="378"/>
      <c r="MWC79" s="378"/>
      <c r="MWD79" s="378"/>
      <c r="MWE79" s="378"/>
      <c r="MWF79" s="378"/>
      <c r="MWG79" s="378"/>
      <c r="MWH79" s="378"/>
      <c r="MWI79" s="378"/>
      <c r="MWJ79" s="378"/>
      <c r="MWK79" s="378"/>
      <c r="MWL79" s="378"/>
      <c r="MWM79" s="378"/>
      <c r="MWN79" s="378"/>
      <c r="MWO79" s="378"/>
      <c r="MWP79" s="378"/>
      <c r="MWQ79" s="378"/>
      <c r="MWR79" s="378"/>
      <c r="MWS79" s="378"/>
      <c r="MWT79" s="378"/>
      <c r="MWU79" s="378"/>
      <c r="MWV79" s="378"/>
      <c r="MWW79" s="378"/>
      <c r="MWX79" s="378"/>
      <c r="MWY79" s="378"/>
      <c r="MWZ79" s="378"/>
      <c r="MXA79" s="378"/>
      <c r="MXB79" s="378"/>
      <c r="MXC79" s="378"/>
      <c r="MXD79" s="378"/>
      <c r="MXE79" s="378"/>
      <c r="MXF79" s="378"/>
      <c r="MXG79" s="378"/>
      <c r="MXH79" s="378"/>
      <c r="MXI79" s="378"/>
      <c r="MXJ79" s="378"/>
      <c r="MXK79" s="378"/>
      <c r="MXL79" s="378"/>
      <c r="MXM79" s="378"/>
      <c r="MXN79" s="378"/>
      <c r="MXO79" s="378"/>
      <c r="MXP79" s="378"/>
      <c r="MXQ79" s="378"/>
      <c r="MXR79" s="378"/>
      <c r="MXS79" s="378"/>
      <c r="MXT79" s="378"/>
      <c r="MXU79" s="378"/>
      <c r="MXV79" s="378"/>
      <c r="MXW79" s="378"/>
      <c r="MXX79" s="378"/>
      <c r="MXY79" s="378"/>
      <c r="MXZ79" s="378"/>
      <c r="MYA79" s="378"/>
      <c r="MYB79" s="378"/>
      <c r="MYC79" s="378"/>
      <c r="MYD79" s="378"/>
      <c r="MYE79" s="378"/>
      <c r="MYF79" s="378"/>
      <c r="MYG79" s="378"/>
      <c r="MYH79" s="378"/>
      <c r="MYI79" s="378"/>
      <c r="MYJ79" s="378"/>
      <c r="MYK79" s="378"/>
      <c r="MYL79" s="378"/>
      <c r="MYM79" s="378"/>
      <c r="MYN79" s="378"/>
      <c r="MYO79" s="378"/>
      <c r="MYP79" s="378"/>
      <c r="MYQ79" s="378"/>
      <c r="MYR79" s="378"/>
      <c r="MYS79" s="378"/>
      <c r="MYT79" s="378"/>
      <c r="MYU79" s="378"/>
      <c r="MYV79" s="378"/>
      <c r="MYW79" s="378"/>
      <c r="MYX79" s="378"/>
      <c r="MYY79" s="378"/>
      <c r="MYZ79" s="378"/>
      <c r="MZA79" s="378"/>
      <c r="MZB79" s="378"/>
      <c r="MZC79" s="378"/>
      <c r="MZD79" s="378"/>
      <c r="MZE79" s="378"/>
      <c r="MZF79" s="378"/>
      <c r="MZG79" s="378"/>
      <c r="MZH79" s="378"/>
      <c r="MZI79" s="378"/>
      <c r="MZJ79" s="378"/>
      <c r="MZK79" s="378"/>
      <c r="MZL79" s="378"/>
      <c r="MZM79" s="378"/>
      <c r="MZN79" s="378"/>
      <c r="MZO79" s="378"/>
      <c r="MZP79" s="378"/>
      <c r="MZQ79" s="378"/>
      <c r="MZR79" s="378"/>
      <c r="MZS79" s="378"/>
      <c r="MZT79" s="378"/>
      <c r="MZU79" s="378"/>
      <c r="MZV79" s="378"/>
      <c r="MZW79" s="378"/>
      <c r="MZX79" s="378"/>
      <c r="MZY79" s="378"/>
      <c r="MZZ79" s="378"/>
      <c r="NAA79" s="378"/>
      <c r="NAB79" s="378"/>
      <c r="NAC79" s="378"/>
      <c r="NAD79" s="378"/>
      <c r="NAE79" s="378"/>
      <c r="NAF79" s="378"/>
      <c r="NAG79" s="378"/>
      <c r="NAH79" s="378"/>
      <c r="NAI79" s="378"/>
      <c r="NAJ79" s="378"/>
      <c r="NAK79" s="378"/>
      <c r="NAL79" s="378"/>
      <c r="NAM79" s="378"/>
      <c r="NAN79" s="378"/>
      <c r="NAO79" s="378"/>
      <c r="NAP79" s="378"/>
      <c r="NAQ79" s="378"/>
      <c r="NAR79" s="378"/>
      <c r="NAS79" s="378"/>
      <c r="NAT79" s="378"/>
      <c r="NAU79" s="378"/>
      <c r="NAV79" s="378"/>
      <c r="NAW79" s="378"/>
      <c r="NAX79" s="378"/>
      <c r="NAY79" s="378"/>
      <c r="NAZ79" s="378"/>
      <c r="NBA79" s="378"/>
      <c r="NBB79" s="378"/>
      <c r="NBC79" s="378"/>
      <c r="NBD79" s="378"/>
      <c r="NBE79" s="378"/>
      <c r="NBF79" s="378"/>
      <c r="NBG79" s="378"/>
      <c r="NBH79" s="378"/>
      <c r="NBI79" s="378"/>
      <c r="NBJ79" s="378"/>
      <c r="NBK79" s="378"/>
      <c r="NBL79" s="378"/>
      <c r="NBM79" s="378"/>
      <c r="NBN79" s="378"/>
      <c r="NBO79" s="378"/>
      <c r="NBP79" s="378"/>
      <c r="NBQ79" s="378"/>
      <c r="NBR79" s="378"/>
      <c r="NBS79" s="378"/>
      <c r="NBT79" s="378"/>
      <c r="NBU79" s="378"/>
      <c r="NBV79" s="378"/>
      <c r="NBW79" s="378"/>
      <c r="NBX79" s="378"/>
      <c r="NBY79" s="378"/>
      <c r="NBZ79" s="378"/>
      <c r="NCA79" s="378"/>
      <c r="NCB79" s="378"/>
      <c r="NCC79" s="378"/>
      <c r="NCD79" s="378"/>
      <c r="NCE79" s="378"/>
      <c r="NCF79" s="378"/>
      <c r="NCG79" s="378"/>
      <c r="NCH79" s="378"/>
      <c r="NCI79" s="378"/>
      <c r="NCJ79" s="378"/>
      <c r="NCK79" s="378"/>
      <c r="NCL79" s="378"/>
      <c r="NCM79" s="378"/>
      <c r="NCN79" s="378"/>
      <c r="NCO79" s="378"/>
      <c r="NCP79" s="378"/>
      <c r="NCQ79" s="378"/>
      <c r="NCR79" s="378"/>
      <c r="NCS79" s="378"/>
      <c r="NCT79" s="378"/>
      <c r="NCU79" s="378"/>
      <c r="NCV79" s="378"/>
      <c r="NCW79" s="378"/>
      <c r="NCX79" s="378"/>
      <c r="NCY79" s="378"/>
      <c r="NCZ79" s="378"/>
      <c r="NDA79" s="378"/>
      <c r="NDB79" s="378"/>
      <c r="NDC79" s="378"/>
      <c r="NDD79" s="378"/>
      <c r="NDE79" s="378"/>
      <c r="NDF79" s="378"/>
      <c r="NDG79" s="378"/>
      <c r="NDH79" s="378"/>
      <c r="NDI79" s="378"/>
      <c r="NDJ79" s="378"/>
      <c r="NDK79" s="378"/>
      <c r="NDL79" s="378"/>
      <c r="NDM79" s="378"/>
      <c r="NDN79" s="378"/>
      <c r="NDO79" s="378"/>
      <c r="NDP79" s="378"/>
      <c r="NDQ79" s="378"/>
      <c r="NDR79" s="378"/>
      <c r="NDS79" s="378"/>
      <c r="NDT79" s="378"/>
      <c r="NDU79" s="378"/>
      <c r="NDV79" s="378"/>
      <c r="NDW79" s="378"/>
      <c r="NDX79" s="378"/>
      <c r="NDY79" s="378"/>
      <c r="NDZ79" s="378"/>
      <c r="NEA79" s="378"/>
      <c r="NEB79" s="378"/>
      <c r="NEC79" s="378"/>
      <c r="NED79" s="378"/>
      <c r="NEE79" s="378"/>
      <c r="NEF79" s="378"/>
      <c r="NEG79" s="378"/>
      <c r="NEH79" s="378"/>
      <c r="NEI79" s="378"/>
      <c r="NEJ79" s="378"/>
      <c r="NEK79" s="378"/>
      <c r="NEL79" s="378"/>
      <c r="NEM79" s="378"/>
      <c r="NEN79" s="378"/>
      <c r="NEO79" s="378"/>
      <c r="NEP79" s="378"/>
      <c r="NEQ79" s="378"/>
      <c r="NER79" s="378"/>
      <c r="NES79" s="378"/>
      <c r="NET79" s="378"/>
      <c r="NEU79" s="378"/>
      <c r="NEV79" s="378"/>
      <c r="NEW79" s="378"/>
      <c r="NEX79" s="378"/>
      <c r="NEY79" s="378"/>
      <c r="NEZ79" s="378"/>
      <c r="NFA79" s="378"/>
      <c r="NFB79" s="378"/>
      <c r="NFC79" s="378"/>
      <c r="NFD79" s="378"/>
      <c r="NFE79" s="378"/>
      <c r="NFF79" s="378"/>
      <c r="NFG79" s="378"/>
      <c r="NFH79" s="378"/>
      <c r="NFI79" s="378"/>
      <c r="NFJ79" s="378"/>
      <c r="NFK79" s="378"/>
      <c r="NFL79" s="378"/>
      <c r="NFM79" s="378"/>
      <c r="NFN79" s="378"/>
      <c r="NFO79" s="378"/>
      <c r="NFP79" s="378"/>
      <c r="NFQ79" s="378"/>
      <c r="NFR79" s="378"/>
      <c r="NFS79" s="378"/>
      <c r="NFT79" s="378"/>
      <c r="NFU79" s="378"/>
      <c r="NFV79" s="378"/>
      <c r="NFW79" s="378"/>
      <c r="NFX79" s="378"/>
      <c r="NFY79" s="378"/>
      <c r="NFZ79" s="378"/>
      <c r="NGA79" s="378"/>
      <c r="NGB79" s="378"/>
      <c r="NGC79" s="378"/>
      <c r="NGD79" s="378"/>
      <c r="NGE79" s="378"/>
      <c r="NGF79" s="378"/>
      <c r="NGG79" s="378"/>
      <c r="NGH79" s="378"/>
      <c r="NGI79" s="378"/>
      <c r="NGJ79" s="378"/>
      <c r="NGK79" s="378"/>
      <c r="NGL79" s="378"/>
      <c r="NGM79" s="378"/>
      <c r="NGN79" s="378"/>
      <c r="NGO79" s="378"/>
      <c r="NGP79" s="378"/>
      <c r="NGQ79" s="378"/>
      <c r="NGR79" s="378"/>
      <c r="NGS79" s="378"/>
      <c r="NGT79" s="378"/>
      <c r="NGU79" s="378"/>
      <c r="NGV79" s="378"/>
      <c r="NGW79" s="378"/>
      <c r="NGX79" s="378"/>
      <c r="NGY79" s="378"/>
      <c r="NGZ79" s="378"/>
      <c r="NHA79" s="378"/>
      <c r="NHB79" s="378"/>
      <c r="NHC79" s="378"/>
      <c r="NHD79" s="378"/>
      <c r="NHE79" s="378"/>
      <c r="NHF79" s="378"/>
      <c r="NHG79" s="378"/>
      <c r="NHH79" s="378"/>
      <c r="NHI79" s="378"/>
      <c r="NHJ79" s="378"/>
      <c r="NHK79" s="378"/>
      <c r="NHL79" s="378"/>
      <c r="NHM79" s="378"/>
      <c r="NHN79" s="378"/>
      <c r="NHO79" s="378"/>
      <c r="NHP79" s="378"/>
      <c r="NHQ79" s="378"/>
      <c r="NHR79" s="378"/>
      <c r="NHS79" s="378"/>
      <c r="NHT79" s="378"/>
      <c r="NHU79" s="378"/>
      <c r="NHV79" s="378"/>
      <c r="NHW79" s="378"/>
      <c r="NHX79" s="378"/>
      <c r="NHY79" s="378"/>
      <c r="NHZ79" s="378"/>
      <c r="NIA79" s="378"/>
      <c r="NIB79" s="378"/>
      <c r="NIC79" s="378"/>
      <c r="NID79" s="378"/>
      <c r="NIE79" s="378"/>
      <c r="NIF79" s="378"/>
      <c r="NIG79" s="378"/>
      <c r="NIH79" s="378"/>
      <c r="NII79" s="378"/>
      <c r="NIJ79" s="378"/>
      <c r="NIK79" s="378"/>
      <c r="NIL79" s="378"/>
      <c r="NIM79" s="378"/>
      <c r="NIN79" s="378"/>
      <c r="NIO79" s="378"/>
      <c r="NIP79" s="378"/>
      <c r="NIQ79" s="378"/>
      <c r="NIR79" s="378"/>
      <c r="NIS79" s="378"/>
      <c r="NIT79" s="378"/>
      <c r="NIU79" s="378"/>
      <c r="NIV79" s="378"/>
      <c r="NIW79" s="378"/>
      <c r="NIX79" s="378"/>
      <c r="NIY79" s="378"/>
      <c r="NIZ79" s="378"/>
      <c r="NJA79" s="378"/>
      <c r="NJB79" s="378"/>
      <c r="NJC79" s="378"/>
      <c r="NJD79" s="378"/>
      <c r="NJE79" s="378"/>
      <c r="NJF79" s="378"/>
      <c r="NJG79" s="378"/>
      <c r="NJH79" s="378"/>
      <c r="NJI79" s="378"/>
      <c r="NJJ79" s="378"/>
      <c r="NJK79" s="378"/>
      <c r="NJL79" s="378"/>
      <c r="NJM79" s="378"/>
      <c r="NJN79" s="378"/>
      <c r="NJO79" s="378"/>
      <c r="NJP79" s="378"/>
      <c r="NJQ79" s="378"/>
      <c r="NJR79" s="378"/>
      <c r="NJS79" s="378"/>
      <c r="NJT79" s="378"/>
      <c r="NJU79" s="378"/>
      <c r="NJV79" s="378"/>
      <c r="NJW79" s="378"/>
      <c r="NJX79" s="378"/>
      <c r="NJY79" s="378"/>
      <c r="NJZ79" s="378"/>
      <c r="NKA79" s="378"/>
      <c r="NKB79" s="378"/>
      <c r="NKC79" s="378"/>
      <c r="NKD79" s="378"/>
      <c r="NKE79" s="378"/>
      <c r="NKF79" s="378"/>
      <c r="NKG79" s="378"/>
      <c r="NKH79" s="378"/>
      <c r="NKI79" s="378"/>
      <c r="NKJ79" s="378"/>
      <c r="NKK79" s="378"/>
      <c r="NKL79" s="378"/>
      <c r="NKM79" s="378"/>
      <c r="NKN79" s="378"/>
      <c r="NKO79" s="378"/>
      <c r="NKP79" s="378"/>
      <c r="NKQ79" s="378"/>
      <c r="NKR79" s="378"/>
      <c r="NKS79" s="378"/>
      <c r="NKT79" s="378"/>
      <c r="NKU79" s="378"/>
      <c r="NKV79" s="378"/>
      <c r="NKW79" s="378"/>
      <c r="NKX79" s="378"/>
      <c r="NKY79" s="378"/>
      <c r="NKZ79" s="378"/>
      <c r="NLA79" s="378"/>
      <c r="NLB79" s="378"/>
      <c r="NLC79" s="378"/>
      <c r="NLD79" s="378"/>
      <c r="NLE79" s="378"/>
      <c r="NLF79" s="378"/>
      <c r="NLG79" s="378"/>
      <c r="NLH79" s="378"/>
      <c r="NLI79" s="378"/>
      <c r="NLJ79" s="378"/>
      <c r="NLK79" s="378"/>
      <c r="NLL79" s="378"/>
      <c r="NLM79" s="378"/>
      <c r="NLN79" s="378"/>
      <c r="NLO79" s="378"/>
      <c r="NLP79" s="378"/>
      <c r="NLQ79" s="378"/>
      <c r="NLR79" s="378"/>
      <c r="NLS79" s="378"/>
      <c r="NLT79" s="378"/>
      <c r="NLU79" s="378"/>
      <c r="NLV79" s="378"/>
      <c r="NLW79" s="378"/>
      <c r="NLX79" s="378"/>
      <c r="NLY79" s="378"/>
      <c r="NLZ79" s="378"/>
      <c r="NMA79" s="378"/>
      <c r="NMB79" s="378"/>
      <c r="NMC79" s="378"/>
      <c r="NMD79" s="378"/>
      <c r="NME79" s="378"/>
      <c r="NMF79" s="378"/>
      <c r="NMG79" s="378"/>
      <c r="NMH79" s="378"/>
      <c r="NMI79" s="378"/>
      <c r="NMJ79" s="378"/>
      <c r="NMK79" s="378"/>
      <c r="NML79" s="378"/>
      <c r="NMM79" s="378"/>
      <c r="NMN79" s="378"/>
      <c r="NMO79" s="378"/>
      <c r="NMP79" s="378"/>
      <c r="NMQ79" s="378"/>
      <c r="NMR79" s="378"/>
      <c r="NMS79" s="378"/>
      <c r="NMT79" s="378"/>
      <c r="NMU79" s="378"/>
      <c r="NMV79" s="378"/>
      <c r="NMW79" s="378"/>
      <c r="NMX79" s="378"/>
      <c r="NMY79" s="378"/>
      <c r="NMZ79" s="378"/>
      <c r="NNA79" s="378"/>
      <c r="NNB79" s="378"/>
      <c r="NNC79" s="378"/>
      <c r="NND79" s="378"/>
      <c r="NNE79" s="378"/>
      <c r="NNF79" s="378"/>
      <c r="NNG79" s="378"/>
      <c r="NNH79" s="378"/>
      <c r="NNI79" s="378"/>
      <c r="NNJ79" s="378"/>
      <c r="NNK79" s="378"/>
      <c r="NNL79" s="378"/>
      <c r="NNM79" s="378"/>
      <c r="NNN79" s="378"/>
      <c r="NNO79" s="378"/>
      <c r="NNP79" s="378"/>
      <c r="NNQ79" s="378"/>
      <c r="NNR79" s="378"/>
      <c r="NNS79" s="378"/>
      <c r="NNT79" s="378"/>
      <c r="NNU79" s="378"/>
      <c r="NNV79" s="378"/>
      <c r="NNW79" s="378"/>
      <c r="NNX79" s="378"/>
      <c r="NNY79" s="378"/>
      <c r="NNZ79" s="378"/>
      <c r="NOA79" s="378"/>
      <c r="NOB79" s="378"/>
      <c r="NOC79" s="378"/>
      <c r="NOD79" s="378"/>
      <c r="NOE79" s="378"/>
      <c r="NOF79" s="378"/>
      <c r="NOG79" s="378"/>
      <c r="NOH79" s="378"/>
      <c r="NOI79" s="378"/>
      <c r="NOJ79" s="378"/>
      <c r="NOK79" s="378"/>
      <c r="NOL79" s="378"/>
      <c r="NOM79" s="378"/>
      <c r="NON79" s="378"/>
      <c r="NOO79" s="378"/>
      <c r="NOP79" s="378"/>
      <c r="NOQ79" s="378"/>
      <c r="NOR79" s="378"/>
      <c r="NOS79" s="378"/>
      <c r="NOT79" s="378"/>
      <c r="NOU79" s="378"/>
      <c r="NOV79" s="378"/>
      <c r="NOW79" s="378"/>
      <c r="NOX79" s="378"/>
      <c r="NOY79" s="378"/>
      <c r="NOZ79" s="378"/>
      <c r="NPA79" s="378"/>
      <c r="NPB79" s="378"/>
      <c r="NPC79" s="378"/>
      <c r="NPD79" s="378"/>
      <c r="NPE79" s="378"/>
      <c r="NPF79" s="378"/>
      <c r="NPG79" s="378"/>
      <c r="NPH79" s="378"/>
      <c r="NPI79" s="378"/>
      <c r="NPJ79" s="378"/>
      <c r="NPK79" s="378"/>
      <c r="NPL79" s="378"/>
      <c r="NPM79" s="378"/>
      <c r="NPN79" s="378"/>
      <c r="NPO79" s="378"/>
      <c r="NPP79" s="378"/>
      <c r="NPQ79" s="378"/>
      <c r="NPR79" s="378"/>
      <c r="NPS79" s="378"/>
      <c r="NPT79" s="378"/>
      <c r="NPU79" s="378"/>
      <c r="NPV79" s="378"/>
      <c r="NPW79" s="378"/>
      <c r="NPX79" s="378"/>
      <c r="NPY79" s="378"/>
      <c r="NPZ79" s="378"/>
      <c r="NQA79" s="378"/>
      <c r="NQB79" s="378"/>
      <c r="NQC79" s="378"/>
      <c r="NQD79" s="378"/>
      <c r="NQE79" s="378"/>
      <c r="NQF79" s="378"/>
      <c r="NQG79" s="378"/>
      <c r="NQH79" s="378"/>
      <c r="NQI79" s="378"/>
      <c r="NQJ79" s="378"/>
      <c r="NQK79" s="378"/>
      <c r="NQL79" s="378"/>
      <c r="NQM79" s="378"/>
      <c r="NQN79" s="378"/>
      <c r="NQO79" s="378"/>
      <c r="NQP79" s="378"/>
      <c r="NQQ79" s="378"/>
      <c r="NQR79" s="378"/>
      <c r="NQS79" s="378"/>
      <c r="NQT79" s="378"/>
      <c r="NQU79" s="378"/>
      <c r="NQV79" s="378"/>
      <c r="NQW79" s="378"/>
      <c r="NQX79" s="378"/>
      <c r="NQY79" s="378"/>
      <c r="NQZ79" s="378"/>
      <c r="NRA79" s="378"/>
      <c r="NRB79" s="378"/>
      <c r="NRC79" s="378"/>
      <c r="NRD79" s="378"/>
      <c r="NRE79" s="378"/>
      <c r="NRF79" s="378"/>
      <c r="NRG79" s="378"/>
      <c r="NRH79" s="378"/>
      <c r="NRI79" s="378"/>
      <c r="NRJ79" s="378"/>
      <c r="NRK79" s="378"/>
      <c r="NRL79" s="378"/>
      <c r="NRM79" s="378"/>
      <c r="NRN79" s="378"/>
      <c r="NRO79" s="378"/>
      <c r="NRP79" s="378"/>
      <c r="NRQ79" s="378"/>
      <c r="NRR79" s="378"/>
      <c r="NRS79" s="378"/>
      <c r="NRT79" s="378"/>
      <c r="NRU79" s="378"/>
      <c r="NRV79" s="378"/>
      <c r="NRW79" s="378"/>
      <c r="NRX79" s="378"/>
      <c r="NRY79" s="378"/>
      <c r="NRZ79" s="378"/>
      <c r="NSA79" s="378"/>
      <c r="NSB79" s="378"/>
      <c r="NSC79" s="378"/>
      <c r="NSD79" s="378"/>
      <c r="NSE79" s="378"/>
      <c r="NSF79" s="378"/>
      <c r="NSG79" s="378"/>
      <c r="NSH79" s="378"/>
      <c r="NSI79" s="378"/>
      <c r="NSJ79" s="378"/>
      <c r="NSK79" s="378"/>
      <c r="NSL79" s="378"/>
      <c r="NSM79" s="378"/>
      <c r="NSN79" s="378"/>
      <c r="NSO79" s="378"/>
      <c r="NSP79" s="378"/>
      <c r="NSQ79" s="378"/>
      <c r="NSR79" s="378"/>
      <c r="NSS79" s="378"/>
      <c r="NST79" s="378"/>
      <c r="NSU79" s="378"/>
      <c r="NSV79" s="378"/>
      <c r="NSW79" s="378"/>
      <c r="NSX79" s="378"/>
      <c r="NSY79" s="378"/>
      <c r="NSZ79" s="378"/>
      <c r="NTA79" s="378"/>
      <c r="NTB79" s="378"/>
      <c r="NTC79" s="378"/>
      <c r="NTD79" s="378"/>
      <c r="NTE79" s="378"/>
      <c r="NTF79" s="378"/>
      <c r="NTG79" s="378"/>
      <c r="NTH79" s="378"/>
      <c r="NTI79" s="378"/>
      <c r="NTJ79" s="378"/>
      <c r="NTK79" s="378"/>
      <c r="NTL79" s="378"/>
      <c r="NTM79" s="378"/>
      <c r="NTN79" s="378"/>
      <c r="NTO79" s="378"/>
      <c r="NTP79" s="378"/>
      <c r="NTQ79" s="378"/>
      <c r="NTR79" s="378"/>
      <c r="NTS79" s="378"/>
      <c r="NTT79" s="378"/>
      <c r="NTU79" s="378"/>
      <c r="NTV79" s="378"/>
      <c r="NTW79" s="378"/>
      <c r="NTX79" s="378"/>
      <c r="NTY79" s="378"/>
      <c r="NTZ79" s="378"/>
      <c r="NUA79" s="378"/>
      <c r="NUB79" s="378"/>
      <c r="NUC79" s="378"/>
      <c r="NUD79" s="378"/>
      <c r="NUE79" s="378"/>
      <c r="NUF79" s="378"/>
      <c r="NUG79" s="378"/>
      <c r="NUH79" s="378"/>
      <c r="NUI79" s="378"/>
      <c r="NUJ79" s="378"/>
      <c r="NUK79" s="378"/>
      <c r="NUL79" s="378"/>
      <c r="NUM79" s="378"/>
      <c r="NUN79" s="378"/>
      <c r="NUO79" s="378"/>
      <c r="NUP79" s="378"/>
      <c r="NUQ79" s="378"/>
      <c r="NUR79" s="378"/>
      <c r="NUS79" s="378"/>
      <c r="NUT79" s="378"/>
      <c r="NUU79" s="378"/>
      <c r="NUV79" s="378"/>
      <c r="NUW79" s="378"/>
      <c r="NUX79" s="378"/>
      <c r="NUY79" s="378"/>
      <c r="NUZ79" s="378"/>
      <c r="NVA79" s="378"/>
      <c r="NVB79" s="378"/>
      <c r="NVC79" s="378"/>
      <c r="NVD79" s="378"/>
      <c r="NVE79" s="378"/>
      <c r="NVF79" s="378"/>
      <c r="NVG79" s="378"/>
      <c r="NVH79" s="378"/>
      <c r="NVI79" s="378"/>
      <c r="NVJ79" s="378"/>
      <c r="NVK79" s="378"/>
      <c r="NVL79" s="378"/>
      <c r="NVM79" s="378"/>
      <c r="NVN79" s="378"/>
      <c r="NVO79" s="378"/>
      <c r="NVP79" s="378"/>
      <c r="NVQ79" s="378"/>
      <c r="NVR79" s="378"/>
      <c r="NVS79" s="378"/>
      <c r="NVT79" s="378"/>
      <c r="NVU79" s="378"/>
      <c r="NVV79" s="378"/>
      <c r="NVW79" s="378"/>
      <c r="NVX79" s="378"/>
      <c r="NVY79" s="378"/>
      <c r="NVZ79" s="378"/>
      <c r="NWA79" s="378"/>
      <c r="NWB79" s="378"/>
      <c r="NWC79" s="378"/>
      <c r="NWD79" s="378"/>
      <c r="NWE79" s="378"/>
      <c r="NWF79" s="378"/>
      <c r="NWG79" s="378"/>
      <c r="NWH79" s="378"/>
      <c r="NWI79" s="378"/>
      <c r="NWJ79" s="378"/>
      <c r="NWK79" s="378"/>
      <c r="NWL79" s="378"/>
      <c r="NWM79" s="378"/>
      <c r="NWN79" s="378"/>
      <c r="NWO79" s="378"/>
      <c r="NWP79" s="378"/>
      <c r="NWQ79" s="378"/>
      <c r="NWR79" s="378"/>
      <c r="NWS79" s="378"/>
      <c r="NWT79" s="378"/>
      <c r="NWU79" s="378"/>
      <c r="NWV79" s="378"/>
      <c r="NWW79" s="378"/>
      <c r="NWX79" s="378"/>
      <c r="NWY79" s="378"/>
      <c r="NWZ79" s="378"/>
      <c r="NXA79" s="378"/>
      <c r="NXB79" s="378"/>
      <c r="NXC79" s="378"/>
      <c r="NXD79" s="378"/>
      <c r="NXE79" s="378"/>
      <c r="NXF79" s="378"/>
      <c r="NXG79" s="378"/>
      <c r="NXH79" s="378"/>
      <c r="NXI79" s="378"/>
      <c r="NXJ79" s="378"/>
      <c r="NXK79" s="378"/>
      <c r="NXL79" s="378"/>
      <c r="NXM79" s="378"/>
      <c r="NXN79" s="378"/>
      <c r="NXO79" s="378"/>
      <c r="NXP79" s="378"/>
      <c r="NXQ79" s="378"/>
      <c r="NXR79" s="378"/>
      <c r="NXS79" s="378"/>
      <c r="NXT79" s="378"/>
      <c r="NXU79" s="378"/>
      <c r="NXV79" s="378"/>
      <c r="NXW79" s="378"/>
      <c r="NXX79" s="378"/>
      <c r="NXY79" s="378"/>
      <c r="NXZ79" s="378"/>
      <c r="NYA79" s="378"/>
      <c r="NYB79" s="378"/>
      <c r="NYC79" s="378"/>
      <c r="NYD79" s="378"/>
      <c r="NYE79" s="378"/>
      <c r="NYF79" s="378"/>
      <c r="NYG79" s="378"/>
      <c r="NYH79" s="378"/>
      <c r="NYI79" s="378"/>
      <c r="NYJ79" s="378"/>
      <c r="NYK79" s="378"/>
      <c r="NYL79" s="378"/>
      <c r="NYM79" s="378"/>
      <c r="NYN79" s="378"/>
      <c r="NYO79" s="378"/>
      <c r="NYP79" s="378"/>
      <c r="NYQ79" s="378"/>
      <c r="NYR79" s="378"/>
      <c r="NYS79" s="378"/>
      <c r="NYT79" s="378"/>
      <c r="NYU79" s="378"/>
      <c r="NYV79" s="378"/>
      <c r="NYW79" s="378"/>
      <c r="NYX79" s="378"/>
      <c r="NYY79" s="378"/>
      <c r="NYZ79" s="378"/>
      <c r="NZA79" s="378"/>
      <c r="NZB79" s="378"/>
      <c r="NZC79" s="378"/>
      <c r="NZD79" s="378"/>
      <c r="NZE79" s="378"/>
      <c r="NZF79" s="378"/>
      <c r="NZG79" s="378"/>
      <c r="NZH79" s="378"/>
      <c r="NZI79" s="378"/>
      <c r="NZJ79" s="378"/>
      <c r="NZK79" s="378"/>
      <c r="NZL79" s="378"/>
      <c r="NZM79" s="378"/>
      <c r="NZN79" s="378"/>
      <c r="NZO79" s="378"/>
      <c r="NZP79" s="378"/>
      <c r="NZQ79" s="378"/>
      <c r="NZR79" s="378"/>
      <c r="NZS79" s="378"/>
      <c r="NZT79" s="378"/>
      <c r="NZU79" s="378"/>
      <c r="NZV79" s="378"/>
      <c r="NZW79" s="378"/>
      <c r="NZX79" s="378"/>
      <c r="NZY79" s="378"/>
      <c r="NZZ79" s="378"/>
      <c r="OAA79" s="378"/>
      <c r="OAB79" s="378"/>
      <c r="OAC79" s="378"/>
      <c r="OAD79" s="378"/>
      <c r="OAE79" s="378"/>
      <c r="OAF79" s="378"/>
      <c r="OAG79" s="378"/>
      <c r="OAH79" s="378"/>
      <c r="OAI79" s="378"/>
      <c r="OAJ79" s="378"/>
      <c r="OAK79" s="378"/>
      <c r="OAL79" s="378"/>
      <c r="OAM79" s="378"/>
      <c r="OAN79" s="378"/>
      <c r="OAO79" s="378"/>
      <c r="OAP79" s="378"/>
      <c r="OAQ79" s="378"/>
      <c r="OAR79" s="378"/>
      <c r="OAS79" s="378"/>
      <c r="OAT79" s="378"/>
      <c r="OAU79" s="378"/>
      <c r="OAV79" s="378"/>
      <c r="OAW79" s="378"/>
      <c r="OAX79" s="378"/>
      <c r="OAY79" s="378"/>
      <c r="OAZ79" s="378"/>
      <c r="OBA79" s="378"/>
      <c r="OBB79" s="378"/>
      <c r="OBC79" s="378"/>
      <c r="OBD79" s="378"/>
      <c r="OBE79" s="378"/>
      <c r="OBF79" s="378"/>
      <c r="OBG79" s="378"/>
      <c r="OBH79" s="378"/>
      <c r="OBI79" s="378"/>
      <c r="OBJ79" s="378"/>
      <c r="OBK79" s="378"/>
      <c r="OBL79" s="378"/>
      <c r="OBM79" s="378"/>
      <c r="OBN79" s="378"/>
      <c r="OBO79" s="378"/>
      <c r="OBP79" s="378"/>
      <c r="OBQ79" s="378"/>
      <c r="OBR79" s="378"/>
      <c r="OBS79" s="378"/>
      <c r="OBT79" s="378"/>
      <c r="OBU79" s="378"/>
      <c r="OBV79" s="378"/>
      <c r="OBW79" s="378"/>
      <c r="OBX79" s="378"/>
      <c r="OBY79" s="378"/>
      <c r="OBZ79" s="378"/>
      <c r="OCA79" s="378"/>
      <c r="OCB79" s="378"/>
      <c r="OCC79" s="378"/>
      <c r="OCD79" s="378"/>
      <c r="OCE79" s="378"/>
      <c r="OCF79" s="378"/>
      <c r="OCG79" s="378"/>
      <c r="OCH79" s="378"/>
      <c r="OCI79" s="378"/>
      <c r="OCJ79" s="378"/>
      <c r="OCK79" s="378"/>
      <c r="OCL79" s="378"/>
      <c r="OCM79" s="378"/>
      <c r="OCN79" s="378"/>
      <c r="OCO79" s="378"/>
      <c r="OCP79" s="378"/>
      <c r="OCQ79" s="378"/>
      <c r="OCR79" s="378"/>
      <c r="OCS79" s="378"/>
      <c r="OCT79" s="378"/>
      <c r="OCU79" s="378"/>
      <c r="OCV79" s="378"/>
      <c r="OCW79" s="378"/>
      <c r="OCX79" s="378"/>
      <c r="OCY79" s="378"/>
      <c r="OCZ79" s="378"/>
      <c r="ODA79" s="378"/>
      <c r="ODB79" s="378"/>
      <c r="ODC79" s="378"/>
      <c r="ODD79" s="378"/>
      <c r="ODE79" s="378"/>
      <c r="ODF79" s="378"/>
      <c r="ODG79" s="378"/>
      <c r="ODH79" s="378"/>
      <c r="ODI79" s="378"/>
      <c r="ODJ79" s="378"/>
      <c r="ODK79" s="378"/>
      <c r="ODL79" s="378"/>
      <c r="ODM79" s="378"/>
      <c r="ODN79" s="378"/>
      <c r="ODO79" s="378"/>
      <c r="ODP79" s="378"/>
      <c r="ODQ79" s="378"/>
      <c r="ODR79" s="378"/>
      <c r="ODS79" s="378"/>
      <c r="ODT79" s="378"/>
      <c r="ODU79" s="378"/>
      <c r="ODV79" s="378"/>
      <c r="ODW79" s="378"/>
      <c r="ODX79" s="378"/>
      <c r="ODY79" s="378"/>
      <c r="ODZ79" s="378"/>
      <c r="OEA79" s="378"/>
      <c r="OEB79" s="378"/>
      <c r="OEC79" s="378"/>
      <c r="OED79" s="378"/>
      <c r="OEE79" s="378"/>
      <c r="OEF79" s="378"/>
      <c r="OEG79" s="378"/>
      <c r="OEH79" s="378"/>
      <c r="OEI79" s="378"/>
      <c r="OEJ79" s="378"/>
      <c r="OEK79" s="378"/>
      <c r="OEL79" s="378"/>
      <c r="OEM79" s="378"/>
      <c r="OEN79" s="378"/>
      <c r="OEO79" s="378"/>
      <c r="OEP79" s="378"/>
      <c r="OEQ79" s="378"/>
      <c r="OER79" s="378"/>
      <c r="OES79" s="378"/>
      <c r="OET79" s="378"/>
      <c r="OEU79" s="378"/>
      <c r="OEV79" s="378"/>
      <c r="OEW79" s="378"/>
      <c r="OEX79" s="378"/>
      <c r="OEY79" s="378"/>
      <c r="OEZ79" s="378"/>
      <c r="OFA79" s="378"/>
      <c r="OFB79" s="378"/>
      <c r="OFC79" s="378"/>
      <c r="OFD79" s="378"/>
      <c r="OFE79" s="378"/>
      <c r="OFF79" s="378"/>
      <c r="OFG79" s="378"/>
      <c r="OFH79" s="378"/>
      <c r="OFI79" s="378"/>
      <c r="OFJ79" s="378"/>
      <c r="OFK79" s="378"/>
      <c r="OFL79" s="378"/>
      <c r="OFM79" s="378"/>
      <c r="OFN79" s="378"/>
      <c r="OFO79" s="378"/>
      <c r="OFP79" s="378"/>
      <c r="OFQ79" s="378"/>
      <c r="OFR79" s="378"/>
      <c r="OFS79" s="378"/>
      <c r="OFT79" s="378"/>
      <c r="OFU79" s="378"/>
      <c r="OFV79" s="378"/>
      <c r="OFW79" s="378"/>
      <c r="OFX79" s="378"/>
      <c r="OFY79" s="378"/>
      <c r="OFZ79" s="378"/>
      <c r="OGA79" s="378"/>
      <c r="OGB79" s="378"/>
      <c r="OGC79" s="378"/>
      <c r="OGD79" s="378"/>
      <c r="OGE79" s="378"/>
      <c r="OGF79" s="378"/>
      <c r="OGG79" s="378"/>
      <c r="OGH79" s="378"/>
      <c r="OGI79" s="378"/>
      <c r="OGJ79" s="378"/>
      <c r="OGK79" s="378"/>
      <c r="OGL79" s="378"/>
      <c r="OGM79" s="378"/>
      <c r="OGN79" s="378"/>
      <c r="OGO79" s="378"/>
      <c r="OGP79" s="378"/>
      <c r="OGQ79" s="378"/>
      <c r="OGR79" s="378"/>
      <c r="OGS79" s="378"/>
      <c r="OGT79" s="378"/>
      <c r="OGU79" s="378"/>
      <c r="OGV79" s="378"/>
      <c r="OGW79" s="378"/>
      <c r="OGX79" s="378"/>
      <c r="OGY79" s="378"/>
      <c r="OGZ79" s="378"/>
      <c r="OHA79" s="378"/>
      <c r="OHB79" s="378"/>
      <c r="OHC79" s="378"/>
      <c r="OHD79" s="378"/>
      <c r="OHE79" s="378"/>
      <c r="OHF79" s="378"/>
      <c r="OHG79" s="378"/>
      <c r="OHH79" s="378"/>
      <c r="OHI79" s="378"/>
      <c r="OHJ79" s="378"/>
      <c r="OHK79" s="378"/>
      <c r="OHL79" s="378"/>
      <c r="OHM79" s="378"/>
      <c r="OHN79" s="378"/>
      <c r="OHO79" s="378"/>
      <c r="OHP79" s="378"/>
      <c r="OHQ79" s="378"/>
      <c r="OHR79" s="378"/>
      <c r="OHS79" s="378"/>
      <c r="OHT79" s="378"/>
      <c r="OHU79" s="378"/>
      <c r="OHV79" s="378"/>
      <c r="OHW79" s="378"/>
      <c r="OHX79" s="378"/>
      <c r="OHY79" s="378"/>
      <c r="OHZ79" s="378"/>
      <c r="OIA79" s="378"/>
      <c r="OIB79" s="378"/>
      <c r="OIC79" s="378"/>
      <c r="OID79" s="378"/>
      <c r="OIE79" s="378"/>
      <c r="OIF79" s="378"/>
      <c r="OIG79" s="378"/>
      <c r="OIH79" s="378"/>
      <c r="OII79" s="378"/>
      <c r="OIJ79" s="378"/>
      <c r="OIK79" s="378"/>
      <c r="OIL79" s="378"/>
      <c r="OIM79" s="378"/>
      <c r="OIN79" s="378"/>
      <c r="OIO79" s="378"/>
      <c r="OIP79" s="378"/>
      <c r="OIQ79" s="378"/>
      <c r="OIR79" s="378"/>
      <c r="OIS79" s="378"/>
      <c r="OIT79" s="378"/>
      <c r="OIU79" s="378"/>
      <c r="OIV79" s="378"/>
      <c r="OIW79" s="378"/>
      <c r="OIX79" s="378"/>
      <c r="OIY79" s="378"/>
      <c r="OIZ79" s="378"/>
      <c r="OJA79" s="378"/>
      <c r="OJB79" s="378"/>
      <c r="OJC79" s="378"/>
      <c r="OJD79" s="378"/>
      <c r="OJE79" s="378"/>
      <c r="OJF79" s="378"/>
      <c r="OJG79" s="378"/>
      <c r="OJH79" s="378"/>
      <c r="OJI79" s="378"/>
      <c r="OJJ79" s="378"/>
      <c r="OJK79" s="378"/>
      <c r="OJL79" s="378"/>
      <c r="OJM79" s="378"/>
      <c r="OJN79" s="378"/>
      <c r="OJO79" s="378"/>
      <c r="OJP79" s="378"/>
      <c r="OJQ79" s="378"/>
      <c r="OJR79" s="378"/>
      <c r="OJS79" s="378"/>
      <c r="OJT79" s="378"/>
      <c r="OJU79" s="378"/>
      <c r="OJV79" s="378"/>
      <c r="OJW79" s="378"/>
      <c r="OJX79" s="378"/>
      <c r="OJY79" s="378"/>
      <c r="OJZ79" s="378"/>
      <c r="OKA79" s="378"/>
      <c r="OKB79" s="378"/>
      <c r="OKC79" s="378"/>
      <c r="OKD79" s="378"/>
      <c r="OKE79" s="378"/>
      <c r="OKF79" s="378"/>
      <c r="OKG79" s="378"/>
      <c r="OKH79" s="378"/>
      <c r="OKI79" s="378"/>
      <c r="OKJ79" s="378"/>
      <c r="OKK79" s="378"/>
      <c r="OKL79" s="378"/>
      <c r="OKM79" s="378"/>
      <c r="OKN79" s="378"/>
      <c r="OKO79" s="378"/>
      <c r="OKP79" s="378"/>
      <c r="OKQ79" s="378"/>
      <c r="OKR79" s="378"/>
      <c r="OKS79" s="378"/>
      <c r="OKT79" s="378"/>
      <c r="OKU79" s="378"/>
      <c r="OKV79" s="378"/>
      <c r="OKW79" s="378"/>
      <c r="OKX79" s="378"/>
      <c r="OKY79" s="378"/>
      <c r="OKZ79" s="378"/>
      <c r="OLA79" s="378"/>
      <c r="OLB79" s="378"/>
      <c r="OLC79" s="378"/>
      <c r="OLD79" s="378"/>
      <c r="OLE79" s="378"/>
      <c r="OLF79" s="378"/>
      <c r="OLG79" s="378"/>
      <c r="OLH79" s="378"/>
      <c r="OLI79" s="378"/>
      <c r="OLJ79" s="378"/>
      <c r="OLK79" s="378"/>
      <c r="OLL79" s="378"/>
      <c r="OLM79" s="378"/>
      <c r="OLN79" s="378"/>
      <c r="OLO79" s="378"/>
      <c r="OLP79" s="378"/>
      <c r="OLQ79" s="378"/>
      <c r="OLR79" s="378"/>
      <c r="OLS79" s="378"/>
      <c r="OLT79" s="378"/>
      <c r="OLU79" s="378"/>
      <c r="OLV79" s="378"/>
      <c r="OLW79" s="378"/>
      <c r="OLX79" s="378"/>
      <c r="OLY79" s="378"/>
      <c r="OLZ79" s="378"/>
      <c r="OMA79" s="378"/>
      <c r="OMB79" s="378"/>
      <c r="OMC79" s="378"/>
      <c r="OMD79" s="378"/>
      <c r="OME79" s="378"/>
      <c r="OMF79" s="378"/>
      <c r="OMG79" s="378"/>
      <c r="OMH79" s="378"/>
      <c r="OMI79" s="378"/>
      <c r="OMJ79" s="378"/>
      <c r="OMK79" s="378"/>
      <c r="OML79" s="378"/>
      <c r="OMM79" s="378"/>
      <c r="OMN79" s="378"/>
      <c r="OMO79" s="378"/>
      <c r="OMP79" s="378"/>
      <c r="OMQ79" s="378"/>
      <c r="OMR79" s="378"/>
      <c r="OMS79" s="378"/>
      <c r="OMT79" s="378"/>
      <c r="OMU79" s="378"/>
      <c r="OMV79" s="378"/>
      <c r="OMW79" s="378"/>
      <c r="OMX79" s="378"/>
      <c r="OMY79" s="378"/>
      <c r="OMZ79" s="378"/>
      <c r="ONA79" s="378"/>
      <c r="ONB79" s="378"/>
      <c r="ONC79" s="378"/>
      <c r="OND79" s="378"/>
      <c r="ONE79" s="378"/>
      <c r="ONF79" s="378"/>
      <c r="ONG79" s="378"/>
      <c r="ONH79" s="378"/>
      <c r="ONI79" s="378"/>
      <c r="ONJ79" s="378"/>
      <c r="ONK79" s="378"/>
      <c r="ONL79" s="378"/>
      <c r="ONM79" s="378"/>
      <c r="ONN79" s="378"/>
      <c r="ONO79" s="378"/>
      <c r="ONP79" s="378"/>
      <c r="ONQ79" s="378"/>
      <c r="ONR79" s="378"/>
      <c r="ONS79" s="378"/>
      <c r="ONT79" s="378"/>
      <c r="ONU79" s="378"/>
      <c r="ONV79" s="378"/>
      <c r="ONW79" s="378"/>
      <c r="ONX79" s="378"/>
      <c r="ONY79" s="378"/>
      <c r="ONZ79" s="378"/>
      <c r="OOA79" s="378"/>
      <c r="OOB79" s="378"/>
      <c r="OOC79" s="378"/>
      <c r="OOD79" s="378"/>
      <c r="OOE79" s="378"/>
      <c r="OOF79" s="378"/>
      <c r="OOG79" s="378"/>
      <c r="OOH79" s="378"/>
      <c r="OOI79" s="378"/>
      <c r="OOJ79" s="378"/>
      <c r="OOK79" s="378"/>
      <c r="OOL79" s="378"/>
      <c r="OOM79" s="378"/>
      <c r="OON79" s="378"/>
      <c r="OOO79" s="378"/>
      <c r="OOP79" s="378"/>
      <c r="OOQ79" s="378"/>
      <c r="OOR79" s="378"/>
      <c r="OOS79" s="378"/>
      <c r="OOT79" s="378"/>
      <c r="OOU79" s="378"/>
      <c r="OOV79" s="378"/>
      <c r="OOW79" s="378"/>
      <c r="OOX79" s="378"/>
      <c r="OOY79" s="378"/>
      <c r="OOZ79" s="378"/>
      <c r="OPA79" s="378"/>
      <c r="OPB79" s="378"/>
      <c r="OPC79" s="378"/>
      <c r="OPD79" s="378"/>
      <c r="OPE79" s="378"/>
      <c r="OPF79" s="378"/>
      <c r="OPG79" s="378"/>
      <c r="OPH79" s="378"/>
      <c r="OPI79" s="378"/>
      <c r="OPJ79" s="378"/>
      <c r="OPK79" s="378"/>
      <c r="OPL79" s="378"/>
      <c r="OPM79" s="378"/>
      <c r="OPN79" s="378"/>
      <c r="OPO79" s="378"/>
      <c r="OPP79" s="378"/>
      <c r="OPQ79" s="378"/>
      <c r="OPR79" s="378"/>
      <c r="OPS79" s="378"/>
      <c r="OPT79" s="378"/>
      <c r="OPU79" s="378"/>
      <c r="OPV79" s="378"/>
      <c r="OPW79" s="378"/>
      <c r="OPX79" s="378"/>
      <c r="OPY79" s="378"/>
      <c r="OPZ79" s="378"/>
      <c r="OQA79" s="378"/>
      <c r="OQB79" s="378"/>
      <c r="OQC79" s="378"/>
      <c r="OQD79" s="378"/>
      <c r="OQE79" s="378"/>
      <c r="OQF79" s="378"/>
      <c r="OQG79" s="378"/>
      <c r="OQH79" s="378"/>
      <c r="OQI79" s="378"/>
      <c r="OQJ79" s="378"/>
      <c r="OQK79" s="378"/>
      <c r="OQL79" s="378"/>
      <c r="OQM79" s="378"/>
      <c r="OQN79" s="378"/>
      <c r="OQO79" s="378"/>
      <c r="OQP79" s="378"/>
      <c r="OQQ79" s="378"/>
      <c r="OQR79" s="378"/>
      <c r="OQS79" s="378"/>
      <c r="OQT79" s="378"/>
      <c r="OQU79" s="378"/>
      <c r="OQV79" s="378"/>
      <c r="OQW79" s="378"/>
      <c r="OQX79" s="378"/>
      <c r="OQY79" s="378"/>
      <c r="OQZ79" s="378"/>
      <c r="ORA79" s="378"/>
      <c r="ORB79" s="378"/>
      <c r="ORC79" s="378"/>
      <c r="ORD79" s="378"/>
      <c r="ORE79" s="378"/>
      <c r="ORF79" s="378"/>
      <c r="ORG79" s="378"/>
      <c r="ORH79" s="378"/>
      <c r="ORI79" s="378"/>
      <c r="ORJ79" s="378"/>
      <c r="ORK79" s="378"/>
      <c r="ORL79" s="378"/>
      <c r="ORM79" s="378"/>
      <c r="ORN79" s="378"/>
      <c r="ORO79" s="378"/>
      <c r="ORP79" s="378"/>
      <c r="ORQ79" s="378"/>
      <c r="ORR79" s="378"/>
      <c r="ORS79" s="378"/>
      <c r="ORT79" s="378"/>
      <c r="ORU79" s="378"/>
      <c r="ORV79" s="378"/>
      <c r="ORW79" s="378"/>
      <c r="ORX79" s="378"/>
      <c r="ORY79" s="378"/>
      <c r="ORZ79" s="378"/>
      <c r="OSA79" s="378"/>
      <c r="OSB79" s="378"/>
      <c r="OSC79" s="378"/>
      <c r="OSD79" s="378"/>
      <c r="OSE79" s="378"/>
      <c r="OSF79" s="378"/>
      <c r="OSG79" s="378"/>
      <c r="OSH79" s="378"/>
      <c r="OSI79" s="378"/>
      <c r="OSJ79" s="378"/>
      <c r="OSK79" s="378"/>
      <c r="OSL79" s="378"/>
      <c r="OSM79" s="378"/>
      <c r="OSN79" s="378"/>
      <c r="OSO79" s="378"/>
      <c r="OSP79" s="378"/>
      <c r="OSQ79" s="378"/>
      <c r="OSR79" s="378"/>
      <c r="OSS79" s="378"/>
      <c r="OST79" s="378"/>
      <c r="OSU79" s="378"/>
      <c r="OSV79" s="378"/>
      <c r="OSW79" s="378"/>
      <c r="OSX79" s="378"/>
      <c r="OSY79" s="378"/>
      <c r="OSZ79" s="378"/>
      <c r="OTA79" s="378"/>
      <c r="OTB79" s="378"/>
      <c r="OTC79" s="378"/>
      <c r="OTD79" s="378"/>
      <c r="OTE79" s="378"/>
      <c r="OTF79" s="378"/>
      <c r="OTG79" s="378"/>
      <c r="OTH79" s="378"/>
      <c r="OTI79" s="378"/>
      <c r="OTJ79" s="378"/>
      <c r="OTK79" s="378"/>
      <c r="OTL79" s="378"/>
      <c r="OTM79" s="378"/>
      <c r="OTN79" s="378"/>
      <c r="OTO79" s="378"/>
      <c r="OTP79" s="378"/>
      <c r="OTQ79" s="378"/>
      <c r="OTR79" s="378"/>
      <c r="OTS79" s="378"/>
      <c r="OTT79" s="378"/>
      <c r="OTU79" s="378"/>
      <c r="OTV79" s="378"/>
      <c r="OTW79" s="378"/>
      <c r="OTX79" s="378"/>
      <c r="OTY79" s="378"/>
      <c r="OTZ79" s="378"/>
      <c r="OUA79" s="378"/>
      <c r="OUB79" s="378"/>
      <c r="OUC79" s="378"/>
      <c r="OUD79" s="378"/>
      <c r="OUE79" s="378"/>
      <c r="OUF79" s="378"/>
      <c r="OUG79" s="378"/>
      <c r="OUH79" s="378"/>
      <c r="OUI79" s="378"/>
      <c r="OUJ79" s="378"/>
      <c r="OUK79" s="378"/>
      <c r="OUL79" s="378"/>
      <c r="OUM79" s="378"/>
      <c r="OUN79" s="378"/>
      <c r="OUO79" s="378"/>
      <c r="OUP79" s="378"/>
      <c r="OUQ79" s="378"/>
      <c r="OUR79" s="378"/>
      <c r="OUS79" s="378"/>
      <c r="OUT79" s="378"/>
      <c r="OUU79" s="378"/>
      <c r="OUV79" s="378"/>
      <c r="OUW79" s="378"/>
      <c r="OUX79" s="378"/>
      <c r="OUY79" s="378"/>
      <c r="OUZ79" s="378"/>
      <c r="OVA79" s="378"/>
      <c r="OVB79" s="378"/>
      <c r="OVC79" s="378"/>
      <c r="OVD79" s="378"/>
      <c r="OVE79" s="378"/>
      <c r="OVF79" s="378"/>
      <c r="OVG79" s="378"/>
      <c r="OVH79" s="378"/>
      <c r="OVI79" s="378"/>
      <c r="OVJ79" s="378"/>
      <c r="OVK79" s="378"/>
      <c r="OVL79" s="378"/>
      <c r="OVM79" s="378"/>
      <c r="OVN79" s="378"/>
      <c r="OVO79" s="378"/>
      <c r="OVP79" s="378"/>
      <c r="OVQ79" s="378"/>
      <c r="OVR79" s="378"/>
      <c r="OVS79" s="378"/>
      <c r="OVT79" s="378"/>
      <c r="OVU79" s="378"/>
      <c r="OVV79" s="378"/>
      <c r="OVW79" s="378"/>
      <c r="OVX79" s="378"/>
      <c r="OVY79" s="378"/>
      <c r="OVZ79" s="378"/>
      <c r="OWA79" s="378"/>
      <c r="OWB79" s="378"/>
      <c r="OWC79" s="378"/>
      <c r="OWD79" s="378"/>
      <c r="OWE79" s="378"/>
      <c r="OWF79" s="378"/>
      <c r="OWG79" s="378"/>
      <c r="OWH79" s="378"/>
      <c r="OWI79" s="378"/>
      <c r="OWJ79" s="378"/>
      <c r="OWK79" s="378"/>
      <c r="OWL79" s="378"/>
      <c r="OWM79" s="378"/>
      <c r="OWN79" s="378"/>
      <c r="OWO79" s="378"/>
      <c r="OWP79" s="378"/>
      <c r="OWQ79" s="378"/>
      <c r="OWR79" s="378"/>
      <c r="OWS79" s="378"/>
      <c r="OWT79" s="378"/>
      <c r="OWU79" s="378"/>
      <c r="OWV79" s="378"/>
      <c r="OWW79" s="378"/>
      <c r="OWX79" s="378"/>
      <c r="OWY79" s="378"/>
      <c r="OWZ79" s="378"/>
      <c r="OXA79" s="378"/>
      <c r="OXB79" s="378"/>
      <c r="OXC79" s="378"/>
      <c r="OXD79" s="378"/>
      <c r="OXE79" s="378"/>
      <c r="OXF79" s="378"/>
      <c r="OXG79" s="378"/>
      <c r="OXH79" s="378"/>
      <c r="OXI79" s="378"/>
      <c r="OXJ79" s="378"/>
      <c r="OXK79" s="378"/>
      <c r="OXL79" s="378"/>
      <c r="OXM79" s="378"/>
      <c r="OXN79" s="378"/>
      <c r="OXO79" s="378"/>
      <c r="OXP79" s="378"/>
      <c r="OXQ79" s="378"/>
      <c r="OXR79" s="378"/>
      <c r="OXS79" s="378"/>
      <c r="OXT79" s="378"/>
      <c r="OXU79" s="378"/>
      <c r="OXV79" s="378"/>
      <c r="OXW79" s="378"/>
      <c r="OXX79" s="378"/>
      <c r="OXY79" s="378"/>
      <c r="OXZ79" s="378"/>
      <c r="OYA79" s="378"/>
      <c r="OYB79" s="378"/>
      <c r="OYC79" s="378"/>
      <c r="OYD79" s="378"/>
      <c r="OYE79" s="378"/>
      <c r="OYF79" s="378"/>
      <c r="OYG79" s="378"/>
      <c r="OYH79" s="378"/>
      <c r="OYI79" s="378"/>
      <c r="OYJ79" s="378"/>
      <c r="OYK79" s="378"/>
      <c r="OYL79" s="378"/>
      <c r="OYM79" s="378"/>
      <c r="OYN79" s="378"/>
      <c r="OYO79" s="378"/>
      <c r="OYP79" s="378"/>
      <c r="OYQ79" s="378"/>
      <c r="OYR79" s="378"/>
      <c r="OYS79" s="378"/>
      <c r="OYT79" s="378"/>
      <c r="OYU79" s="378"/>
      <c r="OYV79" s="378"/>
      <c r="OYW79" s="378"/>
      <c r="OYX79" s="378"/>
      <c r="OYY79" s="378"/>
      <c r="OYZ79" s="378"/>
      <c r="OZA79" s="378"/>
      <c r="OZB79" s="378"/>
      <c r="OZC79" s="378"/>
      <c r="OZD79" s="378"/>
      <c r="OZE79" s="378"/>
      <c r="OZF79" s="378"/>
      <c r="OZG79" s="378"/>
      <c r="OZH79" s="378"/>
      <c r="OZI79" s="378"/>
      <c r="OZJ79" s="378"/>
      <c r="OZK79" s="378"/>
      <c r="OZL79" s="378"/>
      <c r="OZM79" s="378"/>
      <c r="OZN79" s="378"/>
      <c r="OZO79" s="378"/>
      <c r="OZP79" s="378"/>
      <c r="OZQ79" s="378"/>
      <c r="OZR79" s="378"/>
      <c r="OZS79" s="378"/>
      <c r="OZT79" s="378"/>
      <c r="OZU79" s="378"/>
      <c r="OZV79" s="378"/>
      <c r="OZW79" s="378"/>
      <c r="OZX79" s="378"/>
      <c r="OZY79" s="378"/>
      <c r="OZZ79" s="378"/>
      <c r="PAA79" s="378"/>
      <c r="PAB79" s="378"/>
      <c r="PAC79" s="378"/>
      <c r="PAD79" s="378"/>
      <c r="PAE79" s="378"/>
      <c r="PAF79" s="378"/>
      <c r="PAG79" s="378"/>
      <c r="PAH79" s="378"/>
      <c r="PAI79" s="378"/>
      <c r="PAJ79" s="378"/>
      <c r="PAK79" s="378"/>
      <c r="PAL79" s="378"/>
      <c r="PAM79" s="378"/>
      <c r="PAN79" s="378"/>
      <c r="PAO79" s="378"/>
      <c r="PAP79" s="378"/>
      <c r="PAQ79" s="378"/>
      <c r="PAR79" s="378"/>
      <c r="PAS79" s="378"/>
      <c r="PAT79" s="378"/>
      <c r="PAU79" s="378"/>
      <c r="PAV79" s="378"/>
      <c r="PAW79" s="378"/>
      <c r="PAX79" s="378"/>
      <c r="PAY79" s="378"/>
      <c r="PAZ79" s="378"/>
      <c r="PBA79" s="378"/>
      <c r="PBB79" s="378"/>
      <c r="PBC79" s="378"/>
      <c r="PBD79" s="378"/>
      <c r="PBE79" s="378"/>
      <c r="PBF79" s="378"/>
      <c r="PBG79" s="378"/>
      <c r="PBH79" s="378"/>
      <c r="PBI79" s="378"/>
      <c r="PBJ79" s="378"/>
      <c r="PBK79" s="378"/>
      <c r="PBL79" s="378"/>
      <c r="PBM79" s="378"/>
      <c r="PBN79" s="378"/>
      <c r="PBO79" s="378"/>
      <c r="PBP79" s="378"/>
      <c r="PBQ79" s="378"/>
      <c r="PBR79" s="378"/>
      <c r="PBS79" s="378"/>
      <c r="PBT79" s="378"/>
      <c r="PBU79" s="378"/>
      <c r="PBV79" s="378"/>
      <c r="PBW79" s="378"/>
      <c r="PBX79" s="378"/>
      <c r="PBY79" s="378"/>
      <c r="PBZ79" s="378"/>
      <c r="PCA79" s="378"/>
      <c r="PCB79" s="378"/>
      <c r="PCC79" s="378"/>
      <c r="PCD79" s="378"/>
      <c r="PCE79" s="378"/>
      <c r="PCF79" s="378"/>
      <c r="PCG79" s="378"/>
      <c r="PCH79" s="378"/>
      <c r="PCI79" s="378"/>
      <c r="PCJ79" s="378"/>
      <c r="PCK79" s="378"/>
      <c r="PCL79" s="378"/>
      <c r="PCM79" s="378"/>
      <c r="PCN79" s="378"/>
      <c r="PCO79" s="378"/>
      <c r="PCP79" s="378"/>
      <c r="PCQ79" s="378"/>
      <c r="PCR79" s="378"/>
      <c r="PCS79" s="378"/>
      <c r="PCT79" s="378"/>
      <c r="PCU79" s="378"/>
      <c r="PCV79" s="378"/>
      <c r="PCW79" s="378"/>
      <c r="PCX79" s="378"/>
      <c r="PCY79" s="378"/>
      <c r="PCZ79" s="378"/>
      <c r="PDA79" s="378"/>
      <c r="PDB79" s="378"/>
      <c r="PDC79" s="378"/>
      <c r="PDD79" s="378"/>
      <c r="PDE79" s="378"/>
      <c r="PDF79" s="378"/>
      <c r="PDG79" s="378"/>
      <c r="PDH79" s="378"/>
      <c r="PDI79" s="378"/>
      <c r="PDJ79" s="378"/>
      <c r="PDK79" s="378"/>
      <c r="PDL79" s="378"/>
      <c r="PDM79" s="378"/>
      <c r="PDN79" s="378"/>
      <c r="PDO79" s="378"/>
      <c r="PDP79" s="378"/>
      <c r="PDQ79" s="378"/>
      <c r="PDR79" s="378"/>
      <c r="PDS79" s="378"/>
      <c r="PDT79" s="378"/>
      <c r="PDU79" s="378"/>
      <c r="PDV79" s="378"/>
      <c r="PDW79" s="378"/>
      <c r="PDX79" s="378"/>
      <c r="PDY79" s="378"/>
      <c r="PDZ79" s="378"/>
      <c r="PEA79" s="378"/>
      <c r="PEB79" s="378"/>
      <c r="PEC79" s="378"/>
      <c r="PED79" s="378"/>
      <c r="PEE79" s="378"/>
      <c r="PEF79" s="378"/>
      <c r="PEG79" s="378"/>
      <c r="PEH79" s="378"/>
      <c r="PEI79" s="378"/>
      <c r="PEJ79" s="378"/>
      <c r="PEK79" s="378"/>
      <c r="PEL79" s="378"/>
      <c r="PEM79" s="378"/>
      <c r="PEN79" s="378"/>
      <c r="PEO79" s="378"/>
      <c r="PEP79" s="378"/>
      <c r="PEQ79" s="378"/>
      <c r="PER79" s="378"/>
      <c r="PES79" s="378"/>
      <c r="PET79" s="378"/>
      <c r="PEU79" s="378"/>
      <c r="PEV79" s="378"/>
      <c r="PEW79" s="378"/>
      <c r="PEX79" s="378"/>
      <c r="PEY79" s="378"/>
      <c r="PEZ79" s="378"/>
      <c r="PFA79" s="378"/>
      <c r="PFB79" s="378"/>
      <c r="PFC79" s="378"/>
      <c r="PFD79" s="378"/>
      <c r="PFE79" s="378"/>
      <c r="PFF79" s="378"/>
      <c r="PFG79" s="378"/>
      <c r="PFH79" s="378"/>
      <c r="PFI79" s="378"/>
      <c r="PFJ79" s="378"/>
      <c r="PFK79" s="378"/>
      <c r="PFL79" s="378"/>
      <c r="PFM79" s="378"/>
      <c r="PFN79" s="378"/>
      <c r="PFO79" s="378"/>
      <c r="PFP79" s="378"/>
      <c r="PFQ79" s="378"/>
      <c r="PFR79" s="378"/>
      <c r="PFS79" s="378"/>
      <c r="PFT79" s="378"/>
      <c r="PFU79" s="378"/>
      <c r="PFV79" s="378"/>
      <c r="PFW79" s="378"/>
      <c r="PFX79" s="378"/>
      <c r="PFY79" s="378"/>
      <c r="PFZ79" s="378"/>
      <c r="PGA79" s="378"/>
      <c r="PGB79" s="378"/>
      <c r="PGC79" s="378"/>
      <c r="PGD79" s="378"/>
      <c r="PGE79" s="378"/>
      <c r="PGF79" s="378"/>
      <c r="PGG79" s="378"/>
      <c r="PGH79" s="378"/>
      <c r="PGI79" s="378"/>
      <c r="PGJ79" s="378"/>
      <c r="PGK79" s="378"/>
      <c r="PGL79" s="378"/>
      <c r="PGM79" s="378"/>
      <c r="PGN79" s="378"/>
      <c r="PGO79" s="378"/>
      <c r="PGP79" s="378"/>
      <c r="PGQ79" s="378"/>
      <c r="PGR79" s="378"/>
      <c r="PGS79" s="378"/>
      <c r="PGT79" s="378"/>
      <c r="PGU79" s="378"/>
      <c r="PGV79" s="378"/>
      <c r="PGW79" s="378"/>
      <c r="PGX79" s="378"/>
      <c r="PGY79" s="378"/>
      <c r="PGZ79" s="378"/>
      <c r="PHA79" s="378"/>
      <c r="PHB79" s="378"/>
      <c r="PHC79" s="378"/>
      <c r="PHD79" s="378"/>
      <c r="PHE79" s="378"/>
      <c r="PHF79" s="378"/>
      <c r="PHG79" s="378"/>
      <c r="PHH79" s="378"/>
      <c r="PHI79" s="378"/>
      <c r="PHJ79" s="378"/>
      <c r="PHK79" s="378"/>
      <c r="PHL79" s="378"/>
      <c r="PHM79" s="378"/>
      <c r="PHN79" s="378"/>
      <c r="PHO79" s="378"/>
      <c r="PHP79" s="378"/>
      <c r="PHQ79" s="378"/>
      <c r="PHR79" s="378"/>
      <c r="PHS79" s="378"/>
      <c r="PHT79" s="378"/>
      <c r="PHU79" s="378"/>
      <c r="PHV79" s="378"/>
      <c r="PHW79" s="378"/>
      <c r="PHX79" s="378"/>
      <c r="PHY79" s="378"/>
      <c r="PHZ79" s="378"/>
      <c r="PIA79" s="378"/>
      <c r="PIB79" s="378"/>
      <c r="PIC79" s="378"/>
      <c r="PID79" s="378"/>
      <c r="PIE79" s="378"/>
      <c r="PIF79" s="378"/>
      <c r="PIG79" s="378"/>
      <c r="PIH79" s="378"/>
      <c r="PII79" s="378"/>
      <c r="PIJ79" s="378"/>
      <c r="PIK79" s="378"/>
      <c r="PIL79" s="378"/>
      <c r="PIM79" s="378"/>
      <c r="PIN79" s="378"/>
      <c r="PIO79" s="378"/>
      <c r="PIP79" s="378"/>
      <c r="PIQ79" s="378"/>
      <c r="PIR79" s="378"/>
      <c r="PIS79" s="378"/>
      <c r="PIT79" s="378"/>
      <c r="PIU79" s="378"/>
      <c r="PIV79" s="378"/>
      <c r="PIW79" s="378"/>
      <c r="PIX79" s="378"/>
      <c r="PIY79" s="378"/>
      <c r="PIZ79" s="378"/>
      <c r="PJA79" s="378"/>
      <c r="PJB79" s="378"/>
      <c r="PJC79" s="378"/>
      <c r="PJD79" s="378"/>
      <c r="PJE79" s="378"/>
      <c r="PJF79" s="378"/>
      <c r="PJG79" s="378"/>
      <c r="PJH79" s="378"/>
      <c r="PJI79" s="378"/>
      <c r="PJJ79" s="378"/>
      <c r="PJK79" s="378"/>
      <c r="PJL79" s="378"/>
      <c r="PJM79" s="378"/>
      <c r="PJN79" s="378"/>
      <c r="PJO79" s="378"/>
      <c r="PJP79" s="378"/>
      <c r="PJQ79" s="378"/>
      <c r="PJR79" s="378"/>
      <c r="PJS79" s="378"/>
      <c r="PJT79" s="378"/>
      <c r="PJU79" s="378"/>
      <c r="PJV79" s="378"/>
      <c r="PJW79" s="378"/>
      <c r="PJX79" s="378"/>
      <c r="PJY79" s="378"/>
      <c r="PJZ79" s="378"/>
      <c r="PKA79" s="378"/>
      <c r="PKB79" s="378"/>
      <c r="PKC79" s="378"/>
      <c r="PKD79" s="378"/>
      <c r="PKE79" s="378"/>
      <c r="PKF79" s="378"/>
      <c r="PKG79" s="378"/>
      <c r="PKH79" s="378"/>
      <c r="PKI79" s="378"/>
      <c r="PKJ79" s="378"/>
      <c r="PKK79" s="378"/>
      <c r="PKL79" s="378"/>
      <c r="PKM79" s="378"/>
      <c r="PKN79" s="378"/>
      <c r="PKO79" s="378"/>
      <c r="PKP79" s="378"/>
      <c r="PKQ79" s="378"/>
      <c r="PKR79" s="378"/>
      <c r="PKS79" s="378"/>
      <c r="PKT79" s="378"/>
      <c r="PKU79" s="378"/>
      <c r="PKV79" s="378"/>
      <c r="PKW79" s="378"/>
      <c r="PKX79" s="378"/>
      <c r="PKY79" s="378"/>
      <c r="PKZ79" s="378"/>
      <c r="PLA79" s="378"/>
      <c r="PLB79" s="378"/>
      <c r="PLC79" s="378"/>
      <c r="PLD79" s="378"/>
      <c r="PLE79" s="378"/>
      <c r="PLF79" s="378"/>
      <c r="PLG79" s="378"/>
      <c r="PLH79" s="378"/>
      <c r="PLI79" s="378"/>
      <c r="PLJ79" s="378"/>
      <c r="PLK79" s="378"/>
      <c r="PLL79" s="378"/>
      <c r="PLM79" s="378"/>
      <c r="PLN79" s="378"/>
      <c r="PLO79" s="378"/>
      <c r="PLP79" s="378"/>
      <c r="PLQ79" s="378"/>
      <c r="PLR79" s="378"/>
      <c r="PLS79" s="378"/>
      <c r="PLT79" s="378"/>
      <c r="PLU79" s="378"/>
      <c r="PLV79" s="378"/>
      <c r="PLW79" s="378"/>
      <c r="PLX79" s="378"/>
      <c r="PLY79" s="378"/>
      <c r="PLZ79" s="378"/>
      <c r="PMA79" s="378"/>
      <c r="PMB79" s="378"/>
      <c r="PMC79" s="378"/>
      <c r="PMD79" s="378"/>
      <c r="PME79" s="378"/>
      <c r="PMF79" s="378"/>
      <c r="PMG79" s="378"/>
      <c r="PMH79" s="378"/>
      <c r="PMI79" s="378"/>
      <c r="PMJ79" s="378"/>
      <c r="PMK79" s="378"/>
      <c r="PML79" s="378"/>
      <c r="PMM79" s="378"/>
      <c r="PMN79" s="378"/>
      <c r="PMO79" s="378"/>
      <c r="PMP79" s="378"/>
      <c r="PMQ79" s="378"/>
      <c r="PMR79" s="378"/>
      <c r="PMS79" s="378"/>
      <c r="PMT79" s="378"/>
      <c r="PMU79" s="378"/>
      <c r="PMV79" s="378"/>
      <c r="PMW79" s="378"/>
      <c r="PMX79" s="378"/>
      <c r="PMY79" s="378"/>
      <c r="PMZ79" s="378"/>
      <c r="PNA79" s="378"/>
      <c r="PNB79" s="378"/>
      <c r="PNC79" s="378"/>
      <c r="PND79" s="378"/>
      <c r="PNE79" s="378"/>
      <c r="PNF79" s="378"/>
      <c r="PNG79" s="378"/>
      <c r="PNH79" s="378"/>
      <c r="PNI79" s="378"/>
      <c r="PNJ79" s="378"/>
      <c r="PNK79" s="378"/>
      <c r="PNL79" s="378"/>
      <c r="PNM79" s="378"/>
      <c r="PNN79" s="378"/>
      <c r="PNO79" s="378"/>
      <c r="PNP79" s="378"/>
      <c r="PNQ79" s="378"/>
      <c r="PNR79" s="378"/>
      <c r="PNS79" s="378"/>
      <c r="PNT79" s="378"/>
      <c r="PNU79" s="378"/>
      <c r="PNV79" s="378"/>
      <c r="PNW79" s="378"/>
      <c r="PNX79" s="378"/>
      <c r="PNY79" s="378"/>
      <c r="PNZ79" s="378"/>
      <c r="POA79" s="378"/>
      <c r="POB79" s="378"/>
      <c r="POC79" s="378"/>
      <c r="POD79" s="378"/>
      <c r="POE79" s="378"/>
      <c r="POF79" s="378"/>
      <c r="POG79" s="378"/>
      <c r="POH79" s="378"/>
      <c r="POI79" s="378"/>
      <c r="POJ79" s="378"/>
      <c r="POK79" s="378"/>
      <c r="POL79" s="378"/>
      <c r="POM79" s="378"/>
      <c r="PON79" s="378"/>
      <c r="POO79" s="378"/>
      <c r="POP79" s="378"/>
      <c r="POQ79" s="378"/>
      <c r="POR79" s="378"/>
      <c r="POS79" s="378"/>
      <c r="POT79" s="378"/>
      <c r="POU79" s="378"/>
      <c r="POV79" s="378"/>
      <c r="POW79" s="378"/>
      <c r="POX79" s="378"/>
      <c r="POY79" s="378"/>
      <c r="POZ79" s="378"/>
      <c r="PPA79" s="378"/>
      <c r="PPB79" s="378"/>
      <c r="PPC79" s="378"/>
      <c r="PPD79" s="378"/>
      <c r="PPE79" s="378"/>
      <c r="PPF79" s="378"/>
      <c r="PPG79" s="378"/>
      <c r="PPH79" s="378"/>
      <c r="PPI79" s="378"/>
      <c r="PPJ79" s="378"/>
      <c r="PPK79" s="378"/>
      <c r="PPL79" s="378"/>
      <c r="PPM79" s="378"/>
      <c r="PPN79" s="378"/>
      <c r="PPO79" s="378"/>
      <c r="PPP79" s="378"/>
      <c r="PPQ79" s="378"/>
      <c r="PPR79" s="378"/>
      <c r="PPS79" s="378"/>
      <c r="PPT79" s="378"/>
      <c r="PPU79" s="378"/>
      <c r="PPV79" s="378"/>
      <c r="PPW79" s="378"/>
      <c r="PPX79" s="378"/>
      <c r="PPY79" s="378"/>
      <c r="PPZ79" s="378"/>
      <c r="PQA79" s="378"/>
      <c r="PQB79" s="378"/>
      <c r="PQC79" s="378"/>
      <c r="PQD79" s="378"/>
      <c r="PQE79" s="378"/>
      <c r="PQF79" s="378"/>
      <c r="PQG79" s="378"/>
      <c r="PQH79" s="378"/>
      <c r="PQI79" s="378"/>
      <c r="PQJ79" s="378"/>
      <c r="PQK79" s="378"/>
      <c r="PQL79" s="378"/>
      <c r="PQM79" s="378"/>
      <c r="PQN79" s="378"/>
      <c r="PQO79" s="378"/>
      <c r="PQP79" s="378"/>
      <c r="PQQ79" s="378"/>
      <c r="PQR79" s="378"/>
      <c r="PQS79" s="378"/>
      <c r="PQT79" s="378"/>
      <c r="PQU79" s="378"/>
      <c r="PQV79" s="378"/>
      <c r="PQW79" s="378"/>
      <c r="PQX79" s="378"/>
      <c r="PQY79" s="378"/>
      <c r="PQZ79" s="378"/>
      <c r="PRA79" s="378"/>
      <c r="PRB79" s="378"/>
      <c r="PRC79" s="378"/>
      <c r="PRD79" s="378"/>
      <c r="PRE79" s="378"/>
      <c r="PRF79" s="378"/>
      <c r="PRG79" s="378"/>
      <c r="PRH79" s="378"/>
      <c r="PRI79" s="378"/>
      <c r="PRJ79" s="378"/>
      <c r="PRK79" s="378"/>
      <c r="PRL79" s="378"/>
      <c r="PRM79" s="378"/>
      <c r="PRN79" s="378"/>
      <c r="PRO79" s="378"/>
      <c r="PRP79" s="378"/>
      <c r="PRQ79" s="378"/>
      <c r="PRR79" s="378"/>
      <c r="PRS79" s="378"/>
      <c r="PRT79" s="378"/>
      <c r="PRU79" s="378"/>
      <c r="PRV79" s="378"/>
      <c r="PRW79" s="378"/>
      <c r="PRX79" s="378"/>
      <c r="PRY79" s="378"/>
      <c r="PRZ79" s="378"/>
      <c r="PSA79" s="378"/>
      <c r="PSB79" s="378"/>
      <c r="PSC79" s="378"/>
      <c r="PSD79" s="378"/>
      <c r="PSE79" s="378"/>
      <c r="PSF79" s="378"/>
      <c r="PSG79" s="378"/>
      <c r="PSH79" s="378"/>
      <c r="PSI79" s="378"/>
      <c r="PSJ79" s="378"/>
      <c r="PSK79" s="378"/>
      <c r="PSL79" s="378"/>
      <c r="PSM79" s="378"/>
      <c r="PSN79" s="378"/>
      <c r="PSO79" s="378"/>
      <c r="PSP79" s="378"/>
      <c r="PSQ79" s="378"/>
      <c r="PSR79" s="378"/>
      <c r="PSS79" s="378"/>
      <c r="PST79" s="378"/>
      <c r="PSU79" s="378"/>
      <c r="PSV79" s="378"/>
      <c r="PSW79" s="378"/>
      <c r="PSX79" s="378"/>
      <c r="PSY79" s="378"/>
      <c r="PSZ79" s="378"/>
      <c r="PTA79" s="378"/>
      <c r="PTB79" s="378"/>
      <c r="PTC79" s="378"/>
      <c r="PTD79" s="378"/>
      <c r="PTE79" s="378"/>
      <c r="PTF79" s="378"/>
      <c r="PTG79" s="378"/>
      <c r="PTH79" s="378"/>
      <c r="PTI79" s="378"/>
      <c r="PTJ79" s="378"/>
      <c r="PTK79" s="378"/>
      <c r="PTL79" s="378"/>
      <c r="PTM79" s="378"/>
      <c r="PTN79" s="378"/>
      <c r="PTO79" s="378"/>
      <c r="PTP79" s="378"/>
      <c r="PTQ79" s="378"/>
      <c r="PTR79" s="378"/>
      <c r="PTS79" s="378"/>
      <c r="PTT79" s="378"/>
      <c r="PTU79" s="378"/>
      <c r="PTV79" s="378"/>
      <c r="PTW79" s="378"/>
      <c r="PTX79" s="378"/>
      <c r="PTY79" s="378"/>
      <c r="PTZ79" s="378"/>
      <c r="PUA79" s="378"/>
      <c r="PUB79" s="378"/>
      <c r="PUC79" s="378"/>
      <c r="PUD79" s="378"/>
      <c r="PUE79" s="378"/>
      <c r="PUF79" s="378"/>
      <c r="PUG79" s="378"/>
      <c r="PUH79" s="378"/>
      <c r="PUI79" s="378"/>
      <c r="PUJ79" s="378"/>
      <c r="PUK79" s="378"/>
      <c r="PUL79" s="378"/>
      <c r="PUM79" s="378"/>
      <c r="PUN79" s="378"/>
      <c r="PUO79" s="378"/>
      <c r="PUP79" s="378"/>
      <c r="PUQ79" s="378"/>
      <c r="PUR79" s="378"/>
      <c r="PUS79" s="378"/>
      <c r="PUT79" s="378"/>
      <c r="PUU79" s="378"/>
      <c r="PUV79" s="378"/>
      <c r="PUW79" s="378"/>
      <c r="PUX79" s="378"/>
      <c r="PUY79" s="378"/>
      <c r="PUZ79" s="378"/>
      <c r="PVA79" s="378"/>
      <c r="PVB79" s="378"/>
      <c r="PVC79" s="378"/>
      <c r="PVD79" s="378"/>
      <c r="PVE79" s="378"/>
      <c r="PVF79" s="378"/>
      <c r="PVG79" s="378"/>
      <c r="PVH79" s="378"/>
      <c r="PVI79" s="378"/>
      <c r="PVJ79" s="378"/>
      <c r="PVK79" s="378"/>
      <c r="PVL79" s="378"/>
      <c r="PVM79" s="378"/>
      <c r="PVN79" s="378"/>
      <c r="PVO79" s="378"/>
      <c r="PVP79" s="378"/>
      <c r="PVQ79" s="378"/>
      <c r="PVR79" s="378"/>
      <c r="PVS79" s="378"/>
      <c r="PVT79" s="378"/>
      <c r="PVU79" s="378"/>
      <c r="PVV79" s="378"/>
      <c r="PVW79" s="378"/>
      <c r="PVX79" s="378"/>
      <c r="PVY79" s="378"/>
      <c r="PVZ79" s="378"/>
      <c r="PWA79" s="378"/>
      <c r="PWB79" s="378"/>
      <c r="PWC79" s="378"/>
      <c r="PWD79" s="378"/>
      <c r="PWE79" s="378"/>
      <c r="PWF79" s="378"/>
      <c r="PWG79" s="378"/>
      <c r="PWH79" s="378"/>
      <c r="PWI79" s="378"/>
      <c r="PWJ79" s="378"/>
      <c r="PWK79" s="378"/>
      <c r="PWL79" s="378"/>
      <c r="PWM79" s="378"/>
      <c r="PWN79" s="378"/>
      <c r="PWO79" s="378"/>
      <c r="PWP79" s="378"/>
      <c r="PWQ79" s="378"/>
      <c r="PWR79" s="378"/>
      <c r="PWS79" s="378"/>
      <c r="PWT79" s="378"/>
      <c r="PWU79" s="378"/>
      <c r="PWV79" s="378"/>
      <c r="PWW79" s="378"/>
      <c r="PWX79" s="378"/>
      <c r="PWY79" s="378"/>
      <c r="PWZ79" s="378"/>
      <c r="PXA79" s="378"/>
      <c r="PXB79" s="378"/>
      <c r="PXC79" s="378"/>
      <c r="PXD79" s="378"/>
      <c r="PXE79" s="378"/>
      <c r="PXF79" s="378"/>
      <c r="PXG79" s="378"/>
      <c r="PXH79" s="378"/>
      <c r="PXI79" s="378"/>
      <c r="PXJ79" s="378"/>
      <c r="PXK79" s="378"/>
      <c r="PXL79" s="378"/>
      <c r="PXM79" s="378"/>
      <c r="PXN79" s="378"/>
      <c r="PXO79" s="378"/>
      <c r="PXP79" s="378"/>
      <c r="PXQ79" s="378"/>
      <c r="PXR79" s="378"/>
      <c r="PXS79" s="378"/>
      <c r="PXT79" s="378"/>
      <c r="PXU79" s="378"/>
      <c r="PXV79" s="378"/>
      <c r="PXW79" s="378"/>
      <c r="PXX79" s="378"/>
      <c r="PXY79" s="378"/>
      <c r="PXZ79" s="378"/>
      <c r="PYA79" s="378"/>
      <c r="PYB79" s="378"/>
      <c r="PYC79" s="378"/>
      <c r="PYD79" s="378"/>
      <c r="PYE79" s="378"/>
      <c r="PYF79" s="378"/>
      <c r="PYG79" s="378"/>
      <c r="PYH79" s="378"/>
      <c r="PYI79" s="378"/>
      <c r="PYJ79" s="378"/>
      <c r="PYK79" s="378"/>
      <c r="PYL79" s="378"/>
      <c r="PYM79" s="378"/>
      <c r="PYN79" s="378"/>
      <c r="PYO79" s="378"/>
      <c r="PYP79" s="378"/>
      <c r="PYQ79" s="378"/>
      <c r="PYR79" s="378"/>
      <c r="PYS79" s="378"/>
      <c r="PYT79" s="378"/>
      <c r="PYU79" s="378"/>
      <c r="PYV79" s="378"/>
      <c r="PYW79" s="378"/>
      <c r="PYX79" s="378"/>
      <c r="PYY79" s="378"/>
      <c r="PYZ79" s="378"/>
      <c r="PZA79" s="378"/>
      <c r="PZB79" s="378"/>
      <c r="PZC79" s="378"/>
      <c r="PZD79" s="378"/>
      <c r="PZE79" s="378"/>
      <c r="PZF79" s="378"/>
      <c r="PZG79" s="378"/>
      <c r="PZH79" s="378"/>
      <c r="PZI79" s="378"/>
      <c r="PZJ79" s="378"/>
      <c r="PZK79" s="378"/>
      <c r="PZL79" s="378"/>
      <c r="PZM79" s="378"/>
      <c r="PZN79" s="378"/>
      <c r="PZO79" s="378"/>
      <c r="PZP79" s="378"/>
      <c r="PZQ79" s="378"/>
      <c r="PZR79" s="378"/>
      <c r="PZS79" s="378"/>
      <c r="PZT79" s="378"/>
      <c r="PZU79" s="378"/>
      <c r="PZV79" s="378"/>
      <c r="PZW79" s="378"/>
      <c r="PZX79" s="378"/>
      <c r="PZY79" s="378"/>
      <c r="PZZ79" s="378"/>
      <c r="QAA79" s="378"/>
      <c r="QAB79" s="378"/>
      <c r="QAC79" s="378"/>
      <c r="QAD79" s="378"/>
      <c r="QAE79" s="378"/>
      <c r="QAF79" s="378"/>
      <c r="QAG79" s="378"/>
      <c r="QAH79" s="378"/>
      <c r="QAI79" s="378"/>
      <c r="QAJ79" s="378"/>
      <c r="QAK79" s="378"/>
      <c r="QAL79" s="378"/>
      <c r="QAM79" s="378"/>
      <c r="QAN79" s="378"/>
      <c r="QAO79" s="378"/>
      <c r="QAP79" s="378"/>
      <c r="QAQ79" s="378"/>
      <c r="QAR79" s="378"/>
      <c r="QAS79" s="378"/>
      <c r="QAT79" s="378"/>
      <c r="QAU79" s="378"/>
      <c r="QAV79" s="378"/>
      <c r="QAW79" s="378"/>
      <c r="QAX79" s="378"/>
      <c r="QAY79" s="378"/>
      <c r="QAZ79" s="378"/>
      <c r="QBA79" s="378"/>
      <c r="QBB79" s="378"/>
      <c r="QBC79" s="378"/>
      <c r="QBD79" s="378"/>
      <c r="QBE79" s="378"/>
      <c r="QBF79" s="378"/>
      <c r="QBG79" s="378"/>
      <c r="QBH79" s="378"/>
      <c r="QBI79" s="378"/>
      <c r="QBJ79" s="378"/>
      <c r="QBK79" s="378"/>
      <c r="QBL79" s="378"/>
      <c r="QBM79" s="378"/>
      <c r="QBN79" s="378"/>
      <c r="QBO79" s="378"/>
      <c r="QBP79" s="378"/>
      <c r="QBQ79" s="378"/>
      <c r="QBR79" s="378"/>
      <c r="QBS79" s="378"/>
      <c r="QBT79" s="378"/>
      <c r="QBU79" s="378"/>
      <c r="QBV79" s="378"/>
      <c r="QBW79" s="378"/>
      <c r="QBX79" s="378"/>
      <c r="QBY79" s="378"/>
      <c r="QBZ79" s="378"/>
      <c r="QCA79" s="378"/>
      <c r="QCB79" s="378"/>
      <c r="QCC79" s="378"/>
      <c r="QCD79" s="378"/>
      <c r="QCE79" s="378"/>
      <c r="QCF79" s="378"/>
      <c r="QCG79" s="378"/>
      <c r="QCH79" s="378"/>
      <c r="QCI79" s="378"/>
      <c r="QCJ79" s="378"/>
      <c r="QCK79" s="378"/>
      <c r="QCL79" s="378"/>
      <c r="QCM79" s="378"/>
      <c r="QCN79" s="378"/>
      <c r="QCO79" s="378"/>
      <c r="QCP79" s="378"/>
      <c r="QCQ79" s="378"/>
      <c r="QCR79" s="378"/>
      <c r="QCS79" s="378"/>
      <c r="QCT79" s="378"/>
      <c r="QCU79" s="378"/>
      <c r="QCV79" s="378"/>
      <c r="QCW79" s="378"/>
      <c r="QCX79" s="378"/>
      <c r="QCY79" s="378"/>
      <c r="QCZ79" s="378"/>
      <c r="QDA79" s="378"/>
      <c r="QDB79" s="378"/>
      <c r="QDC79" s="378"/>
      <c r="QDD79" s="378"/>
      <c r="QDE79" s="378"/>
      <c r="QDF79" s="378"/>
      <c r="QDG79" s="378"/>
      <c r="QDH79" s="378"/>
      <c r="QDI79" s="378"/>
      <c r="QDJ79" s="378"/>
      <c r="QDK79" s="378"/>
      <c r="QDL79" s="378"/>
      <c r="QDM79" s="378"/>
      <c r="QDN79" s="378"/>
      <c r="QDO79" s="378"/>
      <c r="QDP79" s="378"/>
      <c r="QDQ79" s="378"/>
      <c r="QDR79" s="378"/>
      <c r="QDS79" s="378"/>
      <c r="QDT79" s="378"/>
      <c r="QDU79" s="378"/>
      <c r="QDV79" s="378"/>
      <c r="QDW79" s="378"/>
      <c r="QDX79" s="378"/>
      <c r="QDY79" s="378"/>
      <c r="QDZ79" s="378"/>
      <c r="QEA79" s="378"/>
      <c r="QEB79" s="378"/>
      <c r="QEC79" s="378"/>
      <c r="QED79" s="378"/>
      <c r="QEE79" s="378"/>
      <c r="QEF79" s="378"/>
      <c r="QEG79" s="378"/>
      <c r="QEH79" s="378"/>
      <c r="QEI79" s="378"/>
      <c r="QEJ79" s="378"/>
      <c r="QEK79" s="378"/>
      <c r="QEL79" s="378"/>
      <c r="QEM79" s="378"/>
      <c r="QEN79" s="378"/>
      <c r="QEO79" s="378"/>
      <c r="QEP79" s="378"/>
      <c r="QEQ79" s="378"/>
      <c r="QER79" s="378"/>
      <c r="QES79" s="378"/>
      <c r="QET79" s="378"/>
      <c r="QEU79" s="378"/>
      <c r="QEV79" s="378"/>
      <c r="QEW79" s="378"/>
      <c r="QEX79" s="378"/>
      <c r="QEY79" s="378"/>
      <c r="QEZ79" s="378"/>
      <c r="QFA79" s="378"/>
      <c r="QFB79" s="378"/>
      <c r="QFC79" s="378"/>
      <c r="QFD79" s="378"/>
      <c r="QFE79" s="378"/>
      <c r="QFF79" s="378"/>
      <c r="QFG79" s="378"/>
      <c r="QFH79" s="378"/>
      <c r="QFI79" s="378"/>
      <c r="QFJ79" s="378"/>
      <c r="QFK79" s="378"/>
      <c r="QFL79" s="378"/>
      <c r="QFM79" s="378"/>
      <c r="QFN79" s="378"/>
      <c r="QFO79" s="378"/>
      <c r="QFP79" s="378"/>
      <c r="QFQ79" s="378"/>
      <c r="QFR79" s="378"/>
      <c r="QFS79" s="378"/>
      <c r="QFT79" s="378"/>
      <c r="QFU79" s="378"/>
      <c r="QFV79" s="378"/>
      <c r="QFW79" s="378"/>
      <c r="QFX79" s="378"/>
      <c r="QFY79" s="378"/>
      <c r="QFZ79" s="378"/>
      <c r="QGA79" s="378"/>
      <c r="QGB79" s="378"/>
      <c r="QGC79" s="378"/>
      <c r="QGD79" s="378"/>
      <c r="QGE79" s="378"/>
      <c r="QGF79" s="378"/>
      <c r="QGG79" s="378"/>
      <c r="QGH79" s="378"/>
      <c r="QGI79" s="378"/>
      <c r="QGJ79" s="378"/>
      <c r="QGK79" s="378"/>
      <c r="QGL79" s="378"/>
      <c r="QGM79" s="378"/>
      <c r="QGN79" s="378"/>
      <c r="QGO79" s="378"/>
      <c r="QGP79" s="378"/>
      <c r="QGQ79" s="378"/>
      <c r="QGR79" s="378"/>
      <c r="QGS79" s="378"/>
      <c r="QGT79" s="378"/>
      <c r="QGU79" s="378"/>
      <c r="QGV79" s="378"/>
      <c r="QGW79" s="378"/>
      <c r="QGX79" s="378"/>
      <c r="QGY79" s="378"/>
      <c r="QGZ79" s="378"/>
      <c r="QHA79" s="378"/>
      <c r="QHB79" s="378"/>
      <c r="QHC79" s="378"/>
      <c r="QHD79" s="378"/>
      <c r="QHE79" s="378"/>
      <c r="QHF79" s="378"/>
      <c r="QHG79" s="378"/>
      <c r="QHH79" s="378"/>
      <c r="QHI79" s="378"/>
      <c r="QHJ79" s="378"/>
      <c r="QHK79" s="378"/>
      <c r="QHL79" s="378"/>
      <c r="QHM79" s="378"/>
      <c r="QHN79" s="378"/>
      <c r="QHO79" s="378"/>
      <c r="QHP79" s="378"/>
      <c r="QHQ79" s="378"/>
      <c r="QHR79" s="378"/>
      <c r="QHS79" s="378"/>
      <c r="QHT79" s="378"/>
      <c r="QHU79" s="378"/>
      <c r="QHV79" s="378"/>
      <c r="QHW79" s="378"/>
      <c r="QHX79" s="378"/>
      <c r="QHY79" s="378"/>
      <c r="QHZ79" s="378"/>
      <c r="QIA79" s="378"/>
      <c r="QIB79" s="378"/>
      <c r="QIC79" s="378"/>
      <c r="QID79" s="378"/>
      <c r="QIE79" s="378"/>
      <c r="QIF79" s="378"/>
      <c r="QIG79" s="378"/>
      <c r="QIH79" s="378"/>
      <c r="QII79" s="378"/>
      <c r="QIJ79" s="378"/>
      <c r="QIK79" s="378"/>
      <c r="QIL79" s="378"/>
      <c r="QIM79" s="378"/>
      <c r="QIN79" s="378"/>
      <c r="QIO79" s="378"/>
      <c r="QIP79" s="378"/>
      <c r="QIQ79" s="378"/>
      <c r="QIR79" s="378"/>
      <c r="QIS79" s="378"/>
      <c r="QIT79" s="378"/>
      <c r="QIU79" s="378"/>
      <c r="QIV79" s="378"/>
      <c r="QIW79" s="378"/>
      <c r="QIX79" s="378"/>
      <c r="QIY79" s="378"/>
      <c r="QIZ79" s="378"/>
      <c r="QJA79" s="378"/>
      <c r="QJB79" s="378"/>
      <c r="QJC79" s="378"/>
      <c r="QJD79" s="378"/>
      <c r="QJE79" s="378"/>
      <c r="QJF79" s="378"/>
      <c r="QJG79" s="378"/>
      <c r="QJH79" s="378"/>
      <c r="QJI79" s="378"/>
      <c r="QJJ79" s="378"/>
      <c r="QJK79" s="378"/>
      <c r="QJL79" s="378"/>
      <c r="QJM79" s="378"/>
      <c r="QJN79" s="378"/>
      <c r="QJO79" s="378"/>
      <c r="QJP79" s="378"/>
      <c r="QJQ79" s="378"/>
      <c r="QJR79" s="378"/>
      <c r="QJS79" s="378"/>
      <c r="QJT79" s="378"/>
      <c r="QJU79" s="378"/>
      <c r="QJV79" s="378"/>
      <c r="QJW79" s="378"/>
      <c r="QJX79" s="378"/>
      <c r="QJY79" s="378"/>
      <c r="QJZ79" s="378"/>
      <c r="QKA79" s="378"/>
      <c r="QKB79" s="378"/>
      <c r="QKC79" s="378"/>
      <c r="QKD79" s="378"/>
      <c r="QKE79" s="378"/>
      <c r="QKF79" s="378"/>
      <c r="QKG79" s="378"/>
      <c r="QKH79" s="378"/>
      <c r="QKI79" s="378"/>
      <c r="QKJ79" s="378"/>
      <c r="QKK79" s="378"/>
      <c r="QKL79" s="378"/>
      <c r="QKM79" s="378"/>
      <c r="QKN79" s="378"/>
      <c r="QKO79" s="378"/>
      <c r="QKP79" s="378"/>
      <c r="QKQ79" s="378"/>
      <c r="QKR79" s="378"/>
      <c r="QKS79" s="378"/>
      <c r="QKT79" s="378"/>
      <c r="QKU79" s="378"/>
      <c r="QKV79" s="378"/>
      <c r="QKW79" s="378"/>
      <c r="QKX79" s="378"/>
      <c r="QKY79" s="378"/>
      <c r="QKZ79" s="378"/>
      <c r="QLA79" s="378"/>
      <c r="QLB79" s="378"/>
      <c r="QLC79" s="378"/>
      <c r="QLD79" s="378"/>
      <c r="QLE79" s="378"/>
      <c r="QLF79" s="378"/>
      <c r="QLG79" s="378"/>
      <c r="QLH79" s="378"/>
      <c r="QLI79" s="378"/>
      <c r="QLJ79" s="378"/>
      <c r="QLK79" s="378"/>
      <c r="QLL79" s="378"/>
      <c r="QLM79" s="378"/>
      <c r="QLN79" s="378"/>
      <c r="QLO79" s="378"/>
      <c r="QLP79" s="378"/>
      <c r="QLQ79" s="378"/>
      <c r="QLR79" s="378"/>
      <c r="QLS79" s="378"/>
      <c r="QLT79" s="378"/>
      <c r="QLU79" s="378"/>
      <c r="QLV79" s="378"/>
      <c r="QLW79" s="378"/>
      <c r="QLX79" s="378"/>
      <c r="QLY79" s="378"/>
      <c r="QLZ79" s="378"/>
      <c r="QMA79" s="378"/>
      <c r="QMB79" s="378"/>
      <c r="QMC79" s="378"/>
      <c r="QMD79" s="378"/>
      <c r="QME79" s="378"/>
      <c r="QMF79" s="378"/>
      <c r="QMG79" s="378"/>
      <c r="QMH79" s="378"/>
      <c r="QMI79" s="378"/>
      <c r="QMJ79" s="378"/>
      <c r="QMK79" s="378"/>
      <c r="QML79" s="378"/>
      <c r="QMM79" s="378"/>
      <c r="QMN79" s="378"/>
      <c r="QMO79" s="378"/>
      <c r="QMP79" s="378"/>
      <c r="QMQ79" s="378"/>
      <c r="QMR79" s="378"/>
      <c r="QMS79" s="378"/>
      <c r="QMT79" s="378"/>
      <c r="QMU79" s="378"/>
      <c r="QMV79" s="378"/>
      <c r="QMW79" s="378"/>
      <c r="QMX79" s="378"/>
      <c r="QMY79" s="378"/>
      <c r="QMZ79" s="378"/>
      <c r="QNA79" s="378"/>
      <c r="QNB79" s="378"/>
      <c r="QNC79" s="378"/>
      <c r="QND79" s="378"/>
      <c r="QNE79" s="378"/>
      <c r="QNF79" s="378"/>
      <c r="QNG79" s="378"/>
      <c r="QNH79" s="378"/>
      <c r="QNI79" s="378"/>
      <c r="QNJ79" s="378"/>
      <c r="QNK79" s="378"/>
      <c r="QNL79" s="378"/>
      <c r="QNM79" s="378"/>
      <c r="QNN79" s="378"/>
      <c r="QNO79" s="378"/>
      <c r="QNP79" s="378"/>
      <c r="QNQ79" s="378"/>
      <c r="QNR79" s="378"/>
      <c r="QNS79" s="378"/>
      <c r="QNT79" s="378"/>
      <c r="QNU79" s="378"/>
      <c r="QNV79" s="378"/>
      <c r="QNW79" s="378"/>
      <c r="QNX79" s="378"/>
      <c r="QNY79" s="378"/>
      <c r="QNZ79" s="378"/>
      <c r="QOA79" s="378"/>
      <c r="QOB79" s="378"/>
      <c r="QOC79" s="378"/>
      <c r="QOD79" s="378"/>
      <c r="QOE79" s="378"/>
      <c r="QOF79" s="378"/>
      <c r="QOG79" s="378"/>
      <c r="QOH79" s="378"/>
      <c r="QOI79" s="378"/>
      <c r="QOJ79" s="378"/>
      <c r="QOK79" s="378"/>
      <c r="QOL79" s="378"/>
      <c r="QOM79" s="378"/>
      <c r="QON79" s="378"/>
      <c r="QOO79" s="378"/>
      <c r="QOP79" s="378"/>
      <c r="QOQ79" s="378"/>
      <c r="QOR79" s="378"/>
      <c r="QOS79" s="378"/>
      <c r="QOT79" s="378"/>
      <c r="QOU79" s="378"/>
      <c r="QOV79" s="378"/>
      <c r="QOW79" s="378"/>
      <c r="QOX79" s="378"/>
      <c r="QOY79" s="378"/>
      <c r="QOZ79" s="378"/>
      <c r="QPA79" s="378"/>
      <c r="QPB79" s="378"/>
      <c r="QPC79" s="378"/>
      <c r="QPD79" s="378"/>
      <c r="QPE79" s="378"/>
      <c r="QPF79" s="378"/>
      <c r="QPG79" s="378"/>
      <c r="QPH79" s="378"/>
      <c r="QPI79" s="378"/>
      <c r="QPJ79" s="378"/>
      <c r="QPK79" s="378"/>
      <c r="QPL79" s="378"/>
      <c r="QPM79" s="378"/>
      <c r="QPN79" s="378"/>
      <c r="QPO79" s="378"/>
      <c r="QPP79" s="378"/>
      <c r="QPQ79" s="378"/>
      <c r="QPR79" s="378"/>
      <c r="QPS79" s="378"/>
      <c r="QPT79" s="378"/>
      <c r="QPU79" s="378"/>
      <c r="QPV79" s="378"/>
      <c r="QPW79" s="378"/>
      <c r="QPX79" s="378"/>
      <c r="QPY79" s="378"/>
      <c r="QPZ79" s="378"/>
      <c r="QQA79" s="378"/>
      <c r="QQB79" s="378"/>
      <c r="QQC79" s="378"/>
      <c r="QQD79" s="378"/>
      <c r="QQE79" s="378"/>
      <c r="QQF79" s="378"/>
      <c r="QQG79" s="378"/>
      <c r="QQH79" s="378"/>
      <c r="QQI79" s="378"/>
      <c r="QQJ79" s="378"/>
      <c r="QQK79" s="378"/>
      <c r="QQL79" s="378"/>
      <c r="QQM79" s="378"/>
      <c r="QQN79" s="378"/>
      <c r="QQO79" s="378"/>
      <c r="QQP79" s="378"/>
      <c r="QQQ79" s="378"/>
      <c r="QQR79" s="378"/>
      <c r="QQS79" s="378"/>
      <c r="QQT79" s="378"/>
      <c r="QQU79" s="378"/>
      <c r="QQV79" s="378"/>
      <c r="QQW79" s="378"/>
      <c r="QQX79" s="378"/>
      <c r="QQY79" s="378"/>
      <c r="QQZ79" s="378"/>
      <c r="QRA79" s="378"/>
      <c r="QRB79" s="378"/>
      <c r="QRC79" s="378"/>
      <c r="QRD79" s="378"/>
      <c r="QRE79" s="378"/>
      <c r="QRF79" s="378"/>
      <c r="QRG79" s="378"/>
      <c r="QRH79" s="378"/>
      <c r="QRI79" s="378"/>
      <c r="QRJ79" s="378"/>
      <c r="QRK79" s="378"/>
      <c r="QRL79" s="378"/>
      <c r="QRM79" s="378"/>
      <c r="QRN79" s="378"/>
      <c r="QRO79" s="378"/>
      <c r="QRP79" s="378"/>
      <c r="QRQ79" s="378"/>
      <c r="QRR79" s="378"/>
      <c r="QRS79" s="378"/>
      <c r="QRT79" s="378"/>
      <c r="QRU79" s="378"/>
      <c r="QRV79" s="378"/>
      <c r="QRW79" s="378"/>
      <c r="QRX79" s="378"/>
      <c r="QRY79" s="378"/>
      <c r="QRZ79" s="378"/>
      <c r="QSA79" s="378"/>
      <c r="QSB79" s="378"/>
      <c r="QSC79" s="378"/>
      <c r="QSD79" s="378"/>
      <c r="QSE79" s="378"/>
      <c r="QSF79" s="378"/>
      <c r="QSG79" s="378"/>
      <c r="QSH79" s="378"/>
      <c r="QSI79" s="378"/>
      <c r="QSJ79" s="378"/>
      <c r="QSK79" s="378"/>
      <c r="QSL79" s="378"/>
      <c r="QSM79" s="378"/>
      <c r="QSN79" s="378"/>
      <c r="QSO79" s="378"/>
      <c r="QSP79" s="378"/>
      <c r="QSQ79" s="378"/>
      <c r="QSR79" s="378"/>
      <c r="QSS79" s="378"/>
      <c r="QST79" s="378"/>
      <c r="QSU79" s="378"/>
      <c r="QSV79" s="378"/>
      <c r="QSW79" s="378"/>
      <c r="QSX79" s="378"/>
      <c r="QSY79" s="378"/>
      <c r="QSZ79" s="378"/>
      <c r="QTA79" s="378"/>
      <c r="QTB79" s="378"/>
      <c r="QTC79" s="378"/>
      <c r="QTD79" s="378"/>
      <c r="QTE79" s="378"/>
      <c r="QTF79" s="378"/>
      <c r="QTG79" s="378"/>
      <c r="QTH79" s="378"/>
      <c r="QTI79" s="378"/>
      <c r="QTJ79" s="378"/>
      <c r="QTK79" s="378"/>
      <c r="QTL79" s="378"/>
      <c r="QTM79" s="378"/>
      <c r="QTN79" s="378"/>
      <c r="QTO79" s="378"/>
      <c r="QTP79" s="378"/>
      <c r="QTQ79" s="378"/>
      <c r="QTR79" s="378"/>
      <c r="QTS79" s="378"/>
      <c r="QTT79" s="378"/>
      <c r="QTU79" s="378"/>
      <c r="QTV79" s="378"/>
      <c r="QTW79" s="378"/>
      <c r="QTX79" s="378"/>
      <c r="QTY79" s="378"/>
      <c r="QTZ79" s="378"/>
      <c r="QUA79" s="378"/>
      <c r="QUB79" s="378"/>
      <c r="QUC79" s="378"/>
      <c r="QUD79" s="378"/>
      <c r="QUE79" s="378"/>
      <c r="QUF79" s="378"/>
      <c r="QUG79" s="378"/>
      <c r="QUH79" s="378"/>
      <c r="QUI79" s="378"/>
      <c r="QUJ79" s="378"/>
      <c r="QUK79" s="378"/>
      <c r="QUL79" s="378"/>
      <c r="QUM79" s="378"/>
      <c r="QUN79" s="378"/>
      <c r="QUO79" s="378"/>
      <c r="QUP79" s="378"/>
      <c r="QUQ79" s="378"/>
      <c r="QUR79" s="378"/>
      <c r="QUS79" s="378"/>
      <c r="QUT79" s="378"/>
      <c r="QUU79" s="378"/>
      <c r="QUV79" s="378"/>
      <c r="QUW79" s="378"/>
      <c r="QUX79" s="378"/>
      <c r="QUY79" s="378"/>
      <c r="QUZ79" s="378"/>
      <c r="QVA79" s="378"/>
      <c r="QVB79" s="378"/>
      <c r="QVC79" s="378"/>
      <c r="QVD79" s="378"/>
      <c r="QVE79" s="378"/>
      <c r="QVF79" s="378"/>
      <c r="QVG79" s="378"/>
      <c r="QVH79" s="378"/>
      <c r="QVI79" s="378"/>
      <c r="QVJ79" s="378"/>
      <c r="QVK79" s="378"/>
      <c r="QVL79" s="378"/>
      <c r="QVM79" s="378"/>
      <c r="QVN79" s="378"/>
      <c r="QVO79" s="378"/>
      <c r="QVP79" s="378"/>
      <c r="QVQ79" s="378"/>
      <c r="QVR79" s="378"/>
      <c r="QVS79" s="378"/>
      <c r="QVT79" s="378"/>
      <c r="QVU79" s="378"/>
      <c r="QVV79" s="378"/>
      <c r="QVW79" s="378"/>
      <c r="QVX79" s="378"/>
      <c r="QVY79" s="378"/>
      <c r="QVZ79" s="378"/>
      <c r="QWA79" s="378"/>
      <c r="QWB79" s="378"/>
      <c r="QWC79" s="378"/>
      <c r="QWD79" s="378"/>
      <c r="QWE79" s="378"/>
      <c r="QWF79" s="378"/>
      <c r="QWG79" s="378"/>
      <c r="QWH79" s="378"/>
      <c r="QWI79" s="378"/>
      <c r="QWJ79" s="378"/>
      <c r="QWK79" s="378"/>
      <c r="QWL79" s="378"/>
      <c r="QWM79" s="378"/>
      <c r="QWN79" s="378"/>
      <c r="QWO79" s="378"/>
      <c r="QWP79" s="378"/>
      <c r="QWQ79" s="378"/>
      <c r="QWR79" s="378"/>
      <c r="QWS79" s="378"/>
      <c r="QWT79" s="378"/>
      <c r="QWU79" s="378"/>
      <c r="QWV79" s="378"/>
      <c r="QWW79" s="378"/>
      <c r="QWX79" s="378"/>
      <c r="QWY79" s="378"/>
      <c r="QWZ79" s="378"/>
      <c r="QXA79" s="378"/>
      <c r="QXB79" s="378"/>
      <c r="QXC79" s="378"/>
      <c r="QXD79" s="378"/>
      <c r="QXE79" s="378"/>
      <c r="QXF79" s="378"/>
      <c r="QXG79" s="378"/>
      <c r="QXH79" s="378"/>
      <c r="QXI79" s="378"/>
      <c r="QXJ79" s="378"/>
      <c r="QXK79" s="378"/>
      <c r="QXL79" s="378"/>
      <c r="QXM79" s="378"/>
      <c r="QXN79" s="378"/>
      <c r="QXO79" s="378"/>
      <c r="QXP79" s="378"/>
      <c r="QXQ79" s="378"/>
      <c r="QXR79" s="378"/>
      <c r="QXS79" s="378"/>
      <c r="QXT79" s="378"/>
      <c r="QXU79" s="378"/>
      <c r="QXV79" s="378"/>
      <c r="QXW79" s="378"/>
      <c r="QXX79" s="378"/>
      <c r="QXY79" s="378"/>
      <c r="QXZ79" s="378"/>
      <c r="QYA79" s="378"/>
      <c r="QYB79" s="378"/>
      <c r="QYC79" s="378"/>
      <c r="QYD79" s="378"/>
      <c r="QYE79" s="378"/>
      <c r="QYF79" s="378"/>
      <c r="QYG79" s="378"/>
      <c r="QYH79" s="378"/>
      <c r="QYI79" s="378"/>
      <c r="QYJ79" s="378"/>
      <c r="QYK79" s="378"/>
      <c r="QYL79" s="378"/>
      <c r="QYM79" s="378"/>
      <c r="QYN79" s="378"/>
      <c r="QYO79" s="378"/>
      <c r="QYP79" s="378"/>
      <c r="QYQ79" s="378"/>
      <c r="QYR79" s="378"/>
      <c r="QYS79" s="378"/>
      <c r="QYT79" s="378"/>
      <c r="QYU79" s="378"/>
      <c r="QYV79" s="378"/>
      <c r="QYW79" s="378"/>
      <c r="QYX79" s="378"/>
      <c r="QYY79" s="378"/>
      <c r="QYZ79" s="378"/>
      <c r="QZA79" s="378"/>
      <c r="QZB79" s="378"/>
      <c r="QZC79" s="378"/>
      <c r="QZD79" s="378"/>
      <c r="QZE79" s="378"/>
      <c r="QZF79" s="378"/>
      <c r="QZG79" s="378"/>
      <c r="QZH79" s="378"/>
      <c r="QZI79" s="378"/>
      <c r="QZJ79" s="378"/>
      <c r="QZK79" s="378"/>
      <c r="QZL79" s="378"/>
      <c r="QZM79" s="378"/>
      <c r="QZN79" s="378"/>
      <c r="QZO79" s="378"/>
      <c r="QZP79" s="378"/>
      <c r="QZQ79" s="378"/>
      <c r="QZR79" s="378"/>
      <c r="QZS79" s="378"/>
      <c r="QZT79" s="378"/>
      <c r="QZU79" s="378"/>
      <c r="QZV79" s="378"/>
      <c r="QZW79" s="378"/>
      <c r="QZX79" s="378"/>
      <c r="QZY79" s="378"/>
      <c r="QZZ79" s="378"/>
      <c r="RAA79" s="378"/>
      <c r="RAB79" s="378"/>
      <c r="RAC79" s="378"/>
      <c r="RAD79" s="378"/>
      <c r="RAE79" s="378"/>
      <c r="RAF79" s="378"/>
      <c r="RAG79" s="378"/>
      <c r="RAH79" s="378"/>
      <c r="RAI79" s="378"/>
      <c r="RAJ79" s="378"/>
      <c r="RAK79" s="378"/>
      <c r="RAL79" s="378"/>
      <c r="RAM79" s="378"/>
      <c r="RAN79" s="378"/>
      <c r="RAO79" s="378"/>
      <c r="RAP79" s="378"/>
      <c r="RAQ79" s="378"/>
      <c r="RAR79" s="378"/>
      <c r="RAS79" s="378"/>
      <c r="RAT79" s="378"/>
      <c r="RAU79" s="378"/>
      <c r="RAV79" s="378"/>
      <c r="RAW79" s="378"/>
      <c r="RAX79" s="378"/>
      <c r="RAY79" s="378"/>
      <c r="RAZ79" s="378"/>
      <c r="RBA79" s="378"/>
      <c r="RBB79" s="378"/>
      <c r="RBC79" s="378"/>
      <c r="RBD79" s="378"/>
      <c r="RBE79" s="378"/>
      <c r="RBF79" s="378"/>
      <c r="RBG79" s="378"/>
      <c r="RBH79" s="378"/>
      <c r="RBI79" s="378"/>
      <c r="RBJ79" s="378"/>
      <c r="RBK79" s="378"/>
      <c r="RBL79" s="378"/>
      <c r="RBM79" s="378"/>
      <c r="RBN79" s="378"/>
      <c r="RBO79" s="378"/>
      <c r="RBP79" s="378"/>
      <c r="RBQ79" s="378"/>
      <c r="RBR79" s="378"/>
      <c r="RBS79" s="378"/>
      <c r="RBT79" s="378"/>
      <c r="RBU79" s="378"/>
      <c r="RBV79" s="378"/>
      <c r="RBW79" s="378"/>
      <c r="RBX79" s="378"/>
      <c r="RBY79" s="378"/>
      <c r="RBZ79" s="378"/>
      <c r="RCA79" s="378"/>
      <c r="RCB79" s="378"/>
      <c r="RCC79" s="378"/>
      <c r="RCD79" s="378"/>
      <c r="RCE79" s="378"/>
      <c r="RCF79" s="378"/>
      <c r="RCG79" s="378"/>
      <c r="RCH79" s="378"/>
      <c r="RCI79" s="378"/>
      <c r="RCJ79" s="378"/>
      <c r="RCK79" s="378"/>
      <c r="RCL79" s="378"/>
      <c r="RCM79" s="378"/>
      <c r="RCN79" s="378"/>
      <c r="RCO79" s="378"/>
      <c r="RCP79" s="378"/>
      <c r="RCQ79" s="378"/>
      <c r="RCR79" s="378"/>
      <c r="RCS79" s="378"/>
      <c r="RCT79" s="378"/>
      <c r="RCU79" s="378"/>
      <c r="RCV79" s="378"/>
      <c r="RCW79" s="378"/>
      <c r="RCX79" s="378"/>
      <c r="RCY79" s="378"/>
      <c r="RCZ79" s="378"/>
      <c r="RDA79" s="378"/>
      <c r="RDB79" s="378"/>
      <c r="RDC79" s="378"/>
      <c r="RDD79" s="378"/>
      <c r="RDE79" s="378"/>
      <c r="RDF79" s="378"/>
      <c r="RDG79" s="378"/>
      <c r="RDH79" s="378"/>
      <c r="RDI79" s="378"/>
      <c r="RDJ79" s="378"/>
      <c r="RDK79" s="378"/>
      <c r="RDL79" s="378"/>
      <c r="RDM79" s="378"/>
      <c r="RDN79" s="378"/>
      <c r="RDO79" s="378"/>
      <c r="RDP79" s="378"/>
      <c r="RDQ79" s="378"/>
      <c r="RDR79" s="378"/>
      <c r="RDS79" s="378"/>
      <c r="RDT79" s="378"/>
      <c r="RDU79" s="378"/>
      <c r="RDV79" s="378"/>
      <c r="RDW79" s="378"/>
      <c r="RDX79" s="378"/>
      <c r="RDY79" s="378"/>
      <c r="RDZ79" s="378"/>
      <c r="REA79" s="378"/>
      <c r="REB79" s="378"/>
      <c r="REC79" s="378"/>
      <c r="RED79" s="378"/>
      <c r="REE79" s="378"/>
      <c r="REF79" s="378"/>
      <c r="REG79" s="378"/>
      <c r="REH79" s="378"/>
      <c r="REI79" s="378"/>
      <c r="REJ79" s="378"/>
      <c r="REK79" s="378"/>
      <c r="REL79" s="378"/>
      <c r="REM79" s="378"/>
      <c r="REN79" s="378"/>
      <c r="REO79" s="378"/>
      <c r="REP79" s="378"/>
      <c r="REQ79" s="378"/>
      <c r="RER79" s="378"/>
      <c r="RES79" s="378"/>
      <c r="RET79" s="378"/>
      <c r="REU79" s="378"/>
      <c r="REV79" s="378"/>
      <c r="REW79" s="378"/>
      <c r="REX79" s="378"/>
      <c r="REY79" s="378"/>
      <c r="REZ79" s="378"/>
      <c r="RFA79" s="378"/>
      <c r="RFB79" s="378"/>
      <c r="RFC79" s="378"/>
      <c r="RFD79" s="378"/>
      <c r="RFE79" s="378"/>
      <c r="RFF79" s="378"/>
      <c r="RFG79" s="378"/>
      <c r="RFH79" s="378"/>
      <c r="RFI79" s="378"/>
      <c r="RFJ79" s="378"/>
      <c r="RFK79" s="378"/>
      <c r="RFL79" s="378"/>
      <c r="RFM79" s="378"/>
      <c r="RFN79" s="378"/>
      <c r="RFO79" s="378"/>
      <c r="RFP79" s="378"/>
      <c r="RFQ79" s="378"/>
      <c r="RFR79" s="378"/>
      <c r="RFS79" s="378"/>
      <c r="RFT79" s="378"/>
      <c r="RFU79" s="378"/>
      <c r="RFV79" s="378"/>
      <c r="RFW79" s="378"/>
      <c r="RFX79" s="378"/>
      <c r="RFY79" s="378"/>
      <c r="RFZ79" s="378"/>
      <c r="RGA79" s="378"/>
      <c r="RGB79" s="378"/>
      <c r="RGC79" s="378"/>
      <c r="RGD79" s="378"/>
      <c r="RGE79" s="378"/>
      <c r="RGF79" s="378"/>
      <c r="RGG79" s="378"/>
      <c r="RGH79" s="378"/>
      <c r="RGI79" s="378"/>
      <c r="RGJ79" s="378"/>
      <c r="RGK79" s="378"/>
      <c r="RGL79" s="378"/>
      <c r="RGM79" s="378"/>
      <c r="RGN79" s="378"/>
      <c r="RGO79" s="378"/>
      <c r="RGP79" s="378"/>
      <c r="RGQ79" s="378"/>
      <c r="RGR79" s="378"/>
      <c r="RGS79" s="378"/>
      <c r="RGT79" s="378"/>
      <c r="RGU79" s="378"/>
      <c r="RGV79" s="378"/>
      <c r="RGW79" s="378"/>
      <c r="RGX79" s="378"/>
      <c r="RGY79" s="378"/>
      <c r="RGZ79" s="378"/>
      <c r="RHA79" s="378"/>
      <c r="RHB79" s="378"/>
      <c r="RHC79" s="378"/>
      <c r="RHD79" s="378"/>
      <c r="RHE79" s="378"/>
      <c r="RHF79" s="378"/>
      <c r="RHG79" s="378"/>
      <c r="RHH79" s="378"/>
      <c r="RHI79" s="378"/>
      <c r="RHJ79" s="378"/>
      <c r="RHK79" s="378"/>
      <c r="RHL79" s="378"/>
      <c r="RHM79" s="378"/>
      <c r="RHN79" s="378"/>
      <c r="RHO79" s="378"/>
      <c r="RHP79" s="378"/>
      <c r="RHQ79" s="378"/>
      <c r="RHR79" s="378"/>
      <c r="RHS79" s="378"/>
      <c r="RHT79" s="378"/>
      <c r="RHU79" s="378"/>
      <c r="RHV79" s="378"/>
      <c r="RHW79" s="378"/>
      <c r="RHX79" s="378"/>
      <c r="RHY79" s="378"/>
      <c r="RHZ79" s="378"/>
      <c r="RIA79" s="378"/>
      <c r="RIB79" s="378"/>
      <c r="RIC79" s="378"/>
      <c r="RID79" s="378"/>
      <c r="RIE79" s="378"/>
      <c r="RIF79" s="378"/>
      <c r="RIG79" s="378"/>
      <c r="RIH79" s="378"/>
      <c r="RII79" s="378"/>
      <c r="RIJ79" s="378"/>
      <c r="RIK79" s="378"/>
      <c r="RIL79" s="378"/>
      <c r="RIM79" s="378"/>
      <c r="RIN79" s="378"/>
      <c r="RIO79" s="378"/>
      <c r="RIP79" s="378"/>
      <c r="RIQ79" s="378"/>
      <c r="RIR79" s="378"/>
      <c r="RIS79" s="378"/>
      <c r="RIT79" s="378"/>
      <c r="RIU79" s="378"/>
      <c r="RIV79" s="378"/>
      <c r="RIW79" s="378"/>
      <c r="RIX79" s="378"/>
      <c r="RIY79" s="378"/>
      <c r="RIZ79" s="378"/>
      <c r="RJA79" s="378"/>
      <c r="RJB79" s="378"/>
      <c r="RJC79" s="378"/>
      <c r="RJD79" s="378"/>
      <c r="RJE79" s="378"/>
      <c r="RJF79" s="378"/>
      <c r="RJG79" s="378"/>
      <c r="RJH79" s="378"/>
      <c r="RJI79" s="378"/>
      <c r="RJJ79" s="378"/>
      <c r="RJK79" s="378"/>
      <c r="RJL79" s="378"/>
      <c r="RJM79" s="378"/>
      <c r="RJN79" s="378"/>
      <c r="RJO79" s="378"/>
      <c r="RJP79" s="378"/>
      <c r="RJQ79" s="378"/>
      <c r="RJR79" s="378"/>
      <c r="RJS79" s="378"/>
      <c r="RJT79" s="378"/>
      <c r="RJU79" s="378"/>
      <c r="RJV79" s="378"/>
      <c r="RJW79" s="378"/>
      <c r="RJX79" s="378"/>
      <c r="RJY79" s="378"/>
      <c r="RJZ79" s="378"/>
      <c r="RKA79" s="378"/>
      <c r="RKB79" s="378"/>
      <c r="RKC79" s="378"/>
      <c r="RKD79" s="378"/>
      <c r="RKE79" s="378"/>
      <c r="RKF79" s="378"/>
      <c r="RKG79" s="378"/>
      <c r="RKH79" s="378"/>
      <c r="RKI79" s="378"/>
      <c r="RKJ79" s="378"/>
      <c r="RKK79" s="378"/>
      <c r="RKL79" s="378"/>
      <c r="RKM79" s="378"/>
      <c r="RKN79" s="378"/>
      <c r="RKO79" s="378"/>
      <c r="RKP79" s="378"/>
      <c r="RKQ79" s="378"/>
      <c r="RKR79" s="378"/>
      <c r="RKS79" s="378"/>
      <c r="RKT79" s="378"/>
      <c r="RKU79" s="378"/>
      <c r="RKV79" s="378"/>
      <c r="RKW79" s="378"/>
      <c r="RKX79" s="378"/>
      <c r="RKY79" s="378"/>
      <c r="RKZ79" s="378"/>
      <c r="RLA79" s="378"/>
      <c r="RLB79" s="378"/>
      <c r="RLC79" s="378"/>
      <c r="RLD79" s="378"/>
      <c r="RLE79" s="378"/>
      <c r="RLF79" s="378"/>
      <c r="RLG79" s="378"/>
      <c r="RLH79" s="378"/>
      <c r="RLI79" s="378"/>
      <c r="RLJ79" s="378"/>
      <c r="RLK79" s="378"/>
      <c r="RLL79" s="378"/>
      <c r="RLM79" s="378"/>
      <c r="RLN79" s="378"/>
      <c r="RLO79" s="378"/>
      <c r="RLP79" s="378"/>
      <c r="RLQ79" s="378"/>
      <c r="RLR79" s="378"/>
      <c r="RLS79" s="378"/>
      <c r="RLT79" s="378"/>
      <c r="RLU79" s="378"/>
      <c r="RLV79" s="378"/>
      <c r="RLW79" s="378"/>
      <c r="RLX79" s="378"/>
      <c r="RLY79" s="378"/>
      <c r="RLZ79" s="378"/>
      <c r="RMA79" s="378"/>
      <c r="RMB79" s="378"/>
      <c r="RMC79" s="378"/>
      <c r="RMD79" s="378"/>
      <c r="RME79" s="378"/>
      <c r="RMF79" s="378"/>
      <c r="RMG79" s="378"/>
      <c r="RMH79" s="378"/>
      <c r="RMI79" s="378"/>
      <c r="RMJ79" s="378"/>
      <c r="RMK79" s="378"/>
      <c r="RML79" s="378"/>
      <c r="RMM79" s="378"/>
      <c r="RMN79" s="378"/>
      <c r="RMO79" s="378"/>
      <c r="RMP79" s="378"/>
      <c r="RMQ79" s="378"/>
      <c r="RMR79" s="378"/>
      <c r="RMS79" s="378"/>
      <c r="RMT79" s="378"/>
      <c r="RMU79" s="378"/>
      <c r="RMV79" s="378"/>
      <c r="RMW79" s="378"/>
      <c r="RMX79" s="378"/>
      <c r="RMY79" s="378"/>
      <c r="RMZ79" s="378"/>
      <c r="RNA79" s="378"/>
      <c r="RNB79" s="378"/>
      <c r="RNC79" s="378"/>
      <c r="RND79" s="378"/>
      <c r="RNE79" s="378"/>
      <c r="RNF79" s="378"/>
      <c r="RNG79" s="378"/>
      <c r="RNH79" s="378"/>
      <c r="RNI79" s="378"/>
      <c r="RNJ79" s="378"/>
      <c r="RNK79" s="378"/>
      <c r="RNL79" s="378"/>
      <c r="RNM79" s="378"/>
      <c r="RNN79" s="378"/>
      <c r="RNO79" s="378"/>
      <c r="RNP79" s="378"/>
      <c r="RNQ79" s="378"/>
      <c r="RNR79" s="378"/>
      <c r="RNS79" s="378"/>
      <c r="RNT79" s="378"/>
      <c r="RNU79" s="378"/>
      <c r="RNV79" s="378"/>
      <c r="RNW79" s="378"/>
      <c r="RNX79" s="378"/>
      <c r="RNY79" s="378"/>
      <c r="RNZ79" s="378"/>
      <c r="ROA79" s="378"/>
      <c r="ROB79" s="378"/>
      <c r="ROC79" s="378"/>
      <c r="ROD79" s="378"/>
      <c r="ROE79" s="378"/>
      <c r="ROF79" s="378"/>
      <c r="ROG79" s="378"/>
      <c r="ROH79" s="378"/>
      <c r="ROI79" s="378"/>
      <c r="ROJ79" s="378"/>
      <c r="ROK79" s="378"/>
      <c r="ROL79" s="378"/>
      <c r="ROM79" s="378"/>
      <c r="RON79" s="378"/>
      <c r="ROO79" s="378"/>
      <c r="ROP79" s="378"/>
      <c r="ROQ79" s="378"/>
      <c r="ROR79" s="378"/>
      <c r="ROS79" s="378"/>
      <c r="ROT79" s="378"/>
      <c r="ROU79" s="378"/>
      <c r="ROV79" s="378"/>
      <c r="ROW79" s="378"/>
      <c r="ROX79" s="378"/>
      <c r="ROY79" s="378"/>
      <c r="ROZ79" s="378"/>
      <c r="RPA79" s="378"/>
      <c r="RPB79" s="378"/>
      <c r="RPC79" s="378"/>
      <c r="RPD79" s="378"/>
      <c r="RPE79" s="378"/>
      <c r="RPF79" s="378"/>
      <c r="RPG79" s="378"/>
      <c r="RPH79" s="378"/>
      <c r="RPI79" s="378"/>
      <c r="RPJ79" s="378"/>
      <c r="RPK79" s="378"/>
      <c r="RPL79" s="378"/>
      <c r="RPM79" s="378"/>
      <c r="RPN79" s="378"/>
      <c r="RPO79" s="378"/>
      <c r="RPP79" s="378"/>
      <c r="RPQ79" s="378"/>
      <c r="RPR79" s="378"/>
      <c r="RPS79" s="378"/>
      <c r="RPT79" s="378"/>
      <c r="RPU79" s="378"/>
      <c r="RPV79" s="378"/>
      <c r="RPW79" s="378"/>
      <c r="RPX79" s="378"/>
      <c r="RPY79" s="378"/>
      <c r="RPZ79" s="378"/>
      <c r="RQA79" s="378"/>
      <c r="RQB79" s="378"/>
      <c r="RQC79" s="378"/>
      <c r="RQD79" s="378"/>
      <c r="RQE79" s="378"/>
      <c r="RQF79" s="378"/>
      <c r="RQG79" s="378"/>
      <c r="RQH79" s="378"/>
      <c r="RQI79" s="378"/>
      <c r="RQJ79" s="378"/>
      <c r="RQK79" s="378"/>
      <c r="RQL79" s="378"/>
      <c r="RQM79" s="378"/>
      <c r="RQN79" s="378"/>
      <c r="RQO79" s="378"/>
      <c r="RQP79" s="378"/>
      <c r="RQQ79" s="378"/>
      <c r="RQR79" s="378"/>
      <c r="RQS79" s="378"/>
      <c r="RQT79" s="378"/>
      <c r="RQU79" s="378"/>
      <c r="RQV79" s="378"/>
      <c r="RQW79" s="378"/>
      <c r="RQX79" s="378"/>
      <c r="RQY79" s="378"/>
      <c r="RQZ79" s="378"/>
      <c r="RRA79" s="378"/>
      <c r="RRB79" s="378"/>
      <c r="RRC79" s="378"/>
      <c r="RRD79" s="378"/>
      <c r="RRE79" s="378"/>
      <c r="RRF79" s="378"/>
      <c r="RRG79" s="378"/>
      <c r="RRH79" s="378"/>
      <c r="RRI79" s="378"/>
      <c r="RRJ79" s="378"/>
      <c r="RRK79" s="378"/>
      <c r="RRL79" s="378"/>
      <c r="RRM79" s="378"/>
      <c r="RRN79" s="378"/>
      <c r="RRO79" s="378"/>
      <c r="RRP79" s="378"/>
      <c r="RRQ79" s="378"/>
      <c r="RRR79" s="378"/>
      <c r="RRS79" s="378"/>
      <c r="RRT79" s="378"/>
      <c r="RRU79" s="378"/>
      <c r="RRV79" s="378"/>
      <c r="RRW79" s="378"/>
      <c r="RRX79" s="378"/>
      <c r="RRY79" s="378"/>
      <c r="RRZ79" s="378"/>
      <c r="RSA79" s="378"/>
      <c r="RSB79" s="378"/>
      <c r="RSC79" s="378"/>
      <c r="RSD79" s="378"/>
      <c r="RSE79" s="378"/>
      <c r="RSF79" s="378"/>
      <c r="RSG79" s="378"/>
      <c r="RSH79" s="378"/>
      <c r="RSI79" s="378"/>
      <c r="RSJ79" s="378"/>
      <c r="RSK79" s="378"/>
      <c r="RSL79" s="378"/>
      <c r="RSM79" s="378"/>
      <c r="RSN79" s="378"/>
      <c r="RSO79" s="378"/>
      <c r="RSP79" s="378"/>
      <c r="RSQ79" s="378"/>
      <c r="RSR79" s="378"/>
      <c r="RSS79" s="378"/>
      <c r="RST79" s="378"/>
      <c r="RSU79" s="378"/>
      <c r="RSV79" s="378"/>
      <c r="RSW79" s="378"/>
      <c r="RSX79" s="378"/>
      <c r="RSY79" s="378"/>
      <c r="RSZ79" s="378"/>
      <c r="RTA79" s="378"/>
      <c r="RTB79" s="378"/>
      <c r="RTC79" s="378"/>
      <c r="RTD79" s="378"/>
      <c r="RTE79" s="378"/>
      <c r="RTF79" s="378"/>
      <c r="RTG79" s="378"/>
      <c r="RTH79" s="378"/>
      <c r="RTI79" s="378"/>
      <c r="RTJ79" s="378"/>
      <c r="RTK79" s="378"/>
      <c r="RTL79" s="378"/>
      <c r="RTM79" s="378"/>
      <c r="RTN79" s="378"/>
      <c r="RTO79" s="378"/>
      <c r="RTP79" s="378"/>
      <c r="RTQ79" s="378"/>
      <c r="RTR79" s="378"/>
      <c r="RTS79" s="378"/>
      <c r="RTT79" s="378"/>
      <c r="RTU79" s="378"/>
      <c r="RTV79" s="378"/>
      <c r="RTW79" s="378"/>
      <c r="RTX79" s="378"/>
      <c r="RTY79" s="378"/>
      <c r="RTZ79" s="378"/>
      <c r="RUA79" s="378"/>
      <c r="RUB79" s="378"/>
      <c r="RUC79" s="378"/>
      <c r="RUD79" s="378"/>
      <c r="RUE79" s="378"/>
      <c r="RUF79" s="378"/>
      <c r="RUG79" s="378"/>
      <c r="RUH79" s="378"/>
      <c r="RUI79" s="378"/>
      <c r="RUJ79" s="378"/>
      <c r="RUK79" s="378"/>
      <c r="RUL79" s="378"/>
      <c r="RUM79" s="378"/>
      <c r="RUN79" s="378"/>
      <c r="RUO79" s="378"/>
      <c r="RUP79" s="378"/>
      <c r="RUQ79" s="378"/>
      <c r="RUR79" s="378"/>
      <c r="RUS79" s="378"/>
      <c r="RUT79" s="378"/>
      <c r="RUU79" s="378"/>
      <c r="RUV79" s="378"/>
      <c r="RUW79" s="378"/>
      <c r="RUX79" s="378"/>
      <c r="RUY79" s="378"/>
      <c r="RUZ79" s="378"/>
      <c r="RVA79" s="378"/>
      <c r="RVB79" s="378"/>
      <c r="RVC79" s="378"/>
      <c r="RVD79" s="378"/>
      <c r="RVE79" s="378"/>
      <c r="RVF79" s="378"/>
      <c r="RVG79" s="378"/>
      <c r="RVH79" s="378"/>
      <c r="RVI79" s="378"/>
      <c r="RVJ79" s="378"/>
      <c r="RVK79" s="378"/>
      <c r="RVL79" s="378"/>
      <c r="RVM79" s="378"/>
      <c r="RVN79" s="378"/>
      <c r="RVO79" s="378"/>
      <c r="RVP79" s="378"/>
      <c r="RVQ79" s="378"/>
      <c r="RVR79" s="378"/>
      <c r="RVS79" s="378"/>
      <c r="RVT79" s="378"/>
      <c r="RVU79" s="378"/>
      <c r="RVV79" s="378"/>
      <c r="RVW79" s="378"/>
      <c r="RVX79" s="378"/>
      <c r="RVY79" s="378"/>
      <c r="RVZ79" s="378"/>
      <c r="RWA79" s="378"/>
      <c r="RWB79" s="378"/>
      <c r="RWC79" s="378"/>
      <c r="RWD79" s="378"/>
      <c r="RWE79" s="378"/>
      <c r="RWF79" s="378"/>
      <c r="RWG79" s="378"/>
      <c r="RWH79" s="378"/>
      <c r="RWI79" s="378"/>
      <c r="RWJ79" s="378"/>
      <c r="RWK79" s="378"/>
      <c r="RWL79" s="378"/>
      <c r="RWM79" s="378"/>
      <c r="RWN79" s="378"/>
      <c r="RWO79" s="378"/>
      <c r="RWP79" s="378"/>
      <c r="RWQ79" s="378"/>
      <c r="RWR79" s="378"/>
      <c r="RWS79" s="378"/>
      <c r="RWT79" s="378"/>
      <c r="RWU79" s="378"/>
      <c r="RWV79" s="378"/>
      <c r="RWW79" s="378"/>
      <c r="RWX79" s="378"/>
      <c r="RWY79" s="378"/>
      <c r="RWZ79" s="378"/>
      <c r="RXA79" s="378"/>
      <c r="RXB79" s="378"/>
      <c r="RXC79" s="378"/>
      <c r="RXD79" s="378"/>
      <c r="RXE79" s="378"/>
      <c r="RXF79" s="378"/>
      <c r="RXG79" s="378"/>
      <c r="RXH79" s="378"/>
      <c r="RXI79" s="378"/>
      <c r="RXJ79" s="378"/>
      <c r="RXK79" s="378"/>
      <c r="RXL79" s="378"/>
      <c r="RXM79" s="378"/>
      <c r="RXN79" s="378"/>
      <c r="RXO79" s="378"/>
      <c r="RXP79" s="378"/>
      <c r="RXQ79" s="378"/>
      <c r="RXR79" s="378"/>
      <c r="RXS79" s="378"/>
      <c r="RXT79" s="378"/>
      <c r="RXU79" s="378"/>
      <c r="RXV79" s="378"/>
      <c r="RXW79" s="378"/>
      <c r="RXX79" s="378"/>
      <c r="RXY79" s="378"/>
      <c r="RXZ79" s="378"/>
      <c r="RYA79" s="378"/>
      <c r="RYB79" s="378"/>
      <c r="RYC79" s="378"/>
      <c r="RYD79" s="378"/>
      <c r="RYE79" s="378"/>
      <c r="RYF79" s="378"/>
      <c r="RYG79" s="378"/>
      <c r="RYH79" s="378"/>
      <c r="RYI79" s="378"/>
      <c r="RYJ79" s="378"/>
      <c r="RYK79" s="378"/>
      <c r="RYL79" s="378"/>
      <c r="RYM79" s="378"/>
      <c r="RYN79" s="378"/>
      <c r="RYO79" s="378"/>
      <c r="RYP79" s="378"/>
      <c r="RYQ79" s="378"/>
      <c r="RYR79" s="378"/>
      <c r="RYS79" s="378"/>
      <c r="RYT79" s="378"/>
      <c r="RYU79" s="378"/>
      <c r="RYV79" s="378"/>
      <c r="RYW79" s="378"/>
      <c r="RYX79" s="378"/>
      <c r="RYY79" s="378"/>
      <c r="RYZ79" s="378"/>
      <c r="RZA79" s="378"/>
      <c r="RZB79" s="378"/>
      <c r="RZC79" s="378"/>
      <c r="RZD79" s="378"/>
      <c r="RZE79" s="378"/>
      <c r="RZF79" s="378"/>
      <c r="RZG79" s="378"/>
      <c r="RZH79" s="378"/>
      <c r="RZI79" s="378"/>
      <c r="RZJ79" s="378"/>
      <c r="RZK79" s="378"/>
      <c r="RZL79" s="378"/>
      <c r="RZM79" s="378"/>
      <c r="RZN79" s="378"/>
      <c r="RZO79" s="378"/>
      <c r="RZP79" s="378"/>
      <c r="RZQ79" s="378"/>
      <c r="RZR79" s="378"/>
      <c r="RZS79" s="378"/>
      <c r="RZT79" s="378"/>
      <c r="RZU79" s="378"/>
      <c r="RZV79" s="378"/>
      <c r="RZW79" s="378"/>
      <c r="RZX79" s="378"/>
      <c r="RZY79" s="378"/>
      <c r="RZZ79" s="378"/>
      <c r="SAA79" s="378"/>
      <c r="SAB79" s="378"/>
      <c r="SAC79" s="378"/>
      <c r="SAD79" s="378"/>
      <c r="SAE79" s="378"/>
      <c r="SAF79" s="378"/>
      <c r="SAG79" s="378"/>
      <c r="SAH79" s="378"/>
      <c r="SAI79" s="378"/>
      <c r="SAJ79" s="378"/>
      <c r="SAK79" s="378"/>
      <c r="SAL79" s="378"/>
      <c r="SAM79" s="378"/>
      <c r="SAN79" s="378"/>
      <c r="SAO79" s="378"/>
      <c r="SAP79" s="378"/>
      <c r="SAQ79" s="378"/>
      <c r="SAR79" s="378"/>
      <c r="SAS79" s="378"/>
      <c r="SAT79" s="378"/>
      <c r="SAU79" s="378"/>
      <c r="SAV79" s="378"/>
      <c r="SAW79" s="378"/>
      <c r="SAX79" s="378"/>
      <c r="SAY79" s="378"/>
      <c r="SAZ79" s="378"/>
      <c r="SBA79" s="378"/>
      <c r="SBB79" s="378"/>
      <c r="SBC79" s="378"/>
      <c r="SBD79" s="378"/>
      <c r="SBE79" s="378"/>
      <c r="SBF79" s="378"/>
      <c r="SBG79" s="378"/>
      <c r="SBH79" s="378"/>
      <c r="SBI79" s="378"/>
      <c r="SBJ79" s="378"/>
      <c r="SBK79" s="378"/>
      <c r="SBL79" s="378"/>
      <c r="SBM79" s="378"/>
      <c r="SBN79" s="378"/>
      <c r="SBO79" s="378"/>
      <c r="SBP79" s="378"/>
      <c r="SBQ79" s="378"/>
      <c r="SBR79" s="378"/>
      <c r="SBS79" s="378"/>
      <c r="SBT79" s="378"/>
      <c r="SBU79" s="378"/>
      <c r="SBV79" s="378"/>
      <c r="SBW79" s="378"/>
      <c r="SBX79" s="378"/>
      <c r="SBY79" s="378"/>
      <c r="SBZ79" s="378"/>
      <c r="SCA79" s="378"/>
      <c r="SCB79" s="378"/>
      <c r="SCC79" s="378"/>
      <c r="SCD79" s="378"/>
      <c r="SCE79" s="378"/>
      <c r="SCF79" s="378"/>
      <c r="SCG79" s="378"/>
      <c r="SCH79" s="378"/>
      <c r="SCI79" s="378"/>
      <c r="SCJ79" s="378"/>
      <c r="SCK79" s="378"/>
      <c r="SCL79" s="378"/>
      <c r="SCM79" s="378"/>
      <c r="SCN79" s="378"/>
      <c r="SCO79" s="378"/>
      <c r="SCP79" s="378"/>
      <c r="SCQ79" s="378"/>
      <c r="SCR79" s="378"/>
      <c r="SCS79" s="378"/>
      <c r="SCT79" s="378"/>
      <c r="SCU79" s="378"/>
      <c r="SCV79" s="378"/>
      <c r="SCW79" s="378"/>
      <c r="SCX79" s="378"/>
      <c r="SCY79" s="378"/>
      <c r="SCZ79" s="378"/>
      <c r="SDA79" s="378"/>
      <c r="SDB79" s="378"/>
      <c r="SDC79" s="378"/>
      <c r="SDD79" s="378"/>
      <c r="SDE79" s="378"/>
      <c r="SDF79" s="378"/>
      <c r="SDG79" s="378"/>
      <c r="SDH79" s="378"/>
      <c r="SDI79" s="378"/>
      <c r="SDJ79" s="378"/>
      <c r="SDK79" s="378"/>
      <c r="SDL79" s="378"/>
      <c r="SDM79" s="378"/>
      <c r="SDN79" s="378"/>
      <c r="SDO79" s="378"/>
      <c r="SDP79" s="378"/>
      <c r="SDQ79" s="378"/>
      <c r="SDR79" s="378"/>
      <c r="SDS79" s="378"/>
      <c r="SDT79" s="378"/>
      <c r="SDU79" s="378"/>
      <c r="SDV79" s="378"/>
      <c r="SDW79" s="378"/>
      <c r="SDX79" s="378"/>
      <c r="SDY79" s="378"/>
      <c r="SDZ79" s="378"/>
      <c r="SEA79" s="378"/>
      <c r="SEB79" s="378"/>
      <c r="SEC79" s="378"/>
      <c r="SED79" s="378"/>
      <c r="SEE79" s="378"/>
      <c r="SEF79" s="378"/>
      <c r="SEG79" s="378"/>
      <c r="SEH79" s="378"/>
      <c r="SEI79" s="378"/>
      <c r="SEJ79" s="378"/>
      <c r="SEK79" s="378"/>
      <c r="SEL79" s="378"/>
      <c r="SEM79" s="378"/>
      <c r="SEN79" s="378"/>
      <c r="SEO79" s="378"/>
      <c r="SEP79" s="378"/>
      <c r="SEQ79" s="378"/>
      <c r="SER79" s="378"/>
      <c r="SES79" s="378"/>
      <c r="SET79" s="378"/>
      <c r="SEU79" s="378"/>
      <c r="SEV79" s="378"/>
      <c r="SEW79" s="378"/>
      <c r="SEX79" s="378"/>
      <c r="SEY79" s="378"/>
      <c r="SEZ79" s="378"/>
      <c r="SFA79" s="378"/>
      <c r="SFB79" s="378"/>
      <c r="SFC79" s="378"/>
      <c r="SFD79" s="378"/>
      <c r="SFE79" s="378"/>
      <c r="SFF79" s="378"/>
      <c r="SFG79" s="378"/>
      <c r="SFH79" s="378"/>
      <c r="SFI79" s="378"/>
      <c r="SFJ79" s="378"/>
      <c r="SFK79" s="378"/>
      <c r="SFL79" s="378"/>
      <c r="SFM79" s="378"/>
      <c r="SFN79" s="378"/>
      <c r="SFO79" s="378"/>
      <c r="SFP79" s="378"/>
      <c r="SFQ79" s="378"/>
      <c r="SFR79" s="378"/>
      <c r="SFS79" s="378"/>
      <c r="SFT79" s="378"/>
      <c r="SFU79" s="378"/>
      <c r="SFV79" s="378"/>
      <c r="SFW79" s="378"/>
      <c r="SFX79" s="378"/>
      <c r="SFY79" s="378"/>
      <c r="SFZ79" s="378"/>
      <c r="SGA79" s="378"/>
      <c r="SGB79" s="378"/>
      <c r="SGC79" s="378"/>
      <c r="SGD79" s="378"/>
      <c r="SGE79" s="378"/>
      <c r="SGF79" s="378"/>
      <c r="SGG79" s="378"/>
      <c r="SGH79" s="378"/>
      <c r="SGI79" s="378"/>
      <c r="SGJ79" s="378"/>
      <c r="SGK79" s="378"/>
      <c r="SGL79" s="378"/>
      <c r="SGM79" s="378"/>
      <c r="SGN79" s="378"/>
      <c r="SGO79" s="378"/>
      <c r="SGP79" s="378"/>
      <c r="SGQ79" s="378"/>
      <c r="SGR79" s="378"/>
      <c r="SGS79" s="378"/>
      <c r="SGT79" s="378"/>
      <c r="SGU79" s="378"/>
      <c r="SGV79" s="378"/>
      <c r="SGW79" s="378"/>
      <c r="SGX79" s="378"/>
      <c r="SGY79" s="378"/>
      <c r="SGZ79" s="378"/>
      <c r="SHA79" s="378"/>
      <c r="SHB79" s="378"/>
      <c r="SHC79" s="378"/>
      <c r="SHD79" s="378"/>
      <c r="SHE79" s="378"/>
      <c r="SHF79" s="378"/>
      <c r="SHG79" s="378"/>
      <c r="SHH79" s="378"/>
      <c r="SHI79" s="378"/>
      <c r="SHJ79" s="378"/>
      <c r="SHK79" s="378"/>
      <c r="SHL79" s="378"/>
      <c r="SHM79" s="378"/>
      <c r="SHN79" s="378"/>
      <c r="SHO79" s="378"/>
      <c r="SHP79" s="378"/>
      <c r="SHQ79" s="378"/>
      <c r="SHR79" s="378"/>
      <c r="SHS79" s="378"/>
      <c r="SHT79" s="378"/>
      <c r="SHU79" s="378"/>
      <c r="SHV79" s="378"/>
      <c r="SHW79" s="378"/>
      <c r="SHX79" s="378"/>
      <c r="SHY79" s="378"/>
      <c r="SHZ79" s="378"/>
      <c r="SIA79" s="378"/>
      <c r="SIB79" s="378"/>
      <c r="SIC79" s="378"/>
      <c r="SID79" s="378"/>
      <c r="SIE79" s="378"/>
      <c r="SIF79" s="378"/>
      <c r="SIG79" s="378"/>
      <c r="SIH79" s="378"/>
      <c r="SII79" s="378"/>
      <c r="SIJ79" s="378"/>
      <c r="SIK79" s="378"/>
      <c r="SIL79" s="378"/>
      <c r="SIM79" s="378"/>
      <c r="SIN79" s="378"/>
      <c r="SIO79" s="378"/>
      <c r="SIP79" s="378"/>
      <c r="SIQ79" s="378"/>
      <c r="SIR79" s="378"/>
      <c r="SIS79" s="378"/>
      <c r="SIT79" s="378"/>
      <c r="SIU79" s="378"/>
      <c r="SIV79" s="378"/>
      <c r="SIW79" s="378"/>
      <c r="SIX79" s="378"/>
      <c r="SIY79" s="378"/>
      <c r="SIZ79" s="378"/>
      <c r="SJA79" s="378"/>
      <c r="SJB79" s="378"/>
      <c r="SJC79" s="378"/>
      <c r="SJD79" s="378"/>
      <c r="SJE79" s="378"/>
      <c r="SJF79" s="378"/>
      <c r="SJG79" s="378"/>
      <c r="SJH79" s="378"/>
      <c r="SJI79" s="378"/>
      <c r="SJJ79" s="378"/>
      <c r="SJK79" s="378"/>
      <c r="SJL79" s="378"/>
      <c r="SJM79" s="378"/>
      <c r="SJN79" s="378"/>
      <c r="SJO79" s="378"/>
      <c r="SJP79" s="378"/>
      <c r="SJQ79" s="378"/>
      <c r="SJR79" s="378"/>
      <c r="SJS79" s="378"/>
      <c r="SJT79" s="378"/>
      <c r="SJU79" s="378"/>
      <c r="SJV79" s="378"/>
      <c r="SJW79" s="378"/>
      <c r="SJX79" s="378"/>
      <c r="SJY79" s="378"/>
      <c r="SJZ79" s="378"/>
      <c r="SKA79" s="378"/>
      <c r="SKB79" s="378"/>
      <c r="SKC79" s="378"/>
      <c r="SKD79" s="378"/>
      <c r="SKE79" s="378"/>
      <c r="SKF79" s="378"/>
      <c r="SKG79" s="378"/>
      <c r="SKH79" s="378"/>
      <c r="SKI79" s="378"/>
      <c r="SKJ79" s="378"/>
      <c r="SKK79" s="378"/>
      <c r="SKL79" s="378"/>
      <c r="SKM79" s="378"/>
      <c r="SKN79" s="378"/>
      <c r="SKO79" s="378"/>
      <c r="SKP79" s="378"/>
      <c r="SKQ79" s="378"/>
      <c r="SKR79" s="378"/>
      <c r="SKS79" s="378"/>
      <c r="SKT79" s="378"/>
      <c r="SKU79" s="378"/>
      <c r="SKV79" s="378"/>
      <c r="SKW79" s="378"/>
      <c r="SKX79" s="378"/>
      <c r="SKY79" s="378"/>
      <c r="SKZ79" s="378"/>
      <c r="SLA79" s="378"/>
      <c r="SLB79" s="378"/>
      <c r="SLC79" s="378"/>
      <c r="SLD79" s="378"/>
      <c r="SLE79" s="378"/>
      <c r="SLF79" s="378"/>
      <c r="SLG79" s="378"/>
      <c r="SLH79" s="378"/>
      <c r="SLI79" s="378"/>
      <c r="SLJ79" s="378"/>
      <c r="SLK79" s="378"/>
      <c r="SLL79" s="378"/>
      <c r="SLM79" s="378"/>
      <c r="SLN79" s="378"/>
      <c r="SLO79" s="378"/>
      <c r="SLP79" s="378"/>
      <c r="SLQ79" s="378"/>
      <c r="SLR79" s="378"/>
      <c r="SLS79" s="378"/>
      <c r="SLT79" s="378"/>
      <c r="SLU79" s="378"/>
      <c r="SLV79" s="378"/>
      <c r="SLW79" s="378"/>
      <c r="SLX79" s="378"/>
      <c r="SLY79" s="378"/>
      <c r="SLZ79" s="378"/>
      <c r="SMA79" s="378"/>
      <c r="SMB79" s="378"/>
      <c r="SMC79" s="378"/>
      <c r="SMD79" s="378"/>
      <c r="SME79" s="378"/>
      <c r="SMF79" s="378"/>
      <c r="SMG79" s="378"/>
      <c r="SMH79" s="378"/>
      <c r="SMI79" s="378"/>
      <c r="SMJ79" s="378"/>
      <c r="SMK79" s="378"/>
      <c r="SML79" s="378"/>
      <c r="SMM79" s="378"/>
      <c r="SMN79" s="378"/>
      <c r="SMO79" s="378"/>
      <c r="SMP79" s="378"/>
      <c r="SMQ79" s="378"/>
      <c r="SMR79" s="378"/>
      <c r="SMS79" s="378"/>
      <c r="SMT79" s="378"/>
      <c r="SMU79" s="378"/>
      <c r="SMV79" s="378"/>
      <c r="SMW79" s="378"/>
      <c r="SMX79" s="378"/>
      <c r="SMY79" s="378"/>
      <c r="SMZ79" s="378"/>
      <c r="SNA79" s="378"/>
      <c r="SNB79" s="378"/>
      <c r="SNC79" s="378"/>
      <c r="SND79" s="378"/>
      <c r="SNE79" s="378"/>
      <c r="SNF79" s="378"/>
      <c r="SNG79" s="378"/>
      <c r="SNH79" s="378"/>
      <c r="SNI79" s="378"/>
      <c r="SNJ79" s="378"/>
      <c r="SNK79" s="378"/>
      <c r="SNL79" s="378"/>
      <c r="SNM79" s="378"/>
      <c r="SNN79" s="378"/>
      <c r="SNO79" s="378"/>
      <c r="SNP79" s="378"/>
      <c r="SNQ79" s="378"/>
      <c r="SNR79" s="378"/>
      <c r="SNS79" s="378"/>
      <c r="SNT79" s="378"/>
      <c r="SNU79" s="378"/>
      <c r="SNV79" s="378"/>
      <c r="SNW79" s="378"/>
      <c r="SNX79" s="378"/>
      <c r="SNY79" s="378"/>
      <c r="SNZ79" s="378"/>
      <c r="SOA79" s="378"/>
      <c r="SOB79" s="378"/>
      <c r="SOC79" s="378"/>
      <c r="SOD79" s="378"/>
      <c r="SOE79" s="378"/>
      <c r="SOF79" s="378"/>
      <c r="SOG79" s="378"/>
      <c r="SOH79" s="378"/>
      <c r="SOI79" s="378"/>
      <c r="SOJ79" s="378"/>
      <c r="SOK79" s="378"/>
      <c r="SOL79" s="378"/>
      <c r="SOM79" s="378"/>
      <c r="SON79" s="378"/>
      <c r="SOO79" s="378"/>
      <c r="SOP79" s="378"/>
      <c r="SOQ79" s="378"/>
      <c r="SOR79" s="378"/>
      <c r="SOS79" s="378"/>
      <c r="SOT79" s="378"/>
      <c r="SOU79" s="378"/>
      <c r="SOV79" s="378"/>
      <c r="SOW79" s="378"/>
      <c r="SOX79" s="378"/>
      <c r="SOY79" s="378"/>
      <c r="SOZ79" s="378"/>
      <c r="SPA79" s="378"/>
      <c r="SPB79" s="378"/>
      <c r="SPC79" s="378"/>
      <c r="SPD79" s="378"/>
      <c r="SPE79" s="378"/>
      <c r="SPF79" s="378"/>
      <c r="SPG79" s="378"/>
      <c r="SPH79" s="378"/>
      <c r="SPI79" s="378"/>
      <c r="SPJ79" s="378"/>
      <c r="SPK79" s="378"/>
      <c r="SPL79" s="378"/>
      <c r="SPM79" s="378"/>
      <c r="SPN79" s="378"/>
      <c r="SPO79" s="378"/>
      <c r="SPP79" s="378"/>
      <c r="SPQ79" s="378"/>
      <c r="SPR79" s="378"/>
      <c r="SPS79" s="378"/>
      <c r="SPT79" s="378"/>
      <c r="SPU79" s="378"/>
      <c r="SPV79" s="378"/>
      <c r="SPW79" s="378"/>
      <c r="SPX79" s="378"/>
      <c r="SPY79" s="378"/>
      <c r="SPZ79" s="378"/>
      <c r="SQA79" s="378"/>
      <c r="SQB79" s="378"/>
      <c r="SQC79" s="378"/>
      <c r="SQD79" s="378"/>
      <c r="SQE79" s="378"/>
      <c r="SQF79" s="378"/>
      <c r="SQG79" s="378"/>
      <c r="SQH79" s="378"/>
      <c r="SQI79" s="378"/>
      <c r="SQJ79" s="378"/>
      <c r="SQK79" s="378"/>
      <c r="SQL79" s="378"/>
      <c r="SQM79" s="378"/>
      <c r="SQN79" s="378"/>
      <c r="SQO79" s="378"/>
      <c r="SQP79" s="378"/>
      <c r="SQQ79" s="378"/>
      <c r="SQR79" s="378"/>
      <c r="SQS79" s="378"/>
      <c r="SQT79" s="378"/>
      <c r="SQU79" s="378"/>
      <c r="SQV79" s="378"/>
      <c r="SQW79" s="378"/>
      <c r="SQX79" s="378"/>
      <c r="SQY79" s="378"/>
      <c r="SQZ79" s="378"/>
      <c r="SRA79" s="378"/>
      <c r="SRB79" s="378"/>
      <c r="SRC79" s="378"/>
      <c r="SRD79" s="378"/>
      <c r="SRE79" s="378"/>
      <c r="SRF79" s="378"/>
      <c r="SRG79" s="378"/>
      <c r="SRH79" s="378"/>
      <c r="SRI79" s="378"/>
      <c r="SRJ79" s="378"/>
      <c r="SRK79" s="378"/>
      <c r="SRL79" s="378"/>
      <c r="SRM79" s="378"/>
      <c r="SRN79" s="378"/>
      <c r="SRO79" s="378"/>
      <c r="SRP79" s="378"/>
      <c r="SRQ79" s="378"/>
      <c r="SRR79" s="378"/>
      <c r="SRS79" s="378"/>
      <c r="SRT79" s="378"/>
      <c r="SRU79" s="378"/>
      <c r="SRV79" s="378"/>
      <c r="SRW79" s="378"/>
      <c r="SRX79" s="378"/>
      <c r="SRY79" s="378"/>
      <c r="SRZ79" s="378"/>
      <c r="SSA79" s="378"/>
      <c r="SSB79" s="378"/>
      <c r="SSC79" s="378"/>
      <c r="SSD79" s="378"/>
      <c r="SSE79" s="378"/>
      <c r="SSF79" s="378"/>
      <c r="SSG79" s="378"/>
      <c r="SSH79" s="378"/>
      <c r="SSI79" s="378"/>
      <c r="SSJ79" s="378"/>
      <c r="SSK79" s="378"/>
      <c r="SSL79" s="378"/>
      <c r="SSM79" s="378"/>
      <c r="SSN79" s="378"/>
      <c r="SSO79" s="378"/>
      <c r="SSP79" s="378"/>
      <c r="SSQ79" s="378"/>
      <c r="SSR79" s="378"/>
      <c r="SSS79" s="378"/>
      <c r="SST79" s="378"/>
      <c r="SSU79" s="378"/>
      <c r="SSV79" s="378"/>
      <c r="SSW79" s="378"/>
      <c r="SSX79" s="378"/>
      <c r="SSY79" s="378"/>
      <c r="SSZ79" s="378"/>
      <c r="STA79" s="378"/>
      <c r="STB79" s="378"/>
      <c r="STC79" s="378"/>
      <c r="STD79" s="378"/>
      <c r="STE79" s="378"/>
      <c r="STF79" s="378"/>
      <c r="STG79" s="378"/>
      <c r="STH79" s="378"/>
      <c r="STI79" s="378"/>
      <c r="STJ79" s="378"/>
      <c r="STK79" s="378"/>
      <c r="STL79" s="378"/>
      <c r="STM79" s="378"/>
      <c r="STN79" s="378"/>
      <c r="STO79" s="378"/>
      <c r="STP79" s="378"/>
      <c r="STQ79" s="378"/>
      <c r="STR79" s="378"/>
      <c r="STS79" s="378"/>
      <c r="STT79" s="378"/>
      <c r="STU79" s="378"/>
      <c r="STV79" s="378"/>
      <c r="STW79" s="378"/>
      <c r="STX79" s="378"/>
      <c r="STY79" s="378"/>
      <c r="STZ79" s="378"/>
      <c r="SUA79" s="378"/>
      <c r="SUB79" s="378"/>
      <c r="SUC79" s="378"/>
      <c r="SUD79" s="378"/>
      <c r="SUE79" s="378"/>
      <c r="SUF79" s="378"/>
      <c r="SUG79" s="378"/>
      <c r="SUH79" s="378"/>
      <c r="SUI79" s="378"/>
      <c r="SUJ79" s="378"/>
      <c r="SUK79" s="378"/>
      <c r="SUL79" s="378"/>
      <c r="SUM79" s="378"/>
      <c r="SUN79" s="378"/>
      <c r="SUO79" s="378"/>
      <c r="SUP79" s="378"/>
      <c r="SUQ79" s="378"/>
      <c r="SUR79" s="378"/>
      <c r="SUS79" s="378"/>
      <c r="SUT79" s="378"/>
      <c r="SUU79" s="378"/>
      <c r="SUV79" s="378"/>
      <c r="SUW79" s="378"/>
      <c r="SUX79" s="378"/>
      <c r="SUY79" s="378"/>
      <c r="SUZ79" s="378"/>
      <c r="SVA79" s="378"/>
      <c r="SVB79" s="378"/>
      <c r="SVC79" s="378"/>
      <c r="SVD79" s="378"/>
      <c r="SVE79" s="378"/>
      <c r="SVF79" s="378"/>
      <c r="SVG79" s="378"/>
      <c r="SVH79" s="378"/>
      <c r="SVI79" s="378"/>
      <c r="SVJ79" s="378"/>
      <c r="SVK79" s="378"/>
      <c r="SVL79" s="378"/>
      <c r="SVM79" s="378"/>
      <c r="SVN79" s="378"/>
      <c r="SVO79" s="378"/>
      <c r="SVP79" s="378"/>
      <c r="SVQ79" s="378"/>
      <c r="SVR79" s="378"/>
      <c r="SVS79" s="378"/>
      <c r="SVT79" s="378"/>
      <c r="SVU79" s="378"/>
      <c r="SVV79" s="378"/>
      <c r="SVW79" s="378"/>
      <c r="SVX79" s="378"/>
      <c r="SVY79" s="378"/>
      <c r="SVZ79" s="378"/>
      <c r="SWA79" s="378"/>
      <c r="SWB79" s="378"/>
      <c r="SWC79" s="378"/>
      <c r="SWD79" s="378"/>
      <c r="SWE79" s="378"/>
      <c r="SWF79" s="378"/>
      <c r="SWG79" s="378"/>
      <c r="SWH79" s="378"/>
      <c r="SWI79" s="378"/>
      <c r="SWJ79" s="378"/>
      <c r="SWK79" s="378"/>
      <c r="SWL79" s="378"/>
      <c r="SWM79" s="378"/>
      <c r="SWN79" s="378"/>
      <c r="SWO79" s="378"/>
      <c r="SWP79" s="378"/>
      <c r="SWQ79" s="378"/>
      <c r="SWR79" s="378"/>
      <c r="SWS79" s="378"/>
      <c r="SWT79" s="378"/>
      <c r="SWU79" s="378"/>
      <c r="SWV79" s="378"/>
      <c r="SWW79" s="378"/>
      <c r="SWX79" s="378"/>
      <c r="SWY79" s="378"/>
      <c r="SWZ79" s="378"/>
      <c r="SXA79" s="378"/>
      <c r="SXB79" s="378"/>
      <c r="SXC79" s="378"/>
      <c r="SXD79" s="378"/>
      <c r="SXE79" s="378"/>
      <c r="SXF79" s="378"/>
      <c r="SXG79" s="378"/>
      <c r="SXH79" s="378"/>
      <c r="SXI79" s="378"/>
      <c r="SXJ79" s="378"/>
      <c r="SXK79" s="378"/>
      <c r="SXL79" s="378"/>
      <c r="SXM79" s="378"/>
      <c r="SXN79" s="378"/>
      <c r="SXO79" s="378"/>
      <c r="SXP79" s="378"/>
      <c r="SXQ79" s="378"/>
      <c r="SXR79" s="378"/>
      <c r="SXS79" s="378"/>
      <c r="SXT79" s="378"/>
      <c r="SXU79" s="378"/>
      <c r="SXV79" s="378"/>
      <c r="SXW79" s="378"/>
      <c r="SXX79" s="378"/>
      <c r="SXY79" s="378"/>
      <c r="SXZ79" s="378"/>
      <c r="SYA79" s="378"/>
      <c r="SYB79" s="378"/>
      <c r="SYC79" s="378"/>
      <c r="SYD79" s="378"/>
      <c r="SYE79" s="378"/>
      <c r="SYF79" s="378"/>
      <c r="SYG79" s="378"/>
      <c r="SYH79" s="378"/>
      <c r="SYI79" s="378"/>
      <c r="SYJ79" s="378"/>
      <c r="SYK79" s="378"/>
      <c r="SYL79" s="378"/>
      <c r="SYM79" s="378"/>
      <c r="SYN79" s="378"/>
      <c r="SYO79" s="378"/>
      <c r="SYP79" s="378"/>
      <c r="SYQ79" s="378"/>
      <c r="SYR79" s="378"/>
      <c r="SYS79" s="378"/>
      <c r="SYT79" s="378"/>
      <c r="SYU79" s="378"/>
      <c r="SYV79" s="378"/>
      <c r="SYW79" s="378"/>
      <c r="SYX79" s="378"/>
      <c r="SYY79" s="378"/>
      <c r="SYZ79" s="378"/>
      <c r="SZA79" s="378"/>
      <c r="SZB79" s="378"/>
      <c r="SZC79" s="378"/>
      <c r="SZD79" s="378"/>
      <c r="SZE79" s="378"/>
      <c r="SZF79" s="378"/>
      <c r="SZG79" s="378"/>
      <c r="SZH79" s="378"/>
      <c r="SZI79" s="378"/>
      <c r="SZJ79" s="378"/>
      <c r="SZK79" s="378"/>
      <c r="SZL79" s="378"/>
      <c r="SZM79" s="378"/>
      <c r="SZN79" s="378"/>
      <c r="SZO79" s="378"/>
      <c r="SZP79" s="378"/>
      <c r="SZQ79" s="378"/>
      <c r="SZR79" s="378"/>
      <c r="SZS79" s="378"/>
      <c r="SZT79" s="378"/>
      <c r="SZU79" s="378"/>
      <c r="SZV79" s="378"/>
      <c r="SZW79" s="378"/>
      <c r="SZX79" s="378"/>
      <c r="SZY79" s="378"/>
      <c r="SZZ79" s="378"/>
      <c r="TAA79" s="378"/>
      <c r="TAB79" s="378"/>
      <c r="TAC79" s="378"/>
      <c r="TAD79" s="378"/>
      <c r="TAE79" s="378"/>
      <c r="TAF79" s="378"/>
      <c r="TAG79" s="378"/>
      <c r="TAH79" s="378"/>
      <c r="TAI79" s="378"/>
      <c r="TAJ79" s="378"/>
      <c r="TAK79" s="378"/>
      <c r="TAL79" s="378"/>
      <c r="TAM79" s="378"/>
      <c r="TAN79" s="378"/>
      <c r="TAO79" s="378"/>
      <c r="TAP79" s="378"/>
      <c r="TAQ79" s="378"/>
      <c r="TAR79" s="378"/>
      <c r="TAS79" s="378"/>
      <c r="TAT79" s="378"/>
      <c r="TAU79" s="378"/>
      <c r="TAV79" s="378"/>
      <c r="TAW79" s="378"/>
      <c r="TAX79" s="378"/>
      <c r="TAY79" s="378"/>
      <c r="TAZ79" s="378"/>
      <c r="TBA79" s="378"/>
      <c r="TBB79" s="378"/>
      <c r="TBC79" s="378"/>
      <c r="TBD79" s="378"/>
      <c r="TBE79" s="378"/>
      <c r="TBF79" s="378"/>
      <c r="TBG79" s="378"/>
      <c r="TBH79" s="378"/>
      <c r="TBI79" s="378"/>
      <c r="TBJ79" s="378"/>
      <c r="TBK79" s="378"/>
      <c r="TBL79" s="378"/>
      <c r="TBM79" s="378"/>
      <c r="TBN79" s="378"/>
      <c r="TBO79" s="378"/>
      <c r="TBP79" s="378"/>
      <c r="TBQ79" s="378"/>
      <c r="TBR79" s="378"/>
      <c r="TBS79" s="378"/>
      <c r="TBT79" s="378"/>
      <c r="TBU79" s="378"/>
      <c r="TBV79" s="378"/>
      <c r="TBW79" s="378"/>
      <c r="TBX79" s="378"/>
      <c r="TBY79" s="378"/>
      <c r="TBZ79" s="378"/>
      <c r="TCA79" s="378"/>
      <c r="TCB79" s="378"/>
      <c r="TCC79" s="378"/>
      <c r="TCD79" s="378"/>
      <c r="TCE79" s="378"/>
      <c r="TCF79" s="378"/>
      <c r="TCG79" s="378"/>
      <c r="TCH79" s="378"/>
      <c r="TCI79" s="378"/>
      <c r="TCJ79" s="378"/>
      <c r="TCK79" s="378"/>
      <c r="TCL79" s="378"/>
      <c r="TCM79" s="378"/>
      <c r="TCN79" s="378"/>
      <c r="TCO79" s="378"/>
      <c r="TCP79" s="378"/>
      <c r="TCQ79" s="378"/>
      <c r="TCR79" s="378"/>
      <c r="TCS79" s="378"/>
      <c r="TCT79" s="378"/>
      <c r="TCU79" s="378"/>
      <c r="TCV79" s="378"/>
      <c r="TCW79" s="378"/>
      <c r="TCX79" s="378"/>
      <c r="TCY79" s="378"/>
      <c r="TCZ79" s="378"/>
      <c r="TDA79" s="378"/>
      <c r="TDB79" s="378"/>
      <c r="TDC79" s="378"/>
      <c r="TDD79" s="378"/>
      <c r="TDE79" s="378"/>
      <c r="TDF79" s="378"/>
      <c r="TDG79" s="378"/>
      <c r="TDH79" s="378"/>
      <c r="TDI79" s="378"/>
      <c r="TDJ79" s="378"/>
      <c r="TDK79" s="378"/>
      <c r="TDL79" s="378"/>
      <c r="TDM79" s="378"/>
      <c r="TDN79" s="378"/>
      <c r="TDO79" s="378"/>
      <c r="TDP79" s="378"/>
      <c r="TDQ79" s="378"/>
      <c r="TDR79" s="378"/>
      <c r="TDS79" s="378"/>
      <c r="TDT79" s="378"/>
      <c r="TDU79" s="378"/>
      <c r="TDV79" s="378"/>
      <c r="TDW79" s="378"/>
      <c r="TDX79" s="378"/>
      <c r="TDY79" s="378"/>
      <c r="TDZ79" s="378"/>
      <c r="TEA79" s="378"/>
      <c r="TEB79" s="378"/>
      <c r="TEC79" s="378"/>
      <c r="TED79" s="378"/>
      <c r="TEE79" s="378"/>
      <c r="TEF79" s="378"/>
      <c r="TEG79" s="378"/>
      <c r="TEH79" s="378"/>
      <c r="TEI79" s="378"/>
      <c r="TEJ79" s="378"/>
      <c r="TEK79" s="378"/>
      <c r="TEL79" s="378"/>
      <c r="TEM79" s="378"/>
      <c r="TEN79" s="378"/>
      <c r="TEO79" s="378"/>
      <c r="TEP79" s="378"/>
      <c r="TEQ79" s="378"/>
      <c r="TER79" s="378"/>
      <c r="TES79" s="378"/>
      <c r="TET79" s="378"/>
      <c r="TEU79" s="378"/>
      <c r="TEV79" s="378"/>
      <c r="TEW79" s="378"/>
      <c r="TEX79" s="378"/>
      <c r="TEY79" s="378"/>
      <c r="TEZ79" s="378"/>
      <c r="TFA79" s="378"/>
      <c r="TFB79" s="378"/>
      <c r="TFC79" s="378"/>
      <c r="TFD79" s="378"/>
      <c r="TFE79" s="378"/>
      <c r="TFF79" s="378"/>
      <c r="TFG79" s="378"/>
      <c r="TFH79" s="378"/>
      <c r="TFI79" s="378"/>
      <c r="TFJ79" s="378"/>
      <c r="TFK79" s="378"/>
      <c r="TFL79" s="378"/>
      <c r="TFM79" s="378"/>
      <c r="TFN79" s="378"/>
      <c r="TFO79" s="378"/>
      <c r="TFP79" s="378"/>
      <c r="TFQ79" s="378"/>
      <c r="TFR79" s="378"/>
      <c r="TFS79" s="378"/>
      <c r="TFT79" s="378"/>
      <c r="TFU79" s="378"/>
      <c r="TFV79" s="378"/>
      <c r="TFW79" s="378"/>
      <c r="TFX79" s="378"/>
      <c r="TFY79" s="378"/>
      <c r="TFZ79" s="378"/>
      <c r="TGA79" s="378"/>
      <c r="TGB79" s="378"/>
      <c r="TGC79" s="378"/>
      <c r="TGD79" s="378"/>
      <c r="TGE79" s="378"/>
      <c r="TGF79" s="378"/>
      <c r="TGG79" s="378"/>
      <c r="TGH79" s="378"/>
      <c r="TGI79" s="378"/>
      <c r="TGJ79" s="378"/>
      <c r="TGK79" s="378"/>
      <c r="TGL79" s="378"/>
      <c r="TGM79" s="378"/>
      <c r="TGN79" s="378"/>
      <c r="TGO79" s="378"/>
      <c r="TGP79" s="378"/>
      <c r="TGQ79" s="378"/>
      <c r="TGR79" s="378"/>
      <c r="TGS79" s="378"/>
      <c r="TGT79" s="378"/>
      <c r="TGU79" s="378"/>
      <c r="TGV79" s="378"/>
      <c r="TGW79" s="378"/>
      <c r="TGX79" s="378"/>
      <c r="TGY79" s="378"/>
      <c r="TGZ79" s="378"/>
      <c r="THA79" s="378"/>
      <c r="THB79" s="378"/>
      <c r="THC79" s="378"/>
      <c r="THD79" s="378"/>
      <c r="THE79" s="378"/>
      <c r="THF79" s="378"/>
      <c r="THG79" s="378"/>
      <c r="THH79" s="378"/>
      <c r="THI79" s="378"/>
      <c r="THJ79" s="378"/>
      <c r="THK79" s="378"/>
      <c r="THL79" s="378"/>
      <c r="THM79" s="378"/>
      <c r="THN79" s="378"/>
      <c r="THO79" s="378"/>
      <c r="THP79" s="378"/>
      <c r="THQ79" s="378"/>
      <c r="THR79" s="378"/>
      <c r="THS79" s="378"/>
      <c r="THT79" s="378"/>
      <c r="THU79" s="378"/>
      <c r="THV79" s="378"/>
      <c r="THW79" s="378"/>
      <c r="THX79" s="378"/>
      <c r="THY79" s="378"/>
      <c r="THZ79" s="378"/>
      <c r="TIA79" s="378"/>
      <c r="TIB79" s="378"/>
      <c r="TIC79" s="378"/>
      <c r="TID79" s="378"/>
      <c r="TIE79" s="378"/>
      <c r="TIF79" s="378"/>
      <c r="TIG79" s="378"/>
      <c r="TIH79" s="378"/>
      <c r="TII79" s="378"/>
      <c r="TIJ79" s="378"/>
      <c r="TIK79" s="378"/>
      <c r="TIL79" s="378"/>
      <c r="TIM79" s="378"/>
      <c r="TIN79" s="378"/>
      <c r="TIO79" s="378"/>
      <c r="TIP79" s="378"/>
      <c r="TIQ79" s="378"/>
      <c r="TIR79" s="378"/>
      <c r="TIS79" s="378"/>
      <c r="TIT79" s="378"/>
      <c r="TIU79" s="378"/>
      <c r="TIV79" s="378"/>
      <c r="TIW79" s="378"/>
      <c r="TIX79" s="378"/>
      <c r="TIY79" s="378"/>
      <c r="TIZ79" s="378"/>
      <c r="TJA79" s="378"/>
      <c r="TJB79" s="378"/>
      <c r="TJC79" s="378"/>
      <c r="TJD79" s="378"/>
      <c r="TJE79" s="378"/>
      <c r="TJF79" s="378"/>
      <c r="TJG79" s="378"/>
      <c r="TJH79" s="378"/>
      <c r="TJI79" s="378"/>
      <c r="TJJ79" s="378"/>
      <c r="TJK79" s="378"/>
      <c r="TJL79" s="378"/>
      <c r="TJM79" s="378"/>
      <c r="TJN79" s="378"/>
      <c r="TJO79" s="378"/>
      <c r="TJP79" s="378"/>
      <c r="TJQ79" s="378"/>
      <c r="TJR79" s="378"/>
      <c r="TJS79" s="378"/>
      <c r="TJT79" s="378"/>
      <c r="TJU79" s="378"/>
      <c r="TJV79" s="378"/>
      <c r="TJW79" s="378"/>
      <c r="TJX79" s="378"/>
      <c r="TJY79" s="378"/>
      <c r="TJZ79" s="378"/>
      <c r="TKA79" s="378"/>
      <c r="TKB79" s="378"/>
      <c r="TKC79" s="378"/>
      <c r="TKD79" s="378"/>
      <c r="TKE79" s="378"/>
      <c r="TKF79" s="378"/>
      <c r="TKG79" s="378"/>
      <c r="TKH79" s="378"/>
      <c r="TKI79" s="378"/>
      <c r="TKJ79" s="378"/>
      <c r="TKK79" s="378"/>
      <c r="TKL79" s="378"/>
      <c r="TKM79" s="378"/>
      <c r="TKN79" s="378"/>
      <c r="TKO79" s="378"/>
      <c r="TKP79" s="378"/>
      <c r="TKQ79" s="378"/>
      <c r="TKR79" s="378"/>
      <c r="TKS79" s="378"/>
      <c r="TKT79" s="378"/>
      <c r="TKU79" s="378"/>
      <c r="TKV79" s="378"/>
      <c r="TKW79" s="378"/>
      <c r="TKX79" s="378"/>
      <c r="TKY79" s="378"/>
      <c r="TKZ79" s="378"/>
      <c r="TLA79" s="378"/>
      <c r="TLB79" s="378"/>
      <c r="TLC79" s="378"/>
      <c r="TLD79" s="378"/>
      <c r="TLE79" s="378"/>
      <c r="TLF79" s="378"/>
      <c r="TLG79" s="378"/>
      <c r="TLH79" s="378"/>
      <c r="TLI79" s="378"/>
      <c r="TLJ79" s="378"/>
      <c r="TLK79" s="378"/>
      <c r="TLL79" s="378"/>
      <c r="TLM79" s="378"/>
      <c r="TLN79" s="378"/>
      <c r="TLO79" s="378"/>
      <c r="TLP79" s="378"/>
      <c r="TLQ79" s="378"/>
      <c r="TLR79" s="378"/>
      <c r="TLS79" s="378"/>
      <c r="TLT79" s="378"/>
      <c r="TLU79" s="378"/>
      <c r="TLV79" s="378"/>
      <c r="TLW79" s="378"/>
      <c r="TLX79" s="378"/>
      <c r="TLY79" s="378"/>
      <c r="TLZ79" s="378"/>
      <c r="TMA79" s="378"/>
      <c r="TMB79" s="378"/>
      <c r="TMC79" s="378"/>
      <c r="TMD79" s="378"/>
      <c r="TME79" s="378"/>
      <c r="TMF79" s="378"/>
      <c r="TMG79" s="378"/>
      <c r="TMH79" s="378"/>
      <c r="TMI79" s="378"/>
      <c r="TMJ79" s="378"/>
      <c r="TMK79" s="378"/>
      <c r="TML79" s="378"/>
      <c r="TMM79" s="378"/>
      <c r="TMN79" s="378"/>
      <c r="TMO79" s="378"/>
      <c r="TMP79" s="378"/>
      <c r="TMQ79" s="378"/>
      <c r="TMR79" s="378"/>
      <c r="TMS79" s="378"/>
      <c r="TMT79" s="378"/>
      <c r="TMU79" s="378"/>
      <c r="TMV79" s="378"/>
      <c r="TMW79" s="378"/>
      <c r="TMX79" s="378"/>
      <c r="TMY79" s="378"/>
      <c r="TMZ79" s="378"/>
      <c r="TNA79" s="378"/>
      <c r="TNB79" s="378"/>
      <c r="TNC79" s="378"/>
      <c r="TND79" s="378"/>
      <c r="TNE79" s="378"/>
      <c r="TNF79" s="378"/>
      <c r="TNG79" s="378"/>
      <c r="TNH79" s="378"/>
      <c r="TNI79" s="378"/>
      <c r="TNJ79" s="378"/>
      <c r="TNK79" s="378"/>
      <c r="TNL79" s="378"/>
      <c r="TNM79" s="378"/>
      <c r="TNN79" s="378"/>
      <c r="TNO79" s="378"/>
      <c r="TNP79" s="378"/>
      <c r="TNQ79" s="378"/>
      <c r="TNR79" s="378"/>
      <c r="TNS79" s="378"/>
      <c r="TNT79" s="378"/>
      <c r="TNU79" s="378"/>
      <c r="TNV79" s="378"/>
      <c r="TNW79" s="378"/>
      <c r="TNX79" s="378"/>
      <c r="TNY79" s="378"/>
      <c r="TNZ79" s="378"/>
      <c r="TOA79" s="378"/>
      <c r="TOB79" s="378"/>
      <c r="TOC79" s="378"/>
      <c r="TOD79" s="378"/>
      <c r="TOE79" s="378"/>
      <c r="TOF79" s="378"/>
      <c r="TOG79" s="378"/>
      <c r="TOH79" s="378"/>
      <c r="TOI79" s="378"/>
      <c r="TOJ79" s="378"/>
      <c r="TOK79" s="378"/>
      <c r="TOL79" s="378"/>
      <c r="TOM79" s="378"/>
      <c r="TON79" s="378"/>
      <c r="TOO79" s="378"/>
      <c r="TOP79" s="378"/>
      <c r="TOQ79" s="378"/>
      <c r="TOR79" s="378"/>
      <c r="TOS79" s="378"/>
      <c r="TOT79" s="378"/>
      <c r="TOU79" s="378"/>
      <c r="TOV79" s="378"/>
      <c r="TOW79" s="378"/>
      <c r="TOX79" s="378"/>
      <c r="TOY79" s="378"/>
      <c r="TOZ79" s="378"/>
      <c r="TPA79" s="378"/>
      <c r="TPB79" s="378"/>
      <c r="TPC79" s="378"/>
      <c r="TPD79" s="378"/>
      <c r="TPE79" s="378"/>
      <c r="TPF79" s="378"/>
      <c r="TPG79" s="378"/>
      <c r="TPH79" s="378"/>
      <c r="TPI79" s="378"/>
      <c r="TPJ79" s="378"/>
      <c r="TPK79" s="378"/>
      <c r="TPL79" s="378"/>
      <c r="TPM79" s="378"/>
      <c r="TPN79" s="378"/>
      <c r="TPO79" s="378"/>
      <c r="TPP79" s="378"/>
      <c r="TPQ79" s="378"/>
      <c r="TPR79" s="378"/>
      <c r="TPS79" s="378"/>
      <c r="TPT79" s="378"/>
      <c r="TPU79" s="378"/>
      <c r="TPV79" s="378"/>
      <c r="TPW79" s="378"/>
      <c r="TPX79" s="378"/>
      <c r="TPY79" s="378"/>
      <c r="TPZ79" s="378"/>
      <c r="TQA79" s="378"/>
      <c r="TQB79" s="378"/>
      <c r="TQC79" s="378"/>
      <c r="TQD79" s="378"/>
      <c r="TQE79" s="378"/>
      <c r="TQF79" s="378"/>
      <c r="TQG79" s="378"/>
      <c r="TQH79" s="378"/>
      <c r="TQI79" s="378"/>
      <c r="TQJ79" s="378"/>
      <c r="TQK79" s="378"/>
      <c r="TQL79" s="378"/>
      <c r="TQM79" s="378"/>
      <c r="TQN79" s="378"/>
      <c r="TQO79" s="378"/>
      <c r="TQP79" s="378"/>
      <c r="TQQ79" s="378"/>
      <c r="TQR79" s="378"/>
      <c r="TQS79" s="378"/>
      <c r="TQT79" s="378"/>
      <c r="TQU79" s="378"/>
      <c r="TQV79" s="378"/>
      <c r="TQW79" s="378"/>
      <c r="TQX79" s="378"/>
      <c r="TQY79" s="378"/>
      <c r="TQZ79" s="378"/>
      <c r="TRA79" s="378"/>
      <c r="TRB79" s="378"/>
      <c r="TRC79" s="378"/>
      <c r="TRD79" s="378"/>
      <c r="TRE79" s="378"/>
      <c r="TRF79" s="378"/>
      <c r="TRG79" s="378"/>
      <c r="TRH79" s="378"/>
      <c r="TRI79" s="378"/>
      <c r="TRJ79" s="378"/>
      <c r="TRK79" s="378"/>
      <c r="TRL79" s="378"/>
      <c r="TRM79" s="378"/>
      <c r="TRN79" s="378"/>
      <c r="TRO79" s="378"/>
      <c r="TRP79" s="378"/>
      <c r="TRQ79" s="378"/>
      <c r="TRR79" s="378"/>
      <c r="TRS79" s="378"/>
      <c r="TRT79" s="378"/>
      <c r="TRU79" s="378"/>
      <c r="TRV79" s="378"/>
      <c r="TRW79" s="378"/>
      <c r="TRX79" s="378"/>
      <c r="TRY79" s="378"/>
      <c r="TRZ79" s="378"/>
      <c r="TSA79" s="378"/>
      <c r="TSB79" s="378"/>
      <c r="TSC79" s="378"/>
      <c r="TSD79" s="378"/>
      <c r="TSE79" s="378"/>
      <c r="TSF79" s="378"/>
      <c r="TSG79" s="378"/>
      <c r="TSH79" s="378"/>
      <c r="TSI79" s="378"/>
      <c r="TSJ79" s="378"/>
      <c r="TSK79" s="378"/>
      <c r="TSL79" s="378"/>
      <c r="TSM79" s="378"/>
      <c r="TSN79" s="378"/>
      <c r="TSO79" s="378"/>
      <c r="TSP79" s="378"/>
      <c r="TSQ79" s="378"/>
      <c r="TSR79" s="378"/>
      <c r="TSS79" s="378"/>
      <c r="TST79" s="378"/>
      <c r="TSU79" s="378"/>
      <c r="TSV79" s="378"/>
      <c r="TSW79" s="378"/>
      <c r="TSX79" s="378"/>
      <c r="TSY79" s="378"/>
      <c r="TSZ79" s="378"/>
      <c r="TTA79" s="378"/>
      <c r="TTB79" s="378"/>
      <c r="TTC79" s="378"/>
      <c r="TTD79" s="378"/>
      <c r="TTE79" s="378"/>
      <c r="TTF79" s="378"/>
      <c r="TTG79" s="378"/>
      <c r="TTH79" s="378"/>
      <c r="TTI79" s="378"/>
      <c r="TTJ79" s="378"/>
      <c r="TTK79" s="378"/>
      <c r="TTL79" s="378"/>
      <c r="TTM79" s="378"/>
      <c r="TTN79" s="378"/>
      <c r="TTO79" s="378"/>
      <c r="TTP79" s="378"/>
      <c r="TTQ79" s="378"/>
      <c r="TTR79" s="378"/>
      <c r="TTS79" s="378"/>
      <c r="TTT79" s="378"/>
      <c r="TTU79" s="378"/>
      <c r="TTV79" s="378"/>
      <c r="TTW79" s="378"/>
      <c r="TTX79" s="378"/>
      <c r="TTY79" s="378"/>
      <c r="TTZ79" s="378"/>
      <c r="TUA79" s="378"/>
      <c r="TUB79" s="378"/>
      <c r="TUC79" s="378"/>
      <c r="TUD79" s="378"/>
      <c r="TUE79" s="378"/>
      <c r="TUF79" s="378"/>
      <c r="TUG79" s="378"/>
      <c r="TUH79" s="378"/>
      <c r="TUI79" s="378"/>
      <c r="TUJ79" s="378"/>
      <c r="TUK79" s="378"/>
      <c r="TUL79" s="378"/>
      <c r="TUM79" s="378"/>
      <c r="TUN79" s="378"/>
      <c r="TUO79" s="378"/>
      <c r="TUP79" s="378"/>
      <c r="TUQ79" s="378"/>
      <c r="TUR79" s="378"/>
      <c r="TUS79" s="378"/>
      <c r="TUT79" s="378"/>
      <c r="TUU79" s="378"/>
      <c r="TUV79" s="378"/>
      <c r="TUW79" s="378"/>
      <c r="TUX79" s="378"/>
      <c r="TUY79" s="378"/>
      <c r="TUZ79" s="378"/>
      <c r="TVA79" s="378"/>
      <c r="TVB79" s="378"/>
      <c r="TVC79" s="378"/>
      <c r="TVD79" s="378"/>
      <c r="TVE79" s="378"/>
      <c r="TVF79" s="378"/>
      <c r="TVG79" s="378"/>
      <c r="TVH79" s="378"/>
      <c r="TVI79" s="378"/>
      <c r="TVJ79" s="378"/>
      <c r="TVK79" s="378"/>
      <c r="TVL79" s="378"/>
      <c r="TVM79" s="378"/>
      <c r="TVN79" s="378"/>
      <c r="TVO79" s="378"/>
      <c r="TVP79" s="378"/>
      <c r="TVQ79" s="378"/>
      <c r="TVR79" s="378"/>
      <c r="TVS79" s="378"/>
      <c r="TVT79" s="378"/>
      <c r="TVU79" s="378"/>
      <c r="TVV79" s="378"/>
      <c r="TVW79" s="378"/>
      <c r="TVX79" s="378"/>
      <c r="TVY79" s="378"/>
      <c r="TVZ79" s="378"/>
      <c r="TWA79" s="378"/>
      <c r="TWB79" s="378"/>
      <c r="TWC79" s="378"/>
      <c r="TWD79" s="378"/>
      <c r="TWE79" s="378"/>
      <c r="TWF79" s="378"/>
      <c r="TWG79" s="378"/>
      <c r="TWH79" s="378"/>
      <c r="TWI79" s="378"/>
      <c r="TWJ79" s="378"/>
      <c r="TWK79" s="378"/>
      <c r="TWL79" s="378"/>
      <c r="TWM79" s="378"/>
      <c r="TWN79" s="378"/>
      <c r="TWO79" s="378"/>
      <c r="TWP79" s="378"/>
      <c r="TWQ79" s="378"/>
      <c r="TWR79" s="378"/>
      <c r="TWS79" s="378"/>
      <c r="TWT79" s="378"/>
      <c r="TWU79" s="378"/>
      <c r="TWV79" s="378"/>
      <c r="TWW79" s="378"/>
      <c r="TWX79" s="378"/>
      <c r="TWY79" s="378"/>
      <c r="TWZ79" s="378"/>
      <c r="TXA79" s="378"/>
      <c r="TXB79" s="378"/>
      <c r="TXC79" s="378"/>
      <c r="TXD79" s="378"/>
      <c r="TXE79" s="378"/>
      <c r="TXF79" s="378"/>
      <c r="TXG79" s="378"/>
      <c r="TXH79" s="378"/>
      <c r="TXI79" s="378"/>
      <c r="TXJ79" s="378"/>
      <c r="TXK79" s="378"/>
      <c r="TXL79" s="378"/>
      <c r="TXM79" s="378"/>
      <c r="TXN79" s="378"/>
      <c r="TXO79" s="378"/>
      <c r="TXP79" s="378"/>
      <c r="TXQ79" s="378"/>
      <c r="TXR79" s="378"/>
      <c r="TXS79" s="378"/>
      <c r="TXT79" s="378"/>
      <c r="TXU79" s="378"/>
      <c r="TXV79" s="378"/>
      <c r="TXW79" s="378"/>
      <c r="TXX79" s="378"/>
      <c r="TXY79" s="378"/>
      <c r="TXZ79" s="378"/>
      <c r="TYA79" s="378"/>
      <c r="TYB79" s="378"/>
      <c r="TYC79" s="378"/>
      <c r="TYD79" s="378"/>
      <c r="TYE79" s="378"/>
      <c r="TYF79" s="378"/>
      <c r="TYG79" s="378"/>
      <c r="TYH79" s="378"/>
      <c r="TYI79" s="378"/>
      <c r="TYJ79" s="378"/>
      <c r="TYK79" s="378"/>
      <c r="TYL79" s="378"/>
      <c r="TYM79" s="378"/>
      <c r="TYN79" s="378"/>
      <c r="TYO79" s="378"/>
      <c r="TYP79" s="378"/>
      <c r="TYQ79" s="378"/>
      <c r="TYR79" s="378"/>
      <c r="TYS79" s="378"/>
      <c r="TYT79" s="378"/>
      <c r="TYU79" s="378"/>
      <c r="TYV79" s="378"/>
      <c r="TYW79" s="378"/>
      <c r="TYX79" s="378"/>
      <c r="TYY79" s="378"/>
      <c r="TYZ79" s="378"/>
      <c r="TZA79" s="378"/>
      <c r="TZB79" s="378"/>
      <c r="TZC79" s="378"/>
      <c r="TZD79" s="378"/>
      <c r="TZE79" s="378"/>
      <c r="TZF79" s="378"/>
      <c r="TZG79" s="378"/>
      <c r="TZH79" s="378"/>
      <c r="TZI79" s="378"/>
      <c r="TZJ79" s="378"/>
      <c r="TZK79" s="378"/>
      <c r="TZL79" s="378"/>
      <c r="TZM79" s="378"/>
      <c r="TZN79" s="378"/>
      <c r="TZO79" s="378"/>
      <c r="TZP79" s="378"/>
      <c r="TZQ79" s="378"/>
      <c r="TZR79" s="378"/>
      <c r="TZS79" s="378"/>
      <c r="TZT79" s="378"/>
      <c r="TZU79" s="378"/>
      <c r="TZV79" s="378"/>
      <c r="TZW79" s="378"/>
      <c r="TZX79" s="378"/>
      <c r="TZY79" s="378"/>
      <c r="TZZ79" s="378"/>
      <c r="UAA79" s="378"/>
      <c r="UAB79" s="378"/>
      <c r="UAC79" s="378"/>
      <c r="UAD79" s="378"/>
      <c r="UAE79" s="378"/>
      <c r="UAF79" s="378"/>
      <c r="UAG79" s="378"/>
      <c r="UAH79" s="378"/>
      <c r="UAI79" s="378"/>
      <c r="UAJ79" s="378"/>
      <c r="UAK79" s="378"/>
      <c r="UAL79" s="378"/>
      <c r="UAM79" s="378"/>
      <c r="UAN79" s="378"/>
      <c r="UAO79" s="378"/>
      <c r="UAP79" s="378"/>
      <c r="UAQ79" s="378"/>
      <c r="UAR79" s="378"/>
      <c r="UAS79" s="378"/>
      <c r="UAT79" s="378"/>
      <c r="UAU79" s="378"/>
      <c r="UAV79" s="378"/>
      <c r="UAW79" s="378"/>
      <c r="UAX79" s="378"/>
      <c r="UAY79" s="378"/>
      <c r="UAZ79" s="378"/>
      <c r="UBA79" s="378"/>
      <c r="UBB79" s="378"/>
      <c r="UBC79" s="378"/>
      <c r="UBD79" s="378"/>
      <c r="UBE79" s="378"/>
      <c r="UBF79" s="378"/>
      <c r="UBG79" s="378"/>
      <c r="UBH79" s="378"/>
      <c r="UBI79" s="378"/>
      <c r="UBJ79" s="378"/>
      <c r="UBK79" s="378"/>
      <c r="UBL79" s="378"/>
      <c r="UBM79" s="378"/>
      <c r="UBN79" s="378"/>
      <c r="UBO79" s="378"/>
      <c r="UBP79" s="378"/>
      <c r="UBQ79" s="378"/>
      <c r="UBR79" s="378"/>
      <c r="UBS79" s="378"/>
      <c r="UBT79" s="378"/>
      <c r="UBU79" s="378"/>
      <c r="UBV79" s="378"/>
      <c r="UBW79" s="378"/>
      <c r="UBX79" s="378"/>
      <c r="UBY79" s="378"/>
      <c r="UBZ79" s="378"/>
      <c r="UCA79" s="378"/>
      <c r="UCB79" s="378"/>
      <c r="UCC79" s="378"/>
      <c r="UCD79" s="378"/>
      <c r="UCE79" s="378"/>
      <c r="UCF79" s="378"/>
      <c r="UCG79" s="378"/>
      <c r="UCH79" s="378"/>
      <c r="UCI79" s="378"/>
      <c r="UCJ79" s="378"/>
      <c r="UCK79" s="378"/>
      <c r="UCL79" s="378"/>
      <c r="UCM79" s="378"/>
      <c r="UCN79" s="378"/>
      <c r="UCO79" s="378"/>
      <c r="UCP79" s="378"/>
      <c r="UCQ79" s="378"/>
      <c r="UCR79" s="378"/>
      <c r="UCS79" s="378"/>
      <c r="UCT79" s="378"/>
      <c r="UCU79" s="378"/>
      <c r="UCV79" s="378"/>
      <c r="UCW79" s="378"/>
      <c r="UCX79" s="378"/>
      <c r="UCY79" s="378"/>
      <c r="UCZ79" s="378"/>
      <c r="UDA79" s="378"/>
      <c r="UDB79" s="378"/>
      <c r="UDC79" s="378"/>
      <c r="UDD79" s="378"/>
      <c r="UDE79" s="378"/>
      <c r="UDF79" s="378"/>
      <c r="UDG79" s="378"/>
      <c r="UDH79" s="378"/>
      <c r="UDI79" s="378"/>
      <c r="UDJ79" s="378"/>
      <c r="UDK79" s="378"/>
      <c r="UDL79" s="378"/>
      <c r="UDM79" s="378"/>
      <c r="UDN79" s="378"/>
      <c r="UDO79" s="378"/>
      <c r="UDP79" s="378"/>
      <c r="UDQ79" s="378"/>
      <c r="UDR79" s="378"/>
      <c r="UDS79" s="378"/>
      <c r="UDT79" s="378"/>
      <c r="UDU79" s="378"/>
      <c r="UDV79" s="378"/>
      <c r="UDW79" s="378"/>
      <c r="UDX79" s="378"/>
      <c r="UDY79" s="378"/>
      <c r="UDZ79" s="378"/>
      <c r="UEA79" s="378"/>
      <c r="UEB79" s="378"/>
      <c r="UEC79" s="378"/>
      <c r="UED79" s="378"/>
      <c r="UEE79" s="378"/>
      <c r="UEF79" s="378"/>
      <c r="UEG79" s="378"/>
      <c r="UEH79" s="378"/>
      <c r="UEI79" s="378"/>
      <c r="UEJ79" s="378"/>
      <c r="UEK79" s="378"/>
      <c r="UEL79" s="378"/>
      <c r="UEM79" s="378"/>
      <c r="UEN79" s="378"/>
      <c r="UEO79" s="378"/>
      <c r="UEP79" s="378"/>
      <c r="UEQ79" s="378"/>
      <c r="UER79" s="378"/>
      <c r="UES79" s="378"/>
      <c r="UET79" s="378"/>
      <c r="UEU79" s="378"/>
      <c r="UEV79" s="378"/>
      <c r="UEW79" s="378"/>
      <c r="UEX79" s="378"/>
      <c r="UEY79" s="378"/>
      <c r="UEZ79" s="378"/>
      <c r="UFA79" s="378"/>
      <c r="UFB79" s="378"/>
      <c r="UFC79" s="378"/>
      <c r="UFD79" s="378"/>
      <c r="UFE79" s="378"/>
      <c r="UFF79" s="378"/>
      <c r="UFG79" s="378"/>
      <c r="UFH79" s="378"/>
      <c r="UFI79" s="378"/>
      <c r="UFJ79" s="378"/>
      <c r="UFK79" s="378"/>
      <c r="UFL79" s="378"/>
      <c r="UFM79" s="378"/>
      <c r="UFN79" s="378"/>
      <c r="UFO79" s="378"/>
      <c r="UFP79" s="378"/>
      <c r="UFQ79" s="378"/>
      <c r="UFR79" s="378"/>
      <c r="UFS79" s="378"/>
      <c r="UFT79" s="378"/>
      <c r="UFU79" s="378"/>
      <c r="UFV79" s="378"/>
      <c r="UFW79" s="378"/>
      <c r="UFX79" s="378"/>
      <c r="UFY79" s="378"/>
      <c r="UFZ79" s="378"/>
      <c r="UGA79" s="378"/>
      <c r="UGB79" s="378"/>
      <c r="UGC79" s="378"/>
      <c r="UGD79" s="378"/>
      <c r="UGE79" s="378"/>
      <c r="UGF79" s="378"/>
      <c r="UGG79" s="378"/>
      <c r="UGH79" s="378"/>
      <c r="UGI79" s="378"/>
      <c r="UGJ79" s="378"/>
      <c r="UGK79" s="378"/>
      <c r="UGL79" s="378"/>
      <c r="UGM79" s="378"/>
      <c r="UGN79" s="378"/>
      <c r="UGO79" s="378"/>
      <c r="UGP79" s="378"/>
      <c r="UGQ79" s="378"/>
      <c r="UGR79" s="378"/>
      <c r="UGS79" s="378"/>
      <c r="UGT79" s="378"/>
      <c r="UGU79" s="378"/>
      <c r="UGV79" s="378"/>
      <c r="UGW79" s="378"/>
      <c r="UGX79" s="378"/>
      <c r="UGY79" s="378"/>
      <c r="UGZ79" s="378"/>
      <c r="UHA79" s="378"/>
      <c r="UHB79" s="378"/>
      <c r="UHC79" s="378"/>
      <c r="UHD79" s="378"/>
      <c r="UHE79" s="378"/>
      <c r="UHF79" s="378"/>
      <c r="UHG79" s="378"/>
      <c r="UHH79" s="378"/>
      <c r="UHI79" s="378"/>
      <c r="UHJ79" s="378"/>
      <c r="UHK79" s="378"/>
      <c r="UHL79" s="378"/>
      <c r="UHM79" s="378"/>
      <c r="UHN79" s="378"/>
      <c r="UHO79" s="378"/>
      <c r="UHP79" s="378"/>
      <c r="UHQ79" s="378"/>
      <c r="UHR79" s="378"/>
      <c r="UHS79" s="378"/>
      <c r="UHT79" s="378"/>
      <c r="UHU79" s="378"/>
      <c r="UHV79" s="378"/>
      <c r="UHW79" s="378"/>
      <c r="UHX79" s="378"/>
      <c r="UHY79" s="378"/>
      <c r="UHZ79" s="378"/>
      <c r="UIA79" s="378"/>
      <c r="UIB79" s="378"/>
      <c r="UIC79" s="378"/>
      <c r="UID79" s="378"/>
      <c r="UIE79" s="378"/>
      <c r="UIF79" s="378"/>
      <c r="UIG79" s="378"/>
      <c r="UIH79" s="378"/>
      <c r="UII79" s="378"/>
      <c r="UIJ79" s="378"/>
      <c r="UIK79" s="378"/>
      <c r="UIL79" s="378"/>
      <c r="UIM79" s="378"/>
      <c r="UIN79" s="378"/>
      <c r="UIO79" s="378"/>
      <c r="UIP79" s="378"/>
      <c r="UIQ79" s="378"/>
      <c r="UIR79" s="378"/>
      <c r="UIS79" s="378"/>
      <c r="UIT79" s="378"/>
      <c r="UIU79" s="378"/>
      <c r="UIV79" s="378"/>
      <c r="UIW79" s="378"/>
      <c r="UIX79" s="378"/>
      <c r="UIY79" s="378"/>
      <c r="UIZ79" s="378"/>
      <c r="UJA79" s="378"/>
      <c r="UJB79" s="378"/>
      <c r="UJC79" s="378"/>
      <c r="UJD79" s="378"/>
      <c r="UJE79" s="378"/>
      <c r="UJF79" s="378"/>
      <c r="UJG79" s="378"/>
      <c r="UJH79" s="378"/>
      <c r="UJI79" s="378"/>
      <c r="UJJ79" s="378"/>
      <c r="UJK79" s="378"/>
      <c r="UJL79" s="378"/>
      <c r="UJM79" s="378"/>
      <c r="UJN79" s="378"/>
      <c r="UJO79" s="378"/>
      <c r="UJP79" s="378"/>
      <c r="UJQ79" s="378"/>
      <c r="UJR79" s="378"/>
      <c r="UJS79" s="378"/>
      <c r="UJT79" s="378"/>
      <c r="UJU79" s="378"/>
      <c r="UJV79" s="378"/>
      <c r="UJW79" s="378"/>
      <c r="UJX79" s="378"/>
      <c r="UJY79" s="378"/>
      <c r="UJZ79" s="378"/>
      <c r="UKA79" s="378"/>
      <c r="UKB79" s="378"/>
      <c r="UKC79" s="378"/>
      <c r="UKD79" s="378"/>
      <c r="UKE79" s="378"/>
      <c r="UKF79" s="378"/>
      <c r="UKG79" s="378"/>
      <c r="UKH79" s="378"/>
      <c r="UKI79" s="378"/>
      <c r="UKJ79" s="378"/>
      <c r="UKK79" s="378"/>
      <c r="UKL79" s="378"/>
      <c r="UKM79" s="378"/>
      <c r="UKN79" s="378"/>
      <c r="UKO79" s="378"/>
      <c r="UKP79" s="378"/>
      <c r="UKQ79" s="378"/>
      <c r="UKR79" s="378"/>
      <c r="UKS79" s="378"/>
      <c r="UKT79" s="378"/>
      <c r="UKU79" s="378"/>
      <c r="UKV79" s="378"/>
      <c r="UKW79" s="378"/>
      <c r="UKX79" s="378"/>
      <c r="UKY79" s="378"/>
      <c r="UKZ79" s="378"/>
      <c r="ULA79" s="378"/>
      <c r="ULB79" s="378"/>
      <c r="ULC79" s="378"/>
      <c r="ULD79" s="378"/>
      <c r="ULE79" s="378"/>
      <c r="ULF79" s="378"/>
      <c r="ULG79" s="378"/>
      <c r="ULH79" s="378"/>
      <c r="ULI79" s="378"/>
      <c r="ULJ79" s="378"/>
      <c r="ULK79" s="378"/>
      <c r="ULL79" s="378"/>
      <c r="ULM79" s="378"/>
      <c r="ULN79" s="378"/>
      <c r="ULO79" s="378"/>
      <c r="ULP79" s="378"/>
      <c r="ULQ79" s="378"/>
      <c r="ULR79" s="378"/>
      <c r="ULS79" s="378"/>
      <c r="ULT79" s="378"/>
      <c r="ULU79" s="378"/>
      <c r="ULV79" s="378"/>
      <c r="ULW79" s="378"/>
      <c r="ULX79" s="378"/>
      <c r="ULY79" s="378"/>
      <c r="ULZ79" s="378"/>
      <c r="UMA79" s="378"/>
      <c r="UMB79" s="378"/>
      <c r="UMC79" s="378"/>
      <c r="UMD79" s="378"/>
      <c r="UME79" s="378"/>
      <c r="UMF79" s="378"/>
      <c r="UMG79" s="378"/>
      <c r="UMH79" s="378"/>
      <c r="UMI79" s="378"/>
      <c r="UMJ79" s="378"/>
      <c r="UMK79" s="378"/>
      <c r="UML79" s="378"/>
      <c r="UMM79" s="378"/>
      <c r="UMN79" s="378"/>
      <c r="UMO79" s="378"/>
      <c r="UMP79" s="378"/>
      <c r="UMQ79" s="378"/>
      <c r="UMR79" s="378"/>
      <c r="UMS79" s="378"/>
      <c r="UMT79" s="378"/>
      <c r="UMU79" s="378"/>
      <c r="UMV79" s="378"/>
      <c r="UMW79" s="378"/>
      <c r="UMX79" s="378"/>
      <c r="UMY79" s="378"/>
      <c r="UMZ79" s="378"/>
      <c r="UNA79" s="378"/>
      <c r="UNB79" s="378"/>
      <c r="UNC79" s="378"/>
      <c r="UND79" s="378"/>
      <c r="UNE79" s="378"/>
      <c r="UNF79" s="378"/>
      <c r="UNG79" s="378"/>
      <c r="UNH79" s="378"/>
      <c r="UNI79" s="378"/>
      <c r="UNJ79" s="378"/>
      <c r="UNK79" s="378"/>
      <c r="UNL79" s="378"/>
      <c r="UNM79" s="378"/>
      <c r="UNN79" s="378"/>
      <c r="UNO79" s="378"/>
      <c r="UNP79" s="378"/>
      <c r="UNQ79" s="378"/>
      <c r="UNR79" s="378"/>
      <c r="UNS79" s="378"/>
      <c r="UNT79" s="378"/>
      <c r="UNU79" s="378"/>
      <c r="UNV79" s="378"/>
      <c r="UNW79" s="378"/>
      <c r="UNX79" s="378"/>
      <c r="UNY79" s="378"/>
      <c r="UNZ79" s="378"/>
      <c r="UOA79" s="378"/>
      <c r="UOB79" s="378"/>
      <c r="UOC79" s="378"/>
      <c r="UOD79" s="378"/>
      <c r="UOE79" s="378"/>
      <c r="UOF79" s="378"/>
      <c r="UOG79" s="378"/>
      <c r="UOH79" s="378"/>
      <c r="UOI79" s="378"/>
      <c r="UOJ79" s="378"/>
      <c r="UOK79" s="378"/>
      <c r="UOL79" s="378"/>
      <c r="UOM79" s="378"/>
      <c r="UON79" s="378"/>
      <c r="UOO79" s="378"/>
      <c r="UOP79" s="378"/>
      <c r="UOQ79" s="378"/>
      <c r="UOR79" s="378"/>
      <c r="UOS79" s="378"/>
      <c r="UOT79" s="378"/>
      <c r="UOU79" s="378"/>
      <c r="UOV79" s="378"/>
      <c r="UOW79" s="378"/>
      <c r="UOX79" s="378"/>
      <c r="UOY79" s="378"/>
      <c r="UOZ79" s="378"/>
      <c r="UPA79" s="378"/>
      <c r="UPB79" s="378"/>
      <c r="UPC79" s="378"/>
      <c r="UPD79" s="378"/>
      <c r="UPE79" s="378"/>
      <c r="UPF79" s="378"/>
      <c r="UPG79" s="378"/>
      <c r="UPH79" s="378"/>
      <c r="UPI79" s="378"/>
      <c r="UPJ79" s="378"/>
      <c r="UPK79" s="378"/>
      <c r="UPL79" s="378"/>
      <c r="UPM79" s="378"/>
      <c r="UPN79" s="378"/>
      <c r="UPO79" s="378"/>
      <c r="UPP79" s="378"/>
      <c r="UPQ79" s="378"/>
      <c r="UPR79" s="378"/>
      <c r="UPS79" s="378"/>
      <c r="UPT79" s="378"/>
      <c r="UPU79" s="378"/>
      <c r="UPV79" s="378"/>
      <c r="UPW79" s="378"/>
      <c r="UPX79" s="378"/>
      <c r="UPY79" s="378"/>
      <c r="UPZ79" s="378"/>
      <c r="UQA79" s="378"/>
      <c r="UQB79" s="378"/>
      <c r="UQC79" s="378"/>
      <c r="UQD79" s="378"/>
      <c r="UQE79" s="378"/>
      <c r="UQF79" s="378"/>
      <c r="UQG79" s="378"/>
      <c r="UQH79" s="378"/>
      <c r="UQI79" s="378"/>
      <c r="UQJ79" s="378"/>
      <c r="UQK79" s="378"/>
      <c r="UQL79" s="378"/>
      <c r="UQM79" s="378"/>
      <c r="UQN79" s="378"/>
      <c r="UQO79" s="378"/>
      <c r="UQP79" s="378"/>
      <c r="UQQ79" s="378"/>
      <c r="UQR79" s="378"/>
      <c r="UQS79" s="378"/>
      <c r="UQT79" s="378"/>
      <c r="UQU79" s="378"/>
      <c r="UQV79" s="378"/>
      <c r="UQW79" s="378"/>
      <c r="UQX79" s="378"/>
      <c r="UQY79" s="378"/>
      <c r="UQZ79" s="378"/>
      <c r="URA79" s="378"/>
      <c r="URB79" s="378"/>
      <c r="URC79" s="378"/>
      <c r="URD79" s="378"/>
      <c r="URE79" s="378"/>
      <c r="URF79" s="378"/>
      <c r="URG79" s="378"/>
      <c r="URH79" s="378"/>
      <c r="URI79" s="378"/>
      <c r="URJ79" s="378"/>
      <c r="URK79" s="378"/>
      <c r="URL79" s="378"/>
      <c r="URM79" s="378"/>
      <c r="URN79" s="378"/>
      <c r="URO79" s="378"/>
      <c r="URP79" s="378"/>
      <c r="URQ79" s="378"/>
      <c r="URR79" s="378"/>
      <c r="URS79" s="378"/>
      <c r="URT79" s="378"/>
      <c r="URU79" s="378"/>
      <c r="URV79" s="378"/>
      <c r="URW79" s="378"/>
      <c r="URX79" s="378"/>
      <c r="URY79" s="378"/>
      <c r="URZ79" s="378"/>
      <c r="USA79" s="378"/>
      <c r="USB79" s="378"/>
      <c r="USC79" s="378"/>
      <c r="USD79" s="378"/>
      <c r="USE79" s="378"/>
      <c r="USF79" s="378"/>
      <c r="USG79" s="378"/>
      <c r="USH79" s="378"/>
      <c r="USI79" s="378"/>
      <c r="USJ79" s="378"/>
      <c r="USK79" s="378"/>
      <c r="USL79" s="378"/>
      <c r="USM79" s="378"/>
      <c r="USN79" s="378"/>
      <c r="USO79" s="378"/>
      <c r="USP79" s="378"/>
      <c r="USQ79" s="378"/>
      <c r="USR79" s="378"/>
      <c r="USS79" s="378"/>
      <c r="UST79" s="378"/>
      <c r="USU79" s="378"/>
      <c r="USV79" s="378"/>
      <c r="USW79" s="378"/>
      <c r="USX79" s="378"/>
      <c r="USY79" s="378"/>
      <c r="USZ79" s="378"/>
      <c r="UTA79" s="378"/>
      <c r="UTB79" s="378"/>
      <c r="UTC79" s="378"/>
      <c r="UTD79" s="378"/>
      <c r="UTE79" s="378"/>
      <c r="UTF79" s="378"/>
      <c r="UTG79" s="378"/>
      <c r="UTH79" s="378"/>
      <c r="UTI79" s="378"/>
      <c r="UTJ79" s="378"/>
      <c r="UTK79" s="378"/>
      <c r="UTL79" s="378"/>
      <c r="UTM79" s="378"/>
      <c r="UTN79" s="378"/>
      <c r="UTO79" s="378"/>
      <c r="UTP79" s="378"/>
      <c r="UTQ79" s="378"/>
      <c r="UTR79" s="378"/>
      <c r="UTS79" s="378"/>
      <c r="UTT79" s="378"/>
      <c r="UTU79" s="378"/>
      <c r="UTV79" s="378"/>
      <c r="UTW79" s="378"/>
      <c r="UTX79" s="378"/>
      <c r="UTY79" s="378"/>
      <c r="UTZ79" s="378"/>
      <c r="UUA79" s="378"/>
      <c r="UUB79" s="378"/>
      <c r="UUC79" s="378"/>
      <c r="UUD79" s="378"/>
      <c r="UUE79" s="378"/>
      <c r="UUF79" s="378"/>
      <c r="UUG79" s="378"/>
      <c r="UUH79" s="378"/>
      <c r="UUI79" s="378"/>
      <c r="UUJ79" s="378"/>
      <c r="UUK79" s="378"/>
      <c r="UUL79" s="378"/>
      <c r="UUM79" s="378"/>
      <c r="UUN79" s="378"/>
      <c r="UUO79" s="378"/>
      <c r="UUP79" s="378"/>
      <c r="UUQ79" s="378"/>
      <c r="UUR79" s="378"/>
      <c r="UUS79" s="378"/>
      <c r="UUT79" s="378"/>
      <c r="UUU79" s="378"/>
      <c r="UUV79" s="378"/>
      <c r="UUW79" s="378"/>
      <c r="UUX79" s="378"/>
      <c r="UUY79" s="378"/>
      <c r="UUZ79" s="378"/>
      <c r="UVA79" s="378"/>
      <c r="UVB79" s="378"/>
      <c r="UVC79" s="378"/>
      <c r="UVD79" s="378"/>
      <c r="UVE79" s="378"/>
      <c r="UVF79" s="378"/>
      <c r="UVG79" s="378"/>
      <c r="UVH79" s="378"/>
      <c r="UVI79" s="378"/>
      <c r="UVJ79" s="378"/>
      <c r="UVK79" s="378"/>
      <c r="UVL79" s="378"/>
      <c r="UVM79" s="378"/>
      <c r="UVN79" s="378"/>
      <c r="UVO79" s="378"/>
      <c r="UVP79" s="378"/>
      <c r="UVQ79" s="378"/>
      <c r="UVR79" s="378"/>
      <c r="UVS79" s="378"/>
      <c r="UVT79" s="378"/>
      <c r="UVU79" s="378"/>
      <c r="UVV79" s="378"/>
      <c r="UVW79" s="378"/>
      <c r="UVX79" s="378"/>
      <c r="UVY79" s="378"/>
      <c r="UVZ79" s="378"/>
      <c r="UWA79" s="378"/>
      <c r="UWB79" s="378"/>
      <c r="UWC79" s="378"/>
      <c r="UWD79" s="378"/>
      <c r="UWE79" s="378"/>
      <c r="UWF79" s="378"/>
      <c r="UWG79" s="378"/>
      <c r="UWH79" s="378"/>
      <c r="UWI79" s="378"/>
      <c r="UWJ79" s="378"/>
      <c r="UWK79" s="378"/>
      <c r="UWL79" s="378"/>
      <c r="UWM79" s="378"/>
      <c r="UWN79" s="378"/>
      <c r="UWO79" s="378"/>
      <c r="UWP79" s="378"/>
      <c r="UWQ79" s="378"/>
      <c r="UWR79" s="378"/>
      <c r="UWS79" s="378"/>
      <c r="UWT79" s="378"/>
      <c r="UWU79" s="378"/>
      <c r="UWV79" s="378"/>
      <c r="UWW79" s="378"/>
      <c r="UWX79" s="378"/>
      <c r="UWY79" s="378"/>
      <c r="UWZ79" s="378"/>
      <c r="UXA79" s="378"/>
      <c r="UXB79" s="378"/>
      <c r="UXC79" s="378"/>
      <c r="UXD79" s="378"/>
      <c r="UXE79" s="378"/>
      <c r="UXF79" s="378"/>
      <c r="UXG79" s="378"/>
      <c r="UXH79" s="378"/>
      <c r="UXI79" s="378"/>
      <c r="UXJ79" s="378"/>
      <c r="UXK79" s="378"/>
      <c r="UXL79" s="378"/>
      <c r="UXM79" s="378"/>
      <c r="UXN79" s="378"/>
      <c r="UXO79" s="378"/>
      <c r="UXP79" s="378"/>
      <c r="UXQ79" s="378"/>
      <c r="UXR79" s="378"/>
      <c r="UXS79" s="378"/>
      <c r="UXT79" s="378"/>
      <c r="UXU79" s="378"/>
      <c r="UXV79" s="378"/>
      <c r="UXW79" s="378"/>
      <c r="UXX79" s="378"/>
      <c r="UXY79" s="378"/>
      <c r="UXZ79" s="378"/>
      <c r="UYA79" s="378"/>
      <c r="UYB79" s="378"/>
      <c r="UYC79" s="378"/>
      <c r="UYD79" s="378"/>
      <c r="UYE79" s="378"/>
      <c r="UYF79" s="378"/>
      <c r="UYG79" s="378"/>
      <c r="UYH79" s="378"/>
      <c r="UYI79" s="378"/>
      <c r="UYJ79" s="378"/>
      <c r="UYK79" s="378"/>
      <c r="UYL79" s="378"/>
      <c r="UYM79" s="378"/>
      <c r="UYN79" s="378"/>
      <c r="UYO79" s="378"/>
      <c r="UYP79" s="378"/>
      <c r="UYQ79" s="378"/>
      <c r="UYR79" s="378"/>
      <c r="UYS79" s="378"/>
      <c r="UYT79" s="378"/>
      <c r="UYU79" s="378"/>
      <c r="UYV79" s="378"/>
      <c r="UYW79" s="378"/>
      <c r="UYX79" s="378"/>
      <c r="UYY79" s="378"/>
      <c r="UYZ79" s="378"/>
      <c r="UZA79" s="378"/>
      <c r="UZB79" s="378"/>
      <c r="UZC79" s="378"/>
      <c r="UZD79" s="378"/>
      <c r="UZE79" s="378"/>
      <c r="UZF79" s="378"/>
      <c r="UZG79" s="378"/>
      <c r="UZH79" s="378"/>
      <c r="UZI79" s="378"/>
      <c r="UZJ79" s="378"/>
      <c r="UZK79" s="378"/>
      <c r="UZL79" s="378"/>
      <c r="UZM79" s="378"/>
      <c r="UZN79" s="378"/>
      <c r="UZO79" s="378"/>
      <c r="UZP79" s="378"/>
      <c r="UZQ79" s="378"/>
      <c r="UZR79" s="378"/>
      <c r="UZS79" s="378"/>
      <c r="UZT79" s="378"/>
      <c r="UZU79" s="378"/>
      <c r="UZV79" s="378"/>
      <c r="UZW79" s="378"/>
      <c r="UZX79" s="378"/>
      <c r="UZY79" s="378"/>
      <c r="UZZ79" s="378"/>
      <c r="VAA79" s="378"/>
      <c r="VAB79" s="378"/>
      <c r="VAC79" s="378"/>
      <c r="VAD79" s="378"/>
      <c r="VAE79" s="378"/>
      <c r="VAF79" s="378"/>
      <c r="VAG79" s="378"/>
      <c r="VAH79" s="378"/>
      <c r="VAI79" s="378"/>
      <c r="VAJ79" s="378"/>
      <c r="VAK79" s="378"/>
      <c r="VAL79" s="378"/>
      <c r="VAM79" s="378"/>
      <c r="VAN79" s="378"/>
      <c r="VAO79" s="378"/>
      <c r="VAP79" s="378"/>
      <c r="VAQ79" s="378"/>
      <c r="VAR79" s="378"/>
      <c r="VAS79" s="378"/>
      <c r="VAT79" s="378"/>
      <c r="VAU79" s="378"/>
      <c r="VAV79" s="378"/>
      <c r="VAW79" s="378"/>
      <c r="VAX79" s="378"/>
      <c r="VAY79" s="378"/>
      <c r="VAZ79" s="378"/>
      <c r="VBA79" s="378"/>
      <c r="VBB79" s="378"/>
      <c r="VBC79" s="378"/>
      <c r="VBD79" s="378"/>
      <c r="VBE79" s="378"/>
      <c r="VBF79" s="378"/>
      <c r="VBG79" s="378"/>
      <c r="VBH79" s="378"/>
      <c r="VBI79" s="378"/>
      <c r="VBJ79" s="378"/>
      <c r="VBK79" s="378"/>
      <c r="VBL79" s="378"/>
      <c r="VBM79" s="378"/>
      <c r="VBN79" s="378"/>
      <c r="VBO79" s="378"/>
      <c r="VBP79" s="378"/>
      <c r="VBQ79" s="378"/>
      <c r="VBR79" s="378"/>
      <c r="VBS79" s="378"/>
      <c r="VBT79" s="378"/>
      <c r="VBU79" s="378"/>
      <c r="VBV79" s="378"/>
      <c r="VBW79" s="378"/>
      <c r="VBX79" s="378"/>
      <c r="VBY79" s="378"/>
      <c r="VBZ79" s="378"/>
      <c r="VCA79" s="378"/>
      <c r="VCB79" s="378"/>
      <c r="VCC79" s="378"/>
      <c r="VCD79" s="378"/>
      <c r="VCE79" s="378"/>
      <c r="VCF79" s="378"/>
      <c r="VCG79" s="378"/>
      <c r="VCH79" s="378"/>
      <c r="VCI79" s="378"/>
      <c r="VCJ79" s="378"/>
      <c r="VCK79" s="378"/>
      <c r="VCL79" s="378"/>
      <c r="VCM79" s="378"/>
      <c r="VCN79" s="378"/>
      <c r="VCO79" s="378"/>
      <c r="VCP79" s="378"/>
      <c r="VCQ79" s="378"/>
      <c r="VCR79" s="378"/>
      <c r="VCS79" s="378"/>
      <c r="VCT79" s="378"/>
      <c r="VCU79" s="378"/>
      <c r="VCV79" s="378"/>
      <c r="VCW79" s="378"/>
      <c r="VCX79" s="378"/>
      <c r="VCY79" s="378"/>
      <c r="VCZ79" s="378"/>
      <c r="VDA79" s="378"/>
      <c r="VDB79" s="378"/>
      <c r="VDC79" s="378"/>
      <c r="VDD79" s="378"/>
      <c r="VDE79" s="378"/>
      <c r="VDF79" s="378"/>
      <c r="VDG79" s="378"/>
      <c r="VDH79" s="378"/>
      <c r="VDI79" s="378"/>
      <c r="VDJ79" s="378"/>
      <c r="VDK79" s="378"/>
      <c r="VDL79" s="378"/>
      <c r="VDM79" s="378"/>
      <c r="VDN79" s="378"/>
      <c r="VDO79" s="378"/>
      <c r="VDP79" s="378"/>
      <c r="VDQ79" s="378"/>
      <c r="VDR79" s="378"/>
      <c r="VDS79" s="378"/>
      <c r="VDT79" s="378"/>
      <c r="VDU79" s="378"/>
      <c r="VDV79" s="378"/>
      <c r="VDW79" s="378"/>
      <c r="VDX79" s="378"/>
      <c r="VDY79" s="378"/>
      <c r="VDZ79" s="378"/>
      <c r="VEA79" s="378"/>
      <c r="VEB79" s="378"/>
      <c r="VEC79" s="378"/>
      <c r="VED79" s="378"/>
      <c r="VEE79" s="378"/>
      <c r="VEF79" s="378"/>
      <c r="VEG79" s="378"/>
      <c r="VEH79" s="378"/>
      <c r="VEI79" s="378"/>
      <c r="VEJ79" s="378"/>
      <c r="VEK79" s="378"/>
      <c r="VEL79" s="378"/>
      <c r="VEM79" s="378"/>
      <c r="VEN79" s="378"/>
      <c r="VEO79" s="378"/>
      <c r="VEP79" s="378"/>
      <c r="VEQ79" s="378"/>
      <c r="VER79" s="378"/>
      <c r="VES79" s="378"/>
      <c r="VET79" s="378"/>
      <c r="VEU79" s="378"/>
      <c r="VEV79" s="378"/>
      <c r="VEW79" s="378"/>
      <c r="VEX79" s="378"/>
      <c r="VEY79" s="378"/>
      <c r="VEZ79" s="378"/>
      <c r="VFA79" s="378"/>
      <c r="VFB79" s="378"/>
      <c r="VFC79" s="378"/>
      <c r="VFD79" s="378"/>
      <c r="VFE79" s="378"/>
      <c r="VFF79" s="378"/>
      <c r="VFG79" s="378"/>
      <c r="VFH79" s="378"/>
      <c r="VFI79" s="378"/>
      <c r="VFJ79" s="378"/>
      <c r="VFK79" s="378"/>
      <c r="VFL79" s="378"/>
      <c r="VFM79" s="378"/>
      <c r="VFN79" s="378"/>
      <c r="VFO79" s="378"/>
      <c r="VFP79" s="378"/>
      <c r="VFQ79" s="378"/>
      <c r="VFR79" s="378"/>
      <c r="VFS79" s="378"/>
      <c r="VFT79" s="378"/>
      <c r="VFU79" s="378"/>
      <c r="VFV79" s="378"/>
      <c r="VFW79" s="378"/>
      <c r="VFX79" s="378"/>
      <c r="VFY79" s="378"/>
      <c r="VFZ79" s="378"/>
      <c r="VGA79" s="378"/>
      <c r="VGB79" s="378"/>
      <c r="VGC79" s="378"/>
      <c r="VGD79" s="378"/>
      <c r="VGE79" s="378"/>
      <c r="VGF79" s="378"/>
      <c r="VGG79" s="378"/>
      <c r="VGH79" s="378"/>
      <c r="VGI79" s="378"/>
      <c r="VGJ79" s="378"/>
      <c r="VGK79" s="378"/>
      <c r="VGL79" s="378"/>
      <c r="VGM79" s="378"/>
      <c r="VGN79" s="378"/>
      <c r="VGO79" s="378"/>
      <c r="VGP79" s="378"/>
      <c r="VGQ79" s="378"/>
      <c r="VGR79" s="378"/>
      <c r="VGS79" s="378"/>
      <c r="VGT79" s="378"/>
      <c r="VGU79" s="378"/>
      <c r="VGV79" s="378"/>
      <c r="VGW79" s="378"/>
      <c r="VGX79" s="378"/>
      <c r="VGY79" s="378"/>
      <c r="VGZ79" s="378"/>
      <c r="VHA79" s="378"/>
      <c r="VHB79" s="378"/>
      <c r="VHC79" s="378"/>
      <c r="VHD79" s="378"/>
      <c r="VHE79" s="378"/>
      <c r="VHF79" s="378"/>
      <c r="VHG79" s="378"/>
      <c r="VHH79" s="378"/>
      <c r="VHI79" s="378"/>
      <c r="VHJ79" s="378"/>
      <c r="VHK79" s="378"/>
      <c r="VHL79" s="378"/>
      <c r="VHM79" s="378"/>
      <c r="VHN79" s="378"/>
      <c r="VHO79" s="378"/>
      <c r="VHP79" s="378"/>
      <c r="VHQ79" s="378"/>
      <c r="VHR79" s="378"/>
      <c r="VHS79" s="378"/>
      <c r="VHT79" s="378"/>
      <c r="VHU79" s="378"/>
      <c r="VHV79" s="378"/>
      <c r="VHW79" s="378"/>
      <c r="VHX79" s="378"/>
      <c r="VHY79" s="378"/>
      <c r="VHZ79" s="378"/>
      <c r="VIA79" s="378"/>
      <c r="VIB79" s="378"/>
      <c r="VIC79" s="378"/>
      <c r="VID79" s="378"/>
      <c r="VIE79" s="378"/>
      <c r="VIF79" s="378"/>
      <c r="VIG79" s="378"/>
      <c r="VIH79" s="378"/>
      <c r="VII79" s="378"/>
      <c r="VIJ79" s="378"/>
      <c r="VIK79" s="378"/>
      <c r="VIL79" s="378"/>
      <c r="VIM79" s="378"/>
      <c r="VIN79" s="378"/>
      <c r="VIO79" s="378"/>
      <c r="VIP79" s="378"/>
      <c r="VIQ79" s="378"/>
      <c r="VIR79" s="378"/>
      <c r="VIS79" s="378"/>
      <c r="VIT79" s="378"/>
      <c r="VIU79" s="378"/>
      <c r="VIV79" s="378"/>
      <c r="VIW79" s="378"/>
      <c r="VIX79" s="378"/>
      <c r="VIY79" s="378"/>
      <c r="VIZ79" s="378"/>
      <c r="VJA79" s="378"/>
      <c r="VJB79" s="378"/>
      <c r="VJC79" s="378"/>
      <c r="VJD79" s="378"/>
      <c r="VJE79" s="378"/>
      <c r="VJF79" s="378"/>
      <c r="VJG79" s="378"/>
      <c r="VJH79" s="378"/>
      <c r="VJI79" s="378"/>
      <c r="VJJ79" s="378"/>
      <c r="VJK79" s="378"/>
      <c r="VJL79" s="378"/>
      <c r="VJM79" s="378"/>
      <c r="VJN79" s="378"/>
      <c r="VJO79" s="378"/>
      <c r="VJP79" s="378"/>
      <c r="VJQ79" s="378"/>
      <c r="VJR79" s="378"/>
      <c r="VJS79" s="378"/>
      <c r="VJT79" s="378"/>
      <c r="VJU79" s="378"/>
      <c r="VJV79" s="378"/>
      <c r="VJW79" s="378"/>
      <c r="VJX79" s="378"/>
      <c r="VJY79" s="378"/>
      <c r="VJZ79" s="378"/>
      <c r="VKA79" s="378"/>
      <c r="VKB79" s="378"/>
      <c r="VKC79" s="378"/>
      <c r="VKD79" s="378"/>
      <c r="VKE79" s="378"/>
      <c r="VKF79" s="378"/>
      <c r="VKG79" s="378"/>
      <c r="VKH79" s="378"/>
      <c r="VKI79" s="378"/>
      <c r="VKJ79" s="378"/>
      <c r="VKK79" s="378"/>
      <c r="VKL79" s="378"/>
      <c r="VKM79" s="378"/>
      <c r="VKN79" s="378"/>
      <c r="VKO79" s="378"/>
      <c r="VKP79" s="378"/>
      <c r="VKQ79" s="378"/>
      <c r="VKR79" s="378"/>
      <c r="VKS79" s="378"/>
      <c r="VKT79" s="378"/>
      <c r="VKU79" s="378"/>
      <c r="VKV79" s="378"/>
      <c r="VKW79" s="378"/>
      <c r="VKX79" s="378"/>
      <c r="VKY79" s="378"/>
      <c r="VKZ79" s="378"/>
      <c r="VLA79" s="378"/>
      <c r="VLB79" s="378"/>
      <c r="VLC79" s="378"/>
      <c r="VLD79" s="378"/>
      <c r="VLE79" s="378"/>
      <c r="VLF79" s="378"/>
      <c r="VLG79" s="378"/>
      <c r="VLH79" s="378"/>
      <c r="VLI79" s="378"/>
      <c r="VLJ79" s="378"/>
      <c r="VLK79" s="378"/>
      <c r="VLL79" s="378"/>
      <c r="VLM79" s="378"/>
      <c r="VLN79" s="378"/>
      <c r="VLO79" s="378"/>
      <c r="VLP79" s="378"/>
      <c r="VLQ79" s="378"/>
      <c r="VLR79" s="378"/>
      <c r="VLS79" s="378"/>
      <c r="VLT79" s="378"/>
      <c r="VLU79" s="378"/>
      <c r="VLV79" s="378"/>
      <c r="VLW79" s="378"/>
      <c r="VLX79" s="378"/>
      <c r="VLY79" s="378"/>
      <c r="VLZ79" s="378"/>
      <c r="VMA79" s="378"/>
      <c r="VMB79" s="378"/>
      <c r="VMC79" s="378"/>
      <c r="VMD79" s="378"/>
      <c r="VME79" s="378"/>
      <c r="VMF79" s="378"/>
      <c r="VMG79" s="378"/>
      <c r="VMH79" s="378"/>
      <c r="VMI79" s="378"/>
      <c r="VMJ79" s="378"/>
      <c r="VMK79" s="378"/>
      <c r="VML79" s="378"/>
      <c r="VMM79" s="378"/>
      <c r="VMN79" s="378"/>
      <c r="VMO79" s="378"/>
      <c r="VMP79" s="378"/>
      <c r="VMQ79" s="378"/>
      <c r="VMR79" s="378"/>
      <c r="VMS79" s="378"/>
      <c r="VMT79" s="378"/>
      <c r="VMU79" s="378"/>
      <c r="VMV79" s="378"/>
      <c r="VMW79" s="378"/>
      <c r="VMX79" s="378"/>
      <c r="VMY79" s="378"/>
      <c r="VMZ79" s="378"/>
      <c r="VNA79" s="378"/>
      <c r="VNB79" s="378"/>
      <c r="VNC79" s="378"/>
      <c r="VND79" s="378"/>
      <c r="VNE79" s="378"/>
      <c r="VNF79" s="378"/>
      <c r="VNG79" s="378"/>
      <c r="VNH79" s="378"/>
      <c r="VNI79" s="378"/>
      <c r="VNJ79" s="378"/>
      <c r="VNK79" s="378"/>
      <c r="VNL79" s="378"/>
      <c r="VNM79" s="378"/>
      <c r="VNN79" s="378"/>
      <c r="VNO79" s="378"/>
      <c r="VNP79" s="378"/>
      <c r="VNQ79" s="378"/>
      <c r="VNR79" s="378"/>
      <c r="VNS79" s="378"/>
      <c r="VNT79" s="378"/>
      <c r="VNU79" s="378"/>
      <c r="VNV79" s="378"/>
      <c r="VNW79" s="378"/>
      <c r="VNX79" s="378"/>
      <c r="VNY79" s="378"/>
      <c r="VNZ79" s="378"/>
      <c r="VOA79" s="378"/>
      <c r="VOB79" s="378"/>
      <c r="VOC79" s="378"/>
      <c r="VOD79" s="378"/>
      <c r="VOE79" s="378"/>
      <c r="VOF79" s="378"/>
      <c r="VOG79" s="378"/>
      <c r="VOH79" s="378"/>
      <c r="VOI79" s="378"/>
      <c r="VOJ79" s="378"/>
      <c r="VOK79" s="378"/>
      <c r="VOL79" s="378"/>
      <c r="VOM79" s="378"/>
      <c r="VON79" s="378"/>
      <c r="VOO79" s="378"/>
      <c r="VOP79" s="378"/>
      <c r="VOQ79" s="378"/>
      <c r="VOR79" s="378"/>
      <c r="VOS79" s="378"/>
      <c r="VOT79" s="378"/>
      <c r="VOU79" s="378"/>
      <c r="VOV79" s="378"/>
      <c r="VOW79" s="378"/>
      <c r="VOX79" s="378"/>
      <c r="VOY79" s="378"/>
      <c r="VOZ79" s="378"/>
      <c r="VPA79" s="378"/>
      <c r="VPB79" s="378"/>
      <c r="VPC79" s="378"/>
      <c r="VPD79" s="378"/>
      <c r="VPE79" s="378"/>
      <c r="VPF79" s="378"/>
      <c r="VPG79" s="378"/>
      <c r="VPH79" s="378"/>
      <c r="VPI79" s="378"/>
      <c r="VPJ79" s="378"/>
      <c r="VPK79" s="378"/>
      <c r="VPL79" s="378"/>
      <c r="VPM79" s="378"/>
      <c r="VPN79" s="378"/>
      <c r="VPO79" s="378"/>
      <c r="VPP79" s="378"/>
      <c r="VPQ79" s="378"/>
      <c r="VPR79" s="378"/>
      <c r="VPS79" s="378"/>
      <c r="VPT79" s="378"/>
      <c r="VPU79" s="378"/>
      <c r="VPV79" s="378"/>
      <c r="VPW79" s="378"/>
      <c r="VPX79" s="378"/>
      <c r="VPY79" s="378"/>
      <c r="VPZ79" s="378"/>
      <c r="VQA79" s="378"/>
      <c r="VQB79" s="378"/>
      <c r="VQC79" s="378"/>
      <c r="VQD79" s="378"/>
      <c r="VQE79" s="378"/>
      <c r="VQF79" s="378"/>
      <c r="VQG79" s="378"/>
      <c r="VQH79" s="378"/>
      <c r="VQI79" s="378"/>
      <c r="VQJ79" s="378"/>
      <c r="VQK79" s="378"/>
      <c r="VQL79" s="378"/>
      <c r="VQM79" s="378"/>
      <c r="VQN79" s="378"/>
      <c r="VQO79" s="378"/>
      <c r="VQP79" s="378"/>
      <c r="VQQ79" s="378"/>
      <c r="VQR79" s="378"/>
      <c r="VQS79" s="378"/>
      <c r="VQT79" s="378"/>
      <c r="VQU79" s="378"/>
      <c r="VQV79" s="378"/>
      <c r="VQW79" s="378"/>
      <c r="VQX79" s="378"/>
      <c r="VQY79" s="378"/>
      <c r="VQZ79" s="378"/>
      <c r="VRA79" s="378"/>
      <c r="VRB79" s="378"/>
      <c r="VRC79" s="378"/>
      <c r="VRD79" s="378"/>
      <c r="VRE79" s="378"/>
      <c r="VRF79" s="378"/>
      <c r="VRG79" s="378"/>
      <c r="VRH79" s="378"/>
      <c r="VRI79" s="378"/>
      <c r="VRJ79" s="378"/>
      <c r="VRK79" s="378"/>
      <c r="VRL79" s="378"/>
      <c r="VRM79" s="378"/>
      <c r="VRN79" s="378"/>
      <c r="VRO79" s="378"/>
      <c r="VRP79" s="378"/>
      <c r="VRQ79" s="378"/>
      <c r="VRR79" s="378"/>
      <c r="VRS79" s="378"/>
      <c r="VRT79" s="378"/>
      <c r="VRU79" s="378"/>
      <c r="VRV79" s="378"/>
      <c r="VRW79" s="378"/>
      <c r="VRX79" s="378"/>
      <c r="VRY79" s="378"/>
      <c r="VRZ79" s="378"/>
      <c r="VSA79" s="378"/>
      <c r="VSB79" s="378"/>
      <c r="VSC79" s="378"/>
      <c r="VSD79" s="378"/>
      <c r="VSE79" s="378"/>
      <c r="VSF79" s="378"/>
      <c r="VSG79" s="378"/>
      <c r="VSH79" s="378"/>
      <c r="VSI79" s="378"/>
      <c r="VSJ79" s="378"/>
      <c r="VSK79" s="378"/>
      <c r="VSL79" s="378"/>
      <c r="VSM79" s="378"/>
      <c r="VSN79" s="378"/>
      <c r="VSO79" s="378"/>
      <c r="VSP79" s="378"/>
      <c r="VSQ79" s="378"/>
      <c r="VSR79" s="378"/>
      <c r="VSS79" s="378"/>
      <c r="VST79" s="378"/>
      <c r="VSU79" s="378"/>
      <c r="VSV79" s="378"/>
      <c r="VSW79" s="378"/>
      <c r="VSX79" s="378"/>
      <c r="VSY79" s="378"/>
      <c r="VSZ79" s="378"/>
      <c r="VTA79" s="378"/>
      <c r="VTB79" s="378"/>
      <c r="VTC79" s="378"/>
      <c r="VTD79" s="378"/>
      <c r="VTE79" s="378"/>
      <c r="VTF79" s="378"/>
      <c r="VTG79" s="378"/>
      <c r="VTH79" s="378"/>
      <c r="VTI79" s="378"/>
      <c r="VTJ79" s="378"/>
      <c r="VTK79" s="378"/>
      <c r="VTL79" s="378"/>
      <c r="VTM79" s="378"/>
      <c r="VTN79" s="378"/>
      <c r="VTO79" s="378"/>
      <c r="VTP79" s="378"/>
      <c r="VTQ79" s="378"/>
      <c r="VTR79" s="378"/>
      <c r="VTS79" s="378"/>
      <c r="VTT79" s="378"/>
      <c r="VTU79" s="378"/>
      <c r="VTV79" s="378"/>
      <c r="VTW79" s="378"/>
      <c r="VTX79" s="378"/>
      <c r="VTY79" s="378"/>
      <c r="VTZ79" s="378"/>
      <c r="VUA79" s="378"/>
      <c r="VUB79" s="378"/>
      <c r="VUC79" s="378"/>
      <c r="VUD79" s="378"/>
      <c r="VUE79" s="378"/>
      <c r="VUF79" s="378"/>
      <c r="VUG79" s="378"/>
      <c r="VUH79" s="378"/>
      <c r="VUI79" s="378"/>
      <c r="VUJ79" s="378"/>
      <c r="VUK79" s="378"/>
      <c r="VUL79" s="378"/>
      <c r="VUM79" s="378"/>
      <c r="VUN79" s="378"/>
      <c r="VUO79" s="378"/>
      <c r="VUP79" s="378"/>
      <c r="VUQ79" s="378"/>
      <c r="VUR79" s="378"/>
      <c r="VUS79" s="378"/>
      <c r="VUT79" s="378"/>
      <c r="VUU79" s="378"/>
      <c r="VUV79" s="378"/>
      <c r="VUW79" s="378"/>
      <c r="VUX79" s="378"/>
      <c r="VUY79" s="378"/>
      <c r="VUZ79" s="378"/>
      <c r="VVA79" s="378"/>
      <c r="VVB79" s="378"/>
      <c r="VVC79" s="378"/>
      <c r="VVD79" s="378"/>
      <c r="VVE79" s="378"/>
      <c r="VVF79" s="378"/>
      <c r="VVG79" s="378"/>
      <c r="VVH79" s="378"/>
      <c r="VVI79" s="378"/>
      <c r="VVJ79" s="378"/>
      <c r="VVK79" s="378"/>
      <c r="VVL79" s="378"/>
      <c r="VVM79" s="378"/>
      <c r="VVN79" s="378"/>
      <c r="VVO79" s="378"/>
      <c r="VVP79" s="378"/>
      <c r="VVQ79" s="378"/>
      <c r="VVR79" s="378"/>
      <c r="VVS79" s="378"/>
      <c r="VVT79" s="378"/>
      <c r="VVU79" s="378"/>
      <c r="VVV79" s="378"/>
      <c r="VVW79" s="378"/>
      <c r="VVX79" s="378"/>
      <c r="VVY79" s="378"/>
      <c r="VVZ79" s="378"/>
      <c r="VWA79" s="378"/>
      <c r="VWB79" s="378"/>
      <c r="VWC79" s="378"/>
      <c r="VWD79" s="378"/>
      <c r="VWE79" s="378"/>
      <c r="VWF79" s="378"/>
      <c r="VWG79" s="378"/>
      <c r="VWH79" s="378"/>
      <c r="VWI79" s="378"/>
      <c r="VWJ79" s="378"/>
      <c r="VWK79" s="378"/>
      <c r="VWL79" s="378"/>
      <c r="VWM79" s="378"/>
      <c r="VWN79" s="378"/>
      <c r="VWO79" s="378"/>
      <c r="VWP79" s="378"/>
      <c r="VWQ79" s="378"/>
      <c r="VWR79" s="378"/>
      <c r="VWS79" s="378"/>
      <c r="VWT79" s="378"/>
      <c r="VWU79" s="378"/>
      <c r="VWV79" s="378"/>
      <c r="VWW79" s="378"/>
      <c r="VWX79" s="378"/>
      <c r="VWY79" s="378"/>
      <c r="VWZ79" s="378"/>
      <c r="VXA79" s="378"/>
      <c r="VXB79" s="378"/>
      <c r="VXC79" s="378"/>
      <c r="VXD79" s="378"/>
      <c r="VXE79" s="378"/>
      <c r="VXF79" s="378"/>
      <c r="VXG79" s="378"/>
      <c r="VXH79" s="378"/>
      <c r="VXI79" s="378"/>
      <c r="VXJ79" s="378"/>
      <c r="VXK79" s="378"/>
      <c r="VXL79" s="378"/>
      <c r="VXM79" s="378"/>
      <c r="VXN79" s="378"/>
      <c r="VXO79" s="378"/>
      <c r="VXP79" s="378"/>
      <c r="VXQ79" s="378"/>
      <c r="VXR79" s="378"/>
      <c r="VXS79" s="378"/>
      <c r="VXT79" s="378"/>
      <c r="VXU79" s="378"/>
      <c r="VXV79" s="378"/>
      <c r="VXW79" s="378"/>
      <c r="VXX79" s="378"/>
      <c r="VXY79" s="378"/>
      <c r="VXZ79" s="378"/>
      <c r="VYA79" s="378"/>
      <c r="VYB79" s="378"/>
      <c r="VYC79" s="378"/>
      <c r="VYD79" s="378"/>
      <c r="VYE79" s="378"/>
      <c r="VYF79" s="378"/>
      <c r="VYG79" s="378"/>
      <c r="VYH79" s="378"/>
      <c r="VYI79" s="378"/>
      <c r="VYJ79" s="378"/>
      <c r="VYK79" s="378"/>
      <c r="VYL79" s="378"/>
      <c r="VYM79" s="378"/>
      <c r="VYN79" s="378"/>
      <c r="VYO79" s="378"/>
      <c r="VYP79" s="378"/>
      <c r="VYQ79" s="378"/>
      <c r="VYR79" s="378"/>
      <c r="VYS79" s="378"/>
      <c r="VYT79" s="378"/>
      <c r="VYU79" s="378"/>
      <c r="VYV79" s="378"/>
      <c r="VYW79" s="378"/>
      <c r="VYX79" s="378"/>
      <c r="VYY79" s="378"/>
      <c r="VYZ79" s="378"/>
      <c r="VZA79" s="378"/>
      <c r="VZB79" s="378"/>
      <c r="VZC79" s="378"/>
      <c r="VZD79" s="378"/>
      <c r="VZE79" s="378"/>
      <c r="VZF79" s="378"/>
      <c r="VZG79" s="378"/>
      <c r="VZH79" s="378"/>
      <c r="VZI79" s="378"/>
      <c r="VZJ79" s="378"/>
      <c r="VZK79" s="378"/>
      <c r="VZL79" s="378"/>
      <c r="VZM79" s="378"/>
      <c r="VZN79" s="378"/>
      <c r="VZO79" s="378"/>
      <c r="VZP79" s="378"/>
      <c r="VZQ79" s="378"/>
      <c r="VZR79" s="378"/>
      <c r="VZS79" s="378"/>
      <c r="VZT79" s="378"/>
      <c r="VZU79" s="378"/>
      <c r="VZV79" s="378"/>
      <c r="VZW79" s="378"/>
      <c r="VZX79" s="378"/>
      <c r="VZY79" s="378"/>
      <c r="VZZ79" s="378"/>
      <c r="WAA79" s="378"/>
      <c r="WAB79" s="378"/>
      <c r="WAC79" s="378"/>
      <c r="WAD79" s="378"/>
      <c r="WAE79" s="378"/>
      <c r="WAF79" s="378"/>
      <c r="WAG79" s="378"/>
      <c r="WAH79" s="378"/>
      <c r="WAI79" s="378"/>
      <c r="WAJ79" s="378"/>
      <c r="WAK79" s="378"/>
      <c r="WAL79" s="378"/>
      <c r="WAM79" s="378"/>
      <c r="WAN79" s="378"/>
      <c r="WAO79" s="378"/>
      <c r="WAP79" s="378"/>
      <c r="WAQ79" s="378"/>
      <c r="WAR79" s="378"/>
      <c r="WAS79" s="378"/>
      <c r="WAT79" s="378"/>
      <c r="WAU79" s="378"/>
      <c r="WAV79" s="378"/>
      <c r="WAW79" s="378"/>
      <c r="WAX79" s="378"/>
      <c r="WAY79" s="378"/>
      <c r="WAZ79" s="378"/>
      <c r="WBA79" s="378"/>
      <c r="WBB79" s="378"/>
      <c r="WBC79" s="378"/>
      <c r="WBD79" s="378"/>
      <c r="WBE79" s="378"/>
      <c r="WBF79" s="378"/>
      <c r="WBG79" s="378"/>
      <c r="WBH79" s="378"/>
      <c r="WBI79" s="378"/>
      <c r="WBJ79" s="378"/>
      <c r="WBK79" s="378"/>
      <c r="WBL79" s="378"/>
      <c r="WBM79" s="378"/>
      <c r="WBN79" s="378"/>
      <c r="WBO79" s="378"/>
      <c r="WBP79" s="378"/>
      <c r="WBQ79" s="378"/>
      <c r="WBR79" s="378"/>
      <c r="WBS79" s="378"/>
      <c r="WBT79" s="378"/>
      <c r="WBU79" s="378"/>
      <c r="WBV79" s="378"/>
      <c r="WBW79" s="378"/>
      <c r="WBX79" s="378"/>
      <c r="WBY79" s="378"/>
      <c r="WBZ79" s="378"/>
      <c r="WCA79" s="378"/>
      <c r="WCB79" s="378"/>
      <c r="WCC79" s="378"/>
      <c r="WCD79" s="378"/>
      <c r="WCE79" s="378"/>
      <c r="WCF79" s="378"/>
      <c r="WCG79" s="378"/>
      <c r="WCH79" s="378"/>
      <c r="WCI79" s="378"/>
      <c r="WCJ79" s="378"/>
      <c r="WCK79" s="378"/>
      <c r="WCL79" s="378"/>
      <c r="WCM79" s="378"/>
      <c r="WCN79" s="378"/>
      <c r="WCO79" s="378"/>
      <c r="WCP79" s="378"/>
      <c r="WCQ79" s="378"/>
      <c r="WCR79" s="378"/>
      <c r="WCS79" s="378"/>
      <c r="WCT79" s="378"/>
      <c r="WCU79" s="378"/>
      <c r="WCV79" s="378"/>
      <c r="WCW79" s="378"/>
      <c r="WCX79" s="378"/>
      <c r="WCY79" s="378"/>
      <c r="WCZ79" s="378"/>
      <c r="WDA79" s="378"/>
      <c r="WDB79" s="378"/>
      <c r="WDC79" s="378"/>
      <c r="WDD79" s="378"/>
      <c r="WDE79" s="378"/>
      <c r="WDF79" s="378"/>
      <c r="WDG79" s="378"/>
      <c r="WDH79" s="378"/>
      <c r="WDI79" s="378"/>
      <c r="WDJ79" s="378"/>
      <c r="WDK79" s="378"/>
      <c r="WDL79" s="378"/>
      <c r="WDM79" s="378"/>
      <c r="WDN79" s="378"/>
      <c r="WDO79" s="378"/>
      <c r="WDP79" s="378"/>
      <c r="WDQ79" s="378"/>
      <c r="WDR79" s="378"/>
      <c r="WDS79" s="378"/>
      <c r="WDT79" s="378"/>
      <c r="WDU79" s="378"/>
      <c r="WDV79" s="378"/>
      <c r="WDW79" s="378"/>
      <c r="WDX79" s="378"/>
      <c r="WDY79" s="378"/>
      <c r="WDZ79" s="378"/>
      <c r="WEA79" s="378"/>
      <c r="WEB79" s="378"/>
      <c r="WEC79" s="378"/>
      <c r="WED79" s="378"/>
      <c r="WEE79" s="378"/>
      <c r="WEF79" s="378"/>
      <c r="WEG79" s="378"/>
      <c r="WEH79" s="378"/>
      <c r="WEI79" s="378"/>
      <c r="WEJ79" s="378"/>
      <c r="WEK79" s="378"/>
      <c r="WEL79" s="378"/>
      <c r="WEM79" s="378"/>
      <c r="WEN79" s="378"/>
      <c r="WEO79" s="378"/>
      <c r="WEP79" s="378"/>
      <c r="WEQ79" s="378"/>
      <c r="WER79" s="378"/>
      <c r="WES79" s="378"/>
      <c r="WET79" s="378"/>
      <c r="WEU79" s="378"/>
      <c r="WEV79" s="378"/>
      <c r="WEW79" s="378"/>
      <c r="WEX79" s="378"/>
      <c r="WEY79" s="378"/>
      <c r="WEZ79" s="378"/>
      <c r="WFA79" s="378"/>
      <c r="WFB79" s="378"/>
      <c r="WFC79" s="378"/>
      <c r="WFD79" s="378"/>
      <c r="WFE79" s="378"/>
      <c r="WFF79" s="378"/>
      <c r="WFG79" s="378"/>
      <c r="WFH79" s="378"/>
      <c r="WFI79" s="378"/>
      <c r="WFJ79" s="378"/>
      <c r="WFK79" s="378"/>
      <c r="WFL79" s="378"/>
      <c r="WFM79" s="378"/>
      <c r="WFN79" s="378"/>
      <c r="WFO79" s="378"/>
      <c r="WFP79" s="378"/>
      <c r="WFQ79" s="378"/>
      <c r="WFR79" s="378"/>
      <c r="WFS79" s="378"/>
      <c r="WFT79" s="378"/>
      <c r="WFU79" s="378"/>
      <c r="WFV79" s="378"/>
      <c r="WFW79" s="378"/>
      <c r="WFX79" s="378"/>
      <c r="WFY79" s="378"/>
      <c r="WFZ79" s="378"/>
      <c r="WGA79" s="378"/>
      <c r="WGB79" s="378"/>
      <c r="WGC79" s="378"/>
      <c r="WGD79" s="378"/>
      <c r="WGE79" s="378"/>
      <c r="WGF79" s="378"/>
      <c r="WGG79" s="378"/>
      <c r="WGH79" s="378"/>
      <c r="WGI79" s="378"/>
      <c r="WGJ79" s="378"/>
      <c r="WGK79" s="378"/>
      <c r="WGL79" s="378"/>
      <c r="WGM79" s="378"/>
      <c r="WGN79" s="378"/>
      <c r="WGO79" s="378"/>
      <c r="WGP79" s="378"/>
      <c r="WGQ79" s="378"/>
      <c r="WGR79" s="378"/>
      <c r="WGS79" s="378"/>
      <c r="WGT79" s="378"/>
      <c r="WGU79" s="378"/>
      <c r="WGV79" s="378"/>
      <c r="WGW79" s="378"/>
      <c r="WGX79" s="378"/>
      <c r="WGY79" s="378"/>
      <c r="WGZ79" s="378"/>
      <c r="WHA79" s="378"/>
      <c r="WHB79" s="378"/>
      <c r="WHC79" s="378"/>
      <c r="WHD79" s="378"/>
      <c r="WHE79" s="378"/>
      <c r="WHF79" s="378"/>
      <c r="WHG79" s="378"/>
      <c r="WHH79" s="378"/>
      <c r="WHI79" s="378"/>
      <c r="WHJ79" s="378"/>
      <c r="WHK79" s="378"/>
      <c r="WHL79" s="378"/>
      <c r="WHM79" s="378"/>
      <c r="WHN79" s="378"/>
      <c r="WHO79" s="378"/>
      <c r="WHP79" s="378"/>
      <c r="WHQ79" s="378"/>
      <c r="WHR79" s="378"/>
      <c r="WHS79" s="378"/>
      <c r="WHT79" s="378"/>
      <c r="WHU79" s="378"/>
      <c r="WHV79" s="378"/>
      <c r="WHW79" s="378"/>
      <c r="WHX79" s="378"/>
      <c r="WHY79" s="378"/>
      <c r="WHZ79" s="378"/>
      <c r="WIA79" s="378"/>
      <c r="WIB79" s="378"/>
      <c r="WIC79" s="378"/>
      <c r="WID79" s="378"/>
      <c r="WIE79" s="378"/>
      <c r="WIF79" s="378"/>
      <c r="WIG79" s="378"/>
      <c r="WIH79" s="378"/>
      <c r="WII79" s="378"/>
      <c r="WIJ79" s="378"/>
      <c r="WIK79" s="378"/>
      <c r="WIL79" s="378"/>
      <c r="WIM79" s="378"/>
      <c r="WIN79" s="378"/>
      <c r="WIO79" s="378"/>
      <c r="WIP79" s="378"/>
      <c r="WIQ79" s="378"/>
      <c r="WIR79" s="378"/>
      <c r="WIS79" s="378"/>
      <c r="WIT79" s="378"/>
      <c r="WIU79" s="378"/>
      <c r="WIV79" s="378"/>
      <c r="WIW79" s="378"/>
      <c r="WIX79" s="378"/>
      <c r="WIY79" s="378"/>
      <c r="WIZ79" s="378"/>
      <c r="WJA79" s="378"/>
      <c r="WJB79" s="378"/>
      <c r="WJC79" s="378"/>
      <c r="WJD79" s="378"/>
      <c r="WJE79" s="378"/>
      <c r="WJF79" s="378"/>
      <c r="WJG79" s="378"/>
      <c r="WJH79" s="378"/>
      <c r="WJI79" s="378"/>
      <c r="WJJ79" s="378"/>
      <c r="WJK79" s="378"/>
      <c r="WJL79" s="378"/>
      <c r="WJM79" s="378"/>
      <c r="WJN79" s="378"/>
      <c r="WJO79" s="378"/>
      <c r="WJP79" s="378"/>
      <c r="WJQ79" s="378"/>
      <c r="WJR79" s="378"/>
      <c r="WJS79" s="378"/>
      <c r="WJT79" s="378"/>
      <c r="WJU79" s="378"/>
      <c r="WJV79" s="378"/>
      <c r="WJW79" s="378"/>
      <c r="WJX79" s="378"/>
      <c r="WJY79" s="378"/>
      <c r="WJZ79" s="378"/>
      <c r="WKA79" s="378"/>
      <c r="WKB79" s="378"/>
      <c r="WKC79" s="378"/>
      <c r="WKD79" s="378"/>
      <c r="WKE79" s="378"/>
      <c r="WKF79" s="378"/>
      <c r="WKG79" s="378"/>
      <c r="WKH79" s="378"/>
      <c r="WKI79" s="378"/>
      <c r="WKJ79" s="378"/>
      <c r="WKK79" s="378"/>
      <c r="WKL79" s="378"/>
      <c r="WKM79" s="378"/>
      <c r="WKN79" s="378"/>
      <c r="WKO79" s="378"/>
      <c r="WKP79" s="378"/>
      <c r="WKQ79" s="378"/>
      <c r="WKR79" s="378"/>
      <c r="WKS79" s="378"/>
      <c r="WKT79" s="378"/>
      <c r="WKU79" s="378"/>
      <c r="WKV79" s="378"/>
      <c r="WKW79" s="378"/>
      <c r="WKX79" s="378"/>
      <c r="WKY79" s="378"/>
      <c r="WKZ79" s="378"/>
      <c r="WLA79" s="378"/>
      <c r="WLB79" s="378"/>
      <c r="WLC79" s="378"/>
      <c r="WLD79" s="378"/>
      <c r="WLE79" s="378"/>
      <c r="WLF79" s="378"/>
      <c r="WLG79" s="378"/>
      <c r="WLH79" s="378"/>
      <c r="WLI79" s="378"/>
      <c r="WLJ79" s="378"/>
      <c r="WLK79" s="378"/>
      <c r="WLL79" s="378"/>
      <c r="WLM79" s="378"/>
      <c r="WLN79" s="378"/>
      <c r="WLO79" s="378"/>
      <c r="WLP79" s="378"/>
      <c r="WLQ79" s="378"/>
      <c r="WLR79" s="378"/>
      <c r="WLS79" s="378"/>
      <c r="WLT79" s="378"/>
      <c r="WLU79" s="378"/>
      <c r="WLV79" s="378"/>
      <c r="WLW79" s="378"/>
      <c r="WLX79" s="378"/>
      <c r="WLY79" s="378"/>
      <c r="WLZ79" s="378"/>
      <c r="WMA79" s="378"/>
      <c r="WMB79" s="378"/>
      <c r="WMC79" s="378"/>
      <c r="WMD79" s="378"/>
      <c r="WME79" s="378"/>
      <c r="WMF79" s="378"/>
      <c r="WMG79" s="378"/>
      <c r="WMH79" s="378"/>
      <c r="WMI79" s="378"/>
      <c r="WMJ79" s="378"/>
      <c r="WMK79" s="378"/>
      <c r="WML79" s="378"/>
      <c r="WMM79" s="378"/>
      <c r="WMN79" s="378"/>
      <c r="WMO79" s="378"/>
      <c r="WMP79" s="378"/>
      <c r="WMQ79" s="378"/>
      <c r="WMR79" s="378"/>
      <c r="WMS79" s="378"/>
      <c r="WMT79" s="378"/>
      <c r="WMU79" s="378"/>
      <c r="WMV79" s="378"/>
      <c r="WMW79" s="378"/>
      <c r="WMX79" s="378"/>
      <c r="WMY79" s="378"/>
      <c r="WMZ79" s="378"/>
      <c r="WNA79" s="378"/>
      <c r="WNB79" s="378"/>
      <c r="WNC79" s="378"/>
      <c r="WND79" s="378"/>
      <c r="WNE79" s="378"/>
      <c r="WNF79" s="378"/>
      <c r="WNG79" s="378"/>
      <c r="WNH79" s="378"/>
      <c r="WNI79" s="378"/>
      <c r="WNJ79" s="378"/>
      <c r="WNK79" s="378"/>
      <c r="WNL79" s="378"/>
      <c r="WNM79" s="378"/>
      <c r="WNN79" s="378"/>
      <c r="WNO79" s="378"/>
      <c r="WNP79" s="378"/>
      <c r="WNQ79" s="378"/>
      <c r="WNR79" s="378"/>
      <c r="WNS79" s="378"/>
      <c r="WNT79" s="378"/>
      <c r="WNU79" s="378"/>
      <c r="WNV79" s="378"/>
      <c r="WNW79" s="378"/>
      <c r="WNX79" s="378"/>
      <c r="WNY79" s="378"/>
      <c r="WNZ79" s="378"/>
      <c r="WOA79" s="378"/>
      <c r="WOB79" s="378"/>
      <c r="WOC79" s="378"/>
      <c r="WOD79" s="378"/>
      <c r="WOE79" s="378"/>
      <c r="WOF79" s="378"/>
      <c r="WOG79" s="378"/>
      <c r="WOH79" s="378"/>
      <c r="WOI79" s="378"/>
      <c r="WOJ79" s="378"/>
      <c r="WOK79" s="378"/>
      <c r="WOL79" s="378"/>
      <c r="WOM79" s="378"/>
      <c r="WON79" s="378"/>
      <c r="WOO79" s="378"/>
      <c r="WOP79" s="378"/>
      <c r="WOQ79" s="378"/>
      <c r="WOR79" s="378"/>
      <c r="WOS79" s="378"/>
      <c r="WOT79" s="378"/>
      <c r="WOU79" s="378"/>
      <c r="WOV79" s="378"/>
      <c r="WOW79" s="378"/>
      <c r="WOX79" s="378"/>
      <c r="WOY79" s="378"/>
      <c r="WOZ79" s="378"/>
      <c r="WPA79" s="378"/>
      <c r="WPB79" s="378"/>
      <c r="WPC79" s="378"/>
      <c r="WPD79" s="378"/>
      <c r="WPE79" s="378"/>
      <c r="WPF79" s="378"/>
      <c r="WPG79" s="378"/>
      <c r="WPH79" s="378"/>
      <c r="WPI79" s="378"/>
      <c r="WPJ79" s="378"/>
      <c r="WPK79" s="378"/>
      <c r="WPL79" s="378"/>
      <c r="WPM79" s="378"/>
      <c r="WPN79" s="378"/>
      <c r="WPO79" s="378"/>
      <c r="WPP79" s="378"/>
      <c r="WPQ79" s="378"/>
      <c r="WPR79" s="378"/>
      <c r="WPS79" s="378"/>
      <c r="WPT79" s="378"/>
      <c r="WPU79" s="378"/>
      <c r="WPV79" s="378"/>
      <c r="WPW79" s="378"/>
      <c r="WPX79" s="378"/>
      <c r="WPY79" s="378"/>
      <c r="WPZ79" s="378"/>
      <c r="WQA79" s="378"/>
      <c r="WQB79" s="378"/>
      <c r="WQC79" s="378"/>
      <c r="WQD79" s="378"/>
      <c r="WQE79" s="378"/>
      <c r="WQF79" s="378"/>
      <c r="WQG79" s="378"/>
      <c r="WQH79" s="378"/>
      <c r="WQI79" s="378"/>
      <c r="WQJ79" s="378"/>
      <c r="WQK79" s="378"/>
      <c r="WQL79" s="378"/>
      <c r="WQM79" s="378"/>
      <c r="WQN79" s="378"/>
      <c r="WQO79" s="378"/>
      <c r="WQP79" s="378"/>
      <c r="WQQ79" s="378"/>
      <c r="WQR79" s="378"/>
      <c r="WQS79" s="378"/>
      <c r="WQT79" s="378"/>
      <c r="WQU79" s="378"/>
      <c r="WQV79" s="378"/>
      <c r="WQW79" s="378"/>
      <c r="WQX79" s="378"/>
      <c r="WQY79" s="378"/>
      <c r="WQZ79" s="378"/>
      <c r="WRA79" s="378"/>
      <c r="WRB79" s="378"/>
      <c r="WRC79" s="378"/>
      <c r="WRD79" s="378"/>
      <c r="WRE79" s="378"/>
      <c r="WRF79" s="378"/>
      <c r="WRG79" s="378"/>
      <c r="WRH79" s="378"/>
      <c r="WRI79" s="378"/>
      <c r="WRJ79" s="378"/>
      <c r="WRK79" s="378"/>
      <c r="WRL79" s="378"/>
      <c r="WRM79" s="378"/>
      <c r="WRN79" s="378"/>
      <c r="WRO79" s="378"/>
      <c r="WRP79" s="378"/>
      <c r="WRQ79" s="378"/>
      <c r="WRR79" s="378"/>
      <c r="WRS79" s="378"/>
      <c r="WRT79" s="378"/>
      <c r="WRU79" s="378"/>
      <c r="WRV79" s="378"/>
      <c r="WRW79" s="378"/>
      <c r="WRX79" s="378"/>
      <c r="WRY79" s="378"/>
      <c r="WRZ79" s="378"/>
      <c r="WSA79" s="378"/>
      <c r="WSB79" s="378"/>
      <c r="WSC79" s="378"/>
      <c r="WSD79" s="378"/>
      <c r="WSE79" s="378"/>
      <c r="WSF79" s="378"/>
      <c r="WSG79" s="378"/>
      <c r="WSH79" s="378"/>
      <c r="WSI79" s="378"/>
      <c r="WSJ79" s="378"/>
      <c r="WSK79" s="378"/>
      <c r="WSL79" s="378"/>
      <c r="WSM79" s="378"/>
      <c r="WSN79" s="378"/>
      <c r="WSO79" s="378"/>
      <c r="WSP79" s="378"/>
      <c r="WSQ79" s="378"/>
      <c r="WSR79" s="378"/>
      <c r="WSS79" s="378"/>
      <c r="WST79" s="378"/>
      <c r="WSU79" s="378"/>
      <c r="WSV79" s="378"/>
      <c r="WSW79" s="378"/>
      <c r="WSX79" s="378"/>
      <c r="WSY79" s="378"/>
      <c r="WSZ79" s="378"/>
      <c r="WTA79" s="378"/>
      <c r="WTB79" s="378"/>
      <c r="WTC79" s="378"/>
      <c r="WTD79" s="378"/>
      <c r="WTE79" s="378"/>
      <c r="WTF79" s="378"/>
      <c r="WTG79" s="378"/>
      <c r="WTH79" s="378"/>
      <c r="WTI79" s="378"/>
      <c r="WTJ79" s="378"/>
      <c r="WTK79" s="378"/>
      <c r="WTL79" s="378"/>
      <c r="WTM79" s="378"/>
      <c r="WTN79" s="378"/>
      <c r="WTO79" s="378"/>
      <c r="WTP79" s="378"/>
      <c r="WTQ79" s="378"/>
      <c r="WTR79" s="378"/>
      <c r="WTS79" s="378"/>
      <c r="WTT79" s="378"/>
      <c r="WTU79" s="378"/>
      <c r="WTV79" s="378"/>
      <c r="WTW79" s="378"/>
      <c r="WTX79" s="378"/>
      <c r="WTY79" s="378"/>
      <c r="WTZ79" s="378"/>
      <c r="WUA79" s="378"/>
      <c r="WUB79" s="378"/>
      <c r="WUC79" s="378"/>
      <c r="WUD79" s="378"/>
      <c r="WUE79" s="378"/>
      <c r="WUF79" s="378"/>
      <c r="WUG79" s="378"/>
      <c r="WUH79" s="378"/>
      <c r="WUI79" s="378"/>
      <c r="WUJ79" s="378"/>
      <c r="WUK79" s="378"/>
      <c r="WUL79" s="378"/>
      <c r="WUM79" s="378"/>
      <c r="WUN79" s="378"/>
      <c r="WUO79" s="378"/>
      <c r="WUP79" s="378"/>
      <c r="WUQ79" s="378"/>
      <c r="WUR79" s="378"/>
      <c r="WUS79" s="378"/>
      <c r="WUT79" s="378"/>
      <c r="WUU79" s="378"/>
      <c r="WUV79" s="378"/>
      <c r="WUW79" s="378"/>
      <c r="WUX79" s="378"/>
      <c r="WUY79" s="378"/>
      <c r="WUZ79" s="378"/>
      <c r="WVA79" s="378"/>
      <c r="WVB79" s="378"/>
      <c r="WVC79" s="378"/>
      <c r="WVD79" s="378"/>
      <c r="WVE79" s="378"/>
      <c r="WVF79" s="378"/>
      <c r="WVG79" s="378"/>
      <c r="WVH79" s="378"/>
      <c r="WVI79" s="378"/>
      <c r="WVJ79" s="378"/>
      <c r="WVK79" s="378"/>
      <c r="WVL79" s="378"/>
      <c r="WVM79" s="378"/>
      <c r="WVN79" s="378"/>
      <c r="WVO79" s="378"/>
      <c r="WVP79" s="378"/>
      <c r="WVQ79" s="378"/>
      <c r="WVR79" s="378"/>
      <c r="WVS79" s="378"/>
      <c r="WVT79" s="378"/>
      <c r="WVU79" s="378"/>
      <c r="WVV79" s="378"/>
      <c r="WVW79" s="378"/>
      <c r="WVX79" s="378"/>
      <c r="WVY79" s="378"/>
      <c r="WVZ79" s="378"/>
      <c r="WWA79" s="378"/>
      <c r="WWB79" s="378"/>
      <c r="WWC79" s="378"/>
      <c r="WWD79" s="378"/>
      <c r="WWE79" s="378"/>
      <c r="WWF79" s="378"/>
      <c r="WWG79" s="378"/>
      <c r="WWH79" s="378"/>
      <c r="WWI79" s="378"/>
      <c r="WWJ79" s="378"/>
      <c r="WWK79" s="378"/>
      <c r="WWL79" s="378"/>
      <c r="WWM79" s="378"/>
      <c r="WWN79" s="378"/>
      <c r="WWO79" s="378"/>
      <c r="WWP79" s="378"/>
      <c r="WWQ79" s="378"/>
      <c r="WWR79" s="378"/>
      <c r="WWS79" s="378"/>
      <c r="WWT79" s="378"/>
      <c r="WWU79" s="378"/>
      <c r="WWV79" s="378"/>
      <c r="WWW79" s="378"/>
      <c r="WWX79" s="378"/>
      <c r="WWY79" s="378"/>
      <c r="WWZ79" s="378"/>
      <c r="WXA79" s="378"/>
      <c r="WXB79" s="378"/>
      <c r="WXC79" s="378"/>
      <c r="WXD79" s="378"/>
      <c r="WXE79" s="378"/>
      <c r="WXF79" s="378"/>
      <c r="WXG79" s="378"/>
      <c r="WXH79" s="378"/>
      <c r="WXI79" s="378"/>
      <c r="WXJ79" s="378"/>
      <c r="WXK79" s="378"/>
      <c r="WXL79" s="378"/>
      <c r="WXM79" s="378"/>
      <c r="WXN79" s="378"/>
      <c r="WXO79" s="378"/>
      <c r="WXP79" s="378"/>
      <c r="WXQ79" s="378"/>
      <c r="WXR79" s="378"/>
      <c r="WXS79" s="378"/>
      <c r="WXT79" s="378"/>
      <c r="WXU79" s="378"/>
      <c r="WXV79" s="378"/>
      <c r="WXW79" s="378"/>
      <c r="WXX79" s="378"/>
      <c r="WXY79" s="378"/>
      <c r="WXZ79" s="378"/>
      <c r="WYA79" s="378"/>
      <c r="WYB79" s="378"/>
      <c r="WYC79" s="378"/>
      <c r="WYD79" s="378"/>
      <c r="WYE79" s="378"/>
      <c r="WYF79" s="378"/>
      <c r="WYG79" s="378"/>
      <c r="WYH79" s="378"/>
      <c r="WYI79" s="378"/>
      <c r="WYJ79" s="378"/>
      <c r="WYK79" s="378"/>
      <c r="WYL79" s="378"/>
      <c r="WYM79" s="378"/>
      <c r="WYN79" s="378"/>
      <c r="WYO79" s="378"/>
      <c r="WYP79" s="378"/>
      <c r="WYQ79" s="378"/>
      <c r="WYR79" s="378"/>
      <c r="WYS79" s="378"/>
      <c r="WYT79" s="378"/>
      <c r="WYU79" s="378"/>
      <c r="WYV79" s="378"/>
      <c r="WYW79" s="378"/>
      <c r="WYX79" s="378"/>
      <c r="WYY79" s="378"/>
      <c r="WYZ79" s="378"/>
      <c r="WZA79" s="378"/>
      <c r="WZB79" s="378"/>
      <c r="WZC79" s="378"/>
      <c r="WZD79" s="378"/>
      <c r="WZE79" s="378"/>
      <c r="WZF79" s="378"/>
      <c r="WZG79" s="378"/>
      <c r="WZH79" s="378"/>
      <c r="WZI79" s="378"/>
      <c r="WZJ79" s="378"/>
      <c r="WZK79" s="378"/>
      <c r="WZL79" s="378"/>
      <c r="WZM79" s="378"/>
      <c r="WZN79" s="378"/>
      <c r="WZO79" s="378"/>
      <c r="WZP79" s="378"/>
      <c r="WZQ79" s="378"/>
      <c r="WZR79" s="378"/>
      <c r="WZS79" s="378"/>
      <c r="WZT79" s="378"/>
      <c r="WZU79" s="378"/>
      <c r="WZV79" s="378"/>
      <c r="WZW79" s="378"/>
      <c r="WZX79" s="378"/>
      <c r="WZY79" s="378"/>
      <c r="WZZ79" s="378"/>
      <c r="XAA79" s="378"/>
      <c r="XAB79" s="378"/>
      <c r="XAC79" s="378"/>
      <c r="XAD79" s="378"/>
      <c r="XAE79" s="378"/>
      <c r="XAF79" s="378"/>
      <c r="XAG79" s="378"/>
      <c r="XAH79" s="378"/>
      <c r="XAI79" s="378"/>
      <c r="XAJ79" s="378"/>
      <c r="XAK79" s="378"/>
      <c r="XAL79" s="378"/>
      <c r="XAM79" s="378"/>
      <c r="XAN79" s="378"/>
      <c r="XAO79" s="378"/>
      <c r="XAP79" s="378"/>
      <c r="XAQ79" s="378"/>
      <c r="XAR79" s="378"/>
      <c r="XAS79" s="378"/>
      <c r="XAT79" s="378"/>
      <c r="XAU79" s="378"/>
      <c r="XAV79" s="378"/>
      <c r="XAW79" s="378"/>
      <c r="XAX79" s="378"/>
      <c r="XAY79" s="378"/>
      <c r="XAZ79" s="378"/>
      <c r="XBA79" s="378"/>
      <c r="XBB79" s="378"/>
      <c r="XBC79" s="378"/>
      <c r="XBD79" s="378"/>
      <c r="XBE79" s="378"/>
      <c r="XBF79" s="378"/>
      <c r="XBG79" s="378"/>
      <c r="XBH79" s="378"/>
      <c r="XBI79" s="378"/>
      <c r="XBJ79" s="378"/>
      <c r="XBK79" s="378"/>
      <c r="XBL79" s="378"/>
      <c r="XBM79" s="378"/>
      <c r="XBN79" s="378"/>
      <c r="XBO79" s="378"/>
      <c r="XBP79" s="378"/>
      <c r="XBQ79" s="378"/>
      <c r="XBR79" s="378"/>
      <c r="XBS79" s="378"/>
      <c r="XBT79" s="378"/>
      <c r="XBU79" s="378"/>
      <c r="XBV79" s="378"/>
      <c r="XBW79" s="378"/>
      <c r="XBX79" s="378"/>
      <c r="XBY79" s="378"/>
      <c r="XBZ79" s="378"/>
      <c r="XCA79" s="378"/>
      <c r="XCB79" s="378"/>
      <c r="XCC79" s="378"/>
      <c r="XCD79" s="378"/>
      <c r="XCE79" s="378"/>
      <c r="XCF79" s="378"/>
      <c r="XCG79" s="378"/>
      <c r="XCH79" s="378"/>
      <c r="XCI79" s="378"/>
      <c r="XCJ79" s="378"/>
      <c r="XCK79" s="378"/>
      <c r="XCL79" s="378"/>
      <c r="XCM79" s="378"/>
      <c r="XCN79" s="378"/>
      <c r="XCO79" s="378"/>
      <c r="XCP79" s="378"/>
      <c r="XCQ79" s="378"/>
      <c r="XCR79" s="378"/>
      <c r="XCS79" s="378"/>
      <c r="XCT79" s="378"/>
      <c r="XCU79" s="378"/>
      <c r="XCV79" s="378"/>
      <c r="XCW79" s="378"/>
      <c r="XCX79" s="378"/>
      <c r="XCY79" s="378"/>
      <c r="XCZ79" s="378"/>
      <c r="XDA79" s="378"/>
      <c r="XDB79" s="378"/>
      <c r="XDC79" s="378"/>
      <c r="XDD79" s="378"/>
      <c r="XDE79" s="378"/>
      <c r="XDF79" s="378"/>
      <c r="XDG79" s="378"/>
      <c r="XDH79" s="378"/>
      <c r="XDI79" s="378"/>
      <c r="XDJ79" s="378"/>
      <c r="XDK79" s="378"/>
      <c r="XDL79" s="378"/>
      <c r="XDM79" s="378"/>
      <c r="XDN79" s="378"/>
      <c r="XDO79" s="378"/>
      <c r="XDP79" s="378"/>
      <c r="XDQ79" s="378"/>
      <c r="XDR79" s="378"/>
      <c r="XDS79" s="378"/>
      <c r="XDT79" s="378"/>
      <c r="XDU79" s="378"/>
      <c r="XDV79" s="378"/>
      <c r="XDW79" s="378"/>
      <c r="XDX79" s="378"/>
      <c r="XDY79" s="378"/>
      <c r="XDZ79" s="378"/>
      <c r="XEA79" s="378"/>
      <c r="XEB79" s="378"/>
      <c r="XEC79" s="378"/>
      <c r="XED79" s="378"/>
      <c r="XEE79" s="378"/>
      <c r="XEF79" s="378"/>
      <c r="XEG79" s="378"/>
      <c r="XEH79" s="378"/>
      <c r="XEI79" s="378"/>
      <c r="XEJ79" s="378"/>
      <c r="XEK79" s="378"/>
      <c r="XEL79" s="378"/>
      <c r="XEM79" s="378"/>
      <c r="XEN79" s="378"/>
      <c r="XEO79" s="378"/>
      <c r="XEP79" s="378"/>
    </row>
    <row r="80" spans="1:16370" s="147" customFormat="1">
      <c r="A80" s="46"/>
      <c r="B80" s="184"/>
      <c r="C80" s="270"/>
      <c r="D80" s="80"/>
      <c r="E80" s="48"/>
      <c r="F80" s="106"/>
      <c r="G80" s="48"/>
      <c r="H80" s="109"/>
      <c r="I80" s="106"/>
      <c r="J80" s="106"/>
      <c r="K80" s="106"/>
      <c r="L80" s="87"/>
      <c r="M80" s="60"/>
      <c r="N80" s="87"/>
      <c r="O80" s="87"/>
      <c r="P80" s="362"/>
      <c r="Q80" s="279">
        <f>1</f>
        <v>1</v>
      </c>
      <c r="R80" s="141"/>
      <c r="T80" s="149"/>
      <c r="U80" s="148"/>
      <c r="X80" s="278"/>
      <c r="Y80" s="278" t="str">
        <f t="shared" si="12"/>
        <v/>
      </c>
      <c r="Z80" s="141" t="str">
        <f t="shared" si="11"/>
        <v/>
      </c>
    </row>
    <row r="81" spans="1:16370" s="147" customFormat="1" ht="204">
      <c r="A81" s="46" t="e">
        <f>#REF!+1</f>
        <v>#REF!</v>
      </c>
      <c r="B81" s="186" t="s">
        <v>178</v>
      </c>
      <c r="C81" s="146" t="s">
        <v>178</v>
      </c>
      <c r="D81" s="166" t="s">
        <v>889</v>
      </c>
      <c r="E81" s="152">
        <f>LEN(D81)</f>
        <v>297</v>
      </c>
      <c r="F81" s="166" t="s">
        <v>1121</v>
      </c>
      <c r="G81" s="152">
        <f>LEN(F85)</f>
        <v>132</v>
      </c>
      <c r="H81" s="161" t="s">
        <v>30</v>
      </c>
      <c r="I81" s="152" t="s">
        <v>19</v>
      </c>
      <c r="J81" s="152" t="s">
        <v>19</v>
      </c>
      <c r="K81" s="152" t="s">
        <v>31</v>
      </c>
      <c r="L81" s="176" t="s">
        <v>179</v>
      </c>
      <c r="M81" s="222" t="s">
        <v>19</v>
      </c>
      <c r="N81" s="176" t="s">
        <v>180</v>
      </c>
      <c r="O81" s="60"/>
      <c r="P81" s="10"/>
      <c r="Q81" s="274">
        <f>1</f>
        <v>1</v>
      </c>
      <c r="R81" s="141"/>
      <c r="T81" s="461" t="s">
        <v>26</v>
      </c>
      <c r="U81" s="148"/>
      <c r="X81" s="277">
        <v>17.261402130126953</v>
      </c>
      <c r="Y81" s="277">
        <f t="shared" si="12"/>
        <v>17.261402130126953</v>
      </c>
      <c r="Z81" s="141">
        <f t="shared" si="11"/>
        <v>17.261402130126953</v>
      </c>
    </row>
    <row r="82" spans="1:16370" s="147" customFormat="1">
      <c r="A82" s="46"/>
      <c r="B82" s="184"/>
      <c r="C82" s="100"/>
      <c r="D82" s="182"/>
      <c r="E82" s="48"/>
      <c r="F82" s="48"/>
      <c r="G82" s="48"/>
      <c r="H82" s="101"/>
      <c r="I82" s="48"/>
      <c r="J82" s="48"/>
      <c r="K82" s="48"/>
      <c r="L82" s="91"/>
      <c r="M82" s="60"/>
      <c r="N82" s="91"/>
      <c r="O82" s="91"/>
      <c r="P82" s="10"/>
      <c r="Q82" s="279">
        <f>1</f>
        <v>1</v>
      </c>
      <c r="R82" s="141"/>
      <c r="T82" s="149"/>
      <c r="U82" s="148"/>
      <c r="X82" s="278"/>
      <c r="Y82" s="278" t="str">
        <f t="shared" si="12"/>
        <v/>
      </c>
      <c r="Z82" s="141" t="str">
        <f t="shared" si="11"/>
        <v/>
      </c>
    </row>
    <row r="83" spans="1:16370" s="147" customFormat="1" ht="409.6">
      <c r="A83" s="46" t="e">
        <f>A81+1</f>
        <v>#REF!</v>
      </c>
      <c r="B83" s="186" t="s">
        <v>181</v>
      </c>
      <c r="C83" s="146" t="s">
        <v>181</v>
      </c>
      <c r="D83" s="166" t="s">
        <v>906</v>
      </c>
      <c r="E83" s="152">
        <f>LEN(D83)</f>
        <v>1225</v>
      </c>
      <c r="F83" s="166" t="s">
        <v>1199</v>
      </c>
      <c r="G83" s="152">
        <f>LEN(F89)</f>
        <v>227</v>
      </c>
      <c r="H83" s="161" t="s">
        <v>30</v>
      </c>
      <c r="I83" s="152" t="s">
        <v>19</v>
      </c>
      <c r="J83" s="152" t="s">
        <v>19</v>
      </c>
      <c r="K83" s="152" t="s">
        <v>830</v>
      </c>
      <c r="L83" s="143" t="s">
        <v>960</v>
      </c>
      <c r="M83" s="222" t="s">
        <v>19</v>
      </c>
      <c r="N83" s="150" t="s">
        <v>961</v>
      </c>
      <c r="O83" s="52"/>
      <c r="P83" s="10"/>
      <c r="Q83" s="274">
        <f>1</f>
        <v>1</v>
      </c>
      <c r="R83" s="141"/>
      <c r="T83" s="461" t="s">
        <v>26</v>
      </c>
      <c r="U83" s="148"/>
      <c r="X83" s="277">
        <v>14.47539234161377</v>
      </c>
      <c r="Y83" s="277">
        <f t="shared" si="12"/>
        <v>14.47539234161377</v>
      </c>
      <c r="Z83" s="141">
        <f t="shared" si="11"/>
        <v>14.47539234161377</v>
      </c>
    </row>
    <row r="84" spans="1:16370" s="235" customFormat="1" ht="182" customHeight="1">
      <c r="A84" s="346"/>
      <c r="B84" s="237" t="s">
        <v>818</v>
      </c>
      <c r="C84" s="248" t="s">
        <v>819</v>
      </c>
      <c r="D84" s="151" t="s">
        <v>804</v>
      </c>
      <c r="E84" s="144">
        <f>LEN(D84)</f>
        <v>143</v>
      </c>
      <c r="F84" s="443" t="s">
        <v>1117</v>
      </c>
      <c r="G84" s="144">
        <f>LEN(F90)</f>
        <v>170</v>
      </c>
      <c r="H84" s="146" t="s">
        <v>30</v>
      </c>
      <c r="I84" s="144" t="s">
        <v>19</v>
      </c>
      <c r="J84" s="144" t="s">
        <v>19</v>
      </c>
      <c r="K84" s="144" t="s">
        <v>31</v>
      </c>
      <c r="L84" s="143" t="s">
        <v>182</v>
      </c>
      <c r="M84" s="222" t="s">
        <v>19</v>
      </c>
      <c r="N84" s="150" t="s">
        <v>824</v>
      </c>
      <c r="O84" s="52"/>
      <c r="P84" s="51"/>
      <c r="Q84" s="410">
        <f>1</f>
        <v>1</v>
      </c>
      <c r="R84" s="142"/>
      <c r="T84" s="465" t="s">
        <v>26</v>
      </c>
      <c r="U84" s="229"/>
      <c r="X84" s="281">
        <v>8</v>
      </c>
      <c r="Y84" s="281">
        <f t="shared" si="12"/>
        <v>8</v>
      </c>
      <c r="Z84" s="142">
        <f t="shared" ref="Z84:Z86" si="14">IF(T84="yes",Y84,"")</f>
        <v>8</v>
      </c>
    </row>
    <row r="85" spans="1:16370" s="235" customFormat="1" ht="182" customHeight="1">
      <c r="A85" s="346"/>
      <c r="B85" s="237" t="s">
        <v>820</v>
      </c>
      <c r="C85" s="248" t="s">
        <v>821</v>
      </c>
      <c r="D85" s="151" t="s">
        <v>957</v>
      </c>
      <c r="E85" s="144">
        <f>LEN(D85)</f>
        <v>170</v>
      </c>
      <c r="F85" s="443" t="s">
        <v>1118</v>
      </c>
      <c r="G85" s="144">
        <f>LEN(F91)</f>
        <v>166</v>
      </c>
      <c r="H85" s="146" t="s">
        <v>30</v>
      </c>
      <c r="I85" s="144" t="s">
        <v>19</v>
      </c>
      <c r="J85" s="144" t="s">
        <v>19</v>
      </c>
      <c r="K85" s="144" t="s">
        <v>31</v>
      </c>
      <c r="L85" s="143" t="s">
        <v>182</v>
      </c>
      <c r="M85" s="222" t="s">
        <v>19</v>
      </c>
      <c r="N85" s="150" t="s">
        <v>825</v>
      </c>
      <c r="O85" s="52"/>
      <c r="P85" s="51"/>
      <c r="Q85" s="410">
        <f>1</f>
        <v>1</v>
      </c>
      <c r="R85" s="142"/>
      <c r="T85" s="465" t="s">
        <v>26</v>
      </c>
      <c r="U85" s="229"/>
      <c r="X85" s="281">
        <v>8</v>
      </c>
      <c r="Y85" s="281">
        <f t="shared" si="12"/>
        <v>8</v>
      </c>
      <c r="Z85" s="142">
        <f t="shared" si="14"/>
        <v>8</v>
      </c>
    </row>
    <row r="86" spans="1:16370" s="147" customFormat="1" ht="182" customHeight="1">
      <c r="A86" s="346"/>
      <c r="B86" s="237" t="s">
        <v>822</v>
      </c>
      <c r="C86" s="248" t="s">
        <v>823</v>
      </c>
      <c r="D86" s="151" t="s">
        <v>805</v>
      </c>
      <c r="E86" s="144">
        <f>LEN(D86)</f>
        <v>176</v>
      </c>
      <c r="F86" s="443" t="s">
        <v>1119</v>
      </c>
      <c r="G86" s="144">
        <f>LEN(F92)</f>
        <v>0</v>
      </c>
      <c r="H86" s="146" t="s">
        <v>30</v>
      </c>
      <c r="I86" s="144" t="s">
        <v>19</v>
      </c>
      <c r="J86" s="144" t="s">
        <v>19</v>
      </c>
      <c r="K86" s="144" t="s">
        <v>31</v>
      </c>
      <c r="L86" s="143" t="s">
        <v>182</v>
      </c>
      <c r="M86" s="222" t="s">
        <v>19</v>
      </c>
      <c r="N86" s="150" t="s">
        <v>826</v>
      </c>
      <c r="O86" s="52"/>
      <c r="P86" s="51"/>
      <c r="Q86" s="274">
        <f>1</f>
        <v>1</v>
      </c>
      <c r="R86" s="141"/>
      <c r="T86" s="461" t="s">
        <v>26</v>
      </c>
      <c r="U86" s="148"/>
      <c r="X86" s="277">
        <v>8</v>
      </c>
      <c r="Y86" s="277">
        <f t="shared" si="12"/>
        <v>8</v>
      </c>
      <c r="Z86" s="141">
        <f t="shared" si="14"/>
        <v>8</v>
      </c>
    </row>
    <row r="87" spans="1:16370" s="147" customFormat="1">
      <c r="A87" s="99"/>
      <c r="B87" s="265"/>
      <c r="C87" s="270"/>
      <c r="D87" s="271"/>
      <c r="E87" s="106"/>
      <c r="G87" s="106"/>
      <c r="H87" s="100"/>
      <c r="I87" s="106"/>
      <c r="J87" s="106"/>
      <c r="K87" s="106"/>
      <c r="L87" s="87"/>
      <c r="M87" s="60"/>
      <c r="N87" s="175"/>
      <c r="O87" s="175"/>
      <c r="P87" s="51"/>
      <c r="Q87" s="279">
        <f>1</f>
        <v>1</v>
      </c>
      <c r="R87" s="141"/>
      <c r="T87" s="149"/>
      <c r="U87" s="148"/>
      <c r="X87" s="278"/>
      <c r="Y87" s="278" t="str">
        <f t="shared" si="12"/>
        <v/>
      </c>
      <c r="Z87" s="141" t="str">
        <f t="shared" si="11"/>
        <v/>
      </c>
    </row>
    <row r="88" spans="1:16370" s="147" customFormat="1" ht="136">
      <c r="A88" s="14" t="e">
        <f>A83+1</f>
        <v>#REF!</v>
      </c>
      <c r="B88" s="238" t="s">
        <v>184</v>
      </c>
      <c r="C88" s="17" t="s">
        <v>184</v>
      </c>
      <c r="D88" s="22" t="s">
        <v>962</v>
      </c>
      <c r="E88" s="20">
        <f>LEN(D88)</f>
        <v>243</v>
      </c>
      <c r="F88" s="588" t="s">
        <v>1307</v>
      </c>
      <c r="G88" s="20">
        <f>LEN(F94)</f>
        <v>0</v>
      </c>
      <c r="H88" s="36" t="s">
        <v>94</v>
      </c>
      <c r="I88" s="20" t="s">
        <v>19</v>
      </c>
      <c r="J88" s="20" t="s">
        <v>19</v>
      </c>
      <c r="K88" s="20" t="s">
        <v>22</v>
      </c>
      <c r="L88" s="397" t="s">
        <v>686</v>
      </c>
      <c r="M88" s="81" t="s">
        <v>19</v>
      </c>
      <c r="N88" s="398" t="s">
        <v>688</v>
      </c>
      <c r="O88" s="32"/>
      <c r="P88" s="622" t="s">
        <v>168</v>
      </c>
      <c r="Q88" s="279">
        <f>1</f>
        <v>1</v>
      </c>
      <c r="R88" s="141"/>
      <c r="T88" s="149" t="s">
        <v>18</v>
      </c>
      <c r="U88" s="148"/>
      <c r="X88" s="278">
        <v>24.401098251342773</v>
      </c>
      <c r="Y88" s="278">
        <f t="shared" si="12"/>
        <v>24.401098251342773</v>
      </c>
      <c r="Z88" s="141" t="str">
        <f t="shared" si="11"/>
        <v/>
      </c>
    </row>
    <row r="89" spans="1:16370" s="147" customFormat="1" ht="119">
      <c r="A89" s="14" t="e">
        <f>A88+1</f>
        <v>#REF!</v>
      </c>
      <c r="B89" s="238" t="s">
        <v>185</v>
      </c>
      <c r="C89" s="247" t="s">
        <v>185</v>
      </c>
      <c r="D89" s="22" t="s">
        <v>170</v>
      </c>
      <c r="E89" s="20">
        <f>LEN(D89)</f>
        <v>253</v>
      </c>
      <c r="F89" s="588" t="s">
        <v>1308</v>
      </c>
      <c r="G89" s="20">
        <f>LEN(F95)</f>
        <v>1314</v>
      </c>
      <c r="H89" s="33" t="s">
        <v>30</v>
      </c>
      <c r="I89" s="16" t="s">
        <v>19</v>
      </c>
      <c r="J89" s="16" t="s">
        <v>19</v>
      </c>
      <c r="K89" s="16" t="s">
        <v>31</v>
      </c>
      <c r="L89" s="34" t="s">
        <v>687</v>
      </c>
      <c r="M89" s="81" t="s">
        <v>19</v>
      </c>
      <c r="N89" s="34" t="s">
        <v>689</v>
      </c>
      <c r="O89" s="34"/>
      <c r="P89" s="623"/>
      <c r="Q89" s="279">
        <f>1</f>
        <v>1</v>
      </c>
      <c r="R89" s="141"/>
      <c r="T89" s="149" t="s">
        <v>18</v>
      </c>
      <c r="U89" s="148"/>
      <c r="X89" s="278">
        <v>2.4700000000000002</v>
      </c>
      <c r="Y89" s="278">
        <f t="shared" si="12"/>
        <v>2.4700000000000002</v>
      </c>
      <c r="Z89" s="141" t="str">
        <f t="shared" si="11"/>
        <v/>
      </c>
    </row>
    <row r="90" spans="1:16370" s="147" customFormat="1" ht="170">
      <c r="A90" s="58">
        <v>18</v>
      </c>
      <c r="B90" s="394" t="s">
        <v>183</v>
      </c>
      <c r="C90" s="395" t="s">
        <v>183</v>
      </c>
      <c r="D90" s="57" t="s">
        <v>831</v>
      </c>
      <c r="E90" s="16">
        <f>LEN(D90)</f>
        <v>181</v>
      </c>
      <c r="F90" s="588" t="s">
        <v>1198</v>
      </c>
      <c r="G90" s="16">
        <f>LEN(F96)</f>
        <v>265</v>
      </c>
      <c r="H90" s="17" t="s">
        <v>30</v>
      </c>
      <c r="I90" s="16" t="s">
        <v>19</v>
      </c>
      <c r="J90" s="16" t="s">
        <v>19</v>
      </c>
      <c r="K90" s="16" t="s">
        <v>31</v>
      </c>
      <c r="L90" s="34" t="s">
        <v>791</v>
      </c>
      <c r="M90" s="81" t="s">
        <v>19</v>
      </c>
      <c r="N90" s="379" t="s">
        <v>723</v>
      </c>
      <c r="O90" s="379"/>
      <c r="P90" s="51"/>
      <c r="Q90" s="279">
        <f>1</f>
        <v>1</v>
      </c>
      <c r="R90" s="141"/>
      <c r="T90" s="149" t="s">
        <v>18</v>
      </c>
      <c r="U90" s="148"/>
      <c r="X90" s="278">
        <v>4.7874016761779785</v>
      </c>
      <c r="Y90" s="278">
        <f t="shared" si="12"/>
        <v>4.7874016761779785</v>
      </c>
      <c r="Z90" s="141" t="str">
        <f>IF(T90="yes",Y90,"")</f>
        <v/>
      </c>
    </row>
    <row r="91" spans="1:16370" s="147" customFormat="1" ht="153">
      <c r="A91" s="26"/>
      <c r="B91" s="238" t="s">
        <v>690</v>
      </c>
      <c r="C91" s="247" t="s">
        <v>690</v>
      </c>
      <c r="D91" s="37" t="s">
        <v>904</v>
      </c>
      <c r="E91" s="24">
        <f>LEN(D91)</f>
        <v>215</v>
      </c>
      <c r="F91" s="588" t="s">
        <v>1197</v>
      </c>
      <c r="G91" s="24">
        <f>LEN(F97)</f>
        <v>634</v>
      </c>
      <c r="H91" s="36" t="s">
        <v>30</v>
      </c>
      <c r="I91" s="20" t="s">
        <v>19</v>
      </c>
      <c r="J91" s="20" t="s">
        <v>19</v>
      </c>
      <c r="K91" s="20" t="s">
        <v>31</v>
      </c>
      <c r="L91" s="31" t="s">
        <v>725</v>
      </c>
      <c r="M91" s="81" t="s">
        <v>19</v>
      </c>
      <c r="N91" s="393" t="s">
        <v>724</v>
      </c>
      <c r="O91" s="377"/>
      <c r="P91" s="10"/>
      <c r="Q91" s="279">
        <f>1</f>
        <v>1</v>
      </c>
      <c r="R91" s="141"/>
      <c r="S91" s="378"/>
      <c r="T91" s="149" t="s">
        <v>18</v>
      </c>
      <c r="U91" s="148"/>
      <c r="V91" s="378"/>
      <c r="W91" s="378"/>
      <c r="X91" s="278">
        <v>20.918367385864258</v>
      </c>
      <c r="Y91" s="278">
        <f t="shared" si="12"/>
        <v>20.918367385864258</v>
      </c>
      <c r="Z91" s="141" t="str">
        <f>IF(T91="yes",Y91,"")</f>
        <v/>
      </c>
      <c r="AA91" s="378"/>
      <c r="AB91" s="378"/>
      <c r="AC91" s="378"/>
      <c r="AD91" s="378"/>
      <c r="AE91" s="378"/>
      <c r="AF91" s="378"/>
      <c r="AG91" s="378"/>
      <c r="AH91" s="378"/>
      <c r="AI91" s="378"/>
      <c r="AJ91" s="378"/>
      <c r="AK91" s="378"/>
      <c r="AL91" s="378"/>
      <c r="AM91" s="378"/>
      <c r="AN91" s="378"/>
      <c r="AO91" s="378"/>
      <c r="AP91" s="378"/>
      <c r="AQ91" s="378"/>
      <c r="AR91" s="378"/>
      <c r="AS91" s="378"/>
      <c r="AT91" s="378"/>
      <c r="AU91" s="378"/>
      <c r="AV91" s="378"/>
      <c r="AW91" s="378"/>
      <c r="AX91" s="378"/>
      <c r="AY91" s="378"/>
      <c r="AZ91" s="378"/>
      <c r="BA91" s="378"/>
      <c r="BB91" s="378"/>
      <c r="BC91" s="378"/>
      <c r="BD91" s="378"/>
      <c r="BE91" s="378"/>
      <c r="BF91" s="378"/>
      <c r="BG91" s="378"/>
      <c r="BH91" s="378"/>
      <c r="BI91" s="378"/>
      <c r="BJ91" s="378"/>
      <c r="BK91" s="378"/>
      <c r="BL91" s="378"/>
      <c r="BM91" s="378"/>
      <c r="BN91" s="378"/>
      <c r="BO91" s="378"/>
      <c r="BP91" s="378"/>
      <c r="BQ91" s="378"/>
      <c r="BR91" s="378"/>
      <c r="BS91" s="378"/>
      <c r="BT91" s="378"/>
      <c r="BU91" s="378"/>
      <c r="BV91" s="378"/>
      <c r="BW91" s="378"/>
      <c r="BX91" s="378"/>
      <c r="BY91" s="378"/>
      <c r="BZ91" s="378"/>
      <c r="CA91" s="378"/>
      <c r="CB91" s="378"/>
      <c r="CC91" s="378"/>
      <c r="CD91" s="378"/>
      <c r="CE91" s="378"/>
      <c r="CF91" s="378"/>
      <c r="CG91" s="378"/>
      <c r="CH91" s="378"/>
      <c r="CI91" s="378"/>
      <c r="CJ91" s="378"/>
      <c r="CK91" s="378"/>
      <c r="CL91" s="378"/>
      <c r="CM91" s="378"/>
      <c r="CN91" s="378"/>
      <c r="CO91" s="378"/>
      <c r="CP91" s="378"/>
      <c r="CQ91" s="378"/>
      <c r="CR91" s="378"/>
      <c r="CS91" s="378"/>
      <c r="CT91" s="378"/>
      <c r="CU91" s="378"/>
      <c r="CV91" s="378"/>
      <c r="CW91" s="378"/>
      <c r="CX91" s="378"/>
      <c r="CY91" s="378"/>
      <c r="CZ91" s="378"/>
      <c r="DA91" s="378"/>
      <c r="DB91" s="378"/>
      <c r="DC91" s="378"/>
      <c r="DD91" s="378"/>
      <c r="DE91" s="378"/>
      <c r="DF91" s="378"/>
      <c r="DG91" s="378"/>
      <c r="DH91" s="378"/>
      <c r="DI91" s="378"/>
      <c r="DJ91" s="378"/>
      <c r="DK91" s="378"/>
      <c r="DL91" s="378"/>
      <c r="DM91" s="378"/>
      <c r="DN91" s="378"/>
      <c r="DO91" s="378"/>
      <c r="DP91" s="378"/>
      <c r="DQ91" s="378"/>
      <c r="DR91" s="378"/>
      <c r="DS91" s="378"/>
      <c r="DT91" s="378"/>
      <c r="DU91" s="378"/>
      <c r="DV91" s="378"/>
      <c r="DW91" s="378"/>
      <c r="DX91" s="378"/>
      <c r="DY91" s="378"/>
      <c r="DZ91" s="378"/>
      <c r="EA91" s="378"/>
      <c r="EB91" s="378"/>
      <c r="EC91" s="378"/>
      <c r="ED91" s="378"/>
      <c r="EE91" s="378"/>
      <c r="EF91" s="378"/>
      <c r="EG91" s="378"/>
      <c r="EH91" s="378"/>
      <c r="EI91" s="378"/>
      <c r="EJ91" s="378"/>
      <c r="EK91" s="378"/>
      <c r="EL91" s="378"/>
      <c r="EM91" s="378"/>
      <c r="EN91" s="378"/>
      <c r="EO91" s="378"/>
      <c r="EP91" s="378"/>
      <c r="EQ91" s="378"/>
      <c r="ER91" s="378"/>
      <c r="ES91" s="378"/>
      <c r="ET91" s="378"/>
      <c r="EU91" s="378"/>
      <c r="EV91" s="378"/>
      <c r="EW91" s="378"/>
      <c r="EX91" s="378"/>
      <c r="EY91" s="378"/>
      <c r="EZ91" s="378"/>
      <c r="FA91" s="378"/>
      <c r="FB91" s="378"/>
      <c r="FC91" s="378"/>
      <c r="FD91" s="378"/>
      <c r="FE91" s="378"/>
      <c r="FF91" s="378"/>
      <c r="FG91" s="378"/>
      <c r="FH91" s="378"/>
      <c r="FI91" s="378"/>
      <c r="FJ91" s="378"/>
      <c r="FK91" s="378"/>
      <c r="FL91" s="378"/>
      <c r="FM91" s="378"/>
      <c r="FN91" s="378"/>
      <c r="FO91" s="378"/>
      <c r="FP91" s="378"/>
      <c r="FQ91" s="378"/>
      <c r="FR91" s="378"/>
      <c r="FS91" s="378"/>
      <c r="FT91" s="378"/>
      <c r="FU91" s="378"/>
      <c r="FV91" s="378"/>
      <c r="FW91" s="378"/>
      <c r="FX91" s="378"/>
      <c r="FY91" s="378"/>
      <c r="FZ91" s="378"/>
      <c r="GA91" s="378"/>
      <c r="GB91" s="378"/>
      <c r="GC91" s="378"/>
      <c r="GD91" s="378"/>
      <c r="GE91" s="378"/>
      <c r="GF91" s="378"/>
      <c r="GG91" s="378"/>
      <c r="GH91" s="378"/>
      <c r="GI91" s="378"/>
      <c r="GJ91" s="378"/>
      <c r="GK91" s="378"/>
      <c r="GL91" s="378"/>
      <c r="GM91" s="378"/>
      <c r="GN91" s="378"/>
      <c r="GO91" s="378"/>
      <c r="GP91" s="378"/>
      <c r="GQ91" s="378"/>
      <c r="GR91" s="378"/>
      <c r="GS91" s="378"/>
      <c r="GT91" s="378"/>
      <c r="GU91" s="378"/>
      <c r="GV91" s="378"/>
      <c r="GW91" s="378"/>
      <c r="GX91" s="378"/>
      <c r="GY91" s="378"/>
      <c r="GZ91" s="378"/>
      <c r="HA91" s="378"/>
      <c r="HB91" s="378"/>
      <c r="HC91" s="378"/>
      <c r="HD91" s="378"/>
      <c r="HE91" s="378"/>
      <c r="HF91" s="378"/>
      <c r="HG91" s="378"/>
      <c r="HH91" s="378"/>
      <c r="HI91" s="378"/>
      <c r="HJ91" s="378"/>
      <c r="HK91" s="378"/>
      <c r="HL91" s="378"/>
      <c r="HM91" s="378"/>
      <c r="HN91" s="378"/>
      <c r="HO91" s="378"/>
      <c r="HP91" s="378"/>
      <c r="HQ91" s="378"/>
      <c r="HR91" s="378"/>
      <c r="HS91" s="378"/>
      <c r="HT91" s="378"/>
      <c r="HU91" s="378"/>
      <c r="HV91" s="378"/>
      <c r="HW91" s="378"/>
      <c r="HX91" s="378"/>
      <c r="HY91" s="378"/>
      <c r="HZ91" s="378"/>
      <c r="IA91" s="378"/>
      <c r="IB91" s="378"/>
      <c r="IC91" s="378"/>
      <c r="ID91" s="378"/>
      <c r="IE91" s="378"/>
      <c r="IF91" s="378"/>
      <c r="IG91" s="378"/>
      <c r="IH91" s="378"/>
      <c r="II91" s="378"/>
      <c r="IJ91" s="378"/>
      <c r="IK91" s="378"/>
      <c r="IL91" s="378"/>
      <c r="IM91" s="378"/>
      <c r="IN91" s="378"/>
      <c r="IO91" s="378"/>
      <c r="IP91" s="378"/>
      <c r="IQ91" s="378"/>
      <c r="IR91" s="378"/>
      <c r="IS91" s="378"/>
      <c r="IT91" s="378"/>
      <c r="IU91" s="378"/>
      <c r="IV91" s="378"/>
      <c r="IW91" s="378"/>
      <c r="IX91" s="378"/>
      <c r="IY91" s="378"/>
      <c r="IZ91" s="378"/>
      <c r="JA91" s="378"/>
      <c r="JB91" s="378"/>
      <c r="JC91" s="378"/>
      <c r="JD91" s="378"/>
      <c r="JE91" s="378"/>
      <c r="JF91" s="378"/>
      <c r="JG91" s="378"/>
      <c r="JH91" s="378"/>
      <c r="JI91" s="378"/>
      <c r="JJ91" s="378"/>
      <c r="JK91" s="378"/>
      <c r="JL91" s="378"/>
      <c r="JM91" s="378"/>
      <c r="JN91" s="378"/>
      <c r="JO91" s="378"/>
      <c r="JP91" s="378"/>
      <c r="JQ91" s="378"/>
      <c r="JR91" s="378"/>
      <c r="JS91" s="378"/>
      <c r="JT91" s="378"/>
      <c r="JU91" s="378"/>
      <c r="JV91" s="378"/>
      <c r="JW91" s="378"/>
      <c r="JX91" s="378"/>
      <c r="JY91" s="378"/>
      <c r="JZ91" s="378"/>
      <c r="KA91" s="378"/>
      <c r="KB91" s="378"/>
      <c r="KC91" s="378"/>
      <c r="KD91" s="378"/>
      <c r="KE91" s="378"/>
      <c r="KF91" s="378"/>
      <c r="KG91" s="378"/>
      <c r="KH91" s="378"/>
      <c r="KI91" s="378"/>
      <c r="KJ91" s="378"/>
      <c r="KK91" s="378"/>
      <c r="KL91" s="378"/>
      <c r="KM91" s="378"/>
      <c r="KN91" s="378"/>
      <c r="KO91" s="378"/>
      <c r="KP91" s="378"/>
      <c r="KQ91" s="378"/>
      <c r="KR91" s="378"/>
      <c r="KS91" s="378"/>
      <c r="KT91" s="378"/>
      <c r="KU91" s="378"/>
      <c r="KV91" s="378"/>
      <c r="KW91" s="378"/>
      <c r="KX91" s="378"/>
      <c r="KY91" s="378"/>
      <c r="KZ91" s="378"/>
      <c r="LA91" s="378"/>
      <c r="LB91" s="378"/>
      <c r="LC91" s="378"/>
      <c r="LD91" s="378"/>
      <c r="LE91" s="378"/>
      <c r="LF91" s="378"/>
      <c r="LG91" s="378"/>
      <c r="LH91" s="378"/>
      <c r="LI91" s="378"/>
      <c r="LJ91" s="378"/>
      <c r="LK91" s="378"/>
      <c r="LL91" s="378"/>
      <c r="LM91" s="378"/>
      <c r="LN91" s="378"/>
      <c r="LO91" s="378"/>
      <c r="LP91" s="378"/>
      <c r="LQ91" s="378"/>
      <c r="LR91" s="378"/>
      <c r="LS91" s="378"/>
      <c r="LT91" s="378"/>
      <c r="LU91" s="378"/>
      <c r="LV91" s="378"/>
      <c r="LW91" s="378"/>
      <c r="LX91" s="378"/>
      <c r="LY91" s="378"/>
      <c r="LZ91" s="378"/>
      <c r="MA91" s="378"/>
      <c r="MB91" s="378"/>
      <c r="MC91" s="378"/>
      <c r="MD91" s="378"/>
      <c r="ME91" s="378"/>
      <c r="MF91" s="378"/>
      <c r="MG91" s="378"/>
      <c r="MH91" s="378"/>
      <c r="MI91" s="378"/>
      <c r="MJ91" s="378"/>
      <c r="MK91" s="378"/>
      <c r="ML91" s="378"/>
      <c r="MM91" s="378"/>
      <c r="MN91" s="378"/>
      <c r="MO91" s="378"/>
      <c r="MP91" s="378"/>
      <c r="MQ91" s="378"/>
      <c r="MR91" s="378"/>
      <c r="MS91" s="378"/>
      <c r="MT91" s="378"/>
      <c r="MU91" s="378"/>
      <c r="MV91" s="378"/>
      <c r="MW91" s="378"/>
      <c r="MX91" s="378"/>
      <c r="MY91" s="378"/>
      <c r="MZ91" s="378"/>
      <c r="NA91" s="378"/>
      <c r="NB91" s="378"/>
      <c r="NC91" s="378"/>
      <c r="ND91" s="378"/>
      <c r="NE91" s="378"/>
      <c r="NF91" s="378"/>
      <c r="NG91" s="378"/>
      <c r="NH91" s="378"/>
      <c r="NI91" s="378"/>
      <c r="NJ91" s="378"/>
      <c r="NK91" s="378"/>
      <c r="NL91" s="378"/>
      <c r="NM91" s="378"/>
      <c r="NN91" s="378"/>
      <c r="NO91" s="378"/>
      <c r="NP91" s="378"/>
      <c r="NQ91" s="378"/>
      <c r="NR91" s="378"/>
      <c r="NS91" s="378"/>
      <c r="NT91" s="378"/>
      <c r="NU91" s="378"/>
      <c r="NV91" s="378"/>
      <c r="NW91" s="378"/>
      <c r="NX91" s="378"/>
      <c r="NY91" s="378"/>
      <c r="NZ91" s="378"/>
      <c r="OA91" s="378"/>
      <c r="OB91" s="378"/>
      <c r="OC91" s="378"/>
      <c r="OD91" s="378"/>
      <c r="OE91" s="378"/>
      <c r="OF91" s="378"/>
      <c r="OG91" s="378"/>
      <c r="OH91" s="378"/>
      <c r="OI91" s="378"/>
      <c r="OJ91" s="378"/>
      <c r="OK91" s="378"/>
      <c r="OL91" s="378"/>
      <c r="OM91" s="378"/>
      <c r="ON91" s="378"/>
      <c r="OO91" s="378"/>
      <c r="OP91" s="378"/>
      <c r="OQ91" s="378"/>
      <c r="OR91" s="378"/>
      <c r="OS91" s="378"/>
      <c r="OT91" s="378"/>
      <c r="OU91" s="378"/>
      <c r="OV91" s="378"/>
      <c r="OW91" s="378"/>
      <c r="OX91" s="378"/>
      <c r="OY91" s="378"/>
      <c r="OZ91" s="378"/>
      <c r="PA91" s="378"/>
      <c r="PB91" s="378"/>
      <c r="PC91" s="378"/>
      <c r="PD91" s="378"/>
      <c r="PE91" s="378"/>
      <c r="PF91" s="378"/>
      <c r="PG91" s="378"/>
      <c r="PH91" s="378"/>
      <c r="PI91" s="378"/>
      <c r="PJ91" s="378"/>
      <c r="PK91" s="378"/>
      <c r="PL91" s="378"/>
      <c r="PM91" s="378"/>
      <c r="PN91" s="378"/>
      <c r="PO91" s="378"/>
      <c r="PP91" s="378"/>
      <c r="PQ91" s="378"/>
      <c r="PR91" s="378"/>
      <c r="PS91" s="378"/>
      <c r="PT91" s="378"/>
      <c r="PU91" s="378"/>
      <c r="PV91" s="378"/>
      <c r="PW91" s="378"/>
      <c r="PX91" s="378"/>
      <c r="PY91" s="378"/>
      <c r="PZ91" s="378"/>
      <c r="QA91" s="378"/>
      <c r="QB91" s="378"/>
      <c r="QC91" s="378"/>
      <c r="QD91" s="378"/>
      <c r="QE91" s="378"/>
      <c r="QF91" s="378"/>
      <c r="QG91" s="378"/>
      <c r="QH91" s="378"/>
      <c r="QI91" s="378"/>
      <c r="QJ91" s="378"/>
      <c r="QK91" s="378"/>
      <c r="QL91" s="378"/>
      <c r="QM91" s="378"/>
      <c r="QN91" s="378"/>
      <c r="QO91" s="378"/>
      <c r="QP91" s="378"/>
      <c r="QQ91" s="378"/>
      <c r="QR91" s="378"/>
      <c r="QS91" s="378"/>
      <c r="QT91" s="378"/>
      <c r="QU91" s="378"/>
      <c r="QV91" s="378"/>
      <c r="QW91" s="378"/>
      <c r="QX91" s="378"/>
      <c r="QY91" s="378"/>
      <c r="QZ91" s="378"/>
      <c r="RA91" s="378"/>
      <c r="RB91" s="378"/>
      <c r="RC91" s="378"/>
      <c r="RD91" s="378"/>
      <c r="RE91" s="378"/>
      <c r="RF91" s="378"/>
      <c r="RG91" s="378"/>
      <c r="RH91" s="378"/>
      <c r="RI91" s="378"/>
      <c r="RJ91" s="378"/>
      <c r="RK91" s="378"/>
      <c r="RL91" s="378"/>
      <c r="RM91" s="378"/>
      <c r="RN91" s="378"/>
      <c r="RO91" s="378"/>
      <c r="RP91" s="378"/>
      <c r="RQ91" s="378"/>
      <c r="RR91" s="378"/>
      <c r="RS91" s="378"/>
      <c r="RT91" s="378"/>
      <c r="RU91" s="378"/>
      <c r="RV91" s="378"/>
      <c r="RW91" s="378"/>
      <c r="RX91" s="378"/>
      <c r="RY91" s="378"/>
      <c r="RZ91" s="378"/>
      <c r="SA91" s="378"/>
      <c r="SB91" s="378"/>
      <c r="SC91" s="378"/>
      <c r="SD91" s="378"/>
      <c r="SE91" s="378"/>
      <c r="SF91" s="378"/>
      <c r="SG91" s="378"/>
      <c r="SH91" s="378"/>
      <c r="SI91" s="378"/>
      <c r="SJ91" s="378"/>
      <c r="SK91" s="378"/>
      <c r="SL91" s="378"/>
      <c r="SM91" s="378"/>
      <c r="SN91" s="378"/>
      <c r="SO91" s="378"/>
      <c r="SP91" s="378"/>
      <c r="SQ91" s="378"/>
      <c r="SR91" s="378"/>
      <c r="SS91" s="378"/>
      <c r="ST91" s="378"/>
      <c r="SU91" s="378"/>
      <c r="SV91" s="378"/>
      <c r="SW91" s="378"/>
      <c r="SX91" s="378"/>
      <c r="SY91" s="378"/>
      <c r="SZ91" s="378"/>
      <c r="TA91" s="378"/>
      <c r="TB91" s="378"/>
      <c r="TC91" s="378"/>
      <c r="TD91" s="378"/>
      <c r="TE91" s="378"/>
      <c r="TF91" s="378"/>
      <c r="TG91" s="378"/>
      <c r="TH91" s="378"/>
      <c r="TI91" s="378"/>
      <c r="TJ91" s="378"/>
      <c r="TK91" s="378"/>
      <c r="TL91" s="378"/>
      <c r="TM91" s="378"/>
      <c r="TN91" s="378"/>
      <c r="TO91" s="378"/>
      <c r="TP91" s="378"/>
      <c r="TQ91" s="378"/>
      <c r="TR91" s="378"/>
      <c r="TS91" s="378"/>
      <c r="TT91" s="378"/>
      <c r="TU91" s="378"/>
      <c r="TV91" s="378"/>
      <c r="TW91" s="378"/>
      <c r="TX91" s="378"/>
      <c r="TY91" s="378"/>
      <c r="TZ91" s="378"/>
      <c r="UA91" s="378"/>
      <c r="UB91" s="378"/>
      <c r="UC91" s="378"/>
      <c r="UD91" s="378"/>
      <c r="UE91" s="378"/>
      <c r="UF91" s="378"/>
      <c r="UG91" s="378"/>
      <c r="UH91" s="378"/>
      <c r="UI91" s="378"/>
      <c r="UJ91" s="378"/>
      <c r="UK91" s="378"/>
      <c r="UL91" s="378"/>
      <c r="UM91" s="378"/>
      <c r="UN91" s="378"/>
      <c r="UO91" s="378"/>
      <c r="UP91" s="378"/>
      <c r="UQ91" s="378"/>
      <c r="UR91" s="378"/>
      <c r="US91" s="378"/>
      <c r="UT91" s="378"/>
      <c r="UU91" s="378"/>
      <c r="UV91" s="378"/>
      <c r="UW91" s="378"/>
      <c r="UX91" s="378"/>
      <c r="UY91" s="378"/>
      <c r="UZ91" s="378"/>
      <c r="VA91" s="378"/>
      <c r="VB91" s="378"/>
      <c r="VC91" s="378"/>
      <c r="VD91" s="378"/>
      <c r="VE91" s="378"/>
      <c r="VF91" s="378"/>
      <c r="VG91" s="378"/>
      <c r="VH91" s="378"/>
      <c r="VI91" s="378"/>
      <c r="VJ91" s="378"/>
      <c r="VK91" s="378"/>
      <c r="VL91" s="378"/>
      <c r="VM91" s="378"/>
      <c r="VN91" s="378"/>
      <c r="VO91" s="378"/>
      <c r="VP91" s="378"/>
      <c r="VQ91" s="378"/>
      <c r="VR91" s="378"/>
      <c r="VS91" s="378"/>
      <c r="VT91" s="378"/>
      <c r="VU91" s="378"/>
      <c r="VV91" s="378"/>
      <c r="VW91" s="378"/>
      <c r="VX91" s="378"/>
      <c r="VY91" s="378"/>
      <c r="VZ91" s="378"/>
      <c r="WA91" s="378"/>
      <c r="WB91" s="378"/>
      <c r="WC91" s="378"/>
      <c r="WD91" s="378"/>
      <c r="WE91" s="378"/>
      <c r="WF91" s="378"/>
      <c r="WG91" s="378"/>
      <c r="WH91" s="378"/>
      <c r="WI91" s="378"/>
      <c r="WJ91" s="378"/>
      <c r="WK91" s="378"/>
      <c r="WL91" s="378"/>
      <c r="WM91" s="378"/>
      <c r="WN91" s="378"/>
      <c r="WO91" s="378"/>
      <c r="WP91" s="378"/>
      <c r="WQ91" s="378"/>
      <c r="WR91" s="378"/>
      <c r="WS91" s="378"/>
      <c r="WT91" s="378"/>
      <c r="WU91" s="378"/>
      <c r="WV91" s="378"/>
      <c r="WW91" s="378"/>
      <c r="WX91" s="378"/>
      <c r="WY91" s="378"/>
      <c r="WZ91" s="378"/>
      <c r="XA91" s="378"/>
      <c r="XB91" s="378"/>
      <c r="XC91" s="378"/>
      <c r="XD91" s="378"/>
      <c r="XE91" s="378"/>
      <c r="XF91" s="378"/>
      <c r="XG91" s="378"/>
      <c r="XH91" s="378"/>
      <c r="XI91" s="378"/>
      <c r="XJ91" s="378"/>
      <c r="XK91" s="378"/>
      <c r="XL91" s="378"/>
      <c r="XM91" s="378"/>
      <c r="XN91" s="378"/>
      <c r="XO91" s="378"/>
      <c r="XP91" s="378"/>
      <c r="XQ91" s="378"/>
      <c r="XR91" s="378"/>
      <c r="XS91" s="378"/>
      <c r="XT91" s="378"/>
      <c r="XU91" s="378"/>
      <c r="XV91" s="378"/>
      <c r="XW91" s="378"/>
      <c r="XX91" s="378"/>
      <c r="XY91" s="378"/>
      <c r="XZ91" s="378"/>
      <c r="YA91" s="378"/>
      <c r="YB91" s="378"/>
      <c r="YC91" s="378"/>
      <c r="YD91" s="378"/>
      <c r="YE91" s="378"/>
      <c r="YF91" s="378"/>
      <c r="YG91" s="378"/>
      <c r="YH91" s="378"/>
      <c r="YI91" s="378"/>
      <c r="YJ91" s="378"/>
      <c r="YK91" s="378"/>
      <c r="YL91" s="378"/>
      <c r="YM91" s="378"/>
      <c r="YN91" s="378"/>
      <c r="YO91" s="378"/>
      <c r="YP91" s="378"/>
      <c r="YQ91" s="378"/>
      <c r="YR91" s="378"/>
      <c r="YS91" s="378"/>
      <c r="YT91" s="378"/>
      <c r="YU91" s="378"/>
      <c r="YV91" s="378"/>
      <c r="YW91" s="378"/>
      <c r="YX91" s="378"/>
      <c r="YY91" s="378"/>
      <c r="YZ91" s="378"/>
      <c r="ZA91" s="378"/>
      <c r="ZB91" s="378"/>
      <c r="ZC91" s="378"/>
      <c r="ZD91" s="378"/>
      <c r="ZE91" s="378"/>
      <c r="ZF91" s="378"/>
      <c r="ZG91" s="378"/>
      <c r="ZH91" s="378"/>
      <c r="ZI91" s="378"/>
      <c r="ZJ91" s="378"/>
      <c r="ZK91" s="378"/>
      <c r="ZL91" s="378"/>
      <c r="ZM91" s="378"/>
      <c r="ZN91" s="378"/>
      <c r="ZO91" s="378"/>
      <c r="ZP91" s="378"/>
      <c r="ZQ91" s="378"/>
      <c r="ZR91" s="378"/>
      <c r="ZS91" s="378"/>
      <c r="ZT91" s="378"/>
      <c r="ZU91" s="378"/>
      <c r="ZV91" s="378"/>
      <c r="ZW91" s="378"/>
      <c r="ZX91" s="378"/>
      <c r="ZY91" s="378"/>
      <c r="ZZ91" s="378"/>
      <c r="AAA91" s="378"/>
      <c r="AAB91" s="378"/>
      <c r="AAC91" s="378"/>
      <c r="AAD91" s="378"/>
      <c r="AAE91" s="378"/>
      <c r="AAF91" s="378"/>
      <c r="AAG91" s="378"/>
      <c r="AAH91" s="378"/>
      <c r="AAI91" s="378"/>
      <c r="AAJ91" s="378"/>
      <c r="AAK91" s="378"/>
      <c r="AAL91" s="378"/>
      <c r="AAM91" s="378"/>
      <c r="AAN91" s="378"/>
      <c r="AAO91" s="378"/>
      <c r="AAP91" s="378"/>
      <c r="AAQ91" s="378"/>
      <c r="AAR91" s="378"/>
      <c r="AAS91" s="378"/>
      <c r="AAT91" s="378"/>
      <c r="AAU91" s="378"/>
      <c r="AAV91" s="378"/>
      <c r="AAW91" s="378"/>
      <c r="AAX91" s="378"/>
      <c r="AAY91" s="378"/>
      <c r="AAZ91" s="378"/>
      <c r="ABA91" s="378"/>
      <c r="ABB91" s="378"/>
      <c r="ABC91" s="378"/>
      <c r="ABD91" s="378"/>
      <c r="ABE91" s="378"/>
      <c r="ABF91" s="378"/>
      <c r="ABG91" s="378"/>
      <c r="ABH91" s="378"/>
      <c r="ABI91" s="378"/>
      <c r="ABJ91" s="378"/>
      <c r="ABK91" s="378"/>
      <c r="ABL91" s="378"/>
      <c r="ABM91" s="378"/>
      <c r="ABN91" s="378"/>
      <c r="ABO91" s="378"/>
      <c r="ABP91" s="378"/>
      <c r="ABQ91" s="378"/>
      <c r="ABR91" s="378"/>
      <c r="ABS91" s="378"/>
      <c r="ABT91" s="378"/>
      <c r="ABU91" s="378"/>
      <c r="ABV91" s="378"/>
      <c r="ABW91" s="378"/>
      <c r="ABX91" s="378"/>
      <c r="ABY91" s="378"/>
      <c r="ABZ91" s="378"/>
      <c r="ACA91" s="378"/>
      <c r="ACB91" s="378"/>
      <c r="ACC91" s="378"/>
      <c r="ACD91" s="378"/>
      <c r="ACE91" s="378"/>
      <c r="ACF91" s="378"/>
      <c r="ACG91" s="378"/>
      <c r="ACH91" s="378"/>
      <c r="ACI91" s="378"/>
      <c r="ACJ91" s="378"/>
      <c r="ACK91" s="378"/>
      <c r="ACL91" s="378"/>
      <c r="ACM91" s="378"/>
      <c r="ACN91" s="378"/>
      <c r="ACO91" s="378"/>
      <c r="ACP91" s="378"/>
      <c r="ACQ91" s="378"/>
      <c r="ACR91" s="378"/>
      <c r="ACS91" s="378"/>
      <c r="ACT91" s="378"/>
      <c r="ACU91" s="378"/>
      <c r="ACV91" s="378"/>
      <c r="ACW91" s="378"/>
      <c r="ACX91" s="378"/>
      <c r="ACY91" s="378"/>
      <c r="ACZ91" s="378"/>
      <c r="ADA91" s="378"/>
      <c r="ADB91" s="378"/>
      <c r="ADC91" s="378"/>
      <c r="ADD91" s="378"/>
      <c r="ADE91" s="378"/>
      <c r="ADF91" s="378"/>
      <c r="ADG91" s="378"/>
      <c r="ADH91" s="378"/>
      <c r="ADI91" s="378"/>
      <c r="ADJ91" s="378"/>
      <c r="ADK91" s="378"/>
      <c r="ADL91" s="378"/>
      <c r="ADM91" s="378"/>
      <c r="ADN91" s="378"/>
      <c r="ADO91" s="378"/>
      <c r="ADP91" s="378"/>
      <c r="ADQ91" s="378"/>
      <c r="ADR91" s="378"/>
      <c r="ADS91" s="378"/>
      <c r="ADT91" s="378"/>
      <c r="ADU91" s="378"/>
      <c r="ADV91" s="378"/>
      <c r="ADW91" s="378"/>
      <c r="ADX91" s="378"/>
      <c r="ADY91" s="378"/>
      <c r="ADZ91" s="378"/>
      <c r="AEA91" s="378"/>
      <c r="AEB91" s="378"/>
      <c r="AEC91" s="378"/>
      <c r="AED91" s="378"/>
      <c r="AEE91" s="378"/>
      <c r="AEF91" s="378"/>
      <c r="AEG91" s="378"/>
      <c r="AEH91" s="378"/>
      <c r="AEI91" s="378"/>
      <c r="AEJ91" s="378"/>
      <c r="AEK91" s="378"/>
      <c r="AEL91" s="378"/>
      <c r="AEM91" s="378"/>
      <c r="AEN91" s="378"/>
      <c r="AEO91" s="378"/>
      <c r="AEP91" s="378"/>
      <c r="AEQ91" s="378"/>
      <c r="AER91" s="378"/>
      <c r="AES91" s="378"/>
      <c r="AET91" s="378"/>
      <c r="AEU91" s="378"/>
      <c r="AEV91" s="378"/>
      <c r="AEW91" s="378"/>
      <c r="AEX91" s="378"/>
      <c r="AEY91" s="378"/>
      <c r="AEZ91" s="378"/>
      <c r="AFA91" s="378"/>
      <c r="AFB91" s="378"/>
      <c r="AFC91" s="378"/>
      <c r="AFD91" s="378"/>
      <c r="AFE91" s="378"/>
      <c r="AFF91" s="378"/>
      <c r="AFG91" s="378"/>
      <c r="AFH91" s="378"/>
      <c r="AFI91" s="378"/>
      <c r="AFJ91" s="378"/>
      <c r="AFK91" s="378"/>
      <c r="AFL91" s="378"/>
      <c r="AFM91" s="378"/>
      <c r="AFN91" s="378"/>
      <c r="AFO91" s="378"/>
      <c r="AFP91" s="378"/>
      <c r="AFQ91" s="378"/>
      <c r="AFR91" s="378"/>
      <c r="AFS91" s="378"/>
      <c r="AFT91" s="378"/>
      <c r="AFU91" s="378"/>
      <c r="AFV91" s="378"/>
      <c r="AFW91" s="378"/>
      <c r="AFX91" s="378"/>
      <c r="AFY91" s="378"/>
      <c r="AFZ91" s="378"/>
      <c r="AGA91" s="378"/>
      <c r="AGB91" s="378"/>
      <c r="AGC91" s="378"/>
      <c r="AGD91" s="378"/>
      <c r="AGE91" s="378"/>
      <c r="AGF91" s="378"/>
      <c r="AGG91" s="378"/>
      <c r="AGH91" s="378"/>
      <c r="AGI91" s="378"/>
      <c r="AGJ91" s="378"/>
      <c r="AGK91" s="378"/>
      <c r="AGL91" s="378"/>
      <c r="AGM91" s="378"/>
      <c r="AGN91" s="378"/>
      <c r="AGO91" s="378"/>
      <c r="AGP91" s="378"/>
      <c r="AGQ91" s="378"/>
      <c r="AGR91" s="378"/>
      <c r="AGS91" s="378"/>
      <c r="AGT91" s="378"/>
      <c r="AGU91" s="378"/>
      <c r="AGV91" s="378"/>
      <c r="AGW91" s="378"/>
      <c r="AGX91" s="378"/>
      <c r="AGY91" s="378"/>
      <c r="AGZ91" s="378"/>
      <c r="AHA91" s="378"/>
      <c r="AHB91" s="378"/>
      <c r="AHC91" s="378"/>
      <c r="AHD91" s="378"/>
      <c r="AHE91" s="378"/>
      <c r="AHF91" s="378"/>
      <c r="AHG91" s="378"/>
      <c r="AHH91" s="378"/>
      <c r="AHI91" s="378"/>
      <c r="AHJ91" s="378"/>
      <c r="AHK91" s="378"/>
      <c r="AHL91" s="378"/>
      <c r="AHM91" s="378"/>
      <c r="AHN91" s="378"/>
      <c r="AHO91" s="378"/>
      <c r="AHP91" s="378"/>
      <c r="AHQ91" s="378"/>
      <c r="AHR91" s="378"/>
      <c r="AHS91" s="378"/>
      <c r="AHT91" s="378"/>
      <c r="AHU91" s="378"/>
      <c r="AHV91" s="378"/>
      <c r="AHW91" s="378"/>
      <c r="AHX91" s="378"/>
      <c r="AHY91" s="378"/>
      <c r="AHZ91" s="378"/>
      <c r="AIA91" s="378"/>
      <c r="AIB91" s="378"/>
      <c r="AIC91" s="378"/>
      <c r="AID91" s="378"/>
      <c r="AIE91" s="378"/>
      <c r="AIF91" s="378"/>
      <c r="AIG91" s="378"/>
      <c r="AIH91" s="378"/>
      <c r="AII91" s="378"/>
      <c r="AIJ91" s="378"/>
      <c r="AIK91" s="378"/>
      <c r="AIL91" s="378"/>
      <c r="AIM91" s="378"/>
      <c r="AIN91" s="378"/>
      <c r="AIO91" s="378"/>
      <c r="AIP91" s="378"/>
      <c r="AIQ91" s="378"/>
      <c r="AIR91" s="378"/>
      <c r="AIS91" s="378"/>
      <c r="AIT91" s="378"/>
      <c r="AIU91" s="378"/>
      <c r="AIV91" s="378"/>
      <c r="AIW91" s="378"/>
      <c r="AIX91" s="378"/>
      <c r="AIY91" s="378"/>
      <c r="AIZ91" s="378"/>
      <c r="AJA91" s="378"/>
      <c r="AJB91" s="378"/>
      <c r="AJC91" s="378"/>
      <c r="AJD91" s="378"/>
      <c r="AJE91" s="378"/>
      <c r="AJF91" s="378"/>
      <c r="AJG91" s="378"/>
      <c r="AJH91" s="378"/>
      <c r="AJI91" s="378"/>
      <c r="AJJ91" s="378"/>
      <c r="AJK91" s="378"/>
      <c r="AJL91" s="378"/>
      <c r="AJM91" s="378"/>
      <c r="AJN91" s="378"/>
      <c r="AJO91" s="378"/>
      <c r="AJP91" s="378"/>
      <c r="AJQ91" s="378"/>
      <c r="AJR91" s="378"/>
      <c r="AJS91" s="378"/>
      <c r="AJT91" s="378"/>
      <c r="AJU91" s="378"/>
      <c r="AJV91" s="378"/>
      <c r="AJW91" s="378"/>
      <c r="AJX91" s="378"/>
      <c r="AJY91" s="378"/>
      <c r="AJZ91" s="378"/>
      <c r="AKA91" s="378"/>
      <c r="AKB91" s="378"/>
      <c r="AKC91" s="378"/>
      <c r="AKD91" s="378"/>
      <c r="AKE91" s="378"/>
      <c r="AKF91" s="378"/>
      <c r="AKG91" s="378"/>
      <c r="AKH91" s="378"/>
      <c r="AKI91" s="378"/>
      <c r="AKJ91" s="378"/>
      <c r="AKK91" s="378"/>
      <c r="AKL91" s="378"/>
      <c r="AKM91" s="378"/>
      <c r="AKN91" s="378"/>
      <c r="AKO91" s="378"/>
      <c r="AKP91" s="378"/>
      <c r="AKQ91" s="378"/>
      <c r="AKR91" s="378"/>
      <c r="AKS91" s="378"/>
      <c r="AKT91" s="378"/>
      <c r="AKU91" s="378"/>
      <c r="AKV91" s="378"/>
      <c r="AKW91" s="378"/>
      <c r="AKX91" s="378"/>
      <c r="AKY91" s="378"/>
      <c r="AKZ91" s="378"/>
      <c r="ALA91" s="378"/>
      <c r="ALB91" s="378"/>
      <c r="ALC91" s="378"/>
      <c r="ALD91" s="378"/>
      <c r="ALE91" s="378"/>
      <c r="ALF91" s="378"/>
      <c r="ALG91" s="378"/>
      <c r="ALH91" s="378"/>
      <c r="ALI91" s="378"/>
      <c r="ALJ91" s="378"/>
      <c r="ALK91" s="378"/>
      <c r="ALL91" s="378"/>
      <c r="ALM91" s="378"/>
      <c r="ALN91" s="378"/>
      <c r="ALO91" s="378"/>
      <c r="ALP91" s="378"/>
      <c r="ALQ91" s="378"/>
      <c r="ALR91" s="378"/>
      <c r="ALS91" s="378"/>
      <c r="ALT91" s="378"/>
      <c r="ALU91" s="378"/>
      <c r="ALV91" s="378"/>
      <c r="ALW91" s="378"/>
      <c r="ALX91" s="378"/>
      <c r="ALY91" s="378"/>
      <c r="ALZ91" s="378"/>
      <c r="AMA91" s="378"/>
      <c r="AMB91" s="378"/>
      <c r="AMC91" s="378"/>
      <c r="AMD91" s="378"/>
      <c r="AME91" s="378"/>
      <c r="AMF91" s="378"/>
      <c r="AMG91" s="378"/>
      <c r="AMH91" s="378"/>
      <c r="AMI91" s="378"/>
      <c r="AMJ91" s="378"/>
      <c r="AMK91" s="378"/>
      <c r="AML91" s="378"/>
      <c r="AMM91" s="378"/>
      <c r="AMN91" s="378"/>
      <c r="AMO91" s="378"/>
      <c r="AMP91" s="378"/>
      <c r="AMQ91" s="378"/>
      <c r="AMR91" s="378"/>
      <c r="AMS91" s="378"/>
      <c r="AMT91" s="378"/>
      <c r="AMU91" s="378"/>
      <c r="AMV91" s="378"/>
      <c r="AMW91" s="378"/>
      <c r="AMX91" s="378"/>
      <c r="AMY91" s="378"/>
      <c r="AMZ91" s="378"/>
      <c r="ANA91" s="378"/>
      <c r="ANB91" s="378"/>
      <c r="ANC91" s="378"/>
      <c r="AND91" s="378"/>
      <c r="ANE91" s="378"/>
      <c r="ANF91" s="378"/>
      <c r="ANG91" s="378"/>
      <c r="ANH91" s="378"/>
      <c r="ANI91" s="378"/>
      <c r="ANJ91" s="378"/>
      <c r="ANK91" s="378"/>
      <c r="ANL91" s="378"/>
      <c r="ANM91" s="378"/>
      <c r="ANN91" s="378"/>
      <c r="ANO91" s="378"/>
      <c r="ANP91" s="378"/>
      <c r="ANQ91" s="378"/>
      <c r="ANR91" s="378"/>
      <c r="ANS91" s="378"/>
      <c r="ANT91" s="378"/>
      <c r="ANU91" s="378"/>
      <c r="ANV91" s="378"/>
      <c r="ANW91" s="378"/>
      <c r="ANX91" s="378"/>
      <c r="ANY91" s="378"/>
      <c r="ANZ91" s="378"/>
      <c r="AOA91" s="378"/>
      <c r="AOB91" s="378"/>
      <c r="AOC91" s="378"/>
      <c r="AOD91" s="378"/>
      <c r="AOE91" s="378"/>
      <c r="AOF91" s="378"/>
      <c r="AOG91" s="378"/>
      <c r="AOH91" s="378"/>
      <c r="AOI91" s="378"/>
      <c r="AOJ91" s="378"/>
      <c r="AOK91" s="378"/>
      <c r="AOL91" s="378"/>
      <c r="AOM91" s="378"/>
      <c r="AON91" s="378"/>
      <c r="AOO91" s="378"/>
      <c r="AOP91" s="378"/>
      <c r="AOQ91" s="378"/>
      <c r="AOR91" s="378"/>
      <c r="AOS91" s="378"/>
      <c r="AOT91" s="378"/>
      <c r="AOU91" s="378"/>
      <c r="AOV91" s="378"/>
      <c r="AOW91" s="378"/>
      <c r="AOX91" s="378"/>
      <c r="AOY91" s="378"/>
      <c r="AOZ91" s="378"/>
      <c r="APA91" s="378"/>
      <c r="APB91" s="378"/>
      <c r="APC91" s="378"/>
      <c r="APD91" s="378"/>
      <c r="APE91" s="378"/>
      <c r="APF91" s="378"/>
      <c r="APG91" s="378"/>
      <c r="APH91" s="378"/>
      <c r="API91" s="378"/>
      <c r="APJ91" s="378"/>
      <c r="APK91" s="378"/>
      <c r="APL91" s="378"/>
      <c r="APM91" s="378"/>
      <c r="APN91" s="378"/>
      <c r="APO91" s="378"/>
      <c r="APP91" s="378"/>
      <c r="APQ91" s="378"/>
      <c r="APR91" s="378"/>
      <c r="APS91" s="378"/>
      <c r="APT91" s="378"/>
      <c r="APU91" s="378"/>
      <c r="APV91" s="378"/>
      <c r="APW91" s="378"/>
      <c r="APX91" s="378"/>
      <c r="APY91" s="378"/>
      <c r="APZ91" s="378"/>
      <c r="AQA91" s="378"/>
      <c r="AQB91" s="378"/>
      <c r="AQC91" s="378"/>
      <c r="AQD91" s="378"/>
      <c r="AQE91" s="378"/>
      <c r="AQF91" s="378"/>
      <c r="AQG91" s="378"/>
      <c r="AQH91" s="378"/>
      <c r="AQI91" s="378"/>
      <c r="AQJ91" s="378"/>
      <c r="AQK91" s="378"/>
      <c r="AQL91" s="378"/>
      <c r="AQM91" s="378"/>
      <c r="AQN91" s="378"/>
      <c r="AQO91" s="378"/>
      <c r="AQP91" s="378"/>
      <c r="AQQ91" s="378"/>
      <c r="AQR91" s="378"/>
      <c r="AQS91" s="378"/>
      <c r="AQT91" s="378"/>
      <c r="AQU91" s="378"/>
      <c r="AQV91" s="378"/>
      <c r="AQW91" s="378"/>
      <c r="AQX91" s="378"/>
      <c r="AQY91" s="378"/>
      <c r="AQZ91" s="378"/>
      <c r="ARA91" s="378"/>
      <c r="ARB91" s="378"/>
      <c r="ARC91" s="378"/>
      <c r="ARD91" s="378"/>
      <c r="ARE91" s="378"/>
      <c r="ARF91" s="378"/>
      <c r="ARG91" s="378"/>
      <c r="ARH91" s="378"/>
      <c r="ARI91" s="378"/>
      <c r="ARJ91" s="378"/>
      <c r="ARK91" s="378"/>
      <c r="ARL91" s="378"/>
      <c r="ARM91" s="378"/>
      <c r="ARN91" s="378"/>
      <c r="ARO91" s="378"/>
      <c r="ARP91" s="378"/>
      <c r="ARQ91" s="378"/>
      <c r="ARR91" s="378"/>
      <c r="ARS91" s="378"/>
      <c r="ART91" s="378"/>
      <c r="ARU91" s="378"/>
      <c r="ARV91" s="378"/>
      <c r="ARW91" s="378"/>
      <c r="ARX91" s="378"/>
      <c r="ARY91" s="378"/>
      <c r="ARZ91" s="378"/>
      <c r="ASA91" s="378"/>
      <c r="ASB91" s="378"/>
      <c r="ASC91" s="378"/>
      <c r="ASD91" s="378"/>
      <c r="ASE91" s="378"/>
      <c r="ASF91" s="378"/>
      <c r="ASG91" s="378"/>
      <c r="ASH91" s="378"/>
      <c r="ASI91" s="378"/>
      <c r="ASJ91" s="378"/>
      <c r="ASK91" s="378"/>
      <c r="ASL91" s="378"/>
      <c r="ASM91" s="378"/>
      <c r="ASN91" s="378"/>
      <c r="ASO91" s="378"/>
      <c r="ASP91" s="378"/>
      <c r="ASQ91" s="378"/>
      <c r="ASR91" s="378"/>
      <c r="ASS91" s="378"/>
      <c r="AST91" s="378"/>
      <c r="ASU91" s="378"/>
      <c r="ASV91" s="378"/>
      <c r="ASW91" s="378"/>
      <c r="ASX91" s="378"/>
      <c r="ASY91" s="378"/>
      <c r="ASZ91" s="378"/>
      <c r="ATA91" s="378"/>
      <c r="ATB91" s="378"/>
      <c r="ATC91" s="378"/>
      <c r="ATD91" s="378"/>
      <c r="ATE91" s="378"/>
      <c r="ATF91" s="378"/>
      <c r="ATG91" s="378"/>
      <c r="ATH91" s="378"/>
      <c r="ATI91" s="378"/>
      <c r="ATJ91" s="378"/>
      <c r="ATK91" s="378"/>
      <c r="ATL91" s="378"/>
      <c r="ATM91" s="378"/>
      <c r="ATN91" s="378"/>
      <c r="ATO91" s="378"/>
      <c r="ATP91" s="378"/>
      <c r="ATQ91" s="378"/>
      <c r="ATR91" s="378"/>
      <c r="ATS91" s="378"/>
      <c r="ATT91" s="378"/>
      <c r="ATU91" s="378"/>
      <c r="ATV91" s="378"/>
      <c r="ATW91" s="378"/>
      <c r="ATX91" s="378"/>
      <c r="ATY91" s="378"/>
      <c r="ATZ91" s="378"/>
      <c r="AUA91" s="378"/>
      <c r="AUB91" s="378"/>
      <c r="AUC91" s="378"/>
      <c r="AUD91" s="378"/>
      <c r="AUE91" s="378"/>
      <c r="AUF91" s="378"/>
      <c r="AUG91" s="378"/>
      <c r="AUH91" s="378"/>
      <c r="AUI91" s="378"/>
      <c r="AUJ91" s="378"/>
      <c r="AUK91" s="378"/>
      <c r="AUL91" s="378"/>
      <c r="AUM91" s="378"/>
      <c r="AUN91" s="378"/>
      <c r="AUO91" s="378"/>
      <c r="AUP91" s="378"/>
      <c r="AUQ91" s="378"/>
      <c r="AUR91" s="378"/>
      <c r="AUS91" s="378"/>
      <c r="AUT91" s="378"/>
      <c r="AUU91" s="378"/>
      <c r="AUV91" s="378"/>
      <c r="AUW91" s="378"/>
      <c r="AUX91" s="378"/>
      <c r="AUY91" s="378"/>
      <c r="AUZ91" s="378"/>
      <c r="AVA91" s="378"/>
      <c r="AVB91" s="378"/>
      <c r="AVC91" s="378"/>
      <c r="AVD91" s="378"/>
      <c r="AVE91" s="378"/>
      <c r="AVF91" s="378"/>
      <c r="AVG91" s="378"/>
      <c r="AVH91" s="378"/>
      <c r="AVI91" s="378"/>
      <c r="AVJ91" s="378"/>
      <c r="AVK91" s="378"/>
      <c r="AVL91" s="378"/>
      <c r="AVM91" s="378"/>
      <c r="AVN91" s="378"/>
      <c r="AVO91" s="378"/>
      <c r="AVP91" s="378"/>
      <c r="AVQ91" s="378"/>
      <c r="AVR91" s="378"/>
      <c r="AVS91" s="378"/>
      <c r="AVT91" s="378"/>
      <c r="AVU91" s="378"/>
      <c r="AVV91" s="378"/>
      <c r="AVW91" s="378"/>
      <c r="AVX91" s="378"/>
      <c r="AVY91" s="378"/>
      <c r="AVZ91" s="378"/>
      <c r="AWA91" s="378"/>
      <c r="AWB91" s="378"/>
      <c r="AWC91" s="378"/>
      <c r="AWD91" s="378"/>
      <c r="AWE91" s="378"/>
      <c r="AWF91" s="378"/>
      <c r="AWG91" s="378"/>
      <c r="AWH91" s="378"/>
      <c r="AWI91" s="378"/>
      <c r="AWJ91" s="378"/>
      <c r="AWK91" s="378"/>
      <c r="AWL91" s="378"/>
      <c r="AWM91" s="378"/>
      <c r="AWN91" s="378"/>
      <c r="AWO91" s="378"/>
      <c r="AWP91" s="378"/>
      <c r="AWQ91" s="378"/>
      <c r="AWR91" s="378"/>
      <c r="AWS91" s="378"/>
      <c r="AWT91" s="378"/>
      <c r="AWU91" s="378"/>
      <c r="AWV91" s="378"/>
      <c r="AWW91" s="378"/>
      <c r="AWX91" s="378"/>
      <c r="AWY91" s="378"/>
      <c r="AWZ91" s="378"/>
      <c r="AXA91" s="378"/>
      <c r="AXB91" s="378"/>
      <c r="AXC91" s="378"/>
      <c r="AXD91" s="378"/>
      <c r="AXE91" s="378"/>
      <c r="AXF91" s="378"/>
      <c r="AXG91" s="378"/>
      <c r="AXH91" s="378"/>
      <c r="AXI91" s="378"/>
      <c r="AXJ91" s="378"/>
      <c r="AXK91" s="378"/>
      <c r="AXL91" s="378"/>
      <c r="AXM91" s="378"/>
      <c r="AXN91" s="378"/>
      <c r="AXO91" s="378"/>
      <c r="AXP91" s="378"/>
      <c r="AXQ91" s="378"/>
      <c r="AXR91" s="378"/>
      <c r="AXS91" s="378"/>
      <c r="AXT91" s="378"/>
      <c r="AXU91" s="378"/>
      <c r="AXV91" s="378"/>
      <c r="AXW91" s="378"/>
      <c r="AXX91" s="378"/>
      <c r="AXY91" s="378"/>
      <c r="AXZ91" s="378"/>
      <c r="AYA91" s="378"/>
      <c r="AYB91" s="378"/>
      <c r="AYC91" s="378"/>
      <c r="AYD91" s="378"/>
      <c r="AYE91" s="378"/>
      <c r="AYF91" s="378"/>
      <c r="AYG91" s="378"/>
      <c r="AYH91" s="378"/>
      <c r="AYI91" s="378"/>
      <c r="AYJ91" s="378"/>
      <c r="AYK91" s="378"/>
      <c r="AYL91" s="378"/>
      <c r="AYM91" s="378"/>
      <c r="AYN91" s="378"/>
      <c r="AYO91" s="378"/>
      <c r="AYP91" s="378"/>
      <c r="AYQ91" s="378"/>
      <c r="AYR91" s="378"/>
      <c r="AYS91" s="378"/>
      <c r="AYT91" s="378"/>
      <c r="AYU91" s="378"/>
      <c r="AYV91" s="378"/>
      <c r="AYW91" s="378"/>
      <c r="AYX91" s="378"/>
      <c r="AYY91" s="378"/>
      <c r="AYZ91" s="378"/>
      <c r="AZA91" s="378"/>
      <c r="AZB91" s="378"/>
      <c r="AZC91" s="378"/>
      <c r="AZD91" s="378"/>
      <c r="AZE91" s="378"/>
      <c r="AZF91" s="378"/>
      <c r="AZG91" s="378"/>
      <c r="AZH91" s="378"/>
      <c r="AZI91" s="378"/>
      <c r="AZJ91" s="378"/>
      <c r="AZK91" s="378"/>
      <c r="AZL91" s="378"/>
      <c r="AZM91" s="378"/>
      <c r="AZN91" s="378"/>
      <c r="AZO91" s="378"/>
      <c r="AZP91" s="378"/>
      <c r="AZQ91" s="378"/>
      <c r="AZR91" s="378"/>
      <c r="AZS91" s="378"/>
      <c r="AZT91" s="378"/>
      <c r="AZU91" s="378"/>
      <c r="AZV91" s="378"/>
      <c r="AZW91" s="378"/>
      <c r="AZX91" s="378"/>
      <c r="AZY91" s="378"/>
      <c r="AZZ91" s="378"/>
      <c r="BAA91" s="378"/>
      <c r="BAB91" s="378"/>
      <c r="BAC91" s="378"/>
      <c r="BAD91" s="378"/>
      <c r="BAE91" s="378"/>
      <c r="BAF91" s="378"/>
      <c r="BAG91" s="378"/>
      <c r="BAH91" s="378"/>
      <c r="BAI91" s="378"/>
      <c r="BAJ91" s="378"/>
      <c r="BAK91" s="378"/>
      <c r="BAL91" s="378"/>
      <c r="BAM91" s="378"/>
      <c r="BAN91" s="378"/>
      <c r="BAO91" s="378"/>
      <c r="BAP91" s="378"/>
      <c r="BAQ91" s="378"/>
      <c r="BAR91" s="378"/>
      <c r="BAS91" s="378"/>
      <c r="BAT91" s="378"/>
      <c r="BAU91" s="378"/>
      <c r="BAV91" s="378"/>
      <c r="BAW91" s="378"/>
      <c r="BAX91" s="378"/>
      <c r="BAY91" s="378"/>
      <c r="BAZ91" s="378"/>
      <c r="BBA91" s="378"/>
      <c r="BBB91" s="378"/>
      <c r="BBC91" s="378"/>
      <c r="BBD91" s="378"/>
      <c r="BBE91" s="378"/>
      <c r="BBF91" s="378"/>
      <c r="BBG91" s="378"/>
      <c r="BBH91" s="378"/>
      <c r="BBI91" s="378"/>
      <c r="BBJ91" s="378"/>
      <c r="BBK91" s="378"/>
      <c r="BBL91" s="378"/>
      <c r="BBM91" s="378"/>
      <c r="BBN91" s="378"/>
      <c r="BBO91" s="378"/>
      <c r="BBP91" s="378"/>
      <c r="BBQ91" s="378"/>
      <c r="BBR91" s="378"/>
      <c r="BBS91" s="378"/>
      <c r="BBT91" s="378"/>
      <c r="BBU91" s="378"/>
      <c r="BBV91" s="378"/>
      <c r="BBW91" s="378"/>
      <c r="BBX91" s="378"/>
      <c r="BBY91" s="378"/>
      <c r="BBZ91" s="378"/>
      <c r="BCA91" s="378"/>
      <c r="BCB91" s="378"/>
      <c r="BCC91" s="378"/>
      <c r="BCD91" s="378"/>
      <c r="BCE91" s="378"/>
      <c r="BCF91" s="378"/>
      <c r="BCG91" s="378"/>
      <c r="BCH91" s="378"/>
      <c r="BCI91" s="378"/>
      <c r="BCJ91" s="378"/>
      <c r="BCK91" s="378"/>
      <c r="BCL91" s="378"/>
      <c r="BCM91" s="378"/>
      <c r="BCN91" s="378"/>
      <c r="BCO91" s="378"/>
      <c r="BCP91" s="378"/>
      <c r="BCQ91" s="378"/>
      <c r="BCR91" s="378"/>
      <c r="BCS91" s="378"/>
      <c r="BCT91" s="378"/>
      <c r="BCU91" s="378"/>
      <c r="BCV91" s="378"/>
      <c r="BCW91" s="378"/>
      <c r="BCX91" s="378"/>
      <c r="BCY91" s="378"/>
      <c r="BCZ91" s="378"/>
      <c r="BDA91" s="378"/>
      <c r="BDB91" s="378"/>
      <c r="BDC91" s="378"/>
      <c r="BDD91" s="378"/>
      <c r="BDE91" s="378"/>
      <c r="BDF91" s="378"/>
      <c r="BDG91" s="378"/>
      <c r="BDH91" s="378"/>
      <c r="BDI91" s="378"/>
      <c r="BDJ91" s="378"/>
      <c r="BDK91" s="378"/>
      <c r="BDL91" s="378"/>
      <c r="BDM91" s="378"/>
      <c r="BDN91" s="378"/>
      <c r="BDO91" s="378"/>
      <c r="BDP91" s="378"/>
      <c r="BDQ91" s="378"/>
      <c r="BDR91" s="378"/>
      <c r="BDS91" s="378"/>
      <c r="BDT91" s="378"/>
      <c r="BDU91" s="378"/>
      <c r="BDV91" s="378"/>
      <c r="BDW91" s="378"/>
      <c r="BDX91" s="378"/>
      <c r="BDY91" s="378"/>
      <c r="BDZ91" s="378"/>
      <c r="BEA91" s="378"/>
      <c r="BEB91" s="378"/>
      <c r="BEC91" s="378"/>
      <c r="BED91" s="378"/>
      <c r="BEE91" s="378"/>
      <c r="BEF91" s="378"/>
      <c r="BEG91" s="378"/>
      <c r="BEH91" s="378"/>
      <c r="BEI91" s="378"/>
      <c r="BEJ91" s="378"/>
      <c r="BEK91" s="378"/>
      <c r="BEL91" s="378"/>
      <c r="BEM91" s="378"/>
      <c r="BEN91" s="378"/>
      <c r="BEO91" s="378"/>
      <c r="BEP91" s="378"/>
      <c r="BEQ91" s="378"/>
      <c r="BER91" s="378"/>
      <c r="BES91" s="378"/>
      <c r="BET91" s="378"/>
      <c r="BEU91" s="378"/>
      <c r="BEV91" s="378"/>
      <c r="BEW91" s="378"/>
      <c r="BEX91" s="378"/>
      <c r="BEY91" s="378"/>
      <c r="BEZ91" s="378"/>
      <c r="BFA91" s="378"/>
      <c r="BFB91" s="378"/>
      <c r="BFC91" s="378"/>
      <c r="BFD91" s="378"/>
      <c r="BFE91" s="378"/>
      <c r="BFF91" s="378"/>
      <c r="BFG91" s="378"/>
      <c r="BFH91" s="378"/>
      <c r="BFI91" s="378"/>
      <c r="BFJ91" s="378"/>
      <c r="BFK91" s="378"/>
      <c r="BFL91" s="378"/>
      <c r="BFM91" s="378"/>
      <c r="BFN91" s="378"/>
      <c r="BFO91" s="378"/>
      <c r="BFP91" s="378"/>
      <c r="BFQ91" s="378"/>
      <c r="BFR91" s="378"/>
      <c r="BFS91" s="378"/>
      <c r="BFT91" s="378"/>
      <c r="BFU91" s="378"/>
      <c r="BFV91" s="378"/>
      <c r="BFW91" s="378"/>
      <c r="BFX91" s="378"/>
      <c r="BFY91" s="378"/>
      <c r="BFZ91" s="378"/>
      <c r="BGA91" s="378"/>
      <c r="BGB91" s="378"/>
      <c r="BGC91" s="378"/>
      <c r="BGD91" s="378"/>
      <c r="BGE91" s="378"/>
      <c r="BGF91" s="378"/>
      <c r="BGG91" s="378"/>
      <c r="BGH91" s="378"/>
      <c r="BGI91" s="378"/>
      <c r="BGJ91" s="378"/>
      <c r="BGK91" s="378"/>
      <c r="BGL91" s="378"/>
      <c r="BGM91" s="378"/>
      <c r="BGN91" s="378"/>
      <c r="BGO91" s="378"/>
      <c r="BGP91" s="378"/>
      <c r="BGQ91" s="378"/>
      <c r="BGR91" s="378"/>
      <c r="BGS91" s="378"/>
      <c r="BGT91" s="378"/>
      <c r="BGU91" s="378"/>
      <c r="BGV91" s="378"/>
      <c r="BGW91" s="378"/>
      <c r="BGX91" s="378"/>
      <c r="BGY91" s="378"/>
      <c r="BGZ91" s="378"/>
      <c r="BHA91" s="378"/>
      <c r="BHB91" s="378"/>
      <c r="BHC91" s="378"/>
      <c r="BHD91" s="378"/>
      <c r="BHE91" s="378"/>
      <c r="BHF91" s="378"/>
      <c r="BHG91" s="378"/>
      <c r="BHH91" s="378"/>
      <c r="BHI91" s="378"/>
      <c r="BHJ91" s="378"/>
      <c r="BHK91" s="378"/>
      <c r="BHL91" s="378"/>
      <c r="BHM91" s="378"/>
      <c r="BHN91" s="378"/>
      <c r="BHO91" s="378"/>
      <c r="BHP91" s="378"/>
      <c r="BHQ91" s="378"/>
      <c r="BHR91" s="378"/>
      <c r="BHS91" s="378"/>
      <c r="BHT91" s="378"/>
      <c r="BHU91" s="378"/>
      <c r="BHV91" s="378"/>
      <c r="BHW91" s="378"/>
      <c r="BHX91" s="378"/>
      <c r="BHY91" s="378"/>
      <c r="BHZ91" s="378"/>
      <c r="BIA91" s="378"/>
      <c r="BIB91" s="378"/>
      <c r="BIC91" s="378"/>
      <c r="BID91" s="378"/>
      <c r="BIE91" s="378"/>
      <c r="BIF91" s="378"/>
      <c r="BIG91" s="378"/>
      <c r="BIH91" s="378"/>
      <c r="BII91" s="378"/>
      <c r="BIJ91" s="378"/>
      <c r="BIK91" s="378"/>
      <c r="BIL91" s="378"/>
      <c r="BIM91" s="378"/>
      <c r="BIN91" s="378"/>
      <c r="BIO91" s="378"/>
      <c r="BIP91" s="378"/>
      <c r="BIQ91" s="378"/>
      <c r="BIR91" s="378"/>
      <c r="BIS91" s="378"/>
      <c r="BIT91" s="378"/>
      <c r="BIU91" s="378"/>
      <c r="BIV91" s="378"/>
      <c r="BIW91" s="378"/>
      <c r="BIX91" s="378"/>
      <c r="BIY91" s="378"/>
      <c r="BIZ91" s="378"/>
      <c r="BJA91" s="378"/>
      <c r="BJB91" s="378"/>
      <c r="BJC91" s="378"/>
      <c r="BJD91" s="378"/>
      <c r="BJE91" s="378"/>
      <c r="BJF91" s="378"/>
      <c r="BJG91" s="378"/>
      <c r="BJH91" s="378"/>
      <c r="BJI91" s="378"/>
      <c r="BJJ91" s="378"/>
      <c r="BJK91" s="378"/>
      <c r="BJL91" s="378"/>
      <c r="BJM91" s="378"/>
      <c r="BJN91" s="378"/>
      <c r="BJO91" s="378"/>
      <c r="BJP91" s="378"/>
      <c r="BJQ91" s="378"/>
      <c r="BJR91" s="378"/>
      <c r="BJS91" s="378"/>
      <c r="BJT91" s="378"/>
      <c r="BJU91" s="378"/>
      <c r="BJV91" s="378"/>
      <c r="BJW91" s="378"/>
      <c r="BJX91" s="378"/>
      <c r="BJY91" s="378"/>
      <c r="BJZ91" s="378"/>
      <c r="BKA91" s="378"/>
      <c r="BKB91" s="378"/>
      <c r="BKC91" s="378"/>
      <c r="BKD91" s="378"/>
      <c r="BKE91" s="378"/>
      <c r="BKF91" s="378"/>
      <c r="BKG91" s="378"/>
      <c r="BKH91" s="378"/>
      <c r="BKI91" s="378"/>
      <c r="BKJ91" s="378"/>
      <c r="BKK91" s="378"/>
      <c r="BKL91" s="378"/>
      <c r="BKM91" s="378"/>
      <c r="BKN91" s="378"/>
      <c r="BKO91" s="378"/>
      <c r="BKP91" s="378"/>
      <c r="BKQ91" s="378"/>
      <c r="BKR91" s="378"/>
      <c r="BKS91" s="378"/>
      <c r="BKT91" s="378"/>
      <c r="BKU91" s="378"/>
      <c r="BKV91" s="378"/>
      <c r="BKW91" s="378"/>
      <c r="BKX91" s="378"/>
      <c r="BKY91" s="378"/>
      <c r="BKZ91" s="378"/>
      <c r="BLA91" s="378"/>
      <c r="BLB91" s="378"/>
      <c r="BLC91" s="378"/>
      <c r="BLD91" s="378"/>
      <c r="BLE91" s="378"/>
      <c r="BLF91" s="378"/>
      <c r="BLG91" s="378"/>
      <c r="BLH91" s="378"/>
      <c r="BLI91" s="378"/>
      <c r="BLJ91" s="378"/>
      <c r="BLK91" s="378"/>
      <c r="BLL91" s="378"/>
      <c r="BLM91" s="378"/>
      <c r="BLN91" s="378"/>
      <c r="BLO91" s="378"/>
      <c r="BLP91" s="378"/>
      <c r="BLQ91" s="378"/>
      <c r="BLR91" s="378"/>
      <c r="BLS91" s="378"/>
      <c r="BLT91" s="378"/>
      <c r="BLU91" s="378"/>
      <c r="BLV91" s="378"/>
      <c r="BLW91" s="378"/>
      <c r="BLX91" s="378"/>
      <c r="BLY91" s="378"/>
      <c r="BLZ91" s="378"/>
      <c r="BMA91" s="378"/>
      <c r="BMB91" s="378"/>
      <c r="BMC91" s="378"/>
      <c r="BMD91" s="378"/>
      <c r="BME91" s="378"/>
      <c r="BMF91" s="378"/>
      <c r="BMG91" s="378"/>
      <c r="BMH91" s="378"/>
      <c r="BMI91" s="378"/>
      <c r="BMJ91" s="378"/>
      <c r="BMK91" s="378"/>
      <c r="BML91" s="378"/>
      <c r="BMM91" s="378"/>
      <c r="BMN91" s="378"/>
      <c r="BMO91" s="378"/>
      <c r="BMP91" s="378"/>
      <c r="BMQ91" s="378"/>
      <c r="BMR91" s="378"/>
      <c r="BMS91" s="378"/>
      <c r="BMT91" s="378"/>
      <c r="BMU91" s="378"/>
      <c r="BMV91" s="378"/>
      <c r="BMW91" s="378"/>
      <c r="BMX91" s="378"/>
      <c r="BMY91" s="378"/>
      <c r="BMZ91" s="378"/>
      <c r="BNA91" s="378"/>
      <c r="BNB91" s="378"/>
      <c r="BNC91" s="378"/>
      <c r="BND91" s="378"/>
      <c r="BNE91" s="378"/>
      <c r="BNF91" s="378"/>
      <c r="BNG91" s="378"/>
      <c r="BNH91" s="378"/>
      <c r="BNI91" s="378"/>
      <c r="BNJ91" s="378"/>
      <c r="BNK91" s="378"/>
      <c r="BNL91" s="378"/>
      <c r="BNM91" s="378"/>
      <c r="BNN91" s="378"/>
      <c r="BNO91" s="378"/>
      <c r="BNP91" s="378"/>
      <c r="BNQ91" s="378"/>
      <c r="BNR91" s="378"/>
      <c r="BNS91" s="378"/>
      <c r="BNT91" s="378"/>
      <c r="BNU91" s="378"/>
      <c r="BNV91" s="378"/>
      <c r="BNW91" s="378"/>
      <c r="BNX91" s="378"/>
      <c r="BNY91" s="378"/>
      <c r="BNZ91" s="378"/>
      <c r="BOA91" s="378"/>
      <c r="BOB91" s="378"/>
      <c r="BOC91" s="378"/>
      <c r="BOD91" s="378"/>
      <c r="BOE91" s="378"/>
      <c r="BOF91" s="378"/>
      <c r="BOG91" s="378"/>
      <c r="BOH91" s="378"/>
      <c r="BOI91" s="378"/>
      <c r="BOJ91" s="378"/>
      <c r="BOK91" s="378"/>
      <c r="BOL91" s="378"/>
      <c r="BOM91" s="378"/>
      <c r="BON91" s="378"/>
      <c r="BOO91" s="378"/>
      <c r="BOP91" s="378"/>
      <c r="BOQ91" s="378"/>
      <c r="BOR91" s="378"/>
      <c r="BOS91" s="378"/>
      <c r="BOT91" s="378"/>
      <c r="BOU91" s="378"/>
      <c r="BOV91" s="378"/>
      <c r="BOW91" s="378"/>
      <c r="BOX91" s="378"/>
      <c r="BOY91" s="378"/>
      <c r="BOZ91" s="378"/>
      <c r="BPA91" s="378"/>
      <c r="BPB91" s="378"/>
      <c r="BPC91" s="378"/>
      <c r="BPD91" s="378"/>
      <c r="BPE91" s="378"/>
      <c r="BPF91" s="378"/>
      <c r="BPG91" s="378"/>
      <c r="BPH91" s="378"/>
      <c r="BPI91" s="378"/>
      <c r="BPJ91" s="378"/>
      <c r="BPK91" s="378"/>
      <c r="BPL91" s="378"/>
      <c r="BPM91" s="378"/>
      <c r="BPN91" s="378"/>
      <c r="BPO91" s="378"/>
      <c r="BPP91" s="378"/>
      <c r="BPQ91" s="378"/>
      <c r="BPR91" s="378"/>
      <c r="BPS91" s="378"/>
      <c r="BPT91" s="378"/>
      <c r="BPU91" s="378"/>
      <c r="BPV91" s="378"/>
      <c r="BPW91" s="378"/>
      <c r="BPX91" s="378"/>
      <c r="BPY91" s="378"/>
      <c r="BPZ91" s="378"/>
      <c r="BQA91" s="378"/>
      <c r="BQB91" s="378"/>
      <c r="BQC91" s="378"/>
      <c r="BQD91" s="378"/>
      <c r="BQE91" s="378"/>
      <c r="BQF91" s="378"/>
      <c r="BQG91" s="378"/>
      <c r="BQH91" s="378"/>
      <c r="BQI91" s="378"/>
      <c r="BQJ91" s="378"/>
      <c r="BQK91" s="378"/>
      <c r="BQL91" s="378"/>
      <c r="BQM91" s="378"/>
      <c r="BQN91" s="378"/>
      <c r="BQO91" s="378"/>
      <c r="BQP91" s="378"/>
      <c r="BQQ91" s="378"/>
      <c r="BQR91" s="378"/>
      <c r="BQS91" s="378"/>
      <c r="BQT91" s="378"/>
      <c r="BQU91" s="378"/>
      <c r="BQV91" s="378"/>
      <c r="BQW91" s="378"/>
      <c r="BQX91" s="378"/>
      <c r="BQY91" s="378"/>
      <c r="BQZ91" s="378"/>
      <c r="BRA91" s="378"/>
      <c r="BRB91" s="378"/>
      <c r="BRC91" s="378"/>
      <c r="BRD91" s="378"/>
      <c r="BRE91" s="378"/>
      <c r="BRF91" s="378"/>
      <c r="BRG91" s="378"/>
      <c r="BRH91" s="378"/>
      <c r="BRI91" s="378"/>
      <c r="BRJ91" s="378"/>
      <c r="BRK91" s="378"/>
      <c r="BRL91" s="378"/>
      <c r="BRM91" s="378"/>
      <c r="BRN91" s="378"/>
      <c r="BRO91" s="378"/>
      <c r="BRP91" s="378"/>
      <c r="BRQ91" s="378"/>
      <c r="BRR91" s="378"/>
      <c r="BRS91" s="378"/>
      <c r="BRT91" s="378"/>
      <c r="BRU91" s="378"/>
      <c r="BRV91" s="378"/>
      <c r="BRW91" s="378"/>
      <c r="BRX91" s="378"/>
      <c r="BRY91" s="378"/>
      <c r="BRZ91" s="378"/>
      <c r="BSA91" s="378"/>
      <c r="BSB91" s="378"/>
      <c r="BSC91" s="378"/>
      <c r="BSD91" s="378"/>
      <c r="BSE91" s="378"/>
      <c r="BSF91" s="378"/>
      <c r="BSG91" s="378"/>
      <c r="BSH91" s="378"/>
      <c r="BSI91" s="378"/>
      <c r="BSJ91" s="378"/>
      <c r="BSK91" s="378"/>
      <c r="BSL91" s="378"/>
      <c r="BSM91" s="378"/>
      <c r="BSN91" s="378"/>
      <c r="BSO91" s="378"/>
      <c r="BSP91" s="378"/>
      <c r="BSQ91" s="378"/>
      <c r="BSR91" s="378"/>
      <c r="BSS91" s="378"/>
      <c r="BST91" s="378"/>
      <c r="BSU91" s="378"/>
      <c r="BSV91" s="378"/>
      <c r="BSW91" s="378"/>
      <c r="BSX91" s="378"/>
      <c r="BSY91" s="378"/>
      <c r="BSZ91" s="378"/>
      <c r="BTA91" s="378"/>
      <c r="BTB91" s="378"/>
      <c r="BTC91" s="378"/>
      <c r="BTD91" s="378"/>
      <c r="BTE91" s="378"/>
      <c r="BTF91" s="378"/>
      <c r="BTG91" s="378"/>
      <c r="BTH91" s="378"/>
      <c r="BTI91" s="378"/>
      <c r="BTJ91" s="378"/>
      <c r="BTK91" s="378"/>
      <c r="BTL91" s="378"/>
      <c r="BTM91" s="378"/>
      <c r="BTN91" s="378"/>
      <c r="BTO91" s="378"/>
      <c r="BTP91" s="378"/>
      <c r="BTQ91" s="378"/>
      <c r="BTR91" s="378"/>
      <c r="BTS91" s="378"/>
      <c r="BTT91" s="378"/>
      <c r="BTU91" s="378"/>
      <c r="BTV91" s="378"/>
      <c r="BTW91" s="378"/>
      <c r="BTX91" s="378"/>
      <c r="BTY91" s="378"/>
      <c r="BTZ91" s="378"/>
      <c r="BUA91" s="378"/>
      <c r="BUB91" s="378"/>
      <c r="BUC91" s="378"/>
      <c r="BUD91" s="378"/>
      <c r="BUE91" s="378"/>
      <c r="BUF91" s="378"/>
      <c r="BUG91" s="378"/>
      <c r="BUH91" s="378"/>
      <c r="BUI91" s="378"/>
      <c r="BUJ91" s="378"/>
      <c r="BUK91" s="378"/>
      <c r="BUL91" s="378"/>
      <c r="BUM91" s="378"/>
      <c r="BUN91" s="378"/>
      <c r="BUO91" s="378"/>
      <c r="BUP91" s="378"/>
      <c r="BUQ91" s="378"/>
      <c r="BUR91" s="378"/>
      <c r="BUS91" s="378"/>
      <c r="BUT91" s="378"/>
      <c r="BUU91" s="378"/>
      <c r="BUV91" s="378"/>
      <c r="BUW91" s="378"/>
      <c r="BUX91" s="378"/>
      <c r="BUY91" s="378"/>
      <c r="BUZ91" s="378"/>
      <c r="BVA91" s="378"/>
      <c r="BVB91" s="378"/>
      <c r="BVC91" s="378"/>
      <c r="BVD91" s="378"/>
      <c r="BVE91" s="378"/>
      <c r="BVF91" s="378"/>
      <c r="BVG91" s="378"/>
      <c r="BVH91" s="378"/>
      <c r="BVI91" s="378"/>
      <c r="BVJ91" s="378"/>
      <c r="BVK91" s="378"/>
      <c r="BVL91" s="378"/>
      <c r="BVM91" s="378"/>
      <c r="BVN91" s="378"/>
      <c r="BVO91" s="378"/>
      <c r="BVP91" s="378"/>
      <c r="BVQ91" s="378"/>
      <c r="BVR91" s="378"/>
      <c r="BVS91" s="378"/>
      <c r="BVT91" s="378"/>
      <c r="BVU91" s="378"/>
      <c r="BVV91" s="378"/>
      <c r="BVW91" s="378"/>
      <c r="BVX91" s="378"/>
      <c r="BVY91" s="378"/>
      <c r="BVZ91" s="378"/>
      <c r="BWA91" s="378"/>
      <c r="BWB91" s="378"/>
      <c r="BWC91" s="378"/>
      <c r="BWD91" s="378"/>
      <c r="BWE91" s="378"/>
      <c r="BWF91" s="378"/>
      <c r="BWG91" s="378"/>
      <c r="BWH91" s="378"/>
      <c r="BWI91" s="378"/>
      <c r="BWJ91" s="378"/>
      <c r="BWK91" s="378"/>
      <c r="BWL91" s="378"/>
      <c r="BWM91" s="378"/>
      <c r="BWN91" s="378"/>
      <c r="BWO91" s="378"/>
      <c r="BWP91" s="378"/>
      <c r="BWQ91" s="378"/>
      <c r="BWR91" s="378"/>
      <c r="BWS91" s="378"/>
      <c r="BWT91" s="378"/>
      <c r="BWU91" s="378"/>
      <c r="BWV91" s="378"/>
      <c r="BWW91" s="378"/>
      <c r="BWX91" s="378"/>
      <c r="BWY91" s="378"/>
      <c r="BWZ91" s="378"/>
      <c r="BXA91" s="378"/>
      <c r="BXB91" s="378"/>
      <c r="BXC91" s="378"/>
      <c r="BXD91" s="378"/>
      <c r="BXE91" s="378"/>
      <c r="BXF91" s="378"/>
      <c r="BXG91" s="378"/>
      <c r="BXH91" s="378"/>
      <c r="BXI91" s="378"/>
      <c r="BXJ91" s="378"/>
      <c r="BXK91" s="378"/>
      <c r="BXL91" s="378"/>
      <c r="BXM91" s="378"/>
      <c r="BXN91" s="378"/>
      <c r="BXO91" s="378"/>
      <c r="BXP91" s="378"/>
      <c r="BXQ91" s="378"/>
      <c r="BXR91" s="378"/>
      <c r="BXS91" s="378"/>
      <c r="BXT91" s="378"/>
      <c r="BXU91" s="378"/>
      <c r="BXV91" s="378"/>
      <c r="BXW91" s="378"/>
      <c r="BXX91" s="378"/>
      <c r="BXY91" s="378"/>
      <c r="BXZ91" s="378"/>
      <c r="BYA91" s="378"/>
      <c r="BYB91" s="378"/>
      <c r="BYC91" s="378"/>
      <c r="BYD91" s="378"/>
      <c r="BYE91" s="378"/>
      <c r="BYF91" s="378"/>
      <c r="BYG91" s="378"/>
      <c r="BYH91" s="378"/>
      <c r="BYI91" s="378"/>
      <c r="BYJ91" s="378"/>
      <c r="BYK91" s="378"/>
      <c r="BYL91" s="378"/>
      <c r="BYM91" s="378"/>
      <c r="BYN91" s="378"/>
      <c r="BYO91" s="378"/>
      <c r="BYP91" s="378"/>
      <c r="BYQ91" s="378"/>
      <c r="BYR91" s="378"/>
      <c r="BYS91" s="378"/>
      <c r="BYT91" s="378"/>
      <c r="BYU91" s="378"/>
      <c r="BYV91" s="378"/>
      <c r="BYW91" s="378"/>
      <c r="BYX91" s="378"/>
      <c r="BYY91" s="378"/>
      <c r="BYZ91" s="378"/>
      <c r="BZA91" s="378"/>
      <c r="BZB91" s="378"/>
      <c r="BZC91" s="378"/>
      <c r="BZD91" s="378"/>
      <c r="BZE91" s="378"/>
      <c r="BZF91" s="378"/>
      <c r="BZG91" s="378"/>
      <c r="BZH91" s="378"/>
      <c r="BZI91" s="378"/>
      <c r="BZJ91" s="378"/>
      <c r="BZK91" s="378"/>
      <c r="BZL91" s="378"/>
      <c r="BZM91" s="378"/>
      <c r="BZN91" s="378"/>
      <c r="BZO91" s="378"/>
      <c r="BZP91" s="378"/>
      <c r="BZQ91" s="378"/>
      <c r="BZR91" s="378"/>
      <c r="BZS91" s="378"/>
      <c r="BZT91" s="378"/>
      <c r="BZU91" s="378"/>
      <c r="BZV91" s="378"/>
      <c r="BZW91" s="378"/>
      <c r="BZX91" s="378"/>
      <c r="BZY91" s="378"/>
      <c r="BZZ91" s="378"/>
      <c r="CAA91" s="378"/>
      <c r="CAB91" s="378"/>
      <c r="CAC91" s="378"/>
      <c r="CAD91" s="378"/>
      <c r="CAE91" s="378"/>
      <c r="CAF91" s="378"/>
      <c r="CAG91" s="378"/>
      <c r="CAH91" s="378"/>
      <c r="CAI91" s="378"/>
      <c r="CAJ91" s="378"/>
      <c r="CAK91" s="378"/>
      <c r="CAL91" s="378"/>
      <c r="CAM91" s="378"/>
      <c r="CAN91" s="378"/>
      <c r="CAO91" s="378"/>
      <c r="CAP91" s="378"/>
      <c r="CAQ91" s="378"/>
      <c r="CAR91" s="378"/>
      <c r="CAS91" s="378"/>
      <c r="CAT91" s="378"/>
      <c r="CAU91" s="378"/>
      <c r="CAV91" s="378"/>
      <c r="CAW91" s="378"/>
      <c r="CAX91" s="378"/>
      <c r="CAY91" s="378"/>
      <c r="CAZ91" s="378"/>
      <c r="CBA91" s="378"/>
      <c r="CBB91" s="378"/>
      <c r="CBC91" s="378"/>
      <c r="CBD91" s="378"/>
      <c r="CBE91" s="378"/>
      <c r="CBF91" s="378"/>
      <c r="CBG91" s="378"/>
      <c r="CBH91" s="378"/>
      <c r="CBI91" s="378"/>
      <c r="CBJ91" s="378"/>
      <c r="CBK91" s="378"/>
      <c r="CBL91" s="378"/>
      <c r="CBM91" s="378"/>
      <c r="CBN91" s="378"/>
      <c r="CBO91" s="378"/>
      <c r="CBP91" s="378"/>
      <c r="CBQ91" s="378"/>
      <c r="CBR91" s="378"/>
      <c r="CBS91" s="378"/>
      <c r="CBT91" s="378"/>
      <c r="CBU91" s="378"/>
      <c r="CBV91" s="378"/>
      <c r="CBW91" s="378"/>
      <c r="CBX91" s="378"/>
      <c r="CBY91" s="378"/>
      <c r="CBZ91" s="378"/>
      <c r="CCA91" s="378"/>
      <c r="CCB91" s="378"/>
      <c r="CCC91" s="378"/>
      <c r="CCD91" s="378"/>
      <c r="CCE91" s="378"/>
      <c r="CCF91" s="378"/>
      <c r="CCG91" s="378"/>
      <c r="CCH91" s="378"/>
      <c r="CCI91" s="378"/>
      <c r="CCJ91" s="378"/>
      <c r="CCK91" s="378"/>
      <c r="CCL91" s="378"/>
      <c r="CCM91" s="378"/>
      <c r="CCN91" s="378"/>
      <c r="CCO91" s="378"/>
      <c r="CCP91" s="378"/>
      <c r="CCQ91" s="378"/>
      <c r="CCR91" s="378"/>
      <c r="CCS91" s="378"/>
      <c r="CCT91" s="378"/>
      <c r="CCU91" s="378"/>
      <c r="CCV91" s="378"/>
      <c r="CCW91" s="378"/>
      <c r="CCX91" s="378"/>
      <c r="CCY91" s="378"/>
      <c r="CCZ91" s="378"/>
      <c r="CDA91" s="378"/>
      <c r="CDB91" s="378"/>
      <c r="CDC91" s="378"/>
      <c r="CDD91" s="378"/>
      <c r="CDE91" s="378"/>
      <c r="CDF91" s="378"/>
      <c r="CDG91" s="378"/>
      <c r="CDH91" s="378"/>
      <c r="CDI91" s="378"/>
      <c r="CDJ91" s="378"/>
      <c r="CDK91" s="378"/>
      <c r="CDL91" s="378"/>
      <c r="CDM91" s="378"/>
      <c r="CDN91" s="378"/>
      <c r="CDO91" s="378"/>
      <c r="CDP91" s="378"/>
      <c r="CDQ91" s="378"/>
      <c r="CDR91" s="378"/>
      <c r="CDS91" s="378"/>
      <c r="CDT91" s="378"/>
      <c r="CDU91" s="378"/>
      <c r="CDV91" s="378"/>
      <c r="CDW91" s="378"/>
      <c r="CDX91" s="378"/>
      <c r="CDY91" s="378"/>
      <c r="CDZ91" s="378"/>
      <c r="CEA91" s="378"/>
      <c r="CEB91" s="378"/>
      <c r="CEC91" s="378"/>
      <c r="CED91" s="378"/>
      <c r="CEE91" s="378"/>
      <c r="CEF91" s="378"/>
      <c r="CEG91" s="378"/>
      <c r="CEH91" s="378"/>
      <c r="CEI91" s="378"/>
      <c r="CEJ91" s="378"/>
      <c r="CEK91" s="378"/>
      <c r="CEL91" s="378"/>
      <c r="CEM91" s="378"/>
      <c r="CEN91" s="378"/>
      <c r="CEO91" s="378"/>
      <c r="CEP91" s="378"/>
      <c r="CEQ91" s="378"/>
      <c r="CER91" s="378"/>
      <c r="CES91" s="378"/>
      <c r="CET91" s="378"/>
      <c r="CEU91" s="378"/>
      <c r="CEV91" s="378"/>
      <c r="CEW91" s="378"/>
      <c r="CEX91" s="378"/>
      <c r="CEY91" s="378"/>
      <c r="CEZ91" s="378"/>
      <c r="CFA91" s="378"/>
      <c r="CFB91" s="378"/>
      <c r="CFC91" s="378"/>
      <c r="CFD91" s="378"/>
      <c r="CFE91" s="378"/>
      <c r="CFF91" s="378"/>
      <c r="CFG91" s="378"/>
      <c r="CFH91" s="378"/>
      <c r="CFI91" s="378"/>
      <c r="CFJ91" s="378"/>
      <c r="CFK91" s="378"/>
      <c r="CFL91" s="378"/>
      <c r="CFM91" s="378"/>
      <c r="CFN91" s="378"/>
      <c r="CFO91" s="378"/>
      <c r="CFP91" s="378"/>
      <c r="CFQ91" s="378"/>
      <c r="CFR91" s="378"/>
      <c r="CFS91" s="378"/>
      <c r="CFT91" s="378"/>
      <c r="CFU91" s="378"/>
      <c r="CFV91" s="378"/>
      <c r="CFW91" s="378"/>
      <c r="CFX91" s="378"/>
      <c r="CFY91" s="378"/>
      <c r="CFZ91" s="378"/>
      <c r="CGA91" s="378"/>
      <c r="CGB91" s="378"/>
      <c r="CGC91" s="378"/>
      <c r="CGD91" s="378"/>
      <c r="CGE91" s="378"/>
      <c r="CGF91" s="378"/>
      <c r="CGG91" s="378"/>
      <c r="CGH91" s="378"/>
      <c r="CGI91" s="378"/>
      <c r="CGJ91" s="378"/>
      <c r="CGK91" s="378"/>
      <c r="CGL91" s="378"/>
      <c r="CGM91" s="378"/>
      <c r="CGN91" s="378"/>
      <c r="CGO91" s="378"/>
      <c r="CGP91" s="378"/>
      <c r="CGQ91" s="378"/>
      <c r="CGR91" s="378"/>
      <c r="CGS91" s="378"/>
      <c r="CGT91" s="378"/>
      <c r="CGU91" s="378"/>
      <c r="CGV91" s="378"/>
      <c r="CGW91" s="378"/>
      <c r="CGX91" s="378"/>
      <c r="CGY91" s="378"/>
      <c r="CGZ91" s="378"/>
      <c r="CHA91" s="378"/>
      <c r="CHB91" s="378"/>
      <c r="CHC91" s="378"/>
      <c r="CHD91" s="378"/>
      <c r="CHE91" s="378"/>
      <c r="CHF91" s="378"/>
      <c r="CHG91" s="378"/>
      <c r="CHH91" s="378"/>
      <c r="CHI91" s="378"/>
      <c r="CHJ91" s="378"/>
      <c r="CHK91" s="378"/>
      <c r="CHL91" s="378"/>
      <c r="CHM91" s="378"/>
      <c r="CHN91" s="378"/>
      <c r="CHO91" s="378"/>
      <c r="CHP91" s="378"/>
      <c r="CHQ91" s="378"/>
      <c r="CHR91" s="378"/>
      <c r="CHS91" s="378"/>
      <c r="CHT91" s="378"/>
      <c r="CHU91" s="378"/>
      <c r="CHV91" s="378"/>
      <c r="CHW91" s="378"/>
      <c r="CHX91" s="378"/>
      <c r="CHY91" s="378"/>
      <c r="CHZ91" s="378"/>
      <c r="CIA91" s="378"/>
      <c r="CIB91" s="378"/>
      <c r="CIC91" s="378"/>
      <c r="CID91" s="378"/>
      <c r="CIE91" s="378"/>
      <c r="CIF91" s="378"/>
      <c r="CIG91" s="378"/>
      <c r="CIH91" s="378"/>
      <c r="CII91" s="378"/>
      <c r="CIJ91" s="378"/>
      <c r="CIK91" s="378"/>
      <c r="CIL91" s="378"/>
      <c r="CIM91" s="378"/>
      <c r="CIN91" s="378"/>
      <c r="CIO91" s="378"/>
      <c r="CIP91" s="378"/>
      <c r="CIQ91" s="378"/>
      <c r="CIR91" s="378"/>
      <c r="CIS91" s="378"/>
      <c r="CIT91" s="378"/>
      <c r="CIU91" s="378"/>
      <c r="CIV91" s="378"/>
      <c r="CIW91" s="378"/>
      <c r="CIX91" s="378"/>
      <c r="CIY91" s="378"/>
      <c r="CIZ91" s="378"/>
      <c r="CJA91" s="378"/>
      <c r="CJB91" s="378"/>
      <c r="CJC91" s="378"/>
      <c r="CJD91" s="378"/>
      <c r="CJE91" s="378"/>
      <c r="CJF91" s="378"/>
      <c r="CJG91" s="378"/>
      <c r="CJH91" s="378"/>
      <c r="CJI91" s="378"/>
      <c r="CJJ91" s="378"/>
      <c r="CJK91" s="378"/>
      <c r="CJL91" s="378"/>
      <c r="CJM91" s="378"/>
      <c r="CJN91" s="378"/>
      <c r="CJO91" s="378"/>
      <c r="CJP91" s="378"/>
      <c r="CJQ91" s="378"/>
      <c r="CJR91" s="378"/>
      <c r="CJS91" s="378"/>
      <c r="CJT91" s="378"/>
      <c r="CJU91" s="378"/>
      <c r="CJV91" s="378"/>
      <c r="CJW91" s="378"/>
      <c r="CJX91" s="378"/>
      <c r="CJY91" s="378"/>
      <c r="CJZ91" s="378"/>
      <c r="CKA91" s="378"/>
      <c r="CKB91" s="378"/>
      <c r="CKC91" s="378"/>
      <c r="CKD91" s="378"/>
      <c r="CKE91" s="378"/>
      <c r="CKF91" s="378"/>
      <c r="CKG91" s="378"/>
      <c r="CKH91" s="378"/>
      <c r="CKI91" s="378"/>
      <c r="CKJ91" s="378"/>
      <c r="CKK91" s="378"/>
      <c r="CKL91" s="378"/>
      <c r="CKM91" s="378"/>
      <c r="CKN91" s="378"/>
      <c r="CKO91" s="378"/>
      <c r="CKP91" s="378"/>
      <c r="CKQ91" s="378"/>
      <c r="CKR91" s="378"/>
      <c r="CKS91" s="378"/>
      <c r="CKT91" s="378"/>
      <c r="CKU91" s="378"/>
      <c r="CKV91" s="378"/>
      <c r="CKW91" s="378"/>
      <c r="CKX91" s="378"/>
      <c r="CKY91" s="378"/>
      <c r="CKZ91" s="378"/>
      <c r="CLA91" s="378"/>
      <c r="CLB91" s="378"/>
      <c r="CLC91" s="378"/>
      <c r="CLD91" s="378"/>
      <c r="CLE91" s="378"/>
      <c r="CLF91" s="378"/>
      <c r="CLG91" s="378"/>
      <c r="CLH91" s="378"/>
      <c r="CLI91" s="378"/>
      <c r="CLJ91" s="378"/>
      <c r="CLK91" s="378"/>
      <c r="CLL91" s="378"/>
      <c r="CLM91" s="378"/>
      <c r="CLN91" s="378"/>
      <c r="CLO91" s="378"/>
      <c r="CLP91" s="378"/>
      <c r="CLQ91" s="378"/>
      <c r="CLR91" s="378"/>
      <c r="CLS91" s="378"/>
      <c r="CLT91" s="378"/>
      <c r="CLU91" s="378"/>
      <c r="CLV91" s="378"/>
      <c r="CLW91" s="378"/>
      <c r="CLX91" s="378"/>
      <c r="CLY91" s="378"/>
      <c r="CLZ91" s="378"/>
      <c r="CMA91" s="378"/>
      <c r="CMB91" s="378"/>
      <c r="CMC91" s="378"/>
      <c r="CMD91" s="378"/>
      <c r="CME91" s="378"/>
      <c r="CMF91" s="378"/>
      <c r="CMG91" s="378"/>
      <c r="CMH91" s="378"/>
      <c r="CMI91" s="378"/>
      <c r="CMJ91" s="378"/>
      <c r="CMK91" s="378"/>
      <c r="CML91" s="378"/>
      <c r="CMM91" s="378"/>
      <c r="CMN91" s="378"/>
      <c r="CMO91" s="378"/>
      <c r="CMP91" s="378"/>
      <c r="CMQ91" s="378"/>
      <c r="CMR91" s="378"/>
      <c r="CMS91" s="378"/>
      <c r="CMT91" s="378"/>
      <c r="CMU91" s="378"/>
      <c r="CMV91" s="378"/>
      <c r="CMW91" s="378"/>
      <c r="CMX91" s="378"/>
      <c r="CMY91" s="378"/>
      <c r="CMZ91" s="378"/>
      <c r="CNA91" s="378"/>
      <c r="CNB91" s="378"/>
      <c r="CNC91" s="378"/>
      <c r="CND91" s="378"/>
      <c r="CNE91" s="378"/>
      <c r="CNF91" s="378"/>
      <c r="CNG91" s="378"/>
      <c r="CNH91" s="378"/>
      <c r="CNI91" s="378"/>
      <c r="CNJ91" s="378"/>
      <c r="CNK91" s="378"/>
      <c r="CNL91" s="378"/>
      <c r="CNM91" s="378"/>
      <c r="CNN91" s="378"/>
      <c r="CNO91" s="378"/>
      <c r="CNP91" s="378"/>
      <c r="CNQ91" s="378"/>
      <c r="CNR91" s="378"/>
      <c r="CNS91" s="378"/>
      <c r="CNT91" s="378"/>
      <c r="CNU91" s="378"/>
      <c r="CNV91" s="378"/>
      <c r="CNW91" s="378"/>
      <c r="CNX91" s="378"/>
      <c r="CNY91" s="378"/>
      <c r="CNZ91" s="378"/>
      <c r="COA91" s="378"/>
      <c r="COB91" s="378"/>
      <c r="COC91" s="378"/>
      <c r="COD91" s="378"/>
      <c r="COE91" s="378"/>
      <c r="COF91" s="378"/>
      <c r="COG91" s="378"/>
      <c r="COH91" s="378"/>
      <c r="COI91" s="378"/>
      <c r="COJ91" s="378"/>
      <c r="COK91" s="378"/>
      <c r="COL91" s="378"/>
      <c r="COM91" s="378"/>
      <c r="CON91" s="378"/>
      <c r="COO91" s="378"/>
      <c r="COP91" s="378"/>
      <c r="COQ91" s="378"/>
      <c r="COR91" s="378"/>
      <c r="COS91" s="378"/>
      <c r="COT91" s="378"/>
      <c r="COU91" s="378"/>
      <c r="COV91" s="378"/>
      <c r="COW91" s="378"/>
      <c r="COX91" s="378"/>
      <c r="COY91" s="378"/>
      <c r="COZ91" s="378"/>
      <c r="CPA91" s="378"/>
      <c r="CPB91" s="378"/>
      <c r="CPC91" s="378"/>
      <c r="CPD91" s="378"/>
      <c r="CPE91" s="378"/>
      <c r="CPF91" s="378"/>
      <c r="CPG91" s="378"/>
      <c r="CPH91" s="378"/>
      <c r="CPI91" s="378"/>
      <c r="CPJ91" s="378"/>
      <c r="CPK91" s="378"/>
      <c r="CPL91" s="378"/>
      <c r="CPM91" s="378"/>
      <c r="CPN91" s="378"/>
      <c r="CPO91" s="378"/>
      <c r="CPP91" s="378"/>
      <c r="CPQ91" s="378"/>
      <c r="CPR91" s="378"/>
      <c r="CPS91" s="378"/>
      <c r="CPT91" s="378"/>
      <c r="CPU91" s="378"/>
      <c r="CPV91" s="378"/>
      <c r="CPW91" s="378"/>
      <c r="CPX91" s="378"/>
      <c r="CPY91" s="378"/>
      <c r="CPZ91" s="378"/>
      <c r="CQA91" s="378"/>
      <c r="CQB91" s="378"/>
      <c r="CQC91" s="378"/>
      <c r="CQD91" s="378"/>
      <c r="CQE91" s="378"/>
      <c r="CQF91" s="378"/>
      <c r="CQG91" s="378"/>
      <c r="CQH91" s="378"/>
      <c r="CQI91" s="378"/>
      <c r="CQJ91" s="378"/>
      <c r="CQK91" s="378"/>
      <c r="CQL91" s="378"/>
      <c r="CQM91" s="378"/>
      <c r="CQN91" s="378"/>
      <c r="CQO91" s="378"/>
      <c r="CQP91" s="378"/>
      <c r="CQQ91" s="378"/>
      <c r="CQR91" s="378"/>
      <c r="CQS91" s="378"/>
      <c r="CQT91" s="378"/>
      <c r="CQU91" s="378"/>
      <c r="CQV91" s="378"/>
      <c r="CQW91" s="378"/>
      <c r="CQX91" s="378"/>
      <c r="CQY91" s="378"/>
      <c r="CQZ91" s="378"/>
      <c r="CRA91" s="378"/>
      <c r="CRB91" s="378"/>
      <c r="CRC91" s="378"/>
      <c r="CRD91" s="378"/>
      <c r="CRE91" s="378"/>
      <c r="CRF91" s="378"/>
      <c r="CRG91" s="378"/>
      <c r="CRH91" s="378"/>
      <c r="CRI91" s="378"/>
      <c r="CRJ91" s="378"/>
      <c r="CRK91" s="378"/>
      <c r="CRL91" s="378"/>
      <c r="CRM91" s="378"/>
      <c r="CRN91" s="378"/>
      <c r="CRO91" s="378"/>
      <c r="CRP91" s="378"/>
      <c r="CRQ91" s="378"/>
      <c r="CRR91" s="378"/>
      <c r="CRS91" s="378"/>
      <c r="CRT91" s="378"/>
      <c r="CRU91" s="378"/>
      <c r="CRV91" s="378"/>
      <c r="CRW91" s="378"/>
      <c r="CRX91" s="378"/>
      <c r="CRY91" s="378"/>
      <c r="CRZ91" s="378"/>
      <c r="CSA91" s="378"/>
      <c r="CSB91" s="378"/>
      <c r="CSC91" s="378"/>
      <c r="CSD91" s="378"/>
      <c r="CSE91" s="378"/>
      <c r="CSF91" s="378"/>
      <c r="CSG91" s="378"/>
      <c r="CSH91" s="378"/>
      <c r="CSI91" s="378"/>
      <c r="CSJ91" s="378"/>
      <c r="CSK91" s="378"/>
      <c r="CSL91" s="378"/>
      <c r="CSM91" s="378"/>
      <c r="CSN91" s="378"/>
      <c r="CSO91" s="378"/>
      <c r="CSP91" s="378"/>
      <c r="CSQ91" s="378"/>
      <c r="CSR91" s="378"/>
      <c r="CSS91" s="378"/>
      <c r="CST91" s="378"/>
      <c r="CSU91" s="378"/>
      <c r="CSV91" s="378"/>
      <c r="CSW91" s="378"/>
      <c r="CSX91" s="378"/>
      <c r="CSY91" s="378"/>
      <c r="CSZ91" s="378"/>
      <c r="CTA91" s="378"/>
      <c r="CTB91" s="378"/>
      <c r="CTC91" s="378"/>
      <c r="CTD91" s="378"/>
      <c r="CTE91" s="378"/>
      <c r="CTF91" s="378"/>
      <c r="CTG91" s="378"/>
      <c r="CTH91" s="378"/>
      <c r="CTI91" s="378"/>
      <c r="CTJ91" s="378"/>
      <c r="CTK91" s="378"/>
      <c r="CTL91" s="378"/>
      <c r="CTM91" s="378"/>
      <c r="CTN91" s="378"/>
      <c r="CTO91" s="378"/>
      <c r="CTP91" s="378"/>
      <c r="CTQ91" s="378"/>
      <c r="CTR91" s="378"/>
      <c r="CTS91" s="378"/>
      <c r="CTT91" s="378"/>
      <c r="CTU91" s="378"/>
      <c r="CTV91" s="378"/>
      <c r="CTW91" s="378"/>
      <c r="CTX91" s="378"/>
      <c r="CTY91" s="378"/>
      <c r="CTZ91" s="378"/>
      <c r="CUA91" s="378"/>
      <c r="CUB91" s="378"/>
      <c r="CUC91" s="378"/>
      <c r="CUD91" s="378"/>
      <c r="CUE91" s="378"/>
      <c r="CUF91" s="378"/>
      <c r="CUG91" s="378"/>
      <c r="CUH91" s="378"/>
      <c r="CUI91" s="378"/>
      <c r="CUJ91" s="378"/>
      <c r="CUK91" s="378"/>
      <c r="CUL91" s="378"/>
      <c r="CUM91" s="378"/>
      <c r="CUN91" s="378"/>
      <c r="CUO91" s="378"/>
      <c r="CUP91" s="378"/>
      <c r="CUQ91" s="378"/>
      <c r="CUR91" s="378"/>
      <c r="CUS91" s="378"/>
      <c r="CUT91" s="378"/>
      <c r="CUU91" s="378"/>
      <c r="CUV91" s="378"/>
      <c r="CUW91" s="378"/>
      <c r="CUX91" s="378"/>
      <c r="CUY91" s="378"/>
      <c r="CUZ91" s="378"/>
      <c r="CVA91" s="378"/>
      <c r="CVB91" s="378"/>
      <c r="CVC91" s="378"/>
      <c r="CVD91" s="378"/>
      <c r="CVE91" s="378"/>
      <c r="CVF91" s="378"/>
      <c r="CVG91" s="378"/>
      <c r="CVH91" s="378"/>
      <c r="CVI91" s="378"/>
      <c r="CVJ91" s="378"/>
      <c r="CVK91" s="378"/>
      <c r="CVL91" s="378"/>
      <c r="CVM91" s="378"/>
      <c r="CVN91" s="378"/>
      <c r="CVO91" s="378"/>
      <c r="CVP91" s="378"/>
      <c r="CVQ91" s="378"/>
      <c r="CVR91" s="378"/>
      <c r="CVS91" s="378"/>
      <c r="CVT91" s="378"/>
      <c r="CVU91" s="378"/>
      <c r="CVV91" s="378"/>
      <c r="CVW91" s="378"/>
      <c r="CVX91" s="378"/>
      <c r="CVY91" s="378"/>
      <c r="CVZ91" s="378"/>
      <c r="CWA91" s="378"/>
      <c r="CWB91" s="378"/>
      <c r="CWC91" s="378"/>
      <c r="CWD91" s="378"/>
      <c r="CWE91" s="378"/>
      <c r="CWF91" s="378"/>
      <c r="CWG91" s="378"/>
      <c r="CWH91" s="378"/>
      <c r="CWI91" s="378"/>
      <c r="CWJ91" s="378"/>
      <c r="CWK91" s="378"/>
      <c r="CWL91" s="378"/>
      <c r="CWM91" s="378"/>
      <c r="CWN91" s="378"/>
      <c r="CWO91" s="378"/>
      <c r="CWP91" s="378"/>
      <c r="CWQ91" s="378"/>
      <c r="CWR91" s="378"/>
      <c r="CWS91" s="378"/>
      <c r="CWT91" s="378"/>
      <c r="CWU91" s="378"/>
      <c r="CWV91" s="378"/>
      <c r="CWW91" s="378"/>
      <c r="CWX91" s="378"/>
      <c r="CWY91" s="378"/>
      <c r="CWZ91" s="378"/>
      <c r="CXA91" s="378"/>
      <c r="CXB91" s="378"/>
      <c r="CXC91" s="378"/>
      <c r="CXD91" s="378"/>
      <c r="CXE91" s="378"/>
      <c r="CXF91" s="378"/>
      <c r="CXG91" s="378"/>
      <c r="CXH91" s="378"/>
      <c r="CXI91" s="378"/>
      <c r="CXJ91" s="378"/>
      <c r="CXK91" s="378"/>
      <c r="CXL91" s="378"/>
      <c r="CXM91" s="378"/>
      <c r="CXN91" s="378"/>
      <c r="CXO91" s="378"/>
      <c r="CXP91" s="378"/>
      <c r="CXQ91" s="378"/>
      <c r="CXR91" s="378"/>
      <c r="CXS91" s="378"/>
      <c r="CXT91" s="378"/>
      <c r="CXU91" s="378"/>
      <c r="CXV91" s="378"/>
      <c r="CXW91" s="378"/>
      <c r="CXX91" s="378"/>
      <c r="CXY91" s="378"/>
      <c r="CXZ91" s="378"/>
      <c r="CYA91" s="378"/>
      <c r="CYB91" s="378"/>
      <c r="CYC91" s="378"/>
      <c r="CYD91" s="378"/>
      <c r="CYE91" s="378"/>
      <c r="CYF91" s="378"/>
      <c r="CYG91" s="378"/>
      <c r="CYH91" s="378"/>
      <c r="CYI91" s="378"/>
      <c r="CYJ91" s="378"/>
      <c r="CYK91" s="378"/>
      <c r="CYL91" s="378"/>
      <c r="CYM91" s="378"/>
      <c r="CYN91" s="378"/>
      <c r="CYO91" s="378"/>
      <c r="CYP91" s="378"/>
      <c r="CYQ91" s="378"/>
      <c r="CYR91" s="378"/>
      <c r="CYS91" s="378"/>
      <c r="CYT91" s="378"/>
      <c r="CYU91" s="378"/>
      <c r="CYV91" s="378"/>
      <c r="CYW91" s="378"/>
      <c r="CYX91" s="378"/>
      <c r="CYY91" s="378"/>
      <c r="CYZ91" s="378"/>
      <c r="CZA91" s="378"/>
      <c r="CZB91" s="378"/>
      <c r="CZC91" s="378"/>
      <c r="CZD91" s="378"/>
      <c r="CZE91" s="378"/>
      <c r="CZF91" s="378"/>
      <c r="CZG91" s="378"/>
      <c r="CZH91" s="378"/>
      <c r="CZI91" s="378"/>
      <c r="CZJ91" s="378"/>
      <c r="CZK91" s="378"/>
      <c r="CZL91" s="378"/>
      <c r="CZM91" s="378"/>
      <c r="CZN91" s="378"/>
      <c r="CZO91" s="378"/>
      <c r="CZP91" s="378"/>
      <c r="CZQ91" s="378"/>
      <c r="CZR91" s="378"/>
      <c r="CZS91" s="378"/>
      <c r="CZT91" s="378"/>
      <c r="CZU91" s="378"/>
      <c r="CZV91" s="378"/>
      <c r="CZW91" s="378"/>
      <c r="CZX91" s="378"/>
      <c r="CZY91" s="378"/>
      <c r="CZZ91" s="378"/>
      <c r="DAA91" s="378"/>
      <c r="DAB91" s="378"/>
      <c r="DAC91" s="378"/>
      <c r="DAD91" s="378"/>
      <c r="DAE91" s="378"/>
      <c r="DAF91" s="378"/>
      <c r="DAG91" s="378"/>
      <c r="DAH91" s="378"/>
      <c r="DAI91" s="378"/>
      <c r="DAJ91" s="378"/>
      <c r="DAK91" s="378"/>
      <c r="DAL91" s="378"/>
      <c r="DAM91" s="378"/>
      <c r="DAN91" s="378"/>
      <c r="DAO91" s="378"/>
      <c r="DAP91" s="378"/>
      <c r="DAQ91" s="378"/>
      <c r="DAR91" s="378"/>
      <c r="DAS91" s="378"/>
      <c r="DAT91" s="378"/>
      <c r="DAU91" s="378"/>
      <c r="DAV91" s="378"/>
      <c r="DAW91" s="378"/>
      <c r="DAX91" s="378"/>
      <c r="DAY91" s="378"/>
      <c r="DAZ91" s="378"/>
      <c r="DBA91" s="378"/>
      <c r="DBB91" s="378"/>
      <c r="DBC91" s="378"/>
      <c r="DBD91" s="378"/>
      <c r="DBE91" s="378"/>
      <c r="DBF91" s="378"/>
      <c r="DBG91" s="378"/>
      <c r="DBH91" s="378"/>
      <c r="DBI91" s="378"/>
      <c r="DBJ91" s="378"/>
      <c r="DBK91" s="378"/>
      <c r="DBL91" s="378"/>
      <c r="DBM91" s="378"/>
      <c r="DBN91" s="378"/>
      <c r="DBO91" s="378"/>
      <c r="DBP91" s="378"/>
      <c r="DBQ91" s="378"/>
      <c r="DBR91" s="378"/>
      <c r="DBS91" s="378"/>
      <c r="DBT91" s="378"/>
      <c r="DBU91" s="378"/>
      <c r="DBV91" s="378"/>
      <c r="DBW91" s="378"/>
      <c r="DBX91" s="378"/>
      <c r="DBY91" s="378"/>
      <c r="DBZ91" s="378"/>
      <c r="DCA91" s="378"/>
      <c r="DCB91" s="378"/>
      <c r="DCC91" s="378"/>
      <c r="DCD91" s="378"/>
      <c r="DCE91" s="378"/>
      <c r="DCF91" s="378"/>
      <c r="DCG91" s="378"/>
      <c r="DCH91" s="378"/>
      <c r="DCI91" s="378"/>
      <c r="DCJ91" s="378"/>
      <c r="DCK91" s="378"/>
      <c r="DCL91" s="378"/>
      <c r="DCM91" s="378"/>
      <c r="DCN91" s="378"/>
      <c r="DCO91" s="378"/>
      <c r="DCP91" s="378"/>
      <c r="DCQ91" s="378"/>
      <c r="DCR91" s="378"/>
      <c r="DCS91" s="378"/>
      <c r="DCT91" s="378"/>
      <c r="DCU91" s="378"/>
      <c r="DCV91" s="378"/>
      <c r="DCW91" s="378"/>
      <c r="DCX91" s="378"/>
      <c r="DCY91" s="378"/>
      <c r="DCZ91" s="378"/>
      <c r="DDA91" s="378"/>
      <c r="DDB91" s="378"/>
      <c r="DDC91" s="378"/>
      <c r="DDD91" s="378"/>
      <c r="DDE91" s="378"/>
      <c r="DDF91" s="378"/>
      <c r="DDG91" s="378"/>
      <c r="DDH91" s="378"/>
      <c r="DDI91" s="378"/>
      <c r="DDJ91" s="378"/>
      <c r="DDK91" s="378"/>
      <c r="DDL91" s="378"/>
      <c r="DDM91" s="378"/>
      <c r="DDN91" s="378"/>
      <c r="DDO91" s="378"/>
      <c r="DDP91" s="378"/>
      <c r="DDQ91" s="378"/>
      <c r="DDR91" s="378"/>
      <c r="DDS91" s="378"/>
      <c r="DDT91" s="378"/>
      <c r="DDU91" s="378"/>
      <c r="DDV91" s="378"/>
      <c r="DDW91" s="378"/>
      <c r="DDX91" s="378"/>
      <c r="DDY91" s="378"/>
      <c r="DDZ91" s="378"/>
      <c r="DEA91" s="378"/>
      <c r="DEB91" s="378"/>
      <c r="DEC91" s="378"/>
      <c r="DED91" s="378"/>
      <c r="DEE91" s="378"/>
      <c r="DEF91" s="378"/>
      <c r="DEG91" s="378"/>
      <c r="DEH91" s="378"/>
      <c r="DEI91" s="378"/>
      <c r="DEJ91" s="378"/>
      <c r="DEK91" s="378"/>
      <c r="DEL91" s="378"/>
      <c r="DEM91" s="378"/>
      <c r="DEN91" s="378"/>
      <c r="DEO91" s="378"/>
      <c r="DEP91" s="378"/>
      <c r="DEQ91" s="378"/>
      <c r="DER91" s="378"/>
      <c r="DES91" s="378"/>
      <c r="DET91" s="378"/>
      <c r="DEU91" s="378"/>
      <c r="DEV91" s="378"/>
      <c r="DEW91" s="378"/>
      <c r="DEX91" s="378"/>
      <c r="DEY91" s="378"/>
      <c r="DEZ91" s="378"/>
      <c r="DFA91" s="378"/>
      <c r="DFB91" s="378"/>
      <c r="DFC91" s="378"/>
      <c r="DFD91" s="378"/>
      <c r="DFE91" s="378"/>
      <c r="DFF91" s="378"/>
      <c r="DFG91" s="378"/>
      <c r="DFH91" s="378"/>
      <c r="DFI91" s="378"/>
      <c r="DFJ91" s="378"/>
      <c r="DFK91" s="378"/>
      <c r="DFL91" s="378"/>
      <c r="DFM91" s="378"/>
      <c r="DFN91" s="378"/>
      <c r="DFO91" s="378"/>
      <c r="DFP91" s="378"/>
      <c r="DFQ91" s="378"/>
      <c r="DFR91" s="378"/>
      <c r="DFS91" s="378"/>
      <c r="DFT91" s="378"/>
      <c r="DFU91" s="378"/>
      <c r="DFV91" s="378"/>
      <c r="DFW91" s="378"/>
      <c r="DFX91" s="378"/>
      <c r="DFY91" s="378"/>
      <c r="DFZ91" s="378"/>
      <c r="DGA91" s="378"/>
      <c r="DGB91" s="378"/>
      <c r="DGC91" s="378"/>
      <c r="DGD91" s="378"/>
      <c r="DGE91" s="378"/>
      <c r="DGF91" s="378"/>
      <c r="DGG91" s="378"/>
      <c r="DGH91" s="378"/>
      <c r="DGI91" s="378"/>
      <c r="DGJ91" s="378"/>
      <c r="DGK91" s="378"/>
      <c r="DGL91" s="378"/>
      <c r="DGM91" s="378"/>
      <c r="DGN91" s="378"/>
      <c r="DGO91" s="378"/>
      <c r="DGP91" s="378"/>
      <c r="DGQ91" s="378"/>
      <c r="DGR91" s="378"/>
      <c r="DGS91" s="378"/>
      <c r="DGT91" s="378"/>
      <c r="DGU91" s="378"/>
      <c r="DGV91" s="378"/>
      <c r="DGW91" s="378"/>
      <c r="DGX91" s="378"/>
      <c r="DGY91" s="378"/>
      <c r="DGZ91" s="378"/>
      <c r="DHA91" s="378"/>
      <c r="DHB91" s="378"/>
      <c r="DHC91" s="378"/>
      <c r="DHD91" s="378"/>
      <c r="DHE91" s="378"/>
      <c r="DHF91" s="378"/>
      <c r="DHG91" s="378"/>
      <c r="DHH91" s="378"/>
      <c r="DHI91" s="378"/>
      <c r="DHJ91" s="378"/>
      <c r="DHK91" s="378"/>
      <c r="DHL91" s="378"/>
      <c r="DHM91" s="378"/>
      <c r="DHN91" s="378"/>
      <c r="DHO91" s="378"/>
      <c r="DHP91" s="378"/>
      <c r="DHQ91" s="378"/>
      <c r="DHR91" s="378"/>
      <c r="DHS91" s="378"/>
      <c r="DHT91" s="378"/>
      <c r="DHU91" s="378"/>
      <c r="DHV91" s="378"/>
      <c r="DHW91" s="378"/>
      <c r="DHX91" s="378"/>
      <c r="DHY91" s="378"/>
      <c r="DHZ91" s="378"/>
      <c r="DIA91" s="378"/>
      <c r="DIB91" s="378"/>
      <c r="DIC91" s="378"/>
      <c r="DID91" s="378"/>
      <c r="DIE91" s="378"/>
      <c r="DIF91" s="378"/>
      <c r="DIG91" s="378"/>
      <c r="DIH91" s="378"/>
      <c r="DII91" s="378"/>
      <c r="DIJ91" s="378"/>
      <c r="DIK91" s="378"/>
      <c r="DIL91" s="378"/>
      <c r="DIM91" s="378"/>
      <c r="DIN91" s="378"/>
      <c r="DIO91" s="378"/>
      <c r="DIP91" s="378"/>
      <c r="DIQ91" s="378"/>
      <c r="DIR91" s="378"/>
      <c r="DIS91" s="378"/>
      <c r="DIT91" s="378"/>
      <c r="DIU91" s="378"/>
      <c r="DIV91" s="378"/>
      <c r="DIW91" s="378"/>
      <c r="DIX91" s="378"/>
      <c r="DIY91" s="378"/>
      <c r="DIZ91" s="378"/>
      <c r="DJA91" s="378"/>
      <c r="DJB91" s="378"/>
      <c r="DJC91" s="378"/>
      <c r="DJD91" s="378"/>
      <c r="DJE91" s="378"/>
      <c r="DJF91" s="378"/>
      <c r="DJG91" s="378"/>
      <c r="DJH91" s="378"/>
      <c r="DJI91" s="378"/>
      <c r="DJJ91" s="378"/>
      <c r="DJK91" s="378"/>
      <c r="DJL91" s="378"/>
      <c r="DJM91" s="378"/>
      <c r="DJN91" s="378"/>
      <c r="DJO91" s="378"/>
      <c r="DJP91" s="378"/>
      <c r="DJQ91" s="378"/>
      <c r="DJR91" s="378"/>
      <c r="DJS91" s="378"/>
      <c r="DJT91" s="378"/>
      <c r="DJU91" s="378"/>
      <c r="DJV91" s="378"/>
      <c r="DJW91" s="378"/>
      <c r="DJX91" s="378"/>
      <c r="DJY91" s="378"/>
      <c r="DJZ91" s="378"/>
      <c r="DKA91" s="378"/>
      <c r="DKB91" s="378"/>
      <c r="DKC91" s="378"/>
      <c r="DKD91" s="378"/>
      <c r="DKE91" s="378"/>
      <c r="DKF91" s="378"/>
      <c r="DKG91" s="378"/>
      <c r="DKH91" s="378"/>
      <c r="DKI91" s="378"/>
      <c r="DKJ91" s="378"/>
      <c r="DKK91" s="378"/>
      <c r="DKL91" s="378"/>
      <c r="DKM91" s="378"/>
      <c r="DKN91" s="378"/>
      <c r="DKO91" s="378"/>
      <c r="DKP91" s="378"/>
      <c r="DKQ91" s="378"/>
      <c r="DKR91" s="378"/>
      <c r="DKS91" s="378"/>
      <c r="DKT91" s="378"/>
      <c r="DKU91" s="378"/>
      <c r="DKV91" s="378"/>
      <c r="DKW91" s="378"/>
      <c r="DKX91" s="378"/>
      <c r="DKY91" s="378"/>
      <c r="DKZ91" s="378"/>
      <c r="DLA91" s="378"/>
      <c r="DLB91" s="378"/>
      <c r="DLC91" s="378"/>
      <c r="DLD91" s="378"/>
      <c r="DLE91" s="378"/>
      <c r="DLF91" s="378"/>
      <c r="DLG91" s="378"/>
      <c r="DLH91" s="378"/>
      <c r="DLI91" s="378"/>
      <c r="DLJ91" s="378"/>
      <c r="DLK91" s="378"/>
      <c r="DLL91" s="378"/>
      <c r="DLM91" s="378"/>
      <c r="DLN91" s="378"/>
      <c r="DLO91" s="378"/>
      <c r="DLP91" s="378"/>
      <c r="DLQ91" s="378"/>
      <c r="DLR91" s="378"/>
      <c r="DLS91" s="378"/>
      <c r="DLT91" s="378"/>
      <c r="DLU91" s="378"/>
      <c r="DLV91" s="378"/>
      <c r="DLW91" s="378"/>
      <c r="DLX91" s="378"/>
      <c r="DLY91" s="378"/>
      <c r="DLZ91" s="378"/>
      <c r="DMA91" s="378"/>
      <c r="DMB91" s="378"/>
      <c r="DMC91" s="378"/>
      <c r="DMD91" s="378"/>
      <c r="DME91" s="378"/>
      <c r="DMF91" s="378"/>
      <c r="DMG91" s="378"/>
      <c r="DMH91" s="378"/>
      <c r="DMI91" s="378"/>
      <c r="DMJ91" s="378"/>
      <c r="DMK91" s="378"/>
      <c r="DML91" s="378"/>
      <c r="DMM91" s="378"/>
      <c r="DMN91" s="378"/>
      <c r="DMO91" s="378"/>
      <c r="DMP91" s="378"/>
      <c r="DMQ91" s="378"/>
      <c r="DMR91" s="378"/>
      <c r="DMS91" s="378"/>
      <c r="DMT91" s="378"/>
      <c r="DMU91" s="378"/>
      <c r="DMV91" s="378"/>
      <c r="DMW91" s="378"/>
      <c r="DMX91" s="378"/>
      <c r="DMY91" s="378"/>
      <c r="DMZ91" s="378"/>
      <c r="DNA91" s="378"/>
      <c r="DNB91" s="378"/>
      <c r="DNC91" s="378"/>
      <c r="DND91" s="378"/>
      <c r="DNE91" s="378"/>
      <c r="DNF91" s="378"/>
      <c r="DNG91" s="378"/>
      <c r="DNH91" s="378"/>
      <c r="DNI91" s="378"/>
      <c r="DNJ91" s="378"/>
      <c r="DNK91" s="378"/>
      <c r="DNL91" s="378"/>
      <c r="DNM91" s="378"/>
      <c r="DNN91" s="378"/>
      <c r="DNO91" s="378"/>
      <c r="DNP91" s="378"/>
      <c r="DNQ91" s="378"/>
      <c r="DNR91" s="378"/>
      <c r="DNS91" s="378"/>
      <c r="DNT91" s="378"/>
      <c r="DNU91" s="378"/>
      <c r="DNV91" s="378"/>
      <c r="DNW91" s="378"/>
      <c r="DNX91" s="378"/>
      <c r="DNY91" s="378"/>
      <c r="DNZ91" s="378"/>
      <c r="DOA91" s="378"/>
      <c r="DOB91" s="378"/>
      <c r="DOC91" s="378"/>
      <c r="DOD91" s="378"/>
      <c r="DOE91" s="378"/>
      <c r="DOF91" s="378"/>
      <c r="DOG91" s="378"/>
      <c r="DOH91" s="378"/>
      <c r="DOI91" s="378"/>
      <c r="DOJ91" s="378"/>
      <c r="DOK91" s="378"/>
      <c r="DOL91" s="378"/>
      <c r="DOM91" s="378"/>
      <c r="DON91" s="378"/>
      <c r="DOO91" s="378"/>
      <c r="DOP91" s="378"/>
      <c r="DOQ91" s="378"/>
      <c r="DOR91" s="378"/>
      <c r="DOS91" s="378"/>
      <c r="DOT91" s="378"/>
      <c r="DOU91" s="378"/>
      <c r="DOV91" s="378"/>
      <c r="DOW91" s="378"/>
      <c r="DOX91" s="378"/>
      <c r="DOY91" s="378"/>
      <c r="DOZ91" s="378"/>
      <c r="DPA91" s="378"/>
      <c r="DPB91" s="378"/>
      <c r="DPC91" s="378"/>
      <c r="DPD91" s="378"/>
      <c r="DPE91" s="378"/>
      <c r="DPF91" s="378"/>
      <c r="DPG91" s="378"/>
      <c r="DPH91" s="378"/>
      <c r="DPI91" s="378"/>
      <c r="DPJ91" s="378"/>
      <c r="DPK91" s="378"/>
      <c r="DPL91" s="378"/>
      <c r="DPM91" s="378"/>
      <c r="DPN91" s="378"/>
      <c r="DPO91" s="378"/>
      <c r="DPP91" s="378"/>
      <c r="DPQ91" s="378"/>
      <c r="DPR91" s="378"/>
      <c r="DPS91" s="378"/>
      <c r="DPT91" s="378"/>
      <c r="DPU91" s="378"/>
      <c r="DPV91" s="378"/>
      <c r="DPW91" s="378"/>
      <c r="DPX91" s="378"/>
      <c r="DPY91" s="378"/>
      <c r="DPZ91" s="378"/>
      <c r="DQA91" s="378"/>
      <c r="DQB91" s="378"/>
      <c r="DQC91" s="378"/>
      <c r="DQD91" s="378"/>
      <c r="DQE91" s="378"/>
      <c r="DQF91" s="378"/>
      <c r="DQG91" s="378"/>
      <c r="DQH91" s="378"/>
      <c r="DQI91" s="378"/>
      <c r="DQJ91" s="378"/>
      <c r="DQK91" s="378"/>
      <c r="DQL91" s="378"/>
      <c r="DQM91" s="378"/>
      <c r="DQN91" s="378"/>
      <c r="DQO91" s="378"/>
      <c r="DQP91" s="378"/>
      <c r="DQQ91" s="378"/>
      <c r="DQR91" s="378"/>
      <c r="DQS91" s="378"/>
      <c r="DQT91" s="378"/>
      <c r="DQU91" s="378"/>
      <c r="DQV91" s="378"/>
      <c r="DQW91" s="378"/>
      <c r="DQX91" s="378"/>
      <c r="DQY91" s="378"/>
      <c r="DQZ91" s="378"/>
      <c r="DRA91" s="378"/>
      <c r="DRB91" s="378"/>
      <c r="DRC91" s="378"/>
      <c r="DRD91" s="378"/>
      <c r="DRE91" s="378"/>
      <c r="DRF91" s="378"/>
      <c r="DRG91" s="378"/>
      <c r="DRH91" s="378"/>
      <c r="DRI91" s="378"/>
      <c r="DRJ91" s="378"/>
      <c r="DRK91" s="378"/>
      <c r="DRL91" s="378"/>
      <c r="DRM91" s="378"/>
      <c r="DRN91" s="378"/>
      <c r="DRO91" s="378"/>
      <c r="DRP91" s="378"/>
      <c r="DRQ91" s="378"/>
      <c r="DRR91" s="378"/>
      <c r="DRS91" s="378"/>
      <c r="DRT91" s="378"/>
      <c r="DRU91" s="378"/>
      <c r="DRV91" s="378"/>
      <c r="DRW91" s="378"/>
      <c r="DRX91" s="378"/>
      <c r="DRY91" s="378"/>
      <c r="DRZ91" s="378"/>
      <c r="DSA91" s="378"/>
      <c r="DSB91" s="378"/>
      <c r="DSC91" s="378"/>
      <c r="DSD91" s="378"/>
      <c r="DSE91" s="378"/>
      <c r="DSF91" s="378"/>
      <c r="DSG91" s="378"/>
      <c r="DSH91" s="378"/>
      <c r="DSI91" s="378"/>
      <c r="DSJ91" s="378"/>
      <c r="DSK91" s="378"/>
      <c r="DSL91" s="378"/>
      <c r="DSM91" s="378"/>
      <c r="DSN91" s="378"/>
      <c r="DSO91" s="378"/>
      <c r="DSP91" s="378"/>
      <c r="DSQ91" s="378"/>
      <c r="DSR91" s="378"/>
      <c r="DSS91" s="378"/>
      <c r="DST91" s="378"/>
      <c r="DSU91" s="378"/>
      <c r="DSV91" s="378"/>
      <c r="DSW91" s="378"/>
      <c r="DSX91" s="378"/>
      <c r="DSY91" s="378"/>
      <c r="DSZ91" s="378"/>
      <c r="DTA91" s="378"/>
      <c r="DTB91" s="378"/>
      <c r="DTC91" s="378"/>
      <c r="DTD91" s="378"/>
      <c r="DTE91" s="378"/>
      <c r="DTF91" s="378"/>
      <c r="DTG91" s="378"/>
      <c r="DTH91" s="378"/>
      <c r="DTI91" s="378"/>
      <c r="DTJ91" s="378"/>
      <c r="DTK91" s="378"/>
      <c r="DTL91" s="378"/>
      <c r="DTM91" s="378"/>
      <c r="DTN91" s="378"/>
      <c r="DTO91" s="378"/>
      <c r="DTP91" s="378"/>
      <c r="DTQ91" s="378"/>
      <c r="DTR91" s="378"/>
      <c r="DTS91" s="378"/>
      <c r="DTT91" s="378"/>
      <c r="DTU91" s="378"/>
      <c r="DTV91" s="378"/>
      <c r="DTW91" s="378"/>
      <c r="DTX91" s="378"/>
      <c r="DTY91" s="378"/>
      <c r="DTZ91" s="378"/>
      <c r="DUA91" s="378"/>
      <c r="DUB91" s="378"/>
      <c r="DUC91" s="378"/>
      <c r="DUD91" s="378"/>
      <c r="DUE91" s="378"/>
      <c r="DUF91" s="378"/>
      <c r="DUG91" s="378"/>
      <c r="DUH91" s="378"/>
      <c r="DUI91" s="378"/>
      <c r="DUJ91" s="378"/>
      <c r="DUK91" s="378"/>
      <c r="DUL91" s="378"/>
      <c r="DUM91" s="378"/>
      <c r="DUN91" s="378"/>
      <c r="DUO91" s="378"/>
      <c r="DUP91" s="378"/>
      <c r="DUQ91" s="378"/>
      <c r="DUR91" s="378"/>
      <c r="DUS91" s="378"/>
      <c r="DUT91" s="378"/>
      <c r="DUU91" s="378"/>
      <c r="DUV91" s="378"/>
      <c r="DUW91" s="378"/>
      <c r="DUX91" s="378"/>
      <c r="DUY91" s="378"/>
      <c r="DUZ91" s="378"/>
      <c r="DVA91" s="378"/>
      <c r="DVB91" s="378"/>
      <c r="DVC91" s="378"/>
      <c r="DVD91" s="378"/>
      <c r="DVE91" s="378"/>
      <c r="DVF91" s="378"/>
      <c r="DVG91" s="378"/>
      <c r="DVH91" s="378"/>
      <c r="DVI91" s="378"/>
      <c r="DVJ91" s="378"/>
      <c r="DVK91" s="378"/>
      <c r="DVL91" s="378"/>
      <c r="DVM91" s="378"/>
      <c r="DVN91" s="378"/>
      <c r="DVO91" s="378"/>
      <c r="DVP91" s="378"/>
      <c r="DVQ91" s="378"/>
      <c r="DVR91" s="378"/>
      <c r="DVS91" s="378"/>
      <c r="DVT91" s="378"/>
      <c r="DVU91" s="378"/>
      <c r="DVV91" s="378"/>
      <c r="DVW91" s="378"/>
      <c r="DVX91" s="378"/>
      <c r="DVY91" s="378"/>
      <c r="DVZ91" s="378"/>
      <c r="DWA91" s="378"/>
      <c r="DWB91" s="378"/>
      <c r="DWC91" s="378"/>
      <c r="DWD91" s="378"/>
      <c r="DWE91" s="378"/>
      <c r="DWF91" s="378"/>
      <c r="DWG91" s="378"/>
      <c r="DWH91" s="378"/>
      <c r="DWI91" s="378"/>
      <c r="DWJ91" s="378"/>
      <c r="DWK91" s="378"/>
      <c r="DWL91" s="378"/>
      <c r="DWM91" s="378"/>
      <c r="DWN91" s="378"/>
      <c r="DWO91" s="378"/>
      <c r="DWP91" s="378"/>
      <c r="DWQ91" s="378"/>
      <c r="DWR91" s="378"/>
      <c r="DWS91" s="378"/>
      <c r="DWT91" s="378"/>
      <c r="DWU91" s="378"/>
      <c r="DWV91" s="378"/>
      <c r="DWW91" s="378"/>
      <c r="DWX91" s="378"/>
      <c r="DWY91" s="378"/>
      <c r="DWZ91" s="378"/>
      <c r="DXA91" s="378"/>
      <c r="DXB91" s="378"/>
      <c r="DXC91" s="378"/>
      <c r="DXD91" s="378"/>
      <c r="DXE91" s="378"/>
      <c r="DXF91" s="378"/>
      <c r="DXG91" s="378"/>
      <c r="DXH91" s="378"/>
      <c r="DXI91" s="378"/>
      <c r="DXJ91" s="378"/>
      <c r="DXK91" s="378"/>
      <c r="DXL91" s="378"/>
      <c r="DXM91" s="378"/>
      <c r="DXN91" s="378"/>
      <c r="DXO91" s="378"/>
      <c r="DXP91" s="378"/>
      <c r="DXQ91" s="378"/>
      <c r="DXR91" s="378"/>
      <c r="DXS91" s="378"/>
      <c r="DXT91" s="378"/>
      <c r="DXU91" s="378"/>
      <c r="DXV91" s="378"/>
      <c r="DXW91" s="378"/>
      <c r="DXX91" s="378"/>
      <c r="DXY91" s="378"/>
      <c r="DXZ91" s="378"/>
      <c r="DYA91" s="378"/>
      <c r="DYB91" s="378"/>
      <c r="DYC91" s="378"/>
      <c r="DYD91" s="378"/>
      <c r="DYE91" s="378"/>
      <c r="DYF91" s="378"/>
      <c r="DYG91" s="378"/>
      <c r="DYH91" s="378"/>
      <c r="DYI91" s="378"/>
      <c r="DYJ91" s="378"/>
      <c r="DYK91" s="378"/>
      <c r="DYL91" s="378"/>
      <c r="DYM91" s="378"/>
      <c r="DYN91" s="378"/>
      <c r="DYO91" s="378"/>
      <c r="DYP91" s="378"/>
      <c r="DYQ91" s="378"/>
      <c r="DYR91" s="378"/>
      <c r="DYS91" s="378"/>
      <c r="DYT91" s="378"/>
      <c r="DYU91" s="378"/>
      <c r="DYV91" s="378"/>
      <c r="DYW91" s="378"/>
      <c r="DYX91" s="378"/>
      <c r="DYY91" s="378"/>
      <c r="DYZ91" s="378"/>
      <c r="DZA91" s="378"/>
      <c r="DZB91" s="378"/>
      <c r="DZC91" s="378"/>
      <c r="DZD91" s="378"/>
      <c r="DZE91" s="378"/>
      <c r="DZF91" s="378"/>
      <c r="DZG91" s="378"/>
      <c r="DZH91" s="378"/>
      <c r="DZI91" s="378"/>
      <c r="DZJ91" s="378"/>
      <c r="DZK91" s="378"/>
      <c r="DZL91" s="378"/>
      <c r="DZM91" s="378"/>
      <c r="DZN91" s="378"/>
      <c r="DZO91" s="378"/>
      <c r="DZP91" s="378"/>
      <c r="DZQ91" s="378"/>
      <c r="DZR91" s="378"/>
      <c r="DZS91" s="378"/>
      <c r="DZT91" s="378"/>
      <c r="DZU91" s="378"/>
      <c r="DZV91" s="378"/>
      <c r="DZW91" s="378"/>
      <c r="DZX91" s="378"/>
      <c r="DZY91" s="378"/>
      <c r="DZZ91" s="378"/>
      <c r="EAA91" s="378"/>
      <c r="EAB91" s="378"/>
      <c r="EAC91" s="378"/>
      <c r="EAD91" s="378"/>
      <c r="EAE91" s="378"/>
      <c r="EAF91" s="378"/>
      <c r="EAG91" s="378"/>
      <c r="EAH91" s="378"/>
      <c r="EAI91" s="378"/>
      <c r="EAJ91" s="378"/>
      <c r="EAK91" s="378"/>
      <c r="EAL91" s="378"/>
      <c r="EAM91" s="378"/>
      <c r="EAN91" s="378"/>
      <c r="EAO91" s="378"/>
      <c r="EAP91" s="378"/>
      <c r="EAQ91" s="378"/>
      <c r="EAR91" s="378"/>
      <c r="EAS91" s="378"/>
      <c r="EAT91" s="378"/>
      <c r="EAU91" s="378"/>
      <c r="EAV91" s="378"/>
      <c r="EAW91" s="378"/>
      <c r="EAX91" s="378"/>
      <c r="EAY91" s="378"/>
      <c r="EAZ91" s="378"/>
      <c r="EBA91" s="378"/>
      <c r="EBB91" s="378"/>
      <c r="EBC91" s="378"/>
      <c r="EBD91" s="378"/>
      <c r="EBE91" s="378"/>
      <c r="EBF91" s="378"/>
      <c r="EBG91" s="378"/>
      <c r="EBH91" s="378"/>
      <c r="EBI91" s="378"/>
      <c r="EBJ91" s="378"/>
      <c r="EBK91" s="378"/>
      <c r="EBL91" s="378"/>
      <c r="EBM91" s="378"/>
      <c r="EBN91" s="378"/>
      <c r="EBO91" s="378"/>
      <c r="EBP91" s="378"/>
      <c r="EBQ91" s="378"/>
      <c r="EBR91" s="378"/>
      <c r="EBS91" s="378"/>
      <c r="EBT91" s="378"/>
      <c r="EBU91" s="378"/>
      <c r="EBV91" s="378"/>
      <c r="EBW91" s="378"/>
      <c r="EBX91" s="378"/>
      <c r="EBY91" s="378"/>
      <c r="EBZ91" s="378"/>
      <c r="ECA91" s="378"/>
      <c r="ECB91" s="378"/>
      <c r="ECC91" s="378"/>
      <c r="ECD91" s="378"/>
      <c r="ECE91" s="378"/>
      <c r="ECF91" s="378"/>
      <c r="ECG91" s="378"/>
      <c r="ECH91" s="378"/>
      <c r="ECI91" s="378"/>
      <c r="ECJ91" s="378"/>
      <c r="ECK91" s="378"/>
      <c r="ECL91" s="378"/>
      <c r="ECM91" s="378"/>
      <c r="ECN91" s="378"/>
      <c r="ECO91" s="378"/>
      <c r="ECP91" s="378"/>
      <c r="ECQ91" s="378"/>
      <c r="ECR91" s="378"/>
      <c r="ECS91" s="378"/>
      <c r="ECT91" s="378"/>
      <c r="ECU91" s="378"/>
      <c r="ECV91" s="378"/>
      <c r="ECW91" s="378"/>
      <c r="ECX91" s="378"/>
      <c r="ECY91" s="378"/>
      <c r="ECZ91" s="378"/>
      <c r="EDA91" s="378"/>
      <c r="EDB91" s="378"/>
      <c r="EDC91" s="378"/>
      <c r="EDD91" s="378"/>
      <c r="EDE91" s="378"/>
      <c r="EDF91" s="378"/>
      <c r="EDG91" s="378"/>
      <c r="EDH91" s="378"/>
      <c r="EDI91" s="378"/>
      <c r="EDJ91" s="378"/>
      <c r="EDK91" s="378"/>
      <c r="EDL91" s="378"/>
      <c r="EDM91" s="378"/>
      <c r="EDN91" s="378"/>
      <c r="EDO91" s="378"/>
      <c r="EDP91" s="378"/>
      <c r="EDQ91" s="378"/>
      <c r="EDR91" s="378"/>
      <c r="EDS91" s="378"/>
      <c r="EDT91" s="378"/>
      <c r="EDU91" s="378"/>
      <c r="EDV91" s="378"/>
      <c r="EDW91" s="378"/>
      <c r="EDX91" s="378"/>
      <c r="EDY91" s="378"/>
      <c r="EDZ91" s="378"/>
      <c r="EEA91" s="378"/>
      <c r="EEB91" s="378"/>
      <c r="EEC91" s="378"/>
      <c r="EED91" s="378"/>
      <c r="EEE91" s="378"/>
      <c r="EEF91" s="378"/>
      <c r="EEG91" s="378"/>
      <c r="EEH91" s="378"/>
      <c r="EEI91" s="378"/>
      <c r="EEJ91" s="378"/>
      <c r="EEK91" s="378"/>
      <c r="EEL91" s="378"/>
      <c r="EEM91" s="378"/>
      <c r="EEN91" s="378"/>
      <c r="EEO91" s="378"/>
      <c r="EEP91" s="378"/>
      <c r="EEQ91" s="378"/>
      <c r="EER91" s="378"/>
      <c r="EES91" s="378"/>
      <c r="EET91" s="378"/>
      <c r="EEU91" s="378"/>
      <c r="EEV91" s="378"/>
      <c r="EEW91" s="378"/>
      <c r="EEX91" s="378"/>
      <c r="EEY91" s="378"/>
      <c r="EEZ91" s="378"/>
      <c r="EFA91" s="378"/>
      <c r="EFB91" s="378"/>
      <c r="EFC91" s="378"/>
      <c r="EFD91" s="378"/>
      <c r="EFE91" s="378"/>
      <c r="EFF91" s="378"/>
      <c r="EFG91" s="378"/>
      <c r="EFH91" s="378"/>
      <c r="EFI91" s="378"/>
      <c r="EFJ91" s="378"/>
      <c r="EFK91" s="378"/>
      <c r="EFL91" s="378"/>
      <c r="EFM91" s="378"/>
      <c r="EFN91" s="378"/>
      <c r="EFO91" s="378"/>
      <c r="EFP91" s="378"/>
      <c r="EFQ91" s="378"/>
      <c r="EFR91" s="378"/>
      <c r="EFS91" s="378"/>
      <c r="EFT91" s="378"/>
      <c r="EFU91" s="378"/>
      <c r="EFV91" s="378"/>
      <c r="EFW91" s="378"/>
      <c r="EFX91" s="378"/>
      <c r="EFY91" s="378"/>
      <c r="EFZ91" s="378"/>
      <c r="EGA91" s="378"/>
      <c r="EGB91" s="378"/>
      <c r="EGC91" s="378"/>
      <c r="EGD91" s="378"/>
      <c r="EGE91" s="378"/>
      <c r="EGF91" s="378"/>
      <c r="EGG91" s="378"/>
      <c r="EGH91" s="378"/>
      <c r="EGI91" s="378"/>
      <c r="EGJ91" s="378"/>
      <c r="EGK91" s="378"/>
      <c r="EGL91" s="378"/>
      <c r="EGM91" s="378"/>
      <c r="EGN91" s="378"/>
      <c r="EGO91" s="378"/>
      <c r="EGP91" s="378"/>
      <c r="EGQ91" s="378"/>
      <c r="EGR91" s="378"/>
      <c r="EGS91" s="378"/>
      <c r="EGT91" s="378"/>
      <c r="EGU91" s="378"/>
      <c r="EGV91" s="378"/>
      <c r="EGW91" s="378"/>
      <c r="EGX91" s="378"/>
      <c r="EGY91" s="378"/>
      <c r="EGZ91" s="378"/>
      <c r="EHA91" s="378"/>
      <c r="EHB91" s="378"/>
      <c r="EHC91" s="378"/>
      <c r="EHD91" s="378"/>
      <c r="EHE91" s="378"/>
      <c r="EHF91" s="378"/>
      <c r="EHG91" s="378"/>
      <c r="EHH91" s="378"/>
      <c r="EHI91" s="378"/>
      <c r="EHJ91" s="378"/>
      <c r="EHK91" s="378"/>
      <c r="EHL91" s="378"/>
      <c r="EHM91" s="378"/>
      <c r="EHN91" s="378"/>
      <c r="EHO91" s="378"/>
      <c r="EHP91" s="378"/>
      <c r="EHQ91" s="378"/>
      <c r="EHR91" s="378"/>
      <c r="EHS91" s="378"/>
      <c r="EHT91" s="378"/>
      <c r="EHU91" s="378"/>
      <c r="EHV91" s="378"/>
      <c r="EHW91" s="378"/>
      <c r="EHX91" s="378"/>
      <c r="EHY91" s="378"/>
      <c r="EHZ91" s="378"/>
      <c r="EIA91" s="378"/>
      <c r="EIB91" s="378"/>
      <c r="EIC91" s="378"/>
      <c r="EID91" s="378"/>
      <c r="EIE91" s="378"/>
      <c r="EIF91" s="378"/>
      <c r="EIG91" s="378"/>
      <c r="EIH91" s="378"/>
      <c r="EII91" s="378"/>
      <c r="EIJ91" s="378"/>
      <c r="EIK91" s="378"/>
      <c r="EIL91" s="378"/>
      <c r="EIM91" s="378"/>
      <c r="EIN91" s="378"/>
      <c r="EIO91" s="378"/>
      <c r="EIP91" s="378"/>
      <c r="EIQ91" s="378"/>
      <c r="EIR91" s="378"/>
      <c r="EIS91" s="378"/>
      <c r="EIT91" s="378"/>
      <c r="EIU91" s="378"/>
      <c r="EIV91" s="378"/>
      <c r="EIW91" s="378"/>
      <c r="EIX91" s="378"/>
      <c r="EIY91" s="378"/>
      <c r="EIZ91" s="378"/>
      <c r="EJA91" s="378"/>
      <c r="EJB91" s="378"/>
      <c r="EJC91" s="378"/>
      <c r="EJD91" s="378"/>
      <c r="EJE91" s="378"/>
      <c r="EJF91" s="378"/>
      <c r="EJG91" s="378"/>
      <c r="EJH91" s="378"/>
      <c r="EJI91" s="378"/>
      <c r="EJJ91" s="378"/>
      <c r="EJK91" s="378"/>
      <c r="EJL91" s="378"/>
      <c r="EJM91" s="378"/>
      <c r="EJN91" s="378"/>
      <c r="EJO91" s="378"/>
      <c r="EJP91" s="378"/>
      <c r="EJQ91" s="378"/>
      <c r="EJR91" s="378"/>
      <c r="EJS91" s="378"/>
      <c r="EJT91" s="378"/>
      <c r="EJU91" s="378"/>
      <c r="EJV91" s="378"/>
      <c r="EJW91" s="378"/>
      <c r="EJX91" s="378"/>
      <c r="EJY91" s="378"/>
      <c r="EJZ91" s="378"/>
      <c r="EKA91" s="378"/>
      <c r="EKB91" s="378"/>
      <c r="EKC91" s="378"/>
      <c r="EKD91" s="378"/>
      <c r="EKE91" s="378"/>
      <c r="EKF91" s="378"/>
      <c r="EKG91" s="378"/>
      <c r="EKH91" s="378"/>
      <c r="EKI91" s="378"/>
      <c r="EKJ91" s="378"/>
      <c r="EKK91" s="378"/>
      <c r="EKL91" s="378"/>
      <c r="EKM91" s="378"/>
      <c r="EKN91" s="378"/>
      <c r="EKO91" s="378"/>
      <c r="EKP91" s="378"/>
      <c r="EKQ91" s="378"/>
      <c r="EKR91" s="378"/>
      <c r="EKS91" s="378"/>
      <c r="EKT91" s="378"/>
      <c r="EKU91" s="378"/>
      <c r="EKV91" s="378"/>
      <c r="EKW91" s="378"/>
      <c r="EKX91" s="378"/>
      <c r="EKY91" s="378"/>
      <c r="EKZ91" s="378"/>
      <c r="ELA91" s="378"/>
      <c r="ELB91" s="378"/>
      <c r="ELC91" s="378"/>
      <c r="ELD91" s="378"/>
      <c r="ELE91" s="378"/>
      <c r="ELF91" s="378"/>
      <c r="ELG91" s="378"/>
      <c r="ELH91" s="378"/>
      <c r="ELI91" s="378"/>
      <c r="ELJ91" s="378"/>
      <c r="ELK91" s="378"/>
      <c r="ELL91" s="378"/>
      <c r="ELM91" s="378"/>
      <c r="ELN91" s="378"/>
      <c r="ELO91" s="378"/>
      <c r="ELP91" s="378"/>
      <c r="ELQ91" s="378"/>
      <c r="ELR91" s="378"/>
      <c r="ELS91" s="378"/>
      <c r="ELT91" s="378"/>
      <c r="ELU91" s="378"/>
      <c r="ELV91" s="378"/>
      <c r="ELW91" s="378"/>
      <c r="ELX91" s="378"/>
      <c r="ELY91" s="378"/>
      <c r="ELZ91" s="378"/>
      <c r="EMA91" s="378"/>
      <c r="EMB91" s="378"/>
      <c r="EMC91" s="378"/>
      <c r="EMD91" s="378"/>
      <c r="EME91" s="378"/>
      <c r="EMF91" s="378"/>
      <c r="EMG91" s="378"/>
      <c r="EMH91" s="378"/>
      <c r="EMI91" s="378"/>
      <c r="EMJ91" s="378"/>
      <c r="EMK91" s="378"/>
      <c r="EML91" s="378"/>
      <c r="EMM91" s="378"/>
      <c r="EMN91" s="378"/>
      <c r="EMO91" s="378"/>
      <c r="EMP91" s="378"/>
      <c r="EMQ91" s="378"/>
      <c r="EMR91" s="378"/>
      <c r="EMS91" s="378"/>
      <c r="EMT91" s="378"/>
      <c r="EMU91" s="378"/>
      <c r="EMV91" s="378"/>
      <c r="EMW91" s="378"/>
      <c r="EMX91" s="378"/>
      <c r="EMY91" s="378"/>
      <c r="EMZ91" s="378"/>
      <c r="ENA91" s="378"/>
      <c r="ENB91" s="378"/>
      <c r="ENC91" s="378"/>
      <c r="END91" s="378"/>
      <c r="ENE91" s="378"/>
      <c r="ENF91" s="378"/>
      <c r="ENG91" s="378"/>
      <c r="ENH91" s="378"/>
      <c r="ENI91" s="378"/>
      <c r="ENJ91" s="378"/>
      <c r="ENK91" s="378"/>
      <c r="ENL91" s="378"/>
      <c r="ENM91" s="378"/>
      <c r="ENN91" s="378"/>
      <c r="ENO91" s="378"/>
      <c r="ENP91" s="378"/>
      <c r="ENQ91" s="378"/>
      <c r="ENR91" s="378"/>
      <c r="ENS91" s="378"/>
      <c r="ENT91" s="378"/>
      <c r="ENU91" s="378"/>
      <c r="ENV91" s="378"/>
      <c r="ENW91" s="378"/>
      <c r="ENX91" s="378"/>
      <c r="ENY91" s="378"/>
      <c r="ENZ91" s="378"/>
      <c r="EOA91" s="378"/>
      <c r="EOB91" s="378"/>
      <c r="EOC91" s="378"/>
      <c r="EOD91" s="378"/>
      <c r="EOE91" s="378"/>
      <c r="EOF91" s="378"/>
      <c r="EOG91" s="378"/>
      <c r="EOH91" s="378"/>
      <c r="EOI91" s="378"/>
      <c r="EOJ91" s="378"/>
      <c r="EOK91" s="378"/>
      <c r="EOL91" s="378"/>
      <c r="EOM91" s="378"/>
      <c r="EON91" s="378"/>
      <c r="EOO91" s="378"/>
      <c r="EOP91" s="378"/>
      <c r="EOQ91" s="378"/>
      <c r="EOR91" s="378"/>
      <c r="EOS91" s="378"/>
      <c r="EOT91" s="378"/>
      <c r="EOU91" s="378"/>
      <c r="EOV91" s="378"/>
      <c r="EOW91" s="378"/>
      <c r="EOX91" s="378"/>
      <c r="EOY91" s="378"/>
      <c r="EOZ91" s="378"/>
      <c r="EPA91" s="378"/>
      <c r="EPB91" s="378"/>
      <c r="EPC91" s="378"/>
      <c r="EPD91" s="378"/>
      <c r="EPE91" s="378"/>
      <c r="EPF91" s="378"/>
      <c r="EPG91" s="378"/>
      <c r="EPH91" s="378"/>
      <c r="EPI91" s="378"/>
      <c r="EPJ91" s="378"/>
      <c r="EPK91" s="378"/>
      <c r="EPL91" s="378"/>
      <c r="EPM91" s="378"/>
      <c r="EPN91" s="378"/>
      <c r="EPO91" s="378"/>
      <c r="EPP91" s="378"/>
      <c r="EPQ91" s="378"/>
      <c r="EPR91" s="378"/>
      <c r="EPS91" s="378"/>
      <c r="EPT91" s="378"/>
      <c r="EPU91" s="378"/>
      <c r="EPV91" s="378"/>
      <c r="EPW91" s="378"/>
      <c r="EPX91" s="378"/>
      <c r="EPY91" s="378"/>
      <c r="EPZ91" s="378"/>
      <c r="EQA91" s="378"/>
      <c r="EQB91" s="378"/>
      <c r="EQC91" s="378"/>
      <c r="EQD91" s="378"/>
      <c r="EQE91" s="378"/>
      <c r="EQF91" s="378"/>
      <c r="EQG91" s="378"/>
      <c r="EQH91" s="378"/>
      <c r="EQI91" s="378"/>
      <c r="EQJ91" s="378"/>
      <c r="EQK91" s="378"/>
      <c r="EQL91" s="378"/>
      <c r="EQM91" s="378"/>
      <c r="EQN91" s="378"/>
      <c r="EQO91" s="378"/>
      <c r="EQP91" s="378"/>
      <c r="EQQ91" s="378"/>
      <c r="EQR91" s="378"/>
      <c r="EQS91" s="378"/>
      <c r="EQT91" s="378"/>
      <c r="EQU91" s="378"/>
      <c r="EQV91" s="378"/>
      <c r="EQW91" s="378"/>
      <c r="EQX91" s="378"/>
      <c r="EQY91" s="378"/>
      <c r="EQZ91" s="378"/>
      <c r="ERA91" s="378"/>
      <c r="ERB91" s="378"/>
      <c r="ERC91" s="378"/>
      <c r="ERD91" s="378"/>
      <c r="ERE91" s="378"/>
      <c r="ERF91" s="378"/>
      <c r="ERG91" s="378"/>
      <c r="ERH91" s="378"/>
      <c r="ERI91" s="378"/>
      <c r="ERJ91" s="378"/>
      <c r="ERK91" s="378"/>
      <c r="ERL91" s="378"/>
      <c r="ERM91" s="378"/>
      <c r="ERN91" s="378"/>
      <c r="ERO91" s="378"/>
      <c r="ERP91" s="378"/>
      <c r="ERQ91" s="378"/>
      <c r="ERR91" s="378"/>
      <c r="ERS91" s="378"/>
      <c r="ERT91" s="378"/>
      <c r="ERU91" s="378"/>
      <c r="ERV91" s="378"/>
      <c r="ERW91" s="378"/>
      <c r="ERX91" s="378"/>
      <c r="ERY91" s="378"/>
      <c r="ERZ91" s="378"/>
      <c r="ESA91" s="378"/>
      <c r="ESB91" s="378"/>
      <c r="ESC91" s="378"/>
      <c r="ESD91" s="378"/>
      <c r="ESE91" s="378"/>
      <c r="ESF91" s="378"/>
      <c r="ESG91" s="378"/>
      <c r="ESH91" s="378"/>
      <c r="ESI91" s="378"/>
      <c r="ESJ91" s="378"/>
      <c r="ESK91" s="378"/>
      <c r="ESL91" s="378"/>
      <c r="ESM91" s="378"/>
      <c r="ESN91" s="378"/>
      <c r="ESO91" s="378"/>
      <c r="ESP91" s="378"/>
      <c r="ESQ91" s="378"/>
      <c r="ESR91" s="378"/>
      <c r="ESS91" s="378"/>
      <c r="EST91" s="378"/>
      <c r="ESU91" s="378"/>
      <c r="ESV91" s="378"/>
      <c r="ESW91" s="378"/>
      <c r="ESX91" s="378"/>
      <c r="ESY91" s="378"/>
      <c r="ESZ91" s="378"/>
      <c r="ETA91" s="378"/>
      <c r="ETB91" s="378"/>
      <c r="ETC91" s="378"/>
      <c r="ETD91" s="378"/>
      <c r="ETE91" s="378"/>
      <c r="ETF91" s="378"/>
      <c r="ETG91" s="378"/>
      <c r="ETH91" s="378"/>
      <c r="ETI91" s="378"/>
      <c r="ETJ91" s="378"/>
      <c r="ETK91" s="378"/>
      <c r="ETL91" s="378"/>
      <c r="ETM91" s="378"/>
      <c r="ETN91" s="378"/>
      <c r="ETO91" s="378"/>
      <c r="ETP91" s="378"/>
      <c r="ETQ91" s="378"/>
      <c r="ETR91" s="378"/>
      <c r="ETS91" s="378"/>
      <c r="ETT91" s="378"/>
      <c r="ETU91" s="378"/>
      <c r="ETV91" s="378"/>
      <c r="ETW91" s="378"/>
      <c r="ETX91" s="378"/>
      <c r="ETY91" s="378"/>
      <c r="ETZ91" s="378"/>
      <c r="EUA91" s="378"/>
      <c r="EUB91" s="378"/>
      <c r="EUC91" s="378"/>
      <c r="EUD91" s="378"/>
      <c r="EUE91" s="378"/>
      <c r="EUF91" s="378"/>
      <c r="EUG91" s="378"/>
      <c r="EUH91" s="378"/>
      <c r="EUI91" s="378"/>
      <c r="EUJ91" s="378"/>
      <c r="EUK91" s="378"/>
      <c r="EUL91" s="378"/>
      <c r="EUM91" s="378"/>
      <c r="EUN91" s="378"/>
      <c r="EUO91" s="378"/>
      <c r="EUP91" s="378"/>
      <c r="EUQ91" s="378"/>
      <c r="EUR91" s="378"/>
      <c r="EUS91" s="378"/>
      <c r="EUT91" s="378"/>
      <c r="EUU91" s="378"/>
      <c r="EUV91" s="378"/>
      <c r="EUW91" s="378"/>
      <c r="EUX91" s="378"/>
      <c r="EUY91" s="378"/>
      <c r="EUZ91" s="378"/>
      <c r="EVA91" s="378"/>
      <c r="EVB91" s="378"/>
      <c r="EVC91" s="378"/>
      <c r="EVD91" s="378"/>
      <c r="EVE91" s="378"/>
      <c r="EVF91" s="378"/>
      <c r="EVG91" s="378"/>
      <c r="EVH91" s="378"/>
      <c r="EVI91" s="378"/>
      <c r="EVJ91" s="378"/>
      <c r="EVK91" s="378"/>
      <c r="EVL91" s="378"/>
      <c r="EVM91" s="378"/>
      <c r="EVN91" s="378"/>
      <c r="EVO91" s="378"/>
      <c r="EVP91" s="378"/>
      <c r="EVQ91" s="378"/>
      <c r="EVR91" s="378"/>
      <c r="EVS91" s="378"/>
      <c r="EVT91" s="378"/>
      <c r="EVU91" s="378"/>
      <c r="EVV91" s="378"/>
      <c r="EVW91" s="378"/>
      <c r="EVX91" s="378"/>
      <c r="EVY91" s="378"/>
      <c r="EVZ91" s="378"/>
      <c r="EWA91" s="378"/>
      <c r="EWB91" s="378"/>
      <c r="EWC91" s="378"/>
      <c r="EWD91" s="378"/>
      <c r="EWE91" s="378"/>
      <c r="EWF91" s="378"/>
      <c r="EWG91" s="378"/>
      <c r="EWH91" s="378"/>
      <c r="EWI91" s="378"/>
      <c r="EWJ91" s="378"/>
      <c r="EWK91" s="378"/>
      <c r="EWL91" s="378"/>
      <c r="EWM91" s="378"/>
      <c r="EWN91" s="378"/>
      <c r="EWO91" s="378"/>
      <c r="EWP91" s="378"/>
      <c r="EWQ91" s="378"/>
      <c r="EWR91" s="378"/>
      <c r="EWS91" s="378"/>
      <c r="EWT91" s="378"/>
      <c r="EWU91" s="378"/>
      <c r="EWV91" s="378"/>
      <c r="EWW91" s="378"/>
      <c r="EWX91" s="378"/>
      <c r="EWY91" s="378"/>
      <c r="EWZ91" s="378"/>
      <c r="EXA91" s="378"/>
      <c r="EXB91" s="378"/>
      <c r="EXC91" s="378"/>
      <c r="EXD91" s="378"/>
      <c r="EXE91" s="378"/>
      <c r="EXF91" s="378"/>
      <c r="EXG91" s="378"/>
      <c r="EXH91" s="378"/>
      <c r="EXI91" s="378"/>
      <c r="EXJ91" s="378"/>
      <c r="EXK91" s="378"/>
      <c r="EXL91" s="378"/>
      <c r="EXM91" s="378"/>
      <c r="EXN91" s="378"/>
      <c r="EXO91" s="378"/>
      <c r="EXP91" s="378"/>
      <c r="EXQ91" s="378"/>
      <c r="EXR91" s="378"/>
      <c r="EXS91" s="378"/>
      <c r="EXT91" s="378"/>
      <c r="EXU91" s="378"/>
      <c r="EXV91" s="378"/>
      <c r="EXW91" s="378"/>
      <c r="EXX91" s="378"/>
      <c r="EXY91" s="378"/>
      <c r="EXZ91" s="378"/>
      <c r="EYA91" s="378"/>
      <c r="EYB91" s="378"/>
      <c r="EYC91" s="378"/>
      <c r="EYD91" s="378"/>
      <c r="EYE91" s="378"/>
      <c r="EYF91" s="378"/>
      <c r="EYG91" s="378"/>
      <c r="EYH91" s="378"/>
      <c r="EYI91" s="378"/>
      <c r="EYJ91" s="378"/>
      <c r="EYK91" s="378"/>
      <c r="EYL91" s="378"/>
      <c r="EYM91" s="378"/>
      <c r="EYN91" s="378"/>
      <c r="EYO91" s="378"/>
      <c r="EYP91" s="378"/>
      <c r="EYQ91" s="378"/>
      <c r="EYR91" s="378"/>
      <c r="EYS91" s="378"/>
      <c r="EYT91" s="378"/>
      <c r="EYU91" s="378"/>
      <c r="EYV91" s="378"/>
      <c r="EYW91" s="378"/>
      <c r="EYX91" s="378"/>
      <c r="EYY91" s="378"/>
      <c r="EYZ91" s="378"/>
      <c r="EZA91" s="378"/>
      <c r="EZB91" s="378"/>
      <c r="EZC91" s="378"/>
      <c r="EZD91" s="378"/>
      <c r="EZE91" s="378"/>
      <c r="EZF91" s="378"/>
      <c r="EZG91" s="378"/>
      <c r="EZH91" s="378"/>
      <c r="EZI91" s="378"/>
      <c r="EZJ91" s="378"/>
      <c r="EZK91" s="378"/>
      <c r="EZL91" s="378"/>
      <c r="EZM91" s="378"/>
      <c r="EZN91" s="378"/>
      <c r="EZO91" s="378"/>
      <c r="EZP91" s="378"/>
      <c r="EZQ91" s="378"/>
      <c r="EZR91" s="378"/>
      <c r="EZS91" s="378"/>
      <c r="EZT91" s="378"/>
      <c r="EZU91" s="378"/>
      <c r="EZV91" s="378"/>
      <c r="EZW91" s="378"/>
      <c r="EZX91" s="378"/>
      <c r="EZY91" s="378"/>
      <c r="EZZ91" s="378"/>
      <c r="FAA91" s="378"/>
      <c r="FAB91" s="378"/>
      <c r="FAC91" s="378"/>
      <c r="FAD91" s="378"/>
      <c r="FAE91" s="378"/>
      <c r="FAF91" s="378"/>
      <c r="FAG91" s="378"/>
      <c r="FAH91" s="378"/>
      <c r="FAI91" s="378"/>
      <c r="FAJ91" s="378"/>
      <c r="FAK91" s="378"/>
      <c r="FAL91" s="378"/>
      <c r="FAM91" s="378"/>
      <c r="FAN91" s="378"/>
      <c r="FAO91" s="378"/>
      <c r="FAP91" s="378"/>
      <c r="FAQ91" s="378"/>
      <c r="FAR91" s="378"/>
      <c r="FAS91" s="378"/>
      <c r="FAT91" s="378"/>
      <c r="FAU91" s="378"/>
      <c r="FAV91" s="378"/>
      <c r="FAW91" s="378"/>
      <c r="FAX91" s="378"/>
      <c r="FAY91" s="378"/>
      <c r="FAZ91" s="378"/>
      <c r="FBA91" s="378"/>
      <c r="FBB91" s="378"/>
      <c r="FBC91" s="378"/>
      <c r="FBD91" s="378"/>
      <c r="FBE91" s="378"/>
      <c r="FBF91" s="378"/>
      <c r="FBG91" s="378"/>
      <c r="FBH91" s="378"/>
      <c r="FBI91" s="378"/>
      <c r="FBJ91" s="378"/>
      <c r="FBK91" s="378"/>
      <c r="FBL91" s="378"/>
      <c r="FBM91" s="378"/>
      <c r="FBN91" s="378"/>
      <c r="FBO91" s="378"/>
      <c r="FBP91" s="378"/>
      <c r="FBQ91" s="378"/>
      <c r="FBR91" s="378"/>
      <c r="FBS91" s="378"/>
      <c r="FBT91" s="378"/>
      <c r="FBU91" s="378"/>
      <c r="FBV91" s="378"/>
      <c r="FBW91" s="378"/>
      <c r="FBX91" s="378"/>
      <c r="FBY91" s="378"/>
      <c r="FBZ91" s="378"/>
      <c r="FCA91" s="378"/>
      <c r="FCB91" s="378"/>
      <c r="FCC91" s="378"/>
      <c r="FCD91" s="378"/>
      <c r="FCE91" s="378"/>
      <c r="FCF91" s="378"/>
      <c r="FCG91" s="378"/>
      <c r="FCH91" s="378"/>
      <c r="FCI91" s="378"/>
      <c r="FCJ91" s="378"/>
      <c r="FCK91" s="378"/>
      <c r="FCL91" s="378"/>
      <c r="FCM91" s="378"/>
      <c r="FCN91" s="378"/>
      <c r="FCO91" s="378"/>
      <c r="FCP91" s="378"/>
      <c r="FCQ91" s="378"/>
      <c r="FCR91" s="378"/>
      <c r="FCS91" s="378"/>
      <c r="FCT91" s="378"/>
      <c r="FCU91" s="378"/>
      <c r="FCV91" s="378"/>
      <c r="FCW91" s="378"/>
      <c r="FCX91" s="378"/>
      <c r="FCY91" s="378"/>
      <c r="FCZ91" s="378"/>
      <c r="FDA91" s="378"/>
      <c r="FDB91" s="378"/>
      <c r="FDC91" s="378"/>
      <c r="FDD91" s="378"/>
      <c r="FDE91" s="378"/>
      <c r="FDF91" s="378"/>
      <c r="FDG91" s="378"/>
      <c r="FDH91" s="378"/>
      <c r="FDI91" s="378"/>
      <c r="FDJ91" s="378"/>
      <c r="FDK91" s="378"/>
      <c r="FDL91" s="378"/>
      <c r="FDM91" s="378"/>
      <c r="FDN91" s="378"/>
      <c r="FDO91" s="378"/>
      <c r="FDP91" s="378"/>
      <c r="FDQ91" s="378"/>
      <c r="FDR91" s="378"/>
      <c r="FDS91" s="378"/>
      <c r="FDT91" s="378"/>
      <c r="FDU91" s="378"/>
      <c r="FDV91" s="378"/>
      <c r="FDW91" s="378"/>
      <c r="FDX91" s="378"/>
      <c r="FDY91" s="378"/>
      <c r="FDZ91" s="378"/>
      <c r="FEA91" s="378"/>
      <c r="FEB91" s="378"/>
      <c r="FEC91" s="378"/>
      <c r="FED91" s="378"/>
      <c r="FEE91" s="378"/>
      <c r="FEF91" s="378"/>
      <c r="FEG91" s="378"/>
      <c r="FEH91" s="378"/>
      <c r="FEI91" s="378"/>
      <c r="FEJ91" s="378"/>
      <c r="FEK91" s="378"/>
      <c r="FEL91" s="378"/>
      <c r="FEM91" s="378"/>
      <c r="FEN91" s="378"/>
      <c r="FEO91" s="378"/>
      <c r="FEP91" s="378"/>
      <c r="FEQ91" s="378"/>
      <c r="FER91" s="378"/>
      <c r="FES91" s="378"/>
      <c r="FET91" s="378"/>
      <c r="FEU91" s="378"/>
      <c r="FEV91" s="378"/>
      <c r="FEW91" s="378"/>
      <c r="FEX91" s="378"/>
      <c r="FEY91" s="378"/>
      <c r="FEZ91" s="378"/>
      <c r="FFA91" s="378"/>
      <c r="FFB91" s="378"/>
      <c r="FFC91" s="378"/>
      <c r="FFD91" s="378"/>
      <c r="FFE91" s="378"/>
      <c r="FFF91" s="378"/>
      <c r="FFG91" s="378"/>
      <c r="FFH91" s="378"/>
      <c r="FFI91" s="378"/>
      <c r="FFJ91" s="378"/>
      <c r="FFK91" s="378"/>
      <c r="FFL91" s="378"/>
      <c r="FFM91" s="378"/>
      <c r="FFN91" s="378"/>
      <c r="FFO91" s="378"/>
      <c r="FFP91" s="378"/>
      <c r="FFQ91" s="378"/>
      <c r="FFR91" s="378"/>
      <c r="FFS91" s="378"/>
      <c r="FFT91" s="378"/>
      <c r="FFU91" s="378"/>
      <c r="FFV91" s="378"/>
      <c r="FFW91" s="378"/>
      <c r="FFX91" s="378"/>
      <c r="FFY91" s="378"/>
      <c r="FFZ91" s="378"/>
      <c r="FGA91" s="378"/>
      <c r="FGB91" s="378"/>
      <c r="FGC91" s="378"/>
      <c r="FGD91" s="378"/>
      <c r="FGE91" s="378"/>
      <c r="FGF91" s="378"/>
      <c r="FGG91" s="378"/>
      <c r="FGH91" s="378"/>
      <c r="FGI91" s="378"/>
      <c r="FGJ91" s="378"/>
      <c r="FGK91" s="378"/>
      <c r="FGL91" s="378"/>
      <c r="FGM91" s="378"/>
      <c r="FGN91" s="378"/>
      <c r="FGO91" s="378"/>
      <c r="FGP91" s="378"/>
      <c r="FGQ91" s="378"/>
      <c r="FGR91" s="378"/>
      <c r="FGS91" s="378"/>
      <c r="FGT91" s="378"/>
      <c r="FGU91" s="378"/>
      <c r="FGV91" s="378"/>
      <c r="FGW91" s="378"/>
      <c r="FGX91" s="378"/>
      <c r="FGY91" s="378"/>
      <c r="FGZ91" s="378"/>
      <c r="FHA91" s="378"/>
      <c r="FHB91" s="378"/>
      <c r="FHC91" s="378"/>
      <c r="FHD91" s="378"/>
      <c r="FHE91" s="378"/>
      <c r="FHF91" s="378"/>
      <c r="FHG91" s="378"/>
      <c r="FHH91" s="378"/>
      <c r="FHI91" s="378"/>
      <c r="FHJ91" s="378"/>
      <c r="FHK91" s="378"/>
      <c r="FHL91" s="378"/>
      <c r="FHM91" s="378"/>
      <c r="FHN91" s="378"/>
      <c r="FHO91" s="378"/>
      <c r="FHP91" s="378"/>
      <c r="FHQ91" s="378"/>
      <c r="FHR91" s="378"/>
      <c r="FHS91" s="378"/>
      <c r="FHT91" s="378"/>
      <c r="FHU91" s="378"/>
      <c r="FHV91" s="378"/>
      <c r="FHW91" s="378"/>
      <c r="FHX91" s="378"/>
      <c r="FHY91" s="378"/>
      <c r="FHZ91" s="378"/>
      <c r="FIA91" s="378"/>
      <c r="FIB91" s="378"/>
      <c r="FIC91" s="378"/>
      <c r="FID91" s="378"/>
      <c r="FIE91" s="378"/>
      <c r="FIF91" s="378"/>
      <c r="FIG91" s="378"/>
      <c r="FIH91" s="378"/>
      <c r="FII91" s="378"/>
      <c r="FIJ91" s="378"/>
      <c r="FIK91" s="378"/>
      <c r="FIL91" s="378"/>
      <c r="FIM91" s="378"/>
      <c r="FIN91" s="378"/>
      <c r="FIO91" s="378"/>
      <c r="FIP91" s="378"/>
      <c r="FIQ91" s="378"/>
      <c r="FIR91" s="378"/>
      <c r="FIS91" s="378"/>
      <c r="FIT91" s="378"/>
      <c r="FIU91" s="378"/>
      <c r="FIV91" s="378"/>
      <c r="FIW91" s="378"/>
      <c r="FIX91" s="378"/>
      <c r="FIY91" s="378"/>
      <c r="FIZ91" s="378"/>
      <c r="FJA91" s="378"/>
      <c r="FJB91" s="378"/>
      <c r="FJC91" s="378"/>
      <c r="FJD91" s="378"/>
      <c r="FJE91" s="378"/>
      <c r="FJF91" s="378"/>
      <c r="FJG91" s="378"/>
      <c r="FJH91" s="378"/>
      <c r="FJI91" s="378"/>
      <c r="FJJ91" s="378"/>
      <c r="FJK91" s="378"/>
      <c r="FJL91" s="378"/>
      <c r="FJM91" s="378"/>
      <c r="FJN91" s="378"/>
      <c r="FJO91" s="378"/>
      <c r="FJP91" s="378"/>
      <c r="FJQ91" s="378"/>
      <c r="FJR91" s="378"/>
      <c r="FJS91" s="378"/>
      <c r="FJT91" s="378"/>
      <c r="FJU91" s="378"/>
      <c r="FJV91" s="378"/>
      <c r="FJW91" s="378"/>
      <c r="FJX91" s="378"/>
      <c r="FJY91" s="378"/>
      <c r="FJZ91" s="378"/>
      <c r="FKA91" s="378"/>
      <c r="FKB91" s="378"/>
      <c r="FKC91" s="378"/>
      <c r="FKD91" s="378"/>
      <c r="FKE91" s="378"/>
      <c r="FKF91" s="378"/>
      <c r="FKG91" s="378"/>
      <c r="FKH91" s="378"/>
      <c r="FKI91" s="378"/>
      <c r="FKJ91" s="378"/>
      <c r="FKK91" s="378"/>
      <c r="FKL91" s="378"/>
      <c r="FKM91" s="378"/>
      <c r="FKN91" s="378"/>
      <c r="FKO91" s="378"/>
      <c r="FKP91" s="378"/>
      <c r="FKQ91" s="378"/>
      <c r="FKR91" s="378"/>
      <c r="FKS91" s="378"/>
      <c r="FKT91" s="378"/>
      <c r="FKU91" s="378"/>
      <c r="FKV91" s="378"/>
      <c r="FKW91" s="378"/>
      <c r="FKX91" s="378"/>
      <c r="FKY91" s="378"/>
      <c r="FKZ91" s="378"/>
      <c r="FLA91" s="378"/>
      <c r="FLB91" s="378"/>
      <c r="FLC91" s="378"/>
      <c r="FLD91" s="378"/>
      <c r="FLE91" s="378"/>
      <c r="FLF91" s="378"/>
      <c r="FLG91" s="378"/>
      <c r="FLH91" s="378"/>
      <c r="FLI91" s="378"/>
      <c r="FLJ91" s="378"/>
      <c r="FLK91" s="378"/>
      <c r="FLL91" s="378"/>
      <c r="FLM91" s="378"/>
      <c r="FLN91" s="378"/>
      <c r="FLO91" s="378"/>
      <c r="FLP91" s="378"/>
      <c r="FLQ91" s="378"/>
      <c r="FLR91" s="378"/>
      <c r="FLS91" s="378"/>
      <c r="FLT91" s="378"/>
      <c r="FLU91" s="378"/>
      <c r="FLV91" s="378"/>
      <c r="FLW91" s="378"/>
      <c r="FLX91" s="378"/>
      <c r="FLY91" s="378"/>
      <c r="FLZ91" s="378"/>
      <c r="FMA91" s="378"/>
      <c r="FMB91" s="378"/>
      <c r="FMC91" s="378"/>
      <c r="FMD91" s="378"/>
      <c r="FME91" s="378"/>
      <c r="FMF91" s="378"/>
      <c r="FMG91" s="378"/>
      <c r="FMH91" s="378"/>
      <c r="FMI91" s="378"/>
      <c r="FMJ91" s="378"/>
      <c r="FMK91" s="378"/>
      <c r="FML91" s="378"/>
      <c r="FMM91" s="378"/>
      <c r="FMN91" s="378"/>
      <c r="FMO91" s="378"/>
      <c r="FMP91" s="378"/>
      <c r="FMQ91" s="378"/>
      <c r="FMR91" s="378"/>
      <c r="FMS91" s="378"/>
      <c r="FMT91" s="378"/>
      <c r="FMU91" s="378"/>
      <c r="FMV91" s="378"/>
      <c r="FMW91" s="378"/>
      <c r="FMX91" s="378"/>
      <c r="FMY91" s="378"/>
      <c r="FMZ91" s="378"/>
      <c r="FNA91" s="378"/>
      <c r="FNB91" s="378"/>
      <c r="FNC91" s="378"/>
      <c r="FND91" s="378"/>
      <c r="FNE91" s="378"/>
      <c r="FNF91" s="378"/>
      <c r="FNG91" s="378"/>
      <c r="FNH91" s="378"/>
      <c r="FNI91" s="378"/>
      <c r="FNJ91" s="378"/>
      <c r="FNK91" s="378"/>
      <c r="FNL91" s="378"/>
      <c r="FNM91" s="378"/>
      <c r="FNN91" s="378"/>
      <c r="FNO91" s="378"/>
      <c r="FNP91" s="378"/>
      <c r="FNQ91" s="378"/>
      <c r="FNR91" s="378"/>
      <c r="FNS91" s="378"/>
      <c r="FNT91" s="378"/>
      <c r="FNU91" s="378"/>
      <c r="FNV91" s="378"/>
      <c r="FNW91" s="378"/>
      <c r="FNX91" s="378"/>
      <c r="FNY91" s="378"/>
      <c r="FNZ91" s="378"/>
      <c r="FOA91" s="378"/>
      <c r="FOB91" s="378"/>
      <c r="FOC91" s="378"/>
      <c r="FOD91" s="378"/>
      <c r="FOE91" s="378"/>
      <c r="FOF91" s="378"/>
      <c r="FOG91" s="378"/>
      <c r="FOH91" s="378"/>
      <c r="FOI91" s="378"/>
      <c r="FOJ91" s="378"/>
      <c r="FOK91" s="378"/>
      <c r="FOL91" s="378"/>
      <c r="FOM91" s="378"/>
      <c r="FON91" s="378"/>
      <c r="FOO91" s="378"/>
      <c r="FOP91" s="378"/>
      <c r="FOQ91" s="378"/>
      <c r="FOR91" s="378"/>
      <c r="FOS91" s="378"/>
      <c r="FOT91" s="378"/>
      <c r="FOU91" s="378"/>
      <c r="FOV91" s="378"/>
      <c r="FOW91" s="378"/>
      <c r="FOX91" s="378"/>
      <c r="FOY91" s="378"/>
      <c r="FOZ91" s="378"/>
      <c r="FPA91" s="378"/>
      <c r="FPB91" s="378"/>
      <c r="FPC91" s="378"/>
      <c r="FPD91" s="378"/>
      <c r="FPE91" s="378"/>
      <c r="FPF91" s="378"/>
      <c r="FPG91" s="378"/>
      <c r="FPH91" s="378"/>
      <c r="FPI91" s="378"/>
      <c r="FPJ91" s="378"/>
      <c r="FPK91" s="378"/>
      <c r="FPL91" s="378"/>
      <c r="FPM91" s="378"/>
      <c r="FPN91" s="378"/>
      <c r="FPO91" s="378"/>
      <c r="FPP91" s="378"/>
      <c r="FPQ91" s="378"/>
      <c r="FPR91" s="378"/>
      <c r="FPS91" s="378"/>
      <c r="FPT91" s="378"/>
      <c r="FPU91" s="378"/>
      <c r="FPV91" s="378"/>
      <c r="FPW91" s="378"/>
      <c r="FPX91" s="378"/>
      <c r="FPY91" s="378"/>
      <c r="FPZ91" s="378"/>
      <c r="FQA91" s="378"/>
      <c r="FQB91" s="378"/>
      <c r="FQC91" s="378"/>
      <c r="FQD91" s="378"/>
      <c r="FQE91" s="378"/>
      <c r="FQF91" s="378"/>
      <c r="FQG91" s="378"/>
      <c r="FQH91" s="378"/>
      <c r="FQI91" s="378"/>
      <c r="FQJ91" s="378"/>
      <c r="FQK91" s="378"/>
      <c r="FQL91" s="378"/>
      <c r="FQM91" s="378"/>
      <c r="FQN91" s="378"/>
      <c r="FQO91" s="378"/>
      <c r="FQP91" s="378"/>
      <c r="FQQ91" s="378"/>
      <c r="FQR91" s="378"/>
      <c r="FQS91" s="378"/>
      <c r="FQT91" s="378"/>
      <c r="FQU91" s="378"/>
      <c r="FQV91" s="378"/>
      <c r="FQW91" s="378"/>
      <c r="FQX91" s="378"/>
      <c r="FQY91" s="378"/>
      <c r="FQZ91" s="378"/>
      <c r="FRA91" s="378"/>
      <c r="FRB91" s="378"/>
      <c r="FRC91" s="378"/>
      <c r="FRD91" s="378"/>
      <c r="FRE91" s="378"/>
      <c r="FRF91" s="378"/>
      <c r="FRG91" s="378"/>
      <c r="FRH91" s="378"/>
      <c r="FRI91" s="378"/>
      <c r="FRJ91" s="378"/>
      <c r="FRK91" s="378"/>
      <c r="FRL91" s="378"/>
      <c r="FRM91" s="378"/>
      <c r="FRN91" s="378"/>
      <c r="FRO91" s="378"/>
      <c r="FRP91" s="378"/>
      <c r="FRQ91" s="378"/>
      <c r="FRR91" s="378"/>
      <c r="FRS91" s="378"/>
      <c r="FRT91" s="378"/>
      <c r="FRU91" s="378"/>
      <c r="FRV91" s="378"/>
      <c r="FRW91" s="378"/>
      <c r="FRX91" s="378"/>
      <c r="FRY91" s="378"/>
      <c r="FRZ91" s="378"/>
      <c r="FSA91" s="378"/>
      <c r="FSB91" s="378"/>
      <c r="FSC91" s="378"/>
      <c r="FSD91" s="378"/>
      <c r="FSE91" s="378"/>
      <c r="FSF91" s="378"/>
      <c r="FSG91" s="378"/>
      <c r="FSH91" s="378"/>
      <c r="FSI91" s="378"/>
      <c r="FSJ91" s="378"/>
      <c r="FSK91" s="378"/>
      <c r="FSL91" s="378"/>
      <c r="FSM91" s="378"/>
      <c r="FSN91" s="378"/>
      <c r="FSO91" s="378"/>
      <c r="FSP91" s="378"/>
      <c r="FSQ91" s="378"/>
      <c r="FSR91" s="378"/>
      <c r="FSS91" s="378"/>
      <c r="FST91" s="378"/>
      <c r="FSU91" s="378"/>
      <c r="FSV91" s="378"/>
      <c r="FSW91" s="378"/>
      <c r="FSX91" s="378"/>
      <c r="FSY91" s="378"/>
      <c r="FSZ91" s="378"/>
      <c r="FTA91" s="378"/>
      <c r="FTB91" s="378"/>
      <c r="FTC91" s="378"/>
      <c r="FTD91" s="378"/>
      <c r="FTE91" s="378"/>
      <c r="FTF91" s="378"/>
      <c r="FTG91" s="378"/>
      <c r="FTH91" s="378"/>
      <c r="FTI91" s="378"/>
      <c r="FTJ91" s="378"/>
      <c r="FTK91" s="378"/>
      <c r="FTL91" s="378"/>
      <c r="FTM91" s="378"/>
      <c r="FTN91" s="378"/>
      <c r="FTO91" s="378"/>
      <c r="FTP91" s="378"/>
      <c r="FTQ91" s="378"/>
      <c r="FTR91" s="378"/>
      <c r="FTS91" s="378"/>
      <c r="FTT91" s="378"/>
      <c r="FTU91" s="378"/>
      <c r="FTV91" s="378"/>
      <c r="FTW91" s="378"/>
      <c r="FTX91" s="378"/>
      <c r="FTY91" s="378"/>
      <c r="FTZ91" s="378"/>
      <c r="FUA91" s="378"/>
      <c r="FUB91" s="378"/>
      <c r="FUC91" s="378"/>
      <c r="FUD91" s="378"/>
      <c r="FUE91" s="378"/>
      <c r="FUF91" s="378"/>
      <c r="FUG91" s="378"/>
      <c r="FUH91" s="378"/>
      <c r="FUI91" s="378"/>
      <c r="FUJ91" s="378"/>
      <c r="FUK91" s="378"/>
      <c r="FUL91" s="378"/>
      <c r="FUM91" s="378"/>
      <c r="FUN91" s="378"/>
      <c r="FUO91" s="378"/>
      <c r="FUP91" s="378"/>
      <c r="FUQ91" s="378"/>
      <c r="FUR91" s="378"/>
      <c r="FUS91" s="378"/>
      <c r="FUT91" s="378"/>
      <c r="FUU91" s="378"/>
      <c r="FUV91" s="378"/>
      <c r="FUW91" s="378"/>
      <c r="FUX91" s="378"/>
      <c r="FUY91" s="378"/>
      <c r="FUZ91" s="378"/>
      <c r="FVA91" s="378"/>
      <c r="FVB91" s="378"/>
      <c r="FVC91" s="378"/>
      <c r="FVD91" s="378"/>
      <c r="FVE91" s="378"/>
      <c r="FVF91" s="378"/>
      <c r="FVG91" s="378"/>
      <c r="FVH91" s="378"/>
      <c r="FVI91" s="378"/>
      <c r="FVJ91" s="378"/>
      <c r="FVK91" s="378"/>
      <c r="FVL91" s="378"/>
      <c r="FVM91" s="378"/>
      <c r="FVN91" s="378"/>
      <c r="FVO91" s="378"/>
      <c r="FVP91" s="378"/>
      <c r="FVQ91" s="378"/>
      <c r="FVR91" s="378"/>
      <c r="FVS91" s="378"/>
      <c r="FVT91" s="378"/>
      <c r="FVU91" s="378"/>
      <c r="FVV91" s="378"/>
      <c r="FVW91" s="378"/>
      <c r="FVX91" s="378"/>
      <c r="FVY91" s="378"/>
      <c r="FVZ91" s="378"/>
      <c r="FWA91" s="378"/>
      <c r="FWB91" s="378"/>
      <c r="FWC91" s="378"/>
      <c r="FWD91" s="378"/>
      <c r="FWE91" s="378"/>
      <c r="FWF91" s="378"/>
      <c r="FWG91" s="378"/>
      <c r="FWH91" s="378"/>
      <c r="FWI91" s="378"/>
      <c r="FWJ91" s="378"/>
      <c r="FWK91" s="378"/>
      <c r="FWL91" s="378"/>
      <c r="FWM91" s="378"/>
      <c r="FWN91" s="378"/>
      <c r="FWO91" s="378"/>
      <c r="FWP91" s="378"/>
      <c r="FWQ91" s="378"/>
      <c r="FWR91" s="378"/>
      <c r="FWS91" s="378"/>
      <c r="FWT91" s="378"/>
      <c r="FWU91" s="378"/>
      <c r="FWV91" s="378"/>
      <c r="FWW91" s="378"/>
      <c r="FWX91" s="378"/>
      <c r="FWY91" s="378"/>
      <c r="FWZ91" s="378"/>
      <c r="FXA91" s="378"/>
      <c r="FXB91" s="378"/>
      <c r="FXC91" s="378"/>
      <c r="FXD91" s="378"/>
      <c r="FXE91" s="378"/>
      <c r="FXF91" s="378"/>
      <c r="FXG91" s="378"/>
      <c r="FXH91" s="378"/>
      <c r="FXI91" s="378"/>
      <c r="FXJ91" s="378"/>
      <c r="FXK91" s="378"/>
      <c r="FXL91" s="378"/>
      <c r="FXM91" s="378"/>
      <c r="FXN91" s="378"/>
      <c r="FXO91" s="378"/>
      <c r="FXP91" s="378"/>
      <c r="FXQ91" s="378"/>
      <c r="FXR91" s="378"/>
      <c r="FXS91" s="378"/>
      <c r="FXT91" s="378"/>
      <c r="FXU91" s="378"/>
      <c r="FXV91" s="378"/>
      <c r="FXW91" s="378"/>
      <c r="FXX91" s="378"/>
      <c r="FXY91" s="378"/>
      <c r="FXZ91" s="378"/>
      <c r="FYA91" s="378"/>
      <c r="FYB91" s="378"/>
      <c r="FYC91" s="378"/>
      <c r="FYD91" s="378"/>
      <c r="FYE91" s="378"/>
      <c r="FYF91" s="378"/>
      <c r="FYG91" s="378"/>
      <c r="FYH91" s="378"/>
      <c r="FYI91" s="378"/>
      <c r="FYJ91" s="378"/>
      <c r="FYK91" s="378"/>
      <c r="FYL91" s="378"/>
      <c r="FYM91" s="378"/>
      <c r="FYN91" s="378"/>
      <c r="FYO91" s="378"/>
      <c r="FYP91" s="378"/>
      <c r="FYQ91" s="378"/>
      <c r="FYR91" s="378"/>
      <c r="FYS91" s="378"/>
      <c r="FYT91" s="378"/>
      <c r="FYU91" s="378"/>
      <c r="FYV91" s="378"/>
      <c r="FYW91" s="378"/>
      <c r="FYX91" s="378"/>
      <c r="FYY91" s="378"/>
      <c r="FYZ91" s="378"/>
      <c r="FZA91" s="378"/>
      <c r="FZB91" s="378"/>
      <c r="FZC91" s="378"/>
      <c r="FZD91" s="378"/>
      <c r="FZE91" s="378"/>
      <c r="FZF91" s="378"/>
      <c r="FZG91" s="378"/>
      <c r="FZH91" s="378"/>
      <c r="FZI91" s="378"/>
      <c r="FZJ91" s="378"/>
      <c r="FZK91" s="378"/>
      <c r="FZL91" s="378"/>
      <c r="FZM91" s="378"/>
      <c r="FZN91" s="378"/>
      <c r="FZO91" s="378"/>
      <c r="FZP91" s="378"/>
      <c r="FZQ91" s="378"/>
      <c r="FZR91" s="378"/>
      <c r="FZS91" s="378"/>
      <c r="FZT91" s="378"/>
      <c r="FZU91" s="378"/>
      <c r="FZV91" s="378"/>
      <c r="FZW91" s="378"/>
      <c r="FZX91" s="378"/>
      <c r="FZY91" s="378"/>
      <c r="FZZ91" s="378"/>
      <c r="GAA91" s="378"/>
      <c r="GAB91" s="378"/>
      <c r="GAC91" s="378"/>
      <c r="GAD91" s="378"/>
      <c r="GAE91" s="378"/>
      <c r="GAF91" s="378"/>
      <c r="GAG91" s="378"/>
      <c r="GAH91" s="378"/>
      <c r="GAI91" s="378"/>
      <c r="GAJ91" s="378"/>
      <c r="GAK91" s="378"/>
      <c r="GAL91" s="378"/>
      <c r="GAM91" s="378"/>
      <c r="GAN91" s="378"/>
      <c r="GAO91" s="378"/>
      <c r="GAP91" s="378"/>
      <c r="GAQ91" s="378"/>
      <c r="GAR91" s="378"/>
      <c r="GAS91" s="378"/>
      <c r="GAT91" s="378"/>
      <c r="GAU91" s="378"/>
      <c r="GAV91" s="378"/>
      <c r="GAW91" s="378"/>
      <c r="GAX91" s="378"/>
      <c r="GAY91" s="378"/>
      <c r="GAZ91" s="378"/>
      <c r="GBA91" s="378"/>
      <c r="GBB91" s="378"/>
      <c r="GBC91" s="378"/>
      <c r="GBD91" s="378"/>
      <c r="GBE91" s="378"/>
      <c r="GBF91" s="378"/>
      <c r="GBG91" s="378"/>
      <c r="GBH91" s="378"/>
      <c r="GBI91" s="378"/>
      <c r="GBJ91" s="378"/>
      <c r="GBK91" s="378"/>
      <c r="GBL91" s="378"/>
      <c r="GBM91" s="378"/>
      <c r="GBN91" s="378"/>
      <c r="GBO91" s="378"/>
      <c r="GBP91" s="378"/>
      <c r="GBQ91" s="378"/>
      <c r="GBR91" s="378"/>
      <c r="GBS91" s="378"/>
      <c r="GBT91" s="378"/>
      <c r="GBU91" s="378"/>
      <c r="GBV91" s="378"/>
      <c r="GBW91" s="378"/>
      <c r="GBX91" s="378"/>
      <c r="GBY91" s="378"/>
      <c r="GBZ91" s="378"/>
      <c r="GCA91" s="378"/>
      <c r="GCB91" s="378"/>
      <c r="GCC91" s="378"/>
      <c r="GCD91" s="378"/>
      <c r="GCE91" s="378"/>
      <c r="GCF91" s="378"/>
      <c r="GCG91" s="378"/>
      <c r="GCH91" s="378"/>
      <c r="GCI91" s="378"/>
      <c r="GCJ91" s="378"/>
      <c r="GCK91" s="378"/>
      <c r="GCL91" s="378"/>
      <c r="GCM91" s="378"/>
      <c r="GCN91" s="378"/>
      <c r="GCO91" s="378"/>
      <c r="GCP91" s="378"/>
      <c r="GCQ91" s="378"/>
      <c r="GCR91" s="378"/>
      <c r="GCS91" s="378"/>
      <c r="GCT91" s="378"/>
      <c r="GCU91" s="378"/>
      <c r="GCV91" s="378"/>
      <c r="GCW91" s="378"/>
      <c r="GCX91" s="378"/>
      <c r="GCY91" s="378"/>
      <c r="GCZ91" s="378"/>
      <c r="GDA91" s="378"/>
      <c r="GDB91" s="378"/>
      <c r="GDC91" s="378"/>
      <c r="GDD91" s="378"/>
      <c r="GDE91" s="378"/>
      <c r="GDF91" s="378"/>
      <c r="GDG91" s="378"/>
      <c r="GDH91" s="378"/>
      <c r="GDI91" s="378"/>
      <c r="GDJ91" s="378"/>
      <c r="GDK91" s="378"/>
      <c r="GDL91" s="378"/>
      <c r="GDM91" s="378"/>
      <c r="GDN91" s="378"/>
      <c r="GDO91" s="378"/>
      <c r="GDP91" s="378"/>
      <c r="GDQ91" s="378"/>
      <c r="GDR91" s="378"/>
      <c r="GDS91" s="378"/>
      <c r="GDT91" s="378"/>
      <c r="GDU91" s="378"/>
      <c r="GDV91" s="378"/>
      <c r="GDW91" s="378"/>
      <c r="GDX91" s="378"/>
      <c r="GDY91" s="378"/>
      <c r="GDZ91" s="378"/>
      <c r="GEA91" s="378"/>
      <c r="GEB91" s="378"/>
      <c r="GEC91" s="378"/>
      <c r="GED91" s="378"/>
      <c r="GEE91" s="378"/>
      <c r="GEF91" s="378"/>
      <c r="GEG91" s="378"/>
      <c r="GEH91" s="378"/>
      <c r="GEI91" s="378"/>
      <c r="GEJ91" s="378"/>
      <c r="GEK91" s="378"/>
      <c r="GEL91" s="378"/>
      <c r="GEM91" s="378"/>
      <c r="GEN91" s="378"/>
      <c r="GEO91" s="378"/>
      <c r="GEP91" s="378"/>
      <c r="GEQ91" s="378"/>
      <c r="GER91" s="378"/>
      <c r="GES91" s="378"/>
      <c r="GET91" s="378"/>
      <c r="GEU91" s="378"/>
      <c r="GEV91" s="378"/>
      <c r="GEW91" s="378"/>
      <c r="GEX91" s="378"/>
      <c r="GEY91" s="378"/>
      <c r="GEZ91" s="378"/>
      <c r="GFA91" s="378"/>
      <c r="GFB91" s="378"/>
      <c r="GFC91" s="378"/>
      <c r="GFD91" s="378"/>
      <c r="GFE91" s="378"/>
      <c r="GFF91" s="378"/>
      <c r="GFG91" s="378"/>
      <c r="GFH91" s="378"/>
      <c r="GFI91" s="378"/>
      <c r="GFJ91" s="378"/>
      <c r="GFK91" s="378"/>
      <c r="GFL91" s="378"/>
      <c r="GFM91" s="378"/>
      <c r="GFN91" s="378"/>
      <c r="GFO91" s="378"/>
      <c r="GFP91" s="378"/>
      <c r="GFQ91" s="378"/>
      <c r="GFR91" s="378"/>
      <c r="GFS91" s="378"/>
      <c r="GFT91" s="378"/>
      <c r="GFU91" s="378"/>
      <c r="GFV91" s="378"/>
      <c r="GFW91" s="378"/>
      <c r="GFX91" s="378"/>
      <c r="GFY91" s="378"/>
      <c r="GFZ91" s="378"/>
      <c r="GGA91" s="378"/>
      <c r="GGB91" s="378"/>
      <c r="GGC91" s="378"/>
      <c r="GGD91" s="378"/>
      <c r="GGE91" s="378"/>
      <c r="GGF91" s="378"/>
      <c r="GGG91" s="378"/>
      <c r="GGH91" s="378"/>
      <c r="GGI91" s="378"/>
      <c r="GGJ91" s="378"/>
      <c r="GGK91" s="378"/>
      <c r="GGL91" s="378"/>
      <c r="GGM91" s="378"/>
      <c r="GGN91" s="378"/>
      <c r="GGO91" s="378"/>
      <c r="GGP91" s="378"/>
      <c r="GGQ91" s="378"/>
      <c r="GGR91" s="378"/>
      <c r="GGS91" s="378"/>
      <c r="GGT91" s="378"/>
      <c r="GGU91" s="378"/>
      <c r="GGV91" s="378"/>
      <c r="GGW91" s="378"/>
      <c r="GGX91" s="378"/>
      <c r="GGY91" s="378"/>
      <c r="GGZ91" s="378"/>
      <c r="GHA91" s="378"/>
      <c r="GHB91" s="378"/>
      <c r="GHC91" s="378"/>
      <c r="GHD91" s="378"/>
      <c r="GHE91" s="378"/>
      <c r="GHF91" s="378"/>
      <c r="GHG91" s="378"/>
      <c r="GHH91" s="378"/>
      <c r="GHI91" s="378"/>
      <c r="GHJ91" s="378"/>
      <c r="GHK91" s="378"/>
      <c r="GHL91" s="378"/>
      <c r="GHM91" s="378"/>
      <c r="GHN91" s="378"/>
      <c r="GHO91" s="378"/>
      <c r="GHP91" s="378"/>
      <c r="GHQ91" s="378"/>
      <c r="GHR91" s="378"/>
      <c r="GHS91" s="378"/>
      <c r="GHT91" s="378"/>
      <c r="GHU91" s="378"/>
      <c r="GHV91" s="378"/>
      <c r="GHW91" s="378"/>
      <c r="GHX91" s="378"/>
      <c r="GHY91" s="378"/>
      <c r="GHZ91" s="378"/>
      <c r="GIA91" s="378"/>
      <c r="GIB91" s="378"/>
      <c r="GIC91" s="378"/>
      <c r="GID91" s="378"/>
      <c r="GIE91" s="378"/>
      <c r="GIF91" s="378"/>
      <c r="GIG91" s="378"/>
      <c r="GIH91" s="378"/>
      <c r="GII91" s="378"/>
      <c r="GIJ91" s="378"/>
      <c r="GIK91" s="378"/>
      <c r="GIL91" s="378"/>
      <c r="GIM91" s="378"/>
      <c r="GIN91" s="378"/>
      <c r="GIO91" s="378"/>
      <c r="GIP91" s="378"/>
      <c r="GIQ91" s="378"/>
      <c r="GIR91" s="378"/>
      <c r="GIS91" s="378"/>
      <c r="GIT91" s="378"/>
      <c r="GIU91" s="378"/>
      <c r="GIV91" s="378"/>
      <c r="GIW91" s="378"/>
      <c r="GIX91" s="378"/>
      <c r="GIY91" s="378"/>
      <c r="GIZ91" s="378"/>
      <c r="GJA91" s="378"/>
      <c r="GJB91" s="378"/>
      <c r="GJC91" s="378"/>
      <c r="GJD91" s="378"/>
      <c r="GJE91" s="378"/>
      <c r="GJF91" s="378"/>
      <c r="GJG91" s="378"/>
      <c r="GJH91" s="378"/>
      <c r="GJI91" s="378"/>
      <c r="GJJ91" s="378"/>
      <c r="GJK91" s="378"/>
      <c r="GJL91" s="378"/>
      <c r="GJM91" s="378"/>
      <c r="GJN91" s="378"/>
      <c r="GJO91" s="378"/>
      <c r="GJP91" s="378"/>
      <c r="GJQ91" s="378"/>
      <c r="GJR91" s="378"/>
      <c r="GJS91" s="378"/>
      <c r="GJT91" s="378"/>
      <c r="GJU91" s="378"/>
      <c r="GJV91" s="378"/>
      <c r="GJW91" s="378"/>
      <c r="GJX91" s="378"/>
      <c r="GJY91" s="378"/>
      <c r="GJZ91" s="378"/>
      <c r="GKA91" s="378"/>
      <c r="GKB91" s="378"/>
      <c r="GKC91" s="378"/>
      <c r="GKD91" s="378"/>
      <c r="GKE91" s="378"/>
      <c r="GKF91" s="378"/>
      <c r="GKG91" s="378"/>
      <c r="GKH91" s="378"/>
      <c r="GKI91" s="378"/>
      <c r="GKJ91" s="378"/>
      <c r="GKK91" s="378"/>
      <c r="GKL91" s="378"/>
      <c r="GKM91" s="378"/>
      <c r="GKN91" s="378"/>
      <c r="GKO91" s="378"/>
      <c r="GKP91" s="378"/>
      <c r="GKQ91" s="378"/>
      <c r="GKR91" s="378"/>
      <c r="GKS91" s="378"/>
      <c r="GKT91" s="378"/>
      <c r="GKU91" s="378"/>
      <c r="GKV91" s="378"/>
      <c r="GKW91" s="378"/>
      <c r="GKX91" s="378"/>
      <c r="GKY91" s="378"/>
      <c r="GKZ91" s="378"/>
      <c r="GLA91" s="378"/>
      <c r="GLB91" s="378"/>
      <c r="GLC91" s="378"/>
      <c r="GLD91" s="378"/>
      <c r="GLE91" s="378"/>
      <c r="GLF91" s="378"/>
      <c r="GLG91" s="378"/>
      <c r="GLH91" s="378"/>
      <c r="GLI91" s="378"/>
      <c r="GLJ91" s="378"/>
      <c r="GLK91" s="378"/>
      <c r="GLL91" s="378"/>
      <c r="GLM91" s="378"/>
      <c r="GLN91" s="378"/>
      <c r="GLO91" s="378"/>
      <c r="GLP91" s="378"/>
      <c r="GLQ91" s="378"/>
      <c r="GLR91" s="378"/>
      <c r="GLS91" s="378"/>
      <c r="GLT91" s="378"/>
      <c r="GLU91" s="378"/>
      <c r="GLV91" s="378"/>
      <c r="GLW91" s="378"/>
      <c r="GLX91" s="378"/>
      <c r="GLY91" s="378"/>
      <c r="GLZ91" s="378"/>
      <c r="GMA91" s="378"/>
      <c r="GMB91" s="378"/>
      <c r="GMC91" s="378"/>
      <c r="GMD91" s="378"/>
      <c r="GME91" s="378"/>
      <c r="GMF91" s="378"/>
      <c r="GMG91" s="378"/>
      <c r="GMH91" s="378"/>
      <c r="GMI91" s="378"/>
      <c r="GMJ91" s="378"/>
      <c r="GMK91" s="378"/>
      <c r="GML91" s="378"/>
      <c r="GMM91" s="378"/>
      <c r="GMN91" s="378"/>
      <c r="GMO91" s="378"/>
      <c r="GMP91" s="378"/>
      <c r="GMQ91" s="378"/>
      <c r="GMR91" s="378"/>
      <c r="GMS91" s="378"/>
      <c r="GMT91" s="378"/>
      <c r="GMU91" s="378"/>
      <c r="GMV91" s="378"/>
      <c r="GMW91" s="378"/>
      <c r="GMX91" s="378"/>
      <c r="GMY91" s="378"/>
      <c r="GMZ91" s="378"/>
      <c r="GNA91" s="378"/>
      <c r="GNB91" s="378"/>
      <c r="GNC91" s="378"/>
      <c r="GND91" s="378"/>
      <c r="GNE91" s="378"/>
      <c r="GNF91" s="378"/>
      <c r="GNG91" s="378"/>
      <c r="GNH91" s="378"/>
      <c r="GNI91" s="378"/>
      <c r="GNJ91" s="378"/>
      <c r="GNK91" s="378"/>
      <c r="GNL91" s="378"/>
      <c r="GNM91" s="378"/>
      <c r="GNN91" s="378"/>
      <c r="GNO91" s="378"/>
      <c r="GNP91" s="378"/>
      <c r="GNQ91" s="378"/>
      <c r="GNR91" s="378"/>
      <c r="GNS91" s="378"/>
      <c r="GNT91" s="378"/>
      <c r="GNU91" s="378"/>
      <c r="GNV91" s="378"/>
      <c r="GNW91" s="378"/>
      <c r="GNX91" s="378"/>
      <c r="GNY91" s="378"/>
      <c r="GNZ91" s="378"/>
      <c r="GOA91" s="378"/>
      <c r="GOB91" s="378"/>
      <c r="GOC91" s="378"/>
      <c r="GOD91" s="378"/>
      <c r="GOE91" s="378"/>
      <c r="GOF91" s="378"/>
      <c r="GOG91" s="378"/>
      <c r="GOH91" s="378"/>
      <c r="GOI91" s="378"/>
      <c r="GOJ91" s="378"/>
      <c r="GOK91" s="378"/>
      <c r="GOL91" s="378"/>
      <c r="GOM91" s="378"/>
      <c r="GON91" s="378"/>
      <c r="GOO91" s="378"/>
      <c r="GOP91" s="378"/>
      <c r="GOQ91" s="378"/>
      <c r="GOR91" s="378"/>
      <c r="GOS91" s="378"/>
      <c r="GOT91" s="378"/>
      <c r="GOU91" s="378"/>
      <c r="GOV91" s="378"/>
      <c r="GOW91" s="378"/>
      <c r="GOX91" s="378"/>
      <c r="GOY91" s="378"/>
      <c r="GOZ91" s="378"/>
      <c r="GPA91" s="378"/>
      <c r="GPB91" s="378"/>
      <c r="GPC91" s="378"/>
      <c r="GPD91" s="378"/>
      <c r="GPE91" s="378"/>
      <c r="GPF91" s="378"/>
      <c r="GPG91" s="378"/>
      <c r="GPH91" s="378"/>
      <c r="GPI91" s="378"/>
      <c r="GPJ91" s="378"/>
      <c r="GPK91" s="378"/>
      <c r="GPL91" s="378"/>
      <c r="GPM91" s="378"/>
      <c r="GPN91" s="378"/>
      <c r="GPO91" s="378"/>
      <c r="GPP91" s="378"/>
      <c r="GPQ91" s="378"/>
      <c r="GPR91" s="378"/>
      <c r="GPS91" s="378"/>
      <c r="GPT91" s="378"/>
      <c r="GPU91" s="378"/>
      <c r="GPV91" s="378"/>
      <c r="GPW91" s="378"/>
      <c r="GPX91" s="378"/>
      <c r="GPY91" s="378"/>
      <c r="GPZ91" s="378"/>
      <c r="GQA91" s="378"/>
      <c r="GQB91" s="378"/>
      <c r="GQC91" s="378"/>
      <c r="GQD91" s="378"/>
      <c r="GQE91" s="378"/>
      <c r="GQF91" s="378"/>
      <c r="GQG91" s="378"/>
      <c r="GQH91" s="378"/>
      <c r="GQI91" s="378"/>
      <c r="GQJ91" s="378"/>
      <c r="GQK91" s="378"/>
      <c r="GQL91" s="378"/>
      <c r="GQM91" s="378"/>
      <c r="GQN91" s="378"/>
      <c r="GQO91" s="378"/>
      <c r="GQP91" s="378"/>
      <c r="GQQ91" s="378"/>
      <c r="GQR91" s="378"/>
      <c r="GQS91" s="378"/>
      <c r="GQT91" s="378"/>
      <c r="GQU91" s="378"/>
      <c r="GQV91" s="378"/>
      <c r="GQW91" s="378"/>
      <c r="GQX91" s="378"/>
      <c r="GQY91" s="378"/>
      <c r="GQZ91" s="378"/>
      <c r="GRA91" s="378"/>
      <c r="GRB91" s="378"/>
      <c r="GRC91" s="378"/>
      <c r="GRD91" s="378"/>
      <c r="GRE91" s="378"/>
      <c r="GRF91" s="378"/>
      <c r="GRG91" s="378"/>
      <c r="GRH91" s="378"/>
      <c r="GRI91" s="378"/>
      <c r="GRJ91" s="378"/>
      <c r="GRK91" s="378"/>
      <c r="GRL91" s="378"/>
      <c r="GRM91" s="378"/>
      <c r="GRN91" s="378"/>
      <c r="GRO91" s="378"/>
      <c r="GRP91" s="378"/>
      <c r="GRQ91" s="378"/>
      <c r="GRR91" s="378"/>
      <c r="GRS91" s="378"/>
      <c r="GRT91" s="378"/>
      <c r="GRU91" s="378"/>
      <c r="GRV91" s="378"/>
      <c r="GRW91" s="378"/>
      <c r="GRX91" s="378"/>
      <c r="GRY91" s="378"/>
      <c r="GRZ91" s="378"/>
      <c r="GSA91" s="378"/>
      <c r="GSB91" s="378"/>
      <c r="GSC91" s="378"/>
      <c r="GSD91" s="378"/>
      <c r="GSE91" s="378"/>
      <c r="GSF91" s="378"/>
      <c r="GSG91" s="378"/>
      <c r="GSH91" s="378"/>
      <c r="GSI91" s="378"/>
      <c r="GSJ91" s="378"/>
      <c r="GSK91" s="378"/>
      <c r="GSL91" s="378"/>
      <c r="GSM91" s="378"/>
      <c r="GSN91" s="378"/>
      <c r="GSO91" s="378"/>
      <c r="GSP91" s="378"/>
      <c r="GSQ91" s="378"/>
      <c r="GSR91" s="378"/>
      <c r="GSS91" s="378"/>
      <c r="GST91" s="378"/>
      <c r="GSU91" s="378"/>
      <c r="GSV91" s="378"/>
      <c r="GSW91" s="378"/>
      <c r="GSX91" s="378"/>
      <c r="GSY91" s="378"/>
      <c r="GSZ91" s="378"/>
      <c r="GTA91" s="378"/>
      <c r="GTB91" s="378"/>
      <c r="GTC91" s="378"/>
      <c r="GTD91" s="378"/>
      <c r="GTE91" s="378"/>
      <c r="GTF91" s="378"/>
      <c r="GTG91" s="378"/>
      <c r="GTH91" s="378"/>
      <c r="GTI91" s="378"/>
      <c r="GTJ91" s="378"/>
      <c r="GTK91" s="378"/>
      <c r="GTL91" s="378"/>
      <c r="GTM91" s="378"/>
      <c r="GTN91" s="378"/>
      <c r="GTO91" s="378"/>
      <c r="GTP91" s="378"/>
      <c r="GTQ91" s="378"/>
      <c r="GTR91" s="378"/>
      <c r="GTS91" s="378"/>
      <c r="GTT91" s="378"/>
      <c r="GTU91" s="378"/>
      <c r="GTV91" s="378"/>
      <c r="GTW91" s="378"/>
      <c r="GTX91" s="378"/>
      <c r="GTY91" s="378"/>
      <c r="GTZ91" s="378"/>
      <c r="GUA91" s="378"/>
      <c r="GUB91" s="378"/>
      <c r="GUC91" s="378"/>
      <c r="GUD91" s="378"/>
      <c r="GUE91" s="378"/>
      <c r="GUF91" s="378"/>
      <c r="GUG91" s="378"/>
      <c r="GUH91" s="378"/>
      <c r="GUI91" s="378"/>
      <c r="GUJ91" s="378"/>
      <c r="GUK91" s="378"/>
      <c r="GUL91" s="378"/>
      <c r="GUM91" s="378"/>
      <c r="GUN91" s="378"/>
      <c r="GUO91" s="378"/>
      <c r="GUP91" s="378"/>
      <c r="GUQ91" s="378"/>
      <c r="GUR91" s="378"/>
      <c r="GUS91" s="378"/>
      <c r="GUT91" s="378"/>
      <c r="GUU91" s="378"/>
      <c r="GUV91" s="378"/>
      <c r="GUW91" s="378"/>
      <c r="GUX91" s="378"/>
      <c r="GUY91" s="378"/>
      <c r="GUZ91" s="378"/>
      <c r="GVA91" s="378"/>
      <c r="GVB91" s="378"/>
      <c r="GVC91" s="378"/>
      <c r="GVD91" s="378"/>
      <c r="GVE91" s="378"/>
      <c r="GVF91" s="378"/>
      <c r="GVG91" s="378"/>
      <c r="GVH91" s="378"/>
      <c r="GVI91" s="378"/>
      <c r="GVJ91" s="378"/>
      <c r="GVK91" s="378"/>
      <c r="GVL91" s="378"/>
      <c r="GVM91" s="378"/>
      <c r="GVN91" s="378"/>
      <c r="GVO91" s="378"/>
      <c r="GVP91" s="378"/>
      <c r="GVQ91" s="378"/>
      <c r="GVR91" s="378"/>
      <c r="GVS91" s="378"/>
      <c r="GVT91" s="378"/>
      <c r="GVU91" s="378"/>
      <c r="GVV91" s="378"/>
      <c r="GVW91" s="378"/>
      <c r="GVX91" s="378"/>
      <c r="GVY91" s="378"/>
      <c r="GVZ91" s="378"/>
      <c r="GWA91" s="378"/>
      <c r="GWB91" s="378"/>
      <c r="GWC91" s="378"/>
      <c r="GWD91" s="378"/>
      <c r="GWE91" s="378"/>
      <c r="GWF91" s="378"/>
      <c r="GWG91" s="378"/>
      <c r="GWH91" s="378"/>
      <c r="GWI91" s="378"/>
      <c r="GWJ91" s="378"/>
      <c r="GWK91" s="378"/>
      <c r="GWL91" s="378"/>
      <c r="GWM91" s="378"/>
      <c r="GWN91" s="378"/>
      <c r="GWO91" s="378"/>
      <c r="GWP91" s="378"/>
      <c r="GWQ91" s="378"/>
      <c r="GWR91" s="378"/>
      <c r="GWS91" s="378"/>
      <c r="GWT91" s="378"/>
      <c r="GWU91" s="378"/>
      <c r="GWV91" s="378"/>
      <c r="GWW91" s="378"/>
      <c r="GWX91" s="378"/>
      <c r="GWY91" s="378"/>
      <c r="GWZ91" s="378"/>
      <c r="GXA91" s="378"/>
      <c r="GXB91" s="378"/>
      <c r="GXC91" s="378"/>
      <c r="GXD91" s="378"/>
      <c r="GXE91" s="378"/>
      <c r="GXF91" s="378"/>
      <c r="GXG91" s="378"/>
      <c r="GXH91" s="378"/>
      <c r="GXI91" s="378"/>
      <c r="GXJ91" s="378"/>
      <c r="GXK91" s="378"/>
      <c r="GXL91" s="378"/>
      <c r="GXM91" s="378"/>
      <c r="GXN91" s="378"/>
      <c r="GXO91" s="378"/>
      <c r="GXP91" s="378"/>
      <c r="GXQ91" s="378"/>
      <c r="GXR91" s="378"/>
      <c r="GXS91" s="378"/>
      <c r="GXT91" s="378"/>
      <c r="GXU91" s="378"/>
      <c r="GXV91" s="378"/>
      <c r="GXW91" s="378"/>
      <c r="GXX91" s="378"/>
      <c r="GXY91" s="378"/>
      <c r="GXZ91" s="378"/>
      <c r="GYA91" s="378"/>
      <c r="GYB91" s="378"/>
      <c r="GYC91" s="378"/>
      <c r="GYD91" s="378"/>
      <c r="GYE91" s="378"/>
      <c r="GYF91" s="378"/>
      <c r="GYG91" s="378"/>
      <c r="GYH91" s="378"/>
      <c r="GYI91" s="378"/>
      <c r="GYJ91" s="378"/>
      <c r="GYK91" s="378"/>
      <c r="GYL91" s="378"/>
      <c r="GYM91" s="378"/>
      <c r="GYN91" s="378"/>
      <c r="GYO91" s="378"/>
      <c r="GYP91" s="378"/>
      <c r="GYQ91" s="378"/>
      <c r="GYR91" s="378"/>
      <c r="GYS91" s="378"/>
      <c r="GYT91" s="378"/>
      <c r="GYU91" s="378"/>
      <c r="GYV91" s="378"/>
      <c r="GYW91" s="378"/>
      <c r="GYX91" s="378"/>
      <c r="GYY91" s="378"/>
      <c r="GYZ91" s="378"/>
      <c r="GZA91" s="378"/>
      <c r="GZB91" s="378"/>
      <c r="GZC91" s="378"/>
      <c r="GZD91" s="378"/>
      <c r="GZE91" s="378"/>
      <c r="GZF91" s="378"/>
      <c r="GZG91" s="378"/>
      <c r="GZH91" s="378"/>
      <c r="GZI91" s="378"/>
      <c r="GZJ91" s="378"/>
      <c r="GZK91" s="378"/>
      <c r="GZL91" s="378"/>
      <c r="GZM91" s="378"/>
      <c r="GZN91" s="378"/>
      <c r="GZO91" s="378"/>
      <c r="GZP91" s="378"/>
      <c r="GZQ91" s="378"/>
      <c r="GZR91" s="378"/>
      <c r="GZS91" s="378"/>
      <c r="GZT91" s="378"/>
      <c r="GZU91" s="378"/>
      <c r="GZV91" s="378"/>
      <c r="GZW91" s="378"/>
      <c r="GZX91" s="378"/>
      <c r="GZY91" s="378"/>
      <c r="GZZ91" s="378"/>
      <c r="HAA91" s="378"/>
      <c r="HAB91" s="378"/>
      <c r="HAC91" s="378"/>
      <c r="HAD91" s="378"/>
      <c r="HAE91" s="378"/>
      <c r="HAF91" s="378"/>
      <c r="HAG91" s="378"/>
      <c r="HAH91" s="378"/>
      <c r="HAI91" s="378"/>
      <c r="HAJ91" s="378"/>
      <c r="HAK91" s="378"/>
      <c r="HAL91" s="378"/>
      <c r="HAM91" s="378"/>
      <c r="HAN91" s="378"/>
      <c r="HAO91" s="378"/>
      <c r="HAP91" s="378"/>
      <c r="HAQ91" s="378"/>
      <c r="HAR91" s="378"/>
      <c r="HAS91" s="378"/>
      <c r="HAT91" s="378"/>
      <c r="HAU91" s="378"/>
      <c r="HAV91" s="378"/>
      <c r="HAW91" s="378"/>
      <c r="HAX91" s="378"/>
      <c r="HAY91" s="378"/>
      <c r="HAZ91" s="378"/>
      <c r="HBA91" s="378"/>
      <c r="HBB91" s="378"/>
      <c r="HBC91" s="378"/>
      <c r="HBD91" s="378"/>
      <c r="HBE91" s="378"/>
      <c r="HBF91" s="378"/>
      <c r="HBG91" s="378"/>
      <c r="HBH91" s="378"/>
      <c r="HBI91" s="378"/>
      <c r="HBJ91" s="378"/>
      <c r="HBK91" s="378"/>
      <c r="HBL91" s="378"/>
      <c r="HBM91" s="378"/>
      <c r="HBN91" s="378"/>
      <c r="HBO91" s="378"/>
      <c r="HBP91" s="378"/>
      <c r="HBQ91" s="378"/>
      <c r="HBR91" s="378"/>
      <c r="HBS91" s="378"/>
      <c r="HBT91" s="378"/>
      <c r="HBU91" s="378"/>
      <c r="HBV91" s="378"/>
      <c r="HBW91" s="378"/>
      <c r="HBX91" s="378"/>
      <c r="HBY91" s="378"/>
      <c r="HBZ91" s="378"/>
      <c r="HCA91" s="378"/>
      <c r="HCB91" s="378"/>
      <c r="HCC91" s="378"/>
      <c r="HCD91" s="378"/>
      <c r="HCE91" s="378"/>
      <c r="HCF91" s="378"/>
      <c r="HCG91" s="378"/>
      <c r="HCH91" s="378"/>
      <c r="HCI91" s="378"/>
      <c r="HCJ91" s="378"/>
      <c r="HCK91" s="378"/>
      <c r="HCL91" s="378"/>
      <c r="HCM91" s="378"/>
      <c r="HCN91" s="378"/>
      <c r="HCO91" s="378"/>
      <c r="HCP91" s="378"/>
      <c r="HCQ91" s="378"/>
      <c r="HCR91" s="378"/>
      <c r="HCS91" s="378"/>
      <c r="HCT91" s="378"/>
      <c r="HCU91" s="378"/>
      <c r="HCV91" s="378"/>
      <c r="HCW91" s="378"/>
      <c r="HCX91" s="378"/>
      <c r="HCY91" s="378"/>
      <c r="HCZ91" s="378"/>
      <c r="HDA91" s="378"/>
      <c r="HDB91" s="378"/>
      <c r="HDC91" s="378"/>
      <c r="HDD91" s="378"/>
      <c r="HDE91" s="378"/>
      <c r="HDF91" s="378"/>
      <c r="HDG91" s="378"/>
      <c r="HDH91" s="378"/>
      <c r="HDI91" s="378"/>
      <c r="HDJ91" s="378"/>
      <c r="HDK91" s="378"/>
      <c r="HDL91" s="378"/>
      <c r="HDM91" s="378"/>
      <c r="HDN91" s="378"/>
      <c r="HDO91" s="378"/>
      <c r="HDP91" s="378"/>
      <c r="HDQ91" s="378"/>
      <c r="HDR91" s="378"/>
      <c r="HDS91" s="378"/>
      <c r="HDT91" s="378"/>
      <c r="HDU91" s="378"/>
      <c r="HDV91" s="378"/>
      <c r="HDW91" s="378"/>
      <c r="HDX91" s="378"/>
      <c r="HDY91" s="378"/>
      <c r="HDZ91" s="378"/>
      <c r="HEA91" s="378"/>
      <c r="HEB91" s="378"/>
      <c r="HEC91" s="378"/>
      <c r="HED91" s="378"/>
      <c r="HEE91" s="378"/>
      <c r="HEF91" s="378"/>
      <c r="HEG91" s="378"/>
      <c r="HEH91" s="378"/>
      <c r="HEI91" s="378"/>
      <c r="HEJ91" s="378"/>
      <c r="HEK91" s="378"/>
      <c r="HEL91" s="378"/>
      <c r="HEM91" s="378"/>
      <c r="HEN91" s="378"/>
      <c r="HEO91" s="378"/>
      <c r="HEP91" s="378"/>
      <c r="HEQ91" s="378"/>
      <c r="HER91" s="378"/>
      <c r="HES91" s="378"/>
      <c r="HET91" s="378"/>
      <c r="HEU91" s="378"/>
      <c r="HEV91" s="378"/>
      <c r="HEW91" s="378"/>
      <c r="HEX91" s="378"/>
      <c r="HEY91" s="378"/>
      <c r="HEZ91" s="378"/>
      <c r="HFA91" s="378"/>
      <c r="HFB91" s="378"/>
      <c r="HFC91" s="378"/>
      <c r="HFD91" s="378"/>
      <c r="HFE91" s="378"/>
      <c r="HFF91" s="378"/>
      <c r="HFG91" s="378"/>
      <c r="HFH91" s="378"/>
      <c r="HFI91" s="378"/>
      <c r="HFJ91" s="378"/>
      <c r="HFK91" s="378"/>
      <c r="HFL91" s="378"/>
      <c r="HFM91" s="378"/>
      <c r="HFN91" s="378"/>
      <c r="HFO91" s="378"/>
      <c r="HFP91" s="378"/>
      <c r="HFQ91" s="378"/>
      <c r="HFR91" s="378"/>
      <c r="HFS91" s="378"/>
      <c r="HFT91" s="378"/>
      <c r="HFU91" s="378"/>
      <c r="HFV91" s="378"/>
      <c r="HFW91" s="378"/>
      <c r="HFX91" s="378"/>
      <c r="HFY91" s="378"/>
      <c r="HFZ91" s="378"/>
      <c r="HGA91" s="378"/>
      <c r="HGB91" s="378"/>
      <c r="HGC91" s="378"/>
      <c r="HGD91" s="378"/>
      <c r="HGE91" s="378"/>
      <c r="HGF91" s="378"/>
      <c r="HGG91" s="378"/>
      <c r="HGH91" s="378"/>
      <c r="HGI91" s="378"/>
      <c r="HGJ91" s="378"/>
      <c r="HGK91" s="378"/>
      <c r="HGL91" s="378"/>
      <c r="HGM91" s="378"/>
      <c r="HGN91" s="378"/>
      <c r="HGO91" s="378"/>
      <c r="HGP91" s="378"/>
      <c r="HGQ91" s="378"/>
      <c r="HGR91" s="378"/>
      <c r="HGS91" s="378"/>
      <c r="HGT91" s="378"/>
      <c r="HGU91" s="378"/>
      <c r="HGV91" s="378"/>
      <c r="HGW91" s="378"/>
      <c r="HGX91" s="378"/>
      <c r="HGY91" s="378"/>
      <c r="HGZ91" s="378"/>
      <c r="HHA91" s="378"/>
      <c r="HHB91" s="378"/>
      <c r="HHC91" s="378"/>
      <c r="HHD91" s="378"/>
      <c r="HHE91" s="378"/>
      <c r="HHF91" s="378"/>
      <c r="HHG91" s="378"/>
      <c r="HHH91" s="378"/>
      <c r="HHI91" s="378"/>
      <c r="HHJ91" s="378"/>
      <c r="HHK91" s="378"/>
      <c r="HHL91" s="378"/>
      <c r="HHM91" s="378"/>
      <c r="HHN91" s="378"/>
      <c r="HHO91" s="378"/>
      <c r="HHP91" s="378"/>
      <c r="HHQ91" s="378"/>
      <c r="HHR91" s="378"/>
      <c r="HHS91" s="378"/>
      <c r="HHT91" s="378"/>
      <c r="HHU91" s="378"/>
      <c r="HHV91" s="378"/>
      <c r="HHW91" s="378"/>
      <c r="HHX91" s="378"/>
      <c r="HHY91" s="378"/>
      <c r="HHZ91" s="378"/>
      <c r="HIA91" s="378"/>
      <c r="HIB91" s="378"/>
      <c r="HIC91" s="378"/>
      <c r="HID91" s="378"/>
      <c r="HIE91" s="378"/>
      <c r="HIF91" s="378"/>
      <c r="HIG91" s="378"/>
      <c r="HIH91" s="378"/>
      <c r="HII91" s="378"/>
      <c r="HIJ91" s="378"/>
      <c r="HIK91" s="378"/>
      <c r="HIL91" s="378"/>
      <c r="HIM91" s="378"/>
      <c r="HIN91" s="378"/>
      <c r="HIO91" s="378"/>
      <c r="HIP91" s="378"/>
      <c r="HIQ91" s="378"/>
      <c r="HIR91" s="378"/>
      <c r="HIS91" s="378"/>
      <c r="HIT91" s="378"/>
      <c r="HIU91" s="378"/>
      <c r="HIV91" s="378"/>
      <c r="HIW91" s="378"/>
      <c r="HIX91" s="378"/>
      <c r="HIY91" s="378"/>
      <c r="HIZ91" s="378"/>
      <c r="HJA91" s="378"/>
      <c r="HJB91" s="378"/>
      <c r="HJC91" s="378"/>
      <c r="HJD91" s="378"/>
      <c r="HJE91" s="378"/>
      <c r="HJF91" s="378"/>
      <c r="HJG91" s="378"/>
      <c r="HJH91" s="378"/>
      <c r="HJI91" s="378"/>
      <c r="HJJ91" s="378"/>
      <c r="HJK91" s="378"/>
      <c r="HJL91" s="378"/>
      <c r="HJM91" s="378"/>
      <c r="HJN91" s="378"/>
      <c r="HJO91" s="378"/>
      <c r="HJP91" s="378"/>
      <c r="HJQ91" s="378"/>
      <c r="HJR91" s="378"/>
      <c r="HJS91" s="378"/>
      <c r="HJT91" s="378"/>
      <c r="HJU91" s="378"/>
      <c r="HJV91" s="378"/>
      <c r="HJW91" s="378"/>
      <c r="HJX91" s="378"/>
      <c r="HJY91" s="378"/>
      <c r="HJZ91" s="378"/>
      <c r="HKA91" s="378"/>
      <c r="HKB91" s="378"/>
      <c r="HKC91" s="378"/>
      <c r="HKD91" s="378"/>
      <c r="HKE91" s="378"/>
      <c r="HKF91" s="378"/>
      <c r="HKG91" s="378"/>
      <c r="HKH91" s="378"/>
      <c r="HKI91" s="378"/>
      <c r="HKJ91" s="378"/>
      <c r="HKK91" s="378"/>
      <c r="HKL91" s="378"/>
      <c r="HKM91" s="378"/>
      <c r="HKN91" s="378"/>
      <c r="HKO91" s="378"/>
      <c r="HKP91" s="378"/>
      <c r="HKQ91" s="378"/>
      <c r="HKR91" s="378"/>
      <c r="HKS91" s="378"/>
      <c r="HKT91" s="378"/>
      <c r="HKU91" s="378"/>
      <c r="HKV91" s="378"/>
      <c r="HKW91" s="378"/>
      <c r="HKX91" s="378"/>
      <c r="HKY91" s="378"/>
      <c r="HKZ91" s="378"/>
      <c r="HLA91" s="378"/>
      <c r="HLB91" s="378"/>
      <c r="HLC91" s="378"/>
      <c r="HLD91" s="378"/>
      <c r="HLE91" s="378"/>
      <c r="HLF91" s="378"/>
      <c r="HLG91" s="378"/>
      <c r="HLH91" s="378"/>
      <c r="HLI91" s="378"/>
      <c r="HLJ91" s="378"/>
      <c r="HLK91" s="378"/>
      <c r="HLL91" s="378"/>
      <c r="HLM91" s="378"/>
      <c r="HLN91" s="378"/>
      <c r="HLO91" s="378"/>
      <c r="HLP91" s="378"/>
      <c r="HLQ91" s="378"/>
      <c r="HLR91" s="378"/>
      <c r="HLS91" s="378"/>
      <c r="HLT91" s="378"/>
      <c r="HLU91" s="378"/>
      <c r="HLV91" s="378"/>
      <c r="HLW91" s="378"/>
      <c r="HLX91" s="378"/>
      <c r="HLY91" s="378"/>
      <c r="HLZ91" s="378"/>
      <c r="HMA91" s="378"/>
      <c r="HMB91" s="378"/>
      <c r="HMC91" s="378"/>
      <c r="HMD91" s="378"/>
      <c r="HME91" s="378"/>
      <c r="HMF91" s="378"/>
      <c r="HMG91" s="378"/>
      <c r="HMH91" s="378"/>
      <c r="HMI91" s="378"/>
      <c r="HMJ91" s="378"/>
      <c r="HMK91" s="378"/>
      <c r="HML91" s="378"/>
      <c r="HMM91" s="378"/>
      <c r="HMN91" s="378"/>
      <c r="HMO91" s="378"/>
      <c r="HMP91" s="378"/>
      <c r="HMQ91" s="378"/>
      <c r="HMR91" s="378"/>
      <c r="HMS91" s="378"/>
      <c r="HMT91" s="378"/>
      <c r="HMU91" s="378"/>
      <c r="HMV91" s="378"/>
      <c r="HMW91" s="378"/>
      <c r="HMX91" s="378"/>
      <c r="HMY91" s="378"/>
      <c r="HMZ91" s="378"/>
      <c r="HNA91" s="378"/>
      <c r="HNB91" s="378"/>
      <c r="HNC91" s="378"/>
      <c r="HND91" s="378"/>
      <c r="HNE91" s="378"/>
      <c r="HNF91" s="378"/>
      <c r="HNG91" s="378"/>
      <c r="HNH91" s="378"/>
      <c r="HNI91" s="378"/>
      <c r="HNJ91" s="378"/>
      <c r="HNK91" s="378"/>
      <c r="HNL91" s="378"/>
      <c r="HNM91" s="378"/>
      <c r="HNN91" s="378"/>
      <c r="HNO91" s="378"/>
      <c r="HNP91" s="378"/>
      <c r="HNQ91" s="378"/>
      <c r="HNR91" s="378"/>
      <c r="HNS91" s="378"/>
      <c r="HNT91" s="378"/>
      <c r="HNU91" s="378"/>
      <c r="HNV91" s="378"/>
      <c r="HNW91" s="378"/>
      <c r="HNX91" s="378"/>
      <c r="HNY91" s="378"/>
      <c r="HNZ91" s="378"/>
      <c r="HOA91" s="378"/>
      <c r="HOB91" s="378"/>
      <c r="HOC91" s="378"/>
      <c r="HOD91" s="378"/>
      <c r="HOE91" s="378"/>
      <c r="HOF91" s="378"/>
      <c r="HOG91" s="378"/>
      <c r="HOH91" s="378"/>
      <c r="HOI91" s="378"/>
      <c r="HOJ91" s="378"/>
      <c r="HOK91" s="378"/>
      <c r="HOL91" s="378"/>
      <c r="HOM91" s="378"/>
      <c r="HON91" s="378"/>
      <c r="HOO91" s="378"/>
      <c r="HOP91" s="378"/>
      <c r="HOQ91" s="378"/>
      <c r="HOR91" s="378"/>
      <c r="HOS91" s="378"/>
      <c r="HOT91" s="378"/>
      <c r="HOU91" s="378"/>
      <c r="HOV91" s="378"/>
      <c r="HOW91" s="378"/>
      <c r="HOX91" s="378"/>
      <c r="HOY91" s="378"/>
      <c r="HOZ91" s="378"/>
      <c r="HPA91" s="378"/>
      <c r="HPB91" s="378"/>
      <c r="HPC91" s="378"/>
      <c r="HPD91" s="378"/>
      <c r="HPE91" s="378"/>
      <c r="HPF91" s="378"/>
      <c r="HPG91" s="378"/>
      <c r="HPH91" s="378"/>
      <c r="HPI91" s="378"/>
      <c r="HPJ91" s="378"/>
      <c r="HPK91" s="378"/>
      <c r="HPL91" s="378"/>
      <c r="HPM91" s="378"/>
      <c r="HPN91" s="378"/>
      <c r="HPO91" s="378"/>
      <c r="HPP91" s="378"/>
      <c r="HPQ91" s="378"/>
      <c r="HPR91" s="378"/>
      <c r="HPS91" s="378"/>
      <c r="HPT91" s="378"/>
      <c r="HPU91" s="378"/>
      <c r="HPV91" s="378"/>
      <c r="HPW91" s="378"/>
      <c r="HPX91" s="378"/>
      <c r="HPY91" s="378"/>
      <c r="HPZ91" s="378"/>
      <c r="HQA91" s="378"/>
      <c r="HQB91" s="378"/>
      <c r="HQC91" s="378"/>
      <c r="HQD91" s="378"/>
      <c r="HQE91" s="378"/>
      <c r="HQF91" s="378"/>
      <c r="HQG91" s="378"/>
      <c r="HQH91" s="378"/>
      <c r="HQI91" s="378"/>
      <c r="HQJ91" s="378"/>
      <c r="HQK91" s="378"/>
      <c r="HQL91" s="378"/>
      <c r="HQM91" s="378"/>
      <c r="HQN91" s="378"/>
      <c r="HQO91" s="378"/>
      <c r="HQP91" s="378"/>
      <c r="HQQ91" s="378"/>
      <c r="HQR91" s="378"/>
      <c r="HQS91" s="378"/>
      <c r="HQT91" s="378"/>
      <c r="HQU91" s="378"/>
      <c r="HQV91" s="378"/>
      <c r="HQW91" s="378"/>
      <c r="HQX91" s="378"/>
      <c r="HQY91" s="378"/>
      <c r="HQZ91" s="378"/>
      <c r="HRA91" s="378"/>
      <c r="HRB91" s="378"/>
      <c r="HRC91" s="378"/>
      <c r="HRD91" s="378"/>
      <c r="HRE91" s="378"/>
      <c r="HRF91" s="378"/>
      <c r="HRG91" s="378"/>
      <c r="HRH91" s="378"/>
      <c r="HRI91" s="378"/>
      <c r="HRJ91" s="378"/>
      <c r="HRK91" s="378"/>
      <c r="HRL91" s="378"/>
      <c r="HRM91" s="378"/>
      <c r="HRN91" s="378"/>
      <c r="HRO91" s="378"/>
      <c r="HRP91" s="378"/>
      <c r="HRQ91" s="378"/>
      <c r="HRR91" s="378"/>
      <c r="HRS91" s="378"/>
      <c r="HRT91" s="378"/>
      <c r="HRU91" s="378"/>
      <c r="HRV91" s="378"/>
      <c r="HRW91" s="378"/>
      <c r="HRX91" s="378"/>
      <c r="HRY91" s="378"/>
      <c r="HRZ91" s="378"/>
      <c r="HSA91" s="378"/>
      <c r="HSB91" s="378"/>
      <c r="HSC91" s="378"/>
      <c r="HSD91" s="378"/>
      <c r="HSE91" s="378"/>
      <c r="HSF91" s="378"/>
      <c r="HSG91" s="378"/>
      <c r="HSH91" s="378"/>
      <c r="HSI91" s="378"/>
      <c r="HSJ91" s="378"/>
      <c r="HSK91" s="378"/>
      <c r="HSL91" s="378"/>
      <c r="HSM91" s="378"/>
      <c r="HSN91" s="378"/>
      <c r="HSO91" s="378"/>
      <c r="HSP91" s="378"/>
      <c r="HSQ91" s="378"/>
      <c r="HSR91" s="378"/>
      <c r="HSS91" s="378"/>
      <c r="HST91" s="378"/>
      <c r="HSU91" s="378"/>
      <c r="HSV91" s="378"/>
      <c r="HSW91" s="378"/>
      <c r="HSX91" s="378"/>
      <c r="HSY91" s="378"/>
      <c r="HSZ91" s="378"/>
      <c r="HTA91" s="378"/>
      <c r="HTB91" s="378"/>
      <c r="HTC91" s="378"/>
      <c r="HTD91" s="378"/>
      <c r="HTE91" s="378"/>
      <c r="HTF91" s="378"/>
      <c r="HTG91" s="378"/>
      <c r="HTH91" s="378"/>
      <c r="HTI91" s="378"/>
      <c r="HTJ91" s="378"/>
      <c r="HTK91" s="378"/>
      <c r="HTL91" s="378"/>
      <c r="HTM91" s="378"/>
      <c r="HTN91" s="378"/>
      <c r="HTO91" s="378"/>
      <c r="HTP91" s="378"/>
      <c r="HTQ91" s="378"/>
      <c r="HTR91" s="378"/>
      <c r="HTS91" s="378"/>
      <c r="HTT91" s="378"/>
      <c r="HTU91" s="378"/>
      <c r="HTV91" s="378"/>
      <c r="HTW91" s="378"/>
      <c r="HTX91" s="378"/>
      <c r="HTY91" s="378"/>
      <c r="HTZ91" s="378"/>
      <c r="HUA91" s="378"/>
      <c r="HUB91" s="378"/>
      <c r="HUC91" s="378"/>
      <c r="HUD91" s="378"/>
      <c r="HUE91" s="378"/>
      <c r="HUF91" s="378"/>
      <c r="HUG91" s="378"/>
      <c r="HUH91" s="378"/>
      <c r="HUI91" s="378"/>
      <c r="HUJ91" s="378"/>
      <c r="HUK91" s="378"/>
      <c r="HUL91" s="378"/>
      <c r="HUM91" s="378"/>
      <c r="HUN91" s="378"/>
      <c r="HUO91" s="378"/>
      <c r="HUP91" s="378"/>
      <c r="HUQ91" s="378"/>
      <c r="HUR91" s="378"/>
      <c r="HUS91" s="378"/>
      <c r="HUT91" s="378"/>
      <c r="HUU91" s="378"/>
      <c r="HUV91" s="378"/>
      <c r="HUW91" s="378"/>
      <c r="HUX91" s="378"/>
      <c r="HUY91" s="378"/>
      <c r="HUZ91" s="378"/>
      <c r="HVA91" s="378"/>
      <c r="HVB91" s="378"/>
      <c r="HVC91" s="378"/>
      <c r="HVD91" s="378"/>
      <c r="HVE91" s="378"/>
      <c r="HVF91" s="378"/>
      <c r="HVG91" s="378"/>
      <c r="HVH91" s="378"/>
      <c r="HVI91" s="378"/>
      <c r="HVJ91" s="378"/>
      <c r="HVK91" s="378"/>
      <c r="HVL91" s="378"/>
      <c r="HVM91" s="378"/>
      <c r="HVN91" s="378"/>
      <c r="HVO91" s="378"/>
      <c r="HVP91" s="378"/>
      <c r="HVQ91" s="378"/>
      <c r="HVR91" s="378"/>
      <c r="HVS91" s="378"/>
      <c r="HVT91" s="378"/>
      <c r="HVU91" s="378"/>
      <c r="HVV91" s="378"/>
      <c r="HVW91" s="378"/>
      <c r="HVX91" s="378"/>
      <c r="HVY91" s="378"/>
      <c r="HVZ91" s="378"/>
      <c r="HWA91" s="378"/>
      <c r="HWB91" s="378"/>
      <c r="HWC91" s="378"/>
      <c r="HWD91" s="378"/>
      <c r="HWE91" s="378"/>
      <c r="HWF91" s="378"/>
      <c r="HWG91" s="378"/>
      <c r="HWH91" s="378"/>
      <c r="HWI91" s="378"/>
      <c r="HWJ91" s="378"/>
      <c r="HWK91" s="378"/>
      <c r="HWL91" s="378"/>
      <c r="HWM91" s="378"/>
      <c r="HWN91" s="378"/>
      <c r="HWO91" s="378"/>
      <c r="HWP91" s="378"/>
      <c r="HWQ91" s="378"/>
      <c r="HWR91" s="378"/>
      <c r="HWS91" s="378"/>
      <c r="HWT91" s="378"/>
      <c r="HWU91" s="378"/>
      <c r="HWV91" s="378"/>
      <c r="HWW91" s="378"/>
      <c r="HWX91" s="378"/>
      <c r="HWY91" s="378"/>
      <c r="HWZ91" s="378"/>
      <c r="HXA91" s="378"/>
      <c r="HXB91" s="378"/>
      <c r="HXC91" s="378"/>
      <c r="HXD91" s="378"/>
      <c r="HXE91" s="378"/>
      <c r="HXF91" s="378"/>
      <c r="HXG91" s="378"/>
      <c r="HXH91" s="378"/>
      <c r="HXI91" s="378"/>
      <c r="HXJ91" s="378"/>
      <c r="HXK91" s="378"/>
      <c r="HXL91" s="378"/>
      <c r="HXM91" s="378"/>
      <c r="HXN91" s="378"/>
      <c r="HXO91" s="378"/>
      <c r="HXP91" s="378"/>
      <c r="HXQ91" s="378"/>
      <c r="HXR91" s="378"/>
      <c r="HXS91" s="378"/>
      <c r="HXT91" s="378"/>
      <c r="HXU91" s="378"/>
      <c r="HXV91" s="378"/>
      <c r="HXW91" s="378"/>
      <c r="HXX91" s="378"/>
      <c r="HXY91" s="378"/>
      <c r="HXZ91" s="378"/>
      <c r="HYA91" s="378"/>
      <c r="HYB91" s="378"/>
      <c r="HYC91" s="378"/>
      <c r="HYD91" s="378"/>
      <c r="HYE91" s="378"/>
      <c r="HYF91" s="378"/>
      <c r="HYG91" s="378"/>
      <c r="HYH91" s="378"/>
      <c r="HYI91" s="378"/>
      <c r="HYJ91" s="378"/>
      <c r="HYK91" s="378"/>
      <c r="HYL91" s="378"/>
      <c r="HYM91" s="378"/>
      <c r="HYN91" s="378"/>
      <c r="HYO91" s="378"/>
      <c r="HYP91" s="378"/>
      <c r="HYQ91" s="378"/>
      <c r="HYR91" s="378"/>
      <c r="HYS91" s="378"/>
      <c r="HYT91" s="378"/>
      <c r="HYU91" s="378"/>
      <c r="HYV91" s="378"/>
      <c r="HYW91" s="378"/>
      <c r="HYX91" s="378"/>
      <c r="HYY91" s="378"/>
      <c r="HYZ91" s="378"/>
      <c r="HZA91" s="378"/>
      <c r="HZB91" s="378"/>
      <c r="HZC91" s="378"/>
      <c r="HZD91" s="378"/>
      <c r="HZE91" s="378"/>
      <c r="HZF91" s="378"/>
      <c r="HZG91" s="378"/>
      <c r="HZH91" s="378"/>
      <c r="HZI91" s="378"/>
      <c r="HZJ91" s="378"/>
      <c r="HZK91" s="378"/>
      <c r="HZL91" s="378"/>
      <c r="HZM91" s="378"/>
      <c r="HZN91" s="378"/>
      <c r="HZO91" s="378"/>
      <c r="HZP91" s="378"/>
      <c r="HZQ91" s="378"/>
      <c r="HZR91" s="378"/>
      <c r="HZS91" s="378"/>
      <c r="HZT91" s="378"/>
      <c r="HZU91" s="378"/>
      <c r="HZV91" s="378"/>
      <c r="HZW91" s="378"/>
      <c r="HZX91" s="378"/>
      <c r="HZY91" s="378"/>
      <c r="HZZ91" s="378"/>
      <c r="IAA91" s="378"/>
      <c r="IAB91" s="378"/>
      <c r="IAC91" s="378"/>
      <c r="IAD91" s="378"/>
      <c r="IAE91" s="378"/>
      <c r="IAF91" s="378"/>
      <c r="IAG91" s="378"/>
      <c r="IAH91" s="378"/>
      <c r="IAI91" s="378"/>
      <c r="IAJ91" s="378"/>
      <c r="IAK91" s="378"/>
      <c r="IAL91" s="378"/>
      <c r="IAM91" s="378"/>
      <c r="IAN91" s="378"/>
      <c r="IAO91" s="378"/>
      <c r="IAP91" s="378"/>
      <c r="IAQ91" s="378"/>
      <c r="IAR91" s="378"/>
      <c r="IAS91" s="378"/>
      <c r="IAT91" s="378"/>
      <c r="IAU91" s="378"/>
      <c r="IAV91" s="378"/>
      <c r="IAW91" s="378"/>
      <c r="IAX91" s="378"/>
      <c r="IAY91" s="378"/>
      <c r="IAZ91" s="378"/>
      <c r="IBA91" s="378"/>
      <c r="IBB91" s="378"/>
      <c r="IBC91" s="378"/>
      <c r="IBD91" s="378"/>
      <c r="IBE91" s="378"/>
      <c r="IBF91" s="378"/>
      <c r="IBG91" s="378"/>
      <c r="IBH91" s="378"/>
      <c r="IBI91" s="378"/>
      <c r="IBJ91" s="378"/>
      <c r="IBK91" s="378"/>
      <c r="IBL91" s="378"/>
      <c r="IBM91" s="378"/>
      <c r="IBN91" s="378"/>
      <c r="IBO91" s="378"/>
      <c r="IBP91" s="378"/>
      <c r="IBQ91" s="378"/>
      <c r="IBR91" s="378"/>
      <c r="IBS91" s="378"/>
      <c r="IBT91" s="378"/>
      <c r="IBU91" s="378"/>
      <c r="IBV91" s="378"/>
      <c r="IBW91" s="378"/>
      <c r="IBX91" s="378"/>
      <c r="IBY91" s="378"/>
      <c r="IBZ91" s="378"/>
      <c r="ICA91" s="378"/>
      <c r="ICB91" s="378"/>
      <c r="ICC91" s="378"/>
      <c r="ICD91" s="378"/>
      <c r="ICE91" s="378"/>
      <c r="ICF91" s="378"/>
      <c r="ICG91" s="378"/>
      <c r="ICH91" s="378"/>
      <c r="ICI91" s="378"/>
      <c r="ICJ91" s="378"/>
      <c r="ICK91" s="378"/>
      <c r="ICL91" s="378"/>
      <c r="ICM91" s="378"/>
      <c r="ICN91" s="378"/>
      <c r="ICO91" s="378"/>
      <c r="ICP91" s="378"/>
      <c r="ICQ91" s="378"/>
      <c r="ICR91" s="378"/>
      <c r="ICS91" s="378"/>
      <c r="ICT91" s="378"/>
      <c r="ICU91" s="378"/>
      <c r="ICV91" s="378"/>
      <c r="ICW91" s="378"/>
      <c r="ICX91" s="378"/>
      <c r="ICY91" s="378"/>
      <c r="ICZ91" s="378"/>
      <c r="IDA91" s="378"/>
      <c r="IDB91" s="378"/>
      <c r="IDC91" s="378"/>
      <c r="IDD91" s="378"/>
      <c r="IDE91" s="378"/>
      <c r="IDF91" s="378"/>
      <c r="IDG91" s="378"/>
      <c r="IDH91" s="378"/>
      <c r="IDI91" s="378"/>
      <c r="IDJ91" s="378"/>
      <c r="IDK91" s="378"/>
      <c r="IDL91" s="378"/>
      <c r="IDM91" s="378"/>
      <c r="IDN91" s="378"/>
      <c r="IDO91" s="378"/>
      <c r="IDP91" s="378"/>
      <c r="IDQ91" s="378"/>
      <c r="IDR91" s="378"/>
      <c r="IDS91" s="378"/>
      <c r="IDT91" s="378"/>
      <c r="IDU91" s="378"/>
      <c r="IDV91" s="378"/>
      <c r="IDW91" s="378"/>
      <c r="IDX91" s="378"/>
      <c r="IDY91" s="378"/>
      <c r="IDZ91" s="378"/>
      <c r="IEA91" s="378"/>
      <c r="IEB91" s="378"/>
      <c r="IEC91" s="378"/>
      <c r="IED91" s="378"/>
      <c r="IEE91" s="378"/>
      <c r="IEF91" s="378"/>
      <c r="IEG91" s="378"/>
      <c r="IEH91" s="378"/>
      <c r="IEI91" s="378"/>
      <c r="IEJ91" s="378"/>
      <c r="IEK91" s="378"/>
      <c r="IEL91" s="378"/>
      <c r="IEM91" s="378"/>
      <c r="IEN91" s="378"/>
      <c r="IEO91" s="378"/>
      <c r="IEP91" s="378"/>
      <c r="IEQ91" s="378"/>
      <c r="IER91" s="378"/>
      <c r="IES91" s="378"/>
      <c r="IET91" s="378"/>
      <c r="IEU91" s="378"/>
      <c r="IEV91" s="378"/>
      <c r="IEW91" s="378"/>
      <c r="IEX91" s="378"/>
      <c r="IEY91" s="378"/>
      <c r="IEZ91" s="378"/>
      <c r="IFA91" s="378"/>
      <c r="IFB91" s="378"/>
      <c r="IFC91" s="378"/>
      <c r="IFD91" s="378"/>
      <c r="IFE91" s="378"/>
      <c r="IFF91" s="378"/>
      <c r="IFG91" s="378"/>
      <c r="IFH91" s="378"/>
      <c r="IFI91" s="378"/>
      <c r="IFJ91" s="378"/>
      <c r="IFK91" s="378"/>
      <c r="IFL91" s="378"/>
      <c r="IFM91" s="378"/>
      <c r="IFN91" s="378"/>
      <c r="IFO91" s="378"/>
      <c r="IFP91" s="378"/>
      <c r="IFQ91" s="378"/>
      <c r="IFR91" s="378"/>
      <c r="IFS91" s="378"/>
      <c r="IFT91" s="378"/>
      <c r="IFU91" s="378"/>
      <c r="IFV91" s="378"/>
      <c r="IFW91" s="378"/>
      <c r="IFX91" s="378"/>
      <c r="IFY91" s="378"/>
      <c r="IFZ91" s="378"/>
      <c r="IGA91" s="378"/>
      <c r="IGB91" s="378"/>
      <c r="IGC91" s="378"/>
      <c r="IGD91" s="378"/>
      <c r="IGE91" s="378"/>
      <c r="IGF91" s="378"/>
      <c r="IGG91" s="378"/>
      <c r="IGH91" s="378"/>
      <c r="IGI91" s="378"/>
      <c r="IGJ91" s="378"/>
      <c r="IGK91" s="378"/>
      <c r="IGL91" s="378"/>
      <c r="IGM91" s="378"/>
      <c r="IGN91" s="378"/>
      <c r="IGO91" s="378"/>
      <c r="IGP91" s="378"/>
      <c r="IGQ91" s="378"/>
      <c r="IGR91" s="378"/>
      <c r="IGS91" s="378"/>
      <c r="IGT91" s="378"/>
      <c r="IGU91" s="378"/>
      <c r="IGV91" s="378"/>
      <c r="IGW91" s="378"/>
      <c r="IGX91" s="378"/>
      <c r="IGY91" s="378"/>
      <c r="IGZ91" s="378"/>
      <c r="IHA91" s="378"/>
      <c r="IHB91" s="378"/>
      <c r="IHC91" s="378"/>
      <c r="IHD91" s="378"/>
      <c r="IHE91" s="378"/>
      <c r="IHF91" s="378"/>
      <c r="IHG91" s="378"/>
      <c r="IHH91" s="378"/>
      <c r="IHI91" s="378"/>
      <c r="IHJ91" s="378"/>
      <c r="IHK91" s="378"/>
      <c r="IHL91" s="378"/>
      <c r="IHM91" s="378"/>
      <c r="IHN91" s="378"/>
      <c r="IHO91" s="378"/>
      <c r="IHP91" s="378"/>
      <c r="IHQ91" s="378"/>
      <c r="IHR91" s="378"/>
      <c r="IHS91" s="378"/>
      <c r="IHT91" s="378"/>
      <c r="IHU91" s="378"/>
      <c r="IHV91" s="378"/>
      <c r="IHW91" s="378"/>
      <c r="IHX91" s="378"/>
      <c r="IHY91" s="378"/>
      <c r="IHZ91" s="378"/>
      <c r="IIA91" s="378"/>
      <c r="IIB91" s="378"/>
      <c r="IIC91" s="378"/>
      <c r="IID91" s="378"/>
      <c r="IIE91" s="378"/>
      <c r="IIF91" s="378"/>
      <c r="IIG91" s="378"/>
      <c r="IIH91" s="378"/>
      <c r="III91" s="378"/>
      <c r="IIJ91" s="378"/>
      <c r="IIK91" s="378"/>
      <c r="IIL91" s="378"/>
      <c r="IIM91" s="378"/>
      <c r="IIN91" s="378"/>
      <c r="IIO91" s="378"/>
      <c r="IIP91" s="378"/>
      <c r="IIQ91" s="378"/>
      <c r="IIR91" s="378"/>
      <c r="IIS91" s="378"/>
      <c r="IIT91" s="378"/>
      <c r="IIU91" s="378"/>
      <c r="IIV91" s="378"/>
      <c r="IIW91" s="378"/>
      <c r="IIX91" s="378"/>
      <c r="IIY91" s="378"/>
      <c r="IIZ91" s="378"/>
      <c r="IJA91" s="378"/>
      <c r="IJB91" s="378"/>
      <c r="IJC91" s="378"/>
      <c r="IJD91" s="378"/>
      <c r="IJE91" s="378"/>
      <c r="IJF91" s="378"/>
      <c r="IJG91" s="378"/>
      <c r="IJH91" s="378"/>
      <c r="IJI91" s="378"/>
      <c r="IJJ91" s="378"/>
      <c r="IJK91" s="378"/>
      <c r="IJL91" s="378"/>
      <c r="IJM91" s="378"/>
      <c r="IJN91" s="378"/>
      <c r="IJO91" s="378"/>
      <c r="IJP91" s="378"/>
      <c r="IJQ91" s="378"/>
      <c r="IJR91" s="378"/>
      <c r="IJS91" s="378"/>
      <c r="IJT91" s="378"/>
      <c r="IJU91" s="378"/>
      <c r="IJV91" s="378"/>
      <c r="IJW91" s="378"/>
      <c r="IJX91" s="378"/>
      <c r="IJY91" s="378"/>
      <c r="IJZ91" s="378"/>
      <c r="IKA91" s="378"/>
      <c r="IKB91" s="378"/>
      <c r="IKC91" s="378"/>
      <c r="IKD91" s="378"/>
      <c r="IKE91" s="378"/>
      <c r="IKF91" s="378"/>
      <c r="IKG91" s="378"/>
      <c r="IKH91" s="378"/>
      <c r="IKI91" s="378"/>
      <c r="IKJ91" s="378"/>
      <c r="IKK91" s="378"/>
      <c r="IKL91" s="378"/>
      <c r="IKM91" s="378"/>
      <c r="IKN91" s="378"/>
      <c r="IKO91" s="378"/>
      <c r="IKP91" s="378"/>
      <c r="IKQ91" s="378"/>
      <c r="IKR91" s="378"/>
      <c r="IKS91" s="378"/>
      <c r="IKT91" s="378"/>
      <c r="IKU91" s="378"/>
      <c r="IKV91" s="378"/>
      <c r="IKW91" s="378"/>
      <c r="IKX91" s="378"/>
      <c r="IKY91" s="378"/>
      <c r="IKZ91" s="378"/>
      <c r="ILA91" s="378"/>
      <c r="ILB91" s="378"/>
      <c r="ILC91" s="378"/>
      <c r="ILD91" s="378"/>
      <c r="ILE91" s="378"/>
      <c r="ILF91" s="378"/>
      <c r="ILG91" s="378"/>
      <c r="ILH91" s="378"/>
      <c r="ILI91" s="378"/>
      <c r="ILJ91" s="378"/>
      <c r="ILK91" s="378"/>
      <c r="ILL91" s="378"/>
      <c r="ILM91" s="378"/>
      <c r="ILN91" s="378"/>
      <c r="ILO91" s="378"/>
      <c r="ILP91" s="378"/>
      <c r="ILQ91" s="378"/>
      <c r="ILR91" s="378"/>
      <c r="ILS91" s="378"/>
      <c r="ILT91" s="378"/>
      <c r="ILU91" s="378"/>
      <c r="ILV91" s="378"/>
      <c r="ILW91" s="378"/>
      <c r="ILX91" s="378"/>
      <c r="ILY91" s="378"/>
      <c r="ILZ91" s="378"/>
      <c r="IMA91" s="378"/>
      <c r="IMB91" s="378"/>
      <c r="IMC91" s="378"/>
      <c r="IMD91" s="378"/>
      <c r="IME91" s="378"/>
      <c r="IMF91" s="378"/>
      <c r="IMG91" s="378"/>
      <c r="IMH91" s="378"/>
      <c r="IMI91" s="378"/>
      <c r="IMJ91" s="378"/>
      <c r="IMK91" s="378"/>
      <c r="IML91" s="378"/>
      <c r="IMM91" s="378"/>
      <c r="IMN91" s="378"/>
      <c r="IMO91" s="378"/>
      <c r="IMP91" s="378"/>
      <c r="IMQ91" s="378"/>
      <c r="IMR91" s="378"/>
      <c r="IMS91" s="378"/>
      <c r="IMT91" s="378"/>
      <c r="IMU91" s="378"/>
      <c r="IMV91" s="378"/>
      <c r="IMW91" s="378"/>
      <c r="IMX91" s="378"/>
      <c r="IMY91" s="378"/>
      <c r="IMZ91" s="378"/>
      <c r="INA91" s="378"/>
      <c r="INB91" s="378"/>
      <c r="INC91" s="378"/>
      <c r="IND91" s="378"/>
      <c r="INE91" s="378"/>
      <c r="INF91" s="378"/>
      <c r="ING91" s="378"/>
      <c r="INH91" s="378"/>
      <c r="INI91" s="378"/>
      <c r="INJ91" s="378"/>
      <c r="INK91" s="378"/>
      <c r="INL91" s="378"/>
      <c r="INM91" s="378"/>
      <c r="INN91" s="378"/>
      <c r="INO91" s="378"/>
      <c r="INP91" s="378"/>
      <c r="INQ91" s="378"/>
      <c r="INR91" s="378"/>
      <c r="INS91" s="378"/>
      <c r="INT91" s="378"/>
      <c r="INU91" s="378"/>
      <c r="INV91" s="378"/>
      <c r="INW91" s="378"/>
      <c r="INX91" s="378"/>
      <c r="INY91" s="378"/>
      <c r="INZ91" s="378"/>
      <c r="IOA91" s="378"/>
      <c r="IOB91" s="378"/>
      <c r="IOC91" s="378"/>
      <c r="IOD91" s="378"/>
      <c r="IOE91" s="378"/>
      <c r="IOF91" s="378"/>
      <c r="IOG91" s="378"/>
      <c r="IOH91" s="378"/>
      <c r="IOI91" s="378"/>
      <c r="IOJ91" s="378"/>
      <c r="IOK91" s="378"/>
      <c r="IOL91" s="378"/>
      <c r="IOM91" s="378"/>
      <c r="ION91" s="378"/>
      <c r="IOO91" s="378"/>
      <c r="IOP91" s="378"/>
      <c r="IOQ91" s="378"/>
      <c r="IOR91" s="378"/>
      <c r="IOS91" s="378"/>
      <c r="IOT91" s="378"/>
      <c r="IOU91" s="378"/>
      <c r="IOV91" s="378"/>
      <c r="IOW91" s="378"/>
      <c r="IOX91" s="378"/>
      <c r="IOY91" s="378"/>
      <c r="IOZ91" s="378"/>
      <c r="IPA91" s="378"/>
      <c r="IPB91" s="378"/>
      <c r="IPC91" s="378"/>
      <c r="IPD91" s="378"/>
      <c r="IPE91" s="378"/>
      <c r="IPF91" s="378"/>
      <c r="IPG91" s="378"/>
      <c r="IPH91" s="378"/>
      <c r="IPI91" s="378"/>
      <c r="IPJ91" s="378"/>
      <c r="IPK91" s="378"/>
      <c r="IPL91" s="378"/>
      <c r="IPM91" s="378"/>
      <c r="IPN91" s="378"/>
      <c r="IPO91" s="378"/>
      <c r="IPP91" s="378"/>
      <c r="IPQ91" s="378"/>
      <c r="IPR91" s="378"/>
      <c r="IPS91" s="378"/>
      <c r="IPT91" s="378"/>
      <c r="IPU91" s="378"/>
      <c r="IPV91" s="378"/>
      <c r="IPW91" s="378"/>
      <c r="IPX91" s="378"/>
      <c r="IPY91" s="378"/>
      <c r="IPZ91" s="378"/>
      <c r="IQA91" s="378"/>
      <c r="IQB91" s="378"/>
      <c r="IQC91" s="378"/>
      <c r="IQD91" s="378"/>
      <c r="IQE91" s="378"/>
      <c r="IQF91" s="378"/>
      <c r="IQG91" s="378"/>
      <c r="IQH91" s="378"/>
      <c r="IQI91" s="378"/>
      <c r="IQJ91" s="378"/>
      <c r="IQK91" s="378"/>
      <c r="IQL91" s="378"/>
      <c r="IQM91" s="378"/>
      <c r="IQN91" s="378"/>
      <c r="IQO91" s="378"/>
      <c r="IQP91" s="378"/>
      <c r="IQQ91" s="378"/>
      <c r="IQR91" s="378"/>
      <c r="IQS91" s="378"/>
      <c r="IQT91" s="378"/>
      <c r="IQU91" s="378"/>
      <c r="IQV91" s="378"/>
      <c r="IQW91" s="378"/>
      <c r="IQX91" s="378"/>
      <c r="IQY91" s="378"/>
      <c r="IQZ91" s="378"/>
      <c r="IRA91" s="378"/>
      <c r="IRB91" s="378"/>
      <c r="IRC91" s="378"/>
      <c r="IRD91" s="378"/>
      <c r="IRE91" s="378"/>
      <c r="IRF91" s="378"/>
      <c r="IRG91" s="378"/>
      <c r="IRH91" s="378"/>
      <c r="IRI91" s="378"/>
      <c r="IRJ91" s="378"/>
      <c r="IRK91" s="378"/>
      <c r="IRL91" s="378"/>
      <c r="IRM91" s="378"/>
      <c r="IRN91" s="378"/>
      <c r="IRO91" s="378"/>
      <c r="IRP91" s="378"/>
      <c r="IRQ91" s="378"/>
      <c r="IRR91" s="378"/>
      <c r="IRS91" s="378"/>
      <c r="IRT91" s="378"/>
      <c r="IRU91" s="378"/>
      <c r="IRV91" s="378"/>
      <c r="IRW91" s="378"/>
      <c r="IRX91" s="378"/>
      <c r="IRY91" s="378"/>
      <c r="IRZ91" s="378"/>
      <c r="ISA91" s="378"/>
      <c r="ISB91" s="378"/>
      <c r="ISC91" s="378"/>
      <c r="ISD91" s="378"/>
      <c r="ISE91" s="378"/>
      <c r="ISF91" s="378"/>
      <c r="ISG91" s="378"/>
      <c r="ISH91" s="378"/>
      <c r="ISI91" s="378"/>
      <c r="ISJ91" s="378"/>
      <c r="ISK91" s="378"/>
      <c r="ISL91" s="378"/>
      <c r="ISM91" s="378"/>
      <c r="ISN91" s="378"/>
      <c r="ISO91" s="378"/>
      <c r="ISP91" s="378"/>
      <c r="ISQ91" s="378"/>
      <c r="ISR91" s="378"/>
      <c r="ISS91" s="378"/>
      <c r="IST91" s="378"/>
      <c r="ISU91" s="378"/>
      <c r="ISV91" s="378"/>
      <c r="ISW91" s="378"/>
      <c r="ISX91" s="378"/>
      <c r="ISY91" s="378"/>
      <c r="ISZ91" s="378"/>
      <c r="ITA91" s="378"/>
      <c r="ITB91" s="378"/>
      <c r="ITC91" s="378"/>
      <c r="ITD91" s="378"/>
      <c r="ITE91" s="378"/>
      <c r="ITF91" s="378"/>
      <c r="ITG91" s="378"/>
      <c r="ITH91" s="378"/>
      <c r="ITI91" s="378"/>
      <c r="ITJ91" s="378"/>
      <c r="ITK91" s="378"/>
      <c r="ITL91" s="378"/>
      <c r="ITM91" s="378"/>
      <c r="ITN91" s="378"/>
      <c r="ITO91" s="378"/>
      <c r="ITP91" s="378"/>
      <c r="ITQ91" s="378"/>
      <c r="ITR91" s="378"/>
      <c r="ITS91" s="378"/>
      <c r="ITT91" s="378"/>
      <c r="ITU91" s="378"/>
      <c r="ITV91" s="378"/>
      <c r="ITW91" s="378"/>
      <c r="ITX91" s="378"/>
      <c r="ITY91" s="378"/>
      <c r="ITZ91" s="378"/>
      <c r="IUA91" s="378"/>
      <c r="IUB91" s="378"/>
      <c r="IUC91" s="378"/>
      <c r="IUD91" s="378"/>
      <c r="IUE91" s="378"/>
      <c r="IUF91" s="378"/>
      <c r="IUG91" s="378"/>
      <c r="IUH91" s="378"/>
      <c r="IUI91" s="378"/>
      <c r="IUJ91" s="378"/>
      <c r="IUK91" s="378"/>
      <c r="IUL91" s="378"/>
      <c r="IUM91" s="378"/>
      <c r="IUN91" s="378"/>
      <c r="IUO91" s="378"/>
      <c r="IUP91" s="378"/>
      <c r="IUQ91" s="378"/>
      <c r="IUR91" s="378"/>
      <c r="IUS91" s="378"/>
      <c r="IUT91" s="378"/>
      <c r="IUU91" s="378"/>
      <c r="IUV91" s="378"/>
      <c r="IUW91" s="378"/>
      <c r="IUX91" s="378"/>
      <c r="IUY91" s="378"/>
      <c r="IUZ91" s="378"/>
      <c r="IVA91" s="378"/>
      <c r="IVB91" s="378"/>
      <c r="IVC91" s="378"/>
      <c r="IVD91" s="378"/>
      <c r="IVE91" s="378"/>
      <c r="IVF91" s="378"/>
      <c r="IVG91" s="378"/>
      <c r="IVH91" s="378"/>
      <c r="IVI91" s="378"/>
      <c r="IVJ91" s="378"/>
      <c r="IVK91" s="378"/>
      <c r="IVL91" s="378"/>
      <c r="IVM91" s="378"/>
      <c r="IVN91" s="378"/>
      <c r="IVO91" s="378"/>
      <c r="IVP91" s="378"/>
      <c r="IVQ91" s="378"/>
      <c r="IVR91" s="378"/>
      <c r="IVS91" s="378"/>
      <c r="IVT91" s="378"/>
      <c r="IVU91" s="378"/>
      <c r="IVV91" s="378"/>
      <c r="IVW91" s="378"/>
      <c r="IVX91" s="378"/>
      <c r="IVY91" s="378"/>
      <c r="IVZ91" s="378"/>
      <c r="IWA91" s="378"/>
      <c r="IWB91" s="378"/>
      <c r="IWC91" s="378"/>
      <c r="IWD91" s="378"/>
      <c r="IWE91" s="378"/>
      <c r="IWF91" s="378"/>
      <c r="IWG91" s="378"/>
      <c r="IWH91" s="378"/>
      <c r="IWI91" s="378"/>
      <c r="IWJ91" s="378"/>
      <c r="IWK91" s="378"/>
      <c r="IWL91" s="378"/>
      <c r="IWM91" s="378"/>
      <c r="IWN91" s="378"/>
      <c r="IWO91" s="378"/>
      <c r="IWP91" s="378"/>
      <c r="IWQ91" s="378"/>
      <c r="IWR91" s="378"/>
      <c r="IWS91" s="378"/>
      <c r="IWT91" s="378"/>
      <c r="IWU91" s="378"/>
      <c r="IWV91" s="378"/>
      <c r="IWW91" s="378"/>
      <c r="IWX91" s="378"/>
      <c r="IWY91" s="378"/>
      <c r="IWZ91" s="378"/>
      <c r="IXA91" s="378"/>
      <c r="IXB91" s="378"/>
      <c r="IXC91" s="378"/>
      <c r="IXD91" s="378"/>
      <c r="IXE91" s="378"/>
      <c r="IXF91" s="378"/>
      <c r="IXG91" s="378"/>
      <c r="IXH91" s="378"/>
      <c r="IXI91" s="378"/>
      <c r="IXJ91" s="378"/>
      <c r="IXK91" s="378"/>
      <c r="IXL91" s="378"/>
      <c r="IXM91" s="378"/>
      <c r="IXN91" s="378"/>
      <c r="IXO91" s="378"/>
      <c r="IXP91" s="378"/>
      <c r="IXQ91" s="378"/>
      <c r="IXR91" s="378"/>
      <c r="IXS91" s="378"/>
      <c r="IXT91" s="378"/>
      <c r="IXU91" s="378"/>
      <c r="IXV91" s="378"/>
      <c r="IXW91" s="378"/>
      <c r="IXX91" s="378"/>
      <c r="IXY91" s="378"/>
      <c r="IXZ91" s="378"/>
      <c r="IYA91" s="378"/>
      <c r="IYB91" s="378"/>
      <c r="IYC91" s="378"/>
      <c r="IYD91" s="378"/>
      <c r="IYE91" s="378"/>
      <c r="IYF91" s="378"/>
      <c r="IYG91" s="378"/>
      <c r="IYH91" s="378"/>
      <c r="IYI91" s="378"/>
      <c r="IYJ91" s="378"/>
      <c r="IYK91" s="378"/>
      <c r="IYL91" s="378"/>
      <c r="IYM91" s="378"/>
      <c r="IYN91" s="378"/>
      <c r="IYO91" s="378"/>
      <c r="IYP91" s="378"/>
      <c r="IYQ91" s="378"/>
      <c r="IYR91" s="378"/>
      <c r="IYS91" s="378"/>
      <c r="IYT91" s="378"/>
      <c r="IYU91" s="378"/>
      <c r="IYV91" s="378"/>
      <c r="IYW91" s="378"/>
      <c r="IYX91" s="378"/>
      <c r="IYY91" s="378"/>
      <c r="IYZ91" s="378"/>
      <c r="IZA91" s="378"/>
      <c r="IZB91" s="378"/>
      <c r="IZC91" s="378"/>
      <c r="IZD91" s="378"/>
      <c r="IZE91" s="378"/>
      <c r="IZF91" s="378"/>
      <c r="IZG91" s="378"/>
      <c r="IZH91" s="378"/>
      <c r="IZI91" s="378"/>
      <c r="IZJ91" s="378"/>
      <c r="IZK91" s="378"/>
      <c r="IZL91" s="378"/>
      <c r="IZM91" s="378"/>
      <c r="IZN91" s="378"/>
      <c r="IZO91" s="378"/>
      <c r="IZP91" s="378"/>
      <c r="IZQ91" s="378"/>
      <c r="IZR91" s="378"/>
      <c r="IZS91" s="378"/>
      <c r="IZT91" s="378"/>
      <c r="IZU91" s="378"/>
      <c r="IZV91" s="378"/>
      <c r="IZW91" s="378"/>
      <c r="IZX91" s="378"/>
      <c r="IZY91" s="378"/>
      <c r="IZZ91" s="378"/>
      <c r="JAA91" s="378"/>
      <c r="JAB91" s="378"/>
      <c r="JAC91" s="378"/>
      <c r="JAD91" s="378"/>
      <c r="JAE91" s="378"/>
      <c r="JAF91" s="378"/>
      <c r="JAG91" s="378"/>
      <c r="JAH91" s="378"/>
      <c r="JAI91" s="378"/>
      <c r="JAJ91" s="378"/>
      <c r="JAK91" s="378"/>
      <c r="JAL91" s="378"/>
      <c r="JAM91" s="378"/>
      <c r="JAN91" s="378"/>
      <c r="JAO91" s="378"/>
      <c r="JAP91" s="378"/>
      <c r="JAQ91" s="378"/>
      <c r="JAR91" s="378"/>
      <c r="JAS91" s="378"/>
      <c r="JAT91" s="378"/>
      <c r="JAU91" s="378"/>
      <c r="JAV91" s="378"/>
      <c r="JAW91" s="378"/>
      <c r="JAX91" s="378"/>
      <c r="JAY91" s="378"/>
      <c r="JAZ91" s="378"/>
      <c r="JBA91" s="378"/>
      <c r="JBB91" s="378"/>
      <c r="JBC91" s="378"/>
      <c r="JBD91" s="378"/>
      <c r="JBE91" s="378"/>
      <c r="JBF91" s="378"/>
      <c r="JBG91" s="378"/>
      <c r="JBH91" s="378"/>
      <c r="JBI91" s="378"/>
      <c r="JBJ91" s="378"/>
      <c r="JBK91" s="378"/>
      <c r="JBL91" s="378"/>
      <c r="JBM91" s="378"/>
      <c r="JBN91" s="378"/>
      <c r="JBO91" s="378"/>
      <c r="JBP91" s="378"/>
      <c r="JBQ91" s="378"/>
      <c r="JBR91" s="378"/>
      <c r="JBS91" s="378"/>
      <c r="JBT91" s="378"/>
      <c r="JBU91" s="378"/>
      <c r="JBV91" s="378"/>
      <c r="JBW91" s="378"/>
      <c r="JBX91" s="378"/>
      <c r="JBY91" s="378"/>
      <c r="JBZ91" s="378"/>
      <c r="JCA91" s="378"/>
      <c r="JCB91" s="378"/>
      <c r="JCC91" s="378"/>
      <c r="JCD91" s="378"/>
      <c r="JCE91" s="378"/>
      <c r="JCF91" s="378"/>
      <c r="JCG91" s="378"/>
      <c r="JCH91" s="378"/>
      <c r="JCI91" s="378"/>
      <c r="JCJ91" s="378"/>
      <c r="JCK91" s="378"/>
      <c r="JCL91" s="378"/>
      <c r="JCM91" s="378"/>
      <c r="JCN91" s="378"/>
      <c r="JCO91" s="378"/>
      <c r="JCP91" s="378"/>
      <c r="JCQ91" s="378"/>
      <c r="JCR91" s="378"/>
      <c r="JCS91" s="378"/>
      <c r="JCT91" s="378"/>
      <c r="JCU91" s="378"/>
      <c r="JCV91" s="378"/>
      <c r="JCW91" s="378"/>
      <c r="JCX91" s="378"/>
      <c r="JCY91" s="378"/>
      <c r="JCZ91" s="378"/>
      <c r="JDA91" s="378"/>
      <c r="JDB91" s="378"/>
      <c r="JDC91" s="378"/>
      <c r="JDD91" s="378"/>
      <c r="JDE91" s="378"/>
      <c r="JDF91" s="378"/>
      <c r="JDG91" s="378"/>
      <c r="JDH91" s="378"/>
      <c r="JDI91" s="378"/>
      <c r="JDJ91" s="378"/>
      <c r="JDK91" s="378"/>
      <c r="JDL91" s="378"/>
      <c r="JDM91" s="378"/>
      <c r="JDN91" s="378"/>
      <c r="JDO91" s="378"/>
      <c r="JDP91" s="378"/>
      <c r="JDQ91" s="378"/>
      <c r="JDR91" s="378"/>
      <c r="JDS91" s="378"/>
      <c r="JDT91" s="378"/>
      <c r="JDU91" s="378"/>
      <c r="JDV91" s="378"/>
      <c r="JDW91" s="378"/>
      <c r="JDX91" s="378"/>
      <c r="JDY91" s="378"/>
      <c r="JDZ91" s="378"/>
      <c r="JEA91" s="378"/>
      <c r="JEB91" s="378"/>
      <c r="JEC91" s="378"/>
      <c r="JED91" s="378"/>
      <c r="JEE91" s="378"/>
      <c r="JEF91" s="378"/>
      <c r="JEG91" s="378"/>
      <c r="JEH91" s="378"/>
      <c r="JEI91" s="378"/>
      <c r="JEJ91" s="378"/>
      <c r="JEK91" s="378"/>
      <c r="JEL91" s="378"/>
      <c r="JEM91" s="378"/>
      <c r="JEN91" s="378"/>
      <c r="JEO91" s="378"/>
      <c r="JEP91" s="378"/>
      <c r="JEQ91" s="378"/>
      <c r="JER91" s="378"/>
      <c r="JES91" s="378"/>
      <c r="JET91" s="378"/>
      <c r="JEU91" s="378"/>
      <c r="JEV91" s="378"/>
      <c r="JEW91" s="378"/>
      <c r="JEX91" s="378"/>
      <c r="JEY91" s="378"/>
      <c r="JEZ91" s="378"/>
      <c r="JFA91" s="378"/>
      <c r="JFB91" s="378"/>
      <c r="JFC91" s="378"/>
      <c r="JFD91" s="378"/>
      <c r="JFE91" s="378"/>
      <c r="JFF91" s="378"/>
      <c r="JFG91" s="378"/>
      <c r="JFH91" s="378"/>
      <c r="JFI91" s="378"/>
      <c r="JFJ91" s="378"/>
      <c r="JFK91" s="378"/>
      <c r="JFL91" s="378"/>
      <c r="JFM91" s="378"/>
      <c r="JFN91" s="378"/>
      <c r="JFO91" s="378"/>
      <c r="JFP91" s="378"/>
      <c r="JFQ91" s="378"/>
      <c r="JFR91" s="378"/>
      <c r="JFS91" s="378"/>
      <c r="JFT91" s="378"/>
      <c r="JFU91" s="378"/>
      <c r="JFV91" s="378"/>
      <c r="JFW91" s="378"/>
      <c r="JFX91" s="378"/>
      <c r="JFY91" s="378"/>
      <c r="JFZ91" s="378"/>
      <c r="JGA91" s="378"/>
      <c r="JGB91" s="378"/>
      <c r="JGC91" s="378"/>
      <c r="JGD91" s="378"/>
      <c r="JGE91" s="378"/>
      <c r="JGF91" s="378"/>
      <c r="JGG91" s="378"/>
      <c r="JGH91" s="378"/>
      <c r="JGI91" s="378"/>
      <c r="JGJ91" s="378"/>
      <c r="JGK91" s="378"/>
      <c r="JGL91" s="378"/>
      <c r="JGM91" s="378"/>
      <c r="JGN91" s="378"/>
      <c r="JGO91" s="378"/>
      <c r="JGP91" s="378"/>
      <c r="JGQ91" s="378"/>
      <c r="JGR91" s="378"/>
      <c r="JGS91" s="378"/>
      <c r="JGT91" s="378"/>
      <c r="JGU91" s="378"/>
      <c r="JGV91" s="378"/>
      <c r="JGW91" s="378"/>
      <c r="JGX91" s="378"/>
      <c r="JGY91" s="378"/>
      <c r="JGZ91" s="378"/>
      <c r="JHA91" s="378"/>
      <c r="JHB91" s="378"/>
      <c r="JHC91" s="378"/>
      <c r="JHD91" s="378"/>
      <c r="JHE91" s="378"/>
      <c r="JHF91" s="378"/>
      <c r="JHG91" s="378"/>
      <c r="JHH91" s="378"/>
      <c r="JHI91" s="378"/>
      <c r="JHJ91" s="378"/>
      <c r="JHK91" s="378"/>
      <c r="JHL91" s="378"/>
      <c r="JHM91" s="378"/>
      <c r="JHN91" s="378"/>
      <c r="JHO91" s="378"/>
      <c r="JHP91" s="378"/>
      <c r="JHQ91" s="378"/>
      <c r="JHR91" s="378"/>
      <c r="JHS91" s="378"/>
      <c r="JHT91" s="378"/>
      <c r="JHU91" s="378"/>
      <c r="JHV91" s="378"/>
      <c r="JHW91" s="378"/>
      <c r="JHX91" s="378"/>
      <c r="JHY91" s="378"/>
      <c r="JHZ91" s="378"/>
      <c r="JIA91" s="378"/>
      <c r="JIB91" s="378"/>
      <c r="JIC91" s="378"/>
      <c r="JID91" s="378"/>
      <c r="JIE91" s="378"/>
      <c r="JIF91" s="378"/>
      <c r="JIG91" s="378"/>
      <c r="JIH91" s="378"/>
      <c r="JII91" s="378"/>
      <c r="JIJ91" s="378"/>
      <c r="JIK91" s="378"/>
      <c r="JIL91" s="378"/>
      <c r="JIM91" s="378"/>
      <c r="JIN91" s="378"/>
      <c r="JIO91" s="378"/>
      <c r="JIP91" s="378"/>
      <c r="JIQ91" s="378"/>
      <c r="JIR91" s="378"/>
      <c r="JIS91" s="378"/>
      <c r="JIT91" s="378"/>
      <c r="JIU91" s="378"/>
      <c r="JIV91" s="378"/>
      <c r="JIW91" s="378"/>
      <c r="JIX91" s="378"/>
      <c r="JIY91" s="378"/>
      <c r="JIZ91" s="378"/>
      <c r="JJA91" s="378"/>
      <c r="JJB91" s="378"/>
      <c r="JJC91" s="378"/>
      <c r="JJD91" s="378"/>
      <c r="JJE91" s="378"/>
      <c r="JJF91" s="378"/>
      <c r="JJG91" s="378"/>
      <c r="JJH91" s="378"/>
      <c r="JJI91" s="378"/>
      <c r="JJJ91" s="378"/>
      <c r="JJK91" s="378"/>
      <c r="JJL91" s="378"/>
      <c r="JJM91" s="378"/>
      <c r="JJN91" s="378"/>
      <c r="JJO91" s="378"/>
      <c r="JJP91" s="378"/>
      <c r="JJQ91" s="378"/>
      <c r="JJR91" s="378"/>
      <c r="JJS91" s="378"/>
      <c r="JJT91" s="378"/>
      <c r="JJU91" s="378"/>
      <c r="JJV91" s="378"/>
      <c r="JJW91" s="378"/>
      <c r="JJX91" s="378"/>
      <c r="JJY91" s="378"/>
      <c r="JJZ91" s="378"/>
      <c r="JKA91" s="378"/>
      <c r="JKB91" s="378"/>
      <c r="JKC91" s="378"/>
      <c r="JKD91" s="378"/>
      <c r="JKE91" s="378"/>
      <c r="JKF91" s="378"/>
      <c r="JKG91" s="378"/>
      <c r="JKH91" s="378"/>
      <c r="JKI91" s="378"/>
      <c r="JKJ91" s="378"/>
      <c r="JKK91" s="378"/>
      <c r="JKL91" s="378"/>
      <c r="JKM91" s="378"/>
      <c r="JKN91" s="378"/>
      <c r="JKO91" s="378"/>
      <c r="JKP91" s="378"/>
      <c r="JKQ91" s="378"/>
      <c r="JKR91" s="378"/>
      <c r="JKS91" s="378"/>
      <c r="JKT91" s="378"/>
      <c r="JKU91" s="378"/>
      <c r="JKV91" s="378"/>
      <c r="JKW91" s="378"/>
      <c r="JKX91" s="378"/>
      <c r="JKY91" s="378"/>
      <c r="JKZ91" s="378"/>
      <c r="JLA91" s="378"/>
      <c r="JLB91" s="378"/>
      <c r="JLC91" s="378"/>
      <c r="JLD91" s="378"/>
      <c r="JLE91" s="378"/>
      <c r="JLF91" s="378"/>
      <c r="JLG91" s="378"/>
      <c r="JLH91" s="378"/>
      <c r="JLI91" s="378"/>
      <c r="JLJ91" s="378"/>
      <c r="JLK91" s="378"/>
      <c r="JLL91" s="378"/>
      <c r="JLM91" s="378"/>
      <c r="JLN91" s="378"/>
      <c r="JLO91" s="378"/>
      <c r="JLP91" s="378"/>
      <c r="JLQ91" s="378"/>
      <c r="JLR91" s="378"/>
      <c r="JLS91" s="378"/>
      <c r="JLT91" s="378"/>
      <c r="JLU91" s="378"/>
      <c r="JLV91" s="378"/>
      <c r="JLW91" s="378"/>
      <c r="JLX91" s="378"/>
      <c r="JLY91" s="378"/>
      <c r="JLZ91" s="378"/>
      <c r="JMA91" s="378"/>
      <c r="JMB91" s="378"/>
      <c r="JMC91" s="378"/>
      <c r="JMD91" s="378"/>
      <c r="JME91" s="378"/>
      <c r="JMF91" s="378"/>
      <c r="JMG91" s="378"/>
      <c r="JMH91" s="378"/>
      <c r="JMI91" s="378"/>
      <c r="JMJ91" s="378"/>
      <c r="JMK91" s="378"/>
      <c r="JML91" s="378"/>
      <c r="JMM91" s="378"/>
      <c r="JMN91" s="378"/>
      <c r="JMO91" s="378"/>
      <c r="JMP91" s="378"/>
      <c r="JMQ91" s="378"/>
      <c r="JMR91" s="378"/>
      <c r="JMS91" s="378"/>
      <c r="JMT91" s="378"/>
      <c r="JMU91" s="378"/>
      <c r="JMV91" s="378"/>
      <c r="JMW91" s="378"/>
      <c r="JMX91" s="378"/>
      <c r="JMY91" s="378"/>
      <c r="JMZ91" s="378"/>
      <c r="JNA91" s="378"/>
      <c r="JNB91" s="378"/>
      <c r="JNC91" s="378"/>
      <c r="JND91" s="378"/>
      <c r="JNE91" s="378"/>
      <c r="JNF91" s="378"/>
      <c r="JNG91" s="378"/>
      <c r="JNH91" s="378"/>
      <c r="JNI91" s="378"/>
      <c r="JNJ91" s="378"/>
      <c r="JNK91" s="378"/>
      <c r="JNL91" s="378"/>
      <c r="JNM91" s="378"/>
      <c r="JNN91" s="378"/>
      <c r="JNO91" s="378"/>
      <c r="JNP91" s="378"/>
      <c r="JNQ91" s="378"/>
      <c r="JNR91" s="378"/>
      <c r="JNS91" s="378"/>
      <c r="JNT91" s="378"/>
      <c r="JNU91" s="378"/>
      <c r="JNV91" s="378"/>
      <c r="JNW91" s="378"/>
      <c r="JNX91" s="378"/>
      <c r="JNY91" s="378"/>
      <c r="JNZ91" s="378"/>
      <c r="JOA91" s="378"/>
      <c r="JOB91" s="378"/>
      <c r="JOC91" s="378"/>
      <c r="JOD91" s="378"/>
      <c r="JOE91" s="378"/>
      <c r="JOF91" s="378"/>
      <c r="JOG91" s="378"/>
      <c r="JOH91" s="378"/>
      <c r="JOI91" s="378"/>
      <c r="JOJ91" s="378"/>
      <c r="JOK91" s="378"/>
      <c r="JOL91" s="378"/>
      <c r="JOM91" s="378"/>
      <c r="JON91" s="378"/>
      <c r="JOO91" s="378"/>
      <c r="JOP91" s="378"/>
      <c r="JOQ91" s="378"/>
      <c r="JOR91" s="378"/>
      <c r="JOS91" s="378"/>
      <c r="JOT91" s="378"/>
      <c r="JOU91" s="378"/>
      <c r="JOV91" s="378"/>
      <c r="JOW91" s="378"/>
      <c r="JOX91" s="378"/>
      <c r="JOY91" s="378"/>
      <c r="JOZ91" s="378"/>
      <c r="JPA91" s="378"/>
      <c r="JPB91" s="378"/>
      <c r="JPC91" s="378"/>
      <c r="JPD91" s="378"/>
      <c r="JPE91" s="378"/>
      <c r="JPF91" s="378"/>
      <c r="JPG91" s="378"/>
      <c r="JPH91" s="378"/>
      <c r="JPI91" s="378"/>
      <c r="JPJ91" s="378"/>
      <c r="JPK91" s="378"/>
      <c r="JPL91" s="378"/>
      <c r="JPM91" s="378"/>
      <c r="JPN91" s="378"/>
      <c r="JPO91" s="378"/>
      <c r="JPP91" s="378"/>
      <c r="JPQ91" s="378"/>
      <c r="JPR91" s="378"/>
      <c r="JPS91" s="378"/>
      <c r="JPT91" s="378"/>
      <c r="JPU91" s="378"/>
      <c r="JPV91" s="378"/>
      <c r="JPW91" s="378"/>
      <c r="JPX91" s="378"/>
      <c r="JPY91" s="378"/>
      <c r="JPZ91" s="378"/>
      <c r="JQA91" s="378"/>
      <c r="JQB91" s="378"/>
      <c r="JQC91" s="378"/>
      <c r="JQD91" s="378"/>
      <c r="JQE91" s="378"/>
      <c r="JQF91" s="378"/>
      <c r="JQG91" s="378"/>
      <c r="JQH91" s="378"/>
      <c r="JQI91" s="378"/>
      <c r="JQJ91" s="378"/>
      <c r="JQK91" s="378"/>
      <c r="JQL91" s="378"/>
      <c r="JQM91" s="378"/>
      <c r="JQN91" s="378"/>
      <c r="JQO91" s="378"/>
      <c r="JQP91" s="378"/>
      <c r="JQQ91" s="378"/>
      <c r="JQR91" s="378"/>
      <c r="JQS91" s="378"/>
      <c r="JQT91" s="378"/>
      <c r="JQU91" s="378"/>
      <c r="JQV91" s="378"/>
      <c r="JQW91" s="378"/>
      <c r="JQX91" s="378"/>
      <c r="JQY91" s="378"/>
      <c r="JQZ91" s="378"/>
      <c r="JRA91" s="378"/>
      <c r="JRB91" s="378"/>
      <c r="JRC91" s="378"/>
      <c r="JRD91" s="378"/>
      <c r="JRE91" s="378"/>
      <c r="JRF91" s="378"/>
      <c r="JRG91" s="378"/>
      <c r="JRH91" s="378"/>
      <c r="JRI91" s="378"/>
      <c r="JRJ91" s="378"/>
      <c r="JRK91" s="378"/>
      <c r="JRL91" s="378"/>
      <c r="JRM91" s="378"/>
      <c r="JRN91" s="378"/>
      <c r="JRO91" s="378"/>
      <c r="JRP91" s="378"/>
      <c r="JRQ91" s="378"/>
      <c r="JRR91" s="378"/>
      <c r="JRS91" s="378"/>
      <c r="JRT91" s="378"/>
      <c r="JRU91" s="378"/>
      <c r="JRV91" s="378"/>
      <c r="JRW91" s="378"/>
      <c r="JRX91" s="378"/>
      <c r="JRY91" s="378"/>
      <c r="JRZ91" s="378"/>
      <c r="JSA91" s="378"/>
      <c r="JSB91" s="378"/>
      <c r="JSC91" s="378"/>
      <c r="JSD91" s="378"/>
      <c r="JSE91" s="378"/>
      <c r="JSF91" s="378"/>
      <c r="JSG91" s="378"/>
      <c r="JSH91" s="378"/>
      <c r="JSI91" s="378"/>
      <c r="JSJ91" s="378"/>
      <c r="JSK91" s="378"/>
      <c r="JSL91" s="378"/>
      <c r="JSM91" s="378"/>
      <c r="JSN91" s="378"/>
      <c r="JSO91" s="378"/>
      <c r="JSP91" s="378"/>
      <c r="JSQ91" s="378"/>
      <c r="JSR91" s="378"/>
      <c r="JSS91" s="378"/>
      <c r="JST91" s="378"/>
      <c r="JSU91" s="378"/>
      <c r="JSV91" s="378"/>
      <c r="JSW91" s="378"/>
      <c r="JSX91" s="378"/>
      <c r="JSY91" s="378"/>
      <c r="JSZ91" s="378"/>
      <c r="JTA91" s="378"/>
      <c r="JTB91" s="378"/>
      <c r="JTC91" s="378"/>
      <c r="JTD91" s="378"/>
      <c r="JTE91" s="378"/>
      <c r="JTF91" s="378"/>
      <c r="JTG91" s="378"/>
      <c r="JTH91" s="378"/>
      <c r="JTI91" s="378"/>
      <c r="JTJ91" s="378"/>
      <c r="JTK91" s="378"/>
      <c r="JTL91" s="378"/>
      <c r="JTM91" s="378"/>
      <c r="JTN91" s="378"/>
      <c r="JTO91" s="378"/>
      <c r="JTP91" s="378"/>
      <c r="JTQ91" s="378"/>
      <c r="JTR91" s="378"/>
      <c r="JTS91" s="378"/>
      <c r="JTT91" s="378"/>
      <c r="JTU91" s="378"/>
      <c r="JTV91" s="378"/>
      <c r="JTW91" s="378"/>
      <c r="JTX91" s="378"/>
      <c r="JTY91" s="378"/>
      <c r="JTZ91" s="378"/>
      <c r="JUA91" s="378"/>
      <c r="JUB91" s="378"/>
      <c r="JUC91" s="378"/>
      <c r="JUD91" s="378"/>
      <c r="JUE91" s="378"/>
      <c r="JUF91" s="378"/>
      <c r="JUG91" s="378"/>
      <c r="JUH91" s="378"/>
      <c r="JUI91" s="378"/>
      <c r="JUJ91" s="378"/>
      <c r="JUK91" s="378"/>
      <c r="JUL91" s="378"/>
      <c r="JUM91" s="378"/>
      <c r="JUN91" s="378"/>
      <c r="JUO91" s="378"/>
      <c r="JUP91" s="378"/>
      <c r="JUQ91" s="378"/>
      <c r="JUR91" s="378"/>
      <c r="JUS91" s="378"/>
      <c r="JUT91" s="378"/>
      <c r="JUU91" s="378"/>
      <c r="JUV91" s="378"/>
      <c r="JUW91" s="378"/>
      <c r="JUX91" s="378"/>
      <c r="JUY91" s="378"/>
      <c r="JUZ91" s="378"/>
      <c r="JVA91" s="378"/>
      <c r="JVB91" s="378"/>
      <c r="JVC91" s="378"/>
      <c r="JVD91" s="378"/>
      <c r="JVE91" s="378"/>
      <c r="JVF91" s="378"/>
      <c r="JVG91" s="378"/>
      <c r="JVH91" s="378"/>
      <c r="JVI91" s="378"/>
      <c r="JVJ91" s="378"/>
      <c r="JVK91" s="378"/>
      <c r="JVL91" s="378"/>
      <c r="JVM91" s="378"/>
      <c r="JVN91" s="378"/>
      <c r="JVO91" s="378"/>
      <c r="JVP91" s="378"/>
      <c r="JVQ91" s="378"/>
      <c r="JVR91" s="378"/>
      <c r="JVS91" s="378"/>
      <c r="JVT91" s="378"/>
      <c r="JVU91" s="378"/>
      <c r="JVV91" s="378"/>
      <c r="JVW91" s="378"/>
      <c r="JVX91" s="378"/>
      <c r="JVY91" s="378"/>
      <c r="JVZ91" s="378"/>
      <c r="JWA91" s="378"/>
      <c r="JWB91" s="378"/>
      <c r="JWC91" s="378"/>
      <c r="JWD91" s="378"/>
      <c r="JWE91" s="378"/>
      <c r="JWF91" s="378"/>
      <c r="JWG91" s="378"/>
      <c r="JWH91" s="378"/>
      <c r="JWI91" s="378"/>
      <c r="JWJ91" s="378"/>
      <c r="JWK91" s="378"/>
      <c r="JWL91" s="378"/>
      <c r="JWM91" s="378"/>
      <c r="JWN91" s="378"/>
      <c r="JWO91" s="378"/>
      <c r="JWP91" s="378"/>
      <c r="JWQ91" s="378"/>
      <c r="JWR91" s="378"/>
      <c r="JWS91" s="378"/>
      <c r="JWT91" s="378"/>
      <c r="JWU91" s="378"/>
      <c r="JWV91" s="378"/>
      <c r="JWW91" s="378"/>
      <c r="JWX91" s="378"/>
      <c r="JWY91" s="378"/>
      <c r="JWZ91" s="378"/>
      <c r="JXA91" s="378"/>
      <c r="JXB91" s="378"/>
      <c r="JXC91" s="378"/>
      <c r="JXD91" s="378"/>
      <c r="JXE91" s="378"/>
      <c r="JXF91" s="378"/>
      <c r="JXG91" s="378"/>
      <c r="JXH91" s="378"/>
      <c r="JXI91" s="378"/>
      <c r="JXJ91" s="378"/>
      <c r="JXK91" s="378"/>
      <c r="JXL91" s="378"/>
      <c r="JXM91" s="378"/>
      <c r="JXN91" s="378"/>
      <c r="JXO91" s="378"/>
      <c r="JXP91" s="378"/>
      <c r="JXQ91" s="378"/>
      <c r="JXR91" s="378"/>
      <c r="JXS91" s="378"/>
      <c r="JXT91" s="378"/>
      <c r="JXU91" s="378"/>
      <c r="JXV91" s="378"/>
      <c r="JXW91" s="378"/>
      <c r="JXX91" s="378"/>
      <c r="JXY91" s="378"/>
      <c r="JXZ91" s="378"/>
      <c r="JYA91" s="378"/>
      <c r="JYB91" s="378"/>
      <c r="JYC91" s="378"/>
      <c r="JYD91" s="378"/>
      <c r="JYE91" s="378"/>
      <c r="JYF91" s="378"/>
      <c r="JYG91" s="378"/>
      <c r="JYH91" s="378"/>
      <c r="JYI91" s="378"/>
      <c r="JYJ91" s="378"/>
      <c r="JYK91" s="378"/>
      <c r="JYL91" s="378"/>
      <c r="JYM91" s="378"/>
      <c r="JYN91" s="378"/>
      <c r="JYO91" s="378"/>
      <c r="JYP91" s="378"/>
      <c r="JYQ91" s="378"/>
      <c r="JYR91" s="378"/>
      <c r="JYS91" s="378"/>
      <c r="JYT91" s="378"/>
      <c r="JYU91" s="378"/>
      <c r="JYV91" s="378"/>
      <c r="JYW91" s="378"/>
      <c r="JYX91" s="378"/>
      <c r="JYY91" s="378"/>
      <c r="JYZ91" s="378"/>
      <c r="JZA91" s="378"/>
      <c r="JZB91" s="378"/>
      <c r="JZC91" s="378"/>
      <c r="JZD91" s="378"/>
      <c r="JZE91" s="378"/>
      <c r="JZF91" s="378"/>
      <c r="JZG91" s="378"/>
      <c r="JZH91" s="378"/>
      <c r="JZI91" s="378"/>
      <c r="JZJ91" s="378"/>
      <c r="JZK91" s="378"/>
      <c r="JZL91" s="378"/>
      <c r="JZM91" s="378"/>
      <c r="JZN91" s="378"/>
      <c r="JZO91" s="378"/>
      <c r="JZP91" s="378"/>
      <c r="JZQ91" s="378"/>
      <c r="JZR91" s="378"/>
      <c r="JZS91" s="378"/>
      <c r="JZT91" s="378"/>
      <c r="JZU91" s="378"/>
      <c r="JZV91" s="378"/>
      <c r="JZW91" s="378"/>
      <c r="JZX91" s="378"/>
      <c r="JZY91" s="378"/>
      <c r="JZZ91" s="378"/>
      <c r="KAA91" s="378"/>
      <c r="KAB91" s="378"/>
      <c r="KAC91" s="378"/>
      <c r="KAD91" s="378"/>
      <c r="KAE91" s="378"/>
      <c r="KAF91" s="378"/>
      <c r="KAG91" s="378"/>
      <c r="KAH91" s="378"/>
      <c r="KAI91" s="378"/>
      <c r="KAJ91" s="378"/>
      <c r="KAK91" s="378"/>
      <c r="KAL91" s="378"/>
      <c r="KAM91" s="378"/>
      <c r="KAN91" s="378"/>
      <c r="KAO91" s="378"/>
      <c r="KAP91" s="378"/>
      <c r="KAQ91" s="378"/>
      <c r="KAR91" s="378"/>
      <c r="KAS91" s="378"/>
      <c r="KAT91" s="378"/>
      <c r="KAU91" s="378"/>
      <c r="KAV91" s="378"/>
      <c r="KAW91" s="378"/>
      <c r="KAX91" s="378"/>
      <c r="KAY91" s="378"/>
      <c r="KAZ91" s="378"/>
      <c r="KBA91" s="378"/>
      <c r="KBB91" s="378"/>
      <c r="KBC91" s="378"/>
      <c r="KBD91" s="378"/>
      <c r="KBE91" s="378"/>
      <c r="KBF91" s="378"/>
      <c r="KBG91" s="378"/>
      <c r="KBH91" s="378"/>
      <c r="KBI91" s="378"/>
      <c r="KBJ91" s="378"/>
      <c r="KBK91" s="378"/>
      <c r="KBL91" s="378"/>
      <c r="KBM91" s="378"/>
      <c r="KBN91" s="378"/>
      <c r="KBO91" s="378"/>
      <c r="KBP91" s="378"/>
      <c r="KBQ91" s="378"/>
      <c r="KBR91" s="378"/>
      <c r="KBS91" s="378"/>
      <c r="KBT91" s="378"/>
      <c r="KBU91" s="378"/>
      <c r="KBV91" s="378"/>
      <c r="KBW91" s="378"/>
      <c r="KBX91" s="378"/>
      <c r="KBY91" s="378"/>
      <c r="KBZ91" s="378"/>
      <c r="KCA91" s="378"/>
      <c r="KCB91" s="378"/>
      <c r="KCC91" s="378"/>
      <c r="KCD91" s="378"/>
      <c r="KCE91" s="378"/>
      <c r="KCF91" s="378"/>
      <c r="KCG91" s="378"/>
      <c r="KCH91" s="378"/>
      <c r="KCI91" s="378"/>
      <c r="KCJ91" s="378"/>
      <c r="KCK91" s="378"/>
      <c r="KCL91" s="378"/>
      <c r="KCM91" s="378"/>
      <c r="KCN91" s="378"/>
      <c r="KCO91" s="378"/>
      <c r="KCP91" s="378"/>
      <c r="KCQ91" s="378"/>
      <c r="KCR91" s="378"/>
      <c r="KCS91" s="378"/>
      <c r="KCT91" s="378"/>
      <c r="KCU91" s="378"/>
      <c r="KCV91" s="378"/>
      <c r="KCW91" s="378"/>
      <c r="KCX91" s="378"/>
      <c r="KCY91" s="378"/>
      <c r="KCZ91" s="378"/>
      <c r="KDA91" s="378"/>
      <c r="KDB91" s="378"/>
      <c r="KDC91" s="378"/>
      <c r="KDD91" s="378"/>
      <c r="KDE91" s="378"/>
      <c r="KDF91" s="378"/>
      <c r="KDG91" s="378"/>
      <c r="KDH91" s="378"/>
      <c r="KDI91" s="378"/>
      <c r="KDJ91" s="378"/>
      <c r="KDK91" s="378"/>
      <c r="KDL91" s="378"/>
      <c r="KDM91" s="378"/>
      <c r="KDN91" s="378"/>
      <c r="KDO91" s="378"/>
      <c r="KDP91" s="378"/>
      <c r="KDQ91" s="378"/>
      <c r="KDR91" s="378"/>
      <c r="KDS91" s="378"/>
      <c r="KDT91" s="378"/>
      <c r="KDU91" s="378"/>
      <c r="KDV91" s="378"/>
      <c r="KDW91" s="378"/>
      <c r="KDX91" s="378"/>
      <c r="KDY91" s="378"/>
      <c r="KDZ91" s="378"/>
      <c r="KEA91" s="378"/>
      <c r="KEB91" s="378"/>
      <c r="KEC91" s="378"/>
      <c r="KED91" s="378"/>
      <c r="KEE91" s="378"/>
      <c r="KEF91" s="378"/>
      <c r="KEG91" s="378"/>
      <c r="KEH91" s="378"/>
      <c r="KEI91" s="378"/>
      <c r="KEJ91" s="378"/>
      <c r="KEK91" s="378"/>
      <c r="KEL91" s="378"/>
      <c r="KEM91" s="378"/>
      <c r="KEN91" s="378"/>
      <c r="KEO91" s="378"/>
      <c r="KEP91" s="378"/>
      <c r="KEQ91" s="378"/>
      <c r="KER91" s="378"/>
      <c r="KES91" s="378"/>
      <c r="KET91" s="378"/>
      <c r="KEU91" s="378"/>
      <c r="KEV91" s="378"/>
      <c r="KEW91" s="378"/>
      <c r="KEX91" s="378"/>
      <c r="KEY91" s="378"/>
      <c r="KEZ91" s="378"/>
      <c r="KFA91" s="378"/>
      <c r="KFB91" s="378"/>
      <c r="KFC91" s="378"/>
      <c r="KFD91" s="378"/>
      <c r="KFE91" s="378"/>
      <c r="KFF91" s="378"/>
      <c r="KFG91" s="378"/>
      <c r="KFH91" s="378"/>
      <c r="KFI91" s="378"/>
      <c r="KFJ91" s="378"/>
      <c r="KFK91" s="378"/>
      <c r="KFL91" s="378"/>
      <c r="KFM91" s="378"/>
      <c r="KFN91" s="378"/>
      <c r="KFO91" s="378"/>
      <c r="KFP91" s="378"/>
      <c r="KFQ91" s="378"/>
      <c r="KFR91" s="378"/>
      <c r="KFS91" s="378"/>
      <c r="KFT91" s="378"/>
      <c r="KFU91" s="378"/>
      <c r="KFV91" s="378"/>
      <c r="KFW91" s="378"/>
      <c r="KFX91" s="378"/>
      <c r="KFY91" s="378"/>
      <c r="KFZ91" s="378"/>
      <c r="KGA91" s="378"/>
      <c r="KGB91" s="378"/>
      <c r="KGC91" s="378"/>
      <c r="KGD91" s="378"/>
      <c r="KGE91" s="378"/>
      <c r="KGF91" s="378"/>
      <c r="KGG91" s="378"/>
      <c r="KGH91" s="378"/>
      <c r="KGI91" s="378"/>
      <c r="KGJ91" s="378"/>
      <c r="KGK91" s="378"/>
      <c r="KGL91" s="378"/>
      <c r="KGM91" s="378"/>
      <c r="KGN91" s="378"/>
      <c r="KGO91" s="378"/>
      <c r="KGP91" s="378"/>
      <c r="KGQ91" s="378"/>
      <c r="KGR91" s="378"/>
      <c r="KGS91" s="378"/>
      <c r="KGT91" s="378"/>
      <c r="KGU91" s="378"/>
      <c r="KGV91" s="378"/>
      <c r="KGW91" s="378"/>
      <c r="KGX91" s="378"/>
      <c r="KGY91" s="378"/>
      <c r="KGZ91" s="378"/>
      <c r="KHA91" s="378"/>
      <c r="KHB91" s="378"/>
      <c r="KHC91" s="378"/>
      <c r="KHD91" s="378"/>
      <c r="KHE91" s="378"/>
      <c r="KHF91" s="378"/>
      <c r="KHG91" s="378"/>
      <c r="KHH91" s="378"/>
      <c r="KHI91" s="378"/>
      <c r="KHJ91" s="378"/>
      <c r="KHK91" s="378"/>
      <c r="KHL91" s="378"/>
      <c r="KHM91" s="378"/>
      <c r="KHN91" s="378"/>
      <c r="KHO91" s="378"/>
      <c r="KHP91" s="378"/>
      <c r="KHQ91" s="378"/>
      <c r="KHR91" s="378"/>
      <c r="KHS91" s="378"/>
      <c r="KHT91" s="378"/>
      <c r="KHU91" s="378"/>
      <c r="KHV91" s="378"/>
      <c r="KHW91" s="378"/>
      <c r="KHX91" s="378"/>
      <c r="KHY91" s="378"/>
      <c r="KHZ91" s="378"/>
      <c r="KIA91" s="378"/>
      <c r="KIB91" s="378"/>
      <c r="KIC91" s="378"/>
      <c r="KID91" s="378"/>
      <c r="KIE91" s="378"/>
      <c r="KIF91" s="378"/>
      <c r="KIG91" s="378"/>
      <c r="KIH91" s="378"/>
      <c r="KII91" s="378"/>
      <c r="KIJ91" s="378"/>
      <c r="KIK91" s="378"/>
      <c r="KIL91" s="378"/>
      <c r="KIM91" s="378"/>
      <c r="KIN91" s="378"/>
      <c r="KIO91" s="378"/>
      <c r="KIP91" s="378"/>
      <c r="KIQ91" s="378"/>
      <c r="KIR91" s="378"/>
      <c r="KIS91" s="378"/>
      <c r="KIT91" s="378"/>
      <c r="KIU91" s="378"/>
      <c r="KIV91" s="378"/>
      <c r="KIW91" s="378"/>
      <c r="KIX91" s="378"/>
      <c r="KIY91" s="378"/>
      <c r="KIZ91" s="378"/>
      <c r="KJA91" s="378"/>
      <c r="KJB91" s="378"/>
      <c r="KJC91" s="378"/>
      <c r="KJD91" s="378"/>
      <c r="KJE91" s="378"/>
      <c r="KJF91" s="378"/>
      <c r="KJG91" s="378"/>
      <c r="KJH91" s="378"/>
      <c r="KJI91" s="378"/>
      <c r="KJJ91" s="378"/>
      <c r="KJK91" s="378"/>
      <c r="KJL91" s="378"/>
      <c r="KJM91" s="378"/>
      <c r="KJN91" s="378"/>
      <c r="KJO91" s="378"/>
      <c r="KJP91" s="378"/>
      <c r="KJQ91" s="378"/>
      <c r="KJR91" s="378"/>
      <c r="KJS91" s="378"/>
      <c r="KJT91" s="378"/>
      <c r="KJU91" s="378"/>
      <c r="KJV91" s="378"/>
      <c r="KJW91" s="378"/>
      <c r="KJX91" s="378"/>
      <c r="KJY91" s="378"/>
      <c r="KJZ91" s="378"/>
      <c r="KKA91" s="378"/>
      <c r="KKB91" s="378"/>
      <c r="KKC91" s="378"/>
      <c r="KKD91" s="378"/>
      <c r="KKE91" s="378"/>
      <c r="KKF91" s="378"/>
      <c r="KKG91" s="378"/>
      <c r="KKH91" s="378"/>
      <c r="KKI91" s="378"/>
      <c r="KKJ91" s="378"/>
      <c r="KKK91" s="378"/>
      <c r="KKL91" s="378"/>
      <c r="KKM91" s="378"/>
      <c r="KKN91" s="378"/>
      <c r="KKO91" s="378"/>
      <c r="KKP91" s="378"/>
      <c r="KKQ91" s="378"/>
      <c r="KKR91" s="378"/>
      <c r="KKS91" s="378"/>
      <c r="KKT91" s="378"/>
      <c r="KKU91" s="378"/>
      <c r="KKV91" s="378"/>
      <c r="KKW91" s="378"/>
      <c r="KKX91" s="378"/>
      <c r="KKY91" s="378"/>
      <c r="KKZ91" s="378"/>
      <c r="KLA91" s="378"/>
      <c r="KLB91" s="378"/>
      <c r="KLC91" s="378"/>
      <c r="KLD91" s="378"/>
      <c r="KLE91" s="378"/>
      <c r="KLF91" s="378"/>
      <c r="KLG91" s="378"/>
      <c r="KLH91" s="378"/>
      <c r="KLI91" s="378"/>
      <c r="KLJ91" s="378"/>
      <c r="KLK91" s="378"/>
      <c r="KLL91" s="378"/>
      <c r="KLM91" s="378"/>
      <c r="KLN91" s="378"/>
      <c r="KLO91" s="378"/>
      <c r="KLP91" s="378"/>
      <c r="KLQ91" s="378"/>
      <c r="KLR91" s="378"/>
      <c r="KLS91" s="378"/>
      <c r="KLT91" s="378"/>
      <c r="KLU91" s="378"/>
      <c r="KLV91" s="378"/>
      <c r="KLW91" s="378"/>
      <c r="KLX91" s="378"/>
      <c r="KLY91" s="378"/>
      <c r="KLZ91" s="378"/>
      <c r="KMA91" s="378"/>
      <c r="KMB91" s="378"/>
      <c r="KMC91" s="378"/>
      <c r="KMD91" s="378"/>
      <c r="KME91" s="378"/>
      <c r="KMF91" s="378"/>
      <c r="KMG91" s="378"/>
      <c r="KMH91" s="378"/>
      <c r="KMI91" s="378"/>
      <c r="KMJ91" s="378"/>
      <c r="KMK91" s="378"/>
      <c r="KML91" s="378"/>
      <c r="KMM91" s="378"/>
      <c r="KMN91" s="378"/>
      <c r="KMO91" s="378"/>
      <c r="KMP91" s="378"/>
      <c r="KMQ91" s="378"/>
      <c r="KMR91" s="378"/>
      <c r="KMS91" s="378"/>
      <c r="KMT91" s="378"/>
      <c r="KMU91" s="378"/>
      <c r="KMV91" s="378"/>
      <c r="KMW91" s="378"/>
      <c r="KMX91" s="378"/>
      <c r="KMY91" s="378"/>
      <c r="KMZ91" s="378"/>
      <c r="KNA91" s="378"/>
      <c r="KNB91" s="378"/>
      <c r="KNC91" s="378"/>
      <c r="KND91" s="378"/>
      <c r="KNE91" s="378"/>
      <c r="KNF91" s="378"/>
      <c r="KNG91" s="378"/>
      <c r="KNH91" s="378"/>
      <c r="KNI91" s="378"/>
      <c r="KNJ91" s="378"/>
      <c r="KNK91" s="378"/>
      <c r="KNL91" s="378"/>
      <c r="KNM91" s="378"/>
      <c r="KNN91" s="378"/>
      <c r="KNO91" s="378"/>
      <c r="KNP91" s="378"/>
      <c r="KNQ91" s="378"/>
      <c r="KNR91" s="378"/>
      <c r="KNS91" s="378"/>
      <c r="KNT91" s="378"/>
      <c r="KNU91" s="378"/>
      <c r="KNV91" s="378"/>
      <c r="KNW91" s="378"/>
      <c r="KNX91" s="378"/>
      <c r="KNY91" s="378"/>
      <c r="KNZ91" s="378"/>
      <c r="KOA91" s="378"/>
      <c r="KOB91" s="378"/>
      <c r="KOC91" s="378"/>
      <c r="KOD91" s="378"/>
      <c r="KOE91" s="378"/>
      <c r="KOF91" s="378"/>
      <c r="KOG91" s="378"/>
      <c r="KOH91" s="378"/>
      <c r="KOI91" s="378"/>
      <c r="KOJ91" s="378"/>
      <c r="KOK91" s="378"/>
      <c r="KOL91" s="378"/>
      <c r="KOM91" s="378"/>
      <c r="KON91" s="378"/>
      <c r="KOO91" s="378"/>
      <c r="KOP91" s="378"/>
      <c r="KOQ91" s="378"/>
      <c r="KOR91" s="378"/>
      <c r="KOS91" s="378"/>
      <c r="KOT91" s="378"/>
      <c r="KOU91" s="378"/>
      <c r="KOV91" s="378"/>
      <c r="KOW91" s="378"/>
      <c r="KOX91" s="378"/>
      <c r="KOY91" s="378"/>
      <c r="KOZ91" s="378"/>
      <c r="KPA91" s="378"/>
      <c r="KPB91" s="378"/>
      <c r="KPC91" s="378"/>
      <c r="KPD91" s="378"/>
      <c r="KPE91" s="378"/>
      <c r="KPF91" s="378"/>
      <c r="KPG91" s="378"/>
      <c r="KPH91" s="378"/>
      <c r="KPI91" s="378"/>
      <c r="KPJ91" s="378"/>
      <c r="KPK91" s="378"/>
      <c r="KPL91" s="378"/>
      <c r="KPM91" s="378"/>
      <c r="KPN91" s="378"/>
      <c r="KPO91" s="378"/>
      <c r="KPP91" s="378"/>
      <c r="KPQ91" s="378"/>
      <c r="KPR91" s="378"/>
      <c r="KPS91" s="378"/>
      <c r="KPT91" s="378"/>
      <c r="KPU91" s="378"/>
      <c r="KPV91" s="378"/>
      <c r="KPW91" s="378"/>
      <c r="KPX91" s="378"/>
      <c r="KPY91" s="378"/>
      <c r="KPZ91" s="378"/>
      <c r="KQA91" s="378"/>
      <c r="KQB91" s="378"/>
      <c r="KQC91" s="378"/>
      <c r="KQD91" s="378"/>
      <c r="KQE91" s="378"/>
      <c r="KQF91" s="378"/>
      <c r="KQG91" s="378"/>
      <c r="KQH91" s="378"/>
      <c r="KQI91" s="378"/>
      <c r="KQJ91" s="378"/>
      <c r="KQK91" s="378"/>
      <c r="KQL91" s="378"/>
      <c r="KQM91" s="378"/>
      <c r="KQN91" s="378"/>
      <c r="KQO91" s="378"/>
      <c r="KQP91" s="378"/>
      <c r="KQQ91" s="378"/>
      <c r="KQR91" s="378"/>
      <c r="KQS91" s="378"/>
      <c r="KQT91" s="378"/>
      <c r="KQU91" s="378"/>
      <c r="KQV91" s="378"/>
      <c r="KQW91" s="378"/>
      <c r="KQX91" s="378"/>
      <c r="KQY91" s="378"/>
      <c r="KQZ91" s="378"/>
      <c r="KRA91" s="378"/>
      <c r="KRB91" s="378"/>
      <c r="KRC91" s="378"/>
      <c r="KRD91" s="378"/>
      <c r="KRE91" s="378"/>
      <c r="KRF91" s="378"/>
      <c r="KRG91" s="378"/>
      <c r="KRH91" s="378"/>
      <c r="KRI91" s="378"/>
      <c r="KRJ91" s="378"/>
      <c r="KRK91" s="378"/>
      <c r="KRL91" s="378"/>
      <c r="KRM91" s="378"/>
      <c r="KRN91" s="378"/>
      <c r="KRO91" s="378"/>
      <c r="KRP91" s="378"/>
      <c r="KRQ91" s="378"/>
      <c r="KRR91" s="378"/>
      <c r="KRS91" s="378"/>
      <c r="KRT91" s="378"/>
      <c r="KRU91" s="378"/>
      <c r="KRV91" s="378"/>
      <c r="KRW91" s="378"/>
      <c r="KRX91" s="378"/>
      <c r="KRY91" s="378"/>
      <c r="KRZ91" s="378"/>
      <c r="KSA91" s="378"/>
      <c r="KSB91" s="378"/>
      <c r="KSC91" s="378"/>
      <c r="KSD91" s="378"/>
      <c r="KSE91" s="378"/>
      <c r="KSF91" s="378"/>
      <c r="KSG91" s="378"/>
      <c r="KSH91" s="378"/>
      <c r="KSI91" s="378"/>
      <c r="KSJ91" s="378"/>
      <c r="KSK91" s="378"/>
      <c r="KSL91" s="378"/>
      <c r="KSM91" s="378"/>
      <c r="KSN91" s="378"/>
      <c r="KSO91" s="378"/>
      <c r="KSP91" s="378"/>
      <c r="KSQ91" s="378"/>
      <c r="KSR91" s="378"/>
      <c r="KSS91" s="378"/>
      <c r="KST91" s="378"/>
      <c r="KSU91" s="378"/>
      <c r="KSV91" s="378"/>
      <c r="KSW91" s="378"/>
      <c r="KSX91" s="378"/>
      <c r="KSY91" s="378"/>
      <c r="KSZ91" s="378"/>
      <c r="KTA91" s="378"/>
      <c r="KTB91" s="378"/>
      <c r="KTC91" s="378"/>
      <c r="KTD91" s="378"/>
      <c r="KTE91" s="378"/>
      <c r="KTF91" s="378"/>
      <c r="KTG91" s="378"/>
      <c r="KTH91" s="378"/>
      <c r="KTI91" s="378"/>
      <c r="KTJ91" s="378"/>
      <c r="KTK91" s="378"/>
      <c r="KTL91" s="378"/>
      <c r="KTM91" s="378"/>
      <c r="KTN91" s="378"/>
      <c r="KTO91" s="378"/>
      <c r="KTP91" s="378"/>
      <c r="KTQ91" s="378"/>
      <c r="KTR91" s="378"/>
      <c r="KTS91" s="378"/>
      <c r="KTT91" s="378"/>
      <c r="KTU91" s="378"/>
      <c r="KTV91" s="378"/>
      <c r="KTW91" s="378"/>
      <c r="KTX91" s="378"/>
      <c r="KTY91" s="378"/>
      <c r="KTZ91" s="378"/>
      <c r="KUA91" s="378"/>
      <c r="KUB91" s="378"/>
      <c r="KUC91" s="378"/>
      <c r="KUD91" s="378"/>
      <c r="KUE91" s="378"/>
      <c r="KUF91" s="378"/>
      <c r="KUG91" s="378"/>
      <c r="KUH91" s="378"/>
      <c r="KUI91" s="378"/>
      <c r="KUJ91" s="378"/>
      <c r="KUK91" s="378"/>
      <c r="KUL91" s="378"/>
      <c r="KUM91" s="378"/>
      <c r="KUN91" s="378"/>
      <c r="KUO91" s="378"/>
      <c r="KUP91" s="378"/>
      <c r="KUQ91" s="378"/>
      <c r="KUR91" s="378"/>
      <c r="KUS91" s="378"/>
      <c r="KUT91" s="378"/>
      <c r="KUU91" s="378"/>
      <c r="KUV91" s="378"/>
      <c r="KUW91" s="378"/>
      <c r="KUX91" s="378"/>
      <c r="KUY91" s="378"/>
      <c r="KUZ91" s="378"/>
      <c r="KVA91" s="378"/>
      <c r="KVB91" s="378"/>
      <c r="KVC91" s="378"/>
      <c r="KVD91" s="378"/>
      <c r="KVE91" s="378"/>
      <c r="KVF91" s="378"/>
      <c r="KVG91" s="378"/>
      <c r="KVH91" s="378"/>
      <c r="KVI91" s="378"/>
      <c r="KVJ91" s="378"/>
      <c r="KVK91" s="378"/>
      <c r="KVL91" s="378"/>
      <c r="KVM91" s="378"/>
      <c r="KVN91" s="378"/>
      <c r="KVO91" s="378"/>
      <c r="KVP91" s="378"/>
      <c r="KVQ91" s="378"/>
      <c r="KVR91" s="378"/>
      <c r="KVS91" s="378"/>
      <c r="KVT91" s="378"/>
      <c r="KVU91" s="378"/>
      <c r="KVV91" s="378"/>
      <c r="KVW91" s="378"/>
      <c r="KVX91" s="378"/>
      <c r="KVY91" s="378"/>
      <c r="KVZ91" s="378"/>
      <c r="KWA91" s="378"/>
      <c r="KWB91" s="378"/>
      <c r="KWC91" s="378"/>
      <c r="KWD91" s="378"/>
      <c r="KWE91" s="378"/>
      <c r="KWF91" s="378"/>
      <c r="KWG91" s="378"/>
      <c r="KWH91" s="378"/>
      <c r="KWI91" s="378"/>
      <c r="KWJ91" s="378"/>
      <c r="KWK91" s="378"/>
      <c r="KWL91" s="378"/>
      <c r="KWM91" s="378"/>
      <c r="KWN91" s="378"/>
      <c r="KWO91" s="378"/>
      <c r="KWP91" s="378"/>
      <c r="KWQ91" s="378"/>
      <c r="KWR91" s="378"/>
      <c r="KWS91" s="378"/>
      <c r="KWT91" s="378"/>
      <c r="KWU91" s="378"/>
      <c r="KWV91" s="378"/>
      <c r="KWW91" s="378"/>
      <c r="KWX91" s="378"/>
      <c r="KWY91" s="378"/>
      <c r="KWZ91" s="378"/>
      <c r="KXA91" s="378"/>
      <c r="KXB91" s="378"/>
      <c r="KXC91" s="378"/>
      <c r="KXD91" s="378"/>
      <c r="KXE91" s="378"/>
      <c r="KXF91" s="378"/>
      <c r="KXG91" s="378"/>
      <c r="KXH91" s="378"/>
      <c r="KXI91" s="378"/>
      <c r="KXJ91" s="378"/>
      <c r="KXK91" s="378"/>
      <c r="KXL91" s="378"/>
      <c r="KXM91" s="378"/>
      <c r="KXN91" s="378"/>
      <c r="KXO91" s="378"/>
      <c r="KXP91" s="378"/>
      <c r="KXQ91" s="378"/>
      <c r="KXR91" s="378"/>
      <c r="KXS91" s="378"/>
      <c r="KXT91" s="378"/>
      <c r="KXU91" s="378"/>
      <c r="KXV91" s="378"/>
      <c r="KXW91" s="378"/>
      <c r="KXX91" s="378"/>
      <c r="KXY91" s="378"/>
      <c r="KXZ91" s="378"/>
      <c r="KYA91" s="378"/>
      <c r="KYB91" s="378"/>
      <c r="KYC91" s="378"/>
      <c r="KYD91" s="378"/>
      <c r="KYE91" s="378"/>
      <c r="KYF91" s="378"/>
      <c r="KYG91" s="378"/>
      <c r="KYH91" s="378"/>
      <c r="KYI91" s="378"/>
      <c r="KYJ91" s="378"/>
      <c r="KYK91" s="378"/>
      <c r="KYL91" s="378"/>
      <c r="KYM91" s="378"/>
      <c r="KYN91" s="378"/>
      <c r="KYO91" s="378"/>
      <c r="KYP91" s="378"/>
      <c r="KYQ91" s="378"/>
      <c r="KYR91" s="378"/>
      <c r="KYS91" s="378"/>
      <c r="KYT91" s="378"/>
      <c r="KYU91" s="378"/>
      <c r="KYV91" s="378"/>
      <c r="KYW91" s="378"/>
      <c r="KYX91" s="378"/>
      <c r="KYY91" s="378"/>
      <c r="KYZ91" s="378"/>
      <c r="KZA91" s="378"/>
      <c r="KZB91" s="378"/>
      <c r="KZC91" s="378"/>
      <c r="KZD91" s="378"/>
      <c r="KZE91" s="378"/>
      <c r="KZF91" s="378"/>
      <c r="KZG91" s="378"/>
      <c r="KZH91" s="378"/>
      <c r="KZI91" s="378"/>
      <c r="KZJ91" s="378"/>
      <c r="KZK91" s="378"/>
      <c r="KZL91" s="378"/>
      <c r="KZM91" s="378"/>
      <c r="KZN91" s="378"/>
      <c r="KZO91" s="378"/>
      <c r="KZP91" s="378"/>
      <c r="KZQ91" s="378"/>
      <c r="KZR91" s="378"/>
      <c r="KZS91" s="378"/>
      <c r="KZT91" s="378"/>
      <c r="KZU91" s="378"/>
      <c r="KZV91" s="378"/>
      <c r="KZW91" s="378"/>
      <c r="KZX91" s="378"/>
      <c r="KZY91" s="378"/>
      <c r="KZZ91" s="378"/>
      <c r="LAA91" s="378"/>
      <c r="LAB91" s="378"/>
      <c r="LAC91" s="378"/>
      <c r="LAD91" s="378"/>
      <c r="LAE91" s="378"/>
      <c r="LAF91" s="378"/>
      <c r="LAG91" s="378"/>
      <c r="LAH91" s="378"/>
      <c r="LAI91" s="378"/>
      <c r="LAJ91" s="378"/>
      <c r="LAK91" s="378"/>
      <c r="LAL91" s="378"/>
      <c r="LAM91" s="378"/>
      <c r="LAN91" s="378"/>
      <c r="LAO91" s="378"/>
      <c r="LAP91" s="378"/>
      <c r="LAQ91" s="378"/>
      <c r="LAR91" s="378"/>
      <c r="LAS91" s="378"/>
      <c r="LAT91" s="378"/>
      <c r="LAU91" s="378"/>
      <c r="LAV91" s="378"/>
      <c r="LAW91" s="378"/>
      <c r="LAX91" s="378"/>
      <c r="LAY91" s="378"/>
      <c r="LAZ91" s="378"/>
      <c r="LBA91" s="378"/>
      <c r="LBB91" s="378"/>
      <c r="LBC91" s="378"/>
      <c r="LBD91" s="378"/>
      <c r="LBE91" s="378"/>
      <c r="LBF91" s="378"/>
      <c r="LBG91" s="378"/>
      <c r="LBH91" s="378"/>
      <c r="LBI91" s="378"/>
      <c r="LBJ91" s="378"/>
      <c r="LBK91" s="378"/>
      <c r="LBL91" s="378"/>
      <c r="LBM91" s="378"/>
      <c r="LBN91" s="378"/>
      <c r="LBO91" s="378"/>
      <c r="LBP91" s="378"/>
      <c r="LBQ91" s="378"/>
      <c r="LBR91" s="378"/>
      <c r="LBS91" s="378"/>
      <c r="LBT91" s="378"/>
      <c r="LBU91" s="378"/>
      <c r="LBV91" s="378"/>
      <c r="LBW91" s="378"/>
      <c r="LBX91" s="378"/>
      <c r="LBY91" s="378"/>
      <c r="LBZ91" s="378"/>
      <c r="LCA91" s="378"/>
      <c r="LCB91" s="378"/>
      <c r="LCC91" s="378"/>
      <c r="LCD91" s="378"/>
      <c r="LCE91" s="378"/>
      <c r="LCF91" s="378"/>
      <c r="LCG91" s="378"/>
      <c r="LCH91" s="378"/>
      <c r="LCI91" s="378"/>
      <c r="LCJ91" s="378"/>
      <c r="LCK91" s="378"/>
      <c r="LCL91" s="378"/>
      <c r="LCM91" s="378"/>
      <c r="LCN91" s="378"/>
      <c r="LCO91" s="378"/>
      <c r="LCP91" s="378"/>
      <c r="LCQ91" s="378"/>
      <c r="LCR91" s="378"/>
      <c r="LCS91" s="378"/>
      <c r="LCT91" s="378"/>
      <c r="LCU91" s="378"/>
      <c r="LCV91" s="378"/>
      <c r="LCW91" s="378"/>
      <c r="LCX91" s="378"/>
      <c r="LCY91" s="378"/>
      <c r="LCZ91" s="378"/>
      <c r="LDA91" s="378"/>
      <c r="LDB91" s="378"/>
      <c r="LDC91" s="378"/>
      <c r="LDD91" s="378"/>
      <c r="LDE91" s="378"/>
      <c r="LDF91" s="378"/>
      <c r="LDG91" s="378"/>
      <c r="LDH91" s="378"/>
      <c r="LDI91" s="378"/>
      <c r="LDJ91" s="378"/>
      <c r="LDK91" s="378"/>
      <c r="LDL91" s="378"/>
      <c r="LDM91" s="378"/>
      <c r="LDN91" s="378"/>
      <c r="LDO91" s="378"/>
      <c r="LDP91" s="378"/>
      <c r="LDQ91" s="378"/>
      <c r="LDR91" s="378"/>
      <c r="LDS91" s="378"/>
      <c r="LDT91" s="378"/>
      <c r="LDU91" s="378"/>
      <c r="LDV91" s="378"/>
      <c r="LDW91" s="378"/>
      <c r="LDX91" s="378"/>
      <c r="LDY91" s="378"/>
      <c r="LDZ91" s="378"/>
      <c r="LEA91" s="378"/>
      <c r="LEB91" s="378"/>
      <c r="LEC91" s="378"/>
      <c r="LED91" s="378"/>
      <c r="LEE91" s="378"/>
      <c r="LEF91" s="378"/>
      <c r="LEG91" s="378"/>
      <c r="LEH91" s="378"/>
      <c r="LEI91" s="378"/>
      <c r="LEJ91" s="378"/>
      <c r="LEK91" s="378"/>
      <c r="LEL91" s="378"/>
      <c r="LEM91" s="378"/>
      <c r="LEN91" s="378"/>
      <c r="LEO91" s="378"/>
      <c r="LEP91" s="378"/>
      <c r="LEQ91" s="378"/>
      <c r="LER91" s="378"/>
      <c r="LES91" s="378"/>
      <c r="LET91" s="378"/>
      <c r="LEU91" s="378"/>
      <c r="LEV91" s="378"/>
      <c r="LEW91" s="378"/>
      <c r="LEX91" s="378"/>
      <c r="LEY91" s="378"/>
      <c r="LEZ91" s="378"/>
      <c r="LFA91" s="378"/>
      <c r="LFB91" s="378"/>
      <c r="LFC91" s="378"/>
      <c r="LFD91" s="378"/>
      <c r="LFE91" s="378"/>
      <c r="LFF91" s="378"/>
      <c r="LFG91" s="378"/>
      <c r="LFH91" s="378"/>
      <c r="LFI91" s="378"/>
      <c r="LFJ91" s="378"/>
      <c r="LFK91" s="378"/>
      <c r="LFL91" s="378"/>
      <c r="LFM91" s="378"/>
      <c r="LFN91" s="378"/>
      <c r="LFO91" s="378"/>
      <c r="LFP91" s="378"/>
      <c r="LFQ91" s="378"/>
      <c r="LFR91" s="378"/>
      <c r="LFS91" s="378"/>
      <c r="LFT91" s="378"/>
      <c r="LFU91" s="378"/>
      <c r="LFV91" s="378"/>
      <c r="LFW91" s="378"/>
      <c r="LFX91" s="378"/>
      <c r="LFY91" s="378"/>
      <c r="LFZ91" s="378"/>
      <c r="LGA91" s="378"/>
      <c r="LGB91" s="378"/>
      <c r="LGC91" s="378"/>
      <c r="LGD91" s="378"/>
      <c r="LGE91" s="378"/>
      <c r="LGF91" s="378"/>
      <c r="LGG91" s="378"/>
      <c r="LGH91" s="378"/>
      <c r="LGI91" s="378"/>
      <c r="LGJ91" s="378"/>
      <c r="LGK91" s="378"/>
      <c r="LGL91" s="378"/>
      <c r="LGM91" s="378"/>
      <c r="LGN91" s="378"/>
      <c r="LGO91" s="378"/>
      <c r="LGP91" s="378"/>
      <c r="LGQ91" s="378"/>
      <c r="LGR91" s="378"/>
      <c r="LGS91" s="378"/>
      <c r="LGT91" s="378"/>
      <c r="LGU91" s="378"/>
      <c r="LGV91" s="378"/>
      <c r="LGW91" s="378"/>
      <c r="LGX91" s="378"/>
      <c r="LGY91" s="378"/>
      <c r="LGZ91" s="378"/>
      <c r="LHA91" s="378"/>
      <c r="LHB91" s="378"/>
      <c r="LHC91" s="378"/>
      <c r="LHD91" s="378"/>
      <c r="LHE91" s="378"/>
      <c r="LHF91" s="378"/>
      <c r="LHG91" s="378"/>
      <c r="LHH91" s="378"/>
      <c r="LHI91" s="378"/>
      <c r="LHJ91" s="378"/>
      <c r="LHK91" s="378"/>
      <c r="LHL91" s="378"/>
      <c r="LHM91" s="378"/>
      <c r="LHN91" s="378"/>
      <c r="LHO91" s="378"/>
      <c r="LHP91" s="378"/>
      <c r="LHQ91" s="378"/>
      <c r="LHR91" s="378"/>
      <c r="LHS91" s="378"/>
      <c r="LHT91" s="378"/>
      <c r="LHU91" s="378"/>
      <c r="LHV91" s="378"/>
      <c r="LHW91" s="378"/>
      <c r="LHX91" s="378"/>
      <c r="LHY91" s="378"/>
      <c r="LHZ91" s="378"/>
      <c r="LIA91" s="378"/>
      <c r="LIB91" s="378"/>
      <c r="LIC91" s="378"/>
      <c r="LID91" s="378"/>
      <c r="LIE91" s="378"/>
      <c r="LIF91" s="378"/>
      <c r="LIG91" s="378"/>
      <c r="LIH91" s="378"/>
      <c r="LII91" s="378"/>
      <c r="LIJ91" s="378"/>
      <c r="LIK91" s="378"/>
      <c r="LIL91" s="378"/>
      <c r="LIM91" s="378"/>
      <c r="LIN91" s="378"/>
      <c r="LIO91" s="378"/>
      <c r="LIP91" s="378"/>
      <c r="LIQ91" s="378"/>
      <c r="LIR91" s="378"/>
      <c r="LIS91" s="378"/>
      <c r="LIT91" s="378"/>
      <c r="LIU91" s="378"/>
      <c r="LIV91" s="378"/>
      <c r="LIW91" s="378"/>
      <c r="LIX91" s="378"/>
      <c r="LIY91" s="378"/>
      <c r="LIZ91" s="378"/>
      <c r="LJA91" s="378"/>
      <c r="LJB91" s="378"/>
      <c r="LJC91" s="378"/>
      <c r="LJD91" s="378"/>
      <c r="LJE91" s="378"/>
      <c r="LJF91" s="378"/>
      <c r="LJG91" s="378"/>
      <c r="LJH91" s="378"/>
      <c r="LJI91" s="378"/>
      <c r="LJJ91" s="378"/>
      <c r="LJK91" s="378"/>
      <c r="LJL91" s="378"/>
      <c r="LJM91" s="378"/>
      <c r="LJN91" s="378"/>
      <c r="LJO91" s="378"/>
      <c r="LJP91" s="378"/>
      <c r="LJQ91" s="378"/>
      <c r="LJR91" s="378"/>
      <c r="LJS91" s="378"/>
      <c r="LJT91" s="378"/>
      <c r="LJU91" s="378"/>
      <c r="LJV91" s="378"/>
      <c r="LJW91" s="378"/>
      <c r="LJX91" s="378"/>
      <c r="LJY91" s="378"/>
      <c r="LJZ91" s="378"/>
      <c r="LKA91" s="378"/>
      <c r="LKB91" s="378"/>
      <c r="LKC91" s="378"/>
      <c r="LKD91" s="378"/>
      <c r="LKE91" s="378"/>
      <c r="LKF91" s="378"/>
      <c r="LKG91" s="378"/>
      <c r="LKH91" s="378"/>
      <c r="LKI91" s="378"/>
      <c r="LKJ91" s="378"/>
      <c r="LKK91" s="378"/>
      <c r="LKL91" s="378"/>
      <c r="LKM91" s="378"/>
      <c r="LKN91" s="378"/>
      <c r="LKO91" s="378"/>
      <c r="LKP91" s="378"/>
      <c r="LKQ91" s="378"/>
      <c r="LKR91" s="378"/>
      <c r="LKS91" s="378"/>
      <c r="LKT91" s="378"/>
      <c r="LKU91" s="378"/>
      <c r="LKV91" s="378"/>
      <c r="LKW91" s="378"/>
      <c r="LKX91" s="378"/>
      <c r="LKY91" s="378"/>
      <c r="LKZ91" s="378"/>
      <c r="LLA91" s="378"/>
      <c r="LLB91" s="378"/>
      <c r="LLC91" s="378"/>
      <c r="LLD91" s="378"/>
      <c r="LLE91" s="378"/>
      <c r="LLF91" s="378"/>
      <c r="LLG91" s="378"/>
      <c r="LLH91" s="378"/>
      <c r="LLI91" s="378"/>
      <c r="LLJ91" s="378"/>
      <c r="LLK91" s="378"/>
      <c r="LLL91" s="378"/>
      <c r="LLM91" s="378"/>
      <c r="LLN91" s="378"/>
      <c r="LLO91" s="378"/>
      <c r="LLP91" s="378"/>
      <c r="LLQ91" s="378"/>
      <c r="LLR91" s="378"/>
      <c r="LLS91" s="378"/>
      <c r="LLT91" s="378"/>
      <c r="LLU91" s="378"/>
      <c r="LLV91" s="378"/>
      <c r="LLW91" s="378"/>
      <c r="LLX91" s="378"/>
      <c r="LLY91" s="378"/>
      <c r="LLZ91" s="378"/>
      <c r="LMA91" s="378"/>
      <c r="LMB91" s="378"/>
      <c r="LMC91" s="378"/>
      <c r="LMD91" s="378"/>
      <c r="LME91" s="378"/>
      <c r="LMF91" s="378"/>
      <c r="LMG91" s="378"/>
      <c r="LMH91" s="378"/>
      <c r="LMI91" s="378"/>
      <c r="LMJ91" s="378"/>
      <c r="LMK91" s="378"/>
      <c r="LML91" s="378"/>
      <c r="LMM91" s="378"/>
      <c r="LMN91" s="378"/>
      <c r="LMO91" s="378"/>
      <c r="LMP91" s="378"/>
      <c r="LMQ91" s="378"/>
      <c r="LMR91" s="378"/>
      <c r="LMS91" s="378"/>
      <c r="LMT91" s="378"/>
      <c r="LMU91" s="378"/>
      <c r="LMV91" s="378"/>
      <c r="LMW91" s="378"/>
      <c r="LMX91" s="378"/>
      <c r="LMY91" s="378"/>
      <c r="LMZ91" s="378"/>
      <c r="LNA91" s="378"/>
      <c r="LNB91" s="378"/>
      <c r="LNC91" s="378"/>
      <c r="LND91" s="378"/>
      <c r="LNE91" s="378"/>
      <c r="LNF91" s="378"/>
      <c r="LNG91" s="378"/>
      <c r="LNH91" s="378"/>
      <c r="LNI91" s="378"/>
      <c r="LNJ91" s="378"/>
      <c r="LNK91" s="378"/>
      <c r="LNL91" s="378"/>
      <c r="LNM91" s="378"/>
      <c r="LNN91" s="378"/>
      <c r="LNO91" s="378"/>
      <c r="LNP91" s="378"/>
      <c r="LNQ91" s="378"/>
      <c r="LNR91" s="378"/>
      <c r="LNS91" s="378"/>
      <c r="LNT91" s="378"/>
      <c r="LNU91" s="378"/>
      <c r="LNV91" s="378"/>
      <c r="LNW91" s="378"/>
      <c r="LNX91" s="378"/>
      <c r="LNY91" s="378"/>
      <c r="LNZ91" s="378"/>
      <c r="LOA91" s="378"/>
      <c r="LOB91" s="378"/>
      <c r="LOC91" s="378"/>
      <c r="LOD91" s="378"/>
      <c r="LOE91" s="378"/>
      <c r="LOF91" s="378"/>
      <c r="LOG91" s="378"/>
      <c r="LOH91" s="378"/>
      <c r="LOI91" s="378"/>
      <c r="LOJ91" s="378"/>
      <c r="LOK91" s="378"/>
      <c r="LOL91" s="378"/>
      <c r="LOM91" s="378"/>
      <c r="LON91" s="378"/>
      <c r="LOO91" s="378"/>
      <c r="LOP91" s="378"/>
      <c r="LOQ91" s="378"/>
      <c r="LOR91" s="378"/>
      <c r="LOS91" s="378"/>
      <c r="LOT91" s="378"/>
      <c r="LOU91" s="378"/>
      <c r="LOV91" s="378"/>
      <c r="LOW91" s="378"/>
      <c r="LOX91" s="378"/>
      <c r="LOY91" s="378"/>
      <c r="LOZ91" s="378"/>
      <c r="LPA91" s="378"/>
      <c r="LPB91" s="378"/>
      <c r="LPC91" s="378"/>
      <c r="LPD91" s="378"/>
      <c r="LPE91" s="378"/>
      <c r="LPF91" s="378"/>
      <c r="LPG91" s="378"/>
      <c r="LPH91" s="378"/>
      <c r="LPI91" s="378"/>
      <c r="LPJ91" s="378"/>
      <c r="LPK91" s="378"/>
      <c r="LPL91" s="378"/>
      <c r="LPM91" s="378"/>
      <c r="LPN91" s="378"/>
      <c r="LPO91" s="378"/>
      <c r="LPP91" s="378"/>
      <c r="LPQ91" s="378"/>
      <c r="LPR91" s="378"/>
      <c r="LPS91" s="378"/>
      <c r="LPT91" s="378"/>
      <c r="LPU91" s="378"/>
      <c r="LPV91" s="378"/>
      <c r="LPW91" s="378"/>
      <c r="LPX91" s="378"/>
      <c r="LPY91" s="378"/>
      <c r="LPZ91" s="378"/>
      <c r="LQA91" s="378"/>
      <c r="LQB91" s="378"/>
      <c r="LQC91" s="378"/>
      <c r="LQD91" s="378"/>
      <c r="LQE91" s="378"/>
      <c r="LQF91" s="378"/>
      <c r="LQG91" s="378"/>
      <c r="LQH91" s="378"/>
      <c r="LQI91" s="378"/>
      <c r="LQJ91" s="378"/>
      <c r="LQK91" s="378"/>
      <c r="LQL91" s="378"/>
      <c r="LQM91" s="378"/>
      <c r="LQN91" s="378"/>
      <c r="LQO91" s="378"/>
      <c r="LQP91" s="378"/>
      <c r="LQQ91" s="378"/>
      <c r="LQR91" s="378"/>
      <c r="LQS91" s="378"/>
      <c r="LQT91" s="378"/>
      <c r="LQU91" s="378"/>
      <c r="LQV91" s="378"/>
      <c r="LQW91" s="378"/>
      <c r="LQX91" s="378"/>
      <c r="LQY91" s="378"/>
      <c r="LQZ91" s="378"/>
      <c r="LRA91" s="378"/>
      <c r="LRB91" s="378"/>
      <c r="LRC91" s="378"/>
      <c r="LRD91" s="378"/>
      <c r="LRE91" s="378"/>
      <c r="LRF91" s="378"/>
      <c r="LRG91" s="378"/>
      <c r="LRH91" s="378"/>
      <c r="LRI91" s="378"/>
      <c r="LRJ91" s="378"/>
      <c r="LRK91" s="378"/>
      <c r="LRL91" s="378"/>
      <c r="LRM91" s="378"/>
      <c r="LRN91" s="378"/>
      <c r="LRO91" s="378"/>
      <c r="LRP91" s="378"/>
      <c r="LRQ91" s="378"/>
      <c r="LRR91" s="378"/>
      <c r="LRS91" s="378"/>
      <c r="LRT91" s="378"/>
      <c r="LRU91" s="378"/>
      <c r="LRV91" s="378"/>
      <c r="LRW91" s="378"/>
      <c r="LRX91" s="378"/>
      <c r="LRY91" s="378"/>
      <c r="LRZ91" s="378"/>
      <c r="LSA91" s="378"/>
      <c r="LSB91" s="378"/>
      <c r="LSC91" s="378"/>
      <c r="LSD91" s="378"/>
      <c r="LSE91" s="378"/>
      <c r="LSF91" s="378"/>
      <c r="LSG91" s="378"/>
      <c r="LSH91" s="378"/>
      <c r="LSI91" s="378"/>
      <c r="LSJ91" s="378"/>
      <c r="LSK91" s="378"/>
      <c r="LSL91" s="378"/>
      <c r="LSM91" s="378"/>
      <c r="LSN91" s="378"/>
      <c r="LSO91" s="378"/>
      <c r="LSP91" s="378"/>
      <c r="LSQ91" s="378"/>
      <c r="LSR91" s="378"/>
      <c r="LSS91" s="378"/>
      <c r="LST91" s="378"/>
      <c r="LSU91" s="378"/>
      <c r="LSV91" s="378"/>
      <c r="LSW91" s="378"/>
      <c r="LSX91" s="378"/>
      <c r="LSY91" s="378"/>
      <c r="LSZ91" s="378"/>
      <c r="LTA91" s="378"/>
      <c r="LTB91" s="378"/>
      <c r="LTC91" s="378"/>
      <c r="LTD91" s="378"/>
      <c r="LTE91" s="378"/>
      <c r="LTF91" s="378"/>
      <c r="LTG91" s="378"/>
      <c r="LTH91" s="378"/>
      <c r="LTI91" s="378"/>
      <c r="LTJ91" s="378"/>
      <c r="LTK91" s="378"/>
      <c r="LTL91" s="378"/>
      <c r="LTM91" s="378"/>
      <c r="LTN91" s="378"/>
      <c r="LTO91" s="378"/>
      <c r="LTP91" s="378"/>
      <c r="LTQ91" s="378"/>
      <c r="LTR91" s="378"/>
      <c r="LTS91" s="378"/>
      <c r="LTT91" s="378"/>
      <c r="LTU91" s="378"/>
      <c r="LTV91" s="378"/>
      <c r="LTW91" s="378"/>
      <c r="LTX91" s="378"/>
      <c r="LTY91" s="378"/>
      <c r="LTZ91" s="378"/>
      <c r="LUA91" s="378"/>
      <c r="LUB91" s="378"/>
      <c r="LUC91" s="378"/>
      <c r="LUD91" s="378"/>
      <c r="LUE91" s="378"/>
      <c r="LUF91" s="378"/>
      <c r="LUG91" s="378"/>
      <c r="LUH91" s="378"/>
      <c r="LUI91" s="378"/>
      <c r="LUJ91" s="378"/>
      <c r="LUK91" s="378"/>
      <c r="LUL91" s="378"/>
      <c r="LUM91" s="378"/>
      <c r="LUN91" s="378"/>
      <c r="LUO91" s="378"/>
      <c r="LUP91" s="378"/>
      <c r="LUQ91" s="378"/>
      <c r="LUR91" s="378"/>
      <c r="LUS91" s="378"/>
      <c r="LUT91" s="378"/>
      <c r="LUU91" s="378"/>
      <c r="LUV91" s="378"/>
      <c r="LUW91" s="378"/>
      <c r="LUX91" s="378"/>
      <c r="LUY91" s="378"/>
      <c r="LUZ91" s="378"/>
      <c r="LVA91" s="378"/>
      <c r="LVB91" s="378"/>
      <c r="LVC91" s="378"/>
      <c r="LVD91" s="378"/>
      <c r="LVE91" s="378"/>
      <c r="LVF91" s="378"/>
      <c r="LVG91" s="378"/>
      <c r="LVH91" s="378"/>
      <c r="LVI91" s="378"/>
      <c r="LVJ91" s="378"/>
      <c r="LVK91" s="378"/>
      <c r="LVL91" s="378"/>
      <c r="LVM91" s="378"/>
      <c r="LVN91" s="378"/>
      <c r="LVO91" s="378"/>
      <c r="LVP91" s="378"/>
      <c r="LVQ91" s="378"/>
      <c r="LVR91" s="378"/>
      <c r="LVS91" s="378"/>
      <c r="LVT91" s="378"/>
      <c r="LVU91" s="378"/>
      <c r="LVV91" s="378"/>
      <c r="LVW91" s="378"/>
      <c r="LVX91" s="378"/>
      <c r="LVY91" s="378"/>
      <c r="LVZ91" s="378"/>
      <c r="LWA91" s="378"/>
      <c r="LWB91" s="378"/>
      <c r="LWC91" s="378"/>
      <c r="LWD91" s="378"/>
      <c r="LWE91" s="378"/>
      <c r="LWF91" s="378"/>
      <c r="LWG91" s="378"/>
      <c r="LWH91" s="378"/>
      <c r="LWI91" s="378"/>
      <c r="LWJ91" s="378"/>
      <c r="LWK91" s="378"/>
      <c r="LWL91" s="378"/>
      <c r="LWM91" s="378"/>
      <c r="LWN91" s="378"/>
      <c r="LWO91" s="378"/>
      <c r="LWP91" s="378"/>
      <c r="LWQ91" s="378"/>
      <c r="LWR91" s="378"/>
      <c r="LWS91" s="378"/>
      <c r="LWT91" s="378"/>
      <c r="LWU91" s="378"/>
      <c r="LWV91" s="378"/>
      <c r="LWW91" s="378"/>
      <c r="LWX91" s="378"/>
      <c r="LWY91" s="378"/>
      <c r="LWZ91" s="378"/>
      <c r="LXA91" s="378"/>
      <c r="LXB91" s="378"/>
      <c r="LXC91" s="378"/>
      <c r="LXD91" s="378"/>
      <c r="LXE91" s="378"/>
      <c r="LXF91" s="378"/>
      <c r="LXG91" s="378"/>
      <c r="LXH91" s="378"/>
      <c r="LXI91" s="378"/>
      <c r="LXJ91" s="378"/>
      <c r="LXK91" s="378"/>
      <c r="LXL91" s="378"/>
      <c r="LXM91" s="378"/>
      <c r="LXN91" s="378"/>
      <c r="LXO91" s="378"/>
      <c r="LXP91" s="378"/>
      <c r="LXQ91" s="378"/>
      <c r="LXR91" s="378"/>
      <c r="LXS91" s="378"/>
      <c r="LXT91" s="378"/>
      <c r="LXU91" s="378"/>
      <c r="LXV91" s="378"/>
      <c r="LXW91" s="378"/>
      <c r="LXX91" s="378"/>
      <c r="LXY91" s="378"/>
      <c r="LXZ91" s="378"/>
      <c r="LYA91" s="378"/>
      <c r="LYB91" s="378"/>
      <c r="LYC91" s="378"/>
      <c r="LYD91" s="378"/>
      <c r="LYE91" s="378"/>
      <c r="LYF91" s="378"/>
      <c r="LYG91" s="378"/>
      <c r="LYH91" s="378"/>
      <c r="LYI91" s="378"/>
      <c r="LYJ91" s="378"/>
      <c r="LYK91" s="378"/>
      <c r="LYL91" s="378"/>
      <c r="LYM91" s="378"/>
      <c r="LYN91" s="378"/>
      <c r="LYO91" s="378"/>
      <c r="LYP91" s="378"/>
      <c r="LYQ91" s="378"/>
      <c r="LYR91" s="378"/>
      <c r="LYS91" s="378"/>
      <c r="LYT91" s="378"/>
      <c r="LYU91" s="378"/>
      <c r="LYV91" s="378"/>
      <c r="LYW91" s="378"/>
      <c r="LYX91" s="378"/>
      <c r="LYY91" s="378"/>
      <c r="LYZ91" s="378"/>
      <c r="LZA91" s="378"/>
      <c r="LZB91" s="378"/>
      <c r="LZC91" s="378"/>
      <c r="LZD91" s="378"/>
      <c r="LZE91" s="378"/>
      <c r="LZF91" s="378"/>
      <c r="LZG91" s="378"/>
      <c r="LZH91" s="378"/>
      <c r="LZI91" s="378"/>
      <c r="LZJ91" s="378"/>
      <c r="LZK91" s="378"/>
      <c r="LZL91" s="378"/>
      <c r="LZM91" s="378"/>
      <c r="LZN91" s="378"/>
      <c r="LZO91" s="378"/>
      <c r="LZP91" s="378"/>
      <c r="LZQ91" s="378"/>
      <c r="LZR91" s="378"/>
      <c r="LZS91" s="378"/>
      <c r="LZT91" s="378"/>
      <c r="LZU91" s="378"/>
      <c r="LZV91" s="378"/>
      <c r="LZW91" s="378"/>
      <c r="LZX91" s="378"/>
      <c r="LZY91" s="378"/>
      <c r="LZZ91" s="378"/>
      <c r="MAA91" s="378"/>
      <c r="MAB91" s="378"/>
      <c r="MAC91" s="378"/>
      <c r="MAD91" s="378"/>
      <c r="MAE91" s="378"/>
      <c r="MAF91" s="378"/>
      <c r="MAG91" s="378"/>
      <c r="MAH91" s="378"/>
      <c r="MAI91" s="378"/>
      <c r="MAJ91" s="378"/>
      <c r="MAK91" s="378"/>
      <c r="MAL91" s="378"/>
      <c r="MAM91" s="378"/>
      <c r="MAN91" s="378"/>
      <c r="MAO91" s="378"/>
      <c r="MAP91" s="378"/>
      <c r="MAQ91" s="378"/>
      <c r="MAR91" s="378"/>
      <c r="MAS91" s="378"/>
      <c r="MAT91" s="378"/>
      <c r="MAU91" s="378"/>
      <c r="MAV91" s="378"/>
      <c r="MAW91" s="378"/>
      <c r="MAX91" s="378"/>
      <c r="MAY91" s="378"/>
      <c r="MAZ91" s="378"/>
      <c r="MBA91" s="378"/>
      <c r="MBB91" s="378"/>
      <c r="MBC91" s="378"/>
      <c r="MBD91" s="378"/>
      <c r="MBE91" s="378"/>
      <c r="MBF91" s="378"/>
      <c r="MBG91" s="378"/>
      <c r="MBH91" s="378"/>
      <c r="MBI91" s="378"/>
      <c r="MBJ91" s="378"/>
      <c r="MBK91" s="378"/>
      <c r="MBL91" s="378"/>
      <c r="MBM91" s="378"/>
      <c r="MBN91" s="378"/>
      <c r="MBO91" s="378"/>
      <c r="MBP91" s="378"/>
      <c r="MBQ91" s="378"/>
      <c r="MBR91" s="378"/>
      <c r="MBS91" s="378"/>
      <c r="MBT91" s="378"/>
      <c r="MBU91" s="378"/>
      <c r="MBV91" s="378"/>
      <c r="MBW91" s="378"/>
      <c r="MBX91" s="378"/>
      <c r="MBY91" s="378"/>
      <c r="MBZ91" s="378"/>
      <c r="MCA91" s="378"/>
      <c r="MCB91" s="378"/>
      <c r="MCC91" s="378"/>
      <c r="MCD91" s="378"/>
      <c r="MCE91" s="378"/>
      <c r="MCF91" s="378"/>
      <c r="MCG91" s="378"/>
      <c r="MCH91" s="378"/>
      <c r="MCI91" s="378"/>
      <c r="MCJ91" s="378"/>
      <c r="MCK91" s="378"/>
      <c r="MCL91" s="378"/>
      <c r="MCM91" s="378"/>
      <c r="MCN91" s="378"/>
      <c r="MCO91" s="378"/>
      <c r="MCP91" s="378"/>
      <c r="MCQ91" s="378"/>
      <c r="MCR91" s="378"/>
      <c r="MCS91" s="378"/>
      <c r="MCT91" s="378"/>
      <c r="MCU91" s="378"/>
      <c r="MCV91" s="378"/>
      <c r="MCW91" s="378"/>
      <c r="MCX91" s="378"/>
      <c r="MCY91" s="378"/>
      <c r="MCZ91" s="378"/>
      <c r="MDA91" s="378"/>
      <c r="MDB91" s="378"/>
      <c r="MDC91" s="378"/>
      <c r="MDD91" s="378"/>
      <c r="MDE91" s="378"/>
      <c r="MDF91" s="378"/>
      <c r="MDG91" s="378"/>
      <c r="MDH91" s="378"/>
      <c r="MDI91" s="378"/>
      <c r="MDJ91" s="378"/>
      <c r="MDK91" s="378"/>
      <c r="MDL91" s="378"/>
      <c r="MDM91" s="378"/>
      <c r="MDN91" s="378"/>
      <c r="MDO91" s="378"/>
      <c r="MDP91" s="378"/>
      <c r="MDQ91" s="378"/>
      <c r="MDR91" s="378"/>
      <c r="MDS91" s="378"/>
      <c r="MDT91" s="378"/>
      <c r="MDU91" s="378"/>
      <c r="MDV91" s="378"/>
      <c r="MDW91" s="378"/>
      <c r="MDX91" s="378"/>
      <c r="MDY91" s="378"/>
      <c r="MDZ91" s="378"/>
      <c r="MEA91" s="378"/>
      <c r="MEB91" s="378"/>
      <c r="MEC91" s="378"/>
      <c r="MED91" s="378"/>
      <c r="MEE91" s="378"/>
      <c r="MEF91" s="378"/>
      <c r="MEG91" s="378"/>
      <c r="MEH91" s="378"/>
      <c r="MEI91" s="378"/>
      <c r="MEJ91" s="378"/>
      <c r="MEK91" s="378"/>
      <c r="MEL91" s="378"/>
      <c r="MEM91" s="378"/>
      <c r="MEN91" s="378"/>
      <c r="MEO91" s="378"/>
      <c r="MEP91" s="378"/>
      <c r="MEQ91" s="378"/>
      <c r="MER91" s="378"/>
      <c r="MES91" s="378"/>
      <c r="MET91" s="378"/>
      <c r="MEU91" s="378"/>
      <c r="MEV91" s="378"/>
      <c r="MEW91" s="378"/>
      <c r="MEX91" s="378"/>
      <c r="MEY91" s="378"/>
      <c r="MEZ91" s="378"/>
      <c r="MFA91" s="378"/>
      <c r="MFB91" s="378"/>
      <c r="MFC91" s="378"/>
      <c r="MFD91" s="378"/>
      <c r="MFE91" s="378"/>
      <c r="MFF91" s="378"/>
      <c r="MFG91" s="378"/>
      <c r="MFH91" s="378"/>
      <c r="MFI91" s="378"/>
      <c r="MFJ91" s="378"/>
      <c r="MFK91" s="378"/>
      <c r="MFL91" s="378"/>
      <c r="MFM91" s="378"/>
      <c r="MFN91" s="378"/>
      <c r="MFO91" s="378"/>
      <c r="MFP91" s="378"/>
      <c r="MFQ91" s="378"/>
      <c r="MFR91" s="378"/>
      <c r="MFS91" s="378"/>
      <c r="MFT91" s="378"/>
      <c r="MFU91" s="378"/>
      <c r="MFV91" s="378"/>
      <c r="MFW91" s="378"/>
      <c r="MFX91" s="378"/>
      <c r="MFY91" s="378"/>
      <c r="MFZ91" s="378"/>
      <c r="MGA91" s="378"/>
      <c r="MGB91" s="378"/>
      <c r="MGC91" s="378"/>
      <c r="MGD91" s="378"/>
      <c r="MGE91" s="378"/>
      <c r="MGF91" s="378"/>
      <c r="MGG91" s="378"/>
      <c r="MGH91" s="378"/>
      <c r="MGI91" s="378"/>
      <c r="MGJ91" s="378"/>
      <c r="MGK91" s="378"/>
      <c r="MGL91" s="378"/>
      <c r="MGM91" s="378"/>
      <c r="MGN91" s="378"/>
      <c r="MGO91" s="378"/>
      <c r="MGP91" s="378"/>
      <c r="MGQ91" s="378"/>
      <c r="MGR91" s="378"/>
      <c r="MGS91" s="378"/>
      <c r="MGT91" s="378"/>
      <c r="MGU91" s="378"/>
      <c r="MGV91" s="378"/>
      <c r="MGW91" s="378"/>
      <c r="MGX91" s="378"/>
      <c r="MGY91" s="378"/>
      <c r="MGZ91" s="378"/>
      <c r="MHA91" s="378"/>
      <c r="MHB91" s="378"/>
      <c r="MHC91" s="378"/>
      <c r="MHD91" s="378"/>
      <c r="MHE91" s="378"/>
      <c r="MHF91" s="378"/>
      <c r="MHG91" s="378"/>
      <c r="MHH91" s="378"/>
      <c r="MHI91" s="378"/>
      <c r="MHJ91" s="378"/>
      <c r="MHK91" s="378"/>
      <c r="MHL91" s="378"/>
      <c r="MHM91" s="378"/>
      <c r="MHN91" s="378"/>
      <c r="MHO91" s="378"/>
      <c r="MHP91" s="378"/>
      <c r="MHQ91" s="378"/>
      <c r="MHR91" s="378"/>
      <c r="MHS91" s="378"/>
      <c r="MHT91" s="378"/>
      <c r="MHU91" s="378"/>
      <c r="MHV91" s="378"/>
      <c r="MHW91" s="378"/>
      <c r="MHX91" s="378"/>
      <c r="MHY91" s="378"/>
      <c r="MHZ91" s="378"/>
      <c r="MIA91" s="378"/>
      <c r="MIB91" s="378"/>
      <c r="MIC91" s="378"/>
      <c r="MID91" s="378"/>
      <c r="MIE91" s="378"/>
      <c r="MIF91" s="378"/>
      <c r="MIG91" s="378"/>
      <c r="MIH91" s="378"/>
      <c r="MII91" s="378"/>
      <c r="MIJ91" s="378"/>
      <c r="MIK91" s="378"/>
      <c r="MIL91" s="378"/>
      <c r="MIM91" s="378"/>
      <c r="MIN91" s="378"/>
      <c r="MIO91" s="378"/>
      <c r="MIP91" s="378"/>
      <c r="MIQ91" s="378"/>
      <c r="MIR91" s="378"/>
      <c r="MIS91" s="378"/>
      <c r="MIT91" s="378"/>
      <c r="MIU91" s="378"/>
      <c r="MIV91" s="378"/>
      <c r="MIW91" s="378"/>
      <c r="MIX91" s="378"/>
      <c r="MIY91" s="378"/>
      <c r="MIZ91" s="378"/>
      <c r="MJA91" s="378"/>
      <c r="MJB91" s="378"/>
      <c r="MJC91" s="378"/>
      <c r="MJD91" s="378"/>
      <c r="MJE91" s="378"/>
      <c r="MJF91" s="378"/>
      <c r="MJG91" s="378"/>
      <c r="MJH91" s="378"/>
      <c r="MJI91" s="378"/>
      <c r="MJJ91" s="378"/>
      <c r="MJK91" s="378"/>
      <c r="MJL91" s="378"/>
      <c r="MJM91" s="378"/>
      <c r="MJN91" s="378"/>
      <c r="MJO91" s="378"/>
      <c r="MJP91" s="378"/>
      <c r="MJQ91" s="378"/>
      <c r="MJR91" s="378"/>
      <c r="MJS91" s="378"/>
      <c r="MJT91" s="378"/>
      <c r="MJU91" s="378"/>
      <c r="MJV91" s="378"/>
      <c r="MJW91" s="378"/>
      <c r="MJX91" s="378"/>
      <c r="MJY91" s="378"/>
      <c r="MJZ91" s="378"/>
      <c r="MKA91" s="378"/>
      <c r="MKB91" s="378"/>
      <c r="MKC91" s="378"/>
      <c r="MKD91" s="378"/>
      <c r="MKE91" s="378"/>
      <c r="MKF91" s="378"/>
      <c r="MKG91" s="378"/>
      <c r="MKH91" s="378"/>
      <c r="MKI91" s="378"/>
      <c r="MKJ91" s="378"/>
      <c r="MKK91" s="378"/>
      <c r="MKL91" s="378"/>
      <c r="MKM91" s="378"/>
      <c r="MKN91" s="378"/>
      <c r="MKO91" s="378"/>
      <c r="MKP91" s="378"/>
      <c r="MKQ91" s="378"/>
      <c r="MKR91" s="378"/>
      <c r="MKS91" s="378"/>
      <c r="MKT91" s="378"/>
      <c r="MKU91" s="378"/>
      <c r="MKV91" s="378"/>
      <c r="MKW91" s="378"/>
      <c r="MKX91" s="378"/>
      <c r="MKY91" s="378"/>
      <c r="MKZ91" s="378"/>
      <c r="MLA91" s="378"/>
      <c r="MLB91" s="378"/>
      <c r="MLC91" s="378"/>
      <c r="MLD91" s="378"/>
      <c r="MLE91" s="378"/>
      <c r="MLF91" s="378"/>
      <c r="MLG91" s="378"/>
      <c r="MLH91" s="378"/>
      <c r="MLI91" s="378"/>
      <c r="MLJ91" s="378"/>
      <c r="MLK91" s="378"/>
      <c r="MLL91" s="378"/>
      <c r="MLM91" s="378"/>
      <c r="MLN91" s="378"/>
      <c r="MLO91" s="378"/>
      <c r="MLP91" s="378"/>
      <c r="MLQ91" s="378"/>
      <c r="MLR91" s="378"/>
      <c r="MLS91" s="378"/>
      <c r="MLT91" s="378"/>
      <c r="MLU91" s="378"/>
      <c r="MLV91" s="378"/>
      <c r="MLW91" s="378"/>
      <c r="MLX91" s="378"/>
      <c r="MLY91" s="378"/>
      <c r="MLZ91" s="378"/>
      <c r="MMA91" s="378"/>
      <c r="MMB91" s="378"/>
      <c r="MMC91" s="378"/>
      <c r="MMD91" s="378"/>
      <c r="MME91" s="378"/>
      <c r="MMF91" s="378"/>
      <c r="MMG91" s="378"/>
      <c r="MMH91" s="378"/>
      <c r="MMI91" s="378"/>
      <c r="MMJ91" s="378"/>
      <c r="MMK91" s="378"/>
      <c r="MML91" s="378"/>
      <c r="MMM91" s="378"/>
      <c r="MMN91" s="378"/>
      <c r="MMO91" s="378"/>
      <c r="MMP91" s="378"/>
      <c r="MMQ91" s="378"/>
      <c r="MMR91" s="378"/>
      <c r="MMS91" s="378"/>
      <c r="MMT91" s="378"/>
      <c r="MMU91" s="378"/>
      <c r="MMV91" s="378"/>
      <c r="MMW91" s="378"/>
      <c r="MMX91" s="378"/>
      <c r="MMY91" s="378"/>
      <c r="MMZ91" s="378"/>
      <c r="MNA91" s="378"/>
      <c r="MNB91" s="378"/>
      <c r="MNC91" s="378"/>
      <c r="MND91" s="378"/>
      <c r="MNE91" s="378"/>
      <c r="MNF91" s="378"/>
      <c r="MNG91" s="378"/>
      <c r="MNH91" s="378"/>
      <c r="MNI91" s="378"/>
      <c r="MNJ91" s="378"/>
      <c r="MNK91" s="378"/>
      <c r="MNL91" s="378"/>
      <c r="MNM91" s="378"/>
      <c r="MNN91" s="378"/>
      <c r="MNO91" s="378"/>
      <c r="MNP91" s="378"/>
      <c r="MNQ91" s="378"/>
      <c r="MNR91" s="378"/>
      <c r="MNS91" s="378"/>
      <c r="MNT91" s="378"/>
      <c r="MNU91" s="378"/>
      <c r="MNV91" s="378"/>
      <c r="MNW91" s="378"/>
      <c r="MNX91" s="378"/>
      <c r="MNY91" s="378"/>
      <c r="MNZ91" s="378"/>
      <c r="MOA91" s="378"/>
      <c r="MOB91" s="378"/>
      <c r="MOC91" s="378"/>
      <c r="MOD91" s="378"/>
      <c r="MOE91" s="378"/>
      <c r="MOF91" s="378"/>
      <c r="MOG91" s="378"/>
      <c r="MOH91" s="378"/>
      <c r="MOI91" s="378"/>
      <c r="MOJ91" s="378"/>
      <c r="MOK91" s="378"/>
      <c r="MOL91" s="378"/>
      <c r="MOM91" s="378"/>
      <c r="MON91" s="378"/>
      <c r="MOO91" s="378"/>
      <c r="MOP91" s="378"/>
      <c r="MOQ91" s="378"/>
      <c r="MOR91" s="378"/>
      <c r="MOS91" s="378"/>
      <c r="MOT91" s="378"/>
      <c r="MOU91" s="378"/>
      <c r="MOV91" s="378"/>
      <c r="MOW91" s="378"/>
      <c r="MOX91" s="378"/>
      <c r="MOY91" s="378"/>
      <c r="MOZ91" s="378"/>
      <c r="MPA91" s="378"/>
      <c r="MPB91" s="378"/>
      <c r="MPC91" s="378"/>
      <c r="MPD91" s="378"/>
      <c r="MPE91" s="378"/>
      <c r="MPF91" s="378"/>
      <c r="MPG91" s="378"/>
      <c r="MPH91" s="378"/>
      <c r="MPI91" s="378"/>
      <c r="MPJ91" s="378"/>
      <c r="MPK91" s="378"/>
      <c r="MPL91" s="378"/>
      <c r="MPM91" s="378"/>
      <c r="MPN91" s="378"/>
      <c r="MPO91" s="378"/>
      <c r="MPP91" s="378"/>
      <c r="MPQ91" s="378"/>
      <c r="MPR91" s="378"/>
      <c r="MPS91" s="378"/>
      <c r="MPT91" s="378"/>
      <c r="MPU91" s="378"/>
      <c r="MPV91" s="378"/>
      <c r="MPW91" s="378"/>
      <c r="MPX91" s="378"/>
      <c r="MPY91" s="378"/>
      <c r="MPZ91" s="378"/>
      <c r="MQA91" s="378"/>
      <c r="MQB91" s="378"/>
      <c r="MQC91" s="378"/>
      <c r="MQD91" s="378"/>
      <c r="MQE91" s="378"/>
      <c r="MQF91" s="378"/>
      <c r="MQG91" s="378"/>
      <c r="MQH91" s="378"/>
      <c r="MQI91" s="378"/>
      <c r="MQJ91" s="378"/>
      <c r="MQK91" s="378"/>
      <c r="MQL91" s="378"/>
      <c r="MQM91" s="378"/>
      <c r="MQN91" s="378"/>
      <c r="MQO91" s="378"/>
      <c r="MQP91" s="378"/>
      <c r="MQQ91" s="378"/>
      <c r="MQR91" s="378"/>
      <c r="MQS91" s="378"/>
      <c r="MQT91" s="378"/>
      <c r="MQU91" s="378"/>
      <c r="MQV91" s="378"/>
      <c r="MQW91" s="378"/>
      <c r="MQX91" s="378"/>
      <c r="MQY91" s="378"/>
      <c r="MQZ91" s="378"/>
      <c r="MRA91" s="378"/>
      <c r="MRB91" s="378"/>
      <c r="MRC91" s="378"/>
      <c r="MRD91" s="378"/>
      <c r="MRE91" s="378"/>
      <c r="MRF91" s="378"/>
      <c r="MRG91" s="378"/>
      <c r="MRH91" s="378"/>
      <c r="MRI91" s="378"/>
      <c r="MRJ91" s="378"/>
      <c r="MRK91" s="378"/>
      <c r="MRL91" s="378"/>
      <c r="MRM91" s="378"/>
      <c r="MRN91" s="378"/>
      <c r="MRO91" s="378"/>
      <c r="MRP91" s="378"/>
      <c r="MRQ91" s="378"/>
      <c r="MRR91" s="378"/>
      <c r="MRS91" s="378"/>
      <c r="MRT91" s="378"/>
      <c r="MRU91" s="378"/>
      <c r="MRV91" s="378"/>
      <c r="MRW91" s="378"/>
      <c r="MRX91" s="378"/>
      <c r="MRY91" s="378"/>
      <c r="MRZ91" s="378"/>
      <c r="MSA91" s="378"/>
      <c r="MSB91" s="378"/>
      <c r="MSC91" s="378"/>
      <c r="MSD91" s="378"/>
      <c r="MSE91" s="378"/>
      <c r="MSF91" s="378"/>
      <c r="MSG91" s="378"/>
      <c r="MSH91" s="378"/>
      <c r="MSI91" s="378"/>
      <c r="MSJ91" s="378"/>
      <c r="MSK91" s="378"/>
      <c r="MSL91" s="378"/>
      <c r="MSM91" s="378"/>
      <c r="MSN91" s="378"/>
      <c r="MSO91" s="378"/>
      <c r="MSP91" s="378"/>
      <c r="MSQ91" s="378"/>
      <c r="MSR91" s="378"/>
      <c r="MSS91" s="378"/>
      <c r="MST91" s="378"/>
      <c r="MSU91" s="378"/>
      <c r="MSV91" s="378"/>
      <c r="MSW91" s="378"/>
      <c r="MSX91" s="378"/>
      <c r="MSY91" s="378"/>
      <c r="MSZ91" s="378"/>
      <c r="MTA91" s="378"/>
      <c r="MTB91" s="378"/>
      <c r="MTC91" s="378"/>
      <c r="MTD91" s="378"/>
      <c r="MTE91" s="378"/>
      <c r="MTF91" s="378"/>
      <c r="MTG91" s="378"/>
      <c r="MTH91" s="378"/>
      <c r="MTI91" s="378"/>
      <c r="MTJ91" s="378"/>
      <c r="MTK91" s="378"/>
      <c r="MTL91" s="378"/>
      <c r="MTM91" s="378"/>
      <c r="MTN91" s="378"/>
      <c r="MTO91" s="378"/>
      <c r="MTP91" s="378"/>
      <c r="MTQ91" s="378"/>
      <c r="MTR91" s="378"/>
      <c r="MTS91" s="378"/>
      <c r="MTT91" s="378"/>
      <c r="MTU91" s="378"/>
      <c r="MTV91" s="378"/>
      <c r="MTW91" s="378"/>
      <c r="MTX91" s="378"/>
      <c r="MTY91" s="378"/>
      <c r="MTZ91" s="378"/>
      <c r="MUA91" s="378"/>
      <c r="MUB91" s="378"/>
      <c r="MUC91" s="378"/>
      <c r="MUD91" s="378"/>
      <c r="MUE91" s="378"/>
      <c r="MUF91" s="378"/>
      <c r="MUG91" s="378"/>
      <c r="MUH91" s="378"/>
      <c r="MUI91" s="378"/>
      <c r="MUJ91" s="378"/>
      <c r="MUK91" s="378"/>
      <c r="MUL91" s="378"/>
      <c r="MUM91" s="378"/>
      <c r="MUN91" s="378"/>
      <c r="MUO91" s="378"/>
      <c r="MUP91" s="378"/>
      <c r="MUQ91" s="378"/>
      <c r="MUR91" s="378"/>
      <c r="MUS91" s="378"/>
      <c r="MUT91" s="378"/>
      <c r="MUU91" s="378"/>
      <c r="MUV91" s="378"/>
      <c r="MUW91" s="378"/>
      <c r="MUX91" s="378"/>
      <c r="MUY91" s="378"/>
      <c r="MUZ91" s="378"/>
      <c r="MVA91" s="378"/>
      <c r="MVB91" s="378"/>
      <c r="MVC91" s="378"/>
      <c r="MVD91" s="378"/>
      <c r="MVE91" s="378"/>
      <c r="MVF91" s="378"/>
      <c r="MVG91" s="378"/>
      <c r="MVH91" s="378"/>
      <c r="MVI91" s="378"/>
      <c r="MVJ91" s="378"/>
      <c r="MVK91" s="378"/>
      <c r="MVL91" s="378"/>
      <c r="MVM91" s="378"/>
      <c r="MVN91" s="378"/>
      <c r="MVO91" s="378"/>
      <c r="MVP91" s="378"/>
      <c r="MVQ91" s="378"/>
      <c r="MVR91" s="378"/>
      <c r="MVS91" s="378"/>
      <c r="MVT91" s="378"/>
      <c r="MVU91" s="378"/>
      <c r="MVV91" s="378"/>
      <c r="MVW91" s="378"/>
      <c r="MVX91" s="378"/>
      <c r="MVY91" s="378"/>
      <c r="MVZ91" s="378"/>
      <c r="MWA91" s="378"/>
      <c r="MWB91" s="378"/>
      <c r="MWC91" s="378"/>
      <c r="MWD91" s="378"/>
      <c r="MWE91" s="378"/>
      <c r="MWF91" s="378"/>
      <c r="MWG91" s="378"/>
      <c r="MWH91" s="378"/>
      <c r="MWI91" s="378"/>
      <c r="MWJ91" s="378"/>
      <c r="MWK91" s="378"/>
      <c r="MWL91" s="378"/>
      <c r="MWM91" s="378"/>
      <c r="MWN91" s="378"/>
      <c r="MWO91" s="378"/>
      <c r="MWP91" s="378"/>
      <c r="MWQ91" s="378"/>
      <c r="MWR91" s="378"/>
      <c r="MWS91" s="378"/>
      <c r="MWT91" s="378"/>
      <c r="MWU91" s="378"/>
      <c r="MWV91" s="378"/>
      <c r="MWW91" s="378"/>
      <c r="MWX91" s="378"/>
      <c r="MWY91" s="378"/>
      <c r="MWZ91" s="378"/>
      <c r="MXA91" s="378"/>
      <c r="MXB91" s="378"/>
      <c r="MXC91" s="378"/>
      <c r="MXD91" s="378"/>
      <c r="MXE91" s="378"/>
      <c r="MXF91" s="378"/>
      <c r="MXG91" s="378"/>
      <c r="MXH91" s="378"/>
      <c r="MXI91" s="378"/>
      <c r="MXJ91" s="378"/>
      <c r="MXK91" s="378"/>
      <c r="MXL91" s="378"/>
      <c r="MXM91" s="378"/>
      <c r="MXN91" s="378"/>
      <c r="MXO91" s="378"/>
      <c r="MXP91" s="378"/>
      <c r="MXQ91" s="378"/>
      <c r="MXR91" s="378"/>
      <c r="MXS91" s="378"/>
      <c r="MXT91" s="378"/>
      <c r="MXU91" s="378"/>
      <c r="MXV91" s="378"/>
      <c r="MXW91" s="378"/>
      <c r="MXX91" s="378"/>
      <c r="MXY91" s="378"/>
      <c r="MXZ91" s="378"/>
      <c r="MYA91" s="378"/>
      <c r="MYB91" s="378"/>
      <c r="MYC91" s="378"/>
      <c r="MYD91" s="378"/>
      <c r="MYE91" s="378"/>
      <c r="MYF91" s="378"/>
      <c r="MYG91" s="378"/>
      <c r="MYH91" s="378"/>
      <c r="MYI91" s="378"/>
      <c r="MYJ91" s="378"/>
      <c r="MYK91" s="378"/>
      <c r="MYL91" s="378"/>
      <c r="MYM91" s="378"/>
      <c r="MYN91" s="378"/>
      <c r="MYO91" s="378"/>
      <c r="MYP91" s="378"/>
      <c r="MYQ91" s="378"/>
      <c r="MYR91" s="378"/>
      <c r="MYS91" s="378"/>
      <c r="MYT91" s="378"/>
      <c r="MYU91" s="378"/>
      <c r="MYV91" s="378"/>
      <c r="MYW91" s="378"/>
      <c r="MYX91" s="378"/>
      <c r="MYY91" s="378"/>
      <c r="MYZ91" s="378"/>
      <c r="MZA91" s="378"/>
      <c r="MZB91" s="378"/>
      <c r="MZC91" s="378"/>
      <c r="MZD91" s="378"/>
      <c r="MZE91" s="378"/>
      <c r="MZF91" s="378"/>
      <c r="MZG91" s="378"/>
      <c r="MZH91" s="378"/>
      <c r="MZI91" s="378"/>
      <c r="MZJ91" s="378"/>
      <c r="MZK91" s="378"/>
      <c r="MZL91" s="378"/>
      <c r="MZM91" s="378"/>
      <c r="MZN91" s="378"/>
      <c r="MZO91" s="378"/>
      <c r="MZP91" s="378"/>
      <c r="MZQ91" s="378"/>
      <c r="MZR91" s="378"/>
      <c r="MZS91" s="378"/>
      <c r="MZT91" s="378"/>
      <c r="MZU91" s="378"/>
      <c r="MZV91" s="378"/>
      <c r="MZW91" s="378"/>
      <c r="MZX91" s="378"/>
      <c r="MZY91" s="378"/>
      <c r="MZZ91" s="378"/>
      <c r="NAA91" s="378"/>
      <c r="NAB91" s="378"/>
      <c r="NAC91" s="378"/>
      <c r="NAD91" s="378"/>
      <c r="NAE91" s="378"/>
      <c r="NAF91" s="378"/>
      <c r="NAG91" s="378"/>
      <c r="NAH91" s="378"/>
      <c r="NAI91" s="378"/>
      <c r="NAJ91" s="378"/>
      <c r="NAK91" s="378"/>
      <c r="NAL91" s="378"/>
      <c r="NAM91" s="378"/>
      <c r="NAN91" s="378"/>
      <c r="NAO91" s="378"/>
      <c r="NAP91" s="378"/>
      <c r="NAQ91" s="378"/>
      <c r="NAR91" s="378"/>
      <c r="NAS91" s="378"/>
      <c r="NAT91" s="378"/>
      <c r="NAU91" s="378"/>
      <c r="NAV91" s="378"/>
      <c r="NAW91" s="378"/>
      <c r="NAX91" s="378"/>
      <c r="NAY91" s="378"/>
      <c r="NAZ91" s="378"/>
      <c r="NBA91" s="378"/>
      <c r="NBB91" s="378"/>
      <c r="NBC91" s="378"/>
      <c r="NBD91" s="378"/>
      <c r="NBE91" s="378"/>
      <c r="NBF91" s="378"/>
      <c r="NBG91" s="378"/>
      <c r="NBH91" s="378"/>
      <c r="NBI91" s="378"/>
      <c r="NBJ91" s="378"/>
      <c r="NBK91" s="378"/>
      <c r="NBL91" s="378"/>
      <c r="NBM91" s="378"/>
      <c r="NBN91" s="378"/>
      <c r="NBO91" s="378"/>
      <c r="NBP91" s="378"/>
      <c r="NBQ91" s="378"/>
      <c r="NBR91" s="378"/>
      <c r="NBS91" s="378"/>
      <c r="NBT91" s="378"/>
      <c r="NBU91" s="378"/>
      <c r="NBV91" s="378"/>
      <c r="NBW91" s="378"/>
      <c r="NBX91" s="378"/>
      <c r="NBY91" s="378"/>
      <c r="NBZ91" s="378"/>
      <c r="NCA91" s="378"/>
      <c r="NCB91" s="378"/>
      <c r="NCC91" s="378"/>
      <c r="NCD91" s="378"/>
      <c r="NCE91" s="378"/>
      <c r="NCF91" s="378"/>
      <c r="NCG91" s="378"/>
      <c r="NCH91" s="378"/>
      <c r="NCI91" s="378"/>
      <c r="NCJ91" s="378"/>
      <c r="NCK91" s="378"/>
      <c r="NCL91" s="378"/>
      <c r="NCM91" s="378"/>
      <c r="NCN91" s="378"/>
      <c r="NCO91" s="378"/>
      <c r="NCP91" s="378"/>
      <c r="NCQ91" s="378"/>
      <c r="NCR91" s="378"/>
      <c r="NCS91" s="378"/>
      <c r="NCT91" s="378"/>
      <c r="NCU91" s="378"/>
      <c r="NCV91" s="378"/>
      <c r="NCW91" s="378"/>
      <c r="NCX91" s="378"/>
      <c r="NCY91" s="378"/>
      <c r="NCZ91" s="378"/>
      <c r="NDA91" s="378"/>
      <c r="NDB91" s="378"/>
      <c r="NDC91" s="378"/>
      <c r="NDD91" s="378"/>
      <c r="NDE91" s="378"/>
      <c r="NDF91" s="378"/>
      <c r="NDG91" s="378"/>
      <c r="NDH91" s="378"/>
      <c r="NDI91" s="378"/>
      <c r="NDJ91" s="378"/>
      <c r="NDK91" s="378"/>
      <c r="NDL91" s="378"/>
      <c r="NDM91" s="378"/>
      <c r="NDN91" s="378"/>
      <c r="NDO91" s="378"/>
      <c r="NDP91" s="378"/>
      <c r="NDQ91" s="378"/>
      <c r="NDR91" s="378"/>
      <c r="NDS91" s="378"/>
      <c r="NDT91" s="378"/>
      <c r="NDU91" s="378"/>
      <c r="NDV91" s="378"/>
      <c r="NDW91" s="378"/>
      <c r="NDX91" s="378"/>
      <c r="NDY91" s="378"/>
      <c r="NDZ91" s="378"/>
      <c r="NEA91" s="378"/>
      <c r="NEB91" s="378"/>
      <c r="NEC91" s="378"/>
      <c r="NED91" s="378"/>
      <c r="NEE91" s="378"/>
      <c r="NEF91" s="378"/>
      <c r="NEG91" s="378"/>
      <c r="NEH91" s="378"/>
      <c r="NEI91" s="378"/>
      <c r="NEJ91" s="378"/>
      <c r="NEK91" s="378"/>
      <c r="NEL91" s="378"/>
      <c r="NEM91" s="378"/>
      <c r="NEN91" s="378"/>
      <c r="NEO91" s="378"/>
      <c r="NEP91" s="378"/>
      <c r="NEQ91" s="378"/>
      <c r="NER91" s="378"/>
      <c r="NES91" s="378"/>
      <c r="NET91" s="378"/>
      <c r="NEU91" s="378"/>
      <c r="NEV91" s="378"/>
      <c r="NEW91" s="378"/>
      <c r="NEX91" s="378"/>
      <c r="NEY91" s="378"/>
      <c r="NEZ91" s="378"/>
      <c r="NFA91" s="378"/>
      <c r="NFB91" s="378"/>
      <c r="NFC91" s="378"/>
      <c r="NFD91" s="378"/>
      <c r="NFE91" s="378"/>
      <c r="NFF91" s="378"/>
      <c r="NFG91" s="378"/>
      <c r="NFH91" s="378"/>
      <c r="NFI91" s="378"/>
      <c r="NFJ91" s="378"/>
      <c r="NFK91" s="378"/>
      <c r="NFL91" s="378"/>
      <c r="NFM91" s="378"/>
      <c r="NFN91" s="378"/>
      <c r="NFO91" s="378"/>
      <c r="NFP91" s="378"/>
      <c r="NFQ91" s="378"/>
      <c r="NFR91" s="378"/>
      <c r="NFS91" s="378"/>
      <c r="NFT91" s="378"/>
      <c r="NFU91" s="378"/>
      <c r="NFV91" s="378"/>
      <c r="NFW91" s="378"/>
      <c r="NFX91" s="378"/>
      <c r="NFY91" s="378"/>
      <c r="NFZ91" s="378"/>
      <c r="NGA91" s="378"/>
      <c r="NGB91" s="378"/>
      <c r="NGC91" s="378"/>
      <c r="NGD91" s="378"/>
      <c r="NGE91" s="378"/>
      <c r="NGF91" s="378"/>
      <c r="NGG91" s="378"/>
      <c r="NGH91" s="378"/>
      <c r="NGI91" s="378"/>
      <c r="NGJ91" s="378"/>
      <c r="NGK91" s="378"/>
      <c r="NGL91" s="378"/>
      <c r="NGM91" s="378"/>
      <c r="NGN91" s="378"/>
      <c r="NGO91" s="378"/>
      <c r="NGP91" s="378"/>
      <c r="NGQ91" s="378"/>
      <c r="NGR91" s="378"/>
      <c r="NGS91" s="378"/>
      <c r="NGT91" s="378"/>
      <c r="NGU91" s="378"/>
      <c r="NGV91" s="378"/>
      <c r="NGW91" s="378"/>
      <c r="NGX91" s="378"/>
      <c r="NGY91" s="378"/>
      <c r="NGZ91" s="378"/>
      <c r="NHA91" s="378"/>
      <c r="NHB91" s="378"/>
      <c r="NHC91" s="378"/>
      <c r="NHD91" s="378"/>
      <c r="NHE91" s="378"/>
      <c r="NHF91" s="378"/>
      <c r="NHG91" s="378"/>
      <c r="NHH91" s="378"/>
      <c r="NHI91" s="378"/>
      <c r="NHJ91" s="378"/>
      <c r="NHK91" s="378"/>
      <c r="NHL91" s="378"/>
      <c r="NHM91" s="378"/>
      <c r="NHN91" s="378"/>
      <c r="NHO91" s="378"/>
      <c r="NHP91" s="378"/>
      <c r="NHQ91" s="378"/>
      <c r="NHR91" s="378"/>
      <c r="NHS91" s="378"/>
      <c r="NHT91" s="378"/>
      <c r="NHU91" s="378"/>
      <c r="NHV91" s="378"/>
      <c r="NHW91" s="378"/>
      <c r="NHX91" s="378"/>
      <c r="NHY91" s="378"/>
      <c r="NHZ91" s="378"/>
      <c r="NIA91" s="378"/>
      <c r="NIB91" s="378"/>
      <c r="NIC91" s="378"/>
      <c r="NID91" s="378"/>
      <c r="NIE91" s="378"/>
      <c r="NIF91" s="378"/>
      <c r="NIG91" s="378"/>
      <c r="NIH91" s="378"/>
      <c r="NII91" s="378"/>
      <c r="NIJ91" s="378"/>
      <c r="NIK91" s="378"/>
      <c r="NIL91" s="378"/>
      <c r="NIM91" s="378"/>
      <c r="NIN91" s="378"/>
      <c r="NIO91" s="378"/>
      <c r="NIP91" s="378"/>
      <c r="NIQ91" s="378"/>
      <c r="NIR91" s="378"/>
      <c r="NIS91" s="378"/>
      <c r="NIT91" s="378"/>
      <c r="NIU91" s="378"/>
      <c r="NIV91" s="378"/>
      <c r="NIW91" s="378"/>
      <c r="NIX91" s="378"/>
      <c r="NIY91" s="378"/>
      <c r="NIZ91" s="378"/>
      <c r="NJA91" s="378"/>
      <c r="NJB91" s="378"/>
      <c r="NJC91" s="378"/>
      <c r="NJD91" s="378"/>
      <c r="NJE91" s="378"/>
      <c r="NJF91" s="378"/>
      <c r="NJG91" s="378"/>
      <c r="NJH91" s="378"/>
      <c r="NJI91" s="378"/>
      <c r="NJJ91" s="378"/>
      <c r="NJK91" s="378"/>
      <c r="NJL91" s="378"/>
      <c r="NJM91" s="378"/>
      <c r="NJN91" s="378"/>
      <c r="NJO91" s="378"/>
      <c r="NJP91" s="378"/>
      <c r="NJQ91" s="378"/>
      <c r="NJR91" s="378"/>
      <c r="NJS91" s="378"/>
      <c r="NJT91" s="378"/>
      <c r="NJU91" s="378"/>
      <c r="NJV91" s="378"/>
      <c r="NJW91" s="378"/>
      <c r="NJX91" s="378"/>
      <c r="NJY91" s="378"/>
      <c r="NJZ91" s="378"/>
      <c r="NKA91" s="378"/>
      <c r="NKB91" s="378"/>
      <c r="NKC91" s="378"/>
      <c r="NKD91" s="378"/>
      <c r="NKE91" s="378"/>
      <c r="NKF91" s="378"/>
      <c r="NKG91" s="378"/>
      <c r="NKH91" s="378"/>
      <c r="NKI91" s="378"/>
      <c r="NKJ91" s="378"/>
      <c r="NKK91" s="378"/>
      <c r="NKL91" s="378"/>
      <c r="NKM91" s="378"/>
      <c r="NKN91" s="378"/>
      <c r="NKO91" s="378"/>
      <c r="NKP91" s="378"/>
      <c r="NKQ91" s="378"/>
      <c r="NKR91" s="378"/>
      <c r="NKS91" s="378"/>
      <c r="NKT91" s="378"/>
      <c r="NKU91" s="378"/>
      <c r="NKV91" s="378"/>
      <c r="NKW91" s="378"/>
      <c r="NKX91" s="378"/>
      <c r="NKY91" s="378"/>
      <c r="NKZ91" s="378"/>
      <c r="NLA91" s="378"/>
      <c r="NLB91" s="378"/>
      <c r="NLC91" s="378"/>
      <c r="NLD91" s="378"/>
      <c r="NLE91" s="378"/>
      <c r="NLF91" s="378"/>
      <c r="NLG91" s="378"/>
      <c r="NLH91" s="378"/>
      <c r="NLI91" s="378"/>
      <c r="NLJ91" s="378"/>
      <c r="NLK91" s="378"/>
      <c r="NLL91" s="378"/>
      <c r="NLM91" s="378"/>
      <c r="NLN91" s="378"/>
      <c r="NLO91" s="378"/>
      <c r="NLP91" s="378"/>
      <c r="NLQ91" s="378"/>
      <c r="NLR91" s="378"/>
      <c r="NLS91" s="378"/>
      <c r="NLT91" s="378"/>
      <c r="NLU91" s="378"/>
      <c r="NLV91" s="378"/>
      <c r="NLW91" s="378"/>
      <c r="NLX91" s="378"/>
      <c r="NLY91" s="378"/>
      <c r="NLZ91" s="378"/>
      <c r="NMA91" s="378"/>
      <c r="NMB91" s="378"/>
      <c r="NMC91" s="378"/>
      <c r="NMD91" s="378"/>
      <c r="NME91" s="378"/>
      <c r="NMF91" s="378"/>
      <c r="NMG91" s="378"/>
      <c r="NMH91" s="378"/>
      <c r="NMI91" s="378"/>
      <c r="NMJ91" s="378"/>
      <c r="NMK91" s="378"/>
      <c r="NML91" s="378"/>
      <c r="NMM91" s="378"/>
      <c r="NMN91" s="378"/>
      <c r="NMO91" s="378"/>
      <c r="NMP91" s="378"/>
      <c r="NMQ91" s="378"/>
      <c r="NMR91" s="378"/>
      <c r="NMS91" s="378"/>
      <c r="NMT91" s="378"/>
      <c r="NMU91" s="378"/>
      <c r="NMV91" s="378"/>
      <c r="NMW91" s="378"/>
      <c r="NMX91" s="378"/>
      <c r="NMY91" s="378"/>
      <c r="NMZ91" s="378"/>
      <c r="NNA91" s="378"/>
      <c r="NNB91" s="378"/>
      <c r="NNC91" s="378"/>
      <c r="NND91" s="378"/>
      <c r="NNE91" s="378"/>
      <c r="NNF91" s="378"/>
      <c r="NNG91" s="378"/>
      <c r="NNH91" s="378"/>
      <c r="NNI91" s="378"/>
      <c r="NNJ91" s="378"/>
      <c r="NNK91" s="378"/>
      <c r="NNL91" s="378"/>
      <c r="NNM91" s="378"/>
      <c r="NNN91" s="378"/>
      <c r="NNO91" s="378"/>
      <c r="NNP91" s="378"/>
      <c r="NNQ91" s="378"/>
      <c r="NNR91" s="378"/>
      <c r="NNS91" s="378"/>
      <c r="NNT91" s="378"/>
      <c r="NNU91" s="378"/>
      <c r="NNV91" s="378"/>
      <c r="NNW91" s="378"/>
      <c r="NNX91" s="378"/>
      <c r="NNY91" s="378"/>
      <c r="NNZ91" s="378"/>
      <c r="NOA91" s="378"/>
      <c r="NOB91" s="378"/>
      <c r="NOC91" s="378"/>
      <c r="NOD91" s="378"/>
      <c r="NOE91" s="378"/>
      <c r="NOF91" s="378"/>
      <c r="NOG91" s="378"/>
      <c r="NOH91" s="378"/>
      <c r="NOI91" s="378"/>
      <c r="NOJ91" s="378"/>
      <c r="NOK91" s="378"/>
      <c r="NOL91" s="378"/>
      <c r="NOM91" s="378"/>
      <c r="NON91" s="378"/>
      <c r="NOO91" s="378"/>
      <c r="NOP91" s="378"/>
      <c r="NOQ91" s="378"/>
      <c r="NOR91" s="378"/>
      <c r="NOS91" s="378"/>
      <c r="NOT91" s="378"/>
      <c r="NOU91" s="378"/>
      <c r="NOV91" s="378"/>
      <c r="NOW91" s="378"/>
      <c r="NOX91" s="378"/>
      <c r="NOY91" s="378"/>
      <c r="NOZ91" s="378"/>
      <c r="NPA91" s="378"/>
      <c r="NPB91" s="378"/>
      <c r="NPC91" s="378"/>
      <c r="NPD91" s="378"/>
      <c r="NPE91" s="378"/>
      <c r="NPF91" s="378"/>
      <c r="NPG91" s="378"/>
      <c r="NPH91" s="378"/>
      <c r="NPI91" s="378"/>
      <c r="NPJ91" s="378"/>
      <c r="NPK91" s="378"/>
      <c r="NPL91" s="378"/>
      <c r="NPM91" s="378"/>
      <c r="NPN91" s="378"/>
      <c r="NPO91" s="378"/>
      <c r="NPP91" s="378"/>
      <c r="NPQ91" s="378"/>
      <c r="NPR91" s="378"/>
      <c r="NPS91" s="378"/>
      <c r="NPT91" s="378"/>
      <c r="NPU91" s="378"/>
      <c r="NPV91" s="378"/>
      <c r="NPW91" s="378"/>
      <c r="NPX91" s="378"/>
      <c r="NPY91" s="378"/>
      <c r="NPZ91" s="378"/>
      <c r="NQA91" s="378"/>
      <c r="NQB91" s="378"/>
      <c r="NQC91" s="378"/>
      <c r="NQD91" s="378"/>
      <c r="NQE91" s="378"/>
      <c r="NQF91" s="378"/>
      <c r="NQG91" s="378"/>
      <c r="NQH91" s="378"/>
      <c r="NQI91" s="378"/>
      <c r="NQJ91" s="378"/>
      <c r="NQK91" s="378"/>
      <c r="NQL91" s="378"/>
      <c r="NQM91" s="378"/>
      <c r="NQN91" s="378"/>
      <c r="NQO91" s="378"/>
      <c r="NQP91" s="378"/>
      <c r="NQQ91" s="378"/>
      <c r="NQR91" s="378"/>
      <c r="NQS91" s="378"/>
      <c r="NQT91" s="378"/>
      <c r="NQU91" s="378"/>
      <c r="NQV91" s="378"/>
      <c r="NQW91" s="378"/>
      <c r="NQX91" s="378"/>
      <c r="NQY91" s="378"/>
      <c r="NQZ91" s="378"/>
      <c r="NRA91" s="378"/>
      <c r="NRB91" s="378"/>
      <c r="NRC91" s="378"/>
      <c r="NRD91" s="378"/>
      <c r="NRE91" s="378"/>
      <c r="NRF91" s="378"/>
      <c r="NRG91" s="378"/>
      <c r="NRH91" s="378"/>
      <c r="NRI91" s="378"/>
      <c r="NRJ91" s="378"/>
      <c r="NRK91" s="378"/>
      <c r="NRL91" s="378"/>
      <c r="NRM91" s="378"/>
      <c r="NRN91" s="378"/>
      <c r="NRO91" s="378"/>
      <c r="NRP91" s="378"/>
      <c r="NRQ91" s="378"/>
      <c r="NRR91" s="378"/>
      <c r="NRS91" s="378"/>
      <c r="NRT91" s="378"/>
      <c r="NRU91" s="378"/>
      <c r="NRV91" s="378"/>
      <c r="NRW91" s="378"/>
      <c r="NRX91" s="378"/>
      <c r="NRY91" s="378"/>
      <c r="NRZ91" s="378"/>
      <c r="NSA91" s="378"/>
      <c r="NSB91" s="378"/>
      <c r="NSC91" s="378"/>
      <c r="NSD91" s="378"/>
      <c r="NSE91" s="378"/>
      <c r="NSF91" s="378"/>
      <c r="NSG91" s="378"/>
      <c r="NSH91" s="378"/>
      <c r="NSI91" s="378"/>
      <c r="NSJ91" s="378"/>
      <c r="NSK91" s="378"/>
      <c r="NSL91" s="378"/>
      <c r="NSM91" s="378"/>
      <c r="NSN91" s="378"/>
      <c r="NSO91" s="378"/>
      <c r="NSP91" s="378"/>
      <c r="NSQ91" s="378"/>
      <c r="NSR91" s="378"/>
      <c r="NSS91" s="378"/>
      <c r="NST91" s="378"/>
      <c r="NSU91" s="378"/>
      <c r="NSV91" s="378"/>
      <c r="NSW91" s="378"/>
      <c r="NSX91" s="378"/>
      <c r="NSY91" s="378"/>
      <c r="NSZ91" s="378"/>
      <c r="NTA91" s="378"/>
      <c r="NTB91" s="378"/>
      <c r="NTC91" s="378"/>
      <c r="NTD91" s="378"/>
      <c r="NTE91" s="378"/>
      <c r="NTF91" s="378"/>
      <c r="NTG91" s="378"/>
      <c r="NTH91" s="378"/>
      <c r="NTI91" s="378"/>
      <c r="NTJ91" s="378"/>
      <c r="NTK91" s="378"/>
      <c r="NTL91" s="378"/>
      <c r="NTM91" s="378"/>
      <c r="NTN91" s="378"/>
      <c r="NTO91" s="378"/>
      <c r="NTP91" s="378"/>
      <c r="NTQ91" s="378"/>
      <c r="NTR91" s="378"/>
      <c r="NTS91" s="378"/>
      <c r="NTT91" s="378"/>
      <c r="NTU91" s="378"/>
      <c r="NTV91" s="378"/>
      <c r="NTW91" s="378"/>
      <c r="NTX91" s="378"/>
      <c r="NTY91" s="378"/>
      <c r="NTZ91" s="378"/>
      <c r="NUA91" s="378"/>
      <c r="NUB91" s="378"/>
      <c r="NUC91" s="378"/>
      <c r="NUD91" s="378"/>
      <c r="NUE91" s="378"/>
      <c r="NUF91" s="378"/>
      <c r="NUG91" s="378"/>
      <c r="NUH91" s="378"/>
      <c r="NUI91" s="378"/>
      <c r="NUJ91" s="378"/>
      <c r="NUK91" s="378"/>
      <c r="NUL91" s="378"/>
      <c r="NUM91" s="378"/>
      <c r="NUN91" s="378"/>
      <c r="NUO91" s="378"/>
      <c r="NUP91" s="378"/>
      <c r="NUQ91" s="378"/>
      <c r="NUR91" s="378"/>
      <c r="NUS91" s="378"/>
      <c r="NUT91" s="378"/>
      <c r="NUU91" s="378"/>
      <c r="NUV91" s="378"/>
      <c r="NUW91" s="378"/>
      <c r="NUX91" s="378"/>
      <c r="NUY91" s="378"/>
      <c r="NUZ91" s="378"/>
      <c r="NVA91" s="378"/>
      <c r="NVB91" s="378"/>
      <c r="NVC91" s="378"/>
      <c r="NVD91" s="378"/>
      <c r="NVE91" s="378"/>
      <c r="NVF91" s="378"/>
      <c r="NVG91" s="378"/>
      <c r="NVH91" s="378"/>
      <c r="NVI91" s="378"/>
      <c r="NVJ91" s="378"/>
      <c r="NVK91" s="378"/>
      <c r="NVL91" s="378"/>
      <c r="NVM91" s="378"/>
      <c r="NVN91" s="378"/>
      <c r="NVO91" s="378"/>
      <c r="NVP91" s="378"/>
      <c r="NVQ91" s="378"/>
      <c r="NVR91" s="378"/>
      <c r="NVS91" s="378"/>
      <c r="NVT91" s="378"/>
      <c r="NVU91" s="378"/>
      <c r="NVV91" s="378"/>
      <c r="NVW91" s="378"/>
      <c r="NVX91" s="378"/>
      <c r="NVY91" s="378"/>
      <c r="NVZ91" s="378"/>
      <c r="NWA91" s="378"/>
      <c r="NWB91" s="378"/>
      <c r="NWC91" s="378"/>
      <c r="NWD91" s="378"/>
      <c r="NWE91" s="378"/>
      <c r="NWF91" s="378"/>
      <c r="NWG91" s="378"/>
      <c r="NWH91" s="378"/>
      <c r="NWI91" s="378"/>
      <c r="NWJ91" s="378"/>
      <c r="NWK91" s="378"/>
      <c r="NWL91" s="378"/>
      <c r="NWM91" s="378"/>
      <c r="NWN91" s="378"/>
      <c r="NWO91" s="378"/>
      <c r="NWP91" s="378"/>
      <c r="NWQ91" s="378"/>
      <c r="NWR91" s="378"/>
      <c r="NWS91" s="378"/>
      <c r="NWT91" s="378"/>
      <c r="NWU91" s="378"/>
      <c r="NWV91" s="378"/>
      <c r="NWW91" s="378"/>
      <c r="NWX91" s="378"/>
      <c r="NWY91" s="378"/>
      <c r="NWZ91" s="378"/>
      <c r="NXA91" s="378"/>
      <c r="NXB91" s="378"/>
      <c r="NXC91" s="378"/>
      <c r="NXD91" s="378"/>
      <c r="NXE91" s="378"/>
      <c r="NXF91" s="378"/>
      <c r="NXG91" s="378"/>
      <c r="NXH91" s="378"/>
      <c r="NXI91" s="378"/>
      <c r="NXJ91" s="378"/>
      <c r="NXK91" s="378"/>
      <c r="NXL91" s="378"/>
      <c r="NXM91" s="378"/>
      <c r="NXN91" s="378"/>
      <c r="NXO91" s="378"/>
      <c r="NXP91" s="378"/>
      <c r="NXQ91" s="378"/>
      <c r="NXR91" s="378"/>
      <c r="NXS91" s="378"/>
      <c r="NXT91" s="378"/>
      <c r="NXU91" s="378"/>
      <c r="NXV91" s="378"/>
      <c r="NXW91" s="378"/>
      <c r="NXX91" s="378"/>
      <c r="NXY91" s="378"/>
      <c r="NXZ91" s="378"/>
      <c r="NYA91" s="378"/>
      <c r="NYB91" s="378"/>
      <c r="NYC91" s="378"/>
      <c r="NYD91" s="378"/>
      <c r="NYE91" s="378"/>
      <c r="NYF91" s="378"/>
      <c r="NYG91" s="378"/>
      <c r="NYH91" s="378"/>
      <c r="NYI91" s="378"/>
      <c r="NYJ91" s="378"/>
      <c r="NYK91" s="378"/>
      <c r="NYL91" s="378"/>
      <c r="NYM91" s="378"/>
      <c r="NYN91" s="378"/>
      <c r="NYO91" s="378"/>
      <c r="NYP91" s="378"/>
      <c r="NYQ91" s="378"/>
      <c r="NYR91" s="378"/>
      <c r="NYS91" s="378"/>
      <c r="NYT91" s="378"/>
      <c r="NYU91" s="378"/>
      <c r="NYV91" s="378"/>
      <c r="NYW91" s="378"/>
      <c r="NYX91" s="378"/>
      <c r="NYY91" s="378"/>
      <c r="NYZ91" s="378"/>
      <c r="NZA91" s="378"/>
      <c r="NZB91" s="378"/>
      <c r="NZC91" s="378"/>
      <c r="NZD91" s="378"/>
      <c r="NZE91" s="378"/>
      <c r="NZF91" s="378"/>
      <c r="NZG91" s="378"/>
      <c r="NZH91" s="378"/>
      <c r="NZI91" s="378"/>
      <c r="NZJ91" s="378"/>
      <c r="NZK91" s="378"/>
      <c r="NZL91" s="378"/>
      <c r="NZM91" s="378"/>
      <c r="NZN91" s="378"/>
      <c r="NZO91" s="378"/>
      <c r="NZP91" s="378"/>
      <c r="NZQ91" s="378"/>
      <c r="NZR91" s="378"/>
      <c r="NZS91" s="378"/>
      <c r="NZT91" s="378"/>
      <c r="NZU91" s="378"/>
      <c r="NZV91" s="378"/>
      <c r="NZW91" s="378"/>
      <c r="NZX91" s="378"/>
      <c r="NZY91" s="378"/>
      <c r="NZZ91" s="378"/>
      <c r="OAA91" s="378"/>
      <c r="OAB91" s="378"/>
      <c r="OAC91" s="378"/>
      <c r="OAD91" s="378"/>
      <c r="OAE91" s="378"/>
      <c r="OAF91" s="378"/>
      <c r="OAG91" s="378"/>
      <c r="OAH91" s="378"/>
      <c r="OAI91" s="378"/>
      <c r="OAJ91" s="378"/>
      <c r="OAK91" s="378"/>
      <c r="OAL91" s="378"/>
      <c r="OAM91" s="378"/>
      <c r="OAN91" s="378"/>
      <c r="OAO91" s="378"/>
      <c r="OAP91" s="378"/>
      <c r="OAQ91" s="378"/>
      <c r="OAR91" s="378"/>
      <c r="OAS91" s="378"/>
      <c r="OAT91" s="378"/>
      <c r="OAU91" s="378"/>
      <c r="OAV91" s="378"/>
      <c r="OAW91" s="378"/>
      <c r="OAX91" s="378"/>
      <c r="OAY91" s="378"/>
      <c r="OAZ91" s="378"/>
      <c r="OBA91" s="378"/>
      <c r="OBB91" s="378"/>
      <c r="OBC91" s="378"/>
      <c r="OBD91" s="378"/>
      <c r="OBE91" s="378"/>
      <c r="OBF91" s="378"/>
      <c r="OBG91" s="378"/>
      <c r="OBH91" s="378"/>
      <c r="OBI91" s="378"/>
      <c r="OBJ91" s="378"/>
      <c r="OBK91" s="378"/>
      <c r="OBL91" s="378"/>
      <c r="OBM91" s="378"/>
      <c r="OBN91" s="378"/>
      <c r="OBO91" s="378"/>
      <c r="OBP91" s="378"/>
      <c r="OBQ91" s="378"/>
      <c r="OBR91" s="378"/>
      <c r="OBS91" s="378"/>
      <c r="OBT91" s="378"/>
      <c r="OBU91" s="378"/>
      <c r="OBV91" s="378"/>
      <c r="OBW91" s="378"/>
      <c r="OBX91" s="378"/>
      <c r="OBY91" s="378"/>
      <c r="OBZ91" s="378"/>
      <c r="OCA91" s="378"/>
      <c r="OCB91" s="378"/>
      <c r="OCC91" s="378"/>
      <c r="OCD91" s="378"/>
      <c r="OCE91" s="378"/>
      <c r="OCF91" s="378"/>
      <c r="OCG91" s="378"/>
      <c r="OCH91" s="378"/>
      <c r="OCI91" s="378"/>
      <c r="OCJ91" s="378"/>
      <c r="OCK91" s="378"/>
      <c r="OCL91" s="378"/>
      <c r="OCM91" s="378"/>
      <c r="OCN91" s="378"/>
      <c r="OCO91" s="378"/>
      <c r="OCP91" s="378"/>
      <c r="OCQ91" s="378"/>
      <c r="OCR91" s="378"/>
      <c r="OCS91" s="378"/>
      <c r="OCT91" s="378"/>
      <c r="OCU91" s="378"/>
      <c r="OCV91" s="378"/>
      <c r="OCW91" s="378"/>
      <c r="OCX91" s="378"/>
      <c r="OCY91" s="378"/>
      <c r="OCZ91" s="378"/>
      <c r="ODA91" s="378"/>
      <c r="ODB91" s="378"/>
      <c r="ODC91" s="378"/>
      <c r="ODD91" s="378"/>
      <c r="ODE91" s="378"/>
      <c r="ODF91" s="378"/>
      <c r="ODG91" s="378"/>
      <c r="ODH91" s="378"/>
      <c r="ODI91" s="378"/>
      <c r="ODJ91" s="378"/>
      <c r="ODK91" s="378"/>
      <c r="ODL91" s="378"/>
      <c r="ODM91" s="378"/>
      <c r="ODN91" s="378"/>
      <c r="ODO91" s="378"/>
      <c r="ODP91" s="378"/>
      <c r="ODQ91" s="378"/>
      <c r="ODR91" s="378"/>
      <c r="ODS91" s="378"/>
      <c r="ODT91" s="378"/>
      <c r="ODU91" s="378"/>
      <c r="ODV91" s="378"/>
      <c r="ODW91" s="378"/>
      <c r="ODX91" s="378"/>
      <c r="ODY91" s="378"/>
      <c r="ODZ91" s="378"/>
      <c r="OEA91" s="378"/>
      <c r="OEB91" s="378"/>
      <c r="OEC91" s="378"/>
      <c r="OED91" s="378"/>
      <c r="OEE91" s="378"/>
      <c r="OEF91" s="378"/>
      <c r="OEG91" s="378"/>
      <c r="OEH91" s="378"/>
      <c r="OEI91" s="378"/>
      <c r="OEJ91" s="378"/>
      <c r="OEK91" s="378"/>
      <c r="OEL91" s="378"/>
      <c r="OEM91" s="378"/>
      <c r="OEN91" s="378"/>
      <c r="OEO91" s="378"/>
      <c r="OEP91" s="378"/>
      <c r="OEQ91" s="378"/>
      <c r="OER91" s="378"/>
      <c r="OES91" s="378"/>
      <c r="OET91" s="378"/>
      <c r="OEU91" s="378"/>
      <c r="OEV91" s="378"/>
      <c r="OEW91" s="378"/>
      <c r="OEX91" s="378"/>
      <c r="OEY91" s="378"/>
      <c r="OEZ91" s="378"/>
      <c r="OFA91" s="378"/>
      <c r="OFB91" s="378"/>
      <c r="OFC91" s="378"/>
      <c r="OFD91" s="378"/>
      <c r="OFE91" s="378"/>
      <c r="OFF91" s="378"/>
      <c r="OFG91" s="378"/>
      <c r="OFH91" s="378"/>
      <c r="OFI91" s="378"/>
      <c r="OFJ91" s="378"/>
      <c r="OFK91" s="378"/>
      <c r="OFL91" s="378"/>
      <c r="OFM91" s="378"/>
      <c r="OFN91" s="378"/>
      <c r="OFO91" s="378"/>
      <c r="OFP91" s="378"/>
      <c r="OFQ91" s="378"/>
      <c r="OFR91" s="378"/>
      <c r="OFS91" s="378"/>
      <c r="OFT91" s="378"/>
      <c r="OFU91" s="378"/>
      <c r="OFV91" s="378"/>
      <c r="OFW91" s="378"/>
      <c r="OFX91" s="378"/>
      <c r="OFY91" s="378"/>
      <c r="OFZ91" s="378"/>
      <c r="OGA91" s="378"/>
      <c r="OGB91" s="378"/>
      <c r="OGC91" s="378"/>
      <c r="OGD91" s="378"/>
      <c r="OGE91" s="378"/>
      <c r="OGF91" s="378"/>
      <c r="OGG91" s="378"/>
      <c r="OGH91" s="378"/>
      <c r="OGI91" s="378"/>
      <c r="OGJ91" s="378"/>
      <c r="OGK91" s="378"/>
      <c r="OGL91" s="378"/>
      <c r="OGM91" s="378"/>
      <c r="OGN91" s="378"/>
      <c r="OGO91" s="378"/>
      <c r="OGP91" s="378"/>
      <c r="OGQ91" s="378"/>
      <c r="OGR91" s="378"/>
      <c r="OGS91" s="378"/>
      <c r="OGT91" s="378"/>
      <c r="OGU91" s="378"/>
      <c r="OGV91" s="378"/>
      <c r="OGW91" s="378"/>
      <c r="OGX91" s="378"/>
      <c r="OGY91" s="378"/>
      <c r="OGZ91" s="378"/>
      <c r="OHA91" s="378"/>
      <c r="OHB91" s="378"/>
      <c r="OHC91" s="378"/>
      <c r="OHD91" s="378"/>
      <c r="OHE91" s="378"/>
      <c r="OHF91" s="378"/>
      <c r="OHG91" s="378"/>
      <c r="OHH91" s="378"/>
      <c r="OHI91" s="378"/>
      <c r="OHJ91" s="378"/>
      <c r="OHK91" s="378"/>
      <c r="OHL91" s="378"/>
      <c r="OHM91" s="378"/>
      <c r="OHN91" s="378"/>
      <c r="OHO91" s="378"/>
      <c r="OHP91" s="378"/>
      <c r="OHQ91" s="378"/>
      <c r="OHR91" s="378"/>
      <c r="OHS91" s="378"/>
      <c r="OHT91" s="378"/>
      <c r="OHU91" s="378"/>
      <c r="OHV91" s="378"/>
      <c r="OHW91" s="378"/>
      <c r="OHX91" s="378"/>
      <c r="OHY91" s="378"/>
      <c r="OHZ91" s="378"/>
      <c r="OIA91" s="378"/>
      <c r="OIB91" s="378"/>
      <c r="OIC91" s="378"/>
      <c r="OID91" s="378"/>
      <c r="OIE91" s="378"/>
      <c r="OIF91" s="378"/>
      <c r="OIG91" s="378"/>
      <c r="OIH91" s="378"/>
      <c r="OII91" s="378"/>
      <c r="OIJ91" s="378"/>
      <c r="OIK91" s="378"/>
      <c r="OIL91" s="378"/>
      <c r="OIM91" s="378"/>
      <c r="OIN91" s="378"/>
      <c r="OIO91" s="378"/>
      <c r="OIP91" s="378"/>
      <c r="OIQ91" s="378"/>
      <c r="OIR91" s="378"/>
      <c r="OIS91" s="378"/>
      <c r="OIT91" s="378"/>
      <c r="OIU91" s="378"/>
      <c r="OIV91" s="378"/>
      <c r="OIW91" s="378"/>
      <c r="OIX91" s="378"/>
      <c r="OIY91" s="378"/>
      <c r="OIZ91" s="378"/>
      <c r="OJA91" s="378"/>
      <c r="OJB91" s="378"/>
      <c r="OJC91" s="378"/>
      <c r="OJD91" s="378"/>
      <c r="OJE91" s="378"/>
      <c r="OJF91" s="378"/>
      <c r="OJG91" s="378"/>
      <c r="OJH91" s="378"/>
      <c r="OJI91" s="378"/>
      <c r="OJJ91" s="378"/>
      <c r="OJK91" s="378"/>
      <c r="OJL91" s="378"/>
      <c r="OJM91" s="378"/>
      <c r="OJN91" s="378"/>
      <c r="OJO91" s="378"/>
      <c r="OJP91" s="378"/>
      <c r="OJQ91" s="378"/>
      <c r="OJR91" s="378"/>
      <c r="OJS91" s="378"/>
      <c r="OJT91" s="378"/>
      <c r="OJU91" s="378"/>
      <c r="OJV91" s="378"/>
      <c r="OJW91" s="378"/>
      <c r="OJX91" s="378"/>
      <c r="OJY91" s="378"/>
      <c r="OJZ91" s="378"/>
      <c r="OKA91" s="378"/>
      <c r="OKB91" s="378"/>
      <c r="OKC91" s="378"/>
      <c r="OKD91" s="378"/>
      <c r="OKE91" s="378"/>
      <c r="OKF91" s="378"/>
      <c r="OKG91" s="378"/>
      <c r="OKH91" s="378"/>
      <c r="OKI91" s="378"/>
      <c r="OKJ91" s="378"/>
      <c r="OKK91" s="378"/>
      <c r="OKL91" s="378"/>
      <c r="OKM91" s="378"/>
      <c r="OKN91" s="378"/>
      <c r="OKO91" s="378"/>
      <c r="OKP91" s="378"/>
      <c r="OKQ91" s="378"/>
      <c r="OKR91" s="378"/>
      <c r="OKS91" s="378"/>
      <c r="OKT91" s="378"/>
      <c r="OKU91" s="378"/>
      <c r="OKV91" s="378"/>
      <c r="OKW91" s="378"/>
      <c r="OKX91" s="378"/>
      <c r="OKY91" s="378"/>
      <c r="OKZ91" s="378"/>
      <c r="OLA91" s="378"/>
      <c r="OLB91" s="378"/>
      <c r="OLC91" s="378"/>
      <c r="OLD91" s="378"/>
      <c r="OLE91" s="378"/>
      <c r="OLF91" s="378"/>
      <c r="OLG91" s="378"/>
      <c r="OLH91" s="378"/>
      <c r="OLI91" s="378"/>
      <c r="OLJ91" s="378"/>
      <c r="OLK91" s="378"/>
      <c r="OLL91" s="378"/>
      <c r="OLM91" s="378"/>
      <c r="OLN91" s="378"/>
      <c r="OLO91" s="378"/>
      <c r="OLP91" s="378"/>
      <c r="OLQ91" s="378"/>
      <c r="OLR91" s="378"/>
      <c r="OLS91" s="378"/>
      <c r="OLT91" s="378"/>
      <c r="OLU91" s="378"/>
      <c r="OLV91" s="378"/>
      <c r="OLW91" s="378"/>
      <c r="OLX91" s="378"/>
      <c r="OLY91" s="378"/>
      <c r="OLZ91" s="378"/>
      <c r="OMA91" s="378"/>
      <c r="OMB91" s="378"/>
      <c r="OMC91" s="378"/>
      <c r="OMD91" s="378"/>
      <c r="OME91" s="378"/>
      <c r="OMF91" s="378"/>
      <c r="OMG91" s="378"/>
      <c r="OMH91" s="378"/>
      <c r="OMI91" s="378"/>
      <c r="OMJ91" s="378"/>
      <c r="OMK91" s="378"/>
      <c r="OML91" s="378"/>
      <c r="OMM91" s="378"/>
      <c r="OMN91" s="378"/>
      <c r="OMO91" s="378"/>
      <c r="OMP91" s="378"/>
      <c r="OMQ91" s="378"/>
      <c r="OMR91" s="378"/>
      <c r="OMS91" s="378"/>
      <c r="OMT91" s="378"/>
      <c r="OMU91" s="378"/>
      <c r="OMV91" s="378"/>
      <c r="OMW91" s="378"/>
      <c r="OMX91" s="378"/>
      <c r="OMY91" s="378"/>
      <c r="OMZ91" s="378"/>
      <c r="ONA91" s="378"/>
      <c r="ONB91" s="378"/>
      <c r="ONC91" s="378"/>
      <c r="OND91" s="378"/>
      <c r="ONE91" s="378"/>
      <c r="ONF91" s="378"/>
      <c r="ONG91" s="378"/>
      <c r="ONH91" s="378"/>
      <c r="ONI91" s="378"/>
      <c r="ONJ91" s="378"/>
      <c r="ONK91" s="378"/>
      <c r="ONL91" s="378"/>
      <c r="ONM91" s="378"/>
      <c r="ONN91" s="378"/>
      <c r="ONO91" s="378"/>
      <c r="ONP91" s="378"/>
      <c r="ONQ91" s="378"/>
      <c r="ONR91" s="378"/>
      <c r="ONS91" s="378"/>
      <c r="ONT91" s="378"/>
      <c r="ONU91" s="378"/>
      <c r="ONV91" s="378"/>
      <c r="ONW91" s="378"/>
      <c r="ONX91" s="378"/>
      <c r="ONY91" s="378"/>
      <c r="ONZ91" s="378"/>
      <c r="OOA91" s="378"/>
      <c r="OOB91" s="378"/>
      <c r="OOC91" s="378"/>
      <c r="OOD91" s="378"/>
      <c r="OOE91" s="378"/>
      <c r="OOF91" s="378"/>
      <c r="OOG91" s="378"/>
      <c r="OOH91" s="378"/>
      <c r="OOI91" s="378"/>
      <c r="OOJ91" s="378"/>
      <c r="OOK91" s="378"/>
      <c r="OOL91" s="378"/>
      <c r="OOM91" s="378"/>
      <c r="OON91" s="378"/>
      <c r="OOO91" s="378"/>
      <c r="OOP91" s="378"/>
      <c r="OOQ91" s="378"/>
      <c r="OOR91" s="378"/>
      <c r="OOS91" s="378"/>
      <c r="OOT91" s="378"/>
      <c r="OOU91" s="378"/>
      <c r="OOV91" s="378"/>
      <c r="OOW91" s="378"/>
      <c r="OOX91" s="378"/>
      <c r="OOY91" s="378"/>
      <c r="OOZ91" s="378"/>
      <c r="OPA91" s="378"/>
      <c r="OPB91" s="378"/>
      <c r="OPC91" s="378"/>
      <c r="OPD91" s="378"/>
      <c r="OPE91" s="378"/>
      <c r="OPF91" s="378"/>
      <c r="OPG91" s="378"/>
      <c r="OPH91" s="378"/>
      <c r="OPI91" s="378"/>
      <c r="OPJ91" s="378"/>
      <c r="OPK91" s="378"/>
      <c r="OPL91" s="378"/>
      <c r="OPM91" s="378"/>
      <c r="OPN91" s="378"/>
      <c r="OPO91" s="378"/>
      <c r="OPP91" s="378"/>
      <c r="OPQ91" s="378"/>
      <c r="OPR91" s="378"/>
      <c r="OPS91" s="378"/>
      <c r="OPT91" s="378"/>
      <c r="OPU91" s="378"/>
      <c r="OPV91" s="378"/>
      <c r="OPW91" s="378"/>
      <c r="OPX91" s="378"/>
      <c r="OPY91" s="378"/>
      <c r="OPZ91" s="378"/>
      <c r="OQA91" s="378"/>
      <c r="OQB91" s="378"/>
      <c r="OQC91" s="378"/>
      <c r="OQD91" s="378"/>
      <c r="OQE91" s="378"/>
      <c r="OQF91" s="378"/>
      <c r="OQG91" s="378"/>
      <c r="OQH91" s="378"/>
      <c r="OQI91" s="378"/>
      <c r="OQJ91" s="378"/>
      <c r="OQK91" s="378"/>
      <c r="OQL91" s="378"/>
      <c r="OQM91" s="378"/>
      <c r="OQN91" s="378"/>
      <c r="OQO91" s="378"/>
      <c r="OQP91" s="378"/>
      <c r="OQQ91" s="378"/>
      <c r="OQR91" s="378"/>
      <c r="OQS91" s="378"/>
      <c r="OQT91" s="378"/>
      <c r="OQU91" s="378"/>
      <c r="OQV91" s="378"/>
      <c r="OQW91" s="378"/>
      <c r="OQX91" s="378"/>
      <c r="OQY91" s="378"/>
      <c r="OQZ91" s="378"/>
      <c r="ORA91" s="378"/>
      <c r="ORB91" s="378"/>
      <c r="ORC91" s="378"/>
      <c r="ORD91" s="378"/>
      <c r="ORE91" s="378"/>
      <c r="ORF91" s="378"/>
      <c r="ORG91" s="378"/>
      <c r="ORH91" s="378"/>
      <c r="ORI91" s="378"/>
      <c r="ORJ91" s="378"/>
      <c r="ORK91" s="378"/>
      <c r="ORL91" s="378"/>
      <c r="ORM91" s="378"/>
      <c r="ORN91" s="378"/>
      <c r="ORO91" s="378"/>
      <c r="ORP91" s="378"/>
      <c r="ORQ91" s="378"/>
      <c r="ORR91" s="378"/>
      <c r="ORS91" s="378"/>
      <c r="ORT91" s="378"/>
      <c r="ORU91" s="378"/>
      <c r="ORV91" s="378"/>
      <c r="ORW91" s="378"/>
      <c r="ORX91" s="378"/>
      <c r="ORY91" s="378"/>
      <c r="ORZ91" s="378"/>
      <c r="OSA91" s="378"/>
      <c r="OSB91" s="378"/>
      <c r="OSC91" s="378"/>
      <c r="OSD91" s="378"/>
      <c r="OSE91" s="378"/>
      <c r="OSF91" s="378"/>
      <c r="OSG91" s="378"/>
      <c r="OSH91" s="378"/>
      <c r="OSI91" s="378"/>
      <c r="OSJ91" s="378"/>
      <c r="OSK91" s="378"/>
      <c r="OSL91" s="378"/>
      <c r="OSM91" s="378"/>
      <c r="OSN91" s="378"/>
      <c r="OSO91" s="378"/>
      <c r="OSP91" s="378"/>
      <c r="OSQ91" s="378"/>
      <c r="OSR91" s="378"/>
      <c r="OSS91" s="378"/>
      <c r="OST91" s="378"/>
      <c r="OSU91" s="378"/>
      <c r="OSV91" s="378"/>
      <c r="OSW91" s="378"/>
      <c r="OSX91" s="378"/>
      <c r="OSY91" s="378"/>
      <c r="OSZ91" s="378"/>
      <c r="OTA91" s="378"/>
      <c r="OTB91" s="378"/>
      <c r="OTC91" s="378"/>
      <c r="OTD91" s="378"/>
      <c r="OTE91" s="378"/>
      <c r="OTF91" s="378"/>
      <c r="OTG91" s="378"/>
      <c r="OTH91" s="378"/>
      <c r="OTI91" s="378"/>
      <c r="OTJ91" s="378"/>
      <c r="OTK91" s="378"/>
      <c r="OTL91" s="378"/>
      <c r="OTM91" s="378"/>
      <c r="OTN91" s="378"/>
      <c r="OTO91" s="378"/>
      <c r="OTP91" s="378"/>
      <c r="OTQ91" s="378"/>
      <c r="OTR91" s="378"/>
      <c r="OTS91" s="378"/>
      <c r="OTT91" s="378"/>
      <c r="OTU91" s="378"/>
      <c r="OTV91" s="378"/>
      <c r="OTW91" s="378"/>
      <c r="OTX91" s="378"/>
      <c r="OTY91" s="378"/>
      <c r="OTZ91" s="378"/>
      <c r="OUA91" s="378"/>
      <c r="OUB91" s="378"/>
      <c r="OUC91" s="378"/>
      <c r="OUD91" s="378"/>
      <c r="OUE91" s="378"/>
      <c r="OUF91" s="378"/>
      <c r="OUG91" s="378"/>
      <c r="OUH91" s="378"/>
      <c r="OUI91" s="378"/>
      <c r="OUJ91" s="378"/>
      <c r="OUK91" s="378"/>
      <c r="OUL91" s="378"/>
      <c r="OUM91" s="378"/>
      <c r="OUN91" s="378"/>
      <c r="OUO91" s="378"/>
      <c r="OUP91" s="378"/>
      <c r="OUQ91" s="378"/>
      <c r="OUR91" s="378"/>
      <c r="OUS91" s="378"/>
      <c r="OUT91" s="378"/>
      <c r="OUU91" s="378"/>
      <c r="OUV91" s="378"/>
      <c r="OUW91" s="378"/>
      <c r="OUX91" s="378"/>
      <c r="OUY91" s="378"/>
      <c r="OUZ91" s="378"/>
      <c r="OVA91" s="378"/>
      <c r="OVB91" s="378"/>
      <c r="OVC91" s="378"/>
      <c r="OVD91" s="378"/>
      <c r="OVE91" s="378"/>
      <c r="OVF91" s="378"/>
      <c r="OVG91" s="378"/>
      <c r="OVH91" s="378"/>
      <c r="OVI91" s="378"/>
      <c r="OVJ91" s="378"/>
      <c r="OVK91" s="378"/>
      <c r="OVL91" s="378"/>
      <c r="OVM91" s="378"/>
      <c r="OVN91" s="378"/>
      <c r="OVO91" s="378"/>
      <c r="OVP91" s="378"/>
      <c r="OVQ91" s="378"/>
      <c r="OVR91" s="378"/>
      <c r="OVS91" s="378"/>
      <c r="OVT91" s="378"/>
      <c r="OVU91" s="378"/>
      <c r="OVV91" s="378"/>
      <c r="OVW91" s="378"/>
      <c r="OVX91" s="378"/>
      <c r="OVY91" s="378"/>
      <c r="OVZ91" s="378"/>
      <c r="OWA91" s="378"/>
      <c r="OWB91" s="378"/>
      <c r="OWC91" s="378"/>
      <c r="OWD91" s="378"/>
      <c r="OWE91" s="378"/>
      <c r="OWF91" s="378"/>
      <c r="OWG91" s="378"/>
      <c r="OWH91" s="378"/>
      <c r="OWI91" s="378"/>
      <c r="OWJ91" s="378"/>
      <c r="OWK91" s="378"/>
      <c r="OWL91" s="378"/>
      <c r="OWM91" s="378"/>
      <c r="OWN91" s="378"/>
      <c r="OWO91" s="378"/>
      <c r="OWP91" s="378"/>
      <c r="OWQ91" s="378"/>
      <c r="OWR91" s="378"/>
      <c r="OWS91" s="378"/>
      <c r="OWT91" s="378"/>
      <c r="OWU91" s="378"/>
      <c r="OWV91" s="378"/>
      <c r="OWW91" s="378"/>
      <c r="OWX91" s="378"/>
      <c r="OWY91" s="378"/>
      <c r="OWZ91" s="378"/>
      <c r="OXA91" s="378"/>
      <c r="OXB91" s="378"/>
      <c r="OXC91" s="378"/>
      <c r="OXD91" s="378"/>
      <c r="OXE91" s="378"/>
      <c r="OXF91" s="378"/>
      <c r="OXG91" s="378"/>
      <c r="OXH91" s="378"/>
      <c r="OXI91" s="378"/>
      <c r="OXJ91" s="378"/>
      <c r="OXK91" s="378"/>
      <c r="OXL91" s="378"/>
      <c r="OXM91" s="378"/>
      <c r="OXN91" s="378"/>
      <c r="OXO91" s="378"/>
      <c r="OXP91" s="378"/>
      <c r="OXQ91" s="378"/>
      <c r="OXR91" s="378"/>
      <c r="OXS91" s="378"/>
      <c r="OXT91" s="378"/>
      <c r="OXU91" s="378"/>
      <c r="OXV91" s="378"/>
      <c r="OXW91" s="378"/>
      <c r="OXX91" s="378"/>
      <c r="OXY91" s="378"/>
      <c r="OXZ91" s="378"/>
      <c r="OYA91" s="378"/>
      <c r="OYB91" s="378"/>
      <c r="OYC91" s="378"/>
      <c r="OYD91" s="378"/>
      <c r="OYE91" s="378"/>
      <c r="OYF91" s="378"/>
      <c r="OYG91" s="378"/>
      <c r="OYH91" s="378"/>
      <c r="OYI91" s="378"/>
      <c r="OYJ91" s="378"/>
      <c r="OYK91" s="378"/>
      <c r="OYL91" s="378"/>
      <c r="OYM91" s="378"/>
      <c r="OYN91" s="378"/>
      <c r="OYO91" s="378"/>
      <c r="OYP91" s="378"/>
      <c r="OYQ91" s="378"/>
      <c r="OYR91" s="378"/>
      <c r="OYS91" s="378"/>
      <c r="OYT91" s="378"/>
      <c r="OYU91" s="378"/>
      <c r="OYV91" s="378"/>
      <c r="OYW91" s="378"/>
      <c r="OYX91" s="378"/>
      <c r="OYY91" s="378"/>
      <c r="OYZ91" s="378"/>
      <c r="OZA91" s="378"/>
      <c r="OZB91" s="378"/>
      <c r="OZC91" s="378"/>
      <c r="OZD91" s="378"/>
      <c r="OZE91" s="378"/>
      <c r="OZF91" s="378"/>
      <c r="OZG91" s="378"/>
      <c r="OZH91" s="378"/>
      <c r="OZI91" s="378"/>
      <c r="OZJ91" s="378"/>
      <c r="OZK91" s="378"/>
      <c r="OZL91" s="378"/>
      <c r="OZM91" s="378"/>
      <c r="OZN91" s="378"/>
      <c r="OZO91" s="378"/>
      <c r="OZP91" s="378"/>
      <c r="OZQ91" s="378"/>
      <c r="OZR91" s="378"/>
      <c r="OZS91" s="378"/>
      <c r="OZT91" s="378"/>
      <c r="OZU91" s="378"/>
      <c r="OZV91" s="378"/>
      <c r="OZW91" s="378"/>
      <c r="OZX91" s="378"/>
      <c r="OZY91" s="378"/>
      <c r="OZZ91" s="378"/>
      <c r="PAA91" s="378"/>
      <c r="PAB91" s="378"/>
      <c r="PAC91" s="378"/>
      <c r="PAD91" s="378"/>
      <c r="PAE91" s="378"/>
      <c r="PAF91" s="378"/>
      <c r="PAG91" s="378"/>
      <c r="PAH91" s="378"/>
      <c r="PAI91" s="378"/>
      <c r="PAJ91" s="378"/>
      <c r="PAK91" s="378"/>
      <c r="PAL91" s="378"/>
      <c r="PAM91" s="378"/>
      <c r="PAN91" s="378"/>
      <c r="PAO91" s="378"/>
      <c r="PAP91" s="378"/>
      <c r="PAQ91" s="378"/>
      <c r="PAR91" s="378"/>
      <c r="PAS91" s="378"/>
      <c r="PAT91" s="378"/>
      <c r="PAU91" s="378"/>
      <c r="PAV91" s="378"/>
      <c r="PAW91" s="378"/>
      <c r="PAX91" s="378"/>
      <c r="PAY91" s="378"/>
      <c r="PAZ91" s="378"/>
      <c r="PBA91" s="378"/>
      <c r="PBB91" s="378"/>
      <c r="PBC91" s="378"/>
      <c r="PBD91" s="378"/>
      <c r="PBE91" s="378"/>
      <c r="PBF91" s="378"/>
      <c r="PBG91" s="378"/>
      <c r="PBH91" s="378"/>
      <c r="PBI91" s="378"/>
      <c r="PBJ91" s="378"/>
      <c r="PBK91" s="378"/>
      <c r="PBL91" s="378"/>
      <c r="PBM91" s="378"/>
      <c r="PBN91" s="378"/>
      <c r="PBO91" s="378"/>
      <c r="PBP91" s="378"/>
      <c r="PBQ91" s="378"/>
      <c r="PBR91" s="378"/>
      <c r="PBS91" s="378"/>
      <c r="PBT91" s="378"/>
      <c r="PBU91" s="378"/>
      <c r="PBV91" s="378"/>
      <c r="PBW91" s="378"/>
      <c r="PBX91" s="378"/>
      <c r="PBY91" s="378"/>
      <c r="PBZ91" s="378"/>
      <c r="PCA91" s="378"/>
      <c r="PCB91" s="378"/>
      <c r="PCC91" s="378"/>
      <c r="PCD91" s="378"/>
      <c r="PCE91" s="378"/>
      <c r="PCF91" s="378"/>
      <c r="PCG91" s="378"/>
      <c r="PCH91" s="378"/>
      <c r="PCI91" s="378"/>
      <c r="PCJ91" s="378"/>
      <c r="PCK91" s="378"/>
      <c r="PCL91" s="378"/>
      <c r="PCM91" s="378"/>
      <c r="PCN91" s="378"/>
      <c r="PCO91" s="378"/>
      <c r="PCP91" s="378"/>
      <c r="PCQ91" s="378"/>
      <c r="PCR91" s="378"/>
      <c r="PCS91" s="378"/>
      <c r="PCT91" s="378"/>
      <c r="PCU91" s="378"/>
      <c r="PCV91" s="378"/>
      <c r="PCW91" s="378"/>
      <c r="PCX91" s="378"/>
      <c r="PCY91" s="378"/>
      <c r="PCZ91" s="378"/>
      <c r="PDA91" s="378"/>
      <c r="PDB91" s="378"/>
      <c r="PDC91" s="378"/>
      <c r="PDD91" s="378"/>
      <c r="PDE91" s="378"/>
      <c r="PDF91" s="378"/>
      <c r="PDG91" s="378"/>
      <c r="PDH91" s="378"/>
      <c r="PDI91" s="378"/>
      <c r="PDJ91" s="378"/>
      <c r="PDK91" s="378"/>
      <c r="PDL91" s="378"/>
      <c r="PDM91" s="378"/>
      <c r="PDN91" s="378"/>
      <c r="PDO91" s="378"/>
      <c r="PDP91" s="378"/>
      <c r="PDQ91" s="378"/>
      <c r="PDR91" s="378"/>
      <c r="PDS91" s="378"/>
      <c r="PDT91" s="378"/>
      <c r="PDU91" s="378"/>
      <c r="PDV91" s="378"/>
      <c r="PDW91" s="378"/>
      <c r="PDX91" s="378"/>
      <c r="PDY91" s="378"/>
      <c r="PDZ91" s="378"/>
      <c r="PEA91" s="378"/>
      <c r="PEB91" s="378"/>
      <c r="PEC91" s="378"/>
      <c r="PED91" s="378"/>
      <c r="PEE91" s="378"/>
      <c r="PEF91" s="378"/>
      <c r="PEG91" s="378"/>
      <c r="PEH91" s="378"/>
      <c r="PEI91" s="378"/>
      <c r="PEJ91" s="378"/>
      <c r="PEK91" s="378"/>
      <c r="PEL91" s="378"/>
      <c r="PEM91" s="378"/>
      <c r="PEN91" s="378"/>
      <c r="PEO91" s="378"/>
      <c r="PEP91" s="378"/>
      <c r="PEQ91" s="378"/>
      <c r="PER91" s="378"/>
      <c r="PES91" s="378"/>
      <c r="PET91" s="378"/>
      <c r="PEU91" s="378"/>
      <c r="PEV91" s="378"/>
      <c r="PEW91" s="378"/>
      <c r="PEX91" s="378"/>
      <c r="PEY91" s="378"/>
      <c r="PEZ91" s="378"/>
      <c r="PFA91" s="378"/>
      <c r="PFB91" s="378"/>
      <c r="PFC91" s="378"/>
      <c r="PFD91" s="378"/>
      <c r="PFE91" s="378"/>
      <c r="PFF91" s="378"/>
      <c r="PFG91" s="378"/>
      <c r="PFH91" s="378"/>
      <c r="PFI91" s="378"/>
      <c r="PFJ91" s="378"/>
      <c r="PFK91" s="378"/>
      <c r="PFL91" s="378"/>
      <c r="PFM91" s="378"/>
      <c r="PFN91" s="378"/>
      <c r="PFO91" s="378"/>
      <c r="PFP91" s="378"/>
      <c r="PFQ91" s="378"/>
      <c r="PFR91" s="378"/>
      <c r="PFS91" s="378"/>
      <c r="PFT91" s="378"/>
      <c r="PFU91" s="378"/>
      <c r="PFV91" s="378"/>
      <c r="PFW91" s="378"/>
      <c r="PFX91" s="378"/>
      <c r="PFY91" s="378"/>
      <c r="PFZ91" s="378"/>
      <c r="PGA91" s="378"/>
      <c r="PGB91" s="378"/>
      <c r="PGC91" s="378"/>
      <c r="PGD91" s="378"/>
      <c r="PGE91" s="378"/>
      <c r="PGF91" s="378"/>
      <c r="PGG91" s="378"/>
      <c r="PGH91" s="378"/>
      <c r="PGI91" s="378"/>
      <c r="PGJ91" s="378"/>
      <c r="PGK91" s="378"/>
      <c r="PGL91" s="378"/>
      <c r="PGM91" s="378"/>
      <c r="PGN91" s="378"/>
      <c r="PGO91" s="378"/>
      <c r="PGP91" s="378"/>
      <c r="PGQ91" s="378"/>
      <c r="PGR91" s="378"/>
      <c r="PGS91" s="378"/>
      <c r="PGT91" s="378"/>
      <c r="PGU91" s="378"/>
      <c r="PGV91" s="378"/>
      <c r="PGW91" s="378"/>
      <c r="PGX91" s="378"/>
      <c r="PGY91" s="378"/>
      <c r="PGZ91" s="378"/>
      <c r="PHA91" s="378"/>
      <c r="PHB91" s="378"/>
      <c r="PHC91" s="378"/>
      <c r="PHD91" s="378"/>
      <c r="PHE91" s="378"/>
      <c r="PHF91" s="378"/>
      <c r="PHG91" s="378"/>
      <c r="PHH91" s="378"/>
      <c r="PHI91" s="378"/>
      <c r="PHJ91" s="378"/>
      <c r="PHK91" s="378"/>
      <c r="PHL91" s="378"/>
      <c r="PHM91" s="378"/>
      <c r="PHN91" s="378"/>
      <c r="PHO91" s="378"/>
      <c r="PHP91" s="378"/>
      <c r="PHQ91" s="378"/>
      <c r="PHR91" s="378"/>
      <c r="PHS91" s="378"/>
      <c r="PHT91" s="378"/>
      <c r="PHU91" s="378"/>
      <c r="PHV91" s="378"/>
      <c r="PHW91" s="378"/>
      <c r="PHX91" s="378"/>
      <c r="PHY91" s="378"/>
      <c r="PHZ91" s="378"/>
      <c r="PIA91" s="378"/>
      <c r="PIB91" s="378"/>
      <c r="PIC91" s="378"/>
      <c r="PID91" s="378"/>
      <c r="PIE91" s="378"/>
      <c r="PIF91" s="378"/>
      <c r="PIG91" s="378"/>
      <c r="PIH91" s="378"/>
      <c r="PII91" s="378"/>
      <c r="PIJ91" s="378"/>
      <c r="PIK91" s="378"/>
      <c r="PIL91" s="378"/>
      <c r="PIM91" s="378"/>
      <c r="PIN91" s="378"/>
      <c r="PIO91" s="378"/>
      <c r="PIP91" s="378"/>
      <c r="PIQ91" s="378"/>
      <c r="PIR91" s="378"/>
      <c r="PIS91" s="378"/>
      <c r="PIT91" s="378"/>
      <c r="PIU91" s="378"/>
      <c r="PIV91" s="378"/>
      <c r="PIW91" s="378"/>
      <c r="PIX91" s="378"/>
      <c r="PIY91" s="378"/>
      <c r="PIZ91" s="378"/>
      <c r="PJA91" s="378"/>
      <c r="PJB91" s="378"/>
      <c r="PJC91" s="378"/>
      <c r="PJD91" s="378"/>
      <c r="PJE91" s="378"/>
      <c r="PJF91" s="378"/>
      <c r="PJG91" s="378"/>
      <c r="PJH91" s="378"/>
      <c r="PJI91" s="378"/>
      <c r="PJJ91" s="378"/>
      <c r="PJK91" s="378"/>
      <c r="PJL91" s="378"/>
      <c r="PJM91" s="378"/>
      <c r="PJN91" s="378"/>
      <c r="PJO91" s="378"/>
      <c r="PJP91" s="378"/>
      <c r="PJQ91" s="378"/>
      <c r="PJR91" s="378"/>
      <c r="PJS91" s="378"/>
      <c r="PJT91" s="378"/>
      <c r="PJU91" s="378"/>
      <c r="PJV91" s="378"/>
      <c r="PJW91" s="378"/>
      <c r="PJX91" s="378"/>
      <c r="PJY91" s="378"/>
      <c r="PJZ91" s="378"/>
      <c r="PKA91" s="378"/>
      <c r="PKB91" s="378"/>
      <c r="PKC91" s="378"/>
      <c r="PKD91" s="378"/>
      <c r="PKE91" s="378"/>
      <c r="PKF91" s="378"/>
      <c r="PKG91" s="378"/>
      <c r="PKH91" s="378"/>
      <c r="PKI91" s="378"/>
      <c r="PKJ91" s="378"/>
      <c r="PKK91" s="378"/>
      <c r="PKL91" s="378"/>
      <c r="PKM91" s="378"/>
      <c r="PKN91" s="378"/>
      <c r="PKO91" s="378"/>
      <c r="PKP91" s="378"/>
      <c r="PKQ91" s="378"/>
      <c r="PKR91" s="378"/>
      <c r="PKS91" s="378"/>
      <c r="PKT91" s="378"/>
      <c r="PKU91" s="378"/>
      <c r="PKV91" s="378"/>
      <c r="PKW91" s="378"/>
      <c r="PKX91" s="378"/>
      <c r="PKY91" s="378"/>
      <c r="PKZ91" s="378"/>
      <c r="PLA91" s="378"/>
      <c r="PLB91" s="378"/>
      <c r="PLC91" s="378"/>
      <c r="PLD91" s="378"/>
      <c r="PLE91" s="378"/>
      <c r="PLF91" s="378"/>
      <c r="PLG91" s="378"/>
      <c r="PLH91" s="378"/>
      <c r="PLI91" s="378"/>
      <c r="PLJ91" s="378"/>
      <c r="PLK91" s="378"/>
      <c r="PLL91" s="378"/>
      <c r="PLM91" s="378"/>
      <c r="PLN91" s="378"/>
      <c r="PLO91" s="378"/>
      <c r="PLP91" s="378"/>
      <c r="PLQ91" s="378"/>
      <c r="PLR91" s="378"/>
      <c r="PLS91" s="378"/>
      <c r="PLT91" s="378"/>
      <c r="PLU91" s="378"/>
      <c r="PLV91" s="378"/>
      <c r="PLW91" s="378"/>
      <c r="PLX91" s="378"/>
      <c r="PLY91" s="378"/>
      <c r="PLZ91" s="378"/>
      <c r="PMA91" s="378"/>
      <c r="PMB91" s="378"/>
      <c r="PMC91" s="378"/>
      <c r="PMD91" s="378"/>
      <c r="PME91" s="378"/>
      <c r="PMF91" s="378"/>
      <c r="PMG91" s="378"/>
      <c r="PMH91" s="378"/>
      <c r="PMI91" s="378"/>
      <c r="PMJ91" s="378"/>
      <c r="PMK91" s="378"/>
      <c r="PML91" s="378"/>
      <c r="PMM91" s="378"/>
      <c r="PMN91" s="378"/>
      <c r="PMO91" s="378"/>
      <c r="PMP91" s="378"/>
      <c r="PMQ91" s="378"/>
      <c r="PMR91" s="378"/>
      <c r="PMS91" s="378"/>
      <c r="PMT91" s="378"/>
      <c r="PMU91" s="378"/>
      <c r="PMV91" s="378"/>
      <c r="PMW91" s="378"/>
      <c r="PMX91" s="378"/>
      <c r="PMY91" s="378"/>
      <c r="PMZ91" s="378"/>
      <c r="PNA91" s="378"/>
      <c r="PNB91" s="378"/>
      <c r="PNC91" s="378"/>
      <c r="PND91" s="378"/>
      <c r="PNE91" s="378"/>
      <c r="PNF91" s="378"/>
      <c r="PNG91" s="378"/>
      <c r="PNH91" s="378"/>
      <c r="PNI91" s="378"/>
      <c r="PNJ91" s="378"/>
      <c r="PNK91" s="378"/>
      <c r="PNL91" s="378"/>
      <c r="PNM91" s="378"/>
      <c r="PNN91" s="378"/>
      <c r="PNO91" s="378"/>
      <c r="PNP91" s="378"/>
      <c r="PNQ91" s="378"/>
      <c r="PNR91" s="378"/>
      <c r="PNS91" s="378"/>
      <c r="PNT91" s="378"/>
      <c r="PNU91" s="378"/>
      <c r="PNV91" s="378"/>
      <c r="PNW91" s="378"/>
      <c r="PNX91" s="378"/>
      <c r="PNY91" s="378"/>
      <c r="PNZ91" s="378"/>
      <c r="POA91" s="378"/>
      <c r="POB91" s="378"/>
      <c r="POC91" s="378"/>
      <c r="POD91" s="378"/>
      <c r="POE91" s="378"/>
      <c r="POF91" s="378"/>
      <c r="POG91" s="378"/>
      <c r="POH91" s="378"/>
      <c r="POI91" s="378"/>
      <c r="POJ91" s="378"/>
      <c r="POK91" s="378"/>
      <c r="POL91" s="378"/>
      <c r="POM91" s="378"/>
      <c r="PON91" s="378"/>
      <c r="POO91" s="378"/>
      <c r="POP91" s="378"/>
      <c r="POQ91" s="378"/>
      <c r="POR91" s="378"/>
      <c r="POS91" s="378"/>
      <c r="POT91" s="378"/>
      <c r="POU91" s="378"/>
      <c r="POV91" s="378"/>
      <c r="POW91" s="378"/>
      <c r="POX91" s="378"/>
      <c r="POY91" s="378"/>
      <c r="POZ91" s="378"/>
      <c r="PPA91" s="378"/>
      <c r="PPB91" s="378"/>
      <c r="PPC91" s="378"/>
      <c r="PPD91" s="378"/>
      <c r="PPE91" s="378"/>
      <c r="PPF91" s="378"/>
      <c r="PPG91" s="378"/>
      <c r="PPH91" s="378"/>
      <c r="PPI91" s="378"/>
      <c r="PPJ91" s="378"/>
      <c r="PPK91" s="378"/>
      <c r="PPL91" s="378"/>
      <c r="PPM91" s="378"/>
      <c r="PPN91" s="378"/>
      <c r="PPO91" s="378"/>
      <c r="PPP91" s="378"/>
      <c r="PPQ91" s="378"/>
      <c r="PPR91" s="378"/>
      <c r="PPS91" s="378"/>
      <c r="PPT91" s="378"/>
      <c r="PPU91" s="378"/>
      <c r="PPV91" s="378"/>
      <c r="PPW91" s="378"/>
      <c r="PPX91" s="378"/>
      <c r="PPY91" s="378"/>
      <c r="PPZ91" s="378"/>
      <c r="PQA91" s="378"/>
      <c r="PQB91" s="378"/>
      <c r="PQC91" s="378"/>
      <c r="PQD91" s="378"/>
      <c r="PQE91" s="378"/>
      <c r="PQF91" s="378"/>
      <c r="PQG91" s="378"/>
      <c r="PQH91" s="378"/>
      <c r="PQI91" s="378"/>
      <c r="PQJ91" s="378"/>
      <c r="PQK91" s="378"/>
      <c r="PQL91" s="378"/>
      <c r="PQM91" s="378"/>
      <c r="PQN91" s="378"/>
      <c r="PQO91" s="378"/>
      <c r="PQP91" s="378"/>
      <c r="PQQ91" s="378"/>
      <c r="PQR91" s="378"/>
      <c r="PQS91" s="378"/>
      <c r="PQT91" s="378"/>
      <c r="PQU91" s="378"/>
      <c r="PQV91" s="378"/>
      <c r="PQW91" s="378"/>
      <c r="PQX91" s="378"/>
      <c r="PQY91" s="378"/>
      <c r="PQZ91" s="378"/>
      <c r="PRA91" s="378"/>
      <c r="PRB91" s="378"/>
      <c r="PRC91" s="378"/>
      <c r="PRD91" s="378"/>
      <c r="PRE91" s="378"/>
      <c r="PRF91" s="378"/>
      <c r="PRG91" s="378"/>
      <c r="PRH91" s="378"/>
      <c r="PRI91" s="378"/>
      <c r="PRJ91" s="378"/>
      <c r="PRK91" s="378"/>
      <c r="PRL91" s="378"/>
      <c r="PRM91" s="378"/>
      <c r="PRN91" s="378"/>
      <c r="PRO91" s="378"/>
      <c r="PRP91" s="378"/>
      <c r="PRQ91" s="378"/>
      <c r="PRR91" s="378"/>
      <c r="PRS91" s="378"/>
      <c r="PRT91" s="378"/>
      <c r="PRU91" s="378"/>
      <c r="PRV91" s="378"/>
      <c r="PRW91" s="378"/>
      <c r="PRX91" s="378"/>
      <c r="PRY91" s="378"/>
      <c r="PRZ91" s="378"/>
      <c r="PSA91" s="378"/>
      <c r="PSB91" s="378"/>
      <c r="PSC91" s="378"/>
      <c r="PSD91" s="378"/>
      <c r="PSE91" s="378"/>
      <c r="PSF91" s="378"/>
      <c r="PSG91" s="378"/>
      <c r="PSH91" s="378"/>
      <c r="PSI91" s="378"/>
      <c r="PSJ91" s="378"/>
      <c r="PSK91" s="378"/>
      <c r="PSL91" s="378"/>
      <c r="PSM91" s="378"/>
      <c r="PSN91" s="378"/>
      <c r="PSO91" s="378"/>
      <c r="PSP91" s="378"/>
      <c r="PSQ91" s="378"/>
      <c r="PSR91" s="378"/>
      <c r="PSS91" s="378"/>
      <c r="PST91" s="378"/>
      <c r="PSU91" s="378"/>
      <c r="PSV91" s="378"/>
      <c r="PSW91" s="378"/>
      <c r="PSX91" s="378"/>
      <c r="PSY91" s="378"/>
      <c r="PSZ91" s="378"/>
      <c r="PTA91" s="378"/>
      <c r="PTB91" s="378"/>
      <c r="PTC91" s="378"/>
      <c r="PTD91" s="378"/>
      <c r="PTE91" s="378"/>
      <c r="PTF91" s="378"/>
      <c r="PTG91" s="378"/>
      <c r="PTH91" s="378"/>
      <c r="PTI91" s="378"/>
      <c r="PTJ91" s="378"/>
      <c r="PTK91" s="378"/>
      <c r="PTL91" s="378"/>
      <c r="PTM91" s="378"/>
      <c r="PTN91" s="378"/>
      <c r="PTO91" s="378"/>
      <c r="PTP91" s="378"/>
      <c r="PTQ91" s="378"/>
      <c r="PTR91" s="378"/>
      <c r="PTS91" s="378"/>
      <c r="PTT91" s="378"/>
      <c r="PTU91" s="378"/>
      <c r="PTV91" s="378"/>
      <c r="PTW91" s="378"/>
      <c r="PTX91" s="378"/>
      <c r="PTY91" s="378"/>
      <c r="PTZ91" s="378"/>
      <c r="PUA91" s="378"/>
      <c r="PUB91" s="378"/>
      <c r="PUC91" s="378"/>
      <c r="PUD91" s="378"/>
      <c r="PUE91" s="378"/>
      <c r="PUF91" s="378"/>
      <c r="PUG91" s="378"/>
      <c r="PUH91" s="378"/>
      <c r="PUI91" s="378"/>
      <c r="PUJ91" s="378"/>
      <c r="PUK91" s="378"/>
      <c r="PUL91" s="378"/>
      <c r="PUM91" s="378"/>
      <c r="PUN91" s="378"/>
      <c r="PUO91" s="378"/>
      <c r="PUP91" s="378"/>
      <c r="PUQ91" s="378"/>
      <c r="PUR91" s="378"/>
      <c r="PUS91" s="378"/>
      <c r="PUT91" s="378"/>
      <c r="PUU91" s="378"/>
      <c r="PUV91" s="378"/>
      <c r="PUW91" s="378"/>
      <c r="PUX91" s="378"/>
      <c r="PUY91" s="378"/>
      <c r="PUZ91" s="378"/>
      <c r="PVA91" s="378"/>
      <c r="PVB91" s="378"/>
      <c r="PVC91" s="378"/>
      <c r="PVD91" s="378"/>
      <c r="PVE91" s="378"/>
      <c r="PVF91" s="378"/>
      <c r="PVG91" s="378"/>
      <c r="PVH91" s="378"/>
      <c r="PVI91" s="378"/>
      <c r="PVJ91" s="378"/>
      <c r="PVK91" s="378"/>
      <c r="PVL91" s="378"/>
      <c r="PVM91" s="378"/>
      <c r="PVN91" s="378"/>
      <c r="PVO91" s="378"/>
      <c r="PVP91" s="378"/>
      <c r="PVQ91" s="378"/>
      <c r="PVR91" s="378"/>
      <c r="PVS91" s="378"/>
      <c r="PVT91" s="378"/>
      <c r="PVU91" s="378"/>
      <c r="PVV91" s="378"/>
      <c r="PVW91" s="378"/>
      <c r="PVX91" s="378"/>
      <c r="PVY91" s="378"/>
      <c r="PVZ91" s="378"/>
      <c r="PWA91" s="378"/>
      <c r="PWB91" s="378"/>
      <c r="PWC91" s="378"/>
      <c r="PWD91" s="378"/>
      <c r="PWE91" s="378"/>
      <c r="PWF91" s="378"/>
      <c r="PWG91" s="378"/>
      <c r="PWH91" s="378"/>
      <c r="PWI91" s="378"/>
      <c r="PWJ91" s="378"/>
      <c r="PWK91" s="378"/>
      <c r="PWL91" s="378"/>
      <c r="PWM91" s="378"/>
      <c r="PWN91" s="378"/>
      <c r="PWO91" s="378"/>
      <c r="PWP91" s="378"/>
      <c r="PWQ91" s="378"/>
      <c r="PWR91" s="378"/>
      <c r="PWS91" s="378"/>
      <c r="PWT91" s="378"/>
      <c r="PWU91" s="378"/>
      <c r="PWV91" s="378"/>
      <c r="PWW91" s="378"/>
      <c r="PWX91" s="378"/>
      <c r="PWY91" s="378"/>
      <c r="PWZ91" s="378"/>
      <c r="PXA91" s="378"/>
      <c r="PXB91" s="378"/>
      <c r="PXC91" s="378"/>
      <c r="PXD91" s="378"/>
      <c r="PXE91" s="378"/>
      <c r="PXF91" s="378"/>
      <c r="PXG91" s="378"/>
      <c r="PXH91" s="378"/>
      <c r="PXI91" s="378"/>
      <c r="PXJ91" s="378"/>
      <c r="PXK91" s="378"/>
      <c r="PXL91" s="378"/>
      <c r="PXM91" s="378"/>
      <c r="PXN91" s="378"/>
      <c r="PXO91" s="378"/>
      <c r="PXP91" s="378"/>
      <c r="PXQ91" s="378"/>
      <c r="PXR91" s="378"/>
      <c r="PXS91" s="378"/>
      <c r="PXT91" s="378"/>
      <c r="PXU91" s="378"/>
      <c r="PXV91" s="378"/>
      <c r="PXW91" s="378"/>
      <c r="PXX91" s="378"/>
      <c r="PXY91" s="378"/>
      <c r="PXZ91" s="378"/>
      <c r="PYA91" s="378"/>
      <c r="PYB91" s="378"/>
      <c r="PYC91" s="378"/>
      <c r="PYD91" s="378"/>
      <c r="PYE91" s="378"/>
      <c r="PYF91" s="378"/>
      <c r="PYG91" s="378"/>
      <c r="PYH91" s="378"/>
      <c r="PYI91" s="378"/>
      <c r="PYJ91" s="378"/>
      <c r="PYK91" s="378"/>
      <c r="PYL91" s="378"/>
      <c r="PYM91" s="378"/>
      <c r="PYN91" s="378"/>
      <c r="PYO91" s="378"/>
      <c r="PYP91" s="378"/>
      <c r="PYQ91" s="378"/>
      <c r="PYR91" s="378"/>
      <c r="PYS91" s="378"/>
      <c r="PYT91" s="378"/>
      <c r="PYU91" s="378"/>
      <c r="PYV91" s="378"/>
      <c r="PYW91" s="378"/>
      <c r="PYX91" s="378"/>
      <c r="PYY91" s="378"/>
      <c r="PYZ91" s="378"/>
      <c r="PZA91" s="378"/>
      <c r="PZB91" s="378"/>
      <c r="PZC91" s="378"/>
      <c r="PZD91" s="378"/>
      <c r="PZE91" s="378"/>
      <c r="PZF91" s="378"/>
      <c r="PZG91" s="378"/>
      <c r="PZH91" s="378"/>
      <c r="PZI91" s="378"/>
      <c r="PZJ91" s="378"/>
      <c r="PZK91" s="378"/>
      <c r="PZL91" s="378"/>
      <c r="PZM91" s="378"/>
      <c r="PZN91" s="378"/>
      <c r="PZO91" s="378"/>
      <c r="PZP91" s="378"/>
      <c r="PZQ91" s="378"/>
      <c r="PZR91" s="378"/>
      <c r="PZS91" s="378"/>
      <c r="PZT91" s="378"/>
      <c r="PZU91" s="378"/>
      <c r="PZV91" s="378"/>
      <c r="PZW91" s="378"/>
      <c r="PZX91" s="378"/>
      <c r="PZY91" s="378"/>
      <c r="PZZ91" s="378"/>
      <c r="QAA91" s="378"/>
      <c r="QAB91" s="378"/>
      <c r="QAC91" s="378"/>
      <c r="QAD91" s="378"/>
      <c r="QAE91" s="378"/>
      <c r="QAF91" s="378"/>
      <c r="QAG91" s="378"/>
      <c r="QAH91" s="378"/>
      <c r="QAI91" s="378"/>
      <c r="QAJ91" s="378"/>
      <c r="QAK91" s="378"/>
      <c r="QAL91" s="378"/>
      <c r="QAM91" s="378"/>
      <c r="QAN91" s="378"/>
      <c r="QAO91" s="378"/>
      <c r="QAP91" s="378"/>
      <c r="QAQ91" s="378"/>
      <c r="QAR91" s="378"/>
      <c r="QAS91" s="378"/>
      <c r="QAT91" s="378"/>
      <c r="QAU91" s="378"/>
      <c r="QAV91" s="378"/>
      <c r="QAW91" s="378"/>
      <c r="QAX91" s="378"/>
      <c r="QAY91" s="378"/>
      <c r="QAZ91" s="378"/>
      <c r="QBA91" s="378"/>
      <c r="QBB91" s="378"/>
      <c r="QBC91" s="378"/>
      <c r="QBD91" s="378"/>
      <c r="QBE91" s="378"/>
      <c r="QBF91" s="378"/>
      <c r="QBG91" s="378"/>
      <c r="QBH91" s="378"/>
      <c r="QBI91" s="378"/>
      <c r="QBJ91" s="378"/>
      <c r="QBK91" s="378"/>
      <c r="QBL91" s="378"/>
      <c r="QBM91" s="378"/>
      <c r="QBN91" s="378"/>
      <c r="QBO91" s="378"/>
      <c r="QBP91" s="378"/>
      <c r="QBQ91" s="378"/>
      <c r="QBR91" s="378"/>
      <c r="QBS91" s="378"/>
      <c r="QBT91" s="378"/>
      <c r="QBU91" s="378"/>
      <c r="QBV91" s="378"/>
      <c r="QBW91" s="378"/>
      <c r="QBX91" s="378"/>
      <c r="QBY91" s="378"/>
      <c r="QBZ91" s="378"/>
      <c r="QCA91" s="378"/>
      <c r="QCB91" s="378"/>
      <c r="QCC91" s="378"/>
      <c r="QCD91" s="378"/>
      <c r="QCE91" s="378"/>
      <c r="QCF91" s="378"/>
      <c r="QCG91" s="378"/>
      <c r="QCH91" s="378"/>
      <c r="QCI91" s="378"/>
      <c r="QCJ91" s="378"/>
      <c r="QCK91" s="378"/>
      <c r="QCL91" s="378"/>
      <c r="QCM91" s="378"/>
      <c r="QCN91" s="378"/>
      <c r="QCO91" s="378"/>
      <c r="QCP91" s="378"/>
      <c r="QCQ91" s="378"/>
      <c r="QCR91" s="378"/>
      <c r="QCS91" s="378"/>
      <c r="QCT91" s="378"/>
      <c r="QCU91" s="378"/>
      <c r="QCV91" s="378"/>
      <c r="QCW91" s="378"/>
      <c r="QCX91" s="378"/>
      <c r="QCY91" s="378"/>
      <c r="QCZ91" s="378"/>
      <c r="QDA91" s="378"/>
      <c r="QDB91" s="378"/>
      <c r="QDC91" s="378"/>
      <c r="QDD91" s="378"/>
      <c r="QDE91" s="378"/>
      <c r="QDF91" s="378"/>
      <c r="QDG91" s="378"/>
      <c r="QDH91" s="378"/>
      <c r="QDI91" s="378"/>
      <c r="QDJ91" s="378"/>
      <c r="QDK91" s="378"/>
      <c r="QDL91" s="378"/>
      <c r="QDM91" s="378"/>
      <c r="QDN91" s="378"/>
      <c r="QDO91" s="378"/>
      <c r="QDP91" s="378"/>
      <c r="QDQ91" s="378"/>
      <c r="QDR91" s="378"/>
      <c r="QDS91" s="378"/>
      <c r="QDT91" s="378"/>
      <c r="QDU91" s="378"/>
      <c r="QDV91" s="378"/>
      <c r="QDW91" s="378"/>
      <c r="QDX91" s="378"/>
      <c r="QDY91" s="378"/>
      <c r="QDZ91" s="378"/>
      <c r="QEA91" s="378"/>
      <c r="QEB91" s="378"/>
      <c r="QEC91" s="378"/>
      <c r="QED91" s="378"/>
      <c r="QEE91" s="378"/>
      <c r="QEF91" s="378"/>
      <c r="QEG91" s="378"/>
      <c r="QEH91" s="378"/>
      <c r="QEI91" s="378"/>
      <c r="QEJ91" s="378"/>
      <c r="QEK91" s="378"/>
      <c r="QEL91" s="378"/>
      <c r="QEM91" s="378"/>
      <c r="QEN91" s="378"/>
      <c r="QEO91" s="378"/>
      <c r="QEP91" s="378"/>
      <c r="QEQ91" s="378"/>
      <c r="QER91" s="378"/>
      <c r="QES91" s="378"/>
      <c r="QET91" s="378"/>
      <c r="QEU91" s="378"/>
      <c r="QEV91" s="378"/>
      <c r="QEW91" s="378"/>
      <c r="QEX91" s="378"/>
      <c r="QEY91" s="378"/>
      <c r="QEZ91" s="378"/>
      <c r="QFA91" s="378"/>
      <c r="QFB91" s="378"/>
      <c r="QFC91" s="378"/>
      <c r="QFD91" s="378"/>
      <c r="QFE91" s="378"/>
      <c r="QFF91" s="378"/>
      <c r="QFG91" s="378"/>
      <c r="QFH91" s="378"/>
      <c r="QFI91" s="378"/>
      <c r="QFJ91" s="378"/>
      <c r="QFK91" s="378"/>
      <c r="QFL91" s="378"/>
      <c r="QFM91" s="378"/>
      <c r="QFN91" s="378"/>
      <c r="QFO91" s="378"/>
      <c r="QFP91" s="378"/>
      <c r="QFQ91" s="378"/>
      <c r="QFR91" s="378"/>
      <c r="QFS91" s="378"/>
      <c r="QFT91" s="378"/>
      <c r="QFU91" s="378"/>
      <c r="QFV91" s="378"/>
      <c r="QFW91" s="378"/>
      <c r="QFX91" s="378"/>
      <c r="QFY91" s="378"/>
      <c r="QFZ91" s="378"/>
      <c r="QGA91" s="378"/>
      <c r="QGB91" s="378"/>
      <c r="QGC91" s="378"/>
      <c r="QGD91" s="378"/>
      <c r="QGE91" s="378"/>
      <c r="QGF91" s="378"/>
      <c r="QGG91" s="378"/>
      <c r="QGH91" s="378"/>
      <c r="QGI91" s="378"/>
      <c r="QGJ91" s="378"/>
      <c r="QGK91" s="378"/>
      <c r="QGL91" s="378"/>
      <c r="QGM91" s="378"/>
      <c r="QGN91" s="378"/>
      <c r="QGO91" s="378"/>
      <c r="QGP91" s="378"/>
      <c r="QGQ91" s="378"/>
      <c r="QGR91" s="378"/>
      <c r="QGS91" s="378"/>
      <c r="QGT91" s="378"/>
      <c r="QGU91" s="378"/>
      <c r="QGV91" s="378"/>
      <c r="QGW91" s="378"/>
      <c r="QGX91" s="378"/>
      <c r="QGY91" s="378"/>
      <c r="QGZ91" s="378"/>
      <c r="QHA91" s="378"/>
      <c r="QHB91" s="378"/>
      <c r="QHC91" s="378"/>
      <c r="QHD91" s="378"/>
      <c r="QHE91" s="378"/>
      <c r="QHF91" s="378"/>
      <c r="QHG91" s="378"/>
      <c r="QHH91" s="378"/>
      <c r="QHI91" s="378"/>
      <c r="QHJ91" s="378"/>
      <c r="QHK91" s="378"/>
      <c r="QHL91" s="378"/>
      <c r="QHM91" s="378"/>
      <c r="QHN91" s="378"/>
      <c r="QHO91" s="378"/>
      <c r="QHP91" s="378"/>
      <c r="QHQ91" s="378"/>
      <c r="QHR91" s="378"/>
      <c r="QHS91" s="378"/>
      <c r="QHT91" s="378"/>
      <c r="QHU91" s="378"/>
      <c r="QHV91" s="378"/>
      <c r="QHW91" s="378"/>
      <c r="QHX91" s="378"/>
      <c r="QHY91" s="378"/>
      <c r="QHZ91" s="378"/>
      <c r="QIA91" s="378"/>
      <c r="QIB91" s="378"/>
      <c r="QIC91" s="378"/>
      <c r="QID91" s="378"/>
      <c r="QIE91" s="378"/>
      <c r="QIF91" s="378"/>
      <c r="QIG91" s="378"/>
      <c r="QIH91" s="378"/>
      <c r="QII91" s="378"/>
      <c r="QIJ91" s="378"/>
      <c r="QIK91" s="378"/>
      <c r="QIL91" s="378"/>
      <c r="QIM91" s="378"/>
      <c r="QIN91" s="378"/>
      <c r="QIO91" s="378"/>
      <c r="QIP91" s="378"/>
      <c r="QIQ91" s="378"/>
      <c r="QIR91" s="378"/>
      <c r="QIS91" s="378"/>
      <c r="QIT91" s="378"/>
      <c r="QIU91" s="378"/>
      <c r="QIV91" s="378"/>
      <c r="QIW91" s="378"/>
      <c r="QIX91" s="378"/>
      <c r="QIY91" s="378"/>
      <c r="QIZ91" s="378"/>
      <c r="QJA91" s="378"/>
      <c r="QJB91" s="378"/>
      <c r="QJC91" s="378"/>
      <c r="QJD91" s="378"/>
      <c r="QJE91" s="378"/>
      <c r="QJF91" s="378"/>
      <c r="QJG91" s="378"/>
      <c r="QJH91" s="378"/>
      <c r="QJI91" s="378"/>
      <c r="QJJ91" s="378"/>
      <c r="QJK91" s="378"/>
      <c r="QJL91" s="378"/>
      <c r="QJM91" s="378"/>
      <c r="QJN91" s="378"/>
      <c r="QJO91" s="378"/>
      <c r="QJP91" s="378"/>
      <c r="QJQ91" s="378"/>
      <c r="QJR91" s="378"/>
      <c r="QJS91" s="378"/>
      <c r="QJT91" s="378"/>
      <c r="QJU91" s="378"/>
      <c r="QJV91" s="378"/>
      <c r="QJW91" s="378"/>
      <c r="QJX91" s="378"/>
      <c r="QJY91" s="378"/>
      <c r="QJZ91" s="378"/>
      <c r="QKA91" s="378"/>
      <c r="QKB91" s="378"/>
      <c r="QKC91" s="378"/>
      <c r="QKD91" s="378"/>
      <c r="QKE91" s="378"/>
      <c r="QKF91" s="378"/>
      <c r="QKG91" s="378"/>
      <c r="QKH91" s="378"/>
      <c r="QKI91" s="378"/>
      <c r="QKJ91" s="378"/>
      <c r="QKK91" s="378"/>
      <c r="QKL91" s="378"/>
      <c r="QKM91" s="378"/>
      <c r="QKN91" s="378"/>
      <c r="QKO91" s="378"/>
      <c r="QKP91" s="378"/>
      <c r="QKQ91" s="378"/>
      <c r="QKR91" s="378"/>
      <c r="QKS91" s="378"/>
      <c r="QKT91" s="378"/>
      <c r="QKU91" s="378"/>
      <c r="QKV91" s="378"/>
      <c r="QKW91" s="378"/>
      <c r="QKX91" s="378"/>
      <c r="QKY91" s="378"/>
      <c r="QKZ91" s="378"/>
      <c r="QLA91" s="378"/>
      <c r="QLB91" s="378"/>
      <c r="QLC91" s="378"/>
      <c r="QLD91" s="378"/>
      <c r="QLE91" s="378"/>
      <c r="QLF91" s="378"/>
      <c r="QLG91" s="378"/>
      <c r="QLH91" s="378"/>
      <c r="QLI91" s="378"/>
      <c r="QLJ91" s="378"/>
      <c r="QLK91" s="378"/>
      <c r="QLL91" s="378"/>
      <c r="QLM91" s="378"/>
      <c r="QLN91" s="378"/>
      <c r="QLO91" s="378"/>
      <c r="QLP91" s="378"/>
      <c r="QLQ91" s="378"/>
      <c r="QLR91" s="378"/>
      <c r="QLS91" s="378"/>
      <c r="QLT91" s="378"/>
      <c r="QLU91" s="378"/>
      <c r="QLV91" s="378"/>
      <c r="QLW91" s="378"/>
      <c r="QLX91" s="378"/>
      <c r="QLY91" s="378"/>
      <c r="QLZ91" s="378"/>
      <c r="QMA91" s="378"/>
      <c r="QMB91" s="378"/>
      <c r="QMC91" s="378"/>
      <c r="QMD91" s="378"/>
      <c r="QME91" s="378"/>
      <c r="QMF91" s="378"/>
      <c r="QMG91" s="378"/>
      <c r="QMH91" s="378"/>
      <c r="QMI91" s="378"/>
      <c r="QMJ91" s="378"/>
      <c r="QMK91" s="378"/>
      <c r="QML91" s="378"/>
      <c r="QMM91" s="378"/>
      <c r="QMN91" s="378"/>
      <c r="QMO91" s="378"/>
      <c r="QMP91" s="378"/>
      <c r="QMQ91" s="378"/>
      <c r="QMR91" s="378"/>
      <c r="QMS91" s="378"/>
      <c r="QMT91" s="378"/>
      <c r="QMU91" s="378"/>
      <c r="QMV91" s="378"/>
      <c r="QMW91" s="378"/>
      <c r="QMX91" s="378"/>
      <c r="QMY91" s="378"/>
      <c r="QMZ91" s="378"/>
      <c r="QNA91" s="378"/>
      <c r="QNB91" s="378"/>
      <c r="QNC91" s="378"/>
      <c r="QND91" s="378"/>
      <c r="QNE91" s="378"/>
      <c r="QNF91" s="378"/>
      <c r="QNG91" s="378"/>
      <c r="QNH91" s="378"/>
      <c r="QNI91" s="378"/>
      <c r="QNJ91" s="378"/>
      <c r="QNK91" s="378"/>
      <c r="QNL91" s="378"/>
      <c r="QNM91" s="378"/>
      <c r="QNN91" s="378"/>
      <c r="QNO91" s="378"/>
      <c r="QNP91" s="378"/>
      <c r="QNQ91" s="378"/>
      <c r="QNR91" s="378"/>
      <c r="QNS91" s="378"/>
      <c r="QNT91" s="378"/>
      <c r="QNU91" s="378"/>
      <c r="QNV91" s="378"/>
      <c r="QNW91" s="378"/>
      <c r="QNX91" s="378"/>
      <c r="QNY91" s="378"/>
      <c r="QNZ91" s="378"/>
      <c r="QOA91" s="378"/>
      <c r="QOB91" s="378"/>
      <c r="QOC91" s="378"/>
      <c r="QOD91" s="378"/>
      <c r="QOE91" s="378"/>
      <c r="QOF91" s="378"/>
      <c r="QOG91" s="378"/>
      <c r="QOH91" s="378"/>
      <c r="QOI91" s="378"/>
      <c r="QOJ91" s="378"/>
      <c r="QOK91" s="378"/>
      <c r="QOL91" s="378"/>
      <c r="QOM91" s="378"/>
      <c r="QON91" s="378"/>
      <c r="QOO91" s="378"/>
      <c r="QOP91" s="378"/>
      <c r="QOQ91" s="378"/>
      <c r="QOR91" s="378"/>
      <c r="QOS91" s="378"/>
      <c r="QOT91" s="378"/>
      <c r="QOU91" s="378"/>
      <c r="QOV91" s="378"/>
      <c r="QOW91" s="378"/>
      <c r="QOX91" s="378"/>
      <c r="QOY91" s="378"/>
      <c r="QOZ91" s="378"/>
      <c r="QPA91" s="378"/>
      <c r="QPB91" s="378"/>
      <c r="QPC91" s="378"/>
      <c r="QPD91" s="378"/>
      <c r="QPE91" s="378"/>
      <c r="QPF91" s="378"/>
      <c r="QPG91" s="378"/>
      <c r="QPH91" s="378"/>
      <c r="QPI91" s="378"/>
      <c r="QPJ91" s="378"/>
      <c r="QPK91" s="378"/>
      <c r="QPL91" s="378"/>
      <c r="QPM91" s="378"/>
      <c r="QPN91" s="378"/>
      <c r="QPO91" s="378"/>
      <c r="QPP91" s="378"/>
      <c r="QPQ91" s="378"/>
      <c r="QPR91" s="378"/>
      <c r="QPS91" s="378"/>
      <c r="QPT91" s="378"/>
      <c r="QPU91" s="378"/>
      <c r="QPV91" s="378"/>
      <c r="QPW91" s="378"/>
      <c r="QPX91" s="378"/>
      <c r="QPY91" s="378"/>
      <c r="QPZ91" s="378"/>
      <c r="QQA91" s="378"/>
      <c r="QQB91" s="378"/>
      <c r="QQC91" s="378"/>
      <c r="QQD91" s="378"/>
      <c r="QQE91" s="378"/>
      <c r="QQF91" s="378"/>
      <c r="QQG91" s="378"/>
      <c r="QQH91" s="378"/>
      <c r="QQI91" s="378"/>
      <c r="QQJ91" s="378"/>
      <c r="QQK91" s="378"/>
      <c r="QQL91" s="378"/>
      <c r="QQM91" s="378"/>
      <c r="QQN91" s="378"/>
      <c r="QQO91" s="378"/>
      <c r="QQP91" s="378"/>
      <c r="QQQ91" s="378"/>
      <c r="QQR91" s="378"/>
      <c r="QQS91" s="378"/>
      <c r="QQT91" s="378"/>
      <c r="QQU91" s="378"/>
      <c r="QQV91" s="378"/>
      <c r="QQW91" s="378"/>
      <c r="QQX91" s="378"/>
      <c r="QQY91" s="378"/>
      <c r="QQZ91" s="378"/>
      <c r="QRA91" s="378"/>
      <c r="QRB91" s="378"/>
      <c r="QRC91" s="378"/>
      <c r="QRD91" s="378"/>
      <c r="QRE91" s="378"/>
      <c r="QRF91" s="378"/>
      <c r="QRG91" s="378"/>
      <c r="QRH91" s="378"/>
      <c r="QRI91" s="378"/>
      <c r="QRJ91" s="378"/>
      <c r="QRK91" s="378"/>
      <c r="QRL91" s="378"/>
      <c r="QRM91" s="378"/>
      <c r="QRN91" s="378"/>
      <c r="QRO91" s="378"/>
      <c r="QRP91" s="378"/>
      <c r="QRQ91" s="378"/>
      <c r="QRR91" s="378"/>
      <c r="QRS91" s="378"/>
      <c r="QRT91" s="378"/>
      <c r="QRU91" s="378"/>
      <c r="QRV91" s="378"/>
      <c r="QRW91" s="378"/>
      <c r="QRX91" s="378"/>
      <c r="QRY91" s="378"/>
      <c r="QRZ91" s="378"/>
      <c r="QSA91" s="378"/>
      <c r="QSB91" s="378"/>
      <c r="QSC91" s="378"/>
      <c r="QSD91" s="378"/>
      <c r="QSE91" s="378"/>
      <c r="QSF91" s="378"/>
      <c r="QSG91" s="378"/>
      <c r="QSH91" s="378"/>
      <c r="QSI91" s="378"/>
      <c r="QSJ91" s="378"/>
      <c r="QSK91" s="378"/>
      <c r="QSL91" s="378"/>
      <c r="QSM91" s="378"/>
      <c r="QSN91" s="378"/>
      <c r="QSO91" s="378"/>
      <c r="QSP91" s="378"/>
      <c r="QSQ91" s="378"/>
      <c r="QSR91" s="378"/>
      <c r="QSS91" s="378"/>
      <c r="QST91" s="378"/>
      <c r="QSU91" s="378"/>
      <c r="QSV91" s="378"/>
      <c r="QSW91" s="378"/>
      <c r="QSX91" s="378"/>
      <c r="QSY91" s="378"/>
      <c r="QSZ91" s="378"/>
      <c r="QTA91" s="378"/>
      <c r="QTB91" s="378"/>
      <c r="QTC91" s="378"/>
      <c r="QTD91" s="378"/>
      <c r="QTE91" s="378"/>
      <c r="QTF91" s="378"/>
      <c r="QTG91" s="378"/>
      <c r="QTH91" s="378"/>
      <c r="QTI91" s="378"/>
      <c r="QTJ91" s="378"/>
      <c r="QTK91" s="378"/>
      <c r="QTL91" s="378"/>
      <c r="QTM91" s="378"/>
      <c r="QTN91" s="378"/>
      <c r="QTO91" s="378"/>
      <c r="QTP91" s="378"/>
      <c r="QTQ91" s="378"/>
      <c r="QTR91" s="378"/>
      <c r="QTS91" s="378"/>
      <c r="QTT91" s="378"/>
      <c r="QTU91" s="378"/>
      <c r="QTV91" s="378"/>
      <c r="QTW91" s="378"/>
      <c r="QTX91" s="378"/>
      <c r="QTY91" s="378"/>
      <c r="QTZ91" s="378"/>
      <c r="QUA91" s="378"/>
      <c r="QUB91" s="378"/>
      <c r="QUC91" s="378"/>
      <c r="QUD91" s="378"/>
      <c r="QUE91" s="378"/>
      <c r="QUF91" s="378"/>
      <c r="QUG91" s="378"/>
      <c r="QUH91" s="378"/>
      <c r="QUI91" s="378"/>
      <c r="QUJ91" s="378"/>
      <c r="QUK91" s="378"/>
      <c r="QUL91" s="378"/>
      <c r="QUM91" s="378"/>
      <c r="QUN91" s="378"/>
      <c r="QUO91" s="378"/>
      <c r="QUP91" s="378"/>
      <c r="QUQ91" s="378"/>
      <c r="QUR91" s="378"/>
      <c r="QUS91" s="378"/>
      <c r="QUT91" s="378"/>
      <c r="QUU91" s="378"/>
      <c r="QUV91" s="378"/>
      <c r="QUW91" s="378"/>
      <c r="QUX91" s="378"/>
      <c r="QUY91" s="378"/>
      <c r="QUZ91" s="378"/>
      <c r="QVA91" s="378"/>
      <c r="QVB91" s="378"/>
      <c r="QVC91" s="378"/>
      <c r="QVD91" s="378"/>
      <c r="QVE91" s="378"/>
      <c r="QVF91" s="378"/>
      <c r="QVG91" s="378"/>
      <c r="QVH91" s="378"/>
      <c r="QVI91" s="378"/>
      <c r="QVJ91" s="378"/>
      <c r="QVK91" s="378"/>
      <c r="QVL91" s="378"/>
      <c r="QVM91" s="378"/>
      <c r="QVN91" s="378"/>
      <c r="QVO91" s="378"/>
      <c r="QVP91" s="378"/>
      <c r="QVQ91" s="378"/>
      <c r="QVR91" s="378"/>
      <c r="QVS91" s="378"/>
      <c r="QVT91" s="378"/>
      <c r="QVU91" s="378"/>
      <c r="QVV91" s="378"/>
      <c r="QVW91" s="378"/>
      <c r="QVX91" s="378"/>
      <c r="QVY91" s="378"/>
      <c r="QVZ91" s="378"/>
      <c r="QWA91" s="378"/>
      <c r="QWB91" s="378"/>
      <c r="QWC91" s="378"/>
      <c r="QWD91" s="378"/>
      <c r="QWE91" s="378"/>
      <c r="QWF91" s="378"/>
      <c r="QWG91" s="378"/>
      <c r="QWH91" s="378"/>
      <c r="QWI91" s="378"/>
      <c r="QWJ91" s="378"/>
      <c r="QWK91" s="378"/>
      <c r="QWL91" s="378"/>
      <c r="QWM91" s="378"/>
      <c r="QWN91" s="378"/>
      <c r="QWO91" s="378"/>
      <c r="QWP91" s="378"/>
      <c r="QWQ91" s="378"/>
      <c r="QWR91" s="378"/>
      <c r="QWS91" s="378"/>
      <c r="QWT91" s="378"/>
      <c r="QWU91" s="378"/>
      <c r="QWV91" s="378"/>
      <c r="QWW91" s="378"/>
      <c r="QWX91" s="378"/>
      <c r="QWY91" s="378"/>
      <c r="QWZ91" s="378"/>
      <c r="QXA91" s="378"/>
      <c r="QXB91" s="378"/>
      <c r="QXC91" s="378"/>
      <c r="QXD91" s="378"/>
      <c r="QXE91" s="378"/>
      <c r="QXF91" s="378"/>
      <c r="QXG91" s="378"/>
      <c r="QXH91" s="378"/>
      <c r="QXI91" s="378"/>
      <c r="QXJ91" s="378"/>
      <c r="QXK91" s="378"/>
      <c r="QXL91" s="378"/>
      <c r="QXM91" s="378"/>
      <c r="QXN91" s="378"/>
      <c r="QXO91" s="378"/>
      <c r="QXP91" s="378"/>
      <c r="QXQ91" s="378"/>
      <c r="QXR91" s="378"/>
      <c r="QXS91" s="378"/>
      <c r="QXT91" s="378"/>
      <c r="QXU91" s="378"/>
      <c r="QXV91" s="378"/>
      <c r="QXW91" s="378"/>
      <c r="QXX91" s="378"/>
      <c r="QXY91" s="378"/>
      <c r="QXZ91" s="378"/>
      <c r="QYA91" s="378"/>
      <c r="QYB91" s="378"/>
      <c r="QYC91" s="378"/>
      <c r="QYD91" s="378"/>
      <c r="QYE91" s="378"/>
      <c r="QYF91" s="378"/>
      <c r="QYG91" s="378"/>
      <c r="QYH91" s="378"/>
      <c r="QYI91" s="378"/>
      <c r="QYJ91" s="378"/>
      <c r="QYK91" s="378"/>
      <c r="QYL91" s="378"/>
      <c r="QYM91" s="378"/>
      <c r="QYN91" s="378"/>
      <c r="QYO91" s="378"/>
      <c r="QYP91" s="378"/>
      <c r="QYQ91" s="378"/>
      <c r="QYR91" s="378"/>
      <c r="QYS91" s="378"/>
      <c r="QYT91" s="378"/>
      <c r="QYU91" s="378"/>
      <c r="QYV91" s="378"/>
      <c r="QYW91" s="378"/>
      <c r="QYX91" s="378"/>
      <c r="QYY91" s="378"/>
      <c r="QYZ91" s="378"/>
      <c r="QZA91" s="378"/>
      <c r="QZB91" s="378"/>
      <c r="QZC91" s="378"/>
      <c r="QZD91" s="378"/>
      <c r="QZE91" s="378"/>
      <c r="QZF91" s="378"/>
      <c r="QZG91" s="378"/>
      <c r="QZH91" s="378"/>
      <c r="QZI91" s="378"/>
      <c r="QZJ91" s="378"/>
      <c r="QZK91" s="378"/>
      <c r="QZL91" s="378"/>
      <c r="QZM91" s="378"/>
      <c r="QZN91" s="378"/>
      <c r="QZO91" s="378"/>
      <c r="QZP91" s="378"/>
      <c r="QZQ91" s="378"/>
      <c r="QZR91" s="378"/>
      <c r="QZS91" s="378"/>
      <c r="QZT91" s="378"/>
      <c r="QZU91" s="378"/>
      <c r="QZV91" s="378"/>
      <c r="QZW91" s="378"/>
      <c r="QZX91" s="378"/>
      <c r="QZY91" s="378"/>
      <c r="QZZ91" s="378"/>
      <c r="RAA91" s="378"/>
      <c r="RAB91" s="378"/>
      <c r="RAC91" s="378"/>
      <c r="RAD91" s="378"/>
      <c r="RAE91" s="378"/>
      <c r="RAF91" s="378"/>
      <c r="RAG91" s="378"/>
      <c r="RAH91" s="378"/>
      <c r="RAI91" s="378"/>
      <c r="RAJ91" s="378"/>
      <c r="RAK91" s="378"/>
      <c r="RAL91" s="378"/>
      <c r="RAM91" s="378"/>
      <c r="RAN91" s="378"/>
      <c r="RAO91" s="378"/>
      <c r="RAP91" s="378"/>
      <c r="RAQ91" s="378"/>
      <c r="RAR91" s="378"/>
      <c r="RAS91" s="378"/>
      <c r="RAT91" s="378"/>
      <c r="RAU91" s="378"/>
      <c r="RAV91" s="378"/>
      <c r="RAW91" s="378"/>
      <c r="RAX91" s="378"/>
      <c r="RAY91" s="378"/>
      <c r="RAZ91" s="378"/>
      <c r="RBA91" s="378"/>
      <c r="RBB91" s="378"/>
      <c r="RBC91" s="378"/>
      <c r="RBD91" s="378"/>
      <c r="RBE91" s="378"/>
      <c r="RBF91" s="378"/>
      <c r="RBG91" s="378"/>
      <c r="RBH91" s="378"/>
      <c r="RBI91" s="378"/>
      <c r="RBJ91" s="378"/>
      <c r="RBK91" s="378"/>
      <c r="RBL91" s="378"/>
      <c r="RBM91" s="378"/>
      <c r="RBN91" s="378"/>
      <c r="RBO91" s="378"/>
      <c r="RBP91" s="378"/>
      <c r="RBQ91" s="378"/>
      <c r="RBR91" s="378"/>
      <c r="RBS91" s="378"/>
      <c r="RBT91" s="378"/>
      <c r="RBU91" s="378"/>
      <c r="RBV91" s="378"/>
      <c r="RBW91" s="378"/>
      <c r="RBX91" s="378"/>
      <c r="RBY91" s="378"/>
      <c r="RBZ91" s="378"/>
      <c r="RCA91" s="378"/>
      <c r="RCB91" s="378"/>
      <c r="RCC91" s="378"/>
      <c r="RCD91" s="378"/>
      <c r="RCE91" s="378"/>
      <c r="RCF91" s="378"/>
      <c r="RCG91" s="378"/>
      <c r="RCH91" s="378"/>
      <c r="RCI91" s="378"/>
      <c r="RCJ91" s="378"/>
      <c r="RCK91" s="378"/>
      <c r="RCL91" s="378"/>
      <c r="RCM91" s="378"/>
      <c r="RCN91" s="378"/>
      <c r="RCO91" s="378"/>
      <c r="RCP91" s="378"/>
      <c r="RCQ91" s="378"/>
      <c r="RCR91" s="378"/>
      <c r="RCS91" s="378"/>
      <c r="RCT91" s="378"/>
      <c r="RCU91" s="378"/>
      <c r="RCV91" s="378"/>
      <c r="RCW91" s="378"/>
      <c r="RCX91" s="378"/>
      <c r="RCY91" s="378"/>
      <c r="RCZ91" s="378"/>
      <c r="RDA91" s="378"/>
      <c r="RDB91" s="378"/>
      <c r="RDC91" s="378"/>
      <c r="RDD91" s="378"/>
      <c r="RDE91" s="378"/>
      <c r="RDF91" s="378"/>
      <c r="RDG91" s="378"/>
      <c r="RDH91" s="378"/>
      <c r="RDI91" s="378"/>
      <c r="RDJ91" s="378"/>
      <c r="RDK91" s="378"/>
      <c r="RDL91" s="378"/>
      <c r="RDM91" s="378"/>
      <c r="RDN91" s="378"/>
      <c r="RDO91" s="378"/>
      <c r="RDP91" s="378"/>
      <c r="RDQ91" s="378"/>
      <c r="RDR91" s="378"/>
      <c r="RDS91" s="378"/>
      <c r="RDT91" s="378"/>
      <c r="RDU91" s="378"/>
      <c r="RDV91" s="378"/>
      <c r="RDW91" s="378"/>
      <c r="RDX91" s="378"/>
      <c r="RDY91" s="378"/>
      <c r="RDZ91" s="378"/>
      <c r="REA91" s="378"/>
      <c r="REB91" s="378"/>
      <c r="REC91" s="378"/>
      <c r="RED91" s="378"/>
      <c r="REE91" s="378"/>
      <c r="REF91" s="378"/>
      <c r="REG91" s="378"/>
      <c r="REH91" s="378"/>
      <c r="REI91" s="378"/>
      <c r="REJ91" s="378"/>
      <c r="REK91" s="378"/>
      <c r="REL91" s="378"/>
      <c r="REM91" s="378"/>
      <c r="REN91" s="378"/>
      <c r="REO91" s="378"/>
      <c r="REP91" s="378"/>
      <c r="REQ91" s="378"/>
      <c r="RER91" s="378"/>
      <c r="RES91" s="378"/>
      <c r="RET91" s="378"/>
      <c r="REU91" s="378"/>
      <c r="REV91" s="378"/>
      <c r="REW91" s="378"/>
      <c r="REX91" s="378"/>
      <c r="REY91" s="378"/>
      <c r="REZ91" s="378"/>
      <c r="RFA91" s="378"/>
      <c r="RFB91" s="378"/>
      <c r="RFC91" s="378"/>
      <c r="RFD91" s="378"/>
      <c r="RFE91" s="378"/>
      <c r="RFF91" s="378"/>
      <c r="RFG91" s="378"/>
      <c r="RFH91" s="378"/>
      <c r="RFI91" s="378"/>
      <c r="RFJ91" s="378"/>
      <c r="RFK91" s="378"/>
      <c r="RFL91" s="378"/>
      <c r="RFM91" s="378"/>
      <c r="RFN91" s="378"/>
      <c r="RFO91" s="378"/>
      <c r="RFP91" s="378"/>
      <c r="RFQ91" s="378"/>
      <c r="RFR91" s="378"/>
      <c r="RFS91" s="378"/>
      <c r="RFT91" s="378"/>
      <c r="RFU91" s="378"/>
      <c r="RFV91" s="378"/>
      <c r="RFW91" s="378"/>
      <c r="RFX91" s="378"/>
      <c r="RFY91" s="378"/>
      <c r="RFZ91" s="378"/>
      <c r="RGA91" s="378"/>
      <c r="RGB91" s="378"/>
      <c r="RGC91" s="378"/>
      <c r="RGD91" s="378"/>
      <c r="RGE91" s="378"/>
      <c r="RGF91" s="378"/>
      <c r="RGG91" s="378"/>
      <c r="RGH91" s="378"/>
      <c r="RGI91" s="378"/>
      <c r="RGJ91" s="378"/>
      <c r="RGK91" s="378"/>
      <c r="RGL91" s="378"/>
      <c r="RGM91" s="378"/>
      <c r="RGN91" s="378"/>
      <c r="RGO91" s="378"/>
      <c r="RGP91" s="378"/>
      <c r="RGQ91" s="378"/>
      <c r="RGR91" s="378"/>
      <c r="RGS91" s="378"/>
      <c r="RGT91" s="378"/>
      <c r="RGU91" s="378"/>
      <c r="RGV91" s="378"/>
      <c r="RGW91" s="378"/>
      <c r="RGX91" s="378"/>
      <c r="RGY91" s="378"/>
      <c r="RGZ91" s="378"/>
      <c r="RHA91" s="378"/>
      <c r="RHB91" s="378"/>
      <c r="RHC91" s="378"/>
      <c r="RHD91" s="378"/>
      <c r="RHE91" s="378"/>
      <c r="RHF91" s="378"/>
      <c r="RHG91" s="378"/>
      <c r="RHH91" s="378"/>
      <c r="RHI91" s="378"/>
      <c r="RHJ91" s="378"/>
      <c r="RHK91" s="378"/>
      <c r="RHL91" s="378"/>
      <c r="RHM91" s="378"/>
      <c r="RHN91" s="378"/>
      <c r="RHO91" s="378"/>
      <c r="RHP91" s="378"/>
      <c r="RHQ91" s="378"/>
      <c r="RHR91" s="378"/>
      <c r="RHS91" s="378"/>
      <c r="RHT91" s="378"/>
      <c r="RHU91" s="378"/>
      <c r="RHV91" s="378"/>
      <c r="RHW91" s="378"/>
      <c r="RHX91" s="378"/>
      <c r="RHY91" s="378"/>
      <c r="RHZ91" s="378"/>
      <c r="RIA91" s="378"/>
      <c r="RIB91" s="378"/>
      <c r="RIC91" s="378"/>
      <c r="RID91" s="378"/>
      <c r="RIE91" s="378"/>
      <c r="RIF91" s="378"/>
      <c r="RIG91" s="378"/>
      <c r="RIH91" s="378"/>
      <c r="RII91" s="378"/>
      <c r="RIJ91" s="378"/>
      <c r="RIK91" s="378"/>
      <c r="RIL91" s="378"/>
      <c r="RIM91" s="378"/>
      <c r="RIN91" s="378"/>
      <c r="RIO91" s="378"/>
      <c r="RIP91" s="378"/>
      <c r="RIQ91" s="378"/>
      <c r="RIR91" s="378"/>
      <c r="RIS91" s="378"/>
      <c r="RIT91" s="378"/>
      <c r="RIU91" s="378"/>
      <c r="RIV91" s="378"/>
      <c r="RIW91" s="378"/>
      <c r="RIX91" s="378"/>
      <c r="RIY91" s="378"/>
      <c r="RIZ91" s="378"/>
      <c r="RJA91" s="378"/>
      <c r="RJB91" s="378"/>
      <c r="RJC91" s="378"/>
      <c r="RJD91" s="378"/>
      <c r="RJE91" s="378"/>
      <c r="RJF91" s="378"/>
      <c r="RJG91" s="378"/>
      <c r="RJH91" s="378"/>
      <c r="RJI91" s="378"/>
      <c r="RJJ91" s="378"/>
      <c r="RJK91" s="378"/>
      <c r="RJL91" s="378"/>
      <c r="RJM91" s="378"/>
      <c r="RJN91" s="378"/>
      <c r="RJO91" s="378"/>
      <c r="RJP91" s="378"/>
      <c r="RJQ91" s="378"/>
      <c r="RJR91" s="378"/>
      <c r="RJS91" s="378"/>
      <c r="RJT91" s="378"/>
      <c r="RJU91" s="378"/>
      <c r="RJV91" s="378"/>
      <c r="RJW91" s="378"/>
      <c r="RJX91" s="378"/>
      <c r="RJY91" s="378"/>
      <c r="RJZ91" s="378"/>
      <c r="RKA91" s="378"/>
      <c r="RKB91" s="378"/>
      <c r="RKC91" s="378"/>
      <c r="RKD91" s="378"/>
      <c r="RKE91" s="378"/>
      <c r="RKF91" s="378"/>
      <c r="RKG91" s="378"/>
      <c r="RKH91" s="378"/>
      <c r="RKI91" s="378"/>
      <c r="RKJ91" s="378"/>
      <c r="RKK91" s="378"/>
      <c r="RKL91" s="378"/>
      <c r="RKM91" s="378"/>
      <c r="RKN91" s="378"/>
      <c r="RKO91" s="378"/>
      <c r="RKP91" s="378"/>
      <c r="RKQ91" s="378"/>
      <c r="RKR91" s="378"/>
      <c r="RKS91" s="378"/>
      <c r="RKT91" s="378"/>
      <c r="RKU91" s="378"/>
      <c r="RKV91" s="378"/>
      <c r="RKW91" s="378"/>
      <c r="RKX91" s="378"/>
      <c r="RKY91" s="378"/>
      <c r="RKZ91" s="378"/>
      <c r="RLA91" s="378"/>
      <c r="RLB91" s="378"/>
      <c r="RLC91" s="378"/>
      <c r="RLD91" s="378"/>
      <c r="RLE91" s="378"/>
      <c r="RLF91" s="378"/>
      <c r="RLG91" s="378"/>
      <c r="RLH91" s="378"/>
      <c r="RLI91" s="378"/>
      <c r="RLJ91" s="378"/>
      <c r="RLK91" s="378"/>
      <c r="RLL91" s="378"/>
      <c r="RLM91" s="378"/>
      <c r="RLN91" s="378"/>
      <c r="RLO91" s="378"/>
      <c r="RLP91" s="378"/>
      <c r="RLQ91" s="378"/>
      <c r="RLR91" s="378"/>
      <c r="RLS91" s="378"/>
      <c r="RLT91" s="378"/>
      <c r="RLU91" s="378"/>
      <c r="RLV91" s="378"/>
      <c r="RLW91" s="378"/>
      <c r="RLX91" s="378"/>
      <c r="RLY91" s="378"/>
      <c r="RLZ91" s="378"/>
      <c r="RMA91" s="378"/>
      <c r="RMB91" s="378"/>
      <c r="RMC91" s="378"/>
      <c r="RMD91" s="378"/>
      <c r="RME91" s="378"/>
      <c r="RMF91" s="378"/>
      <c r="RMG91" s="378"/>
      <c r="RMH91" s="378"/>
      <c r="RMI91" s="378"/>
      <c r="RMJ91" s="378"/>
      <c r="RMK91" s="378"/>
      <c r="RML91" s="378"/>
      <c r="RMM91" s="378"/>
      <c r="RMN91" s="378"/>
      <c r="RMO91" s="378"/>
      <c r="RMP91" s="378"/>
      <c r="RMQ91" s="378"/>
      <c r="RMR91" s="378"/>
      <c r="RMS91" s="378"/>
      <c r="RMT91" s="378"/>
      <c r="RMU91" s="378"/>
      <c r="RMV91" s="378"/>
      <c r="RMW91" s="378"/>
      <c r="RMX91" s="378"/>
      <c r="RMY91" s="378"/>
      <c r="RMZ91" s="378"/>
      <c r="RNA91" s="378"/>
      <c r="RNB91" s="378"/>
      <c r="RNC91" s="378"/>
      <c r="RND91" s="378"/>
      <c r="RNE91" s="378"/>
      <c r="RNF91" s="378"/>
      <c r="RNG91" s="378"/>
      <c r="RNH91" s="378"/>
      <c r="RNI91" s="378"/>
      <c r="RNJ91" s="378"/>
      <c r="RNK91" s="378"/>
      <c r="RNL91" s="378"/>
      <c r="RNM91" s="378"/>
      <c r="RNN91" s="378"/>
      <c r="RNO91" s="378"/>
      <c r="RNP91" s="378"/>
      <c r="RNQ91" s="378"/>
      <c r="RNR91" s="378"/>
      <c r="RNS91" s="378"/>
      <c r="RNT91" s="378"/>
      <c r="RNU91" s="378"/>
      <c r="RNV91" s="378"/>
      <c r="RNW91" s="378"/>
      <c r="RNX91" s="378"/>
      <c r="RNY91" s="378"/>
      <c r="RNZ91" s="378"/>
      <c r="ROA91" s="378"/>
      <c r="ROB91" s="378"/>
      <c r="ROC91" s="378"/>
      <c r="ROD91" s="378"/>
      <c r="ROE91" s="378"/>
      <c r="ROF91" s="378"/>
      <c r="ROG91" s="378"/>
      <c r="ROH91" s="378"/>
      <c r="ROI91" s="378"/>
      <c r="ROJ91" s="378"/>
      <c r="ROK91" s="378"/>
      <c r="ROL91" s="378"/>
      <c r="ROM91" s="378"/>
      <c r="RON91" s="378"/>
      <c r="ROO91" s="378"/>
      <c r="ROP91" s="378"/>
      <c r="ROQ91" s="378"/>
      <c r="ROR91" s="378"/>
      <c r="ROS91" s="378"/>
      <c r="ROT91" s="378"/>
      <c r="ROU91" s="378"/>
      <c r="ROV91" s="378"/>
      <c r="ROW91" s="378"/>
      <c r="ROX91" s="378"/>
      <c r="ROY91" s="378"/>
      <c r="ROZ91" s="378"/>
      <c r="RPA91" s="378"/>
      <c r="RPB91" s="378"/>
      <c r="RPC91" s="378"/>
      <c r="RPD91" s="378"/>
      <c r="RPE91" s="378"/>
      <c r="RPF91" s="378"/>
      <c r="RPG91" s="378"/>
      <c r="RPH91" s="378"/>
      <c r="RPI91" s="378"/>
      <c r="RPJ91" s="378"/>
      <c r="RPK91" s="378"/>
      <c r="RPL91" s="378"/>
      <c r="RPM91" s="378"/>
      <c r="RPN91" s="378"/>
      <c r="RPO91" s="378"/>
      <c r="RPP91" s="378"/>
      <c r="RPQ91" s="378"/>
      <c r="RPR91" s="378"/>
      <c r="RPS91" s="378"/>
      <c r="RPT91" s="378"/>
      <c r="RPU91" s="378"/>
      <c r="RPV91" s="378"/>
      <c r="RPW91" s="378"/>
      <c r="RPX91" s="378"/>
      <c r="RPY91" s="378"/>
      <c r="RPZ91" s="378"/>
      <c r="RQA91" s="378"/>
      <c r="RQB91" s="378"/>
      <c r="RQC91" s="378"/>
      <c r="RQD91" s="378"/>
      <c r="RQE91" s="378"/>
      <c r="RQF91" s="378"/>
      <c r="RQG91" s="378"/>
      <c r="RQH91" s="378"/>
      <c r="RQI91" s="378"/>
      <c r="RQJ91" s="378"/>
      <c r="RQK91" s="378"/>
      <c r="RQL91" s="378"/>
      <c r="RQM91" s="378"/>
      <c r="RQN91" s="378"/>
      <c r="RQO91" s="378"/>
      <c r="RQP91" s="378"/>
      <c r="RQQ91" s="378"/>
      <c r="RQR91" s="378"/>
      <c r="RQS91" s="378"/>
      <c r="RQT91" s="378"/>
      <c r="RQU91" s="378"/>
      <c r="RQV91" s="378"/>
      <c r="RQW91" s="378"/>
      <c r="RQX91" s="378"/>
      <c r="RQY91" s="378"/>
      <c r="RQZ91" s="378"/>
      <c r="RRA91" s="378"/>
      <c r="RRB91" s="378"/>
      <c r="RRC91" s="378"/>
      <c r="RRD91" s="378"/>
      <c r="RRE91" s="378"/>
      <c r="RRF91" s="378"/>
      <c r="RRG91" s="378"/>
      <c r="RRH91" s="378"/>
      <c r="RRI91" s="378"/>
      <c r="RRJ91" s="378"/>
      <c r="RRK91" s="378"/>
      <c r="RRL91" s="378"/>
      <c r="RRM91" s="378"/>
      <c r="RRN91" s="378"/>
      <c r="RRO91" s="378"/>
      <c r="RRP91" s="378"/>
      <c r="RRQ91" s="378"/>
      <c r="RRR91" s="378"/>
      <c r="RRS91" s="378"/>
      <c r="RRT91" s="378"/>
      <c r="RRU91" s="378"/>
      <c r="RRV91" s="378"/>
      <c r="RRW91" s="378"/>
      <c r="RRX91" s="378"/>
      <c r="RRY91" s="378"/>
      <c r="RRZ91" s="378"/>
      <c r="RSA91" s="378"/>
      <c r="RSB91" s="378"/>
      <c r="RSC91" s="378"/>
      <c r="RSD91" s="378"/>
      <c r="RSE91" s="378"/>
      <c r="RSF91" s="378"/>
      <c r="RSG91" s="378"/>
      <c r="RSH91" s="378"/>
      <c r="RSI91" s="378"/>
      <c r="RSJ91" s="378"/>
      <c r="RSK91" s="378"/>
      <c r="RSL91" s="378"/>
      <c r="RSM91" s="378"/>
      <c r="RSN91" s="378"/>
      <c r="RSO91" s="378"/>
      <c r="RSP91" s="378"/>
      <c r="RSQ91" s="378"/>
      <c r="RSR91" s="378"/>
      <c r="RSS91" s="378"/>
      <c r="RST91" s="378"/>
      <c r="RSU91" s="378"/>
      <c r="RSV91" s="378"/>
      <c r="RSW91" s="378"/>
      <c r="RSX91" s="378"/>
      <c r="RSY91" s="378"/>
      <c r="RSZ91" s="378"/>
      <c r="RTA91" s="378"/>
      <c r="RTB91" s="378"/>
      <c r="RTC91" s="378"/>
      <c r="RTD91" s="378"/>
      <c r="RTE91" s="378"/>
      <c r="RTF91" s="378"/>
      <c r="RTG91" s="378"/>
      <c r="RTH91" s="378"/>
      <c r="RTI91" s="378"/>
      <c r="RTJ91" s="378"/>
      <c r="RTK91" s="378"/>
      <c r="RTL91" s="378"/>
      <c r="RTM91" s="378"/>
      <c r="RTN91" s="378"/>
      <c r="RTO91" s="378"/>
      <c r="RTP91" s="378"/>
      <c r="RTQ91" s="378"/>
      <c r="RTR91" s="378"/>
      <c r="RTS91" s="378"/>
      <c r="RTT91" s="378"/>
      <c r="RTU91" s="378"/>
      <c r="RTV91" s="378"/>
      <c r="RTW91" s="378"/>
      <c r="RTX91" s="378"/>
      <c r="RTY91" s="378"/>
      <c r="RTZ91" s="378"/>
      <c r="RUA91" s="378"/>
      <c r="RUB91" s="378"/>
      <c r="RUC91" s="378"/>
      <c r="RUD91" s="378"/>
      <c r="RUE91" s="378"/>
      <c r="RUF91" s="378"/>
      <c r="RUG91" s="378"/>
      <c r="RUH91" s="378"/>
      <c r="RUI91" s="378"/>
      <c r="RUJ91" s="378"/>
      <c r="RUK91" s="378"/>
      <c r="RUL91" s="378"/>
      <c r="RUM91" s="378"/>
      <c r="RUN91" s="378"/>
      <c r="RUO91" s="378"/>
      <c r="RUP91" s="378"/>
      <c r="RUQ91" s="378"/>
      <c r="RUR91" s="378"/>
      <c r="RUS91" s="378"/>
      <c r="RUT91" s="378"/>
      <c r="RUU91" s="378"/>
      <c r="RUV91" s="378"/>
      <c r="RUW91" s="378"/>
      <c r="RUX91" s="378"/>
      <c r="RUY91" s="378"/>
      <c r="RUZ91" s="378"/>
      <c r="RVA91" s="378"/>
      <c r="RVB91" s="378"/>
      <c r="RVC91" s="378"/>
      <c r="RVD91" s="378"/>
      <c r="RVE91" s="378"/>
      <c r="RVF91" s="378"/>
      <c r="RVG91" s="378"/>
      <c r="RVH91" s="378"/>
      <c r="RVI91" s="378"/>
      <c r="RVJ91" s="378"/>
      <c r="RVK91" s="378"/>
      <c r="RVL91" s="378"/>
      <c r="RVM91" s="378"/>
      <c r="RVN91" s="378"/>
      <c r="RVO91" s="378"/>
      <c r="RVP91" s="378"/>
      <c r="RVQ91" s="378"/>
      <c r="RVR91" s="378"/>
      <c r="RVS91" s="378"/>
      <c r="RVT91" s="378"/>
      <c r="RVU91" s="378"/>
      <c r="RVV91" s="378"/>
      <c r="RVW91" s="378"/>
      <c r="RVX91" s="378"/>
      <c r="RVY91" s="378"/>
      <c r="RVZ91" s="378"/>
      <c r="RWA91" s="378"/>
      <c r="RWB91" s="378"/>
      <c r="RWC91" s="378"/>
      <c r="RWD91" s="378"/>
      <c r="RWE91" s="378"/>
      <c r="RWF91" s="378"/>
      <c r="RWG91" s="378"/>
      <c r="RWH91" s="378"/>
      <c r="RWI91" s="378"/>
      <c r="RWJ91" s="378"/>
      <c r="RWK91" s="378"/>
      <c r="RWL91" s="378"/>
      <c r="RWM91" s="378"/>
      <c r="RWN91" s="378"/>
      <c r="RWO91" s="378"/>
      <c r="RWP91" s="378"/>
      <c r="RWQ91" s="378"/>
      <c r="RWR91" s="378"/>
      <c r="RWS91" s="378"/>
      <c r="RWT91" s="378"/>
      <c r="RWU91" s="378"/>
      <c r="RWV91" s="378"/>
      <c r="RWW91" s="378"/>
      <c r="RWX91" s="378"/>
      <c r="RWY91" s="378"/>
      <c r="RWZ91" s="378"/>
      <c r="RXA91" s="378"/>
      <c r="RXB91" s="378"/>
      <c r="RXC91" s="378"/>
      <c r="RXD91" s="378"/>
      <c r="RXE91" s="378"/>
      <c r="RXF91" s="378"/>
      <c r="RXG91" s="378"/>
      <c r="RXH91" s="378"/>
      <c r="RXI91" s="378"/>
      <c r="RXJ91" s="378"/>
      <c r="RXK91" s="378"/>
      <c r="RXL91" s="378"/>
      <c r="RXM91" s="378"/>
      <c r="RXN91" s="378"/>
      <c r="RXO91" s="378"/>
      <c r="RXP91" s="378"/>
      <c r="RXQ91" s="378"/>
      <c r="RXR91" s="378"/>
      <c r="RXS91" s="378"/>
      <c r="RXT91" s="378"/>
      <c r="RXU91" s="378"/>
      <c r="RXV91" s="378"/>
      <c r="RXW91" s="378"/>
      <c r="RXX91" s="378"/>
      <c r="RXY91" s="378"/>
      <c r="RXZ91" s="378"/>
      <c r="RYA91" s="378"/>
      <c r="RYB91" s="378"/>
      <c r="RYC91" s="378"/>
      <c r="RYD91" s="378"/>
      <c r="RYE91" s="378"/>
      <c r="RYF91" s="378"/>
      <c r="RYG91" s="378"/>
      <c r="RYH91" s="378"/>
      <c r="RYI91" s="378"/>
      <c r="RYJ91" s="378"/>
      <c r="RYK91" s="378"/>
      <c r="RYL91" s="378"/>
      <c r="RYM91" s="378"/>
      <c r="RYN91" s="378"/>
      <c r="RYO91" s="378"/>
      <c r="RYP91" s="378"/>
      <c r="RYQ91" s="378"/>
      <c r="RYR91" s="378"/>
      <c r="RYS91" s="378"/>
      <c r="RYT91" s="378"/>
      <c r="RYU91" s="378"/>
      <c r="RYV91" s="378"/>
      <c r="RYW91" s="378"/>
      <c r="RYX91" s="378"/>
      <c r="RYY91" s="378"/>
      <c r="RYZ91" s="378"/>
      <c r="RZA91" s="378"/>
      <c r="RZB91" s="378"/>
      <c r="RZC91" s="378"/>
      <c r="RZD91" s="378"/>
      <c r="RZE91" s="378"/>
      <c r="RZF91" s="378"/>
      <c r="RZG91" s="378"/>
      <c r="RZH91" s="378"/>
      <c r="RZI91" s="378"/>
      <c r="RZJ91" s="378"/>
      <c r="RZK91" s="378"/>
      <c r="RZL91" s="378"/>
      <c r="RZM91" s="378"/>
      <c r="RZN91" s="378"/>
      <c r="RZO91" s="378"/>
      <c r="RZP91" s="378"/>
      <c r="RZQ91" s="378"/>
      <c r="RZR91" s="378"/>
      <c r="RZS91" s="378"/>
      <c r="RZT91" s="378"/>
      <c r="RZU91" s="378"/>
      <c r="RZV91" s="378"/>
      <c r="RZW91" s="378"/>
      <c r="RZX91" s="378"/>
      <c r="RZY91" s="378"/>
      <c r="RZZ91" s="378"/>
      <c r="SAA91" s="378"/>
      <c r="SAB91" s="378"/>
      <c r="SAC91" s="378"/>
      <c r="SAD91" s="378"/>
      <c r="SAE91" s="378"/>
      <c r="SAF91" s="378"/>
      <c r="SAG91" s="378"/>
      <c r="SAH91" s="378"/>
      <c r="SAI91" s="378"/>
      <c r="SAJ91" s="378"/>
      <c r="SAK91" s="378"/>
      <c r="SAL91" s="378"/>
      <c r="SAM91" s="378"/>
      <c r="SAN91" s="378"/>
      <c r="SAO91" s="378"/>
      <c r="SAP91" s="378"/>
      <c r="SAQ91" s="378"/>
      <c r="SAR91" s="378"/>
      <c r="SAS91" s="378"/>
      <c r="SAT91" s="378"/>
      <c r="SAU91" s="378"/>
      <c r="SAV91" s="378"/>
      <c r="SAW91" s="378"/>
      <c r="SAX91" s="378"/>
      <c r="SAY91" s="378"/>
      <c r="SAZ91" s="378"/>
      <c r="SBA91" s="378"/>
      <c r="SBB91" s="378"/>
      <c r="SBC91" s="378"/>
      <c r="SBD91" s="378"/>
      <c r="SBE91" s="378"/>
      <c r="SBF91" s="378"/>
      <c r="SBG91" s="378"/>
      <c r="SBH91" s="378"/>
      <c r="SBI91" s="378"/>
      <c r="SBJ91" s="378"/>
      <c r="SBK91" s="378"/>
      <c r="SBL91" s="378"/>
      <c r="SBM91" s="378"/>
      <c r="SBN91" s="378"/>
      <c r="SBO91" s="378"/>
      <c r="SBP91" s="378"/>
      <c r="SBQ91" s="378"/>
      <c r="SBR91" s="378"/>
      <c r="SBS91" s="378"/>
      <c r="SBT91" s="378"/>
      <c r="SBU91" s="378"/>
      <c r="SBV91" s="378"/>
      <c r="SBW91" s="378"/>
      <c r="SBX91" s="378"/>
      <c r="SBY91" s="378"/>
      <c r="SBZ91" s="378"/>
      <c r="SCA91" s="378"/>
      <c r="SCB91" s="378"/>
      <c r="SCC91" s="378"/>
      <c r="SCD91" s="378"/>
      <c r="SCE91" s="378"/>
      <c r="SCF91" s="378"/>
      <c r="SCG91" s="378"/>
      <c r="SCH91" s="378"/>
      <c r="SCI91" s="378"/>
      <c r="SCJ91" s="378"/>
      <c r="SCK91" s="378"/>
      <c r="SCL91" s="378"/>
      <c r="SCM91" s="378"/>
      <c r="SCN91" s="378"/>
      <c r="SCO91" s="378"/>
      <c r="SCP91" s="378"/>
      <c r="SCQ91" s="378"/>
      <c r="SCR91" s="378"/>
      <c r="SCS91" s="378"/>
      <c r="SCT91" s="378"/>
      <c r="SCU91" s="378"/>
      <c r="SCV91" s="378"/>
      <c r="SCW91" s="378"/>
      <c r="SCX91" s="378"/>
      <c r="SCY91" s="378"/>
      <c r="SCZ91" s="378"/>
      <c r="SDA91" s="378"/>
      <c r="SDB91" s="378"/>
      <c r="SDC91" s="378"/>
      <c r="SDD91" s="378"/>
      <c r="SDE91" s="378"/>
      <c r="SDF91" s="378"/>
      <c r="SDG91" s="378"/>
      <c r="SDH91" s="378"/>
      <c r="SDI91" s="378"/>
      <c r="SDJ91" s="378"/>
      <c r="SDK91" s="378"/>
      <c r="SDL91" s="378"/>
      <c r="SDM91" s="378"/>
      <c r="SDN91" s="378"/>
      <c r="SDO91" s="378"/>
      <c r="SDP91" s="378"/>
      <c r="SDQ91" s="378"/>
      <c r="SDR91" s="378"/>
      <c r="SDS91" s="378"/>
      <c r="SDT91" s="378"/>
      <c r="SDU91" s="378"/>
      <c r="SDV91" s="378"/>
      <c r="SDW91" s="378"/>
      <c r="SDX91" s="378"/>
      <c r="SDY91" s="378"/>
      <c r="SDZ91" s="378"/>
      <c r="SEA91" s="378"/>
      <c r="SEB91" s="378"/>
      <c r="SEC91" s="378"/>
      <c r="SED91" s="378"/>
      <c r="SEE91" s="378"/>
      <c r="SEF91" s="378"/>
      <c r="SEG91" s="378"/>
      <c r="SEH91" s="378"/>
      <c r="SEI91" s="378"/>
      <c r="SEJ91" s="378"/>
      <c r="SEK91" s="378"/>
      <c r="SEL91" s="378"/>
      <c r="SEM91" s="378"/>
      <c r="SEN91" s="378"/>
      <c r="SEO91" s="378"/>
      <c r="SEP91" s="378"/>
      <c r="SEQ91" s="378"/>
      <c r="SER91" s="378"/>
      <c r="SES91" s="378"/>
      <c r="SET91" s="378"/>
      <c r="SEU91" s="378"/>
      <c r="SEV91" s="378"/>
      <c r="SEW91" s="378"/>
      <c r="SEX91" s="378"/>
      <c r="SEY91" s="378"/>
      <c r="SEZ91" s="378"/>
      <c r="SFA91" s="378"/>
      <c r="SFB91" s="378"/>
      <c r="SFC91" s="378"/>
      <c r="SFD91" s="378"/>
      <c r="SFE91" s="378"/>
      <c r="SFF91" s="378"/>
      <c r="SFG91" s="378"/>
      <c r="SFH91" s="378"/>
      <c r="SFI91" s="378"/>
      <c r="SFJ91" s="378"/>
      <c r="SFK91" s="378"/>
      <c r="SFL91" s="378"/>
      <c r="SFM91" s="378"/>
      <c r="SFN91" s="378"/>
      <c r="SFO91" s="378"/>
      <c r="SFP91" s="378"/>
      <c r="SFQ91" s="378"/>
      <c r="SFR91" s="378"/>
      <c r="SFS91" s="378"/>
      <c r="SFT91" s="378"/>
      <c r="SFU91" s="378"/>
      <c r="SFV91" s="378"/>
      <c r="SFW91" s="378"/>
      <c r="SFX91" s="378"/>
      <c r="SFY91" s="378"/>
      <c r="SFZ91" s="378"/>
      <c r="SGA91" s="378"/>
      <c r="SGB91" s="378"/>
      <c r="SGC91" s="378"/>
      <c r="SGD91" s="378"/>
      <c r="SGE91" s="378"/>
      <c r="SGF91" s="378"/>
      <c r="SGG91" s="378"/>
      <c r="SGH91" s="378"/>
      <c r="SGI91" s="378"/>
      <c r="SGJ91" s="378"/>
      <c r="SGK91" s="378"/>
      <c r="SGL91" s="378"/>
      <c r="SGM91" s="378"/>
      <c r="SGN91" s="378"/>
      <c r="SGO91" s="378"/>
      <c r="SGP91" s="378"/>
      <c r="SGQ91" s="378"/>
      <c r="SGR91" s="378"/>
      <c r="SGS91" s="378"/>
      <c r="SGT91" s="378"/>
      <c r="SGU91" s="378"/>
      <c r="SGV91" s="378"/>
      <c r="SGW91" s="378"/>
      <c r="SGX91" s="378"/>
      <c r="SGY91" s="378"/>
      <c r="SGZ91" s="378"/>
      <c r="SHA91" s="378"/>
      <c r="SHB91" s="378"/>
      <c r="SHC91" s="378"/>
      <c r="SHD91" s="378"/>
      <c r="SHE91" s="378"/>
      <c r="SHF91" s="378"/>
      <c r="SHG91" s="378"/>
      <c r="SHH91" s="378"/>
      <c r="SHI91" s="378"/>
      <c r="SHJ91" s="378"/>
      <c r="SHK91" s="378"/>
      <c r="SHL91" s="378"/>
      <c r="SHM91" s="378"/>
      <c r="SHN91" s="378"/>
      <c r="SHO91" s="378"/>
      <c r="SHP91" s="378"/>
      <c r="SHQ91" s="378"/>
      <c r="SHR91" s="378"/>
      <c r="SHS91" s="378"/>
      <c r="SHT91" s="378"/>
      <c r="SHU91" s="378"/>
      <c r="SHV91" s="378"/>
      <c r="SHW91" s="378"/>
      <c r="SHX91" s="378"/>
      <c r="SHY91" s="378"/>
      <c r="SHZ91" s="378"/>
      <c r="SIA91" s="378"/>
      <c r="SIB91" s="378"/>
      <c r="SIC91" s="378"/>
      <c r="SID91" s="378"/>
      <c r="SIE91" s="378"/>
      <c r="SIF91" s="378"/>
      <c r="SIG91" s="378"/>
      <c r="SIH91" s="378"/>
      <c r="SII91" s="378"/>
      <c r="SIJ91" s="378"/>
      <c r="SIK91" s="378"/>
      <c r="SIL91" s="378"/>
      <c r="SIM91" s="378"/>
      <c r="SIN91" s="378"/>
      <c r="SIO91" s="378"/>
      <c r="SIP91" s="378"/>
      <c r="SIQ91" s="378"/>
      <c r="SIR91" s="378"/>
      <c r="SIS91" s="378"/>
      <c r="SIT91" s="378"/>
      <c r="SIU91" s="378"/>
      <c r="SIV91" s="378"/>
      <c r="SIW91" s="378"/>
      <c r="SIX91" s="378"/>
      <c r="SIY91" s="378"/>
      <c r="SIZ91" s="378"/>
      <c r="SJA91" s="378"/>
      <c r="SJB91" s="378"/>
      <c r="SJC91" s="378"/>
      <c r="SJD91" s="378"/>
      <c r="SJE91" s="378"/>
      <c r="SJF91" s="378"/>
      <c r="SJG91" s="378"/>
      <c r="SJH91" s="378"/>
      <c r="SJI91" s="378"/>
      <c r="SJJ91" s="378"/>
      <c r="SJK91" s="378"/>
      <c r="SJL91" s="378"/>
      <c r="SJM91" s="378"/>
      <c r="SJN91" s="378"/>
      <c r="SJO91" s="378"/>
      <c r="SJP91" s="378"/>
      <c r="SJQ91" s="378"/>
      <c r="SJR91" s="378"/>
      <c r="SJS91" s="378"/>
      <c r="SJT91" s="378"/>
      <c r="SJU91" s="378"/>
      <c r="SJV91" s="378"/>
      <c r="SJW91" s="378"/>
      <c r="SJX91" s="378"/>
      <c r="SJY91" s="378"/>
      <c r="SJZ91" s="378"/>
      <c r="SKA91" s="378"/>
      <c r="SKB91" s="378"/>
      <c r="SKC91" s="378"/>
      <c r="SKD91" s="378"/>
      <c r="SKE91" s="378"/>
      <c r="SKF91" s="378"/>
      <c r="SKG91" s="378"/>
      <c r="SKH91" s="378"/>
      <c r="SKI91" s="378"/>
      <c r="SKJ91" s="378"/>
      <c r="SKK91" s="378"/>
      <c r="SKL91" s="378"/>
      <c r="SKM91" s="378"/>
      <c r="SKN91" s="378"/>
      <c r="SKO91" s="378"/>
      <c r="SKP91" s="378"/>
      <c r="SKQ91" s="378"/>
      <c r="SKR91" s="378"/>
      <c r="SKS91" s="378"/>
      <c r="SKT91" s="378"/>
      <c r="SKU91" s="378"/>
      <c r="SKV91" s="378"/>
      <c r="SKW91" s="378"/>
      <c r="SKX91" s="378"/>
      <c r="SKY91" s="378"/>
      <c r="SKZ91" s="378"/>
      <c r="SLA91" s="378"/>
      <c r="SLB91" s="378"/>
      <c r="SLC91" s="378"/>
      <c r="SLD91" s="378"/>
      <c r="SLE91" s="378"/>
      <c r="SLF91" s="378"/>
      <c r="SLG91" s="378"/>
      <c r="SLH91" s="378"/>
      <c r="SLI91" s="378"/>
      <c r="SLJ91" s="378"/>
      <c r="SLK91" s="378"/>
      <c r="SLL91" s="378"/>
      <c r="SLM91" s="378"/>
      <c r="SLN91" s="378"/>
      <c r="SLO91" s="378"/>
      <c r="SLP91" s="378"/>
      <c r="SLQ91" s="378"/>
      <c r="SLR91" s="378"/>
      <c r="SLS91" s="378"/>
      <c r="SLT91" s="378"/>
      <c r="SLU91" s="378"/>
      <c r="SLV91" s="378"/>
      <c r="SLW91" s="378"/>
      <c r="SLX91" s="378"/>
      <c r="SLY91" s="378"/>
      <c r="SLZ91" s="378"/>
      <c r="SMA91" s="378"/>
      <c r="SMB91" s="378"/>
      <c r="SMC91" s="378"/>
      <c r="SMD91" s="378"/>
      <c r="SME91" s="378"/>
      <c r="SMF91" s="378"/>
      <c r="SMG91" s="378"/>
      <c r="SMH91" s="378"/>
      <c r="SMI91" s="378"/>
      <c r="SMJ91" s="378"/>
      <c r="SMK91" s="378"/>
      <c r="SML91" s="378"/>
      <c r="SMM91" s="378"/>
      <c r="SMN91" s="378"/>
      <c r="SMO91" s="378"/>
      <c r="SMP91" s="378"/>
      <c r="SMQ91" s="378"/>
      <c r="SMR91" s="378"/>
      <c r="SMS91" s="378"/>
      <c r="SMT91" s="378"/>
      <c r="SMU91" s="378"/>
      <c r="SMV91" s="378"/>
      <c r="SMW91" s="378"/>
      <c r="SMX91" s="378"/>
      <c r="SMY91" s="378"/>
      <c r="SMZ91" s="378"/>
      <c r="SNA91" s="378"/>
      <c r="SNB91" s="378"/>
      <c r="SNC91" s="378"/>
      <c r="SND91" s="378"/>
      <c r="SNE91" s="378"/>
      <c r="SNF91" s="378"/>
      <c r="SNG91" s="378"/>
      <c r="SNH91" s="378"/>
      <c r="SNI91" s="378"/>
      <c r="SNJ91" s="378"/>
      <c r="SNK91" s="378"/>
      <c r="SNL91" s="378"/>
      <c r="SNM91" s="378"/>
      <c r="SNN91" s="378"/>
      <c r="SNO91" s="378"/>
      <c r="SNP91" s="378"/>
      <c r="SNQ91" s="378"/>
      <c r="SNR91" s="378"/>
      <c r="SNS91" s="378"/>
      <c r="SNT91" s="378"/>
      <c r="SNU91" s="378"/>
      <c r="SNV91" s="378"/>
      <c r="SNW91" s="378"/>
      <c r="SNX91" s="378"/>
      <c r="SNY91" s="378"/>
      <c r="SNZ91" s="378"/>
      <c r="SOA91" s="378"/>
      <c r="SOB91" s="378"/>
      <c r="SOC91" s="378"/>
      <c r="SOD91" s="378"/>
      <c r="SOE91" s="378"/>
      <c r="SOF91" s="378"/>
      <c r="SOG91" s="378"/>
      <c r="SOH91" s="378"/>
      <c r="SOI91" s="378"/>
      <c r="SOJ91" s="378"/>
      <c r="SOK91" s="378"/>
      <c r="SOL91" s="378"/>
      <c r="SOM91" s="378"/>
      <c r="SON91" s="378"/>
      <c r="SOO91" s="378"/>
      <c r="SOP91" s="378"/>
      <c r="SOQ91" s="378"/>
      <c r="SOR91" s="378"/>
      <c r="SOS91" s="378"/>
      <c r="SOT91" s="378"/>
      <c r="SOU91" s="378"/>
      <c r="SOV91" s="378"/>
      <c r="SOW91" s="378"/>
      <c r="SOX91" s="378"/>
      <c r="SOY91" s="378"/>
      <c r="SOZ91" s="378"/>
      <c r="SPA91" s="378"/>
      <c r="SPB91" s="378"/>
      <c r="SPC91" s="378"/>
      <c r="SPD91" s="378"/>
      <c r="SPE91" s="378"/>
      <c r="SPF91" s="378"/>
      <c r="SPG91" s="378"/>
      <c r="SPH91" s="378"/>
      <c r="SPI91" s="378"/>
      <c r="SPJ91" s="378"/>
      <c r="SPK91" s="378"/>
      <c r="SPL91" s="378"/>
      <c r="SPM91" s="378"/>
      <c r="SPN91" s="378"/>
      <c r="SPO91" s="378"/>
      <c r="SPP91" s="378"/>
      <c r="SPQ91" s="378"/>
      <c r="SPR91" s="378"/>
      <c r="SPS91" s="378"/>
      <c r="SPT91" s="378"/>
      <c r="SPU91" s="378"/>
      <c r="SPV91" s="378"/>
      <c r="SPW91" s="378"/>
      <c r="SPX91" s="378"/>
      <c r="SPY91" s="378"/>
      <c r="SPZ91" s="378"/>
      <c r="SQA91" s="378"/>
      <c r="SQB91" s="378"/>
      <c r="SQC91" s="378"/>
      <c r="SQD91" s="378"/>
      <c r="SQE91" s="378"/>
      <c r="SQF91" s="378"/>
      <c r="SQG91" s="378"/>
      <c r="SQH91" s="378"/>
      <c r="SQI91" s="378"/>
      <c r="SQJ91" s="378"/>
      <c r="SQK91" s="378"/>
      <c r="SQL91" s="378"/>
      <c r="SQM91" s="378"/>
      <c r="SQN91" s="378"/>
      <c r="SQO91" s="378"/>
      <c r="SQP91" s="378"/>
      <c r="SQQ91" s="378"/>
      <c r="SQR91" s="378"/>
      <c r="SQS91" s="378"/>
      <c r="SQT91" s="378"/>
      <c r="SQU91" s="378"/>
      <c r="SQV91" s="378"/>
      <c r="SQW91" s="378"/>
      <c r="SQX91" s="378"/>
      <c r="SQY91" s="378"/>
      <c r="SQZ91" s="378"/>
      <c r="SRA91" s="378"/>
      <c r="SRB91" s="378"/>
      <c r="SRC91" s="378"/>
      <c r="SRD91" s="378"/>
      <c r="SRE91" s="378"/>
      <c r="SRF91" s="378"/>
      <c r="SRG91" s="378"/>
      <c r="SRH91" s="378"/>
      <c r="SRI91" s="378"/>
      <c r="SRJ91" s="378"/>
      <c r="SRK91" s="378"/>
      <c r="SRL91" s="378"/>
      <c r="SRM91" s="378"/>
      <c r="SRN91" s="378"/>
      <c r="SRO91" s="378"/>
      <c r="SRP91" s="378"/>
      <c r="SRQ91" s="378"/>
      <c r="SRR91" s="378"/>
      <c r="SRS91" s="378"/>
      <c r="SRT91" s="378"/>
      <c r="SRU91" s="378"/>
      <c r="SRV91" s="378"/>
      <c r="SRW91" s="378"/>
      <c r="SRX91" s="378"/>
      <c r="SRY91" s="378"/>
      <c r="SRZ91" s="378"/>
      <c r="SSA91" s="378"/>
      <c r="SSB91" s="378"/>
      <c r="SSC91" s="378"/>
      <c r="SSD91" s="378"/>
      <c r="SSE91" s="378"/>
      <c r="SSF91" s="378"/>
      <c r="SSG91" s="378"/>
      <c r="SSH91" s="378"/>
      <c r="SSI91" s="378"/>
      <c r="SSJ91" s="378"/>
      <c r="SSK91" s="378"/>
      <c r="SSL91" s="378"/>
      <c r="SSM91" s="378"/>
      <c r="SSN91" s="378"/>
      <c r="SSO91" s="378"/>
      <c r="SSP91" s="378"/>
      <c r="SSQ91" s="378"/>
      <c r="SSR91" s="378"/>
      <c r="SSS91" s="378"/>
      <c r="SST91" s="378"/>
      <c r="SSU91" s="378"/>
      <c r="SSV91" s="378"/>
      <c r="SSW91" s="378"/>
      <c r="SSX91" s="378"/>
      <c r="SSY91" s="378"/>
      <c r="SSZ91" s="378"/>
      <c r="STA91" s="378"/>
      <c r="STB91" s="378"/>
      <c r="STC91" s="378"/>
      <c r="STD91" s="378"/>
      <c r="STE91" s="378"/>
      <c r="STF91" s="378"/>
      <c r="STG91" s="378"/>
      <c r="STH91" s="378"/>
      <c r="STI91" s="378"/>
      <c r="STJ91" s="378"/>
      <c r="STK91" s="378"/>
      <c r="STL91" s="378"/>
      <c r="STM91" s="378"/>
      <c r="STN91" s="378"/>
      <c r="STO91" s="378"/>
      <c r="STP91" s="378"/>
      <c r="STQ91" s="378"/>
      <c r="STR91" s="378"/>
      <c r="STS91" s="378"/>
      <c r="STT91" s="378"/>
      <c r="STU91" s="378"/>
      <c r="STV91" s="378"/>
      <c r="STW91" s="378"/>
      <c r="STX91" s="378"/>
      <c r="STY91" s="378"/>
      <c r="STZ91" s="378"/>
      <c r="SUA91" s="378"/>
      <c r="SUB91" s="378"/>
      <c r="SUC91" s="378"/>
      <c r="SUD91" s="378"/>
      <c r="SUE91" s="378"/>
      <c r="SUF91" s="378"/>
      <c r="SUG91" s="378"/>
      <c r="SUH91" s="378"/>
      <c r="SUI91" s="378"/>
      <c r="SUJ91" s="378"/>
      <c r="SUK91" s="378"/>
      <c r="SUL91" s="378"/>
      <c r="SUM91" s="378"/>
      <c r="SUN91" s="378"/>
      <c r="SUO91" s="378"/>
      <c r="SUP91" s="378"/>
      <c r="SUQ91" s="378"/>
      <c r="SUR91" s="378"/>
      <c r="SUS91" s="378"/>
      <c r="SUT91" s="378"/>
      <c r="SUU91" s="378"/>
      <c r="SUV91" s="378"/>
      <c r="SUW91" s="378"/>
      <c r="SUX91" s="378"/>
      <c r="SUY91" s="378"/>
      <c r="SUZ91" s="378"/>
      <c r="SVA91" s="378"/>
      <c r="SVB91" s="378"/>
      <c r="SVC91" s="378"/>
      <c r="SVD91" s="378"/>
      <c r="SVE91" s="378"/>
      <c r="SVF91" s="378"/>
      <c r="SVG91" s="378"/>
      <c r="SVH91" s="378"/>
      <c r="SVI91" s="378"/>
      <c r="SVJ91" s="378"/>
      <c r="SVK91" s="378"/>
      <c r="SVL91" s="378"/>
      <c r="SVM91" s="378"/>
      <c r="SVN91" s="378"/>
      <c r="SVO91" s="378"/>
      <c r="SVP91" s="378"/>
      <c r="SVQ91" s="378"/>
      <c r="SVR91" s="378"/>
      <c r="SVS91" s="378"/>
      <c r="SVT91" s="378"/>
      <c r="SVU91" s="378"/>
      <c r="SVV91" s="378"/>
      <c r="SVW91" s="378"/>
      <c r="SVX91" s="378"/>
      <c r="SVY91" s="378"/>
      <c r="SVZ91" s="378"/>
      <c r="SWA91" s="378"/>
      <c r="SWB91" s="378"/>
      <c r="SWC91" s="378"/>
      <c r="SWD91" s="378"/>
      <c r="SWE91" s="378"/>
      <c r="SWF91" s="378"/>
      <c r="SWG91" s="378"/>
      <c r="SWH91" s="378"/>
      <c r="SWI91" s="378"/>
      <c r="SWJ91" s="378"/>
      <c r="SWK91" s="378"/>
      <c r="SWL91" s="378"/>
      <c r="SWM91" s="378"/>
      <c r="SWN91" s="378"/>
      <c r="SWO91" s="378"/>
      <c r="SWP91" s="378"/>
      <c r="SWQ91" s="378"/>
      <c r="SWR91" s="378"/>
      <c r="SWS91" s="378"/>
      <c r="SWT91" s="378"/>
      <c r="SWU91" s="378"/>
      <c r="SWV91" s="378"/>
      <c r="SWW91" s="378"/>
      <c r="SWX91" s="378"/>
      <c r="SWY91" s="378"/>
      <c r="SWZ91" s="378"/>
      <c r="SXA91" s="378"/>
      <c r="SXB91" s="378"/>
      <c r="SXC91" s="378"/>
      <c r="SXD91" s="378"/>
      <c r="SXE91" s="378"/>
      <c r="SXF91" s="378"/>
      <c r="SXG91" s="378"/>
      <c r="SXH91" s="378"/>
      <c r="SXI91" s="378"/>
      <c r="SXJ91" s="378"/>
      <c r="SXK91" s="378"/>
      <c r="SXL91" s="378"/>
      <c r="SXM91" s="378"/>
      <c r="SXN91" s="378"/>
      <c r="SXO91" s="378"/>
      <c r="SXP91" s="378"/>
      <c r="SXQ91" s="378"/>
      <c r="SXR91" s="378"/>
      <c r="SXS91" s="378"/>
      <c r="SXT91" s="378"/>
      <c r="SXU91" s="378"/>
      <c r="SXV91" s="378"/>
      <c r="SXW91" s="378"/>
      <c r="SXX91" s="378"/>
      <c r="SXY91" s="378"/>
      <c r="SXZ91" s="378"/>
      <c r="SYA91" s="378"/>
      <c r="SYB91" s="378"/>
      <c r="SYC91" s="378"/>
      <c r="SYD91" s="378"/>
      <c r="SYE91" s="378"/>
      <c r="SYF91" s="378"/>
      <c r="SYG91" s="378"/>
      <c r="SYH91" s="378"/>
      <c r="SYI91" s="378"/>
      <c r="SYJ91" s="378"/>
      <c r="SYK91" s="378"/>
      <c r="SYL91" s="378"/>
      <c r="SYM91" s="378"/>
      <c r="SYN91" s="378"/>
      <c r="SYO91" s="378"/>
      <c r="SYP91" s="378"/>
      <c r="SYQ91" s="378"/>
      <c r="SYR91" s="378"/>
      <c r="SYS91" s="378"/>
      <c r="SYT91" s="378"/>
      <c r="SYU91" s="378"/>
      <c r="SYV91" s="378"/>
      <c r="SYW91" s="378"/>
      <c r="SYX91" s="378"/>
      <c r="SYY91" s="378"/>
      <c r="SYZ91" s="378"/>
      <c r="SZA91" s="378"/>
      <c r="SZB91" s="378"/>
      <c r="SZC91" s="378"/>
      <c r="SZD91" s="378"/>
      <c r="SZE91" s="378"/>
      <c r="SZF91" s="378"/>
      <c r="SZG91" s="378"/>
      <c r="SZH91" s="378"/>
      <c r="SZI91" s="378"/>
      <c r="SZJ91" s="378"/>
      <c r="SZK91" s="378"/>
      <c r="SZL91" s="378"/>
      <c r="SZM91" s="378"/>
      <c r="SZN91" s="378"/>
      <c r="SZO91" s="378"/>
      <c r="SZP91" s="378"/>
      <c r="SZQ91" s="378"/>
      <c r="SZR91" s="378"/>
      <c r="SZS91" s="378"/>
      <c r="SZT91" s="378"/>
      <c r="SZU91" s="378"/>
      <c r="SZV91" s="378"/>
      <c r="SZW91" s="378"/>
      <c r="SZX91" s="378"/>
      <c r="SZY91" s="378"/>
      <c r="SZZ91" s="378"/>
      <c r="TAA91" s="378"/>
      <c r="TAB91" s="378"/>
      <c r="TAC91" s="378"/>
      <c r="TAD91" s="378"/>
      <c r="TAE91" s="378"/>
      <c r="TAF91" s="378"/>
      <c r="TAG91" s="378"/>
      <c r="TAH91" s="378"/>
      <c r="TAI91" s="378"/>
      <c r="TAJ91" s="378"/>
      <c r="TAK91" s="378"/>
      <c r="TAL91" s="378"/>
      <c r="TAM91" s="378"/>
      <c r="TAN91" s="378"/>
      <c r="TAO91" s="378"/>
      <c r="TAP91" s="378"/>
      <c r="TAQ91" s="378"/>
      <c r="TAR91" s="378"/>
      <c r="TAS91" s="378"/>
      <c r="TAT91" s="378"/>
      <c r="TAU91" s="378"/>
      <c r="TAV91" s="378"/>
      <c r="TAW91" s="378"/>
      <c r="TAX91" s="378"/>
      <c r="TAY91" s="378"/>
      <c r="TAZ91" s="378"/>
      <c r="TBA91" s="378"/>
      <c r="TBB91" s="378"/>
      <c r="TBC91" s="378"/>
      <c r="TBD91" s="378"/>
      <c r="TBE91" s="378"/>
      <c r="TBF91" s="378"/>
      <c r="TBG91" s="378"/>
      <c r="TBH91" s="378"/>
      <c r="TBI91" s="378"/>
      <c r="TBJ91" s="378"/>
      <c r="TBK91" s="378"/>
      <c r="TBL91" s="378"/>
      <c r="TBM91" s="378"/>
      <c r="TBN91" s="378"/>
      <c r="TBO91" s="378"/>
      <c r="TBP91" s="378"/>
      <c r="TBQ91" s="378"/>
      <c r="TBR91" s="378"/>
      <c r="TBS91" s="378"/>
      <c r="TBT91" s="378"/>
      <c r="TBU91" s="378"/>
      <c r="TBV91" s="378"/>
      <c r="TBW91" s="378"/>
      <c r="TBX91" s="378"/>
      <c r="TBY91" s="378"/>
      <c r="TBZ91" s="378"/>
      <c r="TCA91" s="378"/>
      <c r="TCB91" s="378"/>
      <c r="TCC91" s="378"/>
      <c r="TCD91" s="378"/>
      <c r="TCE91" s="378"/>
      <c r="TCF91" s="378"/>
      <c r="TCG91" s="378"/>
      <c r="TCH91" s="378"/>
      <c r="TCI91" s="378"/>
      <c r="TCJ91" s="378"/>
      <c r="TCK91" s="378"/>
      <c r="TCL91" s="378"/>
      <c r="TCM91" s="378"/>
      <c r="TCN91" s="378"/>
      <c r="TCO91" s="378"/>
      <c r="TCP91" s="378"/>
      <c r="TCQ91" s="378"/>
      <c r="TCR91" s="378"/>
      <c r="TCS91" s="378"/>
      <c r="TCT91" s="378"/>
      <c r="TCU91" s="378"/>
      <c r="TCV91" s="378"/>
      <c r="TCW91" s="378"/>
      <c r="TCX91" s="378"/>
      <c r="TCY91" s="378"/>
      <c r="TCZ91" s="378"/>
      <c r="TDA91" s="378"/>
      <c r="TDB91" s="378"/>
      <c r="TDC91" s="378"/>
      <c r="TDD91" s="378"/>
      <c r="TDE91" s="378"/>
      <c r="TDF91" s="378"/>
      <c r="TDG91" s="378"/>
      <c r="TDH91" s="378"/>
      <c r="TDI91" s="378"/>
      <c r="TDJ91" s="378"/>
      <c r="TDK91" s="378"/>
      <c r="TDL91" s="378"/>
      <c r="TDM91" s="378"/>
      <c r="TDN91" s="378"/>
      <c r="TDO91" s="378"/>
      <c r="TDP91" s="378"/>
      <c r="TDQ91" s="378"/>
      <c r="TDR91" s="378"/>
      <c r="TDS91" s="378"/>
      <c r="TDT91" s="378"/>
      <c r="TDU91" s="378"/>
      <c r="TDV91" s="378"/>
      <c r="TDW91" s="378"/>
      <c r="TDX91" s="378"/>
      <c r="TDY91" s="378"/>
      <c r="TDZ91" s="378"/>
      <c r="TEA91" s="378"/>
      <c r="TEB91" s="378"/>
      <c r="TEC91" s="378"/>
      <c r="TED91" s="378"/>
      <c r="TEE91" s="378"/>
      <c r="TEF91" s="378"/>
      <c r="TEG91" s="378"/>
      <c r="TEH91" s="378"/>
      <c r="TEI91" s="378"/>
      <c r="TEJ91" s="378"/>
      <c r="TEK91" s="378"/>
      <c r="TEL91" s="378"/>
      <c r="TEM91" s="378"/>
      <c r="TEN91" s="378"/>
      <c r="TEO91" s="378"/>
      <c r="TEP91" s="378"/>
      <c r="TEQ91" s="378"/>
      <c r="TER91" s="378"/>
      <c r="TES91" s="378"/>
      <c r="TET91" s="378"/>
      <c r="TEU91" s="378"/>
      <c r="TEV91" s="378"/>
      <c r="TEW91" s="378"/>
      <c r="TEX91" s="378"/>
      <c r="TEY91" s="378"/>
      <c r="TEZ91" s="378"/>
      <c r="TFA91" s="378"/>
      <c r="TFB91" s="378"/>
      <c r="TFC91" s="378"/>
      <c r="TFD91" s="378"/>
      <c r="TFE91" s="378"/>
      <c r="TFF91" s="378"/>
      <c r="TFG91" s="378"/>
      <c r="TFH91" s="378"/>
      <c r="TFI91" s="378"/>
      <c r="TFJ91" s="378"/>
      <c r="TFK91" s="378"/>
      <c r="TFL91" s="378"/>
      <c r="TFM91" s="378"/>
      <c r="TFN91" s="378"/>
      <c r="TFO91" s="378"/>
      <c r="TFP91" s="378"/>
      <c r="TFQ91" s="378"/>
      <c r="TFR91" s="378"/>
      <c r="TFS91" s="378"/>
      <c r="TFT91" s="378"/>
      <c r="TFU91" s="378"/>
      <c r="TFV91" s="378"/>
      <c r="TFW91" s="378"/>
      <c r="TFX91" s="378"/>
      <c r="TFY91" s="378"/>
      <c r="TFZ91" s="378"/>
      <c r="TGA91" s="378"/>
      <c r="TGB91" s="378"/>
      <c r="TGC91" s="378"/>
      <c r="TGD91" s="378"/>
      <c r="TGE91" s="378"/>
      <c r="TGF91" s="378"/>
      <c r="TGG91" s="378"/>
      <c r="TGH91" s="378"/>
      <c r="TGI91" s="378"/>
      <c r="TGJ91" s="378"/>
      <c r="TGK91" s="378"/>
      <c r="TGL91" s="378"/>
      <c r="TGM91" s="378"/>
      <c r="TGN91" s="378"/>
      <c r="TGO91" s="378"/>
      <c r="TGP91" s="378"/>
      <c r="TGQ91" s="378"/>
      <c r="TGR91" s="378"/>
      <c r="TGS91" s="378"/>
      <c r="TGT91" s="378"/>
      <c r="TGU91" s="378"/>
      <c r="TGV91" s="378"/>
      <c r="TGW91" s="378"/>
      <c r="TGX91" s="378"/>
      <c r="TGY91" s="378"/>
      <c r="TGZ91" s="378"/>
      <c r="THA91" s="378"/>
      <c r="THB91" s="378"/>
      <c r="THC91" s="378"/>
      <c r="THD91" s="378"/>
      <c r="THE91" s="378"/>
      <c r="THF91" s="378"/>
      <c r="THG91" s="378"/>
      <c r="THH91" s="378"/>
      <c r="THI91" s="378"/>
      <c r="THJ91" s="378"/>
      <c r="THK91" s="378"/>
      <c r="THL91" s="378"/>
      <c r="THM91" s="378"/>
      <c r="THN91" s="378"/>
      <c r="THO91" s="378"/>
      <c r="THP91" s="378"/>
      <c r="THQ91" s="378"/>
      <c r="THR91" s="378"/>
      <c r="THS91" s="378"/>
      <c r="THT91" s="378"/>
      <c r="THU91" s="378"/>
      <c r="THV91" s="378"/>
      <c r="THW91" s="378"/>
      <c r="THX91" s="378"/>
      <c r="THY91" s="378"/>
      <c r="THZ91" s="378"/>
      <c r="TIA91" s="378"/>
      <c r="TIB91" s="378"/>
      <c r="TIC91" s="378"/>
      <c r="TID91" s="378"/>
      <c r="TIE91" s="378"/>
      <c r="TIF91" s="378"/>
      <c r="TIG91" s="378"/>
      <c r="TIH91" s="378"/>
      <c r="TII91" s="378"/>
      <c r="TIJ91" s="378"/>
      <c r="TIK91" s="378"/>
      <c r="TIL91" s="378"/>
      <c r="TIM91" s="378"/>
      <c r="TIN91" s="378"/>
      <c r="TIO91" s="378"/>
      <c r="TIP91" s="378"/>
      <c r="TIQ91" s="378"/>
      <c r="TIR91" s="378"/>
      <c r="TIS91" s="378"/>
      <c r="TIT91" s="378"/>
      <c r="TIU91" s="378"/>
      <c r="TIV91" s="378"/>
      <c r="TIW91" s="378"/>
      <c r="TIX91" s="378"/>
      <c r="TIY91" s="378"/>
      <c r="TIZ91" s="378"/>
      <c r="TJA91" s="378"/>
      <c r="TJB91" s="378"/>
      <c r="TJC91" s="378"/>
      <c r="TJD91" s="378"/>
      <c r="TJE91" s="378"/>
      <c r="TJF91" s="378"/>
      <c r="TJG91" s="378"/>
      <c r="TJH91" s="378"/>
      <c r="TJI91" s="378"/>
      <c r="TJJ91" s="378"/>
      <c r="TJK91" s="378"/>
      <c r="TJL91" s="378"/>
      <c r="TJM91" s="378"/>
      <c r="TJN91" s="378"/>
      <c r="TJO91" s="378"/>
      <c r="TJP91" s="378"/>
      <c r="TJQ91" s="378"/>
      <c r="TJR91" s="378"/>
      <c r="TJS91" s="378"/>
      <c r="TJT91" s="378"/>
      <c r="TJU91" s="378"/>
      <c r="TJV91" s="378"/>
      <c r="TJW91" s="378"/>
      <c r="TJX91" s="378"/>
      <c r="TJY91" s="378"/>
      <c r="TJZ91" s="378"/>
      <c r="TKA91" s="378"/>
      <c r="TKB91" s="378"/>
      <c r="TKC91" s="378"/>
      <c r="TKD91" s="378"/>
      <c r="TKE91" s="378"/>
      <c r="TKF91" s="378"/>
      <c r="TKG91" s="378"/>
      <c r="TKH91" s="378"/>
      <c r="TKI91" s="378"/>
      <c r="TKJ91" s="378"/>
      <c r="TKK91" s="378"/>
      <c r="TKL91" s="378"/>
      <c r="TKM91" s="378"/>
      <c r="TKN91" s="378"/>
      <c r="TKO91" s="378"/>
      <c r="TKP91" s="378"/>
      <c r="TKQ91" s="378"/>
      <c r="TKR91" s="378"/>
      <c r="TKS91" s="378"/>
      <c r="TKT91" s="378"/>
      <c r="TKU91" s="378"/>
      <c r="TKV91" s="378"/>
      <c r="TKW91" s="378"/>
      <c r="TKX91" s="378"/>
      <c r="TKY91" s="378"/>
      <c r="TKZ91" s="378"/>
      <c r="TLA91" s="378"/>
      <c r="TLB91" s="378"/>
      <c r="TLC91" s="378"/>
      <c r="TLD91" s="378"/>
      <c r="TLE91" s="378"/>
      <c r="TLF91" s="378"/>
      <c r="TLG91" s="378"/>
      <c r="TLH91" s="378"/>
      <c r="TLI91" s="378"/>
      <c r="TLJ91" s="378"/>
      <c r="TLK91" s="378"/>
      <c r="TLL91" s="378"/>
      <c r="TLM91" s="378"/>
      <c r="TLN91" s="378"/>
      <c r="TLO91" s="378"/>
      <c r="TLP91" s="378"/>
      <c r="TLQ91" s="378"/>
      <c r="TLR91" s="378"/>
      <c r="TLS91" s="378"/>
      <c r="TLT91" s="378"/>
      <c r="TLU91" s="378"/>
      <c r="TLV91" s="378"/>
      <c r="TLW91" s="378"/>
      <c r="TLX91" s="378"/>
      <c r="TLY91" s="378"/>
      <c r="TLZ91" s="378"/>
      <c r="TMA91" s="378"/>
      <c r="TMB91" s="378"/>
      <c r="TMC91" s="378"/>
      <c r="TMD91" s="378"/>
      <c r="TME91" s="378"/>
      <c r="TMF91" s="378"/>
      <c r="TMG91" s="378"/>
      <c r="TMH91" s="378"/>
      <c r="TMI91" s="378"/>
      <c r="TMJ91" s="378"/>
      <c r="TMK91" s="378"/>
      <c r="TML91" s="378"/>
      <c r="TMM91" s="378"/>
      <c r="TMN91" s="378"/>
      <c r="TMO91" s="378"/>
      <c r="TMP91" s="378"/>
      <c r="TMQ91" s="378"/>
      <c r="TMR91" s="378"/>
      <c r="TMS91" s="378"/>
      <c r="TMT91" s="378"/>
      <c r="TMU91" s="378"/>
      <c r="TMV91" s="378"/>
      <c r="TMW91" s="378"/>
      <c r="TMX91" s="378"/>
      <c r="TMY91" s="378"/>
      <c r="TMZ91" s="378"/>
      <c r="TNA91" s="378"/>
      <c r="TNB91" s="378"/>
      <c r="TNC91" s="378"/>
      <c r="TND91" s="378"/>
      <c r="TNE91" s="378"/>
      <c r="TNF91" s="378"/>
      <c r="TNG91" s="378"/>
      <c r="TNH91" s="378"/>
      <c r="TNI91" s="378"/>
      <c r="TNJ91" s="378"/>
      <c r="TNK91" s="378"/>
      <c r="TNL91" s="378"/>
      <c r="TNM91" s="378"/>
      <c r="TNN91" s="378"/>
      <c r="TNO91" s="378"/>
      <c r="TNP91" s="378"/>
      <c r="TNQ91" s="378"/>
      <c r="TNR91" s="378"/>
      <c r="TNS91" s="378"/>
      <c r="TNT91" s="378"/>
      <c r="TNU91" s="378"/>
      <c r="TNV91" s="378"/>
      <c r="TNW91" s="378"/>
      <c r="TNX91" s="378"/>
      <c r="TNY91" s="378"/>
      <c r="TNZ91" s="378"/>
      <c r="TOA91" s="378"/>
      <c r="TOB91" s="378"/>
      <c r="TOC91" s="378"/>
      <c r="TOD91" s="378"/>
      <c r="TOE91" s="378"/>
      <c r="TOF91" s="378"/>
      <c r="TOG91" s="378"/>
      <c r="TOH91" s="378"/>
      <c r="TOI91" s="378"/>
      <c r="TOJ91" s="378"/>
      <c r="TOK91" s="378"/>
      <c r="TOL91" s="378"/>
      <c r="TOM91" s="378"/>
      <c r="TON91" s="378"/>
      <c r="TOO91" s="378"/>
      <c r="TOP91" s="378"/>
      <c r="TOQ91" s="378"/>
      <c r="TOR91" s="378"/>
      <c r="TOS91" s="378"/>
      <c r="TOT91" s="378"/>
      <c r="TOU91" s="378"/>
      <c r="TOV91" s="378"/>
      <c r="TOW91" s="378"/>
      <c r="TOX91" s="378"/>
      <c r="TOY91" s="378"/>
      <c r="TOZ91" s="378"/>
      <c r="TPA91" s="378"/>
      <c r="TPB91" s="378"/>
      <c r="TPC91" s="378"/>
      <c r="TPD91" s="378"/>
      <c r="TPE91" s="378"/>
      <c r="TPF91" s="378"/>
      <c r="TPG91" s="378"/>
      <c r="TPH91" s="378"/>
      <c r="TPI91" s="378"/>
      <c r="TPJ91" s="378"/>
      <c r="TPK91" s="378"/>
      <c r="TPL91" s="378"/>
      <c r="TPM91" s="378"/>
      <c r="TPN91" s="378"/>
      <c r="TPO91" s="378"/>
      <c r="TPP91" s="378"/>
      <c r="TPQ91" s="378"/>
      <c r="TPR91" s="378"/>
      <c r="TPS91" s="378"/>
      <c r="TPT91" s="378"/>
      <c r="TPU91" s="378"/>
      <c r="TPV91" s="378"/>
      <c r="TPW91" s="378"/>
      <c r="TPX91" s="378"/>
      <c r="TPY91" s="378"/>
      <c r="TPZ91" s="378"/>
      <c r="TQA91" s="378"/>
      <c r="TQB91" s="378"/>
      <c r="TQC91" s="378"/>
      <c r="TQD91" s="378"/>
      <c r="TQE91" s="378"/>
      <c r="TQF91" s="378"/>
      <c r="TQG91" s="378"/>
      <c r="TQH91" s="378"/>
      <c r="TQI91" s="378"/>
      <c r="TQJ91" s="378"/>
      <c r="TQK91" s="378"/>
      <c r="TQL91" s="378"/>
      <c r="TQM91" s="378"/>
      <c r="TQN91" s="378"/>
      <c r="TQO91" s="378"/>
      <c r="TQP91" s="378"/>
      <c r="TQQ91" s="378"/>
      <c r="TQR91" s="378"/>
      <c r="TQS91" s="378"/>
      <c r="TQT91" s="378"/>
      <c r="TQU91" s="378"/>
      <c r="TQV91" s="378"/>
      <c r="TQW91" s="378"/>
      <c r="TQX91" s="378"/>
      <c r="TQY91" s="378"/>
      <c r="TQZ91" s="378"/>
      <c r="TRA91" s="378"/>
      <c r="TRB91" s="378"/>
      <c r="TRC91" s="378"/>
      <c r="TRD91" s="378"/>
      <c r="TRE91" s="378"/>
      <c r="TRF91" s="378"/>
      <c r="TRG91" s="378"/>
      <c r="TRH91" s="378"/>
      <c r="TRI91" s="378"/>
      <c r="TRJ91" s="378"/>
      <c r="TRK91" s="378"/>
      <c r="TRL91" s="378"/>
      <c r="TRM91" s="378"/>
      <c r="TRN91" s="378"/>
      <c r="TRO91" s="378"/>
      <c r="TRP91" s="378"/>
      <c r="TRQ91" s="378"/>
      <c r="TRR91" s="378"/>
      <c r="TRS91" s="378"/>
      <c r="TRT91" s="378"/>
      <c r="TRU91" s="378"/>
      <c r="TRV91" s="378"/>
      <c r="TRW91" s="378"/>
      <c r="TRX91" s="378"/>
      <c r="TRY91" s="378"/>
      <c r="TRZ91" s="378"/>
      <c r="TSA91" s="378"/>
      <c r="TSB91" s="378"/>
      <c r="TSC91" s="378"/>
      <c r="TSD91" s="378"/>
      <c r="TSE91" s="378"/>
      <c r="TSF91" s="378"/>
      <c r="TSG91" s="378"/>
      <c r="TSH91" s="378"/>
      <c r="TSI91" s="378"/>
      <c r="TSJ91" s="378"/>
      <c r="TSK91" s="378"/>
      <c r="TSL91" s="378"/>
      <c r="TSM91" s="378"/>
      <c r="TSN91" s="378"/>
      <c r="TSO91" s="378"/>
      <c r="TSP91" s="378"/>
      <c r="TSQ91" s="378"/>
      <c r="TSR91" s="378"/>
      <c r="TSS91" s="378"/>
      <c r="TST91" s="378"/>
      <c r="TSU91" s="378"/>
      <c r="TSV91" s="378"/>
      <c r="TSW91" s="378"/>
      <c r="TSX91" s="378"/>
      <c r="TSY91" s="378"/>
      <c r="TSZ91" s="378"/>
      <c r="TTA91" s="378"/>
      <c r="TTB91" s="378"/>
      <c r="TTC91" s="378"/>
      <c r="TTD91" s="378"/>
      <c r="TTE91" s="378"/>
      <c r="TTF91" s="378"/>
      <c r="TTG91" s="378"/>
      <c r="TTH91" s="378"/>
      <c r="TTI91" s="378"/>
      <c r="TTJ91" s="378"/>
      <c r="TTK91" s="378"/>
      <c r="TTL91" s="378"/>
      <c r="TTM91" s="378"/>
      <c r="TTN91" s="378"/>
      <c r="TTO91" s="378"/>
      <c r="TTP91" s="378"/>
      <c r="TTQ91" s="378"/>
      <c r="TTR91" s="378"/>
      <c r="TTS91" s="378"/>
      <c r="TTT91" s="378"/>
      <c r="TTU91" s="378"/>
      <c r="TTV91" s="378"/>
      <c r="TTW91" s="378"/>
      <c r="TTX91" s="378"/>
      <c r="TTY91" s="378"/>
      <c r="TTZ91" s="378"/>
      <c r="TUA91" s="378"/>
      <c r="TUB91" s="378"/>
      <c r="TUC91" s="378"/>
      <c r="TUD91" s="378"/>
      <c r="TUE91" s="378"/>
      <c r="TUF91" s="378"/>
      <c r="TUG91" s="378"/>
      <c r="TUH91" s="378"/>
      <c r="TUI91" s="378"/>
      <c r="TUJ91" s="378"/>
      <c r="TUK91" s="378"/>
      <c r="TUL91" s="378"/>
      <c r="TUM91" s="378"/>
      <c r="TUN91" s="378"/>
      <c r="TUO91" s="378"/>
      <c r="TUP91" s="378"/>
      <c r="TUQ91" s="378"/>
      <c r="TUR91" s="378"/>
      <c r="TUS91" s="378"/>
      <c r="TUT91" s="378"/>
      <c r="TUU91" s="378"/>
      <c r="TUV91" s="378"/>
      <c r="TUW91" s="378"/>
      <c r="TUX91" s="378"/>
      <c r="TUY91" s="378"/>
      <c r="TUZ91" s="378"/>
      <c r="TVA91" s="378"/>
      <c r="TVB91" s="378"/>
      <c r="TVC91" s="378"/>
      <c r="TVD91" s="378"/>
      <c r="TVE91" s="378"/>
      <c r="TVF91" s="378"/>
      <c r="TVG91" s="378"/>
      <c r="TVH91" s="378"/>
      <c r="TVI91" s="378"/>
      <c r="TVJ91" s="378"/>
      <c r="TVK91" s="378"/>
      <c r="TVL91" s="378"/>
      <c r="TVM91" s="378"/>
      <c r="TVN91" s="378"/>
      <c r="TVO91" s="378"/>
      <c r="TVP91" s="378"/>
      <c r="TVQ91" s="378"/>
      <c r="TVR91" s="378"/>
      <c r="TVS91" s="378"/>
      <c r="TVT91" s="378"/>
      <c r="TVU91" s="378"/>
      <c r="TVV91" s="378"/>
      <c r="TVW91" s="378"/>
      <c r="TVX91" s="378"/>
      <c r="TVY91" s="378"/>
      <c r="TVZ91" s="378"/>
      <c r="TWA91" s="378"/>
      <c r="TWB91" s="378"/>
      <c r="TWC91" s="378"/>
      <c r="TWD91" s="378"/>
      <c r="TWE91" s="378"/>
      <c r="TWF91" s="378"/>
      <c r="TWG91" s="378"/>
      <c r="TWH91" s="378"/>
      <c r="TWI91" s="378"/>
      <c r="TWJ91" s="378"/>
      <c r="TWK91" s="378"/>
      <c r="TWL91" s="378"/>
      <c r="TWM91" s="378"/>
      <c r="TWN91" s="378"/>
      <c r="TWO91" s="378"/>
      <c r="TWP91" s="378"/>
      <c r="TWQ91" s="378"/>
      <c r="TWR91" s="378"/>
      <c r="TWS91" s="378"/>
      <c r="TWT91" s="378"/>
      <c r="TWU91" s="378"/>
      <c r="TWV91" s="378"/>
      <c r="TWW91" s="378"/>
      <c r="TWX91" s="378"/>
      <c r="TWY91" s="378"/>
      <c r="TWZ91" s="378"/>
      <c r="TXA91" s="378"/>
      <c r="TXB91" s="378"/>
      <c r="TXC91" s="378"/>
      <c r="TXD91" s="378"/>
      <c r="TXE91" s="378"/>
      <c r="TXF91" s="378"/>
      <c r="TXG91" s="378"/>
      <c r="TXH91" s="378"/>
      <c r="TXI91" s="378"/>
      <c r="TXJ91" s="378"/>
      <c r="TXK91" s="378"/>
      <c r="TXL91" s="378"/>
      <c r="TXM91" s="378"/>
      <c r="TXN91" s="378"/>
      <c r="TXO91" s="378"/>
      <c r="TXP91" s="378"/>
      <c r="TXQ91" s="378"/>
      <c r="TXR91" s="378"/>
      <c r="TXS91" s="378"/>
      <c r="TXT91" s="378"/>
      <c r="TXU91" s="378"/>
      <c r="TXV91" s="378"/>
      <c r="TXW91" s="378"/>
      <c r="TXX91" s="378"/>
      <c r="TXY91" s="378"/>
      <c r="TXZ91" s="378"/>
      <c r="TYA91" s="378"/>
      <c r="TYB91" s="378"/>
      <c r="TYC91" s="378"/>
      <c r="TYD91" s="378"/>
      <c r="TYE91" s="378"/>
      <c r="TYF91" s="378"/>
      <c r="TYG91" s="378"/>
      <c r="TYH91" s="378"/>
      <c r="TYI91" s="378"/>
      <c r="TYJ91" s="378"/>
      <c r="TYK91" s="378"/>
      <c r="TYL91" s="378"/>
      <c r="TYM91" s="378"/>
      <c r="TYN91" s="378"/>
      <c r="TYO91" s="378"/>
      <c r="TYP91" s="378"/>
      <c r="TYQ91" s="378"/>
      <c r="TYR91" s="378"/>
      <c r="TYS91" s="378"/>
      <c r="TYT91" s="378"/>
      <c r="TYU91" s="378"/>
      <c r="TYV91" s="378"/>
      <c r="TYW91" s="378"/>
      <c r="TYX91" s="378"/>
      <c r="TYY91" s="378"/>
      <c r="TYZ91" s="378"/>
      <c r="TZA91" s="378"/>
      <c r="TZB91" s="378"/>
      <c r="TZC91" s="378"/>
      <c r="TZD91" s="378"/>
      <c r="TZE91" s="378"/>
      <c r="TZF91" s="378"/>
      <c r="TZG91" s="378"/>
      <c r="TZH91" s="378"/>
      <c r="TZI91" s="378"/>
      <c r="TZJ91" s="378"/>
      <c r="TZK91" s="378"/>
      <c r="TZL91" s="378"/>
      <c r="TZM91" s="378"/>
      <c r="TZN91" s="378"/>
      <c r="TZO91" s="378"/>
      <c r="TZP91" s="378"/>
      <c r="TZQ91" s="378"/>
      <c r="TZR91" s="378"/>
      <c r="TZS91" s="378"/>
      <c r="TZT91" s="378"/>
      <c r="TZU91" s="378"/>
      <c r="TZV91" s="378"/>
      <c r="TZW91" s="378"/>
      <c r="TZX91" s="378"/>
      <c r="TZY91" s="378"/>
      <c r="TZZ91" s="378"/>
      <c r="UAA91" s="378"/>
      <c r="UAB91" s="378"/>
      <c r="UAC91" s="378"/>
      <c r="UAD91" s="378"/>
      <c r="UAE91" s="378"/>
      <c r="UAF91" s="378"/>
      <c r="UAG91" s="378"/>
      <c r="UAH91" s="378"/>
      <c r="UAI91" s="378"/>
      <c r="UAJ91" s="378"/>
      <c r="UAK91" s="378"/>
      <c r="UAL91" s="378"/>
      <c r="UAM91" s="378"/>
      <c r="UAN91" s="378"/>
      <c r="UAO91" s="378"/>
      <c r="UAP91" s="378"/>
      <c r="UAQ91" s="378"/>
      <c r="UAR91" s="378"/>
      <c r="UAS91" s="378"/>
      <c r="UAT91" s="378"/>
      <c r="UAU91" s="378"/>
      <c r="UAV91" s="378"/>
      <c r="UAW91" s="378"/>
      <c r="UAX91" s="378"/>
      <c r="UAY91" s="378"/>
      <c r="UAZ91" s="378"/>
      <c r="UBA91" s="378"/>
      <c r="UBB91" s="378"/>
      <c r="UBC91" s="378"/>
      <c r="UBD91" s="378"/>
      <c r="UBE91" s="378"/>
      <c r="UBF91" s="378"/>
      <c r="UBG91" s="378"/>
      <c r="UBH91" s="378"/>
      <c r="UBI91" s="378"/>
      <c r="UBJ91" s="378"/>
      <c r="UBK91" s="378"/>
      <c r="UBL91" s="378"/>
      <c r="UBM91" s="378"/>
      <c r="UBN91" s="378"/>
      <c r="UBO91" s="378"/>
      <c r="UBP91" s="378"/>
      <c r="UBQ91" s="378"/>
      <c r="UBR91" s="378"/>
      <c r="UBS91" s="378"/>
      <c r="UBT91" s="378"/>
      <c r="UBU91" s="378"/>
      <c r="UBV91" s="378"/>
      <c r="UBW91" s="378"/>
      <c r="UBX91" s="378"/>
      <c r="UBY91" s="378"/>
      <c r="UBZ91" s="378"/>
      <c r="UCA91" s="378"/>
      <c r="UCB91" s="378"/>
      <c r="UCC91" s="378"/>
      <c r="UCD91" s="378"/>
      <c r="UCE91" s="378"/>
      <c r="UCF91" s="378"/>
      <c r="UCG91" s="378"/>
      <c r="UCH91" s="378"/>
      <c r="UCI91" s="378"/>
      <c r="UCJ91" s="378"/>
      <c r="UCK91" s="378"/>
      <c r="UCL91" s="378"/>
      <c r="UCM91" s="378"/>
      <c r="UCN91" s="378"/>
      <c r="UCO91" s="378"/>
      <c r="UCP91" s="378"/>
      <c r="UCQ91" s="378"/>
      <c r="UCR91" s="378"/>
      <c r="UCS91" s="378"/>
      <c r="UCT91" s="378"/>
      <c r="UCU91" s="378"/>
      <c r="UCV91" s="378"/>
      <c r="UCW91" s="378"/>
      <c r="UCX91" s="378"/>
      <c r="UCY91" s="378"/>
      <c r="UCZ91" s="378"/>
      <c r="UDA91" s="378"/>
      <c r="UDB91" s="378"/>
      <c r="UDC91" s="378"/>
      <c r="UDD91" s="378"/>
      <c r="UDE91" s="378"/>
      <c r="UDF91" s="378"/>
      <c r="UDG91" s="378"/>
      <c r="UDH91" s="378"/>
      <c r="UDI91" s="378"/>
      <c r="UDJ91" s="378"/>
      <c r="UDK91" s="378"/>
      <c r="UDL91" s="378"/>
      <c r="UDM91" s="378"/>
      <c r="UDN91" s="378"/>
      <c r="UDO91" s="378"/>
      <c r="UDP91" s="378"/>
      <c r="UDQ91" s="378"/>
      <c r="UDR91" s="378"/>
      <c r="UDS91" s="378"/>
      <c r="UDT91" s="378"/>
      <c r="UDU91" s="378"/>
      <c r="UDV91" s="378"/>
      <c r="UDW91" s="378"/>
      <c r="UDX91" s="378"/>
      <c r="UDY91" s="378"/>
      <c r="UDZ91" s="378"/>
      <c r="UEA91" s="378"/>
      <c r="UEB91" s="378"/>
      <c r="UEC91" s="378"/>
      <c r="UED91" s="378"/>
      <c r="UEE91" s="378"/>
      <c r="UEF91" s="378"/>
      <c r="UEG91" s="378"/>
      <c r="UEH91" s="378"/>
      <c r="UEI91" s="378"/>
      <c r="UEJ91" s="378"/>
      <c r="UEK91" s="378"/>
      <c r="UEL91" s="378"/>
      <c r="UEM91" s="378"/>
      <c r="UEN91" s="378"/>
      <c r="UEO91" s="378"/>
      <c r="UEP91" s="378"/>
      <c r="UEQ91" s="378"/>
      <c r="UER91" s="378"/>
      <c r="UES91" s="378"/>
      <c r="UET91" s="378"/>
      <c r="UEU91" s="378"/>
      <c r="UEV91" s="378"/>
      <c r="UEW91" s="378"/>
      <c r="UEX91" s="378"/>
      <c r="UEY91" s="378"/>
      <c r="UEZ91" s="378"/>
      <c r="UFA91" s="378"/>
      <c r="UFB91" s="378"/>
      <c r="UFC91" s="378"/>
      <c r="UFD91" s="378"/>
      <c r="UFE91" s="378"/>
      <c r="UFF91" s="378"/>
      <c r="UFG91" s="378"/>
      <c r="UFH91" s="378"/>
      <c r="UFI91" s="378"/>
      <c r="UFJ91" s="378"/>
      <c r="UFK91" s="378"/>
      <c r="UFL91" s="378"/>
      <c r="UFM91" s="378"/>
      <c r="UFN91" s="378"/>
      <c r="UFO91" s="378"/>
      <c r="UFP91" s="378"/>
      <c r="UFQ91" s="378"/>
      <c r="UFR91" s="378"/>
      <c r="UFS91" s="378"/>
      <c r="UFT91" s="378"/>
      <c r="UFU91" s="378"/>
      <c r="UFV91" s="378"/>
      <c r="UFW91" s="378"/>
      <c r="UFX91" s="378"/>
      <c r="UFY91" s="378"/>
      <c r="UFZ91" s="378"/>
      <c r="UGA91" s="378"/>
      <c r="UGB91" s="378"/>
      <c r="UGC91" s="378"/>
      <c r="UGD91" s="378"/>
      <c r="UGE91" s="378"/>
      <c r="UGF91" s="378"/>
      <c r="UGG91" s="378"/>
      <c r="UGH91" s="378"/>
      <c r="UGI91" s="378"/>
      <c r="UGJ91" s="378"/>
      <c r="UGK91" s="378"/>
      <c r="UGL91" s="378"/>
      <c r="UGM91" s="378"/>
      <c r="UGN91" s="378"/>
      <c r="UGO91" s="378"/>
      <c r="UGP91" s="378"/>
      <c r="UGQ91" s="378"/>
      <c r="UGR91" s="378"/>
      <c r="UGS91" s="378"/>
      <c r="UGT91" s="378"/>
      <c r="UGU91" s="378"/>
      <c r="UGV91" s="378"/>
      <c r="UGW91" s="378"/>
      <c r="UGX91" s="378"/>
      <c r="UGY91" s="378"/>
      <c r="UGZ91" s="378"/>
      <c r="UHA91" s="378"/>
      <c r="UHB91" s="378"/>
      <c r="UHC91" s="378"/>
      <c r="UHD91" s="378"/>
      <c r="UHE91" s="378"/>
      <c r="UHF91" s="378"/>
      <c r="UHG91" s="378"/>
      <c r="UHH91" s="378"/>
      <c r="UHI91" s="378"/>
      <c r="UHJ91" s="378"/>
      <c r="UHK91" s="378"/>
      <c r="UHL91" s="378"/>
      <c r="UHM91" s="378"/>
      <c r="UHN91" s="378"/>
      <c r="UHO91" s="378"/>
      <c r="UHP91" s="378"/>
      <c r="UHQ91" s="378"/>
      <c r="UHR91" s="378"/>
      <c r="UHS91" s="378"/>
      <c r="UHT91" s="378"/>
      <c r="UHU91" s="378"/>
      <c r="UHV91" s="378"/>
      <c r="UHW91" s="378"/>
      <c r="UHX91" s="378"/>
      <c r="UHY91" s="378"/>
      <c r="UHZ91" s="378"/>
      <c r="UIA91" s="378"/>
      <c r="UIB91" s="378"/>
      <c r="UIC91" s="378"/>
      <c r="UID91" s="378"/>
      <c r="UIE91" s="378"/>
      <c r="UIF91" s="378"/>
      <c r="UIG91" s="378"/>
      <c r="UIH91" s="378"/>
      <c r="UII91" s="378"/>
      <c r="UIJ91" s="378"/>
      <c r="UIK91" s="378"/>
      <c r="UIL91" s="378"/>
      <c r="UIM91" s="378"/>
      <c r="UIN91" s="378"/>
      <c r="UIO91" s="378"/>
      <c r="UIP91" s="378"/>
      <c r="UIQ91" s="378"/>
      <c r="UIR91" s="378"/>
      <c r="UIS91" s="378"/>
      <c r="UIT91" s="378"/>
      <c r="UIU91" s="378"/>
      <c r="UIV91" s="378"/>
      <c r="UIW91" s="378"/>
      <c r="UIX91" s="378"/>
      <c r="UIY91" s="378"/>
      <c r="UIZ91" s="378"/>
      <c r="UJA91" s="378"/>
      <c r="UJB91" s="378"/>
      <c r="UJC91" s="378"/>
      <c r="UJD91" s="378"/>
      <c r="UJE91" s="378"/>
      <c r="UJF91" s="378"/>
      <c r="UJG91" s="378"/>
      <c r="UJH91" s="378"/>
      <c r="UJI91" s="378"/>
      <c r="UJJ91" s="378"/>
      <c r="UJK91" s="378"/>
      <c r="UJL91" s="378"/>
      <c r="UJM91" s="378"/>
      <c r="UJN91" s="378"/>
      <c r="UJO91" s="378"/>
      <c r="UJP91" s="378"/>
      <c r="UJQ91" s="378"/>
      <c r="UJR91" s="378"/>
      <c r="UJS91" s="378"/>
      <c r="UJT91" s="378"/>
      <c r="UJU91" s="378"/>
      <c r="UJV91" s="378"/>
      <c r="UJW91" s="378"/>
      <c r="UJX91" s="378"/>
      <c r="UJY91" s="378"/>
      <c r="UJZ91" s="378"/>
      <c r="UKA91" s="378"/>
      <c r="UKB91" s="378"/>
      <c r="UKC91" s="378"/>
      <c r="UKD91" s="378"/>
      <c r="UKE91" s="378"/>
      <c r="UKF91" s="378"/>
      <c r="UKG91" s="378"/>
      <c r="UKH91" s="378"/>
      <c r="UKI91" s="378"/>
      <c r="UKJ91" s="378"/>
      <c r="UKK91" s="378"/>
      <c r="UKL91" s="378"/>
      <c r="UKM91" s="378"/>
      <c r="UKN91" s="378"/>
      <c r="UKO91" s="378"/>
      <c r="UKP91" s="378"/>
      <c r="UKQ91" s="378"/>
      <c r="UKR91" s="378"/>
      <c r="UKS91" s="378"/>
      <c r="UKT91" s="378"/>
      <c r="UKU91" s="378"/>
      <c r="UKV91" s="378"/>
      <c r="UKW91" s="378"/>
      <c r="UKX91" s="378"/>
      <c r="UKY91" s="378"/>
      <c r="UKZ91" s="378"/>
      <c r="ULA91" s="378"/>
      <c r="ULB91" s="378"/>
      <c r="ULC91" s="378"/>
      <c r="ULD91" s="378"/>
      <c r="ULE91" s="378"/>
      <c r="ULF91" s="378"/>
      <c r="ULG91" s="378"/>
      <c r="ULH91" s="378"/>
      <c r="ULI91" s="378"/>
      <c r="ULJ91" s="378"/>
      <c r="ULK91" s="378"/>
      <c r="ULL91" s="378"/>
      <c r="ULM91" s="378"/>
      <c r="ULN91" s="378"/>
      <c r="ULO91" s="378"/>
      <c r="ULP91" s="378"/>
      <c r="ULQ91" s="378"/>
      <c r="ULR91" s="378"/>
      <c r="ULS91" s="378"/>
      <c r="ULT91" s="378"/>
      <c r="ULU91" s="378"/>
      <c r="ULV91" s="378"/>
      <c r="ULW91" s="378"/>
      <c r="ULX91" s="378"/>
      <c r="ULY91" s="378"/>
      <c r="ULZ91" s="378"/>
      <c r="UMA91" s="378"/>
      <c r="UMB91" s="378"/>
      <c r="UMC91" s="378"/>
      <c r="UMD91" s="378"/>
      <c r="UME91" s="378"/>
      <c r="UMF91" s="378"/>
      <c r="UMG91" s="378"/>
      <c r="UMH91" s="378"/>
      <c r="UMI91" s="378"/>
      <c r="UMJ91" s="378"/>
      <c r="UMK91" s="378"/>
      <c r="UML91" s="378"/>
      <c r="UMM91" s="378"/>
      <c r="UMN91" s="378"/>
      <c r="UMO91" s="378"/>
      <c r="UMP91" s="378"/>
      <c r="UMQ91" s="378"/>
      <c r="UMR91" s="378"/>
      <c r="UMS91" s="378"/>
      <c r="UMT91" s="378"/>
      <c r="UMU91" s="378"/>
      <c r="UMV91" s="378"/>
      <c r="UMW91" s="378"/>
      <c r="UMX91" s="378"/>
      <c r="UMY91" s="378"/>
      <c r="UMZ91" s="378"/>
      <c r="UNA91" s="378"/>
      <c r="UNB91" s="378"/>
      <c r="UNC91" s="378"/>
      <c r="UND91" s="378"/>
      <c r="UNE91" s="378"/>
      <c r="UNF91" s="378"/>
      <c r="UNG91" s="378"/>
      <c r="UNH91" s="378"/>
      <c r="UNI91" s="378"/>
      <c r="UNJ91" s="378"/>
      <c r="UNK91" s="378"/>
      <c r="UNL91" s="378"/>
      <c r="UNM91" s="378"/>
      <c r="UNN91" s="378"/>
      <c r="UNO91" s="378"/>
      <c r="UNP91" s="378"/>
      <c r="UNQ91" s="378"/>
      <c r="UNR91" s="378"/>
      <c r="UNS91" s="378"/>
      <c r="UNT91" s="378"/>
      <c r="UNU91" s="378"/>
      <c r="UNV91" s="378"/>
      <c r="UNW91" s="378"/>
      <c r="UNX91" s="378"/>
      <c r="UNY91" s="378"/>
      <c r="UNZ91" s="378"/>
      <c r="UOA91" s="378"/>
      <c r="UOB91" s="378"/>
      <c r="UOC91" s="378"/>
      <c r="UOD91" s="378"/>
      <c r="UOE91" s="378"/>
      <c r="UOF91" s="378"/>
      <c r="UOG91" s="378"/>
      <c r="UOH91" s="378"/>
      <c r="UOI91" s="378"/>
      <c r="UOJ91" s="378"/>
      <c r="UOK91" s="378"/>
      <c r="UOL91" s="378"/>
      <c r="UOM91" s="378"/>
      <c r="UON91" s="378"/>
      <c r="UOO91" s="378"/>
      <c r="UOP91" s="378"/>
      <c r="UOQ91" s="378"/>
      <c r="UOR91" s="378"/>
      <c r="UOS91" s="378"/>
      <c r="UOT91" s="378"/>
      <c r="UOU91" s="378"/>
      <c r="UOV91" s="378"/>
      <c r="UOW91" s="378"/>
      <c r="UOX91" s="378"/>
      <c r="UOY91" s="378"/>
      <c r="UOZ91" s="378"/>
      <c r="UPA91" s="378"/>
      <c r="UPB91" s="378"/>
      <c r="UPC91" s="378"/>
      <c r="UPD91" s="378"/>
      <c r="UPE91" s="378"/>
      <c r="UPF91" s="378"/>
      <c r="UPG91" s="378"/>
      <c r="UPH91" s="378"/>
      <c r="UPI91" s="378"/>
      <c r="UPJ91" s="378"/>
      <c r="UPK91" s="378"/>
      <c r="UPL91" s="378"/>
      <c r="UPM91" s="378"/>
      <c r="UPN91" s="378"/>
      <c r="UPO91" s="378"/>
      <c r="UPP91" s="378"/>
      <c r="UPQ91" s="378"/>
      <c r="UPR91" s="378"/>
      <c r="UPS91" s="378"/>
      <c r="UPT91" s="378"/>
      <c r="UPU91" s="378"/>
      <c r="UPV91" s="378"/>
      <c r="UPW91" s="378"/>
      <c r="UPX91" s="378"/>
      <c r="UPY91" s="378"/>
      <c r="UPZ91" s="378"/>
      <c r="UQA91" s="378"/>
      <c r="UQB91" s="378"/>
      <c r="UQC91" s="378"/>
      <c r="UQD91" s="378"/>
      <c r="UQE91" s="378"/>
      <c r="UQF91" s="378"/>
      <c r="UQG91" s="378"/>
      <c r="UQH91" s="378"/>
      <c r="UQI91" s="378"/>
      <c r="UQJ91" s="378"/>
      <c r="UQK91" s="378"/>
      <c r="UQL91" s="378"/>
      <c r="UQM91" s="378"/>
      <c r="UQN91" s="378"/>
      <c r="UQO91" s="378"/>
      <c r="UQP91" s="378"/>
      <c r="UQQ91" s="378"/>
      <c r="UQR91" s="378"/>
      <c r="UQS91" s="378"/>
      <c r="UQT91" s="378"/>
      <c r="UQU91" s="378"/>
      <c r="UQV91" s="378"/>
      <c r="UQW91" s="378"/>
      <c r="UQX91" s="378"/>
      <c r="UQY91" s="378"/>
      <c r="UQZ91" s="378"/>
      <c r="URA91" s="378"/>
      <c r="URB91" s="378"/>
      <c r="URC91" s="378"/>
      <c r="URD91" s="378"/>
      <c r="URE91" s="378"/>
      <c r="URF91" s="378"/>
      <c r="URG91" s="378"/>
      <c r="URH91" s="378"/>
      <c r="URI91" s="378"/>
      <c r="URJ91" s="378"/>
      <c r="URK91" s="378"/>
      <c r="URL91" s="378"/>
      <c r="URM91" s="378"/>
      <c r="URN91" s="378"/>
      <c r="URO91" s="378"/>
      <c r="URP91" s="378"/>
      <c r="URQ91" s="378"/>
      <c r="URR91" s="378"/>
      <c r="URS91" s="378"/>
      <c r="URT91" s="378"/>
      <c r="URU91" s="378"/>
      <c r="URV91" s="378"/>
      <c r="URW91" s="378"/>
      <c r="URX91" s="378"/>
      <c r="URY91" s="378"/>
      <c r="URZ91" s="378"/>
      <c r="USA91" s="378"/>
      <c r="USB91" s="378"/>
      <c r="USC91" s="378"/>
      <c r="USD91" s="378"/>
      <c r="USE91" s="378"/>
      <c r="USF91" s="378"/>
      <c r="USG91" s="378"/>
      <c r="USH91" s="378"/>
      <c r="USI91" s="378"/>
      <c r="USJ91" s="378"/>
      <c r="USK91" s="378"/>
      <c r="USL91" s="378"/>
      <c r="USM91" s="378"/>
      <c r="USN91" s="378"/>
      <c r="USO91" s="378"/>
      <c r="USP91" s="378"/>
      <c r="USQ91" s="378"/>
      <c r="USR91" s="378"/>
      <c r="USS91" s="378"/>
      <c r="UST91" s="378"/>
      <c r="USU91" s="378"/>
      <c r="USV91" s="378"/>
      <c r="USW91" s="378"/>
      <c r="USX91" s="378"/>
      <c r="USY91" s="378"/>
      <c r="USZ91" s="378"/>
      <c r="UTA91" s="378"/>
      <c r="UTB91" s="378"/>
      <c r="UTC91" s="378"/>
      <c r="UTD91" s="378"/>
      <c r="UTE91" s="378"/>
      <c r="UTF91" s="378"/>
      <c r="UTG91" s="378"/>
      <c r="UTH91" s="378"/>
      <c r="UTI91" s="378"/>
      <c r="UTJ91" s="378"/>
      <c r="UTK91" s="378"/>
      <c r="UTL91" s="378"/>
      <c r="UTM91" s="378"/>
      <c r="UTN91" s="378"/>
      <c r="UTO91" s="378"/>
      <c r="UTP91" s="378"/>
      <c r="UTQ91" s="378"/>
      <c r="UTR91" s="378"/>
      <c r="UTS91" s="378"/>
      <c r="UTT91" s="378"/>
      <c r="UTU91" s="378"/>
      <c r="UTV91" s="378"/>
      <c r="UTW91" s="378"/>
      <c r="UTX91" s="378"/>
      <c r="UTY91" s="378"/>
      <c r="UTZ91" s="378"/>
      <c r="UUA91" s="378"/>
      <c r="UUB91" s="378"/>
      <c r="UUC91" s="378"/>
      <c r="UUD91" s="378"/>
      <c r="UUE91" s="378"/>
      <c r="UUF91" s="378"/>
      <c r="UUG91" s="378"/>
      <c r="UUH91" s="378"/>
      <c r="UUI91" s="378"/>
      <c r="UUJ91" s="378"/>
      <c r="UUK91" s="378"/>
      <c r="UUL91" s="378"/>
      <c r="UUM91" s="378"/>
      <c r="UUN91" s="378"/>
      <c r="UUO91" s="378"/>
      <c r="UUP91" s="378"/>
      <c r="UUQ91" s="378"/>
      <c r="UUR91" s="378"/>
      <c r="UUS91" s="378"/>
      <c r="UUT91" s="378"/>
      <c r="UUU91" s="378"/>
      <c r="UUV91" s="378"/>
      <c r="UUW91" s="378"/>
      <c r="UUX91" s="378"/>
      <c r="UUY91" s="378"/>
      <c r="UUZ91" s="378"/>
      <c r="UVA91" s="378"/>
      <c r="UVB91" s="378"/>
      <c r="UVC91" s="378"/>
      <c r="UVD91" s="378"/>
      <c r="UVE91" s="378"/>
      <c r="UVF91" s="378"/>
      <c r="UVG91" s="378"/>
      <c r="UVH91" s="378"/>
      <c r="UVI91" s="378"/>
      <c r="UVJ91" s="378"/>
      <c r="UVK91" s="378"/>
      <c r="UVL91" s="378"/>
      <c r="UVM91" s="378"/>
      <c r="UVN91" s="378"/>
      <c r="UVO91" s="378"/>
      <c r="UVP91" s="378"/>
      <c r="UVQ91" s="378"/>
      <c r="UVR91" s="378"/>
      <c r="UVS91" s="378"/>
      <c r="UVT91" s="378"/>
      <c r="UVU91" s="378"/>
      <c r="UVV91" s="378"/>
      <c r="UVW91" s="378"/>
      <c r="UVX91" s="378"/>
      <c r="UVY91" s="378"/>
      <c r="UVZ91" s="378"/>
      <c r="UWA91" s="378"/>
      <c r="UWB91" s="378"/>
      <c r="UWC91" s="378"/>
      <c r="UWD91" s="378"/>
      <c r="UWE91" s="378"/>
      <c r="UWF91" s="378"/>
      <c r="UWG91" s="378"/>
      <c r="UWH91" s="378"/>
      <c r="UWI91" s="378"/>
      <c r="UWJ91" s="378"/>
      <c r="UWK91" s="378"/>
      <c r="UWL91" s="378"/>
      <c r="UWM91" s="378"/>
      <c r="UWN91" s="378"/>
      <c r="UWO91" s="378"/>
      <c r="UWP91" s="378"/>
      <c r="UWQ91" s="378"/>
      <c r="UWR91" s="378"/>
      <c r="UWS91" s="378"/>
      <c r="UWT91" s="378"/>
      <c r="UWU91" s="378"/>
      <c r="UWV91" s="378"/>
      <c r="UWW91" s="378"/>
      <c r="UWX91" s="378"/>
      <c r="UWY91" s="378"/>
      <c r="UWZ91" s="378"/>
      <c r="UXA91" s="378"/>
      <c r="UXB91" s="378"/>
      <c r="UXC91" s="378"/>
      <c r="UXD91" s="378"/>
      <c r="UXE91" s="378"/>
      <c r="UXF91" s="378"/>
      <c r="UXG91" s="378"/>
      <c r="UXH91" s="378"/>
      <c r="UXI91" s="378"/>
      <c r="UXJ91" s="378"/>
      <c r="UXK91" s="378"/>
      <c r="UXL91" s="378"/>
      <c r="UXM91" s="378"/>
      <c r="UXN91" s="378"/>
      <c r="UXO91" s="378"/>
      <c r="UXP91" s="378"/>
      <c r="UXQ91" s="378"/>
      <c r="UXR91" s="378"/>
      <c r="UXS91" s="378"/>
      <c r="UXT91" s="378"/>
      <c r="UXU91" s="378"/>
      <c r="UXV91" s="378"/>
      <c r="UXW91" s="378"/>
      <c r="UXX91" s="378"/>
      <c r="UXY91" s="378"/>
      <c r="UXZ91" s="378"/>
      <c r="UYA91" s="378"/>
      <c r="UYB91" s="378"/>
      <c r="UYC91" s="378"/>
      <c r="UYD91" s="378"/>
      <c r="UYE91" s="378"/>
      <c r="UYF91" s="378"/>
      <c r="UYG91" s="378"/>
      <c r="UYH91" s="378"/>
      <c r="UYI91" s="378"/>
      <c r="UYJ91" s="378"/>
      <c r="UYK91" s="378"/>
      <c r="UYL91" s="378"/>
      <c r="UYM91" s="378"/>
      <c r="UYN91" s="378"/>
      <c r="UYO91" s="378"/>
      <c r="UYP91" s="378"/>
      <c r="UYQ91" s="378"/>
      <c r="UYR91" s="378"/>
      <c r="UYS91" s="378"/>
      <c r="UYT91" s="378"/>
      <c r="UYU91" s="378"/>
      <c r="UYV91" s="378"/>
      <c r="UYW91" s="378"/>
      <c r="UYX91" s="378"/>
      <c r="UYY91" s="378"/>
      <c r="UYZ91" s="378"/>
      <c r="UZA91" s="378"/>
      <c r="UZB91" s="378"/>
      <c r="UZC91" s="378"/>
      <c r="UZD91" s="378"/>
      <c r="UZE91" s="378"/>
      <c r="UZF91" s="378"/>
      <c r="UZG91" s="378"/>
      <c r="UZH91" s="378"/>
      <c r="UZI91" s="378"/>
      <c r="UZJ91" s="378"/>
      <c r="UZK91" s="378"/>
      <c r="UZL91" s="378"/>
      <c r="UZM91" s="378"/>
      <c r="UZN91" s="378"/>
      <c r="UZO91" s="378"/>
      <c r="UZP91" s="378"/>
      <c r="UZQ91" s="378"/>
      <c r="UZR91" s="378"/>
      <c r="UZS91" s="378"/>
      <c r="UZT91" s="378"/>
      <c r="UZU91" s="378"/>
      <c r="UZV91" s="378"/>
      <c r="UZW91" s="378"/>
      <c r="UZX91" s="378"/>
      <c r="UZY91" s="378"/>
      <c r="UZZ91" s="378"/>
      <c r="VAA91" s="378"/>
      <c r="VAB91" s="378"/>
      <c r="VAC91" s="378"/>
      <c r="VAD91" s="378"/>
      <c r="VAE91" s="378"/>
      <c r="VAF91" s="378"/>
      <c r="VAG91" s="378"/>
      <c r="VAH91" s="378"/>
      <c r="VAI91" s="378"/>
      <c r="VAJ91" s="378"/>
      <c r="VAK91" s="378"/>
      <c r="VAL91" s="378"/>
      <c r="VAM91" s="378"/>
      <c r="VAN91" s="378"/>
      <c r="VAO91" s="378"/>
      <c r="VAP91" s="378"/>
      <c r="VAQ91" s="378"/>
      <c r="VAR91" s="378"/>
      <c r="VAS91" s="378"/>
      <c r="VAT91" s="378"/>
      <c r="VAU91" s="378"/>
      <c r="VAV91" s="378"/>
      <c r="VAW91" s="378"/>
      <c r="VAX91" s="378"/>
      <c r="VAY91" s="378"/>
      <c r="VAZ91" s="378"/>
      <c r="VBA91" s="378"/>
      <c r="VBB91" s="378"/>
      <c r="VBC91" s="378"/>
      <c r="VBD91" s="378"/>
      <c r="VBE91" s="378"/>
      <c r="VBF91" s="378"/>
      <c r="VBG91" s="378"/>
      <c r="VBH91" s="378"/>
      <c r="VBI91" s="378"/>
      <c r="VBJ91" s="378"/>
      <c r="VBK91" s="378"/>
      <c r="VBL91" s="378"/>
      <c r="VBM91" s="378"/>
      <c r="VBN91" s="378"/>
      <c r="VBO91" s="378"/>
      <c r="VBP91" s="378"/>
      <c r="VBQ91" s="378"/>
      <c r="VBR91" s="378"/>
      <c r="VBS91" s="378"/>
      <c r="VBT91" s="378"/>
      <c r="VBU91" s="378"/>
      <c r="VBV91" s="378"/>
      <c r="VBW91" s="378"/>
      <c r="VBX91" s="378"/>
      <c r="VBY91" s="378"/>
      <c r="VBZ91" s="378"/>
      <c r="VCA91" s="378"/>
      <c r="VCB91" s="378"/>
      <c r="VCC91" s="378"/>
      <c r="VCD91" s="378"/>
      <c r="VCE91" s="378"/>
      <c r="VCF91" s="378"/>
      <c r="VCG91" s="378"/>
      <c r="VCH91" s="378"/>
      <c r="VCI91" s="378"/>
      <c r="VCJ91" s="378"/>
      <c r="VCK91" s="378"/>
      <c r="VCL91" s="378"/>
      <c r="VCM91" s="378"/>
      <c r="VCN91" s="378"/>
      <c r="VCO91" s="378"/>
      <c r="VCP91" s="378"/>
      <c r="VCQ91" s="378"/>
      <c r="VCR91" s="378"/>
      <c r="VCS91" s="378"/>
      <c r="VCT91" s="378"/>
      <c r="VCU91" s="378"/>
      <c r="VCV91" s="378"/>
      <c r="VCW91" s="378"/>
      <c r="VCX91" s="378"/>
      <c r="VCY91" s="378"/>
      <c r="VCZ91" s="378"/>
      <c r="VDA91" s="378"/>
      <c r="VDB91" s="378"/>
      <c r="VDC91" s="378"/>
      <c r="VDD91" s="378"/>
      <c r="VDE91" s="378"/>
      <c r="VDF91" s="378"/>
      <c r="VDG91" s="378"/>
      <c r="VDH91" s="378"/>
      <c r="VDI91" s="378"/>
      <c r="VDJ91" s="378"/>
      <c r="VDK91" s="378"/>
      <c r="VDL91" s="378"/>
      <c r="VDM91" s="378"/>
      <c r="VDN91" s="378"/>
      <c r="VDO91" s="378"/>
      <c r="VDP91" s="378"/>
      <c r="VDQ91" s="378"/>
      <c r="VDR91" s="378"/>
      <c r="VDS91" s="378"/>
      <c r="VDT91" s="378"/>
      <c r="VDU91" s="378"/>
      <c r="VDV91" s="378"/>
      <c r="VDW91" s="378"/>
      <c r="VDX91" s="378"/>
      <c r="VDY91" s="378"/>
      <c r="VDZ91" s="378"/>
      <c r="VEA91" s="378"/>
      <c r="VEB91" s="378"/>
      <c r="VEC91" s="378"/>
      <c r="VED91" s="378"/>
      <c r="VEE91" s="378"/>
      <c r="VEF91" s="378"/>
      <c r="VEG91" s="378"/>
      <c r="VEH91" s="378"/>
      <c r="VEI91" s="378"/>
      <c r="VEJ91" s="378"/>
      <c r="VEK91" s="378"/>
      <c r="VEL91" s="378"/>
      <c r="VEM91" s="378"/>
      <c r="VEN91" s="378"/>
      <c r="VEO91" s="378"/>
      <c r="VEP91" s="378"/>
      <c r="VEQ91" s="378"/>
      <c r="VER91" s="378"/>
      <c r="VES91" s="378"/>
      <c r="VET91" s="378"/>
      <c r="VEU91" s="378"/>
      <c r="VEV91" s="378"/>
      <c r="VEW91" s="378"/>
      <c r="VEX91" s="378"/>
      <c r="VEY91" s="378"/>
      <c r="VEZ91" s="378"/>
      <c r="VFA91" s="378"/>
      <c r="VFB91" s="378"/>
      <c r="VFC91" s="378"/>
      <c r="VFD91" s="378"/>
      <c r="VFE91" s="378"/>
      <c r="VFF91" s="378"/>
      <c r="VFG91" s="378"/>
      <c r="VFH91" s="378"/>
      <c r="VFI91" s="378"/>
      <c r="VFJ91" s="378"/>
      <c r="VFK91" s="378"/>
      <c r="VFL91" s="378"/>
      <c r="VFM91" s="378"/>
      <c r="VFN91" s="378"/>
      <c r="VFO91" s="378"/>
      <c r="VFP91" s="378"/>
      <c r="VFQ91" s="378"/>
      <c r="VFR91" s="378"/>
      <c r="VFS91" s="378"/>
      <c r="VFT91" s="378"/>
      <c r="VFU91" s="378"/>
      <c r="VFV91" s="378"/>
      <c r="VFW91" s="378"/>
      <c r="VFX91" s="378"/>
      <c r="VFY91" s="378"/>
      <c r="VFZ91" s="378"/>
      <c r="VGA91" s="378"/>
      <c r="VGB91" s="378"/>
      <c r="VGC91" s="378"/>
      <c r="VGD91" s="378"/>
      <c r="VGE91" s="378"/>
      <c r="VGF91" s="378"/>
      <c r="VGG91" s="378"/>
      <c r="VGH91" s="378"/>
      <c r="VGI91" s="378"/>
      <c r="VGJ91" s="378"/>
      <c r="VGK91" s="378"/>
      <c r="VGL91" s="378"/>
      <c r="VGM91" s="378"/>
      <c r="VGN91" s="378"/>
      <c r="VGO91" s="378"/>
      <c r="VGP91" s="378"/>
      <c r="VGQ91" s="378"/>
      <c r="VGR91" s="378"/>
      <c r="VGS91" s="378"/>
      <c r="VGT91" s="378"/>
      <c r="VGU91" s="378"/>
      <c r="VGV91" s="378"/>
      <c r="VGW91" s="378"/>
      <c r="VGX91" s="378"/>
      <c r="VGY91" s="378"/>
      <c r="VGZ91" s="378"/>
      <c r="VHA91" s="378"/>
      <c r="VHB91" s="378"/>
      <c r="VHC91" s="378"/>
      <c r="VHD91" s="378"/>
      <c r="VHE91" s="378"/>
      <c r="VHF91" s="378"/>
      <c r="VHG91" s="378"/>
      <c r="VHH91" s="378"/>
      <c r="VHI91" s="378"/>
      <c r="VHJ91" s="378"/>
      <c r="VHK91" s="378"/>
      <c r="VHL91" s="378"/>
      <c r="VHM91" s="378"/>
      <c r="VHN91" s="378"/>
      <c r="VHO91" s="378"/>
      <c r="VHP91" s="378"/>
      <c r="VHQ91" s="378"/>
      <c r="VHR91" s="378"/>
      <c r="VHS91" s="378"/>
      <c r="VHT91" s="378"/>
      <c r="VHU91" s="378"/>
      <c r="VHV91" s="378"/>
      <c r="VHW91" s="378"/>
      <c r="VHX91" s="378"/>
      <c r="VHY91" s="378"/>
      <c r="VHZ91" s="378"/>
      <c r="VIA91" s="378"/>
      <c r="VIB91" s="378"/>
      <c r="VIC91" s="378"/>
      <c r="VID91" s="378"/>
      <c r="VIE91" s="378"/>
      <c r="VIF91" s="378"/>
      <c r="VIG91" s="378"/>
      <c r="VIH91" s="378"/>
      <c r="VII91" s="378"/>
      <c r="VIJ91" s="378"/>
      <c r="VIK91" s="378"/>
      <c r="VIL91" s="378"/>
      <c r="VIM91" s="378"/>
      <c r="VIN91" s="378"/>
      <c r="VIO91" s="378"/>
      <c r="VIP91" s="378"/>
      <c r="VIQ91" s="378"/>
      <c r="VIR91" s="378"/>
      <c r="VIS91" s="378"/>
      <c r="VIT91" s="378"/>
      <c r="VIU91" s="378"/>
      <c r="VIV91" s="378"/>
      <c r="VIW91" s="378"/>
      <c r="VIX91" s="378"/>
      <c r="VIY91" s="378"/>
      <c r="VIZ91" s="378"/>
      <c r="VJA91" s="378"/>
      <c r="VJB91" s="378"/>
      <c r="VJC91" s="378"/>
      <c r="VJD91" s="378"/>
      <c r="VJE91" s="378"/>
      <c r="VJF91" s="378"/>
      <c r="VJG91" s="378"/>
      <c r="VJH91" s="378"/>
      <c r="VJI91" s="378"/>
      <c r="VJJ91" s="378"/>
      <c r="VJK91" s="378"/>
      <c r="VJL91" s="378"/>
      <c r="VJM91" s="378"/>
      <c r="VJN91" s="378"/>
      <c r="VJO91" s="378"/>
      <c r="VJP91" s="378"/>
      <c r="VJQ91" s="378"/>
      <c r="VJR91" s="378"/>
      <c r="VJS91" s="378"/>
      <c r="VJT91" s="378"/>
      <c r="VJU91" s="378"/>
      <c r="VJV91" s="378"/>
      <c r="VJW91" s="378"/>
      <c r="VJX91" s="378"/>
      <c r="VJY91" s="378"/>
      <c r="VJZ91" s="378"/>
      <c r="VKA91" s="378"/>
      <c r="VKB91" s="378"/>
      <c r="VKC91" s="378"/>
      <c r="VKD91" s="378"/>
      <c r="VKE91" s="378"/>
      <c r="VKF91" s="378"/>
      <c r="VKG91" s="378"/>
      <c r="VKH91" s="378"/>
      <c r="VKI91" s="378"/>
      <c r="VKJ91" s="378"/>
      <c r="VKK91" s="378"/>
      <c r="VKL91" s="378"/>
      <c r="VKM91" s="378"/>
      <c r="VKN91" s="378"/>
      <c r="VKO91" s="378"/>
      <c r="VKP91" s="378"/>
      <c r="VKQ91" s="378"/>
      <c r="VKR91" s="378"/>
      <c r="VKS91" s="378"/>
      <c r="VKT91" s="378"/>
      <c r="VKU91" s="378"/>
      <c r="VKV91" s="378"/>
      <c r="VKW91" s="378"/>
      <c r="VKX91" s="378"/>
      <c r="VKY91" s="378"/>
      <c r="VKZ91" s="378"/>
      <c r="VLA91" s="378"/>
      <c r="VLB91" s="378"/>
      <c r="VLC91" s="378"/>
      <c r="VLD91" s="378"/>
      <c r="VLE91" s="378"/>
      <c r="VLF91" s="378"/>
      <c r="VLG91" s="378"/>
      <c r="VLH91" s="378"/>
      <c r="VLI91" s="378"/>
      <c r="VLJ91" s="378"/>
      <c r="VLK91" s="378"/>
      <c r="VLL91" s="378"/>
      <c r="VLM91" s="378"/>
      <c r="VLN91" s="378"/>
      <c r="VLO91" s="378"/>
      <c r="VLP91" s="378"/>
      <c r="VLQ91" s="378"/>
      <c r="VLR91" s="378"/>
      <c r="VLS91" s="378"/>
      <c r="VLT91" s="378"/>
      <c r="VLU91" s="378"/>
      <c r="VLV91" s="378"/>
      <c r="VLW91" s="378"/>
      <c r="VLX91" s="378"/>
      <c r="VLY91" s="378"/>
      <c r="VLZ91" s="378"/>
      <c r="VMA91" s="378"/>
      <c r="VMB91" s="378"/>
      <c r="VMC91" s="378"/>
      <c r="VMD91" s="378"/>
      <c r="VME91" s="378"/>
      <c r="VMF91" s="378"/>
      <c r="VMG91" s="378"/>
      <c r="VMH91" s="378"/>
      <c r="VMI91" s="378"/>
      <c r="VMJ91" s="378"/>
      <c r="VMK91" s="378"/>
      <c r="VML91" s="378"/>
      <c r="VMM91" s="378"/>
      <c r="VMN91" s="378"/>
      <c r="VMO91" s="378"/>
      <c r="VMP91" s="378"/>
      <c r="VMQ91" s="378"/>
      <c r="VMR91" s="378"/>
      <c r="VMS91" s="378"/>
      <c r="VMT91" s="378"/>
      <c r="VMU91" s="378"/>
      <c r="VMV91" s="378"/>
      <c r="VMW91" s="378"/>
      <c r="VMX91" s="378"/>
      <c r="VMY91" s="378"/>
      <c r="VMZ91" s="378"/>
      <c r="VNA91" s="378"/>
      <c r="VNB91" s="378"/>
      <c r="VNC91" s="378"/>
      <c r="VND91" s="378"/>
      <c r="VNE91" s="378"/>
      <c r="VNF91" s="378"/>
      <c r="VNG91" s="378"/>
      <c r="VNH91" s="378"/>
      <c r="VNI91" s="378"/>
      <c r="VNJ91" s="378"/>
      <c r="VNK91" s="378"/>
      <c r="VNL91" s="378"/>
      <c r="VNM91" s="378"/>
      <c r="VNN91" s="378"/>
      <c r="VNO91" s="378"/>
      <c r="VNP91" s="378"/>
      <c r="VNQ91" s="378"/>
      <c r="VNR91" s="378"/>
      <c r="VNS91" s="378"/>
      <c r="VNT91" s="378"/>
      <c r="VNU91" s="378"/>
      <c r="VNV91" s="378"/>
      <c r="VNW91" s="378"/>
      <c r="VNX91" s="378"/>
      <c r="VNY91" s="378"/>
      <c r="VNZ91" s="378"/>
      <c r="VOA91" s="378"/>
      <c r="VOB91" s="378"/>
      <c r="VOC91" s="378"/>
      <c r="VOD91" s="378"/>
      <c r="VOE91" s="378"/>
      <c r="VOF91" s="378"/>
      <c r="VOG91" s="378"/>
      <c r="VOH91" s="378"/>
      <c r="VOI91" s="378"/>
      <c r="VOJ91" s="378"/>
      <c r="VOK91" s="378"/>
      <c r="VOL91" s="378"/>
      <c r="VOM91" s="378"/>
      <c r="VON91" s="378"/>
      <c r="VOO91" s="378"/>
      <c r="VOP91" s="378"/>
      <c r="VOQ91" s="378"/>
      <c r="VOR91" s="378"/>
      <c r="VOS91" s="378"/>
      <c r="VOT91" s="378"/>
      <c r="VOU91" s="378"/>
      <c r="VOV91" s="378"/>
      <c r="VOW91" s="378"/>
      <c r="VOX91" s="378"/>
      <c r="VOY91" s="378"/>
      <c r="VOZ91" s="378"/>
      <c r="VPA91" s="378"/>
      <c r="VPB91" s="378"/>
      <c r="VPC91" s="378"/>
      <c r="VPD91" s="378"/>
      <c r="VPE91" s="378"/>
      <c r="VPF91" s="378"/>
      <c r="VPG91" s="378"/>
      <c r="VPH91" s="378"/>
      <c r="VPI91" s="378"/>
      <c r="VPJ91" s="378"/>
      <c r="VPK91" s="378"/>
      <c r="VPL91" s="378"/>
      <c r="VPM91" s="378"/>
      <c r="VPN91" s="378"/>
      <c r="VPO91" s="378"/>
      <c r="VPP91" s="378"/>
      <c r="VPQ91" s="378"/>
      <c r="VPR91" s="378"/>
      <c r="VPS91" s="378"/>
      <c r="VPT91" s="378"/>
      <c r="VPU91" s="378"/>
      <c r="VPV91" s="378"/>
      <c r="VPW91" s="378"/>
      <c r="VPX91" s="378"/>
      <c r="VPY91" s="378"/>
      <c r="VPZ91" s="378"/>
      <c r="VQA91" s="378"/>
      <c r="VQB91" s="378"/>
      <c r="VQC91" s="378"/>
      <c r="VQD91" s="378"/>
      <c r="VQE91" s="378"/>
      <c r="VQF91" s="378"/>
      <c r="VQG91" s="378"/>
      <c r="VQH91" s="378"/>
      <c r="VQI91" s="378"/>
      <c r="VQJ91" s="378"/>
      <c r="VQK91" s="378"/>
      <c r="VQL91" s="378"/>
      <c r="VQM91" s="378"/>
      <c r="VQN91" s="378"/>
      <c r="VQO91" s="378"/>
      <c r="VQP91" s="378"/>
      <c r="VQQ91" s="378"/>
      <c r="VQR91" s="378"/>
      <c r="VQS91" s="378"/>
      <c r="VQT91" s="378"/>
      <c r="VQU91" s="378"/>
      <c r="VQV91" s="378"/>
      <c r="VQW91" s="378"/>
      <c r="VQX91" s="378"/>
      <c r="VQY91" s="378"/>
      <c r="VQZ91" s="378"/>
      <c r="VRA91" s="378"/>
      <c r="VRB91" s="378"/>
      <c r="VRC91" s="378"/>
      <c r="VRD91" s="378"/>
      <c r="VRE91" s="378"/>
      <c r="VRF91" s="378"/>
      <c r="VRG91" s="378"/>
      <c r="VRH91" s="378"/>
      <c r="VRI91" s="378"/>
      <c r="VRJ91" s="378"/>
      <c r="VRK91" s="378"/>
      <c r="VRL91" s="378"/>
      <c r="VRM91" s="378"/>
      <c r="VRN91" s="378"/>
      <c r="VRO91" s="378"/>
      <c r="VRP91" s="378"/>
      <c r="VRQ91" s="378"/>
      <c r="VRR91" s="378"/>
      <c r="VRS91" s="378"/>
      <c r="VRT91" s="378"/>
      <c r="VRU91" s="378"/>
      <c r="VRV91" s="378"/>
      <c r="VRW91" s="378"/>
      <c r="VRX91" s="378"/>
      <c r="VRY91" s="378"/>
      <c r="VRZ91" s="378"/>
      <c r="VSA91" s="378"/>
      <c r="VSB91" s="378"/>
      <c r="VSC91" s="378"/>
      <c r="VSD91" s="378"/>
      <c r="VSE91" s="378"/>
      <c r="VSF91" s="378"/>
      <c r="VSG91" s="378"/>
      <c r="VSH91" s="378"/>
      <c r="VSI91" s="378"/>
      <c r="VSJ91" s="378"/>
      <c r="VSK91" s="378"/>
      <c r="VSL91" s="378"/>
      <c r="VSM91" s="378"/>
      <c r="VSN91" s="378"/>
      <c r="VSO91" s="378"/>
      <c r="VSP91" s="378"/>
      <c r="VSQ91" s="378"/>
      <c r="VSR91" s="378"/>
      <c r="VSS91" s="378"/>
      <c r="VST91" s="378"/>
      <c r="VSU91" s="378"/>
      <c r="VSV91" s="378"/>
      <c r="VSW91" s="378"/>
      <c r="VSX91" s="378"/>
      <c r="VSY91" s="378"/>
      <c r="VSZ91" s="378"/>
      <c r="VTA91" s="378"/>
      <c r="VTB91" s="378"/>
      <c r="VTC91" s="378"/>
      <c r="VTD91" s="378"/>
      <c r="VTE91" s="378"/>
      <c r="VTF91" s="378"/>
      <c r="VTG91" s="378"/>
      <c r="VTH91" s="378"/>
      <c r="VTI91" s="378"/>
      <c r="VTJ91" s="378"/>
      <c r="VTK91" s="378"/>
      <c r="VTL91" s="378"/>
      <c r="VTM91" s="378"/>
      <c r="VTN91" s="378"/>
      <c r="VTO91" s="378"/>
      <c r="VTP91" s="378"/>
      <c r="VTQ91" s="378"/>
      <c r="VTR91" s="378"/>
      <c r="VTS91" s="378"/>
      <c r="VTT91" s="378"/>
      <c r="VTU91" s="378"/>
      <c r="VTV91" s="378"/>
      <c r="VTW91" s="378"/>
      <c r="VTX91" s="378"/>
      <c r="VTY91" s="378"/>
      <c r="VTZ91" s="378"/>
      <c r="VUA91" s="378"/>
      <c r="VUB91" s="378"/>
      <c r="VUC91" s="378"/>
      <c r="VUD91" s="378"/>
      <c r="VUE91" s="378"/>
      <c r="VUF91" s="378"/>
      <c r="VUG91" s="378"/>
      <c r="VUH91" s="378"/>
      <c r="VUI91" s="378"/>
      <c r="VUJ91" s="378"/>
      <c r="VUK91" s="378"/>
      <c r="VUL91" s="378"/>
      <c r="VUM91" s="378"/>
      <c r="VUN91" s="378"/>
      <c r="VUO91" s="378"/>
      <c r="VUP91" s="378"/>
      <c r="VUQ91" s="378"/>
      <c r="VUR91" s="378"/>
      <c r="VUS91" s="378"/>
      <c r="VUT91" s="378"/>
      <c r="VUU91" s="378"/>
      <c r="VUV91" s="378"/>
      <c r="VUW91" s="378"/>
      <c r="VUX91" s="378"/>
      <c r="VUY91" s="378"/>
      <c r="VUZ91" s="378"/>
      <c r="VVA91" s="378"/>
      <c r="VVB91" s="378"/>
      <c r="VVC91" s="378"/>
      <c r="VVD91" s="378"/>
      <c r="VVE91" s="378"/>
      <c r="VVF91" s="378"/>
      <c r="VVG91" s="378"/>
      <c r="VVH91" s="378"/>
      <c r="VVI91" s="378"/>
      <c r="VVJ91" s="378"/>
      <c r="VVK91" s="378"/>
      <c r="VVL91" s="378"/>
      <c r="VVM91" s="378"/>
      <c r="VVN91" s="378"/>
      <c r="VVO91" s="378"/>
      <c r="VVP91" s="378"/>
      <c r="VVQ91" s="378"/>
      <c r="VVR91" s="378"/>
      <c r="VVS91" s="378"/>
      <c r="VVT91" s="378"/>
      <c r="VVU91" s="378"/>
      <c r="VVV91" s="378"/>
      <c r="VVW91" s="378"/>
      <c r="VVX91" s="378"/>
      <c r="VVY91" s="378"/>
      <c r="VVZ91" s="378"/>
      <c r="VWA91" s="378"/>
      <c r="VWB91" s="378"/>
      <c r="VWC91" s="378"/>
      <c r="VWD91" s="378"/>
      <c r="VWE91" s="378"/>
      <c r="VWF91" s="378"/>
      <c r="VWG91" s="378"/>
      <c r="VWH91" s="378"/>
      <c r="VWI91" s="378"/>
      <c r="VWJ91" s="378"/>
      <c r="VWK91" s="378"/>
      <c r="VWL91" s="378"/>
      <c r="VWM91" s="378"/>
      <c r="VWN91" s="378"/>
      <c r="VWO91" s="378"/>
      <c r="VWP91" s="378"/>
      <c r="VWQ91" s="378"/>
      <c r="VWR91" s="378"/>
      <c r="VWS91" s="378"/>
      <c r="VWT91" s="378"/>
      <c r="VWU91" s="378"/>
      <c r="VWV91" s="378"/>
      <c r="VWW91" s="378"/>
      <c r="VWX91" s="378"/>
      <c r="VWY91" s="378"/>
      <c r="VWZ91" s="378"/>
      <c r="VXA91" s="378"/>
      <c r="VXB91" s="378"/>
      <c r="VXC91" s="378"/>
      <c r="VXD91" s="378"/>
      <c r="VXE91" s="378"/>
      <c r="VXF91" s="378"/>
      <c r="VXG91" s="378"/>
      <c r="VXH91" s="378"/>
      <c r="VXI91" s="378"/>
      <c r="VXJ91" s="378"/>
      <c r="VXK91" s="378"/>
      <c r="VXL91" s="378"/>
      <c r="VXM91" s="378"/>
      <c r="VXN91" s="378"/>
      <c r="VXO91" s="378"/>
      <c r="VXP91" s="378"/>
      <c r="VXQ91" s="378"/>
      <c r="VXR91" s="378"/>
      <c r="VXS91" s="378"/>
      <c r="VXT91" s="378"/>
      <c r="VXU91" s="378"/>
      <c r="VXV91" s="378"/>
      <c r="VXW91" s="378"/>
      <c r="VXX91" s="378"/>
      <c r="VXY91" s="378"/>
      <c r="VXZ91" s="378"/>
      <c r="VYA91" s="378"/>
      <c r="VYB91" s="378"/>
      <c r="VYC91" s="378"/>
      <c r="VYD91" s="378"/>
      <c r="VYE91" s="378"/>
      <c r="VYF91" s="378"/>
      <c r="VYG91" s="378"/>
      <c r="VYH91" s="378"/>
      <c r="VYI91" s="378"/>
      <c r="VYJ91" s="378"/>
      <c r="VYK91" s="378"/>
      <c r="VYL91" s="378"/>
      <c r="VYM91" s="378"/>
      <c r="VYN91" s="378"/>
      <c r="VYO91" s="378"/>
      <c r="VYP91" s="378"/>
      <c r="VYQ91" s="378"/>
      <c r="VYR91" s="378"/>
      <c r="VYS91" s="378"/>
      <c r="VYT91" s="378"/>
      <c r="VYU91" s="378"/>
      <c r="VYV91" s="378"/>
      <c r="VYW91" s="378"/>
      <c r="VYX91" s="378"/>
      <c r="VYY91" s="378"/>
      <c r="VYZ91" s="378"/>
      <c r="VZA91" s="378"/>
      <c r="VZB91" s="378"/>
      <c r="VZC91" s="378"/>
      <c r="VZD91" s="378"/>
      <c r="VZE91" s="378"/>
      <c r="VZF91" s="378"/>
      <c r="VZG91" s="378"/>
      <c r="VZH91" s="378"/>
      <c r="VZI91" s="378"/>
      <c r="VZJ91" s="378"/>
      <c r="VZK91" s="378"/>
      <c r="VZL91" s="378"/>
      <c r="VZM91" s="378"/>
      <c r="VZN91" s="378"/>
      <c r="VZO91" s="378"/>
      <c r="VZP91" s="378"/>
      <c r="VZQ91" s="378"/>
      <c r="VZR91" s="378"/>
      <c r="VZS91" s="378"/>
      <c r="VZT91" s="378"/>
      <c r="VZU91" s="378"/>
      <c r="VZV91" s="378"/>
      <c r="VZW91" s="378"/>
      <c r="VZX91" s="378"/>
      <c r="VZY91" s="378"/>
      <c r="VZZ91" s="378"/>
      <c r="WAA91" s="378"/>
      <c r="WAB91" s="378"/>
      <c r="WAC91" s="378"/>
      <c r="WAD91" s="378"/>
      <c r="WAE91" s="378"/>
      <c r="WAF91" s="378"/>
      <c r="WAG91" s="378"/>
      <c r="WAH91" s="378"/>
      <c r="WAI91" s="378"/>
      <c r="WAJ91" s="378"/>
      <c r="WAK91" s="378"/>
      <c r="WAL91" s="378"/>
      <c r="WAM91" s="378"/>
      <c r="WAN91" s="378"/>
      <c r="WAO91" s="378"/>
      <c r="WAP91" s="378"/>
      <c r="WAQ91" s="378"/>
      <c r="WAR91" s="378"/>
      <c r="WAS91" s="378"/>
      <c r="WAT91" s="378"/>
      <c r="WAU91" s="378"/>
      <c r="WAV91" s="378"/>
      <c r="WAW91" s="378"/>
      <c r="WAX91" s="378"/>
      <c r="WAY91" s="378"/>
      <c r="WAZ91" s="378"/>
      <c r="WBA91" s="378"/>
      <c r="WBB91" s="378"/>
      <c r="WBC91" s="378"/>
      <c r="WBD91" s="378"/>
      <c r="WBE91" s="378"/>
      <c r="WBF91" s="378"/>
      <c r="WBG91" s="378"/>
      <c r="WBH91" s="378"/>
      <c r="WBI91" s="378"/>
      <c r="WBJ91" s="378"/>
      <c r="WBK91" s="378"/>
      <c r="WBL91" s="378"/>
      <c r="WBM91" s="378"/>
      <c r="WBN91" s="378"/>
      <c r="WBO91" s="378"/>
      <c r="WBP91" s="378"/>
      <c r="WBQ91" s="378"/>
      <c r="WBR91" s="378"/>
      <c r="WBS91" s="378"/>
      <c r="WBT91" s="378"/>
      <c r="WBU91" s="378"/>
      <c r="WBV91" s="378"/>
      <c r="WBW91" s="378"/>
      <c r="WBX91" s="378"/>
      <c r="WBY91" s="378"/>
      <c r="WBZ91" s="378"/>
      <c r="WCA91" s="378"/>
      <c r="WCB91" s="378"/>
      <c r="WCC91" s="378"/>
      <c r="WCD91" s="378"/>
      <c r="WCE91" s="378"/>
      <c r="WCF91" s="378"/>
      <c r="WCG91" s="378"/>
      <c r="WCH91" s="378"/>
      <c r="WCI91" s="378"/>
      <c r="WCJ91" s="378"/>
      <c r="WCK91" s="378"/>
      <c r="WCL91" s="378"/>
      <c r="WCM91" s="378"/>
      <c r="WCN91" s="378"/>
      <c r="WCO91" s="378"/>
      <c r="WCP91" s="378"/>
      <c r="WCQ91" s="378"/>
      <c r="WCR91" s="378"/>
      <c r="WCS91" s="378"/>
      <c r="WCT91" s="378"/>
      <c r="WCU91" s="378"/>
      <c r="WCV91" s="378"/>
      <c r="WCW91" s="378"/>
      <c r="WCX91" s="378"/>
      <c r="WCY91" s="378"/>
      <c r="WCZ91" s="378"/>
      <c r="WDA91" s="378"/>
      <c r="WDB91" s="378"/>
      <c r="WDC91" s="378"/>
      <c r="WDD91" s="378"/>
      <c r="WDE91" s="378"/>
      <c r="WDF91" s="378"/>
      <c r="WDG91" s="378"/>
      <c r="WDH91" s="378"/>
      <c r="WDI91" s="378"/>
      <c r="WDJ91" s="378"/>
      <c r="WDK91" s="378"/>
      <c r="WDL91" s="378"/>
      <c r="WDM91" s="378"/>
      <c r="WDN91" s="378"/>
      <c r="WDO91" s="378"/>
      <c r="WDP91" s="378"/>
      <c r="WDQ91" s="378"/>
      <c r="WDR91" s="378"/>
      <c r="WDS91" s="378"/>
      <c r="WDT91" s="378"/>
      <c r="WDU91" s="378"/>
      <c r="WDV91" s="378"/>
      <c r="WDW91" s="378"/>
      <c r="WDX91" s="378"/>
      <c r="WDY91" s="378"/>
      <c r="WDZ91" s="378"/>
      <c r="WEA91" s="378"/>
      <c r="WEB91" s="378"/>
      <c r="WEC91" s="378"/>
      <c r="WED91" s="378"/>
      <c r="WEE91" s="378"/>
      <c r="WEF91" s="378"/>
      <c r="WEG91" s="378"/>
      <c r="WEH91" s="378"/>
      <c r="WEI91" s="378"/>
      <c r="WEJ91" s="378"/>
      <c r="WEK91" s="378"/>
      <c r="WEL91" s="378"/>
      <c r="WEM91" s="378"/>
      <c r="WEN91" s="378"/>
      <c r="WEO91" s="378"/>
      <c r="WEP91" s="378"/>
      <c r="WEQ91" s="378"/>
      <c r="WER91" s="378"/>
      <c r="WES91" s="378"/>
      <c r="WET91" s="378"/>
      <c r="WEU91" s="378"/>
      <c r="WEV91" s="378"/>
      <c r="WEW91" s="378"/>
      <c r="WEX91" s="378"/>
      <c r="WEY91" s="378"/>
      <c r="WEZ91" s="378"/>
      <c r="WFA91" s="378"/>
      <c r="WFB91" s="378"/>
      <c r="WFC91" s="378"/>
      <c r="WFD91" s="378"/>
      <c r="WFE91" s="378"/>
      <c r="WFF91" s="378"/>
      <c r="WFG91" s="378"/>
      <c r="WFH91" s="378"/>
      <c r="WFI91" s="378"/>
      <c r="WFJ91" s="378"/>
      <c r="WFK91" s="378"/>
      <c r="WFL91" s="378"/>
      <c r="WFM91" s="378"/>
      <c r="WFN91" s="378"/>
      <c r="WFO91" s="378"/>
      <c r="WFP91" s="378"/>
      <c r="WFQ91" s="378"/>
      <c r="WFR91" s="378"/>
      <c r="WFS91" s="378"/>
      <c r="WFT91" s="378"/>
      <c r="WFU91" s="378"/>
      <c r="WFV91" s="378"/>
      <c r="WFW91" s="378"/>
      <c r="WFX91" s="378"/>
      <c r="WFY91" s="378"/>
      <c r="WFZ91" s="378"/>
      <c r="WGA91" s="378"/>
      <c r="WGB91" s="378"/>
      <c r="WGC91" s="378"/>
      <c r="WGD91" s="378"/>
      <c r="WGE91" s="378"/>
      <c r="WGF91" s="378"/>
      <c r="WGG91" s="378"/>
      <c r="WGH91" s="378"/>
      <c r="WGI91" s="378"/>
      <c r="WGJ91" s="378"/>
      <c r="WGK91" s="378"/>
      <c r="WGL91" s="378"/>
      <c r="WGM91" s="378"/>
      <c r="WGN91" s="378"/>
      <c r="WGO91" s="378"/>
      <c r="WGP91" s="378"/>
      <c r="WGQ91" s="378"/>
      <c r="WGR91" s="378"/>
      <c r="WGS91" s="378"/>
      <c r="WGT91" s="378"/>
      <c r="WGU91" s="378"/>
      <c r="WGV91" s="378"/>
      <c r="WGW91" s="378"/>
      <c r="WGX91" s="378"/>
      <c r="WGY91" s="378"/>
      <c r="WGZ91" s="378"/>
      <c r="WHA91" s="378"/>
      <c r="WHB91" s="378"/>
      <c r="WHC91" s="378"/>
      <c r="WHD91" s="378"/>
      <c r="WHE91" s="378"/>
      <c r="WHF91" s="378"/>
      <c r="WHG91" s="378"/>
      <c r="WHH91" s="378"/>
      <c r="WHI91" s="378"/>
      <c r="WHJ91" s="378"/>
      <c r="WHK91" s="378"/>
      <c r="WHL91" s="378"/>
      <c r="WHM91" s="378"/>
      <c r="WHN91" s="378"/>
      <c r="WHO91" s="378"/>
      <c r="WHP91" s="378"/>
      <c r="WHQ91" s="378"/>
      <c r="WHR91" s="378"/>
      <c r="WHS91" s="378"/>
      <c r="WHT91" s="378"/>
      <c r="WHU91" s="378"/>
      <c r="WHV91" s="378"/>
      <c r="WHW91" s="378"/>
      <c r="WHX91" s="378"/>
      <c r="WHY91" s="378"/>
      <c r="WHZ91" s="378"/>
      <c r="WIA91" s="378"/>
      <c r="WIB91" s="378"/>
      <c r="WIC91" s="378"/>
      <c r="WID91" s="378"/>
      <c r="WIE91" s="378"/>
      <c r="WIF91" s="378"/>
      <c r="WIG91" s="378"/>
      <c r="WIH91" s="378"/>
      <c r="WII91" s="378"/>
      <c r="WIJ91" s="378"/>
      <c r="WIK91" s="378"/>
      <c r="WIL91" s="378"/>
      <c r="WIM91" s="378"/>
      <c r="WIN91" s="378"/>
      <c r="WIO91" s="378"/>
      <c r="WIP91" s="378"/>
      <c r="WIQ91" s="378"/>
      <c r="WIR91" s="378"/>
      <c r="WIS91" s="378"/>
      <c r="WIT91" s="378"/>
      <c r="WIU91" s="378"/>
      <c r="WIV91" s="378"/>
      <c r="WIW91" s="378"/>
      <c r="WIX91" s="378"/>
      <c r="WIY91" s="378"/>
      <c r="WIZ91" s="378"/>
      <c r="WJA91" s="378"/>
      <c r="WJB91" s="378"/>
      <c r="WJC91" s="378"/>
      <c r="WJD91" s="378"/>
      <c r="WJE91" s="378"/>
      <c r="WJF91" s="378"/>
      <c r="WJG91" s="378"/>
      <c r="WJH91" s="378"/>
      <c r="WJI91" s="378"/>
      <c r="WJJ91" s="378"/>
      <c r="WJK91" s="378"/>
      <c r="WJL91" s="378"/>
      <c r="WJM91" s="378"/>
      <c r="WJN91" s="378"/>
      <c r="WJO91" s="378"/>
      <c r="WJP91" s="378"/>
      <c r="WJQ91" s="378"/>
      <c r="WJR91" s="378"/>
      <c r="WJS91" s="378"/>
      <c r="WJT91" s="378"/>
      <c r="WJU91" s="378"/>
      <c r="WJV91" s="378"/>
      <c r="WJW91" s="378"/>
      <c r="WJX91" s="378"/>
      <c r="WJY91" s="378"/>
      <c r="WJZ91" s="378"/>
      <c r="WKA91" s="378"/>
      <c r="WKB91" s="378"/>
      <c r="WKC91" s="378"/>
      <c r="WKD91" s="378"/>
      <c r="WKE91" s="378"/>
      <c r="WKF91" s="378"/>
      <c r="WKG91" s="378"/>
      <c r="WKH91" s="378"/>
      <c r="WKI91" s="378"/>
      <c r="WKJ91" s="378"/>
      <c r="WKK91" s="378"/>
      <c r="WKL91" s="378"/>
      <c r="WKM91" s="378"/>
      <c r="WKN91" s="378"/>
      <c r="WKO91" s="378"/>
      <c r="WKP91" s="378"/>
      <c r="WKQ91" s="378"/>
      <c r="WKR91" s="378"/>
      <c r="WKS91" s="378"/>
      <c r="WKT91" s="378"/>
      <c r="WKU91" s="378"/>
      <c r="WKV91" s="378"/>
      <c r="WKW91" s="378"/>
      <c r="WKX91" s="378"/>
      <c r="WKY91" s="378"/>
      <c r="WKZ91" s="378"/>
      <c r="WLA91" s="378"/>
      <c r="WLB91" s="378"/>
      <c r="WLC91" s="378"/>
      <c r="WLD91" s="378"/>
      <c r="WLE91" s="378"/>
      <c r="WLF91" s="378"/>
      <c r="WLG91" s="378"/>
      <c r="WLH91" s="378"/>
      <c r="WLI91" s="378"/>
      <c r="WLJ91" s="378"/>
      <c r="WLK91" s="378"/>
      <c r="WLL91" s="378"/>
      <c r="WLM91" s="378"/>
      <c r="WLN91" s="378"/>
      <c r="WLO91" s="378"/>
      <c r="WLP91" s="378"/>
      <c r="WLQ91" s="378"/>
      <c r="WLR91" s="378"/>
      <c r="WLS91" s="378"/>
      <c r="WLT91" s="378"/>
      <c r="WLU91" s="378"/>
      <c r="WLV91" s="378"/>
      <c r="WLW91" s="378"/>
      <c r="WLX91" s="378"/>
      <c r="WLY91" s="378"/>
      <c r="WLZ91" s="378"/>
      <c r="WMA91" s="378"/>
      <c r="WMB91" s="378"/>
      <c r="WMC91" s="378"/>
      <c r="WMD91" s="378"/>
      <c r="WME91" s="378"/>
      <c r="WMF91" s="378"/>
      <c r="WMG91" s="378"/>
      <c r="WMH91" s="378"/>
      <c r="WMI91" s="378"/>
      <c r="WMJ91" s="378"/>
      <c r="WMK91" s="378"/>
      <c r="WML91" s="378"/>
      <c r="WMM91" s="378"/>
      <c r="WMN91" s="378"/>
      <c r="WMO91" s="378"/>
      <c r="WMP91" s="378"/>
      <c r="WMQ91" s="378"/>
      <c r="WMR91" s="378"/>
      <c r="WMS91" s="378"/>
      <c r="WMT91" s="378"/>
      <c r="WMU91" s="378"/>
      <c r="WMV91" s="378"/>
      <c r="WMW91" s="378"/>
      <c r="WMX91" s="378"/>
      <c r="WMY91" s="378"/>
      <c r="WMZ91" s="378"/>
      <c r="WNA91" s="378"/>
      <c r="WNB91" s="378"/>
      <c r="WNC91" s="378"/>
      <c r="WND91" s="378"/>
      <c r="WNE91" s="378"/>
      <c r="WNF91" s="378"/>
      <c r="WNG91" s="378"/>
      <c r="WNH91" s="378"/>
      <c r="WNI91" s="378"/>
      <c r="WNJ91" s="378"/>
      <c r="WNK91" s="378"/>
      <c r="WNL91" s="378"/>
      <c r="WNM91" s="378"/>
      <c r="WNN91" s="378"/>
      <c r="WNO91" s="378"/>
      <c r="WNP91" s="378"/>
      <c r="WNQ91" s="378"/>
      <c r="WNR91" s="378"/>
      <c r="WNS91" s="378"/>
      <c r="WNT91" s="378"/>
      <c r="WNU91" s="378"/>
      <c r="WNV91" s="378"/>
      <c r="WNW91" s="378"/>
      <c r="WNX91" s="378"/>
      <c r="WNY91" s="378"/>
      <c r="WNZ91" s="378"/>
      <c r="WOA91" s="378"/>
      <c r="WOB91" s="378"/>
      <c r="WOC91" s="378"/>
      <c r="WOD91" s="378"/>
      <c r="WOE91" s="378"/>
      <c r="WOF91" s="378"/>
      <c r="WOG91" s="378"/>
      <c r="WOH91" s="378"/>
      <c r="WOI91" s="378"/>
      <c r="WOJ91" s="378"/>
      <c r="WOK91" s="378"/>
      <c r="WOL91" s="378"/>
      <c r="WOM91" s="378"/>
      <c r="WON91" s="378"/>
      <c r="WOO91" s="378"/>
      <c r="WOP91" s="378"/>
      <c r="WOQ91" s="378"/>
      <c r="WOR91" s="378"/>
      <c r="WOS91" s="378"/>
      <c r="WOT91" s="378"/>
      <c r="WOU91" s="378"/>
      <c r="WOV91" s="378"/>
      <c r="WOW91" s="378"/>
      <c r="WOX91" s="378"/>
      <c r="WOY91" s="378"/>
      <c r="WOZ91" s="378"/>
      <c r="WPA91" s="378"/>
      <c r="WPB91" s="378"/>
      <c r="WPC91" s="378"/>
      <c r="WPD91" s="378"/>
      <c r="WPE91" s="378"/>
      <c r="WPF91" s="378"/>
      <c r="WPG91" s="378"/>
      <c r="WPH91" s="378"/>
      <c r="WPI91" s="378"/>
      <c r="WPJ91" s="378"/>
      <c r="WPK91" s="378"/>
      <c r="WPL91" s="378"/>
      <c r="WPM91" s="378"/>
      <c r="WPN91" s="378"/>
      <c r="WPO91" s="378"/>
      <c r="WPP91" s="378"/>
      <c r="WPQ91" s="378"/>
      <c r="WPR91" s="378"/>
      <c r="WPS91" s="378"/>
      <c r="WPT91" s="378"/>
      <c r="WPU91" s="378"/>
      <c r="WPV91" s="378"/>
      <c r="WPW91" s="378"/>
      <c r="WPX91" s="378"/>
      <c r="WPY91" s="378"/>
      <c r="WPZ91" s="378"/>
      <c r="WQA91" s="378"/>
      <c r="WQB91" s="378"/>
      <c r="WQC91" s="378"/>
      <c r="WQD91" s="378"/>
      <c r="WQE91" s="378"/>
      <c r="WQF91" s="378"/>
      <c r="WQG91" s="378"/>
      <c r="WQH91" s="378"/>
      <c r="WQI91" s="378"/>
      <c r="WQJ91" s="378"/>
      <c r="WQK91" s="378"/>
      <c r="WQL91" s="378"/>
      <c r="WQM91" s="378"/>
      <c r="WQN91" s="378"/>
      <c r="WQO91" s="378"/>
      <c r="WQP91" s="378"/>
      <c r="WQQ91" s="378"/>
      <c r="WQR91" s="378"/>
      <c r="WQS91" s="378"/>
      <c r="WQT91" s="378"/>
      <c r="WQU91" s="378"/>
      <c r="WQV91" s="378"/>
      <c r="WQW91" s="378"/>
      <c r="WQX91" s="378"/>
      <c r="WQY91" s="378"/>
      <c r="WQZ91" s="378"/>
      <c r="WRA91" s="378"/>
      <c r="WRB91" s="378"/>
      <c r="WRC91" s="378"/>
      <c r="WRD91" s="378"/>
      <c r="WRE91" s="378"/>
      <c r="WRF91" s="378"/>
      <c r="WRG91" s="378"/>
      <c r="WRH91" s="378"/>
      <c r="WRI91" s="378"/>
      <c r="WRJ91" s="378"/>
      <c r="WRK91" s="378"/>
      <c r="WRL91" s="378"/>
      <c r="WRM91" s="378"/>
      <c r="WRN91" s="378"/>
      <c r="WRO91" s="378"/>
      <c r="WRP91" s="378"/>
      <c r="WRQ91" s="378"/>
      <c r="WRR91" s="378"/>
      <c r="WRS91" s="378"/>
      <c r="WRT91" s="378"/>
      <c r="WRU91" s="378"/>
      <c r="WRV91" s="378"/>
      <c r="WRW91" s="378"/>
      <c r="WRX91" s="378"/>
      <c r="WRY91" s="378"/>
      <c r="WRZ91" s="378"/>
      <c r="WSA91" s="378"/>
      <c r="WSB91" s="378"/>
      <c r="WSC91" s="378"/>
      <c r="WSD91" s="378"/>
      <c r="WSE91" s="378"/>
      <c r="WSF91" s="378"/>
      <c r="WSG91" s="378"/>
      <c r="WSH91" s="378"/>
      <c r="WSI91" s="378"/>
      <c r="WSJ91" s="378"/>
      <c r="WSK91" s="378"/>
      <c r="WSL91" s="378"/>
      <c r="WSM91" s="378"/>
      <c r="WSN91" s="378"/>
      <c r="WSO91" s="378"/>
      <c r="WSP91" s="378"/>
      <c r="WSQ91" s="378"/>
      <c r="WSR91" s="378"/>
      <c r="WSS91" s="378"/>
      <c r="WST91" s="378"/>
      <c r="WSU91" s="378"/>
      <c r="WSV91" s="378"/>
      <c r="WSW91" s="378"/>
      <c r="WSX91" s="378"/>
      <c r="WSY91" s="378"/>
      <c r="WSZ91" s="378"/>
      <c r="WTA91" s="378"/>
      <c r="WTB91" s="378"/>
      <c r="WTC91" s="378"/>
      <c r="WTD91" s="378"/>
      <c r="WTE91" s="378"/>
      <c r="WTF91" s="378"/>
      <c r="WTG91" s="378"/>
      <c r="WTH91" s="378"/>
      <c r="WTI91" s="378"/>
      <c r="WTJ91" s="378"/>
      <c r="WTK91" s="378"/>
      <c r="WTL91" s="378"/>
      <c r="WTM91" s="378"/>
      <c r="WTN91" s="378"/>
      <c r="WTO91" s="378"/>
      <c r="WTP91" s="378"/>
      <c r="WTQ91" s="378"/>
      <c r="WTR91" s="378"/>
      <c r="WTS91" s="378"/>
      <c r="WTT91" s="378"/>
      <c r="WTU91" s="378"/>
      <c r="WTV91" s="378"/>
      <c r="WTW91" s="378"/>
      <c r="WTX91" s="378"/>
      <c r="WTY91" s="378"/>
      <c r="WTZ91" s="378"/>
      <c r="WUA91" s="378"/>
      <c r="WUB91" s="378"/>
      <c r="WUC91" s="378"/>
      <c r="WUD91" s="378"/>
      <c r="WUE91" s="378"/>
      <c r="WUF91" s="378"/>
      <c r="WUG91" s="378"/>
      <c r="WUH91" s="378"/>
      <c r="WUI91" s="378"/>
      <c r="WUJ91" s="378"/>
      <c r="WUK91" s="378"/>
      <c r="WUL91" s="378"/>
      <c r="WUM91" s="378"/>
      <c r="WUN91" s="378"/>
      <c r="WUO91" s="378"/>
      <c r="WUP91" s="378"/>
      <c r="WUQ91" s="378"/>
      <c r="WUR91" s="378"/>
      <c r="WUS91" s="378"/>
      <c r="WUT91" s="378"/>
      <c r="WUU91" s="378"/>
      <c r="WUV91" s="378"/>
      <c r="WUW91" s="378"/>
      <c r="WUX91" s="378"/>
      <c r="WUY91" s="378"/>
      <c r="WUZ91" s="378"/>
      <c r="WVA91" s="378"/>
      <c r="WVB91" s="378"/>
      <c r="WVC91" s="378"/>
      <c r="WVD91" s="378"/>
      <c r="WVE91" s="378"/>
      <c r="WVF91" s="378"/>
      <c r="WVG91" s="378"/>
      <c r="WVH91" s="378"/>
      <c r="WVI91" s="378"/>
      <c r="WVJ91" s="378"/>
      <c r="WVK91" s="378"/>
      <c r="WVL91" s="378"/>
      <c r="WVM91" s="378"/>
      <c r="WVN91" s="378"/>
      <c r="WVO91" s="378"/>
      <c r="WVP91" s="378"/>
      <c r="WVQ91" s="378"/>
      <c r="WVR91" s="378"/>
      <c r="WVS91" s="378"/>
      <c r="WVT91" s="378"/>
      <c r="WVU91" s="378"/>
      <c r="WVV91" s="378"/>
      <c r="WVW91" s="378"/>
      <c r="WVX91" s="378"/>
      <c r="WVY91" s="378"/>
      <c r="WVZ91" s="378"/>
      <c r="WWA91" s="378"/>
      <c r="WWB91" s="378"/>
      <c r="WWC91" s="378"/>
      <c r="WWD91" s="378"/>
      <c r="WWE91" s="378"/>
      <c r="WWF91" s="378"/>
      <c r="WWG91" s="378"/>
      <c r="WWH91" s="378"/>
      <c r="WWI91" s="378"/>
      <c r="WWJ91" s="378"/>
      <c r="WWK91" s="378"/>
      <c r="WWL91" s="378"/>
      <c r="WWM91" s="378"/>
      <c r="WWN91" s="378"/>
      <c r="WWO91" s="378"/>
      <c r="WWP91" s="378"/>
      <c r="WWQ91" s="378"/>
      <c r="WWR91" s="378"/>
      <c r="WWS91" s="378"/>
      <c r="WWT91" s="378"/>
      <c r="WWU91" s="378"/>
      <c r="WWV91" s="378"/>
      <c r="WWW91" s="378"/>
      <c r="WWX91" s="378"/>
      <c r="WWY91" s="378"/>
      <c r="WWZ91" s="378"/>
      <c r="WXA91" s="378"/>
      <c r="WXB91" s="378"/>
      <c r="WXC91" s="378"/>
      <c r="WXD91" s="378"/>
      <c r="WXE91" s="378"/>
      <c r="WXF91" s="378"/>
      <c r="WXG91" s="378"/>
      <c r="WXH91" s="378"/>
      <c r="WXI91" s="378"/>
      <c r="WXJ91" s="378"/>
      <c r="WXK91" s="378"/>
      <c r="WXL91" s="378"/>
      <c r="WXM91" s="378"/>
      <c r="WXN91" s="378"/>
      <c r="WXO91" s="378"/>
      <c r="WXP91" s="378"/>
      <c r="WXQ91" s="378"/>
      <c r="WXR91" s="378"/>
      <c r="WXS91" s="378"/>
      <c r="WXT91" s="378"/>
      <c r="WXU91" s="378"/>
      <c r="WXV91" s="378"/>
      <c r="WXW91" s="378"/>
      <c r="WXX91" s="378"/>
      <c r="WXY91" s="378"/>
      <c r="WXZ91" s="378"/>
      <c r="WYA91" s="378"/>
      <c r="WYB91" s="378"/>
      <c r="WYC91" s="378"/>
      <c r="WYD91" s="378"/>
      <c r="WYE91" s="378"/>
      <c r="WYF91" s="378"/>
      <c r="WYG91" s="378"/>
      <c r="WYH91" s="378"/>
      <c r="WYI91" s="378"/>
      <c r="WYJ91" s="378"/>
      <c r="WYK91" s="378"/>
      <c r="WYL91" s="378"/>
      <c r="WYM91" s="378"/>
      <c r="WYN91" s="378"/>
      <c r="WYO91" s="378"/>
      <c r="WYP91" s="378"/>
      <c r="WYQ91" s="378"/>
      <c r="WYR91" s="378"/>
      <c r="WYS91" s="378"/>
      <c r="WYT91" s="378"/>
      <c r="WYU91" s="378"/>
      <c r="WYV91" s="378"/>
      <c r="WYW91" s="378"/>
      <c r="WYX91" s="378"/>
      <c r="WYY91" s="378"/>
      <c r="WYZ91" s="378"/>
      <c r="WZA91" s="378"/>
      <c r="WZB91" s="378"/>
      <c r="WZC91" s="378"/>
      <c r="WZD91" s="378"/>
      <c r="WZE91" s="378"/>
      <c r="WZF91" s="378"/>
      <c r="WZG91" s="378"/>
      <c r="WZH91" s="378"/>
      <c r="WZI91" s="378"/>
      <c r="WZJ91" s="378"/>
      <c r="WZK91" s="378"/>
      <c r="WZL91" s="378"/>
      <c r="WZM91" s="378"/>
      <c r="WZN91" s="378"/>
      <c r="WZO91" s="378"/>
      <c r="WZP91" s="378"/>
      <c r="WZQ91" s="378"/>
      <c r="WZR91" s="378"/>
      <c r="WZS91" s="378"/>
      <c r="WZT91" s="378"/>
      <c r="WZU91" s="378"/>
      <c r="WZV91" s="378"/>
      <c r="WZW91" s="378"/>
      <c r="WZX91" s="378"/>
      <c r="WZY91" s="378"/>
      <c r="WZZ91" s="378"/>
      <c r="XAA91" s="378"/>
      <c r="XAB91" s="378"/>
      <c r="XAC91" s="378"/>
      <c r="XAD91" s="378"/>
      <c r="XAE91" s="378"/>
      <c r="XAF91" s="378"/>
      <c r="XAG91" s="378"/>
      <c r="XAH91" s="378"/>
      <c r="XAI91" s="378"/>
      <c r="XAJ91" s="378"/>
      <c r="XAK91" s="378"/>
      <c r="XAL91" s="378"/>
      <c r="XAM91" s="378"/>
      <c r="XAN91" s="378"/>
      <c r="XAO91" s="378"/>
      <c r="XAP91" s="378"/>
      <c r="XAQ91" s="378"/>
      <c r="XAR91" s="378"/>
      <c r="XAS91" s="378"/>
      <c r="XAT91" s="378"/>
      <c r="XAU91" s="378"/>
      <c r="XAV91" s="378"/>
      <c r="XAW91" s="378"/>
      <c r="XAX91" s="378"/>
      <c r="XAY91" s="378"/>
      <c r="XAZ91" s="378"/>
      <c r="XBA91" s="378"/>
      <c r="XBB91" s="378"/>
      <c r="XBC91" s="378"/>
      <c r="XBD91" s="378"/>
      <c r="XBE91" s="378"/>
      <c r="XBF91" s="378"/>
      <c r="XBG91" s="378"/>
      <c r="XBH91" s="378"/>
      <c r="XBI91" s="378"/>
      <c r="XBJ91" s="378"/>
      <c r="XBK91" s="378"/>
      <c r="XBL91" s="378"/>
      <c r="XBM91" s="378"/>
      <c r="XBN91" s="378"/>
      <c r="XBO91" s="378"/>
      <c r="XBP91" s="378"/>
      <c r="XBQ91" s="378"/>
      <c r="XBR91" s="378"/>
      <c r="XBS91" s="378"/>
      <c r="XBT91" s="378"/>
      <c r="XBU91" s="378"/>
      <c r="XBV91" s="378"/>
      <c r="XBW91" s="378"/>
      <c r="XBX91" s="378"/>
      <c r="XBY91" s="378"/>
      <c r="XBZ91" s="378"/>
      <c r="XCA91" s="378"/>
      <c r="XCB91" s="378"/>
      <c r="XCC91" s="378"/>
      <c r="XCD91" s="378"/>
      <c r="XCE91" s="378"/>
      <c r="XCF91" s="378"/>
      <c r="XCG91" s="378"/>
      <c r="XCH91" s="378"/>
      <c r="XCI91" s="378"/>
      <c r="XCJ91" s="378"/>
      <c r="XCK91" s="378"/>
      <c r="XCL91" s="378"/>
      <c r="XCM91" s="378"/>
      <c r="XCN91" s="378"/>
      <c r="XCO91" s="378"/>
      <c r="XCP91" s="378"/>
      <c r="XCQ91" s="378"/>
      <c r="XCR91" s="378"/>
      <c r="XCS91" s="378"/>
      <c r="XCT91" s="378"/>
      <c r="XCU91" s="378"/>
      <c r="XCV91" s="378"/>
      <c r="XCW91" s="378"/>
      <c r="XCX91" s="378"/>
      <c r="XCY91" s="378"/>
      <c r="XCZ91" s="378"/>
      <c r="XDA91" s="378"/>
      <c r="XDB91" s="378"/>
      <c r="XDC91" s="378"/>
      <c r="XDD91" s="378"/>
      <c r="XDE91" s="378"/>
      <c r="XDF91" s="378"/>
      <c r="XDG91" s="378"/>
      <c r="XDH91" s="378"/>
      <c r="XDI91" s="378"/>
      <c r="XDJ91" s="378"/>
      <c r="XDK91" s="378"/>
      <c r="XDL91" s="378"/>
      <c r="XDM91" s="378"/>
      <c r="XDN91" s="378"/>
      <c r="XDO91" s="378"/>
      <c r="XDP91" s="378"/>
      <c r="XDQ91" s="378"/>
      <c r="XDR91" s="378"/>
      <c r="XDS91" s="378"/>
      <c r="XDT91" s="378"/>
      <c r="XDU91" s="378"/>
      <c r="XDV91" s="378"/>
      <c r="XDW91" s="378"/>
      <c r="XDX91" s="378"/>
      <c r="XDY91" s="378"/>
      <c r="XDZ91" s="378"/>
      <c r="XEA91" s="378"/>
      <c r="XEB91" s="378"/>
      <c r="XEC91" s="378"/>
      <c r="XED91" s="378"/>
      <c r="XEE91" s="378"/>
      <c r="XEF91" s="378"/>
      <c r="XEG91" s="378"/>
      <c r="XEH91" s="378"/>
      <c r="XEI91" s="378"/>
      <c r="XEJ91" s="378"/>
      <c r="XEK91" s="378"/>
      <c r="XEL91" s="378"/>
      <c r="XEM91" s="378"/>
      <c r="XEN91" s="378"/>
      <c r="XEO91" s="378"/>
      <c r="XEP91" s="378"/>
    </row>
    <row r="92" spans="1:16370" s="147" customFormat="1">
      <c r="A92" s="46"/>
      <c r="B92" s="184"/>
      <c r="C92" s="270"/>
      <c r="D92" s="80"/>
      <c r="E92" s="48"/>
      <c r="F92" s="106"/>
      <c r="G92" s="48"/>
      <c r="H92" s="109"/>
      <c r="I92" s="106"/>
      <c r="J92" s="106"/>
      <c r="K92" s="106"/>
      <c r="L92" s="87"/>
      <c r="M92" s="60"/>
      <c r="N92" s="87"/>
      <c r="O92" s="87"/>
      <c r="P92" s="362"/>
      <c r="Q92" s="279">
        <f>1</f>
        <v>1</v>
      </c>
      <c r="R92" s="141"/>
      <c r="T92" s="149"/>
      <c r="U92" s="148"/>
      <c r="X92" s="278"/>
      <c r="Y92" s="278" t="str">
        <f t="shared" si="12"/>
        <v/>
      </c>
      <c r="Z92" s="141" t="str">
        <f>IF(T92="yes",Y92,"")</f>
        <v/>
      </c>
    </row>
    <row r="93" spans="1:16370" s="147" customFormat="1" ht="204">
      <c r="A93" s="46">
        <f>A91+1</f>
        <v>1</v>
      </c>
      <c r="B93" s="186" t="s">
        <v>186</v>
      </c>
      <c r="C93" s="146" t="s">
        <v>186</v>
      </c>
      <c r="D93" s="195" t="s">
        <v>890</v>
      </c>
      <c r="E93" s="152">
        <f>LEN(D93)</f>
        <v>298</v>
      </c>
      <c r="F93" s="195" t="s">
        <v>1122</v>
      </c>
      <c r="G93" s="152" t="e">
        <f>LEN(#REF!)</f>
        <v>#REF!</v>
      </c>
      <c r="H93" s="161" t="s">
        <v>30</v>
      </c>
      <c r="I93" s="152" t="s">
        <v>19</v>
      </c>
      <c r="J93" s="152" t="s">
        <v>19</v>
      </c>
      <c r="K93" s="152" t="s">
        <v>31</v>
      </c>
      <c r="L93" s="176" t="s">
        <v>691</v>
      </c>
      <c r="M93" s="222" t="s">
        <v>19</v>
      </c>
      <c r="N93" s="176" t="s">
        <v>692</v>
      </c>
      <c r="O93" s="60"/>
      <c r="P93" s="10"/>
      <c r="Q93" s="274">
        <f>1</f>
        <v>1</v>
      </c>
      <c r="R93" s="141"/>
      <c r="T93" s="461" t="s">
        <v>26</v>
      </c>
      <c r="U93" s="148"/>
      <c r="X93" s="277">
        <v>15.876502990722656</v>
      </c>
      <c r="Y93" s="277">
        <f t="shared" si="12"/>
        <v>15.876502990722656</v>
      </c>
      <c r="Z93" s="141">
        <f>IF(T93="yes",Y93,"")</f>
        <v>15.876502990722656</v>
      </c>
    </row>
    <row r="94" spans="1:16370" s="147" customFormat="1">
      <c r="A94" s="46"/>
      <c r="B94" s="184"/>
      <c r="C94" s="100"/>
      <c r="D94" s="269"/>
      <c r="E94" s="48"/>
      <c r="F94" s="48"/>
      <c r="G94" s="48"/>
      <c r="H94" s="101"/>
      <c r="I94" s="48"/>
      <c r="J94" s="48"/>
      <c r="K94" s="48"/>
      <c r="L94" s="60"/>
      <c r="M94" s="60"/>
      <c r="N94" s="60"/>
      <c r="O94" s="60"/>
      <c r="P94" s="10"/>
      <c r="Q94" s="279">
        <f>1</f>
        <v>1</v>
      </c>
      <c r="R94" s="141"/>
      <c r="T94" s="149"/>
      <c r="U94" s="148"/>
      <c r="X94" s="278"/>
      <c r="Y94" s="278" t="str">
        <f t="shared" si="12"/>
        <v/>
      </c>
      <c r="Z94" s="141" t="str">
        <f t="shared" si="11"/>
        <v/>
      </c>
    </row>
    <row r="95" spans="1:16370" s="147" customFormat="1" ht="409" customHeight="1">
      <c r="A95" s="46">
        <f>A97+1</f>
        <v>2</v>
      </c>
      <c r="B95" s="186" t="s">
        <v>187</v>
      </c>
      <c r="C95" s="399" t="s">
        <v>1295</v>
      </c>
      <c r="D95" s="400" t="s">
        <v>933</v>
      </c>
      <c r="E95" s="152">
        <f>LEN(D95)</f>
        <v>1440</v>
      </c>
      <c r="F95" s="195" t="s">
        <v>1202</v>
      </c>
      <c r="G95" s="152" t="e">
        <f>LEN(#REF!)</f>
        <v>#REF!</v>
      </c>
      <c r="H95" s="161" t="s">
        <v>152</v>
      </c>
      <c r="I95" s="152" t="s">
        <v>19</v>
      </c>
      <c r="J95" s="152" t="s">
        <v>19</v>
      </c>
      <c r="K95" s="375" t="s">
        <v>923</v>
      </c>
      <c r="L95" s="176" t="s">
        <v>672</v>
      </c>
      <c r="M95" s="222" t="s">
        <v>868</v>
      </c>
      <c r="N95" s="176" t="s">
        <v>1293</v>
      </c>
      <c r="O95" s="90"/>
      <c r="P95" s="10"/>
      <c r="Q95" s="274">
        <f>1</f>
        <v>1</v>
      </c>
      <c r="R95" s="141"/>
      <c r="T95" s="461" t="s">
        <v>26</v>
      </c>
      <c r="U95" s="148"/>
      <c r="X95" s="277">
        <v>37.853630065917969</v>
      </c>
      <c r="Y95" s="277">
        <f t="shared" si="12"/>
        <v>37.853630065917969</v>
      </c>
      <c r="Z95" s="141">
        <f t="shared" si="11"/>
        <v>37.853630065917969</v>
      </c>
    </row>
    <row r="96" spans="1:16370" s="147" customFormat="1" ht="102">
      <c r="A96" s="26">
        <v>28</v>
      </c>
      <c r="B96" s="243" t="s">
        <v>188</v>
      </c>
      <c r="C96" s="247" t="s">
        <v>188</v>
      </c>
      <c r="D96" s="37" t="s">
        <v>927</v>
      </c>
      <c r="E96" s="24">
        <f>LEN(D96)</f>
        <v>331</v>
      </c>
      <c r="F96" s="589" t="s">
        <v>1123</v>
      </c>
      <c r="G96" s="24" t="e">
        <f>LEN(#REF!)</f>
        <v>#REF!</v>
      </c>
      <c r="H96" s="36" t="s">
        <v>21</v>
      </c>
      <c r="I96" s="20" t="s">
        <v>19</v>
      </c>
      <c r="J96" s="20" t="s">
        <v>19</v>
      </c>
      <c r="K96" s="20" t="s">
        <v>22</v>
      </c>
      <c r="L96" s="29" t="s">
        <v>673</v>
      </c>
      <c r="M96" s="81" t="s">
        <v>19</v>
      </c>
      <c r="N96" s="29" t="s">
        <v>189</v>
      </c>
      <c r="O96" s="22"/>
      <c r="P96" s="10"/>
      <c r="Q96" s="279">
        <f>1</f>
        <v>1</v>
      </c>
      <c r="R96" s="141"/>
      <c r="T96" s="149" t="s">
        <v>18</v>
      </c>
      <c r="U96" s="148"/>
      <c r="X96" s="278"/>
      <c r="Y96" s="278" t="str">
        <f t="shared" si="12"/>
        <v/>
      </c>
      <c r="Z96" s="141" t="str">
        <f t="shared" si="11"/>
        <v/>
      </c>
    </row>
    <row r="97" spans="1:26" s="147" customFormat="1" ht="323">
      <c r="A97" s="14">
        <f>A91+1</f>
        <v>1</v>
      </c>
      <c r="B97" s="238" t="s">
        <v>190</v>
      </c>
      <c r="C97" s="17" t="s">
        <v>726</v>
      </c>
      <c r="D97" s="22" t="s">
        <v>907</v>
      </c>
      <c r="E97" s="20">
        <f>LEN(D97)</f>
        <v>685</v>
      </c>
      <c r="F97" s="588" t="s">
        <v>1203</v>
      </c>
      <c r="G97" s="20" t="e">
        <f>LEN(#REF!)</f>
        <v>#REF!</v>
      </c>
      <c r="H97" s="36" t="s">
        <v>191</v>
      </c>
      <c r="I97" s="20" t="s">
        <v>19</v>
      </c>
      <c r="J97" s="401" t="s">
        <v>727</v>
      </c>
      <c r="K97" s="20" t="s">
        <v>728</v>
      </c>
      <c r="L97" s="402" t="s">
        <v>729</v>
      </c>
      <c r="M97" s="81" t="s">
        <v>869</v>
      </c>
      <c r="N97" s="402" t="s">
        <v>1294</v>
      </c>
      <c r="O97" s="126"/>
      <c r="P97" s="51"/>
      <c r="Q97" s="279">
        <f>1</f>
        <v>1</v>
      </c>
      <c r="R97" s="141"/>
      <c r="T97" s="149" t="s">
        <v>18</v>
      </c>
      <c r="U97" s="148"/>
      <c r="X97" s="278">
        <v>24.773489999999999</v>
      </c>
      <c r="Y97" s="278">
        <f t="shared" si="12"/>
        <v>24.773489999999999</v>
      </c>
      <c r="Z97" s="141" t="str">
        <f t="shared" si="11"/>
        <v/>
      </c>
    </row>
    <row r="98" spans="1:26" s="147" customFormat="1" ht="17" thickBot="1">
      <c r="A98" s="46"/>
      <c r="B98" s="184"/>
      <c r="C98" s="100"/>
      <c r="D98" s="80"/>
      <c r="E98" s="48"/>
      <c r="F98" s="80"/>
      <c r="G98" s="48"/>
      <c r="H98" s="101"/>
      <c r="I98" s="48"/>
      <c r="J98" s="48"/>
      <c r="K98" s="48"/>
      <c r="L98" s="60"/>
      <c r="M98" s="60"/>
      <c r="N98" s="60"/>
      <c r="O98" s="91"/>
      <c r="P98" s="51"/>
      <c r="Q98" s="279">
        <f>1</f>
        <v>1</v>
      </c>
      <c r="R98" s="141"/>
      <c r="T98" s="149"/>
      <c r="U98" s="148"/>
      <c r="X98" s="278"/>
      <c r="Y98" s="278" t="str">
        <f t="shared" si="12"/>
        <v/>
      </c>
      <c r="Z98" s="141" t="str">
        <f t="shared" si="11"/>
        <v/>
      </c>
    </row>
    <row r="99" spans="1:26" s="452" customFormat="1" ht="17" thickBot="1">
      <c r="A99" s="616" t="s">
        <v>192</v>
      </c>
      <c r="B99" s="617"/>
      <c r="C99" s="617"/>
      <c r="D99" s="617"/>
      <c r="E99" s="617"/>
      <c r="F99" s="617"/>
      <c r="G99" s="617"/>
      <c r="H99" s="617"/>
      <c r="I99" s="617"/>
      <c r="J99" s="617"/>
      <c r="K99" s="617"/>
      <c r="L99" s="617"/>
      <c r="M99" s="617"/>
      <c r="N99" s="617"/>
      <c r="O99" s="617"/>
      <c r="P99" s="618"/>
      <c r="Q99" s="274"/>
      <c r="R99" s="463"/>
      <c r="T99" s="461"/>
      <c r="U99" s="464"/>
      <c r="X99" s="277"/>
      <c r="Y99" s="277" t="str">
        <f t="shared" si="12"/>
        <v/>
      </c>
      <c r="Z99" s="463" t="str">
        <f t="shared" si="11"/>
        <v/>
      </c>
    </row>
    <row r="100" spans="1:26" s="147" customFormat="1" ht="153">
      <c r="A100" s="99">
        <f>A96+1</f>
        <v>29</v>
      </c>
      <c r="B100" s="194" t="s">
        <v>193</v>
      </c>
      <c r="C100" s="146" t="s">
        <v>193</v>
      </c>
      <c r="D100" s="170" t="s">
        <v>194</v>
      </c>
      <c r="E100" s="144">
        <f>LEN(D100)</f>
        <v>218</v>
      </c>
      <c r="F100" s="170" t="s">
        <v>1309</v>
      </c>
      <c r="G100" s="144">
        <f>LEN(F100)</f>
        <v>185</v>
      </c>
      <c r="H100" s="154" t="s">
        <v>30</v>
      </c>
      <c r="I100" s="144" t="s">
        <v>19</v>
      </c>
      <c r="J100" s="144" t="s">
        <v>832</v>
      </c>
      <c r="K100" s="152" t="s">
        <v>31</v>
      </c>
      <c r="L100" s="169" t="s">
        <v>195</v>
      </c>
      <c r="M100" s="222" t="s">
        <v>19</v>
      </c>
      <c r="N100" s="150" t="s">
        <v>833</v>
      </c>
      <c r="O100" s="175"/>
      <c r="P100" s="193"/>
      <c r="Q100" s="279">
        <f>'Additional information'!$D$17</f>
        <v>0.91</v>
      </c>
      <c r="R100" s="141"/>
      <c r="T100" s="461" t="s">
        <v>26</v>
      </c>
      <c r="U100" s="148"/>
      <c r="X100" s="277">
        <v>7.3040728569030762</v>
      </c>
      <c r="Y100" s="277">
        <f t="shared" si="12"/>
        <v>6.6467062997817994</v>
      </c>
      <c r="Z100" s="141">
        <f t="shared" si="11"/>
        <v>6.6467062997817994</v>
      </c>
    </row>
    <row r="101" spans="1:26" s="147" customFormat="1">
      <c r="A101" s="99"/>
      <c r="B101" s="107"/>
      <c r="C101" s="100"/>
      <c r="D101" s="108"/>
      <c r="E101" s="106"/>
      <c r="F101" s="108"/>
      <c r="G101" s="106"/>
      <c r="H101" s="109"/>
      <c r="I101" s="106"/>
      <c r="J101" s="106"/>
      <c r="K101" s="48"/>
      <c r="L101" s="91"/>
      <c r="M101" s="80"/>
      <c r="N101" s="175"/>
      <c r="O101" s="175"/>
      <c r="P101" s="193"/>
      <c r="Q101" s="279">
        <f>'Additional information'!$D$17</f>
        <v>0.91</v>
      </c>
      <c r="R101" s="141"/>
      <c r="T101" s="149"/>
      <c r="U101" s="148"/>
      <c r="X101" s="278"/>
      <c r="Y101" s="278" t="str">
        <f t="shared" si="12"/>
        <v/>
      </c>
      <c r="Z101" s="141" t="str">
        <f t="shared" si="11"/>
        <v/>
      </c>
    </row>
    <row r="102" spans="1:26" s="245" customFormat="1" ht="85">
      <c r="A102" s="332"/>
      <c r="B102" s="168" t="s">
        <v>196</v>
      </c>
      <c r="C102" s="152" t="s">
        <v>196</v>
      </c>
      <c r="D102" s="166" t="s">
        <v>197</v>
      </c>
      <c r="E102" s="152">
        <f>LEN(D102)</f>
        <v>237</v>
      </c>
      <c r="F102" s="166" t="s">
        <v>1124</v>
      </c>
      <c r="G102" s="152">
        <f>LEN(F102)</f>
        <v>185</v>
      </c>
      <c r="H102" s="153" t="s">
        <v>94</v>
      </c>
      <c r="I102" s="152" t="s">
        <v>19</v>
      </c>
      <c r="J102" s="152" t="s">
        <v>19</v>
      </c>
      <c r="K102" s="152" t="s">
        <v>22</v>
      </c>
      <c r="L102" s="176" t="s">
        <v>198</v>
      </c>
      <c r="M102" s="222" t="s">
        <v>19</v>
      </c>
      <c r="N102" s="150" t="s">
        <v>199</v>
      </c>
      <c r="O102" s="192"/>
      <c r="P102" s="191"/>
      <c r="Q102" s="279">
        <f>'Additional information'!$D$17</f>
        <v>0.91</v>
      </c>
      <c r="R102" s="141"/>
      <c r="T102" s="461" t="s">
        <v>26</v>
      </c>
      <c r="U102" s="148"/>
      <c r="X102" s="277">
        <v>23.939905166625977</v>
      </c>
      <c r="Y102" s="277">
        <f t="shared" ref="Y102:Y109" si="15">IF(X102="","",X102*Q102)</f>
        <v>21.78531370162964</v>
      </c>
      <c r="Z102" s="141">
        <f t="shared" si="11"/>
        <v>21.78531370162964</v>
      </c>
    </row>
    <row r="103" spans="1:26" s="245" customFormat="1" ht="187">
      <c r="A103" s="332"/>
      <c r="B103" s="168" t="s">
        <v>200</v>
      </c>
      <c r="C103" s="152" t="s">
        <v>200</v>
      </c>
      <c r="D103" s="166" t="s">
        <v>201</v>
      </c>
      <c r="E103" s="152">
        <f>LEN(D103)</f>
        <v>157</v>
      </c>
      <c r="F103" s="166" t="s">
        <v>1310</v>
      </c>
      <c r="G103" s="152">
        <f>LEN(F103)</f>
        <v>131</v>
      </c>
      <c r="H103" s="153" t="s">
        <v>30</v>
      </c>
      <c r="I103" s="152" t="s">
        <v>19</v>
      </c>
      <c r="J103" s="152" t="s">
        <v>19</v>
      </c>
      <c r="K103" s="152" t="s">
        <v>31</v>
      </c>
      <c r="L103" s="176" t="s">
        <v>202</v>
      </c>
      <c r="M103" s="222" t="s">
        <v>19</v>
      </c>
      <c r="N103" s="150" t="s">
        <v>203</v>
      </c>
      <c r="O103" s="175"/>
      <c r="P103" s="189"/>
      <c r="Q103" s="279">
        <f>'Additional information'!$D$17</f>
        <v>0.91</v>
      </c>
      <c r="R103" s="141"/>
      <c r="T103" s="461" t="s">
        <v>26</v>
      </c>
      <c r="U103" s="148"/>
      <c r="X103" s="277">
        <v>2.2494626045227051</v>
      </c>
      <c r="Y103" s="277">
        <f t="shared" si="15"/>
        <v>2.0470109701156618</v>
      </c>
      <c r="Z103" s="141">
        <f t="shared" si="11"/>
        <v>2.0470109701156618</v>
      </c>
    </row>
    <row r="104" spans="1:26" s="245" customFormat="1">
      <c r="A104" s="125"/>
      <c r="B104" s="268"/>
      <c r="C104" s="106"/>
      <c r="D104" s="108"/>
      <c r="E104" s="106"/>
      <c r="F104" s="108"/>
      <c r="G104" s="106"/>
      <c r="H104" s="100"/>
      <c r="I104" s="106"/>
      <c r="J104" s="106"/>
      <c r="K104" s="106"/>
      <c r="L104" s="91"/>
      <c r="M104" s="80"/>
      <c r="N104" s="246"/>
      <c r="O104" s="190"/>
      <c r="P104" s="189"/>
      <c r="Q104" s="279">
        <f>'Additional information'!$D$17</f>
        <v>0.91</v>
      </c>
      <c r="R104" s="141"/>
      <c r="T104" s="149"/>
      <c r="U104" s="148"/>
      <c r="X104" s="278"/>
      <c r="Y104" s="278" t="str">
        <f t="shared" si="15"/>
        <v/>
      </c>
      <c r="Z104" s="141" t="str">
        <f t="shared" si="11"/>
        <v/>
      </c>
    </row>
    <row r="105" spans="1:26" s="147" customFormat="1" ht="119">
      <c r="A105" s="99">
        <f>A100+1</f>
        <v>30</v>
      </c>
      <c r="B105" s="237" t="s">
        <v>204</v>
      </c>
      <c r="C105" s="146" t="s">
        <v>204</v>
      </c>
      <c r="D105" s="170" t="s">
        <v>205</v>
      </c>
      <c r="E105" s="144">
        <f>LEN(D105)</f>
        <v>217</v>
      </c>
      <c r="F105" s="170" t="s">
        <v>1311</v>
      </c>
      <c r="G105" s="144">
        <f>LEN(F105)</f>
        <v>195</v>
      </c>
      <c r="H105" s="154" t="s">
        <v>30</v>
      </c>
      <c r="I105" s="144" t="s">
        <v>19</v>
      </c>
      <c r="J105" s="144" t="s">
        <v>19</v>
      </c>
      <c r="K105" s="146" t="s">
        <v>836</v>
      </c>
      <c r="L105" s="169" t="s">
        <v>766</v>
      </c>
      <c r="M105" s="414" t="s">
        <v>870</v>
      </c>
      <c r="N105" s="408" t="s">
        <v>767</v>
      </c>
      <c r="O105" s="187"/>
      <c r="P105" s="51"/>
      <c r="Q105" s="279">
        <f>'Additional information'!$D$17</f>
        <v>0.91</v>
      </c>
      <c r="R105" s="141"/>
      <c r="T105" s="461" t="s">
        <v>26</v>
      </c>
      <c r="U105" s="148"/>
      <c r="X105" s="277">
        <v>23.440116882324219</v>
      </c>
      <c r="Y105" s="277">
        <f t="shared" si="15"/>
        <v>21.330506362915038</v>
      </c>
      <c r="Z105" s="141">
        <f t="shared" si="11"/>
        <v>21.330506362915038</v>
      </c>
    </row>
    <row r="106" spans="1:26" s="147" customFormat="1" ht="102">
      <c r="A106" s="99"/>
      <c r="B106" s="237" t="s">
        <v>206</v>
      </c>
      <c r="C106" s="146" t="s">
        <v>206</v>
      </c>
      <c r="D106" s="170" t="s">
        <v>850</v>
      </c>
      <c r="E106" s="144">
        <f>LEN(D106)</f>
        <v>173</v>
      </c>
      <c r="F106" s="170" t="s">
        <v>1312</v>
      </c>
      <c r="G106" s="144">
        <f>LEN(F106)</f>
        <v>167</v>
      </c>
      <c r="H106" s="154" t="s">
        <v>30</v>
      </c>
      <c r="I106" s="144" t="s">
        <v>19</v>
      </c>
      <c r="J106" s="144" t="s">
        <v>19</v>
      </c>
      <c r="K106" s="146" t="s">
        <v>31</v>
      </c>
      <c r="L106" s="169" t="s">
        <v>1261</v>
      </c>
      <c r="M106" s="222" t="s">
        <v>19</v>
      </c>
      <c r="N106" s="188" t="s">
        <v>1262</v>
      </c>
      <c r="O106" s="187"/>
      <c r="P106" s="51"/>
      <c r="Q106" s="279">
        <f>'Additional information'!$D$17</f>
        <v>0.91</v>
      </c>
      <c r="R106" s="141"/>
      <c r="T106" s="461" t="s">
        <v>26</v>
      </c>
      <c r="U106" s="148"/>
      <c r="X106" s="277">
        <v>7.7659573554992676</v>
      </c>
      <c r="Y106" s="277">
        <f t="shared" si="15"/>
        <v>7.0670211935043339</v>
      </c>
      <c r="Z106" s="141">
        <f t="shared" si="11"/>
        <v>7.0670211935043339</v>
      </c>
    </row>
    <row r="107" spans="1:26" s="147" customFormat="1">
      <c r="A107" s="99"/>
      <c r="B107" s="265"/>
      <c r="C107" s="100"/>
      <c r="D107" s="108"/>
      <c r="E107" s="106"/>
      <c r="F107" s="106"/>
      <c r="G107" s="106"/>
      <c r="H107" s="109"/>
      <c r="I107" s="106"/>
      <c r="J107" s="106"/>
      <c r="K107" s="100"/>
      <c r="L107" s="91"/>
      <c r="M107" s="80"/>
      <c r="N107" s="325"/>
      <c r="O107" s="187"/>
      <c r="P107" s="51"/>
      <c r="Q107" s="279">
        <f>'Additional information'!$D$17</f>
        <v>0.91</v>
      </c>
      <c r="R107" s="141"/>
      <c r="T107" s="149"/>
      <c r="U107" s="148"/>
      <c r="X107" s="278"/>
      <c r="Y107" s="278" t="str">
        <f t="shared" si="15"/>
        <v/>
      </c>
      <c r="Z107" s="141" t="str">
        <f t="shared" si="11"/>
        <v/>
      </c>
    </row>
    <row r="108" spans="1:26" s="147" customFormat="1" ht="204">
      <c r="A108" s="46">
        <f>A105+1</f>
        <v>31</v>
      </c>
      <c r="B108" s="168" t="s">
        <v>765</v>
      </c>
      <c r="C108" s="152" t="s">
        <v>763</v>
      </c>
      <c r="D108" s="166" t="s">
        <v>924</v>
      </c>
      <c r="E108" s="152">
        <f>LEN(D108)</f>
        <v>331</v>
      </c>
      <c r="F108" s="170" t="s">
        <v>1204</v>
      </c>
      <c r="G108" s="152">
        <f>LEN(F108)</f>
        <v>306</v>
      </c>
      <c r="H108" s="153" t="s">
        <v>66</v>
      </c>
      <c r="I108" s="152" t="s">
        <v>19</v>
      </c>
      <c r="J108" s="152" t="s">
        <v>19</v>
      </c>
      <c r="K108" s="152" t="s">
        <v>67</v>
      </c>
      <c r="L108" s="176" t="s">
        <v>696</v>
      </c>
      <c r="M108" s="222" t="s">
        <v>19</v>
      </c>
      <c r="N108" s="188" t="s">
        <v>768</v>
      </c>
      <c r="O108" s="69"/>
      <c r="P108" s="10"/>
      <c r="Q108" s="279">
        <f>'Additional information'!$D$17</f>
        <v>0.91</v>
      </c>
      <c r="R108" s="141"/>
      <c r="T108" s="461" t="s">
        <v>26</v>
      </c>
      <c r="U108" s="148"/>
      <c r="X108" s="277">
        <v>16.481756210327148</v>
      </c>
      <c r="Y108" s="277">
        <f t="shared" si="15"/>
        <v>14.998398151397705</v>
      </c>
      <c r="Z108" s="141">
        <f t="shared" si="11"/>
        <v>14.998398151397705</v>
      </c>
    </row>
    <row r="109" spans="1:26" s="147" customFormat="1" ht="14" customHeight="1">
      <c r="A109" s="46"/>
      <c r="B109" s="184"/>
      <c r="C109" s="183"/>
      <c r="D109" s="182"/>
      <c r="E109" s="48"/>
      <c r="F109" s="48"/>
      <c r="G109" s="48"/>
      <c r="H109" s="101"/>
      <c r="I109" s="48"/>
      <c r="J109" s="48"/>
      <c r="K109" s="48"/>
      <c r="L109" s="180"/>
      <c r="M109" s="80"/>
      <c r="N109" s="267"/>
      <c r="O109" s="180"/>
      <c r="P109" s="10"/>
      <c r="Q109" s="279">
        <f>'Additional information'!$D$17</f>
        <v>0.91</v>
      </c>
      <c r="R109" s="141"/>
      <c r="T109" s="149"/>
      <c r="U109" s="148"/>
      <c r="X109" s="278"/>
      <c r="Y109" s="278" t="str">
        <f t="shared" si="15"/>
        <v/>
      </c>
      <c r="Z109" s="141" t="str">
        <f t="shared" si="11"/>
        <v/>
      </c>
    </row>
    <row r="110" spans="1:26" s="147" customFormat="1" ht="204">
      <c r="A110" s="14"/>
      <c r="B110" s="39" t="s">
        <v>762</v>
      </c>
      <c r="C110" s="20" t="s">
        <v>762</v>
      </c>
      <c r="D110" s="38" t="s">
        <v>851</v>
      </c>
      <c r="E110" s="20">
        <f>LEN(D110)</f>
        <v>335</v>
      </c>
      <c r="F110" s="38" t="s">
        <v>1230</v>
      </c>
      <c r="G110" s="20">
        <f>LEN(F110)</f>
        <v>309</v>
      </c>
      <c r="H110" s="17" t="s">
        <v>30</v>
      </c>
      <c r="I110" s="16" t="s">
        <v>19</v>
      </c>
      <c r="J110" s="392" t="s">
        <v>925</v>
      </c>
      <c r="K110" s="16" t="s">
        <v>31</v>
      </c>
      <c r="L110" s="402" t="s">
        <v>734</v>
      </c>
      <c r="M110" s="81" t="s">
        <v>19</v>
      </c>
      <c r="N110" s="429" t="s">
        <v>769</v>
      </c>
      <c r="O110" s="63"/>
      <c r="P110" s="10"/>
      <c r="Q110" s="279"/>
      <c r="R110" s="141"/>
      <c r="T110" s="149" t="s">
        <v>18</v>
      </c>
      <c r="U110" s="148"/>
      <c r="X110" s="278"/>
      <c r="Y110" s="278"/>
      <c r="Z110" s="141"/>
    </row>
    <row r="111" spans="1:26" s="147" customFormat="1" ht="153">
      <c r="A111" s="14"/>
      <c r="B111" s="39" t="s">
        <v>764</v>
      </c>
      <c r="C111" s="20" t="s">
        <v>764</v>
      </c>
      <c r="D111" s="38" t="s">
        <v>852</v>
      </c>
      <c r="E111" s="20">
        <f>LEN(D111)</f>
        <v>188</v>
      </c>
      <c r="F111" s="38" t="s">
        <v>1205</v>
      </c>
      <c r="G111" s="20">
        <f>LEN(F111)</f>
        <v>212</v>
      </c>
      <c r="H111" s="17" t="s">
        <v>30</v>
      </c>
      <c r="I111" s="16" t="s">
        <v>19</v>
      </c>
      <c r="J111" s="16" t="s">
        <v>19</v>
      </c>
      <c r="K111" s="16" t="s">
        <v>31</v>
      </c>
      <c r="L111" s="402" t="s">
        <v>735</v>
      </c>
      <c r="M111" s="81" t="s">
        <v>19</v>
      </c>
      <c r="N111" s="429" t="s">
        <v>770</v>
      </c>
      <c r="O111" s="63"/>
      <c r="P111" s="10"/>
      <c r="Q111" s="279"/>
      <c r="R111" s="141"/>
      <c r="T111" s="149" t="s">
        <v>18</v>
      </c>
      <c r="U111" s="148"/>
      <c r="X111" s="278"/>
      <c r="Y111" s="278"/>
      <c r="Z111" s="141"/>
    </row>
    <row r="112" spans="1:26" s="147" customFormat="1" ht="238">
      <c r="A112" s="14">
        <f>A108+1</f>
        <v>32</v>
      </c>
      <c r="B112" s="39" t="s">
        <v>207</v>
      </c>
      <c r="C112" s="20" t="s">
        <v>781</v>
      </c>
      <c r="D112" s="38" t="s">
        <v>853</v>
      </c>
      <c r="E112" s="20">
        <f>LEN(D112)</f>
        <v>326</v>
      </c>
      <c r="F112" s="38" t="s">
        <v>1206</v>
      </c>
      <c r="G112" s="20">
        <f>LEN(F112)</f>
        <v>338</v>
      </c>
      <c r="H112" s="17" t="s">
        <v>733</v>
      </c>
      <c r="I112" s="16" t="s">
        <v>19</v>
      </c>
      <c r="J112" s="16" t="s">
        <v>19</v>
      </c>
      <c r="K112" s="16" t="s">
        <v>732</v>
      </c>
      <c r="L112" s="126" t="s">
        <v>731</v>
      </c>
      <c r="M112" s="81" t="s">
        <v>871</v>
      </c>
      <c r="N112" s="124" t="s">
        <v>730</v>
      </c>
      <c r="O112" s="63"/>
      <c r="P112" s="10"/>
      <c r="Q112" s="279">
        <f>'Additional information'!$D$17</f>
        <v>0.91</v>
      </c>
      <c r="R112" s="141"/>
      <c r="T112" s="149" t="s">
        <v>18</v>
      </c>
      <c r="U112" s="148"/>
      <c r="X112" s="278">
        <v>18.511110305786133</v>
      </c>
      <c r="Y112" s="278">
        <f t="shared" ref="Y112:Y143" si="16">IF(X112="","",X112*Q112)</f>
        <v>16.845110378265382</v>
      </c>
      <c r="Z112" s="141" t="str">
        <f t="shared" si="11"/>
        <v/>
      </c>
    </row>
    <row r="113" spans="1:26" s="147" customFormat="1">
      <c r="A113" s="46"/>
      <c r="B113" s="184"/>
      <c r="C113" s="183"/>
      <c r="D113" s="182"/>
      <c r="E113" s="48"/>
      <c r="F113" s="48"/>
      <c r="G113" s="48"/>
      <c r="H113" s="101"/>
      <c r="I113" s="48"/>
      <c r="J113" s="48"/>
      <c r="K113" s="48"/>
      <c r="L113" s="180"/>
      <c r="M113" s="80"/>
      <c r="N113" s="181"/>
      <c r="O113" s="180"/>
      <c r="P113" s="10"/>
      <c r="Q113" s="279">
        <f>'Additional information'!$D$17</f>
        <v>0.91</v>
      </c>
      <c r="R113" s="141"/>
      <c r="T113" s="149"/>
      <c r="U113" s="148"/>
      <c r="X113" s="278"/>
      <c r="Y113" s="278" t="str">
        <f t="shared" si="16"/>
        <v/>
      </c>
      <c r="Z113" s="141" t="str">
        <f t="shared" si="11"/>
        <v/>
      </c>
    </row>
    <row r="114" spans="1:26" s="147" customFormat="1" ht="204">
      <c r="A114" s="46">
        <f>A112+1</f>
        <v>33</v>
      </c>
      <c r="B114" s="186" t="s">
        <v>208</v>
      </c>
      <c r="C114" s="185" t="s">
        <v>208</v>
      </c>
      <c r="D114" s="166" t="s">
        <v>891</v>
      </c>
      <c r="E114" s="152">
        <f>LEN(D114)</f>
        <v>255</v>
      </c>
      <c r="F114" s="166" t="s">
        <v>1313</v>
      </c>
      <c r="G114" s="152">
        <f>LEN(F114)</f>
        <v>255</v>
      </c>
      <c r="H114" s="161" t="s">
        <v>30</v>
      </c>
      <c r="I114" s="152" t="s">
        <v>19</v>
      </c>
      <c r="J114" s="152" t="s">
        <v>19</v>
      </c>
      <c r="K114" s="152" t="s">
        <v>31</v>
      </c>
      <c r="L114" s="176" t="s">
        <v>209</v>
      </c>
      <c r="M114" s="222" t="s">
        <v>19</v>
      </c>
      <c r="N114" s="176" t="s">
        <v>210</v>
      </c>
      <c r="O114" s="60"/>
      <c r="P114" s="10"/>
      <c r="Q114" s="279">
        <f>'Additional information'!$D$17</f>
        <v>0.91</v>
      </c>
      <c r="R114" s="141"/>
      <c r="T114" s="461" t="s">
        <v>26</v>
      </c>
      <c r="U114" s="148"/>
      <c r="X114" s="277">
        <v>20.308681488037109</v>
      </c>
      <c r="Y114" s="277">
        <f t="shared" si="16"/>
        <v>18.480900154113769</v>
      </c>
      <c r="Z114" s="141">
        <f t="shared" si="11"/>
        <v>18.480900154113769</v>
      </c>
    </row>
    <row r="115" spans="1:26" s="147" customFormat="1">
      <c r="A115" s="46"/>
      <c r="B115" s="184"/>
      <c r="C115" s="183"/>
      <c r="D115" s="182"/>
      <c r="E115" s="48"/>
      <c r="F115" s="182"/>
      <c r="G115" s="48"/>
      <c r="H115" s="101"/>
      <c r="I115" s="48"/>
      <c r="J115" s="48"/>
      <c r="K115" s="48"/>
      <c r="L115" s="180"/>
      <c r="M115" s="80"/>
      <c r="N115" s="181"/>
      <c r="O115" s="180"/>
      <c r="P115" s="10"/>
      <c r="Q115" s="279">
        <f>'Additional information'!$D$17</f>
        <v>0.91</v>
      </c>
      <c r="R115" s="141"/>
      <c r="T115" s="149"/>
      <c r="U115" s="148"/>
      <c r="X115" s="278"/>
      <c r="Y115" s="278" t="str">
        <f t="shared" si="16"/>
        <v/>
      </c>
      <c r="Z115" s="141" t="str">
        <f t="shared" si="11"/>
        <v/>
      </c>
    </row>
    <row r="116" spans="1:26" s="147" customFormat="1" ht="204">
      <c r="A116" s="46">
        <f>A114+1</f>
        <v>34</v>
      </c>
      <c r="B116" s="168" t="s">
        <v>211</v>
      </c>
      <c r="C116" s="152" t="s">
        <v>211</v>
      </c>
      <c r="D116" s="166" t="s">
        <v>892</v>
      </c>
      <c r="E116" s="152">
        <f>LEN(D116)</f>
        <v>275</v>
      </c>
      <c r="F116" s="166" t="s">
        <v>1314</v>
      </c>
      <c r="G116" s="152">
        <f>LEN(F116)</f>
        <v>272</v>
      </c>
      <c r="H116" s="161" t="s">
        <v>30</v>
      </c>
      <c r="I116" s="152" t="s">
        <v>19</v>
      </c>
      <c r="J116" s="152" t="s">
        <v>19</v>
      </c>
      <c r="K116" s="152" t="s">
        <v>31</v>
      </c>
      <c r="L116" s="151" t="s">
        <v>1263</v>
      </c>
      <c r="M116" s="222" t="s">
        <v>19</v>
      </c>
      <c r="N116" s="179" t="s">
        <v>1264</v>
      </c>
      <c r="O116" s="178"/>
      <c r="P116" s="127"/>
      <c r="Q116" s="279">
        <f>'Additional information'!$D$17</f>
        <v>0.91</v>
      </c>
      <c r="R116" s="141"/>
      <c r="T116" s="461" t="s">
        <v>26</v>
      </c>
      <c r="U116" s="148"/>
      <c r="X116" s="277">
        <v>15.448612213134766</v>
      </c>
      <c r="Y116" s="277">
        <f t="shared" si="16"/>
        <v>14.058237113952638</v>
      </c>
      <c r="Z116" s="141">
        <f t="shared" si="11"/>
        <v>14.058237113952638</v>
      </c>
    </row>
    <row r="117" spans="1:26" s="147" customFormat="1" ht="85">
      <c r="A117" s="14">
        <f>A116+1</f>
        <v>35</v>
      </c>
      <c r="B117" s="53" t="s">
        <v>212</v>
      </c>
      <c r="C117" s="54" t="s">
        <v>212</v>
      </c>
      <c r="D117" s="19" t="s">
        <v>893</v>
      </c>
      <c r="E117" s="20">
        <f>LEN(D117)</f>
        <v>234</v>
      </c>
      <c r="F117" s="585" t="s">
        <v>1315</v>
      </c>
      <c r="G117" s="20">
        <f>LEN(F117)</f>
        <v>238</v>
      </c>
      <c r="H117" s="55" t="s">
        <v>94</v>
      </c>
      <c r="I117" s="20" t="s">
        <v>19</v>
      </c>
      <c r="J117" s="20" t="s">
        <v>19</v>
      </c>
      <c r="K117" s="20" t="s">
        <v>22</v>
      </c>
      <c r="L117" s="22" t="s">
        <v>1266</v>
      </c>
      <c r="M117" s="81" t="s">
        <v>19</v>
      </c>
      <c r="N117" s="56" t="s">
        <v>1265</v>
      </c>
      <c r="O117" s="67"/>
      <c r="P117" s="619" t="s">
        <v>213</v>
      </c>
      <c r="Q117" s="279">
        <f>'Additional information'!$D$17</f>
        <v>0.91</v>
      </c>
      <c r="R117" s="141"/>
      <c r="T117" s="149" t="s">
        <v>18</v>
      </c>
      <c r="U117" s="148"/>
      <c r="X117" s="278">
        <v>30.343915939331055</v>
      </c>
      <c r="Y117" s="278">
        <f t="shared" si="16"/>
        <v>27.61296350479126</v>
      </c>
      <c r="Z117" s="141" t="str">
        <f t="shared" si="11"/>
        <v/>
      </c>
    </row>
    <row r="118" spans="1:26" s="147" customFormat="1" ht="221">
      <c r="A118" s="14">
        <f>A117+1</f>
        <v>36</v>
      </c>
      <c r="B118" s="53" t="s">
        <v>214</v>
      </c>
      <c r="C118" s="54" t="s">
        <v>214</v>
      </c>
      <c r="D118" s="59" t="s">
        <v>908</v>
      </c>
      <c r="E118" s="20">
        <f>LEN(D118)</f>
        <v>175</v>
      </c>
      <c r="F118" s="591" t="s">
        <v>1125</v>
      </c>
      <c r="G118" s="20">
        <f>LEN(F118)</f>
        <v>145</v>
      </c>
      <c r="H118" s="55" t="s">
        <v>736</v>
      </c>
      <c r="I118" s="20" t="s">
        <v>19</v>
      </c>
      <c r="J118" s="20" t="s">
        <v>19</v>
      </c>
      <c r="K118" s="20" t="s">
        <v>837</v>
      </c>
      <c r="L118" s="22" t="s">
        <v>215</v>
      </c>
      <c r="M118" s="81" t="s">
        <v>19</v>
      </c>
      <c r="N118" s="56" t="s">
        <v>216</v>
      </c>
      <c r="O118" s="67"/>
      <c r="P118" s="620"/>
      <c r="Q118" s="279">
        <f>'Additional information'!$D$17</f>
        <v>0.91</v>
      </c>
      <c r="R118" s="141"/>
      <c r="T118" s="149" t="s">
        <v>18</v>
      </c>
      <c r="U118" s="148"/>
      <c r="X118" s="278">
        <v>5.4708995819091797</v>
      </c>
      <c r="Y118" s="278">
        <f t="shared" si="16"/>
        <v>4.9785186195373541</v>
      </c>
      <c r="Z118" s="141" t="str">
        <f t="shared" si="11"/>
        <v/>
      </c>
    </row>
    <row r="119" spans="1:26" s="147" customFormat="1" ht="68">
      <c r="A119" s="14">
        <f>A118+1</f>
        <v>37</v>
      </c>
      <c r="B119" s="53" t="s">
        <v>217</v>
      </c>
      <c r="C119" s="54" t="s">
        <v>217</v>
      </c>
      <c r="D119" s="59" t="s">
        <v>218</v>
      </c>
      <c r="E119" s="20">
        <f>LEN(D119)</f>
        <v>123</v>
      </c>
      <c r="F119" s="591" t="s">
        <v>1126</v>
      </c>
      <c r="G119" s="20">
        <f>LEN(F119)</f>
        <v>103</v>
      </c>
      <c r="H119" s="55" t="s">
        <v>94</v>
      </c>
      <c r="I119" s="20" t="s">
        <v>19</v>
      </c>
      <c r="J119" s="20" t="s">
        <v>19</v>
      </c>
      <c r="K119" s="20" t="s">
        <v>22</v>
      </c>
      <c r="L119" s="22" t="s">
        <v>219</v>
      </c>
      <c r="M119" s="81" t="s">
        <v>19</v>
      </c>
      <c r="N119" s="56" t="s">
        <v>220</v>
      </c>
      <c r="O119" s="67"/>
      <c r="P119" s="620"/>
      <c r="Q119" s="279">
        <f>'Additional information'!$D$17</f>
        <v>0.91</v>
      </c>
      <c r="R119" s="141"/>
      <c r="T119" s="149" t="s">
        <v>18</v>
      </c>
      <c r="U119" s="148"/>
      <c r="X119" s="278">
        <v>7.9054727554321289</v>
      </c>
      <c r="Y119" s="278">
        <f t="shared" si="16"/>
        <v>7.1939802074432375</v>
      </c>
      <c r="Z119" s="141" t="str">
        <f t="shared" si="11"/>
        <v/>
      </c>
    </row>
    <row r="120" spans="1:26" s="147" customFormat="1" ht="85">
      <c r="A120" s="14">
        <f>A119+1</f>
        <v>38</v>
      </c>
      <c r="B120" s="53" t="s">
        <v>221</v>
      </c>
      <c r="C120" s="54" t="s">
        <v>221</v>
      </c>
      <c r="D120" s="57" t="s">
        <v>901</v>
      </c>
      <c r="E120" s="20">
        <f>LEN(D120)</f>
        <v>218</v>
      </c>
      <c r="F120" s="57" t="s">
        <v>1127</v>
      </c>
      <c r="G120" s="20">
        <f>LEN(F120)</f>
        <v>208</v>
      </c>
      <c r="H120" s="55" t="s">
        <v>94</v>
      </c>
      <c r="I120" s="20" t="s">
        <v>19</v>
      </c>
      <c r="J120" s="20" t="s">
        <v>19</v>
      </c>
      <c r="K120" s="20" t="s">
        <v>22</v>
      </c>
      <c r="L120" s="22" t="s">
        <v>1267</v>
      </c>
      <c r="M120" s="81" t="s">
        <v>19</v>
      </c>
      <c r="N120" s="56" t="s">
        <v>1268</v>
      </c>
      <c r="O120" s="67"/>
      <c r="P120" s="621"/>
      <c r="Q120" s="279">
        <f>'Additional information'!$D$17</f>
        <v>0.91</v>
      </c>
      <c r="R120" s="141"/>
      <c r="T120" s="149" t="s">
        <v>18</v>
      </c>
      <c r="U120" s="148"/>
      <c r="X120" s="278">
        <v>16.435977935791016</v>
      </c>
      <c r="Y120" s="278">
        <f t="shared" si="16"/>
        <v>14.956739921569826</v>
      </c>
      <c r="Z120" s="141" t="str">
        <f t="shared" si="11"/>
        <v/>
      </c>
    </row>
    <row r="121" spans="1:26" s="147" customFormat="1">
      <c r="A121" s="46"/>
      <c r="B121" s="244"/>
      <c r="C121" s="100"/>
      <c r="D121" s="80"/>
      <c r="E121" s="48"/>
      <c r="F121" s="48"/>
      <c r="G121" s="48"/>
      <c r="H121" s="101"/>
      <c r="I121" s="48"/>
      <c r="J121" s="48"/>
      <c r="K121" s="48"/>
      <c r="L121" s="85"/>
      <c r="M121" s="85"/>
      <c r="N121" s="85"/>
      <c r="O121" s="85"/>
      <c r="P121" s="10"/>
      <c r="Q121" s="279">
        <f>'Additional information'!$D$17</f>
        <v>0.91</v>
      </c>
      <c r="R121" s="141"/>
      <c r="T121" s="149"/>
      <c r="U121" s="148"/>
      <c r="X121" s="278"/>
      <c r="Y121" s="278" t="str">
        <f t="shared" si="16"/>
        <v/>
      </c>
      <c r="Z121" s="141" t="str">
        <f t="shared" si="11"/>
        <v/>
      </c>
    </row>
    <row r="122" spans="1:26" s="147" customFormat="1" ht="153">
      <c r="A122" s="46">
        <f>A120+1</f>
        <v>39</v>
      </c>
      <c r="B122" s="168" t="s">
        <v>222</v>
      </c>
      <c r="C122" s="146" t="s">
        <v>222</v>
      </c>
      <c r="D122" s="167" t="s">
        <v>737</v>
      </c>
      <c r="E122" s="152">
        <f>LEN(D122)</f>
        <v>157</v>
      </c>
      <c r="F122" s="571" t="s">
        <v>1316</v>
      </c>
      <c r="G122" s="152">
        <f>LEN(F122)</f>
        <v>127</v>
      </c>
      <c r="H122" s="161" t="s">
        <v>30</v>
      </c>
      <c r="I122" s="152" t="s">
        <v>19</v>
      </c>
      <c r="J122" s="152" t="s">
        <v>19</v>
      </c>
      <c r="K122" s="152" t="s">
        <v>31</v>
      </c>
      <c r="L122" s="151" t="s">
        <v>223</v>
      </c>
      <c r="M122" s="222" t="s">
        <v>19</v>
      </c>
      <c r="N122" s="151" t="s">
        <v>1288</v>
      </c>
      <c r="O122" s="61"/>
      <c r="P122" s="10"/>
      <c r="Q122" s="279">
        <f>'Additional information'!$D$17</f>
        <v>0.91</v>
      </c>
      <c r="R122" s="141"/>
      <c r="T122" s="461" t="s">
        <v>26</v>
      </c>
      <c r="U122" s="148"/>
      <c r="X122" s="277">
        <v>11.375329971313477</v>
      </c>
      <c r="Y122" s="277">
        <f t="shared" si="16"/>
        <v>10.351550273895263</v>
      </c>
      <c r="Z122" s="141">
        <f t="shared" si="11"/>
        <v>10.351550273895263</v>
      </c>
    </row>
    <row r="123" spans="1:26" s="147" customFormat="1" ht="388">
      <c r="A123" s="113">
        <f>A122+1</f>
        <v>40</v>
      </c>
      <c r="B123" s="239" t="s">
        <v>224</v>
      </c>
      <c r="C123" s="153" t="s">
        <v>779</v>
      </c>
      <c r="D123" s="430" t="s">
        <v>790</v>
      </c>
      <c r="E123" s="135">
        <f>LEN(D123)</f>
        <v>773</v>
      </c>
      <c r="F123" s="571" t="s">
        <v>1317</v>
      </c>
      <c r="G123" s="135">
        <f>LEN(F123)</f>
        <v>754</v>
      </c>
      <c r="H123" s="146" t="s">
        <v>733</v>
      </c>
      <c r="I123" s="135" t="s">
        <v>19</v>
      </c>
      <c r="J123" s="135" t="s">
        <v>19</v>
      </c>
      <c r="K123" s="135" t="s">
        <v>787</v>
      </c>
      <c r="L123" s="425" t="s">
        <v>788</v>
      </c>
      <c r="M123" s="222" t="s">
        <v>872</v>
      </c>
      <c r="N123" s="167" t="s">
        <v>789</v>
      </c>
      <c r="O123" s="61"/>
      <c r="P123" s="10"/>
      <c r="Q123" s="279">
        <f>'Additional information'!$D$17</f>
        <v>0.91</v>
      </c>
      <c r="R123" s="141"/>
      <c r="T123" s="461" t="s">
        <v>26</v>
      </c>
      <c r="U123" s="148"/>
      <c r="X123" s="277">
        <v>25.844999313354492</v>
      </c>
      <c r="Y123" s="277">
        <f t="shared" si="16"/>
        <v>23.518949375152587</v>
      </c>
      <c r="Z123" s="141">
        <f t="shared" si="11"/>
        <v>23.518949375152587</v>
      </c>
    </row>
    <row r="124" spans="1:26" s="147" customFormat="1">
      <c r="A124" s="46"/>
      <c r="B124" s="244"/>
      <c r="C124" s="100"/>
      <c r="D124" s="80"/>
      <c r="E124" s="48"/>
      <c r="F124" s="48"/>
      <c r="G124" s="48"/>
      <c r="H124" s="101"/>
      <c r="I124" s="48"/>
      <c r="J124" s="48"/>
      <c r="K124" s="48"/>
      <c r="L124" s="85"/>
      <c r="M124" s="85"/>
      <c r="N124" s="85"/>
      <c r="O124" s="85"/>
      <c r="P124" s="10"/>
      <c r="Q124" s="279">
        <f>'Additional information'!$D$17</f>
        <v>0.91</v>
      </c>
      <c r="R124" s="141"/>
      <c r="T124" s="149"/>
      <c r="U124" s="148"/>
      <c r="X124" s="278"/>
      <c r="Y124" s="278" t="str">
        <f t="shared" si="16"/>
        <v/>
      </c>
      <c r="Z124" s="141" t="str">
        <f t="shared" si="11"/>
        <v/>
      </c>
    </row>
    <row r="125" spans="1:26" s="147" customFormat="1" ht="221">
      <c r="A125" s="110">
        <f>A123+1</f>
        <v>41</v>
      </c>
      <c r="B125" s="238" t="s">
        <v>225</v>
      </c>
      <c r="C125" s="247" t="s">
        <v>225</v>
      </c>
      <c r="D125" s="22" t="s">
        <v>894</v>
      </c>
      <c r="E125" s="20">
        <f>LEN(D125)</f>
        <v>296</v>
      </c>
      <c r="F125" s="588" t="s">
        <v>1128</v>
      </c>
      <c r="G125" s="20">
        <f>LEN(F125)</f>
        <v>279</v>
      </c>
      <c r="H125" s="21" t="s">
        <v>30</v>
      </c>
      <c r="I125" s="20" t="s">
        <v>19</v>
      </c>
      <c r="J125" s="427" t="s">
        <v>838</v>
      </c>
      <c r="K125" s="20" t="s">
        <v>31</v>
      </c>
      <c r="L125" s="22" t="s">
        <v>839</v>
      </c>
      <c r="M125" s="81" t="s">
        <v>19</v>
      </c>
      <c r="N125" s="22" t="s">
        <v>1292</v>
      </c>
      <c r="O125" s="31"/>
      <c r="P125" s="10"/>
      <c r="Q125" s="279">
        <f>'Additional information'!$D$17</f>
        <v>0.91</v>
      </c>
      <c r="R125" s="141"/>
      <c r="T125" s="149" t="s">
        <v>18</v>
      </c>
      <c r="U125" s="148"/>
      <c r="X125" s="278">
        <v>12.186037063598633</v>
      </c>
      <c r="Y125" s="278">
        <f t="shared" si="16"/>
        <v>11.089293727874756</v>
      </c>
      <c r="Z125" s="141" t="str">
        <f t="shared" si="11"/>
        <v/>
      </c>
    </row>
    <row r="126" spans="1:26" s="147" customFormat="1" ht="136">
      <c r="A126" s="58"/>
      <c r="B126" s="243" t="s">
        <v>226</v>
      </c>
      <c r="C126" s="242" t="s">
        <v>227</v>
      </c>
      <c r="D126" s="15" t="s">
        <v>887</v>
      </c>
      <c r="E126" s="24">
        <f>LEN(D126)</f>
        <v>233</v>
      </c>
      <c r="F126" s="584" t="s">
        <v>1129</v>
      </c>
      <c r="G126" s="24">
        <f>LEN(F126)</f>
        <v>112</v>
      </c>
      <c r="H126" s="28" t="s">
        <v>152</v>
      </c>
      <c r="I126" s="24" t="s">
        <v>19</v>
      </c>
      <c r="J126" s="428" t="s">
        <v>19</v>
      </c>
      <c r="K126" s="24" t="s">
        <v>840</v>
      </c>
      <c r="L126" s="29" t="s">
        <v>228</v>
      </c>
      <c r="M126" s="81" t="s">
        <v>19</v>
      </c>
      <c r="N126" s="64" t="s">
        <v>229</v>
      </c>
      <c r="O126" s="64"/>
      <c r="P126" s="127"/>
      <c r="Q126" s="279">
        <f>'Additional information'!$D$17</f>
        <v>0.91</v>
      </c>
      <c r="R126" s="141"/>
      <c r="T126" s="149" t="s">
        <v>18</v>
      </c>
      <c r="U126" s="148"/>
      <c r="X126" s="278">
        <v>18.744722366333008</v>
      </c>
      <c r="Y126" s="278">
        <f t="shared" si="16"/>
        <v>17.057697353363039</v>
      </c>
      <c r="Z126" s="141" t="str">
        <f t="shared" si="11"/>
        <v/>
      </c>
    </row>
    <row r="127" spans="1:26" s="147" customFormat="1" ht="17" thickBot="1">
      <c r="A127" s="113"/>
      <c r="B127" s="266"/>
      <c r="C127" s="114"/>
      <c r="D127" s="89"/>
      <c r="E127" s="103"/>
      <c r="F127" s="103"/>
      <c r="G127" s="103"/>
      <c r="H127" s="114"/>
      <c r="I127" s="103"/>
      <c r="J127" s="103"/>
      <c r="K127" s="103"/>
      <c r="L127" s="95"/>
      <c r="M127" s="85"/>
      <c r="N127" s="89"/>
      <c r="O127" s="95"/>
      <c r="P127" s="72"/>
      <c r="Q127" s="279">
        <f>'Additional information'!$D$17</f>
        <v>0.91</v>
      </c>
      <c r="R127" s="141"/>
      <c r="T127" s="149"/>
      <c r="U127" s="148"/>
      <c r="X127" s="278"/>
      <c r="Y127" s="278" t="str">
        <f t="shared" si="16"/>
        <v/>
      </c>
      <c r="Z127" s="141" t="str">
        <f t="shared" si="11"/>
        <v/>
      </c>
    </row>
    <row r="128" spans="1:26" s="452" customFormat="1" ht="17" thickBot="1">
      <c r="A128" s="616" t="s">
        <v>230</v>
      </c>
      <c r="B128" s="617"/>
      <c r="C128" s="617"/>
      <c r="D128" s="617"/>
      <c r="E128" s="617"/>
      <c r="F128" s="617"/>
      <c r="G128" s="617"/>
      <c r="H128" s="617"/>
      <c r="I128" s="617"/>
      <c r="J128" s="617"/>
      <c r="K128" s="617"/>
      <c r="L128" s="617"/>
      <c r="M128" s="617"/>
      <c r="N128" s="617"/>
      <c r="O128" s="617"/>
      <c r="P128" s="618"/>
      <c r="Q128" s="274"/>
      <c r="R128" s="463"/>
      <c r="T128" s="461"/>
      <c r="U128" s="464"/>
      <c r="X128" s="277"/>
      <c r="Y128" s="277" t="str">
        <f t="shared" si="16"/>
        <v/>
      </c>
      <c r="Z128" s="463" t="str">
        <f t="shared" si="11"/>
        <v/>
      </c>
    </row>
    <row r="129" spans="1:26" s="147" customFormat="1" ht="255">
      <c r="A129" s="46"/>
      <c r="B129" s="186" t="s">
        <v>231</v>
      </c>
      <c r="C129" s="185" t="s">
        <v>231</v>
      </c>
      <c r="D129" s="432" t="s">
        <v>965</v>
      </c>
      <c r="E129" s="144">
        <f>LEN(D129)</f>
        <v>104</v>
      </c>
      <c r="F129" s="578" t="s">
        <v>1207</v>
      </c>
      <c r="G129" s="144">
        <f>LEN(F129)</f>
        <v>103</v>
      </c>
      <c r="H129" s="154" t="s">
        <v>30</v>
      </c>
      <c r="I129" s="152" t="s">
        <v>19</v>
      </c>
      <c r="J129" s="146" t="s">
        <v>232</v>
      </c>
      <c r="K129" s="144" t="s">
        <v>31</v>
      </c>
      <c r="L129" s="151" t="s">
        <v>1269</v>
      </c>
      <c r="M129" s="414" t="s">
        <v>873</v>
      </c>
      <c r="N129" s="151" t="s">
        <v>1270</v>
      </c>
      <c r="O129" s="85"/>
      <c r="P129" s="10"/>
      <c r="Q129" s="279">
        <f>'Additional information'!$D$17</f>
        <v>0.91</v>
      </c>
      <c r="R129" s="141"/>
      <c r="T129" s="461" t="s">
        <v>26</v>
      </c>
      <c r="U129" s="148"/>
      <c r="X129" s="277">
        <v>17.612014770507812</v>
      </c>
      <c r="Y129" s="277">
        <f t="shared" si="16"/>
        <v>16.026933441162111</v>
      </c>
      <c r="Z129" s="141">
        <f t="shared" si="11"/>
        <v>16.026933441162111</v>
      </c>
    </row>
    <row r="130" spans="1:26" s="147" customFormat="1">
      <c r="A130" s="46"/>
      <c r="B130" s="184"/>
      <c r="C130" s="100"/>
      <c r="D130" s="365"/>
      <c r="E130" s="106"/>
      <c r="F130" s="477"/>
      <c r="G130" s="106"/>
      <c r="H130" s="49"/>
      <c r="I130" s="48"/>
      <c r="J130" s="112"/>
      <c r="K130" s="48"/>
      <c r="L130" s="85"/>
      <c r="M130" s="85"/>
      <c r="N130" s="87"/>
      <c r="O130" s="87"/>
      <c r="P130" s="10"/>
      <c r="Q130" s="279">
        <f>'Additional information'!$D$17</f>
        <v>0.91</v>
      </c>
      <c r="R130" s="149"/>
      <c r="S130" s="148"/>
      <c r="V130" s="155"/>
      <c r="W130" s="200"/>
      <c r="X130" s="278"/>
      <c r="Y130" s="278" t="str">
        <f t="shared" si="16"/>
        <v/>
      </c>
      <c r="Z130" s="141" t="str">
        <f t="shared" si="11"/>
        <v/>
      </c>
    </row>
    <row r="131" spans="1:26" s="147" customFormat="1" ht="222" customHeight="1">
      <c r="A131" s="99">
        <f>A123+1</f>
        <v>41</v>
      </c>
      <c r="B131" s="431" t="s">
        <v>233</v>
      </c>
      <c r="C131" s="146" t="s">
        <v>233</v>
      </c>
      <c r="D131" s="145" t="s">
        <v>913</v>
      </c>
      <c r="E131" s="144">
        <f>LEN(D131)</f>
        <v>167</v>
      </c>
      <c r="F131" s="578" t="s">
        <v>1130</v>
      </c>
      <c r="G131" s="144">
        <f>LEN(F131)</f>
        <v>141</v>
      </c>
      <c r="H131" s="154" t="s">
        <v>30</v>
      </c>
      <c r="I131" s="144" t="s">
        <v>19</v>
      </c>
      <c r="J131" s="146" t="s">
        <v>19</v>
      </c>
      <c r="K131" s="144" t="s">
        <v>31</v>
      </c>
      <c r="L131" s="143" t="s">
        <v>234</v>
      </c>
      <c r="M131" s="222" t="s">
        <v>19</v>
      </c>
      <c r="N131" s="143" t="s">
        <v>1271</v>
      </c>
      <c r="O131" s="87"/>
      <c r="P131" s="51"/>
      <c r="Q131" s="279">
        <f>'Additional information'!$D$17</f>
        <v>0.91</v>
      </c>
      <c r="R131" s="141"/>
      <c r="T131" s="461" t="s">
        <v>26</v>
      </c>
      <c r="U131" s="148"/>
      <c r="X131" s="277">
        <v>10.457156181335449</v>
      </c>
      <c r="Y131" s="277">
        <f t="shared" si="16"/>
        <v>9.5160121250152585</v>
      </c>
      <c r="Z131" s="141">
        <f t="shared" si="11"/>
        <v>9.5160121250152585</v>
      </c>
    </row>
    <row r="132" spans="1:26" s="147" customFormat="1" ht="289">
      <c r="A132" s="46">
        <f>A131+1</f>
        <v>42</v>
      </c>
      <c r="B132" s="186" t="s">
        <v>235</v>
      </c>
      <c r="C132" s="146" t="s">
        <v>780</v>
      </c>
      <c r="D132" s="430" t="s">
        <v>914</v>
      </c>
      <c r="E132" s="144">
        <f>LEN(D132)</f>
        <v>684</v>
      </c>
      <c r="F132" s="578" t="s">
        <v>1211</v>
      </c>
      <c r="G132" s="144">
        <f>LEN(F132)</f>
        <v>622</v>
      </c>
      <c r="H132" s="146" t="s">
        <v>733</v>
      </c>
      <c r="I132" s="152" t="s">
        <v>19</v>
      </c>
      <c r="J132" s="177" t="s">
        <v>19</v>
      </c>
      <c r="K132" s="152" t="s">
        <v>751</v>
      </c>
      <c r="L132" s="151" t="s">
        <v>760</v>
      </c>
      <c r="M132" s="222" t="s">
        <v>874</v>
      </c>
      <c r="N132" s="151" t="s">
        <v>761</v>
      </c>
      <c r="O132" s="85"/>
      <c r="P132" s="10"/>
      <c r="Q132" s="279">
        <f>'Additional information'!$D$17</f>
        <v>0.91</v>
      </c>
      <c r="R132" s="141"/>
      <c r="T132" s="461" t="s">
        <v>26</v>
      </c>
      <c r="U132" s="148"/>
      <c r="X132" s="277">
        <v>20.769962310791016</v>
      </c>
      <c r="Y132" s="277">
        <f t="shared" si="16"/>
        <v>18.900665702819825</v>
      </c>
      <c r="Z132" s="141">
        <f t="shared" ref="Z132:Z195" si="17">IF(T132="yes",Y132,"")</f>
        <v>18.900665702819825</v>
      </c>
    </row>
    <row r="133" spans="1:26" s="147" customFormat="1">
      <c r="A133" s="46"/>
      <c r="B133" s="184"/>
      <c r="C133" s="100"/>
      <c r="D133" s="365"/>
      <c r="E133" s="106"/>
      <c r="F133" s="474"/>
      <c r="G133" s="106"/>
      <c r="H133" s="49"/>
      <c r="I133" s="48"/>
      <c r="J133" s="111"/>
      <c r="K133" s="48"/>
      <c r="L133" s="85"/>
      <c r="M133" s="85"/>
      <c r="N133" s="87"/>
      <c r="O133" s="87"/>
      <c r="P133" s="10"/>
      <c r="Q133" s="279">
        <f>'Additional information'!$D$17</f>
        <v>0.91</v>
      </c>
      <c r="R133" s="141"/>
      <c r="T133" s="149"/>
      <c r="U133" s="148"/>
      <c r="X133" s="278"/>
      <c r="Y133" s="278" t="str">
        <f t="shared" si="16"/>
        <v/>
      </c>
      <c r="Z133" s="141" t="str">
        <f>IF(T133="yes",Y133,"")</f>
        <v/>
      </c>
    </row>
    <row r="134" spans="1:26" s="147" customFormat="1" ht="261" customHeight="1">
      <c r="A134" s="46">
        <f>A132+1</f>
        <v>43</v>
      </c>
      <c r="B134" s="186" t="s">
        <v>236</v>
      </c>
      <c r="C134" s="146" t="s">
        <v>236</v>
      </c>
      <c r="D134" s="167" t="s">
        <v>895</v>
      </c>
      <c r="E134" s="152">
        <f>LEN(D134)</f>
        <v>343</v>
      </c>
      <c r="F134" s="592" t="s">
        <v>1131</v>
      </c>
      <c r="G134" s="152">
        <f>LEN(F134)</f>
        <v>306</v>
      </c>
      <c r="H134" s="161" t="s">
        <v>30</v>
      </c>
      <c r="I134" s="152" t="s">
        <v>19</v>
      </c>
      <c r="J134" s="152" t="s">
        <v>19</v>
      </c>
      <c r="K134" s="152" t="s">
        <v>31</v>
      </c>
      <c r="L134" s="176" t="s">
        <v>237</v>
      </c>
      <c r="M134" s="222" t="s">
        <v>19</v>
      </c>
      <c r="N134" s="150" t="s">
        <v>238</v>
      </c>
      <c r="O134" s="175"/>
      <c r="P134" s="10"/>
      <c r="Q134" s="279">
        <f>'Additional information'!$D$17</f>
        <v>0.91</v>
      </c>
      <c r="R134" s="141"/>
      <c r="T134" s="461" t="s">
        <v>26</v>
      </c>
      <c r="U134" s="148"/>
      <c r="X134" s="277">
        <v>23.569721221923828</v>
      </c>
      <c r="Y134" s="277">
        <f t="shared" si="16"/>
        <v>21.448446311950683</v>
      </c>
      <c r="Z134" s="141">
        <f t="shared" si="17"/>
        <v>21.448446311950683</v>
      </c>
    </row>
    <row r="135" spans="1:26" s="147" customFormat="1" ht="17" thickBot="1">
      <c r="A135" s="46"/>
      <c r="B135" s="184"/>
      <c r="C135" s="100"/>
      <c r="D135" s="365"/>
      <c r="E135" s="106"/>
      <c r="F135" s="365"/>
      <c r="G135" s="106"/>
      <c r="H135" s="49"/>
      <c r="I135" s="48"/>
      <c r="J135" s="111"/>
      <c r="K135" s="48"/>
      <c r="L135" s="85"/>
      <c r="M135" s="85"/>
      <c r="N135" s="87"/>
      <c r="O135" s="87"/>
      <c r="P135" s="10"/>
      <c r="Q135" s="279">
        <f>'Additional information'!$D$17</f>
        <v>0.91</v>
      </c>
      <c r="R135" s="141"/>
      <c r="T135" s="149"/>
      <c r="U135" s="148"/>
      <c r="X135" s="278"/>
      <c r="Y135" s="278" t="str">
        <f t="shared" si="16"/>
        <v/>
      </c>
      <c r="Z135" s="141" t="str">
        <f>IF(T135="yes",Y135,"")</f>
        <v/>
      </c>
    </row>
    <row r="136" spans="1:26" s="452" customFormat="1" ht="17" thickBot="1">
      <c r="A136" s="616" t="s">
        <v>239</v>
      </c>
      <c r="B136" s="617"/>
      <c r="C136" s="617"/>
      <c r="D136" s="617"/>
      <c r="E136" s="617"/>
      <c r="F136" s="617"/>
      <c r="G136" s="617"/>
      <c r="H136" s="617"/>
      <c r="I136" s="617"/>
      <c r="J136" s="617"/>
      <c r="K136" s="617"/>
      <c r="L136" s="617"/>
      <c r="M136" s="617"/>
      <c r="N136" s="617"/>
      <c r="O136" s="617"/>
      <c r="P136" s="618"/>
      <c r="Q136" s="274"/>
      <c r="R136" s="463"/>
      <c r="T136" s="461"/>
      <c r="U136" s="464"/>
      <c r="X136" s="277"/>
      <c r="Y136" s="277" t="str">
        <f t="shared" si="16"/>
        <v/>
      </c>
      <c r="Z136" s="463" t="str">
        <f t="shared" si="17"/>
        <v/>
      </c>
    </row>
    <row r="137" spans="1:26" s="147" customFormat="1" ht="136">
      <c r="A137" s="99">
        <f>A134+1</f>
        <v>44</v>
      </c>
      <c r="B137" s="434" t="s">
        <v>240</v>
      </c>
      <c r="C137" s="435" t="s">
        <v>240</v>
      </c>
      <c r="D137" s="436" t="s">
        <v>241</v>
      </c>
      <c r="E137" s="144">
        <f>LEN(D137)</f>
        <v>173</v>
      </c>
      <c r="F137" s="593" t="s">
        <v>1132</v>
      </c>
      <c r="G137" s="144">
        <f>LEN(F137)</f>
        <v>124</v>
      </c>
      <c r="H137" s="144" t="s">
        <v>30</v>
      </c>
      <c r="I137" s="144" t="s">
        <v>19</v>
      </c>
      <c r="J137" s="144" t="s">
        <v>841</v>
      </c>
      <c r="K137" s="144" t="s">
        <v>31</v>
      </c>
      <c r="L137" s="143" t="s">
        <v>242</v>
      </c>
      <c r="M137" s="222" t="s">
        <v>19</v>
      </c>
      <c r="N137" s="150" t="s">
        <v>243</v>
      </c>
      <c r="O137" s="175"/>
      <c r="P137" s="9"/>
      <c r="Q137" s="274">
        <f>'Additional information'!$D$18</f>
        <v>0.91</v>
      </c>
      <c r="R137" s="141"/>
      <c r="T137" s="461" t="s">
        <v>26</v>
      </c>
      <c r="U137" s="148"/>
      <c r="X137" s="277">
        <v>4.5019583702087402</v>
      </c>
      <c r="Y137" s="277">
        <f t="shared" si="16"/>
        <v>4.0967821168899539</v>
      </c>
      <c r="Z137" s="141">
        <f t="shared" si="17"/>
        <v>4.0967821168899539</v>
      </c>
    </row>
    <row r="138" spans="1:26" s="147" customFormat="1">
      <c r="A138" s="46"/>
      <c r="B138" s="184"/>
      <c r="C138" s="100"/>
      <c r="D138" s="365"/>
      <c r="E138" s="106"/>
      <c r="F138" s="478"/>
      <c r="G138" s="106"/>
      <c r="H138" s="49"/>
      <c r="I138" s="48"/>
      <c r="J138" s="112"/>
      <c r="K138" s="48"/>
      <c r="L138" s="85"/>
      <c r="M138" s="85"/>
      <c r="N138" s="87"/>
      <c r="O138" s="87"/>
      <c r="P138" s="10"/>
      <c r="Q138" s="279">
        <f>'Additional information'!$D$18</f>
        <v>0.91</v>
      </c>
      <c r="R138" s="141"/>
      <c r="T138" s="149"/>
      <c r="U138" s="148"/>
      <c r="X138" s="278"/>
      <c r="Y138" s="278" t="str">
        <f t="shared" si="16"/>
        <v/>
      </c>
      <c r="Z138" s="141" t="str">
        <f t="shared" si="17"/>
        <v/>
      </c>
    </row>
    <row r="139" spans="1:26" s="147" customFormat="1" ht="306">
      <c r="A139" s="99">
        <f>A137+1</f>
        <v>45</v>
      </c>
      <c r="B139" s="237" t="s">
        <v>244</v>
      </c>
      <c r="C139" s="146" t="s">
        <v>244</v>
      </c>
      <c r="D139" s="145" t="s">
        <v>972</v>
      </c>
      <c r="E139" s="144">
        <f>LEN(D139)</f>
        <v>579</v>
      </c>
      <c r="F139" s="578" t="s">
        <v>1133</v>
      </c>
      <c r="G139" s="144">
        <f>LEN(F139)</f>
        <v>542</v>
      </c>
      <c r="H139" s="144" t="s">
        <v>30</v>
      </c>
      <c r="I139" s="144" t="s">
        <v>19</v>
      </c>
      <c r="J139" s="144" t="s">
        <v>19</v>
      </c>
      <c r="K139" s="146" t="s">
        <v>164</v>
      </c>
      <c r="L139" s="143" t="s">
        <v>1272</v>
      </c>
      <c r="M139" s="222" t="s">
        <v>19</v>
      </c>
      <c r="N139" s="150" t="s">
        <v>1273</v>
      </c>
      <c r="O139" s="175"/>
      <c r="P139" s="51"/>
      <c r="Q139" s="274">
        <f>'Additional information'!$D$18</f>
        <v>0.91</v>
      </c>
      <c r="R139" s="141"/>
      <c r="T139" s="461" t="s">
        <v>26</v>
      </c>
      <c r="U139" s="148"/>
      <c r="X139" s="277">
        <v>17.402484893798828</v>
      </c>
      <c r="Y139" s="277">
        <f t="shared" si="16"/>
        <v>15.836261253356934</v>
      </c>
      <c r="Z139" s="141">
        <f t="shared" si="17"/>
        <v>15.836261253356934</v>
      </c>
    </row>
    <row r="140" spans="1:26" s="147" customFormat="1">
      <c r="A140" s="99"/>
      <c r="B140" s="265"/>
      <c r="C140" s="100"/>
      <c r="D140" s="173"/>
      <c r="E140" s="106"/>
      <c r="F140" s="105"/>
      <c r="G140" s="106"/>
      <c r="H140" s="106"/>
      <c r="I140" s="106"/>
      <c r="J140" s="106"/>
      <c r="K140" s="100"/>
      <c r="L140" s="87"/>
      <c r="M140" s="85"/>
      <c r="N140" s="175"/>
      <c r="O140" s="175"/>
      <c r="P140" s="51"/>
      <c r="Q140" s="279">
        <f>'Additional information'!$D$18</f>
        <v>0.91</v>
      </c>
      <c r="R140" s="141"/>
      <c r="T140" s="149"/>
      <c r="U140" s="148"/>
      <c r="X140" s="278"/>
      <c r="Y140" s="278" t="str">
        <f t="shared" si="16"/>
        <v/>
      </c>
      <c r="Z140" s="141" t="str">
        <f t="shared" si="17"/>
        <v/>
      </c>
    </row>
    <row r="141" spans="1:26" s="147" customFormat="1" ht="68">
      <c r="A141" s="46">
        <f>A139+1</f>
        <v>46</v>
      </c>
      <c r="B141" s="186" t="s">
        <v>245</v>
      </c>
      <c r="C141" s="146" t="s">
        <v>245</v>
      </c>
      <c r="D141" s="167" t="s">
        <v>896</v>
      </c>
      <c r="E141" s="152">
        <f>LEN(D141)</f>
        <v>152</v>
      </c>
      <c r="F141" s="571" t="s">
        <v>1134</v>
      </c>
      <c r="G141" s="152">
        <f>LEN(F141)</f>
        <v>125</v>
      </c>
      <c r="H141" s="161" t="s">
        <v>94</v>
      </c>
      <c r="I141" s="152" t="s">
        <v>19</v>
      </c>
      <c r="J141" s="152" t="s">
        <v>19</v>
      </c>
      <c r="K141" s="152" t="s">
        <v>246</v>
      </c>
      <c r="L141" s="151" t="s">
        <v>247</v>
      </c>
      <c r="M141" s="222" t="s">
        <v>19</v>
      </c>
      <c r="N141" s="151" t="s">
        <v>248</v>
      </c>
      <c r="O141" s="87"/>
      <c r="P141" s="10"/>
      <c r="Q141" s="274">
        <f>'Additional information'!$D$18</f>
        <v>0.91</v>
      </c>
      <c r="R141" s="141"/>
      <c r="T141" s="461" t="s">
        <v>26</v>
      </c>
      <c r="U141" s="148"/>
      <c r="X141" s="277">
        <v>16.332881927490234</v>
      </c>
      <c r="Y141" s="277">
        <f t="shared" si="16"/>
        <v>14.862922554016114</v>
      </c>
      <c r="Z141" s="141">
        <f t="shared" si="17"/>
        <v>14.862922554016114</v>
      </c>
    </row>
    <row r="142" spans="1:26" s="147" customFormat="1" ht="68">
      <c r="A142" s="46">
        <f>A141+1</f>
        <v>47</v>
      </c>
      <c r="B142" s="186" t="s">
        <v>249</v>
      </c>
      <c r="C142" s="146" t="s">
        <v>249</v>
      </c>
      <c r="D142" s="166" t="s">
        <v>897</v>
      </c>
      <c r="E142" s="152">
        <f>LEN(D142)</f>
        <v>128</v>
      </c>
      <c r="F142" s="166" t="s">
        <v>1135</v>
      </c>
      <c r="G142" s="152">
        <f>LEN(F142)</f>
        <v>97</v>
      </c>
      <c r="H142" s="161" t="s">
        <v>94</v>
      </c>
      <c r="I142" s="152" t="s">
        <v>19</v>
      </c>
      <c r="J142" s="152" t="s">
        <v>19</v>
      </c>
      <c r="K142" s="152" t="s">
        <v>246</v>
      </c>
      <c r="L142" s="151" t="s">
        <v>250</v>
      </c>
      <c r="M142" s="222" t="s">
        <v>19</v>
      </c>
      <c r="N142" s="151" t="s">
        <v>251</v>
      </c>
      <c r="O142" s="87"/>
      <c r="P142" s="10"/>
      <c r="Q142" s="274">
        <f>'Additional information'!$D$18</f>
        <v>0.91</v>
      </c>
      <c r="R142" s="141"/>
      <c r="T142" s="461" t="s">
        <v>26</v>
      </c>
      <c r="U142" s="148"/>
      <c r="X142" s="277">
        <v>7.4144525527954102</v>
      </c>
      <c r="Y142" s="277">
        <f t="shared" si="16"/>
        <v>6.7471518230438239</v>
      </c>
      <c r="Z142" s="141">
        <f t="shared" si="17"/>
        <v>6.7471518230438239</v>
      </c>
    </row>
    <row r="143" spans="1:26" s="147" customFormat="1" ht="400" customHeight="1">
      <c r="A143" s="46">
        <v>44</v>
      </c>
      <c r="B143" s="186" t="s">
        <v>252</v>
      </c>
      <c r="C143" s="146" t="s">
        <v>1296</v>
      </c>
      <c r="D143" s="430" t="s">
        <v>935</v>
      </c>
      <c r="E143" s="152">
        <f>LEN(D143)</f>
        <v>787</v>
      </c>
      <c r="F143" s="166" t="s">
        <v>1208</v>
      </c>
      <c r="G143" s="152">
        <f>LEN(F143)</f>
        <v>774</v>
      </c>
      <c r="H143" s="146" t="s">
        <v>733</v>
      </c>
      <c r="I143" s="152" t="s">
        <v>19</v>
      </c>
      <c r="J143" s="152" t="s">
        <v>19</v>
      </c>
      <c r="K143" s="152" t="s">
        <v>842</v>
      </c>
      <c r="L143" s="151" t="s">
        <v>1274</v>
      </c>
      <c r="M143" s="222" t="s">
        <v>875</v>
      </c>
      <c r="N143" s="150" t="s">
        <v>1275</v>
      </c>
      <c r="O143" s="30"/>
      <c r="P143" s="10"/>
      <c r="Q143" s="274">
        <f>'Additional information'!$D$18</f>
        <v>0.91</v>
      </c>
      <c r="R143" s="141"/>
      <c r="T143" s="461" t="s">
        <v>26</v>
      </c>
      <c r="U143" s="148"/>
      <c r="X143" s="277">
        <v>17.791135787963867</v>
      </c>
      <c r="Y143" s="277">
        <f t="shared" si="16"/>
        <v>16.18993356704712</v>
      </c>
      <c r="Z143" s="141">
        <f t="shared" si="17"/>
        <v>16.18993356704712</v>
      </c>
    </row>
    <row r="144" spans="1:26" s="147" customFormat="1" ht="238" customHeight="1">
      <c r="A144" s="14">
        <v>45</v>
      </c>
      <c r="B144" s="238" t="s">
        <v>772</v>
      </c>
      <c r="C144" s="17" t="s">
        <v>773</v>
      </c>
      <c r="D144" s="22" t="s">
        <v>1256</v>
      </c>
      <c r="E144" s="20">
        <f>LEN(D144)</f>
        <v>285</v>
      </c>
      <c r="F144" s="588" t="s">
        <v>1136</v>
      </c>
      <c r="G144" s="20">
        <f>LEN(F144)</f>
        <v>262</v>
      </c>
      <c r="H144" s="403" t="s">
        <v>733</v>
      </c>
      <c r="I144" s="20" t="s">
        <v>19</v>
      </c>
      <c r="J144" s="20" t="s">
        <v>19</v>
      </c>
      <c r="K144" s="20" t="s">
        <v>738</v>
      </c>
      <c r="L144" s="31" t="s">
        <v>1276</v>
      </c>
      <c r="M144" s="81" t="s">
        <v>876</v>
      </c>
      <c r="N144" s="124" t="s">
        <v>1277</v>
      </c>
      <c r="O144" s="63"/>
      <c r="P144" s="10"/>
      <c r="Q144" s="279">
        <f>'Additional information'!$D$18</f>
        <v>0.91</v>
      </c>
      <c r="R144" s="141"/>
      <c r="T144" s="149" t="s">
        <v>18</v>
      </c>
      <c r="U144" s="148"/>
      <c r="X144" s="278">
        <v>18.086816787719727</v>
      </c>
      <c r="Y144" s="278">
        <f t="shared" ref="Y144:Y175" si="18">IF(X144="","",X144*Q144)</f>
        <v>16.459003276824951</v>
      </c>
      <c r="Z144" s="141" t="str">
        <f t="shared" si="17"/>
        <v/>
      </c>
    </row>
    <row r="145" spans="1:26" s="147" customFormat="1">
      <c r="A145" s="46"/>
      <c r="B145" s="184"/>
      <c r="C145" s="100"/>
      <c r="D145" s="80"/>
      <c r="E145" s="48"/>
      <c r="G145" s="48"/>
      <c r="H145" s="101"/>
      <c r="I145" s="48"/>
      <c r="J145" s="48"/>
      <c r="K145" s="48"/>
      <c r="L145" s="85"/>
      <c r="M145" s="85"/>
      <c r="N145" s="85"/>
      <c r="O145" s="87"/>
      <c r="P145" s="10"/>
      <c r="Q145" s="279">
        <f>'Additional information'!$D$18</f>
        <v>0.91</v>
      </c>
      <c r="R145" s="141"/>
      <c r="T145" s="149"/>
      <c r="U145" s="148"/>
      <c r="X145" s="278"/>
      <c r="Y145" s="278" t="str">
        <f t="shared" si="18"/>
        <v/>
      </c>
      <c r="Z145" s="141" t="str">
        <f t="shared" si="17"/>
        <v/>
      </c>
    </row>
    <row r="146" spans="1:26" s="147" customFormat="1" ht="153">
      <c r="A146" s="46">
        <f>A144+1</f>
        <v>46</v>
      </c>
      <c r="B146" s="186" t="s">
        <v>253</v>
      </c>
      <c r="C146" s="146" t="s">
        <v>253</v>
      </c>
      <c r="D146" s="167" t="s">
        <v>743</v>
      </c>
      <c r="E146" s="152">
        <f>LEN(D146)</f>
        <v>167</v>
      </c>
      <c r="F146" s="571" t="s">
        <v>1137</v>
      </c>
      <c r="G146" s="152">
        <f>LEN(F146)</f>
        <v>135</v>
      </c>
      <c r="H146" s="161" t="s">
        <v>30</v>
      </c>
      <c r="I146" s="152" t="s">
        <v>19</v>
      </c>
      <c r="J146" s="152" t="s">
        <v>19</v>
      </c>
      <c r="K146" s="152" t="s">
        <v>31</v>
      </c>
      <c r="L146" s="151" t="s">
        <v>254</v>
      </c>
      <c r="M146" s="222" t="s">
        <v>19</v>
      </c>
      <c r="N146" s="151" t="s">
        <v>1289</v>
      </c>
      <c r="O146" s="44"/>
      <c r="P146" s="10"/>
      <c r="Q146" s="274">
        <f>'Additional information'!$D$18</f>
        <v>0.91</v>
      </c>
      <c r="R146" s="141"/>
      <c r="T146" s="461" t="s">
        <v>26</v>
      </c>
      <c r="U146" s="148"/>
      <c r="X146" s="277">
        <v>10.37455940246582</v>
      </c>
      <c r="Y146" s="277">
        <f t="shared" si="18"/>
        <v>9.4408490562438967</v>
      </c>
      <c r="Z146" s="141">
        <f t="shared" si="17"/>
        <v>9.4408490562438967</v>
      </c>
    </row>
    <row r="147" spans="1:26" s="147" customFormat="1" ht="323">
      <c r="A147" s="113">
        <f>A146+1</f>
        <v>47</v>
      </c>
      <c r="B147" s="239" t="s">
        <v>255</v>
      </c>
      <c r="C147" s="137" t="s">
        <v>774</v>
      </c>
      <c r="D147" s="167" t="s">
        <v>934</v>
      </c>
      <c r="E147" s="152">
        <f>LEN(D147)</f>
        <v>662</v>
      </c>
      <c r="F147" s="571" t="s">
        <v>1209</v>
      </c>
      <c r="G147" s="152">
        <f>LEN(F147)</f>
        <v>596</v>
      </c>
      <c r="H147" s="146" t="s">
        <v>733</v>
      </c>
      <c r="I147" s="152" t="s">
        <v>19</v>
      </c>
      <c r="J147" s="152" t="s">
        <v>19</v>
      </c>
      <c r="K147" s="152" t="s">
        <v>740</v>
      </c>
      <c r="L147" s="433" t="s">
        <v>742</v>
      </c>
      <c r="M147" s="222" t="s">
        <v>877</v>
      </c>
      <c r="N147" s="167" t="s">
        <v>741</v>
      </c>
      <c r="O147" s="61"/>
      <c r="P147" s="10"/>
      <c r="Q147" s="274">
        <f>'Additional information'!$D$18</f>
        <v>0.91</v>
      </c>
      <c r="R147" s="141"/>
      <c r="T147" s="461" t="s">
        <v>26</v>
      </c>
      <c r="U147" s="148"/>
      <c r="X147" s="277">
        <v>19.616762161254883</v>
      </c>
      <c r="Y147" s="277">
        <f t="shared" si="18"/>
        <v>17.851253566741946</v>
      </c>
      <c r="Z147" s="141">
        <f t="shared" si="17"/>
        <v>17.851253566741946</v>
      </c>
    </row>
    <row r="148" spans="1:26" s="147" customFormat="1" ht="238">
      <c r="A148" s="14"/>
      <c r="B148" s="240" t="s">
        <v>256</v>
      </c>
      <c r="C148" s="247" t="s">
        <v>257</v>
      </c>
      <c r="D148" s="15" t="s">
        <v>898</v>
      </c>
      <c r="E148" s="24">
        <f>LEN(D148)</f>
        <v>241</v>
      </c>
      <c r="F148" s="584" t="s">
        <v>1138</v>
      </c>
      <c r="G148" s="24">
        <f>LEN(F148)</f>
        <v>197</v>
      </c>
      <c r="H148" s="28" t="s">
        <v>152</v>
      </c>
      <c r="I148" s="24" t="s">
        <v>19</v>
      </c>
      <c r="J148" s="24" t="s">
        <v>19</v>
      </c>
      <c r="K148" s="24" t="s">
        <v>843</v>
      </c>
      <c r="L148" s="29" t="s">
        <v>258</v>
      </c>
      <c r="M148" s="81" t="s">
        <v>878</v>
      </c>
      <c r="N148" s="64" t="s">
        <v>739</v>
      </c>
      <c r="O148" s="64"/>
      <c r="P148" s="127"/>
      <c r="Q148" s="279">
        <f>'Additional information'!$D$18</f>
        <v>0.91</v>
      </c>
      <c r="R148" s="141"/>
      <c r="T148" s="149" t="s">
        <v>18</v>
      </c>
      <c r="U148" s="148"/>
      <c r="X148" s="278">
        <v>7.2497549057006836</v>
      </c>
      <c r="Y148" s="278">
        <f t="shared" si="18"/>
        <v>6.5972769641876221</v>
      </c>
      <c r="Z148" s="141" t="str">
        <f t="shared" si="17"/>
        <v/>
      </c>
    </row>
    <row r="149" spans="1:26" s="147" customFormat="1" ht="17" thickBot="1">
      <c r="A149" s="46"/>
      <c r="B149" s="184"/>
      <c r="C149" s="100"/>
      <c r="D149" s="80"/>
      <c r="E149" s="48"/>
      <c r="F149" s="48"/>
      <c r="G149" s="48"/>
      <c r="H149" s="101"/>
      <c r="I149" s="48"/>
      <c r="J149" s="48"/>
      <c r="K149" s="48"/>
      <c r="L149" s="85"/>
      <c r="M149" s="85"/>
      <c r="N149" s="85"/>
      <c r="O149" s="87"/>
      <c r="P149" s="51"/>
      <c r="Q149" s="279">
        <f>'Additional information'!$D$18</f>
        <v>0.91</v>
      </c>
      <c r="R149" s="141"/>
      <c r="T149" s="149"/>
      <c r="U149" s="148"/>
      <c r="X149" s="278"/>
      <c r="Y149" s="278" t="str">
        <f t="shared" si="18"/>
        <v/>
      </c>
      <c r="Z149" s="141" t="str">
        <f t="shared" si="17"/>
        <v/>
      </c>
    </row>
    <row r="150" spans="1:26" s="452" customFormat="1" ht="17" thickBot="1">
      <c r="A150" s="616" t="s">
        <v>259</v>
      </c>
      <c r="B150" s="617"/>
      <c r="C150" s="617"/>
      <c r="D150" s="617"/>
      <c r="E150" s="617"/>
      <c r="F150" s="617"/>
      <c r="G150" s="617"/>
      <c r="H150" s="617"/>
      <c r="I150" s="617"/>
      <c r="J150" s="617"/>
      <c r="K150" s="617"/>
      <c r="L150" s="617"/>
      <c r="M150" s="617"/>
      <c r="N150" s="617"/>
      <c r="O150" s="617"/>
      <c r="P150" s="618"/>
      <c r="Q150" s="274"/>
      <c r="R150" s="463"/>
      <c r="T150" s="461"/>
      <c r="U150" s="464"/>
      <c r="X150" s="277"/>
      <c r="Y150" s="277" t="str">
        <f t="shared" si="18"/>
        <v/>
      </c>
      <c r="Z150" s="463" t="str">
        <f t="shared" si="17"/>
        <v/>
      </c>
    </row>
    <row r="151" spans="1:26" s="147" customFormat="1" ht="306">
      <c r="A151" s="99">
        <f>A147+1</f>
        <v>48</v>
      </c>
      <c r="B151" s="237" t="s">
        <v>260</v>
      </c>
      <c r="C151" s="146" t="s">
        <v>260</v>
      </c>
      <c r="D151" s="170" t="s">
        <v>952</v>
      </c>
      <c r="E151" s="144">
        <f>LEN(D151)</f>
        <v>503</v>
      </c>
      <c r="F151" s="170" t="s">
        <v>1139</v>
      </c>
      <c r="G151" s="144">
        <f>LEN(F151)</f>
        <v>491</v>
      </c>
      <c r="H151" s="154" t="s">
        <v>30</v>
      </c>
      <c r="I151" s="144" t="s">
        <v>19</v>
      </c>
      <c r="J151" s="144" t="s">
        <v>261</v>
      </c>
      <c r="K151" s="146" t="s">
        <v>844</v>
      </c>
      <c r="L151" s="143" t="s">
        <v>1278</v>
      </c>
      <c r="M151" s="222" t="s">
        <v>19</v>
      </c>
      <c r="N151" s="143" t="s">
        <v>1279</v>
      </c>
      <c r="O151" s="87"/>
      <c r="P151" s="9"/>
      <c r="Q151" s="274">
        <f>'Additional information'!$D$18</f>
        <v>0.91</v>
      </c>
      <c r="R151" s="141"/>
      <c r="T151" s="461" t="s">
        <v>26</v>
      </c>
      <c r="U151" s="148"/>
      <c r="X151" s="277">
        <v>12.992362976074219</v>
      </c>
      <c r="Y151" s="277">
        <f t="shared" si="18"/>
        <v>11.82305030822754</v>
      </c>
      <c r="Z151" s="141">
        <f t="shared" si="17"/>
        <v>11.82305030822754</v>
      </c>
    </row>
    <row r="152" spans="1:26" s="147" customFormat="1">
      <c r="A152" s="99"/>
      <c r="B152" s="265"/>
      <c r="C152" s="100"/>
      <c r="D152" s="108"/>
      <c r="E152" s="106"/>
      <c r="F152" s="106"/>
      <c r="G152" s="106"/>
      <c r="H152" s="109"/>
      <c r="I152" s="106"/>
      <c r="J152" s="106"/>
      <c r="K152" s="100"/>
      <c r="L152" s="87"/>
      <c r="M152" s="85"/>
      <c r="N152" s="87"/>
      <c r="O152" s="87"/>
      <c r="P152" s="51"/>
      <c r="Q152" s="279">
        <f>'Additional information'!$D$18</f>
        <v>0.91</v>
      </c>
      <c r="R152" s="141"/>
      <c r="T152" s="149"/>
      <c r="U152" s="148"/>
      <c r="X152" s="278"/>
      <c r="Y152" s="278" t="str">
        <f t="shared" si="18"/>
        <v/>
      </c>
      <c r="Z152" s="141" t="str">
        <f t="shared" si="17"/>
        <v/>
      </c>
    </row>
    <row r="153" spans="1:26" s="147" customFormat="1" ht="153">
      <c r="A153" s="46">
        <f>A151+1</f>
        <v>49</v>
      </c>
      <c r="B153" s="168" t="s">
        <v>262</v>
      </c>
      <c r="C153" s="146" t="s">
        <v>262</v>
      </c>
      <c r="D153" s="167" t="s">
        <v>909</v>
      </c>
      <c r="E153" s="152">
        <f>LEN(D153)</f>
        <v>166</v>
      </c>
      <c r="F153" s="571" t="s">
        <v>1140</v>
      </c>
      <c r="G153" s="152">
        <f>LEN(F153)</f>
        <v>140</v>
      </c>
      <c r="H153" s="161" t="s">
        <v>30</v>
      </c>
      <c r="I153" s="152" t="s">
        <v>19</v>
      </c>
      <c r="J153" s="152" t="s">
        <v>19</v>
      </c>
      <c r="K153" s="152" t="s">
        <v>31</v>
      </c>
      <c r="L153" s="151" t="s">
        <v>845</v>
      </c>
      <c r="M153" s="222" t="s">
        <v>19</v>
      </c>
      <c r="N153" s="151" t="s">
        <v>1280</v>
      </c>
      <c r="O153" s="85"/>
      <c r="P153" s="10"/>
      <c r="Q153" s="274">
        <f>'Additional information'!$D$18</f>
        <v>0.91</v>
      </c>
      <c r="R153" s="141"/>
      <c r="T153" s="461" t="s">
        <v>26</v>
      </c>
      <c r="U153" s="148"/>
      <c r="X153" s="277">
        <v>8.6295709609985352</v>
      </c>
      <c r="Y153" s="277">
        <f t="shared" si="18"/>
        <v>7.8529095745086677</v>
      </c>
      <c r="Z153" s="141">
        <f t="shared" si="17"/>
        <v>7.8529095745086677</v>
      </c>
    </row>
    <row r="154" spans="1:26" s="147" customFormat="1" ht="306">
      <c r="A154" s="46">
        <f>A153+1</f>
        <v>50</v>
      </c>
      <c r="B154" s="186" t="s">
        <v>263</v>
      </c>
      <c r="C154" s="146" t="s">
        <v>1297</v>
      </c>
      <c r="D154" s="430" t="s">
        <v>1255</v>
      </c>
      <c r="E154" s="152">
        <f>LEN(D154)</f>
        <v>751</v>
      </c>
      <c r="F154" s="602" t="s">
        <v>1210</v>
      </c>
      <c r="G154" s="152">
        <f>LEN(F154)</f>
        <v>636</v>
      </c>
      <c r="H154" s="146" t="s">
        <v>733</v>
      </c>
      <c r="I154" s="152" t="s">
        <v>19</v>
      </c>
      <c r="J154" s="152" t="s">
        <v>19</v>
      </c>
      <c r="K154" s="152" t="s">
        <v>744</v>
      </c>
      <c r="L154" s="151" t="s">
        <v>745</v>
      </c>
      <c r="M154" s="222" t="s">
        <v>879</v>
      </c>
      <c r="N154" s="151" t="s">
        <v>746</v>
      </c>
      <c r="O154" s="85"/>
      <c r="P154" s="10"/>
      <c r="Q154" s="274">
        <f>'Additional information'!$D$18</f>
        <v>0.91</v>
      </c>
      <c r="R154" s="141"/>
      <c r="T154" s="461" t="s">
        <v>26</v>
      </c>
      <c r="U154" s="148"/>
      <c r="X154" s="277">
        <v>18.256172180175781</v>
      </c>
      <c r="Y154" s="277">
        <f t="shared" si="18"/>
        <v>16.613116683959962</v>
      </c>
      <c r="Z154" s="141">
        <f t="shared" si="17"/>
        <v>16.613116683959962</v>
      </c>
    </row>
    <row r="155" spans="1:26" s="147" customFormat="1">
      <c r="A155" s="46"/>
      <c r="B155" s="184"/>
      <c r="C155" s="100"/>
      <c r="D155" s="129"/>
      <c r="E155" s="48"/>
      <c r="F155" s="48"/>
      <c r="G155" s="48"/>
      <c r="H155" s="49"/>
      <c r="I155" s="48"/>
      <c r="J155" s="48"/>
      <c r="K155" s="48"/>
      <c r="L155" s="85"/>
      <c r="M155" s="85"/>
      <c r="N155" s="85"/>
      <c r="O155" s="85"/>
      <c r="P155" s="10"/>
      <c r="Q155" s="279">
        <f>'Additional information'!$D$18</f>
        <v>0.91</v>
      </c>
      <c r="R155" s="141"/>
      <c r="T155" s="149"/>
      <c r="U155" s="148"/>
      <c r="X155" s="278"/>
      <c r="Y155" s="278" t="str">
        <f t="shared" si="18"/>
        <v/>
      </c>
      <c r="Z155" s="141" t="str">
        <f t="shared" si="17"/>
        <v/>
      </c>
    </row>
    <row r="156" spans="1:26" s="147" customFormat="1" ht="204">
      <c r="A156" s="46">
        <f>A154+1</f>
        <v>51</v>
      </c>
      <c r="B156" s="186" t="s">
        <v>264</v>
      </c>
      <c r="C156" s="146" t="s">
        <v>264</v>
      </c>
      <c r="D156" s="167" t="s">
        <v>899</v>
      </c>
      <c r="E156" s="152">
        <f>LEN(D156)</f>
        <v>341</v>
      </c>
      <c r="F156" s="571" t="s">
        <v>1141</v>
      </c>
      <c r="G156" s="152">
        <f>LEN(F156)</f>
        <v>306</v>
      </c>
      <c r="H156" s="161" t="s">
        <v>30</v>
      </c>
      <c r="I156" s="152" t="s">
        <v>19</v>
      </c>
      <c r="J156" s="152" t="s">
        <v>19</v>
      </c>
      <c r="K156" s="152" t="s">
        <v>31</v>
      </c>
      <c r="L156" s="176" t="s">
        <v>265</v>
      </c>
      <c r="M156" s="222" t="s">
        <v>19</v>
      </c>
      <c r="N156" s="176" t="s">
        <v>266</v>
      </c>
      <c r="O156" s="60"/>
      <c r="P156" s="10"/>
      <c r="Q156" s="274">
        <f>'Additional information'!$D$18</f>
        <v>0.91</v>
      </c>
      <c r="R156" s="141"/>
      <c r="T156" s="461" t="s">
        <v>26</v>
      </c>
      <c r="U156" s="148"/>
      <c r="X156" s="277">
        <v>15.456279754638672</v>
      </c>
      <c r="Y156" s="277">
        <f t="shared" si="18"/>
        <v>14.065214576721193</v>
      </c>
      <c r="Z156" s="141">
        <f t="shared" si="17"/>
        <v>14.065214576721193</v>
      </c>
    </row>
    <row r="157" spans="1:26" s="147" customFormat="1" ht="17" thickBot="1">
      <c r="A157" s="46"/>
      <c r="B157" s="184"/>
      <c r="C157" s="100"/>
      <c r="D157" s="80"/>
      <c r="E157" s="48"/>
      <c r="F157" s="48"/>
      <c r="G157" s="48"/>
      <c r="H157" s="101"/>
      <c r="I157" s="48"/>
      <c r="J157" s="48"/>
      <c r="K157" s="48"/>
      <c r="L157" s="60"/>
      <c r="M157" s="85"/>
      <c r="N157" s="60"/>
      <c r="O157" s="60"/>
      <c r="P157" s="10"/>
      <c r="Q157" s="279">
        <f>'Additional information'!$D$18</f>
        <v>0.91</v>
      </c>
      <c r="R157" s="141"/>
      <c r="T157" s="149"/>
      <c r="U157" s="148"/>
      <c r="X157" s="278"/>
      <c r="Y157" s="278" t="str">
        <f t="shared" si="18"/>
        <v/>
      </c>
      <c r="Z157" s="141" t="str">
        <f t="shared" si="17"/>
        <v/>
      </c>
    </row>
    <row r="158" spans="1:26" s="452" customFormat="1" ht="17" thickBot="1">
      <c r="A158" s="616" t="s">
        <v>267</v>
      </c>
      <c r="B158" s="617"/>
      <c r="C158" s="617"/>
      <c r="D158" s="617"/>
      <c r="E158" s="617"/>
      <c r="F158" s="617"/>
      <c r="G158" s="617"/>
      <c r="H158" s="617"/>
      <c r="I158" s="617"/>
      <c r="J158" s="617"/>
      <c r="K158" s="617"/>
      <c r="L158" s="617"/>
      <c r="M158" s="617"/>
      <c r="N158" s="617"/>
      <c r="O158" s="617"/>
      <c r="P158" s="618"/>
      <c r="Q158" s="274"/>
      <c r="R158" s="463"/>
      <c r="T158" s="461"/>
      <c r="U158" s="464"/>
      <c r="X158" s="277"/>
      <c r="Y158" s="277" t="str">
        <f t="shared" si="18"/>
        <v/>
      </c>
      <c r="Z158" s="463" t="str">
        <f t="shared" si="17"/>
        <v/>
      </c>
    </row>
    <row r="159" spans="1:26" s="147" customFormat="1" ht="120" customHeight="1">
      <c r="A159" s="99">
        <f>A156+1</f>
        <v>52</v>
      </c>
      <c r="B159" s="237" t="s">
        <v>268</v>
      </c>
      <c r="C159" s="146" t="s">
        <v>268</v>
      </c>
      <c r="D159" s="437" t="s">
        <v>747</v>
      </c>
      <c r="E159" s="144">
        <f>LEN(D159)</f>
        <v>206</v>
      </c>
      <c r="F159" s="587" t="s">
        <v>1142</v>
      </c>
      <c r="G159" s="144">
        <f>LEN(F159)</f>
        <v>170</v>
      </c>
      <c r="H159" s="144" t="s">
        <v>30</v>
      </c>
      <c r="I159" s="144" t="s">
        <v>19</v>
      </c>
      <c r="J159" s="144" t="s">
        <v>846</v>
      </c>
      <c r="K159" s="152" t="s">
        <v>31</v>
      </c>
      <c r="L159" s="143" t="s">
        <v>269</v>
      </c>
      <c r="M159" s="222" t="s">
        <v>19</v>
      </c>
      <c r="N159" s="150" t="s">
        <v>270</v>
      </c>
      <c r="O159" s="175"/>
      <c r="P159" s="9"/>
      <c r="Q159" s="274">
        <f>'Additional information'!$D$19</f>
        <v>0.05</v>
      </c>
      <c r="R159" s="141"/>
      <c r="T159" s="461" t="s">
        <v>26</v>
      </c>
      <c r="U159" s="148"/>
      <c r="X159" s="277">
        <v>2.4801323413848877</v>
      </c>
      <c r="Y159" s="277">
        <f t="shared" si="18"/>
        <v>0.12400661706924439</v>
      </c>
      <c r="Z159" s="141">
        <f t="shared" si="17"/>
        <v>0.12400661706924439</v>
      </c>
    </row>
    <row r="160" spans="1:26" s="147" customFormat="1">
      <c r="A160" s="46"/>
      <c r="B160" s="184"/>
      <c r="C160" s="100"/>
      <c r="D160" s="80"/>
      <c r="E160" s="48"/>
      <c r="F160" s="80"/>
      <c r="G160" s="48"/>
      <c r="H160" s="101"/>
      <c r="I160" s="48"/>
      <c r="J160" s="48"/>
      <c r="K160" s="48"/>
      <c r="L160" s="60"/>
      <c r="M160" s="92"/>
      <c r="N160" s="60"/>
      <c r="O160" s="60"/>
      <c r="P160" s="10"/>
      <c r="Q160" s="279">
        <f>'Additional information'!$D$19</f>
        <v>0.05</v>
      </c>
      <c r="R160" s="141"/>
      <c r="T160" s="149"/>
      <c r="U160" s="148"/>
      <c r="X160" s="278"/>
      <c r="Y160" s="278" t="str">
        <f t="shared" si="18"/>
        <v/>
      </c>
      <c r="Z160" s="141" t="str">
        <f t="shared" si="17"/>
        <v/>
      </c>
    </row>
    <row r="161" spans="1:26" s="147" customFormat="1" ht="170">
      <c r="A161" s="99">
        <f>A159+1</f>
        <v>53</v>
      </c>
      <c r="B161" s="237" t="s">
        <v>271</v>
      </c>
      <c r="C161" s="438" t="s">
        <v>1298</v>
      </c>
      <c r="D161" s="430" t="s">
        <v>854</v>
      </c>
      <c r="E161" s="144">
        <f>LEN(D161)</f>
        <v>282</v>
      </c>
      <c r="F161" s="587" t="s">
        <v>1143</v>
      </c>
      <c r="G161" s="144">
        <f>LEN(F161)</f>
        <v>288</v>
      </c>
      <c r="H161" s="146" t="s">
        <v>152</v>
      </c>
      <c r="I161" s="144" t="s">
        <v>19</v>
      </c>
      <c r="J161" s="144" t="s">
        <v>19</v>
      </c>
      <c r="K161" s="144" t="s">
        <v>272</v>
      </c>
      <c r="L161" s="143" t="s">
        <v>273</v>
      </c>
      <c r="M161" s="222" t="s">
        <v>880</v>
      </c>
      <c r="N161" s="143" t="s">
        <v>274</v>
      </c>
      <c r="O161" s="87"/>
      <c r="P161" s="51"/>
      <c r="Q161" s="274">
        <f>'Additional information'!$D$19</f>
        <v>0.05</v>
      </c>
      <c r="R161" s="141"/>
      <c r="T161" s="461" t="s">
        <v>26</v>
      </c>
      <c r="U161" s="148"/>
      <c r="X161" s="277">
        <v>12.71689510345459</v>
      </c>
      <c r="Y161" s="277">
        <f t="shared" si="18"/>
        <v>0.63584475517272954</v>
      </c>
      <c r="Z161" s="141">
        <f t="shared" si="17"/>
        <v>0.63584475517272954</v>
      </c>
    </row>
    <row r="162" spans="1:26" s="147" customFormat="1">
      <c r="A162" s="99"/>
      <c r="B162" s="265"/>
      <c r="C162" s="100"/>
      <c r="D162" s="366"/>
      <c r="E162" s="106"/>
      <c r="F162" s="479"/>
      <c r="G162" s="106"/>
      <c r="H162" s="100"/>
      <c r="I162" s="106"/>
      <c r="J162" s="106"/>
      <c r="K162" s="106"/>
      <c r="L162" s="87"/>
      <c r="M162" s="92"/>
      <c r="N162" s="87"/>
      <c r="O162" s="87"/>
      <c r="P162" s="51"/>
      <c r="Q162" s="279">
        <f>'Additional information'!$D$19</f>
        <v>0.05</v>
      </c>
      <c r="R162" s="141"/>
      <c r="T162" s="149"/>
      <c r="U162" s="148"/>
      <c r="X162" s="278"/>
      <c r="Y162" s="278" t="str">
        <f t="shared" si="18"/>
        <v/>
      </c>
      <c r="Z162" s="141" t="str">
        <f t="shared" si="17"/>
        <v/>
      </c>
    </row>
    <row r="163" spans="1:26" ht="204">
      <c r="A163" s="99">
        <f>A161+1</f>
        <v>54</v>
      </c>
      <c r="B163" s="439" t="s">
        <v>275</v>
      </c>
      <c r="C163" s="440" t="s">
        <v>275</v>
      </c>
      <c r="D163" s="430" t="s">
        <v>861</v>
      </c>
      <c r="E163" s="144">
        <f>LEN(D163)</f>
        <v>302</v>
      </c>
      <c r="F163" s="571" t="s">
        <v>1144</v>
      </c>
      <c r="G163" s="144">
        <f>LEN(F163)</f>
        <v>278</v>
      </c>
      <c r="H163" s="440" t="s">
        <v>30</v>
      </c>
      <c r="I163" s="440" t="s">
        <v>19</v>
      </c>
      <c r="J163" s="440" t="s">
        <v>19</v>
      </c>
      <c r="K163" s="440" t="s">
        <v>31</v>
      </c>
      <c r="L163" s="441" t="s">
        <v>1281</v>
      </c>
      <c r="M163" s="222" t="s">
        <v>19</v>
      </c>
      <c r="N163" s="441" t="s">
        <v>1282</v>
      </c>
      <c r="O163" s="92"/>
      <c r="P163" s="10"/>
      <c r="Q163" s="274">
        <f>'Additional information'!$D$19</f>
        <v>0.05</v>
      </c>
      <c r="R163" s="141"/>
      <c r="T163" s="461" t="s">
        <v>26</v>
      </c>
      <c r="X163" s="277">
        <v>10.51750373840332</v>
      </c>
      <c r="Y163" s="277">
        <f t="shared" si="18"/>
        <v>0.52587518692016599</v>
      </c>
      <c r="Z163" s="141">
        <f t="shared" si="17"/>
        <v>0.52587518692016599</v>
      </c>
    </row>
    <row r="164" spans="1:26">
      <c r="A164" s="99"/>
      <c r="B164" s="174"/>
      <c r="C164" s="172"/>
      <c r="D164" s="173"/>
      <c r="E164" s="106"/>
      <c r="F164" s="173"/>
      <c r="G164" s="106"/>
      <c r="H164" s="172"/>
      <c r="I164" s="172"/>
      <c r="J164" s="172"/>
      <c r="K164" s="172"/>
      <c r="L164" s="92"/>
      <c r="M164" s="92"/>
      <c r="N164" s="171"/>
      <c r="O164" s="92"/>
      <c r="P164" s="10"/>
      <c r="Q164" s="279">
        <f>'Additional information'!$D$19</f>
        <v>0.05</v>
      </c>
      <c r="R164" s="141"/>
      <c r="T164" s="149"/>
      <c r="X164" s="278"/>
      <c r="Y164" s="278" t="str">
        <f t="shared" si="18"/>
        <v/>
      </c>
      <c r="Z164" s="141" t="str">
        <f t="shared" si="17"/>
        <v/>
      </c>
    </row>
    <row r="165" spans="1:26" s="147" customFormat="1" ht="153">
      <c r="A165" s="99">
        <f>A163+1</f>
        <v>55</v>
      </c>
      <c r="B165" s="237" t="s">
        <v>276</v>
      </c>
      <c r="C165" s="146" t="s">
        <v>276</v>
      </c>
      <c r="D165" s="430" t="s">
        <v>1254</v>
      </c>
      <c r="E165" s="144">
        <f>LEN(D165)</f>
        <v>169</v>
      </c>
      <c r="F165" s="578" t="s">
        <v>1318</v>
      </c>
      <c r="G165" s="144">
        <f>LEN(F165)</f>
        <v>145</v>
      </c>
      <c r="H165" s="154" t="s">
        <v>30</v>
      </c>
      <c r="I165" s="144" t="s">
        <v>19</v>
      </c>
      <c r="J165" s="144" t="s">
        <v>19</v>
      </c>
      <c r="K165" s="144" t="s">
        <v>31</v>
      </c>
      <c r="L165" s="143" t="s">
        <v>277</v>
      </c>
      <c r="M165" s="222" t="s">
        <v>19</v>
      </c>
      <c r="N165" s="151" t="s">
        <v>1283</v>
      </c>
      <c r="O165" s="44"/>
      <c r="P165" s="10"/>
      <c r="Q165" s="274">
        <f>'Additional information'!$D$19</f>
        <v>0.05</v>
      </c>
      <c r="R165" s="141"/>
      <c r="T165" s="461" t="s">
        <v>26</v>
      </c>
      <c r="U165" s="148"/>
      <c r="X165" s="277">
        <v>6.4824962615966797</v>
      </c>
      <c r="Y165" s="277">
        <f t="shared" si="18"/>
        <v>0.32412481307983398</v>
      </c>
      <c r="Z165" s="141">
        <f t="shared" si="17"/>
        <v>0.32412481307983398</v>
      </c>
    </row>
    <row r="166" spans="1:26" s="147" customFormat="1" ht="289">
      <c r="A166" s="46">
        <f>A165+1</f>
        <v>56</v>
      </c>
      <c r="B166" s="237" t="s">
        <v>278</v>
      </c>
      <c r="C166" s="146" t="s">
        <v>771</v>
      </c>
      <c r="D166" s="430" t="s">
        <v>1253</v>
      </c>
      <c r="E166" s="152">
        <f>LEN(D166)</f>
        <v>762</v>
      </c>
      <c r="F166" s="578" t="s">
        <v>1319</v>
      </c>
      <c r="G166" s="152">
        <f>LEN(F166)</f>
        <v>728</v>
      </c>
      <c r="H166" s="146" t="s">
        <v>733</v>
      </c>
      <c r="I166" s="152" t="s">
        <v>19</v>
      </c>
      <c r="J166" s="152" t="s">
        <v>19</v>
      </c>
      <c r="K166" s="152" t="s">
        <v>744</v>
      </c>
      <c r="L166" s="442" t="s">
        <v>748</v>
      </c>
      <c r="M166" s="222" t="s">
        <v>881</v>
      </c>
      <c r="N166" s="151" t="s">
        <v>1290</v>
      </c>
      <c r="O166" s="61"/>
      <c r="P166" s="10"/>
      <c r="Q166" s="274">
        <f>'Additional information'!$D$19</f>
        <v>0.05</v>
      </c>
      <c r="R166" s="141"/>
      <c r="T166" s="461" t="s">
        <v>26</v>
      </c>
      <c r="U166" s="148"/>
      <c r="X166" s="277">
        <v>23.642156600952148</v>
      </c>
      <c r="Y166" s="277">
        <f t="shared" si="18"/>
        <v>1.1821078300476076</v>
      </c>
      <c r="Z166" s="141">
        <f t="shared" si="17"/>
        <v>1.1821078300476076</v>
      </c>
    </row>
    <row r="167" spans="1:26" s="147" customFormat="1" ht="255">
      <c r="A167" s="14">
        <f>A166+1</f>
        <v>57</v>
      </c>
      <c r="B167" s="238" t="s">
        <v>279</v>
      </c>
      <c r="C167" s="21" t="s">
        <v>778</v>
      </c>
      <c r="D167" s="404" t="s">
        <v>910</v>
      </c>
      <c r="E167" s="20">
        <f>LEN(D167)</f>
        <v>334</v>
      </c>
      <c r="F167" s="601" t="s">
        <v>1215</v>
      </c>
      <c r="G167" s="20">
        <f>LEN(F167)</f>
        <v>374</v>
      </c>
      <c r="H167" s="21" t="s">
        <v>191</v>
      </c>
      <c r="I167" s="20" t="s">
        <v>19</v>
      </c>
      <c r="J167" s="20" t="s">
        <v>847</v>
      </c>
      <c r="K167" s="20" t="s">
        <v>750</v>
      </c>
      <c r="L167" s="31" t="s">
        <v>749</v>
      </c>
      <c r="M167" s="81" t="s">
        <v>882</v>
      </c>
      <c r="N167" s="31" t="s">
        <v>848</v>
      </c>
      <c r="O167" s="31"/>
      <c r="P167" s="411"/>
      <c r="Q167" s="279">
        <f>'Additional information'!$D$19</f>
        <v>0.05</v>
      </c>
      <c r="R167" s="141"/>
      <c r="T167" s="149" t="s">
        <v>18</v>
      </c>
      <c r="U167" s="148"/>
      <c r="X167" s="278">
        <v>19.200000762939453</v>
      </c>
      <c r="Y167" s="278">
        <f t="shared" si="18"/>
        <v>0.96000003814697266</v>
      </c>
      <c r="Z167" s="141" t="str">
        <f t="shared" si="17"/>
        <v/>
      </c>
    </row>
    <row r="168" spans="1:26" s="147" customFormat="1" ht="17" thickBot="1">
      <c r="A168" s="99"/>
      <c r="B168" s="265"/>
      <c r="C168" s="100"/>
      <c r="D168" s="173"/>
      <c r="E168" s="106"/>
      <c r="F168" s="106"/>
      <c r="G168" s="106"/>
      <c r="H168" s="109"/>
      <c r="I168" s="106"/>
      <c r="J168" s="106"/>
      <c r="K168" s="106"/>
      <c r="L168" s="87"/>
      <c r="M168" s="92"/>
      <c r="N168" s="87"/>
      <c r="O168" s="87"/>
      <c r="P168" s="51"/>
      <c r="Q168" s="279">
        <f>'Additional information'!$D$19</f>
        <v>0.05</v>
      </c>
      <c r="R168" s="141"/>
      <c r="T168" s="149"/>
      <c r="U168" s="148"/>
      <c r="X168" s="278"/>
      <c r="Y168" s="278" t="str">
        <f t="shared" si="18"/>
        <v/>
      </c>
      <c r="Z168" s="141" t="str">
        <f t="shared" si="17"/>
        <v/>
      </c>
    </row>
    <row r="169" spans="1:26" s="452" customFormat="1" ht="17" thickBot="1">
      <c r="A169" s="616" t="s">
        <v>280</v>
      </c>
      <c r="B169" s="617"/>
      <c r="C169" s="617"/>
      <c r="D169" s="617"/>
      <c r="E169" s="617"/>
      <c r="F169" s="617"/>
      <c r="G169" s="617"/>
      <c r="H169" s="617"/>
      <c r="I169" s="617"/>
      <c r="J169" s="617"/>
      <c r="K169" s="617"/>
      <c r="L169" s="617"/>
      <c r="M169" s="617"/>
      <c r="N169" s="617"/>
      <c r="O169" s="617"/>
      <c r="P169" s="618"/>
      <c r="Q169" s="274"/>
      <c r="R169" s="463"/>
      <c r="T169" s="461"/>
      <c r="U169" s="464"/>
      <c r="X169" s="277"/>
      <c r="Y169" s="277" t="str">
        <f t="shared" si="18"/>
        <v/>
      </c>
      <c r="Z169" s="463" t="str">
        <f t="shared" si="17"/>
        <v/>
      </c>
    </row>
    <row r="170" spans="1:26" s="147" customFormat="1" ht="187">
      <c r="A170" s="99">
        <f>A167+1</f>
        <v>58</v>
      </c>
      <c r="B170" s="237" t="s">
        <v>281</v>
      </c>
      <c r="C170" s="146" t="s">
        <v>281</v>
      </c>
      <c r="D170" s="443" t="s">
        <v>911</v>
      </c>
      <c r="E170" s="144">
        <f>LEN(D170)</f>
        <v>302</v>
      </c>
      <c r="F170" s="571" t="s">
        <v>1216</v>
      </c>
      <c r="G170" s="144">
        <f>LEN(F170)</f>
        <v>307</v>
      </c>
      <c r="H170" s="154" t="s">
        <v>66</v>
      </c>
      <c r="I170" s="144" t="s">
        <v>19</v>
      </c>
      <c r="J170" s="144" t="s">
        <v>19</v>
      </c>
      <c r="K170" s="144" t="s">
        <v>837</v>
      </c>
      <c r="L170" s="169" t="s">
        <v>1284</v>
      </c>
      <c r="M170" s="222" t="s">
        <v>19</v>
      </c>
      <c r="N170" s="444" t="s">
        <v>1286</v>
      </c>
      <c r="O170" s="93"/>
      <c r="P170" s="9"/>
      <c r="Q170" s="274">
        <f>'Additional information'!$D$19</f>
        <v>0.05</v>
      </c>
      <c r="R170" s="141"/>
      <c r="T170" s="461" t="s">
        <v>26</v>
      </c>
      <c r="U170" s="148"/>
      <c r="X170" s="277">
        <v>9.2754945755004883</v>
      </c>
      <c r="Y170" s="277">
        <f t="shared" si="18"/>
        <v>0.46377472877502446</v>
      </c>
      <c r="Z170" s="141">
        <f t="shared" si="17"/>
        <v>0.46377472877502446</v>
      </c>
    </row>
    <row r="171" spans="1:26" s="147" customFormat="1">
      <c r="A171" s="99"/>
      <c r="B171" s="265"/>
      <c r="C171" s="100"/>
      <c r="D171" s="108"/>
      <c r="E171" s="106"/>
      <c r="F171" s="108"/>
      <c r="G171" s="106"/>
      <c r="H171" s="109"/>
      <c r="I171" s="106"/>
      <c r="J171" s="106"/>
      <c r="K171" s="106"/>
      <c r="L171" s="91"/>
      <c r="M171" s="80"/>
      <c r="N171" s="88"/>
      <c r="O171" s="88"/>
      <c r="P171" s="51"/>
      <c r="Q171" s="279">
        <f>'Additional information'!$D$19</f>
        <v>0.05</v>
      </c>
      <c r="R171" s="141"/>
      <c r="T171" s="149"/>
      <c r="U171" s="148"/>
      <c r="X171" s="278"/>
      <c r="Y171" s="278" t="str">
        <f t="shared" si="18"/>
        <v/>
      </c>
      <c r="Z171" s="141" t="str">
        <f t="shared" si="17"/>
        <v/>
      </c>
    </row>
    <row r="172" spans="1:26" s="147" customFormat="1" ht="153">
      <c r="A172" s="46">
        <f>A170+1</f>
        <v>59</v>
      </c>
      <c r="B172" s="168" t="s">
        <v>282</v>
      </c>
      <c r="C172" s="152" t="s">
        <v>282</v>
      </c>
      <c r="D172" s="430" t="s">
        <v>912</v>
      </c>
      <c r="E172" s="152">
        <f>LEN(D172)</f>
        <v>179</v>
      </c>
      <c r="F172" s="571" t="s">
        <v>1145</v>
      </c>
      <c r="G172" s="152">
        <f>LEN(F172)</f>
        <v>151</v>
      </c>
      <c r="H172" s="161" t="s">
        <v>30</v>
      </c>
      <c r="I172" s="152" t="s">
        <v>19</v>
      </c>
      <c r="J172" s="152" t="s">
        <v>19</v>
      </c>
      <c r="K172" s="152" t="s">
        <v>31</v>
      </c>
      <c r="L172" s="151" t="s">
        <v>1285</v>
      </c>
      <c r="M172" s="222" t="s">
        <v>19</v>
      </c>
      <c r="N172" s="445" t="s">
        <v>1287</v>
      </c>
      <c r="O172" s="94"/>
      <c r="P172" s="10"/>
      <c r="Q172" s="274">
        <f>'Additional information'!$D$19</f>
        <v>0.05</v>
      </c>
      <c r="R172" s="141"/>
      <c r="T172" s="461" t="s">
        <v>26</v>
      </c>
      <c r="U172" s="148"/>
      <c r="X172" s="277">
        <v>6.4158415794372559</v>
      </c>
      <c r="Y172" s="277">
        <f t="shared" si="18"/>
        <v>0.32079207897186279</v>
      </c>
      <c r="Z172" s="141">
        <f t="shared" si="17"/>
        <v>0.32079207897186279</v>
      </c>
    </row>
    <row r="173" spans="1:26" s="147" customFormat="1" ht="306">
      <c r="A173" s="46">
        <f>A172+1</f>
        <v>60</v>
      </c>
      <c r="B173" s="186" t="s">
        <v>966</v>
      </c>
      <c r="C173" s="146" t="s">
        <v>1299</v>
      </c>
      <c r="D173" s="430" t="s">
        <v>915</v>
      </c>
      <c r="E173" s="152">
        <f>LEN(D173)</f>
        <v>666</v>
      </c>
      <c r="F173" s="571" t="s">
        <v>1224</v>
      </c>
      <c r="G173" s="152">
        <f>LEN(F173)</f>
        <v>609</v>
      </c>
      <c r="H173" s="146" t="s">
        <v>733</v>
      </c>
      <c r="I173" s="152" t="s">
        <v>19</v>
      </c>
      <c r="J173" s="152" t="s">
        <v>19</v>
      </c>
      <c r="K173" s="152" t="s">
        <v>751</v>
      </c>
      <c r="L173" s="151" t="s">
        <v>752</v>
      </c>
      <c r="M173" s="222" t="s">
        <v>883</v>
      </c>
      <c r="N173" s="425" t="s">
        <v>753</v>
      </c>
      <c r="O173" s="95"/>
      <c r="P173" s="10"/>
      <c r="Q173" s="274">
        <f>'Additional information'!$D$19</f>
        <v>0.05</v>
      </c>
      <c r="R173" s="141"/>
      <c r="T173" s="461" t="s">
        <v>26</v>
      </c>
      <c r="U173" s="148"/>
      <c r="X173" s="277">
        <v>20.534351348876953</v>
      </c>
      <c r="Y173" s="277">
        <f t="shared" si="18"/>
        <v>1.0267175674438478</v>
      </c>
      <c r="Z173" s="141">
        <f t="shared" si="17"/>
        <v>1.0267175674438478</v>
      </c>
    </row>
    <row r="174" spans="1:26" s="147" customFormat="1">
      <c r="A174" s="113"/>
      <c r="B174" s="266"/>
      <c r="C174" s="49"/>
      <c r="D174" s="367"/>
      <c r="E174" s="103"/>
      <c r="F174" s="103"/>
      <c r="G174" s="103"/>
      <c r="H174" s="114"/>
      <c r="I174" s="103"/>
      <c r="J174" s="103"/>
      <c r="K174" s="103"/>
      <c r="L174" s="95"/>
      <c r="M174" s="80"/>
      <c r="N174" s="95"/>
      <c r="O174" s="95"/>
      <c r="P174" s="25"/>
      <c r="Q174" s="279">
        <f>'Additional information'!$D$19</f>
        <v>0.05</v>
      </c>
      <c r="R174" s="141"/>
      <c r="T174" s="149"/>
      <c r="U174" s="148"/>
      <c r="X174" s="278"/>
      <c r="Y174" s="278" t="str">
        <f t="shared" si="18"/>
        <v/>
      </c>
      <c r="Z174" s="141" t="str">
        <f t="shared" si="17"/>
        <v/>
      </c>
    </row>
    <row r="175" spans="1:26" s="147" customFormat="1" ht="204">
      <c r="A175" s="113">
        <f>A173+1</f>
        <v>61</v>
      </c>
      <c r="B175" s="239" t="s">
        <v>283</v>
      </c>
      <c r="C175" s="153" t="s">
        <v>283</v>
      </c>
      <c r="D175" s="446" t="s">
        <v>936</v>
      </c>
      <c r="E175" s="135">
        <f>LEN(D175)</f>
        <v>357</v>
      </c>
      <c r="F175" s="594" t="s">
        <v>1146</v>
      </c>
      <c r="G175" s="135">
        <f>LEN(F175)</f>
        <v>312</v>
      </c>
      <c r="H175" s="424" t="s">
        <v>30</v>
      </c>
      <c r="I175" s="135" t="s">
        <v>19</v>
      </c>
      <c r="J175" s="135" t="s">
        <v>19</v>
      </c>
      <c r="K175" s="135" t="s">
        <v>31</v>
      </c>
      <c r="L175" s="425" t="s">
        <v>284</v>
      </c>
      <c r="M175" s="222" t="s">
        <v>19</v>
      </c>
      <c r="N175" s="425" t="s">
        <v>285</v>
      </c>
      <c r="O175" s="95"/>
      <c r="P175" s="10"/>
      <c r="Q175" s="274">
        <f>'Additional information'!$D$19</f>
        <v>0.05</v>
      </c>
      <c r="R175" s="141"/>
      <c r="T175" s="461" t="s">
        <v>26</v>
      </c>
      <c r="U175" s="148"/>
      <c r="X175" s="277">
        <v>8.3069305419921875</v>
      </c>
      <c r="Y175" s="277">
        <f t="shared" si="18"/>
        <v>0.4153465270996094</v>
      </c>
      <c r="Z175" s="141">
        <f t="shared" si="17"/>
        <v>0.4153465270996094</v>
      </c>
    </row>
    <row r="176" spans="1:26" s="147" customFormat="1" ht="17" thickBot="1">
      <c r="A176" s="113"/>
      <c r="B176" s="266"/>
      <c r="C176" s="115"/>
      <c r="D176" s="367"/>
      <c r="E176" s="103"/>
      <c r="F176" s="103"/>
      <c r="G176" s="103"/>
      <c r="H176" s="114"/>
      <c r="I176" s="103"/>
      <c r="J176" s="103"/>
      <c r="K176" s="103"/>
      <c r="L176" s="95"/>
      <c r="M176" s="95"/>
      <c r="N176" s="95"/>
      <c r="O176" s="95"/>
      <c r="P176" s="72"/>
      <c r="Q176" s="279">
        <f>'Additional information'!$D$19</f>
        <v>0.05</v>
      </c>
      <c r="R176" s="141"/>
      <c r="T176" s="149"/>
      <c r="U176" s="148"/>
      <c r="X176" s="278"/>
      <c r="Y176" s="278" t="str">
        <f t="shared" ref="Y176:Y207" si="19">IF(X176="","",X176*Q176)</f>
        <v/>
      </c>
      <c r="Z176" s="141" t="str">
        <f t="shared" si="17"/>
        <v/>
      </c>
    </row>
    <row r="177" spans="1:26" s="452" customFormat="1" ht="17" thickBot="1">
      <c r="A177" s="616" t="s">
        <v>286</v>
      </c>
      <c r="B177" s="617"/>
      <c r="C177" s="617"/>
      <c r="D177" s="617"/>
      <c r="E177" s="617"/>
      <c r="F177" s="617"/>
      <c r="G177" s="617"/>
      <c r="H177" s="617"/>
      <c r="I177" s="617"/>
      <c r="J177" s="617"/>
      <c r="K177" s="617"/>
      <c r="L177" s="617"/>
      <c r="M177" s="617"/>
      <c r="N177" s="617"/>
      <c r="O177" s="617"/>
      <c r="P177" s="618"/>
      <c r="Q177" s="274"/>
      <c r="R177" s="463"/>
      <c r="T177" s="461"/>
      <c r="U177" s="464"/>
      <c r="X177" s="277"/>
      <c r="Y177" s="277" t="str">
        <f t="shared" si="19"/>
        <v/>
      </c>
      <c r="Z177" s="463" t="str">
        <f t="shared" si="17"/>
        <v/>
      </c>
    </row>
    <row r="178" spans="1:26" s="147" customFormat="1" ht="136">
      <c r="A178" s="99">
        <f>A175+1</f>
        <v>62</v>
      </c>
      <c r="B178" s="237" t="s">
        <v>971</v>
      </c>
      <c r="C178" s="248" t="s">
        <v>971</v>
      </c>
      <c r="D178" s="145" t="s">
        <v>287</v>
      </c>
      <c r="E178" s="144">
        <f t="shared" ref="E178:E209" si="20">LEN(D178)</f>
        <v>335</v>
      </c>
      <c r="F178" s="578" t="s">
        <v>1147</v>
      </c>
      <c r="G178" s="144">
        <f t="shared" ref="G178:G209" si="21">LEN(F178)</f>
        <v>310</v>
      </c>
      <c r="H178" s="154" t="s">
        <v>30</v>
      </c>
      <c r="I178" s="144" t="s">
        <v>19</v>
      </c>
      <c r="J178" s="144" t="s">
        <v>19</v>
      </c>
      <c r="K178" s="144" t="s">
        <v>31</v>
      </c>
      <c r="L178" s="143" t="s">
        <v>288</v>
      </c>
      <c r="M178" s="222" t="s">
        <v>19</v>
      </c>
      <c r="N178" s="143" t="s">
        <v>289</v>
      </c>
      <c r="O178" s="87"/>
      <c r="P178" s="405" t="s">
        <v>290</v>
      </c>
      <c r="Q178" s="274">
        <v>1</v>
      </c>
      <c r="R178" s="141"/>
      <c r="T178" s="461" t="s">
        <v>26</v>
      </c>
      <c r="U178" s="148"/>
      <c r="X178" s="277">
        <v>8.0881662368774414</v>
      </c>
      <c r="Y178" s="277">
        <f t="shared" si="19"/>
        <v>8.0881662368774414</v>
      </c>
      <c r="Z178" s="141">
        <f t="shared" si="17"/>
        <v>8.0881662368774414</v>
      </c>
    </row>
    <row r="179" spans="1:26" s="147" customFormat="1" ht="170">
      <c r="A179" s="46">
        <f t="shared" ref="A179:A220" si="22">A178+1</f>
        <v>63</v>
      </c>
      <c r="B179" s="186" t="s">
        <v>291</v>
      </c>
      <c r="C179" s="146" t="s">
        <v>291</v>
      </c>
      <c r="D179" s="166" t="s">
        <v>292</v>
      </c>
      <c r="E179" s="152">
        <f t="shared" si="20"/>
        <v>236</v>
      </c>
      <c r="F179" s="166" t="s">
        <v>1148</v>
      </c>
      <c r="G179" s="152">
        <f t="shared" si="21"/>
        <v>223</v>
      </c>
      <c r="H179" s="161" t="s">
        <v>30</v>
      </c>
      <c r="I179" s="152" t="s">
        <v>19</v>
      </c>
      <c r="J179" s="152" t="s">
        <v>19</v>
      </c>
      <c r="K179" s="152" t="s">
        <v>31</v>
      </c>
      <c r="L179" s="151" t="s">
        <v>293</v>
      </c>
      <c r="M179" s="222" t="s">
        <v>19</v>
      </c>
      <c r="N179" s="163" t="s">
        <v>294</v>
      </c>
      <c r="O179" s="96"/>
      <c r="P179" s="10"/>
      <c r="Q179" s="274">
        <v>1</v>
      </c>
      <c r="R179" s="141"/>
      <c r="T179" s="461" t="s">
        <v>26</v>
      </c>
      <c r="U179" s="148"/>
      <c r="X179" s="277">
        <v>20.224567413330078</v>
      </c>
      <c r="Y179" s="277">
        <f t="shared" si="19"/>
        <v>20.224567413330078</v>
      </c>
      <c r="Z179" s="141">
        <f t="shared" si="17"/>
        <v>20.224567413330078</v>
      </c>
    </row>
    <row r="180" spans="1:26" s="147" customFormat="1" ht="170">
      <c r="A180" s="46">
        <f t="shared" si="22"/>
        <v>64</v>
      </c>
      <c r="B180" s="186" t="s">
        <v>295</v>
      </c>
      <c r="C180" s="146" t="s">
        <v>295</v>
      </c>
      <c r="D180" s="166" t="s">
        <v>296</v>
      </c>
      <c r="E180" s="152">
        <f t="shared" si="20"/>
        <v>234</v>
      </c>
      <c r="F180" s="166" t="s">
        <v>1149</v>
      </c>
      <c r="G180" s="152">
        <f t="shared" si="21"/>
        <v>208</v>
      </c>
      <c r="H180" s="161" t="s">
        <v>30</v>
      </c>
      <c r="I180" s="152" t="s">
        <v>19</v>
      </c>
      <c r="J180" s="152" t="s">
        <v>19</v>
      </c>
      <c r="K180" s="152" t="s">
        <v>31</v>
      </c>
      <c r="L180" s="151" t="s">
        <v>297</v>
      </c>
      <c r="M180" s="222" t="s">
        <v>19</v>
      </c>
      <c r="N180" s="163" t="s">
        <v>298</v>
      </c>
      <c r="O180" s="96"/>
      <c r="P180" s="10"/>
      <c r="Q180" s="274">
        <v>1</v>
      </c>
      <c r="R180" s="141"/>
      <c r="T180" s="461" t="s">
        <v>26</v>
      </c>
      <c r="U180" s="148"/>
      <c r="X180" s="277">
        <v>14.026061058044434</v>
      </c>
      <c r="Y180" s="277">
        <f t="shared" si="19"/>
        <v>14.026061058044434</v>
      </c>
      <c r="Z180" s="141">
        <f t="shared" si="17"/>
        <v>14.026061058044434</v>
      </c>
    </row>
    <row r="181" spans="1:26" s="147" customFormat="1" ht="153">
      <c r="A181" s="46">
        <f t="shared" si="22"/>
        <v>65</v>
      </c>
      <c r="B181" s="186" t="s">
        <v>299</v>
      </c>
      <c r="C181" s="146" t="s">
        <v>299</v>
      </c>
      <c r="D181" s="166" t="s">
        <v>300</v>
      </c>
      <c r="E181" s="152">
        <f t="shared" si="20"/>
        <v>217</v>
      </c>
      <c r="F181" s="166" t="s">
        <v>1150</v>
      </c>
      <c r="G181" s="152">
        <f t="shared" si="21"/>
        <v>213</v>
      </c>
      <c r="H181" s="161" t="s">
        <v>30</v>
      </c>
      <c r="I181" s="152" t="s">
        <v>19</v>
      </c>
      <c r="J181" s="152" t="s">
        <v>19</v>
      </c>
      <c r="K181" s="152" t="s">
        <v>31</v>
      </c>
      <c r="L181" s="151" t="s">
        <v>301</v>
      </c>
      <c r="M181" s="222" t="s">
        <v>19</v>
      </c>
      <c r="N181" s="163" t="s">
        <v>302</v>
      </c>
      <c r="O181" s="96"/>
      <c r="P181" s="10"/>
      <c r="Q181" s="274">
        <v>1</v>
      </c>
      <c r="R181" s="141"/>
      <c r="T181" s="461" t="s">
        <v>26</v>
      </c>
      <c r="U181" s="148"/>
      <c r="X181" s="277">
        <v>11.558505058288574</v>
      </c>
      <c r="Y181" s="277">
        <f t="shared" si="19"/>
        <v>11.558505058288574</v>
      </c>
      <c r="Z181" s="141">
        <f t="shared" si="17"/>
        <v>11.558505058288574</v>
      </c>
    </row>
    <row r="182" spans="1:26" s="147" customFormat="1" ht="153">
      <c r="A182" s="46">
        <f t="shared" si="22"/>
        <v>66</v>
      </c>
      <c r="B182" s="186" t="s">
        <v>303</v>
      </c>
      <c r="C182" s="146" t="s">
        <v>303</v>
      </c>
      <c r="D182" s="166" t="s">
        <v>304</v>
      </c>
      <c r="E182" s="152">
        <f t="shared" si="20"/>
        <v>218</v>
      </c>
      <c r="F182" s="166" t="s">
        <v>1151</v>
      </c>
      <c r="G182" s="152">
        <f t="shared" si="21"/>
        <v>214</v>
      </c>
      <c r="H182" s="161" t="s">
        <v>30</v>
      </c>
      <c r="I182" s="152" t="s">
        <v>19</v>
      </c>
      <c r="J182" s="152" t="s">
        <v>19</v>
      </c>
      <c r="K182" s="152" t="s">
        <v>31</v>
      </c>
      <c r="L182" s="151" t="s">
        <v>305</v>
      </c>
      <c r="M182" s="222" t="s">
        <v>19</v>
      </c>
      <c r="N182" s="151" t="s">
        <v>306</v>
      </c>
      <c r="O182" s="85"/>
      <c r="P182" s="10"/>
      <c r="Q182" s="274">
        <v>1</v>
      </c>
      <c r="R182" s="141"/>
      <c r="T182" s="461" t="s">
        <v>26</v>
      </c>
      <c r="U182" s="148"/>
      <c r="X182" s="277">
        <v>11.379257202148438</v>
      </c>
      <c r="Y182" s="277">
        <f t="shared" si="19"/>
        <v>11.379257202148438</v>
      </c>
      <c r="Z182" s="141">
        <f t="shared" si="17"/>
        <v>11.379257202148438</v>
      </c>
    </row>
    <row r="183" spans="1:26" s="147" customFormat="1" ht="153">
      <c r="A183" s="46">
        <f t="shared" si="22"/>
        <v>67</v>
      </c>
      <c r="B183" s="186" t="s">
        <v>307</v>
      </c>
      <c r="C183" s="146" t="s">
        <v>307</v>
      </c>
      <c r="D183" s="166" t="s">
        <v>308</v>
      </c>
      <c r="E183" s="152">
        <f t="shared" si="20"/>
        <v>224</v>
      </c>
      <c r="F183" s="166" t="s">
        <v>1152</v>
      </c>
      <c r="G183" s="152">
        <f t="shared" si="21"/>
        <v>230</v>
      </c>
      <c r="H183" s="161" t="s">
        <v>30</v>
      </c>
      <c r="I183" s="152" t="s">
        <v>19</v>
      </c>
      <c r="J183" s="152" t="s">
        <v>19</v>
      </c>
      <c r="K183" s="152" t="s">
        <v>31</v>
      </c>
      <c r="L183" s="151" t="s">
        <v>309</v>
      </c>
      <c r="M183" s="222" t="s">
        <v>19</v>
      </c>
      <c r="N183" s="151" t="s">
        <v>310</v>
      </c>
      <c r="O183" s="85"/>
      <c r="P183" s="10"/>
      <c r="Q183" s="274">
        <v>1</v>
      </c>
      <c r="R183" s="141"/>
      <c r="T183" s="461" t="s">
        <v>26</v>
      </c>
      <c r="U183" s="148"/>
      <c r="X183" s="277">
        <v>10.443217277526855</v>
      </c>
      <c r="Y183" s="277">
        <f t="shared" si="19"/>
        <v>10.443217277526855</v>
      </c>
      <c r="Z183" s="141">
        <f t="shared" si="17"/>
        <v>10.443217277526855</v>
      </c>
    </row>
    <row r="184" spans="1:26" s="147" customFormat="1" ht="146">
      <c r="A184" s="46">
        <f t="shared" si="22"/>
        <v>68</v>
      </c>
      <c r="B184" s="186" t="s">
        <v>311</v>
      </c>
      <c r="C184" s="185" t="s">
        <v>311</v>
      </c>
      <c r="D184" s="165" t="s">
        <v>312</v>
      </c>
      <c r="E184" s="152">
        <f t="shared" si="20"/>
        <v>182</v>
      </c>
      <c r="F184" s="165" t="s">
        <v>1153</v>
      </c>
      <c r="G184" s="152">
        <f t="shared" si="21"/>
        <v>184</v>
      </c>
      <c r="H184" s="161" t="s">
        <v>30</v>
      </c>
      <c r="I184" s="152" t="s">
        <v>19</v>
      </c>
      <c r="J184" s="152" t="s">
        <v>19</v>
      </c>
      <c r="K184" s="152" t="s">
        <v>31</v>
      </c>
      <c r="L184" s="151" t="s">
        <v>313</v>
      </c>
      <c r="M184" s="222" t="s">
        <v>19</v>
      </c>
      <c r="N184" s="163" t="s">
        <v>314</v>
      </c>
      <c r="O184" s="96"/>
      <c r="P184" s="10"/>
      <c r="Q184" s="274">
        <v>1</v>
      </c>
      <c r="R184" s="141"/>
      <c r="T184" s="461" t="s">
        <v>26</v>
      </c>
      <c r="U184" s="148"/>
      <c r="X184" s="277">
        <v>10.732010841369629</v>
      </c>
      <c r="Y184" s="277">
        <f t="shared" si="19"/>
        <v>10.732010841369629</v>
      </c>
      <c r="Z184" s="141">
        <f t="shared" si="17"/>
        <v>10.732010841369629</v>
      </c>
    </row>
    <row r="185" spans="1:26" s="348" customFormat="1" ht="147">
      <c r="A185" s="46">
        <f t="shared" si="22"/>
        <v>69</v>
      </c>
      <c r="B185" s="186" t="s">
        <v>315</v>
      </c>
      <c r="C185" s="185" t="s">
        <v>315</v>
      </c>
      <c r="D185" s="164" t="s">
        <v>862</v>
      </c>
      <c r="E185" s="152">
        <f t="shared" si="20"/>
        <v>214</v>
      </c>
      <c r="F185" s="164" t="s">
        <v>1154</v>
      </c>
      <c r="G185" s="152">
        <f t="shared" si="21"/>
        <v>231</v>
      </c>
      <c r="H185" s="161" t="s">
        <v>30</v>
      </c>
      <c r="I185" s="152" t="s">
        <v>19</v>
      </c>
      <c r="J185" s="152" t="s">
        <v>19</v>
      </c>
      <c r="K185" s="152" t="s">
        <v>31</v>
      </c>
      <c r="L185" s="151" t="s">
        <v>316</v>
      </c>
      <c r="M185" s="222" t="s">
        <v>19</v>
      </c>
      <c r="N185" s="151" t="s">
        <v>317</v>
      </c>
      <c r="O185" s="85"/>
      <c r="P185" s="10"/>
      <c r="Q185" s="274">
        <v>1</v>
      </c>
      <c r="R185" s="141"/>
      <c r="T185" s="461" t="s">
        <v>26</v>
      </c>
      <c r="U185" s="148"/>
      <c r="X185" s="277">
        <v>11.586139678955078</v>
      </c>
      <c r="Y185" s="277">
        <f t="shared" si="19"/>
        <v>11.586139678955078</v>
      </c>
      <c r="Z185" s="141">
        <f t="shared" si="17"/>
        <v>11.586139678955078</v>
      </c>
    </row>
    <row r="186" spans="1:26" s="147" customFormat="1" ht="146">
      <c r="A186" s="46">
        <f t="shared" si="22"/>
        <v>70</v>
      </c>
      <c r="B186" s="186" t="s">
        <v>318</v>
      </c>
      <c r="C186" s="146" t="s">
        <v>318</v>
      </c>
      <c r="D186" s="165" t="s">
        <v>319</v>
      </c>
      <c r="E186" s="152">
        <f t="shared" si="20"/>
        <v>184</v>
      </c>
      <c r="F186" s="165" t="s">
        <v>1155</v>
      </c>
      <c r="G186" s="152">
        <f t="shared" si="21"/>
        <v>179</v>
      </c>
      <c r="H186" s="161" t="s">
        <v>30</v>
      </c>
      <c r="I186" s="152" t="s">
        <v>19</v>
      </c>
      <c r="J186" s="152" t="s">
        <v>19</v>
      </c>
      <c r="K186" s="152" t="s">
        <v>31</v>
      </c>
      <c r="L186" s="151" t="s">
        <v>320</v>
      </c>
      <c r="M186" s="222" t="s">
        <v>19</v>
      </c>
      <c r="N186" s="163" t="s">
        <v>321</v>
      </c>
      <c r="O186" s="96"/>
      <c r="P186" s="10"/>
      <c r="Q186" s="274">
        <v>1</v>
      </c>
      <c r="R186" s="141"/>
      <c r="T186" s="461" t="s">
        <v>26</v>
      </c>
      <c r="U186" s="148"/>
      <c r="X186" s="277">
        <v>9.7552013397216797</v>
      </c>
      <c r="Y186" s="277">
        <f t="shared" si="19"/>
        <v>9.7552013397216797</v>
      </c>
      <c r="Z186" s="141">
        <f t="shared" si="17"/>
        <v>9.7552013397216797</v>
      </c>
    </row>
    <row r="187" spans="1:26" s="147" customFormat="1" ht="147">
      <c r="A187" s="46">
        <f t="shared" si="22"/>
        <v>71</v>
      </c>
      <c r="B187" s="186" t="s">
        <v>322</v>
      </c>
      <c r="C187" s="185" t="s">
        <v>322</v>
      </c>
      <c r="D187" s="164" t="s">
        <v>862</v>
      </c>
      <c r="E187" s="152">
        <f t="shared" si="20"/>
        <v>214</v>
      </c>
      <c r="F187" s="164" t="s">
        <v>1154</v>
      </c>
      <c r="G187" s="152">
        <f t="shared" si="21"/>
        <v>231</v>
      </c>
      <c r="H187" s="161" t="s">
        <v>30</v>
      </c>
      <c r="I187" s="152" t="s">
        <v>19</v>
      </c>
      <c r="J187" s="152" t="s">
        <v>19</v>
      </c>
      <c r="K187" s="152" t="s">
        <v>31</v>
      </c>
      <c r="L187" s="151" t="s">
        <v>323</v>
      </c>
      <c r="M187" s="222" t="s">
        <v>19</v>
      </c>
      <c r="N187" s="151" t="s">
        <v>324</v>
      </c>
      <c r="O187" s="85"/>
      <c r="P187" s="10"/>
      <c r="Q187" s="274">
        <v>1</v>
      </c>
      <c r="R187" s="141"/>
      <c r="T187" s="461" t="s">
        <v>26</v>
      </c>
      <c r="U187" s="148"/>
      <c r="X187" s="277">
        <v>7.9447951316833496</v>
      </c>
      <c r="Y187" s="277">
        <f t="shared" si="19"/>
        <v>7.9447951316833496</v>
      </c>
      <c r="Z187" s="141">
        <f t="shared" si="17"/>
        <v>7.9447951316833496</v>
      </c>
    </row>
    <row r="188" spans="1:26" s="147" customFormat="1" ht="146">
      <c r="A188" s="46">
        <f t="shared" si="22"/>
        <v>72</v>
      </c>
      <c r="B188" s="186" t="s">
        <v>325</v>
      </c>
      <c r="C188" s="146" t="s">
        <v>325</v>
      </c>
      <c r="D188" s="165" t="s">
        <v>326</v>
      </c>
      <c r="E188" s="152">
        <f t="shared" si="20"/>
        <v>212</v>
      </c>
      <c r="F188" s="165" t="s">
        <v>1156</v>
      </c>
      <c r="G188" s="152">
        <f t="shared" si="21"/>
        <v>220</v>
      </c>
      <c r="H188" s="161" t="s">
        <v>30</v>
      </c>
      <c r="I188" s="152" t="s">
        <v>19</v>
      </c>
      <c r="J188" s="152" t="s">
        <v>19</v>
      </c>
      <c r="K188" s="152" t="s">
        <v>31</v>
      </c>
      <c r="L188" s="151" t="s">
        <v>1232</v>
      </c>
      <c r="M188" s="222" t="s">
        <v>19</v>
      </c>
      <c r="N188" s="163" t="s">
        <v>1233</v>
      </c>
      <c r="O188" s="43"/>
      <c r="P188" s="10"/>
      <c r="Q188" s="274">
        <v>1</v>
      </c>
      <c r="R188" s="141"/>
      <c r="T188" s="461" t="s">
        <v>26</v>
      </c>
      <c r="U188" s="148"/>
      <c r="X188" s="277">
        <v>7.9312248229980469</v>
      </c>
      <c r="Y188" s="277">
        <f t="shared" si="19"/>
        <v>7.9312248229980469</v>
      </c>
      <c r="Z188" s="141">
        <f t="shared" si="17"/>
        <v>7.9312248229980469</v>
      </c>
    </row>
    <row r="189" spans="1:26" s="147" customFormat="1" ht="147">
      <c r="A189" s="46">
        <f t="shared" si="22"/>
        <v>73</v>
      </c>
      <c r="B189" s="186" t="s">
        <v>327</v>
      </c>
      <c r="C189" s="185" t="s">
        <v>327</v>
      </c>
      <c r="D189" s="164" t="s">
        <v>862</v>
      </c>
      <c r="E189" s="152">
        <f t="shared" si="20"/>
        <v>214</v>
      </c>
      <c r="F189" s="164" t="s">
        <v>1154</v>
      </c>
      <c r="G189" s="152">
        <f t="shared" si="21"/>
        <v>231</v>
      </c>
      <c r="H189" s="161" t="s">
        <v>30</v>
      </c>
      <c r="I189" s="152" t="s">
        <v>19</v>
      </c>
      <c r="J189" s="152" t="s">
        <v>19</v>
      </c>
      <c r="K189" s="152" t="s">
        <v>31</v>
      </c>
      <c r="L189" s="151" t="s">
        <v>1231</v>
      </c>
      <c r="M189" s="222" t="s">
        <v>19</v>
      </c>
      <c r="N189" s="163" t="s">
        <v>1234</v>
      </c>
      <c r="O189" s="43"/>
      <c r="P189" s="10"/>
      <c r="Q189" s="274">
        <v>1</v>
      </c>
      <c r="R189" s="141"/>
      <c r="T189" s="461" t="s">
        <v>26</v>
      </c>
      <c r="U189" s="148"/>
      <c r="X189" s="277">
        <v>5.3390059471130371</v>
      </c>
      <c r="Y189" s="277">
        <f t="shared" si="19"/>
        <v>5.3390059471130371</v>
      </c>
      <c r="Z189" s="141">
        <f t="shared" si="17"/>
        <v>5.3390059471130371</v>
      </c>
    </row>
    <row r="190" spans="1:26" s="147" customFormat="1" ht="153">
      <c r="A190" s="14">
        <f t="shared" si="22"/>
        <v>74</v>
      </c>
      <c r="B190" s="238" t="s">
        <v>970</v>
      </c>
      <c r="C190" s="17" t="s">
        <v>970</v>
      </c>
      <c r="D190" s="38" t="s">
        <v>975</v>
      </c>
      <c r="E190" s="20">
        <f t="shared" si="20"/>
        <v>142</v>
      </c>
      <c r="F190" s="38" t="s">
        <v>1157</v>
      </c>
      <c r="G190" s="20">
        <f t="shared" si="21"/>
        <v>148</v>
      </c>
      <c r="H190" s="36" t="s">
        <v>30</v>
      </c>
      <c r="I190" s="20" t="s">
        <v>19</v>
      </c>
      <c r="J190" s="20" t="s">
        <v>19</v>
      </c>
      <c r="K190" s="20" t="s">
        <v>31</v>
      </c>
      <c r="L190" s="31" t="s">
        <v>1260</v>
      </c>
      <c r="M190" s="81" t="s">
        <v>19</v>
      </c>
      <c r="N190" s="355"/>
      <c r="O190" s="356"/>
      <c r="P190" s="123" t="s">
        <v>328</v>
      </c>
      <c r="Q190" s="279">
        <v>1</v>
      </c>
      <c r="R190" s="141"/>
      <c r="T190" s="149" t="s">
        <v>18</v>
      </c>
      <c r="U190" s="148"/>
      <c r="X190" s="278">
        <v>3.8165555000305176</v>
      </c>
      <c r="Y190" s="278">
        <f t="shared" si="19"/>
        <v>3.8165555000305176</v>
      </c>
      <c r="Z190" s="141" t="str">
        <f t="shared" si="17"/>
        <v/>
      </c>
    </row>
    <row r="191" spans="1:26" s="147" customFormat="1" ht="204">
      <c r="A191" s="14">
        <f t="shared" si="22"/>
        <v>75</v>
      </c>
      <c r="B191" s="357" t="s">
        <v>329</v>
      </c>
      <c r="C191" s="17" t="s">
        <v>330</v>
      </c>
      <c r="D191" s="22" t="s">
        <v>855</v>
      </c>
      <c r="E191" s="20">
        <f t="shared" si="20"/>
        <v>406</v>
      </c>
      <c r="F191" s="588" t="s">
        <v>1225</v>
      </c>
      <c r="G191" s="20">
        <f t="shared" si="21"/>
        <v>375</v>
      </c>
      <c r="H191" s="36" t="s">
        <v>30</v>
      </c>
      <c r="I191" s="20" t="s">
        <v>19</v>
      </c>
      <c r="J191" s="20" t="s">
        <v>19</v>
      </c>
      <c r="K191" s="20" t="s">
        <v>31</v>
      </c>
      <c r="L191" s="31" t="s">
        <v>331</v>
      </c>
      <c r="M191" s="81" t="s">
        <v>19</v>
      </c>
      <c r="N191" s="42"/>
      <c r="O191" s="42"/>
      <c r="P191" s="10"/>
      <c r="Q191" s="279">
        <v>1</v>
      </c>
      <c r="R191" s="141"/>
      <c r="T191" s="149" t="s">
        <v>18</v>
      </c>
      <c r="U191" s="148"/>
      <c r="X191" s="278">
        <v>16.827030181884766</v>
      </c>
      <c r="Y191" s="278">
        <f t="shared" si="19"/>
        <v>16.827030181884766</v>
      </c>
      <c r="Z191" s="141" t="str">
        <f t="shared" si="17"/>
        <v/>
      </c>
    </row>
    <row r="192" spans="1:26" s="147" customFormat="1" ht="204">
      <c r="A192" s="14">
        <f t="shared" si="22"/>
        <v>76</v>
      </c>
      <c r="B192" s="357" t="s">
        <v>332</v>
      </c>
      <c r="C192" s="17" t="s">
        <v>333</v>
      </c>
      <c r="D192" s="22" t="s">
        <v>334</v>
      </c>
      <c r="E192" s="20">
        <f t="shared" si="20"/>
        <v>344</v>
      </c>
      <c r="F192" s="588" t="s">
        <v>1158</v>
      </c>
      <c r="G192" s="20">
        <f t="shared" si="21"/>
        <v>328</v>
      </c>
      <c r="H192" s="36" t="s">
        <v>30</v>
      </c>
      <c r="I192" s="20" t="s">
        <v>19</v>
      </c>
      <c r="J192" s="20" t="s">
        <v>19</v>
      </c>
      <c r="K192" s="20" t="s">
        <v>31</v>
      </c>
      <c r="L192" s="31" t="s">
        <v>331</v>
      </c>
      <c r="M192" s="81" t="s">
        <v>19</v>
      </c>
      <c r="N192" s="42"/>
      <c r="O192" s="42"/>
      <c r="P192" s="10"/>
      <c r="Q192" s="279">
        <v>1</v>
      </c>
      <c r="R192" s="141"/>
      <c r="T192" s="149" t="s">
        <v>18</v>
      </c>
      <c r="U192" s="148"/>
      <c r="X192" s="278">
        <v>12.211404800415039</v>
      </c>
      <c r="Y192" s="278">
        <f t="shared" si="19"/>
        <v>12.211404800415039</v>
      </c>
      <c r="Z192" s="141" t="str">
        <f t="shared" si="17"/>
        <v/>
      </c>
    </row>
    <row r="193" spans="1:26" s="147" customFormat="1" ht="204">
      <c r="A193" s="14">
        <f t="shared" si="22"/>
        <v>77</v>
      </c>
      <c r="B193" s="357" t="s">
        <v>335</v>
      </c>
      <c r="C193" s="17" t="s">
        <v>335</v>
      </c>
      <c r="D193" s="22" t="s">
        <v>856</v>
      </c>
      <c r="E193" s="20">
        <f t="shared" si="20"/>
        <v>378</v>
      </c>
      <c r="F193" s="588" t="s">
        <v>1159</v>
      </c>
      <c r="G193" s="20">
        <f t="shared" si="21"/>
        <v>354</v>
      </c>
      <c r="H193" s="36" t="s">
        <v>30</v>
      </c>
      <c r="I193" s="20" t="s">
        <v>19</v>
      </c>
      <c r="J193" s="20" t="s">
        <v>19</v>
      </c>
      <c r="K193" s="20" t="s">
        <v>31</v>
      </c>
      <c r="L193" s="31" t="s">
        <v>331</v>
      </c>
      <c r="M193" s="81" t="s">
        <v>19</v>
      </c>
      <c r="N193" s="42"/>
      <c r="O193" s="42"/>
      <c r="P193" s="10"/>
      <c r="Q193" s="279">
        <v>1</v>
      </c>
      <c r="R193" s="141"/>
      <c r="T193" s="149" t="s">
        <v>18</v>
      </c>
      <c r="U193" s="148"/>
      <c r="X193" s="278">
        <v>10.392949104309082</v>
      </c>
      <c r="Y193" s="278">
        <f t="shared" si="19"/>
        <v>10.392949104309082</v>
      </c>
      <c r="Z193" s="141" t="str">
        <f t="shared" si="17"/>
        <v/>
      </c>
    </row>
    <row r="194" spans="1:26" s="147" customFormat="1" ht="204">
      <c r="A194" s="14">
        <f t="shared" si="22"/>
        <v>78</v>
      </c>
      <c r="B194" s="357" t="s">
        <v>336</v>
      </c>
      <c r="C194" s="17" t="s">
        <v>336</v>
      </c>
      <c r="D194" s="22" t="s">
        <v>337</v>
      </c>
      <c r="E194" s="20">
        <f t="shared" si="20"/>
        <v>370</v>
      </c>
      <c r="F194" s="588" t="s">
        <v>1160</v>
      </c>
      <c r="G194" s="20">
        <f t="shared" si="21"/>
        <v>360</v>
      </c>
      <c r="H194" s="36" t="s">
        <v>30</v>
      </c>
      <c r="I194" s="20" t="s">
        <v>19</v>
      </c>
      <c r="J194" s="20" t="s">
        <v>19</v>
      </c>
      <c r="K194" s="20" t="s">
        <v>31</v>
      </c>
      <c r="L194" s="31" t="s">
        <v>331</v>
      </c>
      <c r="M194" s="81" t="s">
        <v>19</v>
      </c>
      <c r="N194" s="42"/>
      <c r="O194" s="42"/>
      <c r="P194" s="10"/>
      <c r="Q194" s="279">
        <v>1</v>
      </c>
      <c r="R194" s="141"/>
      <c r="T194" s="149" t="s">
        <v>18</v>
      </c>
      <c r="U194" s="148"/>
      <c r="X194" s="278">
        <v>11.913414001464844</v>
      </c>
      <c r="Y194" s="278">
        <f t="shared" si="19"/>
        <v>11.913414001464844</v>
      </c>
      <c r="Z194" s="141" t="str">
        <f t="shared" si="17"/>
        <v/>
      </c>
    </row>
    <row r="195" spans="1:26" s="147" customFormat="1" ht="204">
      <c r="A195" s="14">
        <f t="shared" si="22"/>
        <v>79</v>
      </c>
      <c r="B195" s="357" t="s">
        <v>338</v>
      </c>
      <c r="C195" s="17" t="s">
        <v>338</v>
      </c>
      <c r="D195" s="22" t="s">
        <v>339</v>
      </c>
      <c r="E195" s="20">
        <f t="shared" si="20"/>
        <v>384</v>
      </c>
      <c r="F195" s="588" t="s">
        <v>1161</v>
      </c>
      <c r="G195" s="20">
        <f t="shared" si="21"/>
        <v>372</v>
      </c>
      <c r="H195" s="36" t="s">
        <v>30</v>
      </c>
      <c r="I195" s="20" t="s">
        <v>19</v>
      </c>
      <c r="J195" s="20" t="s">
        <v>19</v>
      </c>
      <c r="K195" s="20" t="s">
        <v>31</v>
      </c>
      <c r="L195" s="31" t="s">
        <v>331</v>
      </c>
      <c r="M195" s="81" t="s">
        <v>19</v>
      </c>
      <c r="N195" s="42"/>
      <c r="O195" s="42"/>
      <c r="P195" s="10"/>
      <c r="Q195" s="279">
        <v>1</v>
      </c>
      <c r="R195" s="141"/>
      <c r="T195" s="149" t="s">
        <v>18</v>
      </c>
      <c r="U195" s="148"/>
      <c r="X195" s="278">
        <v>11.458892822265625</v>
      </c>
      <c r="Y195" s="278">
        <f t="shared" si="19"/>
        <v>11.458892822265625</v>
      </c>
      <c r="Z195" s="141" t="str">
        <f t="shared" si="17"/>
        <v/>
      </c>
    </row>
    <row r="196" spans="1:26" s="147" customFormat="1" ht="204">
      <c r="A196" s="14">
        <f t="shared" si="22"/>
        <v>80</v>
      </c>
      <c r="B196" s="357" t="s">
        <v>340</v>
      </c>
      <c r="C196" s="17" t="s">
        <v>340</v>
      </c>
      <c r="D196" s="22" t="s">
        <v>341</v>
      </c>
      <c r="E196" s="20">
        <f t="shared" si="20"/>
        <v>371</v>
      </c>
      <c r="F196" s="588" t="s">
        <v>1162</v>
      </c>
      <c r="G196" s="20">
        <f t="shared" si="21"/>
        <v>361</v>
      </c>
      <c r="H196" s="36" t="s">
        <v>30</v>
      </c>
      <c r="I196" s="20" t="s">
        <v>19</v>
      </c>
      <c r="J196" s="20" t="s">
        <v>19</v>
      </c>
      <c r="K196" s="20" t="s">
        <v>31</v>
      </c>
      <c r="L196" s="31" t="s">
        <v>331</v>
      </c>
      <c r="M196" s="81" t="s">
        <v>19</v>
      </c>
      <c r="N196" s="42"/>
      <c r="O196" s="42"/>
      <c r="P196" s="10"/>
      <c r="Q196" s="279">
        <v>1</v>
      </c>
      <c r="R196" s="141"/>
      <c r="T196" s="149" t="s">
        <v>18</v>
      </c>
      <c r="U196" s="148"/>
      <c r="X196" s="278">
        <v>10.843878746032715</v>
      </c>
      <c r="Y196" s="278">
        <f t="shared" si="19"/>
        <v>10.843878746032715</v>
      </c>
      <c r="Z196" s="141" t="str">
        <f t="shared" ref="Z196:Z247" si="23">IF(T196="yes",Y196,"")</f>
        <v/>
      </c>
    </row>
    <row r="197" spans="1:26" s="147" customFormat="1" ht="204">
      <c r="A197" s="14">
        <f t="shared" si="22"/>
        <v>81</v>
      </c>
      <c r="B197" s="357" t="s">
        <v>342</v>
      </c>
      <c r="C197" s="17" t="s">
        <v>342</v>
      </c>
      <c r="D197" s="22" t="s">
        <v>343</v>
      </c>
      <c r="E197" s="20">
        <f t="shared" si="20"/>
        <v>345</v>
      </c>
      <c r="F197" s="588" t="s">
        <v>1163</v>
      </c>
      <c r="G197" s="20">
        <f t="shared" si="21"/>
        <v>328</v>
      </c>
      <c r="H197" s="36" t="s">
        <v>30</v>
      </c>
      <c r="I197" s="20" t="s">
        <v>19</v>
      </c>
      <c r="J197" s="20" t="s">
        <v>19</v>
      </c>
      <c r="K197" s="20" t="s">
        <v>31</v>
      </c>
      <c r="L197" s="31" t="s">
        <v>331</v>
      </c>
      <c r="M197" s="81" t="s">
        <v>19</v>
      </c>
      <c r="N197" s="42"/>
      <c r="O197" s="42"/>
      <c r="P197" s="10"/>
      <c r="Q197" s="279">
        <v>1</v>
      </c>
      <c r="R197" s="141"/>
      <c r="T197" s="149" t="s">
        <v>18</v>
      </c>
      <c r="U197" s="148"/>
      <c r="X197" s="278">
        <v>8.2318143844604492</v>
      </c>
      <c r="Y197" s="278">
        <f t="shared" si="19"/>
        <v>8.2318143844604492</v>
      </c>
      <c r="Z197" s="141" t="str">
        <f t="shared" si="23"/>
        <v/>
      </c>
    </row>
    <row r="198" spans="1:26" s="147" customFormat="1" ht="204">
      <c r="A198" s="14">
        <f t="shared" si="22"/>
        <v>82</v>
      </c>
      <c r="B198" s="357" t="s">
        <v>344</v>
      </c>
      <c r="C198" s="17" t="s">
        <v>344</v>
      </c>
      <c r="D198" s="22" t="s">
        <v>916</v>
      </c>
      <c r="E198" s="20">
        <f t="shared" si="20"/>
        <v>370</v>
      </c>
      <c r="F198" s="588" t="s">
        <v>1164</v>
      </c>
      <c r="G198" s="20">
        <f t="shared" si="21"/>
        <v>346</v>
      </c>
      <c r="H198" s="36" t="s">
        <v>30</v>
      </c>
      <c r="I198" s="20" t="s">
        <v>19</v>
      </c>
      <c r="J198" s="20" t="s">
        <v>19</v>
      </c>
      <c r="K198" s="20" t="s">
        <v>31</v>
      </c>
      <c r="L198" s="31" t="s">
        <v>331</v>
      </c>
      <c r="M198" s="81" t="s">
        <v>19</v>
      </c>
      <c r="N198" s="42"/>
      <c r="O198" s="42"/>
      <c r="P198" s="10"/>
      <c r="Q198" s="279">
        <v>1</v>
      </c>
      <c r="R198" s="141"/>
      <c r="T198" s="149" t="s">
        <v>18</v>
      </c>
      <c r="U198" s="148"/>
      <c r="X198" s="278">
        <v>12.454976081848145</v>
      </c>
      <c r="Y198" s="278">
        <f t="shared" si="19"/>
        <v>12.454976081848145</v>
      </c>
      <c r="Z198" s="141" t="str">
        <f t="shared" si="23"/>
        <v/>
      </c>
    </row>
    <row r="199" spans="1:26" s="147" customFormat="1" ht="221">
      <c r="A199" s="14">
        <f t="shared" si="22"/>
        <v>83</v>
      </c>
      <c r="B199" s="357" t="s">
        <v>345</v>
      </c>
      <c r="C199" s="17" t="s">
        <v>345</v>
      </c>
      <c r="D199" s="22" t="s">
        <v>857</v>
      </c>
      <c r="E199" s="20">
        <f t="shared" si="20"/>
        <v>425</v>
      </c>
      <c r="F199" s="588" t="s">
        <v>1165</v>
      </c>
      <c r="G199" s="20">
        <f t="shared" si="21"/>
        <v>390</v>
      </c>
      <c r="H199" s="36" t="s">
        <v>30</v>
      </c>
      <c r="I199" s="20" t="s">
        <v>19</v>
      </c>
      <c r="J199" s="20" t="s">
        <v>19</v>
      </c>
      <c r="K199" s="20" t="s">
        <v>31</v>
      </c>
      <c r="L199" s="31" t="s">
        <v>331</v>
      </c>
      <c r="M199" s="81" t="s">
        <v>19</v>
      </c>
      <c r="N199" s="42"/>
      <c r="O199" s="42"/>
      <c r="P199" s="10"/>
      <c r="Q199" s="279">
        <v>1</v>
      </c>
      <c r="R199" s="141"/>
      <c r="T199" s="149" t="s">
        <v>18</v>
      </c>
      <c r="U199" s="148"/>
      <c r="X199" s="278">
        <v>11.934056282043457</v>
      </c>
      <c r="Y199" s="278">
        <f t="shared" si="19"/>
        <v>11.934056282043457</v>
      </c>
      <c r="Z199" s="141" t="str">
        <f t="shared" si="23"/>
        <v/>
      </c>
    </row>
    <row r="200" spans="1:26" s="147" customFormat="1" ht="204">
      <c r="A200" s="14">
        <f t="shared" si="22"/>
        <v>84</v>
      </c>
      <c r="B200" s="357" t="s">
        <v>346</v>
      </c>
      <c r="C200" s="17" t="s">
        <v>346</v>
      </c>
      <c r="D200" s="22" t="s">
        <v>347</v>
      </c>
      <c r="E200" s="20">
        <f t="shared" si="20"/>
        <v>360</v>
      </c>
      <c r="F200" s="588" t="s">
        <v>1166</v>
      </c>
      <c r="G200" s="20">
        <f t="shared" si="21"/>
        <v>337</v>
      </c>
      <c r="H200" s="36" t="s">
        <v>30</v>
      </c>
      <c r="I200" s="20" t="s">
        <v>19</v>
      </c>
      <c r="J200" s="20" t="s">
        <v>19</v>
      </c>
      <c r="K200" s="20" t="s">
        <v>31</v>
      </c>
      <c r="L200" s="31" t="s">
        <v>331</v>
      </c>
      <c r="M200" s="81" t="s">
        <v>19</v>
      </c>
      <c r="N200" s="22"/>
      <c r="O200" s="31"/>
      <c r="P200" s="10"/>
      <c r="Q200" s="279">
        <v>1</v>
      </c>
      <c r="R200" s="141"/>
      <c r="T200" s="149" t="s">
        <v>18</v>
      </c>
      <c r="U200" s="148"/>
      <c r="X200" s="278">
        <v>11.360984802246094</v>
      </c>
      <c r="Y200" s="278">
        <f t="shared" si="19"/>
        <v>11.360984802246094</v>
      </c>
      <c r="Z200" s="141" t="str">
        <f t="shared" si="23"/>
        <v/>
      </c>
    </row>
    <row r="201" spans="1:26" s="147" customFormat="1" ht="204">
      <c r="A201" s="14">
        <f t="shared" si="22"/>
        <v>85</v>
      </c>
      <c r="B201" s="357" t="s">
        <v>348</v>
      </c>
      <c r="C201" s="17" t="s">
        <v>348</v>
      </c>
      <c r="D201" s="22" t="s">
        <v>858</v>
      </c>
      <c r="E201" s="20">
        <f t="shared" si="20"/>
        <v>374</v>
      </c>
      <c r="F201" s="588" t="s">
        <v>1167</v>
      </c>
      <c r="G201" s="20">
        <f t="shared" si="21"/>
        <v>360</v>
      </c>
      <c r="H201" s="36" t="s">
        <v>30</v>
      </c>
      <c r="I201" s="20" t="s">
        <v>19</v>
      </c>
      <c r="J201" s="20" t="s">
        <v>19</v>
      </c>
      <c r="K201" s="20" t="s">
        <v>31</v>
      </c>
      <c r="L201" s="31" t="s">
        <v>331</v>
      </c>
      <c r="M201" s="81" t="s">
        <v>19</v>
      </c>
      <c r="N201" s="358"/>
      <c r="O201" s="359"/>
      <c r="P201" s="10"/>
      <c r="Q201" s="279">
        <v>1</v>
      </c>
      <c r="R201" s="141"/>
      <c r="T201" s="149" t="s">
        <v>18</v>
      </c>
      <c r="U201" s="148"/>
      <c r="X201" s="278">
        <v>12.756719589233398</v>
      </c>
      <c r="Y201" s="278">
        <f t="shared" si="19"/>
        <v>12.756719589233398</v>
      </c>
      <c r="Z201" s="141" t="str">
        <f t="shared" si="23"/>
        <v/>
      </c>
    </row>
    <row r="202" spans="1:26" s="147" customFormat="1" ht="204">
      <c r="A202" s="14">
        <f t="shared" si="22"/>
        <v>86</v>
      </c>
      <c r="B202" s="357" t="s">
        <v>349</v>
      </c>
      <c r="C202" s="17" t="s">
        <v>349</v>
      </c>
      <c r="D202" s="22" t="s">
        <v>859</v>
      </c>
      <c r="E202" s="20">
        <f t="shared" si="20"/>
        <v>379</v>
      </c>
      <c r="F202" s="588" t="s">
        <v>1168</v>
      </c>
      <c r="G202" s="20">
        <f t="shared" si="21"/>
        <v>370</v>
      </c>
      <c r="H202" s="36" t="s">
        <v>30</v>
      </c>
      <c r="I202" s="20" t="s">
        <v>19</v>
      </c>
      <c r="J202" s="20" t="s">
        <v>19</v>
      </c>
      <c r="K202" s="20" t="s">
        <v>31</v>
      </c>
      <c r="L202" s="31" t="s">
        <v>331</v>
      </c>
      <c r="M202" s="81" t="s">
        <v>19</v>
      </c>
      <c r="N202" s="360"/>
      <c r="O202" s="361"/>
      <c r="P202" s="10"/>
      <c r="Q202" s="279">
        <v>1</v>
      </c>
      <c r="R202" s="141"/>
      <c r="T202" s="149" t="s">
        <v>18</v>
      </c>
      <c r="U202" s="148"/>
      <c r="X202" s="278">
        <v>7.8922214508056641</v>
      </c>
      <c r="Y202" s="278">
        <f t="shared" si="19"/>
        <v>7.8922214508056641</v>
      </c>
      <c r="Z202" s="141" t="str">
        <f t="shared" si="23"/>
        <v/>
      </c>
    </row>
    <row r="203" spans="1:26" s="147" customFormat="1" ht="204">
      <c r="A203" s="14">
        <f t="shared" si="22"/>
        <v>87</v>
      </c>
      <c r="B203" s="357" t="s">
        <v>777</v>
      </c>
      <c r="C203" s="17" t="s">
        <v>777</v>
      </c>
      <c r="D203" s="22" t="s">
        <v>350</v>
      </c>
      <c r="E203" s="20">
        <f t="shared" si="20"/>
        <v>398</v>
      </c>
      <c r="F203" s="588" t="s">
        <v>1169</v>
      </c>
      <c r="G203" s="20">
        <f t="shared" si="21"/>
        <v>385</v>
      </c>
      <c r="H203" s="36" t="s">
        <v>30</v>
      </c>
      <c r="I203" s="20" t="s">
        <v>19</v>
      </c>
      <c r="J203" s="20" t="s">
        <v>19</v>
      </c>
      <c r="K203" s="20" t="s">
        <v>31</v>
      </c>
      <c r="L203" s="31" t="s">
        <v>331</v>
      </c>
      <c r="M203" s="81" t="s">
        <v>19</v>
      </c>
      <c r="N203" s="360"/>
      <c r="O203" s="361"/>
      <c r="P203" s="10"/>
      <c r="Q203" s="279">
        <v>1</v>
      </c>
      <c r="R203" s="141"/>
      <c r="T203" s="149" t="s">
        <v>18</v>
      </c>
      <c r="U203" s="148"/>
      <c r="X203" s="278">
        <v>9.5187292098999023</v>
      </c>
      <c r="Y203" s="278">
        <f t="shared" si="19"/>
        <v>9.5187292098999023</v>
      </c>
      <c r="Z203" s="141" t="str">
        <f t="shared" si="23"/>
        <v/>
      </c>
    </row>
    <row r="204" spans="1:26" s="147" customFormat="1" ht="221">
      <c r="A204" s="14">
        <f t="shared" si="22"/>
        <v>88</v>
      </c>
      <c r="B204" s="357" t="s">
        <v>776</v>
      </c>
      <c r="C204" s="17" t="s">
        <v>776</v>
      </c>
      <c r="D204" s="22" t="s">
        <v>351</v>
      </c>
      <c r="E204" s="20">
        <f t="shared" si="20"/>
        <v>421</v>
      </c>
      <c r="F204" s="588" t="s">
        <v>1170</v>
      </c>
      <c r="G204" s="20">
        <f t="shared" si="21"/>
        <v>414</v>
      </c>
      <c r="H204" s="36" t="s">
        <v>30</v>
      </c>
      <c r="I204" s="20" t="s">
        <v>19</v>
      </c>
      <c r="J204" s="20" t="s">
        <v>19</v>
      </c>
      <c r="K204" s="20" t="s">
        <v>31</v>
      </c>
      <c r="L204" s="31" t="s">
        <v>331</v>
      </c>
      <c r="M204" s="81" t="s">
        <v>19</v>
      </c>
      <c r="N204" s="360"/>
      <c r="O204" s="361"/>
      <c r="P204" s="10"/>
      <c r="Q204" s="279">
        <v>1</v>
      </c>
      <c r="R204" s="141"/>
      <c r="T204" s="149" t="s">
        <v>18</v>
      </c>
      <c r="U204" s="148"/>
      <c r="X204" s="278">
        <v>9.0232686996459961</v>
      </c>
      <c r="Y204" s="278">
        <f t="shared" si="19"/>
        <v>9.0232686996459961</v>
      </c>
      <c r="Z204" s="141" t="str">
        <f t="shared" si="23"/>
        <v/>
      </c>
    </row>
    <row r="205" spans="1:26" s="147" customFormat="1" ht="204">
      <c r="A205" s="14">
        <f t="shared" si="22"/>
        <v>89</v>
      </c>
      <c r="B205" s="357" t="s">
        <v>352</v>
      </c>
      <c r="C205" s="17" t="s">
        <v>352</v>
      </c>
      <c r="D205" s="22" t="s">
        <v>917</v>
      </c>
      <c r="E205" s="20">
        <f t="shared" si="20"/>
        <v>351</v>
      </c>
      <c r="F205" s="588" t="s">
        <v>1171</v>
      </c>
      <c r="G205" s="20">
        <f t="shared" si="21"/>
        <v>331</v>
      </c>
      <c r="H205" s="36" t="s">
        <v>30</v>
      </c>
      <c r="I205" s="20" t="s">
        <v>19</v>
      </c>
      <c r="J205" s="20" t="s">
        <v>19</v>
      </c>
      <c r="K205" s="20" t="s">
        <v>31</v>
      </c>
      <c r="L205" s="31" t="s">
        <v>331</v>
      </c>
      <c r="M205" s="81" t="s">
        <v>19</v>
      </c>
      <c r="N205" s="360"/>
      <c r="O205" s="361"/>
      <c r="P205" s="10"/>
      <c r="Q205" s="279">
        <v>1</v>
      </c>
      <c r="R205" s="141"/>
      <c r="T205" s="149" t="s">
        <v>18</v>
      </c>
      <c r="U205" s="148"/>
      <c r="X205" s="278">
        <v>9.0632390975952148</v>
      </c>
      <c r="Y205" s="278">
        <f t="shared" si="19"/>
        <v>9.0632390975952148</v>
      </c>
      <c r="Z205" s="141" t="str">
        <f t="shared" si="23"/>
        <v/>
      </c>
    </row>
    <row r="206" spans="1:26" s="147" customFormat="1" ht="204">
      <c r="A206" s="14">
        <f t="shared" si="22"/>
        <v>90</v>
      </c>
      <c r="B206" s="357" t="s">
        <v>353</v>
      </c>
      <c r="C206" s="17" t="s">
        <v>353</v>
      </c>
      <c r="D206" s="22" t="s">
        <v>354</v>
      </c>
      <c r="E206" s="20">
        <f t="shared" si="20"/>
        <v>334</v>
      </c>
      <c r="F206" s="588" t="s">
        <v>1172</v>
      </c>
      <c r="G206" s="20">
        <f t="shared" si="21"/>
        <v>322</v>
      </c>
      <c r="H206" s="36" t="s">
        <v>30</v>
      </c>
      <c r="I206" s="20" t="s">
        <v>19</v>
      </c>
      <c r="J206" s="20" t="s">
        <v>19</v>
      </c>
      <c r="K206" s="20" t="s">
        <v>31</v>
      </c>
      <c r="L206" s="31" t="s">
        <v>331</v>
      </c>
      <c r="M206" s="81" t="s">
        <v>19</v>
      </c>
      <c r="N206" s="360"/>
      <c r="O206" s="361"/>
      <c r="P206" s="10"/>
      <c r="Q206" s="279">
        <v>1</v>
      </c>
      <c r="R206" s="141"/>
      <c r="T206" s="149" t="s">
        <v>18</v>
      </c>
      <c r="U206" s="148"/>
      <c r="X206" s="278">
        <v>9.1058073043823242</v>
      </c>
      <c r="Y206" s="278">
        <f t="shared" si="19"/>
        <v>9.1058073043823242</v>
      </c>
      <c r="Z206" s="141" t="str">
        <f t="shared" si="23"/>
        <v/>
      </c>
    </row>
    <row r="207" spans="1:26" s="147" customFormat="1" ht="204">
      <c r="A207" s="14">
        <f t="shared" si="22"/>
        <v>91</v>
      </c>
      <c r="B207" s="357" t="s">
        <v>355</v>
      </c>
      <c r="C207" s="17" t="s">
        <v>355</v>
      </c>
      <c r="D207" s="22" t="s">
        <v>860</v>
      </c>
      <c r="E207" s="20">
        <f t="shared" si="20"/>
        <v>401</v>
      </c>
      <c r="F207" s="588" t="s">
        <v>1173</v>
      </c>
      <c r="G207" s="20">
        <f t="shared" si="21"/>
        <v>373</v>
      </c>
      <c r="H207" s="36" t="s">
        <v>30</v>
      </c>
      <c r="I207" s="20" t="s">
        <v>19</v>
      </c>
      <c r="J207" s="20" t="s">
        <v>19</v>
      </c>
      <c r="K207" s="20" t="s">
        <v>31</v>
      </c>
      <c r="L207" s="31" t="s">
        <v>331</v>
      </c>
      <c r="M207" s="81" t="s">
        <v>19</v>
      </c>
      <c r="N207" s="360"/>
      <c r="O207" s="361"/>
      <c r="P207" s="10"/>
      <c r="Q207" s="279">
        <v>1</v>
      </c>
      <c r="R207" s="141"/>
      <c r="T207" s="149" t="s">
        <v>18</v>
      </c>
      <c r="U207" s="148"/>
      <c r="X207" s="278">
        <v>11.21794319152832</v>
      </c>
      <c r="Y207" s="278">
        <f t="shared" si="19"/>
        <v>11.21794319152832</v>
      </c>
      <c r="Z207" s="141" t="str">
        <f t="shared" si="23"/>
        <v/>
      </c>
    </row>
    <row r="208" spans="1:26" s="147" customFormat="1" ht="220" customHeight="1">
      <c r="A208" s="14">
        <f t="shared" si="22"/>
        <v>92</v>
      </c>
      <c r="B208" s="357" t="s">
        <v>356</v>
      </c>
      <c r="C208" s="17" t="s">
        <v>356</v>
      </c>
      <c r="D208" s="22" t="s">
        <v>918</v>
      </c>
      <c r="E208" s="20">
        <f t="shared" si="20"/>
        <v>360</v>
      </c>
      <c r="F208" s="588" t="s">
        <v>1174</v>
      </c>
      <c r="G208" s="20">
        <f t="shared" si="21"/>
        <v>335</v>
      </c>
      <c r="H208" s="36" t="s">
        <v>30</v>
      </c>
      <c r="I208" s="20" t="s">
        <v>19</v>
      </c>
      <c r="J208" s="20" t="s">
        <v>19</v>
      </c>
      <c r="K208" s="20" t="s">
        <v>31</v>
      </c>
      <c r="L208" s="31" t="s">
        <v>331</v>
      </c>
      <c r="M208" s="81" t="s">
        <v>19</v>
      </c>
      <c r="N208" s="360"/>
      <c r="O208" s="361"/>
      <c r="P208" s="10"/>
      <c r="Q208" s="279">
        <v>1</v>
      </c>
      <c r="R208" s="141"/>
      <c r="T208" s="149" t="s">
        <v>18</v>
      </c>
      <c r="U208" s="148"/>
      <c r="W208" s="162"/>
      <c r="X208" s="278">
        <v>6.2936897277832031</v>
      </c>
      <c r="Y208" s="278">
        <f t="shared" ref="Y208:Y239" si="24">IF(X208="","",X208*Q208)</f>
        <v>6.2936897277832031</v>
      </c>
      <c r="Z208" s="141" t="str">
        <f t="shared" si="23"/>
        <v/>
      </c>
    </row>
    <row r="209" spans="1:26" s="147" customFormat="1" ht="204">
      <c r="A209" s="14">
        <f t="shared" si="22"/>
        <v>93</v>
      </c>
      <c r="B209" s="357" t="s">
        <v>357</v>
      </c>
      <c r="C209" s="17" t="s">
        <v>357</v>
      </c>
      <c r="D209" s="22" t="s">
        <v>358</v>
      </c>
      <c r="E209" s="20">
        <f t="shared" si="20"/>
        <v>335</v>
      </c>
      <c r="F209" s="588" t="s">
        <v>1175</v>
      </c>
      <c r="G209" s="20">
        <f t="shared" si="21"/>
        <v>321</v>
      </c>
      <c r="H209" s="36" t="s">
        <v>30</v>
      </c>
      <c r="I209" s="20" t="s">
        <v>19</v>
      </c>
      <c r="J209" s="20" t="s">
        <v>19</v>
      </c>
      <c r="K209" s="20" t="s">
        <v>31</v>
      </c>
      <c r="L209" s="31" t="s">
        <v>331</v>
      </c>
      <c r="M209" s="81" t="s">
        <v>19</v>
      </c>
      <c r="N209" s="360"/>
      <c r="O209" s="361"/>
      <c r="P209" s="10"/>
      <c r="Q209" s="279">
        <v>1</v>
      </c>
      <c r="R209" s="141"/>
      <c r="T209" s="149" t="s">
        <v>18</v>
      </c>
      <c r="U209" s="148"/>
      <c r="X209" s="278">
        <v>9.0649547576904297</v>
      </c>
      <c r="Y209" s="278">
        <f t="shared" si="24"/>
        <v>9.0649547576904297</v>
      </c>
      <c r="Z209" s="141" t="str">
        <f t="shared" si="23"/>
        <v/>
      </c>
    </row>
    <row r="210" spans="1:26" s="147" customFormat="1" ht="409.6">
      <c r="A210" s="46">
        <f t="shared" si="22"/>
        <v>94</v>
      </c>
      <c r="B210" s="186" t="s">
        <v>359</v>
      </c>
      <c r="C210" s="146" t="s">
        <v>360</v>
      </c>
      <c r="D210" s="412" t="s">
        <v>919</v>
      </c>
      <c r="E210" s="152">
        <f t="shared" ref="E210:E227" si="25">LEN(D210)</f>
        <v>1361</v>
      </c>
      <c r="F210" s="590" t="s">
        <v>1176</v>
      </c>
      <c r="G210" s="152">
        <f t="shared" ref="G210:G227" si="26">LEN(F210)</f>
        <v>1385</v>
      </c>
      <c r="H210" s="161" t="s">
        <v>152</v>
      </c>
      <c r="I210" s="152" t="s">
        <v>19</v>
      </c>
      <c r="J210" s="152" t="s">
        <v>19</v>
      </c>
      <c r="K210" s="152" t="s">
        <v>153</v>
      </c>
      <c r="L210" s="151" t="s">
        <v>361</v>
      </c>
      <c r="M210" s="222" t="s">
        <v>884</v>
      </c>
      <c r="N210" s="151" t="s">
        <v>362</v>
      </c>
      <c r="O210" s="85"/>
      <c r="P210" s="160"/>
      <c r="Q210" s="274">
        <v>1</v>
      </c>
      <c r="R210" s="141"/>
      <c r="T210" s="461" t="s">
        <v>26</v>
      </c>
      <c r="U210" s="148"/>
      <c r="X210" s="277">
        <v>52.174358367919922</v>
      </c>
      <c r="Y210" s="277">
        <f t="shared" si="24"/>
        <v>52.174358367919922</v>
      </c>
      <c r="Z210" s="141">
        <f t="shared" si="23"/>
        <v>52.174358367919922</v>
      </c>
    </row>
    <row r="211" spans="1:26" s="147" customFormat="1" ht="153">
      <c r="A211" s="347">
        <f t="shared" si="22"/>
        <v>95</v>
      </c>
      <c r="B211" s="239" t="s">
        <v>363</v>
      </c>
      <c r="C211" s="185" t="s">
        <v>363</v>
      </c>
      <c r="D211" s="159" t="s">
        <v>364</v>
      </c>
      <c r="E211" s="135">
        <f t="shared" si="25"/>
        <v>327</v>
      </c>
      <c r="F211" s="594" t="s">
        <v>1177</v>
      </c>
      <c r="G211" s="135">
        <f t="shared" si="26"/>
        <v>326</v>
      </c>
      <c r="H211" s="158" t="s">
        <v>30</v>
      </c>
      <c r="I211" s="136" t="s">
        <v>19</v>
      </c>
      <c r="J211" s="136" t="s">
        <v>19</v>
      </c>
      <c r="K211" s="136" t="s">
        <v>31</v>
      </c>
      <c r="L211" s="157" t="s">
        <v>1235</v>
      </c>
      <c r="M211" s="222" t="s">
        <v>19</v>
      </c>
      <c r="N211" s="157" t="s">
        <v>1236</v>
      </c>
      <c r="O211" s="45"/>
      <c r="P211" s="156"/>
      <c r="Q211" s="274">
        <v>1</v>
      </c>
      <c r="R211" s="141"/>
      <c r="T211" s="461" t="s">
        <v>26</v>
      </c>
      <c r="U211" s="148"/>
      <c r="X211" s="277">
        <v>1.2871023416519165</v>
      </c>
      <c r="Y211" s="277">
        <f t="shared" si="24"/>
        <v>1.2871023416519165</v>
      </c>
      <c r="Z211" s="141">
        <f t="shared" si="23"/>
        <v>1.2871023416519165</v>
      </c>
    </row>
    <row r="212" spans="1:26" s="147" customFormat="1" ht="85">
      <c r="A212" s="14">
        <f t="shared" si="22"/>
        <v>96</v>
      </c>
      <c r="B212" s="238" t="s">
        <v>365</v>
      </c>
      <c r="C212" s="247" t="s">
        <v>365</v>
      </c>
      <c r="D212" s="614" t="s">
        <v>1252</v>
      </c>
      <c r="E212" s="20">
        <f t="shared" si="25"/>
        <v>179</v>
      </c>
      <c r="F212" s="595" t="s">
        <v>1178</v>
      </c>
      <c r="G212" s="20">
        <f t="shared" si="26"/>
        <v>158</v>
      </c>
      <c r="H212" s="36" t="s">
        <v>30</v>
      </c>
      <c r="I212" s="20" t="s">
        <v>19</v>
      </c>
      <c r="J212" s="20" t="s">
        <v>19</v>
      </c>
      <c r="K212" s="20" t="s">
        <v>31</v>
      </c>
      <c r="L212" s="31" t="s">
        <v>366</v>
      </c>
      <c r="M212" s="81" t="s">
        <v>19</v>
      </c>
      <c r="N212" s="31" t="s">
        <v>367</v>
      </c>
      <c r="O212" s="31"/>
      <c r="P212" s="128"/>
      <c r="Q212" s="279">
        <v>1</v>
      </c>
      <c r="R212" s="141"/>
      <c r="T212" s="149" t="s">
        <v>18</v>
      </c>
      <c r="U212" s="148"/>
      <c r="X212" s="278">
        <v>5.6449732780456543</v>
      </c>
      <c r="Y212" s="278">
        <f t="shared" si="24"/>
        <v>5.6449732780456543</v>
      </c>
      <c r="Z212" s="141" t="str">
        <f t="shared" si="23"/>
        <v/>
      </c>
    </row>
    <row r="213" spans="1:26" s="147" customFormat="1" ht="102">
      <c r="A213" s="14">
        <f t="shared" si="22"/>
        <v>97</v>
      </c>
      <c r="B213" s="238" t="s">
        <v>368</v>
      </c>
      <c r="C213" s="247" t="s">
        <v>368</v>
      </c>
      <c r="D213" s="615" t="s">
        <v>941</v>
      </c>
      <c r="E213" s="20">
        <f t="shared" si="25"/>
        <v>292</v>
      </c>
      <c r="F213" s="615" t="s">
        <v>1320</v>
      </c>
      <c r="G213" s="20">
        <f t="shared" si="26"/>
        <v>291</v>
      </c>
      <c r="H213" s="36" t="s">
        <v>94</v>
      </c>
      <c r="I213" s="20" t="s">
        <v>19</v>
      </c>
      <c r="J213" s="20" t="s">
        <v>19</v>
      </c>
      <c r="K213" s="20" t="s">
        <v>22</v>
      </c>
      <c r="L213" s="31" t="s">
        <v>369</v>
      </c>
      <c r="M213" s="81" t="s">
        <v>19</v>
      </c>
      <c r="N213" s="31" t="s">
        <v>370</v>
      </c>
      <c r="O213" s="31"/>
      <c r="P213" s="127"/>
      <c r="Q213" s="279">
        <v>1</v>
      </c>
      <c r="R213" s="141"/>
      <c r="T213" s="149" t="s">
        <v>18</v>
      </c>
      <c r="U213" s="148"/>
      <c r="X213" s="278">
        <v>26.998960494995117</v>
      </c>
      <c r="Y213" s="278">
        <f t="shared" si="24"/>
        <v>26.998960494995117</v>
      </c>
      <c r="Z213" s="141" t="str">
        <f t="shared" si="23"/>
        <v/>
      </c>
    </row>
    <row r="214" spans="1:26" s="147" customFormat="1" ht="102">
      <c r="A214" s="14">
        <f t="shared" si="22"/>
        <v>98</v>
      </c>
      <c r="B214" s="238" t="s">
        <v>371</v>
      </c>
      <c r="C214" s="247" t="s">
        <v>371</v>
      </c>
      <c r="D214" s="413" t="s">
        <v>942</v>
      </c>
      <c r="E214" s="20">
        <f t="shared" si="25"/>
        <v>267</v>
      </c>
      <c r="F214" s="615" t="s">
        <v>1321</v>
      </c>
      <c r="G214" s="20">
        <f t="shared" si="26"/>
        <v>269</v>
      </c>
      <c r="H214" s="36" t="s">
        <v>94</v>
      </c>
      <c r="I214" s="20" t="s">
        <v>19</v>
      </c>
      <c r="J214" s="20" t="s">
        <v>19</v>
      </c>
      <c r="K214" s="20" t="s">
        <v>22</v>
      </c>
      <c r="L214" s="31" t="s">
        <v>785</v>
      </c>
      <c r="M214" s="81" t="s">
        <v>19</v>
      </c>
      <c r="N214" s="31" t="s">
        <v>784</v>
      </c>
      <c r="O214" s="31"/>
      <c r="P214" s="127"/>
      <c r="Q214" s="279">
        <v>1</v>
      </c>
      <c r="R214" s="141"/>
      <c r="T214" s="149" t="s">
        <v>18</v>
      </c>
      <c r="U214" s="148"/>
      <c r="X214" s="278">
        <v>18.273832321166992</v>
      </c>
      <c r="Y214" s="278">
        <f t="shared" si="24"/>
        <v>18.273832321166992</v>
      </c>
      <c r="Z214" s="141" t="str">
        <f t="shared" si="23"/>
        <v/>
      </c>
    </row>
    <row r="215" spans="1:26" s="147" customFormat="1" ht="85">
      <c r="A215" s="14">
        <f t="shared" si="22"/>
        <v>99</v>
      </c>
      <c r="B215" s="238" t="s">
        <v>782</v>
      </c>
      <c r="C215" s="247" t="s">
        <v>782</v>
      </c>
      <c r="D215" s="413" t="s">
        <v>943</v>
      </c>
      <c r="E215" s="20">
        <f t="shared" si="25"/>
        <v>251</v>
      </c>
      <c r="F215" s="615" t="s">
        <v>1328</v>
      </c>
      <c r="G215" s="20">
        <f t="shared" si="26"/>
        <v>244</v>
      </c>
      <c r="H215" s="36" t="s">
        <v>94</v>
      </c>
      <c r="I215" s="20" t="s">
        <v>19</v>
      </c>
      <c r="J215" s="20" t="s">
        <v>19</v>
      </c>
      <c r="K215" s="20" t="s">
        <v>22</v>
      </c>
      <c r="L215" s="31" t="s">
        <v>372</v>
      </c>
      <c r="M215" s="81" t="s">
        <v>19</v>
      </c>
      <c r="N215" s="31" t="s">
        <v>373</v>
      </c>
      <c r="O215" s="31"/>
      <c r="P215" s="127"/>
      <c r="Q215" s="279">
        <v>1</v>
      </c>
      <c r="R215" s="141"/>
      <c r="T215" s="149" t="s">
        <v>18</v>
      </c>
      <c r="U215" s="148"/>
      <c r="X215" s="278">
        <v>16.352115631103516</v>
      </c>
      <c r="Y215" s="278">
        <f t="shared" si="24"/>
        <v>16.352115631103516</v>
      </c>
      <c r="Z215" s="141" t="str">
        <f t="shared" si="23"/>
        <v/>
      </c>
    </row>
    <row r="216" spans="1:26" s="147" customFormat="1" ht="85">
      <c r="A216" s="14">
        <f t="shared" si="22"/>
        <v>100</v>
      </c>
      <c r="B216" s="238" t="s">
        <v>374</v>
      </c>
      <c r="C216" s="247" t="s">
        <v>374</v>
      </c>
      <c r="D216" s="614" t="s">
        <v>1251</v>
      </c>
      <c r="E216" s="20">
        <f t="shared" si="25"/>
        <v>220</v>
      </c>
      <c r="F216" s="615" t="s">
        <v>1327</v>
      </c>
      <c r="G216" s="20">
        <f t="shared" si="26"/>
        <v>218</v>
      </c>
      <c r="H216" s="36" t="s">
        <v>94</v>
      </c>
      <c r="I216" s="20" t="s">
        <v>19</v>
      </c>
      <c r="J216" s="20" t="s">
        <v>19</v>
      </c>
      <c r="K216" s="20" t="s">
        <v>22</v>
      </c>
      <c r="L216" s="31" t="s">
        <v>375</v>
      </c>
      <c r="M216" s="81" t="s">
        <v>19</v>
      </c>
      <c r="N216" s="31" t="s">
        <v>376</v>
      </c>
      <c r="O216" s="31"/>
      <c r="P216" s="127"/>
      <c r="Q216" s="279">
        <v>1</v>
      </c>
      <c r="R216" s="141"/>
      <c r="T216" s="149" t="s">
        <v>18</v>
      </c>
      <c r="U216" s="148"/>
      <c r="X216" s="278">
        <v>14.01507568359375</v>
      </c>
      <c r="Y216" s="278">
        <f t="shared" si="24"/>
        <v>14.01507568359375</v>
      </c>
      <c r="Z216" s="141" t="str">
        <f t="shared" si="23"/>
        <v/>
      </c>
    </row>
    <row r="217" spans="1:26" s="147" customFormat="1" ht="102">
      <c r="A217" s="14">
        <f t="shared" si="22"/>
        <v>101</v>
      </c>
      <c r="B217" s="238" t="s">
        <v>377</v>
      </c>
      <c r="C217" s="247" t="s">
        <v>377</v>
      </c>
      <c r="D217" s="413" t="s">
        <v>944</v>
      </c>
      <c r="E217" s="20">
        <f t="shared" si="25"/>
        <v>273</v>
      </c>
      <c r="F217" s="615" t="s">
        <v>1322</v>
      </c>
      <c r="G217" s="20">
        <f t="shared" si="26"/>
        <v>315</v>
      </c>
      <c r="H217" s="36" t="s">
        <v>94</v>
      </c>
      <c r="I217" s="20" t="s">
        <v>19</v>
      </c>
      <c r="J217" s="20" t="s">
        <v>19</v>
      </c>
      <c r="K217" s="20" t="s">
        <v>22</v>
      </c>
      <c r="L217" s="31" t="s">
        <v>378</v>
      </c>
      <c r="M217" s="81" t="s">
        <v>19</v>
      </c>
      <c r="N217" s="31" t="s">
        <v>379</v>
      </c>
      <c r="O217" s="31"/>
      <c r="P217" s="127"/>
      <c r="Q217" s="279">
        <v>1</v>
      </c>
      <c r="R217" s="141"/>
      <c r="T217" s="149" t="s">
        <v>18</v>
      </c>
      <c r="U217" s="148"/>
      <c r="X217" s="278">
        <v>17.227466583251953</v>
      </c>
      <c r="Y217" s="278">
        <f t="shared" si="24"/>
        <v>17.227466583251953</v>
      </c>
      <c r="Z217" s="141" t="str">
        <f t="shared" si="23"/>
        <v/>
      </c>
    </row>
    <row r="218" spans="1:26" s="147" customFormat="1" ht="102">
      <c r="A218" s="14">
        <f t="shared" si="22"/>
        <v>102</v>
      </c>
      <c r="B218" s="238" t="s">
        <v>380</v>
      </c>
      <c r="C218" s="247" t="s">
        <v>380</v>
      </c>
      <c r="D218" s="413" t="s">
        <v>945</v>
      </c>
      <c r="E218" s="20">
        <f t="shared" si="25"/>
        <v>307</v>
      </c>
      <c r="F218" s="615" t="s">
        <v>1323</v>
      </c>
      <c r="G218" s="20">
        <f t="shared" si="26"/>
        <v>312</v>
      </c>
      <c r="H218" s="36" t="s">
        <v>94</v>
      </c>
      <c r="I218" s="20" t="s">
        <v>19</v>
      </c>
      <c r="J218" s="20" t="s">
        <v>19</v>
      </c>
      <c r="K218" s="20" t="s">
        <v>22</v>
      </c>
      <c r="L218" s="31" t="s">
        <v>381</v>
      </c>
      <c r="M218" s="81" t="s">
        <v>19</v>
      </c>
      <c r="N218" s="31" t="s">
        <v>382</v>
      </c>
      <c r="O218" s="31"/>
      <c r="P218" s="127"/>
      <c r="Q218" s="279">
        <v>1</v>
      </c>
      <c r="R218" s="141"/>
      <c r="T218" s="149" t="s">
        <v>18</v>
      </c>
      <c r="U218" s="148"/>
      <c r="X218" s="278">
        <v>19.492774716706517</v>
      </c>
      <c r="Y218" s="278">
        <f t="shared" si="24"/>
        <v>19.492774716706517</v>
      </c>
      <c r="Z218" s="141" t="str">
        <f t="shared" si="23"/>
        <v/>
      </c>
    </row>
    <row r="219" spans="1:26" s="147" customFormat="1" ht="102">
      <c r="A219" s="14">
        <f t="shared" si="22"/>
        <v>103</v>
      </c>
      <c r="B219" s="238" t="s">
        <v>383</v>
      </c>
      <c r="C219" s="247" t="s">
        <v>383</v>
      </c>
      <c r="D219" s="413" t="s">
        <v>946</v>
      </c>
      <c r="E219" s="20">
        <f t="shared" si="25"/>
        <v>292</v>
      </c>
      <c r="F219" s="615" t="s">
        <v>1324</v>
      </c>
      <c r="G219" s="20">
        <f t="shared" si="26"/>
        <v>268</v>
      </c>
      <c r="H219" s="36" t="s">
        <v>94</v>
      </c>
      <c r="I219" s="20" t="s">
        <v>19</v>
      </c>
      <c r="J219" s="20" t="s">
        <v>19</v>
      </c>
      <c r="K219" s="20" t="s">
        <v>22</v>
      </c>
      <c r="L219" s="31" t="s">
        <v>384</v>
      </c>
      <c r="M219" s="81" t="s">
        <v>19</v>
      </c>
      <c r="N219" s="31" t="s">
        <v>385</v>
      </c>
      <c r="O219" s="31"/>
      <c r="P219" s="127"/>
      <c r="Q219" s="279">
        <v>1</v>
      </c>
      <c r="R219" s="141"/>
      <c r="T219" s="149" t="s">
        <v>18</v>
      </c>
      <c r="U219" s="148"/>
      <c r="X219" s="278">
        <v>14.174134254455566</v>
      </c>
      <c r="Y219" s="278">
        <f t="shared" si="24"/>
        <v>14.174134254455566</v>
      </c>
      <c r="Z219" s="141" t="str">
        <f t="shared" si="23"/>
        <v/>
      </c>
    </row>
    <row r="220" spans="1:26" s="147" customFormat="1" ht="102">
      <c r="A220" s="14">
        <f t="shared" si="22"/>
        <v>104</v>
      </c>
      <c r="B220" s="238" t="s">
        <v>386</v>
      </c>
      <c r="C220" s="247" t="s">
        <v>386</v>
      </c>
      <c r="D220" s="413" t="s">
        <v>947</v>
      </c>
      <c r="E220" s="20">
        <f t="shared" si="25"/>
        <v>262</v>
      </c>
      <c r="F220" s="615" t="s">
        <v>1325</v>
      </c>
      <c r="G220" s="20">
        <f t="shared" si="26"/>
        <v>279</v>
      </c>
      <c r="H220" s="36" t="s">
        <v>94</v>
      </c>
      <c r="I220" s="20" t="s">
        <v>19</v>
      </c>
      <c r="J220" s="20" t="s">
        <v>19</v>
      </c>
      <c r="K220" s="20" t="s">
        <v>22</v>
      </c>
      <c r="L220" s="31" t="s">
        <v>387</v>
      </c>
      <c r="M220" s="81" t="s">
        <v>19</v>
      </c>
      <c r="N220" s="31" t="s">
        <v>388</v>
      </c>
      <c r="O220" s="31"/>
      <c r="P220" s="127"/>
      <c r="Q220" s="279">
        <v>1</v>
      </c>
      <c r="R220" s="141"/>
      <c r="T220" s="149" t="s">
        <v>18</v>
      </c>
      <c r="U220" s="148"/>
      <c r="X220" s="278">
        <v>13.378625869750977</v>
      </c>
      <c r="Y220" s="278">
        <f t="shared" si="24"/>
        <v>13.378625869750977</v>
      </c>
      <c r="Z220" s="141" t="str">
        <f t="shared" si="23"/>
        <v/>
      </c>
    </row>
    <row r="221" spans="1:26" s="147" customFormat="1" ht="102">
      <c r="A221" s="14"/>
      <c r="B221" s="238" t="s">
        <v>389</v>
      </c>
      <c r="C221" s="247" t="s">
        <v>389</v>
      </c>
      <c r="D221" s="413" t="s">
        <v>953</v>
      </c>
      <c r="E221" s="20">
        <f t="shared" si="25"/>
        <v>257</v>
      </c>
      <c r="F221" s="615" t="s">
        <v>1326</v>
      </c>
      <c r="G221" s="20">
        <f t="shared" si="26"/>
        <v>325</v>
      </c>
      <c r="H221" s="36" t="s">
        <v>94</v>
      </c>
      <c r="I221" s="20" t="s">
        <v>19</v>
      </c>
      <c r="J221" s="20" t="s">
        <v>19</v>
      </c>
      <c r="K221" s="20" t="s">
        <v>22</v>
      </c>
      <c r="L221" s="31" t="s">
        <v>950</v>
      </c>
      <c r="M221" s="81" t="s">
        <v>19</v>
      </c>
      <c r="N221" s="31" t="s">
        <v>949</v>
      </c>
      <c r="O221" s="31"/>
      <c r="P221" s="127"/>
      <c r="Q221" s="279">
        <v>1</v>
      </c>
      <c r="R221" s="141"/>
      <c r="T221" s="149" t="s">
        <v>18</v>
      </c>
      <c r="U221" s="148"/>
      <c r="X221" s="278">
        <v>12.756523132324219</v>
      </c>
      <c r="Y221" s="278">
        <f t="shared" si="24"/>
        <v>12.756523132324219</v>
      </c>
      <c r="Z221" s="141" t="str">
        <f t="shared" si="23"/>
        <v/>
      </c>
    </row>
    <row r="222" spans="1:26" s="147" customFormat="1" ht="85">
      <c r="A222" s="14">
        <f>A220+1</f>
        <v>105</v>
      </c>
      <c r="B222" s="238" t="s">
        <v>948</v>
      </c>
      <c r="C222" s="247" t="s">
        <v>948</v>
      </c>
      <c r="D222" s="368" t="s">
        <v>390</v>
      </c>
      <c r="E222" s="20">
        <f t="shared" si="25"/>
        <v>204</v>
      </c>
      <c r="F222" s="595" t="s">
        <v>1179</v>
      </c>
      <c r="G222" s="20">
        <f t="shared" si="26"/>
        <v>164</v>
      </c>
      <c r="H222" s="36" t="s">
        <v>30</v>
      </c>
      <c r="I222" s="20" t="s">
        <v>19</v>
      </c>
      <c r="J222" s="20" t="s">
        <v>19</v>
      </c>
      <c r="K222" s="20" t="s">
        <v>31</v>
      </c>
      <c r="L222" s="31" t="s">
        <v>391</v>
      </c>
      <c r="M222" s="81" t="s">
        <v>19</v>
      </c>
      <c r="N222" s="31" t="s">
        <v>392</v>
      </c>
      <c r="O222" s="31"/>
      <c r="P222" s="127"/>
      <c r="Q222" s="279">
        <v>1</v>
      </c>
      <c r="R222" s="141"/>
      <c r="T222" s="149" t="s">
        <v>18</v>
      </c>
      <c r="U222" s="148"/>
      <c r="X222" s="278">
        <v>5.8349170684814453</v>
      </c>
      <c r="Y222" s="278">
        <f t="shared" si="24"/>
        <v>5.8349170684814453</v>
      </c>
      <c r="Z222" s="141" t="str">
        <f t="shared" si="23"/>
        <v/>
      </c>
    </row>
    <row r="223" spans="1:26" s="147" customFormat="1" ht="68">
      <c r="A223" s="14">
        <f>A222+1</f>
        <v>106</v>
      </c>
      <c r="B223" s="238" t="s">
        <v>393</v>
      </c>
      <c r="C223" s="247" t="s">
        <v>393</v>
      </c>
      <c r="D223" s="368" t="s">
        <v>394</v>
      </c>
      <c r="E223" s="20">
        <f t="shared" si="25"/>
        <v>169</v>
      </c>
      <c r="F223" s="595" t="s">
        <v>1180</v>
      </c>
      <c r="G223" s="20">
        <f t="shared" si="26"/>
        <v>162</v>
      </c>
      <c r="H223" s="116" t="s">
        <v>94</v>
      </c>
      <c r="I223" s="20" t="s">
        <v>19</v>
      </c>
      <c r="J223" s="20" t="s">
        <v>19</v>
      </c>
      <c r="K223" s="20" t="s">
        <v>22</v>
      </c>
      <c r="L223" s="31" t="s">
        <v>395</v>
      </c>
      <c r="M223" s="81" t="s">
        <v>19</v>
      </c>
      <c r="N223" s="31" t="s">
        <v>396</v>
      </c>
      <c r="O223" s="31"/>
      <c r="P223" s="127"/>
      <c r="Q223" s="279">
        <v>1</v>
      </c>
      <c r="R223" s="141"/>
      <c r="T223" s="149" t="s">
        <v>18</v>
      </c>
      <c r="U223" s="148"/>
      <c r="X223" s="278">
        <v>28.608445494708722</v>
      </c>
      <c r="Y223" s="278">
        <f t="shared" si="24"/>
        <v>28.608445494708722</v>
      </c>
      <c r="Z223" s="141" t="str">
        <f t="shared" si="23"/>
        <v/>
      </c>
    </row>
    <row r="224" spans="1:26" s="147" customFormat="1" ht="68">
      <c r="A224" s="14">
        <f>A223+1</f>
        <v>107</v>
      </c>
      <c r="B224" s="238" t="s">
        <v>397</v>
      </c>
      <c r="C224" s="247" t="s">
        <v>397</v>
      </c>
      <c r="D224" s="368" t="s">
        <v>398</v>
      </c>
      <c r="E224" s="20">
        <f t="shared" si="25"/>
        <v>192</v>
      </c>
      <c r="F224" s="595" t="s">
        <v>1181</v>
      </c>
      <c r="G224" s="20">
        <f t="shared" si="26"/>
        <v>191</v>
      </c>
      <c r="H224" s="116" t="s">
        <v>94</v>
      </c>
      <c r="I224" s="20" t="s">
        <v>19</v>
      </c>
      <c r="J224" s="20" t="s">
        <v>19</v>
      </c>
      <c r="K224" s="20" t="s">
        <v>22</v>
      </c>
      <c r="L224" s="31" t="s">
        <v>399</v>
      </c>
      <c r="M224" s="81" t="s">
        <v>19</v>
      </c>
      <c r="N224" s="31" t="s">
        <v>405</v>
      </c>
      <c r="O224" s="31"/>
      <c r="P224" s="127"/>
      <c r="Q224" s="279">
        <v>1</v>
      </c>
      <c r="R224" s="141"/>
      <c r="T224" s="149" t="s">
        <v>18</v>
      </c>
      <c r="U224" s="148"/>
      <c r="X224" s="278">
        <v>14.618206024169922</v>
      </c>
      <c r="Y224" s="278">
        <f t="shared" si="24"/>
        <v>14.618206024169922</v>
      </c>
      <c r="Z224" s="141" t="str">
        <f t="shared" si="23"/>
        <v/>
      </c>
    </row>
    <row r="225" spans="1:26" s="147" customFormat="1" ht="68">
      <c r="A225" s="14">
        <f>A224+1</f>
        <v>108</v>
      </c>
      <c r="B225" s="240" t="s">
        <v>400</v>
      </c>
      <c r="C225" s="241" t="s">
        <v>400</v>
      </c>
      <c r="D225" s="368" t="s">
        <v>401</v>
      </c>
      <c r="E225" s="20">
        <f t="shared" si="25"/>
        <v>178</v>
      </c>
      <c r="F225" s="595" t="s">
        <v>1182</v>
      </c>
      <c r="G225" s="20">
        <f t="shared" si="26"/>
        <v>178</v>
      </c>
      <c r="H225" s="116" t="s">
        <v>94</v>
      </c>
      <c r="I225" s="20" t="s">
        <v>19</v>
      </c>
      <c r="J225" s="20" t="s">
        <v>19</v>
      </c>
      <c r="K225" s="20" t="s">
        <v>22</v>
      </c>
      <c r="L225" s="31" t="s">
        <v>402</v>
      </c>
      <c r="M225" s="81" t="s">
        <v>19</v>
      </c>
      <c r="N225" s="31" t="s">
        <v>664</v>
      </c>
      <c r="O225" s="31"/>
      <c r="P225" s="127"/>
      <c r="Q225" s="279">
        <v>1</v>
      </c>
      <c r="R225" s="141"/>
      <c r="T225" s="149" t="s">
        <v>18</v>
      </c>
      <c r="U225" s="148"/>
      <c r="X225" s="278">
        <v>13.777663230895996</v>
      </c>
      <c r="Y225" s="278">
        <f t="shared" si="24"/>
        <v>13.777663230895996</v>
      </c>
      <c r="Z225" s="141" t="str">
        <f t="shared" si="23"/>
        <v/>
      </c>
    </row>
    <row r="226" spans="1:26" s="147" customFormat="1" ht="68">
      <c r="A226" s="14">
        <f>A225+1</f>
        <v>109</v>
      </c>
      <c r="B226" s="238" t="s">
        <v>403</v>
      </c>
      <c r="C226" s="247" t="s">
        <v>403</v>
      </c>
      <c r="D226" s="368" t="s">
        <v>404</v>
      </c>
      <c r="E226" s="20">
        <f t="shared" si="25"/>
        <v>169</v>
      </c>
      <c r="F226" s="595" t="s">
        <v>1183</v>
      </c>
      <c r="G226" s="20">
        <f t="shared" si="26"/>
        <v>166</v>
      </c>
      <c r="H226" s="116" t="s">
        <v>94</v>
      </c>
      <c r="I226" s="20" t="s">
        <v>19</v>
      </c>
      <c r="J226" s="20" t="s">
        <v>19</v>
      </c>
      <c r="K226" s="20" t="s">
        <v>22</v>
      </c>
      <c r="L226" s="31" t="s">
        <v>786</v>
      </c>
      <c r="M226" s="81" t="s">
        <v>19</v>
      </c>
      <c r="N226" s="31" t="s">
        <v>1250</v>
      </c>
      <c r="O226" s="31"/>
      <c r="P226" s="128"/>
      <c r="Q226" s="279">
        <v>1</v>
      </c>
      <c r="R226" s="141"/>
      <c r="T226" s="149" t="s">
        <v>18</v>
      </c>
      <c r="U226" s="148"/>
      <c r="X226" s="278">
        <v>12.399773597717285</v>
      </c>
      <c r="Y226" s="278">
        <f t="shared" si="24"/>
        <v>12.399773597717285</v>
      </c>
      <c r="Z226" s="141" t="str">
        <f t="shared" si="23"/>
        <v/>
      </c>
    </row>
    <row r="227" spans="1:26" s="147" customFormat="1" ht="69" thickBot="1">
      <c r="A227" s="14">
        <f>A226+1</f>
        <v>110</v>
      </c>
      <c r="B227" s="238" t="s">
        <v>783</v>
      </c>
      <c r="C227" s="247" t="s">
        <v>783</v>
      </c>
      <c r="D227" s="41" t="s">
        <v>406</v>
      </c>
      <c r="E227" s="20">
        <f t="shared" si="25"/>
        <v>190</v>
      </c>
      <c r="F227" s="596" t="s">
        <v>1184</v>
      </c>
      <c r="G227" s="20">
        <f t="shared" si="26"/>
        <v>200</v>
      </c>
      <c r="H227" s="116" t="s">
        <v>94</v>
      </c>
      <c r="I227" s="24" t="s">
        <v>19</v>
      </c>
      <c r="J227" s="24" t="s">
        <v>19</v>
      </c>
      <c r="K227" s="20" t="s">
        <v>22</v>
      </c>
      <c r="L227" s="29" t="s">
        <v>1237</v>
      </c>
      <c r="M227" s="81" t="s">
        <v>19</v>
      </c>
      <c r="N227" s="29" t="s">
        <v>1238</v>
      </c>
      <c r="O227" s="29"/>
      <c r="P227" s="128"/>
      <c r="Q227" s="279">
        <v>1</v>
      </c>
      <c r="R227" s="141"/>
      <c r="T227" s="149" t="s">
        <v>18</v>
      </c>
      <c r="U227" s="148"/>
      <c r="X227" s="278">
        <v>13.343881607055664</v>
      </c>
      <c r="Y227" s="278">
        <f t="shared" si="24"/>
        <v>13.343881607055664</v>
      </c>
      <c r="Z227" s="141" t="str">
        <f t="shared" si="23"/>
        <v/>
      </c>
    </row>
    <row r="228" spans="1:26" s="452" customFormat="1" ht="17" thickBot="1">
      <c r="A228" s="616" t="s">
        <v>407</v>
      </c>
      <c r="B228" s="617"/>
      <c r="C228" s="617"/>
      <c r="D228" s="617"/>
      <c r="E228" s="617"/>
      <c r="F228" s="617"/>
      <c r="G228" s="617"/>
      <c r="H228" s="617"/>
      <c r="I228" s="617"/>
      <c r="J228" s="617"/>
      <c r="K228" s="617"/>
      <c r="L228" s="617"/>
      <c r="M228" s="617"/>
      <c r="N228" s="617"/>
      <c r="O228" s="617"/>
      <c r="P228" s="618"/>
      <c r="Q228" s="274"/>
      <c r="R228" s="463"/>
      <c r="T228" s="461"/>
      <c r="U228" s="464"/>
      <c r="X228" s="277"/>
      <c r="Y228" s="277" t="str">
        <f t="shared" si="24"/>
        <v/>
      </c>
      <c r="Z228" s="463" t="str">
        <f t="shared" si="23"/>
        <v/>
      </c>
    </row>
    <row r="229" spans="1:26" s="235" customFormat="1" ht="255">
      <c r="A229" s="346">
        <f>A227+1</f>
        <v>111</v>
      </c>
      <c r="B229" s="237" t="s">
        <v>408</v>
      </c>
      <c r="C229" s="146" t="s">
        <v>408</v>
      </c>
      <c r="D229" s="145" t="s">
        <v>937</v>
      </c>
      <c r="E229" s="144">
        <f>LEN(D229)</f>
        <v>222</v>
      </c>
      <c r="F229" s="578" t="s">
        <v>1217</v>
      </c>
      <c r="G229" s="144">
        <f>LEN(F229)</f>
        <v>241</v>
      </c>
      <c r="H229" s="154" t="s">
        <v>30</v>
      </c>
      <c r="I229" s="144" t="s">
        <v>19</v>
      </c>
      <c r="J229" s="152" t="s">
        <v>1257</v>
      </c>
      <c r="K229" s="152" t="s">
        <v>31</v>
      </c>
      <c r="L229" s="143" t="s">
        <v>1239</v>
      </c>
      <c r="M229" s="222" t="s">
        <v>19</v>
      </c>
      <c r="N229" s="143" t="s">
        <v>1249</v>
      </c>
      <c r="O229" s="87"/>
      <c r="P229" s="9"/>
      <c r="Q229" s="274">
        <v>1</v>
      </c>
      <c r="R229" s="142"/>
      <c r="T229" s="465" t="s">
        <v>26</v>
      </c>
      <c r="U229" s="229"/>
      <c r="X229" s="281">
        <v>14.472773551940918</v>
      </c>
      <c r="Y229" s="277">
        <f t="shared" si="24"/>
        <v>14.472773551940918</v>
      </c>
      <c r="Z229" s="141">
        <f t="shared" si="23"/>
        <v>14.472773551940918</v>
      </c>
    </row>
    <row r="230" spans="1:26" s="147" customFormat="1" ht="409.6">
      <c r="A230" s="46">
        <f>A229+1</f>
        <v>112</v>
      </c>
      <c r="B230" s="237" t="s">
        <v>409</v>
      </c>
      <c r="C230" s="447" t="s">
        <v>754</v>
      </c>
      <c r="D230" s="430" t="s">
        <v>938</v>
      </c>
      <c r="E230" s="152">
        <f>LEN(D230)</f>
        <v>1207</v>
      </c>
      <c r="F230" s="578" t="s">
        <v>1218</v>
      </c>
      <c r="G230" s="152">
        <f>LEN(F230)</f>
        <v>1246</v>
      </c>
      <c r="H230" s="153" t="s">
        <v>191</v>
      </c>
      <c r="I230" s="152" t="s">
        <v>19</v>
      </c>
      <c r="J230" s="152" t="s">
        <v>19</v>
      </c>
      <c r="K230" s="152" t="s">
        <v>849</v>
      </c>
      <c r="L230" s="151" t="s">
        <v>1240</v>
      </c>
      <c r="M230" s="222" t="s">
        <v>885</v>
      </c>
      <c r="N230" s="150" t="s">
        <v>1241</v>
      </c>
      <c r="O230" s="175"/>
      <c r="P230" s="10"/>
      <c r="Q230" s="274">
        <v>1</v>
      </c>
      <c r="R230" s="141"/>
      <c r="T230" s="461" t="s">
        <v>26</v>
      </c>
      <c r="U230" s="148"/>
      <c r="X230" s="277">
        <v>33.740764617919922</v>
      </c>
      <c r="Y230" s="277">
        <f t="shared" si="24"/>
        <v>33.740764617919922</v>
      </c>
      <c r="Z230" s="141">
        <f t="shared" si="23"/>
        <v>33.740764617919922</v>
      </c>
    </row>
    <row r="231" spans="1:26" s="147" customFormat="1">
      <c r="A231" s="113"/>
      <c r="B231" s="265"/>
      <c r="C231" s="100"/>
      <c r="D231" s="121"/>
      <c r="E231" s="103"/>
      <c r="F231" s="48"/>
      <c r="G231" s="103"/>
      <c r="H231" s="114"/>
      <c r="I231" s="103"/>
      <c r="J231" s="103"/>
      <c r="K231" s="103"/>
      <c r="L231" s="95"/>
      <c r="M231" s="80"/>
      <c r="N231" s="264"/>
      <c r="O231" s="264"/>
      <c r="P231" s="10"/>
      <c r="Q231" s="279">
        <v>1</v>
      </c>
      <c r="R231" s="141"/>
      <c r="T231" s="149"/>
      <c r="U231" s="148"/>
      <c r="X231" s="278"/>
      <c r="Y231" s="278" t="str">
        <f t="shared" si="24"/>
        <v/>
      </c>
      <c r="Z231" s="141" t="str">
        <f t="shared" si="23"/>
        <v/>
      </c>
    </row>
    <row r="232" spans="1:26" s="147" customFormat="1" ht="289">
      <c r="A232" s="374">
        <f>A230+1</f>
        <v>113</v>
      </c>
      <c r="B232" s="186" t="s">
        <v>410</v>
      </c>
      <c r="C232" s="153" t="s">
        <v>775</v>
      </c>
      <c r="D232" s="430" t="s">
        <v>755</v>
      </c>
      <c r="E232" s="135">
        <f>LEN(D232)</f>
        <v>497</v>
      </c>
      <c r="F232" s="578" t="s">
        <v>1219</v>
      </c>
      <c r="G232" s="135">
        <f>LEN(F232)</f>
        <v>482</v>
      </c>
      <c r="H232" s="448" t="s">
        <v>191</v>
      </c>
      <c r="I232" s="135" t="s">
        <v>19</v>
      </c>
      <c r="J232" s="135" t="s">
        <v>19</v>
      </c>
      <c r="K232" s="135" t="s">
        <v>756</v>
      </c>
      <c r="L232" s="425" t="s">
        <v>1243</v>
      </c>
      <c r="M232" s="222" t="s">
        <v>886</v>
      </c>
      <c r="N232" s="425" t="s">
        <v>1242</v>
      </c>
      <c r="O232" s="95"/>
      <c r="P232" s="10"/>
      <c r="Q232" s="279">
        <v>1</v>
      </c>
      <c r="R232" s="141"/>
      <c r="T232" s="461" t="s">
        <v>26</v>
      </c>
      <c r="U232" s="148"/>
      <c r="X232" s="277">
        <v>14.550599098205566</v>
      </c>
      <c r="Y232" s="277">
        <f t="shared" si="24"/>
        <v>14.550599098205566</v>
      </c>
      <c r="Z232" s="141">
        <f t="shared" si="23"/>
        <v>14.550599098205566</v>
      </c>
    </row>
    <row r="233" spans="1:26" s="147" customFormat="1" ht="255">
      <c r="A233" s="374">
        <f>A232+1</f>
        <v>114</v>
      </c>
      <c r="B233" s="449" t="s">
        <v>670</v>
      </c>
      <c r="C233" s="450" t="s">
        <v>670</v>
      </c>
      <c r="D233" s="430" t="s">
        <v>757</v>
      </c>
      <c r="E233" s="135">
        <f>LEN(D233)</f>
        <v>460</v>
      </c>
      <c r="F233" s="602" t="s">
        <v>1220</v>
      </c>
      <c r="G233" s="135">
        <f>LEN(F233)</f>
        <v>383</v>
      </c>
      <c r="H233" s="448" t="s">
        <v>30</v>
      </c>
      <c r="I233" s="135" t="s">
        <v>19</v>
      </c>
      <c r="J233" s="451" t="s">
        <v>19</v>
      </c>
      <c r="K233" s="135" t="s">
        <v>31</v>
      </c>
      <c r="L233" s="425" t="s">
        <v>1258</v>
      </c>
      <c r="M233" s="222" t="s">
        <v>19</v>
      </c>
      <c r="N233" s="151" t="s">
        <v>1259</v>
      </c>
      <c r="O233" s="80"/>
      <c r="P233" s="10"/>
      <c r="Q233" s="279">
        <v>1</v>
      </c>
      <c r="R233" s="141"/>
      <c r="T233" s="461" t="s">
        <v>26</v>
      </c>
      <c r="U233" s="148"/>
      <c r="X233" s="277">
        <v>10.812456130981445</v>
      </c>
      <c r="Y233" s="277">
        <f t="shared" si="24"/>
        <v>10.812456130981445</v>
      </c>
      <c r="Z233" s="141">
        <f t="shared" si="23"/>
        <v>10.812456130981445</v>
      </c>
    </row>
    <row r="234" spans="1:26" s="147" customFormat="1">
      <c r="A234" s="113"/>
      <c r="B234" s="265"/>
      <c r="C234" s="100"/>
      <c r="D234" s="121"/>
      <c r="E234" s="103"/>
      <c r="F234" s="103"/>
      <c r="G234" s="103"/>
      <c r="H234" s="114"/>
      <c r="I234" s="103"/>
      <c r="J234" s="103"/>
      <c r="K234" s="103"/>
      <c r="L234" s="95"/>
      <c r="M234" s="80"/>
      <c r="N234" s="264"/>
      <c r="O234" s="376"/>
      <c r="P234" s="51"/>
      <c r="Q234" s="279">
        <v>1</v>
      </c>
      <c r="R234" s="141"/>
      <c r="T234" s="149"/>
      <c r="U234" s="148"/>
      <c r="X234" s="278"/>
      <c r="Y234" s="278" t="str">
        <f t="shared" si="24"/>
        <v/>
      </c>
      <c r="Z234" s="141" t="str">
        <f t="shared" si="23"/>
        <v/>
      </c>
    </row>
    <row r="235" spans="1:26" s="147" customFormat="1" ht="187">
      <c r="A235" s="40"/>
      <c r="B235" s="53" t="s">
        <v>671</v>
      </c>
      <c r="C235" s="453" t="s">
        <v>939</v>
      </c>
      <c r="D235" s="404" t="s">
        <v>675</v>
      </c>
      <c r="E235" s="23">
        <f>LEN(D235)</f>
        <v>188</v>
      </c>
      <c r="F235" s="601" t="s">
        <v>1226</v>
      </c>
      <c r="G235" s="23">
        <f>LEN(F235)</f>
        <v>247</v>
      </c>
      <c r="H235" s="407" t="s">
        <v>152</v>
      </c>
      <c r="I235" s="23" t="s">
        <v>19</v>
      </c>
      <c r="J235" s="454" t="s">
        <v>19</v>
      </c>
      <c r="K235" s="23" t="s">
        <v>694</v>
      </c>
      <c r="L235" s="42" t="s">
        <v>693</v>
      </c>
      <c r="M235" s="81" t="s">
        <v>940</v>
      </c>
      <c r="N235" s="31" t="s">
        <v>695</v>
      </c>
      <c r="O235" s="377"/>
      <c r="P235" s="72"/>
      <c r="Q235" s="279">
        <v>1</v>
      </c>
      <c r="R235" s="141"/>
      <c r="T235" s="149" t="s">
        <v>18</v>
      </c>
      <c r="U235" s="148"/>
      <c r="X235" s="278">
        <v>10.812456130981445</v>
      </c>
      <c r="Y235" s="278">
        <f t="shared" si="24"/>
        <v>10.812456130981445</v>
      </c>
      <c r="Z235" s="141" t="str">
        <f t="shared" si="23"/>
        <v/>
      </c>
    </row>
    <row r="236" spans="1:26" s="147" customFormat="1" ht="17" thickBot="1">
      <c r="A236" s="113"/>
      <c r="B236" s="265"/>
      <c r="C236" s="100"/>
      <c r="D236" s="121"/>
      <c r="E236" s="103"/>
      <c r="F236" s="103"/>
      <c r="G236" s="103"/>
      <c r="H236" s="114"/>
      <c r="I236" s="103"/>
      <c r="J236" s="103"/>
      <c r="K236" s="103"/>
      <c r="L236" s="95"/>
      <c r="M236" s="80"/>
      <c r="N236" s="264"/>
      <c r="O236" s="264"/>
      <c r="P236" s="10"/>
      <c r="Q236" s="279">
        <v>1</v>
      </c>
      <c r="R236" s="141"/>
      <c r="T236" s="149"/>
      <c r="U236" s="148"/>
      <c r="X236" s="278"/>
      <c r="Y236" s="278" t="str">
        <f t="shared" si="24"/>
        <v/>
      </c>
      <c r="Z236" s="141" t="str">
        <f t="shared" si="23"/>
        <v/>
      </c>
    </row>
    <row r="237" spans="1:26" s="452" customFormat="1" ht="17" thickBot="1">
      <c r="A237" s="616" t="s">
        <v>411</v>
      </c>
      <c r="B237" s="617"/>
      <c r="C237" s="617"/>
      <c r="D237" s="617"/>
      <c r="E237" s="617"/>
      <c r="F237" s="617"/>
      <c r="G237" s="617"/>
      <c r="H237" s="617"/>
      <c r="I237" s="617"/>
      <c r="J237" s="617"/>
      <c r="K237" s="617"/>
      <c r="L237" s="617"/>
      <c r="M237" s="617"/>
      <c r="N237" s="617"/>
      <c r="O237" s="617"/>
      <c r="P237" s="618"/>
      <c r="Q237" s="274"/>
      <c r="R237" s="463"/>
      <c r="T237" s="461"/>
      <c r="U237" s="464"/>
      <c r="X237" s="277"/>
      <c r="Y237" s="277" t="str">
        <f t="shared" si="24"/>
        <v/>
      </c>
      <c r="Z237" s="463" t="str">
        <f t="shared" si="23"/>
        <v/>
      </c>
    </row>
    <row r="238" spans="1:26" s="147" customFormat="1" ht="119">
      <c r="A238" s="99" t="s">
        <v>19</v>
      </c>
      <c r="B238" s="237" t="s">
        <v>412</v>
      </c>
      <c r="C238" s="146" t="s">
        <v>412</v>
      </c>
      <c r="D238" s="145" t="s">
        <v>413</v>
      </c>
      <c r="E238" s="144">
        <f t="shared" ref="E238:E244" si="27">LEN(D238)</f>
        <v>162</v>
      </c>
      <c r="F238" s="597" t="s">
        <v>1185</v>
      </c>
      <c r="G238" s="144">
        <f t="shared" ref="G238:G244" si="28">LEN(F238)</f>
        <v>145</v>
      </c>
      <c r="H238" s="144" t="s">
        <v>30</v>
      </c>
      <c r="I238" s="144" t="s">
        <v>19</v>
      </c>
      <c r="J238" s="144" t="s">
        <v>19</v>
      </c>
      <c r="K238" s="144" t="s">
        <v>31</v>
      </c>
      <c r="L238" s="143" t="s">
        <v>1291</v>
      </c>
      <c r="M238" s="222" t="s">
        <v>19</v>
      </c>
      <c r="N238" s="143" t="s">
        <v>926</v>
      </c>
      <c r="O238" s="87"/>
      <c r="P238" s="9"/>
      <c r="Q238" s="274">
        <v>1</v>
      </c>
      <c r="R238" s="141"/>
      <c r="T238" s="461" t="s">
        <v>26</v>
      </c>
      <c r="U238" s="148"/>
      <c r="X238" s="277">
        <v>14.946464538574219</v>
      </c>
      <c r="Y238" s="277">
        <f t="shared" si="24"/>
        <v>14.946464538574219</v>
      </c>
      <c r="Z238" s="141">
        <f t="shared" si="23"/>
        <v>14.946464538574219</v>
      </c>
    </row>
    <row r="239" spans="1:26" s="292" customFormat="1" ht="137.25" customHeight="1">
      <c r="A239" s="285"/>
      <c r="B239" s="455" t="s">
        <v>414</v>
      </c>
      <c r="C239" s="456" t="s">
        <v>414</v>
      </c>
      <c r="D239" s="457" t="s">
        <v>415</v>
      </c>
      <c r="E239" s="458">
        <f t="shared" si="27"/>
        <v>144</v>
      </c>
      <c r="F239" s="598" t="s">
        <v>1186</v>
      </c>
      <c r="G239" s="458">
        <f t="shared" si="28"/>
        <v>132</v>
      </c>
      <c r="H239" s="458" t="s">
        <v>30</v>
      </c>
      <c r="I239" s="458" t="s">
        <v>19</v>
      </c>
      <c r="J239" s="458" t="s">
        <v>19</v>
      </c>
      <c r="K239" s="458" t="s">
        <v>31</v>
      </c>
      <c r="L239" s="286" t="s">
        <v>416</v>
      </c>
      <c r="M239" s="81" t="s">
        <v>19</v>
      </c>
      <c r="N239" s="286" t="s">
        <v>417</v>
      </c>
      <c r="O239" s="286"/>
      <c r="P239" s="287"/>
      <c r="Q239" s="345">
        <v>1</v>
      </c>
      <c r="R239" s="291"/>
      <c r="T239" s="293" t="s">
        <v>418</v>
      </c>
      <c r="U239" s="294"/>
      <c r="X239" s="288">
        <v>16.684934616088867</v>
      </c>
      <c r="Y239" s="278">
        <f t="shared" si="24"/>
        <v>16.684934616088867</v>
      </c>
      <c r="Z239" s="141" t="str">
        <f t="shared" si="23"/>
        <v/>
      </c>
    </row>
    <row r="240" spans="1:26" s="297" customFormat="1" ht="187">
      <c r="A240" s="295"/>
      <c r="B240" s="455" t="s">
        <v>419</v>
      </c>
      <c r="C240" s="456" t="s">
        <v>419</v>
      </c>
      <c r="D240" s="457" t="s">
        <v>976</v>
      </c>
      <c r="E240" s="458">
        <f t="shared" si="27"/>
        <v>235</v>
      </c>
      <c r="F240" s="598" t="s">
        <v>1187</v>
      </c>
      <c r="G240" s="458">
        <f t="shared" si="28"/>
        <v>189</v>
      </c>
      <c r="H240" s="458" t="s">
        <v>66</v>
      </c>
      <c r="I240" s="458" t="s">
        <v>19</v>
      </c>
      <c r="J240" s="458" t="s">
        <v>19</v>
      </c>
      <c r="K240" s="458" t="s">
        <v>67</v>
      </c>
      <c r="L240" s="286" t="s">
        <v>420</v>
      </c>
      <c r="M240" s="81" t="s">
        <v>19</v>
      </c>
      <c r="N240" s="286" t="s">
        <v>421</v>
      </c>
      <c r="O240" s="286"/>
      <c r="P240" s="287"/>
      <c r="Q240" s="345">
        <v>1</v>
      </c>
      <c r="R240" s="296"/>
      <c r="T240" s="293" t="s">
        <v>418</v>
      </c>
      <c r="U240" s="298"/>
      <c r="X240" s="288">
        <v>15.116804122924805</v>
      </c>
      <c r="Y240" s="278">
        <f t="shared" ref="Y240:Y247" si="29">IF(X240="","",X240*Q240)</f>
        <v>15.116804122924805</v>
      </c>
      <c r="Z240" s="141" t="str">
        <f t="shared" si="23"/>
        <v/>
      </c>
    </row>
    <row r="241" spans="1:26" s="297" customFormat="1" ht="51">
      <c r="A241" s="295"/>
      <c r="B241" s="455" t="s">
        <v>422</v>
      </c>
      <c r="C241" s="456" t="s">
        <v>422</v>
      </c>
      <c r="D241" s="459" t="s">
        <v>758</v>
      </c>
      <c r="E241" s="458">
        <f t="shared" si="27"/>
        <v>71</v>
      </c>
      <c r="F241" s="598" t="s">
        <v>1221</v>
      </c>
      <c r="G241" s="458">
        <f t="shared" si="28"/>
        <v>72</v>
      </c>
      <c r="H241" s="458" t="s">
        <v>21</v>
      </c>
      <c r="I241" s="460" t="s">
        <v>19</v>
      </c>
      <c r="J241" s="460" t="s">
        <v>19</v>
      </c>
      <c r="K241" s="460" t="s">
        <v>67</v>
      </c>
      <c r="L241" s="286" t="s">
        <v>423</v>
      </c>
      <c r="M241" s="81" t="s">
        <v>19</v>
      </c>
      <c r="N241" s="286" t="s">
        <v>424</v>
      </c>
      <c r="O241" s="286"/>
      <c r="P241" s="287"/>
      <c r="Q241" s="345">
        <v>1</v>
      </c>
      <c r="R241" s="296"/>
      <c r="T241" s="293" t="s">
        <v>418</v>
      </c>
      <c r="U241" s="298"/>
      <c r="X241" s="288">
        <v>25.539003372192383</v>
      </c>
      <c r="Y241" s="278">
        <f t="shared" si="29"/>
        <v>25.539003372192383</v>
      </c>
      <c r="Z241" s="141" t="str">
        <f t="shared" si="23"/>
        <v/>
      </c>
    </row>
    <row r="242" spans="1:26" s="297" customFormat="1" ht="51">
      <c r="A242" s="295"/>
      <c r="B242" s="455" t="s">
        <v>425</v>
      </c>
      <c r="C242" s="456" t="s">
        <v>425</v>
      </c>
      <c r="D242" s="459" t="s">
        <v>759</v>
      </c>
      <c r="E242" s="458">
        <f t="shared" si="27"/>
        <v>92</v>
      </c>
      <c r="F242" s="598" t="s">
        <v>1222</v>
      </c>
      <c r="G242" s="458">
        <f t="shared" si="28"/>
        <v>74</v>
      </c>
      <c r="H242" s="458" t="s">
        <v>21</v>
      </c>
      <c r="I242" s="458" t="s">
        <v>19</v>
      </c>
      <c r="J242" s="458" t="s">
        <v>19</v>
      </c>
      <c r="K242" s="460" t="s">
        <v>22</v>
      </c>
      <c r="L242" s="286" t="s">
        <v>426</v>
      </c>
      <c r="M242" s="81" t="s">
        <v>19</v>
      </c>
      <c r="N242" s="286" t="s">
        <v>427</v>
      </c>
      <c r="O242" s="286"/>
      <c r="P242" s="287"/>
      <c r="Q242" s="345">
        <v>1</v>
      </c>
      <c r="R242" s="296"/>
      <c r="T242" s="293" t="s">
        <v>418</v>
      </c>
      <c r="U242" s="298"/>
      <c r="X242" s="288">
        <v>13.714834213256836</v>
      </c>
      <c r="Y242" s="278">
        <f t="shared" si="29"/>
        <v>13.714834213256836</v>
      </c>
      <c r="Z242" s="141" t="str">
        <f t="shared" si="23"/>
        <v/>
      </c>
    </row>
    <row r="243" spans="1:26" s="298" customFormat="1" ht="187">
      <c r="A243" s="344"/>
      <c r="B243" s="299" t="s">
        <v>428</v>
      </c>
      <c r="C243" s="300" t="s">
        <v>429</v>
      </c>
      <c r="D243" s="406" t="s">
        <v>864</v>
      </c>
      <c r="E243" s="302">
        <f t="shared" si="27"/>
        <v>166</v>
      </c>
      <c r="F243" s="598" t="s">
        <v>1188</v>
      </c>
      <c r="G243" s="302">
        <f t="shared" si="28"/>
        <v>178</v>
      </c>
      <c r="H243" s="302" t="s">
        <v>152</v>
      </c>
      <c r="I243" s="302" t="s">
        <v>19</v>
      </c>
      <c r="J243" s="302" t="s">
        <v>19</v>
      </c>
      <c r="K243" s="302" t="s">
        <v>153</v>
      </c>
      <c r="L243" s="303" t="s">
        <v>430</v>
      </c>
      <c r="M243" s="222" t="s">
        <v>19</v>
      </c>
      <c r="N243" s="304" t="s">
        <v>431</v>
      </c>
      <c r="O243" s="286"/>
      <c r="P243" s="305"/>
      <c r="Q243" s="289">
        <v>1</v>
      </c>
      <c r="R243" s="296"/>
      <c r="T243" s="462" t="s">
        <v>100</v>
      </c>
      <c r="X243" s="472">
        <v>19.354913711547852</v>
      </c>
      <c r="Y243" s="277">
        <f t="shared" si="29"/>
        <v>19.354913711547852</v>
      </c>
      <c r="Z243" s="141" t="str">
        <f t="shared" si="23"/>
        <v/>
      </c>
    </row>
    <row r="244" spans="1:26" s="298" customFormat="1" ht="120" customHeight="1">
      <c r="A244" s="344"/>
      <c r="B244" s="299" t="s">
        <v>432</v>
      </c>
      <c r="C244" s="300" t="s">
        <v>433</v>
      </c>
      <c r="D244" s="301" t="s">
        <v>863</v>
      </c>
      <c r="E244" s="302">
        <f t="shared" si="27"/>
        <v>130</v>
      </c>
      <c r="F244" s="598" t="s">
        <v>1189</v>
      </c>
      <c r="G244" s="302">
        <f t="shared" si="28"/>
        <v>139</v>
      </c>
      <c r="H244" s="302" t="s">
        <v>152</v>
      </c>
      <c r="I244" s="302" t="s">
        <v>19</v>
      </c>
      <c r="J244" s="302" t="s">
        <v>19</v>
      </c>
      <c r="K244" s="302" t="s">
        <v>153</v>
      </c>
      <c r="L244" s="303" t="s">
        <v>434</v>
      </c>
      <c r="M244" s="222" t="s">
        <v>19</v>
      </c>
      <c r="N244" s="304" t="s">
        <v>435</v>
      </c>
      <c r="O244" s="286"/>
      <c r="P244" s="305"/>
      <c r="Q244" s="289">
        <v>1</v>
      </c>
      <c r="R244" s="296"/>
      <c r="T244" s="462" t="s">
        <v>100</v>
      </c>
      <c r="X244" s="472">
        <v>15.889399528503418</v>
      </c>
      <c r="Y244" s="277">
        <f t="shared" si="29"/>
        <v>15.889399528503418</v>
      </c>
      <c r="Z244" s="141" t="str">
        <f t="shared" si="23"/>
        <v/>
      </c>
    </row>
    <row r="245" spans="1:26" s="139" customFormat="1">
      <c r="A245" s="263"/>
      <c r="B245" s="262"/>
      <c r="C245" s="261"/>
      <c r="D245" s="260"/>
      <c r="E245" s="259"/>
      <c r="G245" s="259"/>
      <c r="H245" s="259"/>
      <c r="I245" s="258"/>
      <c r="J245" s="258"/>
      <c r="K245" s="258"/>
      <c r="L245" s="257"/>
      <c r="M245" s="85"/>
      <c r="N245" s="257"/>
      <c r="O245" s="256"/>
      <c r="P245" s="255"/>
      <c r="Q245" s="279">
        <v>1</v>
      </c>
      <c r="R245" s="141"/>
      <c r="T245" s="140"/>
      <c r="X245" s="282"/>
      <c r="Y245" s="278" t="str">
        <f t="shared" si="29"/>
        <v/>
      </c>
      <c r="Z245" s="141" t="str">
        <f t="shared" si="23"/>
        <v/>
      </c>
    </row>
    <row r="246" spans="1:26" s="235" customFormat="1" ht="103" thickBot="1">
      <c r="A246" s="343" t="s">
        <v>19</v>
      </c>
      <c r="B246" s="236" t="s">
        <v>436</v>
      </c>
      <c r="C246" s="137" t="s">
        <v>436</v>
      </c>
      <c r="D246" s="369" t="s">
        <v>437</v>
      </c>
      <c r="E246" s="136">
        <f>LEN(D246)</f>
        <v>158</v>
      </c>
      <c r="F246" s="599" t="s">
        <v>1190</v>
      </c>
      <c r="G246" s="136">
        <f>LEN(F246)</f>
        <v>132</v>
      </c>
      <c r="H246" s="136" t="s">
        <v>30</v>
      </c>
      <c r="I246" s="136" t="s">
        <v>19</v>
      </c>
      <c r="J246" s="136" t="s">
        <v>19</v>
      </c>
      <c r="K246" s="136" t="s">
        <v>31</v>
      </c>
      <c r="L246" s="157" t="s">
        <v>438</v>
      </c>
      <c r="M246" s="222" t="s">
        <v>19</v>
      </c>
      <c r="N246" s="254" t="s">
        <v>19</v>
      </c>
      <c r="O246" s="122"/>
      <c r="P246" s="253"/>
      <c r="Q246" s="274">
        <v>1</v>
      </c>
      <c r="R246" s="141"/>
      <c r="T246" s="461" t="s">
        <v>26</v>
      </c>
      <c r="U246" s="148"/>
      <c r="X246" s="277">
        <v>17.309154088391789</v>
      </c>
      <c r="Y246" s="277">
        <f t="shared" si="29"/>
        <v>17.309154088391789</v>
      </c>
      <c r="Z246" s="141">
        <f t="shared" si="23"/>
        <v>17.309154088391789</v>
      </c>
    </row>
    <row r="247" spans="1:26" s="147" customFormat="1" ht="35" thickBot="1">
      <c r="A247" s="342" t="s">
        <v>19</v>
      </c>
      <c r="B247" s="234" t="s">
        <v>439</v>
      </c>
      <c r="C247" s="134" t="s">
        <v>439</v>
      </c>
      <c r="D247" s="133" t="s">
        <v>440</v>
      </c>
      <c r="E247" s="132">
        <f>LEN(D247)</f>
        <v>141</v>
      </c>
      <c r="F247" s="600" t="s">
        <v>1329</v>
      </c>
      <c r="G247" s="132">
        <f>LEN(F247)</f>
        <v>95</v>
      </c>
      <c r="H247" s="132" t="s">
        <v>19</v>
      </c>
      <c r="I247" s="132" t="s">
        <v>19</v>
      </c>
      <c r="J247" s="132" t="s">
        <v>19</v>
      </c>
      <c r="K247" s="132" t="s">
        <v>19</v>
      </c>
      <c r="L247" s="131" t="s">
        <v>19</v>
      </c>
      <c r="M247" s="131"/>
      <c r="N247" s="130" t="s">
        <v>19</v>
      </c>
      <c r="O247" s="97"/>
      <c r="P247" s="98"/>
      <c r="Q247" s="274">
        <v>1</v>
      </c>
      <c r="R247" s="148"/>
      <c r="T247" s="149" t="s">
        <v>18</v>
      </c>
      <c r="U247" s="148"/>
      <c r="X247" s="283"/>
      <c r="Y247" s="277" t="str">
        <f t="shared" si="29"/>
        <v/>
      </c>
      <c r="Z247" s="141" t="str">
        <f t="shared" si="23"/>
        <v/>
      </c>
    </row>
    <row r="248" spans="1:26">
      <c r="X248" s="341"/>
    </row>
    <row r="249" spans="1:26" ht="17" thickBot="1"/>
    <row r="250" spans="1:26" ht="18" customHeight="1" thickBot="1">
      <c r="D250" s="233" t="s">
        <v>441</v>
      </c>
      <c r="E250" s="232"/>
      <c r="F250" s="233"/>
      <c r="G250" s="232"/>
      <c r="H250" s="232"/>
      <c r="I250" s="232"/>
      <c r="J250" s="232"/>
      <c r="K250" s="232"/>
      <c r="L250" s="232"/>
      <c r="M250" s="232"/>
      <c r="N250" s="232"/>
      <c r="O250" s="232"/>
      <c r="P250" s="232"/>
      <c r="Q250" s="335"/>
      <c r="X250" s="336"/>
      <c r="Y250" s="469">
        <f>(SUM(Y5:Y248))/60</f>
        <v>34.930701048420261</v>
      </c>
      <c r="Z250" s="468">
        <f>SUM(Z2:Z247)/60</f>
        <v>17.196160773249527</v>
      </c>
    </row>
    <row r="251" spans="1:26" ht="18" hidden="1" thickBot="1">
      <c r="D251" s="340" t="s">
        <v>442</v>
      </c>
      <c r="E251" s="339"/>
      <c r="F251" s="340"/>
      <c r="G251" s="339"/>
      <c r="H251" s="339"/>
      <c r="I251" s="339"/>
      <c r="J251" s="339"/>
      <c r="K251" s="339"/>
      <c r="L251" s="339"/>
      <c r="M251" s="339"/>
      <c r="N251" s="339"/>
      <c r="O251" s="339"/>
      <c r="P251" s="339"/>
      <c r="Q251" s="337"/>
      <c r="X251" s="338"/>
      <c r="Y251" s="470">
        <f>(SUM(Y6:Y157)+SUM(Y178:Y248))/60</f>
        <v>34.831057879374811</v>
      </c>
    </row>
    <row r="252" spans="1:26" ht="18" thickBot="1">
      <c r="D252" s="233" t="s">
        <v>443</v>
      </c>
      <c r="E252" s="232"/>
      <c r="F252" s="233"/>
      <c r="G252" s="232"/>
      <c r="H252" s="232"/>
      <c r="I252" s="232"/>
      <c r="J252" s="232"/>
      <c r="K252" s="232"/>
      <c r="L252" s="232"/>
      <c r="M252" s="232"/>
      <c r="N252" s="232"/>
      <c r="O252" s="232"/>
      <c r="P252" s="232"/>
      <c r="Q252" s="335"/>
      <c r="X252" s="336"/>
      <c r="Y252" s="471">
        <f>(SUM(Y6:Y25)+SUM(Y34:Y157)+SUM(Y177:Y238)+SUM(Y245:Y248))/60</f>
        <v>31.326843238916378</v>
      </c>
    </row>
  </sheetData>
  <sheetProtection algorithmName="SHA-512" hashValue="4mELLbSIM2i+aIxTtvZOu0ZyBevZQn0zZ4kD3gMiyCKEF3YGUbveznjPCR98nsifaoIxBMSyaOnm0RutmYNdLw==" saltValue="Eaq8F9Bq9m2/Nm7rgslHTQ==" spinCount="100000" sheet="1" formatCells="0" formatRows="0" insertRows="0" deleteRows="0"/>
  <mergeCells count="22">
    <mergeCell ref="N35:N36"/>
    <mergeCell ref="A40:P40"/>
    <mergeCell ref="P47:P49"/>
    <mergeCell ref="A1:P1"/>
    <mergeCell ref="A2:O2"/>
    <mergeCell ref="P2:P3"/>
    <mergeCell ref="A4:P4"/>
    <mergeCell ref="A20:P20"/>
    <mergeCell ref="A57:P57"/>
    <mergeCell ref="P64:P65"/>
    <mergeCell ref="P76:P77"/>
    <mergeCell ref="P88:P89"/>
    <mergeCell ref="A169:P169"/>
    <mergeCell ref="A228:P228"/>
    <mergeCell ref="A237:P237"/>
    <mergeCell ref="A99:P99"/>
    <mergeCell ref="A128:P128"/>
    <mergeCell ref="A136:P136"/>
    <mergeCell ref="A150:P150"/>
    <mergeCell ref="A158:P158"/>
    <mergeCell ref="A177:P177"/>
    <mergeCell ref="P117:P120"/>
  </mergeCells>
  <conditionalFormatting sqref="B147">
    <cfRule type="duplicateValues" dxfId="239" priority="658"/>
  </conditionalFormatting>
  <conditionalFormatting sqref="B147">
    <cfRule type="duplicateValues" dxfId="238" priority="659"/>
  </conditionalFormatting>
  <conditionalFormatting sqref="B14:B18">
    <cfRule type="duplicateValues" dxfId="237" priority="657"/>
  </conditionalFormatting>
  <conditionalFormatting sqref="B19">
    <cfRule type="duplicateValues" dxfId="236" priority="656"/>
  </conditionalFormatting>
  <conditionalFormatting sqref="B65 B68">
    <cfRule type="duplicateValues" dxfId="235" priority="654"/>
  </conditionalFormatting>
  <conditionalFormatting sqref="B77 B80">
    <cfRule type="duplicateValues" dxfId="234" priority="652"/>
  </conditionalFormatting>
  <conditionalFormatting sqref="B89">
    <cfRule type="duplicateValues" dxfId="233" priority="650"/>
  </conditionalFormatting>
  <conditionalFormatting sqref="B114:B116">
    <cfRule type="duplicateValues" dxfId="232" priority="647"/>
  </conditionalFormatting>
  <conditionalFormatting sqref="B154:B155">
    <cfRule type="duplicateValues" dxfId="231" priority="645"/>
  </conditionalFormatting>
  <conditionalFormatting sqref="B161:B162">
    <cfRule type="duplicateValues" dxfId="230" priority="644"/>
  </conditionalFormatting>
  <conditionalFormatting sqref="B172:B175">
    <cfRule type="duplicateValues" dxfId="229" priority="643"/>
  </conditionalFormatting>
  <conditionalFormatting sqref="B184">
    <cfRule type="duplicateValues" dxfId="228" priority="641"/>
  </conditionalFormatting>
  <conditionalFormatting sqref="B185">
    <cfRule type="duplicateValues" dxfId="227" priority="639"/>
  </conditionalFormatting>
  <conditionalFormatting sqref="B187">
    <cfRule type="duplicateValues" dxfId="226" priority="637"/>
  </conditionalFormatting>
  <conditionalFormatting sqref="B189">
    <cfRule type="duplicateValues" dxfId="225" priority="635"/>
  </conditionalFormatting>
  <conditionalFormatting sqref="B211">
    <cfRule type="duplicateValues" dxfId="224" priority="633"/>
  </conditionalFormatting>
  <conditionalFormatting sqref="B123">
    <cfRule type="duplicateValues" dxfId="223" priority="660"/>
  </conditionalFormatting>
  <conditionalFormatting sqref="B49:B50">
    <cfRule type="duplicateValues" dxfId="222" priority="628"/>
  </conditionalFormatting>
  <conditionalFormatting sqref="B144">
    <cfRule type="duplicateValues" dxfId="221" priority="661"/>
  </conditionalFormatting>
  <conditionalFormatting sqref="D43">
    <cfRule type="cellIs" dxfId="220" priority="627" operator="notEqual">
      <formula>$D$43</formula>
    </cfRule>
  </conditionalFormatting>
  <conditionalFormatting sqref="B53:B54">
    <cfRule type="duplicateValues" dxfId="219" priority="626"/>
  </conditionalFormatting>
  <conditionalFormatting sqref="B76">
    <cfRule type="duplicateValues" dxfId="218" priority="621"/>
  </conditionalFormatting>
  <conditionalFormatting sqref="B125">
    <cfRule type="duplicateValues" dxfId="217" priority="618"/>
  </conditionalFormatting>
  <conditionalFormatting sqref="B159">
    <cfRule type="duplicateValues" dxfId="216" priority="616"/>
  </conditionalFormatting>
  <conditionalFormatting sqref="B157">
    <cfRule type="duplicateValues" dxfId="215" priority="615"/>
  </conditionalFormatting>
  <conditionalFormatting sqref="B246:B251 B238 B229:B232 B186 B170:B171 B131:B132 B134 B2:B3 B151:B153 B69:B71 B81:B83 B122 B139:B143 B146:B147 B156 B163:B167 B178:B183 B188 B190 B43 B51:B52 B5 B23:B26 B210 B55:B56 B88 B95:B97 B105:B107 B7:B19 B28:B32 B45:B46 B38:B39 B253:B1048576 B59 B63:B64">
    <cfRule type="duplicateValues" dxfId="214" priority="663"/>
  </conditionalFormatting>
  <conditionalFormatting sqref="B98">
    <cfRule type="duplicateValues" dxfId="213" priority="614"/>
  </conditionalFormatting>
  <conditionalFormatting sqref="D239:D245">
    <cfRule type="expression" dxfId="212" priority="610" stopIfTrue="1">
      <formula>$A239="begin group"</formula>
    </cfRule>
  </conditionalFormatting>
  <conditionalFormatting sqref="D239:D245">
    <cfRule type="expression" dxfId="211" priority="607" stopIfTrue="1">
      <formula>$A239="begin repeat"</formula>
    </cfRule>
  </conditionalFormatting>
  <conditionalFormatting sqref="D239:D245">
    <cfRule type="expression" dxfId="210" priority="604" stopIfTrue="1">
      <formula>$A239="text"</formula>
    </cfRule>
  </conditionalFormatting>
  <conditionalFormatting sqref="D239:D245">
    <cfRule type="expression" dxfId="209" priority="602" stopIfTrue="1">
      <formula>$A239="integer"</formula>
    </cfRule>
  </conditionalFormatting>
  <conditionalFormatting sqref="D239:D245">
    <cfRule type="expression" dxfId="208" priority="600" stopIfTrue="1">
      <formula>$A239="decimal"</formula>
    </cfRule>
  </conditionalFormatting>
  <conditionalFormatting sqref="D239:D245">
    <cfRule type="expression" dxfId="207" priority="598" stopIfTrue="1">
      <formula>OR(AND(LEFT($A239, 16)="select_multiple ", LEN($A239)&gt;16, NOT(ISNUMBER(SEARCH(" ", $A239, 17)))), AND(LEFT($A239, 11)="select_one ", LEN($A239)&gt;11, NOT(ISNUMBER(SEARCH(" ", $A239, 12)))))</formula>
    </cfRule>
  </conditionalFormatting>
  <conditionalFormatting sqref="D239:D245">
    <cfRule type="expression" dxfId="206" priority="590" stopIfTrue="1">
      <formula>$A239="note"</formula>
    </cfRule>
    <cfRule type="expression" dxfId="205" priority="592" stopIfTrue="1">
      <formula>$A239="barcode"</formula>
    </cfRule>
    <cfRule type="expression" dxfId="204" priority="594" stopIfTrue="1">
      <formula>$A239="geopoint"</formula>
    </cfRule>
  </conditionalFormatting>
  <conditionalFormatting sqref="D239:D245">
    <cfRule type="expression" dxfId="203" priority="587" stopIfTrue="1">
      <formula>OR($A239="date", $A239="datetime")</formula>
    </cfRule>
  </conditionalFormatting>
  <conditionalFormatting sqref="D239:D245">
    <cfRule type="expression" dxfId="202" priority="585" stopIfTrue="1">
      <formula>$A239="image"</formula>
    </cfRule>
  </conditionalFormatting>
  <conditionalFormatting sqref="D239:D245">
    <cfRule type="expression" dxfId="201" priority="583" stopIfTrue="1">
      <formula>OR($A239="audio", $A239="video")</formula>
    </cfRule>
  </conditionalFormatting>
  <conditionalFormatting sqref="D239:D245">
    <cfRule type="expression" dxfId="200" priority="584" stopIfTrue="1">
      <formula>OR($A239="audio", $A239="video")</formula>
    </cfRule>
    <cfRule type="expression" dxfId="199" priority="586" stopIfTrue="1">
      <formula>$A239="image"</formula>
    </cfRule>
    <cfRule type="expression" dxfId="198" priority="588" stopIfTrue="1">
      <formula>OR($A239="date", $A239="datetime")</formula>
    </cfRule>
    <cfRule type="expression" dxfId="197" priority="589" stopIfTrue="1">
      <formula>OR($A239="calculate", $A239="calculate_here")</formula>
    </cfRule>
    <cfRule type="expression" dxfId="196" priority="591" stopIfTrue="1">
      <formula>$A239="note"</formula>
    </cfRule>
    <cfRule type="expression" dxfId="195" priority="593" stopIfTrue="1">
      <formula>$A239="barcode"</formula>
    </cfRule>
    <cfRule type="expression" dxfId="194" priority="595" stopIfTrue="1">
      <formula>$A239="geopoint"</formula>
    </cfRule>
    <cfRule type="expression" dxfId="193" priority="596" stopIfTrue="1">
      <formula>OR($A239="audio audit", $A239="text audit")</formula>
    </cfRule>
    <cfRule type="expression" dxfId="192" priority="597" stopIfTrue="1">
      <formula>OR($A239="username", $A239="phonenumber", $A239="start", $A239="end", $A239="deviceid", $A239="subscriberid", $A239="simserial")</formula>
    </cfRule>
    <cfRule type="expression" dxfId="191" priority="599" stopIfTrue="1">
      <formula>OR(AND(LEFT($A239, 16)="select_multiple ", LEN($A239)&gt;16, NOT(ISNUMBER(SEARCH(" ", $A239, 17)))), AND(LEFT($A239, 11)="select_one ", LEN($A239)&gt;11, NOT(ISNUMBER(SEARCH(" ", $A239, 12)))))</formula>
    </cfRule>
    <cfRule type="expression" dxfId="190" priority="601" stopIfTrue="1">
      <formula>$A239="decimal"</formula>
    </cfRule>
    <cfRule type="expression" dxfId="189" priority="603" stopIfTrue="1">
      <formula>$A239="integer"</formula>
    </cfRule>
    <cfRule type="expression" dxfId="188" priority="605" stopIfTrue="1">
      <formula>$A239="text"</formula>
    </cfRule>
    <cfRule type="expression" dxfId="187" priority="606" stopIfTrue="1">
      <formula>$A239="end repeat"</formula>
    </cfRule>
    <cfRule type="expression" dxfId="186" priority="608" stopIfTrue="1">
      <formula>$A239="begin repeat"</formula>
    </cfRule>
    <cfRule type="expression" dxfId="185" priority="609" stopIfTrue="1">
      <formula>$A239="end group"</formula>
    </cfRule>
    <cfRule type="expression" dxfId="184" priority="611" stopIfTrue="1">
      <formula>$A239="begin group"</formula>
    </cfRule>
  </conditionalFormatting>
  <conditionalFormatting sqref="D26:D31">
    <cfRule type="expression" dxfId="183" priority="581" stopIfTrue="1">
      <formula>$A26="begin group"</formula>
    </cfRule>
  </conditionalFormatting>
  <conditionalFormatting sqref="D26:D31">
    <cfRule type="expression" dxfId="182" priority="578" stopIfTrue="1">
      <formula>$A26="begin repeat"</formula>
    </cfRule>
  </conditionalFormatting>
  <conditionalFormatting sqref="D26:D31">
    <cfRule type="expression" dxfId="181" priority="575" stopIfTrue="1">
      <formula>$A26="text"</formula>
    </cfRule>
  </conditionalFormatting>
  <conditionalFormatting sqref="D26:D31">
    <cfRule type="expression" dxfId="180" priority="573" stopIfTrue="1">
      <formula>$A26="integer"</formula>
    </cfRule>
  </conditionalFormatting>
  <conditionalFormatting sqref="D26:D31">
    <cfRule type="expression" dxfId="179" priority="571" stopIfTrue="1">
      <formula>$A26="decimal"</formula>
    </cfRule>
  </conditionalFormatting>
  <conditionalFormatting sqref="D26:D31">
    <cfRule type="expression" dxfId="178" priority="569" stopIfTrue="1">
      <formula>OR(AND(LEFT($A26, 16)="select_multiple ", LEN($A26)&gt;16, NOT(ISNUMBER(SEARCH(" ", $A26, 17)))), AND(LEFT($A26, 11)="select_one ", LEN($A26)&gt;11, NOT(ISNUMBER(SEARCH(" ", $A26, 12)))))</formula>
    </cfRule>
  </conditionalFormatting>
  <conditionalFormatting sqref="D26:D31">
    <cfRule type="expression" dxfId="177" priority="561" stopIfTrue="1">
      <formula>$A26="note"</formula>
    </cfRule>
    <cfRule type="expression" dxfId="176" priority="563" stopIfTrue="1">
      <formula>$A26="barcode"</formula>
    </cfRule>
    <cfRule type="expression" dxfId="175" priority="565" stopIfTrue="1">
      <formula>$A26="geopoint"</formula>
    </cfRule>
  </conditionalFormatting>
  <conditionalFormatting sqref="D26:D31">
    <cfRule type="expression" dxfId="174" priority="558" stopIfTrue="1">
      <formula>OR($A26="date", $A26="datetime")</formula>
    </cfRule>
  </conditionalFormatting>
  <conditionalFormatting sqref="D26:D31">
    <cfRule type="expression" dxfId="173" priority="556" stopIfTrue="1">
      <formula>$A26="image"</formula>
    </cfRule>
  </conditionalFormatting>
  <conditionalFormatting sqref="D26:D31">
    <cfRule type="expression" dxfId="172" priority="554" stopIfTrue="1">
      <formula>OR($A26="audio", $A26="video")</formula>
    </cfRule>
  </conditionalFormatting>
  <conditionalFormatting sqref="D26:D31">
    <cfRule type="expression" dxfId="171" priority="555" stopIfTrue="1">
      <formula>OR($A26="audio", $A26="video")</formula>
    </cfRule>
    <cfRule type="expression" dxfId="170" priority="557" stopIfTrue="1">
      <formula>$A26="image"</formula>
    </cfRule>
    <cfRule type="expression" dxfId="169" priority="559" stopIfTrue="1">
      <formula>OR($A26="date", $A26="datetime")</formula>
    </cfRule>
    <cfRule type="expression" dxfId="168" priority="560" stopIfTrue="1">
      <formula>OR($A26="calculate", $A26="calculate_here")</formula>
    </cfRule>
    <cfRule type="expression" dxfId="167" priority="562" stopIfTrue="1">
      <formula>$A26="note"</formula>
    </cfRule>
    <cfRule type="expression" dxfId="166" priority="564" stopIfTrue="1">
      <formula>$A26="barcode"</formula>
    </cfRule>
    <cfRule type="expression" dxfId="165" priority="566" stopIfTrue="1">
      <formula>$A26="geopoint"</formula>
    </cfRule>
    <cfRule type="expression" dxfId="164" priority="567" stopIfTrue="1">
      <formula>OR($A26="audio audit", $A26="text audit")</formula>
    </cfRule>
    <cfRule type="expression" dxfId="163" priority="568" stopIfTrue="1">
      <formula>OR($A26="username", $A26="phonenumber", $A26="start", $A26="end", $A26="deviceid", $A26="subscriberid", $A26="simserial")</formula>
    </cfRule>
    <cfRule type="expression" dxfId="162" priority="570" stopIfTrue="1">
      <formula>OR(AND(LEFT($A26, 16)="select_multiple ", LEN($A26)&gt;16, NOT(ISNUMBER(SEARCH(" ", $A26, 17)))), AND(LEFT($A26, 11)="select_one ", LEN($A26)&gt;11, NOT(ISNUMBER(SEARCH(" ", $A26, 12)))))</formula>
    </cfRule>
    <cfRule type="expression" dxfId="161" priority="572" stopIfTrue="1">
      <formula>$A26="decimal"</formula>
    </cfRule>
    <cfRule type="expression" dxfId="160" priority="574" stopIfTrue="1">
      <formula>$A26="integer"</formula>
    </cfRule>
    <cfRule type="expression" dxfId="159" priority="576" stopIfTrue="1">
      <formula>$A26="text"</formula>
    </cfRule>
    <cfRule type="expression" dxfId="158" priority="577" stopIfTrue="1">
      <formula>$A26="end repeat"</formula>
    </cfRule>
    <cfRule type="expression" dxfId="157" priority="579" stopIfTrue="1">
      <formula>$A26="begin repeat"</formula>
    </cfRule>
    <cfRule type="expression" dxfId="156" priority="580" stopIfTrue="1">
      <formula>$A26="end group"</formula>
    </cfRule>
    <cfRule type="expression" dxfId="155" priority="582" stopIfTrue="1">
      <formula>$A26="begin group"</formula>
    </cfRule>
  </conditionalFormatting>
  <conditionalFormatting sqref="D32">
    <cfRule type="expression" dxfId="154" priority="552" stopIfTrue="1">
      <formula>$A32="begin group"</formula>
    </cfRule>
  </conditionalFormatting>
  <conditionalFormatting sqref="D32">
    <cfRule type="expression" dxfId="153" priority="549" stopIfTrue="1">
      <formula>$A32="begin repeat"</formula>
    </cfRule>
  </conditionalFormatting>
  <conditionalFormatting sqref="D32">
    <cfRule type="expression" dxfId="152" priority="546" stopIfTrue="1">
      <formula>$A32="text"</formula>
    </cfRule>
  </conditionalFormatting>
  <conditionalFormatting sqref="D32">
    <cfRule type="expression" dxfId="151" priority="544" stopIfTrue="1">
      <formula>$A32="integer"</formula>
    </cfRule>
  </conditionalFormatting>
  <conditionalFormatting sqref="D32">
    <cfRule type="expression" dxfId="150" priority="542" stopIfTrue="1">
      <formula>$A32="decimal"</formula>
    </cfRule>
  </conditionalFormatting>
  <conditionalFormatting sqref="D32">
    <cfRule type="expression" dxfId="149" priority="540" stopIfTrue="1">
      <formula>OR(AND(LEFT($A32, 16)="select_multiple ", LEN($A32)&gt;16, NOT(ISNUMBER(SEARCH(" ", $A32, 17)))), AND(LEFT($A32, 11)="select_one ", LEN($A32)&gt;11, NOT(ISNUMBER(SEARCH(" ", $A32, 12)))))</formula>
    </cfRule>
  </conditionalFormatting>
  <conditionalFormatting sqref="D32">
    <cfRule type="expression" dxfId="148" priority="532" stopIfTrue="1">
      <formula>$A32="note"</formula>
    </cfRule>
    <cfRule type="expression" dxfId="147" priority="534" stopIfTrue="1">
      <formula>$A32="barcode"</formula>
    </cfRule>
    <cfRule type="expression" dxfId="146" priority="536" stopIfTrue="1">
      <formula>$A32="geopoint"</formula>
    </cfRule>
  </conditionalFormatting>
  <conditionalFormatting sqref="D32">
    <cfRule type="expression" dxfId="145" priority="529" stopIfTrue="1">
      <formula>OR($A32="date", $A32="datetime")</formula>
    </cfRule>
  </conditionalFormatting>
  <conditionalFormatting sqref="D32">
    <cfRule type="expression" dxfId="144" priority="527" stopIfTrue="1">
      <formula>$A32="image"</formula>
    </cfRule>
  </conditionalFormatting>
  <conditionalFormatting sqref="D32">
    <cfRule type="expression" dxfId="143" priority="525" stopIfTrue="1">
      <formula>OR($A32="audio", $A32="video")</formula>
    </cfRule>
  </conditionalFormatting>
  <conditionalFormatting sqref="D32">
    <cfRule type="expression" dxfId="142" priority="526" stopIfTrue="1">
      <formula>OR($A32="audio", $A32="video")</formula>
    </cfRule>
    <cfRule type="expression" dxfId="141" priority="528" stopIfTrue="1">
      <formula>$A32="image"</formula>
    </cfRule>
    <cfRule type="expression" dxfId="140" priority="530" stopIfTrue="1">
      <formula>OR($A32="date", $A32="datetime")</formula>
    </cfRule>
    <cfRule type="expression" dxfId="139" priority="531" stopIfTrue="1">
      <formula>OR($A32="calculate", $A32="calculate_here")</formula>
    </cfRule>
    <cfRule type="expression" dxfId="138" priority="533" stopIfTrue="1">
      <formula>$A32="note"</formula>
    </cfRule>
    <cfRule type="expression" dxfId="137" priority="535" stopIfTrue="1">
      <formula>$A32="barcode"</formula>
    </cfRule>
    <cfRule type="expression" dxfId="136" priority="537" stopIfTrue="1">
      <formula>$A32="geopoint"</formula>
    </cfRule>
    <cfRule type="expression" dxfId="135" priority="538" stopIfTrue="1">
      <formula>OR($A32="audio audit", $A32="text audit")</formula>
    </cfRule>
    <cfRule type="expression" dxfId="134" priority="539" stopIfTrue="1">
      <formula>OR($A32="username", $A32="phonenumber", $A32="start", $A32="end", $A32="deviceid", $A32="subscriberid", $A32="simserial")</formula>
    </cfRule>
    <cfRule type="expression" dxfId="133" priority="541" stopIfTrue="1">
      <formula>OR(AND(LEFT($A32, 16)="select_multiple ", LEN($A32)&gt;16, NOT(ISNUMBER(SEARCH(" ", $A32, 17)))), AND(LEFT($A32, 11)="select_one ", LEN($A32)&gt;11, NOT(ISNUMBER(SEARCH(" ", $A32, 12)))))</formula>
    </cfRule>
    <cfRule type="expression" dxfId="132" priority="543" stopIfTrue="1">
      <formula>$A32="decimal"</formula>
    </cfRule>
    <cfRule type="expression" dxfId="131" priority="545" stopIfTrue="1">
      <formula>$A32="integer"</formula>
    </cfRule>
    <cfRule type="expression" dxfId="130" priority="547" stopIfTrue="1">
      <formula>$A32="text"</formula>
    </cfRule>
    <cfRule type="expression" dxfId="129" priority="548" stopIfTrue="1">
      <formula>$A32="end repeat"</formula>
    </cfRule>
    <cfRule type="expression" dxfId="128" priority="550" stopIfTrue="1">
      <formula>$A32="begin repeat"</formula>
    </cfRule>
    <cfRule type="expression" dxfId="127" priority="551" stopIfTrue="1">
      <formula>$A32="end group"</formula>
    </cfRule>
    <cfRule type="expression" dxfId="126" priority="553" stopIfTrue="1">
      <formula>$A32="begin group"</formula>
    </cfRule>
  </conditionalFormatting>
  <conditionalFormatting sqref="B148">
    <cfRule type="duplicateValues" dxfId="125" priority="664"/>
  </conditionalFormatting>
  <conditionalFormatting sqref="B126">
    <cfRule type="duplicateValues" dxfId="124" priority="665"/>
  </conditionalFormatting>
  <conditionalFormatting sqref="B221">
    <cfRule type="duplicateValues" dxfId="123" priority="521"/>
  </conditionalFormatting>
  <conditionalFormatting sqref="B227">
    <cfRule type="duplicateValues" dxfId="122" priority="520"/>
  </conditionalFormatting>
  <conditionalFormatting sqref="B225">
    <cfRule type="duplicateValues" dxfId="121" priority="519"/>
  </conditionalFormatting>
  <conditionalFormatting sqref="B212:B220 B222:B224">
    <cfRule type="duplicateValues" dxfId="120" priority="666"/>
  </conditionalFormatting>
  <conditionalFormatting sqref="B27">
    <cfRule type="duplicateValues" dxfId="119" priority="514"/>
  </conditionalFormatting>
  <conditionalFormatting sqref="B133">
    <cfRule type="duplicateValues" dxfId="118" priority="511"/>
  </conditionalFormatting>
  <conditionalFormatting sqref="B138">
    <cfRule type="duplicateValues" dxfId="117" priority="510"/>
  </conditionalFormatting>
  <conditionalFormatting sqref="B160">
    <cfRule type="duplicateValues" dxfId="116" priority="509"/>
  </conditionalFormatting>
  <conditionalFormatting sqref="B176">
    <cfRule type="duplicateValues" dxfId="115" priority="508"/>
  </conditionalFormatting>
  <conditionalFormatting sqref="B47">
    <cfRule type="duplicateValues" dxfId="114" priority="668"/>
  </conditionalFormatting>
  <conditionalFormatting sqref="B48">
    <cfRule type="duplicateValues" dxfId="113" priority="670"/>
  </conditionalFormatting>
  <conditionalFormatting sqref="B33:B34">
    <cfRule type="duplicateValues" dxfId="112" priority="507"/>
  </conditionalFormatting>
  <conditionalFormatting sqref="D33:D34">
    <cfRule type="expression" dxfId="111" priority="505" stopIfTrue="1">
      <formula>$A33="begin group"</formula>
    </cfRule>
  </conditionalFormatting>
  <conditionalFormatting sqref="D33:D34">
    <cfRule type="expression" dxfId="110" priority="502" stopIfTrue="1">
      <formula>$A33="begin repeat"</formula>
    </cfRule>
  </conditionalFormatting>
  <conditionalFormatting sqref="D33:D34">
    <cfRule type="expression" dxfId="109" priority="499" stopIfTrue="1">
      <formula>$A33="text"</formula>
    </cfRule>
  </conditionalFormatting>
  <conditionalFormatting sqref="D33:D34">
    <cfRule type="expression" dxfId="108" priority="497" stopIfTrue="1">
      <formula>$A33="integer"</formula>
    </cfRule>
  </conditionalFormatting>
  <conditionalFormatting sqref="D33:D34">
    <cfRule type="expression" dxfId="107" priority="495" stopIfTrue="1">
      <formula>$A33="decimal"</formula>
    </cfRule>
  </conditionalFormatting>
  <conditionalFormatting sqref="D33:D34">
    <cfRule type="expression" dxfId="106" priority="493" stopIfTrue="1">
      <formula>OR(AND(LEFT($A33, 16)="select_multiple ", LEN($A33)&gt;16, NOT(ISNUMBER(SEARCH(" ", $A33, 17)))), AND(LEFT($A33, 11)="select_one ", LEN($A33)&gt;11, NOT(ISNUMBER(SEARCH(" ", $A33, 12)))))</formula>
    </cfRule>
  </conditionalFormatting>
  <conditionalFormatting sqref="D33:D34">
    <cfRule type="expression" dxfId="105" priority="485" stopIfTrue="1">
      <formula>$A33="note"</formula>
    </cfRule>
    <cfRule type="expression" dxfId="104" priority="487" stopIfTrue="1">
      <formula>$A33="barcode"</formula>
    </cfRule>
    <cfRule type="expression" dxfId="103" priority="489" stopIfTrue="1">
      <formula>$A33="geopoint"</formula>
    </cfRule>
  </conditionalFormatting>
  <conditionalFormatting sqref="D33:D34">
    <cfRule type="expression" dxfId="102" priority="482" stopIfTrue="1">
      <formula>OR($A33="date", $A33="datetime")</formula>
    </cfRule>
  </conditionalFormatting>
  <conditionalFormatting sqref="D33:D34">
    <cfRule type="expression" dxfId="101" priority="480" stopIfTrue="1">
      <formula>$A33="image"</formula>
    </cfRule>
  </conditionalFormatting>
  <conditionalFormatting sqref="D33:D34">
    <cfRule type="expression" dxfId="100" priority="478" stopIfTrue="1">
      <formula>OR($A33="audio", $A33="video")</formula>
    </cfRule>
  </conditionalFormatting>
  <conditionalFormatting sqref="D33:D34">
    <cfRule type="expression" dxfId="99" priority="479" stopIfTrue="1">
      <formula>OR($A33="audio", $A33="video")</formula>
    </cfRule>
    <cfRule type="expression" dxfId="98" priority="481" stopIfTrue="1">
      <formula>$A33="image"</formula>
    </cfRule>
    <cfRule type="expression" dxfId="97" priority="483" stopIfTrue="1">
      <formula>OR($A33="date", $A33="datetime")</formula>
    </cfRule>
    <cfRule type="expression" dxfId="96" priority="484" stopIfTrue="1">
      <formula>OR($A33="calculate", $A33="calculate_here")</formula>
    </cfRule>
    <cfRule type="expression" dxfId="95" priority="486" stopIfTrue="1">
      <formula>$A33="note"</formula>
    </cfRule>
    <cfRule type="expression" dxfId="94" priority="488" stopIfTrue="1">
      <formula>$A33="barcode"</formula>
    </cfRule>
    <cfRule type="expression" dxfId="93" priority="490" stopIfTrue="1">
      <formula>$A33="geopoint"</formula>
    </cfRule>
    <cfRule type="expression" dxfId="92" priority="491" stopIfTrue="1">
      <formula>OR($A33="audio audit", $A33="text audit")</formula>
    </cfRule>
    <cfRule type="expression" dxfId="91" priority="492" stopIfTrue="1">
      <formula>OR($A33="username", $A33="phonenumber", $A33="start", $A33="end", $A33="deviceid", $A33="subscriberid", $A33="simserial")</formula>
    </cfRule>
    <cfRule type="expression" dxfId="90" priority="494" stopIfTrue="1">
      <formula>OR(AND(LEFT($A33, 16)="select_multiple ", LEN($A33)&gt;16, NOT(ISNUMBER(SEARCH(" ", $A33, 17)))), AND(LEFT($A33, 11)="select_one ", LEN($A33)&gt;11, NOT(ISNUMBER(SEARCH(" ", $A33, 12)))))</formula>
    </cfRule>
    <cfRule type="expression" dxfId="89" priority="496" stopIfTrue="1">
      <formula>$A33="decimal"</formula>
    </cfRule>
    <cfRule type="expression" dxfId="88" priority="498" stopIfTrue="1">
      <formula>$A33="integer"</formula>
    </cfRule>
    <cfRule type="expression" dxfId="87" priority="500" stopIfTrue="1">
      <formula>$A33="text"</formula>
    </cfRule>
    <cfRule type="expression" dxfId="86" priority="501" stopIfTrue="1">
      <formula>$A33="end repeat"</formula>
    </cfRule>
    <cfRule type="expression" dxfId="85" priority="503" stopIfTrue="1">
      <formula>$A33="begin repeat"</formula>
    </cfRule>
    <cfRule type="expression" dxfId="84" priority="504" stopIfTrue="1">
      <formula>$A33="end group"</formula>
    </cfRule>
    <cfRule type="expression" dxfId="83" priority="506" stopIfTrue="1">
      <formula>$A33="begin group"</formula>
    </cfRule>
  </conditionalFormatting>
  <conditionalFormatting sqref="B94">
    <cfRule type="duplicateValues" dxfId="82" priority="474"/>
  </conditionalFormatting>
  <conditionalFormatting sqref="B121">
    <cfRule type="duplicateValues" dxfId="81" priority="473"/>
  </conditionalFormatting>
  <conditionalFormatting sqref="B127">
    <cfRule type="duplicateValues" dxfId="80" priority="472"/>
  </conditionalFormatting>
  <conditionalFormatting sqref="B145">
    <cfRule type="duplicateValues" dxfId="79" priority="471"/>
  </conditionalFormatting>
  <conditionalFormatting sqref="B149">
    <cfRule type="duplicateValues" dxfId="78" priority="470"/>
  </conditionalFormatting>
  <conditionalFormatting sqref="B168">
    <cfRule type="duplicateValues" dxfId="77" priority="469"/>
  </conditionalFormatting>
  <conditionalFormatting sqref="B236">
    <cfRule type="duplicateValues" dxfId="76" priority="468"/>
  </conditionalFormatting>
  <conditionalFormatting sqref="B113">
    <cfRule type="duplicateValues" dxfId="75" priority="467"/>
  </conditionalFormatting>
  <conditionalFormatting sqref="B124">
    <cfRule type="duplicateValues" dxfId="74" priority="463"/>
  </conditionalFormatting>
  <conditionalFormatting sqref="B252">
    <cfRule type="duplicateValues" dxfId="73" priority="431"/>
  </conditionalFormatting>
  <conditionalFormatting sqref="B129:B130">
    <cfRule type="duplicateValues" dxfId="72" priority="707"/>
  </conditionalFormatting>
  <conditionalFormatting sqref="B234">
    <cfRule type="duplicateValues" dxfId="71" priority="430"/>
  </conditionalFormatting>
  <conditionalFormatting sqref="B75">
    <cfRule type="duplicateValues" dxfId="70" priority="789"/>
  </conditionalFormatting>
  <conditionalFormatting sqref="B87">
    <cfRule type="duplicateValues" dxfId="69" priority="827"/>
  </conditionalFormatting>
  <conditionalFormatting sqref="B67">
    <cfRule type="duplicateValues" dxfId="68" priority="294"/>
  </conditionalFormatting>
  <conditionalFormatting sqref="B66">
    <cfRule type="duplicateValues" dxfId="67" priority="292"/>
  </conditionalFormatting>
  <conditionalFormatting sqref="B79">
    <cfRule type="duplicateValues" dxfId="66" priority="286"/>
  </conditionalFormatting>
  <conditionalFormatting sqref="B78">
    <cfRule type="duplicateValues" dxfId="65" priority="285"/>
  </conditionalFormatting>
  <conditionalFormatting sqref="B91">
    <cfRule type="duplicateValues" dxfId="64" priority="284"/>
  </conditionalFormatting>
  <conditionalFormatting sqref="B90">
    <cfRule type="duplicateValues" dxfId="63" priority="283"/>
  </conditionalFormatting>
  <conditionalFormatting sqref="B92">
    <cfRule type="duplicateValues" dxfId="62" priority="281"/>
  </conditionalFormatting>
  <conditionalFormatting sqref="B93">
    <cfRule type="duplicateValues" dxfId="61" priority="282"/>
  </conditionalFormatting>
  <conditionalFormatting sqref="B109">
    <cfRule type="duplicateValues" dxfId="60" priority="278"/>
  </conditionalFormatting>
  <conditionalFormatting sqref="C38:C39">
    <cfRule type="duplicateValues" dxfId="59" priority="933"/>
  </conditionalFormatting>
  <conditionalFormatting sqref="C65 C68">
    <cfRule type="duplicateValues" dxfId="58" priority="934"/>
  </conditionalFormatting>
  <conditionalFormatting sqref="C77 C80">
    <cfRule type="duplicateValues" dxfId="57" priority="936"/>
  </conditionalFormatting>
  <conditionalFormatting sqref="C89">
    <cfRule type="duplicateValues" dxfId="56" priority="938"/>
  </conditionalFormatting>
  <conditionalFormatting sqref="C96">
    <cfRule type="duplicateValues" dxfId="55" priority="939"/>
  </conditionalFormatting>
  <conditionalFormatting sqref="C114:C116">
    <cfRule type="duplicateValues" dxfId="54" priority="940"/>
  </conditionalFormatting>
  <conditionalFormatting sqref="C172">
    <cfRule type="duplicateValues" dxfId="53" priority="941"/>
  </conditionalFormatting>
  <conditionalFormatting sqref="C184">
    <cfRule type="duplicateValues" dxfId="52" priority="942"/>
  </conditionalFormatting>
  <conditionalFormatting sqref="C185">
    <cfRule type="duplicateValues" dxfId="51" priority="943"/>
  </conditionalFormatting>
  <conditionalFormatting sqref="C187">
    <cfRule type="duplicateValues" dxfId="50" priority="944"/>
  </conditionalFormatting>
  <conditionalFormatting sqref="C189">
    <cfRule type="duplicateValues" dxfId="49" priority="945"/>
  </conditionalFormatting>
  <conditionalFormatting sqref="C211">
    <cfRule type="duplicateValues" dxfId="48" priority="946"/>
  </conditionalFormatting>
  <conditionalFormatting sqref="C55">
    <cfRule type="duplicateValues" dxfId="47" priority="947"/>
  </conditionalFormatting>
  <conditionalFormatting sqref="C56">
    <cfRule type="duplicateValues" dxfId="46" priority="948"/>
  </conditionalFormatting>
  <conditionalFormatting sqref="C49:C50">
    <cfRule type="duplicateValues" dxfId="45" priority="949"/>
  </conditionalFormatting>
  <conditionalFormatting sqref="C53:C54">
    <cfRule type="duplicateValues" dxfId="44" priority="950"/>
  </conditionalFormatting>
  <conditionalFormatting sqref="C125">
    <cfRule type="duplicateValues" dxfId="43" priority="951"/>
  </conditionalFormatting>
  <conditionalFormatting sqref="B226 C212:C220 C222:C224">
    <cfRule type="duplicateValues" dxfId="42" priority="952"/>
  </conditionalFormatting>
  <conditionalFormatting sqref="C148">
    <cfRule type="duplicateValues" dxfId="41" priority="955"/>
  </conditionalFormatting>
  <conditionalFormatting sqref="C126">
    <cfRule type="duplicateValues" dxfId="40" priority="956"/>
  </conditionalFormatting>
  <conditionalFormatting sqref="C221">
    <cfRule type="duplicateValues" dxfId="39" priority="957"/>
  </conditionalFormatting>
  <conditionalFormatting sqref="C226">
    <cfRule type="duplicateValues" dxfId="38" priority="958"/>
  </conditionalFormatting>
  <conditionalFormatting sqref="C227">
    <cfRule type="duplicateValues" dxfId="37" priority="959"/>
  </conditionalFormatting>
  <conditionalFormatting sqref="C225">
    <cfRule type="duplicateValues" dxfId="36" priority="960"/>
  </conditionalFormatting>
  <conditionalFormatting sqref="C26">
    <cfRule type="duplicateValues" dxfId="35" priority="961"/>
  </conditionalFormatting>
  <conditionalFormatting sqref="C27">
    <cfRule type="duplicateValues" dxfId="34" priority="962"/>
  </conditionalFormatting>
  <conditionalFormatting sqref="C28:C29 C31:C32">
    <cfRule type="duplicateValues" dxfId="33" priority="963"/>
  </conditionalFormatting>
  <conditionalFormatting sqref="C47">
    <cfRule type="duplicateValues" dxfId="32" priority="965"/>
  </conditionalFormatting>
  <conditionalFormatting sqref="C48">
    <cfRule type="duplicateValues" dxfId="31" priority="966"/>
  </conditionalFormatting>
  <conditionalFormatting sqref="C33:C34">
    <cfRule type="duplicateValues" dxfId="30" priority="967"/>
  </conditionalFormatting>
  <conditionalFormatting sqref="C30">
    <cfRule type="duplicateValues" dxfId="29" priority="968"/>
  </conditionalFormatting>
  <conditionalFormatting sqref="C113">
    <cfRule type="duplicateValues" dxfId="28" priority="969"/>
  </conditionalFormatting>
  <conditionalFormatting sqref="C109">
    <cfRule type="duplicateValues" dxfId="27" priority="970"/>
  </conditionalFormatting>
  <conditionalFormatting sqref="C129">
    <cfRule type="duplicateValues" dxfId="26" priority="971"/>
  </conditionalFormatting>
  <conditionalFormatting sqref="C63">
    <cfRule type="duplicateValues" dxfId="25" priority="973"/>
  </conditionalFormatting>
  <conditionalFormatting sqref="C75">
    <cfRule type="duplicateValues" dxfId="24" priority="975"/>
  </conditionalFormatting>
  <conditionalFormatting sqref="C87">
    <cfRule type="duplicateValues" dxfId="23" priority="977"/>
  </conditionalFormatting>
  <conditionalFormatting sqref="C91">
    <cfRule type="duplicateValues" dxfId="22" priority="978"/>
  </conditionalFormatting>
  <conditionalFormatting sqref="C90">
    <cfRule type="duplicateValues" dxfId="21" priority="979"/>
  </conditionalFormatting>
  <conditionalFormatting sqref="C67">
    <cfRule type="duplicateValues" dxfId="20" priority="980"/>
  </conditionalFormatting>
  <conditionalFormatting sqref="C66">
    <cfRule type="duplicateValues" dxfId="19" priority="981"/>
  </conditionalFormatting>
  <conditionalFormatting sqref="C79">
    <cfRule type="duplicateValues" dxfId="18" priority="982"/>
  </conditionalFormatting>
  <conditionalFormatting sqref="C78">
    <cfRule type="duplicateValues" dxfId="17" priority="983"/>
  </conditionalFormatting>
  <conditionalFormatting sqref="C92">
    <cfRule type="duplicateValues" dxfId="16" priority="984"/>
  </conditionalFormatting>
  <conditionalFormatting sqref="B35:B36">
    <cfRule type="duplicateValues" dxfId="15" priority="277"/>
  </conditionalFormatting>
  <conditionalFormatting sqref="B60:B62">
    <cfRule type="duplicateValues" dxfId="14" priority="276"/>
  </conditionalFormatting>
  <conditionalFormatting sqref="C62">
    <cfRule type="duplicateValues" dxfId="13" priority="275"/>
  </conditionalFormatting>
  <conditionalFormatting sqref="C60">
    <cfRule type="duplicateValues" dxfId="12" priority="274"/>
  </conditionalFormatting>
  <conditionalFormatting sqref="C61">
    <cfRule type="duplicateValues" dxfId="11" priority="273"/>
  </conditionalFormatting>
  <conditionalFormatting sqref="B72:B74">
    <cfRule type="duplicateValues" dxfId="10" priority="272"/>
  </conditionalFormatting>
  <conditionalFormatting sqref="C74">
    <cfRule type="duplicateValues" dxfId="9" priority="271"/>
  </conditionalFormatting>
  <conditionalFormatting sqref="C72">
    <cfRule type="duplicateValues" dxfId="8" priority="270"/>
  </conditionalFormatting>
  <conditionalFormatting sqref="C73">
    <cfRule type="duplicateValues" dxfId="7" priority="269"/>
  </conditionalFormatting>
  <conditionalFormatting sqref="B84:B86">
    <cfRule type="duplicateValues" dxfId="6" priority="268"/>
  </conditionalFormatting>
  <conditionalFormatting sqref="C84:C86">
    <cfRule type="duplicateValues" dxfId="5" priority="267"/>
  </conditionalFormatting>
  <conditionalFormatting sqref="B37">
    <cfRule type="duplicateValues" dxfId="4" priority="266"/>
  </conditionalFormatting>
  <conditionalFormatting sqref="B135">
    <cfRule type="duplicateValues" dxfId="3" priority="265"/>
  </conditionalFormatting>
  <conditionalFormatting sqref="C178">
    <cfRule type="duplicateValues" dxfId="2" priority="59"/>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94"/>
  <sheetViews>
    <sheetView workbookViewId="0">
      <pane ySplit="3" topLeftCell="A4" activePane="bottomLeft" state="frozen"/>
      <selection activeCell="D69" sqref="D69"/>
      <selection pane="bottomLeft" activeCell="C4" sqref="C4"/>
    </sheetView>
  </sheetViews>
  <sheetFormatPr baseColWidth="10" defaultColWidth="10.83203125" defaultRowHeight="15"/>
  <cols>
    <col min="1" max="2" width="10.83203125" style="1"/>
    <col min="3" max="3" width="15.1640625" style="2" customWidth="1"/>
    <col min="4" max="4" width="10.83203125" style="331" hidden="1" customWidth="1"/>
    <col min="5" max="5" width="10.83203125" style="331"/>
    <col min="6" max="6" width="41.6640625" style="1" customWidth="1"/>
    <col min="7" max="7" width="46.6640625" style="547" customWidth="1"/>
    <col min="8" max="16384" width="10.83203125" style="1"/>
  </cols>
  <sheetData>
    <row r="2" spans="2:7">
      <c r="C2" s="4"/>
      <c r="D2" s="328"/>
      <c r="E2" s="328"/>
      <c r="F2" s="5"/>
      <c r="G2" s="545"/>
    </row>
    <row r="3" spans="2:7" ht="32">
      <c r="B3" s="3"/>
      <c r="C3" s="329" t="s">
        <v>444</v>
      </c>
      <c r="D3" s="326" t="s">
        <v>445</v>
      </c>
      <c r="E3" s="326" t="s">
        <v>446</v>
      </c>
      <c r="F3" s="326" t="s">
        <v>447</v>
      </c>
      <c r="G3" s="329" t="s">
        <v>980</v>
      </c>
    </row>
    <row r="4" spans="2:7" ht="16">
      <c r="B4" s="3"/>
      <c r="C4" s="570"/>
      <c r="D4" s="8" cm="1">
        <f t="array" ref="D4:D93">_xlfn.SEQUENCE(90,1,1,1)</f>
        <v>1</v>
      </c>
      <c r="E4" s="327" t="s">
        <v>448</v>
      </c>
      <c r="F4" s="8" t="s">
        <v>449</v>
      </c>
      <c r="G4" s="548" t="s">
        <v>983</v>
      </c>
    </row>
    <row r="5" spans="2:7" ht="16">
      <c r="B5" s="3"/>
      <c r="C5" s="570"/>
      <c r="D5" s="8">
        <v>2</v>
      </c>
      <c r="E5" s="327" t="s">
        <v>450</v>
      </c>
      <c r="F5" s="8" t="s">
        <v>451</v>
      </c>
      <c r="G5" s="549" t="s">
        <v>984</v>
      </c>
    </row>
    <row r="6" spans="2:7" ht="16">
      <c r="B6" s="3"/>
      <c r="C6" s="570"/>
      <c r="D6" s="8">
        <v>3</v>
      </c>
      <c r="E6" s="327" t="s">
        <v>452</v>
      </c>
      <c r="F6" s="8" t="s">
        <v>453</v>
      </c>
      <c r="G6" s="549" t="s">
        <v>985</v>
      </c>
    </row>
    <row r="7" spans="2:7" ht="16">
      <c r="B7" s="3"/>
      <c r="C7" s="570"/>
      <c r="D7" s="8">
        <v>4</v>
      </c>
      <c r="E7" s="327" t="s">
        <v>454</v>
      </c>
      <c r="F7" s="8" t="s">
        <v>455</v>
      </c>
      <c r="G7" s="549" t="s">
        <v>986</v>
      </c>
    </row>
    <row r="8" spans="2:7" ht="16">
      <c r="B8" s="3"/>
      <c r="C8" s="570"/>
      <c r="D8" s="8">
        <v>5</v>
      </c>
      <c r="E8" s="327" t="s">
        <v>456</v>
      </c>
      <c r="F8" s="8" t="s">
        <v>457</v>
      </c>
      <c r="G8" s="549" t="s">
        <v>987</v>
      </c>
    </row>
    <row r="9" spans="2:7" ht="16">
      <c r="B9" s="3"/>
      <c r="C9" s="570"/>
      <c r="D9" s="8">
        <v>6</v>
      </c>
      <c r="E9" s="327" t="s">
        <v>458</v>
      </c>
      <c r="F9" s="8" t="s">
        <v>459</v>
      </c>
      <c r="G9" s="549" t="s">
        <v>988</v>
      </c>
    </row>
    <row r="10" spans="2:7" ht="16">
      <c r="B10" s="3"/>
      <c r="C10" s="363"/>
      <c r="D10" s="8">
        <v>7</v>
      </c>
      <c r="E10" s="327" t="s">
        <v>460</v>
      </c>
      <c r="F10" s="50" t="s">
        <v>461</v>
      </c>
      <c r="G10" s="550" t="s">
        <v>989</v>
      </c>
    </row>
    <row r="11" spans="2:7" ht="16">
      <c r="B11" s="3"/>
      <c r="C11" s="570"/>
      <c r="D11" s="8">
        <v>8</v>
      </c>
      <c r="E11" s="327" t="s">
        <v>462</v>
      </c>
      <c r="F11" s="8" t="s">
        <v>463</v>
      </c>
      <c r="G11" s="549" t="s">
        <v>990</v>
      </c>
    </row>
    <row r="12" spans="2:7" ht="16">
      <c r="B12" s="3"/>
      <c r="C12" s="570"/>
      <c r="D12" s="8">
        <v>9</v>
      </c>
      <c r="E12" s="327" t="s">
        <v>464</v>
      </c>
      <c r="F12" s="8" t="s">
        <v>465</v>
      </c>
      <c r="G12" s="549" t="s">
        <v>991</v>
      </c>
    </row>
    <row r="13" spans="2:7" ht="16">
      <c r="B13" s="3"/>
      <c r="C13" s="570"/>
      <c r="D13" s="8">
        <v>10</v>
      </c>
      <c r="E13" s="327" t="s">
        <v>466</v>
      </c>
      <c r="F13" s="8" t="s">
        <v>467</v>
      </c>
      <c r="G13" s="549" t="s">
        <v>992</v>
      </c>
    </row>
    <row r="14" spans="2:7" ht="16">
      <c r="B14" s="3"/>
      <c r="C14" s="570"/>
      <c r="D14" s="8">
        <v>11</v>
      </c>
      <c r="E14" s="327" t="s">
        <v>468</v>
      </c>
      <c r="F14" s="8" t="s">
        <v>469</v>
      </c>
      <c r="G14" s="549" t="s">
        <v>993</v>
      </c>
    </row>
    <row r="15" spans="2:7" ht="16">
      <c r="B15" s="3"/>
      <c r="C15" s="570"/>
      <c r="D15" s="8">
        <v>12</v>
      </c>
      <c r="E15" s="327" t="s">
        <v>470</v>
      </c>
      <c r="F15" s="8" t="s">
        <v>471</v>
      </c>
      <c r="G15" s="549" t="s">
        <v>994</v>
      </c>
    </row>
    <row r="16" spans="2:7" ht="16">
      <c r="B16" s="3"/>
      <c r="C16" s="570"/>
      <c r="D16" s="8">
        <v>13</v>
      </c>
      <c r="E16" s="327" t="s">
        <v>472</v>
      </c>
      <c r="F16" s="8" t="s">
        <v>473</v>
      </c>
      <c r="G16" s="549" t="s">
        <v>995</v>
      </c>
    </row>
    <row r="17" spans="2:7" ht="16">
      <c r="B17" s="3"/>
      <c r="C17" s="363"/>
      <c r="D17" s="8">
        <v>14</v>
      </c>
      <c r="E17" s="327" t="s">
        <v>474</v>
      </c>
      <c r="F17" s="50" t="s">
        <v>475</v>
      </c>
      <c r="G17" s="550" t="s">
        <v>996</v>
      </c>
    </row>
    <row r="18" spans="2:7" ht="16">
      <c r="B18" s="3"/>
      <c r="C18" s="570"/>
      <c r="D18" s="8">
        <v>15</v>
      </c>
      <c r="E18" s="327" t="s">
        <v>476</v>
      </c>
      <c r="F18" s="8" t="s">
        <v>477</v>
      </c>
      <c r="G18" s="549" t="s">
        <v>997</v>
      </c>
    </row>
    <row r="19" spans="2:7" ht="16">
      <c r="B19" s="3"/>
      <c r="C19" s="570"/>
      <c r="D19" s="8">
        <v>16</v>
      </c>
      <c r="E19" s="327" t="s">
        <v>478</v>
      </c>
      <c r="F19" s="8" t="s">
        <v>479</v>
      </c>
      <c r="G19" s="549" t="s">
        <v>998</v>
      </c>
    </row>
    <row r="20" spans="2:7" ht="16">
      <c r="B20" s="3"/>
      <c r="C20" s="570"/>
      <c r="D20" s="8">
        <v>17</v>
      </c>
      <c r="E20" s="327" t="s">
        <v>480</v>
      </c>
      <c r="F20" s="8" t="s">
        <v>481</v>
      </c>
      <c r="G20" s="549" t="s">
        <v>999</v>
      </c>
    </row>
    <row r="21" spans="2:7" ht="16">
      <c r="B21" s="3"/>
      <c r="C21" s="570"/>
      <c r="D21" s="8">
        <v>18</v>
      </c>
      <c r="E21" s="327" t="s">
        <v>482</v>
      </c>
      <c r="F21" s="8" t="s">
        <v>483</v>
      </c>
      <c r="G21" s="549" t="s">
        <v>1000</v>
      </c>
    </row>
    <row r="22" spans="2:7" ht="16">
      <c r="B22" s="3"/>
      <c r="C22" s="570"/>
      <c r="D22" s="8">
        <v>19</v>
      </c>
      <c r="E22" s="327" t="s">
        <v>484</v>
      </c>
      <c r="F22" s="8" t="s">
        <v>485</v>
      </c>
      <c r="G22" s="549" t="s">
        <v>1001</v>
      </c>
    </row>
    <row r="23" spans="2:7" ht="16">
      <c r="B23" s="3"/>
      <c r="C23" s="570"/>
      <c r="D23" s="8">
        <v>20</v>
      </c>
      <c r="E23" s="327" t="s">
        <v>486</v>
      </c>
      <c r="F23" s="8" t="s">
        <v>487</v>
      </c>
      <c r="G23" s="549" t="s">
        <v>1002</v>
      </c>
    </row>
    <row r="24" spans="2:7" ht="16">
      <c r="B24" s="3"/>
      <c r="C24" s="570"/>
      <c r="D24" s="8">
        <v>21</v>
      </c>
      <c r="E24" s="327" t="s">
        <v>488</v>
      </c>
      <c r="F24" s="8" t="s">
        <v>489</v>
      </c>
      <c r="G24" s="549" t="s">
        <v>1003</v>
      </c>
    </row>
    <row r="25" spans="2:7" ht="16">
      <c r="B25" s="3"/>
      <c r="C25" s="363"/>
      <c r="D25" s="8">
        <v>22</v>
      </c>
      <c r="E25" s="327" t="s">
        <v>490</v>
      </c>
      <c r="F25" s="50" t="s">
        <v>491</v>
      </c>
      <c r="G25" s="550" t="s">
        <v>1004</v>
      </c>
    </row>
    <row r="26" spans="2:7" ht="16">
      <c r="B26" s="3"/>
      <c r="C26" s="570"/>
      <c r="D26" s="8">
        <v>23</v>
      </c>
      <c r="E26" s="327" t="s">
        <v>492</v>
      </c>
      <c r="F26" s="8" t="s">
        <v>493</v>
      </c>
      <c r="G26" s="549" t="s">
        <v>1005</v>
      </c>
    </row>
    <row r="27" spans="2:7" ht="16">
      <c r="B27" s="3"/>
      <c r="C27" s="570"/>
      <c r="D27" s="8">
        <v>24</v>
      </c>
      <c r="E27" s="327" t="s">
        <v>494</v>
      </c>
      <c r="F27" s="8" t="s">
        <v>495</v>
      </c>
      <c r="G27" s="549" t="s">
        <v>1006</v>
      </c>
    </row>
    <row r="28" spans="2:7" ht="16">
      <c r="B28" s="3"/>
      <c r="C28" s="570"/>
      <c r="D28" s="8">
        <v>25</v>
      </c>
      <c r="E28" s="327" t="s">
        <v>496</v>
      </c>
      <c r="F28" s="8" t="s">
        <v>497</v>
      </c>
      <c r="G28" s="549" t="s">
        <v>1007</v>
      </c>
    </row>
    <row r="29" spans="2:7" ht="16">
      <c r="B29" s="3"/>
      <c r="C29" s="570"/>
      <c r="D29" s="8">
        <v>26</v>
      </c>
      <c r="E29" s="327" t="s">
        <v>498</v>
      </c>
      <c r="F29" s="8" t="s">
        <v>499</v>
      </c>
      <c r="G29" s="549" t="s">
        <v>1008</v>
      </c>
    </row>
    <row r="30" spans="2:7" ht="16">
      <c r="B30" s="3"/>
      <c r="C30" s="570"/>
      <c r="D30" s="8">
        <v>27</v>
      </c>
      <c r="E30" s="327" t="s">
        <v>500</v>
      </c>
      <c r="F30" s="8" t="s">
        <v>501</v>
      </c>
      <c r="G30" s="549" t="s">
        <v>1009</v>
      </c>
    </row>
    <row r="31" spans="2:7" ht="16">
      <c r="B31" s="3"/>
      <c r="C31" s="570"/>
      <c r="D31" s="8">
        <v>28</v>
      </c>
      <c r="E31" s="327" t="s">
        <v>502</v>
      </c>
      <c r="F31" s="8" t="s">
        <v>503</v>
      </c>
      <c r="G31" s="549" t="s">
        <v>1010</v>
      </c>
    </row>
    <row r="32" spans="2:7" ht="16">
      <c r="B32" s="3"/>
      <c r="C32" s="570"/>
      <c r="D32" s="8">
        <v>29</v>
      </c>
      <c r="E32" s="327" t="s">
        <v>504</v>
      </c>
      <c r="F32" s="8" t="s">
        <v>505</v>
      </c>
      <c r="G32" s="549" t="s">
        <v>1011</v>
      </c>
    </row>
    <row r="33" spans="2:7" ht="16">
      <c r="B33" s="3"/>
      <c r="C33" s="570"/>
      <c r="D33" s="8">
        <v>30</v>
      </c>
      <c r="E33" s="327" t="s">
        <v>506</v>
      </c>
      <c r="F33" s="8" t="s">
        <v>835</v>
      </c>
      <c r="G33" s="549" t="s">
        <v>1072</v>
      </c>
    </row>
    <row r="34" spans="2:7" ht="16">
      <c r="B34" s="3"/>
      <c r="C34" s="570"/>
      <c r="D34" s="8">
        <v>31</v>
      </c>
      <c r="E34" s="327" t="s">
        <v>507</v>
      </c>
      <c r="F34" s="8" t="s">
        <v>508</v>
      </c>
      <c r="G34" s="549" t="s">
        <v>1012</v>
      </c>
    </row>
    <row r="35" spans="2:7" ht="16">
      <c r="B35" s="3"/>
      <c r="C35" s="363"/>
      <c r="D35" s="8">
        <v>32</v>
      </c>
      <c r="E35" s="327" t="s">
        <v>509</v>
      </c>
      <c r="F35" s="50" t="s">
        <v>510</v>
      </c>
      <c r="G35" s="550" t="s">
        <v>1013</v>
      </c>
    </row>
    <row r="36" spans="2:7" ht="16">
      <c r="B36" s="3"/>
      <c r="C36" s="570"/>
      <c r="D36" s="8">
        <v>33</v>
      </c>
      <c r="E36" s="327" t="s">
        <v>511</v>
      </c>
      <c r="F36" s="8" t="s">
        <v>512</v>
      </c>
      <c r="G36" s="549" t="s">
        <v>1014</v>
      </c>
    </row>
    <row r="37" spans="2:7" ht="16">
      <c r="B37" s="3"/>
      <c r="C37" s="570"/>
      <c r="D37" s="8">
        <v>34</v>
      </c>
      <c r="E37" s="327" t="s">
        <v>513</v>
      </c>
      <c r="F37" s="8" t="s">
        <v>514</v>
      </c>
      <c r="G37" s="549" t="s">
        <v>1015</v>
      </c>
    </row>
    <row r="38" spans="2:7" ht="16">
      <c r="B38" s="3"/>
      <c r="C38" s="570"/>
      <c r="D38" s="8">
        <v>35</v>
      </c>
      <c r="E38" s="327" t="s">
        <v>515</v>
      </c>
      <c r="F38" s="8" t="s">
        <v>516</v>
      </c>
      <c r="G38" s="549" t="s">
        <v>1016</v>
      </c>
    </row>
    <row r="39" spans="2:7" ht="16">
      <c r="B39" s="3"/>
      <c r="C39" s="570"/>
      <c r="D39" s="8">
        <v>36</v>
      </c>
      <c r="E39" s="327" t="s">
        <v>517</v>
      </c>
      <c r="F39" s="8" t="s">
        <v>518</v>
      </c>
      <c r="G39" s="549" t="s">
        <v>1017</v>
      </c>
    </row>
    <row r="40" spans="2:7" ht="16">
      <c r="B40" s="3"/>
      <c r="C40" s="570"/>
      <c r="D40" s="8">
        <v>37</v>
      </c>
      <c r="E40" s="327" t="s">
        <v>519</v>
      </c>
      <c r="F40" s="8" t="s">
        <v>520</v>
      </c>
      <c r="G40" s="549" t="s">
        <v>1018</v>
      </c>
    </row>
    <row r="41" spans="2:7" ht="16">
      <c r="B41" s="3"/>
      <c r="C41" s="570"/>
      <c r="D41" s="8">
        <v>38</v>
      </c>
      <c r="E41" s="327" t="s">
        <v>521</v>
      </c>
      <c r="F41" s="8" t="s">
        <v>522</v>
      </c>
      <c r="G41" s="549" t="s">
        <v>1019</v>
      </c>
    </row>
    <row r="42" spans="2:7" ht="16">
      <c r="B42" s="3"/>
      <c r="C42" s="570"/>
      <c r="D42" s="8">
        <v>39</v>
      </c>
      <c r="E42" s="327" t="s">
        <v>523</v>
      </c>
      <c r="F42" s="8" t="s">
        <v>524</v>
      </c>
      <c r="G42" s="549" t="s">
        <v>1020</v>
      </c>
    </row>
    <row r="43" spans="2:7" ht="16">
      <c r="B43" s="3"/>
      <c r="C43" s="570"/>
      <c r="D43" s="8">
        <v>40</v>
      </c>
      <c r="E43" s="327" t="s">
        <v>525</v>
      </c>
      <c r="F43" s="8" t="s">
        <v>526</v>
      </c>
      <c r="G43" s="549" t="s">
        <v>1021</v>
      </c>
    </row>
    <row r="44" spans="2:7" ht="16">
      <c r="B44" s="3"/>
      <c r="C44" s="570"/>
      <c r="D44" s="8">
        <v>41</v>
      </c>
      <c r="E44" s="327" t="s">
        <v>527</v>
      </c>
      <c r="F44" s="8" t="s">
        <v>528</v>
      </c>
      <c r="G44" s="549" t="s">
        <v>1022</v>
      </c>
    </row>
    <row r="45" spans="2:7" ht="16">
      <c r="B45" s="3"/>
      <c r="C45" s="570"/>
      <c r="D45" s="8">
        <v>42</v>
      </c>
      <c r="E45" s="327" t="s">
        <v>529</v>
      </c>
      <c r="F45" s="8" t="s">
        <v>530</v>
      </c>
      <c r="G45" s="549" t="s">
        <v>1023</v>
      </c>
    </row>
    <row r="46" spans="2:7" ht="16">
      <c r="B46" s="3"/>
      <c r="C46" s="570"/>
      <c r="D46" s="8">
        <v>43</v>
      </c>
      <c r="E46" s="327" t="s">
        <v>531</v>
      </c>
      <c r="F46" s="8" t="s">
        <v>532</v>
      </c>
      <c r="G46" s="549" t="s">
        <v>1024</v>
      </c>
    </row>
    <row r="47" spans="2:7" ht="16">
      <c r="B47" s="3"/>
      <c r="C47" s="363"/>
      <c r="D47" s="8">
        <v>44</v>
      </c>
      <c r="E47" s="327" t="s">
        <v>533</v>
      </c>
      <c r="F47" s="50" t="s">
        <v>534</v>
      </c>
      <c r="G47" s="550" t="s">
        <v>1025</v>
      </c>
    </row>
    <row r="48" spans="2:7" ht="16">
      <c r="B48" s="3"/>
      <c r="C48" s="570"/>
      <c r="D48" s="8">
        <v>45</v>
      </c>
      <c r="E48" s="327" t="s">
        <v>535</v>
      </c>
      <c r="F48" s="8" t="s">
        <v>536</v>
      </c>
      <c r="G48" s="549" t="s">
        <v>1026</v>
      </c>
    </row>
    <row r="49" spans="2:7" ht="16">
      <c r="B49" s="3"/>
      <c r="C49" s="570"/>
      <c r="D49" s="8">
        <v>46</v>
      </c>
      <c r="E49" s="327" t="s">
        <v>537</v>
      </c>
      <c r="F49" s="8" t="s">
        <v>538</v>
      </c>
      <c r="G49" s="549" t="s">
        <v>1027</v>
      </c>
    </row>
    <row r="50" spans="2:7" ht="16">
      <c r="B50" s="3"/>
      <c r="C50" s="570"/>
      <c r="D50" s="8">
        <v>47</v>
      </c>
      <c r="E50" s="327" t="s">
        <v>539</v>
      </c>
      <c r="F50" s="8" t="s">
        <v>540</v>
      </c>
      <c r="G50" s="549" t="s">
        <v>1028</v>
      </c>
    </row>
    <row r="51" spans="2:7" ht="16">
      <c r="B51" s="3"/>
      <c r="C51" s="570"/>
      <c r="D51" s="8">
        <v>48</v>
      </c>
      <c r="E51" s="327" t="s">
        <v>541</v>
      </c>
      <c r="F51" s="8" t="s">
        <v>542</v>
      </c>
      <c r="G51" s="549" t="s">
        <v>1029</v>
      </c>
    </row>
    <row r="52" spans="2:7" ht="16">
      <c r="B52" s="3"/>
      <c r="C52" s="363"/>
      <c r="D52" s="8">
        <v>49</v>
      </c>
      <c r="E52" s="327" t="s">
        <v>543</v>
      </c>
      <c r="F52" s="50" t="s">
        <v>544</v>
      </c>
      <c r="G52" s="550" t="s">
        <v>1030</v>
      </c>
    </row>
    <row r="53" spans="2:7" ht="16">
      <c r="B53" s="3"/>
      <c r="C53" s="570"/>
      <c r="D53" s="8">
        <v>50</v>
      </c>
      <c r="E53" s="327" t="s">
        <v>545</v>
      </c>
      <c r="F53" s="8" t="s">
        <v>546</v>
      </c>
      <c r="G53" s="549" t="s">
        <v>1031</v>
      </c>
    </row>
    <row r="54" spans="2:7" ht="16">
      <c r="B54" s="3"/>
      <c r="C54" s="570"/>
      <c r="D54" s="8">
        <v>51</v>
      </c>
      <c r="E54" s="327" t="s">
        <v>547</v>
      </c>
      <c r="F54" s="8" t="s">
        <v>548</v>
      </c>
      <c r="G54" s="549" t="s">
        <v>1032</v>
      </c>
    </row>
    <row r="55" spans="2:7" ht="16">
      <c r="B55" s="3"/>
      <c r="C55" s="570"/>
      <c r="D55" s="8">
        <v>52</v>
      </c>
      <c r="E55" s="327" t="s">
        <v>549</v>
      </c>
      <c r="F55" s="8" t="s">
        <v>550</v>
      </c>
      <c r="G55" s="549" t="s">
        <v>1033</v>
      </c>
    </row>
    <row r="56" spans="2:7" ht="16">
      <c r="B56" s="3"/>
      <c r="C56" s="570"/>
      <c r="D56" s="8">
        <v>53</v>
      </c>
      <c r="E56" s="327" t="s">
        <v>551</v>
      </c>
      <c r="F56" s="8" t="s">
        <v>552</v>
      </c>
      <c r="G56" s="549" t="s">
        <v>1034</v>
      </c>
    </row>
    <row r="57" spans="2:7" ht="16">
      <c r="B57" s="3"/>
      <c r="C57" s="570"/>
      <c r="D57" s="8">
        <v>54</v>
      </c>
      <c r="E57" s="327" t="s">
        <v>553</v>
      </c>
      <c r="F57" s="8" t="s">
        <v>554</v>
      </c>
      <c r="G57" s="549" t="s">
        <v>1035</v>
      </c>
    </row>
    <row r="58" spans="2:7" ht="16">
      <c r="B58" s="3"/>
      <c r="C58" s="570"/>
      <c r="D58" s="8">
        <v>55</v>
      </c>
      <c r="E58" s="327" t="s">
        <v>555</v>
      </c>
      <c r="F58" s="8" t="s">
        <v>556</v>
      </c>
      <c r="G58" s="549" t="s">
        <v>1036</v>
      </c>
    </row>
    <row r="59" spans="2:7" ht="16">
      <c r="B59" s="3"/>
      <c r="C59" s="570"/>
      <c r="D59" s="8">
        <v>56</v>
      </c>
      <c r="E59" s="327" t="s">
        <v>557</v>
      </c>
      <c r="F59" s="8" t="s">
        <v>558</v>
      </c>
      <c r="G59" s="549" t="s">
        <v>1037</v>
      </c>
    </row>
    <row r="60" spans="2:7" ht="16">
      <c r="B60" s="3"/>
      <c r="C60" s="570"/>
      <c r="D60" s="8">
        <v>57</v>
      </c>
      <c r="E60" s="327" t="s">
        <v>559</v>
      </c>
      <c r="F60" s="8" t="s">
        <v>560</v>
      </c>
      <c r="G60" s="549" t="s">
        <v>1038</v>
      </c>
    </row>
    <row r="61" spans="2:7" ht="16">
      <c r="B61" s="3"/>
      <c r="C61" s="570"/>
      <c r="D61" s="8">
        <v>58</v>
      </c>
      <c r="E61" s="327" t="s">
        <v>561</v>
      </c>
      <c r="F61" s="8" t="s">
        <v>562</v>
      </c>
      <c r="G61" s="549" t="s">
        <v>1039</v>
      </c>
    </row>
    <row r="62" spans="2:7" ht="16">
      <c r="B62" s="3"/>
      <c r="C62" s="570"/>
      <c r="D62" s="8">
        <v>59</v>
      </c>
      <c r="E62" s="327" t="s">
        <v>563</v>
      </c>
      <c r="F62" s="8" t="s">
        <v>564</v>
      </c>
      <c r="G62" s="549" t="s">
        <v>1040</v>
      </c>
    </row>
    <row r="63" spans="2:7" ht="16">
      <c r="B63" s="3"/>
      <c r="C63" s="570"/>
      <c r="D63" s="8">
        <v>60</v>
      </c>
      <c r="E63" s="327" t="s">
        <v>565</v>
      </c>
      <c r="F63" s="8" t="s">
        <v>566</v>
      </c>
      <c r="G63" s="549" t="s">
        <v>1041</v>
      </c>
    </row>
    <row r="64" spans="2:7" ht="16">
      <c r="B64" s="3"/>
      <c r="C64" s="570"/>
      <c r="D64" s="8">
        <v>61</v>
      </c>
      <c r="E64" s="327" t="s">
        <v>567</v>
      </c>
      <c r="F64" s="8" t="s">
        <v>568</v>
      </c>
      <c r="G64" s="549" t="s">
        <v>1042</v>
      </c>
    </row>
    <row r="65" spans="2:7" ht="16">
      <c r="B65" s="3"/>
      <c r="C65" s="570"/>
      <c r="D65" s="8">
        <v>62</v>
      </c>
      <c r="E65" s="327" t="s">
        <v>569</v>
      </c>
      <c r="F65" s="8" t="s">
        <v>570</v>
      </c>
      <c r="G65" s="549" t="s">
        <v>1043</v>
      </c>
    </row>
    <row r="66" spans="2:7" ht="16">
      <c r="B66" s="3"/>
      <c r="C66" s="570"/>
      <c r="D66" s="8">
        <v>63</v>
      </c>
      <c r="E66" s="327" t="s">
        <v>571</v>
      </c>
      <c r="F66" s="8" t="s">
        <v>572</v>
      </c>
      <c r="G66" s="549" t="s">
        <v>1044</v>
      </c>
    </row>
    <row r="67" spans="2:7" ht="16">
      <c r="B67" s="3"/>
      <c r="C67" s="570"/>
      <c r="D67" s="8">
        <v>64</v>
      </c>
      <c r="E67" s="327" t="s">
        <v>573</v>
      </c>
      <c r="F67" s="8" t="s">
        <v>574</v>
      </c>
      <c r="G67" s="549" t="s">
        <v>1045</v>
      </c>
    </row>
    <row r="68" spans="2:7" ht="16">
      <c r="B68" s="3"/>
      <c r="C68" s="570"/>
      <c r="D68" s="8">
        <v>65</v>
      </c>
      <c r="E68" s="327" t="s">
        <v>575</v>
      </c>
      <c r="F68" s="8" t="s">
        <v>576</v>
      </c>
      <c r="G68" s="549" t="s">
        <v>1046</v>
      </c>
    </row>
    <row r="69" spans="2:7" ht="16">
      <c r="B69" s="3"/>
      <c r="C69" s="570"/>
      <c r="D69" s="8">
        <v>66</v>
      </c>
      <c r="E69" s="327" t="s">
        <v>577</v>
      </c>
      <c r="F69" s="8" t="s">
        <v>578</v>
      </c>
      <c r="G69" s="549" t="s">
        <v>1047</v>
      </c>
    </row>
    <row r="70" spans="2:7" ht="16">
      <c r="B70" s="3"/>
      <c r="C70" s="570"/>
      <c r="D70" s="8">
        <v>67</v>
      </c>
      <c r="E70" s="327" t="s">
        <v>579</v>
      </c>
      <c r="F70" s="8" t="s">
        <v>834</v>
      </c>
      <c r="G70" s="549" t="s">
        <v>1048</v>
      </c>
    </row>
    <row r="71" spans="2:7" ht="16">
      <c r="B71" s="3"/>
      <c r="C71" s="363"/>
      <c r="D71" s="8">
        <v>68</v>
      </c>
      <c r="E71" s="327" t="s">
        <v>580</v>
      </c>
      <c r="F71" s="50" t="s">
        <v>581</v>
      </c>
      <c r="G71" s="550" t="s">
        <v>1049</v>
      </c>
    </row>
    <row r="72" spans="2:7" ht="16">
      <c r="B72" s="3"/>
      <c r="C72" s="570"/>
      <c r="D72" s="8">
        <v>69</v>
      </c>
      <c r="E72" s="327" t="s">
        <v>582</v>
      </c>
      <c r="F72" s="8" t="s">
        <v>583</v>
      </c>
      <c r="G72" s="549" t="s">
        <v>1050</v>
      </c>
    </row>
    <row r="73" spans="2:7" ht="16">
      <c r="B73" s="3"/>
      <c r="C73" s="570"/>
      <c r="D73" s="8">
        <v>70</v>
      </c>
      <c r="E73" s="327" t="s">
        <v>584</v>
      </c>
      <c r="F73" s="8" t="s">
        <v>585</v>
      </c>
      <c r="G73" s="549" t="s">
        <v>1051</v>
      </c>
    </row>
    <row r="74" spans="2:7" ht="16">
      <c r="B74" s="3"/>
      <c r="C74" s="570"/>
      <c r="D74" s="8">
        <v>71</v>
      </c>
      <c r="E74" s="327" t="s">
        <v>586</v>
      </c>
      <c r="F74" s="8" t="s">
        <v>587</v>
      </c>
      <c r="G74" s="549" t="s">
        <v>1052</v>
      </c>
    </row>
    <row r="75" spans="2:7" ht="16">
      <c r="B75" s="3"/>
      <c r="C75" s="570"/>
      <c r="D75" s="8">
        <v>72</v>
      </c>
      <c r="E75" s="327" t="s">
        <v>588</v>
      </c>
      <c r="F75" s="8" t="s">
        <v>589</v>
      </c>
      <c r="G75" s="549" t="s">
        <v>1053</v>
      </c>
    </row>
    <row r="76" spans="2:7" ht="16">
      <c r="B76" s="3"/>
      <c r="C76" s="570"/>
      <c r="D76" s="8">
        <v>73</v>
      </c>
      <c r="E76" s="327" t="s">
        <v>590</v>
      </c>
      <c r="F76" s="8" t="s">
        <v>591</v>
      </c>
      <c r="G76" s="549" t="s">
        <v>1054</v>
      </c>
    </row>
    <row r="77" spans="2:7" ht="16">
      <c r="B77" s="3"/>
      <c r="C77" s="570"/>
      <c r="D77" s="8">
        <v>74</v>
      </c>
      <c r="E77" s="327" t="s">
        <v>592</v>
      </c>
      <c r="F77" s="8" t="s">
        <v>593</v>
      </c>
      <c r="G77" s="549" t="s">
        <v>1055</v>
      </c>
    </row>
    <row r="78" spans="2:7" ht="16">
      <c r="B78" s="3"/>
      <c r="C78" s="570"/>
      <c r="D78" s="8">
        <v>75</v>
      </c>
      <c r="E78" s="327" t="s">
        <v>594</v>
      </c>
      <c r="F78" s="8" t="s">
        <v>595</v>
      </c>
      <c r="G78" s="549" t="s">
        <v>1056</v>
      </c>
    </row>
    <row r="79" spans="2:7" ht="16">
      <c r="B79" s="3"/>
      <c r="C79" s="570"/>
      <c r="D79" s="8">
        <v>76</v>
      </c>
      <c r="E79" s="327" t="s">
        <v>596</v>
      </c>
      <c r="F79" s="8" t="s">
        <v>597</v>
      </c>
      <c r="G79" s="549" t="s">
        <v>1057</v>
      </c>
    </row>
    <row r="80" spans="2:7" ht="16">
      <c r="B80" s="3"/>
      <c r="C80" s="363"/>
      <c r="D80" s="8">
        <v>77</v>
      </c>
      <c r="E80" s="327" t="s">
        <v>598</v>
      </c>
      <c r="F80" s="50" t="s">
        <v>599</v>
      </c>
      <c r="G80" s="550" t="s">
        <v>1058</v>
      </c>
    </row>
    <row r="81" spans="2:7" ht="16">
      <c r="B81" s="3"/>
      <c r="C81" s="570"/>
      <c r="D81" s="8">
        <v>78</v>
      </c>
      <c r="E81" s="327" t="s">
        <v>600</v>
      </c>
      <c r="F81" s="8" t="s">
        <v>601</v>
      </c>
      <c r="G81" s="549" t="s">
        <v>1059</v>
      </c>
    </row>
    <row r="82" spans="2:7" ht="16">
      <c r="B82" s="3"/>
      <c r="C82" s="570"/>
      <c r="D82" s="8">
        <v>79</v>
      </c>
      <c r="E82" s="327" t="s">
        <v>602</v>
      </c>
      <c r="F82" s="8" t="s">
        <v>603</v>
      </c>
      <c r="G82" s="549" t="s">
        <v>1060</v>
      </c>
    </row>
    <row r="83" spans="2:7" ht="16">
      <c r="B83" s="3"/>
      <c r="C83" s="570"/>
      <c r="D83" s="8">
        <v>80</v>
      </c>
      <c r="E83" s="327" t="s">
        <v>604</v>
      </c>
      <c r="F83" s="8" t="s">
        <v>605</v>
      </c>
      <c r="G83" s="549" t="s">
        <v>1061</v>
      </c>
    </row>
    <row r="84" spans="2:7" ht="16">
      <c r="B84" s="3"/>
      <c r="C84" s="570"/>
      <c r="D84" s="8">
        <v>81</v>
      </c>
      <c r="E84" s="327" t="s">
        <v>606</v>
      </c>
      <c r="F84" s="8" t="s">
        <v>607</v>
      </c>
      <c r="G84" s="549" t="s">
        <v>1062</v>
      </c>
    </row>
    <row r="85" spans="2:7" ht="16">
      <c r="B85" s="3"/>
      <c r="C85" s="570"/>
      <c r="D85" s="8">
        <v>82</v>
      </c>
      <c r="E85" s="327" t="s">
        <v>608</v>
      </c>
      <c r="F85" s="8" t="s">
        <v>609</v>
      </c>
      <c r="G85" s="549" t="s">
        <v>1063</v>
      </c>
    </row>
    <row r="86" spans="2:7" ht="16">
      <c r="B86" s="3"/>
      <c r="C86" s="363"/>
      <c r="D86" s="8">
        <v>83</v>
      </c>
      <c r="E86" s="327" t="s">
        <v>610</v>
      </c>
      <c r="F86" s="50" t="s">
        <v>611</v>
      </c>
      <c r="G86" s="550" t="s">
        <v>1064</v>
      </c>
    </row>
    <row r="87" spans="2:7" ht="16">
      <c r="B87" s="3"/>
      <c r="C87" s="570"/>
      <c r="D87" s="8">
        <v>84</v>
      </c>
      <c r="E87" s="327" t="s">
        <v>612</v>
      </c>
      <c r="F87" s="8" t="s">
        <v>613</v>
      </c>
      <c r="G87" s="549" t="s">
        <v>1065</v>
      </c>
    </row>
    <row r="88" spans="2:7" ht="16">
      <c r="B88" s="3"/>
      <c r="C88" s="570"/>
      <c r="D88" s="8">
        <v>85</v>
      </c>
      <c r="E88" s="327" t="s">
        <v>614</v>
      </c>
      <c r="F88" s="8" t="s">
        <v>615</v>
      </c>
      <c r="G88" s="549" t="s">
        <v>1066</v>
      </c>
    </row>
    <row r="89" spans="2:7" ht="16">
      <c r="B89" s="3"/>
      <c r="C89" s="570"/>
      <c r="D89" s="8">
        <v>86</v>
      </c>
      <c r="E89" s="327" t="s">
        <v>616</v>
      </c>
      <c r="F89" s="8" t="s">
        <v>617</v>
      </c>
      <c r="G89" s="549" t="s">
        <v>1067</v>
      </c>
    </row>
    <row r="90" spans="2:7" ht="16">
      <c r="B90" s="3"/>
      <c r="C90" s="570"/>
      <c r="D90" s="8">
        <v>87</v>
      </c>
      <c r="E90" s="327" t="s">
        <v>618</v>
      </c>
      <c r="F90" s="8" t="s">
        <v>619</v>
      </c>
      <c r="G90" s="549" t="s">
        <v>1068</v>
      </c>
    </row>
    <row r="91" spans="2:7" ht="16">
      <c r="B91" s="3"/>
      <c r="C91" s="570"/>
      <c r="D91" s="8">
        <v>88</v>
      </c>
      <c r="E91" s="327" t="s">
        <v>620</v>
      </c>
      <c r="F91" s="8" t="s">
        <v>621</v>
      </c>
      <c r="G91" s="549" t="s">
        <v>1069</v>
      </c>
    </row>
    <row r="92" spans="2:7" ht="16">
      <c r="B92" s="3"/>
      <c r="C92" s="570"/>
      <c r="D92" s="8">
        <v>89</v>
      </c>
      <c r="E92" s="327" t="s">
        <v>622</v>
      </c>
      <c r="F92" s="8" t="s">
        <v>623</v>
      </c>
      <c r="G92" s="549" t="s">
        <v>1070</v>
      </c>
    </row>
    <row r="93" spans="2:7" ht="16">
      <c r="B93" s="3"/>
      <c r="C93" s="363"/>
      <c r="D93" s="8">
        <v>90</v>
      </c>
      <c r="E93" s="327" t="s">
        <v>624</v>
      </c>
      <c r="F93" s="50" t="s">
        <v>625</v>
      </c>
      <c r="G93" s="550" t="s">
        <v>1071</v>
      </c>
    </row>
    <row r="94" spans="2:7">
      <c r="C94" s="6"/>
      <c r="D94" s="330"/>
      <c r="E94" s="330"/>
      <c r="F94" s="7"/>
      <c r="G94" s="546"/>
    </row>
  </sheetData>
  <sheetProtection algorithmName="SHA-512" hashValue="Wm/5dOcziEAwbOFxe9+JwHAjza9rPxQl7DEqTHXXZ6rov1cxIrGERF2W9SyYLkMkpvx1WZaqw7Orndm0cZGeNQ==" saltValue="cWIKzc03Fyuc3wnPPS75QQ==" spinCount="100000" sheet="1" selectLockedCells="1"/>
  <autoFilter ref="C3:F93" xr:uid="{00000000-0009-0000-0000-000001000000}"/>
  <conditionalFormatting sqref="D86:D1048576 D1:D84">
    <cfRule type="duplicateValues" dxfId="1" priority="2"/>
  </conditionalFormatting>
  <conditionalFormatting sqref="D85">
    <cfRule type="duplicateValues" dxfId="0" priority="1"/>
  </conditionalFormatting>
  <dataValidations count="1">
    <dataValidation type="list" allowBlank="1" showInputMessage="1" showErrorMessage="1" sqref="C87:C92 C81:C85 C72:C79 C53:C70 C48:C51 C36:C46 C26:C34 C18:C24 C4:C9 C11:C16" xr:uid="{00000000-0002-0000-0100-000000000000}">
      <formula1>"x"</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0"/>
  <sheetViews>
    <sheetView topLeftCell="A12" zoomScale="70" zoomScaleNormal="70" workbookViewId="0">
      <selection activeCell="F17" sqref="F17:F19"/>
    </sheetView>
  </sheetViews>
  <sheetFormatPr baseColWidth="10" defaultColWidth="10.83203125" defaultRowHeight="16"/>
  <cols>
    <col min="1" max="1" width="10.83203125" style="491"/>
    <col min="2" max="2" width="8.83203125" style="491" customWidth="1"/>
    <col min="3" max="3" width="27.6640625" style="491" customWidth="1"/>
    <col min="4" max="5" width="28" style="491" customWidth="1"/>
    <col min="6" max="7" width="51.1640625" style="544" customWidth="1"/>
    <col min="8" max="9" width="22.83203125" style="491" customWidth="1"/>
    <col min="10" max="11" width="10.83203125" style="491"/>
    <col min="12" max="12" width="44" style="491" customWidth="1"/>
    <col min="13" max="16384" width="10.83203125" style="491"/>
  </cols>
  <sheetData>
    <row r="1" spans="1:13" ht="40" customHeight="1" thickBot="1">
      <c r="C1" s="492"/>
      <c r="D1" s="492"/>
      <c r="E1" s="492"/>
      <c r="F1" s="493"/>
      <c r="G1" s="493"/>
      <c r="H1" s="492"/>
      <c r="I1" s="492"/>
    </row>
    <row r="2" spans="1:13" ht="17" thickBot="1">
      <c r="A2" s="494"/>
      <c r="B2" s="495"/>
      <c r="C2" s="496" t="s">
        <v>626</v>
      </c>
      <c r="D2" s="497" t="s">
        <v>978</v>
      </c>
      <c r="E2" s="498" t="s">
        <v>981</v>
      </c>
      <c r="F2" s="499" t="s">
        <v>977</v>
      </c>
      <c r="G2" s="500" t="s">
        <v>982</v>
      </c>
      <c r="H2" s="497" t="s">
        <v>1090</v>
      </c>
      <c r="I2" s="501" t="s">
        <v>1089</v>
      </c>
      <c r="J2" s="502"/>
    </row>
    <row r="3" spans="1:13" ht="32" customHeight="1">
      <c r="A3" s="494"/>
      <c r="B3" s="638" t="s">
        <v>627</v>
      </c>
      <c r="C3" s="503" t="s">
        <v>628</v>
      </c>
      <c r="D3" s="568"/>
      <c r="E3" s="480"/>
      <c r="F3" s="504" t="s">
        <v>629</v>
      </c>
      <c r="G3" s="505" t="s">
        <v>1073</v>
      </c>
      <c r="H3" s="506" t="s">
        <v>630</v>
      </c>
      <c r="I3" s="555" t="s">
        <v>1081</v>
      </c>
      <c r="J3" s="502"/>
    </row>
    <row r="4" spans="1:13" ht="32">
      <c r="A4" s="494"/>
      <c r="B4" s="639"/>
      <c r="C4" s="507" t="s">
        <v>631</v>
      </c>
      <c r="D4" s="568"/>
      <c r="E4" s="481"/>
      <c r="F4" s="508" t="s">
        <v>632</v>
      </c>
      <c r="G4" s="505" t="s">
        <v>1074</v>
      </c>
      <c r="H4" s="509" t="s">
        <v>633</v>
      </c>
      <c r="I4" s="556" t="s">
        <v>1082</v>
      </c>
      <c r="J4" s="502"/>
    </row>
    <row r="5" spans="1:13" ht="80">
      <c r="A5" s="494"/>
      <c r="B5" s="639"/>
      <c r="C5" s="507" t="s">
        <v>634</v>
      </c>
      <c r="D5" s="569" t="str">
        <f>IF(E5="العام الماضي","last year",IF(E5="العام العادي","a normal year",""))</f>
        <v/>
      </c>
      <c r="E5" s="487"/>
      <c r="F5" s="508" t="s">
        <v>635</v>
      </c>
      <c r="G5" s="505" t="s">
        <v>1223</v>
      </c>
      <c r="H5" s="509" t="s">
        <v>636</v>
      </c>
      <c r="I5" s="556" t="s">
        <v>1248</v>
      </c>
      <c r="J5" s="502"/>
    </row>
    <row r="6" spans="1:13" ht="76" customHeight="1">
      <c r="A6" s="494"/>
      <c r="B6" s="639"/>
      <c r="C6" s="507" t="s">
        <v>637</v>
      </c>
      <c r="D6" s="370"/>
      <c r="E6" s="481"/>
      <c r="F6" s="510" t="s">
        <v>638</v>
      </c>
      <c r="G6" s="610" t="s">
        <v>1075</v>
      </c>
      <c r="H6" s="511" t="s">
        <v>639</v>
      </c>
      <c r="I6" s="557" t="s">
        <v>1083</v>
      </c>
      <c r="J6" s="502"/>
      <c r="K6" s="512"/>
    </row>
    <row r="7" spans="1:13" ht="105.5" customHeight="1">
      <c r="A7" s="494"/>
      <c r="B7" s="639"/>
      <c r="C7" s="507" t="s">
        <v>974</v>
      </c>
      <c r="D7" s="569" t="str">
        <f>IF(E7="ليس في الموسم بعد","Not yet in season",IF(E7="إعداد الأرض","Land preparation",IF(E7="الزرع","Planting",IF(E7="النمو المبكر","Early growing",IF(E7="النمو","Growing",IF(E7="النضوج","Maturing",IF(E7="الحصاد","Harvesting",IF(E7="انتهى مؤخرا","Recently Finished",""))))))))</f>
        <v/>
      </c>
      <c r="E7" s="487"/>
      <c r="F7" s="510" t="s">
        <v>640</v>
      </c>
      <c r="G7" s="611" t="s">
        <v>1076</v>
      </c>
      <c r="H7" s="511" t="s">
        <v>641</v>
      </c>
      <c r="I7" s="558" t="s">
        <v>1084</v>
      </c>
      <c r="J7" s="502"/>
    </row>
    <row r="8" spans="1:13" ht="76" customHeight="1">
      <c r="A8" s="494"/>
      <c r="B8" s="639"/>
      <c r="C8" s="513" t="s">
        <v>642</v>
      </c>
      <c r="D8" s="488"/>
      <c r="E8" s="489"/>
      <c r="F8" s="514" t="s">
        <v>643</v>
      </c>
      <c r="G8" s="611" t="s">
        <v>1077</v>
      </c>
      <c r="H8" s="511" t="s">
        <v>644</v>
      </c>
      <c r="I8" s="559" t="s">
        <v>1085</v>
      </c>
      <c r="J8" s="502"/>
    </row>
    <row r="9" spans="1:13" ht="50.25" customHeight="1" thickBot="1">
      <c r="A9" s="494"/>
      <c r="B9" s="640"/>
      <c r="C9" s="515" t="s">
        <v>665</v>
      </c>
      <c r="D9" s="516" t="str">
        <f>IF(E9&lt;&gt;"",E9,"")</f>
        <v/>
      </c>
      <c r="E9" s="490"/>
      <c r="F9" s="517" t="s">
        <v>1244</v>
      </c>
      <c r="G9" s="612" t="s">
        <v>1330</v>
      </c>
      <c r="H9" s="518">
        <v>0.2</v>
      </c>
      <c r="I9" s="519">
        <v>0.2</v>
      </c>
      <c r="J9" s="502"/>
    </row>
    <row r="10" spans="1:13" ht="32" customHeight="1">
      <c r="A10" s="494"/>
      <c r="B10" s="638" t="s">
        <v>645</v>
      </c>
      <c r="C10" s="520" t="s">
        <v>646</v>
      </c>
      <c r="D10" s="567" t="str">
        <f t="shared" ref="D10" si="0">IF(E10="","",E10)</f>
        <v/>
      </c>
      <c r="E10" s="482"/>
      <c r="F10" s="521" t="s">
        <v>647</v>
      </c>
      <c r="G10" s="613" t="s">
        <v>1078</v>
      </c>
      <c r="H10" s="522" t="s">
        <v>648</v>
      </c>
      <c r="I10" s="561" t="s">
        <v>1088</v>
      </c>
      <c r="J10" s="502"/>
    </row>
    <row r="11" spans="1:13" ht="94" customHeight="1">
      <c r="A11" s="494"/>
      <c r="B11" s="639"/>
      <c r="C11" s="523" t="s">
        <v>649</v>
      </c>
      <c r="D11" s="567" t="str">
        <f>IF(E11="","",E11)</f>
        <v/>
      </c>
      <c r="E11" s="565"/>
      <c r="F11" s="524" t="s">
        <v>1245</v>
      </c>
      <c r="G11" s="551" t="s">
        <v>1331</v>
      </c>
      <c r="H11" s="562">
        <v>5</v>
      </c>
      <c r="I11" s="563">
        <v>5</v>
      </c>
      <c r="J11" s="502"/>
      <c r="L11" s="492"/>
    </row>
    <row r="12" spans="1:13" ht="158" customHeight="1">
      <c r="A12" s="494"/>
      <c r="B12" s="639"/>
      <c r="C12" s="507" t="s">
        <v>650</v>
      </c>
      <c r="D12" s="567" t="str">
        <f t="shared" ref="D12:D13" si="1">IF(E12="","",E12)</f>
        <v/>
      </c>
      <c r="E12" s="566"/>
      <c r="F12" s="510" t="s">
        <v>1246</v>
      </c>
      <c r="G12" s="551" t="s">
        <v>1332</v>
      </c>
      <c r="H12" s="564">
        <v>5000000</v>
      </c>
      <c r="I12" s="563">
        <v>5000000</v>
      </c>
      <c r="J12" s="502"/>
      <c r="K12" s="494"/>
      <c r="L12" s="525"/>
      <c r="M12" s="502"/>
    </row>
    <row r="13" spans="1:13" ht="116.25" customHeight="1">
      <c r="A13" s="494"/>
      <c r="B13" s="639"/>
      <c r="C13" s="523" t="s">
        <v>651</v>
      </c>
      <c r="D13" s="567" t="str">
        <f t="shared" si="1"/>
        <v/>
      </c>
      <c r="E13" s="565"/>
      <c r="F13" s="514" t="s">
        <v>1247</v>
      </c>
      <c r="G13" s="552" t="s">
        <v>1333</v>
      </c>
      <c r="H13" s="564">
        <v>1200000</v>
      </c>
      <c r="I13" s="563">
        <v>1200000</v>
      </c>
      <c r="J13" s="502"/>
      <c r="L13" s="526"/>
    </row>
    <row r="14" spans="1:13" ht="50.25" customHeight="1">
      <c r="A14" s="494"/>
      <c r="B14" s="639"/>
      <c r="C14" s="513" t="s">
        <v>652</v>
      </c>
      <c r="D14" s="370"/>
      <c r="E14" s="481"/>
      <c r="F14" s="510" t="s">
        <v>653</v>
      </c>
      <c r="G14" s="551" t="s">
        <v>1079</v>
      </c>
      <c r="H14" s="511" t="s">
        <v>654</v>
      </c>
      <c r="I14" s="557" t="s">
        <v>1086</v>
      </c>
      <c r="J14" s="502"/>
    </row>
    <row r="15" spans="1:13" ht="50.25" customHeight="1" thickBot="1">
      <c r="A15" s="494"/>
      <c r="B15" s="640"/>
      <c r="C15" s="527" t="s">
        <v>655</v>
      </c>
      <c r="D15" s="371"/>
      <c r="E15" s="483"/>
      <c r="F15" s="528" t="s">
        <v>656</v>
      </c>
      <c r="G15" s="553" t="s">
        <v>1080</v>
      </c>
      <c r="H15" s="529" t="s">
        <v>657</v>
      </c>
      <c r="I15" s="560" t="s">
        <v>1087</v>
      </c>
      <c r="J15" s="502"/>
    </row>
    <row r="16" spans="1:13" ht="5.5" customHeight="1" thickBot="1">
      <c r="A16" s="494"/>
      <c r="B16" s="530"/>
      <c r="C16" s="531"/>
      <c r="D16" s="532"/>
      <c r="E16" s="533"/>
      <c r="F16" s="534"/>
      <c r="G16" s="535"/>
      <c r="H16" s="536"/>
      <c r="I16" s="537"/>
      <c r="J16" s="502"/>
    </row>
    <row r="17" spans="1:10" ht="133.25" customHeight="1">
      <c r="A17" s="494"/>
      <c r="B17" s="635" t="s">
        <v>658</v>
      </c>
      <c r="C17" s="604" t="s">
        <v>659</v>
      </c>
      <c r="D17" s="538">
        <f>IF(E17="","",E17)</f>
        <v>0.91</v>
      </c>
      <c r="E17" s="605">
        <v>0.91</v>
      </c>
      <c r="F17" s="606" t="s">
        <v>1245</v>
      </c>
      <c r="G17" s="607" t="s">
        <v>1334</v>
      </c>
      <c r="H17" s="608">
        <v>0.91</v>
      </c>
      <c r="I17" s="486">
        <v>0.91</v>
      </c>
      <c r="J17" s="502"/>
    </row>
    <row r="18" spans="1:10" ht="160">
      <c r="A18" s="494"/>
      <c r="B18" s="636"/>
      <c r="C18" s="539" t="s">
        <v>660</v>
      </c>
      <c r="D18" s="540">
        <f t="shared" ref="D18:D19" si="2">IF(E18="","",E18)</f>
        <v>0.91</v>
      </c>
      <c r="E18" s="372">
        <v>0.91</v>
      </c>
      <c r="F18" s="510" t="s">
        <v>1246</v>
      </c>
      <c r="G18" s="554" t="s">
        <v>1335</v>
      </c>
      <c r="H18" s="484">
        <v>0.91</v>
      </c>
      <c r="I18" s="118">
        <v>0.91</v>
      </c>
      <c r="J18" s="502"/>
    </row>
    <row r="19" spans="1:10" ht="107.5" customHeight="1" thickBot="1">
      <c r="A19" s="494"/>
      <c r="B19" s="637"/>
      <c r="C19" s="541" t="s">
        <v>661</v>
      </c>
      <c r="D19" s="542">
        <f t="shared" si="2"/>
        <v>0.05</v>
      </c>
      <c r="E19" s="373">
        <v>0.05</v>
      </c>
      <c r="F19" s="609" t="s">
        <v>1247</v>
      </c>
      <c r="G19" s="553" t="s">
        <v>1336</v>
      </c>
      <c r="H19" s="485">
        <v>0.05</v>
      </c>
      <c r="I19" s="119">
        <v>0.05</v>
      </c>
      <c r="J19" s="502"/>
    </row>
    <row r="20" spans="1:10">
      <c r="B20" s="526"/>
      <c r="C20" s="526"/>
      <c r="D20" s="526"/>
      <c r="E20" s="526"/>
      <c r="F20" s="543"/>
      <c r="G20" s="543"/>
      <c r="H20" s="526"/>
      <c r="I20" s="526"/>
    </row>
  </sheetData>
  <sheetProtection algorithmName="SHA-512" hashValue="87vzPoBNQWnLiddILmTkHGvA6zGNlYNRo8xfOauZeCoqxxUpuRYosFy+R1hX+9wv4Rx3lukHgOhoLkO/wI4tHQ==" saltValue="oVrJ7Lba18hoaF2W0B1MBA==" spinCount="100000" sheet="1" formatCells="0"/>
  <dataConsolidate/>
  <mergeCells count="3">
    <mergeCell ref="B17:B19"/>
    <mergeCell ref="B3:B9"/>
    <mergeCell ref="B10:B15"/>
  </mergeCells>
  <dataValidations count="2">
    <dataValidation type="list" allowBlank="1" showInputMessage="1" showErrorMessage="1" sqref="E7" xr:uid="{9A07C460-1CAA-3149-AB0F-48C406CA9B90}">
      <formula1>"ليس في الموسم بعد,إعداد الأرض,الزرع,النمو المبكر,النمو,النضوج,الحصاد,انتهى مؤخرا"</formula1>
    </dataValidation>
    <dataValidation type="list" allowBlank="1" showInputMessage="1" showErrorMessage="1" sqref="E5" xr:uid="{8C485F7D-06C6-384E-BF79-D93A813A385A}">
      <formula1>"العام العادي,  العام الماضي"</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6" ma:contentTypeDescription="Create a new document." ma:contentTypeScope="" ma:versionID="4828c5410de3b85b98104ed3a3ae4778">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a29beb268dca3c918c18ecb5e9e0442b"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36B137-5CF2-43EE-A8CA-ED4DE3DC60C8}">
  <ds:schemaRefs>
    <ds:schemaRef ds:uri="http://purl.org/dc/dcmitype/"/>
    <ds:schemaRef ds:uri="4efa6d18-7e22-4963-b4bf-16e1a76dd523"/>
    <ds:schemaRef ds:uri="http://schemas.microsoft.com/office/2006/documentManagement/types"/>
    <ds:schemaRef ds:uri="http://schemas.microsoft.com/office/2006/metadata/properties"/>
    <ds:schemaRef ds:uri="http://purl.org/dc/terms/"/>
    <ds:schemaRef ds:uri="http://purl.org/dc/elements/1.1/"/>
    <ds:schemaRef ds:uri="http://www.w3.org/XML/1998/namespace"/>
    <ds:schemaRef ds:uri="http://schemas.microsoft.com/office/infopath/2007/PartnerControls"/>
    <ds:schemaRef ds:uri="http://schemas.openxmlformats.org/package/2006/metadata/core-properties"/>
    <ds:schemaRef ds:uri="651ac188-b77a-445d-b0b3-bedb0cff8e72"/>
  </ds:schemaRefs>
</ds:datastoreItem>
</file>

<file path=customXml/itemProps2.xml><?xml version="1.0" encoding="utf-8"?>
<ds:datastoreItem xmlns:ds="http://schemas.openxmlformats.org/officeDocument/2006/customXml" ds:itemID="{FD89E0E9-3F6C-4457-BD7D-786E54CF282B}">
  <ds:schemaRefs>
    <ds:schemaRef ds:uri="http://schemas.microsoft.com/sharepoint/v3/contenttype/forms"/>
  </ds:schemaRefs>
</ds:datastoreItem>
</file>

<file path=customXml/itemProps3.xml><?xml version="1.0" encoding="utf-8"?>
<ds:datastoreItem xmlns:ds="http://schemas.openxmlformats.org/officeDocument/2006/customXml" ds:itemID="{75F7CFBF-ECDC-48E5-9DCF-B4043E49B3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Ines Lecland</cp:lastModifiedBy>
  <cp:revision/>
  <dcterms:created xsi:type="dcterms:W3CDTF">2020-12-10T15:46:11Z</dcterms:created>
  <dcterms:modified xsi:type="dcterms:W3CDTF">2022-11-28T13:47:34Z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0x010100198EE5B5455013488B005D36DA96FBE8</vt:lpwstr>
  </property>
  <property fmtid="{D5CDD505-2E9C-101B-9397-08002B2CF9AE}" pid="3" name="MediaServiceImageTags">
    <vt:lpwstr/>
  </property>
</Properties>
</file>