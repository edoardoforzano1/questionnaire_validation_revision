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2"/>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5" documentId="8_{103C6B05-FCA7-5F42-ACF9-A29310D2205E}" xr6:coauthVersionLast="47" xr6:coauthVersionMax="47" xr10:uidLastSave="{6D39033E-05BE-1747-A24C-412AF51F9365}"/>
  <bookViews>
    <workbookView xWindow="-24220" yWindow="-18560" windowWidth="27400" windowHeight="1564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11" l="1"/>
  <c r="E7" i="11"/>
  <c r="E20" i="11" l="1"/>
  <c r="E19" i="11"/>
  <c r="E18" i="11"/>
  <c r="E14" i="11"/>
  <c r="E13" i="11"/>
  <c r="E12" i="11"/>
  <c r="E11" i="11"/>
  <c r="E6" i="11"/>
  <c r="E5" i="11"/>
  <c r="E4" i="11"/>
  <c r="E3" i="11"/>
  <c r="Z100" i="4" l="1"/>
  <c r="Y100" i="4"/>
  <c r="X100" i="4"/>
  <c r="Z86" i="4"/>
  <c r="Y86" i="4"/>
  <c r="X86" i="4"/>
  <c r="Z75" i="4"/>
  <c r="Y75" i="4"/>
  <c r="X75" i="4"/>
  <c r="X150" i="4" l="1"/>
  <c r="X152" i="4"/>
  <c r="X151" i="4"/>
  <c r="X112" i="4"/>
  <c r="X111" i="4"/>
  <c r="X110" i="4"/>
  <c r="X109" i="4"/>
  <c r="X108" i="4"/>
  <c r="X107" i="4"/>
  <c r="X106" i="4"/>
  <c r="X105" i="4"/>
  <c r="X104" i="4"/>
  <c r="X103" i="4"/>
  <c r="X99" i="4"/>
  <c r="X98" i="4"/>
  <c r="X97" i="4"/>
  <c r="X96" i="4"/>
  <c r="X95" i="4"/>
  <c r="X94" i="4"/>
  <c r="X93" i="4"/>
  <c r="X92" i="4"/>
  <c r="X91" i="4"/>
  <c r="X90" i="4"/>
  <c r="X89" i="4"/>
  <c r="X85" i="4"/>
  <c r="X84" i="4"/>
  <c r="X83" i="4"/>
  <c r="X82" i="4"/>
  <c r="X81" i="4"/>
  <c r="X80" i="4"/>
  <c r="X79" i="4"/>
  <c r="X78" i="4"/>
  <c r="X77" i="4"/>
  <c r="X76" i="4"/>
  <c r="X71" i="4"/>
  <c r="X70" i="4"/>
  <c r="X69" i="4"/>
  <c r="X68" i="4"/>
  <c r="X67" i="4"/>
  <c r="X66" i="4"/>
  <c r="X65" i="4"/>
  <c r="X64" i="4"/>
  <c r="X63" i="4"/>
  <c r="X62" i="4"/>
  <c r="X61" i="4"/>
  <c r="X60" i="4"/>
  <c r="X59" i="4"/>
  <c r="X58" i="4"/>
  <c r="X57" i="4"/>
  <c r="X56" i="4"/>
  <c r="X55" i="4"/>
  <c r="X54" i="4"/>
  <c r="X53" i="4"/>
  <c r="X52" i="4"/>
  <c r="X51" i="4"/>
  <c r="X50" i="4"/>
  <c r="X49" i="4"/>
  <c r="X48" i="4"/>
  <c r="X47" i="4"/>
  <c r="X46" i="4"/>
  <c r="X44" i="4"/>
  <c r="X41" i="4"/>
  <c r="X40" i="4"/>
  <c r="X39" i="4"/>
  <c r="X38" i="4"/>
  <c r="X37" i="4"/>
  <c r="X36" i="4"/>
  <c r="X35" i="4"/>
  <c r="X34" i="4"/>
  <c r="X33" i="4"/>
  <c r="X32" i="4"/>
  <c r="X31" i="4"/>
  <c r="X30" i="4"/>
  <c r="X29" i="4"/>
  <c r="X28" i="4"/>
  <c r="X27" i="4"/>
  <c r="X26" i="4"/>
  <c r="X25" i="4"/>
  <c r="X24" i="4"/>
  <c r="X23" i="4"/>
  <c r="X22" i="4"/>
  <c r="X21" i="4"/>
  <c r="X20" i="4"/>
  <c r="Z19" i="4"/>
  <c r="Y19" i="4"/>
  <c r="Y15" i="4"/>
  <c r="X14" i="4"/>
  <c r="X149" i="4" l="1"/>
  <c r="Y149" i="4" s="1"/>
  <c r="X148" i="4"/>
  <c r="Y148" i="4" s="1"/>
  <c r="X134" i="4"/>
  <c r="Y134" i="4" s="1"/>
  <c r="Z134" i="4"/>
  <c r="X135" i="4"/>
  <c r="Y135" i="4" s="1"/>
  <c r="Z135" i="4"/>
  <c r="X136" i="4"/>
  <c r="Y136" i="4"/>
  <c r="Z136" i="4"/>
  <c r="X137" i="4"/>
  <c r="Y137" i="4" s="1"/>
  <c r="Z137" i="4"/>
  <c r="X138" i="4"/>
  <c r="Y138" i="4" s="1"/>
  <c r="Z138" i="4"/>
  <c r="Y51" i="4"/>
  <c r="Z321" i="4"/>
  <c r="Z317" i="4"/>
  <c r="Y317" i="4"/>
  <c r="Z316" i="4"/>
  <c r="Y316" i="4"/>
  <c r="Z315" i="4"/>
  <c r="Y315" i="4"/>
  <c r="Z314" i="4"/>
  <c r="Y314" i="4"/>
  <c r="Z313" i="4"/>
  <c r="Y313" i="4"/>
  <c r="Z312" i="4"/>
  <c r="Y312" i="4"/>
  <c r="Z311" i="4"/>
  <c r="Y311" i="4"/>
  <c r="Z310" i="4"/>
  <c r="Y310" i="4"/>
  <c r="Z309" i="4"/>
  <c r="Y309" i="4"/>
  <c r="Z308" i="4"/>
  <c r="Y308" i="4"/>
  <c r="Z307" i="4"/>
  <c r="Y307" i="4"/>
  <c r="Z306" i="4"/>
  <c r="Y306" i="4"/>
  <c r="Z305" i="4"/>
  <c r="Y305" i="4"/>
  <c r="Z304" i="4"/>
  <c r="Y304" i="4"/>
  <c r="Z303" i="4"/>
  <c r="Y303" i="4"/>
  <c r="Z302" i="4"/>
  <c r="Y302" i="4"/>
  <c r="Z301" i="4"/>
  <c r="Y301" i="4"/>
  <c r="Z298" i="4"/>
  <c r="Y298" i="4"/>
  <c r="Z297" i="4"/>
  <c r="Y297" i="4"/>
  <c r="Z296" i="4"/>
  <c r="Y296" i="4"/>
  <c r="Z295" i="4"/>
  <c r="Y295" i="4"/>
  <c r="Z294" i="4"/>
  <c r="Y294" i="4"/>
  <c r="Z293" i="4"/>
  <c r="Y293" i="4"/>
  <c r="Z292" i="4"/>
  <c r="Y292" i="4"/>
  <c r="Z291" i="4"/>
  <c r="Y291" i="4"/>
  <c r="Z290" i="4"/>
  <c r="Y290" i="4"/>
  <c r="Z289" i="4"/>
  <c r="Y289" i="4"/>
  <c r="Z288" i="4"/>
  <c r="Y288" i="4"/>
  <c r="Z287" i="4"/>
  <c r="Y287" i="4"/>
  <c r="Z286" i="4"/>
  <c r="Y286" i="4"/>
  <c r="Z285" i="4"/>
  <c r="Y285" i="4"/>
  <c r="Z284" i="4"/>
  <c r="Y284" i="4"/>
  <c r="Z283" i="4"/>
  <c r="Y283" i="4"/>
  <c r="Z282" i="4"/>
  <c r="Y282" i="4"/>
  <c r="Z281" i="4"/>
  <c r="Y281" i="4"/>
  <c r="Z280" i="4"/>
  <c r="Y280" i="4"/>
  <c r="Z279" i="4"/>
  <c r="Y279" i="4"/>
  <c r="Z278" i="4"/>
  <c r="Y278" i="4"/>
  <c r="Z277" i="4"/>
  <c r="Y277" i="4"/>
  <c r="Z276" i="4"/>
  <c r="Y276" i="4"/>
  <c r="Z275" i="4"/>
  <c r="Y275" i="4"/>
  <c r="Z274" i="4"/>
  <c r="Y274" i="4"/>
  <c r="Z273" i="4"/>
  <c r="Y273" i="4"/>
  <c r="Z272" i="4"/>
  <c r="Y272" i="4"/>
  <c r="Z271" i="4"/>
  <c r="Y271" i="4"/>
  <c r="Z270" i="4"/>
  <c r="Y270" i="4"/>
  <c r="Z269" i="4"/>
  <c r="Y269" i="4"/>
  <c r="Z268" i="4"/>
  <c r="Y268" i="4"/>
  <c r="Z267" i="4"/>
  <c r="Y267" i="4"/>
  <c r="Z266" i="4"/>
  <c r="Y266" i="4"/>
  <c r="Z265" i="4"/>
  <c r="Y265" i="4"/>
  <c r="Z264" i="4"/>
  <c r="Y264" i="4"/>
  <c r="Z263" i="4"/>
  <c r="Y263" i="4"/>
  <c r="Z262" i="4"/>
  <c r="Y262" i="4"/>
  <c r="Z261" i="4"/>
  <c r="Y261" i="4"/>
  <c r="Z260" i="4"/>
  <c r="Y260" i="4"/>
  <c r="Z259" i="4"/>
  <c r="Y259" i="4"/>
  <c r="Z258" i="4"/>
  <c r="Y258" i="4"/>
  <c r="Z257" i="4"/>
  <c r="Y257" i="4"/>
  <c r="Z256" i="4"/>
  <c r="Y256" i="4"/>
  <c r="Z255" i="4"/>
  <c r="Y255" i="4"/>
  <c r="Z254" i="4"/>
  <c r="Y254" i="4"/>
  <c r="Z253" i="4"/>
  <c r="Y253" i="4"/>
  <c r="Z252" i="4"/>
  <c r="Y252" i="4"/>
  <c r="Z251" i="4"/>
  <c r="Y251" i="4"/>
  <c r="Z250" i="4"/>
  <c r="Y250" i="4"/>
  <c r="Z249" i="4"/>
  <c r="Y249" i="4"/>
  <c r="Z248" i="4"/>
  <c r="Y248" i="4"/>
  <c r="Z247" i="4"/>
  <c r="Y247" i="4"/>
  <c r="Z246" i="4"/>
  <c r="Y246" i="4"/>
  <c r="Z245" i="4"/>
  <c r="Y245" i="4"/>
  <c r="Z244" i="4"/>
  <c r="Y244" i="4"/>
  <c r="Z243" i="4"/>
  <c r="Y243" i="4"/>
  <c r="Z242" i="4"/>
  <c r="Y242" i="4"/>
  <c r="Z241" i="4"/>
  <c r="Y241" i="4"/>
  <c r="Z240" i="4"/>
  <c r="Y240" i="4"/>
  <c r="Z239" i="4"/>
  <c r="Y239" i="4"/>
  <c r="Z238" i="4"/>
  <c r="Y238" i="4"/>
  <c r="Z237" i="4"/>
  <c r="Y237" i="4"/>
  <c r="Z236" i="4"/>
  <c r="Y236" i="4"/>
  <c r="Z235" i="4"/>
  <c r="Y235" i="4"/>
  <c r="Z234" i="4"/>
  <c r="Y234" i="4"/>
  <c r="Z233" i="4"/>
  <c r="Y233" i="4"/>
  <c r="Z232" i="4"/>
  <c r="Y232" i="4"/>
  <c r="Z231" i="4"/>
  <c r="Y231" i="4"/>
  <c r="Z230" i="4"/>
  <c r="Y230" i="4"/>
  <c r="Z229" i="4"/>
  <c r="Y229" i="4"/>
  <c r="Z228" i="4"/>
  <c r="Y228" i="4"/>
  <c r="Z227" i="4"/>
  <c r="Y227" i="4"/>
  <c r="Z226" i="4"/>
  <c r="Y226" i="4"/>
  <c r="Z225" i="4"/>
  <c r="Y225" i="4"/>
  <c r="Z224" i="4"/>
  <c r="Y224" i="4"/>
  <c r="Z223" i="4"/>
  <c r="Y223" i="4"/>
  <c r="Z222" i="4"/>
  <c r="Y222" i="4"/>
  <c r="Z221" i="4"/>
  <c r="Y221" i="4"/>
  <c r="Z220" i="4"/>
  <c r="Y220" i="4"/>
  <c r="Z219" i="4"/>
  <c r="Y219" i="4"/>
  <c r="Z218" i="4"/>
  <c r="Y218" i="4"/>
  <c r="Z217" i="4"/>
  <c r="Y217" i="4"/>
  <c r="Z216" i="4"/>
  <c r="Y216" i="4"/>
  <c r="X216" i="4"/>
  <c r="X215" i="4"/>
  <c r="Z215" i="4" s="1"/>
  <c r="Z214" i="4"/>
  <c r="Y214" i="4"/>
  <c r="X214" i="4"/>
  <c r="Z213" i="4"/>
  <c r="Y213" i="4"/>
  <c r="X213" i="4"/>
  <c r="X212" i="4"/>
  <c r="Z212" i="4" s="1"/>
  <c r="X211" i="4"/>
  <c r="Z211" i="4" s="1"/>
  <c r="Z210" i="4"/>
  <c r="Y210" i="4"/>
  <c r="X210" i="4"/>
  <c r="Z209" i="4"/>
  <c r="Y209" i="4"/>
  <c r="X209" i="4"/>
  <c r="Z208" i="4"/>
  <c r="Y208" i="4"/>
  <c r="X208" i="4"/>
  <c r="X207" i="4"/>
  <c r="Z207" i="4" s="1"/>
  <c r="Z206" i="4"/>
  <c r="Y206" i="4"/>
  <c r="X206" i="4"/>
  <c r="Z205" i="4"/>
  <c r="Y205" i="4"/>
  <c r="Z204" i="4"/>
  <c r="Y204" i="4"/>
  <c r="Z203" i="4"/>
  <c r="Y203" i="4"/>
  <c r="X203" i="4"/>
  <c r="Z202" i="4"/>
  <c r="Y202" i="4"/>
  <c r="X202" i="4"/>
  <c r="Z201" i="4"/>
  <c r="X201" i="4"/>
  <c r="Y201" i="4" s="1"/>
  <c r="Z200" i="4"/>
  <c r="Y200" i="4"/>
  <c r="X200" i="4"/>
  <c r="Z199" i="4"/>
  <c r="Y199" i="4"/>
  <c r="X199" i="4"/>
  <c r="X198" i="4"/>
  <c r="Z198" i="4" s="1"/>
  <c r="X197" i="4"/>
  <c r="Y197" i="4" s="1"/>
  <c r="Z196" i="4"/>
  <c r="Y196" i="4"/>
  <c r="X196" i="4"/>
  <c r="X195" i="4"/>
  <c r="Y195" i="4" s="1"/>
  <c r="Z194" i="4"/>
  <c r="Y194" i="4"/>
  <c r="X194" i="4"/>
  <c r="X193" i="4"/>
  <c r="Z193" i="4" s="1"/>
  <c r="Z192" i="4"/>
  <c r="Y192" i="4"/>
  <c r="X192" i="4"/>
  <c r="X191" i="4"/>
  <c r="Z191" i="4" s="1"/>
  <c r="Z190" i="4"/>
  <c r="Y190" i="4"/>
  <c r="Z189" i="4"/>
  <c r="Y189" i="4"/>
  <c r="Z188" i="4"/>
  <c r="Y188" i="4"/>
  <c r="X188" i="4"/>
  <c r="X187" i="4"/>
  <c r="Z187" i="4" s="1"/>
  <c r="Z186" i="4"/>
  <c r="Y186" i="4"/>
  <c r="X186" i="4"/>
  <c r="X185" i="4"/>
  <c r="Y185" i="4" s="1"/>
  <c r="X184" i="4"/>
  <c r="Z184" i="4" s="1"/>
  <c r="Z183" i="4"/>
  <c r="Y183" i="4"/>
  <c r="X183" i="4"/>
  <c r="Z182" i="4"/>
  <c r="Y182" i="4"/>
  <c r="X182" i="4"/>
  <c r="X181" i="4"/>
  <c r="Z181" i="4" s="1"/>
  <c r="Z180" i="4"/>
  <c r="Y180" i="4"/>
  <c r="X180" i="4"/>
  <c r="Z179" i="4"/>
  <c r="Y179" i="4"/>
  <c r="Z178" i="4"/>
  <c r="Y178" i="4"/>
  <c r="Z177" i="4"/>
  <c r="Y177" i="4"/>
  <c r="X177" i="4"/>
  <c r="Z176" i="4"/>
  <c r="X176" i="4"/>
  <c r="Y176" i="4" s="1"/>
  <c r="Z175" i="4"/>
  <c r="Y175" i="4"/>
  <c r="X175" i="4"/>
  <c r="X174" i="4"/>
  <c r="Z174" i="4" s="1"/>
  <c r="X173" i="4"/>
  <c r="Z173" i="4" s="1"/>
  <c r="Z172" i="4"/>
  <c r="Y172" i="4"/>
  <c r="X172" i="4"/>
  <c r="Z171" i="4"/>
  <c r="X171" i="4"/>
  <c r="Y171" i="4" s="1"/>
  <c r="Z170" i="4"/>
  <c r="Y170" i="4"/>
  <c r="X170" i="4"/>
  <c r="X169" i="4"/>
  <c r="Z169" i="4" s="1"/>
  <c r="Z168" i="4"/>
  <c r="Y168" i="4"/>
  <c r="X168" i="4"/>
  <c r="Z167" i="4"/>
  <c r="Y167" i="4"/>
  <c r="X167" i="4"/>
  <c r="X166" i="4"/>
  <c r="Z166" i="4" s="1"/>
  <c r="X165" i="4"/>
  <c r="Y165" i="4" s="1"/>
  <c r="Z164" i="4"/>
  <c r="Y164" i="4"/>
  <c r="X164" i="4"/>
  <c r="Z163" i="4"/>
  <c r="Y163" i="4"/>
  <c r="X163" i="4"/>
  <c r="X162" i="4"/>
  <c r="Y162" i="4" s="1"/>
  <c r="Z161" i="4"/>
  <c r="Y161" i="4"/>
  <c r="X161" i="4"/>
  <c r="X160" i="4"/>
  <c r="Y160" i="4" s="1"/>
  <c r="Z159" i="4"/>
  <c r="Y159" i="4"/>
  <c r="Z158" i="4"/>
  <c r="Y158" i="4"/>
  <c r="Z157" i="4"/>
  <c r="Y157" i="4"/>
  <c r="X157" i="4"/>
  <c r="X156" i="4"/>
  <c r="Z156" i="4" s="1"/>
  <c r="Z155" i="4"/>
  <c r="Y155" i="4"/>
  <c r="X155" i="4"/>
  <c r="X154" i="4"/>
  <c r="Y154" i="4" s="1"/>
  <c r="X153" i="4"/>
  <c r="Y153" i="4" s="1"/>
  <c r="Z147" i="4"/>
  <c r="Y147" i="4"/>
  <c r="Z146" i="4"/>
  <c r="Y146" i="4"/>
  <c r="Z145" i="4"/>
  <c r="Y145" i="4"/>
  <c r="X145" i="4"/>
  <c r="Z144" i="4"/>
  <c r="X144" i="4"/>
  <c r="Y144" i="4" s="1"/>
  <c r="Z143" i="4"/>
  <c r="X143" i="4"/>
  <c r="Y143" i="4" s="1"/>
  <c r="Z142" i="4"/>
  <c r="Y142" i="4"/>
  <c r="X142" i="4"/>
  <c r="X141" i="4"/>
  <c r="Z141" i="4" s="1"/>
  <c r="X140" i="4"/>
  <c r="Z140" i="4" s="1"/>
  <c r="Z139" i="4"/>
  <c r="Y139" i="4"/>
  <c r="X139" i="4"/>
  <c r="X133" i="4"/>
  <c r="Y133" i="4" s="1"/>
  <c r="Z132" i="4"/>
  <c r="Y132" i="4"/>
  <c r="X132" i="4"/>
  <c r="X131" i="4"/>
  <c r="Z131" i="4" s="1"/>
  <c r="Z130" i="4"/>
  <c r="Y130" i="4"/>
  <c r="X130" i="4"/>
  <c r="Z129" i="4"/>
  <c r="X129" i="4"/>
  <c r="Y129" i="4" s="1"/>
  <c r="Z126" i="4"/>
  <c r="Y126" i="4"/>
  <c r="X126" i="4"/>
  <c r="Z125" i="4"/>
  <c r="Y125" i="4"/>
  <c r="X125" i="4"/>
  <c r="X124" i="4"/>
  <c r="Y124" i="4" s="1"/>
  <c r="Z123" i="4"/>
  <c r="Y123" i="4"/>
  <c r="X123" i="4"/>
  <c r="X122" i="4"/>
  <c r="Y122" i="4" s="1"/>
  <c r="Z121" i="4"/>
  <c r="Y121" i="4"/>
  <c r="X121" i="4"/>
  <c r="X120" i="4"/>
  <c r="Z120" i="4" s="1"/>
  <c r="Z119" i="4"/>
  <c r="Y119" i="4"/>
  <c r="X119" i="4"/>
  <c r="X118" i="4"/>
  <c r="Z118" i="4" s="1"/>
  <c r="X117" i="4"/>
  <c r="Z117" i="4" s="1"/>
  <c r="Z116" i="4"/>
  <c r="Y116" i="4"/>
  <c r="X116" i="4"/>
  <c r="X115" i="4"/>
  <c r="Z115" i="4" s="1"/>
  <c r="Z114" i="4"/>
  <c r="Y114" i="4"/>
  <c r="Z113" i="4"/>
  <c r="Y113" i="4"/>
  <c r="Z112" i="4"/>
  <c r="Y112" i="4"/>
  <c r="Z111" i="4"/>
  <c r="Y111" i="4"/>
  <c r="Y110" i="4"/>
  <c r="Z109" i="4"/>
  <c r="Y109" i="4"/>
  <c r="Z108" i="4"/>
  <c r="Y108" i="4"/>
  <c r="Z107" i="4"/>
  <c r="Y107" i="4"/>
  <c r="Z106" i="4"/>
  <c r="Z105" i="4"/>
  <c r="Y105" i="4"/>
  <c r="Y104" i="4"/>
  <c r="Z103" i="4"/>
  <c r="Y103" i="4"/>
  <c r="Z99" i="4"/>
  <c r="Y99" i="4"/>
  <c r="Z98" i="4"/>
  <c r="Y98" i="4"/>
  <c r="Z97" i="4"/>
  <c r="Y97" i="4"/>
  <c r="Y96" i="4"/>
  <c r="Y95" i="4"/>
  <c r="Y94" i="4"/>
  <c r="Z93" i="4"/>
  <c r="Y93" i="4"/>
  <c r="Z92" i="4"/>
  <c r="Z91" i="4"/>
  <c r="Y91" i="4"/>
  <c r="Z90" i="4"/>
  <c r="Z89" i="4"/>
  <c r="Y89" i="4"/>
  <c r="Z85" i="4"/>
  <c r="Y85" i="4"/>
  <c r="Z84" i="4"/>
  <c r="Y84" i="4"/>
  <c r="Z83" i="4"/>
  <c r="Y83" i="4"/>
  <c r="Z82" i="4"/>
  <c r="Z81" i="4"/>
  <c r="Y80" i="4"/>
  <c r="Z79" i="4"/>
  <c r="Y79" i="4"/>
  <c r="Y78" i="4"/>
  <c r="Z77" i="4"/>
  <c r="Y77" i="4"/>
  <c r="Y76" i="4"/>
  <c r="Z71" i="4"/>
  <c r="Y71" i="4"/>
  <c r="Z70" i="4"/>
  <c r="Y70" i="4"/>
  <c r="Z69" i="4"/>
  <c r="Y69" i="4"/>
  <c r="Z68" i="4"/>
  <c r="Y67" i="4"/>
  <c r="Y66" i="4"/>
  <c r="Z65" i="4"/>
  <c r="Y65" i="4"/>
  <c r="Y64" i="4"/>
  <c r="Z63" i="4"/>
  <c r="Y63" i="4"/>
  <c r="Z62" i="4"/>
  <c r="Y62" i="4"/>
  <c r="Z61" i="4"/>
  <c r="Y61" i="4"/>
  <c r="Z60" i="4"/>
  <c r="Y60" i="4"/>
  <c r="Z59" i="4"/>
  <c r="Y59" i="4"/>
  <c r="Z58" i="4"/>
  <c r="Y58" i="4"/>
  <c r="Z57" i="4"/>
  <c r="Y57" i="4"/>
  <c r="Z56" i="4"/>
  <c r="Y56" i="4"/>
  <c r="Z55" i="4"/>
  <c r="Y55" i="4"/>
  <c r="Z54" i="4"/>
  <c r="Y54" i="4"/>
  <c r="Z53" i="4"/>
  <c r="Y53" i="4"/>
  <c r="Z52" i="4"/>
  <c r="Z50" i="4"/>
  <c r="Z49" i="4"/>
  <c r="Y49" i="4"/>
  <c r="Y48" i="4"/>
  <c r="Z47" i="4"/>
  <c r="Y47" i="4"/>
  <c r="Z46" i="4"/>
  <c r="Z44" i="4"/>
  <c r="Y44" i="4"/>
  <c r="Z43" i="4"/>
  <c r="Y43" i="4"/>
  <c r="Z42" i="4"/>
  <c r="Y42" i="4"/>
  <c r="Z41" i="4"/>
  <c r="Y41" i="4"/>
  <c r="Y40" i="4"/>
  <c r="Z39" i="4"/>
  <c r="Y39" i="4"/>
  <c r="Z38" i="4"/>
  <c r="Y38" i="4"/>
  <c r="Z37" i="4"/>
  <c r="Z36" i="4"/>
  <c r="Y36" i="4"/>
  <c r="Z35" i="4"/>
  <c r="Z34" i="4"/>
  <c r="Y34" i="4"/>
  <c r="Z33" i="4"/>
  <c r="Y33" i="4"/>
  <c r="Z32" i="4"/>
  <c r="Y32" i="4"/>
  <c r="Z31" i="4"/>
  <c r="Y31" i="4"/>
  <c r="Z30" i="4"/>
  <c r="Y30" i="4"/>
  <c r="Z29" i="4"/>
  <c r="Y29" i="4"/>
  <c r="Z28" i="4"/>
  <c r="Y28" i="4"/>
  <c r="Z27" i="4"/>
  <c r="Y27" i="4"/>
  <c r="Z26" i="4"/>
  <c r="Y26" i="4"/>
  <c r="Y25" i="4"/>
  <c r="Z25" i="4"/>
  <c r="Z24" i="4"/>
  <c r="Y24" i="4"/>
  <c r="Z23" i="4"/>
  <c r="Z22" i="4"/>
  <c r="Y22" i="4"/>
  <c r="Y21" i="4"/>
  <c r="Z20" i="4"/>
  <c r="Z18" i="4"/>
  <c r="Y18" i="4"/>
  <c r="Z17" i="4"/>
  <c r="Y17" i="4"/>
  <c r="Z16" i="4"/>
  <c r="Y16" i="4"/>
  <c r="Z14" i="4"/>
  <c r="Y14" i="4"/>
  <c r="Z13" i="4"/>
  <c r="Y13" i="4"/>
  <c r="Z11" i="4"/>
  <c r="Y11" i="4"/>
  <c r="Z10" i="4"/>
  <c r="Y10" i="4"/>
  <c r="Z5" i="4"/>
  <c r="Y5" i="4"/>
  <c r="Z4" i="4"/>
  <c r="Y4" i="4"/>
  <c r="Z3" i="4"/>
  <c r="Y3" i="4"/>
  <c r="Z2" i="4"/>
  <c r="Y2" i="4"/>
  <c r="Z95" i="4"/>
  <c r="Z154" i="4"/>
  <c r="Z110" i="4"/>
  <c r="Z104" i="4"/>
  <c r="Z66" i="4"/>
  <c r="Z195" i="4"/>
  <c r="Y198" i="4"/>
  <c r="Y90" i="4"/>
  <c r="Z94" i="4"/>
  <c r="Y141" i="4"/>
  <c r="Y166" i="4"/>
  <c r="Y215" i="4" l="1"/>
  <c r="Y211" i="4"/>
  <c r="Y173" i="4"/>
  <c r="Y140" i="4"/>
  <c r="Y191" i="4"/>
  <c r="Y169" i="4"/>
  <c r="Y184" i="4"/>
  <c r="Z160" i="4"/>
  <c r="Y156" i="4"/>
  <c r="Y50" i="4"/>
  <c r="Y35" i="4"/>
  <c r="Z80" i="4"/>
  <c r="Z64" i="4"/>
  <c r="Z162" i="4"/>
  <c r="Z165" i="4"/>
  <c r="Y52" i="4"/>
  <c r="Y82" i="4"/>
  <c r="Y46" i="4"/>
  <c r="Y23" i="4"/>
  <c r="Y37" i="4"/>
  <c r="Y81" i="4"/>
  <c r="Z185" i="4"/>
  <c r="Y187" i="4"/>
  <c r="Y120" i="4"/>
  <c r="Z153" i="4"/>
  <c r="Y131" i="4"/>
  <c r="Y68" i="4"/>
  <c r="Z51" i="4"/>
  <c r="Z21" i="4"/>
  <c r="Z122" i="4"/>
  <c r="Y92" i="4"/>
  <c r="Y106" i="4"/>
  <c r="Z76" i="4"/>
  <c r="Z48" i="4"/>
  <c r="Y207" i="4"/>
  <c r="Z124" i="4"/>
  <c r="Z197" i="4"/>
  <c r="Y212" i="4"/>
  <c r="Y174" i="4"/>
  <c r="Z133" i="4"/>
  <c r="Y181" i="4"/>
  <c r="Y115" i="4"/>
  <c r="Y118" i="4"/>
  <c r="Y193" i="4"/>
  <c r="Y20" i="4"/>
  <c r="Z40" i="4"/>
  <c r="Z67" i="4"/>
  <c r="Z78" i="4"/>
  <c r="Z96" i="4"/>
  <c r="Y117" i="4"/>
  <c r="Y328" i="4" l="1"/>
  <c r="Z328" i="4"/>
</calcChain>
</file>

<file path=xl/sharedStrings.xml><?xml version="1.0" encoding="utf-8"?>
<sst xmlns="http://schemas.openxmlformats.org/spreadsheetml/2006/main" count="3976" uniqueCount="2136">
  <si>
    <t>type</t>
  </si>
  <si>
    <t>name</t>
  </si>
  <si>
    <t>label::English (en)</t>
  </si>
  <si>
    <t>label::</t>
  </si>
  <si>
    <t>hint::</t>
  </si>
  <si>
    <t>required</t>
  </si>
  <si>
    <t>appearance</t>
  </si>
  <si>
    <t>constraint</t>
  </si>
  <si>
    <t>constraint_message</t>
  </si>
  <si>
    <t>relevant</t>
  </si>
  <si>
    <t>choice_filter</t>
  </si>
  <si>
    <t>calculation</t>
  </si>
  <si>
    <t xml:space="preserve">Mandatory </t>
  </si>
  <si>
    <t>New question duration (sec)</t>
  </si>
  <si>
    <t>Estimated percentage of repondents</t>
  </si>
  <si>
    <t>Weighted time</t>
  </si>
  <si>
    <t>Weighted time for core vars</t>
  </si>
  <si>
    <t>start</t>
  </si>
  <si>
    <t>end</t>
  </si>
  <si>
    <t>today</t>
  </si>
  <si>
    <t>deviceid</t>
  </si>
  <si>
    <t>audit</t>
  </si>
  <si>
    <t>select_one enumerator</t>
  </si>
  <si>
    <t>enumerator</t>
  </si>
  <si>
    <t>Name of enumerator</t>
  </si>
  <si>
    <t>true</t>
  </si>
  <si>
    <t>yes</t>
  </si>
  <si>
    <t>calculate</t>
  </si>
  <si>
    <t>enumerator_</t>
  </si>
  <si>
    <t>jr:choice-name(${enumerator},'${enumerator}')</t>
  </si>
  <si>
    <t>note</t>
  </si>
  <si>
    <t>introduction</t>
  </si>
  <si>
    <t>false</t>
  </si>
  <si>
    <t>no</t>
  </si>
  <si>
    <t>resp_agree</t>
  </si>
  <si>
    <t>Are you interested in participating in this survey?</t>
  </si>
  <si>
    <t>geopoint</t>
  </si>
  <si>
    <t>gps_1</t>
  </si>
  <si>
    <t xml:space="preserve">GPS INSTRUCTION: Take a GPS measurement. </t>
  </si>
  <si>
    <t>${resp_agree} = '1'</t>
  </si>
  <si>
    <t>Refusal</t>
  </si>
  <si>
    <t>Thank you for your time, you will be removed from today's survey.</t>
  </si>
  <si>
    <t>${resp_agree} = '2'</t>
  </si>
  <si>
    <t/>
  </si>
  <si>
    <t>begin_group</t>
  </si>
  <si>
    <t>eligibility</t>
  </si>
  <si>
    <t>ELIGIBILITY CRITERIA</t>
  </si>
  <si>
    <t>text</t>
  </si>
  <si>
    <t>resp_firstname</t>
  </si>
  <si>
    <t>What is your first name?</t>
  </si>
  <si>
    <t>resp_lastname</t>
  </si>
  <si>
    <t>What is your last name?</t>
  </si>
  <si>
    <t>integer</t>
  </si>
  <si>
    <t>resp_age</t>
  </si>
  <si>
    <t>How old are you?</t>
  </si>
  <si>
    <t>select_one gender</t>
  </si>
  <si>
    <t>resp_gender</t>
  </si>
  <si>
    <t>What is the gender of the respondent?</t>
  </si>
  <si>
    <t>phone_number_personal</t>
  </si>
  <si>
    <t>What is your phone number?</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</si>
  <si>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</si>
  <si>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</si>
  <si>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</si>
  <si>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</si>
  <si>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</si>
  <si>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</si>
  <si>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additonal phone number belonging to you, a relative or a friend at which you can be reached?</t>
  </si>
  <si>
    <t>phone_number_2</t>
  </si>
  <si>
    <t>What is the additional phone number?</t>
  </si>
  <si>
    <t>contact_2_name</t>
  </si>
  <si>
    <t>What is the name of the contact?</t>
  </si>
  <si>
    <t>contact_3</t>
  </si>
  <si>
    <t>phone_number_3</t>
  </si>
  <si>
    <t>contact_3_name</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</si>
  <si>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</si>
  <si>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</si>
  <si>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t>minimal</t>
  </si>
  <si>
    <t>adm1_name</t>
  </si>
  <si>
    <t>jr:choice-name(${adm1_pcode},'${adm1_pcode}')</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</si>
  <si>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</si>
  <si>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</si>
  <si>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t>my_filter_admin=${adm1_pcode}</t>
  </si>
  <si>
    <t>adm2_name</t>
  </si>
  <si>
    <t>jr:choice-name(${adm2_pcode},'${adm2_pcode}')</t>
  </si>
  <si>
    <t>select_one agricactivity</t>
  </si>
  <si>
    <t>hh_agricactivity</t>
  </si>
  <si>
    <t>end_group</t>
  </si>
  <si>
    <t>generalInfo</t>
  </si>
  <si>
    <t>GENERAL INFORMATION</t>
  </si>
  <si>
    <t>${resp_agree} = '1' and ${hh_agricactivity} != '5' and ${hh_agricactivity} != '6'</t>
  </si>
  <si>
    <t>hh_gender</t>
  </si>
  <si>
    <t xml:space="preserve">Is the head of your household male or female? </t>
  </si>
  <si>
    <t>select_one edu</t>
  </si>
  <si>
    <t>hh_education</t>
  </si>
  <si>
    <t xml:space="preserve">What is the educational level attained by the head of household? </t>
  </si>
  <si>
    <t>select_one water</t>
  </si>
  <si>
    <t>hh_wealth_water</t>
  </si>
  <si>
    <t>Where does the water that you drink at home come from?</t>
  </si>
  <si>
    <t>select_one toilet</t>
  </si>
  <si>
    <t>hh_wealth_toilet</t>
  </si>
  <si>
    <t>Where do household members typically go to use the toilet?</t>
  </si>
  <si>
    <t>select_one light</t>
  </si>
  <si>
    <t>hh_wealth_light</t>
  </si>
  <si>
    <t>What is the main source of light in your dwelling?</t>
  </si>
  <si>
    <t>select_one residence</t>
  </si>
  <si>
    <t>hh_residencetype</t>
  </si>
  <si>
    <t>Which in the following types of residence best describes your residence?</t>
  </si>
  <si>
    <t>hh_size</t>
  </si>
  <si>
    <t>How many people are part of the household?</t>
  </si>
  <si>
    <t xml:space="preserve">(. &gt;= 1 and . &lt;= 50) or . = 888 or . = 999 </t>
  </si>
  <si>
    <t>select_multiple asset_prod</t>
  </si>
  <si>
    <t>hh_asset_prod</t>
  </si>
  <si>
    <t>select_multiple asset_transp</t>
  </si>
  <si>
    <t>hh_asset_transp</t>
  </si>
  <si>
    <t>select_one maritalstat</t>
  </si>
  <si>
    <t>hh_maritalstat</t>
  </si>
  <si>
    <t xml:space="preserve">What is the head of household’s current marital status? </t>
  </si>
  <si>
    <t>select_one agegroup</t>
  </si>
  <si>
    <t>hh_age</t>
  </si>
  <si>
    <t xml:space="preserve">How old is the head of household? </t>
  </si>
  <si>
    <t>Income_Shocks_group</t>
  </si>
  <si>
    <t>INCOME SOURCES, LIVELIHOODS AND SHOCKS</t>
  </si>
  <si>
    <t>select_one incomesource1</t>
  </si>
  <si>
    <t>income_main</t>
  </si>
  <si>
    <t>incomemain</t>
  </si>
  <si>
    <t>jr:choice-name(${income_main},'${income_main}')</t>
  </si>
  <si>
    <t>select_one yes_no</t>
  </si>
  <si>
    <t xml:space="preserve">Are the crops that you sell produced by you or anyone in your household? </t>
  </si>
  <si>
    <t xml:space="preserve">${income_main} = '1' or ${income_main} = '2' or ${income_main} = '3' </t>
  </si>
  <si>
    <t xml:space="preserve">Are the livestock and livestock products that you sell produced by you or anyone in your household? </t>
  </si>
  <si>
    <t>${income_main} = '4'</t>
  </si>
  <si>
    <t xml:space="preserve">Are the fish products that you sell produced by you or anyone in your household? </t>
  </si>
  <si>
    <t>income_main_gender</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</si>
  <si>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</si>
  <si>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</si>
  <si>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</si>
  <si>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t>select_one continue</t>
  </si>
  <si>
    <t>income_main_amount_conf</t>
  </si>
  <si>
    <t>Can you confirm the amount of income you just stated is correct?</t>
  </si>
  <si>
    <t>select_one change</t>
  </si>
  <si>
    <t>income_main_comp</t>
  </si>
  <si>
    <t>select_one incomesource2</t>
  </si>
  <si>
    <t>income_sec</t>
  </si>
  <si>
    <t>not(selected(${income_main}, name))</t>
  </si>
  <si>
    <t>incomesec</t>
  </si>
  <si>
    <t>jr:choice-name(${income_sec},'${income_sec}')</t>
  </si>
  <si>
    <t xml:space="preserve">${income_sec} = '1' or ${income_sec} = '2' or ${income_sec} = '3' </t>
  </si>
  <si>
    <t>${income_sec} = '4'</t>
  </si>
  <si>
    <t>income_sec_gender</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</si>
  <si>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</si>
  <si>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</si>
  <si>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t>income_sec_amount_conf</t>
  </si>
  <si>
    <t>income_sec_comp</t>
  </si>
  <si>
    <t>select_one incomesource3</t>
  </si>
  <si>
    <t>income_third</t>
  </si>
  <si>
    <t>not(selected(${income_main}, name) or selected(${income_sec}, name))</t>
  </si>
  <si>
    <t>incomethird</t>
  </si>
  <si>
    <t>jr:choice-name(${income_third},'${income_third}')</t>
  </si>
  <si>
    <t xml:space="preserve">${income_third} = '1' or ${income_third} = '2' or ${income_third} = '3' </t>
  </si>
  <si>
    <t>${income_third} = '4'</t>
  </si>
  <si>
    <t>income_third_gender</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</si>
  <si>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</si>
  <si>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</si>
  <si>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t>income_third_amount_conf</t>
  </si>
  <si>
    <t>income_third_comp</t>
  </si>
  <si>
    <t>select_multiple shock</t>
  </si>
  <si>
    <t>shock</t>
  </si>
  <si>
    <t>if(selected(.,'noshock') or selected(.,'dk') or selected(.,'ref'), count-selected(.) = 1, count-selected(.) &gt;= 1)</t>
  </si>
  <si>
    <t>hh_explanation</t>
  </si>
  <si>
    <t>${shock} != 'noshock' and ${shock} != 'dk' and ${shock} != 'ref'</t>
  </si>
  <si>
    <t>select_multiple covidmeasures</t>
  </si>
  <si>
    <t>covid</t>
  </si>
  <si>
    <t>Have you or anyone in your household been affected by movement restrictions or social distancing measures aimed at containing COVID-19 in the last 3 months?</t>
  </si>
  <si>
    <t>if(selected(.,'none') or selected(.,'dk') or selected(.,'ref'), count-selected(.) = 1, count-selected(.) &gt;= 1)</t>
  </si>
  <si>
    <t>covid_otherspecify</t>
  </si>
  <si>
    <t>If other, specify.</t>
  </si>
  <si>
    <t>selected(${covid}, 'other')</t>
  </si>
  <si>
    <t>CropProduction_group</t>
  </si>
  <si>
    <t>CROP PRODUCTION</t>
  </si>
  <si>
    <t>crp_intro</t>
  </si>
  <si>
    <t>crp_landsize_num</t>
  </si>
  <si>
    <t>What is the total size of the land you can cultivate?</t>
  </si>
  <si>
    <t>. &gt;= 0</t>
  </si>
  <si>
    <t>select_one landsize_unit</t>
  </si>
  <si>
    <t>crp_landsize_unit</t>
  </si>
  <si>
    <t xml:space="preserve">Unit of measurement for land size: </t>
  </si>
  <si>
    <t>${crp_landsize_num} != 888 and ${crp_landsize_num} != 999</t>
  </si>
  <si>
    <t>select_one crop</t>
  </si>
  <si>
    <t>crp_main</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</si>
  <si>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</si>
  <si>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</si>
  <si>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</si>
  <si>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</si>
  <si>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</si>
  <si>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t>${crp_main}='777'</t>
  </si>
  <si>
    <t>select_one irrigation</t>
  </si>
  <si>
    <t>${crp_main} != '777' and ${crp_main} != '888' and ${crp_main} != '999'</t>
  </si>
  <si>
    <t xml:space="preserve">select_multiple seedsupply </t>
  </si>
  <si>
    <t>crp_seed</t>
  </si>
  <si>
    <t>if(selected(., 'ref') or selected(., 'dk'), count-selected(.) = 1, count-selected(.) &gt;= 1)</t>
  </si>
  <si>
    <t>crp_area_change</t>
  </si>
  <si>
    <t>crp_harv_change</t>
  </si>
  <si>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</si>
  <si>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</si>
  <si>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</si>
  <si>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</si>
  <si>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</si>
  <si>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</si>
  <si>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</si>
  <si>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</si>
  <si>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</si>
  <si>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</si>
  <si>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</si>
  <si>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</si>
  <si>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</si>
  <si>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</si>
  <si>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</si>
  <si>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</si>
  <si>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</si>
  <si>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</si>
  <si>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</si>
  <si>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t>${crp_proddif} = '1' and (${crp_main} != '888' and ${crp_main} != '999' and ${crp_main_check} != 1)</t>
  </si>
  <si>
    <t>select_one storage</t>
  </si>
  <si>
    <t>crp_storage</t>
  </si>
  <si>
    <t>${crp_main} != '888' and ${crp_main} != '999' and ${crp_main} != '777'</t>
  </si>
  <si>
    <t>select_multiple crop2</t>
  </si>
  <si>
    <t>crp_all</t>
  </si>
  <si>
    <t>Do you cultivate any other crops aside from ${crpmain}, and if so which ones?</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</si>
  <si>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</si>
  <si>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</si>
  <si>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</si>
  <si>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</si>
  <si>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</si>
  <si>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</si>
  <si>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select_one crop3</t>
  </si>
  <si>
    <t>crp_sales_main_2</t>
  </si>
  <si>
    <t>${crp_sales_main_1}='2'</t>
  </si>
  <si>
    <t>crp_salesmain</t>
  </si>
  <si>
    <t>if(${crp_sales_main_1}='1',${crpmain},jr:choice-name(${crp_sales_main_2},'${crp_sales_main_2}'))</t>
  </si>
  <si>
    <t>crp_salesdif</t>
  </si>
  <si>
    <t>select_multiple cropsalesdiff</t>
  </si>
  <si>
    <t>crp_saledif</t>
  </si>
  <si>
    <t>if(selected(., 'dk') or selected(., 'ref'), count-selected(.) = 1, count-selected(.) &gt;= 1)</t>
  </si>
  <si>
    <t xml:space="preserve">${crp_salesdif} = '1' </t>
  </si>
  <si>
    <t>crp_salesprice</t>
  </si>
  <si>
    <t>Livestock_group</t>
  </si>
  <si>
    <t>LIVESTOCK PRODUCTION</t>
  </si>
  <si>
    <t>ls_intro</t>
  </si>
  <si>
    <t xml:space="preserve">We will now ask you some questions about livestock production which apply to you and anyone in your household that is involved in livestock production or sales. </t>
  </si>
  <si>
    <t>select_one lsmain</t>
  </si>
  <si>
    <t>ls_main</t>
  </si>
  <si>
    <t>lsmain</t>
  </si>
  <si>
    <t>jr:choice-name(${ls_main},'${ls_main}')</t>
  </si>
  <si>
    <t>ls_num_lastyr</t>
  </si>
  <si>
    <t>How many ${lsmain} did you have at the same time last year?</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</si>
  <si>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</si>
  <si>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</si>
  <si>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</si>
  <si>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</si>
  <si>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</si>
  <si>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</si>
  <si>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</si>
  <si>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</si>
  <si>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</si>
  <si>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</si>
  <si>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</si>
  <si>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</si>
  <si>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select_multiple lsfood</t>
  </si>
  <si>
    <t>ls_proddif</t>
  </si>
  <si>
    <t>select_multiple lsproddiff</t>
  </si>
  <si>
    <t>ls_proddif_</t>
  </si>
  <si>
    <t>Which difficulties has your household faced with livestock production in the last 3 months?</t>
  </si>
  <si>
    <t>${ls_proddif}='1'</t>
  </si>
  <si>
    <t>select_multiple lsmain2</t>
  </si>
  <si>
    <t>ls_all</t>
  </si>
  <si>
    <t>Do you own any other livestock aside from ${lsmain}, and if so which ones?</t>
  </si>
  <si>
    <t>if(selected(., '10') or selected(., '11') or selected(.,'666'), count-selected(.) = 1, count-selected(.) &gt;= 1)</t>
  </si>
  <si>
    <t>${ls_main} != '10' and ${ls_main} != '11'</t>
  </si>
  <si>
    <t>not(selected(${ls_main}, name))</t>
  </si>
  <si>
    <t>LivestockSales_group</t>
  </si>
  <si>
    <t xml:space="preserve">LIVESTOCK &amp; LIVESTOCK PRODUCT MARKETING </t>
  </si>
  <si>
    <t>${resp_agree} = '1' and (${income_main}='4' or ${income_sec}='4' or ${income_third}='4')</t>
  </si>
  <si>
    <t>select_one salesmain</t>
  </si>
  <si>
    <t>ls_salesmain</t>
  </si>
  <si>
    <t>lssalesmain</t>
  </si>
  <si>
    <t>jr:choice-name(${ls_salesmain},'${ls_salesmain}')</t>
  </si>
  <si>
    <t>ls_salesdif</t>
  </si>
  <si>
    <t>select_multiple lssalesdif</t>
  </si>
  <si>
    <t>ls_salesdif_</t>
  </si>
  <si>
    <t xml:space="preserve">${ls_salesdif} = '1' </t>
  </si>
  <si>
    <t>ls_salesprice</t>
  </si>
  <si>
    <t>Fishing_group</t>
  </si>
  <si>
    <t>FISHING / AQUACULTURE PRODUCTION</t>
  </si>
  <si>
    <t>fish_intro</t>
  </si>
  <si>
    <t>select_multiple fishactivity</t>
  </si>
  <si>
    <t>fish_main</t>
  </si>
  <si>
    <t>What type of fishing activity does your household generally practice?</t>
  </si>
  <si>
    <t>fish_change</t>
  </si>
  <si>
    <t>fish_proddif</t>
  </si>
  <si>
    <t>select_multiple fishproddiff</t>
  </si>
  <si>
    <t>fish_proddif_</t>
  </si>
  <si>
    <t>${fish_proddif}='1'</t>
  </si>
  <si>
    <t>fish_proddif_otherspecify</t>
  </si>
  <si>
    <t>${fish_proddif} = '1' and selected(${fish_proddif_}, 'other')</t>
  </si>
  <si>
    <t>select_multiple fishinput</t>
  </si>
  <si>
    <t>fish_inputdif</t>
  </si>
  <si>
    <t>fish_inputdif_otherspecify</t>
  </si>
  <si>
    <t>${fish_inputdif} = 'other'</t>
  </si>
  <si>
    <t>FishSales_group</t>
  </si>
  <si>
    <t xml:space="preserve">FISHING / AQUACULTURE MARKETING </t>
  </si>
  <si>
    <t>select_one fishsales</t>
  </si>
  <si>
    <t>fish_salesmain</t>
  </si>
  <si>
    <t>fishsalesmain</t>
  </si>
  <si>
    <t>jr:choice-name(${fish_salesmain},'${fish_salesmain}')</t>
  </si>
  <si>
    <t>fish_salesmain_otherspecify</t>
  </si>
  <si>
    <t>selected(${fish_salesmain} , '5')</t>
  </si>
  <si>
    <t>fish_salesdif</t>
  </si>
  <si>
    <t>select_multiple fishsalesdif</t>
  </si>
  <si>
    <t>fish_saledif</t>
  </si>
  <si>
    <t xml:space="preserve">${fish_salesdif} = '1' </t>
  </si>
  <si>
    <t>fish_salesdif_otherspecify</t>
  </si>
  <si>
    <t>selected(${fish_saledif}, 'other')</t>
  </si>
  <si>
    <t>fish_salesprice</t>
  </si>
  <si>
    <t>FSI</t>
  </si>
  <si>
    <t>FOOD SECURITY INDICATORS</t>
  </si>
  <si>
    <t>intro_foodsec</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</si>
  <si>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</si>
  <si>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</si>
  <si>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</si>
  <si>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</si>
  <si>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</si>
  <si>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</si>
  <si>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</si>
  <si>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</si>
  <si>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</si>
  <si>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</si>
  <si>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</si>
  <si>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</si>
  <si>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</si>
  <si>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</si>
  <si>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</si>
  <si>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select_one frequency</t>
  </si>
  <si>
    <t>fies_ranout_hhs</t>
  </si>
  <si>
    <t xml:space="preserve">How often did this happen? </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</si>
  <si>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</si>
  <si>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</si>
  <si>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</si>
  <si>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</si>
  <si>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</si>
  <si>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</si>
  <si>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</si>
  <si>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fies_whlday_hhs</t>
  </si>
  <si>
    <t>${fies_whlday} = '1'</t>
  </si>
  <si>
    <t>LCSI</t>
  </si>
  <si>
    <t>select_one coping</t>
  </si>
  <si>
    <t>cs_stress_hh_assets</t>
  </si>
  <si>
    <t>**Sell household assets/goods** (radio, furniture, television, jewelry etc.)</t>
  </si>
  <si>
    <t>cs_stress_spent_savings</t>
  </si>
  <si>
    <t>**Spend savings**</t>
  </si>
  <si>
    <t>cs_stress_sold_more_animals</t>
  </si>
  <si>
    <t>**Sell more animals (non-reproductive) than usual**</t>
  </si>
  <si>
    <t>cs_stress_eat_elsewhere</t>
  </si>
  <si>
    <t>**Send household members to eat elsewhere**</t>
  </si>
  <si>
    <t>cs_stress_borrowed_or_helped</t>
  </si>
  <si>
    <t>**Borrow food or relied on help from friends or relatives **</t>
  </si>
  <si>
    <t>cs_stress_credit</t>
  </si>
  <si>
    <t>**Purchase food on credit or borrowed food**</t>
  </si>
  <si>
    <t>cs_stress_borrowed_money</t>
  </si>
  <si>
    <t>**Borrow money**</t>
  </si>
  <si>
    <t>cs_stress_changed_school</t>
  </si>
  <si>
    <t>cs_crisis_sold_prod_assets</t>
  </si>
  <si>
    <t>**Sell productive assets or means of transport** (sewing machine, wheelbarrow, bicycle, car, etc.)</t>
  </si>
  <si>
    <t>cs_crisis_no_school</t>
  </si>
  <si>
    <t>**Withdraw children from school**</t>
  </si>
  <si>
    <t>cs_crisis_reduced_health_exp</t>
  </si>
  <si>
    <t>**Reduce expenses on health** (including drugs)</t>
  </si>
  <si>
    <t>cs_crisis_harv_immature_crops</t>
  </si>
  <si>
    <t>**Consume seed stocks that were to be saved for the next planting season**</t>
  </si>
  <si>
    <t>**Decrease expenditures on fertilizer, pesticide, fodder, animal feed, veterinary care, etc.**</t>
  </si>
  <si>
    <t>cs_emergency_sold_house</t>
  </si>
  <si>
    <t>cs_emergency_begged</t>
  </si>
  <si>
    <t>**Beg**</t>
  </si>
  <si>
    <t>cs_emergency_illegal</t>
  </si>
  <si>
    <t>**Engage in illegal or degrading income activities** (theft, prostitution)</t>
  </si>
  <si>
    <t>cs_emergency_sold_last_female</t>
  </si>
  <si>
    <t>cs_emergency_hh_migration</t>
  </si>
  <si>
    <t>**Migrate with the entire household**</t>
  </si>
  <si>
    <t>hdds</t>
  </si>
  <si>
    <t>HDDS</t>
  </si>
  <si>
    <t>hdds_intro</t>
  </si>
  <si>
    <t>select_multiple hdds</t>
  </si>
  <si>
    <t>Please describe the foods (meals and snacks) that you or any household member ate or drank at home yesterday (in the *24 hours of yesterday*: breakfast, lunch, dinner and snacks).</t>
  </si>
  <si>
    <t>hdds_confirmation</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</si>
  <si>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</si>
  <si>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</si>
  <si>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</si>
  <si>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</si>
  <si>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</si>
  <si>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.&gt;= 0 and .&lt;=7</t>
  </si>
  <si>
    <t>The answer must be between 0 and 7 days</t>
  </si>
  <si>
    <t>fcs_pulses_days</t>
  </si>
  <si>
    <t>How many days over *the last 7 days*, did members of your household eat** pulses and nuts such as beans, lentils, cowpeas, soybean, pigeon peas and peanuts or other nuts**?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</si>
  <si>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</si>
  <si>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t>fcs_fruit_days</t>
  </si>
  <si>
    <t>fcs_meat_fish_days</t>
  </si>
  <si>
    <t>fcs_dairy_days</t>
  </si>
  <si>
    <t>How many days over *the last 7 days*, did members of your household consume fresh milk, sour milk, yogurt, cheese or other **dairy products** [excluding margarine/butter or small amounts of milk for tea/ coffee]?</t>
  </si>
  <si>
    <t>fcs_sugar_days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</si>
  <si>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</si>
  <si>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</si>
  <si>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</si>
  <si>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</si>
  <si>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</si>
  <si>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</si>
  <si>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</si>
  <si>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</si>
  <si>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</si>
  <si>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</si>
  <si>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</si>
  <si>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</si>
  <si>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</si>
  <si>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</si>
  <si>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</si>
  <si>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Assisstance_group</t>
  </si>
  <si>
    <t>NEEDS ASSISTANCE</t>
  </si>
  <si>
    <t>need</t>
  </si>
  <si>
    <t>select_multiple needs</t>
  </si>
  <si>
    <t>need_</t>
  </si>
  <si>
    <t>${need} = 1</t>
  </si>
  <si>
    <t>need_otherspecify</t>
  </si>
  <si>
    <t>selected(${need_}, 'other')</t>
  </si>
  <si>
    <t>select_multiple needreceived</t>
  </si>
  <si>
    <t>need_received</t>
  </si>
  <si>
    <t>need_received_otherspecify</t>
  </si>
  <si>
    <t>selected(${need_received}, 'other')</t>
  </si>
  <si>
    <t>closing</t>
  </si>
  <si>
    <t>CLOSING</t>
  </si>
  <si>
    <t>select_one yesno</t>
  </si>
  <si>
    <t>callback</t>
  </si>
  <si>
    <t>leader_contact</t>
  </si>
  <si>
    <r>
      <t xml:space="preserve">Can you provide me with the </t>
    </r>
    <r>
      <rPr>
        <b/>
        <sz val="11"/>
        <color theme="6" tint="-0.499984740745262"/>
        <rFont val="Calibri"/>
        <family val="2"/>
        <scheme val="minor"/>
      </rPr>
      <t>contact information</t>
    </r>
    <r>
      <rPr>
        <sz val="11"/>
        <color theme="6" tint="-0.499984740745262"/>
        <rFont val="Calibri"/>
        <family val="2"/>
        <scheme val="minor"/>
      </rPr>
      <t xml:space="preserve"> of a leader in your community?</t>
    </r>
  </si>
  <si>
    <t>${callback} = '1'</t>
  </si>
  <si>
    <t>no - panel</t>
  </si>
  <si>
    <t>select_one leader</t>
  </si>
  <si>
    <t>leader_type</t>
  </si>
  <si>
    <t>What type of community leader can you provide information for?</t>
  </si>
  <si>
    <t>${callback} = '1' and ${leader_contact}='1'</t>
  </si>
  <si>
    <t>phone_number_leader</t>
  </si>
  <si>
    <r>
      <t>What is the leader's *</t>
    </r>
    <r>
      <rPr>
        <b/>
        <sz val="11"/>
        <color theme="6" tint="-0.499984740745262"/>
        <rFont val="Calibri"/>
        <family val="2"/>
        <scheme val="minor"/>
      </rPr>
      <t>phone number*</t>
    </r>
    <r>
      <rPr>
        <sz val="11"/>
        <color theme="6" tint="-0.499984740745262"/>
        <rFont val="Calibri"/>
        <family val="2"/>
        <scheme val="minor"/>
      </rPr>
      <t>?</t>
    </r>
  </si>
  <si>
    <t>leader_name</t>
  </si>
  <si>
    <r>
      <t xml:space="preserve">What is the leader's </t>
    </r>
    <r>
      <rPr>
        <b/>
        <sz val="11"/>
        <color theme="6" tint="-0.499984740745262"/>
        <rFont val="Calibri"/>
        <family val="2"/>
        <scheme val="minor"/>
      </rPr>
      <t>name?</t>
    </r>
  </si>
  <si>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</si>
  <si>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</si>
  <si>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</si>
  <si>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</si>
  <si>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</si>
  <si>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</si>
  <si>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select_one language</t>
  </si>
  <si>
    <t>language2</t>
  </si>
  <si>
    <t xml:space="preserve">Select the language that was mostly used to complete the interview. </t>
  </si>
  <si>
    <t>closeout</t>
  </si>
  <si>
    <r>
      <t>Thank you for your time. The interview has come to an end.</t>
    </r>
    <r>
      <rPr>
        <sz val="11"/>
        <color rgb="FF7030A0"/>
        <rFont val="Calibri"/>
        <family val="2"/>
        <scheme val="minor"/>
      </rPr>
      <t xml:space="preserve"> </t>
    </r>
  </si>
  <si>
    <t>time</t>
  </si>
  <si>
    <t>Interview_End_Time</t>
  </si>
  <si>
    <t>Interview End Time</t>
  </si>
  <si>
    <t>gps_2</t>
  </si>
  <si>
    <t>GPS INSTRUCTION: You didn't take a measurement earlier. Now walk around the household or go near the main road and try to take a GPS measurement.</t>
  </si>
  <si>
    <t xml:space="preserve">false </t>
  </si>
  <si>
    <t>${resp_agree} = '1' and ${gps_1} = ''</t>
  </si>
  <si>
    <t>enum_notes</t>
  </si>
  <si>
    <t>Enter any notes or feedback from this survey:</t>
  </si>
  <si>
    <t xml:space="preserve">Leave empty if there are no comments. </t>
  </si>
  <si>
    <t>__version__</t>
  </si>
  <si>
    <t>'vfVbKi5bfYAnEzqoBsXTzQ'</t>
  </si>
  <si>
    <t>list_name</t>
  </si>
  <si>
    <t>my_filter_admin</t>
  </si>
  <si>
    <t>enumerator name 1</t>
  </si>
  <si>
    <t>enumerator name 2</t>
  </si>
  <si>
    <t>enumerator name 3</t>
  </si>
  <si>
    <t>Yes</t>
  </si>
  <si>
    <t>No</t>
  </si>
  <si>
    <t>yes_no</t>
  </si>
  <si>
    <t>NO</t>
  </si>
  <si>
    <t>DON'T KNOW</t>
  </si>
  <si>
    <t>REFUSED</t>
  </si>
  <si>
    <t>continue</t>
  </si>
  <si>
    <t>yesno</t>
  </si>
  <si>
    <t>language</t>
  </si>
  <si>
    <t>en</t>
  </si>
  <si>
    <t>English</t>
  </si>
  <si>
    <t>…</t>
  </si>
  <si>
    <t>gender</t>
  </si>
  <si>
    <t>Male</t>
  </si>
  <si>
    <t>Female</t>
  </si>
  <si>
    <t>contact_info</t>
  </si>
  <si>
    <t>YES - mine</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</si>
  <si>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</si>
  <si>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</si>
  <si>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</si>
  <si>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</si>
  <si>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</si>
  <si>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</si>
  <si>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</si>
  <si>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</si>
  <si>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</si>
  <si>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</si>
  <si>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</si>
  <si>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</si>
  <si>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</si>
  <si>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</si>
  <si>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</si>
  <si>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</si>
  <si>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</si>
  <si>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</si>
  <si>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</si>
  <si>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</si>
  <si>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</si>
  <si>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</si>
  <si>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</si>
  <si>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</si>
  <si>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</si>
  <si>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</si>
  <si>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</si>
  <si>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Candle</t>
  </si>
  <si>
    <t>Petrol lamp</t>
  </si>
  <si>
    <t>Lamp with batteries</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</si>
  <si>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</si>
  <si>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</si>
  <si>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</si>
  <si>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</si>
  <si>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</si>
  <si>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</si>
  <si>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</si>
  <si>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</si>
  <si>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taxi</t>
  </si>
  <si>
    <t>Taxi</t>
  </si>
  <si>
    <t>truck</t>
  </si>
  <si>
    <t>Truck</t>
  </si>
  <si>
    <t>farmmach</t>
  </si>
  <si>
    <t>sewing</t>
  </si>
  <si>
    <t>other</t>
  </si>
  <si>
    <t>none</t>
  </si>
  <si>
    <t>dk</t>
  </si>
  <si>
    <t>ref</t>
  </si>
  <si>
    <t>asset_transp</t>
  </si>
  <si>
    <t>bici</t>
  </si>
  <si>
    <t>Bicycle</t>
  </si>
  <si>
    <t>motorbike</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</si>
  <si>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</si>
  <si>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</si>
  <si>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</si>
  <si>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</si>
  <si>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</si>
  <si>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</si>
  <si>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</si>
  <si>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</si>
  <si>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</si>
  <si>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</si>
  <si>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</si>
  <si>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</si>
  <si>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</si>
  <si>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</si>
  <si>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</si>
  <si>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</si>
  <si>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</si>
  <si>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</si>
  <si>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</si>
  <si>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</si>
  <si>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</si>
  <si>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Production and sale of cashcrops</t>
  </si>
  <si>
    <t xml:space="preserve">Production and sale of livestock and livestock products </t>
  </si>
  <si>
    <t xml:space="preserve">Production and sale of fish </t>
  </si>
  <si>
    <t>Collection and sale of natural resources (including forestry or bush products)</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</si>
  <si>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</si>
  <si>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</si>
  <si>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</si>
  <si>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</si>
  <si>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</si>
  <si>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</si>
  <si>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</si>
  <si>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</si>
  <si>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</si>
  <si>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</si>
  <si>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</si>
  <si>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</si>
  <si>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</si>
  <si>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</si>
  <si>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</si>
  <si>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</si>
  <si>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</si>
  <si>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</si>
  <si>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</si>
  <si>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</si>
  <si>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</si>
  <si>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</si>
  <si>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covidmeasures</t>
  </si>
  <si>
    <t>goodstransp</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</si>
  <si>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</si>
  <si>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</si>
  <si>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</si>
  <si>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</si>
  <si>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</si>
  <si>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</si>
  <si>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</si>
  <si>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</si>
  <si>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</si>
  <si>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</si>
  <si>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Other [specify]</t>
  </si>
  <si>
    <t>Not affected by restrictions</t>
  </si>
  <si>
    <t>noshock</t>
  </si>
  <si>
    <t>No shock</t>
  </si>
  <si>
    <t>sicknessordeathofhh</t>
  </si>
  <si>
    <t>Sickness or accident or death of household member[s] [sickness of breadwinner / unusually high medical expenditure / funeral expenses / death of breadwinner]</t>
  </si>
  <si>
    <t>lostemplorwork</t>
  </si>
  <si>
    <t>otherintrahhshock</t>
  </si>
  <si>
    <t>higherfoodprices</t>
  </si>
  <si>
    <t>higherfuelprices</t>
  </si>
  <si>
    <t>othereconomicshock</t>
  </si>
  <si>
    <t xml:space="preserve">Other economic shock </t>
  </si>
  <si>
    <t>pestoutbreak</t>
  </si>
  <si>
    <t>Pest outbreak</t>
  </si>
  <si>
    <t>plantdisease</t>
  </si>
  <si>
    <t>Plant disease</t>
  </si>
  <si>
    <t>animaldisease</t>
  </si>
  <si>
    <t>napasture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</si>
  <si>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</si>
  <si>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</si>
  <si>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</si>
  <si>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</si>
  <si>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</si>
  <si>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</si>
  <si>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</si>
  <si>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</si>
  <si>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</si>
  <si>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</si>
  <si>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</si>
  <si>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</si>
  <si>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</si>
  <si>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</si>
  <si>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</si>
  <si>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</si>
  <si>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</si>
  <si>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</si>
  <si>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</si>
  <si>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</si>
  <si>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</si>
  <si>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</si>
  <si>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 from man-made disaster</t>
  </si>
  <si>
    <t>othermanmadehazard</t>
  </si>
  <si>
    <t>landsize_unit</t>
  </si>
  <si>
    <t>Acres</t>
  </si>
  <si>
    <t>Hectares</t>
  </si>
  <si>
    <t>Square meters</t>
  </si>
  <si>
    <t>Square feet</t>
  </si>
  <si>
    <t>cropcheck</t>
  </si>
  <si>
    <t xml:space="preserve">Don’t usually produce during this season </t>
  </si>
  <si>
    <t>Wasn't able to produce (e.g. due to difficulties)</t>
  </si>
  <si>
    <t>irrigation</t>
  </si>
  <si>
    <t>seedsupply</t>
  </si>
  <si>
    <t>ownprod</t>
  </si>
  <si>
    <t>Own production</t>
  </si>
  <si>
    <t>market</t>
  </si>
  <si>
    <t>company</t>
  </si>
  <si>
    <t>Free distribution</t>
  </si>
  <si>
    <t>gov</t>
  </si>
  <si>
    <t>Other</t>
  </si>
  <si>
    <t>harv_unit</t>
  </si>
  <si>
    <t>Kilograms [kgs]</t>
  </si>
  <si>
    <t>Ounces</t>
  </si>
  <si>
    <t>Pounds</t>
  </si>
  <si>
    <t>Bags</t>
  </si>
  <si>
    <t>Boxes</t>
  </si>
  <si>
    <t>Bundles</t>
  </si>
  <si>
    <t>Packets</t>
  </si>
  <si>
    <t>cropproddiff</t>
  </si>
  <si>
    <t xml:space="preserve">Plant disease </t>
  </si>
  <si>
    <t>Access to plot</t>
  </si>
  <si>
    <t>Access to fertilizer [not available on markets or prices too high]</t>
  </si>
  <si>
    <t>Access to enough seeds [not available on markets or prices too high]</t>
  </si>
  <si>
    <t>Access to machinery, tools or animals for ploughing</t>
  </si>
  <si>
    <t>Access to fuel or electricity to power agricultural equipment</t>
  </si>
  <si>
    <t>Soil erosion</t>
  </si>
  <si>
    <t xml:space="preserve">Not enough irrigation or rainfall water </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</si>
  <si>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</si>
  <si>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</si>
  <si>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</si>
  <si>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</si>
  <si>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</si>
  <si>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</si>
  <si>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</si>
  <si>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</si>
  <si>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</si>
  <si>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</si>
  <si>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Low selling prices [e.g. compared to input prices / inflation]</t>
  </si>
  <si>
    <t>Difficulty processing product [lack of processing inputs / equipment / etc]</t>
  </si>
  <si>
    <t>Cattle [cow / beef / veal / yak / buffalo]</t>
  </si>
  <si>
    <t>Sheep</t>
  </si>
  <si>
    <t>Swine [swine / boar / hog / etc]</t>
  </si>
  <si>
    <t>Equine [donkey / horse / etc]</t>
  </si>
  <si>
    <t>Small domesticated mammals [rabbits / minks / guinea pigs / etc]</t>
  </si>
  <si>
    <t>Poultry [chicken / guineafowl / duck / quail / turkey / etc]</t>
  </si>
  <si>
    <t>Camelids</t>
  </si>
  <si>
    <t>lsnum</t>
  </si>
  <si>
    <t>No significant change in livestock number</t>
  </si>
  <si>
    <t>Did not sell as many</t>
  </si>
  <si>
    <t>Purchased or bartered more animals this year</t>
  </si>
  <si>
    <t>Received animals for free [restocking, gift]</t>
  </si>
  <si>
    <t>Sold more than usual because of good prices</t>
  </si>
  <si>
    <t>Sold more than usual because of distress sales [unable to feed animal, need money urgently for household basic needs even if sales were unsustainable]</t>
  </si>
  <si>
    <t>Animal escaped or was lost or stolen</t>
  </si>
  <si>
    <t>Killed or gave away more animals than usual for household consumption or celebrations [marriage, funerals, etc]</t>
  </si>
  <si>
    <t>inc_dec_other</t>
  </si>
  <si>
    <t>inc_dec_dk</t>
  </si>
  <si>
    <t>inc_dec_ref</t>
  </si>
  <si>
    <t>lsfood</t>
  </si>
  <si>
    <t>Open pasture</t>
  </si>
  <si>
    <t>Community-managed pasture land</t>
  </si>
  <si>
    <t>Owned or rented field or self-produced fodder</t>
  </si>
  <si>
    <t>purchased</t>
  </si>
  <si>
    <t xml:space="preserve">Other </t>
  </si>
  <si>
    <t>lsproddiff</t>
  </si>
  <si>
    <t>Difficulty to purchase feed [prices or access to market]</t>
  </si>
  <si>
    <t>Access to pasture</t>
  </si>
  <si>
    <t>Access to water</t>
  </si>
  <si>
    <t>Access to veterinary inputs [medicine for animals / tools for animal health / etc]</t>
  </si>
  <si>
    <t>diseases</t>
  </si>
  <si>
    <t>Livestock theft</t>
  </si>
  <si>
    <t>Access to livestock market to buy young animals</t>
  </si>
  <si>
    <t>Access to credit</t>
  </si>
  <si>
    <t>lsmain2</t>
  </si>
  <si>
    <t>No other livestock</t>
  </si>
  <si>
    <t>salesmain</t>
  </si>
  <si>
    <t>Equine [donkey / horse / etc.]</t>
  </si>
  <si>
    <t>Poultry [chicken / guineafowl / duck / quail / turkey / etc.]</t>
  </si>
  <si>
    <t>Eggs</t>
  </si>
  <si>
    <t>Milk or dairy products</t>
  </si>
  <si>
    <t>Skin or leather or wool</t>
  </si>
  <si>
    <t>lssalesdif</t>
  </si>
  <si>
    <t>slaughterhouse</t>
  </si>
  <si>
    <t>Closure of slaughterhouses or difficulties accessing slaughterhouses</t>
  </si>
  <si>
    <t>processing</t>
  </si>
  <si>
    <t>fishactivity</t>
  </si>
  <si>
    <t>coastal</t>
  </si>
  <si>
    <t>aquaculture</t>
  </si>
  <si>
    <t>Aquaculture</t>
  </si>
  <si>
    <t>fishproddiff</t>
  </si>
  <si>
    <t>fuel</t>
  </si>
  <si>
    <t>Access to fuel [prices higher or not available]</t>
  </si>
  <si>
    <t>labour</t>
  </si>
  <si>
    <t>fishinput</t>
  </si>
  <si>
    <t>Feed or bait</t>
  </si>
  <si>
    <t>gear</t>
  </si>
  <si>
    <t>ice</t>
  </si>
  <si>
    <t>Ice</t>
  </si>
  <si>
    <t>Fuel</t>
  </si>
  <si>
    <t>boatrepairs</t>
  </si>
  <si>
    <t>fishsales</t>
  </si>
  <si>
    <t>fishsalesdif</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</si>
  <si>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</si>
  <si>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</si>
  <si>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</si>
  <si>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</si>
  <si>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</si>
  <si>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</si>
  <si>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</si>
  <si>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</si>
  <si>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</si>
  <si>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</si>
  <si>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</si>
  <si>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</si>
  <si>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</si>
  <si>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</si>
  <si>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</si>
  <si>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</si>
  <si>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meat</t>
  </si>
  <si>
    <t>eggs</t>
  </si>
  <si>
    <t>fish</t>
  </si>
  <si>
    <t>Fish or shellfish [fresh or dried fish / other seafood]</t>
  </si>
  <si>
    <t>legumes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</si>
  <si>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</si>
  <si>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</si>
  <si>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</si>
  <si>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</si>
  <si>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</si>
  <si>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</si>
  <si>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</si>
  <si>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</si>
  <si>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</si>
  <si>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needreceived</t>
  </si>
  <si>
    <t>food</t>
  </si>
  <si>
    <t>Food</t>
  </si>
  <si>
    <t>No assistance received</t>
  </si>
  <si>
    <t>leader</t>
  </si>
  <si>
    <t>Agricultural extension officer</t>
  </si>
  <si>
    <t>Health extension officer</t>
  </si>
  <si>
    <t>Teacher</t>
  </si>
  <si>
    <t>Other (specify)</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</si>
  <si>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</si>
  <si>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</si>
  <si>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</si>
  <si>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</si>
  <si>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</si>
  <si>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</si>
  <si>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</si>
  <si>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</si>
  <si>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</si>
  <si>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</si>
  <si>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</si>
  <si>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</si>
  <si>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</si>
  <si>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</si>
  <si>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</si>
  <si>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</si>
  <si>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</si>
  <si>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</si>
  <si>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</si>
  <si>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</si>
  <si>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</si>
  <si>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version</t>
  </si>
  <si>
    <t>default_language</t>
  </si>
  <si>
    <t>allow_choice_duplicates</t>
  </si>
  <si>
    <t>style</t>
  </si>
  <si>
    <t>vM6cWXyHNhR3djPbARkHWi</t>
  </si>
  <si>
    <t>theme-grid no-text-transform</t>
  </si>
  <si>
    <t xml:space="preserve">Select top 10 crops </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</si>
  <si>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</si>
  <si>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</si>
  <si>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</si>
  <si>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</si>
  <si>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</si>
  <si>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</si>
  <si>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</si>
  <si>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</si>
  <si>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</si>
  <si>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</si>
  <si>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</si>
  <si>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</si>
  <si>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</si>
  <si>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</si>
  <si>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</si>
  <si>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</si>
  <si>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</si>
  <si>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</si>
  <si>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</si>
  <si>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</si>
  <si>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</si>
  <si>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</si>
  <si>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</si>
  <si>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</si>
  <si>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</si>
  <si>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</si>
  <si>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</si>
  <si>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</si>
  <si>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</si>
  <si>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</si>
  <si>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</si>
  <si>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</si>
  <si>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</si>
  <si>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</si>
  <si>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</si>
  <si>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</si>
  <si>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</si>
  <si>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</si>
  <si>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</si>
  <si>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</si>
  <si>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</si>
  <si>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</si>
  <si>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</si>
  <si>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</si>
  <si>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</si>
  <si>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</si>
  <si>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</si>
  <si>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</si>
  <si>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</si>
  <si>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</si>
  <si>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</si>
  <si>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</si>
  <si>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</si>
  <si>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</si>
  <si>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</si>
  <si>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</si>
  <si>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</si>
  <si>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</si>
  <si>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</si>
  <si>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</si>
  <si>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</si>
  <si>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</si>
  <si>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</si>
  <si>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</si>
  <si>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</si>
  <si>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</si>
  <si>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</si>
  <si>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</si>
  <si>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</si>
  <si>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</si>
  <si>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</si>
  <si>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</si>
  <si>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</si>
  <si>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</si>
  <si>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</si>
  <si>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</si>
  <si>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</si>
  <si>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</si>
  <si>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</si>
  <si>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</si>
  <si>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</si>
  <si>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</si>
  <si>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</si>
  <si>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</si>
  <si>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</si>
  <si>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</si>
  <si>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</si>
  <si>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</si>
  <si>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</si>
  <si>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</si>
  <si>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</si>
  <si>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</si>
  <si>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</si>
  <si>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</si>
  <si>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</si>
  <si>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</si>
  <si>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</si>
  <si>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</si>
  <si>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</si>
  <si>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</si>
  <si>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</si>
  <si>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</si>
  <si>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</si>
  <si>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</si>
  <si>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</si>
  <si>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</si>
  <si>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</si>
  <si>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</si>
  <si>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</si>
  <si>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</si>
  <si>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</si>
  <si>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</si>
  <si>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</si>
  <si>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</si>
  <si>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</si>
  <si>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</si>
  <si>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</si>
  <si>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</si>
  <si>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</si>
  <si>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</si>
  <si>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</si>
  <si>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</si>
  <si>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</si>
  <si>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</si>
  <si>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</si>
  <si>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</si>
  <si>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</si>
  <si>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</si>
  <si>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</si>
  <si>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</si>
  <si>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</si>
  <si>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</si>
  <si>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</si>
  <si>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</si>
  <si>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</si>
  <si>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</si>
  <si>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</si>
  <si>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</si>
  <si>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</si>
  <si>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</si>
  <si>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</si>
  <si>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</si>
  <si>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</si>
  <si>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</si>
  <si>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</si>
  <si>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</si>
  <si>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</si>
  <si>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</si>
  <si>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</si>
  <si>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</si>
  <si>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</si>
  <si>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</si>
  <si>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</si>
  <si>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</si>
  <si>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</si>
  <si>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</si>
  <si>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</si>
  <si>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</si>
  <si>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</si>
  <si>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</si>
  <si>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</si>
  <si>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</si>
  <si>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</si>
  <si>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</si>
  <si>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</si>
  <si>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</si>
  <si>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</si>
  <si>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</si>
  <si>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</si>
  <si>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</si>
  <si>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</si>
  <si>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</si>
  <si>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</si>
  <si>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</si>
  <si>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</si>
  <si>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</si>
  <si>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</si>
  <si>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</si>
  <si>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</si>
  <si>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</si>
  <si>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</si>
  <si>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</si>
  <si>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 xml:space="preserve">Original </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</si>
  <si>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</si>
  <si>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</si>
  <si>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Type a phone number from your country in typical format, e.g. 77******* [please use exactly the number of characters that are found in a phone number].</t>
  </si>
  <si>
    <t>070******</t>
  </si>
  <si>
    <t>age</t>
  </si>
  <si>
    <t>Minimum age of respondent (recommend 18 years old)</t>
  </si>
  <si>
    <t>ADMIN1</t>
  </si>
  <si>
    <r>
      <t xml:space="preserve">The first subdivision of the country, after national level; region; province; governorate; etc. </t>
    </r>
    <r>
      <rPr>
        <b/>
        <sz val="11"/>
        <color rgb="FF000000"/>
        <rFont val="Calibri"/>
        <family val="2"/>
      </rPr>
      <t>Only one word should be inputted - Do not include spaces.</t>
    </r>
  </si>
  <si>
    <t>ADMIN2</t>
  </si>
  <si>
    <r>
      <t xml:space="preserve">The second subdivision of the country; district; municipality; LGA; etc. </t>
    </r>
    <r>
      <rPr>
        <b/>
        <sz val="11"/>
        <color rgb="FF000000"/>
        <rFont val="Calibri"/>
        <family val="2"/>
      </rPr>
      <t>Only one word should be inputted - Do not include spaces.</t>
    </r>
  </si>
  <si>
    <t>season</t>
  </si>
  <si>
    <t>Name the crop season(s) of interest if there are several cropping seasons in the country (e.g. Meher and Belg in Ethiopia, rainy season / flood-recession cropping / irrigated dry season in the Sahel). You can refer to the “last season” or “ongoing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</si>
  <si>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</si>
  <si>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</si>
  <si>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</si>
  <si>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</si>
  <si>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</si>
  <si>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</si>
  <si>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</si>
  <si>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</si>
  <si>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</si>
  <si>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</si>
  <si>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</si>
  <si>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</si>
  <si>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</si>
  <si>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</si>
  <si>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</si>
  <si>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</si>
  <si>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</si>
  <si>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</si>
  <si>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</si>
  <si>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</si>
  <si>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</si>
  <si>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</si>
  <si>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</si>
  <si>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</si>
  <si>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</si>
  <si>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r>
      <t xml:space="preserve">Has your household's income from ${incomemain} changed in the last 3 months compared to the same period of </t>
    </r>
    <r>
      <rPr>
        <b/>
        <sz val="11"/>
        <color rgb="FF7030A0"/>
        <rFont val="Calibri (Body)"/>
      </rPr>
      <t>#reference year#</t>
    </r>
    <r>
      <rPr>
        <sz val="11"/>
        <rFont val="Calibri (Body)"/>
      </rPr>
      <t>?</t>
    </r>
  </si>
  <si>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</si>
  <si>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</si>
  <si>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</si>
  <si>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t xml:space="preserve">AVERAGE ESTIMATED DURATION </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</si>
  <si>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</si>
  <si>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</si>
  <si>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</si>
  <si>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</si>
  <si>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</si>
  <si>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</si>
  <si>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audio_random</t>
  </si>
  <si>
    <t>once(random())</t>
  </si>
  <si>
    <t>background-audio</t>
  </si>
  <si>
    <t>${audio_random}&lt;=0.02</t>
  </si>
  <si>
    <t>quality=low</t>
  </si>
  <si>
    <t>parameters</t>
  </si>
  <si>
    <t>How many days over *the last 7 days*, did members of your household eat **meat, eggs or fish** [any type of meat or fish including insects, birds, bush meat, seafood, or organs]?</t>
  </si>
  <si>
    <t>select_one enumteam</t>
  </si>
  <si>
    <t>enum_team</t>
  </si>
  <si>
    <t>Enumerator team number or code</t>
  </si>
  <si>
    <t>my_filter_admin=${enum_team}</t>
  </si>
  <si>
    <t>enumteam</t>
  </si>
  <si>
    <t>Enumerator team 1</t>
  </si>
  <si>
    <t>Enumerator team 2</t>
  </si>
  <si>
    <t>Enumerator team 3</t>
  </si>
  <si>
    <t>Enumerator team 4</t>
  </si>
  <si>
    <t>[INSTRUCTIONS: ADDRESS QUESTIONS FROM RESPONDENT, IF ANY.]</t>
  </si>
  <si>
    <t>[INSTRUCTIONS: RECORD THE RESPONDENT'S FIRST NAME. ENTER 999 FOR REFUSED]</t>
  </si>
  <si>
    <t>[INSTRUCTIONS: RECORD THE RESPONDENT'S LAST NAME. ENTER 999 FOR REFUSED]</t>
  </si>
  <si>
    <t>[INSTRUCTIONS: IF THE RESPONDENT CONFIRMS THAT THE INCOME AMOUNT EARNED FROM THIS INCOME SOURCE OVER THE PAST 3 MONTH IS INDEED OVER #THRESHOLD#, CLICK ON CONTINUE. OTHERWISE, GO BACK AND CHANGE THE AMOUNT ENTERED.]</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</si>
  <si>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</si>
  <si>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</si>
  <si>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</si>
  <si>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</si>
  <si>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</si>
  <si>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</si>
  <si>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</si>
  <si>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</si>
  <si>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</si>
  <si>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</si>
  <si>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</si>
  <si>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</si>
  <si>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</si>
  <si>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t>
  </si>
  <si>
    <t>[INSTRUCTIONS: MULTIPLE ANSWERS POSSIBLE.]</t>
  </si>
  <si>
    <t>[INSTRUCTIONS: Remember to probe for snacks, special foods given to children or pregnant women, ingredients in mixed dishes. At the end, probe for any food groups not specified.]</t>
  </si>
  <si>
    <t>Your answers will help us to understand and respond to your community needs. May we call you in a few months?</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</si>
  <si>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</si>
  <si>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[INSTRUCTIONS: READ OUT ANSWER OPTIONS. MULTIPLE RESPONSES POSSIBLE.]</t>
  </si>
  <si>
    <t>Meat, poultry and offal [beef / pork / lamb /goat / rabbit / wild game / chicken / duck or other birds / liver / kidney / heart / or other organ meats]</t>
  </si>
  <si>
    <t>Legumes, nuts and seeds [beans / peas / peanut / lentils / almond / and/or other nuts]</t>
  </si>
  <si>
    <t>local measurement unit conversion</t>
  </si>
  <si>
    <t>if(${crp_sales_main_1}='1',${crp_main},${crp_sales_main_2})</t>
  </si>
  <si>
    <t>crp_sales_main</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</si>
  <si>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</si>
  <si>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t>Has anybody in your household produced crops or livestock for household consumption or for sale in the past 12 months, including household members currently away for transhumance?</t>
  </si>
  <si>
    <t>resp_id</t>
  </si>
  <si>
    <t>Are you the head of household?</t>
  </si>
  <si>
    <t>Surface water [e.g. canal, ponds, dams]</t>
  </si>
  <si>
    <t>Solar panel</t>
  </si>
  <si>
    <t>[INSTRUCTIONS: RECORD NUMBER OF MEMBERS IN HOUSEHOLD. ENTER 888 FOR DON'T KNOW &amp; 999 FOR REFUSED.]
[HINT: TO BE A PART OF THE SAME HOUSEHOLD, MEMBERS MUST LIVE UNDER THE SAME ROOF, SHARE THE SAME RESOURCES &amp; EAT FROM THE SAME POT.]</t>
  </si>
  <si>
    <t xml:space="preserve">Does your household own any of the following productive assets? </t>
  </si>
  <si>
    <t>[INSTRUCTIONS: MULTIPLE RESPONSES POSSIBLE. READ ANSWER OPTIONS OUT LOUD.]</t>
  </si>
  <si>
    <t xml:space="preserve">Do you or any member of household own any of the following transportation assets? </t>
  </si>
  <si>
    <t>cart</t>
  </si>
  <si>
    <t>boat</t>
  </si>
  <si>
    <t>Boat / canoe</t>
  </si>
  <si>
    <t>Motorbike / scooter / auto rickshaw</t>
  </si>
  <si>
    <t>process</t>
  </si>
  <si>
    <t>Sewing machine or weaving tool</t>
  </si>
  <si>
    <t>Processing assets (e.g. grinding/crushing machine, mill, oil press)</t>
  </si>
  <si>
    <t>Farm machinery (e.g. tractor, plough, sickle, etc.)</t>
  </si>
  <si>
    <t>Other productive machines or assets</t>
  </si>
  <si>
    <t>No productive machines or assets</t>
  </si>
  <si>
    <t>What was your household's main source of income in the past 3 months?</t>
  </si>
  <si>
    <t xml:space="preserve">Production and sale of vegetables or fruit </t>
  </si>
  <si>
    <t>Production and sale of honey and bee products</t>
  </si>
  <si>
    <t>Agricultural trade EXCLUDING producers (formal or informal)</t>
  </si>
  <si>
    <t>No income source in the last 3 months and used exclusively savings / debts</t>
  </si>
  <si>
    <t>${income_main} = '6'</t>
  </si>
  <si>
    <t>${income_main} != '19' and ${income_main} != '20'</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</si>
  <si>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</si>
  <si>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${income_sec} = '6'</t>
  </si>
  <si>
    <t xml:space="preserve">${income_main} != '19' and ${income_main} != '20' and ${income_sec} != '19' and ${income_sec} != '20' and ${income_sec} != '21' </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</si>
  <si>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</si>
  <si>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${income_third} = '6'</t>
  </si>
  <si>
    <t xml:space="preserve">${income_main} != '19' and ${income_main} != '20' and ${income_sec} != '19' and ${income_sec} != '20' and ${income_sec} != '21' and ${income_third} != '19' and ${income_third} != '20' and ${income_third} != '21' </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</si>
  <si>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</si>
  <si>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What was your household's third most important source of income in the past 3 months?</t>
  </si>
  <si>
    <t>What was your household's second most important source of income in the past 3 months?</t>
  </si>
  <si>
    <t>income_main_crop_check</t>
  </si>
  <si>
    <t>income_main_ls_check</t>
  </si>
  <si>
    <t>income_main_fish_check</t>
  </si>
  <si>
    <t xml:space="preserve">Are the fish and/or fish products that you sell also captured or harvested by you or anyone in your household? </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</si>
  <si>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</si>
  <si>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[INSTRUCTIONS: MAKE SURE THE INFORMATION IS RECORDED IN THE CORRECT CURRENCY. ENTER 888 FOR DON'T KNOW AND 999 FOR REFUSED.]</t>
  </si>
  <si>
    <t>income_main_control</t>
  </si>
  <si>
    <t>select_one gender_inc_1</t>
  </si>
  <si>
    <t>select_one gender_inc_2</t>
  </si>
  <si>
    <t>gender_inc_1</t>
  </si>
  <si>
    <t>gender_inc_2</t>
  </si>
  <si>
    <t xml:space="preserve">Who controls the revenue that is earned from this source? </t>
  </si>
  <si>
    <t>income_sec_control</t>
  </si>
  <si>
    <t xml:space="preserve">What is the gender of the household member(s) generating income from this source? </t>
  </si>
  <si>
    <t>income_third_control</t>
  </si>
  <si>
    <t>Joint (both male &amp; female)</t>
  </si>
  <si>
    <t>Male household member(s)</t>
  </si>
  <si>
    <t>Female household member(s)</t>
  </si>
  <si>
    <t>Joint household members (both female &amp; male)</t>
  </si>
  <si>
    <t>Cart (animal drawn)</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</si>
  <si>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</si>
  <si>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</si>
  <si>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</si>
  <si>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Lost employment or working opportunities [not due to illness/accident]</t>
  </si>
  <si>
    <t>Other intra-household shock</t>
  </si>
  <si>
    <t>mvtrestrict</t>
  </si>
  <si>
    <t>Unusually high food prices</t>
  </si>
  <si>
    <t>Unusually high l fuel prices or transport prices</t>
  </si>
  <si>
    <t>Population movement restrictions [e.g. due to epidemic or infrastructure damage]</t>
  </si>
  <si>
    <t>firemanmade</t>
  </si>
  <si>
    <t>Other human-induced hazard</t>
  </si>
  <si>
    <t>Animal disease [affecting many animals] or death</t>
  </si>
  <si>
    <t>Lack of physical access to pasture</t>
  </si>
  <si>
    <t>curfew</t>
  </si>
  <si>
    <t>school</t>
  </si>
  <si>
    <t>Curfews</t>
  </si>
  <si>
    <t>Closure of schools</t>
  </si>
  <si>
    <t>${resp_agree} = '1' and (${hh_agricactivity}='1' or ${hh_agricactivity} = '3' or ${income_main_crop_check}='1' or ${income_sec_crop_check}='1' or ${income_third_crop_check}='1')</t>
  </si>
  <si>
    <t>Rainfed</t>
  </si>
  <si>
    <t>Natural surface water [river, lake, stream, pond, etc.]</t>
  </si>
  <si>
    <t>Constructed water point [canal, dam, etc.]</t>
  </si>
  <si>
    <t>Public water supply system [e.g. tap water]</t>
  </si>
  <si>
    <t>crp_irrig_source</t>
  </si>
  <si>
    <t>crp_irrig_source_otherspecify</t>
  </si>
  <si>
    <t>Do you [your community] use a pump for your own [the communal] irrigation system?</t>
  </si>
  <si>
    <t xml:space="preserve">Do you have to pay for water rights [e.g. water rights, communal infrastructure maintenance, gas for communal pump, etc.]? </t>
  </si>
  <si>
    <t>crp_irrig_system</t>
  </si>
  <si>
    <t>crp_irrig_pay</t>
  </si>
  <si>
    <t>select_one irrigpump</t>
  </si>
  <si>
    <t>irrigpump</t>
  </si>
  <si>
    <t>No, everything works on gravity</t>
  </si>
  <si>
    <t>Yes, there is a communal diesel/gas pump</t>
  </si>
  <si>
    <t>Yes, there is a communal manual pump</t>
  </si>
  <si>
    <t>Yes, there is a manual pump in my field</t>
  </si>
  <si>
    <t>Yes, there is a diesel pump in my field</t>
  </si>
  <si>
    <t>Local market or agro-input shop / dealer</t>
  </si>
  <si>
    <t>Private seed company</t>
  </si>
  <si>
    <t>NGOs</t>
  </si>
  <si>
    <t>Community seed banks / farmer networks / farmers' association / etc.</t>
  </si>
  <si>
    <t>Government [e.g. MoA]</t>
  </si>
  <si>
    <t>ngo</t>
  </si>
  <si>
    <t>organized_community</t>
  </si>
  <si>
    <t>relatives_friends</t>
  </si>
  <si>
    <t>Relatives or friends</t>
  </si>
  <si>
    <t xml:space="preserve">Who do you normally procure your seeds from? </t>
  </si>
  <si>
    <t>[INSTRUCTIONS: "NO CROP PRODUCTION" APPEARS AT THE END OF THE LIST OF OPTIONS.]</t>
  </si>
  <si>
    <t>[HINT: HOUSEHOLD CONSISTS OF ALL MEMBERS LIVING TOGETHER, SHARING RESOURCES &amp; EATING FROM THE SAME POT.]</t>
  </si>
  <si>
    <t>${resp_id} != '1'</t>
  </si>
  <si>
    <t>Tonnes</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</si>
  <si>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</si>
  <si>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t>plant_disease</t>
  </si>
  <si>
    <t>Pest outbreak [including birds]</t>
  </si>
  <si>
    <t>Uncontrolled animal grazing</t>
  </si>
  <si>
    <t>animal_grazing</t>
  </si>
  <si>
    <t>pest_outbreak</t>
  </si>
  <si>
    <t>access_plot</t>
  </si>
  <si>
    <t>Access to quality seeds</t>
  </si>
  <si>
    <t>seed_quality</t>
  </si>
  <si>
    <t>seed_quantity</t>
  </si>
  <si>
    <t>Access to pesticides</t>
  </si>
  <si>
    <t>access_pesticide</t>
  </si>
  <si>
    <t>access_labour</t>
  </si>
  <si>
    <t>Access to manpower labour</t>
  </si>
  <si>
    <t>access_machinery</t>
  </si>
  <si>
    <t>access_fuel</t>
  </si>
  <si>
    <t>soil_erosion</t>
  </si>
  <si>
    <t>lack_irrigation</t>
  </si>
  <si>
    <t>excess_water</t>
  </si>
  <si>
    <t>access_credit</t>
  </si>
  <si>
    <t>Too much irrigation or water</t>
  </si>
  <si>
    <t xml:space="preserve">Was ${crpmain} the main crop that you sold over the *last 3 months*? </t>
  </si>
  <si>
    <t>What was the main crop that you sold over the *last 3 months*?</t>
  </si>
  <si>
    <t>[INSTRUCTIONS: INSIST ON THE MAIN PRODUCT MENTIONED.]</t>
  </si>
  <si>
    <t>[INSTRUCTIONS: ASK ABOUT THE MOST IMPORTANT ANIMAL ONLY.] [HINT: DON'T FORGET TO PROBE ABOUT TRANSHUMANCE - MOVING LIVESTOCK FROM ONE GRAZING GROUND TO ANOTHER.]</t>
  </si>
  <si>
    <t>Has your household faced any significant difficulty in the last 3 months **selling** your ${crp_sales_main}?</t>
  </si>
  <si>
    <t xml:space="preserve">Which difficulties has your household faced in the last 3 months selling your ${crp_sales_main}? </t>
  </si>
  <si>
    <t>Damages and losses due to storage difficulties and/or difficulty accessing the market [e.g. insecurity, poor infrastructure, etc.]</t>
  </si>
  <si>
    <t>damage_losses</t>
  </si>
  <si>
    <t>low_demand</t>
  </si>
  <si>
    <t xml:space="preserve">Lack of demand from usual traders or buyers </t>
  </si>
  <si>
    <t>pay_delay</t>
  </si>
  <si>
    <t>Payment delays from traders / buyers</t>
  </si>
  <si>
    <t>low_price</t>
  </si>
  <si>
    <t>competition</t>
  </si>
  <si>
    <t>Market flooded with products</t>
  </si>
  <si>
    <t>${resp_agree} = '1' and (${hh_agricactivity}='2' or ${hh_agricactivity} = '3' or ${income_main_ls_check}='1' or ${income_sec_ls_check}='1' or ${income_third_ls_check}='1')</t>
  </si>
  <si>
    <t>Goat</t>
  </si>
  <si>
    <t>What was the main animal raised by your household for food and income generation in the last 12 months?</t>
  </si>
  <si>
    <t>no_change</t>
  </si>
  <si>
    <t>inc_less_sales</t>
  </si>
  <si>
    <t>inc_more_birth</t>
  </si>
  <si>
    <t>Many more were born</t>
  </si>
  <si>
    <t>Animal death due to other factors [e.g. diseases, parasites, injury]</t>
  </si>
  <si>
    <t>Animal death due to malnutrition, drought, lack of feed</t>
  </si>
  <si>
    <t>dec_poor_health</t>
  </si>
  <si>
    <t>dec_death</t>
  </si>
  <si>
    <t>dec_sales_good_price</t>
  </si>
  <si>
    <t>dec_sales_distress</t>
  </si>
  <si>
    <t>dec_escape_stolen</t>
  </si>
  <si>
    <t>dec_consumed</t>
  </si>
  <si>
    <t>inc_more_acquired</t>
  </si>
  <si>
    <t>inc_received_free</t>
  </si>
  <si>
    <t>free_dist</t>
  </si>
  <si>
    <t>ls_feed</t>
  </si>
  <si>
    <t>open_pasture</t>
  </si>
  <si>
    <t>common_pasture</t>
  </si>
  <si>
    <t>self_produced</t>
  </si>
  <si>
    <t>Purchase feed or fodder at the market</t>
  </si>
  <si>
    <t>Access to veterinary services [vaccinations, treatments, spraying, advisory etc]</t>
  </si>
  <si>
    <t>Livestock diseases or injury</t>
  </si>
  <si>
    <t>feed_purchase</t>
  </si>
  <si>
    <t>access_pasture</t>
  </si>
  <si>
    <t>access_water</t>
  </si>
  <si>
    <t>vet_serv</t>
  </si>
  <si>
    <t>vet_input</t>
  </si>
  <si>
    <t>theft</t>
  </si>
  <si>
    <t>access_market</t>
  </si>
  <si>
    <t>Has your household faced any significant difficulty with livestock production over the last 3 months?</t>
  </si>
  <si>
    <t xml:space="preserve">Where do you usually access feed for your ${lsmain}?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</si>
  <si>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</si>
  <si>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</si>
  <si>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</si>
  <si>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[INSTRUCTIONS: DON'T KNOW AND REFUSED OPTIONS SHOULD BE AVOIDED AS MUCH AS POSSIBLE.]</t>
  </si>
  <si>
    <t>[INSTRUCTIONS: REFUSED OPTIONS SHOULD BE AVOIDED AS MUCH AS POSSIBLE.]</t>
  </si>
  <si>
    <t>[INSTRUCTIONS: READ OUT THE OPTIONS.]
[HINT: IF RESPONDENT IS ONLY AWAY FROM THE HOUSEHOLD FOR SHORT SEASONAL WORK (&lt;6 MONTHS) OR TRANSHUMANCE, MAKE SURE TO REFER TO THEIR HOUSEHOLD BACK WHERE THEY TYPICALLY ARE LOCATED.]</t>
  </si>
  <si>
    <t>We will now ask you some questions about fishing and aquaculture production which apply to you and anyone in your household that is involved in the capture, culture, processing or sales of fish.</t>
  </si>
  <si>
    <t xml:space="preserve">Damage and losses during transportation or difficulty accessing the market </t>
  </si>
  <si>
    <t>Lack of demand from usual traders or buyers</t>
  </si>
  <si>
    <t>Difficulties processing product other than closure of slaughterhouse [lack of access to processing inputs / equipment / etc]</t>
  </si>
  <si>
    <t>Near coastal, delta, lagoon fishing</t>
  </si>
  <si>
    <t>Offshore sea fishing</t>
  </si>
  <si>
    <t>Freshwater fishing [in lakes, reservoirs, ponds, rivers, or wetlands]</t>
  </si>
  <si>
    <t>offshore_sea</t>
  </si>
  <si>
    <t>freshwater</t>
  </si>
  <si>
    <t>access_area</t>
  </si>
  <si>
    <t>pests</t>
  </si>
  <si>
    <t>Fish pests and diseases [aquaculture]</t>
  </si>
  <si>
    <t>Access to fishing or aquaculture area [e.g. due to weather conditions]</t>
  </si>
  <si>
    <t>Fish is more difficult to find than in previous years in the same season [fishing]</t>
  </si>
  <si>
    <t>Access to other fishing or culture inputs [prices higher or not available]</t>
  </si>
  <si>
    <t>Access to labour or crew labour [prices higher or not available]</t>
  </si>
  <si>
    <t>Damage or destruction of infrastructure [ponds, cages, ports, landing sites]</t>
  </si>
  <si>
    <t>Damage or destruction of boats or gears</t>
  </si>
  <si>
    <t>damage_equip</t>
  </si>
  <si>
    <t>infrastructure</t>
  </si>
  <si>
    <t>bait_feed</t>
  </si>
  <si>
    <t>Fingerling</t>
  </si>
  <si>
    <t>fingerling</t>
  </si>
  <si>
    <t>Fishing gear [e.g. rods, hooks, nets]</t>
  </si>
  <si>
    <t>Equipment repairs [including boats] or spare parts</t>
  </si>
  <si>
    <t>Labour</t>
  </si>
  <si>
    <t>input_access</t>
  </si>
  <si>
    <t>${fish_proddif} = '1' and selected(${fish_proddif_}, 'input_access')</t>
  </si>
  <si>
    <t>How does your fish catch [capture fishery] in the last 3 months [or last harvest] compare to the same period [harvest] last year?</t>
  </si>
  <si>
    <t>Which fishing [culture] input material has your household had difficulties accessing in the last 3 months?</t>
  </si>
  <si>
    <t>What was the main fish product sold by your household in the last 3 months?</t>
  </si>
  <si>
    <t>Has your household faced any significant difficulty marketing / selling your ${fishsalesmain} in the last 3 months?</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</si>
  <si>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</si>
  <si>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t>field-list</t>
  </si>
  <si>
    <t>**Move children to less expensive schools**</t>
  </si>
  <si>
    <t>cs_crisis_consume_seed_stocks</t>
  </si>
  <si>
    <t>cs_crisis_decrease_input_exp</t>
  </si>
  <si>
    <t>**Sell a house or land**</t>
  </si>
  <si>
    <t>**Sell your last female animals**</t>
  </si>
  <si>
    <t>Now I would like to ask you about a set of questions on food consumption, referring to the *24 hours of yesterday*.</t>
  </si>
  <si>
    <t>Fruit [all]</t>
  </si>
  <si>
    <t>fcs_vegetables_days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</si>
  <si>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</si>
  <si>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t>How many days over *the last 7 days*, did members of your household consume **sugar or sweets** such as sugar, honey, jam, cakes, candy, cookies, pastries, cakes and other sweets and sugary drinks?</t>
  </si>
  <si>
    <t>rcsi_intro</t>
  </si>
  <si>
    <t>grp_rcsi</t>
  </si>
  <si>
    <t>grp_fcs</t>
  </si>
  <si>
    <t>grp_hdds</t>
  </si>
  <si>
    <t>grp_lcsi</t>
  </si>
  <si>
    <t>grp_fies</t>
  </si>
  <si>
    <t>fies_intro</t>
  </si>
  <si>
    <t>lcsi_intro</t>
  </si>
  <si>
    <t>rcsi_restrict_adult_consumpt</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</si>
  <si>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</si>
  <si>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</si>
  <si>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</si>
  <si>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</si>
  <si>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assistance</t>
  </si>
  <si>
    <t>Who provided your household with this assistance?</t>
  </si>
  <si>
    <t>select_one assist_quality</t>
  </si>
  <si>
    <t>[INSTRUCTIONS: QUALITY OF ASSISTANCE IN TERMS OF SUFFICIENT ASSISTANCE FOR PRODUCTION OR SALES DIFFICULTY TO BE OVERCOME.]</t>
  </si>
  <si>
    <t>[INSTRUCTIONS: MULTIPLE RESPONSES.]</t>
  </si>
  <si>
    <t>cash</t>
  </si>
  <si>
    <t>crop_inputs</t>
  </si>
  <si>
    <t>crop_infrastructure</t>
  </si>
  <si>
    <t>crop_knowledge</t>
  </si>
  <si>
    <t>ls_vet_service</t>
  </si>
  <si>
    <t>ls_infrastructure</t>
  </si>
  <si>
    <t>ls_knowledge</t>
  </si>
  <si>
    <t>fish_inputs</t>
  </si>
  <si>
    <t>fish_infrastructure</t>
  </si>
  <si>
    <t>fish_knowledge</t>
  </si>
  <si>
    <t>env_infra_rehab</t>
  </si>
  <si>
    <t>cold_storage</t>
  </si>
  <si>
    <t>marketing_supp</t>
  </si>
  <si>
    <t>vouchers_fair</t>
  </si>
  <si>
    <t>crop_assist</t>
  </si>
  <si>
    <t>ls_assist</t>
  </si>
  <si>
    <t>fish_assist</t>
  </si>
  <si>
    <t>rehabilitation</t>
  </si>
  <si>
    <t>sales_support</t>
  </si>
  <si>
    <t>Cash</t>
  </si>
  <si>
    <t>Vouchers or input trade fairs</t>
  </si>
  <si>
    <t>Inputs for crop and/or vegetable production [e.g. seeds, fertilizer, tools]</t>
  </si>
  <si>
    <t>Infrastructure for crop and/or vegetable production [e.g. irrigation, canal rehabilitation, pumps]</t>
  </si>
  <si>
    <t>Training &amp; technical knowledge/advice for crop production</t>
  </si>
  <si>
    <t>Livestock feed [fodder or supplementary feed]</t>
  </si>
  <si>
    <t>Veterinary services [e.g. vaccination, dips, deworming]</t>
  </si>
  <si>
    <t>Infrastructure for livestock [e.g. water points, transhumance corridors, shelter, health points]</t>
  </si>
  <si>
    <t>Training &amp; technical knowledge/advice for livestock production</t>
  </si>
  <si>
    <t>Inputs for fishing or aquaculture production</t>
  </si>
  <si>
    <t>Infrastructure for fisheries or aquaculture production [e.g. rehabilitation of port; repair of ponds]</t>
  </si>
  <si>
    <t>Training &amp; technical knowledge/advice for fisheries or aquaculture production</t>
  </si>
  <si>
    <t>Environmental or infrastructure rehabilitation [community-wide]</t>
  </si>
  <si>
    <t>Cold storage</t>
  </si>
  <si>
    <t>Marketing or sales support [e.g. public procurement]</t>
  </si>
  <si>
    <t xml:space="preserve">Cash </t>
  </si>
  <si>
    <t>Vouchers/input trade fairs</t>
  </si>
  <si>
    <t>Crop and/or vegetable production assistance</t>
  </si>
  <si>
    <t>Livestock assistance</t>
  </si>
  <si>
    <t>Fisheries and/or aquaculture assistance</t>
  </si>
  <si>
    <t>No - not received on time</t>
  </si>
  <si>
    <t>No - did not meet my needs</t>
  </si>
  <si>
    <t>No - quantity was not sufficient</t>
  </si>
  <si>
    <t>No - there was a problem with the provider</t>
  </si>
  <si>
    <t>No - there was a malfunction of the in-kind assistance provided [e.g. poor quality tools]</t>
  </si>
  <si>
    <t>assist_quality</t>
  </si>
  <si>
    <t>${need_received} != 'dk' and ${need_received} != 'ref' and ${need_received} != 'none'</t>
  </si>
  <si>
    <t>fao</t>
  </si>
  <si>
    <t>wfp</t>
  </si>
  <si>
    <t>otherun</t>
  </si>
  <si>
    <t>provider</t>
  </si>
  <si>
    <t>FAO</t>
  </si>
  <si>
    <t>WFP</t>
  </si>
  <si>
    <t>Other UN agencies</t>
  </si>
  <si>
    <t>Government</t>
  </si>
  <si>
    <t>Non-governmental/local organization</t>
  </si>
  <si>
    <t>select_multiple provider</t>
  </si>
  <si>
    <t>if(selected(., 'dk') or selected(., 'ref') or selected(., 'none'), count-selected(.) = 1, count-selected(.) &gt;= 1)</t>
  </si>
  <si>
    <t>income_sec_crop_check</t>
  </si>
  <si>
    <t>income_sec_ls_check</t>
  </si>
  <si>
    <t>income_sec_fish_check</t>
  </si>
  <si>
    <t>income_third_crop_check</t>
  </si>
  <si>
    <t>income_third_ls_check</t>
  </si>
  <si>
    <t>income_third_fish_check</t>
  </si>
  <si>
    <t>${crp_irrig_source}='6' and (${crp_main} != '777' and ${crp_main} != '888' and ${crp_main} != '999')</t>
  </si>
  <si>
    <t>not(${crp_irrig_source}='7' or ${crp_irrig_source}='8') and (${crp_main} != '777' and ${crp_main} != '888' and ${crp_main} != '999')</t>
  </si>
  <si>
    <t>${resp_agree} = '1' and (${income_main_fish_check}='1' or ${income_sec_fish_check}='1' or ${income_third_fish_check}='1')</t>
  </si>
  <si>
    <t>select_one admin1</t>
  </si>
  <si>
    <t>select_one admin2</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</si>
  <si>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</si>
  <si>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r>
      <t xml:space="preserve">[INSTRUCTIONS: IF THE RESPONDENT CONFIRMS THAT THE INCOME AMOUNT EARNED FROM THIS INCOME SOURCE OVER THE PAST 3 MONTH IS INDEED OVER </t>
    </r>
    <r>
      <rPr>
        <b/>
        <sz val="11"/>
        <color rgb="FF7030A0"/>
        <rFont val="Calibri (Body)"/>
      </rPr>
      <t>#THRESHOLD#</t>
    </r>
    <r>
      <rPr>
        <sz val="11"/>
        <color theme="0" tint="-0.34998626667073579"/>
        <rFont val="Calibri"/>
        <family val="2"/>
        <scheme val="minor"/>
      </rPr>
      <t>, CLICK ON CONTINUE. OTHERWISE, GO BACK AND CHANGE THE AMOUNT ENTERED.]</t>
    </r>
  </si>
  <si>
    <t>[INSTRUCTIONS: RECORD NUMBER OF DAYS 0 - 7. IF CONSUMED ONLY IN SMALL QUANTITY, DO NOT INCLUDE.]</t>
  </si>
  <si>
    <t>Soja</t>
  </si>
  <si>
    <t>Tomates</t>
  </si>
  <si>
    <t>Melon</t>
  </si>
  <si>
    <t>Cacao</t>
  </si>
  <si>
    <t>Café</t>
  </si>
  <si>
    <t>Comment (EN)</t>
  </si>
  <si>
    <t>Replacement (EN)</t>
  </si>
  <si>
    <t>Example(EN)</t>
  </si>
  <si>
    <t>Deterioration and losses due to storage difficulties or delays or inability to physically access markets</t>
  </si>
  <si>
    <t>Lack of demand from usual buyers/traders</t>
  </si>
  <si>
    <t xml:space="preserve">Payment delays from traders/buyers </t>
  </si>
  <si>
    <t>Difficulties processing product [lack of access to processing inputs / equipment / etc]</t>
  </si>
  <si>
    <t>Market flooded with product</t>
  </si>
  <si>
    <t>Fresh fish [any kind, including invertebrates]</t>
  </si>
  <si>
    <t>Preserved fish [including dry fish, smoked fish, fermented fish, salt fish]</t>
  </si>
  <si>
    <t>Frozen fish</t>
  </si>
  <si>
    <t>Canned fish</t>
  </si>
  <si>
    <t>Village / town administrator</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</si>
  <si>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</si>
  <si>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DO NOT ASK THIS QUESTION OUT LOUD. SELECT THE GENDER OF THE RESPONDENT.]</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</si>
  <si>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</si>
  <si>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${resp_agree} = '1' and (${income_main}='6' or ${income_sec}='6' or ${income_third}='6')</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</si>
  <si>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</si>
  <si>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**Harvest immature crops** (e.g. green maize) **to eat**</t>
  </si>
  <si>
    <t>NOTE: It might take a few minutes for the tablet to register the GPS. Wait for it to load. If it takes longer than 3 minutes, skip to the next question. You can take the GPS reading at the end of the interview.</t>
  </si>
  <si>
    <r>
      <t xml:space="preserve">(. &gt;= </t>
    </r>
    <r>
      <rPr>
        <b/>
        <sz val="11"/>
        <color rgb="FF7030A0"/>
        <rFont val="Calibri"/>
        <family val="2"/>
        <scheme val="minor"/>
      </rPr>
      <t>#age#</t>
    </r>
    <r>
      <rPr>
        <sz val="11"/>
        <color theme="1"/>
        <rFont val="Calibri"/>
        <family val="2"/>
        <scheme val="minor"/>
      </rPr>
      <t xml:space="preserve"> and . &lt;= 100) or . = 888</t>
    </r>
  </si>
  <si>
    <t>[INSTRUCTIONS: RECORD AGE IN NUMBER OF YEARS. ROUND UP TO NEAREST WHOLE NUMBER. IF THE RESPONDENT GIVES BIRTH YEAR, REPEAT THE QUESTION. ENTER 888 FOR DON'T KNOW.]</t>
  </si>
  <si>
    <t>What difficulties has your household faced in the last 3 months selling your ${fishsalesmain}?</t>
  </si>
  <si>
    <t>[INSTRUCTIONS: MULTIPLE RESPONSE. DO NOT READ THE OPTIONS.]</t>
  </si>
  <si>
    <t>Movement restrictions [sometimes producing product scarcity or price hikes]</t>
  </si>
  <si>
    <t>Groundwater</t>
  </si>
  <si>
    <t>low_prices</t>
  </si>
  <si>
    <t>assistance_quality</t>
  </si>
  <si>
    <t>Which difficulties has your household faced with fish catch and/or harvest in the last 3 months?</t>
  </si>
  <si>
    <t>Has your household faced any significant difficulty with fish catch and/or harvest in the last 3 months?</t>
  </si>
  <si>
    <t>Last year, what proportion of your ${crpmain} stock did you lose [to pests, rotting, mould, etc.] after the harvest?</t>
  </si>
  <si>
    <t xml:space="preserve">Where do you normally and mainly obtain water for the production of ${crpmain}? </t>
  </si>
  <si>
    <t>find_fish</t>
  </si>
  <si>
    <t>access_fertilize</t>
  </si>
  <si>
    <t>label::Spanish (es)</t>
  </si>
  <si>
    <t>hint::Spanish (es)</t>
  </si>
  <si>
    <t>Spanish (es)</t>
  </si>
  <si>
    <t>Label (ES)</t>
  </si>
  <si>
    <t>Comment (ES)</t>
  </si>
  <si>
    <t>Exemple (ES)</t>
  </si>
  <si>
    <t>Pesos</t>
  </si>
  <si>
    <t>Manzanas</t>
  </si>
  <si>
    <t>Replacement (ES)</t>
  </si>
  <si>
    <t>department</t>
  </si>
  <si>
    <t>departamento</t>
  </si>
  <si>
    <t>municipio</t>
  </si>
  <si>
    <t>municipality</t>
  </si>
  <si>
    <t>un año normal</t>
  </si>
  <si>
    <t>the first planting season</t>
  </si>
  <si>
    <t>la temporada de siembra de primera</t>
  </si>
  <si>
    <t>manzanas, bananas, naranjas</t>
  </si>
  <si>
    <t>berenjenas, calabacín, coliflor</t>
  </si>
  <si>
    <t>cosecha</t>
  </si>
  <si>
    <t>Arroz</t>
  </si>
  <si>
    <t>Trigo</t>
  </si>
  <si>
    <t>Mijo</t>
  </si>
  <si>
    <t>Sorgo</t>
  </si>
  <si>
    <t>Maíz</t>
  </si>
  <si>
    <t>Cebada</t>
  </si>
  <si>
    <t>Otros cereales</t>
  </si>
  <si>
    <t>Yuca</t>
  </si>
  <si>
    <t>Patatas</t>
  </si>
  <si>
    <t>Patatas dulces</t>
  </si>
  <si>
    <t>Ñames</t>
  </si>
  <si>
    <t>Zanahorias</t>
  </si>
  <si>
    <t>Otros tubérculos</t>
  </si>
  <si>
    <t>Frijoles</t>
  </si>
  <si>
    <t>Lentejas</t>
  </si>
  <si>
    <t>Guisantes</t>
  </si>
  <si>
    <t>Garbanzos</t>
  </si>
  <si>
    <t>Habas</t>
  </si>
  <si>
    <t>Otras legumbres</t>
  </si>
  <si>
    <t>Coles</t>
  </si>
  <si>
    <t>Lechuga</t>
  </si>
  <si>
    <t>Espinacas-amaranto</t>
  </si>
  <si>
    <t>Hojas de yuca/mandioca</t>
  </si>
  <si>
    <t>Hojas de patata</t>
  </si>
  <si>
    <t>Rosella / Flor de jamaica</t>
  </si>
  <si>
    <t>Hierbas verdes para ensalada (tomillo, perejil, menta, rocca, otras)</t>
  </si>
  <si>
    <t>Coliflor</t>
  </si>
  <si>
    <t>Otras verduras de hoja</t>
  </si>
  <si>
    <t>Pepino</t>
  </si>
  <si>
    <t>Calabaza</t>
  </si>
  <si>
    <t>Berenjena</t>
  </si>
  <si>
    <t>Calabacín</t>
  </si>
  <si>
    <t>Pimiento</t>
  </si>
  <si>
    <t>Cebollas</t>
  </si>
  <si>
    <t>Judías</t>
  </si>
  <si>
    <t>Arberjas</t>
  </si>
  <si>
    <t>Habas verdes</t>
  </si>
  <si>
    <t>Otras verduras</t>
  </si>
  <si>
    <t>Naranja</t>
  </si>
  <si>
    <t>Limón</t>
  </si>
  <si>
    <t>Pomelo</t>
  </si>
  <si>
    <t>Mandarinas</t>
  </si>
  <si>
    <t>Otros cítricos</t>
  </si>
  <si>
    <t>Plátano dulce / bananas</t>
  </si>
  <si>
    <t>Plátano</t>
  </si>
  <si>
    <t>Guayaba</t>
  </si>
  <si>
    <t>Piña</t>
  </si>
  <si>
    <t>Aguacate</t>
  </si>
  <si>
    <t>Sandías</t>
  </si>
  <si>
    <t>Dátiles</t>
  </si>
  <si>
    <t>Higos</t>
  </si>
  <si>
    <t>Uvas</t>
  </si>
  <si>
    <t>Aceitunas</t>
  </si>
  <si>
    <t>Albaricoques</t>
  </si>
  <si>
    <t>Cerezas</t>
  </si>
  <si>
    <t>Duraznos/ nectárinas</t>
  </si>
  <si>
    <t>Fresas</t>
  </si>
  <si>
    <t>Otras frutas</t>
  </si>
  <si>
    <t>Coco</t>
  </si>
  <si>
    <t>Cacahuates/maní</t>
  </si>
  <si>
    <t>Anacardos</t>
  </si>
  <si>
    <t>Nuez de cola</t>
  </si>
  <si>
    <t>Sésamo</t>
  </si>
  <si>
    <t>Nuez de bambara</t>
  </si>
  <si>
    <t>Almendra</t>
  </si>
  <si>
    <t>Nuez</t>
  </si>
  <si>
    <t>Otros frutos secos</t>
  </si>
  <si>
    <t>Té</t>
  </si>
  <si>
    <t>Caña de azúcar</t>
  </si>
  <si>
    <t>Girasol (plantas o semillas)</t>
  </si>
  <si>
    <t>Otros cultivos comerciales alimentarios</t>
  </si>
  <si>
    <t>Algodón</t>
  </si>
  <si>
    <t>Caucho</t>
  </si>
  <si>
    <t>Yute</t>
  </si>
  <si>
    <t>Forraje</t>
  </si>
  <si>
    <t>Tabaco</t>
  </si>
  <si>
    <t>Otros cultivos comerciales no alimentarios</t>
  </si>
  <si>
    <t>Spanish</t>
  </si>
  <si>
    <t>es</t>
  </si>
  <si>
    <t>Número o código del equipo de encuestadores</t>
  </si>
  <si>
    <t>Nombre del encuestador</t>
  </si>
  <si>
    <t>¿Está interesado en participar en esta encuesta?</t>
  </si>
  <si>
    <t xml:space="preserve">INSTRUCCIÓN GPS: Tome una medida GPS. </t>
  </si>
  <si>
    <t xml:space="preserve">Gracias por su tiempo, será descartado para la encuesta de hoy. </t>
  </si>
  <si>
    <t>Criterios de eligibilidad</t>
  </si>
  <si>
    <t>¿Cuál es su nombre?</t>
  </si>
  <si>
    <t>¿Cuál es su apellido?</t>
  </si>
  <si>
    <t>¿Qué edad tiene?</t>
  </si>
  <si>
    <t>¿Cuál es el género del encuestado?</t>
  </si>
  <si>
    <t>¿Cuál es su número de teléfono?</t>
  </si>
  <si>
    <t>¿Me podría dar un número de teléfono adicional que le pertenezca a usted, a algún familiar o algún amigo, y en el cuál pueda ser contactado?</t>
  </si>
  <si>
    <t>¿Cuál es el número telefónico adicional?</t>
  </si>
  <si>
    <t>¿Cuál es el nombre del dueño del teléfono adicional?</t>
  </si>
  <si>
    <t>¿Alguien de su hogar ha producido cultivos o criado animales para el consumo doméstico o para la venta en los últimos 12 meses, incluyendo aquellos miembros del hogar que se encuentran ausentes por trashumancia?</t>
  </si>
  <si>
    <t>INFORMACIÓN GENERAL</t>
  </si>
  <si>
    <t>¿Es usted la cabeza del hogar?</t>
  </si>
  <si>
    <t>¿Cuál es el género de la persona cabeza de hogar?</t>
  </si>
  <si>
    <t>¿Cuál es el nivel de educación de la persona cabeza de hogar?</t>
  </si>
  <si>
    <t>¿A dónde suelen ir usted y los miembros de su hogar al baño?</t>
  </si>
  <si>
    <t>¿Cuál de las siguientes opciones describe mejor su tipo de residencia?</t>
  </si>
  <si>
    <t>¿Cuántas personas hacen parte del hogar?</t>
  </si>
  <si>
    <t>¿Tiene su hogar alguno de los siguientes activos productivos?</t>
  </si>
  <si>
    <t>[ENCUESTADOR/A: ES POSIBLE SELECCIONAR MÚLTIPLES RESPUESTAS. LEA LAS OPCIONES DE RESPUESTA EN VOZ ALTA.]</t>
  </si>
  <si>
    <t>¿Tiene su hogar alguno de los siguientes medios de transporte?</t>
  </si>
  <si>
    <t>¿Cuál es el estado civil actual de la persona cabeza de hogar?</t>
  </si>
  <si>
    <t>¿Cuál es la edad de la persona cabeza de hogar?</t>
  </si>
  <si>
    <t>¿Cuál ha sido la principal fuente de ingresos de su hogar en los últimos 3 meses?</t>
  </si>
  <si>
    <t>¿Los animales y productos de origen animal que vende son también producidos por usted o alguien de su hogar?</t>
  </si>
  <si>
    <t>¿Los productos pesqueros o acuícolas que vende son también capturados o cosechados por usted o alguien de su hogar?</t>
  </si>
  <si>
    <t>¿Podría confirmar que la cantidad de ingresos que acaba de indicar es correcta?</t>
  </si>
  <si>
    <t>¿Quién maneja los ingresos que se obtienen de esta fuente?</t>
  </si>
  <si>
    <t>¿Cuál fue la segunda fuente de ingresos de su hogar en los últimos 3 meses?</t>
  </si>
  <si>
    <t>¿Los productos pesqueros o acuícolas que vende son también capturados o recolectados por usted o alguien de su hogar?</t>
  </si>
  <si>
    <t>[ENCUESTADOR/A: COMPRUEBE QUE LA RESPUESTA ESTÉ REGISTRADA EN LA MONEDA CORRECTA. ESCRIBA 888 PARA "NO SABE" Y 999 PARA "NO RESPONDE".]</t>
  </si>
  <si>
    <t>[ENCUESTADOR/A: SI LA CANTIDAD GANADA POR ESTA FUENTE DE INGRESOS EN LOS ÚLTIMOS 3 MESES ESTÁ POR ENCIMA DE #THRESHOLD# ,HAGA CLICK EN CONTINUAR. DE LO CONTRARIO, REGRESE Y CAMBIE LA CANTIDAD INGRESADA.]</t>
  </si>
  <si>
    <t>¿Cuál es el género del miembro[s] del hogar que genera[n] el ingreso de esta fuente?</t>
  </si>
  <si>
    <t>¿Cuál fue la tercera fuente de ingresos de su hogar en los últimos 3 meses?</t>
  </si>
  <si>
    <t>[ENCUESTADOR/A: SELECCIONE LAS CRISIS EXPERIMENTADAS POR EL HOGAR. ES POSIBLE SELECCIONAR MÚLTIPLES RESPUESTAS.CONSULTE CRISIS ECONÓMICAS, CRISIS EN CULTIVOS Y GANADERÍA, CRISIS INTRAFAMILIARES, PELIGROS NATURALES Y PELIGROS INDUCIDOS POR EL HOMBRE.]</t>
  </si>
  <si>
    <t>[ENCUESTADOR/A: REGISTRE EN POCAS PALABRAS LA PRINCIPAL CONSECUENCIA DE LOS CHOQUES RECIENTES. ESCRIBA 888 PARA "NO SABE" Y 999 PARA "NO RESPONDE".]</t>
  </si>
  <si>
    <t>¿Usted o alguien en su hogar se ha visto afectado por restricciones de movimiento o medidas de distanciamiento social destinadas a contener el COVID-19 en los últimos 3 meses?</t>
  </si>
  <si>
    <t xml:space="preserve">Si otros, especifique. </t>
  </si>
  <si>
    <t>PRODUCCIÓN DE CULTIVOS</t>
  </si>
  <si>
    <t>¿Cuál es el tamaño total de terreno que puede cultivar?</t>
  </si>
  <si>
    <t>[ENCUESTADOR/A: ESCRIBA EL ÁREA TOTAL QUE LE DICE EL ENCUESTADO. ESCRIBA 888 PARA "NO SABE" Y 999 PARA "NO RESPONDE". LA UNIDAD DE MEDIDA SE ESPECIFICARÁ EN LA SIGUIENTE PREGUNTA.]</t>
  </si>
  <si>
    <t>Unidad de medida para el terreno cultivado:</t>
  </si>
  <si>
    <t>ENCUESTADOR/A: LA OPCIÓN "NO HAY PRODUCCIÓN DE CULTIVOS" SE ENCUENTRA ENTRE LAS ÚLTIMAS OPCIONES AL FINAL DE LA LISTA.]</t>
  </si>
  <si>
    <t xml:space="preserve">Si otro, especifique. </t>
  </si>
  <si>
    <t>¿Usted [su comunidad] utiliza una bomba de agua para su propio sistema de riego [comunal]?</t>
  </si>
  <si>
    <t>¿Usted tiene que pagar por el derecho de uso del agua [ej. Derecho de uso, manteniemiento de infraestructura comunal, gasolina/diesel de la bomba comunal, etc.]?</t>
  </si>
  <si>
    <t>¿De dónde adquiere normalmente las semillas?</t>
  </si>
  <si>
    <t>[ENCUESTADOR/A: ES POSIBLE SELECCIONAR MÚLTIPLES RESPUESTAS.]</t>
  </si>
  <si>
    <t>[ENCUESTADOR/A: ESCRIBA LA RESPUESTA. SE ESPECIFICA LA UNIDAD DE MEDIDA EN LA SIGUIENTE PREGUNTA. ESCRIBA 888 PARA "NO SABE" Y 999 PARA "NO RESPONDE", ESTAS OPCIONES DEBEN SER UTILIZADAS SOLO EXCEPCIONALMENTE.]</t>
  </si>
  <si>
    <t>Unidad de medida para la cosecha de ${crpmain}:</t>
  </si>
  <si>
    <t>¿Cuántos kilogramos [Kgs] en cada unidad?</t>
  </si>
  <si>
    <t>[ENCUESTADOR/A: ESCRIBA LA RESPUESTA. ESCRIBA 888 PARA "NO SABE" Y 999 PARA "NO RESPONDE", ESTAS OPCIONES DEBEN SER UTILIZADAS SOLO EXCEPCIONALMENTE.]</t>
  </si>
  <si>
    <t>¿Cuántos ${crp_harvunit} de ${crpmain} (trillado) cosechó en #season ES#?</t>
  </si>
  <si>
    <t>[ENCUESTADOR/A: ES POSIBLE SELECCIONAR MÚLTIPLES RESPUESTAS.SELECCIONE LA(S) OPCIÓN(ES) QUE MEJOR SE AJUSTE(N) A LA INFORMACIÓN PROPORCIONADA POR EL ENCUESTADO.]</t>
  </si>
  <si>
    <t>[ENCUESTADOR/A: "Ningún otro cultivo" APARECE AL FINAL DE LA LISTA DE OPCIONES. SELECCIONE TODOS LOS CULTIVOS LISTADOS.]</t>
  </si>
  <si>
    <t>VENTA DE CULTIVOS</t>
  </si>
  <si>
    <t>¿Cultiva otros productos además de ${crpmain}? y en caso de hacerlo ¿Cuáles?</t>
  </si>
  <si>
    <t>¿Fue ${crpmain} el cultivo que más vendió en los *últimos 3 meses*?</t>
  </si>
  <si>
    <t>[ENCUESTADOR/A: ES POSIBLE SELECCIONAR MÚLTIPLES RESPUESTAS. SELECCIONES LA(S) OPCIÓN(ES) QUE MEJOR SE AJUSTE(N) A LA INFORMACIÓN PROPORCIONADA POR EL ENCUESTADO.]</t>
  </si>
  <si>
    <t>¿Qué dificultades ha enfrentado su hogar para vender la cosecha ${crp_sales_main} en los últimos 3 meses?</t>
  </si>
  <si>
    <t>PRODUCCIÓN ANIMAL</t>
  </si>
  <si>
    <t>Ahora me gustaría preguntarle sobre la producción de ganado/animales. Estas preguntas aplican para usted o cualquier miembro de su hogar que esté involucrado/a en la producción o venta de ganado/animales.</t>
  </si>
  <si>
    <t>¿Cuál ha sido la principal especie animal que ha criado su hogar para la alimentación y la generación de ingresos en los últimos 12 meses?</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</si>
  <si>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</si>
  <si>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[ENCUESTADOR/A: REGISTRE EL NÚMERO DE ANIMALES. ESCRIBA 888 PARA "NO SABE" Y 999 PARA "NO RESPONDE".]</t>
  </si>
  <si>
    <t>¿Por qué cambió el número de cabezas de ganado/animales?</t>
  </si>
  <si>
    <t>Cambio en ${lsmain}:</t>
  </si>
  <si>
    <t>¿Ha enfretado su hogar alguna dificultad con la producción ganadera / de animales durante los últimos 3 meses?</t>
  </si>
  <si>
    <t>¿Qué dificultades ha enfrentado su hogar con la producción ganadera/ de animales en los últimos 3 meses?</t>
  </si>
  <si>
    <t>[ENCUESTADOR/A: "No tiene otros animales" APARECE AL FINAL DE LA LISTA DE OPCIONES. SELECCIONE TODOS LOS ANIMALES QUE MENCIONA EL ENCUESTADO.]</t>
  </si>
  <si>
    <t>PRODUCCIÓN Y VENTA DE ANIMALES Y PRODUCTOS DE ORIGEN ANIMAL</t>
  </si>
  <si>
    <t>¿Cuál ha sido la principal especie animal que ha vendido su hogar en los últimos 3 meses?</t>
  </si>
  <si>
    <t>¿Qué dificultades ha enfrentado su hogar para vender ${lssalesmain} en los últimos 3 meses?</t>
  </si>
  <si>
    <t>PESCA / PRODUCCIÓN ACUÍCOLA</t>
  </si>
  <si>
    <t>¿Cómo se compara la captura/cosecha [pesca] de los últimos 3 meses [o la última cosecha] con respecto al mismo periodo del año pasado?</t>
  </si>
  <si>
    <t>¿Ha enfretado su hogar alguna dificultad considerable con la captura y/o producción acuícola en los últimos 3 meses?</t>
  </si>
  <si>
    <t>¿Qué dificultados ha enfrentado su hogar con la pesca y/o acuicultura en los últimos 3 meses?</t>
  </si>
  <si>
    <t xml:space="preserve">[ENCUESTADOR/A: ES POSIBLE SELECCIONAR MÚLTIPLES RESPUESTAS. SELECCIONES LA(S) OPCIÓN(ES) QUE MEJOR SE AJUSTE(N) A LA INFORMACIÓN PROPORCIONADA POR EL ENCUESTADO.] </t>
  </si>
  <si>
    <t>¿Qué materiales/insumos para la pesca/acuicultura han presentado dificultades de acceso en los últimos 3 meses?</t>
  </si>
  <si>
    <t xml:space="preserve">[ENCUESTADOR/A: ES POSIBLE SELECCIONAR MÚLTIPLES RESPUESTAS.] </t>
  </si>
  <si>
    <t>Si otro, especifique</t>
  </si>
  <si>
    <t>VENTA DE PRODUCTOS DE LA PESCA Y DE LA ACUICULTURA</t>
  </si>
  <si>
    <t>¿Cuál ha sido el principal producto pesquero/acuícola vendido por su hogar en los últimos 3 meses?</t>
  </si>
  <si>
    <t>¿Su hogar ha enfrentado algún dificultad significativa con la comercialización / ventas de su ${fishsalesmain} en los últimos 3 meses?</t>
  </si>
  <si>
    <t xml:space="preserve">[ENCUESTADOR/A: ES POSIBLE SELECCIONAR MÚLTIPLES RESPUESTAS. </t>
  </si>
  <si>
    <t>¿Qué dificultades ha enfrentado su hogar para vender ${fishsalesmain} en los últimos 3 meses?</t>
  </si>
  <si>
    <t>INDICADORES DE SEGURIDAD ALIMENTARIA</t>
  </si>
  <si>
    <t xml:space="preserve">Ahora me gustaría hacerle algunas preguntas sobre el consumo de alimentos, la utilización de alimentos y los mecanismos de afrontamiento. Asegúrese de utilizar el periodo de referencia correcto para cada grupo de preguntas. </t>
  </si>
  <si>
    <t>El primer conjunto de preguntas se refiere a lo experimentado por usted o los miembros de su hogar durante los últimos 30 días.</t>
  </si>
  <si>
    <t>¿Cuántas veces ha ocurrido esto?</t>
  </si>
  <si>
    <t>**Gastar sus ahorros**</t>
  </si>
  <si>
    <t>**Pedir alimentos prestados o contar con la ayuda de un familiar o amigo**</t>
  </si>
  <si>
    <t>**Vender más animales de lo usual (no reproductivos)**</t>
  </si>
  <si>
    <t>**Comprar comida a crédito o adquirir comida prestada**</t>
  </si>
  <si>
    <t>**Pedir prestado dinero**</t>
  </si>
  <si>
    <t>**Mover a los niños a una escuela menos costosa**</t>
  </si>
  <si>
    <t>**Retirar a los niños de la escuela**</t>
  </si>
  <si>
    <t>**Cosechar cultivos inmaduros para comer (ej. maíz verde)**</t>
  </si>
  <si>
    <t>**Consumir reservas de semillas que se guardarían para la próxima temporada de siembra**</t>
  </si>
  <si>
    <t>**Vender una casa o un terreno**</t>
  </si>
  <si>
    <t>**Mendigar**</t>
  </si>
  <si>
    <t>**Vender los últimos animales hembra**</t>
  </si>
  <si>
    <t>**Tuvo que migrar**</t>
  </si>
  <si>
    <t xml:space="preserve">Ahora me gustaría hacerle una serie de preguntas relacionadas con el consumo de alimentos, referidas a las *24 horas del día de ayer*. </t>
  </si>
  <si>
    <t>Describa los alimentos (comidas y meriendas) que usted o cualquier miembro del hogar comió o bebió en casa ayer (en las *24 horas de ayer*: desayuno, almuerzo, cena y meriendas).</t>
  </si>
  <si>
    <t>[ENCUESTADOR/A: SELECCIONE TODOS LOS GRUPOS DE ALIMENTOS CONSUMIDOS EN LAS 24 HORAS DE AYER COMO RESPONDE EL ENCUESTADO. ES POSIBLE SELECCIONAR MÚLTIPLES RESPUESTAS.]</t>
  </si>
  <si>
    <t>[ENCUESTADOR/A: Recuerde hacer preguntas de verificación para meriendas, comidas especiales que se les da a los niños y mujeres embarazadas, ingredientes en alimentos compuestos. Al final, pregunte por cualquier tipo de comida que no haya sido especificado.]</t>
  </si>
  <si>
    <t>Ahora me gustaría hacerle algunas preguntas sobre el consumo de alimentos y bebidas que su hogar comió y bebió en los últimos 7 días durante el día y la noche [desayuno, almuerzo, cena y entremedios].</t>
  </si>
  <si>
    <t>[ENCUESTADOR/A: ESCRIBA EL NÚMERO DE DÍAS 0 -7]</t>
  </si>
  <si>
    <t xml:space="preserve">[ENCUESTADOR/A: ESCRIBA EL NÚMERO DE DÍAS 0 -7. SI CONSUMIÓ PEQUEÑAS CANTIDADES, NO LO INCLUYA.] </t>
  </si>
  <si>
    <t>Ahora le voy a preguntar sobre el número de días en los *últimos 7 días*, en los cuales su hogar ha tomado las siguientes acciones para afrontar la falta de comida o dinero para comprar comida.</t>
  </si>
  <si>
    <t>¿Necesita su hogar asistencia para las actividades agropecuarias [incluyendo actividades agricolas, ganaderas/producción animal y pesca/acuicultura]?</t>
  </si>
  <si>
    <t>¿Cuáles son las principales necesidades de asistencia de su hogar para las actividades agropecuarias [incluidas las actividades agrícolas, ganaderas o pesqueras/acuícolas] durante los próximos 3 a 6 meses?</t>
  </si>
  <si>
    <t>[ENCUESTADOR/A: RESPUESTA MÚLTIPLE. NO LEER LAS OPCIONES.]</t>
  </si>
  <si>
    <t>¿Quién proporcionó esta asistencia a su hogar?</t>
  </si>
  <si>
    <t>¿Quedó satisfecho con la calidad de la asistencia brindada?</t>
  </si>
  <si>
    <t>[ENCUESTADOR/A: CALIDAD DE LA ASISTENCIA EN TÉRMINOS DE ASISTENCIA SUFICIENTE PARA SUPERAR LA DIFICULTAD EN LA PRODUCCIÓN O VENTA.]</t>
  </si>
  <si>
    <t>¿Ha recibido su hogar algún tipo de ayuda en los últimos 3 meses? De ser así, ¿de qué tipo?</t>
  </si>
  <si>
    <t>[ENCUESTADOR/A: ES POSIBLE SELECCIONAR MÚLTIPLES RESPUESTAS. LEA LAS OPCIONES DE RESPUESTA.]</t>
  </si>
  <si>
    <t>Sus respuestas nos ayudarán a comprender y satisfacer las necesidades de su comunidad. ¿Podemos volver a llamarle en un futuro próximo?</t>
  </si>
  <si>
    <t>¿Para que tipo de lider comunitario nos puede brindar información?</t>
  </si>
  <si>
    <t>[ENCUESTADOR/A:ES POSIBLE SELECCIONAR MÚLTIPLES RESPUESTAS.]</t>
  </si>
  <si>
    <t>Seleccione el idioma que se usó principalmente para completar la entrevista.</t>
  </si>
  <si>
    <t xml:space="preserve">Gracias por tu tiempo. La entrevista ha llegado a su fin. </t>
  </si>
  <si>
    <t>Hora de fin de la entrevista</t>
  </si>
  <si>
    <t xml:space="preserve">INSTRUCCIÓN GPS: No ha tomado la posición aún. Camine alrededor del hogar o dirijase hacia la ruta principal para intentar tomar la posición GPS. </t>
  </si>
  <si>
    <t xml:space="preserve">Registre cualquier comentario o nota acerca de esta encuesta: </t>
  </si>
  <si>
    <t>[ENCUESTADOR/A: RESPONDA LAS PREGUNTAS DEL ENCUESTADO, SI LAS HAY.]</t>
  </si>
  <si>
    <t xml:space="preserve">NOTA: Es posible que el tablet tarde algunos minutos en registrar la posición GPS. Espere a que se cargue. Si demora más de 3 minutos, pase directamente a la pregunta siguiente. Puede tomar la posición al final de la entrevista. </t>
  </si>
  <si>
    <t>[ENCUESTADOR/A: REGISTRE LA EDAD EN AÑOS. REDONDEE AL NÚMERO ENTERO MÁS CERCANO. SI EL ENCUESTADO DA SU FECHA DE NACIMIENTO, VUELVA A REPETIR LA PREGUNTA. ESCRIBA 888 PARA "NO SABE"]</t>
  </si>
  <si>
    <t>[ENCUESTADOR/A: REGISTRE EL APELLIDO DEL ENCUESTADO.ESCRIBA 999 PARA "NO RESPONDE"]</t>
  </si>
  <si>
    <t>[ENCUESTADOR/A: REGISTRE EL NOMBRE DEL ENCUESTADO.ESCRIBA 999 PARA "NO RESPONDE"]</t>
  </si>
  <si>
    <t>[PISTA: EL HOGAR ES EL ESPACIO DONDE TODOS LOS MIEMBROS VIVEN JUNTOS, COMPARTEN RECURSOS Y COMEN DE LA MISMA OLLA.]</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</si>
  <si>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</si>
  <si>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[ENCUESTADOR/A: LEA EN VOZ ALTA LAS OPCIONES. RESPUESTA ÚNICA.]
[PISTA: SI EL ENCUESTADO ESTÁ FUERA DE CASA SOLO POR TRABAJO ESTACIONAL DE CORTA DURACIÓN (&lt;6 MESES) O POR TRASHUMANCIA, HAGA REFERENCIA AL HOGAR COMO EL LUGAR AL QUE RETORNA Y DONDE VIVE HABITUALMENTE.]</t>
  </si>
  <si>
    <t>[ENCUESTADOR/A: NO LEA LA PREGUNTA EN VOZ ALTA. SELECCIONE EL GENERO DEL ENCUESTADO.]</t>
  </si>
  <si>
    <t>[OPERADOR:LA OPCIÓN "NO RESPONDE" DEBE EVITARSE EN LA MEDIDA DE LO POSIBLE.]</t>
  </si>
  <si>
    <r>
      <t xml:space="preserve">¿La </t>
    </r>
    <r>
      <rPr>
        <sz val="11"/>
        <rFont val="Calibri (Cuerpo)"/>
      </rPr>
      <t>cosecha</t>
    </r>
    <r>
      <rPr>
        <sz val="11"/>
        <rFont val="Calibri"/>
        <family val="2"/>
        <scheme val="minor"/>
      </rPr>
      <t xml:space="preserve"> que vende es también producida por usted o alguien de su hogar?</t>
    </r>
  </si>
  <si>
    <t>[OPERADOR: LAS OPCIONES "NO SABE" Y "NO RESPONDE" DEBEN EVITARSE EN LA MEDIDA DE LO POSIBLE.]</t>
  </si>
  <si>
    <t>[OPERADOR: LA OPCIÓN "NO RESPONDE" DEBE EVITARSE EN LA MEDIDA DE LO POSIBLE.]</t>
  </si>
  <si>
    <t>[ENCUESTADOR/A: REGISTRE EL NÚMERO DE MIEMBROS. ESCRIBA 888 PARA "NO SABE" Y 999 PARA "NO RESPONDE"]
[PISTA: PARA SER PARTE DEL MISMO HOGAR, LOS MIEMBROS DEBEN VIVIR BAJO EL MISMO TECHO, COMPARTIR RECURSOS Y COMER DE LA MISMA OLLA. ]</t>
  </si>
  <si>
    <r>
      <t>Si el hogar se vio afectado recientemente por un impacto importante objeto de esta evaluación [</t>
    </r>
    <r>
      <rPr>
        <sz val="11"/>
        <color theme="0" tint="-0.34998626667073579"/>
        <rFont val="Calibri (Cuerpo)"/>
      </rPr>
      <t>por ejemplo, un terremoto</t>
    </r>
    <r>
      <rPr>
        <sz val="11"/>
        <color theme="0" tint="-0.34998626667073579"/>
        <rFont val="Calibri"/>
        <family val="2"/>
        <scheme val="minor"/>
      </rPr>
      <t>], con sus propias palabras, ¿Cuáles cree que son las consecuencias [esperadas] para su hogar?</t>
    </r>
  </si>
  <si>
    <t>Normalmente, ¿Cuál es la fuente principal de donde obtiene el agua para la producción de su ${crpmain}?</t>
  </si>
  <si>
    <t>¿Cuál ha sido el principal producto que ha vendido en los *últimos 3 meses*?</t>
  </si>
  <si>
    <t>¿En dónde accede a comida para su ${lsmain} habitualmente?</t>
  </si>
  <si>
    <t>¿Cuántos ${lsmain} tenía en el mismo período del año pasado?</t>
  </si>
  <si>
    <t>¿Cuántos ${lsmain} tiene ahora?</t>
  </si>
  <si>
    <t>¿Tiene otros animales aparte de ${lsmain}, cuáles?</t>
  </si>
  <si>
    <t>¿Ha enfretado su hogar alguna dificultad con la comercialización de ${lssalesmain} durante los últimos 3 meses?</t>
  </si>
  <si>
    <r>
      <t xml:space="preserve">Durante los *últimos 30 días*, ¿hubo algún momento en el que usted u otros miembros de su hogar </t>
    </r>
    <r>
      <rPr>
        <u/>
        <sz val="11"/>
        <rFont val="Calibri (Cuerpo)"/>
      </rPr>
      <t>han estado preocupados por no tener suficientes alimentos para comer</t>
    </r>
    <r>
      <rPr>
        <sz val="11"/>
        <rFont val="Calibri"/>
        <family val="2"/>
        <scheme val="minor"/>
      </rPr>
      <t xml:space="preserve"> debido a la falta de dinero u otros recursos?</t>
    </r>
  </si>
  <si>
    <r>
      <rPr>
        <sz val="11"/>
        <color theme="0" tint="-0.34998626667073579"/>
        <rFont val="Calibri (Cuerpo)"/>
      </rPr>
      <t>**Enviar miembros del hogar a comer a otro lugar</t>
    </r>
    <r>
      <rPr>
        <sz val="11"/>
        <color theme="0" tint="-0.34998626667073579"/>
        <rFont val="Calibri"/>
        <family val="2"/>
        <scheme val="minor"/>
      </rPr>
      <t>**</t>
    </r>
  </si>
  <si>
    <r>
      <rPr>
        <sz val="11"/>
        <color theme="0" tint="-0.34998626667073579"/>
        <rFont val="Calibri (Cuerpo)"/>
      </rPr>
      <t>**Vender activos productivos o medios de transporte (</t>
    </r>
    <r>
      <rPr>
        <sz val="11"/>
        <color theme="0" tint="-0.34998626667073579"/>
        <rFont val="Calibri"/>
        <family val="2"/>
        <scheme val="minor"/>
      </rPr>
      <t>máquina de coser, carreta, bicicleta, automovil, etc)**</t>
    </r>
  </si>
  <si>
    <r>
      <rPr>
        <sz val="11"/>
        <color theme="0" tint="-0.34998626667073579"/>
        <rFont val="Calibri (Cuerpo)"/>
      </rPr>
      <t>**Reducir los gastos en salud</t>
    </r>
    <r>
      <rPr>
        <sz val="11"/>
        <color theme="0" tint="-0.34998626667073579"/>
        <rFont val="Calibri"/>
        <family val="2"/>
        <scheme val="minor"/>
      </rPr>
      <t xml:space="preserve"> (incluyendo medicamentos)**</t>
    </r>
  </si>
  <si>
    <r>
      <rPr>
        <sz val="11"/>
        <color theme="0" tint="-0.34998626667073579"/>
        <rFont val="Calibri (Cuerpo)"/>
      </rPr>
      <t>**Disminuir los gastos en fertilizantes, pesticidas, forrajes, alimento para animales, atención veterinaria, et</t>
    </r>
    <r>
      <rPr>
        <sz val="11"/>
        <color theme="0" tint="-0.34998626667073579"/>
        <rFont val="Calibri"/>
        <family val="2"/>
        <scheme val="minor"/>
      </rPr>
      <t>c,**</t>
    </r>
  </si>
  <si>
    <r>
      <rPr>
        <sz val="11"/>
        <color theme="0" tint="-0.34998626667073579"/>
        <rFont val="Calibri (Cuerpo)"/>
      </rPr>
      <t>**Participar en actividades ilegales o denigrantes</t>
    </r>
    <r>
      <rPr>
        <sz val="11"/>
        <color theme="0" tint="-0.34998626667073579"/>
        <rFont val="Calibri"/>
        <family val="2"/>
        <scheme val="minor"/>
      </rPr>
      <t xml:space="preserve"> (robo, prostitución)**</t>
    </r>
  </si>
  <si>
    <r>
      <t>¿Durante cuántos días en los *últimos 7 días* consumió usted o su hogar **</t>
    </r>
    <r>
      <rPr>
        <sz val="11"/>
        <color theme="0" tint="-0.34998626667073579"/>
        <rFont val="Calibri (Cuerpo)"/>
      </rPr>
      <t>almidónes</t>
    </r>
    <r>
      <rPr>
        <sz val="11"/>
        <color theme="0" tint="-0.34998626667073579"/>
        <rFont val="Calibri"/>
        <family val="2"/>
        <scheme val="minor"/>
      </rPr>
      <t xml:space="preserve"> (carbohidratos), raices y tubérculos** como arroz, maíz, pasta, pan, tortillas de maíz o de trigo, sorgo, mijo, patata, ñame, yuca, boniato blanco?</t>
    </r>
  </si>
  <si>
    <r>
      <t>¿Durante cuántos días en los *últimos 7 días* consumió usted o su hogar **</t>
    </r>
    <r>
      <rPr>
        <sz val="11"/>
        <color theme="0" tint="-0.34998626667073579"/>
        <rFont val="Calibri (Cuerpo)"/>
      </rPr>
      <t>carne, huevos o pescado**</t>
    </r>
    <r>
      <rPr>
        <sz val="11"/>
        <color theme="0" tint="-0.34998626667073579"/>
        <rFont val="Calibri"/>
        <family val="2"/>
        <scheme val="minor"/>
      </rPr>
      <t xml:space="preserve"> [cualquier tipo de carne o pescado incluyendo insectos, aves, de caza, comida de mar o visceras]?</t>
    </r>
  </si>
  <si>
    <r>
      <t>¿Durante cuántos días en los *últimos 7 días* consumió usted o su hogar **</t>
    </r>
    <r>
      <rPr>
        <sz val="11"/>
        <color theme="0" tint="-0.34998626667073579"/>
        <rFont val="Calibri (Cuerpo)"/>
      </rPr>
      <t>azucar o dulces**</t>
    </r>
    <r>
      <rPr>
        <sz val="11"/>
        <color theme="0" tint="-0.34998626667073579"/>
        <rFont val="Calibri"/>
        <family val="2"/>
        <scheme val="minor"/>
      </rPr>
      <t xml:space="preserve"> como azucar, miel, mermelada, pasteles, dulces, galletas, pastelería, pasteles y otros dulces y bebidas azucaradas?</t>
    </r>
  </si>
  <si>
    <r>
      <t>¿Durante cuántos días en los *últimos 7 días* consumió usted o su hogar **</t>
    </r>
    <r>
      <rPr>
        <sz val="11"/>
        <color theme="0" tint="-0.34998626667073579"/>
        <rFont val="Calibri (Cuerpo)"/>
      </rPr>
      <t>aceite / grasa / mantequilla**</t>
    </r>
    <r>
      <rPr>
        <sz val="11"/>
        <color theme="0" tint="-0.34998626667073579"/>
        <rFont val="Calibri"/>
        <family val="2"/>
        <scheme val="minor"/>
      </rPr>
      <t xml:space="preserve"> como aceite vegetal, aceite de palma, aceite de maní, margarina, otras grasas/aceites?</t>
    </r>
  </si>
  <si>
    <r>
      <t>¿Durante cuántos días en los *últimos 7 días* consumió usted o su hogar **</t>
    </r>
    <r>
      <rPr>
        <sz val="11"/>
        <color theme="0" tint="-0.34998626667073579"/>
        <rFont val="Calibri (Cuerpo)"/>
      </rPr>
      <t>especias o condimentos**</t>
    </r>
    <r>
      <rPr>
        <sz val="11"/>
        <color theme="0" tint="-0.34998626667073579"/>
        <rFont val="Calibri"/>
        <family val="2"/>
        <scheme val="minor"/>
      </rPr>
      <t xml:space="preserve"> como té, café, cacao, sal, ajo, especias, levadura, carne de pescado como condimento o pequeñas cantidades de </t>
    </r>
    <r>
      <rPr>
        <sz val="11"/>
        <color theme="0" tint="-0.34998626667073579"/>
        <rFont val="Calibri (Cuerpo)"/>
      </rPr>
      <t>té o café con leche</t>
    </r>
    <r>
      <rPr>
        <sz val="11"/>
        <color theme="0" tint="-0.34998626667073579"/>
        <rFont val="Calibri"/>
        <family val="2"/>
        <scheme val="minor"/>
      </rPr>
      <t xml:space="preserve"> ?</t>
    </r>
  </si>
  <si>
    <r>
      <t>¿Durante cuántos días en los *últimos 7 días* consumió usted o su hogar **</t>
    </r>
    <r>
      <rPr>
        <sz val="11"/>
        <color theme="0" tint="-0.34998626667073579"/>
        <rFont val="Calibri (Cuerpo)"/>
      </rPr>
      <t>legumbres y nueces como</t>
    </r>
    <r>
      <rPr>
        <sz val="11"/>
        <color theme="0" tint="-0.34998626667073579"/>
        <rFont val="Calibri"/>
        <family val="2"/>
        <scheme val="minor"/>
      </rPr>
      <t xml:space="preserve"> fríjoles, lentejas, caupí, soja, gandules y maní u otras nueces**?</t>
    </r>
  </si>
  <si>
    <r>
      <t>¿Durante cuántos días en los *últimos 7 días* consumió usted o su hogar leche fresca, leche agria, yogurt, queso u otro **</t>
    </r>
    <r>
      <rPr>
        <sz val="11"/>
        <color theme="0" tint="-0.34998626667073579"/>
        <rFont val="Calibri (Cuerpo)"/>
      </rPr>
      <t>producto lácteo**</t>
    </r>
    <r>
      <rPr>
        <sz val="11"/>
        <color theme="0" tint="-0.34998626667073579"/>
        <rFont val="Calibri"/>
        <family val="2"/>
        <scheme val="minor"/>
      </rPr>
      <t>? [excluyendo margarina/mantequilla or pequeñas cantidades de leche para el té / café]?</t>
    </r>
  </si>
  <si>
    <r>
      <t>En los *últimos 7 días*, durante cuántos días tuvo su hogar que **</t>
    </r>
    <r>
      <rPr>
        <sz val="11"/>
        <color theme="0" tint="-0.34998626667073579"/>
        <rFont val="Calibri (Cuerpo)"/>
      </rPr>
      <t>depender de alimentos menos preferidos o menos costosos**</t>
    </r>
    <r>
      <rPr>
        <sz val="11"/>
        <color theme="0" tint="-0.34998626667073579"/>
        <rFont val="Calibri"/>
        <family val="2"/>
        <scheme val="minor"/>
      </rPr>
      <t xml:space="preserve"> debido a la falta de alimentos/dinero?</t>
    </r>
  </si>
  <si>
    <r>
      <t>En los *últimos 7 días*, durante cuántos días tuvo su hogar que **</t>
    </r>
    <r>
      <rPr>
        <sz val="11"/>
        <color theme="0" tint="-0.34998626667073579"/>
        <rFont val="Calibri (Cuerpo)"/>
      </rPr>
      <t>pedir comida prestada o depender de la ayuda de un amigo o pariente**</t>
    </r>
    <r>
      <rPr>
        <sz val="11"/>
        <color theme="0" tint="-0.34998626667073579"/>
        <rFont val="Calibri"/>
        <family val="2"/>
        <scheme val="minor"/>
      </rPr>
      <t xml:space="preserve"> debido a la falta de alimentos o dinero para comprar comida?</t>
    </r>
  </si>
  <si>
    <r>
      <t>En los *últimos 7 días*, durante cuántos días tuvo su hogar que **</t>
    </r>
    <r>
      <rPr>
        <sz val="11"/>
        <color theme="0" tint="-0.34998626667073579"/>
        <rFont val="Calibri (Cuerpo)"/>
      </rPr>
      <t>reducir el número de comidas consumidas en el día**</t>
    </r>
    <r>
      <rPr>
        <sz val="11"/>
        <color theme="0" tint="-0.34998626667073579"/>
        <rFont val="Calibri"/>
        <family val="2"/>
        <scheme val="minor"/>
      </rPr>
      <t xml:space="preserve"> debido a la falta de alimentos o dinero para comprar comida?</t>
    </r>
  </si>
  <si>
    <r>
      <t>En los *últimos 7 días*, durante cuántos días tuvo su hogar que **</t>
    </r>
    <r>
      <rPr>
        <sz val="11"/>
        <color theme="0" tint="-0.34998626667073579"/>
        <rFont val="Calibri (Cuerpo)"/>
      </rPr>
      <t>limitar los tamaños de las porciones en las comidas**</t>
    </r>
    <r>
      <rPr>
        <sz val="11"/>
        <color theme="0" tint="-0.34998626667073579"/>
        <rFont val="Calibri"/>
        <family val="2"/>
        <scheme val="minor"/>
      </rPr>
      <t xml:space="preserve"> debido a la falta de alimentos o dinero para comprar comida?</t>
    </r>
  </si>
  <si>
    <r>
      <t>En los *últimos 7 días*, durante cuántos días tuvo su hogar que **</t>
    </r>
    <r>
      <rPr>
        <sz val="11"/>
        <color theme="0" tint="-0.34998626667073579"/>
        <rFont val="Calibri (Cuerpo)"/>
      </rPr>
      <t>restringir el consumo de los adultos para que los niños/as pudieran comer**</t>
    </r>
    <r>
      <rPr>
        <sz val="11"/>
        <color theme="0" tint="-0.34998626667073579"/>
        <rFont val="Calibri"/>
        <family val="2"/>
        <scheme val="minor"/>
      </rPr>
      <t>, debido a la falta de alimentos o dinero para comprar comida?</t>
    </r>
  </si>
  <si>
    <t xml:space="preserve">Deje vacio si no hay comentarios. </t>
  </si>
  <si>
    <t>[ENCUESTADOR/A: ESCRIBA LA RESPUESTA EN POCAS PALABRAS. ESCRIBA 888 PARA "NO SE" Y 999 PARA "NO RESPONDE".]</t>
  </si>
  <si>
    <t>[ENCUESTADOR/A: INSISTA EN EL PRINCIPAL PRODUCTO MENCIONADO.]</t>
  </si>
  <si>
    <t>[PISTA: INSISTA EN EL PRINCIPAL PRODUCTO MENCIONADO.]</t>
  </si>
  <si>
    <t>[ENCUESTADOR/A: NO LEA LAS OPCIONES.]</t>
  </si>
  <si>
    <t>Equipo de encuestadores 1</t>
  </si>
  <si>
    <t>Equipo de encuestadores 2</t>
  </si>
  <si>
    <t>Equipo de encuestadores 3</t>
  </si>
  <si>
    <t>Equipo de encuestadores 4</t>
  </si>
  <si>
    <t>nombre de encuestador 1</t>
  </si>
  <si>
    <t>nombre de encuestador 2</t>
  </si>
  <si>
    <t>nombre de encuestador 3</t>
  </si>
  <si>
    <t>SI</t>
  </si>
  <si>
    <t>NO SABE</t>
  </si>
  <si>
    <t>NO RESPONDE</t>
  </si>
  <si>
    <t>continuar</t>
  </si>
  <si>
    <t>Si</t>
  </si>
  <si>
    <t>Inglés</t>
  </si>
  <si>
    <t>Español</t>
  </si>
  <si>
    <t>Masculino</t>
  </si>
  <si>
    <t>Femenino</t>
  </si>
  <si>
    <t>SI - mio</t>
  </si>
  <si>
    <t xml:space="preserve">Sí - producción de cultivos </t>
  </si>
  <si>
    <t>Sí - producción ganadería/ animales</t>
  </si>
  <si>
    <t xml:space="preserve">Sí - ambas, producción de cultivos y animal </t>
  </si>
  <si>
    <t>Ninguno o no completó educación primaria</t>
  </si>
  <si>
    <t>Completó educación primaria</t>
  </si>
  <si>
    <t>Completó educación secundaria</t>
  </si>
  <si>
    <t xml:space="preserve">Completó educación universitaria / superior </t>
  </si>
  <si>
    <t>Solo educación educación religiosa</t>
  </si>
  <si>
    <t>Grifo/tubería privada (en el domicilio)</t>
  </si>
  <si>
    <t>Grifo/tubería pública</t>
  </si>
  <si>
    <t>Pozo cubierto</t>
  </si>
  <si>
    <t>Agua embotellada</t>
  </si>
  <si>
    <t>Otra fuente limpia/segura</t>
  </si>
  <si>
    <t>Río</t>
  </si>
  <si>
    <t>Pozo descubierto</t>
  </si>
  <si>
    <t>Agua de manantial</t>
  </si>
  <si>
    <t>Canal u otras aguas superficiales [ej: canales, estanques, represas]</t>
  </si>
  <si>
    <t>Otra fuente no segura</t>
  </si>
  <si>
    <t>Letrina con descarga o inodoro con agua</t>
  </si>
  <si>
    <t>Letrina tradicional (sin agua)</t>
  </si>
  <si>
    <t>Hoyo abierto [agujero en el suelo para excrementos, sin agua, techo y o pared]</t>
  </si>
  <si>
    <t>Letrina comunitaria [con o sin agua]</t>
  </si>
  <si>
    <t>Ninguno, arbusto</t>
  </si>
  <si>
    <t>Vela</t>
  </si>
  <si>
    <t>Lámpara de gasolina</t>
  </si>
  <si>
    <t>Lámpara con baterías</t>
  </si>
  <si>
    <t>Otro [sin suministro eléctrico en la casa]</t>
  </si>
  <si>
    <t>Paneles solares</t>
  </si>
  <si>
    <t>Residente permanente - lleva más de dos años viviendo en su pueblo / ciudad y ésta es la que considera su residencia habitual</t>
  </si>
  <si>
    <t>Migrante reciente no forzado - llevas menos de dos años viviendo en tu actual lugar de residencia y te has trasladado allí voluntariamente por motivos de trabajo / familia u otros motivos que no están relacionados con el conflicto o la catástrofe natural</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</si>
  <si>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</si>
  <si>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Desplazado interno [IDP] - se vio obligado a huir de su pueblo o ciudad a causa de un conflicto o una catástrofe natural y ahora es un desplazado interno en su lugar de residencia actual </t>
  </si>
  <si>
    <t>Refugiado - se vio obligado a huir de su país a causa de un conflicto o una catástrofe natural y ahora es un refugiado en su lugar de residencia actual</t>
  </si>
  <si>
    <t>Camión</t>
  </si>
  <si>
    <t>Maquinaria de cultivo (tractor, otro)</t>
  </si>
  <si>
    <t>Máquina de coser</t>
  </si>
  <si>
    <t>Otras máquinas productivas</t>
  </si>
  <si>
    <t>Ningúna máquina porductiva</t>
  </si>
  <si>
    <t>Bicicleta</t>
  </si>
  <si>
    <t>Auto</t>
  </si>
  <si>
    <t>Furgoneta o camion pequeño</t>
  </si>
  <si>
    <t>Otro vehiculo motorizado</t>
  </si>
  <si>
    <t>Ninguno de los anteriores</t>
  </si>
  <si>
    <t>Soltero / nunca se ha casado</t>
  </si>
  <si>
    <t>Casado</t>
  </si>
  <si>
    <t>Separado</t>
  </si>
  <si>
    <t>Divorciado</t>
  </si>
  <si>
    <t>Viudo</t>
  </si>
  <si>
    <t>Menos de 18 años</t>
  </si>
  <si>
    <t xml:space="preserve">18 a 40 </t>
  </si>
  <si>
    <t xml:space="preserve">41 a 65 </t>
  </si>
  <si>
    <t>Por encima de 65 años</t>
  </si>
  <si>
    <t>Equipamiento para procesar (ej. Trituradora, molino, prensa para aceite)</t>
  </si>
  <si>
    <t>Motocicleta/scooter</t>
  </si>
  <si>
    <t>Carreta (tracción animal</t>
  </si>
  <si>
    <t>Bote / canoa</t>
  </si>
  <si>
    <t>Producción y venta de cultivos básicos</t>
  </si>
  <si>
    <t xml:space="preserve">Producción y venta de vegetales o frutas </t>
  </si>
  <si>
    <t>Producción y venta de cultivos comerciales</t>
  </si>
  <si>
    <t>Producción y venta de animales y productos de origen animal</t>
  </si>
  <si>
    <t xml:space="preserve">Producción y venta de pescado </t>
  </si>
  <si>
    <t>Salario diario en granjas y otros empleos ocasionales en el sector agrícola (jornal)</t>
  </si>
  <si>
    <t>Empleo estable en el sector agrícola</t>
  </si>
  <si>
    <t>Empleo independiente no agrícola o profesional calificado (doctor, arquitecto, abogado, restaurante)</t>
  </si>
  <si>
    <t>Salario diario y otros empleos ocasionales no agrícolas</t>
  </si>
  <si>
    <t>Empleo estable en sectores distintos al agrícola</t>
  </si>
  <si>
    <t>Empleo público</t>
  </si>
  <si>
    <t>Ingreso no proveniente del trabajo / Caridad</t>
  </si>
  <si>
    <t>Ingreso no proveniente del trabajo /Transferencia social, pensión, ayuda humanitaria</t>
  </si>
  <si>
    <t>Ingreso no proveniente del trabajo / Remesas</t>
  </si>
  <si>
    <t xml:space="preserve">)ngreso no proveniente del trabajo / Ingresos por otras rentas </t>
  </si>
  <si>
    <t>Producción y venta de productos de la colmena</t>
  </si>
  <si>
    <t>Recolección y venta de recursos naturales (incluyendo productos forestales o arbustivos)</t>
  </si>
  <si>
    <t>Comercio agrícola EXCLUYENDO productores (formal e informal)</t>
  </si>
  <si>
    <t xml:space="preserve">Sin ingresos en los últimos 3 meses y ha hecho uso de ahorros o deuda exclusivamente </t>
  </si>
  <si>
    <t>Ambos</t>
  </si>
  <si>
    <t>Miembro(s) masculino(s) del hogar</t>
  </si>
  <si>
    <t>Miembro(s) femenino(s) del hogar</t>
  </si>
  <si>
    <t>Ambos miembro(s) femenino(s) y masculino(s)</t>
  </si>
  <si>
    <t>Un poco mayor</t>
  </si>
  <si>
    <t>El mismo</t>
  </si>
  <si>
    <t>Un poco menor</t>
  </si>
  <si>
    <t>Mucho menor [menos de la mitad]</t>
  </si>
  <si>
    <t>Mucho mayor [aumento mayor al 50%]</t>
  </si>
  <si>
    <t>No tuvo un segundo ingreso en los últimos 3 meses</t>
  </si>
  <si>
    <t>No tuvo un tercer ingreso en los últimos 3 meses</t>
  </si>
  <si>
    <t>Sin afectación</t>
  </si>
  <si>
    <t>Enfermedad, accidente o muerte de miembro[s] del hogar [enfermedad del proveedor  económico de la familia/gastos médicos inusualmente altos/gastos funerarios/muerte del proveedor económico de la familia]</t>
  </si>
  <si>
    <t>Pérdida de empleo u oportunidades laborales [aplíca principalmente para trabajo por dias]</t>
  </si>
  <si>
    <t>Otros impactos dentro del hogar</t>
  </si>
  <si>
    <t>Precios de los alimentos mucho más altos de lo habitual</t>
  </si>
  <si>
    <t>Precios de combustibles mucho más altos de lo usual</t>
  </si>
  <si>
    <t>Eventos externos [restricciones por COVID-19, inseguridad, daños a la infrastructura, etc.] que impiden la continuación del trabajo o negocio</t>
  </si>
  <si>
    <t>Otras afectaciones económicas</t>
  </si>
  <si>
    <t>Brote de plagas</t>
  </si>
  <si>
    <t>Enfermedad en plantas</t>
  </si>
  <si>
    <t xml:space="preserve">Enfermedad o muerte que afecta a muchos animales </t>
  </si>
  <si>
    <t>Falta de acceso a pastos [a causa del conflicto/ daño a la infraestructura / restricciones por  COVID-19]</t>
  </si>
  <si>
    <t>Otras afectaciones en la agricultura y ganadería</t>
  </si>
  <si>
    <t>Bajas temperaturas o granizadas</t>
  </si>
  <si>
    <t xml:space="preserve">Inundación, desbordamiento de ríos o costas, erosión fluvial </t>
  </si>
  <si>
    <t>Huracán / Ciclón / Tornado</t>
  </si>
  <si>
    <t>Sequía / afectación de cultivo por exceso de calor</t>
  </si>
  <si>
    <t>Terremoto</t>
  </si>
  <si>
    <t>Deslizamiento de tierra</t>
  </si>
  <si>
    <t>Incendio natural/forestal</t>
  </si>
  <si>
    <t>Otro peligro natural</t>
  </si>
  <si>
    <t>Violencia e inseguridad/ conflicto</t>
  </si>
  <si>
    <t>Robos de activos para la producción [tierra / ganado / herramientas / etc]</t>
  </si>
  <si>
    <t>Incendios provocados por el hombre</t>
  </si>
  <si>
    <t>Otro peligro causado por el hombre</t>
  </si>
  <si>
    <t xml:space="preserve">Cierre de fronteras internacionales [afectando las compras de insumos importados o la venta de bienes para la exportación o trashumancia] </t>
  </si>
  <si>
    <t>Obligación de permanecer en casa</t>
  </si>
  <si>
    <t>Prohibición de reuniones</t>
  </si>
  <si>
    <t>Cierre de procesadoras de alimentos[centros de beneficio animal/ cooperativas lácteas/ etc] o restaurantes</t>
  </si>
  <si>
    <t>Otro [especificar]</t>
  </si>
  <si>
    <t>No afectado por las restricciones</t>
  </si>
  <si>
    <t>Restricciones a la movilidad de mercancías [que a veces provocan escasez de productos o aumento de precios]</t>
  </si>
  <si>
    <t>Cierre de mercado de alimentos u otros negocios</t>
  </si>
  <si>
    <t>Toques de queda</t>
  </si>
  <si>
    <t>Cierre de escuelas</t>
  </si>
  <si>
    <t>Hectáreas</t>
  </si>
  <si>
    <t>Metros cuadrados</t>
  </si>
  <si>
    <t>Pies cuadrados</t>
  </si>
  <si>
    <t>Normalmente no produce durante está temporada</t>
  </si>
  <si>
    <t>No pudo producir (por difícultades, por ejemplo)</t>
  </si>
  <si>
    <t>7)NO SABE</t>
  </si>
  <si>
    <t>Agua lluvia</t>
  </si>
  <si>
    <t>Agua subterranea</t>
  </si>
  <si>
    <t>Agua natural superficial [río / lago / arroyo / estanque / etc.]</t>
  </si>
  <si>
    <t>Punto de agua construido [canal / presa / etc.]</t>
  </si>
  <si>
    <t>Sistema de abastecimiento de agua público [ej. agua de grifo]</t>
  </si>
  <si>
    <t>No, todo funciona por gravedad</t>
  </si>
  <si>
    <t>Si, hay una bomba comunal que funciona con diesel/gasolina</t>
  </si>
  <si>
    <t>Si, hay una bomba comunal que funciona manualmente</t>
  </si>
  <si>
    <t>Si, hay una bomba manual que funciona en mi predio</t>
  </si>
  <si>
    <t>Si, hay una bomba que funciona con diesel/gasolina en mi predio</t>
  </si>
  <si>
    <t xml:space="preserve">NO RESPONDE </t>
  </si>
  <si>
    <t>Producción propia</t>
  </si>
  <si>
    <t>Mercado local o tienda/vendedor de agroinsumos</t>
  </si>
  <si>
    <t>Empresa privada de semillas</t>
  </si>
  <si>
    <t>ONG</t>
  </si>
  <si>
    <t>Banco de semillas comunitario / redes de agricultores / organización de productores / etc.</t>
  </si>
  <si>
    <t>Gobierno [ej. Ministerio de Agricultura]</t>
  </si>
  <si>
    <t>Familiares o amigos</t>
  </si>
  <si>
    <t>Otro</t>
  </si>
  <si>
    <t>Kilogramos [Kgs]</t>
  </si>
  <si>
    <t>Toneladas</t>
  </si>
  <si>
    <t>Onzas</t>
  </si>
  <si>
    <t>Libras</t>
  </si>
  <si>
    <t>Costales/bolsas</t>
  </si>
  <si>
    <t>Cajas</t>
  </si>
  <si>
    <t>Manojos / fajos /bultos</t>
  </si>
  <si>
    <t>Paquetes</t>
  </si>
  <si>
    <t>Otro (especifique)</t>
  </si>
  <si>
    <t>Acceso a mano de obra o mano de obra adicional</t>
  </si>
  <si>
    <t>Erosión del suelo</t>
  </si>
  <si>
    <t>Enfermedad del cultivo</t>
  </si>
  <si>
    <t>Brote de plagas [incluyendo aves]</t>
  </si>
  <si>
    <t>Pastoreo de animales sin control</t>
  </si>
  <si>
    <t>Acceso a terreno</t>
  </si>
  <si>
    <t>Acceso a fertilizantes [no disponible en el mercado o los precios son muy altos]</t>
  </si>
  <si>
    <t>Acceso a semillas de calidad</t>
  </si>
  <si>
    <t>Acceso a suficientes semillas</t>
  </si>
  <si>
    <t>Acceso a pesticidas</t>
  </si>
  <si>
    <t>Acceso a maquinaria, herramientas o animales para arar</t>
  </si>
  <si>
    <t>Acceso a combustible o electricidad para alimentar equipos agrícolas</t>
  </si>
  <si>
    <t>Insuficiente agua para el riego o poca lluvia</t>
  </si>
  <si>
    <t>Demasiada irrigación / agua</t>
  </si>
  <si>
    <t>Acceso a crédito</t>
  </si>
  <si>
    <t>1)Ninguna</t>
  </si>
  <si>
    <t>2)Un poco</t>
  </si>
  <si>
    <t>3)Una parte importante, pero menos de la mitad</t>
  </si>
  <si>
    <t>4)La mayoría [la mitad o más]</t>
  </si>
  <si>
    <t>5)Casi toda</t>
  </si>
  <si>
    <t>6)Toda</t>
  </si>
  <si>
    <t>8)NO RESPONDE</t>
  </si>
  <si>
    <t>Altos costos de transporte u otros costos de comercialización</t>
  </si>
  <si>
    <t>Daños y pérdidas debido a dificultades con el almacenamiento y/o dificultades accediendo al mercado [ej. inseguridad, mala infraestructura, etc.]</t>
  </si>
  <si>
    <t>Poca demanda de los comerciantes o compradores</t>
  </si>
  <si>
    <t>Retraso en los pagos de parte de comerciantes o compradores</t>
  </si>
  <si>
    <t>Bajos precios de venta [ej. comparado con los precios de insumos / inflación]</t>
  </si>
  <si>
    <t>Dificultades procesando los productos [falta de insumos / equipo de procesamiento]</t>
  </si>
  <si>
    <t>Mercado saturado del mismo producto</t>
  </si>
  <si>
    <t>Bovinos [vaca / ternero / yak / búfalo]</t>
  </si>
  <si>
    <t>Cabras</t>
  </si>
  <si>
    <t>Ovejas</t>
  </si>
  <si>
    <t>Porcinos [cerdo/ jabalí]</t>
  </si>
  <si>
    <t>Equinos [burro / caballo]</t>
  </si>
  <si>
    <t>Pequeños mamíferos domesticados [conejos / cuyes / conejillo de indias / etc.]</t>
  </si>
  <si>
    <t>Aves de corral [pollos / codornices / pavo / pato / etc.]</t>
  </si>
  <si>
    <t>Camélidos [alpaca / guanaco / llama]</t>
  </si>
  <si>
    <t>No hubo cambios significativos en el número de cabezas de ganado/animales</t>
  </si>
  <si>
    <t>No vendió tantos</t>
  </si>
  <si>
    <t>Hubo mayores nacimientos</t>
  </si>
  <si>
    <t>Compró o intercambió más animales este año</t>
  </si>
  <si>
    <t>Recibió ganado/animales gratis [repobló, regalo, ayuda humanitaria]</t>
  </si>
  <si>
    <t>Los animales murieron por desnutrición, sequía, falta de alimento</t>
  </si>
  <si>
    <t>Los animales murieron por por otros factores [ej. enfermedades, parásitos, lesiones]</t>
  </si>
  <si>
    <t>Vendió más de lo habitual debido a los buenos precios</t>
  </si>
  <si>
    <t>Vendió más de lo habitual debido a medidas de emergencia [incapacidad de alimentar animales / necesidad urgente de dinero para las necesidades del hogar, incluso si las ventas fuesen insostenibles]</t>
  </si>
  <si>
    <t>Los animales escaparon, se perdieron o fueron robados</t>
  </si>
  <si>
    <t>Sacrificó más animales de lo habitual, destinados para el consumo doméstico o celebraciones [matrimonios / funerales / etc]</t>
  </si>
  <si>
    <t>Pastizales abiertos</t>
  </si>
  <si>
    <t>Pastizales comunitarios gestionados por la comunidad</t>
  </si>
  <si>
    <t>Campo propio, alquilado o forrajes de producción propia</t>
  </si>
  <si>
    <t>Comprar alimento o forraje en los mercados</t>
  </si>
  <si>
    <t>Distribución gratuita</t>
  </si>
  <si>
    <t>Dificultad para comprar alimentos [ej. precios o acceso al mercado]</t>
  </si>
  <si>
    <t>Acceso restringido a pastos</t>
  </si>
  <si>
    <t>Acceso restringido a agua</t>
  </si>
  <si>
    <t>Acceso restringido a servicios veterinarios [vacunas / tratamientos / baños / asesoramiento / etc]</t>
  </si>
  <si>
    <t>Acceso a insumos veterinarios [medicamentos para animales / herramientas para la salud de los animales / etc]</t>
  </si>
  <si>
    <t>Muerte o enfermedad del ganado / animales</t>
  </si>
  <si>
    <t>Robo de ganado / animales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</si>
  <si>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</si>
  <si>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</si>
  <si>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</si>
  <si>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</si>
  <si>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No tiene más animales</t>
  </si>
  <si>
    <t>Huevos</t>
  </si>
  <si>
    <t>Leche o productos lácteos</t>
  </si>
  <si>
    <t>Pieles, cuero o lana</t>
  </si>
  <si>
    <t>Daños y pérdidas debido a dificultades con el transporte y/o dificultades accediendo al mercado</t>
  </si>
  <si>
    <t>Cierre del centro de beneficio animal o dificultades para acceder a él</t>
  </si>
  <si>
    <t>Dificultades para procesar el producto distintos al cierre del centro de beneficio animal [dificultad para acceder a insumos / equipo para el procesamiento / etc]</t>
  </si>
  <si>
    <t>Pesca costera, delta, laguna</t>
  </si>
  <si>
    <t>Pesca en alta mar</t>
  </si>
  <si>
    <t>Pesca en agua dulce [en lagos, embalses, estanques, ríos o humedales]</t>
  </si>
  <si>
    <t>Acuicultura</t>
  </si>
  <si>
    <t>Los peces son más difíciles de encontrar que en los años anteriores durante la misma temporada [pesca]</t>
  </si>
  <si>
    <t>Plagas y enfermedades en los peces [acuicultura]</t>
  </si>
  <si>
    <t>Acceso restringido a la zona de pesca o acuicultura [ej. debido al clima o seguridad]</t>
  </si>
  <si>
    <t>Acceso restringido a combustible [precios más altos o no está disponible]</t>
  </si>
  <si>
    <t>Acceso restringido a otros insumos para la pesca o siembra [precios más altos o no está disponible]</t>
  </si>
  <si>
    <t>Acceso restringido a mano de obra o mano de obra comunitaria [precios más altos o no está disponible]</t>
  </si>
  <si>
    <t>Daño o destrucción de infraestructura [estanques, jaulas, puertos, sitios de embarque]</t>
  </si>
  <si>
    <t>Daño o destrucción de embarcaciones o herramientas [artes de pesca]</t>
  </si>
  <si>
    <t>Cebos o alimentos para pescar</t>
  </si>
  <si>
    <t>Alevinos</t>
  </si>
  <si>
    <t>Herramientas para la pesca [ej. cañas, anzuelos, redes]</t>
  </si>
  <si>
    <t>Hielo</t>
  </si>
  <si>
    <t>Combustible</t>
  </si>
  <si>
    <t>Reparaciones de equipos [incluyendo botes] o respuestos</t>
  </si>
  <si>
    <t>Mano de obra</t>
  </si>
  <si>
    <t>Pescado fresco [de cualquier tipo, incluyendo invertebrados]</t>
  </si>
  <si>
    <t>Pescado en conserva [incluyendo pescado seco, pescado ahumado, pescado fermentado, pescado salado]</t>
  </si>
  <si>
    <t>Pescado congelado</t>
  </si>
  <si>
    <t>Pescado enlatado</t>
  </si>
  <si>
    <t>Daños y pérdidas debido a dificultades con el almacenamiento o retrazos, inhabilidad para acceder a los mercados</t>
  </si>
  <si>
    <t>Dificultades para procesar el producto [dificultad para acceder a insumos / equipo para el procesamiento / etc]</t>
  </si>
  <si>
    <t>Rara vez (1-2 veces en los últimos 30 días)</t>
  </si>
  <si>
    <t>A veces (3-10 veces en los últimos 30 días)</t>
  </si>
  <si>
    <t>A menudo (más de 10 días en los últimos 30 días)</t>
  </si>
  <si>
    <t>No - no fue necesario</t>
  </si>
  <si>
    <t>No - porque ya vendió esos activos o realizó esta actividad en los últimos 12 meses y no puede continuar haciéndola</t>
  </si>
  <si>
    <t>No aplica</t>
  </si>
  <si>
    <t>Cereales [sorgo / mijo / maíz / trigo / arroz / espaguetis / pan o cualquier otro grano disponible localmente]</t>
  </si>
  <si>
    <t>Raíces y tubérculos [batata / papa / ñame / mandioca / yuca u otros tubérculos]</t>
  </si>
  <si>
    <t>Verduras [todas]</t>
  </si>
  <si>
    <t>Fruta [todas]</t>
  </si>
  <si>
    <t>Carnes, aves y visceras [res/cerdo / cordero / cabra / conejo / caza salvaje / pollo / pato / hígado / riñones / corazón / u otras vísceras]</t>
  </si>
  <si>
    <t>Pescado o marisco [pescado / marisco fresco o seco]</t>
  </si>
  <si>
    <t>Leguminosas, frutos secos y semillas [frijoles / guisantes / maní / lentejas / almendras / otros frutos secos]</t>
  </si>
  <si>
    <t>Leche y otros productos lácteos [leche fresca / agria / yogur / queso / otros productos lácteos]</t>
  </si>
  <si>
    <t>Aceites y grasas [para cocinar / mantequilla / margarina / grasa / aceite / otro aceite]</t>
  </si>
  <si>
    <t>Azúcar o productos azucarados [miel / mermelada / rosquillas / caramelos / chocolate / galletas / pasteles / tartas y otros productos dulces]</t>
  </si>
  <si>
    <t>Condimentos [cacao / sal / ajo / especias / levadura / polvo para hornear / tomate o salsa de tomate / carne o pescado como condimento] y café / té</t>
  </si>
  <si>
    <t>Alimento</t>
  </si>
  <si>
    <t>Efectivo</t>
  </si>
  <si>
    <t>Bonos o ferias de insumos</t>
  </si>
  <si>
    <t>Insumos para la producción de cultivos y/o hortalizas [p. semillas, fertilizantes, herramientas]</t>
  </si>
  <si>
    <t>Infraestructura para la producción de cultivos y/o hortalizas [p. riego, rehabilitación de canales, bombas]</t>
  </si>
  <si>
    <t>Capacitación y fortalecimiento técnico/asesoramiento para la producción de cultivos</t>
  </si>
  <si>
    <t>Alimento para ganado [forraje o alimento complementario]</t>
  </si>
  <si>
    <t>Servicios veterinarios [ej. vacunación, baños, desparasitación]</t>
  </si>
  <si>
    <t>Infraestructura para el ganado [ej. puntos de agua, caminos para el pastoreo, refugio, puntos veterinarios]</t>
  </si>
  <si>
    <t>Capacitación y fortalecimiento técnico/asesoramiento para la producción ganadera</t>
  </si>
  <si>
    <t>Insumos para la producción pesquera o acuícola</t>
  </si>
  <si>
    <t>Infraestructura para la producción pesquera o acuícola [rehabilitación del puerto; reparación de estanques]</t>
  </si>
  <si>
    <t>Capacitación y fortalecimiento técnico/asesoramiento para la producción pesquera o acuícola</t>
  </si>
  <si>
    <t>Rehabilitación ambiental o de infraestructura [en toda la comunidad]</t>
  </si>
  <si>
    <t>Almacenamiento en frío</t>
  </si>
  <si>
    <t>Soporte de mercadeo o ventas [ej. compras públicas locales]</t>
  </si>
  <si>
    <t>Bonos/ferias de insumos</t>
  </si>
  <si>
    <t>Asistencia para la producción de cultivos y/o hortalizas</t>
  </si>
  <si>
    <t>Asistencia para la ganadería</t>
  </si>
  <si>
    <t>Asistencia para la pesca y/o acuicultura</t>
  </si>
  <si>
    <t>Soporte en comercialización o ventas [ej. compras públicas]</t>
  </si>
  <si>
    <t>No se recibió asistencia</t>
  </si>
  <si>
    <t>Sí</t>
  </si>
  <si>
    <t>No - no la recibió a tiempo</t>
  </si>
  <si>
    <t>No, no satisfizo mis necesidades</t>
  </si>
  <si>
    <t>No - la cantidad no fue suficiente</t>
  </si>
  <si>
    <t>No, hubo un problema con el proveedor</t>
  </si>
  <si>
    <t>No, hubo un mal funcionamiento de la asistencia en especie proporcionada [ej. herramientas de mala calidad]</t>
  </si>
  <si>
    <t>PMA</t>
  </si>
  <si>
    <t>Otras agencias de la ONU</t>
  </si>
  <si>
    <t>Gobierno</t>
  </si>
  <si>
    <t>Organización no gubernamental/local</t>
  </si>
  <si>
    <t>Administrador del pueblo / aldea</t>
  </si>
  <si>
    <t>Oficial de extensión agropecuario</t>
  </si>
  <si>
    <t>Oficial de extensión de salud</t>
  </si>
  <si>
    <t>Profesor</t>
  </si>
  <si>
    <t>Otro[especificar]</t>
  </si>
  <si>
    <t>Lunes</t>
  </si>
  <si>
    <t>Martes</t>
  </si>
  <si>
    <t>Miércoles</t>
  </si>
  <si>
    <t>Jueves</t>
  </si>
  <si>
    <t>Viernes</t>
  </si>
  <si>
    <t>Sábado</t>
  </si>
  <si>
    <t>Domingo</t>
  </si>
  <si>
    <t>Mañana</t>
  </si>
  <si>
    <t>Tarde</t>
  </si>
  <si>
    <t>Noche</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</si>
  <si>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</si>
  <si>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</si>
  <si>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Incluir la conversión de la unidad de medida local a hectáreas. En otras palabras, cuántas unidades de medida locales hay en 1 ha.</t>
  </si>
  <si>
    <r>
      <t xml:space="preserve">La primera subdivisión del país, después del nivel nacional; región; provincia; gobernación; etc. </t>
    </r>
    <r>
      <rPr>
        <b/>
        <sz val="11"/>
        <color rgb="FF000000"/>
        <rFont val="Calibri"/>
        <family val="2"/>
      </rPr>
      <t xml:space="preserve">Solo una palabra debe ser ingresada - No incluir espacios. </t>
    </r>
  </si>
  <si>
    <r>
      <t xml:space="preserve">La segunda subdivisión del país; distrito; municipio; LGA; etc. </t>
    </r>
    <r>
      <rPr>
        <b/>
        <sz val="11"/>
        <color rgb="FF000000"/>
        <rFont val="Calibri"/>
        <family val="2"/>
      </rPr>
      <t xml:space="preserve">Solo una palabra debe ser ingresada - No incluir espacios. </t>
    </r>
  </si>
  <si>
    <r>
      <t xml:space="preserve">Especifique la unidad de medida local para el area sembrada, que no sean </t>
    </r>
    <r>
      <rPr>
        <i/>
        <sz val="11"/>
        <rFont val="Calibri"/>
        <family val="2"/>
      </rPr>
      <t xml:space="preserve">acres, hectáreas, metros cuadrados </t>
    </r>
    <r>
      <rPr>
        <sz val="11"/>
        <rFont val="Calibri"/>
        <family val="2"/>
      </rPr>
      <t xml:space="preserve">y </t>
    </r>
    <r>
      <rPr>
        <i/>
        <sz val="11"/>
        <rFont val="Calibri"/>
        <family val="2"/>
      </rPr>
      <t>pies cuadrados</t>
    </r>
    <r>
      <rPr>
        <sz val="11"/>
        <rFont val="Calibri"/>
        <family val="2"/>
      </rPr>
      <t xml:space="preserve">. Si no se necesita otra unidad de medida, </t>
    </r>
    <r>
      <rPr>
        <b/>
        <sz val="11"/>
        <rFont val="Calibri"/>
        <family val="2"/>
      </rPr>
      <t>deje esta celda en blanco.</t>
    </r>
  </si>
  <si>
    <r>
      <t xml:space="preserve">Indique la fase de la temporada </t>
    </r>
    <r>
      <rPr>
        <b/>
        <sz val="11"/>
        <rFont val="Calibri"/>
        <family val="2"/>
      </rPr>
      <t xml:space="preserve">en el momento de la recogida de datos. </t>
    </r>
    <r>
      <rPr>
        <sz val="11"/>
        <rFont val="Calibri"/>
        <family val="2"/>
      </rPr>
      <t>Si la cosecha de la temporada aún no ha ocurrido, la pregunta sobre la cosecha del cultivo (crp_harv_change) incluirá la palabra "esperado" (donde se ubica #esperado o nada#). Si la cosecha ha ocurrido, no se insertará "esperado" en la pregunta.</t>
    </r>
  </si>
  <si>
    <t>El nombre de la moneda principal utilizada a nivel nacional; USD; quetzales; lempiras; pesos; etc.</t>
  </si>
  <si>
    <t>Ingrese algunas verduras locales comunes [para usar como ejemplos en el indicador de puntaje de consumo de alimentos].</t>
  </si>
  <si>
    <t>Ingrese algunas frutas locales comunes [para usar como ejemplos en el indicador de puntaje de consumo de alimentos].</t>
  </si>
  <si>
    <r>
      <t xml:space="preserve">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t>
    </r>
    <r>
      <rPr>
        <b/>
        <sz val="11"/>
        <rFont val="Calibri"/>
        <family val="2"/>
      </rPr>
      <t>Solo se deben ingresar dígitos</t>
    </r>
    <r>
      <rPr>
        <sz val="11"/>
        <rFont val="Calibri"/>
        <family val="2"/>
      </rPr>
      <t>.</t>
    </r>
  </si>
  <si>
    <r>
      <t xml:space="preserve">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t>
    </r>
    <r>
      <rPr>
        <b/>
        <sz val="11"/>
        <rFont val="Calibri"/>
        <family val="2"/>
      </rPr>
      <t>Solo se deben ingresar dígitos.</t>
    </r>
  </si>
  <si>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</si>
  <si>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</si>
  <si>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</si>
  <si>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hint::English (en)</t>
  </si>
  <si>
    <t>#local measurement unit#</t>
  </si>
  <si>
    <t>Electricity [from generator or electrical grid]</t>
  </si>
  <si>
    <r>
      <t>¿Cómo se compara el ***</t>
    </r>
    <r>
      <rPr>
        <u/>
        <sz val="11"/>
        <rFont val="Calibri"/>
        <family val="2"/>
        <scheme val="minor"/>
      </rPr>
      <t>área sembrada</t>
    </r>
    <r>
      <rPr>
        <sz val="11"/>
        <rFont val="Calibri"/>
        <family val="2"/>
        <scheme val="minor"/>
      </rPr>
      <t>*** de $</t>
    </r>
    <r>
      <rPr>
        <sz val="11"/>
        <rFont val="Calibri (Cuerpo)"/>
      </rPr>
      <t>{crpmain}</t>
    </r>
    <r>
      <rPr>
        <sz val="11"/>
        <rFont val="Calibri"/>
        <family val="2"/>
        <scheme val="minor"/>
      </rPr>
      <t xml:space="preserve"> en </t>
    </r>
    <r>
      <rPr>
        <b/>
        <sz val="11"/>
        <color rgb="FF7030A0"/>
        <rFont val="Calibri"/>
        <family val="2"/>
        <scheme val="minor"/>
      </rPr>
      <t>#</t>
    </r>
    <r>
      <rPr>
        <b/>
        <sz val="11"/>
        <color rgb="FF7030A0"/>
        <rFont val="Calibri (Cuerpo)"/>
      </rPr>
      <t>season ES#</t>
    </r>
    <r>
      <rPr>
        <sz val="11"/>
        <rFont val="Calibri"/>
        <family val="2"/>
        <scheme val="minor"/>
      </rPr>
      <t xml:space="preserve"> con respecto a </t>
    </r>
    <r>
      <rPr>
        <b/>
        <sz val="11"/>
        <color rgb="FF7030A0"/>
        <rFont val="Calibri (Body)"/>
      </rPr>
      <t>#</t>
    </r>
    <r>
      <rPr>
        <b/>
        <sz val="11"/>
        <color rgb="FF7030A0"/>
        <rFont val="Calibri (Cuerpo)"/>
      </rPr>
      <t>reference year ES#</t>
    </r>
    <r>
      <rPr>
        <sz val="11"/>
        <rFont val="Calibri (Cuerpo)"/>
      </rPr>
      <t>?</t>
    </r>
  </si>
  <si>
    <r>
      <t>¿Cómo compara la ***</t>
    </r>
    <r>
      <rPr>
        <b/>
        <u/>
        <sz val="11"/>
        <rFont val="Calibri"/>
        <family val="2"/>
        <scheme val="minor"/>
      </rPr>
      <t>cosecha</t>
    </r>
    <r>
      <rPr>
        <b/>
        <sz val="11"/>
        <rFont val="Calibri"/>
        <family val="2"/>
        <scheme val="minor"/>
      </rPr>
      <t xml:space="preserve">*** </t>
    </r>
    <r>
      <rPr>
        <b/>
        <sz val="11"/>
        <color rgb="FF7030A0"/>
        <rFont val="Calibri (Body)"/>
      </rPr>
      <t>#</t>
    </r>
    <r>
      <rPr>
        <b/>
        <sz val="11"/>
        <color rgb="FF7030A0"/>
        <rFont val="Calibri (Cuerpo)"/>
      </rPr>
      <t>expected or nothing ES#</t>
    </r>
    <r>
      <rPr>
        <b/>
        <sz val="11"/>
        <rFont val="Calibri"/>
        <family val="2"/>
        <scheme val="minor"/>
      </rPr>
      <t xml:space="preserve"> </t>
    </r>
    <r>
      <rPr>
        <sz val="11"/>
        <rFont val="Calibri"/>
        <family val="2"/>
        <scheme val="minor"/>
      </rPr>
      <t>para su $</t>
    </r>
    <r>
      <rPr>
        <sz val="11"/>
        <rFont val="Calibri (Cuerpo)"/>
      </rPr>
      <t>{crpmain}</t>
    </r>
    <r>
      <rPr>
        <sz val="11"/>
        <rFont val="Calibri"/>
        <family val="2"/>
        <scheme val="minor"/>
      </rPr>
      <t xml:space="preserve"> en </t>
    </r>
    <r>
      <rPr>
        <b/>
        <sz val="11"/>
        <color rgb="FF7030A0"/>
        <rFont val="Calibri (Body)"/>
      </rPr>
      <t>#</t>
    </r>
    <r>
      <rPr>
        <b/>
        <sz val="11"/>
        <color rgb="FF7030A0"/>
        <rFont val="Calibri (Cuerpo)"/>
      </rPr>
      <t>season ES#</t>
    </r>
    <r>
      <rPr>
        <sz val="11"/>
        <rFont val="Calibri"/>
        <family val="2"/>
        <scheme val="minor"/>
      </rPr>
      <t xml:space="preserve"> comparado con </t>
    </r>
    <r>
      <rPr>
        <b/>
        <sz val="11"/>
        <color rgb="FF7030A0"/>
        <rFont val="Calibri (Body)"/>
      </rPr>
      <t>#</t>
    </r>
    <r>
      <rPr>
        <b/>
        <sz val="11"/>
        <color rgb="FF7030A0"/>
        <rFont val="Calibri (Cuerpo)"/>
      </rPr>
      <t>reference year ES#</t>
    </r>
    <r>
      <rPr>
        <sz val="11"/>
        <rFont val="Calibri (Cuerpo)"/>
      </rPr>
      <t>?</t>
    </r>
  </si>
  <si>
    <r>
      <t xml:space="preserve">¿Cuánto ${crp_main} (trillado) cosechó en </t>
    </r>
    <r>
      <rPr>
        <b/>
        <sz val="11"/>
        <color rgb="FF7030A0"/>
        <rFont val="Calibri (Body)"/>
      </rPr>
      <t>#</t>
    </r>
    <r>
      <rPr>
        <b/>
        <sz val="11"/>
        <color rgb="FF7030A0"/>
        <rFont val="Calibri (Cuerpo)"/>
      </rPr>
      <t>season ES#</t>
    </r>
  </si>
  <si>
    <r>
      <t xml:space="preserve">¿Cómo compararía el precio actual de la cosecha principal de su hogar ${crp_sales_main} con respecto al precio promedio en </t>
    </r>
    <r>
      <rPr>
        <b/>
        <sz val="11"/>
        <color rgb="FF7030A0"/>
        <rFont val="Calibri (Body)"/>
      </rPr>
      <t>#</t>
    </r>
    <r>
      <rPr>
        <b/>
        <sz val="11"/>
        <color rgb="FF7030A0"/>
        <rFont val="Calibri (Cuerpo)"/>
      </rPr>
      <t>reference year ES#?</t>
    </r>
  </si>
  <si>
    <r>
      <t>¿Durante cuántos días en los *últimos 7 días* consumió usted o su hogar **</t>
    </r>
    <r>
      <rPr>
        <sz val="11"/>
        <color theme="0" tint="-0.34998626667073579"/>
        <rFont val="Calibri (Cuerpo)"/>
      </rPr>
      <t>vegetales y hojas**</t>
    </r>
    <r>
      <rPr>
        <sz val="11"/>
        <color theme="0" tint="-0.34998626667073579"/>
        <rFont val="Calibri"/>
        <family val="2"/>
        <scheme val="minor"/>
      </rPr>
      <t xml:space="preserve"> como </t>
    </r>
    <r>
      <rPr>
        <b/>
        <sz val="11"/>
        <color rgb="FF7030A0"/>
        <rFont val="Calibri"/>
        <family val="2"/>
        <scheme val="minor"/>
      </rPr>
      <t>#</t>
    </r>
    <r>
      <rPr>
        <b/>
        <sz val="11"/>
        <color rgb="FF7030A0"/>
        <rFont val="Calibri (Cuerpo)"/>
      </rPr>
      <t>local vegetables ES#</t>
    </r>
    <r>
      <rPr>
        <sz val="11"/>
        <color theme="0" tint="-0.34998626667073579"/>
        <rFont val="Calibri"/>
        <family val="2"/>
        <scheme val="minor"/>
      </rPr>
      <t xml:space="preserve"> y/o otras hojas/verduras?</t>
    </r>
  </si>
  <si>
    <t>¿Nos puede brindar información de contacto de un líder de su comunidad?</t>
  </si>
  <si>
    <r>
      <t>¿Cuál es el *</t>
    </r>
    <r>
      <rPr>
        <b/>
        <sz val="11"/>
        <color theme="6" tint="-0.499984740745262"/>
        <rFont val="Calibri"/>
        <family val="2"/>
        <scheme val="minor"/>
      </rPr>
      <t>teléfono</t>
    </r>
    <r>
      <rPr>
        <sz val="11"/>
        <color theme="6" tint="-0.499984740745262"/>
        <rFont val="Calibri"/>
        <family val="2"/>
        <scheme val="minor"/>
      </rPr>
      <t>* del lider?</t>
    </r>
  </si>
  <si>
    <r>
      <t xml:space="preserve">¿Cuál es el </t>
    </r>
    <r>
      <rPr>
        <b/>
        <sz val="11"/>
        <color theme="6" tint="-0.499984740745262"/>
        <rFont val="Calibri"/>
        <family val="2"/>
        <scheme val="minor"/>
      </rPr>
      <t>nombre</t>
    </r>
    <r>
      <rPr>
        <sz val="11"/>
        <color theme="6" tint="-0.499984740745262"/>
        <rFont val="Calibri"/>
        <family val="2"/>
        <scheme val="minor"/>
      </rPr>
      <t xml:space="preserve"> del lider?</t>
    </r>
  </si>
  <si>
    <r>
      <t xml:space="preserve">Para futuras entrevistas, ¿en qué </t>
    </r>
    <r>
      <rPr>
        <b/>
        <sz val="11"/>
        <color theme="6" tint="-0.499984740745262"/>
        <rFont val="Calibri"/>
        <family val="2"/>
        <scheme val="minor"/>
      </rPr>
      <t>día(s)</t>
    </r>
    <r>
      <rPr>
        <sz val="11"/>
        <color theme="6" tint="-0.499984740745262"/>
        <rFont val="Calibri"/>
        <family val="2"/>
        <scheme val="minor"/>
      </rPr>
      <t xml:space="preserve"> puedo llamarle?</t>
    </r>
  </si>
  <si>
    <r>
      <t xml:space="preserve">Para futuras entrevistas, ¿a qué </t>
    </r>
    <r>
      <rPr>
        <b/>
        <sz val="11"/>
        <color theme="6" tint="-0.499984740745262"/>
        <rFont val="Calibri"/>
        <family val="2"/>
        <scheme val="minor"/>
      </rPr>
      <t>hora(s)</t>
    </r>
    <r>
      <rPr>
        <sz val="11"/>
        <color theme="6" tint="-0.499984740745262"/>
        <rFont val="Calibri"/>
        <family val="2"/>
        <scheme val="minor"/>
      </rPr>
      <t xml:space="preserve"> puedo llamarle?</t>
    </r>
  </si>
  <si>
    <r>
      <t>Durante los *últimos 30 días*, ¿hubo algún momento en el que usted u otros miembros de su hogar **</t>
    </r>
    <r>
      <rPr>
        <u/>
        <sz val="11"/>
        <rFont val="Calibri"/>
        <family val="2"/>
        <scheme val="minor"/>
      </rPr>
      <t>pasaron todo un día y la noche sin comer</t>
    </r>
    <r>
      <rPr>
        <sz val="11"/>
        <rFont val="Calibri"/>
        <family val="2"/>
        <scheme val="minor"/>
      </rPr>
      <t>** debido a la falta de alimentos?</t>
    </r>
  </si>
  <si>
    <r>
      <t>Durante los *últimos 30 días*, ¿hubo algún momento en el que usted u otros miembros de su hogar **</t>
    </r>
    <r>
      <rPr>
        <u/>
        <sz val="11"/>
        <rFont val="Calibri"/>
        <family val="2"/>
        <scheme val="minor"/>
      </rPr>
      <t>no pudieron comer alimentos saludables y nutritivos</t>
    </r>
    <r>
      <rPr>
        <sz val="11"/>
        <rFont val="Calibri"/>
        <family val="2"/>
        <scheme val="minor"/>
      </rPr>
      <t>** debido a la falta de dinero u otros recursos?</t>
    </r>
  </si>
  <si>
    <r>
      <t>Durante los *últimos 30 días*, ¿hubo algún momento en el que usted u otros miembros de su hogar comieron **</t>
    </r>
    <r>
      <rPr>
        <u/>
        <sz val="11"/>
        <rFont val="Calibri"/>
        <family val="2"/>
        <scheme val="minor"/>
      </rPr>
      <t>solamente unos pocos tipos de alimentos</t>
    </r>
    <r>
      <rPr>
        <sz val="11"/>
        <rFont val="Calibri"/>
        <family val="2"/>
        <scheme val="minor"/>
      </rPr>
      <t>** debido a la falta de dinero u otros recursos?</t>
    </r>
  </si>
  <si>
    <r>
      <t>Durante los *últimos 30 días*, ¿hubo algún momento en el que usted u otros miembros de su hogar **</t>
    </r>
    <r>
      <rPr>
        <u/>
        <sz val="11"/>
        <rFont val="Calibri"/>
        <family val="2"/>
        <scheme val="minor"/>
      </rPr>
      <t>tuvieron que saltarse una comida</t>
    </r>
    <r>
      <rPr>
        <sz val="11"/>
        <rFont val="Calibri"/>
        <family val="2"/>
        <scheme val="minor"/>
      </rPr>
      <t>** debido a la falta de dinero u otros recursos para conseguir alimentos?</t>
    </r>
  </si>
  <si>
    <r>
      <t>Durante los *últimos 30 días*, ¿hubo algún momento en el que usted u otros miembros de su hogar **</t>
    </r>
    <r>
      <rPr>
        <u/>
        <sz val="11"/>
        <rFont val="Calibri"/>
        <family val="2"/>
        <scheme val="minor"/>
      </rPr>
      <t>comieron menos de lo que pensaban que debían</t>
    </r>
    <r>
      <rPr>
        <sz val="11"/>
        <rFont val="Calibri"/>
        <family val="2"/>
        <scheme val="minor"/>
      </rPr>
      <t>** debido a la falta de dinero u otros recursos?</t>
    </r>
  </si>
  <si>
    <r>
      <t>Durante los *últimos 30 días*, ¿hubo algún momento en el que usted u otros miembros de su hogar **</t>
    </r>
    <r>
      <rPr>
        <u/>
        <sz val="11"/>
        <rFont val="Calibri"/>
        <family val="2"/>
        <scheme val="minor"/>
      </rPr>
      <t>se quedaron sin alimentos de ningún tipo</t>
    </r>
    <r>
      <rPr>
        <sz val="11"/>
        <rFont val="Calibri"/>
        <family val="2"/>
        <scheme val="minor"/>
      </rPr>
      <t>** debido a la falta de dinero u otros recursos?</t>
    </r>
  </si>
  <si>
    <r>
      <t>Durante los *últimos 30 días*, ¿hubo algún momento en el que usted u otros miembros de su hogar **</t>
    </r>
    <r>
      <rPr>
        <u/>
        <sz val="11"/>
        <rFont val="Calibri"/>
        <family val="2"/>
        <scheme val="minor"/>
      </rPr>
      <t>se fueron a dormir con hambre</t>
    </r>
    <r>
      <rPr>
        <sz val="11"/>
        <rFont val="Calibri"/>
        <family val="2"/>
        <scheme val="minor"/>
      </rPr>
      <t>** debido a la falta de alimentos?</t>
    </r>
  </si>
  <si>
    <r>
      <t xml:space="preserve">En los últimos 3 meses, ¿han cambiado los ingresos del hogar provenientes de la ${incomethird} comparado con el mismo periodo en </t>
    </r>
    <r>
      <rPr>
        <b/>
        <sz val="11"/>
        <color rgb="FF7030A0"/>
        <rFont val="Calibri (Body)"/>
      </rPr>
      <t>#</t>
    </r>
    <r>
      <rPr>
        <b/>
        <sz val="11"/>
        <color rgb="FF7030A0"/>
        <rFont val="Calibri (Cuerpo)"/>
      </rPr>
      <t>reference year ES#</t>
    </r>
    <r>
      <rPr>
        <sz val="11"/>
        <rFont val="Calibri"/>
        <family val="2"/>
        <scheme val="minor"/>
      </rPr>
      <t>?</t>
    </r>
  </si>
  <si>
    <r>
      <t xml:space="preserve">¿Cuánto ganó (en </t>
    </r>
    <r>
      <rPr>
        <b/>
        <sz val="11"/>
        <color rgb="FF7030A0"/>
        <rFont val="Calibri (Body)"/>
      </rPr>
      <t>#</t>
    </r>
    <r>
      <rPr>
        <b/>
        <sz val="11"/>
        <color rgb="FF7030A0"/>
        <rFont val="Calibri (Cuerpo)"/>
      </rPr>
      <t>currency#</t>
    </r>
    <r>
      <rPr>
        <b/>
        <sz val="11"/>
        <color theme="0" tint="-0.34998626667073579"/>
        <rFont val="Calibri (Cuerpo)"/>
      </rPr>
      <t>)</t>
    </r>
    <r>
      <rPr>
        <sz val="11"/>
        <color theme="0" tint="-0.34998626667073579"/>
        <rFont val="Calibri"/>
        <family val="2"/>
        <scheme val="minor"/>
      </rPr>
      <t xml:space="preserve"> por la tercera fuente de ingresos, ${incomethird}, en los últimos 3 meses?</t>
    </r>
  </si>
  <si>
    <r>
      <t xml:space="preserve">En los últimos 3 meses, ¿han cambiado los ingresos del hogar provenientes de la ${incomesec} comparado con el mismo periodo en </t>
    </r>
    <r>
      <rPr>
        <b/>
        <sz val="11"/>
        <color rgb="FF7030A0"/>
        <rFont val="Calibri (Body)"/>
      </rPr>
      <t>#</t>
    </r>
    <r>
      <rPr>
        <b/>
        <sz val="11"/>
        <color rgb="FF7030A0"/>
        <rFont val="Calibri (Cuerpo)"/>
      </rPr>
      <t>reference year ES#</t>
    </r>
    <r>
      <rPr>
        <sz val="11"/>
        <rFont val="Calibri"/>
        <family val="2"/>
        <scheme val="minor"/>
      </rPr>
      <t>?</t>
    </r>
  </si>
  <si>
    <r>
      <t>En los últimos 3 meses, ¿han cambiado los ingresos del hogar provenientes de la $</t>
    </r>
    <r>
      <rPr>
        <sz val="11"/>
        <rFont val="Calibri (Cuerpo)"/>
      </rPr>
      <t>{incomemain}</t>
    </r>
    <r>
      <rPr>
        <sz val="11"/>
        <color rgb="FFFF0000"/>
        <rFont val="Calibri (Cuerpo)"/>
      </rPr>
      <t xml:space="preserve"> </t>
    </r>
    <r>
      <rPr>
        <sz val="11"/>
        <rFont val="Calibri"/>
        <family val="2"/>
        <scheme val="minor"/>
      </rPr>
      <t xml:space="preserve">comparado con el mismo periodo en </t>
    </r>
    <r>
      <rPr>
        <b/>
        <sz val="11"/>
        <color rgb="FF7030A0"/>
        <rFont val="Calibri (Body)"/>
      </rPr>
      <t>#</t>
    </r>
    <r>
      <rPr>
        <b/>
        <sz val="11"/>
        <color rgb="FF7030A0"/>
        <rFont val="Calibri (Cuerpo)"/>
      </rPr>
      <t>reference year ES#</t>
    </r>
    <r>
      <rPr>
        <sz val="11"/>
        <rFont val="Calibri (Cuerpo)"/>
      </rPr>
      <t>?</t>
    </r>
  </si>
  <si>
    <r>
      <t>¿Cuál es el género del miembro</t>
    </r>
    <r>
      <rPr>
        <sz val="11"/>
        <rFont val="Calibri (Cuerpo)"/>
      </rPr>
      <t>[s]</t>
    </r>
    <r>
      <rPr>
        <sz val="11"/>
        <rFont val="Calibri"/>
        <family val="2"/>
        <scheme val="minor"/>
      </rPr>
      <t xml:space="preserve"> del hogar que genera[n] el ingreso de esta fuente?</t>
    </r>
  </si>
  <si>
    <t>¿La cosecha que vende es también producida por usted o alguien de su hogar?</t>
  </si>
  <si>
    <r>
      <t xml:space="preserve">¿Cuánto ganó (en </t>
    </r>
    <r>
      <rPr>
        <b/>
        <sz val="11"/>
        <color rgb="FF7030A0"/>
        <rFont val="Calibri (Cuerpo)"/>
      </rPr>
      <t>#currency#)</t>
    </r>
    <r>
      <rPr>
        <sz val="11"/>
        <rFont val="Calibri"/>
        <family val="2"/>
        <scheme val="minor"/>
      </rPr>
      <t xml:space="preserve"> </t>
    </r>
    <r>
      <rPr>
        <sz val="11"/>
        <color theme="0" tint="-0.34998626667073579"/>
        <rFont val="Calibri"/>
        <family val="2"/>
        <scheme val="minor"/>
      </rPr>
      <t>por su principal fuente de ingresos, ${</t>
    </r>
    <r>
      <rPr>
        <sz val="11"/>
        <color theme="0" tint="-0.34998626667073579"/>
        <rFont val="Calibri (Cuerpo)"/>
      </rPr>
      <t>incomemain}, en los últimos 3 meses?</t>
    </r>
  </si>
  <si>
    <r>
      <t xml:space="preserve">¿Cuánto ganó (en </t>
    </r>
    <r>
      <rPr>
        <b/>
        <sz val="11"/>
        <color rgb="FF7030A0"/>
        <rFont val="Calibri (Body)"/>
      </rPr>
      <t>#</t>
    </r>
    <r>
      <rPr>
        <b/>
        <sz val="11"/>
        <color rgb="FF7030A0"/>
        <rFont val="Calibri (Cuerpo)"/>
      </rPr>
      <t>currency#</t>
    </r>
    <r>
      <rPr>
        <b/>
        <sz val="11"/>
        <color theme="0" tint="-0.34998626667073579"/>
        <rFont val="Calibri (Cuerpo)"/>
      </rPr>
      <t>)</t>
    </r>
    <r>
      <rPr>
        <sz val="11"/>
        <color theme="0" tint="-0.34998626667073579"/>
        <rFont val="Calibri"/>
        <family val="2"/>
        <scheme val="minor"/>
      </rPr>
      <t xml:space="preserve"> por la segunda fuente de ingresos, ${incomesec}, en los últimos 3 meses?</t>
    </r>
  </si>
  <si>
    <t>¿Su hogar ha afrontado algún desastre o crisis particular que haya afectado a su hogar o comunidad, disminuyendo la capacidad para generar ingreso y/o producir alimentos para el autoconsumo en los últimos 3 meses?</t>
  </si>
  <si>
    <r>
      <t xml:space="preserve">¿Por qué no produjo ningún cultivo en </t>
    </r>
    <r>
      <rPr>
        <b/>
        <sz val="11"/>
        <color rgb="FF7030A0"/>
        <rFont val="Calibri"/>
        <family val="2"/>
        <scheme val="minor"/>
      </rPr>
      <t>#</t>
    </r>
    <r>
      <rPr>
        <b/>
        <sz val="11"/>
        <color rgb="FF7030A0"/>
        <rFont val="Calibri (Cuerpo)"/>
      </rPr>
      <t>season ES#</t>
    </r>
  </si>
  <si>
    <r>
      <t>¿Ha enfrentado su hogar algún tipo de dificultad con la ***</t>
    </r>
    <r>
      <rPr>
        <u/>
        <sz val="11"/>
        <rFont val="Calibri"/>
        <family val="2"/>
        <scheme val="minor"/>
      </rPr>
      <t>producción de cultivos</t>
    </r>
    <r>
      <rPr>
        <b/>
        <sz val="11"/>
        <rFont val="Calibri"/>
        <family val="2"/>
        <scheme val="minor"/>
      </rPr>
      <t xml:space="preserve">*** </t>
    </r>
    <r>
      <rPr>
        <sz val="11"/>
        <rFont val="Calibri"/>
        <family val="2"/>
        <scheme val="minor"/>
      </rPr>
      <t xml:space="preserve">en </t>
    </r>
    <r>
      <rPr>
        <b/>
        <sz val="11"/>
        <color rgb="FF7030A0"/>
        <rFont val="Calibri (Body)"/>
      </rPr>
      <t>#</t>
    </r>
    <r>
      <rPr>
        <b/>
        <sz val="11"/>
        <color rgb="FF7030A0"/>
        <rFont val="Calibri (Cuerpo)"/>
      </rPr>
      <t>season ES#</t>
    </r>
    <r>
      <rPr>
        <sz val="11"/>
        <rFont val="Calibri"/>
        <family val="2"/>
        <scheme val="minor"/>
      </rPr>
      <t>?</t>
    </r>
    <r>
      <rPr>
        <b/>
        <sz val="11"/>
        <rFont val="Calibri"/>
        <family val="2"/>
        <scheme val="minor"/>
      </rPr>
      <t xml:space="preserve"> </t>
    </r>
  </si>
  <si>
    <r>
      <t xml:space="preserve">¿Cuáles dificultades ha enfrentado su hogar con la producción de cultivos en </t>
    </r>
    <r>
      <rPr>
        <b/>
        <sz val="11"/>
        <color rgb="FF7030A0"/>
        <rFont val="Calibri (Body)"/>
      </rPr>
      <t>#</t>
    </r>
    <r>
      <rPr>
        <b/>
        <sz val="11"/>
        <color rgb="FF7030A0"/>
        <rFont val="Calibri (Cuerpo)"/>
      </rPr>
      <t>season ES#?</t>
    </r>
  </si>
  <si>
    <r>
      <t>El año pasado ¿qué proporción de su ${</t>
    </r>
    <r>
      <rPr>
        <sz val="11"/>
        <color theme="0" tint="-0.34998626667073579"/>
        <rFont val="Calibri (Cuerpo)"/>
      </rPr>
      <t>crpmain</t>
    </r>
    <r>
      <rPr>
        <sz val="11"/>
        <color theme="0" tint="-0.34998626667073579"/>
        <rFont val="Calibri"/>
        <family val="2"/>
        <scheme val="minor"/>
      </rPr>
      <t>} perdió [por plagas, putrefacción, hongos,etc.] después de la cosecha?</t>
    </r>
  </si>
  <si>
    <r>
      <t xml:space="preserve">¿Su hogar ha enfrentado alguna dificultad para </t>
    </r>
    <r>
      <rPr>
        <sz val="11"/>
        <rFont val="Calibri"/>
        <family val="2"/>
        <scheme val="minor"/>
      </rPr>
      <t>vender la cosecha ${crp_sales_main} en los últimos tres meses?</t>
    </r>
  </si>
  <si>
    <r>
      <t xml:space="preserve">¿Cómo se compara el precio actual del ${lssalesmain} con el precio promedio para la misma época del año en </t>
    </r>
    <r>
      <rPr>
        <b/>
        <sz val="11"/>
        <color rgb="FF7030A0"/>
        <rFont val="Calibri (Body)"/>
      </rPr>
      <t>#</t>
    </r>
    <r>
      <rPr>
        <b/>
        <sz val="11"/>
        <color rgb="FF7030A0"/>
        <rFont val="Calibri (Cuerpo)"/>
      </rPr>
      <t>reference year ES#</t>
    </r>
    <r>
      <rPr>
        <sz val="11"/>
        <rFont val="Calibri"/>
        <family val="2"/>
        <scheme val="minor"/>
      </rPr>
      <t>?</t>
    </r>
  </si>
  <si>
    <t>Ahora me gustaría preguntarle sobre la producción pesquera y acuícola, preguntas que aplican para usted y cualquier persona de su hogar que esté involucrada en la captura, producción, procesamiento o venta de peces.</t>
  </si>
  <si>
    <t>¿Qué tipo de actividad pesquera practica su hogar generalmente?</t>
  </si>
  <si>
    <r>
      <t>Ahora me gustaría hacerle otro grupo de preguntas relacionadas con las estrategias de afrontamiento, que se refiere a los *</t>
    </r>
    <r>
      <rPr>
        <sz val="11"/>
        <color theme="0" tint="-0.34998626667073579"/>
        <rFont val="Calibri (Cuerpo)"/>
      </rPr>
      <t>últimos 30 días*</t>
    </r>
    <r>
      <rPr>
        <sz val="11"/>
        <color theme="0" tint="-0.34998626667073579"/>
        <rFont val="Calibri"/>
        <family val="2"/>
        <scheme val="minor"/>
      </rPr>
      <t xml:space="preserve">. Piense si usted o cualquier persone dentro de su hogar ha recurrido a las estrategias que evitaría a continuación por "falta de dinero o alimento". </t>
    </r>
  </si>
  <si>
    <r>
      <t xml:space="preserve">**Vender </t>
    </r>
    <r>
      <rPr>
        <sz val="11"/>
        <color theme="0" tint="-0.34998626667073579"/>
        <rFont val="Calibri (Cuerpo)"/>
      </rPr>
      <t>bienes / bienes domésticos**</t>
    </r>
    <r>
      <rPr>
        <sz val="11"/>
        <color theme="0" tint="-0.34998626667073579"/>
        <rFont val="Calibri"/>
        <family val="2"/>
        <scheme val="minor"/>
      </rPr>
      <t xml:space="preserve"> (radio, muebles, televisor, joyería, etc.)**</t>
    </r>
  </si>
  <si>
    <r>
      <t>¿Durante cuántos días en los *últimos 7 días* consumió usted o su hogar **</t>
    </r>
    <r>
      <rPr>
        <sz val="11"/>
        <color theme="0" tint="-0.34998626667073579"/>
        <rFont val="Calibri (Cuerpo)"/>
      </rPr>
      <t>frutas**</t>
    </r>
    <r>
      <rPr>
        <sz val="11"/>
        <color theme="0" tint="-0.34998626667073579"/>
        <rFont val="Calibri"/>
        <family val="2"/>
        <scheme val="minor"/>
      </rPr>
      <t xml:space="preserve"> como</t>
    </r>
    <r>
      <rPr>
        <sz val="11"/>
        <color theme="1"/>
        <rFont val="Calibri"/>
        <family val="2"/>
        <scheme val="minor"/>
      </rPr>
      <t xml:space="preserve"> </t>
    </r>
    <r>
      <rPr>
        <b/>
        <sz val="11"/>
        <color rgb="FF7030A0"/>
        <rFont val="Calibri"/>
        <family val="2"/>
        <scheme val="minor"/>
      </rPr>
      <t>#</t>
    </r>
    <r>
      <rPr>
        <b/>
        <sz val="11"/>
        <color rgb="FF7030A0"/>
        <rFont val="Calibri (Cuerpo)"/>
      </rPr>
      <t>local fruits ES#</t>
    </r>
    <r>
      <rPr>
        <sz val="11"/>
        <color theme="1"/>
        <rFont val="Calibri"/>
        <family val="2"/>
        <scheme val="minor"/>
      </rPr>
      <t xml:space="preserve"> </t>
    </r>
    <r>
      <rPr>
        <sz val="11"/>
        <color theme="0" tint="-0.34998626667073579"/>
        <rFont val="Calibri"/>
        <family val="2"/>
        <scheme val="minor"/>
      </rPr>
      <t>y/o otras frutas?</t>
    </r>
  </si>
  <si>
    <t>¿De dónde proviene el agua que bebe en su hogar?</t>
  </si>
  <si>
    <t>¿Cuál es la principal fuente de luz en su vivienda?</t>
  </si>
  <si>
    <r>
      <t xml:space="preserve">Buenos días/tardes señor/señora, mi nombre es ${encuestador_}.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t>
    </r>
    <r>
      <rPr>
        <b/>
        <sz val="11"/>
        <color rgb="FFC00000"/>
        <rFont val="Calibri"/>
        <family val="2"/>
        <scheme val="minor"/>
      </rPr>
      <t>20 / 30 minutes</t>
    </r>
    <r>
      <rPr>
        <sz val="11"/>
        <color theme="1"/>
        <rFont val="Calibri"/>
        <family val="2"/>
        <scheme val="minor"/>
      </rPr>
      <t>.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r>
  </si>
  <si>
    <t>#local measurement unit ES#</t>
  </si>
  <si>
    <t>Electricidad [de generador o red eléctrica]</t>
  </si>
  <si>
    <r>
      <t xml:space="preserve">Actualmente, ¿en qué </t>
    </r>
    <r>
      <rPr>
        <b/>
        <sz val="11"/>
        <color rgb="FF7030A0"/>
        <rFont val="Calibri (Body)"/>
      </rPr>
      <t>#ADMIN1 ES#</t>
    </r>
    <r>
      <rPr>
        <sz val="11"/>
        <color theme="1"/>
        <rFont val="Calibri"/>
        <family val="2"/>
        <scheme val="minor"/>
      </rPr>
      <t xml:space="preserve"> reside su hogar?</t>
    </r>
  </si>
  <si>
    <r>
      <t xml:space="preserve">Actualmente, ¿en qué </t>
    </r>
    <r>
      <rPr>
        <b/>
        <sz val="11"/>
        <color rgb="FF7030A0"/>
        <rFont val="Calibri (Body)"/>
      </rPr>
      <t>#ADMIN2 ES#</t>
    </r>
    <r>
      <rPr>
        <sz val="11"/>
        <color theme="1"/>
        <rFont val="Calibri"/>
        <family val="2"/>
        <scheme val="minor"/>
      </rPr>
      <t xml:space="preserve"> reside su hogar?</t>
    </r>
  </si>
  <si>
    <r>
      <t xml:space="preserve">Ahora me gustaría preguntarle sobre la producción de cultivos. Estas preguntas aplican para usted o cualquier miembro de su hogar que esté involucrado/a en la producción de cultivos. Todas las preguntas se refieren a lo producido durante </t>
    </r>
    <r>
      <rPr>
        <b/>
        <sz val="11"/>
        <color rgb="FF7030A0"/>
        <rFont val="Calibri"/>
        <family val="2"/>
        <scheme val="minor"/>
      </rPr>
      <t>#</t>
    </r>
    <r>
      <rPr>
        <b/>
        <sz val="11"/>
        <color rgb="FF7030A0"/>
        <rFont val="Calibri (Cuerpo)"/>
      </rPr>
      <t>season ES#</t>
    </r>
    <r>
      <rPr>
        <sz val="11"/>
        <rFont val="Calibri (Cuerpo)"/>
      </rPr>
      <t>.</t>
    </r>
  </si>
  <si>
    <r>
      <t xml:space="preserve">¿Cómo se compara el precio actual de ${fishsalesmain} vendido por su hogar, con respecto con el precio promedio para el mismo periodo/cosecha de </t>
    </r>
    <r>
      <rPr>
        <b/>
        <sz val="11"/>
        <color rgb="FF7030A0"/>
        <rFont val="Calibri (Body)"/>
      </rPr>
      <t>#</t>
    </r>
    <r>
      <rPr>
        <b/>
        <sz val="11"/>
        <color rgb="FF7030A0"/>
        <rFont val="Calibri (Cuerpo)"/>
      </rPr>
      <t>reference year ES#</t>
    </r>
    <r>
      <rPr>
        <sz val="11"/>
        <rFont val="Calibri (Cuerpo)"/>
      </rPr>
      <t>?</t>
    </r>
  </si>
  <si>
    <t>Escriba un número de teléfono de su país en el formato típico, por ejemplo 77******* [por favor, utilice exactamente el número de caracteres que se encuentran en un número de teléfono].</t>
  </si>
  <si>
    <t>Edad mínima del encuestado (recomendamos 18 años).</t>
  </si>
  <si>
    <t>autocomplete</t>
  </si>
  <si>
    <t>YES - other household member</t>
  </si>
  <si>
    <t>SI - De otro miembro del hogar</t>
  </si>
  <si>
    <t>SI - De un amigo o familiar [no miembro del hogar]</t>
  </si>
  <si>
    <t>YES - friend or relative [non-household member]</t>
  </si>
  <si>
    <t xml:space="preserve">${contact_2} = '1' or ${contact_2} = '2' or ${contact_2} = '3' </t>
  </si>
  <si>
    <t xml:space="preserve">${contact_2} = '2' or ${contact_2} = '3' </t>
  </si>
  <si>
    <t xml:space="preserve">${contact_3} = '1' or ${contact_3} = '2' or ${contact_3} = '3' </t>
  </si>
  <si>
    <t xml:space="preserve">${contact_3} = '2' or ${contact_3} = '3' </t>
  </si>
  <si>
    <r>
      <t>What is the main crop that your household grows for food or income generation in</t>
    </r>
    <r>
      <rPr>
        <b/>
        <sz val="11"/>
        <color rgb="FF7030A0"/>
        <rFont val="Calibri"/>
        <family val="2"/>
        <scheme val="minor"/>
      </rPr>
      <t xml:space="preserve"> #season#</t>
    </r>
    <r>
      <rPr>
        <sz val="11"/>
        <color theme="1"/>
        <rFont val="Calibri"/>
        <family val="2"/>
        <scheme val="minor"/>
      </rPr>
      <t>, if any?</t>
    </r>
  </si>
  <si>
    <r>
      <t xml:space="preserve">De haber alguno, ¿cuál es el principal cultivo que su hogar produce para la alimentación o la generación de ingresos en </t>
    </r>
    <r>
      <rPr>
        <b/>
        <sz val="11"/>
        <color rgb="FF7030A0"/>
        <rFont val="Calibri"/>
        <family val="2"/>
        <scheme val="minor"/>
      </rPr>
      <t>#</t>
    </r>
    <r>
      <rPr>
        <b/>
        <sz val="11"/>
        <color rgb="FF7030A0"/>
        <rFont val="Calibri (Cuerpo)"/>
      </rPr>
      <t>season ES#</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</si>
</sst>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b/>
      <sz val="11"/>
      <color rgb="FFC00000"/>
      <name val="Calibri (Body)"/>
    </font>
    <font>
      <i/>
      <sz val="11"/>
      <color theme="0" tint="-0.34998626667073579"/>
      <name val="Calibri"/>
      <family val="2"/>
    </font>
    <font>
      <i/>
      <sz val="11"/>
      <color theme="0" tint="-0.34998626667073579"/>
      <name val="Calibri (Body)"/>
    </font>
    <font>
      <b/>
      <sz val="11"/>
      <color rgb="FFC00000"/>
      <name val="Calibri"/>
      <family val="2"/>
      <scheme val="minor"/>
    </font>
    <font>
      <sz val="11"/>
      <color theme="0" tint="-0.34998626667073579"/>
      <name val="Calibri (Cuerpo)"/>
    </font>
    <font>
      <b/>
      <sz val="11"/>
      <color rgb="FF7030A0"/>
      <name val="Calibri (Cuerpo)"/>
    </font>
    <font>
      <sz val="11"/>
      <name val="Calibri (Cuerpo)"/>
    </font>
    <font>
      <b/>
      <sz val="11"/>
      <color theme="0" tint="-0.34998626667073579"/>
      <name val="Calibri (Cuerpo)"/>
    </font>
    <font>
      <sz val="11"/>
      <color rgb="FFFF0000"/>
      <name val="Calibri (Cuerpo)"/>
    </font>
    <font>
      <b/>
      <u/>
      <sz val="11"/>
      <name val="Calibri"/>
      <family val="2"/>
      <scheme val="minor"/>
    </font>
    <font>
      <u/>
      <sz val="11"/>
      <name val="Calibri (Cuerpo)"/>
    </font>
    <font>
      <sz val="11"/>
      <color theme="0" tint="-0.34995574816125979"/>
      <name val="Calibri"/>
      <family val="2"/>
      <scheme val="minor"/>
    </font>
    <font>
      <sz val="12"/>
      <color theme="9" tint="-0.499984740745262"/>
      <name val="Calibri"/>
      <family val="2"/>
      <scheme val="minor"/>
    </font>
  </fonts>
  <fills count="10">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5117038483843"/>
        <bgColor indexed="64"/>
      </patternFill>
    </fill>
    <fill>
      <patternFill patternType="solid">
        <fgColor rgb="FFF2DCDB"/>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style="thin">
        <color indexed="64"/>
      </left>
      <right style="thin">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0">
    <xf numFmtId="0" fontId="0" fillId="0" borderId="0"/>
    <xf numFmtId="0" fontId="12" fillId="0" borderId="0"/>
    <xf numFmtId="0" fontId="15" fillId="0" borderId="0"/>
    <xf numFmtId="0" fontId="21" fillId="0" borderId="0"/>
    <xf numFmtId="0" fontId="11" fillId="0" borderId="0"/>
    <xf numFmtId="0" fontId="10" fillId="0" borderId="0"/>
    <xf numFmtId="0" fontId="26" fillId="4" borderId="14" applyNumberFormat="0" applyAlignment="0" applyProtection="0"/>
    <xf numFmtId="9" fontId="15" fillId="0" borderId="0" applyFont="0" applyFill="0" applyBorder="0" applyAlignment="0" applyProtection="0"/>
    <xf numFmtId="0" fontId="9" fillId="0" borderId="0"/>
    <xf numFmtId="0" fontId="9" fillId="0" borderId="0"/>
    <xf numFmtId="0" fontId="9" fillId="0" borderId="0"/>
    <xf numFmtId="0" fontId="8" fillId="0" borderId="0"/>
    <xf numFmtId="0" fontId="15" fillId="0" borderId="0"/>
    <xf numFmtId="0" fontId="8" fillId="0" borderId="0"/>
    <xf numFmtId="0" fontId="15" fillId="0" borderId="0"/>
    <xf numFmtId="0" fontId="5" fillId="0" borderId="0"/>
    <xf numFmtId="0" fontId="15" fillId="0" borderId="0"/>
    <xf numFmtId="0" fontId="4" fillId="0" borderId="0"/>
    <xf numFmtId="0" fontId="2" fillId="0" borderId="0"/>
    <xf numFmtId="0" fontId="2" fillId="0" borderId="0"/>
  </cellStyleXfs>
  <cellXfs count="301">
    <xf numFmtId="0" fontId="0" fillId="0" borderId="0" xfId="0"/>
    <xf numFmtId="0" fontId="14" fillId="2" borderId="0" xfId="0" applyFont="1" applyFill="1" applyProtection="1">
      <protection locked="0"/>
    </xf>
    <xf numFmtId="0" fontId="14" fillId="0" borderId="0" xfId="0" applyFont="1" applyProtection="1">
      <protection locked="0"/>
    </xf>
    <xf numFmtId="0" fontId="0" fillId="0" borderId="0" xfId="0" applyProtection="1">
      <protection locked="0"/>
    </xf>
    <xf numFmtId="0" fontId="0" fillId="2" borderId="0" xfId="0" applyFill="1" applyProtection="1">
      <protection locked="0"/>
    </xf>
    <xf numFmtId="0" fontId="16" fillId="2" borderId="0" xfId="0" applyFont="1" applyFill="1" applyProtection="1">
      <protection locked="0"/>
    </xf>
    <xf numFmtId="0" fontId="14" fillId="0" borderId="0" xfId="0" applyFont="1"/>
    <xf numFmtId="0" fontId="19" fillId="2" borderId="0" xfId="0" applyFont="1" applyFill="1" applyProtection="1">
      <protection locked="0"/>
    </xf>
    <xf numFmtId="0" fontId="13" fillId="2" borderId="0" xfId="0" applyFont="1" applyFill="1" applyProtection="1">
      <protection locked="0"/>
    </xf>
    <xf numFmtId="0" fontId="27" fillId="2" borderId="7" xfId="6" applyFont="1" applyFill="1" applyBorder="1" applyAlignment="1" applyProtection="1">
      <alignment horizontal="center" vertical="center"/>
      <protection locked="0"/>
    </xf>
    <xf numFmtId="0" fontId="18" fillId="0" borderId="0" xfId="0" applyFont="1" applyProtection="1">
      <protection locked="0"/>
    </xf>
    <xf numFmtId="0" fontId="19" fillId="0" borderId="0" xfId="0" applyFont="1" applyProtection="1">
      <protection locked="0"/>
    </xf>
    <xf numFmtId="0" fontId="13" fillId="0" borderId="0" xfId="0" applyFont="1" applyProtection="1">
      <protection locked="0"/>
    </xf>
    <xf numFmtId="0" fontId="17" fillId="0" borderId="0" xfId="0" applyFont="1" applyProtection="1">
      <protection locked="0"/>
    </xf>
    <xf numFmtId="0" fontId="16" fillId="0" borderId="0" xfId="0" applyFont="1" applyProtection="1">
      <protection locked="0"/>
    </xf>
    <xf numFmtId="0" fontId="17" fillId="2" borderId="0" xfId="0" applyFont="1" applyFill="1" applyProtection="1">
      <protection locked="0"/>
    </xf>
    <xf numFmtId="0" fontId="9" fillId="3" borderId="7" xfId="10" applyFill="1" applyBorder="1" applyAlignment="1" applyProtection="1">
      <alignment horizontal="center" vertical="center"/>
      <protection locked="0"/>
    </xf>
    <xf numFmtId="0" fontId="9" fillId="3" borderId="4" xfId="10" applyFill="1" applyBorder="1" applyAlignment="1" applyProtection="1">
      <alignment horizontal="center" vertical="center"/>
      <protection locked="0"/>
    </xf>
    <xf numFmtId="0" fontId="28" fillId="0" borderId="40" xfId="0" applyFont="1" applyBorder="1" applyAlignment="1" applyProtection="1">
      <alignment horizontal="center" vertical="center" wrapText="1"/>
      <protection locked="0"/>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6" fillId="0" borderId="0" xfId="0" applyFont="1" applyAlignment="1" applyProtection="1">
      <alignment vertical="top" wrapText="1"/>
      <protection locked="0"/>
    </xf>
    <xf numFmtId="0" fontId="14" fillId="0" borderId="0" xfId="0" applyFont="1" applyAlignment="1">
      <alignment vertical="top"/>
    </xf>
    <xf numFmtId="0" fontId="14" fillId="2" borderId="0" xfId="0" applyFont="1" applyFill="1" applyAlignment="1" applyProtection="1">
      <alignment vertical="top" wrapText="1"/>
      <protection locked="0"/>
    </xf>
    <xf numFmtId="0" fontId="14" fillId="2" borderId="0" xfId="0" applyFont="1" applyFill="1" applyAlignment="1" applyProtection="1">
      <alignment vertical="top"/>
      <protection locked="0"/>
    </xf>
    <xf numFmtId="0" fontId="14" fillId="0" borderId="0" xfId="0" applyFont="1" applyAlignment="1" applyProtection="1">
      <alignment vertical="top"/>
      <protection locked="0"/>
    </xf>
    <xf numFmtId="0" fontId="28" fillId="0" borderId="0" xfId="0" applyFont="1" applyAlignment="1" applyProtection="1">
      <alignment vertical="top"/>
      <protection locked="0"/>
    </xf>
    <xf numFmtId="0" fontId="0" fillId="0" borderId="0" xfId="0" applyAlignment="1">
      <alignment vertical="top"/>
    </xf>
    <xf numFmtId="0" fontId="16" fillId="0" borderId="0" xfId="0" applyFont="1" applyAlignment="1" applyProtection="1">
      <alignment vertical="top"/>
      <protection locked="0"/>
    </xf>
    <xf numFmtId="0" fontId="17" fillId="0" borderId="0" xfId="0" applyFont="1" applyAlignment="1" applyProtection="1">
      <alignment vertical="top"/>
      <protection locked="0"/>
    </xf>
    <xf numFmtId="0" fontId="17" fillId="0" borderId="0" xfId="0" applyFont="1" applyAlignment="1" applyProtection="1">
      <alignment vertical="top" wrapText="1"/>
      <protection locked="0"/>
    </xf>
    <xf numFmtId="0" fontId="17" fillId="2" borderId="0" xfId="0" applyFont="1" applyFill="1" applyAlignment="1" applyProtection="1">
      <alignment vertical="top" wrapText="1"/>
      <protection locked="0"/>
    </xf>
    <xf numFmtId="0" fontId="16" fillId="0" borderId="0" xfId="0" applyFont="1" applyAlignment="1">
      <alignment vertical="top"/>
    </xf>
    <xf numFmtId="0" fontId="16" fillId="0" borderId="0" xfId="0" applyFont="1" applyAlignment="1">
      <alignment vertical="top" wrapText="1"/>
    </xf>
    <xf numFmtId="0" fontId="28" fillId="0" borderId="0" xfId="0" applyFont="1" applyAlignment="1">
      <alignment vertical="top"/>
    </xf>
    <xf numFmtId="0" fontId="17" fillId="2" borderId="0" xfId="0" applyFont="1" applyFill="1" applyAlignment="1" applyProtection="1">
      <alignment vertical="top"/>
      <protection locked="0"/>
    </xf>
    <xf numFmtId="0" fontId="17" fillId="0" borderId="1" xfId="0" applyFont="1" applyBorder="1" applyAlignment="1" applyProtection="1">
      <alignment vertical="top"/>
      <protection locked="0"/>
    </xf>
    <xf numFmtId="0" fontId="17" fillId="0" borderId="1" xfId="0" applyFont="1" applyBorder="1" applyAlignment="1" applyProtection="1">
      <alignment vertical="top" wrapText="1"/>
      <protection locked="0"/>
    </xf>
    <xf numFmtId="0" fontId="17" fillId="2" borderId="1" xfId="0" applyFont="1" applyFill="1" applyBorder="1" applyAlignment="1" applyProtection="1">
      <alignment vertical="top" wrapText="1"/>
      <protection locked="0"/>
    </xf>
    <xf numFmtId="0" fontId="17"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6" fillId="0" borderId="1" xfId="0" applyFont="1" applyBorder="1" applyAlignment="1" applyProtection="1">
      <alignment vertical="top"/>
      <protection locked="0"/>
    </xf>
    <xf numFmtId="0" fontId="16" fillId="0" borderId="1" xfId="0" applyFont="1" applyBorder="1" applyAlignment="1" applyProtection="1">
      <alignment vertical="top" wrapText="1"/>
      <protection locked="0"/>
    </xf>
    <xf numFmtId="0" fontId="16" fillId="2" borderId="1" xfId="0" applyFont="1" applyFill="1" applyBorder="1" applyAlignment="1" applyProtection="1">
      <alignment vertical="top" wrapText="1"/>
      <protection locked="0"/>
    </xf>
    <xf numFmtId="0" fontId="16" fillId="2" borderId="1" xfId="0" applyFont="1" applyFill="1" applyBorder="1" applyAlignment="1" applyProtection="1">
      <alignment vertical="top"/>
      <protection locked="0"/>
    </xf>
    <xf numFmtId="0" fontId="14" fillId="0" borderId="0" xfId="0" applyFont="1" applyAlignment="1">
      <alignment vertical="top" wrapText="1"/>
    </xf>
    <xf numFmtId="0" fontId="14" fillId="0" borderId="0" xfId="0" applyFont="1" applyAlignment="1" applyProtection="1">
      <alignment vertical="top" wrapText="1"/>
      <protection locked="0"/>
    </xf>
    <xf numFmtId="0" fontId="36" fillId="0" borderId="0" xfId="0" applyFont="1" applyAlignment="1" applyProtection="1">
      <alignment vertical="top"/>
      <protection locked="0"/>
    </xf>
    <xf numFmtId="0" fontId="16" fillId="0" borderId="1" xfId="0" applyFont="1" applyBorder="1" applyAlignment="1">
      <alignment vertical="top"/>
    </xf>
    <xf numFmtId="0" fontId="16" fillId="0" borderId="1" xfId="0" applyFont="1" applyBorder="1" applyAlignment="1">
      <alignment vertical="top" wrapText="1"/>
    </xf>
    <xf numFmtId="0" fontId="16" fillId="2" borderId="0" xfId="0" applyFont="1" applyFill="1" applyAlignment="1" applyProtection="1">
      <alignment vertical="top" wrapText="1"/>
      <protection locked="0"/>
    </xf>
    <xf numFmtId="0" fontId="18" fillId="0" borderId="0" xfId="0" applyFont="1" applyAlignment="1" applyProtection="1">
      <alignment vertical="top"/>
      <protection locked="0"/>
    </xf>
    <xf numFmtId="0" fontId="16"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8" fillId="0" borderId="0" xfId="0" applyFont="1" applyAlignment="1">
      <alignment vertical="top" wrapText="1"/>
    </xf>
    <xf numFmtId="0" fontId="20" fillId="2" borderId="0" xfId="0" applyFont="1" applyFill="1" applyAlignment="1" applyProtection="1">
      <alignment vertical="top"/>
      <protection locked="0"/>
    </xf>
    <xf numFmtId="0" fontId="18" fillId="2" borderId="0" xfId="0" applyFont="1" applyFill="1" applyAlignment="1" applyProtection="1">
      <alignment vertical="top"/>
      <protection locked="0"/>
    </xf>
    <xf numFmtId="0" fontId="18" fillId="0" borderId="0" xfId="0" applyFont="1" applyAlignment="1">
      <alignment vertical="top"/>
    </xf>
    <xf numFmtId="165" fontId="16" fillId="0" borderId="0" xfId="0" applyNumberFormat="1" applyFont="1" applyAlignment="1" applyProtection="1">
      <alignment vertical="top"/>
      <protection locked="0"/>
    </xf>
    <xf numFmtId="9" fontId="16" fillId="0" borderId="0" xfId="0" applyNumberFormat="1" applyFont="1" applyAlignment="1" applyProtection="1">
      <alignment vertical="top"/>
      <protection locked="0"/>
    </xf>
    <xf numFmtId="0" fontId="22" fillId="2" borderId="0" xfId="0" applyFont="1" applyFill="1" applyAlignment="1" applyProtection="1">
      <alignment vertical="top" wrapText="1"/>
      <protection locked="0"/>
    </xf>
    <xf numFmtId="0" fontId="22"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4" fillId="0" borderId="0" xfId="0" applyFont="1" applyAlignment="1">
      <alignment horizontal="center" vertical="center"/>
    </xf>
    <xf numFmtId="0" fontId="14" fillId="0" borderId="0" xfId="0" applyFont="1" applyAlignment="1">
      <alignment horizontal="center" vertical="center" wrapText="1"/>
    </xf>
    <xf numFmtId="0" fontId="14" fillId="2" borderId="0" xfId="0" applyFont="1" applyFill="1" applyAlignment="1" applyProtection="1">
      <alignment horizontal="center" vertical="center" wrapText="1"/>
      <protection locked="0"/>
    </xf>
    <xf numFmtId="0" fontId="14" fillId="2" borderId="0" xfId="0" applyFont="1" applyFill="1" applyAlignment="1" applyProtection="1">
      <alignment horizontal="center" vertical="center"/>
      <protection locked="0"/>
    </xf>
    <xf numFmtId="0" fontId="14" fillId="0" borderId="0" xfId="0" applyFont="1" applyAlignment="1" applyProtection="1">
      <alignment horizontal="center" vertical="center"/>
      <protection locked="0"/>
    </xf>
    <xf numFmtId="0" fontId="28" fillId="0" borderId="0" xfId="0" applyFont="1" applyAlignment="1" applyProtection="1">
      <alignment horizontal="center" vertical="center"/>
      <protection locked="0"/>
    </xf>
    <xf numFmtId="0" fontId="0" fillId="0" borderId="0" xfId="0" applyAlignment="1">
      <alignment vertical="center"/>
    </xf>
    <xf numFmtId="0" fontId="17" fillId="0" borderId="0" xfId="0" applyFont="1" applyAlignment="1" applyProtection="1">
      <alignment vertical="center"/>
      <protection locked="0"/>
    </xf>
    <xf numFmtId="0" fontId="16" fillId="0" borderId="0" xfId="0" applyFont="1" applyAlignment="1">
      <alignment vertical="center"/>
    </xf>
    <xf numFmtId="0" fontId="17" fillId="0" borderId="1" xfId="0" applyFont="1" applyBorder="1" applyAlignment="1" applyProtection="1">
      <alignment vertical="center"/>
      <protection locked="0"/>
    </xf>
    <xf numFmtId="0" fontId="16" fillId="0" borderId="1" xfId="0" applyFont="1" applyBorder="1" applyAlignment="1" applyProtection="1">
      <alignment vertical="center"/>
      <protection locked="0"/>
    </xf>
    <xf numFmtId="0" fontId="14" fillId="0" borderId="0" xfId="0" applyFont="1" applyAlignment="1">
      <alignment vertical="center"/>
    </xf>
    <xf numFmtId="0" fontId="14" fillId="0" borderId="0" xfId="0" applyFont="1" applyAlignment="1" applyProtection="1">
      <alignment vertical="center"/>
      <protection locked="0"/>
    </xf>
    <xf numFmtId="0" fontId="0" fillId="0" borderId="0" xfId="0" applyAlignment="1" applyProtection="1">
      <alignment vertical="center"/>
      <protection locked="0"/>
    </xf>
    <xf numFmtId="0" fontId="36" fillId="0" borderId="0" xfId="0" applyFont="1" applyAlignment="1" applyProtection="1">
      <alignment vertical="center"/>
      <protection locked="0"/>
    </xf>
    <xf numFmtId="0" fontId="36" fillId="0" borderId="0" xfId="0" applyFont="1" applyAlignment="1">
      <alignment vertical="center"/>
    </xf>
    <xf numFmtId="0" fontId="17" fillId="0" borderId="0" xfId="0" applyFont="1" applyAlignment="1">
      <alignment vertical="center"/>
    </xf>
    <xf numFmtId="0" fontId="16" fillId="0" borderId="1" xfId="0" applyFont="1" applyBorder="1" applyAlignment="1">
      <alignment vertical="center"/>
    </xf>
    <xf numFmtId="0" fontId="16" fillId="0" borderId="0" xfId="0" applyFont="1" applyAlignment="1" applyProtection="1">
      <alignment vertical="center"/>
      <protection locked="0"/>
    </xf>
    <xf numFmtId="0" fontId="0" fillId="0" borderId="1" xfId="0" applyBorder="1" applyAlignment="1">
      <alignment vertical="center"/>
    </xf>
    <xf numFmtId="0" fontId="28" fillId="0" borderId="0" xfId="0" applyFont="1" applyAlignment="1">
      <alignment vertical="center"/>
    </xf>
    <xf numFmtId="0" fontId="20" fillId="0" borderId="0" xfId="0" applyFont="1" applyAlignment="1" applyProtection="1">
      <alignment vertical="center"/>
      <protection locked="0"/>
    </xf>
    <xf numFmtId="0" fontId="17" fillId="0" borderId="0" xfId="0" applyFont="1" applyAlignment="1" applyProtection="1">
      <alignment vertical="center" wrapText="1"/>
      <protection locked="0"/>
    </xf>
    <xf numFmtId="0" fontId="13" fillId="0" borderId="0" xfId="0" applyFont="1" applyAlignment="1">
      <alignment vertical="center"/>
    </xf>
    <xf numFmtId="0" fontId="0" fillId="0" borderId="2" xfId="0" applyBorder="1"/>
    <xf numFmtId="0" fontId="16"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4" fillId="0" borderId="7" xfId="0" applyFont="1" applyBorder="1" applyAlignment="1">
      <alignment horizontal="center" vertical="center" wrapText="1"/>
    </xf>
    <xf numFmtId="0" fontId="28" fillId="0" borderId="7" xfId="0" applyFont="1" applyBorder="1" applyAlignment="1">
      <alignment horizontal="center" vertical="center"/>
    </xf>
    <xf numFmtId="0" fontId="28" fillId="0" borderId="7" xfId="0" applyFont="1" applyBorder="1" applyAlignment="1">
      <alignment horizontal="center" vertical="center" wrapText="1"/>
    </xf>
    <xf numFmtId="0" fontId="16" fillId="0" borderId="7" xfId="0" applyFont="1" applyBorder="1" applyAlignment="1">
      <alignment horizontal="center" vertical="center"/>
    </xf>
    <xf numFmtId="0" fontId="16" fillId="0" borderId="7" xfId="0" applyFont="1" applyBorder="1" applyAlignment="1">
      <alignment wrapText="1"/>
    </xf>
    <xf numFmtId="0" fontId="28" fillId="0" borderId="7" xfId="0" applyFont="1" applyBorder="1" applyAlignment="1">
      <alignment wrapText="1"/>
    </xf>
    <xf numFmtId="0" fontId="16"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6"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3" fillId="0" borderId="0" xfId="0" applyFont="1" applyAlignment="1">
      <alignment vertical="center"/>
    </xf>
    <xf numFmtId="0" fontId="43" fillId="0" borderId="0" xfId="0" applyFont="1" applyAlignment="1">
      <alignment vertical="top"/>
    </xf>
    <xf numFmtId="0" fontId="43" fillId="0" borderId="0" xfId="0" applyFont="1" applyAlignment="1">
      <alignment vertical="top" wrapText="1"/>
    </xf>
    <xf numFmtId="0" fontId="43" fillId="0" borderId="0" xfId="0" applyFont="1" applyAlignment="1" applyProtection="1">
      <alignment vertical="top"/>
      <protection locked="0"/>
    </xf>
    <xf numFmtId="0" fontId="43" fillId="2" borderId="0" xfId="0" applyFont="1" applyFill="1" applyAlignment="1" applyProtection="1">
      <alignment vertical="top" wrapText="1"/>
      <protection locked="0"/>
    </xf>
    <xf numFmtId="0" fontId="43" fillId="2" borderId="0" xfId="0" applyFont="1" applyFill="1" applyAlignment="1" applyProtection="1">
      <alignment vertical="top"/>
      <protection locked="0"/>
    </xf>
    <xf numFmtId="0" fontId="29" fillId="0" borderId="0" xfId="0" applyFont="1" applyAlignment="1" applyProtection="1">
      <alignment vertical="top" wrapText="1"/>
      <protection locked="0"/>
    </xf>
    <xf numFmtId="9" fontId="17" fillId="0" borderId="0" xfId="0" applyNumberFormat="1" applyFont="1" applyAlignment="1" applyProtection="1">
      <alignment vertical="top"/>
      <protection locked="0"/>
    </xf>
    <xf numFmtId="0" fontId="22" fillId="0" borderId="0" xfId="0" applyFont="1" applyAlignment="1" applyProtection="1">
      <alignment vertical="top"/>
      <protection locked="0"/>
    </xf>
    <xf numFmtId="0" fontId="22" fillId="0" borderId="0" xfId="0" applyFont="1" applyAlignment="1" applyProtection="1">
      <alignment vertical="center"/>
      <protection locked="0"/>
    </xf>
    <xf numFmtId="9" fontId="16" fillId="0" borderId="0" xfId="7" applyFont="1" applyFill="1" applyAlignment="1" applyProtection="1">
      <alignment vertical="top"/>
      <protection locked="0"/>
    </xf>
    <xf numFmtId="164" fontId="16" fillId="0" borderId="0" xfId="0" applyNumberFormat="1" applyFont="1" applyAlignment="1" applyProtection="1">
      <alignment vertical="top"/>
      <protection locked="0"/>
    </xf>
    <xf numFmtId="164" fontId="16" fillId="0" borderId="0" xfId="0" applyNumberFormat="1" applyFont="1" applyAlignment="1" applyProtection="1">
      <alignment vertical="top" wrapText="1"/>
      <protection locked="0"/>
    </xf>
    <xf numFmtId="9" fontId="16" fillId="0" borderId="0" xfId="7" applyFont="1" applyFill="1" applyAlignment="1" applyProtection="1">
      <alignment vertical="top" wrapText="1"/>
      <protection locked="0"/>
    </xf>
    <xf numFmtId="9" fontId="16" fillId="0" borderId="0" xfId="7" applyFont="1" applyFill="1" applyBorder="1" applyAlignment="1" applyProtection="1">
      <alignment vertical="top"/>
      <protection locked="0"/>
    </xf>
    <xf numFmtId="164" fontId="17" fillId="0" borderId="0" xfId="0" applyNumberFormat="1" applyFont="1" applyAlignment="1" applyProtection="1">
      <alignment vertical="top"/>
      <protection locked="0"/>
    </xf>
    <xf numFmtId="9" fontId="17" fillId="0" borderId="0" xfId="7" applyFont="1" applyFill="1" applyBorder="1" applyAlignment="1" applyProtection="1">
      <alignment vertical="top"/>
      <protection locked="0"/>
    </xf>
    <xf numFmtId="9" fontId="28" fillId="0" borderId="17" xfId="7" applyFont="1" applyFill="1" applyBorder="1" applyAlignment="1" applyProtection="1">
      <alignment vertical="top"/>
      <protection locked="0"/>
    </xf>
    <xf numFmtId="0" fontId="28" fillId="0" borderId="18" xfId="0" applyFont="1" applyBorder="1" applyAlignment="1" applyProtection="1">
      <alignment vertical="top"/>
      <protection locked="0"/>
    </xf>
    <xf numFmtId="0" fontId="28" fillId="2" borderId="0" xfId="0" applyFont="1" applyFill="1" applyAlignment="1" applyProtection="1">
      <alignment vertical="top" wrapText="1"/>
      <protection locked="0"/>
    </xf>
    <xf numFmtId="0" fontId="28" fillId="2" borderId="0" xfId="0" applyFont="1" applyFill="1" applyAlignment="1" applyProtection="1">
      <alignment vertical="top"/>
      <protection locked="0"/>
    </xf>
    <xf numFmtId="49" fontId="43" fillId="0" borderId="0" xfId="0" applyNumberFormat="1" applyFont="1" applyAlignment="1">
      <alignment horizontal="left" vertical="top" wrapText="1"/>
    </xf>
    <xf numFmtId="1" fontId="41" fillId="2" borderId="7" xfId="5" applyNumberFormat="1" applyFont="1" applyFill="1" applyBorder="1" applyAlignment="1" applyProtection="1">
      <alignment horizontal="center" vertical="center"/>
      <protection locked="0"/>
    </xf>
    <xf numFmtId="0" fontId="33" fillId="0" borderId="0" xfId="0" applyFont="1" applyProtection="1">
      <protection locked="0"/>
    </xf>
    <xf numFmtId="49" fontId="43" fillId="0" borderId="0" xfId="0" applyNumberFormat="1" applyFont="1" applyAlignment="1" applyProtection="1">
      <alignment horizontal="left" vertical="top" wrapText="1"/>
      <protection locked="0"/>
    </xf>
    <xf numFmtId="0" fontId="43" fillId="0" borderId="0" xfId="0" applyFont="1" applyAlignment="1" applyProtection="1">
      <alignment vertical="center"/>
      <protection locked="0"/>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7" fillId="0" borderId="7" xfId="6" applyFont="1" applyFill="1" applyBorder="1" applyAlignment="1" applyProtection="1">
      <alignment horizontal="center" vertical="center"/>
    </xf>
    <xf numFmtId="0" fontId="16" fillId="0" borderId="0" xfId="0" applyFont="1" applyAlignment="1" applyProtection="1">
      <alignment horizontal="right" vertical="top"/>
      <protection locked="0"/>
    </xf>
    <xf numFmtId="164" fontId="16" fillId="0" borderId="0" xfId="0" applyNumberFormat="1" applyFont="1" applyAlignment="1" applyProtection="1">
      <alignment horizontal="right" vertical="top"/>
      <protection locked="0"/>
    </xf>
    <xf numFmtId="164" fontId="16" fillId="0" borderId="0" xfId="0" applyNumberFormat="1" applyFont="1" applyAlignment="1">
      <alignment horizontal="right" vertical="top"/>
    </xf>
    <xf numFmtId="0" fontId="28" fillId="0" borderId="17" xfId="0" applyFont="1" applyBorder="1" applyAlignment="1" applyProtection="1">
      <alignment horizontal="right" vertical="top"/>
      <protection locked="0"/>
    </xf>
    <xf numFmtId="164" fontId="16" fillId="0" borderId="0" xfId="0" applyNumberFormat="1" applyFont="1" applyAlignment="1" applyProtection="1">
      <alignment horizontal="right" vertical="top" wrapText="1"/>
      <protection locked="0"/>
    </xf>
    <xf numFmtId="164" fontId="17" fillId="0" borderId="0" xfId="0" applyNumberFormat="1" applyFont="1" applyAlignment="1" applyProtection="1">
      <alignment horizontal="right" vertical="top"/>
      <protection locked="0"/>
    </xf>
    <xf numFmtId="0" fontId="14" fillId="0" borderId="34" xfId="0" applyFont="1" applyBorder="1" applyAlignment="1" applyProtection="1">
      <alignment horizontal="center" vertical="center" wrapText="1"/>
      <protection locked="0"/>
    </xf>
    <xf numFmtId="0" fontId="28" fillId="6" borderId="12" xfId="0" applyFont="1" applyFill="1" applyBorder="1" applyAlignment="1" applyProtection="1">
      <alignment horizontal="center" vertical="center" wrapText="1"/>
      <protection locked="0"/>
    </xf>
    <xf numFmtId="9" fontId="28" fillId="6" borderId="11" xfId="7" applyFont="1" applyFill="1" applyBorder="1" applyAlignment="1" applyProtection="1">
      <alignment horizontal="center" vertical="center" wrapText="1"/>
      <protection locked="0"/>
    </xf>
    <xf numFmtId="0" fontId="28" fillId="6" borderId="11" xfId="0" applyFont="1" applyFill="1" applyBorder="1" applyAlignment="1" applyProtection="1">
      <alignment horizontal="center" vertical="center" wrapText="1"/>
      <protection locked="0"/>
    </xf>
    <xf numFmtId="0" fontId="27" fillId="0" borderId="20" xfId="0" applyFont="1" applyBorder="1" applyProtection="1">
      <protection locked="0"/>
    </xf>
    <xf numFmtId="0" fontId="0" fillId="0" borderId="17" xfId="0" applyBorder="1" applyAlignment="1" applyProtection="1">
      <alignment vertical="top"/>
      <protection locked="0"/>
    </xf>
    <xf numFmtId="9" fontId="17" fillId="0" borderId="0" xfId="7" applyFont="1" applyFill="1" applyAlignment="1" applyProtection="1">
      <alignment vertical="top"/>
      <protection locked="0"/>
    </xf>
    <xf numFmtId="0" fontId="17" fillId="3" borderId="0" xfId="0" applyFont="1" applyFill="1" applyProtection="1">
      <protection locked="0"/>
    </xf>
    <xf numFmtId="0" fontId="29" fillId="2" borderId="0" xfId="0" applyFont="1" applyFill="1" applyProtection="1">
      <protection locked="0"/>
    </xf>
    <xf numFmtId="0" fontId="29" fillId="0" borderId="0" xfId="0" applyFont="1" applyProtection="1">
      <protection locked="0"/>
    </xf>
    <xf numFmtId="0" fontId="0" fillId="3" borderId="0" xfId="0" applyFill="1" applyProtection="1">
      <protection locked="0"/>
    </xf>
    <xf numFmtId="0" fontId="6" fillId="3" borderId="7" xfId="5" applyFont="1" applyFill="1" applyBorder="1" applyAlignment="1" applyProtection="1">
      <alignment horizontal="center" vertical="center"/>
      <protection locked="0"/>
    </xf>
    <xf numFmtId="2" fontId="6" fillId="3" borderId="24" xfId="5" applyNumberFormat="1" applyFont="1" applyFill="1" applyBorder="1" applyAlignment="1" applyProtection="1">
      <alignment horizontal="center" vertical="center"/>
      <protection locked="0"/>
    </xf>
    <xf numFmtId="49" fontId="7" fillId="3" borderId="16" xfId="5" applyNumberFormat="1" applyFont="1" applyFill="1" applyBorder="1" applyAlignment="1" applyProtection="1">
      <alignment horizontal="center" vertical="center"/>
      <protection locked="0"/>
    </xf>
    <xf numFmtId="164" fontId="16" fillId="7" borderId="0" xfId="0" applyNumberFormat="1" applyFont="1" applyFill="1" applyAlignment="1" applyProtection="1">
      <alignment horizontal="right" vertical="top"/>
      <protection locked="0"/>
    </xf>
    <xf numFmtId="9" fontId="16" fillId="7" borderId="0" xfId="7" applyFont="1" applyFill="1" applyAlignment="1" applyProtection="1">
      <alignment vertical="top"/>
      <protection locked="0"/>
    </xf>
    <xf numFmtId="164" fontId="16" fillId="7" borderId="0" xfId="0" applyNumberFormat="1" applyFont="1" applyFill="1" applyAlignment="1" applyProtection="1">
      <alignment vertical="top"/>
      <protection locked="0"/>
    </xf>
    <xf numFmtId="9" fontId="16" fillId="0" borderId="0" xfId="7" applyFont="1" applyFill="1" applyAlignment="1" applyProtection="1">
      <alignment vertical="top"/>
    </xf>
    <xf numFmtId="164" fontId="16" fillId="0" borderId="0" xfId="0" applyNumberFormat="1" applyFont="1" applyAlignment="1">
      <alignment vertical="top"/>
    </xf>
    <xf numFmtId="0" fontId="0" fillId="0" borderId="0" xfId="0" applyAlignment="1" applyProtection="1">
      <alignment horizontal="left" vertical="center" wrapText="1"/>
      <protection locked="0"/>
    </xf>
    <xf numFmtId="0" fontId="16" fillId="0" borderId="0" xfId="0" applyFont="1" applyAlignment="1">
      <alignment horizontal="left" vertical="top"/>
    </xf>
    <xf numFmtId="0" fontId="0" fillId="0" borderId="1" xfId="0" applyBorder="1" applyAlignment="1" applyProtection="1">
      <alignment vertical="top"/>
      <protection locked="0"/>
    </xf>
    <xf numFmtId="165" fontId="24" fillId="0" borderId="51" xfId="7" applyNumberFormat="1" applyFont="1" applyBorder="1" applyAlignment="1" applyProtection="1">
      <alignment horizontal="center" vertical="center" wrapText="1"/>
    </xf>
    <xf numFmtId="165" fontId="24" fillId="0" borderId="42" xfId="7" applyNumberFormat="1" applyFont="1" applyBorder="1" applyAlignment="1" applyProtection="1">
      <alignment horizontal="center" vertical="center" wrapText="1"/>
    </xf>
    <xf numFmtId="165" fontId="24" fillId="0" borderId="52" xfId="7" applyNumberFormat="1" applyFont="1" applyBorder="1" applyAlignment="1" applyProtection="1">
      <alignment horizontal="center" vertical="center" wrapText="1"/>
    </xf>
    <xf numFmtId="165" fontId="24" fillId="0" borderId="21" xfId="7" applyNumberFormat="1" applyFont="1" applyBorder="1" applyAlignment="1" applyProtection="1">
      <alignment horizontal="center" vertical="center" wrapText="1"/>
    </xf>
    <xf numFmtId="165" fontId="24" fillId="0" borderId="50" xfId="7" applyNumberFormat="1" applyFont="1" applyBorder="1" applyAlignment="1" applyProtection="1">
      <alignment horizontal="center" vertical="center" wrapText="1"/>
    </xf>
    <xf numFmtId="165" fontId="24" fillId="0" borderId="22" xfId="7" applyNumberFormat="1" applyFont="1" applyBorder="1" applyAlignment="1" applyProtection="1">
      <alignment horizontal="center" vertical="center" wrapText="1"/>
    </xf>
    <xf numFmtId="0" fontId="4" fillId="2" borderId="7" xfId="17" applyFill="1" applyBorder="1" applyAlignment="1" applyProtection="1">
      <alignment horizontal="center" vertical="center"/>
      <protection locked="0"/>
    </xf>
    <xf numFmtId="0" fontId="3" fillId="3" borderId="7" xfId="17" applyFont="1" applyFill="1" applyBorder="1" applyAlignment="1" applyProtection="1">
      <alignment horizontal="center" vertical="center" wrapText="1"/>
      <protection locked="0"/>
    </xf>
    <xf numFmtId="0" fontId="9" fillId="0" borderId="2" xfId="10" applyBorder="1"/>
    <xf numFmtId="0" fontId="9" fillId="0" borderId="13" xfId="10" applyBorder="1"/>
    <xf numFmtId="0" fontId="9" fillId="0" borderId="13" xfId="10" applyBorder="1" applyAlignment="1">
      <alignment vertical="center"/>
    </xf>
    <xf numFmtId="0" fontId="4" fillId="0" borderId="13" xfId="17" applyBorder="1"/>
    <xf numFmtId="0" fontId="9" fillId="0" borderId="6" xfId="10" applyBorder="1" applyAlignment="1">
      <alignment vertical="center"/>
    </xf>
    <xf numFmtId="0" fontId="9" fillId="0" borderId="25" xfId="10" applyBorder="1" applyAlignment="1">
      <alignment vertical="center"/>
    </xf>
    <xf numFmtId="0" fontId="25" fillId="0" borderId="12" xfId="10" applyFont="1" applyBorder="1" applyAlignment="1">
      <alignment horizontal="center" vertical="center" wrapText="1"/>
    </xf>
    <xf numFmtId="0" fontId="25" fillId="0" borderId="11" xfId="10" applyFont="1" applyBorder="1" applyAlignment="1">
      <alignment horizontal="center" vertical="center"/>
    </xf>
    <xf numFmtId="0" fontId="25" fillId="0" borderId="47" xfId="10" applyFont="1" applyBorder="1" applyAlignment="1">
      <alignment horizontal="center" vertical="center"/>
    </xf>
    <xf numFmtId="0" fontId="25" fillId="0" borderId="26" xfId="10" applyFont="1" applyBorder="1" applyAlignment="1">
      <alignment horizontal="center" vertical="center"/>
    </xf>
    <xf numFmtId="0" fontId="25" fillId="0" borderId="47" xfId="17" applyFont="1" applyBorder="1" applyAlignment="1">
      <alignment horizontal="center" vertical="center"/>
    </xf>
    <xf numFmtId="0" fontId="25" fillId="0" borderId="18" xfId="10" applyFont="1" applyBorder="1" applyAlignment="1">
      <alignment horizontal="center" vertical="center"/>
    </xf>
    <xf numFmtId="0" fontId="9" fillId="0" borderId="23" xfId="10" applyBorder="1" applyAlignment="1">
      <alignment vertical="center"/>
    </xf>
    <xf numFmtId="0" fontId="9" fillId="0" borderId="2" xfId="10" applyBorder="1" applyAlignment="1">
      <alignment vertical="center"/>
    </xf>
    <xf numFmtId="0" fontId="9" fillId="0" borderId="6" xfId="10" applyBorder="1"/>
    <xf numFmtId="0" fontId="23" fillId="0" borderId="15" xfId="5" applyFont="1" applyBorder="1" applyAlignment="1">
      <alignment horizontal="left" vertical="center" wrapText="1"/>
    </xf>
    <xf numFmtId="0" fontId="4" fillId="5" borderId="55" xfId="17" applyFill="1" applyBorder="1" applyAlignment="1">
      <alignment horizontal="center" vertical="center"/>
    </xf>
    <xf numFmtId="0" fontId="24" fillId="0" borderId="48" xfId="5" applyFont="1" applyBorder="1" applyAlignment="1">
      <alignment vertical="center" wrapText="1"/>
    </xf>
    <xf numFmtId="0" fontId="24" fillId="0" borderId="16" xfId="5" applyFont="1" applyBorder="1" applyAlignment="1">
      <alignment vertical="center" wrapText="1"/>
    </xf>
    <xf numFmtId="0" fontId="15" fillId="0" borderId="53" xfId="17" applyFont="1" applyBorder="1" applyAlignment="1">
      <alignment horizontal="center" vertical="center"/>
    </xf>
    <xf numFmtId="0" fontId="51" fillId="0" borderId="43" xfId="5" applyFont="1" applyBorder="1" applyAlignment="1">
      <alignment horizontal="center" vertical="center"/>
    </xf>
    <xf numFmtId="0" fontId="9" fillId="0" borderId="23" xfId="10" applyBorder="1"/>
    <xf numFmtId="0" fontId="23" fillId="0" borderId="10" xfId="5" applyFont="1" applyBorder="1" applyAlignment="1">
      <alignment horizontal="left" vertical="center"/>
    </xf>
    <xf numFmtId="0" fontId="4" fillId="5" borderId="7" xfId="17" applyFill="1" applyBorder="1" applyAlignment="1">
      <alignment horizontal="center" vertical="center"/>
    </xf>
    <xf numFmtId="0" fontId="23" fillId="0" borderId="7" xfId="5" applyFont="1" applyBorder="1" applyAlignment="1">
      <alignment vertical="center" wrapText="1"/>
    </xf>
    <xf numFmtId="0" fontId="23" fillId="0" borderId="9" xfId="5" applyFont="1" applyBorder="1" applyAlignment="1">
      <alignment vertical="center" wrapText="1"/>
    </xf>
    <xf numFmtId="0" fontId="15" fillId="0" borderId="54" xfId="17" applyFont="1" applyBorder="1" applyAlignment="1">
      <alignment horizontal="center" vertical="center"/>
    </xf>
    <xf numFmtId="0" fontId="51" fillId="0" borderId="44" xfId="5" applyFont="1" applyBorder="1" applyAlignment="1">
      <alignment horizontal="center" vertical="center"/>
    </xf>
    <xf numFmtId="0" fontId="23" fillId="0" borderId="39" xfId="10" applyFont="1" applyBorder="1" applyAlignment="1">
      <alignment horizontal="left" vertical="center"/>
    </xf>
    <xf numFmtId="0" fontId="23" fillId="0" borderId="39" xfId="17" applyFont="1" applyBorder="1" applyAlignment="1">
      <alignment horizontal="center" vertical="center" wrapText="1"/>
    </xf>
    <xf numFmtId="0" fontId="51" fillId="0" borderId="33" xfId="10" applyFont="1" applyBorder="1" applyAlignment="1">
      <alignment horizontal="center" vertical="center" wrapText="1"/>
    </xf>
    <xf numFmtId="0" fontId="23" fillId="0" borderId="38" xfId="10" applyFont="1" applyBorder="1" applyAlignment="1">
      <alignment horizontal="left" vertical="center"/>
    </xf>
    <xf numFmtId="0" fontId="23" fillId="0" borderId="38" xfId="17" applyFont="1" applyBorder="1" applyAlignment="1">
      <alignment horizontal="center" vertical="center" wrapText="1"/>
    </xf>
    <xf numFmtId="0" fontId="51" fillId="0" borderId="29" xfId="10" applyFont="1" applyBorder="1" applyAlignment="1">
      <alignment horizontal="center" vertical="center" wrapText="1"/>
    </xf>
    <xf numFmtId="0" fontId="10" fillId="0" borderId="6" xfId="5" applyBorder="1"/>
    <xf numFmtId="0" fontId="23" fillId="0" borderId="8" xfId="5" applyFont="1" applyBorder="1" applyAlignment="1">
      <alignment vertical="center"/>
    </xf>
    <xf numFmtId="0" fontId="3" fillId="0" borderId="7" xfId="5" applyFont="1" applyBorder="1" applyAlignment="1">
      <alignment horizontal="center" vertical="center"/>
    </xf>
    <xf numFmtId="0" fontId="23" fillId="0" borderId="19" xfId="5" applyFont="1" applyBorder="1" applyAlignment="1">
      <alignment horizontal="left" vertical="center" wrapText="1"/>
    </xf>
    <xf numFmtId="0" fontId="51" fillId="0" borderId="29" xfId="5" applyFont="1" applyBorder="1" applyAlignment="1">
      <alignment horizontal="center" vertical="center" wrapText="1"/>
    </xf>
    <xf numFmtId="0" fontId="10" fillId="0" borderId="23" xfId="5" applyBorder="1"/>
    <xf numFmtId="0" fontId="10" fillId="0" borderId="2" xfId="5" applyBorder="1"/>
    <xf numFmtId="0" fontId="24" fillId="0" borderId="7" xfId="10" applyFont="1" applyBorder="1" applyAlignment="1">
      <alignment vertical="center" wrapText="1"/>
    </xf>
    <xf numFmtId="0" fontId="24" fillId="0" borderId="38" xfId="17" applyFont="1" applyBorder="1" applyAlignment="1">
      <alignment horizontal="center" vertical="center" wrapText="1"/>
    </xf>
    <xf numFmtId="0" fontId="24" fillId="0" borderId="29" xfId="10" applyFont="1" applyBorder="1" applyAlignment="1">
      <alignment horizontal="center" vertical="center" wrapText="1"/>
    </xf>
    <xf numFmtId="0" fontId="7" fillId="0" borderId="2" xfId="10" applyFont="1" applyBorder="1"/>
    <xf numFmtId="0" fontId="4" fillId="5" borderId="7" xfId="17" applyFill="1" applyBorder="1" applyAlignment="1">
      <alignment horizontal="center" vertical="center" wrapText="1"/>
    </xf>
    <xf numFmtId="0" fontId="23" fillId="0" borderId="45" xfId="5" applyFont="1" applyBorder="1" applyAlignment="1">
      <alignment vertical="center"/>
    </xf>
    <xf numFmtId="0" fontId="24" fillId="0" borderId="19" xfId="10" applyFont="1" applyBorder="1" applyAlignment="1">
      <alignment vertical="center" wrapText="1"/>
    </xf>
    <xf numFmtId="0" fontId="24" fillId="0" borderId="29" xfId="5" applyFont="1" applyBorder="1" applyAlignment="1">
      <alignment horizontal="center" vertical="center" wrapText="1"/>
    </xf>
    <xf numFmtId="0" fontId="23" fillId="0" borderId="35" xfId="5" applyFont="1" applyBorder="1" applyAlignment="1">
      <alignment vertical="center"/>
    </xf>
    <xf numFmtId="4" fontId="4" fillId="5" borderId="4" xfId="17" applyNumberFormat="1" applyFill="1" applyBorder="1" applyAlignment="1">
      <alignment horizontal="center" vertical="center"/>
    </xf>
    <xf numFmtId="0" fontId="24" fillId="0" borderId="36" xfId="10" applyFont="1" applyBorder="1" applyAlignment="1">
      <alignment vertical="center" wrapText="1"/>
    </xf>
    <xf numFmtId="2" fontId="24" fillId="0" borderId="49" xfId="17" applyNumberFormat="1" applyFont="1" applyBorder="1" applyAlignment="1">
      <alignment horizontal="center" vertical="center" wrapText="1"/>
    </xf>
    <xf numFmtId="0" fontId="51" fillId="0" borderId="37" xfId="5" applyFont="1" applyBorder="1" applyAlignment="1">
      <alignment horizontal="center" vertical="center" wrapText="1"/>
    </xf>
    <xf numFmtId="0" fontId="23" fillId="0" borderId="10" xfId="10" applyFont="1" applyBorder="1" applyAlignment="1">
      <alignment horizontal="left" vertical="center"/>
    </xf>
    <xf numFmtId="0" fontId="23" fillId="0" borderId="32" xfId="10" applyFont="1" applyBorder="1" applyAlignment="1">
      <alignment vertical="center" wrapText="1"/>
    </xf>
    <xf numFmtId="0" fontId="50" fillId="0" borderId="33" xfId="10" applyFont="1" applyBorder="1" applyAlignment="1">
      <alignment horizontal="center" vertical="center" wrapText="1"/>
    </xf>
    <xf numFmtId="0" fontId="23" fillId="0" borderId="8" xfId="10" applyFont="1" applyBorder="1" applyAlignment="1">
      <alignment horizontal="left" vertical="center"/>
    </xf>
    <xf numFmtId="0" fontId="24" fillId="0" borderId="19" xfId="5" applyFont="1" applyBorder="1" applyAlignment="1">
      <alignment vertical="center" wrapText="1"/>
    </xf>
    <xf numFmtId="0" fontId="50" fillId="0" borderId="29" xfId="10" applyFont="1" applyBorder="1" applyAlignment="1">
      <alignment horizontal="center" vertical="center" wrapText="1"/>
    </xf>
    <xf numFmtId="0" fontId="9" fillId="0" borderId="41" xfId="10" applyBorder="1"/>
    <xf numFmtId="0" fontId="9" fillId="5" borderId="23" xfId="10" applyFill="1" applyBorder="1"/>
    <xf numFmtId="0" fontId="23" fillId="0" borderId="8" xfId="10" applyFont="1" applyBorder="1" applyAlignment="1">
      <alignment horizontal="left" vertical="center" wrapText="1"/>
    </xf>
    <xf numFmtId="0" fontId="23" fillId="0" borderId="5" xfId="10" applyFont="1" applyBorder="1" applyAlignment="1">
      <alignment horizontal="left" vertical="center" wrapText="1"/>
    </xf>
    <xf numFmtId="0" fontId="24" fillId="0" borderId="31" xfId="10" applyFont="1" applyBorder="1" applyAlignment="1">
      <alignment vertical="center" wrapText="1"/>
    </xf>
    <xf numFmtId="0" fontId="24" fillId="0" borderId="50" xfId="17" applyFont="1" applyBorder="1" applyAlignment="1">
      <alignment horizontal="center" vertical="center" wrapText="1"/>
    </xf>
    <xf numFmtId="0" fontId="24" fillId="0" borderId="22" xfId="10" applyFont="1" applyBorder="1" applyAlignment="1">
      <alignment horizontal="center" vertical="center" wrapText="1"/>
    </xf>
    <xf numFmtId="0" fontId="9" fillId="5" borderId="6" xfId="10" applyFill="1" applyBorder="1"/>
    <xf numFmtId="0" fontId="9" fillId="5" borderId="34" xfId="10" applyFill="1" applyBorder="1" applyAlignment="1">
      <alignment wrapText="1"/>
    </xf>
    <xf numFmtId="0" fontId="23" fillId="5" borderId="35" xfId="10" applyFont="1" applyFill="1" applyBorder="1" applyAlignment="1">
      <alignment vertical="center"/>
    </xf>
    <xf numFmtId="0" fontId="9" fillId="5" borderId="24" xfId="10" applyFill="1" applyBorder="1" applyAlignment="1">
      <alignment horizontal="center" vertical="center"/>
    </xf>
    <xf numFmtId="0" fontId="9" fillId="5" borderId="46" xfId="10" applyFill="1" applyBorder="1" applyAlignment="1">
      <alignment horizontal="center" vertical="center"/>
    </xf>
    <xf numFmtId="0" fontId="24" fillId="5" borderId="36" xfId="10" applyFont="1" applyFill="1" applyBorder="1" applyAlignment="1">
      <alignment vertical="center" wrapText="1"/>
    </xf>
    <xf numFmtId="0" fontId="24" fillId="5" borderId="49" xfId="17" applyFont="1" applyFill="1" applyBorder="1" applyAlignment="1">
      <alignment horizontal="center" vertical="center" wrapText="1"/>
    </xf>
    <xf numFmtId="0" fontId="24" fillId="5" borderId="37" xfId="10" applyFont="1" applyFill="1" applyBorder="1" applyAlignment="1">
      <alignment horizontal="center" vertical="center" wrapText="1"/>
    </xf>
    <xf numFmtId="0" fontId="9" fillId="5" borderId="2" xfId="10" applyFill="1" applyBorder="1"/>
    <xf numFmtId="0" fontId="30" fillId="0" borderId="15" xfId="10" applyFont="1" applyBorder="1" applyAlignment="1">
      <alignment horizontal="center" vertical="center" wrapText="1"/>
    </xf>
    <xf numFmtId="165" fontId="4" fillId="5" borderId="16" xfId="7" applyNumberFormat="1" applyFont="1" applyFill="1" applyBorder="1" applyAlignment="1" applyProtection="1">
      <alignment horizontal="center" vertical="center"/>
    </xf>
    <xf numFmtId="0" fontId="42" fillId="0" borderId="16" xfId="10" applyFont="1" applyBorder="1" applyAlignment="1">
      <alignment vertical="center" wrapText="1"/>
    </xf>
    <xf numFmtId="0" fontId="30" fillId="0" borderId="8" xfId="10" applyFont="1" applyBorder="1" applyAlignment="1">
      <alignment horizontal="center" vertical="center" wrapText="1"/>
    </xf>
    <xf numFmtId="165" fontId="4" fillId="5" borderId="7" xfId="7" applyNumberFormat="1" applyFont="1" applyFill="1" applyBorder="1" applyAlignment="1" applyProtection="1">
      <alignment horizontal="center" vertical="center"/>
    </xf>
    <xf numFmtId="0" fontId="42" fillId="0" borderId="7" xfId="10" applyFont="1" applyBorder="1" applyAlignment="1">
      <alignment vertical="center" wrapText="1"/>
    </xf>
    <xf numFmtId="0" fontId="30" fillId="0" borderId="5" xfId="10" applyFont="1" applyBorder="1" applyAlignment="1">
      <alignment horizontal="center" vertical="center" wrapText="1"/>
    </xf>
    <xf numFmtId="165" fontId="4" fillId="5" borderId="4" xfId="7" applyNumberFormat="1" applyFont="1" applyFill="1" applyBorder="1" applyAlignment="1" applyProtection="1">
      <alignment horizontal="center" vertical="center"/>
    </xf>
    <xf numFmtId="0" fontId="42" fillId="0" borderId="4" xfId="10" applyFont="1" applyBorder="1" applyAlignment="1">
      <alignment vertical="center" wrapText="1"/>
    </xf>
    <xf numFmtId="0" fontId="9" fillId="0" borderId="3" xfId="10" applyBorder="1"/>
    <xf numFmtId="0" fontId="9" fillId="0" borderId="3" xfId="10" applyBorder="1" applyAlignment="1">
      <alignment vertical="center"/>
    </xf>
    <xf numFmtId="0" fontId="4" fillId="0" borderId="3" xfId="17" applyBorder="1"/>
    <xf numFmtId="0" fontId="4" fillId="0" borderId="2" xfId="17" applyBorder="1"/>
    <xf numFmtId="165" fontId="9" fillId="2" borderId="16" xfId="10" applyNumberFormat="1" applyFill="1" applyBorder="1" applyAlignment="1" applyProtection="1">
      <alignment horizontal="center" vertical="center"/>
      <protection locked="0"/>
    </xf>
    <xf numFmtId="165" fontId="9" fillId="2" borderId="7" xfId="10" applyNumberFormat="1" applyFill="1" applyBorder="1" applyAlignment="1" applyProtection="1">
      <alignment horizontal="center" vertical="center"/>
      <protection locked="0"/>
    </xf>
    <xf numFmtId="165" fontId="9" fillId="2" borderId="4" xfId="10" applyNumberFormat="1" applyFill="1" applyBorder="1" applyAlignment="1" applyProtection="1">
      <alignment horizontal="center" vertical="center"/>
      <protection locked="0"/>
    </xf>
    <xf numFmtId="0" fontId="0" fillId="0" borderId="6" xfId="0" applyBorder="1" applyAlignment="1">
      <alignment wrapText="1"/>
    </xf>
    <xf numFmtId="0" fontId="27" fillId="0" borderId="7" xfId="6" applyFont="1" applyFill="1" applyBorder="1" applyAlignment="1" applyProtection="1">
      <alignment horizontal="center" vertical="center" wrapText="1"/>
    </xf>
    <xf numFmtId="0" fontId="16" fillId="0" borderId="7" xfId="0" applyFont="1" applyBorder="1" applyAlignment="1">
      <alignment horizontal="center" vertical="center" wrapText="1"/>
    </xf>
    <xf numFmtId="0" fontId="16" fillId="0" borderId="0" xfId="0" applyFont="1" applyAlignment="1">
      <alignment horizontal="left" vertical="center" wrapText="1"/>
    </xf>
    <xf numFmtId="0" fontId="60" fillId="8" borderId="0" xfId="0" applyFont="1" applyFill="1" applyProtection="1">
      <protection locked="0"/>
    </xf>
    <xf numFmtId="0" fontId="16" fillId="8" borderId="0" xfId="0" applyFont="1" applyFill="1" applyProtection="1">
      <protection locked="0"/>
    </xf>
    <xf numFmtId="0" fontId="60" fillId="0" borderId="0" xfId="0" applyFont="1" applyProtection="1">
      <protection locked="0"/>
    </xf>
    <xf numFmtId="0" fontId="23" fillId="0" borderId="7" xfId="17" applyFont="1" applyBorder="1" applyAlignment="1">
      <alignment vertical="center" wrapText="1"/>
    </xf>
    <xf numFmtId="0" fontId="24" fillId="0" borderId="7" xfId="17" applyFont="1" applyBorder="1" applyAlignment="1">
      <alignment vertical="center" wrapText="1"/>
    </xf>
    <xf numFmtId="0" fontId="24" fillId="0" borderId="38" xfId="17" applyFont="1" applyBorder="1" applyAlignment="1">
      <alignment vertical="center" wrapText="1"/>
    </xf>
    <xf numFmtId="0" fontId="24" fillId="0" borderId="49" xfId="17" applyFont="1" applyBorder="1" applyAlignment="1">
      <alignment vertical="center" wrapText="1"/>
    </xf>
    <xf numFmtId="0" fontId="23" fillId="0" borderId="56" xfId="17" applyFont="1" applyBorder="1" applyAlignment="1">
      <alignment vertical="center" wrapText="1"/>
    </xf>
    <xf numFmtId="0" fontId="24" fillId="0" borderId="57" xfId="17" applyFont="1" applyBorder="1" applyAlignment="1">
      <alignment vertical="center" wrapText="1"/>
    </xf>
    <xf numFmtId="0" fontId="24" fillId="0" borderId="57" xfId="17" applyFont="1" applyBorder="1" applyAlignment="1">
      <alignment wrapText="1"/>
    </xf>
    <xf numFmtId="0" fontId="24" fillId="0" borderId="50" xfId="17" applyFont="1" applyBorder="1" applyAlignment="1">
      <alignment vertical="center" wrapText="1"/>
    </xf>
    <xf numFmtId="0" fontId="42" fillId="0" borderId="51" xfId="17" applyFont="1" applyBorder="1" applyAlignment="1">
      <alignment vertical="center" wrapText="1"/>
    </xf>
    <xf numFmtId="0" fontId="42" fillId="0" borderId="52" xfId="17" applyFont="1" applyBorder="1" applyAlignment="1">
      <alignment vertical="center" wrapText="1"/>
    </xf>
    <xf numFmtId="0" fontId="42" fillId="0" borderId="50" xfId="17" applyFont="1" applyBorder="1" applyAlignment="1">
      <alignment vertical="center" wrapText="1"/>
    </xf>
    <xf numFmtId="1" fontId="7" fillId="3" borderId="7" xfId="10" applyNumberFormat="1" applyFont="1" applyFill="1" applyBorder="1" applyAlignment="1" applyProtection="1">
      <alignment horizontal="center" vertical="center"/>
      <protection locked="0"/>
    </xf>
    <xf numFmtId="0" fontId="2" fillId="3" borderId="9" xfId="10" applyFont="1" applyFill="1" applyBorder="1" applyAlignment="1" applyProtection="1">
      <alignment horizontal="center" vertical="center"/>
      <protection locked="0"/>
    </xf>
    <xf numFmtId="0" fontId="4" fillId="9" borderId="7" xfId="17" applyFill="1" applyBorder="1" applyAlignment="1" applyProtection="1">
      <alignment horizontal="center" vertical="center"/>
      <protection locked="0"/>
    </xf>
    <xf numFmtId="0" fontId="16" fillId="0" borderId="7" xfId="3" applyFont="1" applyBorder="1" applyAlignment="1" applyProtection="1">
      <alignment horizontal="center" vertical="center" wrapText="1"/>
      <protection locked="0"/>
    </xf>
    <xf numFmtId="0" fontId="16" fillId="0" borderId="0" xfId="2" applyFont="1" applyAlignment="1" applyProtection="1">
      <alignment wrapText="1"/>
      <protection locked="0"/>
    </xf>
    <xf numFmtId="0" fontId="18" fillId="0" borderId="0" xfId="0" applyFont="1"/>
    <xf numFmtId="0" fontId="16" fillId="0" borderId="0" xfId="0" applyFont="1"/>
    <xf numFmtId="0" fontId="17" fillId="0" borderId="0" xfId="0" applyFont="1"/>
    <xf numFmtId="0" fontId="60" fillId="0" borderId="0" xfId="0" applyFont="1"/>
    <xf numFmtId="0" fontId="33" fillId="0" borderId="0" xfId="0" applyFont="1"/>
    <xf numFmtId="49" fontId="61" fillId="5" borderId="58" xfId="0" applyNumberFormat="1" applyFont="1" applyFill="1" applyBorder="1" applyAlignment="1">
      <alignment vertical="center" wrapText="1"/>
    </xf>
    <xf numFmtId="0" fontId="9" fillId="0" borderId="28" xfId="10" applyBorder="1" applyAlignment="1">
      <alignment horizontal="center" vertical="top" textRotation="90" wrapText="1"/>
    </xf>
    <xf numFmtId="0" fontId="9" fillId="0" borderId="30" xfId="10" applyBorder="1" applyAlignment="1">
      <alignment horizontal="center" vertical="top" textRotation="90" wrapText="1"/>
    </xf>
    <xf numFmtId="0" fontId="9" fillId="0" borderId="27" xfId="10" applyBorder="1" applyAlignment="1">
      <alignment horizontal="center" vertical="top" textRotation="90"/>
    </xf>
    <xf numFmtId="0" fontId="9" fillId="0" borderId="28" xfId="10" applyBorder="1" applyAlignment="1">
      <alignment horizontal="center" vertical="top" textRotation="90"/>
    </xf>
    <xf numFmtId="0" fontId="9" fillId="0" borderId="30" xfId="10" applyBorder="1" applyAlignment="1">
      <alignment horizontal="center" vertical="top" textRotation="90"/>
    </xf>
    <xf numFmtId="0" fontId="9" fillId="0" borderId="27" xfId="10" applyBorder="1" applyAlignment="1">
      <alignment horizontal="center" vertical="top" textRotation="90" wrapText="1"/>
    </xf>
  </cellXfs>
  <cellStyles count="20">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2 2 2" xfId="17" xr:uid="{DD8DDCD2-5352-E845-9236-8EBEEA2D3DE5}"/>
    <cellStyle name="Normal 4 2 2 2 2" xfId="19" xr:uid="{4BEC5C70-5693-EE45-927A-2048A0C549DB}"/>
    <cellStyle name="Normal 4 2 2 3" xfId="18" xr:uid="{A5E41FF9-02A9-1644-AB52-AA2C32AA8BBC}"/>
    <cellStyle name="Normal 4 3" xfId="9" xr:uid="{00000000-0005-0000-0000-00000B000000}"/>
    <cellStyle name="Normal 4 4" xfId="14" xr:uid="{00000000-0005-0000-0000-00000C000000}"/>
    <cellStyle name="Normal 5" xfId="3" xr:uid="{00000000-0005-0000-0000-00000D000000}"/>
    <cellStyle name="Per cent" xfId="7" builtinId="5"/>
  </cellStyles>
  <dxfs count="0"/>
  <tableStyles count="0" defaultTableStyle="TableStyleMedium9" defaultPivotStyle="PivotStyleLight16"/>
  <colors>
    <mruColors>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28"/>
  <sheetViews>
    <sheetView tabSelected="1" zoomScaleNormal="100" workbookViewId="0">
      <pane ySplit="1" topLeftCell="A2" activePane="bottomLeft" state="frozen"/>
      <selection pane="bottomLeft" activeCell="A2" sqref="A2"/>
    </sheetView>
  </sheetViews>
  <sheetFormatPr baseColWidth="10" defaultColWidth="8.83203125" defaultRowHeight="15" x14ac:dyDescent="0.2"/>
  <cols>
    <col min="1" max="1" width="21.1640625" style="21" customWidth="1"/>
    <col min="2" max="2" width="25.83203125" style="21" customWidth="1"/>
    <col min="3" max="4" width="66" style="22" customWidth="1"/>
    <col min="5" max="5" width="16.83203125" style="22" customWidth="1"/>
    <col min="6" max="7" width="28" style="21" customWidth="1"/>
    <col min="8" max="8" width="15.5" style="21" customWidth="1"/>
    <col min="9" max="10" width="8.83203125" style="81" customWidth="1"/>
    <col min="11" max="11" width="14.6640625" style="81" customWidth="1"/>
    <col min="12" max="16" width="8.83203125" style="81" customWidth="1"/>
    <col min="17" max="20" width="8.83203125" style="21" customWidth="1"/>
    <col min="21" max="21" width="9.5" style="21" hidden="1" customWidth="1"/>
    <col min="22" max="22" width="0" style="21" hidden="1" customWidth="1"/>
    <col min="23" max="23" width="18.1640625" style="138" hidden="1" customWidth="1"/>
    <col min="24" max="24" width="18.33203125" style="123" hidden="1" customWidth="1"/>
    <col min="25" max="25" width="14.1640625" style="30" customWidth="1"/>
    <col min="26" max="26" width="19.6640625" style="30" hidden="1" customWidth="1"/>
    <col min="27" max="27" width="8.83203125" style="30"/>
    <col min="28" max="16384" width="8.83203125" style="21"/>
  </cols>
  <sheetData>
    <row r="1" spans="1:27" s="72" customFormat="1" ht="49" thickBot="1" x14ac:dyDescent="0.25">
      <c r="A1" s="68" t="s">
        <v>0</v>
      </c>
      <c r="B1" s="68" t="s">
        <v>1</v>
      </c>
      <c r="C1" s="69" t="s">
        <v>2</v>
      </c>
      <c r="D1" s="69" t="s">
        <v>1453</v>
      </c>
      <c r="E1" s="70" t="s">
        <v>3</v>
      </c>
      <c r="F1" s="68" t="s">
        <v>2074</v>
      </c>
      <c r="G1" s="68" t="s">
        <v>1454</v>
      </c>
      <c r="H1" s="71" t="s">
        <v>4</v>
      </c>
      <c r="I1" s="68" t="s">
        <v>5</v>
      </c>
      <c r="J1" s="68" t="s">
        <v>6</v>
      </c>
      <c r="K1" s="68" t="s">
        <v>7</v>
      </c>
      <c r="L1" s="68" t="s">
        <v>8</v>
      </c>
      <c r="M1" s="68" t="s">
        <v>9</v>
      </c>
      <c r="N1" s="68" t="s">
        <v>10</v>
      </c>
      <c r="O1" s="68" t="s">
        <v>1061</v>
      </c>
      <c r="P1" s="68" t="s">
        <v>11</v>
      </c>
      <c r="U1" s="144" t="s">
        <v>12</v>
      </c>
      <c r="W1" s="145" t="s">
        <v>13</v>
      </c>
      <c r="X1" s="146" t="s">
        <v>14</v>
      </c>
      <c r="Y1" s="147" t="s">
        <v>15</v>
      </c>
      <c r="Z1" s="18" t="s">
        <v>16</v>
      </c>
      <c r="AA1" s="73"/>
    </row>
    <row r="2" spans="1:27" x14ac:dyDescent="0.2">
      <c r="A2" s="29" t="s">
        <v>17</v>
      </c>
      <c r="B2" s="29" t="s">
        <v>17</v>
      </c>
      <c r="C2" s="20"/>
      <c r="D2" s="20"/>
      <c r="E2" s="42"/>
      <c r="F2" s="29"/>
      <c r="G2" s="29"/>
      <c r="H2" s="43"/>
      <c r="I2" s="74"/>
      <c r="J2" s="74"/>
      <c r="K2" s="74"/>
      <c r="L2" s="74"/>
      <c r="M2" s="74"/>
      <c r="N2" s="74"/>
      <c r="O2" s="74"/>
      <c r="P2" s="74"/>
      <c r="W2" s="139"/>
      <c r="X2" s="119"/>
      <c r="Y2" s="120" t="str">
        <f>IF(W2&lt;&gt;"",W2*X2,"")</f>
        <v/>
      </c>
      <c r="Z2" s="120" t="str">
        <f>IF(AND(W2&lt;&gt;"",U2="yes"),W2*X2,"")</f>
        <v/>
      </c>
    </row>
    <row r="3" spans="1:27" x14ac:dyDescent="0.2">
      <c r="A3" s="29" t="s">
        <v>18</v>
      </c>
      <c r="B3" s="29" t="s">
        <v>18</v>
      </c>
      <c r="C3" s="20"/>
      <c r="D3" s="20"/>
      <c r="E3" s="42"/>
      <c r="F3" s="29"/>
      <c r="G3" s="29"/>
      <c r="H3" s="43"/>
      <c r="I3" s="74"/>
      <c r="J3" s="74"/>
      <c r="K3" s="74"/>
      <c r="L3" s="74"/>
      <c r="M3" s="74"/>
      <c r="N3" s="74"/>
      <c r="O3" s="74"/>
      <c r="P3" s="74"/>
      <c r="W3" s="139"/>
      <c r="X3" s="119"/>
      <c r="Y3" s="120" t="str">
        <f t="shared" ref="Y3:Y66" si="0">IF(W3&lt;&gt;"",W3*X3,"")</f>
        <v/>
      </c>
      <c r="Z3" s="120" t="str">
        <f>IF(AND(W3&lt;&gt;"",U3="yes"),W3*X3,"")</f>
        <v/>
      </c>
    </row>
    <row r="4" spans="1:27" x14ac:dyDescent="0.2">
      <c r="A4" s="29" t="s">
        <v>19</v>
      </c>
      <c r="B4" s="29" t="s">
        <v>19</v>
      </c>
      <c r="C4" s="20"/>
      <c r="D4" s="20"/>
      <c r="E4" s="42"/>
      <c r="F4" s="29"/>
      <c r="G4" s="29"/>
      <c r="H4" s="43"/>
      <c r="I4" s="74"/>
      <c r="J4" s="74"/>
      <c r="K4" s="74"/>
      <c r="L4" s="74"/>
      <c r="M4" s="74"/>
      <c r="N4" s="74"/>
      <c r="O4" s="74"/>
      <c r="P4" s="74"/>
      <c r="W4" s="139"/>
      <c r="X4" s="119"/>
      <c r="Y4" s="120" t="str">
        <f t="shared" si="0"/>
        <v/>
      </c>
      <c r="Z4" s="120" t="str">
        <f>IF(AND(W4&lt;&gt;"",U4="yes"),W4*X4,"")</f>
        <v/>
      </c>
    </row>
    <row r="5" spans="1:27" x14ac:dyDescent="0.2">
      <c r="A5" s="29" t="s">
        <v>20</v>
      </c>
      <c r="B5" s="29" t="s">
        <v>20</v>
      </c>
      <c r="C5" s="20"/>
      <c r="D5" s="20"/>
      <c r="E5" s="42"/>
      <c r="F5" s="29"/>
      <c r="G5" s="29"/>
      <c r="H5" s="43"/>
      <c r="I5" s="74"/>
      <c r="J5" s="74"/>
      <c r="K5" s="74"/>
      <c r="L5" s="74"/>
      <c r="M5" s="74"/>
      <c r="N5" s="74"/>
      <c r="O5" s="74"/>
      <c r="P5" s="74"/>
      <c r="W5" s="139"/>
      <c r="X5" s="119"/>
      <c r="Y5" s="120" t="str">
        <f t="shared" si="0"/>
        <v/>
      </c>
      <c r="Z5" s="120" t="str">
        <f>IF(AND(W5&lt;&gt;"",U5="yes"),W5*X5,"")</f>
        <v/>
      </c>
    </row>
    <row r="6" spans="1:27" x14ac:dyDescent="0.2">
      <c r="A6" s="29" t="s">
        <v>21</v>
      </c>
      <c r="B6" s="29" t="s">
        <v>21</v>
      </c>
      <c r="C6" s="20"/>
      <c r="D6" s="20"/>
      <c r="E6" s="42"/>
      <c r="F6" s="29"/>
      <c r="G6" s="29"/>
      <c r="H6" s="43"/>
      <c r="I6" s="74"/>
      <c r="J6" s="74"/>
      <c r="K6" s="74"/>
      <c r="L6" s="74"/>
      <c r="M6" s="74"/>
      <c r="N6" s="74"/>
      <c r="O6" s="74"/>
      <c r="P6" s="74"/>
      <c r="W6" s="139"/>
      <c r="X6" s="119"/>
      <c r="Y6" s="120"/>
      <c r="Z6" s="120"/>
    </row>
    <row r="7" spans="1:27" x14ac:dyDescent="0.2">
      <c r="A7" s="29" t="s">
        <v>27</v>
      </c>
      <c r="B7" s="29" t="s">
        <v>1056</v>
      </c>
      <c r="C7" s="20"/>
      <c r="D7" s="20"/>
      <c r="E7" s="42"/>
      <c r="F7" s="29"/>
      <c r="G7" s="29"/>
      <c r="H7" s="43"/>
      <c r="I7" s="74"/>
      <c r="J7" s="74"/>
      <c r="K7" s="74"/>
      <c r="L7" s="74"/>
      <c r="M7" s="21"/>
      <c r="N7" s="74"/>
      <c r="O7" s="74"/>
      <c r="P7" s="74" t="s">
        <v>1057</v>
      </c>
      <c r="W7" s="139"/>
      <c r="X7" s="119"/>
      <c r="Y7" s="120"/>
      <c r="Z7" s="120"/>
    </row>
    <row r="8" spans="1:27" x14ac:dyDescent="0.2">
      <c r="A8" s="29" t="s">
        <v>1058</v>
      </c>
      <c r="B8" s="29" t="s">
        <v>1058</v>
      </c>
      <c r="C8" s="20"/>
      <c r="D8" s="20"/>
      <c r="E8" s="42"/>
      <c r="F8" s="29"/>
      <c r="G8" s="29"/>
      <c r="H8" s="43"/>
      <c r="I8" s="74"/>
      <c r="J8" s="74"/>
      <c r="K8" s="74"/>
      <c r="L8" s="74"/>
      <c r="M8" s="74" t="s">
        <v>1059</v>
      </c>
      <c r="N8" s="74"/>
      <c r="O8" s="74" t="s">
        <v>1060</v>
      </c>
      <c r="P8" s="74"/>
      <c r="W8" s="139"/>
      <c r="X8" s="119"/>
      <c r="Y8" s="120"/>
      <c r="Z8" s="120"/>
    </row>
    <row r="9" spans="1:27" s="31" customFormat="1" ht="16" x14ac:dyDescent="0.2">
      <c r="A9" s="31" t="s">
        <v>1063</v>
      </c>
      <c r="B9" s="31" t="s">
        <v>1064</v>
      </c>
      <c r="C9" s="32" t="s">
        <v>1065</v>
      </c>
      <c r="D9" s="32" t="s">
        <v>1551</v>
      </c>
      <c r="E9" s="33"/>
      <c r="H9" s="37"/>
      <c r="I9" s="75"/>
      <c r="J9" s="75"/>
      <c r="L9" s="75"/>
      <c r="M9" s="75"/>
      <c r="N9" s="75"/>
      <c r="O9" s="75"/>
      <c r="P9" s="75"/>
      <c r="W9" s="143"/>
      <c r="X9" s="150"/>
      <c r="Y9" s="124"/>
      <c r="Z9" s="124"/>
    </row>
    <row r="10" spans="1:27" ht="16" x14ac:dyDescent="0.2">
      <c r="A10" s="29" t="s">
        <v>22</v>
      </c>
      <c r="B10" s="29" t="s">
        <v>23</v>
      </c>
      <c r="C10" s="20" t="s">
        <v>24</v>
      </c>
      <c r="D10" s="20" t="s">
        <v>1552</v>
      </c>
      <c r="E10" s="42"/>
      <c r="F10" s="29"/>
      <c r="G10" s="29"/>
      <c r="H10" s="43"/>
      <c r="I10" s="74" t="s">
        <v>25</v>
      </c>
      <c r="J10" s="74"/>
      <c r="K10" s="74"/>
      <c r="L10" s="74"/>
      <c r="M10" s="74"/>
      <c r="N10" s="75" t="s">
        <v>1066</v>
      </c>
      <c r="O10" s="74"/>
      <c r="P10" s="74"/>
      <c r="U10" s="21" t="s">
        <v>26</v>
      </c>
      <c r="W10" s="139"/>
      <c r="X10" s="119"/>
      <c r="Y10" s="120" t="str">
        <f t="shared" si="0"/>
        <v/>
      </c>
      <c r="Z10" s="120" t="str">
        <f>IF(AND(W10&lt;&gt;"",U10="yes"),W10*X10,"")</f>
        <v/>
      </c>
    </row>
    <row r="11" spans="1:27" x14ac:dyDescent="0.2">
      <c r="A11" s="29" t="s">
        <v>27</v>
      </c>
      <c r="B11" s="29" t="s">
        <v>28</v>
      </c>
      <c r="C11" s="20"/>
      <c r="D11" s="20"/>
      <c r="E11" s="42"/>
      <c r="F11" s="29"/>
      <c r="G11" s="29"/>
      <c r="H11" s="43"/>
      <c r="I11" s="74"/>
      <c r="J11" s="74"/>
      <c r="K11" s="74"/>
      <c r="L11" s="74"/>
      <c r="M11" s="74"/>
      <c r="N11" s="74"/>
      <c r="O11" s="74"/>
      <c r="P11" s="74" t="s">
        <v>29</v>
      </c>
      <c r="U11" s="21" t="s">
        <v>26</v>
      </c>
      <c r="W11" s="139"/>
      <c r="X11" s="119"/>
      <c r="Y11" s="120" t="str">
        <f t="shared" si="0"/>
        <v/>
      </c>
      <c r="Z11" s="120" t="str">
        <f>IF(AND(W11&lt;&gt;"",U11="yes"),W11*X11,"")</f>
        <v/>
      </c>
    </row>
    <row r="12" spans="1:27" s="31" customFormat="1" ht="16" thickBot="1" x14ac:dyDescent="0.25">
      <c r="A12" s="38"/>
      <c r="B12" s="38"/>
      <c r="C12" s="39"/>
      <c r="D12" s="39"/>
      <c r="E12" s="40"/>
      <c r="F12" s="38"/>
      <c r="G12" s="38"/>
      <c r="H12" s="41"/>
      <c r="I12" s="77"/>
      <c r="J12" s="77"/>
      <c r="K12" s="77"/>
      <c r="L12" s="77"/>
      <c r="M12" s="77"/>
      <c r="N12" s="77"/>
      <c r="O12" s="77"/>
      <c r="P12" s="77"/>
      <c r="W12" s="139"/>
      <c r="X12" s="119"/>
      <c r="Y12" s="120"/>
      <c r="Z12" s="120"/>
      <c r="AA12" s="30"/>
    </row>
    <row r="13" spans="1:27" ht="241" thickTop="1" x14ac:dyDescent="0.2">
      <c r="A13" s="29" t="s">
        <v>30</v>
      </c>
      <c r="B13" s="29" t="s">
        <v>31</v>
      </c>
      <c r="C13" s="163" t="s">
        <v>1411</v>
      </c>
      <c r="D13" s="163" t="s">
        <v>2116</v>
      </c>
      <c r="E13" s="42"/>
      <c r="F13" s="29" t="s">
        <v>1072</v>
      </c>
      <c r="G13" s="29" t="s">
        <v>1682</v>
      </c>
      <c r="H13" s="43"/>
      <c r="I13" s="74" t="s">
        <v>32</v>
      </c>
      <c r="J13" s="74"/>
      <c r="K13" s="74"/>
      <c r="L13" s="74"/>
      <c r="M13" s="74"/>
      <c r="N13" s="74"/>
      <c r="O13" s="74"/>
      <c r="P13" s="74"/>
      <c r="U13" s="21" t="s">
        <v>33</v>
      </c>
      <c r="W13" s="139">
        <v>50.822540283203125</v>
      </c>
      <c r="X13" s="119"/>
      <c r="Y13" s="120">
        <f t="shared" si="0"/>
        <v>0</v>
      </c>
      <c r="Z13" s="120" t="str">
        <f>IF(AND(W13&lt;&gt;"",U13="yes"),W13*X13,"")</f>
        <v/>
      </c>
    </row>
    <row r="14" spans="1:27" ht="16" x14ac:dyDescent="0.2">
      <c r="A14" s="29" t="s">
        <v>437</v>
      </c>
      <c r="B14" s="29" t="s">
        <v>34</v>
      </c>
      <c r="C14" s="20" t="s">
        <v>35</v>
      </c>
      <c r="D14" s="20" t="s">
        <v>1553</v>
      </c>
      <c r="E14" s="42"/>
      <c r="F14" s="29"/>
      <c r="G14" s="29"/>
      <c r="H14" s="43"/>
      <c r="I14" s="74" t="s">
        <v>32</v>
      </c>
      <c r="J14" s="74"/>
      <c r="K14" s="74"/>
      <c r="L14" s="74"/>
      <c r="M14" s="74"/>
      <c r="N14" s="74"/>
      <c r="O14" s="74"/>
      <c r="P14" s="74"/>
      <c r="U14" s="21" t="s">
        <v>26</v>
      </c>
      <c r="W14" s="139">
        <v>3.5</v>
      </c>
      <c r="X14" s="119">
        <f>1</f>
        <v>1</v>
      </c>
      <c r="Y14" s="120">
        <f t="shared" si="0"/>
        <v>3.5</v>
      </c>
      <c r="Z14" s="120">
        <f>IF(AND(W14&lt;&gt;"",U14="yes"),W14*X14,"")</f>
        <v>3.5</v>
      </c>
    </row>
    <row r="15" spans="1:27" s="31" customFormat="1" ht="16" x14ac:dyDescent="0.2">
      <c r="A15" s="34" t="s">
        <v>36</v>
      </c>
      <c r="B15" s="34" t="s">
        <v>37</v>
      </c>
      <c r="C15" s="35" t="s">
        <v>38</v>
      </c>
      <c r="D15" s="35" t="s">
        <v>1554</v>
      </c>
      <c r="E15" s="33"/>
      <c r="F15" s="34" t="s">
        <v>1438</v>
      </c>
      <c r="G15" s="34" t="s">
        <v>1683</v>
      </c>
      <c r="H15" s="37"/>
      <c r="I15" s="74" t="s">
        <v>32</v>
      </c>
      <c r="J15" s="75"/>
      <c r="K15" s="75"/>
      <c r="L15" s="75"/>
      <c r="M15" s="74" t="s">
        <v>39</v>
      </c>
      <c r="N15" s="75"/>
      <c r="O15" s="75"/>
      <c r="P15" s="75"/>
      <c r="W15" s="139">
        <v>0</v>
      </c>
      <c r="X15" s="119">
        <v>1</v>
      </c>
      <c r="Y15" s="120">
        <f t="shared" ref="Y15" si="1">IF(W15&lt;&gt;"",W15*X15,"")</f>
        <v>0</v>
      </c>
      <c r="Z15" s="120"/>
      <c r="AA15" s="30"/>
    </row>
    <row r="16" spans="1:27" s="30" customFormat="1" ht="16" x14ac:dyDescent="0.2">
      <c r="A16" s="34" t="s">
        <v>30</v>
      </c>
      <c r="B16" s="34" t="s">
        <v>40</v>
      </c>
      <c r="C16" s="35" t="s">
        <v>41</v>
      </c>
      <c r="D16" s="35" t="s">
        <v>1555</v>
      </c>
      <c r="E16" s="53"/>
      <c r="F16" s="34"/>
      <c r="G16" s="34"/>
      <c r="H16" s="55"/>
      <c r="I16" s="76" t="s">
        <v>32</v>
      </c>
      <c r="J16" s="76"/>
      <c r="K16" s="76"/>
      <c r="L16" s="76"/>
      <c r="M16" s="76" t="s">
        <v>42</v>
      </c>
      <c r="N16" s="76"/>
      <c r="O16" s="76"/>
      <c r="P16" s="76"/>
      <c r="U16" s="30" t="s">
        <v>33</v>
      </c>
      <c r="W16" s="139">
        <v>0</v>
      </c>
      <c r="X16" s="119">
        <v>1</v>
      </c>
      <c r="Y16" s="120">
        <f t="shared" si="0"/>
        <v>0</v>
      </c>
      <c r="Z16" s="120" t="str">
        <f t="shared" ref="Z16:Z48" si="2">IF(AND(W16&lt;&gt;"",U16="yes"),W16*X16,"")</f>
        <v/>
      </c>
    </row>
    <row r="17" spans="1:27" s="30" customFormat="1" ht="16" thickBot="1" x14ac:dyDescent="0.25">
      <c r="A17" s="44"/>
      <c r="B17" s="44"/>
      <c r="C17" s="45"/>
      <c r="D17" s="45"/>
      <c r="E17" s="46"/>
      <c r="F17" s="44"/>
      <c r="G17" s="44"/>
      <c r="H17" s="47"/>
      <c r="I17" s="78"/>
      <c r="J17" s="78"/>
      <c r="K17" s="78"/>
      <c r="L17" s="78"/>
      <c r="M17" s="78"/>
      <c r="N17" s="78"/>
      <c r="O17" s="78"/>
      <c r="P17" s="78"/>
      <c r="U17" s="30" t="s">
        <v>43</v>
      </c>
      <c r="W17" s="139" t="s">
        <v>43</v>
      </c>
      <c r="X17" s="119"/>
      <c r="Y17" s="120" t="str">
        <f t="shared" si="0"/>
        <v/>
      </c>
      <c r="Z17" s="120" t="str">
        <f t="shared" si="2"/>
        <v/>
      </c>
    </row>
    <row r="18" spans="1:27" s="27" customFormat="1" ht="17" thickTop="1" x14ac:dyDescent="0.2">
      <c r="A18" s="24" t="s">
        <v>44</v>
      </c>
      <c r="B18" s="24" t="s">
        <v>45</v>
      </c>
      <c r="C18" s="48" t="s">
        <v>46</v>
      </c>
      <c r="D18" s="48" t="s">
        <v>1556</v>
      </c>
      <c r="E18" s="25"/>
      <c r="F18" s="24"/>
      <c r="G18" s="24"/>
      <c r="H18" s="26"/>
      <c r="I18" s="79" t="s">
        <v>32</v>
      </c>
      <c r="J18" s="79"/>
      <c r="K18" s="79"/>
      <c r="L18" s="79"/>
      <c r="M18" s="79" t="s">
        <v>39</v>
      </c>
      <c r="N18" s="79"/>
      <c r="O18" s="79"/>
      <c r="P18" s="79"/>
      <c r="U18" s="21" t="s">
        <v>26</v>
      </c>
      <c r="W18" s="139"/>
      <c r="X18" s="119"/>
      <c r="Y18" s="120" t="str">
        <f t="shared" si="0"/>
        <v/>
      </c>
      <c r="Z18" s="120" t="str">
        <f t="shared" si="2"/>
        <v/>
      </c>
      <c r="AA18" s="28"/>
    </row>
    <row r="19" spans="1:27" s="31" customFormat="1" x14ac:dyDescent="0.2">
      <c r="C19" s="32"/>
      <c r="D19" s="32"/>
      <c r="E19" s="33"/>
      <c r="H19" s="37"/>
      <c r="I19" s="75"/>
      <c r="J19" s="75"/>
      <c r="K19" s="75"/>
      <c r="L19" s="75"/>
      <c r="M19" s="75"/>
      <c r="N19" s="75"/>
      <c r="O19" s="75"/>
      <c r="P19" s="75"/>
      <c r="U19" s="31" t="s">
        <v>43</v>
      </c>
      <c r="W19" s="139" t="s">
        <v>43</v>
      </c>
      <c r="X19" s="30"/>
      <c r="Y19" s="120" t="str">
        <f t="shared" ref="Y19" si="3">IF(W19&lt;&gt;"",W19*X19,"")</f>
        <v/>
      </c>
      <c r="Z19" s="120" t="str">
        <f t="shared" si="2"/>
        <v/>
      </c>
      <c r="AA19" s="30"/>
    </row>
    <row r="20" spans="1:27" s="31" customFormat="1" ht="16" x14ac:dyDescent="0.2">
      <c r="A20" s="34" t="s">
        <v>47</v>
      </c>
      <c r="B20" s="34" t="s">
        <v>48</v>
      </c>
      <c r="C20" s="35" t="s">
        <v>49</v>
      </c>
      <c r="D20" s="35" t="s">
        <v>1557</v>
      </c>
      <c r="E20" s="33"/>
      <c r="F20" s="30" t="s">
        <v>1073</v>
      </c>
      <c r="G20" s="29" t="s">
        <v>1686</v>
      </c>
      <c r="H20" s="37"/>
      <c r="I20" s="76" t="s">
        <v>25</v>
      </c>
      <c r="J20" s="76"/>
      <c r="K20" s="76"/>
      <c r="L20" s="76"/>
      <c r="M20" s="76"/>
      <c r="N20" s="76"/>
      <c r="O20" s="76"/>
      <c r="P20" s="76"/>
      <c r="U20" s="30" t="s">
        <v>26</v>
      </c>
      <c r="W20" s="139">
        <v>10</v>
      </c>
      <c r="X20" s="119">
        <f>1</f>
        <v>1</v>
      </c>
      <c r="Y20" s="120">
        <f t="shared" si="0"/>
        <v>10</v>
      </c>
      <c r="Z20" s="120">
        <f t="shared" si="2"/>
        <v>10</v>
      </c>
      <c r="AA20" s="30"/>
    </row>
    <row r="21" spans="1:27" s="31" customFormat="1" ht="16" x14ac:dyDescent="0.2">
      <c r="A21" s="34" t="s">
        <v>47</v>
      </c>
      <c r="B21" s="34" t="s">
        <v>50</v>
      </c>
      <c r="C21" s="35" t="s">
        <v>51</v>
      </c>
      <c r="D21" s="35" t="s">
        <v>1558</v>
      </c>
      <c r="E21" s="33"/>
      <c r="F21" s="30" t="s">
        <v>1074</v>
      </c>
      <c r="G21" s="29" t="s">
        <v>1685</v>
      </c>
      <c r="H21" s="37"/>
      <c r="I21" s="76" t="s">
        <v>25</v>
      </c>
      <c r="J21" s="76"/>
      <c r="K21" s="76"/>
      <c r="L21" s="76"/>
      <c r="M21" s="76"/>
      <c r="N21" s="76"/>
      <c r="O21" s="76"/>
      <c r="P21" s="76"/>
      <c r="U21" s="30" t="s">
        <v>26</v>
      </c>
      <c r="W21" s="139">
        <v>10</v>
      </c>
      <c r="X21" s="119">
        <f>1</f>
        <v>1</v>
      </c>
      <c r="Y21" s="120">
        <f t="shared" si="0"/>
        <v>10</v>
      </c>
      <c r="Z21" s="120">
        <f t="shared" si="2"/>
        <v>10</v>
      </c>
      <c r="AA21" s="30"/>
    </row>
    <row r="22" spans="1:27" s="31" customFormat="1" x14ac:dyDescent="0.2">
      <c r="C22" s="32"/>
      <c r="D22" s="32"/>
      <c r="E22" s="33"/>
      <c r="H22" s="37"/>
      <c r="I22" s="75"/>
      <c r="J22" s="75"/>
      <c r="K22" s="75"/>
      <c r="L22" s="75"/>
      <c r="M22" s="75"/>
      <c r="N22" s="75"/>
      <c r="O22" s="75"/>
      <c r="P22" s="75"/>
      <c r="U22" s="31" t="s">
        <v>43</v>
      </c>
      <c r="W22" s="139" t="s">
        <v>43</v>
      </c>
      <c r="X22" s="119">
        <f>1</f>
        <v>1</v>
      </c>
      <c r="Y22" s="120" t="str">
        <f t="shared" si="0"/>
        <v/>
      </c>
      <c r="Z22" s="120" t="str">
        <f t="shared" si="2"/>
        <v/>
      </c>
      <c r="AA22" s="30"/>
    </row>
    <row r="23" spans="1:27" ht="16" x14ac:dyDescent="0.2">
      <c r="A23" s="29" t="s">
        <v>52</v>
      </c>
      <c r="B23" s="29" t="s">
        <v>53</v>
      </c>
      <c r="C23" s="20" t="s">
        <v>54</v>
      </c>
      <c r="D23" s="20" t="s">
        <v>1559</v>
      </c>
      <c r="E23" s="53"/>
      <c r="F23" s="34" t="s">
        <v>1440</v>
      </c>
      <c r="G23" s="29" t="s">
        <v>1684</v>
      </c>
      <c r="H23" s="43"/>
      <c r="I23" s="74" t="s">
        <v>25</v>
      </c>
      <c r="J23" s="74"/>
      <c r="K23" s="74" t="s">
        <v>1439</v>
      </c>
      <c r="L23" s="74"/>
      <c r="M23" s="74"/>
      <c r="N23" s="74"/>
      <c r="O23" s="74"/>
      <c r="P23" s="74"/>
      <c r="U23" s="21" t="s">
        <v>26</v>
      </c>
      <c r="W23" s="139">
        <v>13.753072738647461</v>
      </c>
      <c r="X23" s="119">
        <f>1</f>
        <v>1</v>
      </c>
      <c r="Y23" s="120">
        <f t="shared" si="0"/>
        <v>13.753072738647461</v>
      </c>
      <c r="Z23" s="120">
        <f t="shared" si="2"/>
        <v>13.753072738647461</v>
      </c>
    </row>
    <row r="24" spans="1:27" x14ac:dyDescent="0.2">
      <c r="E24" s="42"/>
      <c r="H24" s="43"/>
      <c r="U24" s="21" t="s">
        <v>43</v>
      </c>
      <c r="W24" s="139" t="s">
        <v>43</v>
      </c>
      <c r="X24" s="119">
        <f>1</f>
        <v>1</v>
      </c>
      <c r="Y24" s="120" t="str">
        <f t="shared" si="0"/>
        <v/>
      </c>
      <c r="Z24" s="120" t="str">
        <f t="shared" si="2"/>
        <v/>
      </c>
    </row>
    <row r="25" spans="1:27" s="31" customFormat="1" ht="16" x14ac:dyDescent="0.2">
      <c r="A25" s="31" t="s">
        <v>55</v>
      </c>
      <c r="B25" s="31" t="s">
        <v>56</v>
      </c>
      <c r="C25" s="32" t="s">
        <v>57</v>
      </c>
      <c r="D25" s="32" t="s">
        <v>1560</v>
      </c>
      <c r="E25" s="33"/>
      <c r="F25" s="31" t="s">
        <v>1433</v>
      </c>
      <c r="G25" s="31" t="s">
        <v>1690</v>
      </c>
      <c r="H25" s="37"/>
      <c r="I25" s="75" t="s">
        <v>25</v>
      </c>
      <c r="J25" s="75"/>
      <c r="K25" s="75"/>
      <c r="L25" s="75"/>
      <c r="M25" s="75"/>
      <c r="N25" s="75"/>
      <c r="O25" s="75"/>
      <c r="P25" s="75"/>
      <c r="U25" s="31" t="s">
        <v>33</v>
      </c>
      <c r="W25" s="139">
        <v>2.1173560619354248</v>
      </c>
      <c r="X25" s="119">
        <f>1</f>
        <v>1</v>
      </c>
      <c r="Y25" s="120">
        <f t="shared" si="0"/>
        <v>2.1173560619354248</v>
      </c>
      <c r="Z25" s="120" t="str">
        <f t="shared" si="2"/>
        <v/>
      </c>
      <c r="AA25" s="30"/>
    </row>
    <row r="26" spans="1:27" s="31" customFormat="1" x14ac:dyDescent="0.2">
      <c r="C26" s="32"/>
      <c r="D26" s="32"/>
      <c r="E26" s="33"/>
      <c r="H26" s="37"/>
      <c r="I26" s="75"/>
      <c r="J26" s="75"/>
      <c r="K26" s="75"/>
      <c r="L26" s="82"/>
      <c r="M26" s="75"/>
      <c r="N26" s="75"/>
      <c r="O26" s="75"/>
      <c r="P26" s="75"/>
      <c r="U26" s="31" t="s">
        <v>43</v>
      </c>
      <c r="W26" s="139" t="s">
        <v>43</v>
      </c>
      <c r="X26" s="119">
        <f>1</f>
        <v>1</v>
      </c>
      <c r="Y26" s="120" t="str">
        <f t="shared" si="0"/>
        <v/>
      </c>
      <c r="Z26" s="120" t="str">
        <f t="shared" si="2"/>
        <v/>
      </c>
      <c r="AA26" s="30"/>
    </row>
    <row r="27" spans="1:27" s="50" customFormat="1" ht="16" x14ac:dyDescent="0.2">
      <c r="A27" s="110" t="s">
        <v>47</v>
      </c>
      <c r="B27" s="110" t="s">
        <v>58</v>
      </c>
      <c r="C27" s="111" t="s">
        <v>59</v>
      </c>
      <c r="D27" s="111" t="s">
        <v>1561</v>
      </c>
      <c r="E27" s="113"/>
      <c r="F27" s="112"/>
      <c r="G27" s="112"/>
      <c r="H27" s="114"/>
      <c r="I27" s="109" t="s">
        <v>25</v>
      </c>
      <c r="J27" s="109" t="s">
        <v>60</v>
      </c>
      <c r="K27" s="84" t="s">
        <v>61</v>
      </c>
      <c r="L27" s="109" t="s">
        <v>62</v>
      </c>
      <c r="M27" s="109"/>
      <c r="N27" s="109"/>
      <c r="O27" s="109"/>
      <c r="P27" s="83"/>
      <c r="U27" s="112" t="s">
        <v>63</v>
      </c>
      <c r="W27" s="139">
        <v>10</v>
      </c>
      <c r="X27" s="119">
        <f>1</f>
        <v>1</v>
      </c>
      <c r="Y27" s="120">
        <f t="shared" si="0"/>
        <v>10</v>
      </c>
      <c r="Z27" s="120" t="str">
        <f t="shared" si="2"/>
        <v/>
      </c>
    </row>
    <row r="28" spans="1:27" s="50" customFormat="1" ht="32" x14ac:dyDescent="0.2">
      <c r="A28" s="110" t="s">
        <v>64</v>
      </c>
      <c r="B28" s="110" t="s">
        <v>65</v>
      </c>
      <c r="C28" s="111" t="s">
        <v>66</v>
      </c>
      <c r="D28" s="111" t="s">
        <v>1562</v>
      </c>
      <c r="E28" s="113"/>
      <c r="F28" s="112"/>
      <c r="G28" s="112"/>
      <c r="H28" s="114"/>
      <c r="I28" s="109" t="s">
        <v>25</v>
      </c>
      <c r="J28" s="109"/>
      <c r="K28" s="83"/>
      <c r="L28" s="109"/>
      <c r="M28" s="109"/>
      <c r="N28" s="109"/>
      <c r="O28" s="109"/>
      <c r="P28" s="83"/>
      <c r="U28" s="112" t="s">
        <v>63</v>
      </c>
      <c r="W28" s="139">
        <v>10</v>
      </c>
      <c r="X28" s="119">
        <f>1</f>
        <v>1</v>
      </c>
      <c r="Y28" s="120">
        <f t="shared" si="0"/>
        <v>10</v>
      </c>
      <c r="Z28" s="120" t="str">
        <f t="shared" si="2"/>
        <v/>
      </c>
    </row>
    <row r="29" spans="1:27" s="50" customFormat="1" ht="16" x14ac:dyDescent="0.2">
      <c r="A29" s="110" t="s">
        <v>47</v>
      </c>
      <c r="B29" s="110" t="s">
        <v>67</v>
      </c>
      <c r="C29" s="111" t="s">
        <v>68</v>
      </c>
      <c r="D29" s="111" t="s">
        <v>1563</v>
      </c>
      <c r="E29" s="113"/>
      <c r="F29" s="112"/>
      <c r="G29" s="112"/>
      <c r="H29" s="114"/>
      <c r="I29" s="109" t="s">
        <v>25</v>
      </c>
      <c r="J29" s="109" t="s">
        <v>60</v>
      </c>
      <c r="K29" s="84" t="s">
        <v>61</v>
      </c>
      <c r="L29" s="109" t="s">
        <v>62</v>
      </c>
      <c r="M29" s="109" t="s">
        <v>2130</v>
      </c>
      <c r="N29" s="109"/>
      <c r="O29" s="109"/>
      <c r="P29" s="83"/>
      <c r="U29" s="112" t="s">
        <v>63</v>
      </c>
      <c r="W29" s="139">
        <v>10</v>
      </c>
      <c r="X29" s="119">
        <f>1</f>
        <v>1</v>
      </c>
      <c r="Y29" s="120">
        <f t="shared" si="0"/>
        <v>10</v>
      </c>
      <c r="Z29" s="120" t="str">
        <f t="shared" si="2"/>
        <v/>
      </c>
    </row>
    <row r="30" spans="1:27" s="50" customFormat="1" ht="16" x14ac:dyDescent="0.2">
      <c r="A30" s="110" t="s">
        <v>47</v>
      </c>
      <c r="B30" s="110" t="s">
        <v>69</v>
      </c>
      <c r="C30" s="111" t="s">
        <v>70</v>
      </c>
      <c r="D30" s="111" t="s">
        <v>1564</v>
      </c>
      <c r="E30" s="113"/>
      <c r="F30" s="112"/>
      <c r="G30" s="112"/>
      <c r="H30" s="114"/>
      <c r="I30" s="109" t="s">
        <v>25</v>
      </c>
      <c r="J30" s="109"/>
      <c r="K30" s="83"/>
      <c r="L30" s="109"/>
      <c r="M30" s="109" t="s">
        <v>2131</v>
      </c>
      <c r="N30" s="109"/>
      <c r="O30" s="109"/>
      <c r="P30" s="83"/>
      <c r="U30" s="112" t="s">
        <v>63</v>
      </c>
      <c r="W30" s="139">
        <v>10</v>
      </c>
      <c r="X30" s="119">
        <f>1</f>
        <v>1</v>
      </c>
      <c r="Y30" s="120">
        <f t="shared" si="0"/>
        <v>10</v>
      </c>
      <c r="Z30" s="120" t="str">
        <f t="shared" si="2"/>
        <v/>
      </c>
    </row>
    <row r="31" spans="1:27" s="50" customFormat="1" ht="32" x14ac:dyDescent="0.2">
      <c r="A31" s="110" t="s">
        <v>64</v>
      </c>
      <c r="B31" s="110" t="s">
        <v>71</v>
      </c>
      <c r="C31" s="111" t="s">
        <v>66</v>
      </c>
      <c r="D31" s="111" t="s">
        <v>1562</v>
      </c>
      <c r="E31" s="113"/>
      <c r="F31" s="29"/>
      <c r="G31" s="29"/>
      <c r="H31" s="114"/>
      <c r="I31" s="109" t="s">
        <v>25</v>
      </c>
      <c r="J31" s="109"/>
      <c r="K31" s="83"/>
      <c r="L31" s="109"/>
      <c r="M31" s="109" t="s">
        <v>2130</v>
      </c>
      <c r="N31" s="109"/>
      <c r="O31" s="109"/>
      <c r="P31" s="83"/>
      <c r="U31" s="112" t="s">
        <v>63</v>
      </c>
      <c r="W31" s="139">
        <v>10</v>
      </c>
      <c r="X31" s="119">
        <f>1</f>
        <v>1</v>
      </c>
      <c r="Y31" s="120">
        <f t="shared" si="0"/>
        <v>10</v>
      </c>
      <c r="Z31" s="120" t="str">
        <f t="shared" si="2"/>
        <v/>
      </c>
    </row>
    <row r="32" spans="1:27" s="50" customFormat="1" ht="16" x14ac:dyDescent="0.2">
      <c r="A32" s="110" t="s">
        <v>47</v>
      </c>
      <c r="B32" s="110" t="s">
        <v>72</v>
      </c>
      <c r="C32" s="111" t="s">
        <v>68</v>
      </c>
      <c r="D32" s="111" t="s">
        <v>1563</v>
      </c>
      <c r="E32" s="113"/>
      <c r="F32" s="112"/>
      <c r="G32" s="112"/>
      <c r="H32" s="114"/>
      <c r="I32" s="109" t="s">
        <v>25</v>
      </c>
      <c r="J32" s="109" t="s">
        <v>60</v>
      </c>
      <c r="K32" s="84" t="s">
        <v>61</v>
      </c>
      <c r="L32" s="109" t="s">
        <v>62</v>
      </c>
      <c r="M32" s="109" t="s">
        <v>2132</v>
      </c>
      <c r="N32" s="109"/>
      <c r="O32" s="109"/>
      <c r="P32" s="83"/>
      <c r="U32" s="112" t="s">
        <v>63</v>
      </c>
      <c r="W32" s="139">
        <v>10</v>
      </c>
      <c r="X32" s="119">
        <f>1</f>
        <v>1</v>
      </c>
      <c r="Y32" s="120">
        <f t="shared" si="0"/>
        <v>10</v>
      </c>
      <c r="Z32" s="120" t="str">
        <f t="shared" si="2"/>
        <v/>
      </c>
    </row>
    <row r="33" spans="1:27" s="50" customFormat="1" ht="16" x14ac:dyDescent="0.2">
      <c r="A33" s="110" t="s">
        <v>47</v>
      </c>
      <c r="B33" s="110" t="s">
        <v>73</v>
      </c>
      <c r="C33" s="111" t="s">
        <v>70</v>
      </c>
      <c r="D33" s="111" t="s">
        <v>1564</v>
      </c>
      <c r="E33" s="113"/>
      <c r="F33" s="112"/>
      <c r="G33" s="112"/>
      <c r="H33" s="114"/>
      <c r="I33" s="109" t="s">
        <v>25</v>
      </c>
      <c r="J33" s="109"/>
      <c r="K33" s="83"/>
      <c r="L33" s="109"/>
      <c r="M33" s="109" t="s">
        <v>2133</v>
      </c>
      <c r="N33" s="109"/>
      <c r="O33" s="109"/>
      <c r="P33" s="83"/>
      <c r="U33" s="112" t="s">
        <v>63</v>
      </c>
      <c r="W33" s="139">
        <v>10</v>
      </c>
      <c r="X33" s="119">
        <f>1</f>
        <v>1</v>
      </c>
      <c r="Y33" s="120">
        <f t="shared" si="0"/>
        <v>10</v>
      </c>
      <c r="Z33" s="120" t="str">
        <f t="shared" si="2"/>
        <v/>
      </c>
    </row>
    <row r="34" spans="1:27" s="31" customFormat="1" x14ac:dyDescent="0.2">
      <c r="C34" s="32"/>
      <c r="D34" s="32"/>
      <c r="E34" s="33"/>
      <c r="H34" s="37"/>
      <c r="I34" s="75"/>
      <c r="J34" s="75"/>
      <c r="K34" s="75"/>
      <c r="L34" s="82"/>
      <c r="M34" s="75"/>
      <c r="N34" s="75"/>
      <c r="O34" s="75"/>
      <c r="P34" s="75"/>
      <c r="U34" s="31" t="s">
        <v>43</v>
      </c>
      <c r="W34" s="139" t="s">
        <v>43</v>
      </c>
      <c r="X34" s="119">
        <f>1</f>
        <v>1</v>
      </c>
      <c r="Y34" s="120" t="str">
        <f t="shared" si="0"/>
        <v/>
      </c>
      <c r="Z34" s="120" t="str">
        <f t="shared" si="2"/>
        <v/>
      </c>
      <c r="AA34" s="30"/>
    </row>
    <row r="35" spans="1:27" ht="16" x14ac:dyDescent="0.2">
      <c r="A35" s="29" t="s">
        <v>1409</v>
      </c>
      <c r="B35" s="29" t="s">
        <v>74</v>
      </c>
      <c r="C35" s="20" t="s">
        <v>75</v>
      </c>
      <c r="D35" s="20" t="s">
        <v>2119</v>
      </c>
      <c r="E35" s="42"/>
      <c r="F35" s="29" t="s">
        <v>1202</v>
      </c>
      <c r="G35" s="29" t="s">
        <v>1687</v>
      </c>
      <c r="H35" s="43"/>
      <c r="I35" s="74" t="s">
        <v>25</v>
      </c>
      <c r="J35" s="74" t="s">
        <v>2125</v>
      </c>
      <c r="K35" s="74"/>
      <c r="L35" s="83"/>
      <c r="M35" s="74"/>
      <c r="N35" s="74"/>
      <c r="O35" s="74"/>
      <c r="P35" s="74"/>
      <c r="U35" s="21" t="s">
        <v>26</v>
      </c>
      <c r="W35" s="139">
        <v>8.8000000000000007</v>
      </c>
      <c r="X35" s="119">
        <f>1</f>
        <v>1</v>
      </c>
      <c r="Y35" s="120">
        <f t="shared" si="0"/>
        <v>8.8000000000000007</v>
      </c>
      <c r="Z35" s="120">
        <f t="shared" si="2"/>
        <v>8.8000000000000007</v>
      </c>
    </row>
    <row r="36" spans="1:27" x14ac:dyDescent="0.2">
      <c r="A36" s="29" t="s">
        <v>27</v>
      </c>
      <c r="B36" s="29" t="s">
        <v>77</v>
      </c>
      <c r="C36" s="20"/>
      <c r="D36" s="20"/>
      <c r="E36" s="42"/>
      <c r="F36" s="29"/>
      <c r="G36" s="29"/>
      <c r="H36" s="43"/>
      <c r="I36" s="74"/>
      <c r="J36" s="74"/>
      <c r="K36" s="74"/>
      <c r="L36" s="74"/>
      <c r="M36" s="74"/>
      <c r="N36" s="74"/>
      <c r="O36" s="74"/>
      <c r="P36" s="74" t="s">
        <v>78</v>
      </c>
      <c r="U36" s="21" t="s">
        <v>26</v>
      </c>
      <c r="W36" s="139"/>
      <c r="X36" s="119">
        <f>1</f>
        <v>1</v>
      </c>
      <c r="Y36" s="120" t="str">
        <f t="shared" si="0"/>
        <v/>
      </c>
      <c r="Z36" s="120" t="str">
        <f t="shared" si="2"/>
        <v/>
      </c>
    </row>
    <row r="37" spans="1:27" ht="16" x14ac:dyDescent="0.2">
      <c r="A37" s="29" t="s">
        <v>1410</v>
      </c>
      <c r="B37" s="29" t="s">
        <v>79</v>
      </c>
      <c r="C37" s="20" t="s">
        <v>80</v>
      </c>
      <c r="D37" s="20" t="s">
        <v>2120</v>
      </c>
      <c r="E37" s="42"/>
      <c r="F37" s="29"/>
      <c r="G37" s="20"/>
      <c r="H37" s="43"/>
      <c r="I37" s="74" t="s">
        <v>25</v>
      </c>
      <c r="J37" s="74" t="s">
        <v>2125</v>
      </c>
      <c r="K37" s="74"/>
      <c r="L37" s="74"/>
      <c r="M37" s="74"/>
      <c r="N37" s="74" t="s">
        <v>81</v>
      </c>
      <c r="O37" s="74"/>
      <c r="P37" s="74"/>
      <c r="U37" s="21" t="s">
        <v>26</v>
      </c>
      <c r="W37" s="139">
        <v>10.4</v>
      </c>
      <c r="X37" s="119">
        <f>1</f>
        <v>1</v>
      </c>
      <c r="Y37" s="120">
        <f t="shared" si="0"/>
        <v>10.4</v>
      </c>
      <c r="Z37" s="120">
        <f t="shared" si="2"/>
        <v>10.4</v>
      </c>
    </row>
    <row r="38" spans="1:27" x14ac:dyDescent="0.2">
      <c r="A38" s="29" t="s">
        <v>27</v>
      </c>
      <c r="B38" s="29" t="s">
        <v>82</v>
      </c>
      <c r="C38" s="20"/>
      <c r="D38" s="20"/>
      <c r="E38" s="42"/>
      <c r="F38" s="29"/>
      <c r="G38" s="29"/>
      <c r="H38" s="43"/>
      <c r="I38" s="74"/>
      <c r="J38" s="74"/>
      <c r="K38" s="74"/>
      <c r="L38" s="74"/>
      <c r="M38" s="74"/>
      <c r="N38" s="74"/>
      <c r="O38" s="74"/>
      <c r="P38" s="74" t="s">
        <v>83</v>
      </c>
      <c r="U38" s="21" t="s">
        <v>26</v>
      </c>
      <c r="W38" s="139"/>
      <c r="X38" s="119">
        <f>1</f>
        <v>1</v>
      </c>
      <c r="Y38" s="120" t="str">
        <f t="shared" si="0"/>
        <v/>
      </c>
      <c r="Z38" s="120" t="str">
        <f t="shared" si="2"/>
        <v/>
      </c>
    </row>
    <row r="39" spans="1:27" x14ac:dyDescent="0.2">
      <c r="E39" s="42"/>
      <c r="H39" s="43"/>
      <c r="U39" s="21" t="s">
        <v>43</v>
      </c>
      <c r="W39" s="139" t="s">
        <v>43</v>
      </c>
      <c r="X39" s="119">
        <f>1</f>
        <v>1</v>
      </c>
      <c r="Y39" s="120" t="str">
        <f t="shared" si="0"/>
        <v/>
      </c>
      <c r="Z39" s="120" t="str">
        <f t="shared" si="2"/>
        <v/>
      </c>
    </row>
    <row r="40" spans="1:27" s="22" customFormat="1" ht="48" x14ac:dyDescent="0.2">
      <c r="A40" s="20" t="s">
        <v>84</v>
      </c>
      <c r="B40" s="20" t="s">
        <v>85</v>
      </c>
      <c r="C40" s="20" t="s">
        <v>1101</v>
      </c>
      <c r="D40" s="20" t="s">
        <v>1565</v>
      </c>
      <c r="E40" s="42"/>
      <c r="F40" s="29" t="s">
        <v>1432</v>
      </c>
      <c r="G40" s="29" t="s">
        <v>1688</v>
      </c>
      <c r="H40" s="42"/>
      <c r="I40" s="19" t="s">
        <v>25</v>
      </c>
      <c r="J40" s="19"/>
      <c r="K40" s="19"/>
      <c r="L40" s="19"/>
      <c r="M40" s="19"/>
      <c r="N40" s="19"/>
      <c r="O40" s="19"/>
      <c r="P40" s="19"/>
      <c r="U40" s="22" t="s">
        <v>26</v>
      </c>
      <c r="W40" s="142">
        <v>31.372377395629883</v>
      </c>
      <c r="X40" s="119">
        <f>1</f>
        <v>1</v>
      </c>
      <c r="Y40" s="121">
        <f t="shared" si="0"/>
        <v>31.372377395629883</v>
      </c>
      <c r="Z40" s="121">
        <f t="shared" si="2"/>
        <v>31.372377395629883</v>
      </c>
      <c r="AA40" s="23"/>
    </row>
    <row r="41" spans="1:27" x14ac:dyDescent="0.2">
      <c r="E41" s="42"/>
      <c r="H41" s="43"/>
      <c r="U41" s="21" t="s">
        <v>43</v>
      </c>
      <c r="W41" s="139" t="s">
        <v>43</v>
      </c>
      <c r="X41" s="119">
        <f>1</f>
        <v>1</v>
      </c>
      <c r="Y41" s="120" t="str">
        <f t="shared" si="0"/>
        <v/>
      </c>
      <c r="Z41" s="120" t="str">
        <f t="shared" si="2"/>
        <v/>
      </c>
    </row>
    <row r="42" spans="1:27" s="30" customFormat="1" ht="16" thickBot="1" x14ac:dyDescent="0.25">
      <c r="A42" s="51" t="s">
        <v>86</v>
      </c>
      <c r="B42" s="51"/>
      <c r="C42" s="52"/>
      <c r="D42" s="52"/>
      <c r="E42" s="46"/>
      <c r="F42" s="51"/>
      <c r="G42" s="51"/>
      <c r="H42" s="47"/>
      <c r="I42" s="85"/>
      <c r="J42" s="85"/>
      <c r="K42" s="85"/>
      <c r="L42" s="85"/>
      <c r="M42" s="85"/>
      <c r="N42" s="85"/>
      <c r="O42" s="85"/>
      <c r="P42" s="85"/>
      <c r="U42" s="30" t="s">
        <v>43</v>
      </c>
      <c r="W42" s="139" t="s">
        <v>43</v>
      </c>
      <c r="X42" s="119"/>
      <c r="Y42" s="120" t="str">
        <f t="shared" si="0"/>
        <v/>
      </c>
      <c r="Z42" s="120" t="str">
        <f t="shared" si="2"/>
        <v/>
      </c>
    </row>
    <row r="43" spans="1:27" s="27" customFormat="1" ht="17" thickTop="1" x14ac:dyDescent="0.2">
      <c r="A43" s="24" t="s">
        <v>44</v>
      </c>
      <c r="B43" s="24" t="s">
        <v>87</v>
      </c>
      <c r="C43" s="48" t="s">
        <v>88</v>
      </c>
      <c r="D43" s="48" t="s">
        <v>1566</v>
      </c>
      <c r="E43" s="25"/>
      <c r="F43" s="24"/>
      <c r="G43" s="24"/>
      <c r="H43" s="26"/>
      <c r="I43" s="79" t="s">
        <v>32</v>
      </c>
      <c r="J43" s="79"/>
      <c r="K43" s="79"/>
      <c r="L43" s="79"/>
      <c r="M43" s="79" t="s">
        <v>89</v>
      </c>
      <c r="N43" s="79"/>
      <c r="O43" s="79"/>
      <c r="P43" s="79"/>
      <c r="U43" s="21" t="s">
        <v>26</v>
      </c>
      <c r="W43" s="139"/>
      <c r="X43" s="119"/>
      <c r="Y43" s="120" t="str">
        <f t="shared" si="0"/>
        <v/>
      </c>
      <c r="Z43" s="120" t="str">
        <f t="shared" si="2"/>
        <v/>
      </c>
      <c r="AA43" s="28"/>
    </row>
    <row r="44" spans="1:27" x14ac:dyDescent="0.2">
      <c r="E44" s="42"/>
      <c r="H44" s="43"/>
      <c r="U44" s="21" t="s">
        <v>43</v>
      </c>
      <c r="W44" s="139" t="s">
        <v>43</v>
      </c>
      <c r="X44" s="119">
        <f>1</f>
        <v>1</v>
      </c>
      <c r="Y44" s="120" t="str">
        <f t="shared" si="0"/>
        <v/>
      </c>
      <c r="Z44" s="120" t="str">
        <f t="shared" si="2"/>
        <v/>
      </c>
    </row>
    <row r="45" spans="1:27" ht="16" x14ac:dyDescent="0.2">
      <c r="A45" s="29" t="s">
        <v>126</v>
      </c>
      <c r="B45" s="29" t="s">
        <v>1102</v>
      </c>
      <c r="C45" s="20" t="s">
        <v>1103</v>
      </c>
      <c r="D45" s="20" t="s">
        <v>1567</v>
      </c>
      <c r="E45" s="42"/>
      <c r="F45" s="29"/>
      <c r="G45" s="29"/>
      <c r="H45" s="43"/>
      <c r="I45" s="74" t="s">
        <v>25</v>
      </c>
      <c r="J45" s="74"/>
      <c r="K45" s="74"/>
      <c r="L45" s="74"/>
      <c r="M45" s="74"/>
      <c r="N45" s="74"/>
      <c r="O45" s="74"/>
      <c r="P45" s="74"/>
      <c r="U45" s="21" t="s">
        <v>26</v>
      </c>
      <c r="W45" s="158"/>
      <c r="X45" s="159"/>
      <c r="Y45" s="160"/>
      <c r="Z45" s="120"/>
    </row>
    <row r="46" spans="1:27" ht="16" x14ac:dyDescent="0.2">
      <c r="A46" s="29" t="s">
        <v>55</v>
      </c>
      <c r="B46" s="29" t="s">
        <v>90</v>
      </c>
      <c r="C46" s="20" t="s">
        <v>91</v>
      </c>
      <c r="D46" s="20" t="s">
        <v>1568</v>
      </c>
      <c r="E46" s="42"/>
      <c r="F46" s="29"/>
      <c r="G46" s="29"/>
      <c r="H46" s="43"/>
      <c r="I46" s="74" t="s">
        <v>25</v>
      </c>
      <c r="J46" s="74"/>
      <c r="K46" s="74"/>
      <c r="L46" s="74"/>
      <c r="M46" s="74" t="s">
        <v>1203</v>
      </c>
      <c r="N46" s="74"/>
      <c r="O46" s="74"/>
      <c r="P46" s="74"/>
      <c r="U46" s="21" t="s">
        <v>26</v>
      </c>
      <c r="W46" s="139">
        <v>10.085731506347656</v>
      </c>
      <c r="X46" s="119">
        <f>1</f>
        <v>1</v>
      </c>
      <c r="Y46" s="120">
        <f t="shared" si="0"/>
        <v>10.085731506347656</v>
      </c>
      <c r="Z46" s="120">
        <f t="shared" si="2"/>
        <v>10.085731506347656</v>
      </c>
    </row>
    <row r="47" spans="1:27" x14ac:dyDescent="0.2">
      <c r="E47" s="42"/>
      <c r="H47" s="43"/>
      <c r="U47" s="21" t="s">
        <v>43</v>
      </c>
      <c r="W47" s="139" t="s">
        <v>43</v>
      </c>
      <c r="X47" s="119">
        <f>1</f>
        <v>1</v>
      </c>
      <c r="Y47" s="120" t="str">
        <f t="shared" si="0"/>
        <v/>
      </c>
      <c r="Z47" s="120" t="str">
        <f t="shared" si="2"/>
        <v/>
      </c>
    </row>
    <row r="48" spans="1:27" ht="16" x14ac:dyDescent="0.2">
      <c r="A48" s="29" t="s">
        <v>92</v>
      </c>
      <c r="B48" s="29" t="s">
        <v>93</v>
      </c>
      <c r="C48" s="20" t="s">
        <v>94</v>
      </c>
      <c r="D48" s="20" t="s">
        <v>1569</v>
      </c>
      <c r="E48" s="42"/>
      <c r="F48" s="29"/>
      <c r="G48" s="29"/>
      <c r="H48" s="43"/>
      <c r="I48" s="74" t="s">
        <v>25</v>
      </c>
      <c r="J48" s="74"/>
      <c r="K48" s="74"/>
      <c r="L48" s="74"/>
      <c r="M48" s="74"/>
      <c r="N48" s="74"/>
      <c r="O48" s="74"/>
      <c r="P48" s="74"/>
      <c r="U48" s="21" t="s">
        <v>26</v>
      </c>
      <c r="W48" s="139">
        <v>12.894034385681152</v>
      </c>
      <c r="X48" s="119">
        <f>1</f>
        <v>1</v>
      </c>
      <c r="Y48" s="120">
        <f t="shared" si="0"/>
        <v>12.894034385681152</v>
      </c>
      <c r="Z48" s="120">
        <f t="shared" si="2"/>
        <v>12.894034385681152</v>
      </c>
    </row>
    <row r="49" spans="1:27" x14ac:dyDescent="0.2">
      <c r="E49" s="42"/>
      <c r="H49" s="43"/>
      <c r="U49" s="21" t="s">
        <v>43</v>
      </c>
      <c r="W49" s="139" t="s">
        <v>43</v>
      </c>
      <c r="X49" s="119">
        <f>1</f>
        <v>1</v>
      </c>
      <c r="Y49" s="120" t="str">
        <f t="shared" si="0"/>
        <v/>
      </c>
      <c r="Z49" s="120" t="str">
        <f t="shared" ref="Z49:Z82" si="4">IF(AND(W49&lt;&gt;"",U49="yes"),W49*X49,"")</f>
        <v/>
      </c>
    </row>
    <row r="50" spans="1:27" s="30" customFormat="1" ht="16" x14ac:dyDescent="0.2">
      <c r="A50" s="30" t="s">
        <v>95</v>
      </c>
      <c r="B50" s="30" t="s">
        <v>96</v>
      </c>
      <c r="C50" s="23" t="s">
        <v>97</v>
      </c>
      <c r="D50" s="23" t="s">
        <v>2114</v>
      </c>
      <c r="E50" s="53"/>
      <c r="F50" s="54"/>
      <c r="G50" s="54"/>
      <c r="H50" s="55"/>
      <c r="I50" s="81" t="s">
        <v>25</v>
      </c>
      <c r="J50" s="86"/>
      <c r="K50" s="86"/>
      <c r="L50" s="86"/>
      <c r="M50" s="86"/>
      <c r="N50" s="86"/>
      <c r="O50" s="86"/>
      <c r="P50" s="86"/>
      <c r="U50" s="30" t="s">
        <v>26</v>
      </c>
      <c r="W50" s="139">
        <v>15.265829086303711</v>
      </c>
      <c r="X50" s="119">
        <f>1</f>
        <v>1</v>
      </c>
      <c r="Y50" s="120">
        <f t="shared" si="0"/>
        <v>15.265829086303711</v>
      </c>
      <c r="Z50" s="120">
        <f t="shared" si="4"/>
        <v>15.265829086303711</v>
      </c>
    </row>
    <row r="51" spans="1:27" s="30" customFormat="1" ht="16" x14ac:dyDescent="0.2">
      <c r="A51" s="30" t="s">
        <v>98</v>
      </c>
      <c r="B51" s="30" t="s">
        <v>99</v>
      </c>
      <c r="C51" s="23" t="s">
        <v>100</v>
      </c>
      <c r="D51" s="23" t="s">
        <v>1570</v>
      </c>
      <c r="E51" s="53"/>
      <c r="F51" s="54"/>
      <c r="G51" s="54"/>
      <c r="H51" s="55"/>
      <c r="I51" s="81" t="s">
        <v>25</v>
      </c>
      <c r="J51" s="86"/>
      <c r="K51" s="86"/>
      <c r="L51" s="86"/>
      <c r="M51" s="86"/>
      <c r="N51" s="86"/>
      <c r="O51" s="86"/>
      <c r="P51" s="86"/>
      <c r="U51" s="30" t="s">
        <v>26</v>
      </c>
      <c r="W51" s="139">
        <v>15.12371826171875</v>
      </c>
      <c r="X51" s="119">
        <f>1</f>
        <v>1</v>
      </c>
      <c r="Y51" s="120">
        <f t="shared" si="0"/>
        <v>15.12371826171875</v>
      </c>
      <c r="Z51" s="120">
        <f t="shared" si="4"/>
        <v>15.12371826171875</v>
      </c>
    </row>
    <row r="52" spans="1:27" s="30" customFormat="1" ht="16" x14ac:dyDescent="0.2">
      <c r="A52" s="30" t="s">
        <v>101</v>
      </c>
      <c r="B52" s="30" t="s">
        <v>102</v>
      </c>
      <c r="C52" s="23" t="s">
        <v>103</v>
      </c>
      <c r="D52" s="23" t="s">
        <v>2115</v>
      </c>
      <c r="E52" s="53"/>
      <c r="F52" s="54"/>
      <c r="G52" s="54"/>
      <c r="H52" s="55"/>
      <c r="I52" s="81" t="s">
        <v>25</v>
      </c>
      <c r="J52" s="86"/>
      <c r="K52" s="86"/>
      <c r="L52" s="86"/>
      <c r="M52" s="86"/>
      <c r="N52" s="86"/>
      <c r="O52" s="86"/>
      <c r="P52" s="86"/>
      <c r="U52" s="30" t="s">
        <v>26</v>
      </c>
      <c r="W52" s="139">
        <v>13.760138511657715</v>
      </c>
      <c r="X52" s="119">
        <f>1</f>
        <v>1</v>
      </c>
      <c r="Y52" s="120">
        <f t="shared" si="0"/>
        <v>13.760138511657715</v>
      </c>
      <c r="Z52" s="120">
        <f t="shared" si="4"/>
        <v>13.760138511657715</v>
      </c>
    </row>
    <row r="53" spans="1:27" s="30" customFormat="1" x14ac:dyDescent="0.2">
      <c r="C53" s="23"/>
      <c r="D53" s="23"/>
      <c r="E53" s="53"/>
      <c r="F53" s="54"/>
      <c r="G53" s="54"/>
      <c r="H53" s="55"/>
      <c r="I53" s="86"/>
      <c r="J53" s="86"/>
      <c r="K53" s="86"/>
      <c r="L53" s="86"/>
      <c r="M53" s="86"/>
      <c r="N53" s="86"/>
      <c r="O53" s="86"/>
      <c r="P53" s="86"/>
      <c r="U53" s="30" t="s">
        <v>43</v>
      </c>
      <c r="W53" s="139" t="s">
        <v>43</v>
      </c>
      <c r="X53" s="119">
        <f>1</f>
        <v>1</v>
      </c>
      <c r="Y53" s="120" t="str">
        <f t="shared" si="0"/>
        <v/>
      </c>
      <c r="Z53" s="120" t="str">
        <f t="shared" si="4"/>
        <v/>
      </c>
    </row>
    <row r="54" spans="1:27" s="31" customFormat="1" ht="16" x14ac:dyDescent="0.2">
      <c r="A54" s="31" t="s">
        <v>104</v>
      </c>
      <c r="B54" s="31" t="s">
        <v>105</v>
      </c>
      <c r="C54" s="32" t="s">
        <v>106</v>
      </c>
      <c r="D54" s="32" t="s">
        <v>1571</v>
      </c>
      <c r="E54" s="33"/>
      <c r="F54" s="31" t="s">
        <v>1280</v>
      </c>
      <c r="G54" s="31" t="s">
        <v>1689</v>
      </c>
      <c r="H54" s="37"/>
      <c r="I54" s="75" t="s">
        <v>25</v>
      </c>
      <c r="J54" s="75"/>
      <c r="K54" s="75"/>
      <c r="L54" s="75"/>
      <c r="M54" s="75"/>
      <c r="N54" s="75"/>
      <c r="O54" s="75"/>
      <c r="P54" s="75"/>
      <c r="U54" s="31" t="s">
        <v>33</v>
      </c>
      <c r="W54" s="139">
        <v>30.646188735961914</v>
      </c>
      <c r="X54" s="119">
        <f>1</f>
        <v>1</v>
      </c>
      <c r="Y54" s="120">
        <f t="shared" si="0"/>
        <v>30.646188735961914</v>
      </c>
      <c r="Z54" s="120" t="str">
        <f t="shared" si="4"/>
        <v/>
      </c>
      <c r="AA54" s="30"/>
    </row>
    <row r="55" spans="1:27" s="31" customFormat="1" ht="16" x14ac:dyDescent="0.2">
      <c r="A55" s="31" t="s">
        <v>52</v>
      </c>
      <c r="B55" s="31" t="s">
        <v>107</v>
      </c>
      <c r="C55" s="32" t="s">
        <v>108</v>
      </c>
      <c r="D55" s="32" t="s">
        <v>1572</v>
      </c>
      <c r="E55" s="33"/>
      <c r="F55" s="31" t="s">
        <v>1106</v>
      </c>
      <c r="G55" s="31" t="s">
        <v>1695</v>
      </c>
      <c r="H55" s="37"/>
      <c r="I55" s="75" t="s">
        <v>25</v>
      </c>
      <c r="J55" s="75"/>
      <c r="K55" s="75" t="s">
        <v>109</v>
      </c>
      <c r="L55" s="75"/>
      <c r="M55" s="75"/>
      <c r="N55" s="75"/>
      <c r="O55" s="75"/>
      <c r="P55" s="75"/>
      <c r="U55" s="31" t="s">
        <v>33</v>
      </c>
      <c r="W55" s="139">
        <v>15.211848258972168</v>
      </c>
      <c r="X55" s="119">
        <f>1</f>
        <v>1</v>
      </c>
      <c r="Y55" s="120">
        <f t="shared" si="0"/>
        <v>15.211848258972168</v>
      </c>
      <c r="Z55" s="120" t="str">
        <f t="shared" si="4"/>
        <v/>
      </c>
      <c r="AA55" s="30"/>
    </row>
    <row r="56" spans="1:27" s="31" customFormat="1" ht="16" x14ac:dyDescent="0.2">
      <c r="A56" s="31" t="s">
        <v>110</v>
      </c>
      <c r="B56" s="31" t="s">
        <v>111</v>
      </c>
      <c r="C56" s="32" t="s">
        <v>1107</v>
      </c>
      <c r="D56" s="32" t="s">
        <v>1573</v>
      </c>
      <c r="E56" s="33"/>
      <c r="F56" s="31" t="s">
        <v>1108</v>
      </c>
      <c r="G56" s="31" t="s">
        <v>1574</v>
      </c>
      <c r="H56" s="37"/>
      <c r="I56" s="75" t="s">
        <v>25</v>
      </c>
      <c r="J56" s="75"/>
      <c r="K56" s="75" t="s">
        <v>173</v>
      </c>
      <c r="L56" s="75"/>
      <c r="M56" s="75"/>
      <c r="N56" s="75"/>
      <c r="O56" s="75"/>
      <c r="P56" s="75"/>
      <c r="U56" s="31" t="s">
        <v>33</v>
      </c>
      <c r="W56" s="139">
        <v>17</v>
      </c>
      <c r="X56" s="119">
        <f>1</f>
        <v>1</v>
      </c>
      <c r="Y56" s="120">
        <f t="shared" si="0"/>
        <v>17</v>
      </c>
      <c r="Z56" s="120" t="str">
        <f t="shared" si="4"/>
        <v/>
      </c>
      <c r="AA56" s="30"/>
    </row>
    <row r="57" spans="1:27" s="31" customFormat="1" ht="16" x14ac:dyDescent="0.2">
      <c r="A57" s="31" t="s">
        <v>112</v>
      </c>
      <c r="B57" s="31" t="s">
        <v>113</v>
      </c>
      <c r="C57" s="32" t="s">
        <v>1109</v>
      </c>
      <c r="D57" s="32" t="s">
        <v>1575</v>
      </c>
      <c r="E57" s="33"/>
      <c r="F57" s="31" t="s">
        <v>1108</v>
      </c>
      <c r="H57" s="37"/>
      <c r="I57" s="75" t="s">
        <v>25</v>
      </c>
      <c r="J57" s="75"/>
      <c r="K57" s="75" t="s">
        <v>173</v>
      </c>
      <c r="L57" s="75"/>
      <c r="M57" s="75"/>
      <c r="N57" s="75"/>
      <c r="O57" s="75"/>
      <c r="P57" s="75"/>
      <c r="U57" s="31" t="s">
        <v>33</v>
      </c>
      <c r="W57" s="139">
        <v>17</v>
      </c>
      <c r="X57" s="119">
        <f>1</f>
        <v>1</v>
      </c>
      <c r="Y57" s="120">
        <f t="shared" si="0"/>
        <v>17</v>
      </c>
      <c r="Z57" s="120" t="str">
        <f t="shared" si="4"/>
        <v/>
      </c>
      <c r="AA57" s="30"/>
    </row>
    <row r="58" spans="1:27" s="31" customFormat="1" ht="16" x14ac:dyDescent="0.2">
      <c r="A58" s="31" t="s">
        <v>114</v>
      </c>
      <c r="B58" s="31" t="s">
        <v>115</v>
      </c>
      <c r="C58" s="32" t="s">
        <v>116</v>
      </c>
      <c r="D58" s="32" t="s">
        <v>1576</v>
      </c>
      <c r="E58" s="33"/>
      <c r="H58" s="37"/>
      <c r="I58" s="75" t="s">
        <v>25</v>
      </c>
      <c r="J58" s="75"/>
      <c r="K58" s="75"/>
      <c r="L58" s="75"/>
      <c r="M58" s="75"/>
      <c r="N58" s="75"/>
      <c r="O58" s="75"/>
      <c r="P58" s="75"/>
      <c r="U58" s="31" t="s">
        <v>33</v>
      </c>
      <c r="W58" s="139">
        <v>17</v>
      </c>
      <c r="X58" s="119">
        <f>1</f>
        <v>1</v>
      </c>
      <c r="Y58" s="120">
        <f t="shared" si="0"/>
        <v>17</v>
      </c>
      <c r="Z58" s="120" t="str">
        <f t="shared" si="4"/>
        <v/>
      </c>
      <c r="AA58" s="30"/>
    </row>
    <row r="59" spans="1:27" s="31" customFormat="1" ht="16" x14ac:dyDescent="0.2">
      <c r="A59" s="31" t="s">
        <v>117</v>
      </c>
      <c r="B59" s="31" t="s">
        <v>118</v>
      </c>
      <c r="C59" s="32" t="s">
        <v>119</v>
      </c>
      <c r="D59" s="32" t="s">
        <v>1577</v>
      </c>
      <c r="E59" s="33"/>
      <c r="H59" s="37"/>
      <c r="I59" s="75" t="s">
        <v>25</v>
      </c>
      <c r="J59" s="75"/>
      <c r="K59" s="75"/>
      <c r="L59" s="75"/>
      <c r="M59" s="75"/>
      <c r="N59" s="75"/>
      <c r="O59" s="75"/>
      <c r="P59" s="75"/>
      <c r="U59" s="31" t="s">
        <v>33</v>
      </c>
      <c r="W59" s="139">
        <v>8.2288064956665039</v>
      </c>
      <c r="X59" s="119">
        <f>1</f>
        <v>1</v>
      </c>
      <c r="Y59" s="120">
        <f t="shared" si="0"/>
        <v>8.2288064956665039</v>
      </c>
      <c r="Z59" s="120" t="str">
        <f t="shared" si="4"/>
        <v/>
      </c>
      <c r="AA59" s="30"/>
    </row>
    <row r="60" spans="1:27" s="31" customFormat="1" x14ac:dyDescent="0.2">
      <c r="C60" s="32"/>
      <c r="D60" s="32"/>
      <c r="E60" s="33"/>
      <c r="H60" s="37"/>
      <c r="I60" s="75"/>
      <c r="J60" s="75"/>
      <c r="K60" s="75"/>
      <c r="L60" s="75"/>
      <c r="M60" s="75"/>
      <c r="N60" s="75"/>
      <c r="O60" s="75"/>
      <c r="P60" s="75"/>
      <c r="U60" s="31" t="s">
        <v>43</v>
      </c>
      <c r="W60" s="139" t="s">
        <v>43</v>
      </c>
      <c r="X60" s="119">
        <f>1</f>
        <v>1</v>
      </c>
      <c r="Y60" s="120" t="str">
        <f t="shared" si="0"/>
        <v/>
      </c>
      <c r="Z60" s="120" t="str">
        <f t="shared" si="4"/>
        <v/>
      </c>
      <c r="AA60" s="30"/>
    </row>
    <row r="61" spans="1:27" ht="16" thickBot="1" x14ac:dyDescent="0.25">
      <c r="A61" s="56" t="s">
        <v>86</v>
      </c>
      <c r="B61" s="56"/>
      <c r="C61" s="57"/>
      <c r="D61" s="57"/>
      <c r="E61" s="66"/>
      <c r="F61" s="56"/>
      <c r="G61" s="56"/>
      <c r="H61" s="67"/>
      <c r="I61" s="87"/>
      <c r="J61" s="87"/>
      <c r="K61" s="87"/>
      <c r="L61" s="87"/>
      <c r="M61" s="87"/>
      <c r="N61" s="87"/>
      <c r="O61" s="87"/>
      <c r="P61" s="87"/>
      <c r="U61" s="21" t="s">
        <v>43</v>
      </c>
      <c r="W61" s="139" t="s">
        <v>43</v>
      </c>
      <c r="X61" s="119">
        <f>1</f>
        <v>1</v>
      </c>
      <c r="Y61" s="120" t="str">
        <f t="shared" si="0"/>
        <v/>
      </c>
      <c r="Z61" s="120" t="str">
        <f t="shared" si="4"/>
        <v/>
      </c>
    </row>
    <row r="62" spans="1:27" s="27" customFormat="1" ht="17" thickTop="1" x14ac:dyDescent="0.2">
      <c r="A62" s="36" t="s">
        <v>44</v>
      </c>
      <c r="B62" s="36" t="s">
        <v>120</v>
      </c>
      <c r="C62" s="58" t="s">
        <v>121</v>
      </c>
      <c r="D62" s="58" t="s">
        <v>121</v>
      </c>
      <c r="E62" s="128"/>
      <c r="F62" s="36"/>
      <c r="G62" s="36"/>
      <c r="H62" s="129"/>
      <c r="I62" s="88" t="s">
        <v>32</v>
      </c>
      <c r="J62" s="88"/>
      <c r="K62" s="88"/>
      <c r="L62" s="88"/>
      <c r="M62" s="88" t="s">
        <v>89</v>
      </c>
      <c r="N62" s="88"/>
      <c r="O62" s="88"/>
      <c r="P62" s="88"/>
      <c r="U62" s="21" t="s">
        <v>26</v>
      </c>
      <c r="W62" s="139"/>
      <c r="X62" s="119">
        <f>1</f>
        <v>1</v>
      </c>
      <c r="Y62" s="120" t="str">
        <f t="shared" si="0"/>
        <v/>
      </c>
      <c r="Z62" s="120" t="str">
        <f t="shared" si="4"/>
        <v/>
      </c>
      <c r="AA62" s="28"/>
    </row>
    <row r="63" spans="1:27" x14ac:dyDescent="0.2">
      <c r="E63" s="42"/>
      <c r="H63" s="43"/>
      <c r="U63" s="21" t="s">
        <v>43</v>
      </c>
      <c r="W63" s="139" t="s">
        <v>43</v>
      </c>
      <c r="X63" s="119">
        <f>1</f>
        <v>1</v>
      </c>
      <c r="Y63" s="120" t="str">
        <f t="shared" si="0"/>
        <v/>
      </c>
      <c r="Z63" s="120" t="str">
        <f t="shared" si="4"/>
        <v/>
      </c>
    </row>
    <row r="64" spans="1:27" ht="16" x14ac:dyDescent="0.2">
      <c r="A64" s="34" t="s">
        <v>122</v>
      </c>
      <c r="B64" s="34" t="s">
        <v>123</v>
      </c>
      <c r="C64" s="35" t="s">
        <v>1120</v>
      </c>
      <c r="D64" s="35" t="s">
        <v>1578</v>
      </c>
      <c r="E64" s="53"/>
      <c r="F64" s="30" t="s">
        <v>1279</v>
      </c>
      <c r="G64" s="21" t="s">
        <v>1691</v>
      </c>
      <c r="H64" s="55"/>
      <c r="I64" s="76" t="s">
        <v>25</v>
      </c>
      <c r="J64" s="76" t="s">
        <v>76</v>
      </c>
      <c r="K64" s="76"/>
      <c r="L64" s="76"/>
      <c r="M64" s="76"/>
      <c r="N64" s="76"/>
      <c r="O64" s="76"/>
      <c r="P64" s="76"/>
      <c r="U64" s="21" t="s">
        <v>26</v>
      </c>
      <c r="W64" s="139">
        <v>36.928733825683594</v>
      </c>
      <c r="X64" s="119">
        <f>1</f>
        <v>1</v>
      </c>
      <c r="Y64" s="120">
        <f t="shared" si="0"/>
        <v>36.928733825683594</v>
      </c>
      <c r="Z64" s="120">
        <f t="shared" si="4"/>
        <v>36.928733825683594</v>
      </c>
    </row>
    <row r="65" spans="1:27" x14ac:dyDescent="0.2">
      <c r="A65" s="34" t="s">
        <v>27</v>
      </c>
      <c r="B65" s="34" t="s">
        <v>124</v>
      </c>
      <c r="C65" s="35"/>
      <c r="D65" s="35"/>
      <c r="E65" s="53"/>
      <c r="F65" s="30"/>
      <c r="G65" s="30"/>
      <c r="H65" s="55"/>
      <c r="I65" s="76"/>
      <c r="J65" s="76"/>
      <c r="K65" s="76"/>
      <c r="L65" s="76"/>
      <c r="M65" s="76"/>
      <c r="N65" s="76"/>
      <c r="O65" s="76"/>
      <c r="P65" s="76" t="s">
        <v>125</v>
      </c>
      <c r="U65" s="21" t="s">
        <v>26</v>
      </c>
      <c r="W65" s="139"/>
      <c r="X65" s="119">
        <f>1</f>
        <v>1</v>
      </c>
      <c r="Y65" s="120" t="str">
        <f t="shared" si="0"/>
        <v/>
      </c>
      <c r="Z65" s="120" t="str">
        <f t="shared" si="4"/>
        <v/>
      </c>
    </row>
    <row r="66" spans="1:27" ht="16" x14ac:dyDescent="0.2">
      <c r="A66" s="34" t="s">
        <v>126</v>
      </c>
      <c r="B66" s="34" t="s">
        <v>1136</v>
      </c>
      <c r="C66" s="35" t="s">
        <v>127</v>
      </c>
      <c r="D66" s="35" t="s">
        <v>2099</v>
      </c>
      <c r="E66" s="53"/>
      <c r="F66" s="30"/>
      <c r="G66" s="30"/>
      <c r="H66" s="55"/>
      <c r="I66" s="76" t="s">
        <v>25</v>
      </c>
      <c r="J66" s="76"/>
      <c r="K66" s="76"/>
      <c r="L66" s="76"/>
      <c r="M66" s="76" t="s">
        <v>128</v>
      </c>
      <c r="N66" s="76"/>
      <c r="O66" s="76"/>
      <c r="P66" s="76"/>
      <c r="U66" s="21" t="s">
        <v>26</v>
      </c>
      <c r="W66" s="139">
        <v>0</v>
      </c>
      <c r="X66" s="119">
        <f>1</f>
        <v>1</v>
      </c>
      <c r="Y66" s="120">
        <f t="shared" si="0"/>
        <v>0</v>
      </c>
      <c r="Z66" s="120">
        <f t="shared" si="4"/>
        <v>0</v>
      </c>
    </row>
    <row r="67" spans="1:27" ht="32" x14ac:dyDescent="0.2">
      <c r="A67" s="34" t="s">
        <v>126</v>
      </c>
      <c r="B67" s="34" t="s">
        <v>1137</v>
      </c>
      <c r="C67" s="35" t="s">
        <v>129</v>
      </c>
      <c r="D67" s="35" t="s">
        <v>1579</v>
      </c>
      <c r="E67" s="53"/>
      <c r="F67" s="30"/>
      <c r="G67" s="30"/>
      <c r="H67" s="55"/>
      <c r="I67" s="76" t="s">
        <v>25</v>
      </c>
      <c r="J67" s="76"/>
      <c r="K67" s="76"/>
      <c r="L67" s="76"/>
      <c r="M67" s="76" t="s">
        <v>130</v>
      </c>
      <c r="N67" s="76"/>
      <c r="O67" s="76"/>
      <c r="P67" s="76"/>
      <c r="U67" s="21" t="s">
        <v>26</v>
      </c>
      <c r="W67" s="139">
        <v>0</v>
      </c>
      <c r="X67" s="119">
        <f>1</f>
        <v>1</v>
      </c>
      <c r="Y67" s="120">
        <f t="shared" ref="Y67:Y136" si="5">IF(W67&lt;&gt;"",W67*X67,"")</f>
        <v>0</v>
      </c>
      <c r="Z67" s="120">
        <f t="shared" si="4"/>
        <v>0</v>
      </c>
    </row>
    <row r="68" spans="1:27" ht="32" x14ac:dyDescent="0.2">
      <c r="A68" s="34" t="s">
        <v>126</v>
      </c>
      <c r="B68" s="34" t="s">
        <v>1138</v>
      </c>
      <c r="C68" s="35" t="s">
        <v>1139</v>
      </c>
      <c r="D68" s="35" t="s">
        <v>1580</v>
      </c>
      <c r="E68" s="53"/>
      <c r="F68" s="30"/>
      <c r="G68" s="30"/>
      <c r="H68" s="55"/>
      <c r="I68" s="76" t="s">
        <v>25</v>
      </c>
      <c r="J68" s="76"/>
      <c r="K68" s="76"/>
      <c r="L68" s="76"/>
      <c r="M68" s="76" t="s">
        <v>1125</v>
      </c>
      <c r="N68" s="76"/>
      <c r="O68" s="76"/>
      <c r="P68" s="76"/>
      <c r="U68" s="21" t="s">
        <v>26</v>
      </c>
      <c r="W68" s="139">
        <v>0</v>
      </c>
      <c r="X68" s="119">
        <f>1</f>
        <v>1</v>
      </c>
      <c r="Y68" s="120">
        <f t="shared" si="5"/>
        <v>0</v>
      </c>
      <c r="Z68" s="120">
        <f t="shared" si="4"/>
        <v>0</v>
      </c>
    </row>
    <row r="69" spans="1:27" x14ac:dyDescent="0.2">
      <c r="E69" s="42"/>
      <c r="H69" s="43"/>
      <c r="U69" s="21" t="s">
        <v>43</v>
      </c>
      <c r="W69" s="139" t="s">
        <v>43</v>
      </c>
      <c r="X69" s="119">
        <f>1</f>
        <v>1</v>
      </c>
      <c r="Y69" s="120" t="str">
        <f t="shared" si="5"/>
        <v/>
      </c>
      <c r="Z69" s="120" t="str">
        <f t="shared" si="4"/>
        <v/>
      </c>
    </row>
    <row r="70" spans="1:27" s="31" customFormat="1" ht="32" x14ac:dyDescent="0.2">
      <c r="A70" s="31" t="s">
        <v>133</v>
      </c>
      <c r="B70" s="31" t="s">
        <v>134</v>
      </c>
      <c r="C70" s="32" t="s">
        <v>135</v>
      </c>
      <c r="D70" s="32" t="s">
        <v>2100</v>
      </c>
      <c r="E70" s="33"/>
      <c r="F70" s="31" t="s">
        <v>1141</v>
      </c>
      <c r="G70" s="31" t="s">
        <v>1585</v>
      </c>
      <c r="H70" s="37"/>
      <c r="I70" s="75" t="s">
        <v>25</v>
      </c>
      <c r="J70" s="75"/>
      <c r="K70" s="75" t="s">
        <v>1140</v>
      </c>
      <c r="L70" s="75"/>
      <c r="M70" s="75" t="s">
        <v>1126</v>
      </c>
      <c r="N70" s="75"/>
      <c r="O70" s="75"/>
      <c r="P70" s="75"/>
      <c r="U70" s="31" t="s">
        <v>33</v>
      </c>
      <c r="W70" s="139">
        <v>40.047317504882812</v>
      </c>
      <c r="X70" s="119">
        <f>1</f>
        <v>1</v>
      </c>
      <c r="Y70" s="120">
        <f t="shared" si="5"/>
        <v>40.047317504882812</v>
      </c>
      <c r="Z70" s="120" t="str">
        <f t="shared" si="4"/>
        <v/>
      </c>
      <c r="AA70" s="30"/>
    </row>
    <row r="71" spans="1:27" s="31" customFormat="1" ht="16" x14ac:dyDescent="0.2">
      <c r="A71" s="31" t="s">
        <v>136</v>
      </c>
      <c r="B71" s="31" t="s">
        <v>137</v>
      </c>
      <c r="C71" s="31" t="s">
        <v>138</v>
      </c>
      <c r="D71" s="32" t="s">
        <v>1581</v>
      </c>
      <c r="E71" s="37"/>
      <c r="F71" s="31" t="s">
        <v>1412</v>
      </c>
      <c r="G71" s="31" t="s">
        <v>1586</v>
      </c>
      <c r="H71" s="37"/>
      <c r="I71" s="75" t="s">
        <v>32</v>
      </c>
      <c r="J71" s="75"/>
      <c r="K71" s="75"/>
      <c r="L71" s="75"/>
      <c r="M71" s="75" t="s">
        <v>1127</v>
      </c>
      <c r="N71" s="75"/>
      <c r="O71" s="75"/>
      <c r="P71" s="75"/>
      <c r="U71" s="31" t="s">
        <v>33</v>
      </c>
      <c r="W71" s="139">
        <v>3.6870110034942627</v>
      </c>
      <c r="X71" s="119">
        <f>1</f>
        <v>1</v>
      </c>
      <c r="Y71" s="120">
        <f t="shared" si="5"/>
        <v>3.6870110034942627</v>
      </c>
      <c r="Z71" s="120" t="str">
        <f t="shared" si="4"/>
        <v/>
      </c>
      <c r="AA71" s="30"/>
    </row>
    <row r="72" spans="1:27" x14ac:dyDescent="0.2">
      <c r="D72" s="32"/>
      <c r="E72" s="37"/>
      <c r="G72" s="31"/>
      <c r="H72" s="37"/>
    </row>
    <row r="73" spans="1:27" s="34" customFormat="1" ht="16" x14ac:dyDescent="0.2">
      <c r="A73" s="34" t="s">
        <v>1143</v>
      </c>
      <c r="B73" s="34" t="s">
        <v>132</v>
      </c>
      <c r="C73" s="34" t="s">
        <v>1149</v>
      </c>
      <c r="D73" s="35" t="s">
        <v>2098</v>
      </c>
      <c r="E73" s="55"/>
      <c r="H73" s="55"/>
      <c r="I73" s="76" t="s">
        <v>25</v>
      </c>
      <c r="J73" s="76"/>
      <c r="K73" s="76"/>
      <c r="L73" s="76"/>
      <c r="M73" s="76" t="s">
        <v>1126</v>
      </c>
      <c r="N73" s="76"/>
      <c r="O73" s="76"/>
      <c r="P73" s="76"/>
      <c r="W73" s="140"/>
      <c r="X73" s="161"/>
      <c r="Y73" s="162"/>
      <c r="Z73" s="162"/>
    </row>
    <row r="74" spans="1:27" s="34" customFormat="1" ht="16" x14ac:dyDescent="0.2">
      <c r="A74" s="34" t="s">
        <v>1144</v>
      </c>
      <c r="B74" s="34" t="s">
        <v>1142</v>
      </c>
      <c r="C74" s="34" t="s">
        <v>1147</v>
      </c>
      <c r="D74" s="35" t="s">
        <v>1582</v>
      </c>
      <c r="E74" s="55"/>
      <c r="H74" s="55"/>
      <c r="I74" s="76" t="s">
        <v>25</v>
      </c>
      <c r="J74" s="76"/>
      <c r="K74" s="76"/>
      <c r="L74" s="76"/>
      <c r="M74" s="76" t="s">
        <v>1126</v>
      </c>
      <c r="N74" s="76"/>
      <c r="O74" s="76"/>
      <c r="P74" s="76"/>
      <c r="W74" s="140"/>
      <c r="X74" s="161"/>
      <c r="Y74" s="162"/>
      <c r="Z74" s="162"/>
    </row>
    <row r="75" spans="1:27" x14ac:dyDescent="0.2">
      <c r="E75" s="42"/>
      <c r="H75" s="43"/>
      <c r="U75" s="21" t="s">
        <v>43</v>
      </c>
      <c r="W75" s="139" t="s">
        <v>43</v>
      </c>
      <c r="X75" s="119">
        <f>1</f>
        <v>1</v>
      </c>
      <c r="Y75" s="120" t="str">
        <f t="shared" ref="Y75" si="6">IF(W75&lt;&gt;"",W75*X75,"")</f>
        <v/>
      </c>
      <c r="Z75" s="120" t="str">
        <f t="shared" ref="Z75" si="7">IF(AND(W75&lt;&gt;"",U75="yes"),W75*X75,"")</f>
        <v/>
      </c>
    </row>
    <row r="76" spans="1:27" ht="32" x14ac:dyDescent="0.2">
      <c r="A76" s="34" t="s">
        <v>139</v>
      </c>
      <c r="B76" s="34" t="s">
        <v>140</v>
      </c>
      <c r="C76" s="35" t="s">
        <v>1045</v>
      </c>
      <c r="D76" s="35" t="s">
        <v>2097</v>
      </c>
      <c r="E76" s="53"/>
      <c r="F76" s="34"/>
      <c r="G76" s="34"/>
      <c r="H76" s="55"/>
      <c r="I76" s="76" t="s">
        <v>25</v>
      </c>
      <c r="J76" s="76"/>
      <c r="K76" s="76"/>
      <c r="L76" s="76"/>
      <c r="M76" s="76" t="s">
        <v>1126</v>
      </c>
      <c r="N76" s="76"/>
      <c r="O76" s="76"/>
      <c r="P76" s="76"/>
      <c r="U76" s="21" t="s">
        <v>26</v>
      </c>
      <c r="W76" s="139">
        <v>27.242166519165039</v>
      </c>
      <c r="X76" s="119">
        <f>1</f>
        <v>1</v>
      </c>
      <c r="Y76" s="120">
        <f t="shared" si="5"/>
        <v>27.242166519165039</v>
      </c>
      <c r="Z76" s="120">
        <f t="shared" si="4"/>
        <v>27.242166519165039</v>
      </c>
    </row>
    <row r="77" spans="1:27" x14ac:dyDescent="0.2">
      <c r="D77" s="23"/>
      <c r="E77" s="42"/>
      <c r="H77" s="43"/>
      <c r="U77" s="21" t="s">
        <v>43</v>
      </c>
      <c r="W77" s="139" t="s">
        <v>43</v>
      </c>
      <c r="X77" s="119">
        <f>1</f>
        <v>1</v>
      </c>
      <c r="Y77" s="120" t="str">
        <f t="shared" si="5"/>
        <v/>
      </c>
      <c r="Z77" s="120" t="str">
        <f t="shared" si="4"/>
        <v/>
      </c>
    </row>
    <row r="78" spans="1:27" ht="32" x14ac:dyDescent="0.2">
      <c r="A78" s="34" t="s">
        <v>141</v>
      </c>
      <c r="B78" s="34" t="s">
        <v>142</v>
      </c>
      <c r="C78" s="35" t="s">
        <v>1135</v>
      </c>
      <c r="D78" s="35" t="s">
        <v>1583</v>
      </c>
      <c r="E78" s="53"/>
      <c r="F78" s="30" t="s">
        <v>1278</v>
      </c>
      <c r="G78" s="30" t="s">
        <v>1694</v>
      </c>
      <c r="H78" s="55"/>
      <c r="I78" s="76" t="s">
        <v>25</v>
      </c>
      <c r="J78" s="76" t="s">
        <v>76</v>
      </c>
      <c r="K78" s="76"/>
      <c r="L78" s="76"/>
      <c r="M78" s="76" t="s">
        <v>1126</v>
      </c>
      <c r="N78" s="76" t="s">
        <v>143</v>
      </c>
      <c r="O78" s="76"/>
      <c r="P78" s="76"/>
      <c r="U78" s="21" t="s">
        <v>26</v>
      </c>
      <c r="W78" s="139">
        <v>25.308004379272461</v>
      </c>
      <c r="X78" s="119">
        <f>1</f>
        <v>1</v>
      </c>
      <c r="Y78" s="120">
        <f t="shared" si="5"/>
        <v>25.308004379272461</v>
      </c>
      <c r="Z78" s="120">
        <f t="shared" si="4"/>
        <v>25.308004379272461</v>
      </c>
    </row>
    <row r="79" spans="1:27" x14ac:dyDescent="0.2">
      <c r="A79" s="34" t="s">
        <v>27</v>
      </c>
      <c r="B79" s="34" t="s">
        <v>144</v>
      </c>
      <c r="C79" s="35"/>
      <c r="D79" s="35"/>
      <c r="E79" s="53"/>
      <c r="F79" s="30"/>
      <c r="G79" s="30"/>
      <c r="H79" s="55"/>
      <c r="I79" s="76"/>
      <c r="J79" s="76"/>
      <c r="K79" s="76"/>
      <c r="L79" s="76"/>
      <c r="M79" s="76"/>
      <c r="N79" s="76"/>
      <c r="O79" s="76"/>
      <c r="P79" s="76" t="s">
        <v>145</v>
      </c>
      <c r="U79" s="21" t="s">
        <v>26</v>
      </c>
      <c r="W79" s="139"/>
      <c r="X79" s="119">
        <f>1</f>
        <v>1</v>
      </c>
      <c r="Y79" s="120" t="str">
        <f t="shared" si="5"/>
        <v/>
      </c>
      <c r="Z79" s="120" t="str">
        <f t="shared" si="4"/>
        <v/>
      </c>
    </row>
    <row r="80" spans="1:27" ht="16" x14ac:dyDescent="0.2">
      <c r="A80" s="34" t="s">
        <v>126</v>
      </c>
      <c r="B80" s="34" t="s">
        <v>1400</v>
      </c>
      <c r="C80" s="35" t="s">
        <v>127</v>
      </c>
      <c r="D80" s="35" t="s">
        <v>1692</v>
      </c>
      <c r="E80" s="53"/>
      <c r="F80" s="30"/>
      <c r="G80" s="30"/>
      <c r="H80" s="55"/>
      <c r="I80" s="76" t="s">
        <v>25</v>
      </c>
      <c r="J80" s="76"/>
      <c r="K80" s="76"/>
      <c r="L80" s="76"/>
      <c r="M80" s="76" t="s">
        <v>146</v>
      </c>
      <c r="N80" s="76"/>
      <c r="O80" s="76"/>
      <c r="P80" s="76"/>
      <c r="U80" s="21" t="s">
        <v>26</v>
      </c>
      <c r="W80" s="139">
        <v>0</v>
      </c>
      <c r="X80" s="119">
        <f>1</f>
        <v>1</v>
      </c>
      <c r="Y80" s="120">
        <f t="shared" si="5"/>
        <v>0</v>
      </c>
      <c r="Z80" s="120">
        <f t="shared" si="4"/>
        <v>0</v>
      </c>
    </row>
    <row r="81" spans="1:27" ht="32" x14ac:dyDescent="0.2">
      <c r="A81" s="34" t="s">
        <v>126</v>
      </c>
      <c r="B81" s="34" t="s">
        <v>1401</v>
      </c>
      <c r="C81" s="35" t="s">
        <v>129</v>
      </c>
      <c r="D81" s="35" t="s">
        <v>1579</v>
      </c>
      <c r="E81" s="53"/>
      <c r="F81" s="30"/>
      <c r="G81" s="30"/>
      <c r="H81" s="55"/>
      <c r="I81" s="76" t="s">
        <v>25</v>
      </c>
      <c r="J81" s="76"/>
      <c r="K81" s="76"/>
      <c r="L81" s="76"/>
      <c r="M81" s="76" t="s">
        <v>147</v>
      </c>
      <c r="N81" s="76"/>
      <c r="O81" s="76"/>
      <c r="P81" s="76"/>
      <c r="U81" s="21" t="s">
        <v>26</v>
      </c>
      <c r="W81" s="139">
        <v>0</v>
      </c>
      <c r="X81" s="119">
        <f>1</f>
        <v>1</v>
      </c>
      <c r="Y81" s="120">
        <f t="shared" si="5"/>
        <v>0</v>
      </c>
      <c r="Z81" s="120">
        <f t="shared" si="4"/>
        <v>0</v>
      </c>
    </row>
    <row r="82" spans="1:27" ht="32" x14ac:dyDescent="0.2">
      <c r="A82" s="34" t="s">
        <v>126</v>
      </c>
      <c r="B82" s="34" t="s">
        <v>1402</v>
      </c>
      <c r="C82" s="35" t="s">
        <v>131</v>
      </c>
      <c r="D82" s="35" t="s">
        <v>1584</v>
      </c>
      <c r="E82" s="53"/>
      <c r="F82" s="30"/>
      <c r="G82" s="30"/>
      <c r="H82" s="55"/>
      <c r="I82" s="76" t="s">
        <v>25</v>
      </c>
      <c r="J82" s="76"/>
      <c r="K82" s="76"/>
      <c r="L82" s="76"/>
      <c r="M82" s="76" t="s">
        <v>1128</v>
      </c>
      <c r="N82" s="76"/>
      <c r="O82" s="76"/>
      <c r="P82" s="76"/>
      <c r="U82" s="21" t="s">
        <v>26</v>
      </c>
      <c r="W82" s="139">
        <v>0</v>
      </c>
      <c r="X82" s="119">
        <f>1</f>
        <v>1</v>
      </c>
      <c r="Y82" s="120">
        <f t="shared" si="5"/>
        <v>0</v>
      </c>
      <c r="Z82" s="120">
        <f t="shared" si="4"/>
        <v>0</v>
      </c>
    </row>
    <row r="83" spans="1:27" x14ac:dyDescent="0.2">
      <c r="E83" s="42"/>
      <c r="H83" s="43"/>
      <c r="U83" s="21" t="s">
        <v>43</v>
      </c>
      <c r="W83" s="139" t="s">
        <v>43</v>
      </c>
      <c r="X83" s="119">
        <f>1</f>
        <v>1</v>
      </c>
      <c r="Y83" s="120" t="str">
        <f t="shared" si="5"/>
        <v/>
      </c>
      <c r="Z83" s="120" t="str">
        <f t="shared" ref="Z83:Z116" si="8">IF(AND(W83&lt;&gt;"",U83="yes"),W83*X83,"")</f>
        <v/>
      </c>
    </row>
    <row r="84" spans="1:27" s="31" customFormat="1" ht="32" x14ac:dyDescent="0.2">
      <c r="A84" s="31" t="s">
        <v>133</v>
      </c>
      <c r="B84" s="31" t="s">
        <v>149</v>
      </c>
      <c r="C84" s="32" t="s">
        <v>150</v>
      </c>
      <c r="D84" s="32" t="s">
        <v>2101</v>
      </c>
      <c r="E84" s="33"/>
      <c r="F84" s="31" t="s">
        <v>1141</v>
      </c>
      <c r="G84" s="31" t="s">
        <v>1585</v>
      </c>
      <c r="H84" s="37"/>
      <c r="I84" s="75" t="s">
        <v>25</v>
      </c>
      <c r="J84" s="75"/>
      <c r="K84" s="75" t="s">
        <v>1140</v>
      </c>
      <c r="L84" s="75"/>
      <c r="M84" s="75" t="s">
        <v>1129</v>
      </c>
      <c r="N84" s="75"/>
      <c r="O84" s="75"/>
      <c r="P84" s="75"/>
      <c r="U84" s="31" t="s">
        <v>33</v>
      </c>
      <c r="W84" s="139">
        <v>30.828470230102539</v>
      </c>
      <c r="X84" s="119">
        <f>1</f>
        <v>1</v>
      </c>
      <c r="Y84" s="120">
        <f t="shared" si="5"/>
        <v>30.828470230102539</v>
      </c>
      <c r="Z84" s="120" t="str">
        <f t="shared" si="8"/>
        <v/>
      </c>
      <c r="AA84" s="30"/>
    </row>
    <row r="85" spans="1:27" s="31" customFormat="1" ht="16" x14ac:dyDescent="0.2">
      <c r="A85" s="31" t="s">
        <v>136</v>
      </c>
      <c r="B85" s="31" t="s">
        <v>151</v>
      </c>
      <c r="C85" s="31" t="s">
        <v>138</v>
      </c>
      <c r="D85" s="32" t="s">
        <v>1581</v>
      </c>
      <c r="E85" s="33"/>
      <c r="F85" s="31" t="s">
        <v>1075</v>
      </c>
      <c r="G85" s="31" t="s">
        <v>1586</v>
      </c>
      <c r="H85" s="37"/>
      <c r="I85" s="75" t="s">
        <v>32</v>
      </c>
      <c r="J85" s="75"/>
      <c r="K85" s="75"/>
      <c r="L85" s="75"/>
      <c r="M85" s="75" t="s">
        <v>1130</v>
      </c>
      <c r="N85" s="75"/>
      <c r="O85" s="75"/>
      <c r="P85" s="75"/>
      <c r="U85" s="31" t="s">
        <v>33</v>
      </c>
      <c r="W85" s="139">
        <v>2.2941176891326904</v>
      </c>
      <c r="X85" s="119">
        <f>1</f>
        <v>1</v>
      </c>
      <c r="Y85" s="120">
        <f t="shared" si="5"/>
        <v>2.2941176891326904</v>
      </c>
      <c r="Z85" s="120" t="str">
        <f t="shared" si="8"/>
        <v/>
      </c>
      <c r="AA85" s="30"/>
    </row>
    <row r="86" spans="1:27" s="31" customFormat="1" x14ac:dyDescent="0.2">
      <c r="C86" s="32"/>
      <c r="D86" s="32"/>
      <c r="E86" s="33"/>
      <c r="H86" s="37"/>
      <c r="I86" s="75"/>
      <c r="J86" s="75"/>
      <c r="K86" s="75"/>
      <c r="L86" s="75"/>
      <c r="M86" s="75"/>
      <c r="N86" s="75"/>
      <c r="O86" s="75"/>
      <c r="P86" s="75"/>
      <c r="U86" s="31" t="s">
        <v>43</v>
      </c>
      <c r="W86" s="139" t="s">
        <v>43</v>
      </c>
      <c r="X86" s="119">
        <f>1</f>
        <v>1</v>
      </c>
      <c r="Y86" s="120" t="str">
        <f t="shared" ref="Y86" si="9">IF(W86&lt;&gt;"",W86*X86,"")</f>
        <v/>
      </c>
      <c r="Z86" s="120" t="str">
        <f t="shared" ref="Z86" si="10">IF(AND(W86&lt;&gt;"",U86="yes"),W86*X86,"")</f>
        <v/>
      </c>
      <c r="AA86" s="30"/>
    </row>
    <row r="87" spans="1:27" s="31" customFormat="1" ht="16" x14ac:dyDescent="0.2">
      <c r="A87" s="31" t="s">
        <v>1143</v>
      </c>
      <c r="B87" s="31" t="s">
        <v>148</v>
      </c>
      <c r="C87" s="31" t="s">
        <v>1149</v>
      </c>
      <c r="D87" s="32" t="s">
        <v>1587</v>
      </c>
      <c r="E87" s="37"/>
      <c r="H87" s="37"/>
      <c r="I87" s="75" t="s">
        <v>25</v>
      </c>
      <c r="J87" s="75"/>
      <c r="K87" s="75"/>
      <c r="L87" s="75"/>
      <c r="M87" s="75" t="s">
        <v>1129</v>
      </c>
      <c r="N87" s="75"/>
      <c r="O87" s="75"/>
      <c r="P87" s="75"/>
      <c r="W87" s="139"/>
      <c r="X87" s="119"/>
      <c r="Y87" s="120"/>
      <c r="Z87" s="120"/>
      <c r="AA87" s="30"/>
    </row>
    <row r="88" spans="1:27" s="31" customFormat="1" ht="16" x14ac:dyDescent="0.2">
      <c r="A88" s="31" t="s">
        <v>1144</v>
      </c>
      <c r="B88" s="31" t="s">
        <v>1148</v>
      </c>
      <c r="C88" s="31" t="s">
        <v>1147</v>
      </c>
      <c r="D88" s="32" t="s">
        <v>1582</v>
      </c>
      <c r="E88" s="37"/>
      <c r="H88" s="37"/>
      <c r="I88" s="75" t="s">
        <v>25</v>
      </c>
      <c r="J88" s="75"/>
      <c r="K88" s="75"/>
      <c r="L88" s="75"/>
      <c r="M88" s="75" t="s">
        <v>1129</v>
      </c>
      <c r="N88" s="75"/>
      <c r="O88" s="75"/>
      <c r="P88" s="75"/>
      <c r="W88" s="139"/>
      <c r="X88" s="119"/>
      <c r="Y88" s="120"/>
      <c r="Z88" s="120"/>
      <c r="AA88" s="30"/>
    </row>
    <row r="89" spans="1:27" s="31" customFormat="1" x14ac:dyDescent="0.2">
      <c r="C89" s="32"/>
      <c r="D89" s="32"/>
      <c r="E89" s="33"/>
      <c r="H89" s="37"/>
      <c r="I89" s="75"/>
      <c r="J89" s="75"/>
      <c r="K89" s="75"/>
      <c r="L89" s="75"/>
      <c r="M89" s="75"/>
      <c r="N89" s="75"/>
      <c r="O89" s="75"/>
      <c r="P89" s="75"/>
      <c r="U89" s="31" t="s">
        <v>43</v>
      </c>
      <c r="W89" s="139" t="s">
        <v>43</v>
      </c>
      <c r="X89" s="119">
        <f>1</f>
        <v>1</v>
      </c>
      <c r="Y89" s="120" t="str">
        <f t="shared" si="5"/>
        <v/>
      </c>
      <c r="Z89" s="120" t="str">
        <f t="shared" si="8"/>
        <v/>
      </c>
      <c r="AA89" s="30"/>
    </row>
    <row r="90" spans="1:27" ht="32" x14ac:dyDescent="0.2">
      <c r="A90" s="34" t="s">
        <v>139</v>
      </c>
      <c r="B90" s="34" t="s">
        <v>152</v>
      </c>
      <c r="C90" s="35" t="s">
        <v>1046</v>
      </c>
      <c r="D90" s="35" t="s">
        <v>2096</v>
      </c>
      <c r="E90" s="53"/>
      <c r="F90" s="34"/>
      <c r="G90" s="34"/>
      <c r="H90" s="55"/>
      <c r="I90" s="76" t="s">
        <v>25</v>
      </c>
      <c r="J90" s="76"/>
      <c r="K90" s="76"/>
      <c r="L90" s="76"/>
      <c r="M90" s="76" t="s">
        <v>1129</v>
      </c>
      <c r="N90" s="76"/>
      <c r="O90" s="76"/>
      <c r="P90" s="76"/>
      <c r="U90" s="21" t="s">
        <v>26</v>
      </c>
      <c r="W90" s="139">
        <v>21.193256378173828</v>
      </c>
      <c r="X90" s="119">
        <f>1</f>
        <v>1</v>
      </c>
      <c r="Y90" s="120">
        <f t="shared" si="5"/>
        <v>21.193256378173828</v>
      </c>
      <c r="Z90" s="120">
        <f t="shared" si="8"/>
        <v>21.193256378173828</v>
      </c>
    </row>
    <row r="91" spans="1:27" x14ac:dyDescent="0.2">
      <c r="D91" s="23"/>
      <c r="E91" s="42"/>
      <c r="H91" s="43"/>
      <c r="M91" s="86"/>
      <c r="U91" s="21" t="s">
        <v>43</v>
      </c>
      <c r="W91" s="139" t="s">
        <v>43</v>
      </c>
      <c r="X91" s="119">
        <f>1</f>
        <v>1</v>
      </c>
      <c r="Y91" s="120" t="str">
        <f t="shared" si="5"/>
        <v/>
      </c>
      <c r="Z91" s="120" t="str">
        <f t="shared" si="8"/>
        <v/>
      </c>
    </row>
    <row r="92" spans="1:27" ht="16" x14ac:dyDescent="0.2">
      <c r="A92" s="34" t="s">
        <v>153</v>
      </c>
      <c r="B92" s="34" t="s">
        <v>154</v>
      </c>
      <c r="C92" s="34" t="s">
        <v>1134</v>
      </c>
      <c r="D92" s="35" t="s">
        <v>1588</v>
      </c>
      <c r="E92" s="55"/>
      <c r="F92" s="30" t="s">
        <v>1278</v>
      </c>
      <c r="G92" s="30" t="s">
        <v>1693</v>
      </c>
      <c r="H92" s="55"/>
      <c r="I92" s="76" t="s">
        <v>25</v>
      </c>
      <c r="J92" s="76" t="s">
        <v>76</v>
      </c>
      <c r="K92" s="76"/>
      <c r="L92" s="76"/>
      <c r="M92" s="76" t="s">
        <v>1129</v>
      </c>
      <c r="N92" s="76" t="s">
        <v>155</v>
      </c>
      <c r="O92" s="76"/>
      <c r="P92" s="76"/>
      <c r="U92" s="21" t="s">
        <v>26</v>
      </c>
      <c r="W92" s="139">
        <v>20.229927062988281</v>
      </c>
      <c r="X92" s="119">
        <f>1</f>
        <v>1</v>
      </c>
      <c r="Y92" s="120">
        <f t="shared" si="5"/>
        <v>20.229927062988281</v>
      </c>
      <c r="Z92" s="120">
        <f t="shared" si="8"/>
        <v>20.229927062988281</v>
      </c>
    </row>
    <row r="93" spans="1:27" x14ac:dyDescent="0.2">
      <c r="A93" s="34" t="s">
        <v>27</v>
      </c>
      <c r="B93" s="34" t="s">
        <v>156</v>
      </c>
      <c r="C93" s="35"/>
      <c r="D93" s="35"/>
      <c r="E93" s="53"/>
      <c r="F93" s="30"/>
      <c r="G93" s="30"/>
      <c r="H93" s="55"/>
      <c r="I93" s="76"/>
      <c r="J93" s="76"/>
      <c r="K93" s="76"/>
      <c r="L93" s="76"/>
      <c r="M93" s="76"/>
      <c r="N93" s="76"/>
      <c r="O93" s="76"/>
      <c r="P93" s="76" t="s">
        <v>157</v>
      </c>
      <c r="U93" s="21" t="s">
        <v>26</v>
      </c>
      <c r="W93" s="139"/>
      <c r="X93" s="119">
        <f>1</f>
        <v>1</v>
      </c>
      <c r="Y93" s="120" t="str">
        <f t="shared" si="5"/>
        <v/>
      </c>
      <c r="Z93" s="120" t="str">
        <f t="shared" si="8"/>
        <v/>
      </c>
    </row>
    <row r="94" spans="1:27" ht="16" x14ac:dyDescent="0.2">
      <c r="A94" s="34" t="s">
        <v>126</v>
      </c>
      <c r="B94" s="34" t="s">
        <v>1403</v>
      </c>
      <c r="C94" s="35" t="s">
        <v>127</v>
      </c>
      <c r="D94" s="35" t="s">
        <v>1692</v>
      </c>
      <c r="E94" s="53"/>
      <c r="F94" s="30"/>
      <c r="G94" s="30"/>
      <c r="H94" s="55"/>
      <c r="I94" s="76" t="s">
        <v>25</v>
      </c>
      <c r="J94" s="76"/>
      <c r="K94" s="76"/>
      <c r="L94" s="76"/>
      <c r="M94" s="76" t="s">
        <v>158</v>
      </c>
      <c r="N94" s="76"/>
      <c r="O94" s="76"/>
      <c r="P94" s="76"/>
      <c r="U94" s="21" t="s">
        <v>26</v>
      </c>
      <c r="W94" s="139">
        <v>0</v>
      </c>
      <c r="X94" s="119">
        <f>1</f>
        <v>1</v>
      </c>
      <c r="Y94" s="120">
        <f t="shared" si="5"/>
        <v>0</v>
      </c>
      <c r="Z94" s="120">
        <f t="shared" si="8"/>
        <v>0</v>
      </c>
    </row>
    <row r="95" spans="1:27" ht="32" x14ac:dyDescent="0.2">
      <c r="A95" s="34" t="s">
        <v>126</v>
      </c>
      <c r="B95" s="34" t="s">
        <v>1404</v>
      </c>
      <c r="C95" s="35" t="s">
        <v>129</v>
      </c>
      <c r="D95" s="35" t="s">
        <v>1579</v>
      </c>
      <c r="E95" s="53"/>
      <c r="F95" s="30"/>
      <c r="G95" s="30"/>
      <c r="H95" s="55"/>
      <c r="I95" s="76" t="s">
        <v>25</v>
      </c>
      <c r="J95" s="76"/>
      <c r="K95" s="76"/>
      <c r="L95" s="76"/>
      <c r="M95" s="76" t="s">
        <v>159</v>
      </c>
      <c r="N95" s="76"/>
      <c r="O95" s="76"/>
      <c r="P95" s="76"/>
      <c r="U95" s="21" t="s">
        <v>26</v>
      </c>
      <c r="W95" s="139">
        <v>0</v>
      </c>
      <c r="X95" s="119">
        <f>1</f>
        <v>1</v>
      </c>
      <c r="Y95" s="120">
        <f t="shared" si="5"/>
        <v>0</v>
      </c>
      <c r="Z95" s="120">
        <f t="shared" si="8"/>
        <v>0</v>
      </c>
    </row>
    <row r="96" spans="1:27" ht="32" x14ac:dyDescent="0.2">
      <c r="A96" s="34" t="s">
        <v>126</v>
      </c>
      <c r="B96" s="34" t="s">
        <v>1405</v>
      </c>
      <c r="C96" s="35" t="s">
        <v>131</v>
      </c>
      <c r="D96" s="35" t="s">
        <v>1584</v>
      </c>
      <c r="E96" s="53"/>
      <c r="F96" s="30"/>
      <c r="G96" s="30"/>
      <c r="H96" s="55"/>
      <c r="I96" s="76" t="s">
        <v>25</v>
      </c>
      <c r="J96" s="76"/>
      <c r="K96" s="76"/>
      <c r="L96" s="76"/>
      <c r="M96" s="76" t="s">
        <v>1131</v>
      </c>
      <c r="N96" s="76"/>
      <c r="O96" s="76"/>
      <c r="P96" s="76"/>
      <c r="U96" s="21" t="s">
        <v>26</v>
      </c>
      <c r="W96" s="139">
        <v>0</v>
      </c>
      <c r="X96" s="119">
        <f>1</f>
        <v>1</v>
      </c>
      <c r="Y96" s="120">
        <f t="shared" si="5"/>
        <v>0</v>
      </c>
      <c r="Z96" s="120">
        <f t="shared" si="8"/>
        <v>0</v>
      </c>
    </row>
    <row r="97" spans="1:27" x14ac:dyDescent="0.2">
      <c r="E97" s="42"/>
      <c r="H97" s="43"/>
      <c r="U97" s="21" t="s">
        <v>43</v>
      </c>
      <c r="W97" s="139" t="s">
        <v>43</v>
      </c>
      <c r="X97" s="119">
        <f>1</f>
        <v>1</v>
      </c>
      <c r="Y97" s="120" t="str">
        <f t="shared" si="5"/>
        <v/>
      </c>
      <c r="Z97" s="120" t="str">
        <f t="shared" si="8"/>
        <v/>
      </c>
    </row>
    <row r="98" spans="1:27" s="31" customFormat="1" ht="32" x14ac:dyDescent="0.2">
      <c r="A98" s="31" t="s">
        <v>133</v>
      </c>
      <c r="B98" s="31" t="s">
        <v>161</v>
      </c>
      <c r="C98" s="32" t="s">
        <v>162</v>
      </c>
      <c r="D98" s="32" t="s">
        <v>2095</v>
      </c>
      <c r="E98" s="33"/>
      <c r="F98" s="31" t="s">
        <v>1141</v>
      </c>
      <c r="H98" s="37"/>
      <c r="I98" s="75" t="s">
        <v>25</v>
      </c>
      <c r="J98" s="75"/>
      <c r="K98" s="75" t="s">
        <v>1140</v>
      </c>
      <c r="L98" s="75"/>
      <c r="M98" s="75" t="s">
        <v>1132</v>
      </c>
      <c r="N98" s="75"/>
      <c r="O98" s="75"/>
      <c r="P98" s="75"/>
      <c r="U98" s="31" t="s">
        <v>33</v>
      </c>
      <c r="W98" s="139">
        <v>29.429832458496094</v>
      </c>
      <c r="X98" s="119">
        <f>1</f>
        <v>1</v>
      </c>
      <c r="Y98" s="120">
        <f t="shared" si="5"/>
        <v>29.429832458496094</v>
      </c>
      <c r="Z98" s="120" t="str">
        <f t="shared" si="8"/>
        <v/>
      </c>
      <c r="AA98" s="30"/>
    </row>
    <row r="99" spans="1:27" s="31" customFormat="1" ht="16" x14ac:dyDescent="0.2">
      <c r="A99" s="31" t="s">
        <v>136</v>
      </c>
      <c r="B99" s="31" t="s">
        <v>163</v>
      </c>
      <c r="C99" s="31" t="s">
        <v>138</v>
      </c>
      <c r="D99" s="32" t="s">
        <v>1581</v>
      </c>
      <c r="E99" s="33"/>
      <c r="F99" s="31" t="s">
        <v>1075</v>
      </c>
      <c r="H99" s="59"/>
      <c r="I99" s="75" t="s">
        <v>32</v>
      </c>
      <c r="J99" s="75"/>
      <c r="K99" s="75"/>
      <c r="L99" s="75"/>
      <c r="M99" s="89" t="s">
        <v>1133</v>
      </c>
      <c r="N99" s="75"/>
      <c r="O99" s="75"/>
      <c r="P99" s="75"/>
      <c r="U99" s="31" t="s">
        <v>33</v>
      </c>
      <c r="W99" s="139">
        <v>1.5555555820465088</v>
      </c>
      <c r="X99" s="119">
        <f>1</f>
        <v>1</v>
      </c>
      <c r="Y99" s="120">
        <f t="shared" si="5"/>
        <v>1.5555555820465088</v>
      </c>
      <c r="Z99" s="120" t="str">
        <f t="shared" si="8"/>
        <v/>
      </c>
      <c r="AA99" s="30"/>
    </row>
    <row r="100" spans="1:27" s="31" customFormat="1" x14ac:dyDescent="0.2">
      <c r="C100" s="32"/>
      <c r="D100" s="32"/>
      <c r="E100" s="33"/>
      <c r="H100" s="37"/>
      <c r="I100" s="75"/>
      <c r="J100" s="75"/>
      <c r="K100" s="75"/>
      <c r="L100" s="75"/>
      <c r="M100" s="75"/>
      <c r="N100" s="75"/>
      <c r="O100" s="75"/>
      <c r="P100" s="75"/>
      <c r="U100" s="31" t="s">
        <v>43</v>
      </c>
      <c r="W100" s="139" t="s">
        <v>43</v>
      </c>
      <c r="X100" s="119">
        <f>1</f>
        <v>1</v>
      </c>
      <c r="Y100" s="120" t="str">
        <f t="shared" si="5"/>
        <v/>
      </c>
      <c r="Z100" s="120" t="str">
        <f t="shared" si="8"/>
        <v/>
      </c>
      <c r="AA100" s="30"/>
    </row>
    <row r="101" spans="1:27" s="31" customFormat="1" ht="16" x14ac:dyDescent="0.2">
      <c r="A101" s="31" t="s">
        <v>1143</v>
      </c>
      <c r="B101" s="31" t="s">
        <v>160</v>
      </c>
      <c r="C101" s="31" t="s">
        <v>1149</v>
      </c>
      <c r="D101" s="32" t="s">
        <v>1587</v>
      </c>
      <c r="E101" s="37"/>
      <c r="H101" s="37"/>
      <c r="I101" s="75" t="s">
        <v>25</v>
      </c>
      <c r="J101" s="75"/>
      <c r="K101" s="75"/>
      <c r="L101" s="75"/>
      <c r="M101" s="75" t="s">
        <v>1132</v>
      </c>
      <c r="N101" s="75"/>
      <c r="O101" s="75"/>
      <c r="P101" s="75"/>
      <c r="W101" s="139"/>
      <c r="X101" s="119"/>
      <c r="Y101" s="120"/>
      <c r="Z101" s="120"/>
      <c r="AA101" s="30"/>
    </row>
    <row r="102" spans="1:27" s="31" customFormat="1" ht="16" x14ac:dyDescent="0.2">
      <c r="A102" s="31" t="s">
        <v>1144</v>
      </c>
      <c r="B102" s="31" t="s">
        <v>1150</v>
      </c>
      <c r="C102" s="31" t="s">
        <v>1147</v>
      </c>
      <c r="D102" s="32" t="s">
        <v>1582</v>
      </c>
      <c r="E102" s="37"/>
      <c r="H102" s="37"/>
      <c r="I102" s="75" t="s">
        <v>25</v>
      </c>
      <c r="J102" s="75"/>
      <c r="K102" s="75"/>
      <c r="L102" s="75"/>
      <c r="M102" s="75" t="s">
        <v>1132</v>
      </c>
      <c r="N102" s="75"/>
      <c r="O102" s="75"/>
      <c r="P102" s="75"/>
      <c r="W102" s="139"/>
      <c r="X102" s="119"/>
      <c r="Y102" s="120"/>
      <c r="Z102" s="120"/>
      <c r="AA102" s="30"/>
    </row>
    <row r="103" spans="1:27" s="31" customFormat="1" x14ac:dyDescent="0.2">
      <c r="C103" s="32"/>
      <c r="D103" s="32"/>
      <c r="E103" s="33"/>
      <c r="H103" s="59"/>
      <c r="I103" s="75"/>
      <c r="J103" s="75"/>
      <c r="K103" s="75"/>
      <c r="L103" s="75"/>
      <c r="M103" s="89"/>
      <c r="N103" s="75"/>
      <c r="O103" s="75"/>
      <c r="P103" s="75"/>
      <c r="U103" s="31" t="s">
        <v>43</v>
      </c>
      <c r="W103" s="139" t="s">
        <v>43</v>
      </c>
      <c r="X103" s="119">
        <f>1</f>
        <v>1</v>
      </c>
      <c r="Y103" s="120" t="str">
        <f t="shared" si="5"/>
        <v/>
      </c>
      <c r="Z103" s="120" t="str">
        <f t="shared" si="8"/>
        <v/>
      </c>
      <c r="AA103" s="30"/>
    </row>
    <row r="104" spans="1:27" ht="32" x14ac:dyDescent="0.2">
      <c r="A104" s="34" t="s">
        <v>139</v>
      </c>
      <c r="B104" s="34" t="s">
        <v>164</v>
      </c>
      <c r="C104" s="35" t="s">
        <v>1047</v>
      </c>
      <c r="D104" s="35" t="s">
        <v>2094</v>
      </c>
      <c r="E104" s="53"/>
      <c r="F104" s="34"/>
      <c r="G104" s="34"/>
      <c r="H104" s="55"/>
      <c r="I104" s="76" t="s">
        <v>25</v>
      </c>
      <c r="J104" s="76"/>
      <c r="K104" s="76"/>
      <c r="L104" s="76"/>
      <c r="M104" s="76" t="s">
        <v>1132</v>
      </c>
      <c r="N104" s="76"/>
      <c r="O104" s="76"/>
      <c r="P104" s="76"/>
      <c r="U104" s="21" t="s">
        <v>26</v>
      </c>
      <c r="W104" s="139">
        <v>16.348396301269531</v>
      </c>
      <c r="X104" s="119">
        <f>1</f>
        <v>1</v>
      </c>
      <c r="Y104" s="120">
        <f t="shared" si="5"/>
        <v>16.348396301269531</v>
      </c>
      <c r="Z104" s="120">
        <f t="shared" si="8"/>
        <v>16.348396301269531</v>
      </c>
    </row>
    <row r="105" spans="1:27" s="31" customFormat="1" x14ac:dyDescent="0.2">
      <c r="C105" s="32"/>
      <c r="D105" s="23"/>
      <c r="E105" s="33"/>
      <c r="H105" s="37"/>
      <c r="I105" s="75"/>
      <c r="J105" s="75"/>
      <c r="K105" s="75"/>
      <c r="L105" s="75"/>
      <c r="M105" s="75"/>
      <c r="N105" s="75"/>
      <c r="O105" s="75"/>
      <c r="P105" s="75"/>
      <c r="U105" s="31" t="s">
        <v>43</v>
      </c>
      <c r="W105" s="139" t="s">
        <v>43</v>
      </c>
      <c r="X105" s="119">
        <f>1</f>
        <v>1</v>
      </c>
      <c r="Y105" s="120" t="str">
        <f t="shared" si="5"/>
        <v/>
      </c>
      <c r="Z105" s="120" t="str">
        <f t="shared" si="8"/>
        <v/>
      </c>
      <c r="AA105" s="30"/>
    </row>
    <row r="106" spans="1:27" ht="48" x14ac:dyDescent="0.2">
      <c r="A106" s="34" t="s">
        <v>165</v>
      </c>
      <c r="B106" s="34" t="s">
        <v>166</v>
      </c>
      <c r="C106" s="35" t="s">
        <v>1156</v>
      </c>
      <c r="D106" s="35" t="s">
        <v>2102</v>
      </c>
      <c r="E106" s="53"/>
      <c r="F106" s="34" t="s">
        <v>1157</v>
      </c>
      <c r="G106" s="34" t="s">
        <v>1589</v>
      </c>
      <c r="H106" s="55"/>
      <c r="I106" s="76" t="s">
        <v>25</v>
      </c>
      <c r="J106" s="76"/>
      <c r="K106" s="76" t="s">
        <v>167</v>
      </c>
      <c r="L106" s="76"/>
      <c r="M106" s="76"/>
      <c r="N106" s="76"/>
      <c r="O106" s="76"/>
      <c r="P106" s="76"/>
      <c r="U106" s="21" t="s">
        <v>26</v>
      </c>
      <c r="W106" s="139">
        <v>46.247528076171875</v>
      </c>
      <c r="X106" s="119">
        <f>1</f>
        <v>1</v>
      </c>
      <c r="Y106" s="120">
        <f t="shared" si="5"/>
        <v>46.247528076171875</v>
      </c>
      <c r="Z106" s="120">
        <f t="shared" si="8"/>
        <v>46.247528076171875</v>
      </c>
    </row>
    <row r="107" spans="1:27" x14ac:dyDescent="0.2">
      <c r="E107" s="42"/>
      <c r="H107" s="43"/>
      <c r="U107" s="21" t="s">
        <v>43</v>
      </c>
      <c r="W107" s="139" t="s">
        <v>43</v>
      </c>
      <c r="X107" s="119">
        <f>1</f>
        <v>1</v>
      </c>
      <c r="Y107" s="120" t="str">
        <f t="shared" si="5"/>
        <v/>
      </c>
      <c r="Z107" s="120" t="str">
        <f t="shared" si="8"/>
        <v/>
      </c>
    </row>
    <row r="108" spans="1:27" s="31" customFormat="1" ht="48" x14ac:dyDescent="0.2">
      <c r="A108" s="31" t="s">
        <v>47</v>
      </c>
      <c r="B108" s="31" t="s">
        <v>168</v>
      </c>
      <c r="C108" s="32" t="s">
        <v>1158</v>
      </c>
      <c r="D108" s="32" t="s">
        <v>1696</v>
      </c>
      <c r="E108" s="33"/>
      <c r="F108" s="31" t="s">
        <v>1076</v>
      </c>
      <c r="G108" s="31" t="s">
        <v>1590</v>
      </c>
      <c r="H108" s="37"/>
      <c r="I108" s="75" t="s">
        <v>32</v>
      </c>
      <c r="J108" s="75"/>
      <c r="K108" s="81"/>
      <c r="L108" s="75"/>
      <c r="M108" s="75" t="s">
        <v>169</v>
      </c>
      <c r="N108" s="75"/>
      <c r="O108" s="75"/>
      <c r="P108" s="75"/>
      <c r="U108" s="31" t="s">
        <v>33</v>
      </c>
      <c r="W108" s="139">
        <v>26.118782043457031</v>
      </c>
      <c r="X108" s="119">
        <f>1</f>
        <v>1</v>
      </c>
      <c r="Y108" s="120">
        <f t="shared" si="5"/>
        <v>26.118782043457031</v>
      </c>
      <c r="Z108" s="120" t="str">
        <f t="shared" si="8"/>
        <v/>
      </c>
      <c r="AA108" s="30"/>
    </row>
    <row r="109" spans="1:27" x14ac:dyDescent="0.2">
      <c r="D109" s="32"/>
      <c r="E109" s="42"/>
      <c r="H109" s="43"/>
      <c r="M109" s="86"/>
      <c r="U109" s="21" t="s">
        <v>43</v>
      </c>
      <c r="W109" s="139" t="s">
        <v>43</v>
      </c>
      <c r="X109" s="119">
        <f>1</f>
        <v>1</v>
      </c>
      <c r="Y109" s="120" t="str">
        <f t="shared" si="5"/>
        <v/>
      </c>
      <c r="Z109" s="120" t="str">
        <f t="shared" si="8"/>
        <v/>
      </c>
    </row>
    <row r="110" spans="1:27" s="31" customFormat="1" ht="48" x14ac:dyDescent="0.2">
      <c r="A110" s="31" t="s">
        <v>170</v>
      </c>
      <c r="B110" s="31" t="s">
        <v>171</v>
      </c>
      <c r="C110" s="32" t="s">
        <v>172</v>
      </c>
      <c r="D110" s="32" t="s">
        <v>1591</v>
      </c>
      <c r="E110" s="33"/>
      <c r="F110" s="31" t="s">
        <v>1077</v>
      </c>
      <c r="H110" s="37"/>
      <c r="I110" s="75" t="s">
        <v>25</v>
      </c>
      <c r="J110" s="75"/>
      <c r="K110" s="75" t="s">
        <v>173</v>
      </c>
      <c r="L110" s="75"/>
      <c r="M110" s="75"/>
      <c r="N110" s="75"/>
      <c r="O110" s="75"/>
      <c r="P110" s="75"/>
      <c r="U110" s="31" t="s">
        <v>33</v>
      </c>
      <c r="W110" s="143">
        <v>56.471023559570312</v>
      </c>
      <c r="X110" s="150">
        <f>1</f>
        <v>1</v>
      </c>
      <c r="Y110" s="124">
        <f t="shared" si="5"/>
        <v>56.471023559570312</v>
      </c>
      <c r="Z110" s="124" t="str">
        <f t="shared" si="8"/>
        <v/>
      </c>
    </row>
    <row r="111" spans="1:27" s="31" customFormat="1" ht="16" x14ac:dyDescent="0.2">
      <c r="A111" s="31" t="s">
        <v>47</v>
      </c>
      <c r="B111" s="31" t="s">
        <v>174</v>
      </c>
      <c r="C111" s="32" t="s">
        <v>175</v>
      </c>
      <c r="D111" s="32" t="s">
        <v>1592</v>
      </c>
      <c r="E111" s="33"/>
      <c r="F111" s="31" t="s">
        <v>1078</v>
      </c>
      <c r="H111" s="37"/>
      <c r="I111" s="75" t="s">
        <v>25</v>
      </c>
      <c r="J111" s="75"/>
      <c r="K111" s="75"/>
      <c r="L111" s="75"/>
      <c r="M111" s="75" t="s">
        <v>176</v>
      </c>
      <c r="N111" s="75"/>
      <c r="O111" s="75"/>
      <c r="P111" s="75"/>
      <c r="U111" s="31" t="s">
        <v>33</v>
      </c>
      <c r="W111" s="143"/>
      <c r="X111" s="150">
        <f>1</f>
        <v>1</v>
      </c>
      <c r="Y111" s="124" t="str">
        <f t="shared" si="5"/>
        <v/>
      </c>
      <c r="Z111" s="124" t="str">
        <f t="shared" si="8"/>
        <v/>
      </c>
    </row>
    <row r="112" spans="1:27" s="31" customFormat="1" x14ac:dyDescent="0.2">
      <c r="C112" s="32"/>
      <c r="D112" s="32"/>
      <c r="E112" s="33"/>
      <c r="H112" s="37"/>
      <c r="I112" s="75"/>
      <c r="J112" s="75"/>
      <c r="K112" s="81"/>
      <c r="L112" s="75"/>
      <c r="M112" s="75"/>
      <c r="N112" s="75"/>
      <c r="O112" s="75"/>
      <c r="P112" s="75"/>
      <c r="U112" s="31" t="s">
        <v>43</v>
      </c>
      <c r="W112" s="139" t="s">
        <v>43</v>
      </c>
      <c r="X112" s="119">
        <f>1</f>
        <v>1</v>
      </c>
      <c r="Y112" s="120" t="str">
        <f t="shared" si="5"/>
        <v/>
      </c>
      <c r="Z112" s="120" t="str">
        <f t="shared" si="8"/>
        <v/>
      </c>
      <c r="AA112" s="30"/>
    </row>
    <row r="113" spans="1:27" ht="16" thickBot="1" x14ac:dyDescent="0.25">
      <c r="A113" s="51" t="s">
        <v>86</v>
      </c>
      <c r="B113" s="51"/>
      <c r="C113" s="52"/>
      <c r="D113" s="52"/>
      <c r="E113" s="46"/>
      <c r="F113" s="51"/>
      <c r="G113" s="51"/>
      <c r="H113" s="47"/>
      <c r="I113" s="85"/>
      <c r="J113" s="85"/>
      <c r="K113" s="85"/>
      <c r="L113" s="85"/>
      <c r="M113" s="85"/>
      <c r="N113" s="85"/>
      <c r="O113" s="85"/>
      <c r="P113" s="85"/>
      <c r="U113" s="21" t="s">
        <v>43</v>
      </c>
      <c r="W113" s="139" t="s">
        <v>43</v>
      </c>
      <c r="X113" s="30"/>
      <c r="Y113" s="120" t="str">
        <f t="shared" si="5"/>
        <v/>
      </c>
      <c r="Z113" s="120" t="str">
        <f t="shared" si="8"/>
        <v/>
      </c>
    </row>
    <row r="114" spans="1:27" s="27" customFormat="1" ht="17" thickTop="1" x14ac:dyDescent="0.2">
      <c r="A114" s="24" t="s">
        <v>44</v>
      </c>
      <c r="B114" s="24" t="s">
        <v>177</v>
      </c>
      <c r="C114" s="48" t="s">
        <v>178</v>
      </c>
      <c r="D114" s="48" t="s">
        <v>1593</v>
      </c>
      <c r="E114" s="25"/>
      <c r="F114" s="24"/>
      <c r="G114" s="24"/>
      <c r="H114" s="26"/>
      <c r="I114" s="79" t="s">
        <v>32</v>
      </c>
      <c r="J114" s="79"/>
      <c r="K114" s="79"/>
      <c r="L114" s="79"/>
      <c r="M114" s="79" t="s">
        <v>1173</v>
      </c>
      <c r="N114" s="79"/>
      <c r="O114" s="79"/>
      <c r="P114" s="79"/>
      <c r="U114" s="21" t="s">
        <v>26</v>
      </c>
      <c r="W114" s="139"/>
      <c r="X114" s="28"/>
      <c r="Y114" s="120" t="str">
        <f t="shared" si="5"/>
        <v/>
      </c>
      <c r="Z114" s="120" t="str">
        <f t="shared" si="8"/>
        <v/>
      </c>
      <c r="AA114" s="28"/>
    </row>
    <row r="115" spans="1:27" s="22" customFormat="1" ht="64" customHeight="1" x14ac:dyDescent="0.2">
      <c r="A115" s="20" t="s">
        <v>30</v>
      </c>
      <c r="B115" s="20" t="s">
        <v>179</v>
      </c>
      <c r="C115" s="20" t="s">
        <v>1048</v>
      </c>
      <c r="D115" s="20" t="s">
        <v>2121</v>
      </c>
      <c r="E115" s="42"/>
      <c r="F115" s="20"/>
      <c r="G115" s="20"/>
      <c r="H115" s="42"/>
      <c r="I115" s="19"/>
      <c r="J115" s="19"/>
      <c r="K115" s="19"/>
      <c r="L115" s="19"/>
      <c r="M115" s="19"/>
      <c r="N115" s="19"/>
      <c r="O115" s="19"/>
      <c r="P115" s="19"/>
      <c r="U115" s="22" t="s">
        <v>26</v>
      </c>
      <c r="W115" s="142">
        <v>7.5</v>
      </c>
      <c r="X115" s="122">
        <f>'Additional information'!$D$18</f>
        <v>0.91</v>
      </c>
      <c r="Y115" s="121">
        <f t="shared" si="5"/>
        <v>6.8250000000000002</v>
      </c>
      <c r="Z115" s="121">
        <f t="shared" si="8"/>
        <v>6.8250000000000002</v>
      </c>
      <c r="AA115" s="23"/>
    </row>
    <row r="116" spans="1:27" x14ac:dyDescent="0.2">
      <c r="E116" s="42"/>
      <c r="H116" s="43"/>
      <c r="U116" s="21" t="s">
        <v>43</v>
      </c>
      <c r="W116" s="139" t="s">
        <v>43</v>
      </c>
      <c r="X116" s="119">
        <f>'Additional information'!$D$18</f>
        <v>0.91</v>
      </c>
      <c r="Y116" s="120" t="str">
        <f t="shared" si="5"/>
        <v/>
      </c>
      <c r="Z116" s="120" t="str">
        <f t="shared" si="8"/>
        <v/>
      </c>
    </row>
    <row r="117" spans="1:27" s="30" customFormat="1" ht="16" x14ac:dyDescent="0.2">
      <c r="A117" s="34" t="s">
        <v>133</v>
      </c>
      <c r="B117" s="34" t="s">
        <v>180</v>
      </c>
      <c r="C117" s="35" t="s">
        <v>181</v>
      </c>
      <c r="D117" s="20" t="s">
        <v>1594</v>
      </c>
      <c r="E117" s="53"/>
      <c r="F117" s="34" t="s">
        <v>1079</v>
      </c>
      <c r="G117" s="34" t="s">
        <v>1595</v>
      </c>
      <c r="H117" s="55"/>
      <c r="I117" s="76" t="s">
        <v>25</v>
      </c>
      <c r="J117" s="76"/>
      <c r="K117" s="76" t="s">
        <v>182</v>
      </c>
      <c r="L117" s="76"/>
      <c r="M117" s="76"/>
      <c r="N117" s="76"/>
      <c r="O117" s="76"/>
      <c r="P117" s="76"/>
      <c r="U117" s="30" t="s">
        <v>26</v>
      </c>
      <c r="W117" s="139">
        <v>17</v>
      </c>
      <c r="X117" s="119">
        <f>'Additional information'!$D$18</f>
        <v>0.91</v>
      </c>
      <c r="Y117" s="120">
        <f t="shared" si="5"/>
        <v>15.47</v>
      </c>
      <c r="Z117" s="120">
        <f t="shared" ref="Z117:Z147" si="11">IF(AND(W117&lt;&gt;"",U117="yes"),W117*X117,"")</f>
        <v>15.47</v>
      </c>
    </row>
    <row r="118" spans="1:27" s="30" customFormat="1" ht="16" x14ac:dyDescent="0.2">
      <c r="A118" s="34" t="s">
        <v>183</v>
      </c>
      <c r="B118" s="34" t="s">
        <v>184</v>
      </c>
      <c r="C118" s="35" t="s">
        <v>185</v>
      </c>
      <c r="D118" s="20" t="s">
        <v>1596</v>
      </c>
      <c r="E118" s="53"/>
      <c r="F118" s="34" t="s">
        <v>1080</v>
      </c>
      <c r="G118" s="164" t="s">
        <v>1726</v>
      </c>
      <c r="H118" s="55"/>
      <c r="I118" s="76" t="s">
        <v>25</v>
      </c>
      <c r="J118" s="76"/>
      <c r="K118" s="76"/>
      <c r="L118" s="76"/>
      <c r="M118" s="76" t="s">
        <v>186</v>
      </c>
      <c r="N118" s="76"/>
      <c r="O118" s="76"/>
      <c r="P118" s="76"/>
      <c r="U118" s="30" t="s">
        <v>26</v>
      </c>
      <c r="W118" s="139">
        <v>0</v>
      </c>
      <c r="X118" s="119">
        <f>'Additional information'!$D$18</f>
        <v>0.91</v>
      </c>
      <c r="Y118" s="120">
        <f t="shared" si="5"/>
        <v>0</v>
      </c>
      <c r="Z118" s="120">
        <f t="shared" si="11"/>
        <v>0</v>
      </c>
    </row>
    <row r="119" spans="1:27" s="27" customFormat="1" x14ac:dyDescent="0.2">
      <c r="C119" s="49"/>
      <c r="D119" s="22"/>
      <c r="E119" s="25"/>
      <c r="H119" s="26"/>
      <c r="I119" s="80"/>
      <c r="J119" s="80"/>
      <c r="K119" s="80"/>
      <c r="L119" s="80"/>
      <c r="M119" s="80"/>
      <c r="N119" s="80"/>
      <c r="O119" s="80"/>
      <c r="P119" s="80"/>
      <c r="U119" s="21" t="s">
        <v>43</v>
      </c>
      <c r="W119" s="139" t="s">
        <v>43</v>
      </c>
      <c r="X119" s="119">
        <f>'Additional information'!$D$18</f>
        <v>0.91</v>
      </c>
      <c r="Y119" s="120" t="str">
        <f t="shared" si="5"/>
        <v/>
      </c>
      <c r="Z119" s="120" t="str">
        <f t="shared" si="11"/>
        <v/>
      </c>
      <c r="AA119" s="28"/>
    </row>
    <row r="120" spans="1:27" ht="32" x14ac:dyDescent="0.2">
      <c r="A120" s="29" t="s">
        <v>187</v>
      </c>
      <c r="B120" s="29" t="s">
        <v>188</v>
      </c>
      <c r="C120" s="20" t="s">
        <v>2134</v>
      </c>
      <c r="D120" s="20" t="s">
        <v>2135</v>
      </c>
      <c r="E120" s="42"/>
      <c r="F120" s="29" t="s">
        <v>1201</v>
      </c>
      <c r="G120" s="29" t="s">
        <v>1597</v>
      </c>
      <c r="H120" s="43"/>
      <c r="I120" s="74" t="s">
        <v>25</v>
      </c>
      <c r="J120" s="74" t="s">
        <v>2125</v>
      </c>
      <c r="K120" s="74"/>
      <c r="L120" s="74"/>
      <c r="M120" s="74"/>
      <c r="N120" s="74"/>
      <c r="O120" s="74"/>
      <c r="P120" s="74"/>
      <c r="U120" s="21" t="s">
        <v>26</v>
      </c>
      <c r="W120" s="139">
        <v>27.057552337646484</v>
      </c>
      <c r="X120" s="119">
        <f>'Additional information'!$D$18</f>
        <v>0.91</v>
      </c>
      <c r="Y120" s="120">
        <f t="shared" si="5"/>
        <v>24.622372627258301</v>
      </c>
      <c r="Z120" s="120">
        <f t="shared" si="11"/>
        <v>24.622372627258301</v>
      </c>
    </row>
    <row r="121" spans="1:27" x14ac:dyDescent="0.2">
      <c r="A121" s="29" t="s">
        <v>27</v>
      </c>
      <c r="B121" s="29" t="s">
        <v>189</v>
      </c>
      <c r="C121" s="20"/>
      <c r="D121" s="20"/>
      <c r="E121" s="42"/>
      <c r="H121" s="43"/>
      <c r="I121" s="74"/>
      <c r="J121" s="74"/>
      <c r="K121" s="74"/>
      <c r="L121" s="74"/>
      <c r="M121" s="74"/>
      <c r="N121" s="74"/>
      <c r="O121" s="74"/>
      <c r="P121" s="74" t="s">
        <v>190</v>
      </c>
      <c r="U121" s="21" t="s">
        <v>26</v>
      </c>
      <c r="W121" s="139"/>
      <c r="X121" s="119">
        <f>'Additional information'!$D$18</f>
        <v>0.91</v>
      </c>
      <c r="Y121" s="120" t="str">
        <f t="shared" si="5"/>
        <v/>
      </c>
      <c r="Z121" s="120" t="str">
        <f t="shared" si="11"/>
        <v/>
      </c>
    </row>
    <row r="122" spans="1:27" ht="16" x14ac:dyDescent="0.2">
      <c r="A122" s="29" t="s">
        <v>191</v>
      </c>
      <c r="B122" s="29" t="s">
        <v>192</v>
      </c>
      <c r="C122" s="20" t="s">
        <v>193</v>
      </c>
      <c r="D122" s="20" t="s">
        <v>2103</v>
      </c>
      <c r="E122" s="42"/>
      <c r="H122" s="43"/>
      <c r="I122" s="74" t="s">
        <v>25</v>
      </c>
      <c r="J122" s="74"/>
      <c r="K122" s="74"/>
      <c r="L122" s="74"/>
      <c r="M122" s="74" t="s">
        <v>194</v>
      </c>
      <c r="N122" s="74"/>
      <c r="O122" s="74"/>
      <c r="P122" s="74"/>
      <c r="U122" s="21" t="s">
        <v>26</v>
      </c>
      <c r="W122" s="139">
        <v>0</v>
      </c>
      <c r="X122" s="119">
        <f>'Additional information'!$D$18</f>
        <v>0.91</v>
      </c>
      <c r="Y122" s="120">
        <f t="shared" si="5"/>
        <v>0</v>
      </c>
      <c r="Z122" s="120">
        <f t="shared" si="11"/>
        <v>0</v>
      </c>
    </row>
    <row r="123" spans="1:27" s="30" customFormat="1" x14ac:dyDescent="0.2">
      <c r="C123" s="23"/>
      <c r="D123" s="22"/>
      <c r="E123" s="53"/>
      <c r="H123" s="55"/>
      <c r="I123" s="86"/>
      <c r="J123" s="86"/>
      <c r="K123" s="86"/>
      <c r="L123" s="86"/>
      <c r="M123" s="86"/>
      <c r="N123" s="86"/>
      <c r="O123" s="86"/>
      <c r="P123" s="86"/>
      <c r="U123" s="30" t="s">
        <v>43</v>
      </c>
      <c r="W123" s="139" t="s">
        <v>43</v>
      </c>
      <c r="X123" s="119">
        <f>'Additional information'!$D$18</f>
        <v>0.91</v>
      </c>
      <c r="Y123" s="120" t="str">
        <f t="shared" si="5"/>
        <v/>
      </c>
      <c r="Z123" s="120" t="str">
        <f t="shared" si="11"/>
        <v/>
      </c>
    </row>
    <row r="124" spans="1:27" ht="31.75" customHeight="1" x14ac:dyDescent="0.2">
      <c r="A124" s="29" t="s">
        <v>195</v>
      </c>
      <c r="B124" s="29" t="s">
        <v>1178</v>
      </c>
      <c r="C124" s="29" t="s">
        <v>1450</v>
      </c>
      <c r="D124" s="35" t="s">
        <v>1697</v>
      </c>
      <c r="E124" s="43"/>
      <c r="H124" s="43"/>
      <c r="I124" s="74" t="s">
        <v>25</v>
      </c>
      <c r="J124" s="74"/>
      <c r="K124" s="74"/>
      <c r="L124" s="74"/>
      <c r="M124" s="74" t="s">
        <v>196</v>
      </c>
      <c r="N124" s="74"/>
      <c r="O124" s="74"/>
      <c r="P124" s="74"/>
      <c r="U124" s="21" t="s">
        <v>26</v>
      </c>
      <c r="W124" s="139">
        <v>15.95429515838623</v>
      </c>
      <c r="X124" s="119">
        <f>'Additional information'!$D$18</f>
        <v>0.91</v>
      </c>
      <c r="Y124" s="120">
        <f t="shared" si="5"/>
        <v>14.51840859413147</v>
      </c>
      <c r="Z124" s="120">
        <f t="shared" si="11"/>
        <v>14.51840859413147</v>
      </c>
    </row>
    <row r="125" spans="1:27" ht="15.75" customHeight="1" x14ac:dyDescent="0.2">
      <c r="A125" s="29" t="s">
        <v>47</v>
      </c>
      <c r="B125" s="29" t="s">
        <v>1179</v>
      </c>
      <c r="C125" s="35" t="s">
        <v>175</v>
      </c>
      <c r="D125" s="35" t="s">
        <v>1598</v>
      </c>
      <c r="E125" s="53"/>
      <c r="F125" s="30" t="s">
        <v>1078</v>
      </c>
      <c r="G125" s="30"/>
      <c r="H125" s="43"/>
      <c r="I125" s="74" t="s">
        <v>25</v>
      </c>
      <c r="J125" s="74"/>
      <c r="K125" s="74"/>
      <c r="L125" s="74"/>
      <c r="M125" s="74" t="s">
        <v>1406</v>
      </c>
      <c r="N125" s="74"/>
      <c r="O125" s="74"/>
      <c r="P125" s="74"/>
      <c r="U125" s="21" t="s">
        <v>26</v>
      </c>
      <c r="W125" s="139"/>
      <c r="X125" s="119">
        <f>'Additional information'!$D$18</f>
        <v>0.91</v>
      </c>
      <c r="Y125" s="120" t="str">
        <f t="shared" si="5"/>
        <v/>
      </c>
      <c r="Z125" s="120" t="str">
        <f t="shared" si="11"/>
        <v/>
      </c>
    </row>
    <row r="126" spans="1:27" s="31" customFormat="1" ht="15.75" customHeight="1" x14ac:dyDescent="0.2">
      <c r="C126" s="32"/>
      <c r="D126" s="32"/>
      <c r="E126" s="33"/>
      <c r="H126" s="37"/>
      <c r="I126" s="75"/>
      <c r="J126" s="75"/>
      <c r="K126" s="75"/>
      <c r="L126" s="75"/>
      <c r="M126" s="75"/>
      <c r="N126" s="75"/>
      <c r="O126" s="75"/>
      <c r="P126" s="75"/>
      <c r="U126" s="31" t="s">
        <v>43</v>
      </c>
      <c r="W126" s="139" t="s">
        <v>43</v>
      </c>
      <c r="X126" s="119">
        <f>'Additional information'!$D$18</f>
        <v>0.91</v>
      </c>
      <c r="Y126" s="120" t="str">
        <f t="shared" si="5"/>
        <v/>
      </c>
      <c r="Z126" s="120" t="str">
        <f t="shared" si="11"/>
        <v/>
      </c>
      <c r="AA126" s="30"/>
    </row>
    <row r="127" spans="1:27" s="31" customFormat="1" ht="15.75" customHeight="1" x14ac:dyDescent="0.2">
      <c r="A127" s="31" t="s">
        <v>1184</v>
      </c>
      <c r="B127" s="31" t="s">
        <v>1182</v>
      </c>
      <c r="C127" s="32" t="s">
        <v>1180</v>
      </c>
      <c r="D127" s="32" t="s">
        <v>1599</v>
      </c>
      <c r="E127" s="33"/>
      <c r="H127" s="37"/>
      <c r="I127" s="75"/>
      <c r="J127" s="75"/>
      <c r="K127" s="75"/>
      <c r="L127" s="75"/>
      <c r="M127" s="75" t="s">
        <v>1407</v>
      </c>
      <c r="N127" s="75"/>
      <c r="O127" s="75"/>
      <c r="P127" s="75"/>
      <c r="W127" s="139"/>
      <c r="X127" s="119"/>
      <c r="Y127" s="120"/>
      <c r="Z127" s="120"/>
      <c r="AA127" s="30"/>
    </row>
    <row r="128" spans="1:27" s="31" customFormat="1" ht="15.75" customHeight="1" x14ac:dyDescent="0.2">
      <c r="A128" s="31" t="s">
        <v>126</v>
      </c>
      <c r="B128" s="31" t="s">
        <v>1183</v>
      </c>
      <c r="C128" s="32" t="s">
        <v>1181</v>
      </c>
      <c r="D128" s="32" t="s">
        <v>1600</v>
      </c>
      <c r="E128" s="33"/>
      <c r="H128" s="37"/>
      <c r="I128" s="75"/>
      <c r="J128" s="75"/>
      <c r="K128" s="75"/>
      <c r="L128" s="75"/>
      <c r="M128" s="75" t="s">
        <v>1407</v>
      </c>
      <c r="N128" s="75"/>
      <c r="O128" s="75"/>
      <c r="P128" s="75"/>
      <c r="W128" s="139"/>
      <c r="X128" s="119"/>
      <c r="Y128" s="120"/>
      <c r="Z128" s="120"/>
      <c r="AA128" s="30"/>
    </row>
    <row r="129" spans="1:27" s="31" customFormat="1" ht="16" x14ac:dyDescent="0.2">
      <c r="A129" s="31" t="s">
        <v>197</v>
      </c>
      <c r="B129" s="31" t="s">
        <v>198</v>
      </c>
      <c r="C129" s="32" t="s">
        <v>1200</v>
      </c>
      <c r="D129" s="32" t="s">
        <v>1601</v>
      </c>
      <c r="E129" s="33"/>
      <c r="F129" s="31" t="s">
        <v>1077</v>
      </c>
      <c r="G129" s="31" t="s">
        <v>1602</v>
      </c>
      <c r="H129" s="37"/>
      <c r="I129" s="75" t="s">
        <v>25</v>
      </c>
      <c r="J129" s="75"/>
      <c r="K129" s="75" t="s">
        <v>199</v>
      </c>
      <c r="L129" s="75"/>
      <c r="M129" s="75" t="s">
        <v>196</v>
      </c>
      <c r="N129" s="75"/>
      <c r="O129" s="75"/>
      <c r="P129" s="75"/>
      <c r="U129" s="31" t="s">
        <v>33</v>
      </c>
      <c r="W129" s="139">
        <v>17.928909301757812</v>
      </c>
      <c r="X129" s="119">
        <f>'Additional information'!$D$18</f>
        <v>0.91</v>
      </c>
      <c r="Y129" s="120">
        <f t="shared" si="5"/>
        <v>16.315307464599609</v>
      </c>
      <c r="Z129" s="120" t="str">
        <f t="shared" si="11"/>
        <v/>
      </c>
      <c r="AA129" s="30"/>
    </row>
    <row r="130" spans="1:27" s="31" customFormat="1" x14ac:dyDescent="0.2">
      <c r="C130" s="32"/>
      <c r="D130" s="287"/>
      <c r="E130" s="33"/>
      <c r="G130" s="21"/>
      <c r="H130" s="37"/>
      <c r="I130" s="75"/>
      <c r="J130" s="75"/>
      <c r="K130" s="75"/>
      <c r="L130" s="75"/>
      <c r="M130" s="75"/>
      <c r="N130" s="75"/>
      <c r="O130" s="75"/>
      <c r="P130" s="75"/>
      <c r="U130" s="31" t="s">
        <v>43</v>
      </c>
      <c r="W130" s="139" t="s">
        <v>43</v>
      </c>
      <c r="X130" s="119">
        <f>'Additional information'!$D$18</f>
        <v>0.91</v>
      </c>
      <c r="Y130" s="120" t="str">
        <f t="shared" si="5"/>
        <v/>
      </c>
      <c r="Z130" s="120" t="str">
        <f t="shared" si="11"/>
        <v/>
      </c>
      <c r="AA130" s="30"/>
    </row>
    <row r="131" spans="1:27" ht="32" x14ac:dyDescent="0.2">
      <c r="A131" s="29" t="s">
        <v>139</v>
      </c>
      <c r="B131" s="29" t="s">
        <v>200</v>
      </c>
      <c r="C131" s="20" t="s">
        <v>1050</v>
      </c>
      <c r="D131" s="20" t="s">
        <v>2077</v>
      </c>
      <c r="E131" s="42"/>
      <c r="F131" s="29"/>
      <c r="H131" s="43"/>
      <c r="I131" s="74" t="s">
        <v>25</v>
      </c>
      <c r="J131" s="74"/>
      <c r="K131" s="74"/>
      <c r="L131" s="74"/>
      <c r="M131" s="76" t="s">
        <v>196</v>
      </c>
      <c r="N131" s="74"/>
      <c r="O131" s="74"/>
      <c r="P131" s="74"/>
      <c r="U131" s="21" t="s">
        <v>26</v>
      </c>
      <c r="W131" s="139">
        <v>25.436874389648438</v>
      </c>
      <c r="X131" s="119">
        <f>'Additional information'!$D$18</f>
        <v>0.91</v>
      </c>
      <c r="Y131" s="120">
        <f t="shared" si="5"/>
        <v>23.147555694580078</v>
      </c>
      <c r="Z131" s="120">
        <f t="shared" si="11"/>
        <v>23.147555694580078</v>
      </c>
    </row>
    <row r="132" spans="1:27" x14ac:dyDescent="0.2">
      <c r="E132" s="42"/>
      <c r="H132" s="43"/>
      <c r="M132" s="86"/>
      <c r="U132" s="21" t="s">
        <v>43</v>
      </c>
      <c r="W132" s="139" t="s">
        <v>43</v>
      </c>
      <c r="X132" s="119">
        <f>'Additional information'!$D$18</f>
        <v>0.91</v>
      </c>
      <c r="Y132" s="120" t="str">
        <f t="shared" si="5"/>
        <v/>
      </c>
      <c r="Z132" s="120" t="str">
        <f t="shared" si="11"/>
        <v/>
      </c>
    </row>
    <row r="133" spans="1:27" ht="32" x14ac:dyDescent="0.2">
      <c r="A133" s="29" t="s">
        <v>139</v>
      </c>
      <c r="B133" s="29" t="s">
        <v>201</v>
      </c>
      <c r="C133" s="20" t="s">
        <v>1051</v>
      </c>
      <c r="D133" s="20" t="s">
        <v>2078</v>
      </c>
      <c r="E133" s="42"/>
      <c r="G133" s="31"/>
      <c r="H133" s="43"/>
      <c r="I133" s="74" t="s">
        <v>25</v>
      </c>
      <c r="J133" s="74"/>
      <c r="K133" s="74"/>
      <c r="L133" s="74"/>
      <c r="M133" s="76" t="s">
        <v>196</v>
      </c>
      <c r="N133" s="74"/>
      <c r="O133" s="74"/>
      <c r="P133" s="74"/>
      <c r="U133" s="21" t="s">
        <v>26</v>
      </c>
      <c r="W133" s="139">
        <v>19.364946365356445</v>
      </c>
      <c r="X133" s="119">
        <f>'Additional information'!$D$18</f>
        <v>0.91</v>
      </c>
      <c r="Y133" s="120">
        <f t="shared" si="5"/>
        <v>17.622101192474364</v>
      </c>
      <c r="Z133" s="120">
        <f t="shared" si="11"/>
        <v>17.622101192474364</v>
      </c>
    </row>
    <row r="134" spans="1:27" s="31" customFormat="1" ht="16" x14ac:dyDescent="0.2">
      <c r="A134" s="31" t="s">
        <v>133</v>
      </c>
      <c r="B134" s="31" t="s">
        <v>202</v>
      </c>
      <c r="C134" s="32" t="s">
        <v>203</v>
      </c>
      <c r="D134" s="32" t="s">
        <v>2079</v>
      </c>
      <c r="E134" s="33"/>
      <c r="F134" s="31" t="s">
        <v>1081</v>
      </c>
      <c r="G134" s="31" t="s">
        <v>1603</v>
      </c>
      <c r="H134" s="37"/>
      <c r="I134" s="75" t="s">
        <v>25</v>
      </c>
      <c r="J134" s="86"/>
      <c r="K134" s="89" t="s">
        <v>182</v>
      </c>
      <c r="L134" s="75"/>
      <c r="M134" s="75" t="s">
        <v>196</v>
      </c>
      <c r="N134" s="75"/>
      <c r="O134" s="75"/>
      <c r="P134" s="75"/>
      <c r="U134" s="31" t="s">
        <v>33</v>
      </c>
      <c r="W134" s="139">
        <v>17</v>
      </c>
      <c r="X134" s="119">
        <f>'Additional information'!$D$18</f>
        <v>0.91</v>
      </c>
      <c r="Y134" s="120">
        <f t="shared" si="5"/>
        <v>15.47</v>
      </c>
      <c r="Z134" s="120" t="str">
        <f t="shared" si="11"/>
        <v/>
      </c>
      <c r="AA134" s="30"/>
    </row>
    <row r="135" spans="1:27" s="31" customFormat="1" ht="16" x14ac:dyDescent="0.2">
      <c r="A135" s="31" t="s">
        <v>204</v>
      </c>
      <c r="B135" s="31" t="s">
        <v>205</v>
      </c>
      <c r="C135" s="32" t="s">
        <v>206</v>
      </c>
      <c r="D135" s="32" t="s">
        <v>1604</v>
      </c>
      <c r="E135" s="33"/>
      <c r="H135" s="37"/>
      <c r="I135" s="75" t="s">
        <v>25</v>
      </c>
      <c r="J135" s="86"/>
      <c r="K135" s="75"/>
      <c r="L135" s="75"/>
      <c r="M135" s="75" t="s">
        <v>207</v>
      </c>
      <c r="N135" s="75"/>
      <c r="O135" s="75"/>
      <c r="P135" s="75"/>
      <c r="U135" s="31" t="s">
        <v>33</v>
      </c>
      <c r="W135" s="139">
        <v>17</v>
      </c>
      <c r="X135" s="119">
        <f>'Additional information'!$D$18</f>
        <v>0.91</v>
      </c>
      <c r="Y135" s="120">
        <f t="shared" si="5"/>
        <v>15.47</v>
      </c>
      <c r="Z135" s="120" t="str">
        <f t="shared" si="11"/>
        <v/>
      </c>
      <c r="AA135" s="30"/>
    </row>
    <row r="136" spans="1:27" s="31" customFormat="1" x14ac:dyDescent="0.2">
      <c r="A136" s="31" t="s">
        <v>27</v>
      </c>
      <c r="B136" s="31" t="s">
        <v>208</v>
      </c>
      <c r="C136" s="32"/>
      <c r="D136" s="32"/>
      <c r="E136" s="33"/>
      <c r="H136" s="37"/>
      <c r="I136" s="75"/>
      <c r="J136" s="75"/>
      <c r="K136" s="75"/>
      <c r="L136" s="75"/>
      <c r="M136" s="75"/>
      <c r="N136" s="75"/>
      <c r="O136" s="75"/>
      <c r="P136" s="75" t="s">
        <v>209</v>
      </c>
      <c r="U136" s="31" t="s">
        <v>33</v>
      </c>
      <c r="W136" s="139"/>
      <c r="X136" s="119">
        <f>'Additional information'!$D$18</f>
        <v>0.91</v>
      </c>
      <c r="Y136" s="120" t="str">
        <f t="shared" si="5"/>
        <v/>
      </c>
      <c r="Z136" s="120" t="str">
        <f t="shared" si="11"/>
        <v/>
      </c>
      <c r="AA136" s="30"/>
    </row>
    <row r="137" spans="1:27" s="31" customFormat="1" ht="16" x14ac:dyDescent="0.2">
      <c r="A137" s="31" t="s">
        <v>133</v>
      </c>
      <c r="B137" s="31" t="s">
        <v>210</v>
      </c>
      <c r="C137" s="32" t="s">
        <v>211</v>
      </c>
      <c r="D137" s="32" t="s">
        <v>1605</v>
      </c>
      <c r="E137" s="33"/>
      <c r="F137" s="31" t="s">
        <v>1082</v>
      </c>
      <c r="G137" s="31" t="s">
        <v>1606</v>
      </c>
      <c r="H137" s="37"/>
      <c r="I137" s="75" t="s">
        <v>25</v>
      </c>
      <c r="J137" s="86"/>
      <c r="K137" s="75"/>
      <c r="L137" s="75"/>
      <c r="M137" s="75" t="s">
        <v>212</v>
      </c>
      <c r="N137" s="75"/>
      <c r="O137" s="75"/>
      <c r="P137" s="75"/>
      <c r="U137" s="31" t="s">
        <v>33</v>
      </c>
      <c r="W137" s="139">
        <v>17</v>
      </c>
      <c r="X137" s="119">
        <f>'Additional information'!$D$18</f>
        <v>0.91</v>
      </c>
      <c r="Y137" s="120">
        <f t="shared" ref="Y137:Y204" si="12">IF(W137&lt;&gt;"",W137*X137,"")</f>
        <v>15.47</v>
      </c>
      <c r="Z137" s="120" t="str">
        <f t="shared" si="11"/>
        <v/>
      </c>
      <c r="AA137" s="30"/>
    </row>
    <row r="138" spans="1:27" s="31" customFormat="1" ht="32" x14ac:dyDescent="0.2">
      <c r="A138" s="31" t="s">
        <v>52</v>
      </c>
      <c r="B138" s="31" t="s">
        <v>213</v>
      </c>
      <c r="C138" s="32" t="s">
        <v>214</v>
      </c>
      <c r="D138" s="32" t="s">
        <v>1607</v>
      </c>
      <c r="E138" s="33"/>
      <c r="F138" s="31" t="s">
        <v>1082</v>
      </c>
      <c r="G138" s="31" t="s">
        <v>1606</v>
      </c>
      <c r="H138" s="37"/>
      <c r="I138" s="75" t="s">
        <v>25</v>
      </c>
      <c r="J138" s="86"/>
      <c r="K138" s="89" t="s">
        <v>182</v>
      </c>
      <c r="L138" s="75"/>
      <c r="M138" s="75" t="s">
        <v>215</v>
      </c>
      <c r="N138" s="75"/>
      <c r="O138" s="75"/>
      <c r="P138" s="75"/>
      <c r="U138" s="31" t="s">
        <v>33</v>
      </c>
      <c r="W138" s="139">
        <v>17</v>
      </c>
      <c r="X138" s="119">
        <f>'Additional information'!$D$18</f>
        <v>0.91</v>
      </c>
      <c r="Y138" s="120">
        <f t="shared" si="12"/>
        <v>15.47</v>
      </c>
      <c r="Z138" s="120" t="str">
        <f t="shared" si="11"/>
        <v/>
      </c>
      <c r="AA138" s="30"/>
    </row>
    <row r="139" spans="1:27" s="31" customFormat="1" x14ac:dyDescent="0.2">
      <c r="C139" s="32"/>
      <c r="D139" s="22"/>
      <c r="E139" s="33"/>
      <c r="G139" s="21"/>
      <c r="H139" s="37"/>
      <c r="I139" s="75"/>
      <c r="J139" s="75"/>
      <c r="K139" s="75"/>
      <c r="L139" s="75"/>
      <c r="M139" s="75"/>
      <c r="N139" s="75"/>
      <c r="O139" s="75"/>
      <c r="P139" s="75"/>
      <c r="U139" s="31" t="s">
        <v>43</v>
      </c>
      <c r="W139" s="139" t="s">
        <v>43</v>
      </c>
      <c r="X139" s="119">
        <f>'Additional information'!$D$18</f>
        <v>0.91</v>
      </c>
      <c r="Y139" s="120" t="str">
        <f t="shared" si="12"/>
        <v/>
      </c>
      <c r="Z139" s="120" t="str">
        <f t="shared" si="11"/>
        <v/>
      </c>
      <c r="AA139" s="30"/>
    </row>
    <row r="140" spans="1:27" ht="32" x14ac:dyDescent="0.2">
      <c r="A140" s="29" t="s">
        <v>126</v>
      </c>
      <c r="B140" s="29" t="s">
        <v>216</v>
      </c>
      <c r="C140" s="20" t="s">
        <v>1205</v>
      </c>
      <c r="D140" s="20" t="s">
        <v>2104</v>
      </c>
      <c r="E140" s="42"/>
      <c r="H140" s="43"/>
      <c r="I140" s="74" t="s">
        <v>25</v>
      </c>
      <c r="J140" s="74"/>
      <c r="K140" s="74"/>
      <c r="L140" s="74"/>
      <c r="M140" s="76" t="s">
        <v>217</v>
      </c>
      <c r="N140" s="74"/>
      <c r="O140" s="74"/>
      <c r="P140" s="74"/>
      <c r="U140" s="21" t="s">
        <v>26</v>
      </c>
      <c r="W140" s="139">
        <v>13.458864212036133</v>
      </c>
      <c r="X140" s="119">
        <f>'Additional information'!$D$18</f>
        <v>0.91</v>
      </c>
      <c r="Y140" s="120">
        <f t="shared" si="12"/>
        <v>12.247566432952881</v>
      </c>
      <c r="Z140" s="120">
        <f t="shared" si="11"/>
        <v>12.247566432952881</v>
      </c>
    </row>
    <row r="141" spans="1:27" ht="32" x14ac:dyDescent="0.2">
      <c r="A141" s="29" t="s">
        <v>218</v>
      </c>
      <c r="B141" s="29" t="s">
        <v>219</v>
      </c>
      <c r="C141" s="20" t="s">
        <v>220</v>
      </c>
      <c r="D141" s="20" t="s">
        <v>2105</v>
      </c>
      <c r="E141" s="42"/>
      <c r="F141" s="21" t="s">
        <v>1083</v>
      </c>
      <c r="G141" s="21" t="s">
        <v>1608</v>
      </c>
      <c r="H141" s="43"/>
      <c r="I141" s="74" t="s">
        <v>25</v>
      </c>
      <c r="J141" s="74"/>
      <c r="K141" s="76" t="s">
        <v>199</v>
      </c>
      <c r="L141" s="74"/>
      <c r="M141" s="76" t="s">
        <v>221</v>
      </c>
      <c r="N141" s="74"/>
      <c r="O141" s="74"/>
      <c r="P141" s="74"/>
      <c r="U141" s="21" t="s">
        <v>26</v>
      </c>
      <c r="W141" s="139">
        <v>37.523288726806641</v>
      </c>
      <c r="X141" s="119">
        <f>'Additional information'!$D$18</f>
        <v>0.91</v>
      </c>
      <c r="Y141" s="120">
        <f t="shared" si="12"/>
        <v>34.146192741394046</v>
      </c>
      <c r="Z141" s="120">
        <f t="shared" si="11"/>
        <v>34.146192741394046</v>
      </c>
    </row>
    <row r="142" spans="1:27" x14ac:dyDescent="0.2">
      <c r="E142" s="42"/>
      <c r="G142" s="31"/>
      <c r="H142" s="43"/>
      <c r="M142" s="86"/>
      <c r="U142" s="21" t="s">
        <v>43</v>
      </c>
      <c r="W142" s="139" t="s">
        <v>43</v>
      </c>
      <c r="X142" s="119">
        <f>'Additional information'!$D$18</f>
        <v>0.91</v>
      </c>
      <c r="Y142" s="120" t="str">
        <f t="shared" si="12"/>
        <v/>
      </c>
      <c r="Z142" s="120" t="str">
        <f t="shared" si="11"/>
        <v/>
      </c>
    </row>
    <row r="143" spans="1:27" s="31" customFormat="1" ht="32" x14ac:dyDescent="0.2">
      <c r="A143" s="31" t="s">
        <v>222</v>
      </c>
      <c r="B143" s="31" t="s">
        <v>223</v>
      </c>
      <c r="C143" s="32" t="s">
        <v>1449</v>
      </c>
      <c r="D143" s="32" t="s">
        <v>2106</v>
      </c>
      <c r="E143" s="33"/>
      <c r="H143" s="37"/>
      <c r="I143" s="75" t="s">
        <v>25</v>
      </c>
      <c r="J143" s="75"/>
      <c r="K143" s="75"/>
      <c r="L143" s="75"/>
      <c r="M143" s="75" t="s">
        <v>224</v>
      </c>
      <c r="N143" s="75"/>
      <c r="O143" s="75"/>
      <c r="P143" s="75"/>
      <c r="U143" s="31" t="s">
        <v>33</v>
      </c>
      <c r="W143" s="139">
        <v>17</v>
      </c>
      <c r="X143" s="119">
        <f>'Additional information'!$D$18</f>
        <v>0.91</v>
      </c>
      <c r="Y143" s="120">
        <f t="shared" si="12"/>
        <v>15.47</v>
      </c>
      <c r="Z143" s="120" t="str">
        <f t="shared" si="11"/>
        <v/>
      </c>
      <c r="AA143" s="30"/>
    </row>
    <row r="144" spans="1:27" s="31" customFormat="1" ht="16" x14ac:dyDescent="0.2">
      <c r="A144" s="31" t="s">
        <v>225</v>
      </c>
      <c r="B144" s="31" t="s">
        <v>226</v>
      </c>
      <c r="C144" s="32" t="s">
        <v>227</v>
      </c>
      <c r="D144" s="32" t="s">
        <v>1611</v>
      </c>
      <c r="E144" s="33"/>
      <c r="F144" s="31" t="s">
        <v>1084</v>
      </c>
      <c r="G144" s="31" t="s">
        <v>1609</v>
      </c>
      <c r="H144" s="37"/>
      <c r="I144" s="75" t="s">
        <v>25</v>
      </c>
      <c r="J144" s="75" t="s">
        <v>2125</v>
      </c>
      <c r="K144" s="75" t="s">
        <v>228</v>
      </c>
      <c r="L144" s="75"/>
      <c r="M144" s="75" t="s">
        <v>224</v>
      </c>
      <c r="N144" s="75" t="s">
        <v>229</v>
      </c>
      <c r="O144" s="81"/>
      <c r="P144" s="81"/>
      <c r="Q144" s="21"/>
      <c r="U144" s="31" t="s">
        <v>33</v>
      </c>
      <c r="W144" s="139">
        <v>17</v>
      </c>
      <c r="X144" s="119">
        <f>'Additional information'!$D$18</f>
        <v>0.91</v>
      </c>
      <c r="Y144" s="120">
        <f t="shared" si="12"/>
        <v>15.47</v>
      </c>
      <c r="Z144" s="120" t="str">
        <f t="shared" si="11"/>
        <v/>
      </c>
      <c r="AA144" s="30"/>
    </row>
    <row r="145" spans="1:27" x14ac:dyDescent="0.2">
      <c r="E145" s="42"/>
      <c r="H145" s="43"/>
      <c r="M145" s="86"/>
      <c r="W145" s="139" t="s">
        <v>43</v>
      </c>
      <c r="X145" s="119">
        <f>'Additional information'!$D$18</f>
        <v>0.91</v>
      </c>
      <c r="Y145" s="120" t="str">
        <f t="shared" si="12"/>
        <v/>
      </c>
      <c r="Z145" s="120" t="str">
        <f t="shared" si="11"/>
        <v/>
      </c>
    </row>
    <row r="146" spans="1:27" ht="16" thickBot="1" x14ac:dyDescent="0.25">
      <c r="A146" s="56" t="s">
        <v>86</v>
      </c>
      <c r="B146" s="56"/>
      <c r="C146" s="57"/>
      <c r="D146" s="57"/>
      <c r="E146" s="66"/>
      <c r="F146" s="165"/>
      <c r="G146" s="165"/>
      <c r="H146" s="67"/>
      <c r="I146" s="87"/>
      <c r="J146" s="87"/>
      <c r="K146" s="87"/>
      <c r="L146" s="87"/>
      <c r="M146" s="87"/>
      <c r="N146" s="87"/>
      <c r="O146" s="87"/>
      <c r="P146" s="87"/>
      <c r="W146" s="139" t="s">
        <v>43</v>
      </c>
      <c r="Y146" s="120" t="str">
        <f t="shared" si="12"/>
        <v/>
      </c>
      <c r="Z146" s="120" t="str">
        <f t="shared" si="11"/>
        <v/>
      </c>
    </row>
    <row r="147" spans="1:27" s="27" customFormat="1" ht="17" thickTop="1" x14ac:dyDescent="0.2">
      <c r="A147" s="24" t="s">
        <v>44</v>
      </c>
      <c r="B147" s="24" t="s">
        <v>230</v>
      </c>
      <c r="C147" s="48" t="s">
        <v>231</v>
      </c>
      <c r="D147" s="48" t="s">
        <v>1610</v>
      </c>
      <c r="E147" s="25"/>
      <c r="F147" s="24"/>
      <c r="G147" s="24"/>
      <c r="H147" s="26"/>
      <c r="I147" s="79" t="s">
        <v>32</v>
      </c>
      <c r="J147" s="79"/>
      <c r="K147" s="79"/>
      <c r="L147" s="79"/>
      <c r="M147" s="79" t="s">
        <v>232</v>
      </c>
      <c r="N147" s="79"/>
      <c r="O147" s="79"/>
      <c r="P147" s="79"/>
      <c r="U147" s="21" t="s">
        <v>26</v>
      </c>
      <c r="W147" s="139"/>
      <c r="X147" s="119"/>
      <c r="Y147" s="120" t="str">
        <f t="shared" si="12"/>
        <v/>
      </c>
      <c r="Z147" s="120" t="str">
        <f t="shared" si="11"/>
        <v/>
      </c>
      <c r="AA147" s="28"/>
    </row>
    <row r="148" spans="1:27" ht="16" x14ac:dyDescent="0.2">
      <c r="A148" s="29" t="s">
        <v>126</v>
      </c>
      <c r="B148" s="29" t="s">
        <v>233</v>
      </c>
      <c r="C148" s="35" t="s">
        <v>1226</v>
      </c>
      <c r="D148" s="269" t="s">
        <v>1612</v>
      </c>
      <c r="E148" s="42"/>
      <c r="H148" s="43"/>
      <c r="I148" s="76" t="s">
        <v>25</v>
      </c>
      <c r="K148" s="76"/>
      <c r="L148" s="76"/>
      <c r="M148" s="76"/>
      <c r="N148" s="34"/>
      <c r="O148" s="76"/>
      <c r="P148" s="76"/>
      <c r="U148" s="21" t="s">
        <v>26</v>
      </c>
      <c r="W148" s="139">
        <v>13.55</v>
      </c>
      <c r="X148" s="119">
        <f>'Additional information'!$D$18</f>
        <v>0.91</v>
      </c>
      <c r="Y148" s="120">
        <f t="shared" si="12"/>
        <v>12.330500000000001</v>
      </c>
      <c r="Z148" s="120"/>
    </row>
    <row r="149" spans="1:27" ht="16" x14ac:dyDescent="0.2">
      <c r="A149" s="29" t="s">
        <v>234</v>
      </c>
      <c r="B149" s="29" t="s">
        <v>235</v>
      </c>
      <c r="C149" s="20" t="s">
        <v>1227</v>
      </c>
      <c r="D149" s="269" t="s">
        <v>1698</v>
      </c>
      <c r="E149" s="42"/>
      <c r="H149" s="43"/>
      <c r="I149" s="76" t="s">
        <v>25</v>
      </c>
      <c r="J149" s="74" t="s">
        <v>2125</v>
      </c>
      <c r="K149" s="76"/>
      <c r="L149" s="76"/>
      <c r="M149" s="76" t="s">
        <v>236</v>
      </c>
      <c r="N149" s="76" t="s">
        <v>229</v>
      </c>
      <c r="O149" s="76"/>
      <c r="P149" s="76"/>
      <c r="U149" s="21" t="s">
        <v>26</v>
      </c>
      <c r="W149" s="139">
        <v>13.55</v>
      </c>
      <c r="X149" s="119">
        <f>'Additional information'!$D$18</f>
        <v>0.91</v>
      </c>
      <c r="Y149" s="120">
        <f t="shared" si="12"/>
        <v>12.330500000000001</v>
      </c>
      <c r="Z149" s="120"/>
    </row>
    <row r="150" spans="1:27" x14ac:dyDescent="0.2">
      <c r="A150" s="29" t="s">
        <v>27</v>
      </c>
      <c r="B150" s="29" t="s">
        <v>237</v>
      </c>
      <c r="C150" s="20"/>
      <c r="D150" s="20"/>
      <c r="E150" s="42"/>
      <c r="H150" s="43"/>
      <c r="I150" s="76"/>
      <c r="J150" s="76"/>
      <c r="K150" s="76"/>
      <c r="L150" s="76"/>
      <c r="M150" s="76"/>
      <c r="N150" s="76"/>
      <c r="O150" s="76"/>
      <c r="P150" s="76" t="s">
        <v>1098</v>
      </c>
      <c r="U150" s="21" t="s">
        <v>26</v>
      </c>
      <c r="W150" s="139"/>
      <c r="X150" s="119">
        <f>'Additional information'!$D$18</f>
        <v>0.91</v>
      </c>
      <c r="Y150" s="120"/>
      <c r="Z150" s="120"/>
    </row>
    <row r="151" spans="1:27" x14ac:dyDescent="0.2">
      <c r="A151" s="29" t="s">
        <v>27</v>
      </c>
      <c r="B151" s="29" t="s">
        <v>1099</v>
      </c>
      <c r="C151" s="20"/>
      <c r="D151" s="20"/>
      <c r="E151" s="42"/>
      <c r="H151" s="43"/>
      <c r="I151" s="76"/>
      <c r="J151" s="76"/>
      <c r="K151" s="76"/>
      <c r="L151" s="76"/>
      <c r="M151" s="76"/>
      <c r="N151" s="76"/>
      <c r="O151" s="76"/>
      <c r="P151" s="76" t="s">
        <v>238</v>
      </c>
      <c r="U151" s="21" t="s">
        <v>26</v>
      </c>
      <c r="W151" s="139"/>
      <c r="X151" s="119">
        <f>'Additional information'!$D$18</f>
        <v>0.91</v>
      </c>
      <c r="Y151" s="120"/>
      <c r="Z151" s="120"/>
    </row>
    <row r="152" spans="1:27" x14ac:dyDescent="0.2">
      <c r="E152" s="42"/>
      <c r="H152" s="43"/>
      <c r="W152" s="139"/>
      <c r="X152" s="119">
        <f>'Additional information'!$D$18</f>
        <v>0.91</v>
      </c>
      <c r="Y152" s="120"/>
      <c r="Z152" s="120"/>
    </row>
    <row r="153" spans="1:27" ht="32" x14ac:dyDescent="0.2">
      <c r="A153" s="29" t="s">
        <v>126</v>
      </c>
      <c r="B153" s="29" t="s">
        <v>239</v>
      </c>
      <c r="C153" s="20" t="s">
        <v>1230</v>
      </c>
      <c r="D153" s="20" t="s">
        <v>2107</v>
      </c>
      <c r="E153" s="42"/>
      <c r="F153" s="54"/>
      <c r="G153" s="54"/>
      <c r="H153" s="60"/>
      <c r="I153" s="74" t="s">
        <v>25</v>
      </c>
      <c r="J153" s="74"/>
      <c r="K153" s="74"/>
      <c r="L153" s="74"/>
      <c r="M153" s="74"/>
      <c r="N153" s="74"/>
      <c r="O153" s="74"/>
      <c r="P153" s="74"/>
      <c r="U153" s="21" t="s">
        <v>26</v>
      </c>
      <c r="W153" s="139">
        <v>12.681487083435059</v>
      </c>
      <c r="X153" s="119">
        <f>'Additional information'!$D$18</f>
        <v>0.91</v>
      </c>
      <c r="Y153" s="120">
        <f t="shared" si="12"/>
        <v>11.540153245925904</v>
      </c>
      <c r="Z153" s="120">
        <f t="shared" ref="Z153:Z184" si="13">IF(AND(W153&lt;&gt;"",U153="yes"),W153*X153,"")</f>
        <v>11.540153245925904</v>
      </c>
    </row>
    <row r="154" spans="1:27" ht="32" x14ac:dyDescent="0.2">
      <c r="A154" s="29" t="s">
        <v>240</v>
      </c>
      <c r="B154" s="29" t="s">
        <v>241</v>
      </c>
      <c r="C154" s="35" t="s">
        <v>1231</v>
      </c>
      <c r="D154" s="20" t="s">
        <v>1614</v>
      </c>
      <c r="E154" s="53"/>
      <c r="F154" s="21" t="s">
        <v>1083</v>
      </c>
      <c r="G154" s="21" t="s">
        <v>1613</v>
      </c>
      <c r="H154" s="43"/>
      <c r="I154" s="74" t="s">
        <v>25</v>
      </c>
      <c r="J154" s="74"/>
      <c r="K154" s="76" t="s">
        <v>242</v>
      </c>
      <c r="L154" s="74"/>
      <c r="M154" s="76" t="s">
        <v>243</v>
      </c>
      <c r="N154" s="74"/>
      <c r="O154" s="74"/>
      <c r="P154" s="74"/>
      <c r="U154" s="21" t="s">
        <v>26</v>
      </c>
      <c r="W154" s="139">
        <v>22.613609313964844</v>
      </c>
      <c r="X154" s="119">
        <f>'Additional information'!$D$18</f>
        <v>0.91</v>
      </c>
      <c r="Y154" s="120">
        <f t="shared" si="12"/>
        <v>20.57838447570801</v>
      </c>
      <c r="Z154" s="120">
        <f t="shared" si="13"/>
        <v>20.57838447570801</v>
      </c>
    </row>
    <row r="155" spans="1:27" x14ac:dyDescent="0.2">
      <c r="E155" s="42"/>
      <c r="H155" s="43"/>
      <c r="M155" s="86"/>
      <c r="U155" s="21" t="s">
        <v>43</v>
      </c>
      <c r="W155" s="139" t="s">
        <v>43</v>
      </c>
      <c r="X155" s="119">
        <f>'Additional information'!$D$18</f>
        <v>0.91</v>
      </c>
      <c r="Y155" s="120" t="str">
        <f t="shared" si="12"/>
        <v/>
      </c>
      <c r="Z155" s="120" t="str">
        <f t="shared" si="13"/>
        <v/>
      </c>
    </row>
    <row r="156" spans="1:27" ht="32" x14ac:dyDescent="0.2">
      <c r="A156" s="29" t="s">
        <v>139</v>
      </c>
      <c r="B156" s="29" t="s">
        <v>244</v>
      </c>
      <c r="C156" s="35" t="s">
        <v>1100</v>
      </c>
      <c r="D156" s="20" t="s">
        <v>2080</v>
      </c>
      <c r="E156" s="53"/>
      <c r="F156" s="61" t="s">
        <v>1228</v>
      </c>
      <c r="G156" s="61" t="s">
        <v>1725</v>
      </c>
      <c r="H156" s="60"/>
      <c r="I156" s="74" t="s">
        <v>25</v>
      </c>
      <c r="J156" s="74"/>
      <c r="K156" s="74"/>
      <c r="L156" s="74"/>
      <c r="M156" s="76"/>
      <c r="N156" s="74"/>
      <c r="O156" s="74"/>
      <c r="P156" s="74"/>
      <c r="U156" s="21" t="s">
        <v>26</v>
      </c>
      <c r="W156" s="139">
        <v>21.701908111572266</v>
      </c>
      <c r="X156" s="119">
        <f>'Additional information'!$D$18</f>
        <v>0.91</v>
      </c>
      <c r="Y156" s="120">
        <f t="shared" si="12"/>
        <v>19.748736381530762</v>
      </c>
      <c r="Z156" s="120">
        <f t="shared" si="13"/>
        <v>19.748736381530762</v>
      </c>
    </row>
    <row r="157" spans="1:27" x14ac:dyDescent="0.2">
      <c r="C157" s="23"/>
      <c r="D157" s="23"/>
      <c r="E157" s="53"/>
      <c r="F157" s="54"/>
      <c r="G157" s="54"/>
      <c r="H157" s="60"/>
      <c r="M157" s="86"/>
      <c r="U157" s="21" t="s">
        <v>43</v>
      </c>
      <c r="W157" s="139" t="s">
        <v>43</v>
      </c>
      <c r="X157" s="119">
        <f>'Additional information'!$D$18</f>
        <v>0.91</v>
      </c>
      <c r="Y157" s="120" t="str">
        <f t="shared" si="12"/>
        <v/>
      </c>
      <c r="Z157" s="120" t="str">
        <f t="shared" si="13"/>
        <v/>
      </c>
    </row>
    <row r="158" spans="1:27" ht="16" thickBot="1" x14ac:dyDescent="0.25">
      <c r="A158" s="56" t="s">
        <v>86</v>
      </c>
      <c r="B158" s="56"/>
      <c r="C158" s="57"/>
      <c r="D158" s="57"/>
      <c r="E158" s="66"/>
      <c r="F158" s="56"/>
      <c r="G158" s="56"/>
      <c r="H158" s="67"/>
      <c r="I158" s="87"/>
      <c r="J158" s="87"/>
      <c r="K158" s="87"/>
      <c r="L158" s="87"/>
      <c r="M158" s="87"/>
      <c r="N158" s="87"/>
      <c r="O158" s="87"/>
      <c r="P158" s="87"/>
      <c r="W158" s="139" t="s">
        <v>43</v>
      </c>
      <c r="Y158" s="120" t="str">
        <f t="shared" si="12"/>
        <v/>
      </c>
      <c r="Z158" s="120" t="str">
        <f t="shared" si="13"/>
        <v/>
      </c>
    </row>
    <row r="159" spans="1:27" s="27" customFormat="1" ht="17" thickTop="1" x14ac:dyDescent="0.2">
      <c r="A159" s="24" t="s">
        <v>44</v>
      </c>
      <c r="B159" s="24" t="s">
        <v>245</v>
      </c>
      <c r="C159" s="48" t="s">
        <v>246</v>
      </c>
      <c r="D159" s="48" t="s">
        <v>1615</v>
      </c>
      <c r="E159" s="25"/>
      <c r="F159" s="24"/>
      <c r="G159" s="24"/>
      <c r="H159" s="26"/>
      <c r="I159" s="79" t="s">
        <v>32</v>
      </c>
      <c r="J159" s="79"/>
      <c r="K159" s="79"/>
      <c r="L159" s="79"/>
      <c r="M159" s="79" t="s">
        <v>1241</v>
      </c>
      <c r="N159" s="79"/>
      <c r="O159" s="79"/>
      <c r="P159" s="79"/>
      <c r="U159" s="21" t="s">
        <v>26</v>
      </c>
      <c r="W159" s="139"/>
      <c r="X159" s="28"/>
      <c r="Y159" s="120" t="str">
        <f t="shared" si="12"/>
        <v/>
      </c>
      <c r="Z159" s="120" t="str">
        <f t="shared" si="13"/>
        <v/>
      </c>
      <c r="AA159" s="28"/>
    </row>
    <row r="160" spans="1:27" ht="48" x14ac:dyDescent="0.2">
      <c r="A160" s="29" t="s">
        <v>30</v>
      </c>
      <c r="B160" s="29" t="s">
        <v>247</v>
      </c>
      <c r="C160" s="20" t="s">
        <v>248</v>
      </c>
      <c r="D160" s="20" t="s">
        <v>1616</v>
      </c>
      <c r="E160" s="42"/>
      <c r="F160" s="29"/>
      <c r="G160" s="29"/>
      <c r="H160" s="43"/>
      <c r="I160" s="74"/>
      <c r="J160" s="74"/>
      <c r="K160" s="74"/>
      <c r="L160" s="74"/>
      <c r="M160" s="74"/>
      <c r="N160" s="74"/>
      <c r="O160" s="74"/>
      <c r="P160" s="74"/>
      <c r="U160" s="21" t="s">
        <v>26</v>
      </c>
      <c r="W160" s="139">
        <v>7.5</v>
      </c>
      <c r="X160" s="62">
        <f>'Additional information'!$D$19</f>
        <v>0.91</v>
      </c>
      <c r="Y160" s="120">
        <f t="shared" si="12"/>
        <v>6.8250000000000002</v>
      </c>
      <c r="Z160" s="120">
        <f t="shared" si="13"/>
        <v>6.8250000000000002</v>
      </c>
    </row>
    <row r="161" spans="1:27" s="27" customFormat="1" x14ac:dyDescent="0.2">
      <c r="C161" s="49"/>
      <c r="D161" s="22"/>
      <c r="E161" s="25"/>
      <c r="H161" s="26"/>
      <c r="I161" s="80"/>
      <c r="J161" s="80"/>
      <c r="K161" s="80"/>
      <c r="L161" s="80"/>
      <c r="M161" s="80"/>
      <c r="N161" s="80"/>
      <c r="O161" s="80"/>
      <c r="P161" s="80"/>
      <c r="U161" s="21" t="s">
        <v>43</v>
      </c>
      <c r="W161" s="139" t="s">
        <v>43</v>
      </c>
      <c r="X161" s="62">
        <f>'Additional information'!$D$19</f>
        <v>0.91</v>
      </c>
      <c r="Y161" s="120" t="str">
        <f t="shared" si="12"/>
        <v/>
      </c>
      <c r="Z161" s="120" t="str">
        <f t="shared" si="13"/>
        <v/>
      </c>
      <c r="AA161" s="28"/>
    </row>
    <row r="162" spans="1:27" ht="32" x14ac:dyDescent="0.2">
      <c r="A162" s="29" t="s">
        <v>249</v>
      </c>
      <c r="B162" s="29" t="s">
        <v>250</v>
      </c>
      <c r="C162" s="20" t="s">
        <v>1243</v>
      </c>
      <c r="D162" s="20" t="s">
        <v>1617</v>
      </c>
      <c r="E162" s="42"/>
      <c r="F162" s="21" t="s">
        <v>1229</v>
      </c>
      <c r="G162" s="21" t="s">
        <v>1618</v>
      </c>
      <c r="H162" s="43"/>
      <c r="I162" s="74" t="s">
        <v>25</v>
      </c>
      <c r="J162" s="74" t="s">
        <v>76</v>
      </c>
      <c r="K162" s="74"/>
      <c r="L162" s="74"/>
      <c r="M162" s="74"/>
      <c r="N162" s="74"/>
      <c r="O162" s="74"/>
      <c r="P162" s="74"/>
      <c r="U162" s="21" t="s">
        <v>26</v>
      </c>
      <c r="W162" s="139">
        <v>20.294422149658203</v>
      </c>
      <c r="X162" s="62">
        <f>'Additional information'!$D$19</f>
        <v>0.91</v>
      </c>
      <c r="Y162" s="120">
        <f t="shared" si="12"/>
        <v>18.467924156188964</v>
      </c>
      <c r="Z162" s="120">
        <f t="shared" si="13"/>
        <v>18.467924156188964</v>
      </c>
    </row>
    <row r="163" spans="1:27" x14ac:dyDescent="0.2">
      <c r="A163" s="29" t="s">
        <v>27</v>
      </c>
      <c r="B163" s="29" t="s">
        <v>251</v>
      </c>
      <c r="C163" s="20"/>
      <c r="D163" s="20"/>
      <c r="E163" s="42"/>
      <c r="H163" s="43"/>
      <c r="I163" s="74"/>
      <c r="J163" s="74"/>
      <c r="K163" s="74"/>
      <c r="L163" s="74"/>
      <c r="M163" s="74"/>
      <c r="N163" s="74"/>
      <c r="O163" s="74"/>
      <c r="P163" s="74" t="s">
        <v>252</v>
      </c>
      <c r="U163" s="21" t="s">
        <v>26</v>
      </c>
      <c r="W163" s="139"/>
      <c r="X163" s="62">
        <f>'Additional information'!$D$19</f>
        <v>0.91</v>
      </c>
      <c r="Y163" s="120" t="str">
        <f t="shared" si="12"/>
        <v/>
      </c>
      <c r="Z163" s="120" t="str">
        <f t="shared" si="13"/>
        <v/>
      </c>
    </row>
    <row r="164" spans="1:27" x14ac:dyDescent="0.2">
      <c r="E164" s="42"/>
      <c r="H164" s="43"/>
      <c r="M164" s="86"/>
      <c r="U164" s="21" t="s">
        <v>43</v>
      </c>
      <c r="W164" s="139" t="s">
        <v>43</v>
      </c>
      <c r="X164" s="62">
        <f>'Additional information'!$D$19</f>
        <v>0.91</v>
      </c>
      <c r="Y164" s="120" t="str">
        <f t="shared" si="12"/>
        <v/>
      </c>
      <c r="Z164" s="120" t="str">
        <f t="shared" si="13"/>
        <v/>
      </c>
    </row>
    <row r="165" spans="1:27" ht="16" x14ac:dyDescent="0.2">
      <c r="A165" s="29" t="s">
        <v>52</v>
      </c>
      <c r="B165" s="29" t="s">
        <v>253</v>
      </c>
      <c r="C165" s="20" t="s">
        <v>254</v>
      </c>
      <c r="D165" s="20" t="s">
        <v>1700</v>
      </c>
      <c r="E165" s="42"/>
      <c r="F165" s="29" t="s">
        <v>1085</v>
      </c>
      <c r="G165" s="29" t="s">
        <v>1619</v>
      </c>
      <c r="H165" s="43"/>
      <c r="I165" s="74" t="s">
        <v>25</v>
      </c>
      <c r="J165" s="74"/>
      <c r="K165" s="74" t="s">
        <v>255</v>
      </c>
      <c r="L165" s="74"/>
      <c r="M165" s="74" t="s">
        <v>256</v>
      </c>
      <c r="N165" s="74"/>
      <c r="O165" s="74"/>
      <c r="P165" s="74"/>
      <c r="U165" s="21" t="s">
        <v>26</v>
      </c>
      <c r="W165" s="139">
        <v>18.539077758789062</v>
      </c>
      <c r="X165" s="62">
        <f>'Additional information'!$D$19</f>
        <v>0.91</v>
      </c>
      <c r="Y165" s="120">
        <f t="shared" si="12"/>
        <v>16.870560760498048</v>
      </c>
      <c r="Z165" s="120">
        <f t="shared" si="13"/>
        <v>16.870560760498048</v>
      </c>
    </row>
    <row r="166" spans="1:27" ht="16" x14ac:dyDescent="0.2">
      <c r="A166" s="29" t="s">
        <v>52</v>
      </c>
      <c r="B166" s="29" t="s">
        <v>257</v>
      </c>
      <c r="C166" s="20" t="s">
        <v>258</v>
      </c>
      <c r="D166" s="20" t="s">
        <v>1701</v>
      </c>
      <c r="E166" s="42"/>
      <c r="F166" s="29" t="s">
        <v>1085</v>
      </c>
      <c r="G166" s="29" t="s">
        <v>1619</v>
      </c>
      <c r="H166" s="43"/>
      <c r="I166" s="74" t="s">
        <v>25</v>
      </c>
      <c r="J166" s="74"/>
      <c r="K166" s="74" t="s">
        <v>255</v>
      </c>
      <c r="L166" s="74"/>
      <c r="M166" s="74" t="s">
        <v>256</v>
      </c>
      <c r="N166" s="74"/>
      <c r="O166" s="74"/>
      <c r="P166" s="74"/>
      <c r="U166" s="21" t="s">
        <v>26</v>
      </c>
      <c r="W166" s="139">
        <v>8.9158916473388672</v>
      </c>
      <c r="X166" s="62">
        <f>'Additional information'!$D$19</f>
        <v>0.91</v>
      </c>
      <c r="Y166" s="120">
        <f t="shared" si="12"/>
        <v>8.1134613990783695</v>
      </c>
      <c r="Z166" s="120">
        <f t="shared" si="13"/>
        <v>8.1134613990783695</v>
      </c>
    </row>
    <row r="167" spans="1:27" ht="16" x14ac:dyDescent="0.2">
      <c r="A167" s="29" t="s">
        <v>27</v>
      </c>
      <c r="B167" s="29" t="s">
        <v>259</v>
      </c>
      <c r="C167" s="20" t="s">
        <v>260</v>
      </c>
      <c r="D167" s="20" t="s">
        <v>1621</v>
      </c>
      <c r="E167" s="42"/>
      <c r="F167" s="29"/>
      <c r="G167" s="29"/>
      <c r="H167" s="43"/>
      <c r="I167" s="74" t="s">
        <v>25</v>
      </c>
      <c r="J167" s="74"/>
      <c r="K167" s="74"/>
      <c r="L167" s="74"/>
      <c r="M167" s="74" t="s">
        <v>261</v>
      </c>
      <c r="N167" s="74"/>
      <c r="O167" s="74"/>
      <c r="P167" s="74" t="s">
        <v>262</v>
      </c>
      <c r="U167" s="21" t="s">
        <v>26</v>
      </c>
      <c r="W167" s="139"/>
      <c r="X167" s="62">
        <f>'Additional information'!$D$19</f>
        <v>0.91</v>
      </c>
      <c r="Y167" s="120" t="str">
        <f t="shared" si="12"/>
        <v/>
      </c>
      <c r="Z167" s="120" t="str">
        <f t="shared" si="13"/>
        <v/>
      </c>
    </row>
    <row r="168" spans="1:27" x14ac:dyDescent="0.2">
      <c r="E168" s="42"/>
      <c r="H168" s="43"/>
      <c r="U168" s="21" t="s">
        <v>43</v>
      </c>
      <c r="W168" s="139" t="s">
        <v>43</v>
      </c>
      <c r="X168" s="62">
        <f>'Additional information'!$D$19</f>
        <v>0.91</v>
      </c>
      <c r="Y168" s="120" t="str">
        <f t="shared" si="12"/>
        <v/>
      </c>
      <c r="Z168" s="120" t="str">
        <f t="shared" si="13"/>
        <v/>
      </c>
    </row>
    <row r="169" spans="1:27" ht="16" x14ac:dyDescent="0.2">
      <c r="A169" s="29" t="s">
        <v>263</v>
      </c>
      <c r="B169" s="29" t="s">
        <v>264</v>
      </c>
      <c r="C169" s="20" t="s">
        <v>265</v>
      </c>
      <c r="D169" s="20" t="s">
        <v>1620</v>
      </c>
      <c r="E169" s="42"/>
      <c r="F169" s="21" t="s">
        <v>1077</v>
      </c>
      <c r="G169" s="21" t="s">
        <v>1602</v>
      </c>
      <c r="H169" s="43"/>
      <c r="I169" s="74" t="s">
        <v>25</v>
      </c>
      <c r="J169" s="74"/>
      <c r="K169" s="74" t="s">
        <v>266</v>
      </c>
      <c r="L169" s="74"/>
      <c r="M169" s="74" t="s">
        <v>256</v>
      </c>
      <c r="N169" s="74"/>
      <c r="O169" s="74"/>
      <c r="P169" s="74"/>
      <c r="U169" s="21" t="s">
        <v>26</v>
      </c>
      <c r="W169" s="139">
        <v>25.81001091003418</v>
      </c>
      <c r="X169" s="62">
        <f>'Additional information'!$D$19</f>
        <v>0.91</v>
      </c>
      <c r="Y169" s="120">
        <f t="shared" si="12"/>
        <v>23.487109928131105</v>
      </c>
      <c r="Z169" s="120">
        <f t="shared" si="13"/>
        <v>23.487109928131105</v>
      </c>
    </row>
    <row r="170" spans="1:27" x14ac:dyDescent="0.2">
      <c r="E170" s="42"/>
      <c r="H170" s="43"/>
      <c r="M170" s="86"/>
      <c r="U170" s="21" t="s">
        <v>43</v>
      </c>
      <c r="W170" s="139" t="s">
        <v>43</v>
      </c>
      <c r="X170" s="62">
        <f>'Additional information'!$D$19</f>
        <v>0.91</v>
      </c>
      <c r="Y170" s="120" t="str">
        <f t="shared" si="12"/>
        <v/>
      </c>
      <c r="Z170" s="120" t="str">
        <f t="shared" si="13"/>
        <v/>
      </c>
    </row>
    <row r="171" spans="1:27" s="31" customFormat="1" ht="16" x14ac:dyDescent="0.2">
      <c r="A171" s="31" t="s">
        <v>267</v>
      </c>
      <c r="B171" s="31" t="s">
        <v>1259</v>
      </c>
      <c r="C171" s="32" t="s">
        <v>1274</v>
      </c>
      <c r="D171" s="32" t="s">
        <v>1699</v>
      </c>
      <c r="E171" s="33"/>
      <c r="F171" s="31" t="s">
        <v>1077</v>
      </c>
      <c r="G171" s="31" t="s">
        <v>1602</v>
      </c>
      <c r="H171" s="37"/>
      <c r="I171" s="75" t="s">
        <v>25</v>
      </c>
      <c r="J171" s="75"/>
      <c r="K171" s="75" t="s">
        <v>242</v>
      </c>
      <c r="L171" s="75"/>
      <c r="M171" s="75"/>
      <c r="N171" s="75"/>
      <c r="O171" s="75"/>
      <c r="P171" s="75"/>
      <c r="U171" s="31" t="s">
        <v>33</v>
      </c>
      <c r="W171" s="139">
        <v>19.553197860717773</v>
      </c>
      <c r="X171" s="62">
        <f>'Additional information'!$D$19</f>
        <v>0.91</v>
      </c>
      <c r="Y171" s="120">
        <f t="shared" si="12"/>
        <v>17.793410053253176</v>
      </c>
      <c r="Z171" s="120" t="str">
        <f t="shared" si="13"/>
        <v/>
      </c>
      <c r="AA171" s="30"/>
    </row>
    <row r="172" spans="1:27" s="31" customFormat="1" x14ac:dyDescent="0.2">
      <c r="C172" s="32"/>
      <c r="D172" s="288"/>
      <c r="E172" s="33"/>
      <c r="H172" s="37"/>
      <c r="I172" s="75"/>
      <c r="J172" s="75"/>
      <c r="K172" s="75"/>
      <c r="L172" s="75"/>
      <c r="M172" s="75"/>
      <c r="N172" s="75"/>
      <c r="O172" s="75"/>
      <c r="P172" s="75"/>
      <c r="U172" s="31" t="s">
        <v>43</v>
      </c>
      <c r="W172" s="139" t="s">
        <v>43</v>
      </c>
      <c r="X172" s="62">
        <f>'Additional information'!$D$19</f>
        <v>0.91</v>
      </c>
      <c r="Y172" s="120" t="str">
        <f t="shared" si="12"/>
        <v/>
      </c>
      <c r="Z172" s="120" t="str">
        <f t="shared" si="13"/>
        <v/>
      </c>
      <c r="AA172" s="30"/>
    </row>
    <row r="173" spans="1:27" ht="32" x14ac:dyDescent="0.2">
      <c r="A173" s="29" t="s">
        <v>126</v>
      </c>
      <c r="B173" s="29" t="s">
        <v>268</v>
      </c>
      <c r="C173" s="20" t="s">
        <v>1273</v>
      </c>
      <c r="D173" s="20" t="s">
        <v>1622</v>
      </c>
      <c r="E173" s="42"/>
      <c r="H173" s="43"/>
      <c r="I173" s="74" t="s">
        <v>25</v>
      </c>
      <c r="J173" s="74"/>
      <c r="K173" s="74"/>
      <c r="L173" s="74"/>
      <c r="M173" s="76"/>
      <c r="N173" s="74"/>
      <c r="O173" s="74"/>
      <c r="P173" s="74"/>
      <c r="U173" s="21" t="s">
        <v>26</v>
      </c>
      <c r="W173" s="139">
        <v>13.613316535949707</v>
      </c>
      <c r="X173" s="62">
        <f>'Additional information'!$D$19</f>
        <v>0.91</v>
      </c>
      <c r="Y173" s="120">
        <f t="shared" si="12"/>
        <v>12.388118047714233</v>
      </c>
      <c r="Z173" s="120">
        <f t="shared" si="13"/>
        <v>12.388118047714233</v>
      </c>
    </row>
    <row r="174" spans="1:27" ht="32" x14ac:dyDescent="0.2">
      <c r="A174" s="29" t="s">
        <v>269</v>
      </c>
      <c r="B174" s="29" t="s">
        <v>270</v>
      </c>
      <c r="C174" s="20" t="s">
        <v>271</v>
      </c>
      <c r="D174" s="20" t="s">
        <v>1623</v>
      </c>
      <c r="E174" s="42"/>
      <c r="F174" s="21" t="s">
        <v>1083</v>
      </c>
      <c r="G174" s="21" t="s">
        <v>1613</v>
      </c>
      <c r="H174" s="43"/>
      <c r="I174" s="74" t="s">
        <v>25</v>
      </c>
      <c r="J174" s="74"/>
      <c r="K174" s="76" t="s">
        <v>242</v>
      </c>
      <c r="L174" s="74"/>
      <c r="M174" s="76" t="s">
        <v>272</v>
      </c>
      <c r="N174" s="74"/>
      <c r="O174" s="74"/>
      <c r="P174" s="74"/>
      <c r="U174" s="21" t="s">
        <v>26</v>
      </c>
      <c r="W174" s="139">
        <v>27.754648208618164</v>
      </c>
      <c r="X174" s="62">
        <f>'Additional information'!$D$19</f>
        <v>0.91</v>
      </c>
      <c r="Y174" s="120">
        <f t="shared" si="12"/>
        <v>25.25672986984253</v>
      </c>
      <c r="Z174" s="120">
        <f t="shared" si="13"/>
        <v>25.25672986984253</v>
      </c>
    </row>
    <row r="175" spans="1:27" x14ac:dyDescent="0.2">
      <c r="E175" s="42"/>
      <c r="H175" s="43"/>
      <c r="M175" s="86"/>
      <c r="U175" s="21" t="s">
        <v>43</v>
      </c>
      <c r="W175" s="139" t="s">
        <v>43</v>
      </c>
      <c r="X175" s="62">
        <f>'Additional information'!$D$19</f>
        <v>0.91</v>
      </c>
      <c r="Y175" s="120" t="str">
        <f t="shared" si="12"/>
        <v/>
      </c>
      <c r="Z175" s="120" t="str">
        <f t="shared" si="13"/>
        <v/>
      </c>
    </row>
    <row r="176" spans="1:27" s="31" customFormat="1" ht="16" x14ac:dyDescent="0.2">
      <c r="A176" s="31" t="s">
        <v>273</v>
      </c>
      <c r="B176" s="31" t="s">
        <v>274</v>
      </c>
      <c r="C176" s="32" t="s">
        <v>275</v>
      </c>
      <c r="D176" s="32" t="s">
        <v>1702</v>
      </c>
      <c r="E176" s="33"/>
      <c r="F176" s="31" t="s">
        <v>1086</v>
      </c>
      <c r="G176" s="31" t="s">
        <v>1624</v>
      </c>
      <c r="H176" s="37"/>
      <c r="I176" s="75" t="s">
        <v>25</v>
      </c>
      <c r="J176" s="75" t="s">
        <v>76</v>
      </c>
      <c r="K176" s="75" t="s">
        <v>276</v>
      </c>
      <c r="L176" s="75"/>
      <c r="M176" s="75" t="s">
        <v>277</v>
      </c>
      <c r="N176" s="75" t="s">
        <v>278</v>
      </c>
      <c r="O176" s="81"/>
      <c r="P176" s="81"/>
      <c r="Q176" s="21"/>
      <c r="U176" s="31" t="s">
        <v>33</v>
      </c>
      <c r="W176" s="139">
        <v>17</v>
      </c>
      <c r="X176" s="62">
        <f>'Additional information'!$D$19</f>
        <v>0.91</v>
      </c>
      <c r="Y176" s="120">
        <f t="shared" si="12"/>
        <v>15.47</v>
      </c>
      <c r="Z176" s="120" t="str">
        <f t="shared" si="13"/>
        <v/>
      </c>
      <c r="AA176" s="30"/>
    </row>
    <row r="177" spans="1:27" x14ac:dyDescent="0.2">
      <c r="E177" s="42"/>
      <c r="H177" s="43"/>
      <c r="M177" s="86"/>
      <c r="U177" s="21" t="s">
        <v>43</v>
      </c>
      <c r="W177" s="139" t="s">
        <v>43</v>
      </c>
      <c r="X177" s="62">
        <f>'Additional information'!$D$19</f>
        <v>0.91</v>
      </c>
      <c r="Y177" s="120" t="str">
        <f t="shared" si="12"/>
        <v/>
      </c>
      <c r="Z177" s="120" t="str">
        <f t="shared" si="13"/>
        <v/>
      </c>
    </row>
    <row r="178" spans="1:27" ht="16" thickBot="1" x14ac:dyDescent="0.25">
      <c r="A178" s="56" t="s">
        <v>86</v>
      </c>
      <c r="B178" s="56"/>
      <c r="C178" s="57"/>
      <c r="D178" s="57"/>
      <c r="E178" s="66"/>
      <c r="F178" s="56"/>
      <c r="G178" s="56"/>
      <c r="H178" s="67"/>
      <c r="I178" s="87"/>
      <c r="J178" s="87"/>
      <c r="K178" s="87"/>
      <c r="L178" s="87"/>
      <c r="M178" s="87"/>
      <c r="N178" s="87"/>
      <c r="O178" s="87"/>
      <c r="P178" s="87"/>
      <c r="W178" s="139" t="s">
        <v>43</v>
      </c>
      <c r="X178" s="119"/>
      <c r="Y178" s="120" t="str">
        <f t="shared" si="12"/>
        <v/>
      </c>
      <c r="Z178" s="120" t="str">
        <f t="shared" si="13"/>
        <v/>
      </c>
    </row>
    <row r="179" spans="1:27" s="27" customFormat="1" ht="17" thickTop="1" x14ac:dyDescent="0.2">
      <c r="A179" s="24" t="s">
        <v>44</v>
      </c>
      <c r="B179" s="24" t="s">
        <v>279</v>
      </c>
      <c r="C179" s="48" t="s">
        <v>280</v>
      </c>
      <c r="D179" s="48" t="s">
        <v>1625</v>
      </c>
      <c r="E179" s="25"/>
      <c r="F179" s="24"/>
      <c r="G179" s="24"/>
      <c r="H179" s="26"/>
      <c r="I179" s="79" t="s">
        <v>32</v>
      </c>
      <c r="J179" s="79"/>
      <c r="K179" s="79"/>
      <c r="L179" s="79"/>
      <c r="M179" s="79" t="s">
        <v>281</v>
      </c>
      <c r="N179" s="79"/>
      <c r="O179" s="79"/>
      <c r="P179" s="79"/>
      <c r="U179" s="21" t="s">
        <v>26</v>
      </c>
      <c r="W179" s="139"/>
      <c r="X179" s="119"/>
      <c r="Y179" s="120" t="str">
        <f t="shared" si="12"/>
        <v/>
      </c>
      <c r="Z179" s="120" t="str">
        <f t="shared" si="13"/>
        <v/>
      </c>
      <c r="AA179" s="28"/>
    </row>
    <row r="180" spans="1:27" s="27" customFormat="1" x14ac:dyDescent="0.2">
      <c r="C180" s="49"/>
      <c r="D180" s="49"/>
      <c r="E180" s="25"/>
      <c r="H180" s="26"/>
      <c r="I180" s="80"/>
      <c r="J180" s="80"/>
      <c r="K180" s="80"/>
      <c r="L180" s="80"/>
      <c r="M180" s="80"/>
      <c r="N180" s="80"/>
      <c r="O180" s="80"/>
      <c r="P180" s="80"/>
      <c r="U180" s="21" t="s">
        <v>43</v>
      </c>
      <c r="W180" s="139" t="s">
        <v>43</v>
      </c>
      <c r="X180" s="62">
        <f>'Additional information'!$D$19</f>
        <v>0.91</v>
      </c>
      <c r="Y180" s="120" t="str">
        <f t="shared" si="12"/>
        <v/>
      </c>
      <c r="Z180" s="120" t="str">
        <f t="shared" si="13"/>
        <v/>
      </c>
      <c r="AA180" s="28"/>
    </row>
    <row r="181" spans="1:27" s="27" customFormat="1" ht="32" x14ac:dyDescent="0.2">
      <c r="A181" s="29" t="s">
        <v>282</v>
      </c>
      <c r="B181" s="29" t="s">
        <v>283</v>
      </c>
      <c r="C181" s="20" t="s">
        <v>1275</v>
      </c>
      <c r="D181" s="20" t="s">
        <v>1626</v>
      </c>
      <c r="E181" s="42"/>
      <c r="F181" s="61"/>
      <c r="G181" s="61"/>
      <c r="H181" s="43"/>
      <c r="I181" s="74" t="s">
        <v>25</v>
      </c>
      <c r="J181" s="74" t="s">
        <v>76</v>
      </c>
      <c r="K181" s="79"/>
      <c r="L181" s="79"/>
      <c r="M181" s="79"/>
      <c r="N181" s="79"/>
      <c r="O181" s="79"/>
      <c r="P181" s="79"/>
      <c r="U181" s="21" t="s">
        <v>26</v>
      </c>
      <c r="W181" s="139">
        <v>13.999390602111816</v>
      </c>
      <c r="X181" s="62">
        <f>'Additional information'!$D$19</f>
        <v>0.91</v>
      </c>
      <c r="Y181" s="120">
        <f t="shared" si="12"/>
        <v>12.739445447921753</v>
      </c>
      <c r="Z181" s="120">
        <f t="shared" si="13"/>
        <v>12.739445447921753</v>
      </c>
      <c r="AA181" s="28"/>
    </row>
    <row r="182" spans="1:27" x14ac:dyDescent="0.2">
      <c r="A182" s="29" t="s">
        <v>27</v>
      </c>
      <c r="B182" s="29" t="s">
        <v>284</v>
      </c>
      <c r="C182" s="20"/>
      <c r="D182" s="20"/>
      <c r="E182" s="42"/>
      <c r="H182" s="43"/>
      <c r="I182" s="74"/>
      <c r="J182" s="74"/>
      <c r="K182" s="74"/>
      <c r="L182" s="74"/>
      <c r="M182" s="74"/>
      <c r="N182" s="74"/>
      <c r="O182" s="74"/>
      <c r="P182" s="74" t="s">
        <v>285</v>
      </c>
      <c r="U182" s="21" t="s">
        <v>26</v>
      </c>
      <c r="W182" s="139"/>
      <c r="X182" s="62">
        <f>'Additional information'!$D$19</f>
        <v>0.91</v>
      </c>
      <c r="Y182" s="120" t="str">
        <f t="shared" si="12"/>
        <v/>
      </c>
      <c r="Z182" s="120" t="str">
        <f t="shared" si="13"/>
        <v/>
      </c>
    </row>
    <row r="183" spans="1:27" x14ac:dyDescent="0.2">
      <c r="E183" s="42"/>
      <c r="H183" s="43"/>
      <c r="U183" s="21" t="s">
        <v>43</v>
      </c>
      <c r="W183" s="139" t="s">
        <v>43</v>
      </c>
      <c r="X183" s="62">
        <f>'Additional information'!$D$19</f>
        <v>0.91</v>
      </c>
      <c r="Y183" s="120" t="str">
        <f t="shared" si="12"/>
        <v/>
      </c>
      <c r="Z183" s="120" t="str">
        <f t="shared" si="13"/>
        <v/>
      </c>
    </row>
    <row r="184" spans="1:27" ht="32" x14ac:dyDescent="0.2">
      <c r="A184" s="29" t="s">
        <v>126</v>
      </c>
      <c r="B184" s="29" t="s">
        <v>286</v>
      </c>
      <c r="C184" s="20" t="s">
        <v>1276</v>
      </c>
      <c r="D184" s="20" t="s">
        <v>1703</v>
      </c>
      <c r="E184" s="42"/>
      <c r="H184" s="43"/>
      <c r="I184" s="74" t="s">
        <v>25</v>
      </c>
      <c r="J184" s="74"/>
      <c r="K184" s="74"/>
      <c r="L184" s="74"/>
      <c r="M184" s="74"/>
      <c r="N184" s="74"/>
      <c r="O184" s="74"/>
      <c r="P184" s="74"/>
      <c r="U184" s="21" t="s">
        <v>26</v>
      </c>
      <c r="W184" s="139">
        <v>10.25279426574707</v>
      </c>
      <c r="X184" s="62">
        <f>'Additional information'!$D$19</f>
        <v>0.91</v>
      </c>
      <c r="Y184" s="120">
        <f t="shared" si="12"/>
        <v>9.3300427818298335</v>
      </c>
      <c r="Z184" s="120">
        <f t="shared" si="13"/>
        <v>9.3300427818298335</v>
      </c>
    </row>
    <row r="185" spans="1:27" ht="32" x14ac:dyDescent="0.2">
      <c r="A185" s="29" t="s">
        <v>287</v>
      </c>
      <c r="B185" s="29" t="s">
        <v>288</v>
      </c>
      <c r="C185" s="20" t="s">
        <v>1277</v>
      </c>
      <c r="D185" s="20" t="s">
        <v>1627</v>
      </c>
      <c r="E185" s="42"/>
      <c r="F185" s="21" t="s">
        <v>1083</v>
      </c>
      <c r="G185" s="21" t="s">
        <v>1613</v>
      </c>
      <c r="H185" s="43"/>
      <c r="I185" s="74" t="s">
        <v>25</v>
      </c>
      <c r="J185" s="74"/>
      <c r="K185" s="76" t="s">
        <v>242</v>
      </c>
      <c r="L185" s="76"/>
      <c r="M185" s="76" t="s">
        <v>289</v>
      </c>
      <c r="N185" s="74"/>
      <c r="O185" s="74"/>
      <c r="P185" s="74"/>
      <c r="U185" s="21" t="s">
        <v>26</v>
      </c>
      <c r="W185" s="139">
        <v>24.194343566894531</v>
      </c>
      <c r="X185" s="62">
        <f>'Additional information'!$D$19</f>
        <v>0.91</v>
      </c>
      <c r="Y185" s="120">
        <f t="shared" si="12"/>
        <v>22.016852645874025</v>
      </c>
      <c r="Z185" s="120">
        <f t="shared" ref="Z185:Z216" si="14">IF(AND(W185&lt;&gt;"",U185="yes"),W185*X185,"")</f>
        <v>22.016852645874025</v>
      </c>
    </row>
    <row r="186" spans="1:27" x14ac:dyDescent="0.2">
      <c r="E186" s="42"/>
      <c r="H186" s="43"/>
      <c r="M186" s="86"/>
      <c r="U186" s="21" t="s">
        <v>43</v>
      </c>
      <c r="W186" s="139" t="s">
        <v>43</v>
      </c>
      <c r="X186" s="62">
        <f>'Additional information'!$D$19</f>
        <v>0.91</v>
      </c>
      <c r="Y186" s="120" t="str">
        <f t="shared" si="12"/>
        <v/>
      </c>
      <c r="Z186" s="120" t="str">
        <f t="shared" si="14"/>
        <v/>
      </c>
    </row>
    <row r="187" spans="1:27" ht="32" x14ac:dyDescent="0.2">
      <c r="A187" s="29" t="s">
        <v>139</v>
      </c>
      <c r="B187" s="29" t="s">
        <v>290</v>
      </c>
      <c r="C187" s="35" t="s">
        <v>1052</v>
      </c>
      <c r="D187" s="20" t="s">
        <v>2108</v>
      </c>
      <c r="E187" s="42"/>
      <c r="F187" s="29" t="s">
        <v>1228</v>
      </c>
      <c r="G187" s="61" t="s">
        <v>1724</v>
      </c>
      <c r="H187" s="43"/>
      <c r="I187" s="74" t="s">
        <v>25</v>
      </c>
      <c r="J187" s="74"/>
      <c r="K187" s="74"/>
      <c r="L187" s="74"/>
      <c r="M187" s="76"/>
      <c r="N187" s="74"/>
      <c r="O187" s="74"/>
      <c r="P187" s="74"/>
      <c r="U187" s="21" t="s">
        <v>26</v>
      </c>
      <c r="W187" s="139">
        <v>19.321737289428711</v>
      </c>
      <c r="X187" s="62">
        <f>'Additional information'!$D$19</f>
        <v>0.91</v>
      </c>
      <c r="Y187" s="120">
        <f t="shared" si="12"/>
        <v>17.582780933380128</v>
      </c>
      <c r="Z187" s="120">
        <f t="shared" si="14"/>
        <v>17.582780933380128</v>
      </c>
    </row>
    <row r="188" spans="1:27" x14ac:dyDescent="0.2">
      <c r="C188" s="23"/>
      <c r="D188" s="23"/>
      <c r="E188" s="42"/>
      <c r="H188" s="43"/>
      <c r="M188" s="86"/>
      <c r="U188" s="21" t="s">
        <v>43</v>
      </c>
      <c r="W188" s="139" t="s">
        <v>43</v>
      </c>
      <c r="X188" s="62">
        <f>'Additional information'!$D$19</f>
        <v>0.91</v>
      </c>
      <c r="Y188" s="120" t="str">
        <f t="shared" si="12"/>
        <v/>
      </c>
      <c r="Z188" s="120" t="str">
        <f t="shared" si="14"/>
        <v/>
      </c>
    </row>
    <row r="189" spans="1:27" ht="16" thickBot="1" x14ac:dyDescent="0.25">
      <c r="A189" s="56" t="s">
        <v>86</v>
      </c>
      <c r="B189" s="56"/>
      <c r="C189" s="57"/>
      <c r="D189" s="57"/>
      <c r="E189" s="66"/>
      <c r="F189" s="56"/>
      <c r="G189" s="56"/>
      <c r="H189" s="67"/>
      <c r="I189" s="87"/>
      <c r="J189" s="87"/>
      <c r="K189" s="87"/>
      <c r="L189" s="87"/>
      <c r="M189" s="87"/>
      <c r="N189" s="87"/>
      <c r="O189" s="87"/>
      <c r="P189" s="87"/>
      <c r="W189" s="139" t="s">
        <v>43</v>
      </c>
      <c r="Y189" s="120" t="str">
        <f t="shared" si="12"/>
        <v/>
      </c>
      <c r="Z189" s="120" t="str">
        <f t="shared" si="14"/>
        <v/>
      </c>
    </row>
    <row r="190" spans="1:27" s="27" customFormat="1" ht="17" thickTop="1" x14ac:dyDescent="0.2">
      <c r="A190" s="24" t="s">
        <v>44</v>
      </c>
      <c r="B190" s="24" t="s">
        <v>291</v>
      </c>
      <c r="C190" s="48" t="s">
        <v>292</v>
      </c>
      <c r="D190" s="48" t="s">
        <v>1628</v>
      </c>
      <c r="E190" s="25"/>
      <c r="F190" s="24"/>
      <c r="G190" s="24"/>
      <c r="H190" s="26"/>
      <c r="I190" s="79" t="s">
        <v>32</v>
      </c>
      <c r="J190" s="79"/>
      <c r="K190" s="79"/>
      <c r="L190" s="79"/>
      <c r="M190" s="80" t="s">
        <v>1408</v>
      </c>
      <c r="N190" s="79"/>
      <c r="O190" s="79"/>
      <c r="P190" s="79"/>
      <c r="U190" s="21" t="s">
        <v>26</v>
      </c>
      <c r="W190" s="139"/>
      <c r="X190" s="28"/>
      <c r="Y190" s="120" t="str">
        <f t="shared" si="12"/>
        <v/>
      </c>
      <c r="Z190" s="120" t="str">
        <f t="shared" si="14"/>
        <v/>
      </c>
      <c r="AA190" s="28"/>
    </row>
    <row r="191" spans="1:27" s="30" customFormat="1" ht="48" x14ac:dyDescent="0.2">
      <c r="A191" s="34" t="s">
        <v>30</v>
      </c>
      <c r="B191" s="34" t="s">
        <v>293</v>
      </c>
      <c r="C191" s="35" t="s">
        <v>1281</v>
      </c>
      <c r="D191" s="35" t="s">
        <v>2109</v>
      </c>
      <c r="E191" s="53"/>
      <c r="H191" s="55"/>
      <c r="I191" s="76"/>
      <c r="J191" s="76"/>
      <c r="K191" s="76"/>
      <c r="L191" s="76"/>
      <c r="M191" s="76"/>
      <c r="N191" s="76"/>
      <c r="O191" s="76"/>
      <c r="P191" s="76"/>
      <c r="U191" s="30" t="s">
        <v>26</v>
      </c>
      <c r="W191" s="139">
        <v>7.5</v>
      </c>
      <c r="X191" s="62">
        <f>'Additional information'!$D$20</f>
        <v>0.05</v>
      </c>
      <c r="Y191" s="120">
        <f t="shared" si="12"/>
        <v>0.375</v>
      </c>
      <c r="Z191" s="120">
        <f t="shared" si="14"/>
        <v>0.375</v>
      </c>
    </row>
    <row r="192" spans="1:27" s="27" customFormat="1" x14ac:dyDescent="0.2">
      <c r="C192" s="49"/>
      <c r="D192" s="23"/>
      <c r="E192" s="25"/>
      <c r="H192" s="26"/>
      <c r="I192" s="80"/>
      <c r="J192" s="80"/>
      <c r="K192" s="80"/>
      <c r="L192" s="80"/>
      <c r="M192" s="80"/>
      <c r="N192" s="80"/>
      <c r="O192" s="80"/>
      <c r="P192" s="80"/>
      <c r="U192" s="21" t="s">
        <v>43</v>
      </c>
      <c r="W192" s="139" t="s">
        <v>43</v>
      </c>
      <c r="X192" s="62">
        <f>'Additional information'!$D$20</f>
        <v>0.05</v>
      </c>
      <c r="Y192" s="120" t="str">
        <f t="shared" si="12"/>
        <v/>
      </c>
      <c r="Z192" s="120" t="str">
        <f t="shared" si="14"/>
        <v/>
      </c>
      <c r="AA192" s="28"/>
    </row>
    <row r="193" spans="1:27" ht="16" x14ac:dyDescent="0.2">
      <c r="A193" s="29" t="s">
        <v>294</v>
      </c>
      <c r="B193" s="29" t="s">
        <v>295</v>
      </c>
      <c r="C193" s="20" t="s">
        <v>296</v>
      </c>
      <c r="D193" s="35" t="s">
        <v>2110</v>
      </c>
      <c r="E193" s="42"/>
      <c r="F193" s="21" t="s">
        <v>1087</v>
      </c>
      <c r="G193" s="21" t="s">
        <v>1602</v>
      </c>
      <c r="H193" s="43"/>
      <c r="I193" s="74" t="s">
        <v>25</v>
      </c>
      <c r="J193" s="74"/>
      <c r="K193" s="74" t="s">
        <v>242</v>
      </c>
      <c r="L193" s="74"/>
      <c r="M193" s="74"/>
      <c r="N193" s="74"/>
      <c r="O193" s="74"/>
      <c r="P193" s="74"/>
      <c r="U193" s="21" t="s">
        <v>26</v>
      </c>
      <c r="W193" s="139">
        <v>19.090116500854492</v>
      </c>
      <c r="X193" s="62">
        <f>'Additional information'!$D$20</f>
        <v>0.05</v>
      </c>
      <c r="Y193" s="120">
        <f t="shared" si="12"/>
        <v>0.95450582504272463</v>
      </c>
      <c r="Z193" s="120">
        <f t="shared" si="14"/>
        <v>0.95450582504272463</v>
      </c>
    </row>
    <row r="194" spans="1:27" x14ac:dyDescent="0.2">
      <c r="D194" s="23"/>
      <c r="E194" s="42"/>
      <c r="H194" s="43"/>
      <c r="U194" s="21" t="s">
        <v>43</v>
      </c>
      <c r="W194" s="139" t="s">
        <v>43</v>
      </c>
      <c r="X194" s="62">
        <f>'Additional information'!$D$20</f>
        <v>0.05</v>
      </c>
      <c r="Y194" s="120" t="str">
        <f t="shared" si="12"/>
        <v/>
      </c>
      <c r="Z194" s="120" t="str">
        <f t="shared" si="14"/>
        <v/>
      </c>
    </row>
    <row r="195" spans="1:27" ht="32" x14ac:dyDescent="0.2">
      <c r="A195" s="29" t="s">
        <v>139</v>
      </c>
      <c r="B195" s="29" t="s">
        <v>297</v>
      </c>
      <c r="C195" s="20" t="s">
        <v>1309</v>
      </c>
      <c r="D195" s="35" t="s">
        <v>1629</v>
      </c>
      <c r="E195" s="42"/>
      <c r="H195" s="43"/>
      <c r="I195" s="74" t="s">
        <v>25</v>
      </c>
      <c r="J195" s="74"/>
      <c r="K195" s="74"/>
      <c r="L195" s="74"/>
      <c r="M195" s="74"/>
      <c r="N195" s="74"/>
      <c r="O195" s="74"/>
      <c r="P195" s="74"/>
      <c r="U195" s="21" t="s">
        <v>26</v>
      </c>
      <c r="W195" s="139">
        <v>17.656976699829102</v>
      </c>
      <c r="X195" s="62">
        <f>'Additional information'!$D$20</f>
        <v>0.05</v>
      </c>
      <c r="Y195" s="120">
        <f t="shared" si="12"/>
        <v>0.88284883499145517</v>
      </c>
      <c r="Z195" s="120">
        <f t="shared" si="14"/>
        <v>0.88284883499145517</v>
      </c>
    </row>
    <row r="196" spans="1:27" x14ac:dyDescent="0.2">
      <c r="D196" s="23"/>
      <c r="E196" s="42"/>
      <c r="H196" s="43"/>
      <c r="U196" s="21" t="s">
        <v>43</v>
      </c>
      <c r="W196" s="139" t="s">
        <v>43</v>
      </c>
      <c r="X196" s="62">
        <f>'Additional information'!$D$20</f>
        <v>0.05</v>
      </c>
      <c r="Y196" s="120" t="str">
        <f t="shared" si="12"/>
        <v/>
      </c>
      <c r="Z196" s="120" t="str">
        <f t="shared" si="14"/>
        <v/>
      </c>
    </row>
    <row r="197" spans="1:27" ht="32" x14ac:dyDescent="0.2">
      <c r="A197" s="29" t="s">
        <v>126</v>
      </c>
      <c r="B197" s="29" t="s">
        <v>298</v>
      </c>
      <c r="C197" s="20" t="s">
        <v>1448</v>
      </c>
      <c r="D197" s="35" t="s">
        <v>1630</v>
      </c>
      <c r="E197" s="42"/>
      <c r="H197" s="43"/>
      <c r="I197" s="74" t="s">
        <v>25</v>
      </c>
      <c r="J197" s="74"/>
      <c r="K197" s="74"/>
      <c r="L197" s="74"/>
      <c r="M197" s="74"/>
      <c r="N197" s="74"/>
      <c r="O197" s="74"/>
      <c r="P197" s="74"/>
      <c r="U197" s="21" t="s">
        <v>26</v>
      </c>
      <c r="W197" s="140">
        <v>8.7647056579589844</v>
      </c>
      <c r="X197" s="62">
        <f>'Additional information'!$D$20</f>
        <v>0.05</v>
      </c>
      <c r="Y197" s="120">
        <f t="shared" si="12"/>
        <v>0.43823528289794922</v>
      </c>
      <c r="Z197" s="120">
        <f t="shared" si="14"/>
        <v>0.43823528289794922</v>
      </c>
    </row>
    <row r="198" spans="1:27" ht="32" x14ac:dyDescent="0.2">
      <c r="A198" s="29" t="s">
        <v>299</v>
      </c>
      <c r="B198" s="29" t="s">
        <v>300</v>
      </c>
      <c r="C198" s="20" t="s">
        <v>1447</v>
      </c>
      <c r="D198" s="35" t="s">
        <v>1631</v>
      </c>
      <c r="E198" s="42"/>
      <c r="F198" s="21" t="s">
        <v>1083</v>
      </c>
      <c r="G198" s="21" t="s">
        <v>1632</v>
      </c>
      <c r="H198" s="43"/>
      <c r="I198" s="74"/>
      <c r="J198" s="74"/>
      <c r="K198" s="76" t="s">
        <v>242</v>
      </c>
      <c r="L198" s="74"/>
      <c r="M198" s="76" t="s">
        <v>301</v>
      </c>
      <c r="N198" s="74"/>
      <c r="O198" s="74"/>
      <c r="P198" s="74"/>
      <c r="U198" s="21" t="s">
        <v>26</v>
      </c>
      <c r="W198" s="140">
        <v>27.953845977783203</v>
      </c>
      <c r="X198" s="62">
        <f>'Additional information'!$D$20</f>
        <v>0.05</v>
      </c>
      <c r="Y198" s="120">
        <f t="shared" si="12"/>
        <v>1.3976922988891602</v>
      </c>
      <c r="Z198" s="120">
        <f t="shared" si="14"/>
        <v>1.3976922988891602</v>
      </c>
    </row>
    <row r="199" spans="1:27" ht="16" x14ac:dyDescent="0.2">
      <c r="A199" s="29" t="s">
        <v>47</v>
      </c>
      <c r="B199" s="29" t="s">
        <v>302</v>
      </c>
      <c r="C199" s="35" t="s">
        <v>175</v>
      </c>
      <c r="E199" s="53"/>
      <c r="F199" s="30" t="s">
        <v>1078</v>
      </c>
      <c r="G199" s="31" t="s">
        <v>1723</v>
      </c>
      <c r="H199" s="43"/>
      <c r="I199" s="74" t="s">
        <v>25</v>
      </c>
      <c r="J199" s="74"/>
      <c r="K199" s="74"/>
      <c r="L199" s="74"/>
      <c r="M199" s="74" t="s">
        <v>303</v>
      </c>
      <c r="N199" s="74"/>
      <c r="O199" s="74"/>
      <c r="P199" s="74"/>
      <c r="U199" s="21" t="s">
        <v>26</v>
      </c>
      <c r="W199" s="139"/>
      <c r="X199" s="62">
        <f>'Additional information'!$D$20</f>
        <v>0.05</v>
      </c>
      <c r="Y199" s="120" t="str">
        <f t="shared" si="12"/>
        <v/>
      </c>
      <c r="Z199" s="120" t="str">
        <f t="shared" si="14"/>
        <v/>
      </c>
    </row>
    <row r="200" spans="1:27" x14ac:dyDescent="0.2">
      <c r="E200" s="42"/>
      <c r="H200" s="43"/>
      <c r="U200" s="21" t="s">
        <v>43</v>
      </c>
      <c r="W200" s="139" t="s">
        <v>43</v>
      </c>
      <c r="X200" s="62">
        <f>'Additional information'!$D$20</f>
        <v>0.05</v>
      </c>
      <c r="Y200" s="120" t="str">
        <f t="shared" si="12"/>
        <v/>
      </c>
      <c r="Z200" s="120" t="str">
        <f t="shared" si="14"/>
        <v/>
      </c>
    </row>
    <row r="201" spans="1:27" s="31" customFormat="1" ht="32" x14ac:dyDescent="0.2">
      <c r="A201" s="31" t="s">
        <v>304</v>
      </c>
      <c r="B201" s="31" t="s">
        <v>305</v>
      </c>
      <c r="C201" s="32" t="s">
        <v>1310</v>
      </c>
      <c r="D201" s="32" t="s">
        <v>1633</v>
      </c>
      <c r="E201" s="33"/>
      <c r="F201" s="31" t="s">
        <v>1087</v>
      </c>
      <c r="G201" s="31" t="s">
        <v>1634</v>
      </c>
      <c r="H201" s="37"/>
      <c r="I201" s="75" t="s">
        <v>25</v>
      </c>
      <c r="J201" s="75"/>
      <c r="K201" s="75" t="s">
        <v>242</v>
      </c>
      <c r="L201" s="75"/>
      <c r="M201" s="75" t="s">
        <v>1308</v>
      </c>
      <c r="N201" s="75"/>
      <c r="O201" s="75"/>
      <c r="P201" s="75"/>
      <c r="U201" s="31" t="s">
        <v>33</v>
      </c>
      <c r="W201" s="139">
        <v>21.25</v>
      </c>
      <c r="X201" s="62">
        <f>'Additional information'!$D$20</f>
        <v>0.05</v>
      </c>
      <c r="Y201" s="120">
        <f t="shared" si="12"/>
        <v>1.0625</v>
      </c>
      <c r="Z201" s="120" t="str">
        <f t="shared" si="14"/>
        <v/>
      </c>
      <c r="AA201" s="30"/>
    </row>
    <row r="202" spans="1:27" s="31" customFormat="1" ht="16" x14ac:dyDescent="0.2">
      <c r="A202" s="31" t="s">
        <v>47</v>
      </c>
      <c r="B202" s="31" t="s">
        <v>306</v>
      </c>
      <c r="C202" s="32" t="s">
        <v>175</v>
      </c>
      <c r="D202" s="32" t="s">
        <v>1635</v>
      </c>
      <c r="E202" s="33"/>
      <c r="F202" s="31" t="s">
        <v>1078</v>
      </c>
      <c r="G202" s="31" t="s">
        <v>1723</v>
      </c>
      <c r="H202" s="37"/>
      <c r="I202" s="75" t="s">
        <v>25</v>
      </c>
      <c r="J202" s="75"/>
      <c r="K202" s="75"/>
      <c r="L202" s="75"/>
      <c r="M202" s="75" t="s">
        <v>307</v>
      </c>
      <c r="N202" s="75"/>
      <c r="O202" s="75"/>
      <c r="P202" s="75"/>
      <c r="U202" s="31" t="s">
        <v>33</v>
      </c>
      <c r="W202" s="139"/>
      <c r="X202" s="62">
        <f>'Additional information'!$D$20</f>
        <v>0.05</v>
      </c>
      <c r="Y202" s="120" t="str">
        <f t="shared" si="12"/>
        <v/>
      </c>
      <c r="Z202" s="120" t="str">
        <f t="shared" si="14"/>
        <v/>
      </c>
      <c r="AA202" s="30"/>
    </row>
    <row r="203" spans="1:27" s="31" customFormat="1" x14ac:dyDescent="0.2">
      <c r="C203" s="32"/>
      <c r="D203" s="32"/>
      <c r="E203" s="33"/>
      <c r="H203" s="37"/>
      <c r="I203" s="75"/>
      <c r="J203" s="75"/>
      <c r="K203" s="75"/>
      <c r="L203" s="75"/>
      <c r="M203" s="75"/>
      <c r="N203" s="75"/>
      <c r="O203" s="75"/>
      <c r="P203" s="75"/>
      <c r="U203" s="31" t="s">
        <v>43</v>
      </c>
      <c r="W203" s="139" t="s">
        <v>43</v>
      </c>
      <c r="X203" s="62">
        <f>'Additional information'!$D$20</f>
        <v>0.05</v>
      </c>
      <c r="Y203" s="120" t="str">
        <f t="shared" si="12"/>
        <v/>
      </c>
      <c r="Z203" s="120" t="str">
        <f t="shared" si="14"/>
        <v/>
      </c>
      <c r="AA203" s="30"/>
    </row>
    <row r="204" spans="1:27" ht="16" thickBot="1" x14ac:dyDescent="0.25">
      <c r="A204" s="51" t="s">
        <v>86</v>
      </c>
      <c r="B204" s="51"/>
      <c r="C204" s="52"/>
      <c r="D204" s="52"/>
      <c r="E204" s="46"/>
      <c r="F204" s="51"/>
      <c r="G204" s="51"/>
      <c r="H204" s="47"/>
      <c r="I204" s="85"/>
      <c r="J204" s="85"/>
      <c r="K204" s="85"/>
      <c r="L204" s="85"/>
      <c r="M204" s="85"/>
      <c r="N204" s="85"/>
      <c r="O204" s="85"/>
      <c r="P204" s="85"/>
      <c r="W204" s="139" t="s">
        <v>43</v>
      </c>
      <c r="Y204" s="120" t="str">
        <f t="shared" si="12"/>
        <v/>
      </c>
      <c r="Z204" s="120" t="str">
        <f t="shared" si="14"/>
        <v/>
      </c>
    </row>
    <row r="205" spans="1:27" s="27" customFormat="1" ht="17" thickTop="1" x14ac:dyDescent="0.2">
      <c r="A205" s="24" t="s">
        <v>44</v>
      </c>
      <c r="B205" s="24" t="s">
        <v>308</v>
      </c>
      <c r="C205" s="48" t="s">
        <v>309</v>
      </c>
      <c r="D205" s="48" t="s">
        <v>1636</v>
      </c>
      <c r="E205" s="25"/>
      <c r="F205" s="24"/>
      <c r="G205" s="24"/>
      <c r="H205" s="26"/>
      <c r="I205" s="79" t="s">
        <v>32</v>
      </c>
      <c r="J205" s="79"/>
      <c r="K205" s="79"/>
      <c r="L205" s="79"/>
      <c r="M205" s="79" t="s">
        <v>1435</v>
      </c>
      <c r="N205" s="79"/>
      <c r="O205" s="79"/>
      <c r="P205" s="79"/>
      <c r="U205" s="21" t="s">
        <v>26</v>
      </c>
      <c r="W205" s="139"/>
      <c r="X205" s="28"/>
      <c r="Y205" s="120" t="str">
        <f t="shared" ref="Y205:Y268" si="15">IF(W205&lt;&gt;"",W205*X205,"")</f>
        <v/>
      </c>
      <c r="Z205" s="120" t="str">
        <f t="shared" si="14"/>
        <v/>
      </c>
      <c r="AA205" s="28"/>
    </row>
    <row r="206" spans="1:27" s="27" customFormat="1" x14ac:dyDescent="0.2">
      <c r="C206" s="49"/>
      <c r="D206" s="49"/>
      <c r="E206" s="25"/>
      <c r="H206" s="26"/>
      <c r="I206" s="80"/>
      <c r="J206" s="80"/>
      <c r="K206" s="80"/>
      <c r="L206" s="80"/>
      <c r="M206" s="80"/>
      <c r="N206" s="80"/>
      <c r="O206" s="80"/>
      <c r="P206" s="80"/>
      <c r="U206" s="21" t="s">
        <v>43</v>
      </c>
      <c r="W206" s="139" t="s">
        <v>43</v>
      </c>
      <c r="X206" s="62">
        <f>'Additional information'!$D$20</f>
        <v>0.05</v>
      </c>
      <c r="Y206" s="120" t="str">
        <f t="shared" si="15"/>
        <v/>
      </c>
      <c r="Z206" s="120" t="str">
        <f t="shared" si="14"/>
        <v/>
      </c>
      <c r="AA206" s="28"/>
    </row>
    <row r="207" spans="1:27" s="27" customFormat="1" ht="32" x14ac:dyDescent="0.2">
      <c r="A207" s="29" t="s">
        <v>310</v>
      </c>
      <c r="B207" s="29" t="s">
        <v>311</v>
      </c>
      <c r="C207" s="20" t="s">
        <v>1311</v>
      </c>
      <c r="D207" s="20" t="s">
        <v>1637</v>
      </c>
      <c r="E207" s="42"/>
      <c r="F207" s="29"/>
      <c r="G207" s="29"/>
      <c r="H207" s="43"/>
      <c r="I207" s="74" t="s">
        <v>25</v>
      </c>
      <c r="J207" s="79"/>
      <c r="K207" s="79"/>
      <c r="L207" s="79"/>
      <c r="M207" s="79"/>
      <c r="N207" s="79"/>
      <c r="O207" s="79"/>
      <c r="P207" s="79"/>
      <c r="U207" s="21" t="s">
        <v>26</v>
      </c>
      <c r="W207" s="139">
        <v>14.384955406188965</v>
      </c>
      <c r="X207" s="62">
        <f>'Additional information'!$D$20</f>
        <v>0.05</v>
      </c>
      <c r="Y207" s="120">
        <f t="shared" si="15"/>
        <v>0.71924777030944831</v>
      </c>
      <c r="Z207" s="120">
        <f t="shared" si="14"/>
        <v>0.71924777030944831</v>
      </c>
      <c r="AA207" s="28"/>
    </row>
    <row r="208" spans="1:27" x14ac:dyDescent="0.2">
      <c r="A208" s="29" t="s">
        <v>27</v>
      </c>
      <c r="B208" s="29" t="s">
        <v>312</v>
      </c>
      <c r="C208" s="20"/>
      <c r="D208" s="20"/>
      <c r="E208" s="42"/>
      <c r="F208" s="29"/>
      <c r="G208" s="29"/>
      <c r="H208" s="43"/>
      <c r="I208" s="74"/>
      <c r="J208" s="74"/>
      <c r="K208" s="74"/>
      <c r="L208" s="74"/>
      <c r="M208" s="74"/>
      <c r="N208" s="74"/>
      <c r="O208" s="74"/>
      <c r="P208" s="74" t="s">
        <v>313</v>
      </c>
      <c r="U208" s="21" t="s">
        <v>26</v>
      </c>
      <c r="W208" s="139"/>
      <c r="X208" s="62">
        <f>'Additional information'!$D$20</f>
        <v>0.05</v>
      </c>
      <c r="Y208" s="120" t="str">
        <f t="shared" si="15"/>
        <v/>
      </c>
      <c r="Z208" s="120" t="str">
        <f t="shared" si="14"/>
        <v/>
      </c>
    </row>
    <row r="209" spans="1:27" ht="16" x14ac:dyDescent="0.2">
      <c r="A209" s="29" t="s">
        <v>47</v>
      </c>
      <c r="B209" s="29" t="s">
        <v>314</v>
      </c>
      <c r="C209" s="35" t="s">
        <v>175</v>
      </c>
      <c r="D209" s="20" t="s">
        <v>1598</v>
      </c>
      <c r="E209" s="53"/>
      <c r="F209" s="30" t="s">
        <v>1078</v>
      </c>
      <c r="G209" s="31" t="s">
        <v>1723</v>
      </c>
      <c r="H209" s="43"/>
      <c r="I209" s="74" t="s">
        <v>25</v>
      </c>
      <c r="J209" s="74"/>
      <c r="K209" s="74"/>
      <c r="L209" s="74"/>
      <c r="M209" s="76" t="s">
        <v>315</v>
      </c>
      <c r="N209" s="74"/>
      <c r="O209" s="74"/>
      <c r="P209" s="74"/>
      <c r="U209" s="21" t="s">
        <v>26</v>
      </c>
      <c r="W209" s="139"/>
      <c r="X209" s="62">
        <f>'Additional information'!$D$20</f>
        <v>0.05</v>
      </c>
      <c r="Y209" s="120" t="str">
        <f t="shared" si="15"/>
        <v/>
      </c>
      <c r="Z209" s="120" t="str">
        <f t="shared" si="14"/>
        <v/>
      </c>
    </row>
    <row r="210" spans="1:27" x14ac:dyDescent="0.2">
      <c r="E210" s="42"/>
      <c r="H210" s="43"/>
      <c r="M210" s="86"/>
      <c r="U210" s="21" t="s">
        <v>43</v>
      </c>
      <c r="W210" s="139" t="s">
        <v>43</v>
      </c>
      <c r="X210" s="62">
        <f>'Additional information'!$D$20</f>
        <v>0.05</v>
      </c>
      <c r="Y210" s="120" t="str">
        <f t="shared" si="15"/>
        <v/>
      </c>
      <c r="Z210" s="120" t="str">
        <f t="shared" si="14"/>
        <v/>
      </c>
    </row>
    <row r="211" spans="1:27" ht="32" x14ac:dyDescent="0.2">
      <c r="A211" s="29" t="s">
        <v>126</v>
      </c>
      <c r="B211" s="29" t="s">
        <v>316</v>
      </c>
      <c r="C211" s="20" t="s">
        <v>1312</v>
      </c>
      <c r="D211" s="20" t="s">
        <v>1638</v>
      </c>
      <c r="E211" s="42"/>
      <c r="F211" s="29"/>
      <c r="G211" s="29"/>
      <c r="H211" s="43"/>
      <c r="I211" s="74" t="s">
        <v>25</v>
      </c>
      <c r="J211" s="74"/>
      <c r="K211" s="74"/>
      <c r="L211" s="74"/>
      <c r="M211" s="74"/>
      <c r="N211" s="74"/>
      <c r="O211" s="74"/>
      <c r="P211" s="74"/>
      <c r="U211" s="21" t="s">
        <v>26</v>
      </c>
      <c r="W211" s="139">
        <v>9.4380531311035156</v>
      </c>
      <c r="X211" s="62">
        <f>'Additional information'!$D$20</f>
        <v>0.05</v>
      </c>
      <c r="Y211" s="120">
        <f t="shared" si="15"/>
        <v>0.47190265655517583</v>
      </c>
      <c r="Z211" s="120">
        <f t="shared" si="14"/>
        <v>0.47190265655517583</v>
      </c>
    </row>
    <row r="212" spans="1:27" ht="32" x14ac:dyDescent="0.2">
      <c r="A212" s="29" t="s">
        <v>317</v>
      </c>
      <c r="B212" s="29" t="s">
        <v>318</v>
      </c>
      <c r="C212" s="20" t="s">
        <v>1441</v>
      </c>
      <c r="D212" s="20" t="s">
        <v>1640</v>
      </c>
      <c r="E212" s="42"/>
      <c r="F212" s="29" t="s">
        <v>1077</v>
      </c>
      <c r="G212" s="29" t="s">
        <v>1639</v>
      </c>
      <c r="H212" s="43"/>
      <c r="I212" s="74" t="s">
        <v>25</v>
      </c>
      <c r="J212" s="74"/>
      <c r="K212" s="76" t="s">
        <v>242</v>
      </c>
      <c r="L212" s="74"/>
      <c r="M212" s="76" t="s">
        <v>319</v>
      </c>
      <c r="N212" s="74"/>
      <c r="O212" s="74"/>
      <c r="P212" s="74"/>
      <c r="U212" s="21" t="s">
        <v>26</v>
      </c>
      <c r="W212" s="139">
        <v>27.766990661621094</v>
      </c>
      <c r="X212" s="62">
        <f>'Additional information'!$D$20</f>
        <v>0.05</v>
      </c>
      <c r="Y212" s="120">
        <f t="shared" si="15"/>
        <v>1.3883495330810547</v>
      </c>
      <c r="Z212" s="120">
        <f t="shared" si="14"/>
        <v>1.3883495330810547</v>
      </c>
    </row>
    <row r="213" spans="1:27" ht="16" x14ac:dyDescent="0.2">
      <c r="A213" s="29" t="s">
        <v>47</v>
      </c>
      <c r="B213" s="29" t="s">
        <v>320</v>
      </c>
      <c r="C213" s="35" t="s">
        <v>175</v>
      </c>
      <c r="D213" s="20" t="s">
        <v>1598</v>
      </c>
      <c r="E213" s="53"/>
      <c r="F213" s="30" t="s">
        <v>1078</v>
      </c>
      <c r="G213" s="31" t="s">
        <v>1723</v>
      </c>
      <c r="H213" s="43"/>
      <c r="I213" s="74" t="s">
        <v>25</v>
      </c>
      <c r="J213" s="74"/>
      <c r="K213" s="74"/>
      <c r="L213" s="74"/>
      <c r="M213" s="76" t="s">
        <v>321</v>
      </c>
      <c r="N213" s="74"/>
      <c r="O213" s="74"/>
      <c r="P213" s="74"/>
      <c r="U213" s="21" t="s">
        <v>26</v>
      </c>
      <c r="W213" s="139"/>
      <c r="X213" s="62">
        <f>'Additional information'!$D$20</f>
        <v>0.05</v>
      </c>
      <c r="Y213" s="120" t="str">
        <f t="shared" si="15"/>
        <v/>
      </c>
      <c r="Z213" s="120" t="str">
        <f t="shared" si="14"/>
        <v/>
      </c>
    </row>
    <row r="214" spans="1:27" x14ac:dyDescent="0.2">
      <c r="E214" s="42"/>
      <c r="H214" s="43"/>
      <c r="M214" s="86"/>
      <c r="U214" s="21" t="s">
        <v>43</v>
      </c>
      <c r="W214" s="139" t="s">
        <v>43</v>
      </c>
      <c r="X214" s="62">
        <f>'Additional information'!$D$20</f>
        <v>0.05</v>
      </c>
      <c r="Y214" s="120" t="str">
        <f t="shared" si="15"/>
        <v/>
      </c>
      <c r="Z214" s="120" t="str">
        <f t="shared" si="14"/>
        <v/>
      </c>
    </row>
    <row r="215" spans="1:27" ht="48" x14ac:dyDescent="0.2">
      <c r="A215" s="29" t="s">
        <v>139</v>
      </c>
      <c r="B215" s="29" t="s">
        <v>322</v>
      </c>
      <c r="C215" s="35" t="s">
        <v>1313</v>
      </c>
      <c r="D215" s="20" t="s">
        <v>2122</v>
      </c>
      <c r="E215" s="42"/>
      <c r="F215" s="29" t="s">
        <v>1228</v>
      </c>
      <c r="G215" s="29" t="s">
        <v>1724</v>
      </c>
      <c r="H215" s="43"/>
      <c r="I215" s="74" t="s">
        <v>25</v>
      </c>
      <c r="J215" s="74"/>
      <c r="K215" s="74"/>
      <c r="L215" s="74"/>
      <c r="M215" s="76"/>
      <c r="N215" s="74"/>
      <c r="O215" s="74"/>
      <c r="P215" s="74"/>
      <c r="U215" s="21" t="s">
        <v>26</v>
      </c>
      <c r="W215" s="139">
        <v>13.705752372741699</v>
      </c>
      <c r="X215" s="62">
        <f>'Additional information'!$D$20</f>
        <v>0.05</v>
      </c>
      <c r="Y215" s="120">
        <f t="shared" si="15"/>
        <v>0.68528761863708498</v>
      </c>
      <c r="Z215" s="120">
        <f t="shared" si="14"/>
        <v>0.68528761863708498</v>
      </c>
    </row>
    <row r="216" spans="1:27" x14ac:dyDescent="0.2">
      <c r="C216" s="23"/>
      <c r="D216" s="23"/>
      <c r="E216" s="42"/>
      <c r="H216" s="43"/>
      <c r="M216" s="86"/>
      <c r="U216" s="21" t="s">
        <v>43</v>
      </c>
      <c r="W216" s="139" t="s">
        <v>43</v>
      </c>
      <c r="X216" s="62">
        <f>'Additional information'!$D$20</f>
        <v>0.05</v>
      </c>
      <c r="Y216" s="120" t="str">
        <f t="shared" si="15"/>
        <v/>
      </c>
      <c r="Z216" s="120" t="str">
        <f t="shared" si="14"/>
        <v/>
      </c>
    </row>
    <row r="217" spans="1:27" ht="16" thickBot="1" x14ac:dyDescent="0.25">
      <c r="A217" s="56" t="s">
        <v>86</v>
      </c>
      <c r="B217" s="56"/>
      <c r="C217" s="57"/>
      <c r="D217" s="57"/>
      <c r="E217" s="66"/>
      <c r="F217" s="56"/>
      <c r="G217" s="56"/>
      <c r="H217" s="67"/>
      <c r="I217" s="87"/>
      <c r="J217" s="87"/>
      <c r="K217" s="87"/>
      <c r="L217" s="87"/>
      <c r="M217" s="87"/>
      <c r="N217" s="87"/>
      <c r="O217" s="87"/>
      <c r="P217" s="87"/>
      <c r="W217" s="139" t="s">
        <v>43</v>
      </c>
      <c r="Y217" s="120" t="str">
        <f t="shared" si="15"/>
        <v/>
      </c>
      <c r="Z217" s="120" t="str">
        <f t="shared" ref="Z217:Z248" si="16">IF(AND(W217&lt;&gt;"",U217="yes"),W217*X217,"")</f>
        <v/>
      </c>
    </row>
    <row r="218" spans="1:27" s="27" customFormat="1" ht="17" thickTop="1" x14ac:dyDescent="0.2">
      <c r="A218" s="24" t="s">
        <v>44</v>
      </c>
      <c r="B218" s="24" t="s">
        <v>323</v>
      </c>
      <c r="C218" s="48" t="s">
        <v>324</v>
      </c>
      <c r="D218" s="48" t="s">
        <v>1641</v>
      </c>
      <c r="E218" s="25"/>
      <c r="F218" s="24"/>
      <c r="G218" s="24"/>
      <c r="H218" s="26"/>
      <c r="I218" s="79" t="s">
        <v>32</v>
      </c>
      <c r="J218" s="79"/>
      <c r="K218" s="79"/>
      <c r="L218" s="79"/>
      <c r="M218" s="79" t="s">
        <v>89</v>
      </c>
      <c r="N218" s="79"/>
      <c r="O218" s="79"/>
      <c r="P218" s="79"/>
      <c r="U218" s="21" t="s">
        <v>26</v>
      </c>
      <c r="W218" s="139"/>
      <c r="X218" s="28"/>
      <c r="Y218" s="120" t="str">
        <f t="shared" si="15"/>
        <v/>
      </c>
      <c r="Z218" s="120" t="str">
        <f t="shared" si="16"/>
        <v/>
      </c>
      <c r="AA218" s="28"/>
    </row>
    <row r="219" spans="1:27" x14ac:dyDescent="0.2">
      <c r="C219" s="23"/>
      <c r="D219" s="23"/>
      <c r="E219" s="42"/>
      <c r="H219" s="43"/>
      <c r="M219" s="86"/>
      <c r="U219" s="21" t="s">
        <v>43</v>
      </c>
      <c r="W219" s="139" t="s">
        <v>43</v>
      </c>
      <c r="X219" s="62">
        <v>1</v>
      </c>
      <c r="Y219" s="120" t="str">
        <f t="shared" si="15"/>
        <v/>
      </c>
      <c r="Z219" s="120" t="str">
        <f t="shared" si="16"/>
        <v/>
      </c>
    </row>
    <row r="220" spans="1:27" s="27" customFormat="1" ht="48" x14ac:dyDescent="0.2">
      <c r="A220" s="29" t="s">
        <v>30</v>
      </c>
      <c r="B220" s="29" t="s">
        <v>325</v>
      </c>
      <c r="C220" s="20" t="s">
        <v>326</v>
      </c>
      <c r="D220" s="20" t="s">
        <v>1642</v>
      </c>
      <c r="E220" s="25"/>
      <c r="H220" s="26"/>
      <c r="I220" s="79"/>
      <c r="J220" s="79"/>
      <c r="K220" s="79"/>
      <c r="L220" s="79"/>
      <c r="M220" s="79"/>
      <c r="N220" s="79"/>
      <c r="O220" s="79"/>
      <c r="P220" s="79"/>
      <c r="U220" s="21" t="s">
        <v>33</v>
      </c>
      <c r="W220" s="139"/>
      <c r="X220" s="63">
        <v>1</v>
      </c>
      <c r="Y220" s="120" t="str">
        <f t="shared" si="15"/>
        <v/>
      </c>
      <c r="Z220" s="120" t="str">
        <f t="shared" si="16"/>
        <v/>
      </c>
      <c r="AA220" s="28"/>
    </row>
    <row r="221" spans="1:27" x14ac:dyDescent="0.2">
      <c r="C221" s="23"/>
      <c r="D221" s="23"/>
      <c r="E221" s="42"/>
      <c r="H221" s="43"/>
      <c r="M221" s="86"/>
      <c r="W221" s="139" t="s">
        <v>43</v>
      </c>
      <c r="X221" s="62">
        <v>1</v>
      </c>
      <c r="Y221" s="120" t="str">
        <f t="shared" si="15"/>
        <v/>
      </c>
      <c r="Z221" s="120" t="str">
        <f t="shared" si="16"/>
        <v/>
      </c>
    </row>
    <row r="222" spans="1:27" s="27" customFormat="1" ht="16" x14ac:dyDescent="0.2">
      <c r="A222" s="29" t="s">
        <v>44</v>
      </c>
      <c r="B222" s="29" t="s">
        <v>1330</v>
      </c>
      <c r="C222" s="48" t="s">
        <v>327</v>
      </c>
      <c r="D222" s="48" t="s">
        <v>327</v>
      </c>
      <c r="E222" s="25"/>
      <c r="F222" s="24"/>
      <c r="G222" s="24"/>
      <c r="H222" s="26"/>
      <c r="I222" s="79"/>
      <c r="J222" s="79"/>
      <c r="K222" s="79"/>
      <c r="L222" s="79"/>
      <c r="M222" s="79"/>
      <c r="N222" s="79"/>
      <c r="O222" s="79"/>
      <c r="P222" s="79"/>
      <c r="U222" s="21"/>
      <c r="W222" s="139"/>
      <c r="X222" s="63">
        <v>1</v>
      </c>
      <c r="Y222" s="120" t="str">
        <f t="shared" si="15"/>
        <v/>
      </c>
      <c r="Z222" s="120" t="str">
        <f t="shared" si="16"/>
        <v/>
      </c>
      <c r="AA222" s="28"/>
    </row>
    <row r="223" spans="1:27" ht="32" x14ac:dyDescent="0.2">
      <c r="A223" s="29" t="s">
        <v>30</v>
      </c>
      <c r="B223" s="29" t="s">
        <v>1331</v>
      </c>
      <c r="C223" s="20" t="s">
        <v>328</v>
      </c>
      <c r="D223" s="20" t="s">
        <v>1643</v>
      </c>
      <c r="E223" s="42"/>
      <c r="F223" s="29"/>
      <c r="G223" s="29"/>
      <c r="H223" s="43"/>
      <c r="I223" s="74" t="s">
        <v>32</v>
      </c>
      <c r="J223" s="74"/>
      <c r="K223" s="74"/>
      <c r="L223" s="74"/>
      <c r="M223" s="74"/>
      <c r="N223" s="74"/>
      <c r="O223" s="74"/>
      <c r="P223" s="74"/>
      <c r="U223" s="21" t="s">
        <v>26</v>
      </c>
      <c r="W223" s="139">
        <v>12.77690315246582</v>
      </c>
      <c r="X223" s="63">
        <v>1</v>
      </c>
      <c r="Y223" s="120">
        <f t="shared" si="15"/>
        <v>12.77690315246582</v>
      </c>
      <c r="Z223" s="120">
        <f t="shared" si="16"/>
        <v>12.77690315246582</v>
      </c>
    </row>
    <row r="224" spans="1:27" ht="48" x14ac:dyDescent="0.2">
      <c r="A224" s="29" t="s">
        <v>126</v>
      </c>
      <c r="B224" s="29" t="s">
        <v>329</v>
      </c>
      <c r="C224" s="20" t="s">
        <v>330</v>
      </c>
      <c r="D224" s="20" t="s">
        <v>1704</v>
      </c>
      <c r="E224" s="42"/>
      <c r="F224" s="29"/>
      <c r="G224" s="29"/>
      <c r="H224" s="43"/>
      <c r="I224" s="74" t="s">
        <v>25</v>
      </c>
      <c r="J224" s="74"/>
      <c r="K224" s="74"/>
      <c r="L224" s="74"/>
      <c r="M224" s="74"/>
      <c r="N224" s="74"/>
      <c r="O224" s="74"/>
      <c r="P224" s="74"/>
      <c r="U224" s="21" t="s">
        <v>26</v>
      </c>
      <c r="W224" s="139">
        <v>21.398605346679688</v>
      </c>
      <c r="X224" s="63">
        <v>1</v>
      </c>
      <c r="Y224" s="120">
        <f t="shared" si="15"/>
        <v>21.398605346679688</v>
      </c>
      <c r="Z224" s="120">
        <f t="shared" si="16"/>
        <v>21.398605346679688</v>
      </c>
    </row>
    <row r="225" spans="1:27" ht="48" x14ac:dyDescent="0.2">
      <c r="A225" s="29" t="s">
        <v>126</v>
      </c>
      <c r="B225" s="29" t="s">
        <v>331</v>
      </c>
      <c r="C225" s="20" t="s">
        <v>332</v>
      </c>
      <c r="D225" s="20" t="s">
        <v>2088</v>
      </c>
      <c r="E225" s="42"/>
      <c r="F225" s="29"/>
      <c r="G225" s="29"/>
      <c r="H225" s="43"/>
      <c r="I225" s="74" t="s">
        <v>25</v>
      </c>
      <c r="J225" s="74"/>
      <c r="K225" s="74"/>
      <c r="L225" s="74"/>
      <c r="M225" s="74"/>
      <c r="N225" s="74"/>
      <c r="O225" s="74"/>
      <c r="P225" s="74"/>
      <c r="U225" s="21" t="s">
        <v>26</v>
      </c>
      <c r="W225" s="139">
        <v>14.980740547180176</v>
      </c>
      <c r="X225" s="63">
        <v>1</v>
      </c>
      <c r="Y225" s="120">
        <f t="shared" si="15"/>
        <v>14.980740547180176</v>
      </c>
      <c r="Z225" s="120">
        <f t="shared" si="16"/>
        <v>14.980740547180176</v>
      </c>
    </row>
    <row r="226" spans="1:27" ht="48" x14ac:dyDescent="0.2">
      <c r="A226" s="29" t="s">
        <v>126</v>
      </c>
      <c r="B226" s="29" t="s">
        <v>333</v>
      </c>
      <c r="C226" s="20" t="s">
        <v>334</v>
      </c>
      <c r="D226" s="20" t="s">
        <v>2089</v>
      </c>
      <c r="E226" s="42"/>
      <c r="F226" s="29"/>
      <c r="G226" s="29"/>
      <c r="H226" s="43"/>
      <c r="I226" s="74" t="s">
        <v>25</v>
      </c>
      <c r="J226" s="74"/>
      <c r="K226" s="74"/>
      <c r="L226" s="74"/>
      <c r="M226" s="74"/>
      <c r="N226" s="74"/>
      <c r="O226" s="74"/>
      <c r="P226" s="74"/>
      <c r="U226" s="21" t="s">
        <v>26</v>
      </c>
      <c r="W226" s="139">
        <v>13.723021507263184</v>
      </c>
      <c r="X226" s="63">
        <v>1</v>
      </c>
      <c r="Y226" s="120">
        <f t="shared" si="15"/>
        <v>13.723021507263184</v>
      </c>
      <c r="Z226" s="120">
        <f t="shared" si="16"/>
        <v>13.723021507263184</v>
      </c>
    </row>
    <row r="227" spans="1:27" ht="48" x14ac:dyDescent="0.2">
      <c r="A227" s="29" t="s">
        <v>126</v>
      </c>
      <c r="B227" s="29" t="s">
        <v>335</v>
      </c>
      <c r="C227" s="20" t="s">
        <v>336</v>
      </c>
      <c r="D227" s="20" t="s">
        <v>2090</v>
      </c>
      <c r="E227" s="42"/>
      <c r="F227" s="29"/>
      <c r="G227" s="29"/>
      <c r="H227" s="43"/>
      <c r="I227" s="74" t="s">
        <v>25</v>
      </c>
      <c r="J227" s="74"/>
      <c r="K227" s="74"/>
      <c r="L227" s="74"/>
      <c r="M227" s="74"/>
      <c r="N227" s="74"/>
      <c r="O227" s="74"/>
      <c r="P227" s="74"/>
      <c r="U227" s="21" t="s">
        <v>26</v>
      </c>
      <c r="W227" s="139">
        <v>13.062200546264648</v>
      </c>
      <c r="X227" s="63">
        <v>1</v>
      </c>
      <c r="Y227" s="120">
        <f t="shared" si="15"/>
        <v>13.062200546264648</v>
      </c>
      <c r="Z227" s="120">
        <f t="shared" si="16"/>
        <v>13.062200546264648</v>
      </c>
    </row>
    <row r="228" spans="1:27" ht="48" x14ac:dyDescent="0.2">
      <c r="A228" s="29" t="s">
        <v>126</v>
      </c>
      <c r="B228" s="29" t="s">
        <v>337</v>
      </c>
      <c r="C228" s="20" t="s">
        <v>338</v>
      </c>
      <c r="D228" s="20" t="s">
        <v>2091</v>
      </c>
      <c r="E228" s="42"/>
      <c r="F228" s="29"/>
      <c r="G228" s="29"/>
      <c r="H228" s="43"/>
      <c r="I228" s="74" t="s">
        <v>25</v>
      </c>
      <c r="J228" s="74"/>
      <c r="K228" s="74"/>
      <c r="L228" s="74"/>
      <c r="M228" s="74"/>
      <c r="N228" s="74"/>
      <c r="O228" s="74"/>
      <c r="P228" s="74"/>
      <c r="U228" s="21" t="s">
        <v>26</v>
      </c>
      <c r="W228" s="139">
        <v>13.09532356262207</v>
      </c>
      <c r="X228" s="63">
        <v>1</v>
      </c>
      <c r="Y228" s="120">
        <f t="shared" si="15"/>
        <v>13.09532356262207</v>
      </c>
      <c r="Z228" s="120">
        <f t="shared" si="16"/>
        <v>13.09532356262207</v>
      </c>
    </row>
    <row r="229" spans="1:27" ht="48" x14ac:dyDescent="0.2">
      <c r="A229" s="29" t="s">
        <v>126</v>
      </c>
      <c r="B229" s="29" t="s">
        <v>339</v>
      </c>
      <c r="C229" s="20" t="s">
        <v>340</v>
      </c>
      <c r="D229" s="20" t="s">
        <v>2092</v>
      </c>
      <c r="E229" s="42"/>
      <c r="F229" s="29"/>
      <c r="G229" s="29"/>
      <c r="H229" s="43"/>
      <c r="I229" s="74" t="s">
        <v>25</v>
      </c>
      <c r="J229" s="74"/>
      <c r="K229" s="74"/>
      <c r="L229" s="74"/>
      <c r="M229" s="74"/>
      <c r="N229" s="74"/>
      <c r="O229" s="74"/>
      <c r="P229" s="74"/>
      <c r="U229" s="21" t="s">
        <v>26</v>
      </c>
      <c r="W229" s="139">
        <v>16.101019184652277</v>
      </c>
      <c r="X229" s="63">
        <v>1</v>
      </c>
      <c r="Y229" s="120">
        <f t="shared" si="15"/>
        <v>16.101019184652277</v>
      </c>
      <c r="Z229" s="120">
        <f t="shared" si="16"/>
        <v>16.101019184652277</v>
      </c>
    </row>
    <row r="230" spans="1:27" s="30" customFormat="1" ht="16" x14ac:dyDescent="0.2">
      <c r="A230" s="34" t="s">
        <v>341</v>
      </c>
      <c r="B230" s="34" t="s">
        <v>342</v>
      </c>
      <c r="C230" s="35" t="s">
        <v>343</v>
      </c>
      <c r="D230" s="20" t="s">
        <v>1644</v>
      </c>
      <c r="E230" s="53"/>
      <c r="F230" s="34"/>
      <c r="G230" s="34"/>
      <c r="H230" s="55"/>
      <c r="I230" s="76" t="s">
        <v>25</v>
      </c>
      <c r="J230" s="76"/>
      <c r="K230" s="76"/>
      <c r="L230" s="76"/>
      <c r="M230" s="76" t="s">
        <v>344</v>
      </c>
      <c r="N230" s="76"/>
      <c r="O230" s="76"/>
      <c r="P230" s="76"/>
      <c r="U230" s="30" t="s">
        <v>26</v>
      </c>
      <c r="W230" s="139">
        <v>11.765043258666992</v>
      </c>
      <c r="X230" s="63">
        <v>1</v>
      </c>
      <c r="Y230" s="120">
        <f t="shared" si="15"/>
        <v>11.765043258666992</v>
      </c>
      <c r="Z230" s="120">
        <f t="shared" si="16"/>
        <v>11.765043258666992</v>
      </c>
    </row>
    <row r="231" spans="1:27" s="30" customFormat="1" ht="48" x14ac:dyDescent="0.2">
      <c r="A231" s="34" t="s">
        <v>126</v>
      </c>
      <c r="B231" s="34" t="s">
        <v>345</v>
      </c>
      <c r="C231" s="35" t="s">
        <v>346</v>
      </c>
      <c r="D231" s="20" t="s">
        <v>2093</v>
      </c>
      <c r="E231" s="53"/>
      <c r="F231" s="34"/>
      <c r="G231" s="34"/>
      <c r="H231" s="55"/>
      <c r="I231" s="76" t="s">
        <v>25</v>
      </c>
      <c r="J231" s="76"/>
      <c r="K231" s="76"/>
      <c r="L231" s="76"/>
      <c r="M231" s="76"/>
      <c r="N231" s="76"/>
      <c r="O231" s="76"/>
      <c r="P231" s="76"/>
      <c r="U231" s="30" t="s">
        <v>26</v>
      </c>
      <c r="W231" s="139">
        <v>12.432478904724121</v>
      </c>
      <c r="X231" s="63">
        <v>1</v>
      </c>
      <c r="Y231" s="120">
        <f t="shared" si="15"/>
        <v>12.432478904724121</v>
      </c>
      <c r="Z231" s="120">
        <f t="shared" si="16"/>
        <v>12.432478904724121</v>
      </c>
    </row>
    <row r="232" spans="1:27" s="30" customFormat="1" ht="16" x14ac:dyDescent="0.2">
      <c r="A232" s="34" t="s">
        <v>341</v>
      </c>
      <c r="B232" s="34" t="s">
        <v>347</v>
      </c>
      <c r="C232" s="35" t="s">
        <v>343</v>
      </c>
      <c r="D232" s="20" t="s">
        <v>1644</v>
      </c>
      <c r="E232" s="53"/>
      <c r="F232" s="34"/>
      <c r="G232" s="34"/>
      <c r="H232" s="55"/>
      <c r="I232" s="76" t="s">
        <v>25</v>
      </c>
      <c r="J232" s="76"/>
      <c r="K232" s="76"/>
      <c r="L232" s="76"/>
      <c r="M232" s="76" t="s">
        <v>348</v>
      </c>
      <c r="N232" s="76"/>
      <c r="O232" s="76"/>
      <c r="P232" s="76"/>
      <c r="U232" s="30" t="s">
        <v>26</v>
      </c>
      <c r="W232" s="139">
        <v>8.9801836013793945</v>
      </c>
      <c r="X232" s="63">
        <v>1</v>
      </c>
      <c r="Y232" s="120">
        <f t="shared" si="15"/>
        <v>8.9801836013793945</v>
      </c>
      <c r="Z232" s="120">
        <f t="shared" si="16"/>
        <v>8.9801836013793945</v>
      </c>
    </row>
    <row r="233" spans="1:27" s="30" customFormat="1" ht="48" x14ac:dyDescent="0.2">
      <c r="A233" s="34" t="s">
        <v>126</v>
      </c>
      <c r="B233" s="34" t="s">
        <v>349</v>
      </c>
      <c r="C233" s="35" t="s">
        <v>350</v>
      </c>
      <c r="D233" s="20" t="s">
        <v>2087</v>
      </c>
      <c r="E233" s="53"/>
      <c r="F233" s="34"/>
      <c r="G233" s="34"/>
      <c r="H233" s="55"/>
      <c r="I233" s="76" t="s">
        <v>25</v>
      </c>
      <c r="J233" s="76"/>
      <c r="K233" s="76"/>
      <c r="L233" s="76"/>
      <c r="M233" s="76"/>
      <c r="N233" s="76"/>
      <c r="O233" s="76"/>
      <c r="P233" s="76"/>
      <c r="U233" s="30" t="s">
        <v>26</v>
      </c>
      <c r="W233" s="139">
        <v>11.089328765869141</v>
      </c>
      <c r="X233" s="63">
        <v>1</v>
      </c>
      <c r="Y233" s="120">
        <f t="shared" si="15"/>
        <v>11.089328765869141</v>
      </c>
      <c r="Z233" s="120">
        <f t="shared" si="16"/>
        <v>11.089328765869141</v>
      </c>
    </row>
    <row r="234" spans="1:27" s="30" customFormat="1" ht="16" x14ac:dyDescent="0.2">
      <c r="A234" s="34" t="s">
        <v>341</v>
      </c>
      <c r="B234" s="34" t="s">
        <v>351</v>
      </c>
      <c r="C234" s="35" t="s">
        <v>343</v>
      </c>
      <c r="D234" s="20" t="s">
        <v>1644</v>
      </c>
      <c r="E234" s="53"/>
      <c r="F234" s="34"/>
      <c r="G234" s="34"/>
      <c r="H234" s="55"/>
      <c r="I234" s="76" t="s">
        <v>25</v>
      </c>
      <c r="J234" s="76"/>
      <c r="K234" s="76"/>
      <c r="L234" s="76"/>
      <c r="M234" s="76" t="s">
        <v>352</v>
      </c>
      <c r="N234" s="76"/>
      <c r="O234" s="76"/>
      <c r="P234" s="76"/>
      <c r="U234" s="30" t="s">
        <v>26</v>
      </c>
      <c r="W234" s="139">
        <v>8.0683355331420898</v>
      </c>
      <c r="X234" s="63">
        <v>1</v>
      </c>
      <c r="Y234" s="120">
        <f t="shared" si="15"/>
        <v>8.0683355331420898</v>
      </c>
      <c r="Z234" s="120">
        <f t="shared" si="16"/>
        <v>8.0683355331420898</v>
      </c>
    </row>
    <row r="235" spans="1:27" x14ac:dyDescent="0.2">
      <c r="A235" s="34" t="s">
        <v>86</v>
      </c>
      <c r="B235" s="34"/>
      <c r="C235" s="20"/>
      <c r="D235" s="20"/>
      <c r="E235" s="42"/>
      <c r="F235" s="29"/>
      <c r="G235" s="29"/>
      <c r="H235" s="43"/>
      <c r="I235" s="74"/>
      <c r="J235" s="74"/>
      <c r="K235" s="74"/>
      <c r="L235" s="74"/>
      <c r="M235" s="74"/>
      <c r="N235" s="74"/>
      <c r="O235" s="74"/>
      <c r="P235" s="74"/>
      <c r="U235" s="21" t="s">
        <v>43</v>
      </c>
      <c r="W235" s="139" t="s">
        <v>43</v>
      </c>
      <c r="X235" s="63">
        <v>1</v>
      </c>
      <c r="Y235" s="120" t="str">
        <f t="shared" si="15"/>
        <v/>
      </c>
      <c r="Z235" s="120" t="str">
        <f t="shared" si="16"/>
        <v/>
      </c>
    </row>
    <row r="236" spans="1:27" x14ac:dyDescent="0.2">
      <c r="A236" s="30"/>
      <c r="B236" s="30"/>
      <c r="E236" s="42"/>
      <c r="H236" s="43"/>
      <c r="U236" s="21" t="s">
        <v>43</v>
      </c>
      <c r="W236" s="139" t="s">
        <v>43</v>
      </c>
      <c r="X236" s="63">
        <v>1</v>
      </c>
      <c r="Y236" s="120" t="str">
        <f t="shared" si="15"/>
        <v/>
      </c>
      <c r="Z236" s="120" t="str">
        <f t="shared" si="16"/>
        <v/>
      </c>
    </row>
    <row r="237" spans="1:27" s="31" customFormat="1" ht="16" x14ac:dyDescent="0.2">
      <c r="A237" s="31" t="s">
        <v>44</v>
      </c>
      <c r="B237" s="31" t="s">
        <v>1329</v>
      </c>
      <c r="C237" s="115" t="s">
        <v>353</v>
      </c>
      <c r="D237" s="115" t="s">
        <v>353</v>
      </c>
      <c r="E237" s="33"/>
      <c r="H237" s="37"/>
      <c r="I237" s="75"/>
      <c r="J237" s="75" t="s">
        <v>1314</v>
      </c>
      <c r="K237" s="75"/>
      <c r="L237" s="75"/>
      <c r="M237" s="75"/>
      <c r="N237" s="75"/>
      <c r="O237" s="75"/>
      <c r="P237" s="75"/>
      <c r="W237" s="143"/>
      <c r="X237" s="116">
        <v>1</v>
      </c>
      <c r="Y237" s="124" t="str">
        <f t="shared" si="15"/>
        <v/>
      </c>
      <c r="Z237" s="124" t="str">
        <f t="shared" si="16"/>
        <v/>
      </c>
    </row>
    <row r="238" spans="1:27" s="31" customFormat="1" ht="64" x14ac:dyDescent="0.2">
      <c r="A238" s="31" t="s">
        <v>30</v>
      </c>
      <c r="B238" s="31" t="s">
        <v>1332</v>
      </c>
      <c r="C238" s="32" t="s">
        <v>1436</v>
      </c>
      <c r="D238" s="32" t="s">
        <v>2111</v>
      </c>
      <c r="E238" s="33"/>
      <c r="H238" s="37"/>
      <c r="I238" s="75"/>
      <c r="J238" s="75"/>
      <c r="K238" s="75"/>
      <c r="L238" s="75"/>
      <c r="M238" s="75"/>
      <c r="N238" s="75"/>
      <c r="O238" s="75"/>
      <c r="P238" s="75"/>
      <c r="U238" s="31" t="s">
        <v>33</v>
      </c>
      <c r="W238" s="143">
        <v>5.7112536430358887</v>
      </c>
      <c r="X238" s="116">
        <v>1</v>
      </c>
      <c r="Y238" s="124">
        <f t="shared" si="15"/>
        <v>5.7112536430358887</v>
      </c>
      <c r="Z238" s="124" t="str">
        <f t="shared" si="16"/>
        <v/>
      </c>
    </row>
    <row r="239" spans="1:27" s="117" customFormat="1" ht="16" x14ac:dyDescent="0.2">
      <c r="A239" s="31" t="s">
        <v>354</v>
      </c>
      <c r="B239" s="31" t="s">
        <v>355</v>
      </c>
      <c r="C239" s="32" t="s">
        <v>356</v>
      </c>
      <c r="D239" s="32" t="s">
        <v>2112</v>
      </c>
      <c r="E239" s="64"/>
      <c r="H239" s="65"/>
      <c r="I239" s="75" t="s">
        <v>25</v>
      </c>
      <c r="J239" s="75" t="s">
        <v>76</v>
      </c>
      <c r="K239" s="118"/>
      <c r="L239" s="118"/>
      <c r="M239" s="118"/>
      <c r="N239" s="118"/>
      <c r="O239" s="118"/>
      <c r="P239" s="118"/>
      <c r="U239" s="31" t="s">
        <v>33</v>
      </c>
      <c r="W239" s="139">
        <v>19.851530075073242</v>
      </c>
      <c r="X239" s="63">
        <v>1</v>
      </c>
      <c r="Y239" s="120">
        <f t="shared" si="15"/>
        <v>19.851530075073242</v>
      </c>
      <c r="Z239" s="120" t="str">
        <f t="shared" si="16"/>
        <v/>
      </c>
      <c r="AA239" s="30"/>
    </row>
    <row r="240" spans="1:27" s="117" customFormat="1" ht="16" x14ac:dyDescent="0.2">
      <c r="A240" s="31" t="s">
        <v>354</v>
      </c>
      <c r="B240" s="31" t="s">
        <v>357</v>
      </c>
      <c r="C240" s="32" t="s">
        <v>358</v>
      </c>
      <c r="D240" s="32" t="s">
        <v>1645</v>
      </c>
      <c r="E240" s="64"/>
      <c r="H240" s="65"/>
      <c r="I240" s="75" t="s">
        <v>25</v>
      </c>
      <c r="J240" s="75" t="s">
        <v>76</v>
      </c>
      <c r="K240" s="118"/>
      <c r="L240" s="118"/>
      <c r="M240" s="118"/>
      <c r="N240" s="118"/>
      <c r="O240" s="118"/>
      <c r="P240" s="118"/>
      <c r="U240" s="31" t="s">
        <v>33</v>
      </c>
      <c r="W240" s="139">
        <v>15.436671257019043</v>
      </c>
      <c r="X240" s="63">
        <v>1</v>
      </c>
      <c r="Y240" s="120">
        <f t="shared" si="15"/>
        <v>15.436671257019043</v>
      </c>
      <c r="Z240" s="120" t="str">
        <f t="shared" si="16"/>
        <v/>
      </c>
      <c r="AA240" s="30"/>
    </row>
    <row r="241" spans="1:27" s="117" customFormat="1" ht="16" x14ac:dyDescent="0.2">
      <c r="A241" s="31" t="s">
        <v>354</v>
      </c>
      <c r="B241" s="31" t="s">
        <v>359</v>
      </c>
      <c r="C241" s="32" t="s">
        <v>360</v>
      </c>
      <c r="D241" s="32" t="s">
        <v>1647</v>
      </c>
      <c r="E241" s="64"/>
      <c r="H241" s="65"/>
      <c r="I241" s="75" t="s">
        <v>25</v>
      </c>
      <c r="J241" s="75" t="s">
        <v>76</v>
      </c>
      <c r="K241" s="118"/>
      <c r="L241" s="118"/>
      <c r="M241" s="118"/>
      <c r="N241" s="118"/>
      <c r="O241" s="118"/>
      <c r="P241" s="118"/>
      <c r="U241" s="31" t="s">
        <v>33</v>
      </c>
      <c r="W241" s="139">
        <v>13.399938583374023</v>
      </c>
      <c r="X241" s="63">
        <v>1</v>
      </c>
      <c r="Y241" s="120">
        <f t="shared" si="15"/>
        <v>13.399938583374023</v>
      </c>
      <c r="Z241" s="120" t="str">
        <f t="shared" si="16"/>
        <v/>
      </c>
      <c r="AA241" s="30"/>
    </row>
    <row r="242" spans="1:27" s="117" customFormat="1" ht="16" x14ac:dyDescent="0.2">
      <c r="A242" s="31" t="s">
        <v>354</v>
      </c>
      <c r="B242" s="31" t="s">
        <v>361</v>
      </c>
      <c r="C242" s="32" t="s">
        <v>362</v>
      </c>
      <c r="D242" s="32" t="s">
        <v>1705</v>
      </c>
      <c r="E242" s="64"/>
      <c r="H242" s="65"/>
      <c r="I242" s="75" t="s">
        <v>25</v>
      </c>
      <c r="J242" s="75" t="s">
        <v>76</v>
      </c>
      <c r="K242" s="118"/>
      <c r="L242" s="118"/>
      <c r="M242" s="118"/>
      <c r="N242" s="118"/>
      <c r="O242" s="118"/>
      <c r="P242" s="118"/>
      <c r="U242" s="31" t="s">
        <v>33</v>
      </c>
      <c r="W242" s="139">
        <v>14.625933647155762</v>
      </c>
      <c r="X242" s="63">
        <v>1</v>
      </c>
      <c r="Y242" s="120">
        <f t="shared" si="15"/>
        <v>14.625933647155762</v>
      </c>
      <c r="Z242" s="120" t="str">
        <f t="shared" si="16"/>
        <v/>
      </c>
      <c r="AA242" s="30"/>
    </row>
    <row r="243" spans="1:27" s="117" customFormat="1" ht="16" x14ac:dyDescent="0.2">
      <c r="A243" s="31" t="s">
        <v>354</v>
      </c>
      <c r="B243" s="31" t="s">
        <v>363</v>
      </c>
      <c r="C243" s="32" t="s">
        <v>364</v>
      </c>
      <c r="D243" s="32" t="s">
        <v>1646</v>
      </c>
      <c r="E243" s="64"/>
      <c r="H243" s="65"/>
      <c r="I243" s="75" t="s">
        <v>25</v>
      </c>
      <c r="J243" s="75" t="s">
        <v>76</v>
      </c>
      <c r="K243" s="118"/>
      <c r="L243" s="118"/>
      <c r="M243" s="118"/>
      <c r="N243" s="118"/>
      <c r="O243" s="118"/>
      <c r="P243" s="118"/>
      <c r="U243" s="31" t="s">
        <v>33</v>
      </c>
      <c r="W243" s="139">
        <v>11.787801742553711</v>
      </c>
      <c r="X243" s="63">
        <v>1</v>
      </c>
      <c r="Y243" s="120">
        <f t="shared" si="15"/>
        <v>11.787801742553711</v>
      </c>
      <c r="Z243" s="120" t="str">
        <f t="shared" si="16"/>
        <v/>
      </c>
      <c r="AA243" s="30"/>
    </row>
    <row r="244" spans="1:27" s="117" customFormat="1" ht="16" x14ac:dyDescent="0.2">
      <c r="A244" s="31" t="s">
        <v>354</v>
      </c>
      <c r="B244" s="31" t="s">
        <v>365</v>
      </c>
      <c r="C244" s="32" t="s">
        <v>366</v>
      </c>
      <c r="D244" s="32" t="s">
        <v>1648</v>
      </c>
      <c r="E244" s="64"/>
      <c r="H244" s="65"/>
      <c r="I244" s="75" t="s">
        <v>25</v>
      </c>
      <c r="J244" s="75" t="s">
        <v>76</v>
      </c>
      <c r="K244" s="118"/>
      <c r="L244" s="118"/>
      <c r="M244" s="118"/>
      <c r="N244" s="118"/>
      <c r="O244" s="118"/>
      <c r="P244" s="118"/>
      <c r="U244" s="31" t="s">
        <v>33</v>
      </c>
      <c r="W244" s="139">
        <v>12.408086776733398</v>
      </c>
      <c r="X244" s="63">
        <v>1</v>
      </c>
      <c r="Y244" s="120">
        <f t="shared" si="15"/>
        <v>12.408086776733398</v>
      </c>
      <c r="Z244" s="120" t="str">
        <f t="shared" si="16"/>
        <v/>
      </c>
      <c r="AA244" s="30"/>
    </row>
    <row r="245" spans="1:27" s="117" customFormat="1" ht="16" x14ac:dyDescent="0.2">
      <c r="A245" s="31" t="s">
        <v>354</v>
      </c>
      <c r="B245" s="31" t="s">
        <v>367</v>
      </c>
      <c r="C245" s="32" t="s">
        <v>368</v>
      </c>
      <c r="D245" s="32" t="s">
        <v>1649</v>
      </c>
      <c r="E245" s="64"/>
      <c r="H245" s="65"/>
      <c r="I245" s="75" t="s">
        <v>25</v>
      </c>
      <c r="J245" s="75" t="s">
        <v>76</v>
      </c>
      <c r="K245" s="118"/>
      <c r="L245" s="118"/>
      <c r="M245" s="118"/>
      <c r="N245" s="118"/>
      <c r="O245" s="118"/>
      <c r="P245" s="118"/>
      <c r="U245" s="31" t="s">
        <v>33</v>
      </c>
      <c r="W245" s="139">
        <v>9.2894678115844727</v>
      </c>
      <c r="X245" s="63">
        <v>1</v>
      </c>
      <c r="Y245" s="120">
        <f t="shared" si="15"/>
        <v>9.2894678115844727</v>
      </c>
      <c r="Z245" s="120" t="str">
        <f t="shared" si="16"/>
        <v/>
      </c>
      <c r="AA245" s="30"/>
    </row>
    <row r="246" spans="1:27" s="117" customFormat="1" ht="16" x14ac:dyDescent="0.2">
      <c r="A246" s="31" t="s">
        <v>354</v>
      </c>
      <c r="B246" s="31" t="s">
        <v>369</v>
      </c>
      <c r="C246" s="32" t="s">
        <v>1315</v>
      </c>
      <c r="D246" s="32" t="s">
        <v>1650</v>
      </c>
      <c r="E246" s="64"/>
      <c r="H246" s="65"/>
      <c r="I246" s="75" t="s">
        <v>25</v>
      </c>
      <c r="J246" s="75" t="s">
        <v>76</v>
      </c>
      <c r="K246" s="118"/>
      <c r="L246" s="118"/>
      <c r="M246" s="118"/>
      <c r="N246" s="118"/>
      <c r="O246" s="118"/>
      <c r="P246" s="118"/>
      <c r="U246" s="31" t="s">
        <v>33</v>
      </c>
      <c r="W246" s="139">
        <v>12</v>
      </c>
      <c r="X246" s="63">
        <v>1</v>
      </c>
      <c r="Y246" s="120">
        <f t="shared" si="15"/>
        <v>12</v>
      </c>
      <c r="Z246" s="120" t="str">
        <f t="shared" si="16"/>
        <v/>
      </c>
      <c r="AA246" s="30"/>
    </row>
    <row r="247" spans="1:27" s="117" customFormat="1" ht="32" x14ac:dyDescent="0.2">
      <c r="A247" s="31" t="s">
        <v>354</v>
      </c>
      <c r="B247" s="31" t="s">
        <v>370</v>
      </c>
      <c r="C247" s="32" t="s">
        <v>371</v>
      </c>
      <c r="D247" s="32" t="s">
        <v>1706</v>
      </c>
      <c r="E247" s="64"/>
      <c r="H247" s="65"/>
      <c r="I247" s="75" t="s">
        <v>25</v>
      </c>
      <c r="J247" s="75" t="s">
        <v>76</v>
      </c>
      <c r="K247" s="118"/>
      <c r="L247" s="118"/>
      <c r="M247" s="118"/>
      <c r="N247" s="118"/>
      <c r="O247" s="118"/>
      <c r="P247" s="118"/>
      <c r="U247" s="31" t="s">
        <v>33</v>
      </c>
      <c r="W247" s="139">
        <v>14.410958904109588</v>
      </c>
      <c r="X247" s="63">
        <v>1</v>
      </c>
      <c r="Y247" s="120">
        <f t="shared" si="15"/>
        <v>14.410958904109588</v>
      </c>
      <c r="Z247" s="120" t="str">
        <f t="shared" si="16"/>
        <v/>
      </c>
      <c r="AA247" s="30"/>
    </row>
    <row r="248" spans="1:27" s="117" customFormat="1" ht="16" x14ac:dyDescent="0.2">
      <c r="A248" s="31" t="s">
        <v>354</v>
      </c>
      <c r="B248" s="31" t="s">
        <v>372</v>
      </c>
      <c r="C248" s="32" t="s">
        <v>373</v>
      </c>
      <c r="D248" s="32" t="s">
        <v>1651</v>
      </c>
      <c r="E248" s="64"/>
      <c r="H248" s="65"/>
      <c r="I248" s="75" t="s">
        <v>25</v>
      </c>
      <c r="J248" s="75" t="s">
        <v>76</v>
      </c>
      <c r="K248" s="118"/>
      <c r="L248" s="118"/>
      <c r="M248" s="118"/>
      <c r="N248" s="118"/>
      <c r="O248" s="118"/>
      <c r="P248" s="118"/>
      <c r="U248" s="31" t="s">
        <v>33</v>
      </c>
      <c r="W248" s="139">
        <v>15.408385276794434</v>
      </c>
      <c r="X248" s="63">
        <v>1</v>
      </c>
      <c r="Y248" s="120">
        <f t="shared" si="15"/>
        <v>15.408385276794434</v>
      </c>
      <c r="Z248" s="120" t="str">
        <f t="shared" si="16"/>
        <v/>
      </c>
      <c r="AA248" s="30"/>
    </row>
    <row r="249" spans="1:27" s="117" customFormat="1" ht="16" x14ac:dyDescent="0.2">
      <c r="A249" s="31" t="s">
        <v>354</v>
      </c>
      <c r="B249" s="31" t="s">
        <v>374</v>
      </c>
      <c r="C249" s="32" t="s">
        <v>375</v>
      </c>
      <c r="D249" s="32" t="s">
        <v>1707</v>
      </c>
      <c r="E249" s="64"/>
      <c r="H249" s="65"/>
      <c r="I249" s="75" t="s">
        <v>25</v>
      </c>
      <c r="J249" s="75" t="s">
        <v>76</v>
      </c>
      <c r="K249" s="118"/>
      <c r="L249" s="118"/>
      <c r="M249" s="118"/>
      <c r="N249" s="118"/>
      <c r="O249" s="118"/>
      <c r="P249" s="118"/>
      <c r="U249" s="31" t="s">
        <v>33</v>
      </c>
      <c r="W249" s="139">
        <v>15.543986320495605</v>
      </c>
      <c r="X249" s="63">
        <v>1</v>
      </c>
      <c r="Y249" s="120">
        <f t="shared" si="15"/>
        <v>15.543986320495605</v>
      </c>
      <c r="Z249" s="120" t="str">
        <f t="shared" ref="Z249:Z280" si="17">IF(AND(W249&lt;&gt;"",U249="yes"),W249*X249,"")</f>
        <v/>
      </c>
      <c r="AA249" s="30"/>
    </row>
    <row r="250" spans="1:27" s="117" customFormat="1" ht="16" x14ac:dyDescent="0.2">
      <c r="A250" s="31" t="s">
        <v>354</v>
      </c>
      <c r="B250" s="31" t="s">
        <v>376</v>
      </c>
      <c r="C250" s="32" t="s">
        <v>1437</v>
      </c>
      <c r="D250" s="32" t="s">
        <v>1652</v>
      </c>
      <c r="E250" s="64"/>
      <c r="H250" s="65"/>
      <c r="I250" s="75" t="s">
        <v>25</v>
      </c>
      <c r="J250" s="75" t="s">
        <v>76</v>
      </c>
      <c r="K250" s="118"/>
      <c r="L250" s="118"/>
      <c r="M250" s="118"/>
      <c r="N250" s="118"/>
      <c r="O250" s="118"/>
      <c r="P250" s="118"/>
      <c r="U250" s="31" t="s">
        <v>33</v>
      </c>
      <c r="W250" s="139">
        <v>12</v>
      </c>
      <c r="X250" s="63">
        <v>1</v>
      </c>
      <c r="Y250" s="120">
        <f t="shared" si="15"/>
        <v>12</v>
      </c>
      <c r="Z250" s="120" t="str">
        <f t="shared" si="17"/>
        <v/>
      </c>
      <c r="AA250" s="30"/>
    </row>
    <row r="251" spans="1:27" s="117" customFormat="1" ht="32" x14ac:dyDescent="0.2">
      <c r="A251" s="31" t="s">
        <v>354</v>
      </c>
      <c r="B251" s="31" t="s">
        <v>1316</v>
      </c>
      <c r="C251" s="32" t="s">
        <v>377</v>
      </c>
      <c r="D251" s="32" t="s">
        <v>1653</v>
      </c>
      <c r="E251" s="64"/>
      <c r="H251" s="65"/>
      <c r="I251" s="75" t="s">
        <v>25</v>
      </c>
      <c r="J251" s="75" t="s">
        <v>76</v>
      </c>
      <c r="K251" s="118"/>
      <c r="L251" s="118"/>
      <c r="M251" s="118"/>
      <c r="N251" s="118"/>
      <c r="O251" s="118"/>
      <c r="P251" s="118"/>
      <c r="U251" s="31" t="s">
        <v>33</v>
      </c>
      <c r="W251" s="139">
        <v>12.996181488037109</v>
      </c>
      <c r="X251" s="63">
        <v>1</v>
      </c>
      <c r="Y251" s="120">
        <f t="shared" si="15"/>
        <v>12.996181488037109</v>
      </c>
      <c r="Z251" s="120" t="str">
        <f t="shared" si="17"/>
        <v/>
      </c>
      <c r="AA251" s="30"/>
    </row>
    <row r="252" spans="1:27" s="117" customFormat="1" ht="32" x14ac:dyDescent="0.2">
      <c r="A252" s="31" t="s">
        <v>354</v>
      </c>
      <c r="B252" s="31" t="s">
        <v>1317</v>
      </c>
      <c r="C252" s="32" t="s">
        <v>378</v>
      </c>
      <c r="D252" s="32" t="s">
        <v>1708</v>
      </c>
      <c r="E252" s="64"/>
      <c r="H252" s="65"/>
      <c r="I252" s="75" t="s">
        <v>25</v>
      </c>
      <c r="J252" s="75" t="s">
        <v>76</v>
      </c>
      <c r="K252" s="118"/>
      <c r="L252" s="118"/>
      <c r="M252" s="118"/>
      <c r="N252" s="118"/>
      <c r="O252" s="118"/>
      <c r="P252" s="118"/>
      <c r="U252" s="31" t="s">
        <v>33</v>
      </c>
      <c r="W252" s="139">
        <v>14.752389907836914</v>
      </c>
      <c r="X252" s="63">
        <v>1</v>
      </c>
      <c r="Y252" s="120">
        <f t="shared" si="15"/>
        <v>14.752389907836914</v>
      </c>
      <c r="Z252" s="120" t="str">
        <f t="shared" si="17"/>
        <v/>
      </c>
      <c r="AA252" s="30"/>
    </row>
    <row r="253" spans="1:27" s="117" customFormat="1" ht="16" x14ac:dyDescent="0.2">
      <c r="A253" s="31" t="s">
        <v>354</v>
      </c>
      <c r="B253" s="31" t="s">
        <v>379</v>
      </c>
      <c r="C253" s="32" t="s">
        <v>1318</v>
      </c>
      <c r="D253" s="32" t="s">
        <v>1654</v>
      </c>
      <c r="E253" s="64"/>
      <c r="H253" s="65"/>
      <c r="I253" s="75" t="s">
        <v>25</v>
      </c>
      <c r="J253" s="75" t="s">
        <v>76</v>
      </c>
      <c r="K253" s="118"/>
      <c r="L253" s="118"/>
      <c r="M253" s="118"/>
      <c r="N253" s="118"/>
      <c r="O253" s="118"/>
      <c r="P253" s="118"/>
      <c r="U253" s="31" t="s">
        <v>33</v>
      </c>
      <c r="W253" s="139">
        <v>10.668112754821777</v>
      </c>
      <c r="X253" s="63">
        <v>1</v>
      </c>
      <c r="Y253" s="120">
        <f t="shared" si="15"/>
        <v>10.668112754821777</v>
      </c>
      <c r="Z253" s="120" t="str">
        <f t="shared" si="17"/>
        <v/>
      </c>
      <c r="AA253" s="30"/>
    </row>
    <row r="254" spans="1:27" s="117" customFormat="1" ht="16" x14ac:dyDescent="0.2">
      <c r="A254" s="31" t="s">
        <v>354</v>
      </c>
      <c r="B254" s="31" t="s">
        <v>380</v>
      </c>
      <c r="C254" s="32" t="s">
        <v>381</v>
      </c>
      <c r="D254" s="32" t="s">
        <v>1655</v>
      </c>
      <c r="E254" s="64"/>
      <c r="H254" s="65"/>
      <c r="I254" s="75" t="s">
        <v>25</v>
      </c>
      <c r="J254" s="75" t="s">
        <v>76</v>
      </c>
      <c r="K254" s="118"/>
      <c r="L254" s="118"/>
      <c r="M254" s="118"/>
      <c r="N254" s="118"/>
      <c r="O254" s="118"/>
      <c r="P254" s="118"/>
      <c r="U254" s="31" t="s">
        <v>33</v>
      </c>
      <c r="W254" s="139">
        <v>9.716710090637207</v>
      </c>
      <c r="X254" s="63">
        <v>1</v>
      </c>
      <c r="Y254" s="120">
        <f t="shared" si="15"/>
        <v>9.716710090637207</v>
      </c>
      <c r="Z254" s="120" t="str">
        <f t="shared" si="17"/>
        <v/>
      </c>
      <c r="AA254" s="30"/>
    </row>
    <row r="255" spans="1:27" s="117" customFormat="1" ht="16" x14ac:dyDescent="0.2">
      <c r="A255" s="31" t="s">
        <v>354</v>
      </c>
      <c r="B255" s="31" t="s">
        <v>382</v>
      </c>
      <c r="C255" s="32" t="s">
        <v>383</v>
      </c>
      <c r="D255" s="32" t="s">
        <v>1709</v>
      </c>
      <c r="E255" s="64"/>
      <c r="H255" s="65"/>
      <c r="I255" s="75" t="s">
        <v>25</v>
      </c>
      <c r="J255" s="75" t="s">
        <v>76</v>
      </c>
      <c r="K255" s="118"/>
      <c r="L255" s="118"/>
      <c r="M255" s="118"/>
      <c r="N255" s="118"/>
      <c r="O255" s="118"/>
      <c r="P255" s="118"/>
      <c r="U255" s="31" t="s">
        <v>33</v>
      </c>
      <c r="W255" s="139">
        <v>10.953365325927734</v>
      </c>
      <c r="X255" s="63">
        <v>1</v>
      </c>
      <c r="Y255" s="120">
        <f t="shared" si="15"/>
        <v>10.953365325927734</v>
      </c>
      <c r="Z255" s="120" t="str">
        <f t="shared" si="17"/>
        <v/>
      </c>
      <c r="AA255" s="30"/>
    </row>
    <row r="256" spans="1:27" s="117" customFormat="1" ht="16" x14ac:dyDescent="0.2">
      <c r="A256" s="31" t="s">
        <v>354</v>
      </c>
      <c r="B256" s="31" t="s">
        <v>384</v>
      </c>
      <c r="C256" s="32" t="s">
        <v>1319</v>
      </c>
      <c r="D256" s="32" t="s">
        <v>1656</v>
      </c>
      <c r="E256" s="64"/>
      <c r="H256" s="65"/>
      <c r="I256" s="75" t="s">
        <v>25</v>
      </c>
      <c r="J256" s="75" t="s">
        <v>76</v>
      </c>
      <c r="K256" s="118"/>
      <c r="L256" s="118"/>
      <c r="M256" s="118"/>
      <c r="N256" s="118"/>
      <c r="O256" s="118"/>
      <c r="P256" s="118"/>
      <c r="U256" s="31" t="s">
        <v>33</v>
      </c>
      <c r="W256" s="139">
        <v>10.114131927490234</v>
      </c>
      <c r="X256" s="63">
        <v>1</v>
      </c>
      <c r="Y256" s="120">
        <f t="shared" si="15"/>
        <v>10.114131927490234</v>
      </c>
      <c r="Z256" s="120" t="str">
        <f t="shared" si="17"/>
        <v/>
      </c>
      <c r="AA256" s="30"/>
    </row>
    <row r="257" spans="1:27" s="117" customFormat="1" ht="16" x14ac:dyDescent="0.2">
      <c r="A257" s="31" t="s">
        <v>354</v>
      </c>
      <c r="B257" s="31" t="s">
        <v>385</v>
      </c>
      <c r="C257" s="32" t="s">
        <v>386</v>
      </c>
      <c r="D257" s="32" t="s">
        <v>1657</v>
      </c>
      <c r="E257" s="64"/>
      <c r="H257" s="65"/>
      <c r="I257" s="75" t="s">
        <v>25</v>
      </c>
      <c r="J257" s="75" t="s">
        <v>76</v>
      </c>
      <c r="K257" s="118"/>
      <c r="L257" s="118"/>
      <c r="M257" s="118"/>
      <c r="N257" s="118"/>
      <c r="O257" s="118"/>
      <c r="P257" s="118"/>
      <c r="U257" s="31" t="s">
        <v>33</v>
      </c>
      <c r="W257" s="139">
        <v>10.867705345153809</v>
      </c>
      <c r="X257" s="63">
        <v>1</v>
      </c>
      <c r="Y257" s="120">
        <f t="shared" si="15"/>
        <v>10.867705345153809</v>
      </c>
      <c r="Z257" s="120" t="str">
        <f t="shared" si="17"/>
        <v/>
      </c>
      <c r="AA257" s="30"/>
    </row>
    <row r="258" spans="1:27" x14ac:dyDescent="0.2">
      <c r="A258" s="31" t="s">
        <v>86</v>
      </c>
      <c r="B258" s="31"/>
      <c r="C258" s="32"/>
      <c r="D258" s="32"/>
      <c r="E258" s="42"/>
      <c r="H258" s="43"/>
      <c r="I258" s="75"/>
      <c r="U258" s="21" t="s">
        <v>43</v>
      </c>
      <c r="W258" s="139" t="s">
        <v>43</v>
      </c>
      <c r="X258" s="63">
        <v>1</v>
      </c>
      <c r="Y258" s="120" t="str">
        <f t="shared" si="15"/>
        <v/>
      </c>
      <c r="Z258" s="120" t="str">
        <f t="shared" si="17"/>
        <v/>
      </c>
    </row>
    <row r="259" spans="1:27" x14ac:dyDescent="0.2">
      <c r="A259" s="30"/>
      <c r="B259" s="30"/>
      <c r="E259" s="42"/>
      <c r="H259" s="43"/>
      <c r="U259" s="21" t="s">
        <v>43</v>
      </c>
      <c r="W259" s="139" t="s">
        <v>43</v>
      </c>
      <c r="X259" s="63">
        <v>1</v>
      </c>
      <c r="Y259" s="120" t="str">
        <f t="shared" si="15"/>
        <v/>
      </c>
      <c r="Z259" s="120" t="str">
        <f t="shared" si="17"/>
        <v/>
      </c>
    </row>
    <row r="260" spans="1:27" ht="16" x14ac:dyDescent="0.2">
      <c r="A260" s="34" t="s">
        <v>44</v>
      </c>
      <c r="B260" s="34" t="s">
        <v>1328</v>
      </c>
      <c r="C260" s="48" t="s">
        <v>388</v>
      </c>
      <c r="D260" s="48" t="s">
        <v>388</v>
      </c>
      <c r="E260" s="42"/>
      <c r="F260" s="29"/>
      <c r="G260" s="29"/>
      <c r="H260" s="43"/>
      <c r="I260" s="74"/>
      <c r="J260" s="74"/>
      <c r="K260" s="74"/>
      <c r="L260" s="74"/>
      <c r="M260" s="74"/>
      <c r="N260" s="74"/>
      <c r="O260" s="74"/>
      <c r="P260" s="74"/>
      <c r="W260" s="139"/>
      <c r="X260" s="63">
        <v>1</v>
      </c>
      <c r="Y260" s="120" t="str">
        <f t="shared" si="15"/>
        <v/>
      </c>
      <c r="Z260" s="120" t="str">
        <f t="shared" si="17"/>
        <v/>
      </c>
    </row>
    <row r="261" spans="1:27" ht="32" x14ac:dyDescent="0.2">
      <c r="A261" s="29" t="s">
        <v>30</v>
      </c>
      <c r="B261" s="29" t="s">
        <v>389</v>
      </c>
      <c r="C261" s="20" t="s">
        <v>1320</v>
      </c>
      <c r="D261" s="20" t="s">
        <v>1658</v>
      </c>
      <c r="E261" s="42"/>
      <c r="F261" s="29"/>
      <c r="G261" s="29"/>
      <c r="H261" s="43"/>
      <c r="I261" s="74" t="s">
        <v>32</v>
      </c>
      <c r="J261" s="74"/>
      <c r="K261" s="74"/>
      <c r="L261" s="74"/>
      <c r="M261" s="74"/>
      <c r="N261" s="74"/>
      <c r="O261" s="74"/>
      <c r="P261" s="74"/>
      <c r="U261" s="21" t="s">
        <v>26</v>
      </c>
      <c r="W261" s="139"/>
      <c r="X261" s="63">
        <v>1</v>
      </c>
      <c r="Y261" s="120" t="str">
        <f t="shared" si="15"/>
        <v/>
      </c>
      <c r="Z261" s="120" t="str">
        <f t="shared" si="17"/>
        <v/>
      </c>
    </row>
    <row r="262" spans="1:27" ht="48" x14ac:dyDescent="0.2">
      <c r="A262" s="29" t="s">
        <v>390</v>
      </c>
      <c r="B262" s="29" t="s">
        <v>387</v>
      </c>
      <c r="C262" s="20" t="s">
        <v>391</v>
      </c>
      <c r="D262" s="20" t="s">
        <v>1659</v>
      </c>
      <c r="E262" s="42"/>
      <c r="F262" s="29" t="s">
        <v>1088</v>
      </c>
      <c r="G262" s="29" t="s">
        <v>1660</v>
      </c>
      <c r="H262" s="43"/>
      <c r="I262" s="74" t="s">
        <v>25</v>
      </c>
      <c r="J262" s="74"/>
      <c r="K262" s="74"/>
      <c r="L262" s="74"/>
      <c r="M262" s="74"/>
      <c r="N262" s="74"/>
      <c r="O262" s="74"/>
      <c r="P262" s="74"/>
      <c r="U262" s="21" t="s">
        <v>26</v>
      </c>
      <c r="W262" s="139">
        <v>72.295135498046875</v>
      </c>
      <c r="X262" s="63">
        <v>1</v>
      </c>
      <c r="Y262" s="120">
        <f t="shared" si="15"/>
        <v>72.295135498046875</v>
      </c>
      <c r="Z262" s="120">
        <f t="shared" si="17"/>
        <v>72.295135498046875</v>
      </c>
    </row>
    <row r="263" spans="1:27" ht="64" x14ac:dyDescent="0.2">
      <c r="A263" s="29" t="s">
        <v>30</v>
      </c>
      <c r="B263" s="29" t="s">
        <v>392</v>
      </c>
      <c r="C263" s="20" t="s">
        <v>1091</v>
      </c>
      <c r="D263" s="22" t="s">
        <v>1661</v>
      </c>
      <c r="E263" s="42"/>
      <c r="F263" s="29"/>
      <c r="G263" s="29"/>
      <c r="H263" s="43"/>
      <c r="I263" s="74" t="s">
        <v>32</v>
      </c>
      <c r="J263" s="74"/>
      <c r="K263" s="74"/>
      <c r="L263" s="74"/>
      <c r="M263" s="74"/>
      <c r="N263" s="74"/>
      <c r="O263" s="74"/>
      <c r="P263" s="74"/>
      <c r="U263" s="21" t="s">
        <v>26</v>
      </c>
      <c r="W263" s="139">
        <v>3.7052218914031982</v>
      </c>
      <c r="X263" s="63">
        <v>1</v>
      </c>
      <c r="Y263" s="120">
        <f t="shared" si="15"/>
        <v>3.7052218914031982</v>
      </c>
      <c r="Z263" s="120">
        <f t="shared" si="17"/>
        <v>3.7052218914031982</v>
      </c>
    </row>
    <row r="264" spans="1:27" ht="16" customHeight="1" x14ac:dyDescent="0.2">
      <c r="A264" s="29" t="s">
        <v>86</v>
      </c>
      <c r="B264" s="29"/>
      <c r="C264" s="20"/>
      <c r="D264" s="20"/>
      <c r="E264" s="42"/>
      <c r="F264" s="29"/>
      <c r="G264" s="29"/>
      <c r="H264" s="43"/>
      <c r="I264" s="74"/>
      <c r="J264" s="74"/>
      <c r="K264" s="74"/>
      <c r="L264" s="74"/>
      <c r="M264" s="74"/>
      <c r="N264" s="74"/>
      <c r="O264" s="74"/>
      <c r="P264" s="74"/>
      <c r="W264" s="139" t="s">
        <v>43</v>
      </c>
      <c r="X264" s="63">
        <v>1</v>
      </c>
      <c r="Y264" s="120" t="str">
        <f t="shared" si="15"/>
        <v/>
      </c>
      <c r="Z264" s="120" t="str">
        <f t="shared" si="17"/>
        <v/>
      </c>
    </row>
    <row r="265" spans="1:27" x14ac:dyDescent="0.2">
      <c r="A265" s="30"/>
      <c r="B265" s="30"/>
      <c r="E265" s="42"/>
      <c r="H265" s="43"/>
      <c r="U265" s="21" t="s">
        <v>43</v>
      </c>
      <c r="W265" s="139" t="s">
        <v>43</v>
      </c>
      <c r="X265" s="63">
        <v>1</v>
      </c>
      <c r="Y265" s="120" t="str">
        <f t="shared" si="15"/>
        <v/>
      </c>
      <c r="Z265" s="120" t="str">
        <f t="shared" si="17"/>
        <v/>
      </c>
    </row>
    <row r="266" spans="1:27" s="31" customFormat="1" ht="16" x14ac:dyDescent="0.2">
      <c r="A266" s="31" t="s">
        <v>44</v>
      </c>
      <c r="B266" s="31" t="s">
        <v>1327</v>
      </c>
      <c r="C266" s="115" t="s">
        <v>393</v>
      </c>
      <c r="D266" s="115" t="s">
        <v>393</v>
      </c>
      <c r="E266" s="33"/>
      <c r="H266" s="37"/>
      <c r="I266" s="75"/>
      <c r="J266" s="75"/>
      <c r="K266" s="75"/>
      <c r="L266" s="75"/>
      <c r="M266" s="75"/>
      <c r="N266" s="75"/>
      <c r="O266" s="75"/>
      <c r="P266" s="75"/>
      <c r="U266" s="31" t="s">
        <v>33</v>
      </c>
      <c r="W266" s="139"/>
      <c r="X266" s="63">
        <v>1</v>
      </c>
      <c r="Y266" s="120" t="str">
        <f t="shared" si="15"/>
        <v/>
      </c>
      <c r="Z266" s="120" t="str">
        <f t="shared" si="17"/>
        <v/>
      </c>
    </row>
    <row r="267" spans="1:27" s="32" customFormat="1" ht="48" x14ac:dyDescent="0.2">
      <c r="A267" s="32" t="s">
        <v>30</v>
      </c>
      <c r="B267" s="32" t="s">
        <v>394</v>
      </c>
      <c r="C267" s="32" t="s">
        <v>395</v>
      </c>
      <c r="D267" s="32" t="s">
        <v>1662</v>
      </c>
      <c r="E267" s="33"/>
      <c r="H267" s="33"/>
      <c r="I267" s="75" t="s">
        <v>32</v>
      </c>
      <c r="J267" s="90"/>
      <c r="K267" s="90"/>
      <c r="L267" s="75"/>
      <c r="M267" s="90"/>
      <c r="N267" s="90"/>
      <c r="O267" s="90"/>
      <c r="P267" s="90"/>
      <c r="U267" s="32" t="s">
        <v>33</v>
      </c>
      <c r="W267" s="139">
        <v>0</v>
      </c>
      <c r="X267" s="63">
        <v>1</v>
      </c>
      <c r="Y267" s="120">
        <f t="shared" si="15"/>
        <v>0</v>
      </c>
      <c r="Z267" s="120" t="str">
        <f t="shared" si="17"/>
        <v/>
      </c>
    </row>
    <row r="268" spans="1:27" s="32" customFormat="1" ht="48" x14ac:dyDescent="0.2">
      <c r="A268" s="32" t="s">
        <v>52</v>
      </c>
      <c r="B268" s="32" t="s">
        <v>396</v>
      </c>
      <c r="C268" s="32" t="s">
        <v>397</v>
      </c>
      <c r="D268" s="32" t="s">
        <v>1710</v>
      </c>
      <c r="E268" s="33"/>
      <c r="F268" s="31" t="s">
        <v>1413</v>
      </c>
      <c r="G268" s="31" t="s">
        <v>1664</v>
      </c>
      <c r="H268" s="33"/>
      <c r="I268" s="75" t="s">
        <v>25</v>
      </c>
      <c r="J268" s="90"/>
      <c r="K268" s="90" t="s">
        <v>398</v>
      </c>
      <c r="L268" s="75" t="s">
        <v>399</v>
      </c>
      <c r="M268" s="90"/>
      <c r="N268" s="90"/>
      <c r="O268" s="90"/>
      <c r="P268" s="90"/>
      <c r="U268" s="32" t="s">
        <v>33</v>
      </c>
      <c r="W268" s="139">
        <v>17</v>
      </c>
      <c r="X268" s="63">
        <v>1</v>
      </c>
      <c r="Y268" s="120">
        <f t="shared" si="15"/>
        <v>17</v>
      </c>
      <c r="Z268" s="120" t="str">
        <f t="shared" si="17"/>
        <v/>
      </c>
    </row>
    <row r="269" spans="1:27" s="32" customFormat="1" ht="48" x14ac:dyDescent="0.2">
      <c r="A269" s="32" t="s">
        <v>52</v>
      </c>
      <c r="B269" s="32" t="s">
        <v>400</v>
      </c>
      <c r="C269" s="32" t="s">
        <v>401</v>
      </c>
      <c r="D269" s="32" t="s">
        <v>1715</v>
      </c>
      <c r="E269" s="33"/>
      <c r="F269" s="31" t="s">
        <v>1413</v>
      </c>
      <c r="G269" s="31" t="s">
        <v>1664</v>
      </c>
      <c r="H269" s="33"/>
      <c r="I269" s="75" t="s">
        <v>25</v>
      </c>
      <c r="J269" s="90"/>
      <c r="K269" s="90" t="s">
        <v>398</v>
      </c>
      <c r="L269" s="75" t="s">
        <v>399</v>
      </c>
      <c r="M269" s="90"/>
      <c r="N269" s="90"/>
      <c r="O269" s="90"/>
      <c r="P269" s="90"/>
      <c r="U269" s="32" t="s">
        <v>33</v>
      </c>
      <c r="W269" s="139">
        <v>17</v>
      </c>
      <c r="X269" s="63">
        <v>1</v>
      </c>
      <c r="Y269" s="120">
        <f t="shared" ref="Y269:Y317" si="18">IF(W269&lt;&gt;"",W269*X269,"")</f>
        <v>17</v>
      </c>
      <c r="Z269" s="120" t="str">
        <f t="shared" si="17"/>
        <v/>
      </c>
    </row>
    <row r="270" spans="1:27" s="32" customFormat="1" ht="32" x14ac:dyDescent="0.2">
      <c r="A270" s="32" t="s">
        <v>52</v>
      </c>
      <c r="B270" s="32" t="s">
        <v>1322</v>
      </c>
      <c r="C270" s="32" t="s">
        <v>402</v>
      </c>
      <c r="D270" s="32" t="s">
        <v>2081</v>
      </c>
      <c r="E270" s="33"/>
      <c r="F270" s="31" t="s">
        <v>1413</v>
      </c>
      <c r="G270" s="31" t="s">
        <v>1664</v>
      </c>
      <c r="H270" s="33"/>
      <c r="I270" s="75" t="s">
        <v>25</v>
      </c>
      <c r="J270" s="90"/>
      <c r="K270" s="90" t="s">
        <v>398</v>
      </c>
      <c r="L270" s="75" t="s">
        <v>399</v>
      </c>
      <c r="M270" s="90"/>
      <c r="N270" s="90"/>
      <c r="O270" s="90"/>
      <c r="P270" s="90"/>
      <c r="U270" s="32" t="s">
        <v>33</v>
      </c>
      <c r="W270" s="139">
        <v>17</v>
      </c>
      <c r="X270" s="63">
        <v>1</v>
      </c>
      <c r="Y270" s="120">
        <f t="shared" si="18"/>
        <v>17</v>
      </c>
      <c r="Z270" s="120" t="str">
        <f t="shared" si="17"/>
        <v/>
      </c>
    </row>
    <row r="271" spans="1:27" s="32" customFormat="1" ht="32" x14ac:dyDescent="0.2">
      <c r="A271" s="32" t="s">
        <v>52</v>
      </c>
      <c r="B271" s="32" t="s">
        <v>403</v>
      </c>
      <c r="C271" s="32" t="s">
        <v>1323</v>
      </c>
      <c r="D271" s="32" t="s">
        <v>2113</v>
      </c>
      <c r="E271" s="33"/>
      <c r="F271" s="31" t="s">
        <v>1413</v>
      </c>
      <c r="G271" s="31" t="s">
        <v>1664</v>
      </c>
      <c r="H271" s="33"/>
      <c r="I271" s="75" t="s">
        <v>25</v>
      </c>
      <c r="J271" s="90"/>
      <c r="K271" s="90" t="s">
        <v>398</v>
      </c>
      <c r="L271" s="75" t="s">
        <v>399</v>
      </c>
      <c r="M271" s="90"/>
      <c r="N271" s="90"/>
      <c r="O271" s="90"/>
      <c r="P271" s="90"/>
      <c r="U271" s="32" t="s">
        <v>33</v>
      </c>
      <c r="W271" s="139">
        <v>17</v>
      </c>
      <c r="X271" s="63">
        <v>1</v>
      </c>
      <c r="Y271" s="120">
        <f t="shared" si="18"/>
        <v>17</v>
      </c>
      <c r="Z271" s="120" t="str">
        <f t="shared" si="17"/>
        <v/>
      </c>
    </row>
    <row r="272" spans="1:27" s="32" customFormat="1" ht="48" x14ac:dyDescent="0.2">
      <c r="A272" s="32" t="s">
        <v>52</v>
      </c>
      <c r="B272" s="32" t="s">
        <v>404</v>
      </c>
      <c r="C272" s="32" t="s">
        <v>1062</v>
      </c>
      <c r="D272" s="32" t="s">
        <v>1711</v>
      </c>
      <c r="E272" s="33"/>
      <c r="F272" s="31" t="s">
        <v>1413</v>
      </c>
      <c r="G272" s="31" t="s">
        <v>1664</v>
      </c>
      <c r="H272" s="33"/>
      <c r="I272" s="75" t="s">
        <v>25</v>
      </c>
      <c r="J272" s="90"/>
      <c r="K272" s="90" t="s">
        <v>398</v>
      </c>
      <c r="L272" s="75" t="s">
        <v>399</v>
      </c>
      <c r="M272" s="90"/>
      <c r="N272" s="90"/>
      <c r="O272" s="90"/>
      <c r="P272" s="90"/>
      <c r="U272" s="32" t="s">
        <v>33</v>
      </c>
      <c r="W272" s="139">
        <v>17</v>
      </c>
      <c r="X272" s="63">
        <v>1</v>
      </c>
      <c r="Y272" s="120">
        <f t="shared" si="18"/>
        <v>17</v>
      </c>
      <c r="Z272" s="120" t="str">
        <f t="shared" si="17"/>
        <v/>
      </c>
    </row>
    <row r="273" spans="1:27" s="32" customFormat="1" ht="48" x14ac:dyDescent="0.2">
      <c r="A273" s="32" t="s">
        <v>52</v>
      </c>
      <c r="B273" s="32" t="s">
        <v>405</v>
      </c>
      <c r="C273" s="32" t="s">
        <v>406</v>
      </c>
      <c r="D273" s="32" t="s">
        <v>1716</v>
      </c>
      <c r="E273" s="33"/>
      <c r="F273" s="31" t="s">
        <v>1413</v>
      </c>
      <c r="G273" s="31" t="s">
        <v>1664</v>
      </c>
      <c r="H273" s="33"/>
      <c r="I273" s="75" t="s">
        <v>25</v>
      </c>
      <c r="J273" s="90"/>
      <c r="K273" s="90" t="s">
        <v>398</v>
      </c>
      <c r="L273" s="75" t="s">
        <v>399</v>
      </c>
      <c r="M273" s="90"/>
      <c r="N273" s="90"/>
      <c r="O273" s="90"/>
      <c r="P273" s="90"/>
      <c r="U273" s="32" t="s">
        <v>33</v>
      </c>
      <c r="W273" s="139">
        <v>17</v>
      </c>
      <c r="X273" s="63">
        <v>1</v>
      </c>
      <c r="Y273" s="120">
        <f t="shared" si="18"/>
        <v>17</v>
      </c>
      <c r="Z273" s="120" t="str">
        <f t="shared" si="17"/>
        <v/>
      </c>
    </row>
    <row r="274" spans="1:27" s="32" customFormat="1" ht="48" x14ac:dyDescent="0.2">
      <c r="A274" s="32" t="s">
        <v>52</v>
      </c>
      <c r="B274" s="32" t="s">
        <v>407</v>
      </c>
      <c r="C274" s="32" t="s">
        <v>1324</v>
      </c>
      <c r="D274" s="32" t="s">
        <v>1712</v>
      </c>
      <c r="E274" s="33"/>
      <c r="F274" s="31" t="s">
        <v>1413</v>
      </c>
      <c r="G274" s="31" t="s">
        <v>1664</v>
      </c>
      <c r="H274" s="33"/>
      <c r="I274" s="75" t="s">
        <v>25</v>
      </c>
      <c r="J274" s="90"/>
      <c r="K274" s="90" t="s">
        <v>398</v>
      </c>
      <c r="L274" s="75" t="s">
        <v>399</v>
      </c>
      <c r="M274" s="90"/>
      <c r="N274" s="90"/>
      <c r="O274" s="90"/>
      <c r="P274" s="90"/>
      <c r="U274" s="32" t="s">
        <v>33</v>
      </c>
      <c r="W274" s="139">
        <v>17</v>
      </c>
      <c r="X274" s="63">
        <v>1</v>
      </c>
      <c r="Y274" s="120">
        <f t="shared" si="18"/>
        <v>17</v>
      </c>
      <c r="Z274" s="120" t="str">
        <f t="shared" si="17"/>
        <v/>
      </c>
    </row>
    <row r="275" spans="1:27" s="32" customFormat="1" ht="48" x14ac:dyDescent="0.2">
      <c r="A275" s="32" t="s">
        <v>52</v>
      </c>
      <c r="B275" s="32" t="s">
        <v>408</v>
      </c>
      <c r="C275" s="32" t="s">
        <v>409</v>
      </c>
      <c r="D275" s="32" t="s">
        <v>1713</v>
      </c>
      <c r="E275" s="33"/>
      <c r="F275" s="31" t="s">
        <v>1413</v>
      </c>
      <c r="G275" s="31" t="s">
        <v>1664</v>
      </c>
      <c r="H275" s="33"/>
      <c r="I275" s="75" t="s">
        <v>25</v>
      </c>
      <c r="J275" s="90"/>
      <c r="K275" s="90" t="s">
        <v>398</v>
      </c>
      <c r="L275" s="75" t="s">
        <v>399</v>
      </c>
      <c r="M275" s="90"/>
      <c r="N275" s="90"/>
      <c r="O275" s="90"/>
      <c r="P275" s="90"/>
      <c r="U275" s="32" t="s">
        <v>33</v>
      </c>
      <c r="W275" s="139">
        <v>17</v>
      </c>
      <c r="X275" s="63">
        <v>1</v>
      </c>
      <c r="Y275" s="120">
        <f t="shared" si="18"/>
        <v>17</v>
      </c>
      <c r="Z275" s="120" t="str">
        <f t="shared" si="17"/>
        <v/>
      </c>
    </row>
    <row r="276" spans="1:27" s="32" customFormat="1" ht="48" x14ac:dyDescent="0.2">
      <c r="A276" s="32" t="s">
        <v>52</v>
      </c>
      <c r="B276" s="32" t="s">
        <v>410</v>
      </c>
      <c r="C276" s="32" t="s">
        <v>411</v>
      </c>
      <c r="D276" s="32" t="s">
        <v>1714</v>
      </c>
      <c r="E276" s="33"/>
      <c r="F276" s="31" t="s">
        <v>1413</v>
      </c>
      <c r="G276" s="31" t="s">
        <v>1664</v>
      </c>
      <c r="H276" s="33"/>
      <c r="I276" s="75" t="s">
        <v>25</v>
      </c>
      <c r="J276" s="90"/>
      <c r="K276" s="90" t="s">
        <v>398</v>
      </c>
      <c r="L276" s="75" t="s">
        <v>399</v>
      </c>
      <c r="M276" s="90"/>
      <c r="N276" s="90"/>
      <c r="O276" s="90"/>
      <c r="P276" s="90"/>
      <c r="U276" s="32" t="s">
        <v>33</v>
      </c>
      <c r="W276" s="139">
        <v>17</v>
      </c>
      <c r="X276" s="63">
        <v>1</v>
      </c>
      <c r="Y276" s="120">
        <f t="shared" si="18"/>
        <v>17</v>
      </c>
      <c r="Z276" s="120" t="str">
        <f t="shared" si="17"/>
        <v/>
      </c>
    </row>
    <row r="277" spans="1:27" s="31" customFormat="1" x14ac:dyDescent="0.2">
      <c r="A277" s="31" t="s">
        <v>86</v>
      </c>
      <c r="C277" s="32"/>
      <c r="D277" s="32"/>
      <c r="E277" s="33"/>
      <c r="H277" s="37"/>
      <c r="I277" s="75"/>
      <c r="J277" s="75"/>
      <c r="K277" s="75"/>
      <c r="L277" s="75"/>
      <c r="M277" s="75"/>
      <c r="N277" s="75"/>
      <c r="O277" s="75"/>
      <c r="P277" s="75"/>
      <c r="U277" s="31" t="s">
        <v>43</v>
      </c>
      <c r="W277" s="139">
        <v>17</v>
      </c>
      <c r="X277" s="63">
        <v>1</v>
      </c>
      <c r="Y277" s="120">
        <f t="shared" si="18"/>
        <v>17</v>
      </c>
      <c r="Z277" s="120" t="str">
        <f t="shared" si="17"/>
        <v/>
      </c>
      <c r="AA277" s="30"/>
    </row>
    <row r="278" spans="1:27" s="31" customFormat="1" x14ac:dyDescent="0.2">
      <c r="C278" s="32"/>
      <c r="D278" s="32"/>
      <c r="E278" s="33"/>
      <c r="H278" s="37"/>
      <c r="I278" s="75"/>
      <c r="J278" s="75"/>
      <c r="K278" s="75"/>
      <c r="L278" s="75"/>
      <c r="M278" s="75"/>
      <c r="N278" s="75"/>
      <c r="O278" s="75"/>
      <c r="P278" s="75"/>
      <c r="U278" s="31" t="s">
        <v>43</v>
      </c>
      <c r="W278" s="139">
        <v>17</v>
      </c>
      <c r="X278" s="63">
        <v>1</v>
      </c>
      <c r="Y278" s="120">
        <f t="shared" si="18"/>
        <v>17</v>
      </c>
      <c r="Z278" s="120" t="str">
        <f t="shared" si="17"/>
        <v/>
      </c>
      <c r="AA278" s="30"/>
    </row>
    <row r="279" spans="1:27" s="31" customFormat="1" ht="16" x14ac:dyDescent="0.2">
      <c r="A279" s="31" t="s">
        <v>44</v>
      </c>
      <c r="B279" s="31" t="s">
        <v>1326</v>
      </c>
      <c r="C279" s="115" t="s">
        <v>412</v>
      </c>
      <c r="D279" s="115" t="s">
        <v>412</v>
      </c>
      <c r="E279" s="33"/>
      <c r="H279" s="37"/>
      <c r="I279" s="75"/>
      <c r="J279" s="75"/>
      <c r="K279" s="75"/>
      <c r="L279" s="75"/>
      <c r="M279" s="75"/>
      <c r="N279" s="75"/>
      <c r="O279" s="75"/>
      <c r="P279" s="75"/>
      <c r="U279" s="31" t="s">
        <v>33</v>
      </c>
      <c r="W279" s="139"/>
      <c r="X279" s="63">
        <v>1</v>
      </c>
      <c r="Y279" s="120" t="str">
        <f t="shared" si="18"/>
        <v/>
      </c>
      <c r="Z279" s="120" t="str">
        <f t="shared" si="17"/>
        <v/>
      </c>
    </row>
    <row r="280" spans="1:27" s="31" customFormat="1" ht="48" x14ac:dyDescent="0.2">
      <c r="A280" s="31" t="s">
        <v>30</v>
      </c>
      <c r="B280" s="31" t="s">
        <v>1325</v>
      </c>
      <c r="C280" s="32" t="s">
        <v>413</v>
      </c>
      <c r="D280" s="32" t="s">
        <v>1665</v>
      </c>
      <c r="E280" s="33"/>
      <c r="H280" s="37"/>
      <c r="I280" s="75" t="s">
        <v>32</v>
      </c>
      <c r="J280" s="75"/>
      <c r="K280" s="75"/>
      <c r="L280" s="75"/>
      <c r="M280" s="75"/>
      <c r="N280" s="75"/>
      <c r="O280" s="75"/>
      <c r="P280" s="75"/>
      <c r="U280" s="31" t="s">
        <v>33</v>
      </c>
      <c r="W280" s="139">
        <v>17</v>
      </c>
      <c r="X280" s="63">
        <v>1</v>
      </c>
      <c r="Y280" s="120">
        <f t="shared" si="18"/>
        <v>17</v>
      </c>
      <c r="Z280" s="120" t="str">
        <f t="shared" si="17"/>
        <v/>
      </c>
    </row>
    <row r="281" spans="1:27" s="31" customFormat="1" ht="48" x14ac:dyDescent="0.2">
      <c r="A281" s="31" t="s">
        <v>52</v>
      </c>
      <c r="B281" s="31" t="s">
        <v>414</v>
      </c>
      <c r="C281" s="32" t="s">
        <v>415</v>
      </c>
      <c r="D281" s="32" t="s">
        <v>1717</v>
      </c>
      <c r="E281" s="33"/>
      <c r="F281" s="31" t="s">
        <v>1089</v>
      </c>
      <c r="G281" s="31" t="s">
        <v>1663</v>
      </c>
      <c r="H281" s="37"/>
      <c r="I281" s="75" t="s">
        <v>25</v>
      </c>
      <c r="J281" s="75"/>
      <c r="K281" s="75" t="s">
        <v>398</v>
      </c>
      <c r="L281" s="75" t="s">
        <v>399</v>
      </c>
      <c r="M281" s="75"/>
      <c r="N281" s="75"/>
      <c r="O281" s="75"/>
      <c r="P281" s="75"/>
      <c r="U281" s="31" t="s">
        <v>33</v>
      </c>
      <c r="W281" s="139">
        <v>17</v>
      </c>
      <c r="X281" s="63">
        <v>1</v>
      </c>
      <c r="Y281" s="120">
        <f t="shared" si="18"/>
        <v>17</v>
      </c>
      <c r="Z281" s="120" t="str">
        <f t="shared" ref="Z281:Z317" si="19">IF(AND(W281&lt;&gt;"",U281="yes"),W281*X281,"")</f>
        <v/>
      </c>
    </row>
    <row r="282" spans="1:27" s="31" customFormat="1" ht="48" x14ac:dyDescent="0.2">
      <c r="A282" s="31" t="s">
        <v>52</v>
      </c>
      <c r="B282" s="31" t="s">
        <v>416</v>
      </c>
      <c r="C282" s="32" t="s">
        <v>417</v>
      </c>
      <c r="D282" s="32" t="s">
        <v>1718</v>
      </c>
      <c r="E282" s="33"/>
      <c r="F282" s="31" t="s">
        <v>1089</v>
      </c>
      <c r="G282" s="31" t="s">
        <v>1663</v>
      </c>
      <c r="H282" s="37"/>
      <c r="I282" s="75" t="s">
        <v>25</v>
      </c>
      <c r="J282" s="75"/>
      <c r="K282" s="75" t="s">
        <v>398</v>
      </c>
      <c r="L282" s="75" t="s">
        <v>399</v>
      </c>
      <c r="M282" s="75"/>
      <c r="N282" s="75"/>
      <c r="O282" s="75"/>
      <c r="P282" s="75"/>
      <c r="U282" s="31" t="s">
        <v>33</v>
      </c>
      <c r="W282" s="139">
        <v>17</v>
      </c>
      <c r="X282" s="63">
        <v>1</v>
      </c>
      <c r="Y282" s="120">
        <f t="shared" si="18"/>
        <v>17</v>
      </c>
      <c r="Z282" s="120" t="str">
        <f t="shared" si="19"/>
        <v/>
      </c>
    </row>
    <row r="283" spans="1:27" s="31" customFormat="1" ht="48" x14ac:dyDescent="0.2">
      <c r="A283" s="31" t="s">
        <v>52</v>
      </c>
      <c r="B283" s="31" t="s">
        <v>418</v>
      </c>
      <c r="C283" s="32" t="s">
        <v>419</v>
      </c>
      <c r="D283" s="32" t="s">
        <v>1719</v>
      </c>
      <c r="E283" s="33"/>
      <c r="F283" s="31" t="s">
        <v>1089</v>
      </c>
      <c r="G283" s="31" t="s">
        <v>1663</v>
      </c>
      <c r="H283" s="37"/>
      <c r="I283" s="75" t="s">
        <v>25</v>
      </c>
      <c r="J283" s="75"/>
      <c r="K283" s="75" t="s">
        <v>398</v>
      </c>
      <c r="L283" s="75" t="s">
        <v>399</v>
      </c>
      <c r="M283" s="75"/>
      <c r="N283" s="75"/>
      <c r="O283" s="75"/>
      <c r="P283" s="75"/>
      <c r="U283" s="31" t="s">
        <v>33</v>
      </c>
      <c r="W283" s="139">
        <v>17</v>
      </c>
      <c r="X283" s="63">
        <v>1</v>
      </c>
      <c r="Y283" s="120">
        <f t="shared" si="18"/>
        <v>17</v>
      </c>
      <c r="Z283" s="120" t="str">
        <f t="shared" si="19"/>
        <v/>
      </c>
    </row>
    <row r="284" spans="1:27" s="31" customFormat="1" ht="48" x14ac:dyDescent="0.2">
      <c r="A284" s="31" t="s">
        <v>52</v>
      </c>
      <c r="B284" s="31" t="s">
        <v>420</v>
      </c>
      <c r="C284" s="32" t="s">
        <v>421</v>
      </c>
      <c r="D284" s="32" t="s">
        <v>1720</v>
      </c>
      <c r="E284" s="33"/>
      <c r="F284" s="31" t="s">
        <v>1089</v>
      </c>
      <c r="G284" s="31" t="s">
        <v>1663</v>
      </c>
      <c r="H284" s="37"/>
      <c r="I284" s="75" t="s">
        <v>25</v>
      </c>
      <c r="J284" s="75"/>
      <c r="K284" s="75" t="s">
        <v>398</v>
      </c>
      <c r="L284" s="75" t="s">
        <v>399</v>
      </c>
      <c r="M284" s="75"/>
      <c r="N284" s="75"/>
      <c r="O284" s="75"/>
      <c r="P284" s="75"/>
      <c r="U284" s="31" t="s">
        <v>33</v>
      </c>
      <c r="W284" s="139">
        <v>17</v>
      </c>
      <c r="X284" s="63">
        <v>1</v>
      </c>
      <c r="Y284" s="120">
        <f t="shared" si="18"/>
        <v>17</v>
      </c>
      <c r="Z284" s="120" t="str">
        <f t="shared" si="19"/>
        <v/>
      </c>
    </row>
    <row r="285" spans="1:27" s="31" customFormat="1" ht="48" x14ac:dyDescent="0.2">
      <c r="A285" s="31" t="s">
        <v>52</v>
      </c>
      <c r="B285" s="31" t="s">
        <v>1333</v>
      </c>
      <c r="C285" s="32" t="s">
        <v>422</v>
      </c>
      <c r="D285" s="32" t="s">
        <v>1721</v>
      </c>
      <c r="E285" s="33"/>
      <c r="F285" s="31" t="s">
        <v>1089</v>
      </c>
      <c r="G285" s="31" t="s">
        <v>1663</v>
      </c>
      <c r="H285" s="37"/>
      <c r="I285" s="75" t="s">
        <v>25</v>
      </c>
      <c r="J285" s="75"/>
      <c r="K285" s="75" t="s">
        <v>398</v>
      </c>
      <c r="L285" s="75" t="s">
        <v>399</v>
      </c>
      <c r="M285" s="75"/>
      <c r="N285" s="75"/>
      <c r="O285" s="75"/>
      <c r="P285" s="75"/>
      <c r="U285" s="31" t="s">
        <v>33</v>
      </c>
      <c r="W285" s="139">
        <v>17</v>
      </c>
      <c r="X285" s="63">
        <v>1</v>
      </c>
      <c r="Y285" s="120">
        <f t="shared" si="18"/>
        <v>17</v>
      </c>
      <c r="Z285" s="120" t="str">
        <f t="shared" si="19"/>
        <v/>
      </c>
    </row>
    <row r="286" spans="1:27" s="31" customFormat="1" x14ac:dyDescent="0.2">
      <c r="A286" s="31" t="s">
        <v>86</v>
      </c>
      <c r="C286" s="32"/>
      <c r="D286" s="32"/>
      <c r="E286" s="33"/>
      <c r="H286" s="37"/>
      <c r="I286" s="75"/>
      <c r="J286" s="75"/>
      <c r="K286" s="75"/>
      <c r="L286" s="75"/>
      <c r="M286" s="75"/>
      <c r="N286" s="75"/>
      <c r="O286" s="75"/>
      <c r="P286" s="75"/>
      <c r="U286" s="31" t="s">
        <v>43</v>
      </c>
      <c r="W286" s="139" t="s">
        <v>43</v>
      </c>
      <c r="X286" s="63">
        <v>1</v>
      </c>
      <c r="Y286" s="120" t="str">
        <f t="shared" si="18"/>
        <v/>
      </c>
      <c r="Z286" s="120" t="str">
        <f t="shared" si="19"/>
        <v/>
      </c>
    </row>
    <row r="287" spans="1:27" s="31" customFormat="1" x14ac:dyDescent="0.2">
      <c r="C287" s="32"/>
      <c r="D287" s="32"/>
      <c r="E287" s="33"/>
      <c r="H287" s="37"/>
      <c r="I287" s="75"/>
      <c r="J287" s="75"/>
      <c r="K287" s="75"/>
      <c r="L287" s="75"/>
      <c r="M287" s="75"/>
      <c r="N287" s="75"/>
      <c r="O287" s="75"/>
      <c r="P287" s="75"/>
      <c r="U287" s="31" t="s">
        <v>43</v>
      </c>
      <c r="W287" s="139" t="s">
        <v>43</v>
      </c>
      <c r="X287" s="63">
        <v>1</v>
      </c>
      <c r="Y287" s="120" t="str">
        <f t="shared" si="18"/>
        <v/>
      </c>
      <c r="Z287" s="120" t="str">
        <f t="shared" si="19"/>
        <v/>
      </c>
    </row>
    <row r="288" spans="1:27" ht="16" thickBot="1" x14ac:dyDescent="0.25">
      <c r="A288" s="56" t="s">
        <v>86</v>
      </c>
      <c r="B288" s="56"/>
      <c r="C288" s="57"/>
      <c r="D288" s="57"/>
      <c r="E288" s="66"/>
      <c r="F288" s="56"/>
      <c r="G288" s="56"/>
      <c r="H288" s="67"/>
      <c r="I288" s="87"/>
      <c r="J288" s="87"/>
      <c r="K288" s="87"/>
      <c r="L288" s="87"/>
      <c r="M288" s="87"/>
      <c r="N288" s="87"/>
      <c r="O288" s="87"/>
      <c r="P288" s="87"/>
      <c r="W288" s="139"/>
      <c r="Y288" s="120" t="str">
        <f t="shared" si="18"/>
        <v/>
      </c>
      <c r="Z288" s="120" t="str">
        <f t="shared" si="19"/>
        <v/>
      </c>
    </row>
    <row r="289" spans="1:27" s="27" customFormat="1" ht="15" customHeight="1" thickTop="1" x14ac:dyDescent="0.2">
      <c r="A289" s="24" t="s">
        <v>44</v>
      </c>
      <c r="B289" s="24" t="s">
        <v>423</v>
      </c>
      <c r="C289" s="48" t="s">
        <v>424</v>
      </c>
      <c r="D289" s="48" t="s">
        <v>424</v>
      </c>
      <c r="E289" s="25"/>
      <c r="F289" s="24"/>
      <c r="G289" s="24"/>
      <c r="H289" s="26"/>
      <c r="I289" s="79" t="s">
        <v>32</v>
      </c>
      <c r="J289" s="79"/>
      <c r="K289" s="79"/>
      <c r="L289" s="79"/>
      <c r="M289" s="79" t="s">
        <v>1434</v>
      </c>
      <c r="N289" s="79"/>
      <c r="O289" s="79"/>
      <c r="P289" s="79"/>
      <c r="U289" s="21" t="s">
        <v>26</v>
      </c>
      <c r="W289" s="139"/>
      <c r="X289" s="28"/>
      <c r="Y289" s="120" t="str">
        <f t="shared" si="18"/>
        <v/>
      </c>
      <c r="Z289" s="120" t="str">
        <f t="shared" si="19"/>
        <v/>
      </c>
      <c r="AA289" s="28"/>
    </row>
    <row r="290" spans="1:27" s="27" customFormat="1" ht="15" customHeight="1" x14ac:dyDescent="0.2">
      <c r="C290" s="49"/>
      <c r="D290" s="49"/>
      <c r="E290" s="25"/>
      <c r="H290" s="26"/>
      <c r="I290" s="80"/>
      <c r="J290" s="80"/>
      <c r="K290" s="80"/>
      <c r="L290" s="80"/>
      <c r="M290" s="80"/>
      <c r="N290" s="80"/>
      <c r="O290" s="80"/>
      <c r="P290" s="80"/>
      <c r="U290" s="21" t="s">
        <v>43</v>
      </c>
      <c r="W290" s="139" t="s">
        <v>43</v>
      </c>
      <c r="X290" s="63">
        <v>1</v>
      </c>
      <c r="Y290" s="120" t="str">
        <f t="shared" si="18"/>
        <v/>
      </c>
      <c r="Z290" s="120" t="str">
        <f t="shared" si="19"/>
        <v/>
      </c>
      <c r="AA290" s="28"/>
    </row>
    <row r="291" spans="1:27" ht="32" x14ac:dyDescent="0.2">
      <c r="A291" s="29" t="s">
        <v>126</v>
      </c>
      <c r="B291" s="29" t="s">
        <v>425</v>
      </c>
      <c r="C291" s="20" t="s">
        <v>1334</v>
      </c>
      <c r="D291" s="20" t="s">
        <v>1666</v>
      </c>
      <c r="E291" s="42"/>
      <c r="F291" s="29"/>
      <c r="G291" s="29"/>
      <c r="H291" s="43"/>
      <c r="I291" s="74" t="s">
        <v>25</v>
      </c>
      <c r="J291" s="74"/>
      <c r="K291" s="74"/>
      <c r="L291" s="74"/>
      <c r="M291" s="74"/>
      <c r="N291" s="74"/>
      <c r="O291" s="74"/>
      <c r="P291" s="74"/>
      <c r="U291" s="21" t="s">
        <v>26</v>
      </c>
      <c r="W291" s="139">
        <v>19.828245162963867</v>
      </c>
      <c r="X291" s="63">
        <v>1</v>
      </c>
      <c r="Y291" s="120">
        <f t="shared" si="18"/>
        <v>19.828245162963867</v>
      </c>
      <c r="Z291" s="120">
        <f t="shared" si="19"/>
        <v>19.828245162963867</v>
      </c>
    </row>
    <row r="292" spans="1:27" ht="48" x14ac:dyDescent="0.2">
      <c r="A292" s="29" t="s">
        <v>426</v>
      </c>
      <c r="B292" s="29" t="s">
        <v>427</v>
      </c>
      <c r="C292" s="20" t="s">
        <v>1335</v>
      </c>
      <c r="D292" s="20" t="s">
        <v>1667</v>
      </c>
      <c r="E292" s="42"/>
      <c r="F292" s="29" t="s">
        <v>1442</v>
      </c>
      <c r="G292" s="34" t="s">
        <v>1668</v>
      </c>
      <c r="H292" s="43"/>
      <c r="I292" s="74" t="s">
        <v>25</v>
      </c>
      <c r="J292" s="74"/>
      <c r="K292" s="76" t="s">
        <v>242</v>
      </c>
      <c r="L292" s="74"/>
      <c r="M292" s="74" t="s">
        <v>428</v>
      </c>
      <c r="N292" s="74"/>
      <c r="O292" s="74"/>
      <c r="P292" s="74"/>
      <c r="U292" s="21" t="s">
        <v>26</v>
      </c>
      <c r="W292" s="139">
        <v>49.529693603515625</v>
      </c>
      <c r="X292" s="63">
        <v>1</v>
      </c>
      <c r="Y292" s="120">
        <f t="shared" si="18"/>
        <v>49.529693603515625</v>
      </c>
      <c r="Z292" s="120">
        <f t="shared" si="19"/>
        <v>49.529693603515625</v>
      </c>
    </row>
    <row r="293" spans="1:27" ht="16" x14ac:dyDescent="0.2">
      <c r="A293" s="29" t="s">
        <v>47</v>
      </c>
      <c r="B293" s="29" t="s">
        <v>429</v>
      </c>
      <c r="C293" s="35" t="s">
        <v>175</v>
      </c>
      <c r="D293" s="20" t="s">
        <v>1598</v>
      </c>
      <c r="E293" s="53"/>
      <c r="F293" s="30" t="s">
        <v>1078</v>
      </c>
      <c r="G293" s="30" t="s">
        <v>1723</v>
      </c>
      <c r="H293" s="43"/>
      <c r="I293" s="74" t="s">
        <v>25</v>
      </c>
      <c r="J293" s="74"/>
      <c r="K293" s="74"/>
      <c r="L293" s="74"/>
      <c r="M293" s="74" t="s">
        <v>430</v>
      </c>
      <c r="N293" s="74"/>
      <c r="O293" s="74"/>
      <c r="P293" s="74"/>
      <c r="U293" s="21" t="s">
        <v>26</v>
      </c>
      <c r="W293" s="139"/>
      <c r="X293" s="63">
        <v>1</v>
      </c>
      <c r="Y293" s="120" t="str">
        <f t="shared" si="18"/>
        <v/>
      </c>
      <c r="Z293" s="120" t="str">
        <f t="shared" si="19"/>
        <v/>
      </c>
    </row>
    <row r="294" spans="1:27" x14ac:dyDescent="0.2">
      <c r="E294" s="42"/>
      <c r="G294" s="30"/>
      <c r="H294" s="43"/>
      <c r="U294" s="21" t="s">
        <v>43</v>
      </c>
      <c r="W294" s="139" t="s">
        <v>43</v>
      </c>
      <c r="X294" s="63">
        <v>1</v>
      </c>
      <c r="Y294" s="120" t="str">
        <f t="shared" si="18"/>
        <v/>
      </c>
      <c r="Z294" s="120" t="str">
        <f t="shared" si="19"/>
        <v/>
      </c>
    </row>
    <row r="295" spans="1:27" s="30" customFormat="1" ht="32" x14ac:dyDescent="0.2">
      <c r="A295" s="34" t="s">
        <v>431</v>
      </c>
      <c r="B295" s="34" t="s">
        <v>432</v>
      </c>
      <c r="C295" s="35" t="s">
        <v>1336</v>
      </c>
      <c r="D295" s="20" t="s">
        <v>1672</v>
      </c>
      <c r="E295" s="53"/>
      <c r="F295" s="34" t="s">
        <v>1094</v>
      </c>
      <c r="G295" s="34" t="s">
        <v>1673</v>
      </c>
      <c r="H295" s="55"/>
      <c r="I295" s="76" t="s">
        <v>25</v>
      </c>
      <c r="J295" s="76"/>
      <c r="K295" s="76" t="s">
        <v>1399</v>
      </c>
      <c r="L295" s="76"/>
      <c r="M295" s="76"/>
      <c r="N295" s="76"/>
      <c r="O295" s="76"/>
      <c r="P295" s="76"/>
      <c r="U295" s="30" t="s">
        <v>33</v>
      </c>
      <c r="W295" s="139">
        <v>22.029750823974609</v>
      </c>
      <c r="X295" s="63">
        <v>1</v>
      </c>
      <c r="Y295" s="120">
        <f t="shared" si="18"/>
        <v>22.029750823974609</v>
      </c>
      <c r="Z295" s="120" t="str">
        <f t="shared" si="19"/>
        <v/>
      </c>
    </row>
    <row r="296" spans="1:27" s="30" customFormat="1" ht="16" x14ac:dyDescent="0.2">
      <c r="A296" s="34" t="s">
        <v>47</v>
      </c>
      <c r="B296" s="34" t="s">
        <v>433</v>
      </c>
      <c r="C296" s="35" t="s">
        <v>175</v>
      </c>
      <c r="D296" s="20" t="s">
        <v>1598</v>
      </c>
      <c r="E296" s="53"/>
      <c r="F296" s="34" t="s">
        <v>1078</v>
      </c>
      <c r="G296" s="30" t="s">
        <v>1723</v>
      </c>
      <c r="H296" s="55"/>
      <c r="I296" s="76" t="s">
        <v>25</v>
      </c>
      <c r="J296" s="76"/>
      <c r="K296" s="76"/>
      <c r="L296" s="76"/>
      <c r="M296" s="76" t="s">
        <v>434</v>
      </c>
      <c r="N296" s="76"/>
      <c r="O296" s="76"/>
      <c r="P296" s="76"/>
      <c r="U296" s="30" t="s">
        <v>33</v>
      </c>
      <c r="W296" s="139"/>
      <c r="X296" s="63">
        <v>1</v>
      </c>
      <c r="Y296" s="120" t="str">
        <f t="shared" si="18"/>
        <v/>
      </c>
      <c r="Z296" s="120" t="str">
        <f t="shared" si="19"/>
        <v/>
      </c>
    </row>
    <row r="297" spans="1:27" s="30" customFormat="1" ht="16" x14ac:dyDescent="0.2">
      <c r="A297" s="34" t="s">
        <v>1340</v>
      </c>
      <c r="B297" s="34" t="s">
        <v>1446</v>
      </c>
      <c r="C297" s="35" t="s">
        <v>1337</v>
      </c>
      <c r="D297" s="20" t="s">
        <v>1670</v>
      </c>
      <c r="E297" s="53"/>
      <c r="F297" s="34" t="s">
        <v>1341</v>
      </c>
      <c r="G297" s="34" t="s">
        <v>1671</v>
      </c>
      <c r="H297" s="55"/>
      <c r="I297" s="76" t="s">
        <v>25</v>
      </c>
      <c r="J297" s="76"/>
      <c r="K297" s="76"/>
      <c r="L297" s="76"/>
      <c r="M297" s="76" t="s">
        <v>1388</v>
      </c>
      <c r="N297" s="76"/>
      <c r="O297" s="76"/>
      <c r="P297" s="76"/>
      <c r="U297" s="30" t="s">
        <v>33</v>
      </c>
      <c r="W297" s="139">
        <v>17</v>
      </c>
      <c r="X297" s="63">
        <v>1</v>
      </c>
      <c r="Y297" s="120">
        <f t="shared" si="18"/>
        <v>17</v>
      </c>
      <c r="Z297" s="120" t="str">
        <f t="shared" si="19"/>
        <v/>
      </c>
    </row>
    <row r="298" spans="1:27" s="31" customFormat="1" x14ac:dyDescent="0.2">
      <c r="C298" s="32"/>
      <c r="D298" s="32"/>
      <c r="E298" s="33"/>
      <c r="H298" s="37"/>
      <c r="I298" s="75"/>
      <c r="J298" s="75"/>
      <c r="K298" s="75"/>
      <c r="L298" s="75"/>
      <c r="M298" s="75"/>
      <c r="N298" s="75"/>
      <c r="O298" s="75"/>
      <c r="P298" s="75"/>
      <c r="R298" s="21"/>
      <c r="U298" s="31" t="s">
        <v>43</v>
      </c>
      <c r="W298" s="139" t="s">
        <v>43</v>
      </c>
      <c r="X298" s="63">
        <v>1</v>
      </c>
      <c r="Y298" s="120" t="str">
        <f t="shared" si="18"/>
        <v/>
      </c>
      <c r="Z298" s="120" t="str">
        <f t="shared" si="19"/>
        <v/>
      </c>
      <c r="AA298" s="30"/>
    </row>
    <row r="299" spans="1:27" s="31" customFormat="1" ht="16" x14ac:dyDescent="0.2">
      <c r="A299" s="31" t="s">
        <v>1398</v>
      </c>
      <c r="B299" s="31" t="s">
        <v>1338</v>
      </c>
      <c r="C299" s="32" t="s">
        <v>1339</v>
      </c>
      <c r="D299" s="32" t="s">
        <v>1669</v>
      </c>
      <c r="E299" s="33"/>
      <c r="F299" s="31" t="s">
        <v>1342</v>
      </c>
      <c r="G299" s="31" t="s">
        <v>1602</v>
      </c>
      <c r="H299" s="37"/>
      <c r="I299" s="75" t="s">
        <v>25</v>
      </c>
      <c r="J299" s="75"/>
      <c r="K299" s="86" t="s">
        <v>242</v>
      </c>
      <c r="L299" s="75"/>
      <c r="M299" s="86" t="s">
        <v>1388</v>
      </c>
      <c r="N299" s="75"/>
      <c r="O299" s="75"/>
      <c r="P299" s="75"/>
      <c r="R299" s="21"/>
      <c r="W299" s="139"/>
      <c r="X299" s="63"/>
      <c r="Y299" s="120"/>
      <c r="Z299" s="120"/>
      <c r="AA299" s="30"/>
    </row>
    <row r="300" spans="1:27" s="31" customFormat="1" x14ac:dyDescent="0.2">
      <c r="C300" s="32"/>
      <c r="D300" s="32"/>
      <c r="E300" s="33"/>
      <c r="H300" s="37"/>
      <c r="I300" s="75"/>
      <c r="J300" s="75"/>
      <c r="K300" s="75"/>
      <c r="L300" s="75"/>
      <c r="M300" s="75"/>
      <c r="N300" s="75"/>
      <c r="O300" s="75"/>
      <c r="P300" s="75"/>
      <c r="R300" s="21"/>
      <c r="W300" s="139"/>
      <c r="X300" s="63"/>
      <c r="Y300" s="120"/>
      <c r="Z300" s="120"/>
      <c r="AA300" s="30"/>
    </row>
    <row r="301" spans="1:27" ht="16" thickBot="1" x14ac:dyDescent="0.25">
      <c r="A301" s="56" t="s">
        <v>86</v>
      </c>
      <c r="B301" s="56"/>
      <c r="C301" s="57"/>
      <c r="D301" s="57"/>
      <c r="E301" s="66"/>
      <c r="F301" s="56"/>
      <c r="G301" s="56"/>
      <c r="H301" s="67"/>
      <c r="I301" s="87"/>
      <c r="J301" s="87"/>
      <c r="K301" s="87"/>
      <c r="L301" s="87"/>
      <c r="M301" s="87"/>
      <c r="N301" s="87"/>
      <c r="O301" s="87"/>
      <c r="P301" s="87"/>
      <c r="U301" s="21" t="s">
        <v>43</v>
      </c>
      <c r="W301" s="139" t="s">
        <v>43</v>
      </c>
      <c r="Y301" s="120" t="str">
        <f t="shared" si="18"/>
        <v/>
      </c>
      <c r="Z301" s="120" t="str">
        <f t="shared" si="19"/>
        <v/>
      </c>
    </row>
    <row r="302" spans="1:27" s="27" customFormat="1" ht="17" thickTop="1" x14ac:dyDescent="0.2">
      <c r="A302" s="24" t="s">
        <v>44</v>
      </c>
      <c r="B302" s="24" t="s">
        <v>435</v>
      </c>
      <c r="C302" s="48" t="s">
        <v>436</v>
      </c>
      <c r="D302" s="48" t="s">
        <v>436</v>
      </c>
      <c r="E302" s="25"/>
      <c r="F302" s="24"/>
      <c r="G302" s="24"/>
      <c r="H302" s="26"/>
      <c r="I302" s="79" t="s">
        <v>32</v>
      </c>
      <c r="J302" s="79"/>
      <c r="K302" s="79"/>
      <c r="L302" s="79"/>
      <c r="M302" s="79" t="s">
        <v>89</v>
      </c>
      <c r="N302" s="79"/>
      <c r="O302" s="79"/>
      <c r="P302" s="79"/>
      <c r="U302" s="21" t="s">
        <v>26</v>
      </c>
      <c r="W302" s="139"/>
      <c r="X302" s="123"/>
      <c r="Y302" s="120" t="str">
        <f t="shared" si="18"/>
        <v/>
      </c>
      <c r="Z302" s="120" t="str">
        <f t="shared" si="19"/>
        <v/>
      </c>
      <c r="AA302" s="28"/>
    </row>
    <row r="303" spans="1:27" s="27" customFormat="1" x14ac:dyDescent="0.2">
      <c r="C303" s="49"/>
      <c r="D303" s="49"/>
      <c r="E303" s="25"/>
      <c r="H303" s="26"/>
      <c r="I303" s="80"/>
      <c r="J303" s="80"/>
      <c r="K303" s="80"/>
      <c r="L303" s="80"/>
      <c r="M303" s="80"/>
      <c r="N303" s="80"/>
      <c r="O303" s="80"/>
      <c r="P303" s="80"/>
      <c r="U303" s="21" t="s">
        <v>43</v>
      </c>
      <c r="W303" s="139" t="s">
        <v>43</v>
      </c>
      <c r="X303" s="63">
        <v>1</v>
      </c>
      <c r="Y303" s="120" t="str">
        <f t="shared" si="18"/>
        <v/>
      </c>
      <c r="Z303" s="120" t="str">
        <f t="shared" si="19"/>
        <v/>
      </c>
      <c r="AA303" s="28"/>
    </row>
    <row r="304" spans="1:27" ht="32" x14ac:dyDescent="0.2">
      <c r="A304" s="29" t="s">
        <v>437</v>
      </c>
      <c r="B304" s="29" t="s">
        <v>438</v>
      </c>
      <c r="C304" s="20" t="s">
        <v>1092</v>
      </c>
      <c r="D304" s="35" t="s">
        <v>1674</v>
      </c>
      <c r="E304" s="42"/>
      <c r="F304" s="29"/>
      <c r="G304" s="29"/>
      <c r="H304" s="43"/>
      <c r="I304" s="74" t="s">
        <v>25</v>
      </c>
      <c r="J304" s="74"/>
      <c r="K304" s="74"/>
      <c r="L304" s="74"/>
      <c r="M304" s="74"/>
      <c r="N304" s="74"/>
      <c r="O304" s="74"/>
      <c r="P304" s="74"/>
      <c r="U304" s="21" t="s">
        <v>26</v>
      </c>
      <c r="W304" s="139">
        <v>36.783046722412109</v>
      </c>
      <c r="X304" s="63">
        <v>1</v>
      </c>
      <c r="Y304" s="120">
        <f t="shared" si="18"/>
        <v>36.783046722412109</v>
      </c>
      <c r="Z304" s="120">
        <f t="shared" si="19"/>
        <v>36.783046722412109</v>
      </c>
    </row>
    <row r="305" spans="1:27" x14ac:dyDescent="0.2">
      <c r="D305" s="23"/>
      <c r="E305" s="42"/>
      <c r="H305" s="43"/>
      <c r="U305" s="21" t="s">
        <v>43</v>
      </c>
      <c r="W305" s="139" t="s">
        <v>43</v>
      </c>
      <c r="X305" s="63">
        <v>1</v>
      </c>
      <c r="Y305" s="120" t="str">
        <f t="shared" si="18"/>
        <v/>
      </c>
      <c r="Z305" s="120" t="str">
        <f t="shared" si="19"/>
        <v/>
      </c>
    </row>
    <row r="306" spans="1:27" s="50" customFormat="1" ht="16" x14ac:dyDescent="0.2">
      <c r="A306" s="112" t="s">
        <v>126</v>
      </c>
      <c r="B306" s="112" t="s">
        <v>439</v>
      </c>
      <c r="C306" s="133" t="s">
        <v>440</v>
      </c>
      <c r="D306" s="133" t="s">
        <v>2082</v>
      </c>
      <c r="E306" s="113"/>
      <c r="F306" s="112"/>
      <c r="G306" s="112"/>
      <c r="H306" s="114"/>
      <c r="I306" s="134" t="s">
        <v>25</v>
      </c>
      <c r="J306" s="134"/>
      <c r="K306" s="82"/>
      <c r="L306" s="134"/>
      <c r="M306" s="134" t="s">
        <v>441</v>
      </c>
      <c r="N306" s="82"/>
      <c r="O306" s="82"/>
      <c r="P306" s="82"/>
      <c r="U306" s="112" t="s">
        <v>442</v>
      </c>
      <c r="W306" s="139">
        <v>10</v>
      </c>
      <c r="X306" s="63">
        <v>1</v>
      </c>
      <c r="Y306" s="120">
        <f t="shared" si="18"/>
        <v>10</v>
      </c>
      <c r="Z306" s="120" t="str">
        <f t="shared" si="19"/>
        <v/>
      </c>
    </row>
    <row r="307" spans="1:27" s="50" customFormat="1" ht="16" x14ac:dyDescent="0.2">
      <c r="A307" s="112" t="s">
        <v>443</v>
      </c>
      <c r="B307" s="112" t="s">
        <v>444</v>
      </c>
      <c r="C307" s="133" t="s">
        <v>445</v>
      </c>
      <c r="D307" s="133" t="s">
        <v>1675</v>
      </c>
      <c r="E307" s="113"/>
      <c r="F307" s="112"/>
      <c r="G307" s="112"/>
      <c r="H307" s="114"/>
      <c r="I307" s="134" t="s">
        <v>25</v>
      </c>
      <c r="J307" s="134"/>
      <c r="K307" s="82"/>
      <c r="L307" s="134"/>
      <c r="M307" s="134" t="s">
        <v>446</v>
      </c>
      <c r="N307" s="82"/>
      <c r="O307" s="82"/>
      <c r="P307" s="82"/>
      <c r="U307" s="112" t="s">
        <v>442</v>
      </c>
      <c r="W307" s="139">
        <v>10</v>
      </c>
      <c r="X307" s="63">
        <v>1</v>
      </c>
      <c r="Y307" s="120">
        <f t="shared" si="18"/>
        <v>10</v>
      </c>
      <c r="Z307" s="120" t="str">
        <f t="shared" si="19"/>
        <v/>
      </c>
    </row>
    <row r="308" spans="1:27" s="31" customFormat="1" ht="16" x14ac:dyDescent="0.2">
      <c r="A308" s="112" t="s">
        <v>47</v>
      </c>
      <c r="B308" s="112" t="s">
        <v>447</v>
      </c>
      <c r="C308" s="133" t="s">
        <v>448</v>
      </c>
      <c r="D308" s="133" t="s">
        <v>2083</v>
      </c>
      <c r="E308" s="113"/>
      <c r="F308" s="112"/>
      <c r="G308" s="112"/>
      <c r="H308" s="114"/>
      <c r="I308" s="134" t="s">
        <v>25</v>
      </c>
      <c r="J308" s="134" t="s">
        <v>60</v>
      </c>
      <c r="K308" s="75" t="s">
        <v>61</v>
      </c>
      <c r="L308" s="134" t="s">
        <v>62</v>
      </c>
      <c r="M308" s="134" t="s">
        <v>446</v>
      </c>
      <c r="N308" s="75"/>
      <c r="O308" s="75"/>
      <c r="P308" s="75"/>
      <c r="U308" s="112" t="s">
        <v>442</v>
      </c>
      <c r="W308" s="139">
        <v>10</v>
      </c>
      <c r="X308" s="63">
        <v>1</v>
      </c>
      <c r="Y308" s="120">
        <f t="shared" si="18"/>
        <v>10</v>
      </c>
      <c r="Z308" s="120" t="str">
        <f t="shared" si="19"/>
        <v/>
      </c>
      <c r="AA308" s="30"/>
    </row>
    <row r="309" spans="1:27" s="31" customFormat="1" ht="16" x14ac:dyDescent="0.2">
      <c r="A309" s="112" t="s">
        <v>47</v>
      </c>
      <c r="B309" s="112" t="s">
        <v>449</v>
      </c>
      <c r="C309" s="133" t="s">
        <v>450</v>
      </c>
      <c r="D309" s="133" t="s">
        <v>2084</v>
      </c>
      <c r="E309" s="113"/>
      <c r="F309" s="112"/>
      <c r="G309" s="112"/>
      <c r="H309" s="114"/>
      <c r="I309" s="134" t="s">
        <v>25</v>
      </c>
      <c r="J309" s="134"/>
      <c r="K309" s="75"/>
      <c r="L309" s="134"/>
      <c r="M309" s="134" t="s">
        <v>446</v>
      </c>
      <c r="N309" s="75"/>
      <c r="O309" s="75"/>
      <c r="P309" s="75"/>
      <c r="U309" s="112" t="s">
        <v>442</v>
      </c>
      <c r="W309" s="139">
        <v>10</v>
      </c>
      <c r="X309" s="63">
        <v>1</v>
      </c>
      <c r="Y309" s="120">
        <f t="shared" si="18"/>
        <v>10</v>
      </c>
      <c r="Z309" s="120" t="str">
        <f t="shared" si="19"/>
        <v/>
      </c>
      <c r="AA309" s="30"/>
    </row>
    <row r="310" spans="1:27" s="31" customFormat="1" ht="16" x14ac:dyDescent="0.2">
      <c r="A310" s="110" t="s">
        <v>451</v>
      </c>
      <c r="B310" s="110" t="s">
        <v>452</v>
      </c>
      <c r="C310" s="130" t="s">
        <v>453</v>
      </c>
      <c r="D310" s="130" t="s">
        <v>2085</v>
      </c>
      <c r="E310" s="113"/>
      <c r="F310" s="110" t="s">
        <v>1090</v>
      </c>
      <c r="G310" s="110" t="s">
        <v>1676</v>
      </c>
      <c r="H310" s="114"/>
      <c r="I310" s="109" t="s">
        <v>25</v>
      </c>
      <c r="J310" s="109"/>
      <c r="K310" s="91"/>
      <c r="L310" s="109"/>
      <c r="M310" s="109" t="s">
        <v>441</v>
      </c>
      <c r="N310" s="84"/>
      <c r="O310" s="84"/>
      <c r="P310" s="84"/>
      <c r="U310" s="112" t="s">
        <v>63</v>
      </c>
      <c r="W310" s="139">
        <v>10</v>
      </c>
      <c r="X310" s="63">
        <v>1</v>
      </c>
      <c r="Y310" s="120">
        <f t="shared" si="18"/>
        <v>10</v>
      </c>
      <c r="Z310" s="120" t="str">
        <f t="shared" si="19"/>
        <v/>
      </c>
      <c r="AA310" s="30"/>
    </row>
    <row r="311" spans="1:27" s="31" customFormat="1" ht="16" x14ac:dyDescent="0.2">
      <c r="A311" s="110" t="s">
        <v>454</v>
      </c>
      <c r="B311" s="110" t="s">
        <v>455</v>
      </c>
      <c r="C311" s="130" t="s">
        <v>456</v>
      </c>
      <c r="D311" s="130" t="s">
        <v>2086</v>
      </c>
      <c r="E311" s="113"/>
      <c r="F311" s="110" t="s">
        <v>1090</v>
      </c>
      <c r="G311" s="110" t="s">
        <v>1676</v>
      </c>
      <c r="H311" s="114"/>
      <c r="I311" s="109" t="s">
        <v>25</v>
      </c>
      <c r="J311" s="109"/>
      <c r="K311" s="91"/>
      <c r="L311" s="109"/>
      <c r="M311" s="109" t="s">
        <v>441</v>
      </c>
      <c r="N311" s="84"/>
      <c r="O311" s="84"/>
      <c r="P311" s="84"/>
      <c r="U311" s="112" t="s">
        <v>63</v>
      </c>
      <c r="W311" s="139">
        <v>10</v>
      </c>
      <c r="X311" s="63">
        <v>1</v>
      </c>
      <c r="Y311" s="120">
        <f t="shared" si="18"/>
        <v>10</v>
      </c>
      <c r="Z311" s="120" t="str">
        <f t="shared" si="19"/>
        <v/>
      </c>
      <c r="AA311" s="30"/>
    </row>
    <row r="312" spans="1:27" s="31" customFormat="1" x14ac:dyDescent="0.2">
      <c r="C312" s="32"/>
      <c r="D312" s="23"/>
      <c r="E312" s="33"/>
      <c r="H312" s="37"/>
      <c r="I312" s="75"/>
      <c r="J312" s="75"/>
      <c r="K312" s="75"/>
      <c r="L312" s="75"/>
      <c r="M312" s="75"/>
      <c r="N312" s="75"/>
      <c r="O312" s="75"/>
      <c r="P312" s="75"/>
      <c r="U312" s="31" t="s">
        <v>43</v>
      </c>
      <c r="W312" s="139" t="s">
        <v>43</v>
      </c>
      <c r="X312" s="63">
        <v>1</v>
      </c>
      <c r="Y312" s="120" t="str">
        <f t="shared" si="18"/>
        <v/>
      </c>
      <c r="Z312" s="120" t="str">
        <f t="shared" si="19"/>
        <v/>
      </c>
      <c r="AA312" s="30"/>
    </row>
    <row r="313" spans="1:27" ht="16" x14ac:dyDescent="0.2">
      <c r="A313" s="29" t="s">
        <v>457</v>
      </c>
      <c r="B313" s="29" t="s">
        <v>458</v>
      </c>
      <c r="C313" s="20" t="s">
        <v>459</v>
      </c>
      <c r="D313" s="35" t="s">
        <v>1677</v>
      </c>
      <c r="E313" s="42"/>
      <c r="F313" s="29"/>
      <c r="G313" s="29"/>
      <c r="H313" s="43"/>
      <c r="I313" s="74" t="s">
        <v>25</v>
      </c>
      <c r="J313" s="74"/>
      <c r="K313" s="74"/>
      <c r="L313" s="74"/>
      <c r="M313" s="74"/>
      <c r="N313" s="74"/>
      <c r="O313" s="74"/>
      <c r="P313" s="74"/>
      <c r="U313" s="21" t="s">
        <v>26</v>
      </c>
      <c r="W313" s="139">
        <v>3</v>
      </c>
      <c r="X313" s="63">
        <v>1</v>
      </c>
      <c r="Y313" s="120">
        <f t="shared" si="18"/>
        <v>3</v>
      </c>
      <c r="Z313" s="120">
        <f t="shared" si="19"/>
        <v>3</v>
      </c>
    </row>
    <row r="314" spans="1:27" x14ac:dyDescent="0.2">
      <c r="D314" s="23"/>
      <c r="E314" s="42"/>
      <c r="H314" s="43"/>
      <c r="U314" s="21" t="s">
        <v>43</v>
      </c>
      <c r="W314" s="139" t="s">
        <v>43</v>
      </c>
      <c r="X314" s="63">
        <v>1</v>
      </c>
      <c r="Y314" s="120" t="str">
        <f t="shared" si="18"/>
        <v/>
      </c>
      <c r="Z314" s="120" t="str">
        <f t="shared" si="19"/>
        <v/>
      </c>
    </row>
    <row r="315" spans="1:27" ht="16" x14ac:dyDescent="0.2">
      <c r="A315" s="29" t="s">
        <v>30</v>
      </c>
      <c r="B315" s="29" t="s">
        <v>460</v>
      </c>
      <c r="C315" s="20" t="s">
        <v>461</v>
      </c>
      <c r="D315" s="35" t="s">
        <v>1678</v>
      </c>
      <c r="E315" s="42"/>
      <c r="F315" s="29"/>
      <c r="G315" s="29"/>
      <c r="H315" s="43"/>
      <c r="I315" s="74" t="s">
        <v>32</v>
      </c>
      <c r="J315" s="74"/>
      <c r="K315" s="74"/>
      <c r="L315" s="74"/>
      <c r="M315" s="74"/>
      <c r="N315" s="74"/>
      <c r="O315" s="74"/>
      <c r="P315" s="74"/>
      <c r="U315" s="21" t="s">
        <v>33</v>
      </c>
      <c r="W315" s="139">
        <v>0</v>
      </c>
      <c r="X315" s="63">
        <v>1</v>
      </c>
      <c r="Y315" s="120">
        <f t="shared" si="18"/>
        <v>0</v>
      </c>
      <c r="Z315" s="120" t="str">
        <f t="shared" si="19"/>
        <v/>
      </c>
    </row>
    <row r="316" spans="1:27" x14ac:dyDescent="0.2">
      <c r="E316" s="42"/>
      <c r="H316" s="43"/>
      <c r="W316" s="139" t="s">
        <v>43</v>
      </c>
      <c r="X316" s="63">
        <v>1</v>
      </c>
      <c r="Y316" s="120" t="str">
        <f t="shared" si="18"/>
        <v/>
      </c>
      <c r="Z316" s="120" t="str">
        <f t="shared" si="19"/>
        <v/>
      </c>
    </row>
    <row r="317" spans="1:27" ht="16" thickBot="1" x14ac:dyDescent="0.25">
      <c r="A317" s="56" t="s">
        <v>86</v>
      </c>
      <c r="B317" s="56"/>
      <c r="C317" s="57"/>
      <c r="D317" s="57"/>
      <c r="E317" s="66"/>
      <c r="F317" s="56"/>
      <c r="G317" s="56"/>
      <c r="H317" s="67"/>
      <c r="I317" s="87"/>
      <c r="J317" s="87"/>
      <c r="K317" s="87"/>
      <c r="L317" s="87"/>
      <c r="M317" s="87"/>
      <c r="N317" s="87"/>
      <c r="O317" s="87"/>
      <c r="P317" s="87"/>
      <c r="W317" s="139" t="s">
        <v>43</v>
      </c>
      <c r="Y317" s="120" t="str">
        <f t="shared" si="18"/>
        <v/>
      </c>
      <c r="Z317" s="120" t="str">
        <f t="shared" si="19"/>
        <v/>
      </c>
    </row>
    <row r="318" spans="1:27" s="31" customFormat="1" ht="16" thickTop="1" x14ac:dyDescent="0.2">
      <c r="C318" s="32"/>
      <c r="D318" s="32"/>
      <c r="E318" s="32"/>
      <c r="I318" s="75"/>
      <c r="J318" s="75"/>
      <c r="K318" s="75"/>
      <c r="L318" s="75"/>
      <c r="M318" s="75"/>
      <c r="N318" s="75"/>
      <c r="O318" s="75"/>
      <c r="P318" s="75"/>
      <c r="W318" s="139"/>
      <c r="X318" s="125"/>
      <c r="Y318" s="124"/>
    </row>
    <row r="319" spans="1:27" ht="16" x14ac:dyDescent="0.2">
      <c r="A319" s="29" t="s">
        <v>462</v>
      </c>
      <c r="B319" s="29" t="s">
        <v>463</v>
      </c>
      <c r="C319" s="20" t="s">
        <v>464</v>
      </c>
      <c r="D319" s="20" t="s">
        <v>1679</v>
      </c>
      <c r="F319" s="29"/>
      <c r="G319" s="29"/>
      <c r="I319" s="74" t="s">
        <v>25</v>
      </c>
      <c r="J319" s="74"/>
      <c r="K319" s="74"/>
      <c r="L319" s="74"/>
      <c r="M319" s="74" t="s">
        <v>39</v>
      </c>
      <c r="N319" s="74"/>
      <c r="O319" s="74"/>
      <c r="P319" s="74"/>
      <c r="U319" s="21" t="s">
        <v>33</v>
      </c>
      <c r="W319" s="139"/>
      <c r="Y319" s="120"/>
    </row>
    <row r="320" spans="1:27" ht="32" x14ac:dyDescent="0.2">
      <c r="A320" s="29" t="s">
        <v>36</v>
      </c>
      <c r="B320" s="29" t="s">
        <v>465</v>
      </c>
      <c r="C320" s="20" t="s">
        <v>466</v>
      </c>
      <c r="D320" s="20" t="s">
        <v>1680</v>
      </c>
      <c r="E320" s="135"/>
      <c r="F320" s="29"/>
      <c r="G320" s="29"/>
      <c r="H320" s="136"/>
      <c r="I320" s="74" t="s">
        <v>467</v>
      </c>
      <c r="J320" s="74"/>
      <c r="K320" s="74"/>
      <c r="L320" s="74"/>
      <c r="M320" s="74" t="s">
        <v>468</v>
      </c>
      <c r="N320" s="74"/>
      <c r="O320" s="74"/>
      <c r="P320" s="74"/>
      <c r="W320" s="139"/>
      <c r="Y320" s="120"/>
    </row>
    <row r="321" spans="1:26" s="31" customFormat="1" ht="16" x14ac:dyDescent="0.2">
      <c r="A321" s="31" t="s">
        <v>47</v>
      </c>
      <c r="B321" s="31" t="s">
        <v>469</v>
      </c>
      <c r="C321" s="32" t="s">
        <v>470</v>
      </c>
      <c r="D321" s="32" t="s">
        <v>1681</v>
      </c>
      <c r="E321" s="33"/>
      <c r="F321" s="31" t="s">
        <v>471</v>
      </c>
      <c r="G321" s="31" t="s">
        <v>1722</v>
      </c>
      <c r="H321" s="37"/>
      <c r="I321" s="75" t="s">
        <v>32</v>
      </c>
      <c r="J321" s="75"/>
      <c r="K321" s="75"/>
      <c r="L321" s="75"/>
      <c r="M321" s="75"/>
      <c r="N321" s="75"/>
      <c r="O321" s="75"/>
      <c r="P321" s="75"/>
      <c r="U321" s="31" t="s">
        <v>33</v>
      </c>
      <c r="W321" s="139"/>
      <c r="X321" s="63"/>
      <c r="Y321" s="120"/>
      <c r="Z321" s="120" t="str">
        <f>IF(AND(W321&lt;&gt;"",U321="yes"),W321*X321,"")</f>
        <v/>
      </c>
    </row>
    <row r="322" spans="1:26" x14ac:dyDescent="0.2">
      <c r="A322" s="29" t="s">
        <v>27</v>
      </c>
      <c r="B322" s="29" t="s">
        <v>472</v>
      </c>
      <c r="C322" s="20"/>
      <c r="D322" s="20"/>
      <c r="F322" s="29"/>
      <c r="G322" s="29"/>
      <c r="I322" s="74" t="s">
        <v>32</v>
      </c>
      <c r="J322" s="74"/>
      <c r="K322" s="74"/>
      <c r="L322" s="74"/>
      <c r="M322" s="74"/>
      <c r="N322" s="74"/>
      <c r="O322" s="74"/>
      <c r="P322" s="74" t="s">
        <v>473</v>
      </c>
      <c r="U322" s="21" t="s">
        <v>33</v>
      </c>
      <c r="W322" s="139"/>
    </row>
    <row r="323" spans="1:26" x14ac:dyDescent="0.2">
      <c r="W323" s="139"/>
    </row>
    <row r="327" spans="1:26" ht="16" thickBot="1" x14ac:dyDescent="0.25"/>
    <row r="328" spans="1:26" ht="17" thickBot="1" x14ac:dyDescent="0.25">
      <c r="S328" s="148" t="s">
        <v>1049</v>
      </c>
      <c r="T328" s="149"/>
      <c r="U328" s="149"/>
      <c r="V328" s="149"/>
      <c r="W328" s="141"/>
      <c r="X328" s="126"/>
      <c r="Y328" s="127">
        <f>(SUM(Y4:Y315)/60)</f>
        <v>37.460931620636011</v>
      </c>
      <c r="Z328" s="127">
        <f>(SUM(Z4:Z49)+AVERAGE(Z50:Z52)+SUM(Z53:Z315))/60</f>
        <v>17.374864741472127</v>
      </c>
    </row>
  </sheetData>
  <sheetProtection algorithmName="SHA-512" hashValue="7iDmCZIzffK1ME5R79f+9Sn1bhRs4Db0MgzlcUtIfVn80WGgibXa7tzve6HkWZSBA+DhF4auKCHpVWd5qnrxeQ==" saltValue="9nlFq358zzcZvfMYeqscGA=="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71"/>
  <sheetViews>
    <sheetView zoomScale="110" zoomScaleNormal="110" workbookViewId="0">
      <pane ySplit="1" topLeftCell="A18" activePane="bottomLeft" state="frozen"/>
      <selection pane="bottomLeft" activeCell="C33" sqref="C33"/>
    </sheetView>
  </sheetViews>
  <sheetFormatPr baseColWidth="10" defaultColWidth="8.83203125" defaultRowHeight="15" x14ac:dyDescent="0.2"/>
  <cols>
    <col min="1" max="1" width="26.33203125" style="3" customWidth="1"/>
    <col min="2" max="2" width="30" style="3" customWidth="1"/>
    <col min="3" max="3" width="43.33203125" style="3" customWidth="1"/>
    <col min="4" max="4" width="27.1640625" style="3" customWidth="1"/>
    <col min="5" max="5" width="20" style="3" customWidth="1"/>
    <col min="6" max="6" width="16.1640625" style="3" customWidth="1"/>
    <col min="7" max="16384" width="8.83203125" style="3"/>
  </cols>
  <sheetData>
    <row r="1" spans="1:6" x14ac:dyDescent="0.2">
      <c r="A1" s="2" t="s">
        <v>474</v>
      </c>
      <c r="B1" s="2" t="s">
        <v>1</v>
      </c>
      <c r="C1" s="2" t="s">
        <v>2</v>
      </c>
      <c r="D1" s="2" t="s">
        <v>1453</v>
      </c>
      <c r="E1" s="1" t="s">
        <v>3</v>
      </c>
      <c r="F1" s="6" t="s">
        <v>475</v>
      </c>
    </row>
    <row r="2" spans="1:6" s="13" customFormat="1" x14ac:dyDescent="0.2">
      <c r="A2" s="13" t="s">
        <v>1067</v>
      </c>
      <c r="B2" s="151">
        <v>1</v>
      </c>
      <c r="C2" s="151" t="s">
        <v>1068</v>
      </c>
      <c r="D2" s="270" t="s">
        <v>1727</v>
      </c>
      <c r="E2" s="152"/>
      <c r="F2" s="153"/>
    </row>
    <row r="3" spans="1:6" s="13" customFormat="1" x14ac:dyDescent="0.2">
      <c r="A3" s="13" t="s">
        <v>1067</v>
      </c>
      <c r="B3" s="151">
        <v>2</v>
      </c>
      <c r="C3" s="151" t="s">
        <v>1069</v>
      </c>
      <c r="D3" s="270" t="s">
        <v>1728</v>
      </c>
      <c r="E3" s="152"/>
      <c r="F3" s="153"/>
    </row>
    <row r="4" spans="1:6" s="13" customFormat="1" x14ac:dyDescent="0.2">
      <c r="A4" s="13" t="s">
        <v>1067</v>
      </c>
      <c r="B4" s="151">
        <v>3</v>
      </c>
      <c r="C4" s="151" t="s">
        <v>1070</v>
      </c>
      <c r="D4" s="270" t="s">
        <v>1729</v>
      </c>
      <c r="E4" s="152"/>
      <c r="F4" s="153"/>
    </row>
    <row r="5" spans="1:6" s="13" customFormat="1" x14ac:dyDescent="0.2">
      <c r="A5" s="13" t="s">
        <v>1067</v>
      </c>
      <c r="B5" s="151">
        <v>4</v>
      </c>
      <c r="C5" s="151" t="s">
        <v>1071</v>
      </c>
      <c r="D5" s="270" t="s">
        <v>1730</v>
      </c>
      <c r="E5" s="152"/>
      <c r="F5" s="153"/>
    </row>
    <row r="6" spans="1:6" x14ac:dyDescent="0.2">
      <c r="A6" s="2"/>
      <c r="B6" s="2"/>
      <c r="C6" s="2"/>
      <c r="D6" s="2"/>
      <c r="E6" s="1"/>
      <c r="F6" s="2"/>
    </row>
    <row r="7" spans="1:6" x14ac:dyDescent="0.2">
      <c r="A7" t="s">
        <v>23</v>
      </c>
      <c r="B7" s="3">
        <v>1</v>
      </c>
      <c r="C7" s="5" t="s">
        <v>476</v>
      </c>
      <c r="D7" s="271" t="s">
        <v>1731</v>
      </c>
      <c r="E7" s="4"/>
      <c r="F7" s="154"/>
    </row>
    <row r="8" spans="1:6" x14ac:dyDescent="0.2">
      <c r="A8" t="s">
        <v>23</v>
      </c>
      <c r="B8" s="3">
        <v>2</v>
      </c>
      <c r="C8" s="5" t="s">
        <v>477</v>
      </c>
      <c r="D8" s="271" t="s">
        <v>1732</v>
      </c>
      <c r="E8" s="4"/>
      <c r="F8" s="154"/>
    </row>
    <row r="9" spans="1:6" x14ac:dyDescent="0.2">
      <c r="A9" t="s">
        <v>23</v>
      </c>
      <c r="B9" s="3">
        <v>3</v>
      </c>
      <c r="C9" s="5" t="s">
        <v>478</v>
      </c>
      <c r="D9" s="271" t="s">
        <v>1733</v>
      </c>
      <c r="E9" s="4"/>
      <c r="F9" s="154"/>
    </row>
    <row r="10" spans="1:6" x14ac:dyDescent="0.2">
      <c r="E10" s="4"/>
    </row>
    <row r="11" spans="1:6" x14ac:dyDescent="0.2">
      <c r="A11" t="s">
        <v>481</v>
      </c>
      <c r="B11">
        <v>1</v>
      </c>
      <c r="C11" t="s">
        <v>479</v>
      </c>
      <c r="D11" t="s">
        <v>1734</v>
      </c>
      <c r="E11" s="4"/>
    </row>
    <row r="12" spans="1:6" x14ac:dyDescent="0.2">
      <c r="A12" t="s">
        <v>481</v>
      </c>
      <c r="B12">
        <v>2</v>
      </c>
      <c r="C12" t="s">
        <v>480</v>
      </c>
      <c r="D12" t="s">
        <v>482</v>
      </c>
      <c r="E12" s="4"/>
    </row>
    <row r="13" spans="1:6" x14ac:dyDescent="0.2">
      <c r="A13" t="s">
        <v>481</v>
      </c>
      <c r="B13" s="289">
        <v>3</v>
      </c>
      <c r="C13" t="s">
        <v>483</v>
      </c>
      <c r="D13" t="s">
        <v>1735</v>
      </c>
      <c r="E13" s="4"/>
    </row>
    <row r="14" spans="1:6" x14ac:dyDescent="0.2">
      <c r="A14" t="s">
        <v>481</v>
      </c>
      <c r="B14" s="289">
        <v>4</v>
      </c>
      <c r="C14" t="s">
        <v>484</v>
      </c>
      <c r="D14" t="s">
        <v>1736</v>
      </c>
      <c r="E14" s="4"/>
    </row>
    <row r="15" spans="1:6" x14ac:dyDescent="0.2">
      <c r="E15" s="4"/>
    </row>
    <row r="16" spans="1:6" x14ac:dyDescent="0.2">
      <c r="A16" t="s">
        <v>485</v>
      </c>
      <c r="B16" t="s">
        <v>485</v>
      </c>
      <c r="C16" t="s">
        <v>485</v>
      </c>
      <c r="D16" t="s">
        <v>1737</v>
      </c>
      <c r="E16" s="4"/>
    </row>
    <row r="17" spans="1:7" x14ac:dyDescent="0.2">
      <c r="E17" s="4"/>
    </row>
    <row r="18" spans="1:7" x14ac:dyDescent="0.2">
      <c r="A18" t="s">
        <v>486</v>
      </c>
      <c r="B18">
        <v>1</v>
      </c>
      <c r="C18" t="s">
        <v>479</v>
      </c>
      <c r="D18" t="s">
        <v>1738</v>
      </c>
      <c r="E18" s="4"/>
    </row>
    <row r="19" spans="1:7" ht="16" x14ac:dyDescent="0.2">
      <c r="A19" t="s">
        <v>486</v>
      </c>
      <c r="B19">
        <v>2</v>
      </c>
      <c r="C19" t="s">
        <v>480</v>
      </c>
      <c r="D19" t="s">
        <v>480</v>
      </c>
      <c r="E19" s="4"/>
      <c r="G19" s="294"/>
    </row>
    <row r="20" spans="1:7" x14ac:dyDescent="0.2">
      <c r="E20" s="4"/>
    </row>
    <row r="21" spans="1:7" s="11" customFormat="1" x14ac:dyDescent="0.2">
      <c r="A21" s="14" t="s">
        <v>487</v>
      </c>
      <c r="B21" s="14" t="s">
        <v>488</v>
      </c>
      <c r="C21" s="14" t="s">
        <v>489</v>
      </c>
      <c r="D21" s="14" t="s">
        <v>1739</v>
      </c>
      <c r="E21" s="7"/>
    </row>
    <row r="22" spans="1:7" s="11" customFormat="1" x14ac:dyDescent="0.2">
      <c r="A22" s="290" t="s">
        <v>487</v>
      </c>
      <c r="B22" s="290" t="s">
        <v>1550</v>
      </c>
      <c r="C22" s="290" t="s">
        <v>1549</v>
      </c>
      <c r="D22" s="290" t="s">
        <v>1740</v>
      </c>
      <c r="E22" s="7"/>
    </row>
    <row r="23" spans="1:7" s="11" customFormat="1" x14ac:dyDescent="0.2">
      <c r="A23" s="14" t="s">
        <v>487</v>
      </c>
      <c r="B23" s="5" t="s">
        <v>490</v>
      </c>
      <c r="C23" s="5" t="s">
        <v>490</v>
      </c>
      <c r="D23" s="5"/>
      <c r="E23" s="7"/>
    </row>
    <row r="24" spans="1:7" x14ac:dyDescent="0.2">
      <c r="E24" s="4"/>
    </row>
    <row r="25" spans="1:7" x14ac:dyDescent="0.2">
      <c r="A25" t="s">
        <v>491</v>
      </c>
      <c r="B25">
        <v>1</v>
      </c>
      <c r="C25" t="s">
        <v>492</v>
      </c>
      <c r="D25" t="s">
        <v>1741</v>
      </c>
      <c r="E25" s="4"/>
    </row>
    <row r="26" spans="1:7" x14ac:dyDescent="0.2">
      <c r="A26" t="s">
        <v>491</v>
      </c>
      <c r="B26">
        <v>2</v>
      </c>
      <c r="C26" t="s">
        <v>493</v>
      </c>
      <c r="D26" t="s">
        <v>1742</v>
      </c>
      <c r="E26" s="4"/>
    </row>
    <row r="27" spans="1:7" x14ac:dyDescent="0.2">
      <c r="A27" t="s">
        <v>491</v>
      </c>
      <c r="B27" s="289">
        <v>3</v>
      </c>
      <c r="C27" s="290" t="s">
        <v>483</v>
      </c>
      <c r="D27" t="s">
        <v>1735</v>
      </c>
      <c r="E27" s="4"/>
    </row>
    <row r="28" spans="1:7" x14ac:dyDescent="0.2">
      <c r="A28" t="s">
        <v>491</v>
      </c>
      <c r="B28" s="289">
        <v>4</v>
      </c>
      <c r="C28" s="290" t="s">
        <v>484</v>
      </c>
      <c r="D28" t="s">
        <v>1736</v>
      </c>
      <c r="E28" s="4"/>
    </row>
    <row r="29" spans="1:7" x14ac:dyDescent="0.2">
      <c r="C29" s="14"/>
      <c r="D29" s="14"/>
      <c r="E29" s="4"/>
    </row>
    <row r="30" spans="1:7" x14ac:dyDescent="0.2">
      <c r="A30" t="s">
        <v>494</v>
      </c>
      <c r="B30">
        <v>1</v>
      </c>
      <c r="C30" s="290" t="s">
        <v>495</v>
      </c>
      <c r="D30" s="290" t="s">
        <v>1743</v>
      </c>
      <c r="E30" s="4"/>
    </row>
    <row r="31" spans="1:7" x14ac:dyDescent="0.2">
      <c r="A31" t="s">
        <v>494</v>
      </c>
      <c r="B31">
        <v>2</v>
      </c>
      <c r="C31" s="3" t="s">
        <v>2126</v>
      </c>
      <c r="D31" s="290" t="s">
        <v>2127</v>
      </c>
      <c r="E31" s="4"/>
    </row>
    <row r="32" spans="1:7" x14ac:dyDescent="0.2">
      <c r="A32" t="s">
        <v>494</v>
      </c>
      <c r="B32">
        <v>3</v>
      </c>
      <c r="C32" s="290" t="s">
        <v>2129</v>
      </c>
      <c r="D32" s="290" t="s">
        <v>2128</v>
      </c>
      <c r="E32" s="4"/>
    </row>
    <row r="33" spans="1:5" x14ac:dyDescent="0.2">
      <c r="A33" t="s">
        <v>494</v>
      </c>
      <c r="B33">
        <v>4</v>
      </c>
      <c r="C33" s="290" t="s">
        <v>482</v>
      </c>
      <c r="D33" s="290" t="s">
        <v>482</v>
      </c>
      <c r="E33" s="4"/>
    </row>
    <row r="34" spans="1:5" x14ac:dyDescent="0.2">
      <c r="C34" s="14"/>
      <c r="D34" s="14"/>
      <c r="E34" s="4"/>
    </row>
    <row r="35" spans="1:5" x14ac:dyDescent="0.2">
      <c r="A35" t="s">
        <v>496</v>
      </c>
      <c r="B35">
        <v>1</v>
      </c>
      <c r="C35" t="s">
        <v>497</v>
      </c>
      <c r="D35" t="s">
        <v>1744</v>
      </c>
      <c r="E35" s="4"/>
    </row>
    <row r="36" spans="1:5" x14ac:dyDescent="0.2">
      <c r="A36" t="s">
        <v>496</v>
      </c>
      <c r="B36">
        <v>2</v>
      </c>
      <c r="C36" t="s">
        <v>498</v>
      </c>
      <c r="D36" t="s">
        <v>1745</v>
      </c>
      <c r="E36" s="4"/>
    </row>
    <row r="37" spans="1:5" x14ac:dyDescent="0.2">
      <c r="A37" t="s">
        <v>496</v>
      </c>
      <c r="B37">
        <v>3</v>
      </c>
      <c r="C37" t="s">
        <v>499</v>
      </c>
      <c r="D37" t="s">
        <v>1746</v>
      </c>
      <c r="E37" s="4"/>
    </row>
    <row r="38" spans="1:5" x14ac:dyDescent="0.2">
      <c r="A38" t="s">
        <v>496</v>
      </c>
      <c r="B38">
        <v>4</v>
      </c>
      <c r="C38" t="s">
        <v>480</v>
      </c>
      <c r="D38" t="s">
        <v>480</v>
      </c>
      <c r="E38" s="4"/>
    </row>
    <row r="39" spans="1:5" x14ac:dyDescent="0.2">
      <c r="A39" t="s">
        <v>496</v>
      </c>
      <c r="B39" s="289">
        <v>5</v>
      </c>
      <c r="C39" s="290" t="s">
        <v>483</v>
      </c>
      <c r="D39" t="s">
        <v>1735</v>
      </c>
      <c r="E39" s="4"/>
    </row>
    <row r="40" spans="1:5" x14ac:dyDescent="0.2">
      <c r="A40" t="s">
        <v>496</v>
      </c>
      <c r="B40" s="289">
        <v>6</v>
      </c>
      <c r="C40" t="s">
        <v>484</v>
      </c>
      <c r="D40" t="s">
        <v>1736</v>
      </c>
      <c r="E40" s="4"/>
    </row>
    <row r="41" spans="1:5" x14ac:dyDescent="0.2">
      <c r="E41" s="4"/>
    </row>
    <row r="42" spans="1:5" x14ac:dyDescent="0.2">
      <c r="A42" t="s">
        <v>500</v>
      </c>
      <c r="B42">
        <v>1</v>
      </c>
      <c r="C42" s="290" t="s">
        <v>501</v>
      </c>
      <c r="D42" s="290" t="s">
        <v>1747</v>
      </c>
      <c r="E42" s="4"/>
    </row>
    <row r="43" spans="1:5" x14ac:dyDescent="0.2">
      <c r="A43" t="s">
        <v>500</v>
      </c>
      <c r="B43">
        <v>2</v>
      </c>
      <c r="C43" s="290" t="s">
        <v>502</v>
      </c>
      <c r="D43" s="290" t="s">
        <v>1748</v>
      </c>
      <c r="E43" s="4"/>
    </row>
    <row r="44" spans="1:5" x14ac:dyDescent="0.2">
      <c r="A44" t="s">
        <v>500</v>
      </c>
      <c r="B44">
        <v>3</v>
      </c>
      <c r="C44" s="290" t="s">
        <v>503</v>
      </c>
      <c r="D44" s="290" t="s">
        <v>1749</v>
      </c>
      <c r="E44" s="4"/>
    </row>
    <row r="45" spans="1:5" x14ac:dyDescent="0.2">
      <c r="A45" t="s">
        <v>500</v>
      </c>
      <c r="B45">
        <v>4</v>
      </c>
      <c r="C45" s="290" t="s">
        <v>504</v>
      </c>
      <c r="D45" s="290" t="s">
        <v>1750</v>
      </c>
      <c r="E45" s="4"/>
    </row>
    <row r="46" spans="1:5" x14ac:dyDescent="0.2">
      <c r="A46" t="s">
        <v>500</v>
      </c>
      <c r="B46">
        <v>5</v>
      </c>
      <c r="C46" s="290" t="s">
        <v>505</v>
      </c>
      <c r="D46" s="290" t="s">
        <v>1751</v>
      </c>
      <c r="E46" s="4"/>
    </row>
    <row r="47" spans="1:5" x14ac:dyDescent="0.2">
      <c r="A47" t="s">
        <v>500</v>
      </c>
      <c r="B47" s="289">
        <v>6</v>
      </c>
      <c r="C47" t="s">
        <v>483</v>
      </c>
      <c r="D47" t="s">
        <v>1735</v>
      </c>
      <c r="E47" s="4"/>
    </row>
    <row r="48" spans="1:5" x14ac:dyDescent="0.2">
      <c r="A48" t="s">
        <v>500</v>
      </c>
      <c r="B48" s="289">
        <v>7</v>
      </c>
      <c r="C48" t="s">
        <v>484</v>
      </c>
      <c r="D48" t="s">
        <v>1736</v>
      </c>
      <c r="E48" s="4"/>
    </row>
    <row r="49" spans="1:5" x14ac:dyDescent="0.2">
      <c r="B49" s="10"/>
      <c r="E49" s="4"/>
    </row>
    <row r="50" spans="1:5" x14ac:dyDescent="0.2">
      <c r="A50" t="s">
        <v>506</v>
      </c>
      <c r="B50" s="289">
        <v>1</v>
      </c>
      <c r="C50" t="s">
        <v>507</v>
      </c>
      <c r="D50" t="s">
        <v>1752</v>
      </c>
      <c r="E50" s="4"/>
    </row>
    <row r="51" spans="1:5" x14ac:dyDescent="0.2">
      <c r="A51" t="s">
        <v>506</v>
      </c>
      <c r="B51" s="289">
        <v>2</v>
      </c>
      <c r="C51" t="s">
        <v>508</v>
      </c>
      <c r="D51" t="s">
        <v>1753</v>
      </c>
      <c r="E51" s="4"/>
    </row>
    <row r="52" spans="1:5" x14ac:dyDescent="0.2">
      <c r="A52" t="s">
        <v>506</v>
      </c>
      <c r="B52" s="289">
        <v>3</v>
      </c>
      <c r="C52" t="s">
        <v>509</v>
      </c>
      <c r="D52" t="s">
        <v>1754</v>
      </c>
      <c r="E52" s="4"/>
    </row>
    <row r="53" spans="1:5" x14ac:dyDescent="0.2">
      <c r="A53" t="s">
        <v>506</v>
      </c>
      <c r="B53" s="289">
        <v>4</v>
      </c>
      <c r="C53" t="s">
        <v>510</v>
      </c>
      <c r="D53" t="s">
        <v>1755</v>
      </c>
      <c r="E53" s="4"/>
    </row>
    <row r="54" spans="1:5" x14ac:dyDescent="0.2">
      <c r="A54" t="s">
        <v>506</v>
      </c>
      <c r="B54" s="289">
        <v>5</v>
      </c>
      <c r="C54" t="s">
        <v>511</v>
      </c>
      <c r="D54" t="s">
        <v>1756</v>
      </c>
      <c r="E54" s="4"/>
    </row>
    <row r="55" spans="1:5" x14ac:dyDescent="0.2">
      <c r="A55" t="s">
        <v>506</v>
      </c>
      <c r="B55" s="289">
        <v>6</v>
      </c>
      <c r="C55" t="s">
        <v>512</v>
      </c>
      <c r="D55" t="s">
        <v>1757</v>
      </c>
      <c r="E55" s="4"/>
    </row>
    <row r="56" spans="1:5" x14ac:dyDescent="0.2">
      <c r="A56" t="s">
        <v>506</v>
      </c>
      <c r="B56" s="289">
        <v>7</v>
      </c>
      <c r="C56" t="s">
        <v>513</v>
      </c>
      <c r="D56" t="s">
        <v>1758</v>
      </c>
      <c r="E56" s="4"/>
    </row>
    <row r="57" spans="1:5" x14ac:dyDescent="0.2">
      <c r="A57" t="s">
        <v>506</v>
      </c>
      <c r="B57" s="289">
        <v>8</v>
      </c>
      <c r="C57" t="s">
        <v>514</v>
      </c>
      <c r="D57" t="s">
        <v>1759</v>
      </c>
      <c r="E57" s="4"/>
    </row>
    <row r="58" spans="1:5" x14ac:dyDescent="0.2">
      <c r="A58" t="s">
        <v>506</v>
      </c>
      <c r="B58" s="289">
        <v>9</v>
      </c>
      <c r="C58" t="s">
        <v>1104</v>
      </c>
      <c r="D58" t="s">
        <v>1760</v>
      </c>
      <c r="E58" s="4"/>
    </row>
    <row r="59" spans="1:5" x14ac:dyDescent="0.2">
      <c r="A59" t="s">
        <v>506</v>
      </c>
      <c r="B59" s="289">
        <v>10</v>
      </c>
      <c r="C59" t="s">
        <v>515</v>
      </c>
      <c r="D59" t="s">
        <v>1761</v>
      </c>
      <c r="E59" s="4"/>
    </row>
    <row r="60" spans="1:5" x14ac:dyDescent="0.2">
      <c r="A60" t="s">
        <v>506</v>
      </c>
      <c r="B60" s="289">
        <v>11</v>
      </c>
      <c r="C60" t="s">
        <v>483</v>
      </c>
      <c r="D60" t="s">
        <v>1735</v>
      </c>
      <c r="E60" s="4"/>
    </row>
    <row r="61" spans="1:5" x14ac:dyDescent="0.2">
      <c r="A61" t="s">
        <v>506</v>
      </c>
      <c r="B61" s="289">
        <v>12</v>
      </c>
      <c r="C61" t="s">
        <v>484</v>
      </c>
      <c r="D61" t="s">
        <v>1736</v>
      </c>
      <c r="E61" s="4"/>
    </row>
    <row r="62" spans="1:5" x14ac:dyDescent="0.2">
      <c r="B62" s="10"/>
      <c r="E62" s="4"/>
    </row>
    <row r="63" spans="1:5" x14ac:dyDescent="0.2">
      <c r="A63" t="s">
        <v>516</v>
      </c>
      <c r="B63" s="289">
        <v>1</v>
      </c>
      <c r="C63" t="s">
        <v>517</v>
      </c>
      <c r="D63" t="s">
        <v>1762</v>
      </c>
      <c r="E63" s="4"/>
    </row>
    <row r="64" spans="1:5" x14ac:dyDescent="0.2">
      <c r="A64" t="s">
        <v>516</v>
      </c>
      <c r="B64" s="289">
        <v>2</v>
      </c>
      <c r="C64" t="s">
        <v>518</v>
      </c>
      <c r="D64" t="s">
        <v>1763</v>
      </c>
      <c r="E64" s="4"/>
    </row>
    <row r="65" spans="1:5" x14ac:dyDescent="0.2">
      <c r="A65" t="s">
        <v>516</v>
      </c>
      <c r="B65" s="289">
        <v>3</v>
      </c>
      <c r="C65" t="s">
        <v>519</v>
      </c>
      <c r="D65" t="s">
        <v>1764</v>
      </c>
      <c r="E65" s="4"/>
    </row>
    <row r="66" spans="1:5" x14ac:dyDescent="0.2">
      <c r="A66" t="s">
        <v>516</v>
      </c>
      <c r="B66" s="289">
        <v>4</v>
      </c>
      <c r="C66" t="s">
        <v>520</v>
      </c>
      <c r="D66" t="s">
        <v>1765</v>
      </c>
      <c r="E66" s="4"/>
    </row>
    <row r="67" spans="1:5" x14ac:dyDescent="0.2">
      <c r="A67" t="s">
        <v>516</v>
      </c>
      <c r="B67" s="289">
        <v>5</v>
      </c>
      <c r="C67" t="s">
        <v>521</v>
      </c>
      <c r="D67" t="s">
        <v>1766</v>
      </c>
      <c r="E67" s="4"/>
    </row>
    <row r="68" spans="1:5" x14ac:dyDescent="0.2">
      <c r="A68" t="s">
        <v>516</v>
      </c>
      <c r="B68" s="289">
        <v>6</v>
      </c>
      <c r="C68" t="s">
        <v>483</v>
      </c>
      <c r="D68" t="s">
        <v>1735</v>
      </c>
      <c r="E68" s="4"/>
    </row>
    <row r="69" spans="1:5" x14ac:dyDescent="0.2">
      <c r="A69" t="s">
        <v>516</v>
      </c>
      <c r="B69" s="289">
        <v>7</v>
      </c>
      <c r="C69" t="s">
        <v>484</v>
      </c>
      <c r="D69" t="s">
        <v>1736</v>
      </c>
      <c r="E69" s="4"/>
    </row>
    <row r="70" spans="1:5" x14ac:dyDescent="0.2">
      <c r="B70" s="10"/>
      <c r="E70" s="4"/>
    </row>
    <row r="71" spans="1:5" x14ac:dyDescent="0.2">
      <c r="A71" t="s">
        <v>522</v>
      </c>
      <c r="B71" s="289">
        <v>1</v>
      </c>
      <c r="C71" t="s">
        <v>2076</v>
      </c>
      <c r="D71" t="s">
        <v>2118</v>
      </c>
      <c r="E71" s="4"/>
    </row>
    <row r="72" spans="1:5" x14ac:dyDescent="0.2">
      <c r="A72" t="s">
        <v>522</v>
      </c>
      <c r="B72" s="289">
        <v>2</v>
      </c>
      <c r="C72" t="s">
        <v>523</v>
      </c>
      <c r="D72" t="s">
        <v>1767</v>
      </c>
      <c r="E72" s="4"/>
    </row>
    <row r="73" spans="1:5" x14ac:dyDescent="0.2">
      <c r="A73" t="s">
        <v>522</v>
      </c>
      <c r="B73" s="289">
        <v>3</v>
      </c>
      <c r="C73" t="s">
        <v>524</v>
      </c>
      <c r="D73" t="s">
        <v>1768</v>
      </c>
      <c r="E73" s="4"/>
    </row>
    <row r="74" spans="1:5" x14ac:dyDescent="0.2">
      <c r="A74" t="s">
        <v>522</v>
      </c>
      <c r="B74" s="289">
        <v>4</v>
      </c>
      <c r="C74" t="s">
        <v>525</v>
      </c>
      <c r="D74" t="s">
        <v>1769</v>
      </c>
      <c r="E74" s="4"/>
    </row>
    <row r="75" spans="1:5" x14ac:dyDescent="0.2">
      <c r="A75" t="s">
        <v>522</v>
      </c>
      <c r="B75" s="289">
        <v>5</v>
      </c>
      <c r="C75" t="s">
        <v>1105</v>
      </c>
      <c r="D75" t="s">
        <v>1771</v>
      </c>
      <c r="E75" s="4"/>
    </row>
    <row r="76" spans="1:5" x14ac:dyDescent="0.2">
      <c r="A76" t="s">
        <v>522</v>
      </c>
      <c r="B76" s="289">
        <v>6</v>
      </c>
      <c r="C76" t="s">
        <v>526</v>
      </c>
      <c r="D76" t="s">
        <v>1770</v>
      </c>
      <c r="E76" s="4"/>
    </row>
    <row r="77" spans="1:5" x14ac:dyDescent="0.2">
      <c r="A77" t="s">
        <v>522</v>
      </c>
      <c r="B77" s="289">
        <v>7</v>
      </c>
      <c r="C77" t="s">
        <v>483</v>
      </c>
      <c r="D77" t="s">
        <v>1735</v>
      </c>
      <c r="E77" s="4"/>
    </row>
    <row r="78" spans="1:5" x14ac:dyDescent="0.2">
      <c r="A78" t="s">
        <v>522</v>
      </c>
      <c r="B78" s="289">
        <v>8</v>
      </c>
      <c r="C78" t="s">
        <v>484</v>
      </c>
      <c r="D78" t="s">
        <v>1736</v>
      </c>
      <c r="E78" s="4"/>
    </row>
    <row r="79" spans="1:5" x14ac:dyDescent="0.2">
      <c r="E79" s="4"/>
    </row>
    <row r="80" spans="1:5" x14ac:dyDescent="0.2">
      <c r="A80" s="291" t="s">
        <v>527</v>
      </c>
      <c r="B80" s="291">
        <v>1</v>
      </c>
      <c r="C80" s="291" t="s">
        <v>528</v>
      </c>
      <c r="D80" s="292" t="s">
        <v>1772</v>
      </c>
      <c r="E80" s="4"/>
    </row>
    <row r="81" spans="1:5" x14ac:dyDescent="0.2">
      <c r="A81" s="291" t="s">
        <v>527</v>
      </c>
      <c r="B81" s="291">
        <v>2</v>
      </c>
      <c r="C81" s="291" t="s">
        <v>529</v>
      </c>
      <c r="D81" s="292" t="s">
        <v>1773</v>
      </c>
      <c r="E81" s="4"/>
    </row>
    <row r="82" spans="1:5" x14ac:dyDescent="0.2">
      <c r="A82" s="291" t="s">
        <v>527</v>
      </c>
      <c r="B82" s="291">
        <v>3</v>
      </c>
      <c r="C82" s="291" t="s">
        <v>530</v>
      </c>
      <c r="D82" s="292" t="s">
        <v>1774</v>
      </c>
      <c r="E82" s="4"/>
    </row>
    <row r="83" spans="1:5" x14ac:dyDescent="0.2">
      <c r="A83" s="291" t="s">
        <v>527</v>
      </c>
      <c r="B83" s="291">
        <v>4</v>
      </c>
      <c r="C83" s="291" t="s">
        <v>531</v>
      </c>
      <c r="D83" s="292" t="s">
        <v>1775</v>
      </c>
      <c r="E83" s="4"/>
    </row>
    <row r="84" spans="1:5" x14ac:dyDescent="0.2">
      <c r="A84" s="291" t="s">
        <v>527</v>
      </c>
      <c r="B84" s="291">
        <v>5</v>
      </c>
      <c r="C84" s="291" t="s">
        <v>532</v>
      </c>
      <c r="D84" s="292" t="s">
        <v>1776</v>
      </c>
      <c r="E84" s="4"/>
    </row>
    <row r="85" spans="1:5" x14ac:dyDescent="0.2">
      <c r="A85" s="291" t="s">
        <v>527</v>
      </c>
      <c r="B85" s="291">
        <v>6</v>
      </c>
      <c r="C85" s="291" t="s">
        <v>483</v>
      </c>
      <c r="D85" s="292" t="s">
        <v>1735</v>
      </c>
      <c r="E85" s="4"/>
    </row>
    <row r="86" spans="1:5" x14ac:dyDescent="0.2">
      <c r="A86" s="291" t="s">
        <v>527</v>
      </c>
      <c r="B86" s="291">
        <v>7</v>
      </c>
      <c r="C86" s="291" t="s">
        <v>484</v>
      </c>
      <c r="D86" s="292" t="s">
        <v>1736</v>
      </c>
      <c r="E86" s="4"/>
    </row>
    <row r="87" spans="1:5" x14ac:dyDescent="0.2">
      <c r="A87" s="13"/>
      <c r="B87" s="13"/>
      <c r="C87" s="13"/>
      <c r="D87" s="272"/>
      <c r="E87" s="4"/>
    </row>
    <row r="88" spans="1:5" x14ac:dyDescent="0.2">
      <c r="A88" s="291" t="s">
        <v>533</v>
      </c>
      <c r="B88" s="291" t="s">
        <v>1114</v>
      </c>
      <c r="C88" s="291" t="s">
        <v>1116</v>
      </c>
      <c r="D88" s="291" t="s">
        <v>1796</v>
      </c>
      <c r="E88" s="4"/>
    </row>
    <row r="89" spans="1:5" x14ac:dyDescent="0.2">
      <c r="A89" s="291" t="s">
        <v>533</v>
      </c>
      <c r="B89" s="291" t="s">
        <v>538</v>
      </c>
      <c r="C89" s="291" t="s">
        <v>1117</v>
      </c>
      <c r="D89" s="292" t="s">
        <v>1778</v>
      </c>
      <c r="E89" s="4"/>
    </row>
    <row r="90" spans="1:5" x14ac:dyDescent="0.2">
      <c r="A90" s="291" t="s">
        <v>533</v>
      </c>
      <c r="B90" s="291" t="s">
        <v>539</v>
      </c>
      <c r="C90" s="291" t="s">
        <v>1115</v>
      </c>
      <c r="D90" s="292" t="s">
        <v>1779</v>
      </c>
      <c r="E90" s="4"/>
    </row>
    <row r="91" spans="1:5" x14ac:dyDescent="0.2">
      <c r="A91" s="291" t="s">
        <v>533</v>
      </c>
      <c r="B91" s="291" t="s">
        <v>534</v>
      </c>
      <c r="C91" s="291" t="s">
        <v>535</v>
      </c>
      <c r="D91" s="292" t="s">
        <v>535</v>
      </c>
      <c r="E91" s="4"/>
    </row>
    <row r="92" spans="1:5" x14ac:dyDescent="0.2">
      <c r="A92" s="291" t="s">
        <v>533</v>
      </c>
      <c r="B92" s="291" t="s">
        <v>536</v>
      </c>
      <c r="C92" s="291" t="s">
        <v>537</v>
      </c>
      <c r="D92" s="292" t="s">
        <v>1777</v>
      </c>
      <c r="E92" s="4"/>
    </row>
    <row r="93" spans="1:5" x14ac:dyDescent="0.2">
      <c r="A93" s="291" t="s">
        <v>533</v>
      </c>
      <c r="B93" s="291" t="s">
        <v>540</v>
      </c>
      <c r="C93" s="291" t="s">
        <v>1118</v>
      </c>
      <c r="D93" s="292" t="s">
        <v>1780</v>
      </c>
      <c r="E93" s="4"/>
    </row>
    <row r="94" spans="1:5" x14ac:dyDescent="0.2">
      <c r="A94" s="291" t="s">
        <v>533</v>
      </c>
      <c r="B94" s="291" t="s">
        <v>541</v>
      </c>
      <c r="C94" s="291" t="s">
        <v>1119</v>
      </c>
      <c r="D94" s="292" t="s">
        <v>1781</v>
      </c>
      <c r="E94" s="4"/>
    </row>
    <row r="95" spans="1:5" x14ac:dyDescent="0.2">
      <c r="A95" s="291" t="s">
        <v>533</v>
      </c>
      <c r="B95" s="291" t="s">
        <v>542</v>
      </c>
      <c r="C95" s="291" t="s">
        <v>483</v>
      </c>
      <c r="D95" s="292" t="s">
        <v>1735</v>
      </c>
      <c r="E95" s="4"/>
    </row>
    <row r="96" spans="1:5" x14ac:dyDescent="0.2">
      <c r="A96" s="291" t="s">
        <v>533</v>
      </c>
      <c r="B96" s="291" t="s">
        <v>543</v>
      </c>
      <c r="C96" s="291" t="s">
        <v>484</v>
      </c>
      <c r="D96" s="292" t="s">
        <v>1736</v>
      </c>
      <c r="E96" s="4"/>
    </row>
    <row r="97" spans="1:5" x14ac:dyDescent="0.2">
      <c r="A97" s="13"/>
      <c r="B97" s="13"/>
      <c r="C97" s="13"/>
      <c r="D97" s="272"/>
      <c r="E97" s="4"/>
    </row>
    <row r="98" spans="1:5" x14ac:dyDescent="0.2">
      <c r="A98" s="291" t="s">
        <v>544</v>
      </c>
      <c r="B98" s="291" t="s">
        <v>545</v>
      </c>
      <c r="C98" s="291" t="s">
        <v>546</v>
      </c>
      <c r="D98" s="292" t="s">
        <v>1782</v>
      </c>
      <c r="E98" s="4"/>
    </row>
    <row r="99" spans="1:5" x14ac:dyDescent="0.2">
      <c r="A99" s="291" t="s">
        <v>544</v>
      </c>
      <c r="B99" s="291" t="s">
        <v>1110</v>
      </c>
      <c r="C99" s="291" t="s">
        <v>1155</v>
      </c>
      <c r="D99" s="292" t="s">
        <v>1798</v>
      </c>
      <c r="E99" s="4"/>
    </row>
    <row r="100" spans="1:5" x14ac:dyDescent="0.2">
      <c r="A100" s="291" t="s">
        <v>544</v>
      </c>
      <c r="B100" s="291" t="s">
        <v>1111</v>
      </c>
      <c r="C100" s="291" t="s">
        <v>1112</v>
      </c>
      <c r="D100" s="292" t="s">
        <v>1799</v>
      </c>
      <c r="E100" s="4"/>
    </row>
    <row r="101" spans="1:5" x14ac:dyDescent="0.2">
      <c r="A101" s="291" t="s">
        <v>544</v>
      </c>
      <c r="B101" s="291" t="s">
        <v>547</v>
      </c>
      <c r="C101" s="291" t="s">
        <v>1113</v>
      </c>
      <c r="D101" s="292" t="s">
        <v>1797</v>
      </c>
      <c r="E101" s="4"/>
    </row>
    <row r="102" spans="1:5" x14ac:dyDescent="0.2">
      <c r="A102" s="291" t="s">
        <v>544</v>
      </c>
      <c r="B102" s="291" t="s">
        <v>548</v>
      </c>
      <c r="C102" s="291" t="s">
        <v>549</v>
      </c>
      <c r="D102" s="292" t="s">
        <v>1783</v>
      </c>
      <c r="E102" s="4"/>
    </row>
    <row r="103" spans="1:5" x14ac:dyDescent="0.2">
      <c r="A103" s="291" t="s">
        <v>544</v>
      </c>
      <c r="B103" s="291" t="s">
        <v>550</v>
      </c>
      <c r="C103" s="291" t="s">
        <v>551</v>
      </c>
      <c r="D103" s="292" t="s">
        <v>1784</v>
      </c>
      <c r="E103" s="4"/>
    </row>
    <row r="104" spans="1:5" x14ac:dyDescent="0.2">
      <c r="A104" s="291" t="s">
        <v>544</v>
      </c>
      <c r="B104" s="291" t="s">
        <v>540</v>
      </c>
      <c r="C104" s="291" t="s">
        <v>552</v>
      </c>
      <c r="D104" s="292" t="s">
        <v>1785</v>
      </c>
      <c r="E104" s="4"/>
    </row>
    <row r="105" spans="1:5" x14ac:dyDescent="0.2">
      <c r="A105" s="291" t="s">
        <v>544</v>
      </c>
      <c r="B105" s="291" t="s">
        <v>541</v>
      </c>
      <c r="C105" s="291" t="s">
        <v>553</v>
      </c>
      <c r="D105" s="292" t="s">
        <v>1786</v>
      </c>
      <c r="E105" s="4"/>
    </row>
    <row r="106" spans="1:5" x14ac:dyDescent="0.2">
      <c r="A106" s="291" t="s">
        <v>544</v>
      </c>
      <c r="B106" s="291" t="s">
        <v>542</v>
      </c>
      <c r="C106" s="291" t="s">
        <v>483</v>
      </c>
      <c r="D106" s="292" t="s">
        <v>1735</v>
      </c>
      <c r="E106" s="4"/>
    </row>
    <row r="107" spans="1:5" x14ac:dyDescent="0.2">
      <c r="A107" s="291" t="s">
        <v>544</v>
      </c>
      <c r="B107" s="291" t="s">
        <v>543</v>
      </c>
      <c r="C107" s="291" t="s">
        <v>484</v>
      </c>
      <c r="D107" s="292" t="s">
        <v>1736</v>
      </c>
      <c r="E107" s="4"/>
    </row>
    <row r="108" spans="1:5" x14ac:dyDescent="0.2">
      <c r="A108" s="13"/>
      <c r="B108" s="13"/>
      <c r="C108" s="13"/>
      <c r="E108" s="4"/>
    </row>
    <row r="109" spans="1:5" x14ac:dyDescent="0.2">
      <c r="A109" s="291" t="s">
        <v>554</v>
      </c>
      <c r="B109" s="291">
        <v>1</v>
      </c>
      <c r="C109" s="291" t="s">
        <v>555</v>
      </c>
      <c r="D109" s="292" t="s">
        <v>1787</v>
      </c>
      <c r="E109" s="4"/>
    </row>
    <row r="110" spans="1:5" x14ac:dyDescent="0.2">
      <c r="A110" s="291" t="s">
        <v>554</v>
      </c>
      <c r="B110" s="291">
        <v>2</v>
      </c>
      <c r="C110" s="291" t="s">
        <v>556</v>
      </c>
      <c r="D110" s="292" t="s">
        <v>1788</v>
      </c>
      <c r="E110" s="4"/>
    </row>
    <row r="111" spans="1:5" x14ac:dyDescent="0.2">
      <c r="A111" s="291" t="s">
        <v>554</v>
      </c>
      <c r="B111" s="291">
        <v>3</v>
      </c>
      <c r="C111" s="291" t="s">
        <v>557</v>
      </c>
      <c r="D111" s="292" t="s">
        <v>1789</v>
      </c>
      <c r="E111" s="4"/>
    </row>
    <row r="112" spans="1:5" x14ac:dyDescent="0.2">
      <c r="A112" s="291" t="s">
        <v>554</v>
      </c>
      <c r="B112" s="291">
        <v>4</v>
      </c>
      <c r="C112" s="291" t="s">
        <v>558</v>
      </c>
      <c r="D112" s="292" t="s">
        <v>1790</v>
      </c>
      <c r="E112" s="4"/>
    </row>
    <row r="113" spans="1:5" x14ac:dyDescent="0.2">
      <c r="A113" s="291" t="s">
        <v>554</v>
      </c>
      <c r="B113" s="291">
        <v>5</v>
      </c>
      <c r="C113" s="291" t="s">
        <v>559</v>
      </c>
      <c r="D113" s="292" t="s">
        <v>1791</v>
      </c>
      <c r="E113" s="4"/>
    </row>
    <row r="114" spans="1:5" x14ac:dyDescent="0.2">
      <c r="A114" s="291" t="s">
        <v>554</v>
      </c>
      <c r="B114" s="291">
        <v>6</v>
      </c>
      <c r="C114" s="291" t="s">
        <v>560</v>
      </c>
      <c r="D114" s="292" t="s">
        <v>1735</v>
      </c>
      <c r="E114" s="4"/>
    </row>
    <row r="115" spans="1:5" x14ac:dyDescent="0.2">
      <c r="A115" s="291" t="s">
        <v>554</v>
      </c>
      <c r="B115" s="291">
        <v>7</v>
      </c>
      <c r="C115" s="291" t="s">
        <v>561</v>
      </c>
      <c r="D115" s="292" t="s">
        <v>1736</v>
      </c>
      <c r="E115" s="4"/>
    </row>
    <row r="116" spans="1:5" x14ac:dyDescent="0.2">
      <c r="A116" s="13"/>
      <c r="B116" s="13"/>
      <c r="C116" s="13"/>
      <c r="D116" s="272"/>
      <c r="E116" s="4"/>
    </row>
    <row r="117" spans="1:5" x14ac:dyDescent="0.2">
      <c r="A117" s="291" t="s">
        <v>562</v>
      </c>
      <c r="B117" s="291">
        <v>1</v>
      </c>
      <c r="C117" s="291" t="s">
        <v>563</v>
      </c>
      <c r="D117" s="292" t="s">
        <v>1792</v>
      </c>
      <c r="E117" s="4"/>
    </row>
    <row r="118" spans="1:5" x14ac:dyDescent="0.2">
      <c r="A118" s="291" t="s">
        <v>562</v>
      </c>
      <c r="B118" s="291">
        <v>2</v>
      </c>
      <c r="C118" s="291" t="s">
        <v>564</v>
      </c>
      <c r="D118" s="292" t="s">
        <v>1793</v>
      </c>
      <c r="E118" s="4"/>
    </row>
    <row r="119" spans="1:5" x14ac:dyDescent="0.2">
      <c r="A119" s="291" t="s">
        <v>562</v>
      </c>
      <c r="B119" s="291">
        <v>3</v>
      </c>
      <c r="C119" s="291" t="s">
        <v>565</v>
      </c>
      <c r="D119" s="292" t="s">
        <v>1794</v>
      </c>
      <c r="E119" s="4"/>
    </row>
    <row r="120" spans="1:5" x14ac:dyDescent="0.2">
      <c r="A120" s="291" t="s">
        <v>562</v>
      </c>
      <c r="B120" s="291">
        <v>4</v>
      </c>
      <c r="C120" s="291" t="s">
        <v>566</v>
      </c>
      <c r="D120" s="292" t="s">
        <v>1795</v>
      </c>
      <c r="E120" s="4"/>
    </row>
    <row r="121" spans="1:5" x14ac:dyDescent="0.2">
      <c r="A121" s="291" t="s">
        <v>562</v>
      </c>
      <c r="B121" s="291">
        <v>5</v>
      </c>
      <c r="C121" s="291" t="s">
        <v>483</v>
      </c>
      <c r="D121" s="292" t="s">
        <v>1735</v>
      </c>
      <c r="E121" s="4"/>
    </row>
    <row r="122" spans="1:5" x14ac:dyDescent="0.2">
      <c r="A122" s="291" t="s">
        <v>562</v>
      </c>
      <c r="B122" s="291">
        <v>6</v>
      </c>
      <c r="C122" s="291" t="s">
        <v>484</v>
      </c>
      <c r="D122" s="292" t="s">
        <v>1736</v>
      </c>
      <c r="E122" s="4"/>
    </row>
    <row r="123" spans="1:5" x14ac:dyDescent="0.2">
      <c r="A123" s="13"/>
      <c r="B123" s="13"/>
      <c r="C123" s="13"/>
      <c r="D123" s="13"/>
      <c r="E123" s="4"/>
    </row>
    <row r="124" spans="1:5" x14ac:dyDescent="0.2">
      <c r="A124" t="s">
        <v>567</v>
      </c>
      <c r="B124">
        <v>1</v>
      </c>
      <c r="C124" t="s">
        <v>568</v>
      </c>
      <c r="D124" t="s">
        <v>1800</v>
      </c>
      <c r="E124" s="4"/>
    </row>
    <row r="125" spans="1:5" x14ac:dyDescent="0.2">
      <c r="A125" t="s">
        <v>567</v>
      </c>
      <c r="B125">
        <v>2</v>
      </c>
      <c r="C125" t="s">
        <v>1121</v>
      </c>
      <c r="D125" t="s">
        <v>1801</v>
      </c>
      <c r="E125" s="4"/>
    </row>
    <row r="126" spans="1:5" x14ac:dyDescent="0.2">
      <c r="A126" t="s">
        <v>567</v>
      </c>
      <c r="B126">
        <v>3</v>
      </c>
      <c r="C126" t="s">
        <v>569</v>
      </c>
      <c r="D126" t="s">
        <v>1802</v>
      </c>
      <c r="E126" s="4"/>
    </row>
    <row r="127" spans="1:5" x14ac:dyDescent="0.2">
      <c r="A127" t="s">
        <v>567</v>
      </c>
      <c r="B127">
        <v>4</v>
      </c>
      <c r="C127" t="s">
        <v>570</v>
      </c>
      <c r="D127" t="s">
        <v>1803</v>
      </c>
      <c r="E127" s="4"/>
    </row>
    <row r="128" spans="1:5" x14ac:dyDescent="0.2">
      <c r="A128" t="s">
        <v>567</v>
      </c>
      <c r="B128">
        <v>5</v>
      </c>
      <c r="C128" t="s">
        <v>1122</v>
      </c>
      <c r="D128" t="s">
        <v>1815</v>
      </c>
      <c r="E128" s="4"/>
    </row>
    <row r="129" spans="1:5" x14ac:dyDescent="0.2">
      <c r="A129" t="s">
        <v>567</v>
      </c>
      <c r="B129">
        <v>6</v>
      </c>
      <c r="C129" t="s">
        <v>571</v>
      </c>
      <c r="D129" t="s">
        <v>1804</v>
      </c>
      <c r="E129" s="4"/>
    </row>
    <row r="130" spans="1:5" x14ac:dyDescent="0.2">
      <c r="A130" t="s">
        <v>567</v>
      </c>
      <c r="B130">
        <v>7</v>
      </c>
      <c r="C130" t="s">
        <v>572</v>
      </c>
      <c r="D130" t="s">
        <v>1816</v>
      </c>
      <c r="E130" s="4"/>
    </row>
    <row r="131" spans="1:5" x14ac:dyDescent="0.2">
      <c r="A131" t="s">
        <v>567</v>
      </c>
      <c r="B131">
        <v>8</v>
      </c>
      <c r="C131" t="s">
        <v>1123</v>
      </c>
      <c r="D131" t="s">
        <v>1817</v>
      </c>
      <c r="E131" s="4"/>
    </row>
    <row r="132" spans="1:5" x14ac:dyDescent="0.2">
      <c r="A132" t="s">
        <v>567</v>
      </c>
      <c r="B132">
        <v>9</v>
      </c>
      <c r="C132" t="s">
        <v>573</v>
      </c>
      <c r="D132" t="s">
        <v>1805</v>
      </c>
      <c r="E132" s="4"/>
    </row>
    <row r="133" spans="1:5" x14ac:dyDescent="0.2">
      <c r="A133" t="s">
        <v>567</v>
      </c>
      <c r="B133">
        <v>10</v>
      </c>
      <c r="C133" t="s">
        <v>574</v>
      </c>
      <c r="D133" t="s">
        <v>1806</v>
      </c>
      <c r="E133" s="4"/>
    </row>
    <row r="134" spans="1:5" x14ac:dyDescent="0.2">
      <c r="A134" t="s">
        <v>567</v>
      </c>
      <c r="B134">
        <v>11</v>
      </c>
      <c r="C134" t="s">
        <v>575</v>
      </c>
      <c r="D134" t="s">
        <v>1807</v>
      </c>
      <c r="E134" s="4"/>
    </row>
    <row r="135" spans="1:5" x14ac:dyDescent="0.2">
      <c r="A135" t="s">
        <v>567</v>
      </c>
      <c r="B135">
        <v>12</v>
      </c>
      <c r="C135" t="s">
        <v>576</v>
      </c>
      <c r="D135" t="s">
        <v>1808</v>
      </c>
      <c r="E135" s="4"/>
    </row>
    <row r="136" spans="1:5" x14ac:dyDescent="0.2">
      <c r="A136" t="s">
        <v>567</v>
      </c>
      <c r="B136">
        <v>13</v>
      </c>
      <c r="C136" t="s">
        <v>577</v>
      </c>
      <c r="D136" t="s">
        <v>1809</v>
      </c>
      <c r="E136" s="4"/>
    </row>
    <row r="137" spans="1:5" x14ac:dyDescent="0.2">
      <c r="A137" t="s">
        <v>567</v>
      </c>
      <c r="B137">
        <v>14</v>
      </c>
      <c r="C137" t="s">
        <v>578</v>
      </c>
      <c r="D137" t="s">
        <v>1810</v>
      </c>
      <c r="E137" s="4"/>
    </row>
    <row r="138" spans="1:5" x14ac:dyDescent="0.2">
      <c r="A138" t="s">
        <v>567</v>
      </c>
      <c r="B138">
        <v>15</v>
      </c>
      <c r="C138" t="s">
        <v>579</v>
      </c>
      <c r="D138" t="s">
        <v>1811</v>
      </c>
      <c r="E138" s="4"/>
    </row>
    <row r="139" spans="1:5" x14ac:dyDescent="0.2">
      <c r="A139" t="s">
        <v>567</v>
      </c>
      <c r="B139">
        <v>16</v>
      </c>
      <c r="C139" t="s">
        <v>580</v>
      </c>
      <c r="D139" t="s">
        <v>1812</v>
      </c>
      <c r="E139" s="4"/>
    </row>
    <row r="140" spans="1:5" x14ac:dyDescent="0.2">
      <c r="A140" t="s">
        <v>567</v>
      </c>
      <c r="B140">
        <v>17</v>
      </c>
      <c r="C140" t="s">
        <v>581</v>
      </c>
      <c r="D140" t="s">
        <v>1813</v>
      </c>
      <c r="E140" s="4"/>
    </row>
    <row r="141" spans="1:5" x14ac:dyDescent="0.2">
      <c r="A141" t="s">
        <v>567</v>
      </c>
      <c r="B141">
        <v>18</v>
      </c>
      <c r="C141" t="s">
        <v>582</v>
      </c>
      <c r="D141" t="s">
        <v>1814</v>
      </c>
      <c r="E141" s="4"/>
    </row>
    <row r="142" spans="1:5" x14ac:dyDescent="0.2">
      <c r="A142" t="s">
        <v>567</v>
      </c>
      <c r="B142">
        <v>19</v>
      </c>
      <c r="C142" t="s">
        <v>1124</v>
      </c>
      <c r="D142" t="s">
        <v>1818</v>
      </c>
      <c r="E142" s="4"/>
    </row>
    <row r="143" spans="1:5" x14ac:dyDescent="0.2">
      <c r="A143" t="s">
        <v>567</v>
      </c>
      <c r="B143">
        <v>20</v>
      </c>
      <c r="C143" t="s">
        <v>484</v>
      </c>
      <c r="D143" t="s">
        <v>1736</v>
      </c>
      <c r="E143" s="4"/>
    </row>
    <row r="144" spans="1:5" x14ac:dyDescent="0.2">
      <c r="E144" s="4"/>
    </row>
    <row r="145" spans="1:5" x14ac:dyDescent="0.2">
      <c r="A145" t="s">
        <v>1145</v>
      </c>
      <c r="B145">
        <v>1</v>
      </c>
      <c r="C145" t="s">
        <v>492</v>
      </c>
      <c r="D145" t="s">
        <v>1741</v>
      </c>
      <c r="E145" s="4"/>
    </row>
    <row r="146" spans="1:5" x14ac:dyDescent="0.2">
      <c r="A146" t="s">
        <v>1145</v>
      </c>
      <c r="B146">
        <v>2</v>
      </c>
      <c r="C146" t="s">
        <v>493</v>
      </c>
      <c r="D146" t="s">
        <v>1742</v>
      </c>
      <c r="E146" s="4"/>
    </row>
    <row r="147" spans="1:5" x14ac:dyDescent="0.2">
      <c r="A147" t="s">
        <v>1145</v>
      </c>
      <c r="B147">
        <v>3</v>
      </c>
      <c r="C147" t="s">
        <v>1151</v>
      </c>
      <c r="D147" t="s">
        <v>1819</v>
      </c>
      <c r="E147" s="4"/>
    </row>
    <row r="148" spans="1:5" x14ac:dyDescent="0.2">
      <c r="A148" t="s">
        <v>1145</v>
      </c>
      <c r="B148">
        <v>4</v>
      </c>
      <c r="C148" t="s">
        <v>483</v>
      </c>
      <c r="D148" t="s">
        <v>1735</v>
      </c>
      <c r="E148" s="4"/>
    </row>
    <row r="149" spans="1:5" x14ac:dyDescent="0.2">
      <c r="A149" t="s">
        <v>1145</v>
      </c>
      <c r="B149">
        <v>5</v>
      </c>
      <c r="C149" t="s">
        <v>484</v>
      </c>
      <c r="D149" t="s">
        <v>1736</v>
      </c>
      <c r="E149" s="4"/>
    </row>
    <row r="150" spans="1:5" x14ac:dyDescent="0.2">
      <c r="E150" s="4"/>
    </row>
    <row r="151" spans="1:5" x14ac:dyDescent="0.2">
      <c r="A151" t="s">
        <v>1146</v>
      </c>
      <c r="B151">
        <v>1</v>
      </c>
      <c r="C151" t="s">
        <v>1152</v>
      </c>
      <c r="D151" t="s">
        <v>1820</v>
      </c>
      <c r="E151" s="4"/>
    </row>
    <row r="152" spans="1:5" x14ac:dyDescent="0.2">
      <c r="A152" t="s">
        <v>1146</v>
      </c>
      <c r="B152">
        <v>2</v>
      </c>
      <c r="C152" t="s">
        <v>1153</v>
      </c>
      <c r="D152" t="s">
        <v>1821</v>
      </c>
      <c r="E152" s="4"/>
    </row>
    <row r="153" spans="1:5" x14ac:dyDescent="0.2">
      <c r="A153" t="s">
        <v>1146</v>
      </c>
      <c r="B153">
        <v>3</v>
      </c>
      <c r="C153" t="s">
        <v>1154</v>
      </c>
      <c r="D153" t="s">
        <v>1822</v>
      </c>
      <c r="E153" s="4"/>
    </row>
    <row r="154" spans="1:5" x14ac:dyDescent="0.2">
      <c r="A154" t="s">
        <v>1146</v>
      </c>
      <c r="B154">
        <v>4</v>
      </c>
      <c r="C154" t="s">
        <v>483</v>
      </c>
      <c r="D154" t="s">
        <v>1735</v>
      </c>
      <c r="E154" s="4"/>
    </row>
    <row r="155" spans="1:5" x14ac:dyDescent="0.2">
      <c r="A155" t="s">
        <v>1146</v>
      </c>
      <c r="B155">
        <v>5</v>
      </c>
      <c r="C155" t="s">
        <v>484</v>
      </c>
      <c r="D155" t="s">
        <v>1736</v>
      </c>
      <c r="E155" s="4"/>
    </row>
    <row r="156" spans="1:5" x14ac:dyDescent="0.2">
      <c r="E156" s="4"/>
    </row>
    <row r="157" spans="1:5" x14ac:dyDescent="0.2">
      <c r="A157" t="s">
        <v>583</v>
      </c>
      <c r="B157">
        <v>1</v>
      </c>
      <c r="C157" t="s">
        <v>584</v>
      </c>
      <c r="D157" t="s">
        <v>1827</v>
      </c>
      <c r="E157" s="4"/>
    </row>
    <row r="158" spans="1:5" x14ac:dyDescent="0.2">
      <c r="A158" t="s">
        <v>583</v>
      </c>
      <c r="B158">
        <v>2</v>
      </c>
      <c r="C158" t="s">
        <v>585</v>
      </c>
      <c r="D158" t="s">
        <v>1823</v>
      </c>
      <c r="E158" s="4"/>
    </row>
    <row r="159" spans="1:5" x14ac:dyDescent="0.2">
      <c r="A159" t="s">
        <v>583</v>
      </c>
      <c r="B159">
        <v>3</v>
      </c>
      <c r="C159" t="s">
        <v>586</v>
      </c>
      <c r="D159" t="s">
        <v>1824</v>
      </c>
      <c r="E159" s="4"/>
    </row>
    <row r="160" spans="1:5" x14ac:dyDescent="0.2">
      <c r="A160" t="s">
        <v>583</v>
      </c>
      <c r="B160">
        <v>4</v>
      </c>
      <c r="C160" t="s">
        <v>587</v>
      </c>
      <c r="D160" t="s">
        <v>1825</v>
      </c>
      <c r="E160" s="4"/>
    </row>
    <row r="161" spans="1:5" x14ac:dyDescent="0.2">
      <c r="A161" t="s">
        <v>583</v>
      </c>
      <c r="B161">
        <v>5</v>
      </c>
      <c r="C161" t="s">
        <v>588</v>
      </c>
      <c r="D161" t="s">
        <v>1826</v>
      </c>
      <c r="E161" s="4"/>
    </row>
    <row r="162" spans="1:5" x14ac:dyDescent="0.2">
      <c r="A162" t="s">
        <v>583</v>
      </c>
      <c r="B162" s="289">
        <v>6</v>
      </c>
      <c r="C162" t="s">
        <v>483</v>
      </c>
      <c r="D162" t="s">
        <v>1735</v>
      </c>
      <c r="E162" s="4"/>
    </row>
    <row r="163" spans="1:5" x14ac:dyDescent="0.2">
      <c r="A163" t="s">
        <v>583</v>
      </c>
      <c r="B163" s="289">
        <v>7</v>
      </c>
      <c r="C163" t="s">
        <v>484</v>
      </c>
      <c r="D163" t="s">
        <v>1736</v>
      </c>
      <c r="E163" s="4"/>
    </row>
    <row r="164" spans="1:5" x14ac:dyDescent="0.2">
      <c r="E164" s="4"/>
    </row>
    <row r="165" spans="1:5" s="14" customFormat="1" x14ac:dyDescent="0.2">
      <c r="A165" s="290" t="s">
        <v>589</v>
      </c>
      <c r="B165">
        <v>1</v>
      </c>
      <c r="C165" t="s">
        <v>568</v>
      </c>
      <c r="D165" t="s">
        <v>1800</v>
      </c>
      <c r="E165" s="5"/>
    </row>
    <row r="166" spans="1:5" s="14" customFormat="1" x14ac:dyDescent="0.2">
      <c r="A166" s="290" t="s">
        <v>589</v>
      </c>
      <c r="B166">
        <v>2</v>
      </c>
      <c r="C166" t="s">
        <v>1121</v>
      </c>
      <c r="D166" t="s">
        <v>1801</v>
      </c>
      <c r="E166" s="5"/>
    </row>
    <row r="167" spans="1:5" s="14" customFormat="1" x14ac:dyDescent="0.2">
      <c r="A167" s="290" t="s">
        <v>589</v>
      </c>
      <c r="B167">
        <v>3</v>
      </c>
      <c r="C167" t="s">
        <v>569</v>
      </c>
      <c r="D167" t="s">
        <v>1802</v>
      </c>
      <c r="E167" s="5"/>
    </row>
    <row r="168" spans="1:5" s="14" customFormat="1" x14ac:dyDescent="0.2">
      <c r="A168" s="290" t="s">
        <v>589</v>
      </c>
      <c r="B168">
        <v>4</v>
      </c>
      <c r="C168" t="s">
        <v>570</v>
      </c>
      <c r="D168" t="s">
        <v>1803</v>
      </c>
      <c r="E168" s="5"/>
    </row>
    <row r="169" spans="1:5" s="14" customFormat="1" x14ac:dyDescent="0.2">
      <c r="A169" s="290" t="s">
        <v>589</v>
      </c>
      <c r="B169">
        <v>5</v>
      </c>
      <c r="C169" t="s">
        <v>1122</v>
      </c>
      <c r="D169" t="s">
        <v>1815</v>
      </c>
      <c r="E169" s="5"/>
    </row>
    <row r="170" spans="1:5" s="14" customFormat="1" x14ac:dyDescent="0.2">
      <c r="A170" s="290" t="s">
        <v>589</v>
      </c>
      <c r="B170">
        <v>6</v>
      </c>
      <c r="C170" t="s">
        <v>571</v>
      </c>
      <c r="D170" t="s">
        <v>1804</v>
      </c>
      <c r="E170" s="5"/>
    </row>
    <row r="171" spans="1:5" s="14" customFormat="1" x14ac:dyDescent="0.2">
      <c r="A171" s="290" t="s">
        <v>589</v>
      </c>
      <c r="B171">
        <v>7</v>
      </c>
      <c r="C171" t="s">
        <v>572</v>
      </c>
      <c r="D171" t="s">
        <v>1816</v>
      </c>
      <c r="E171" s="5"/>
    </row>
    <row r="172" spans="1:5" s="14" customFormat="1" x14ac:dyDescent="0.2">
      <c r="A172" s="290" t="s">
        <v>589</v>
      </c>
      <c r="B172">
        <v>8</v>
      </c>
      <c r="C172" t="s">
        <v>1123</v>
      </c>
      <c r="D172" t="s">
        <v>1817</v>
      </c>
      <c r="E172" s="5"/>
    </row>
    <row r="173" spans="1:5" s="14" customFormat="1" x14ac:dyDescent="0.2">
      <c r="A173" s="290" t="s">
        <v>589</v>
      </c>
      <c r="B173">
        <v>9</v>
      </c>
      <c r="C173" t="s">
        <v>573</v>
      </c>
      <c r="D173" t="s">
        <v>1805</v>
      </c>
      <c r="E173" s="5"/>
    </row>
    <row r="174" spans="1:5" s="14" customFormat="1" x14ac:dyDescent="0.2">
      <c r="A174" s="290" t="s">
        <v>589</v>
      </c>
      <c r="B174">
        <v>10</v>
      </c>
      <c r="C174" t="s">
        <v>574</v>
      </c>
      <c r="D174" t="s">
        <v>1806</v>
      </c>
      <c r="E174" s="5"/>
    </row>
    <row r="175" spans="1:5" s="14" customFormat="1" x14ac:dyDescent="0.2">
      <c r="A175" s="290" t="s">
        <v>589</v>
      </c>
      <c r="B175">
        <v>11</v>
      </c>
      <c r="C175" t="s">
        <v>575</v>
      </c>
      <c r="D175" t="s">
        <v>1807</v>
      </c>
      <c r="E175" s="5"/>
    </row>
    <row r="176" spans="1:5" s="14" customFormat="1" x14ac:dyDescent="0.2">
      <c r="A176" s="290" t="s">
        <v>589</v>
      </c>
      <c r="B176">
        <v>12</v>
      </c>
      <c r="C176" t="s">
        <v>576</v>
      </c>
      <c r="D176" t="s">
        <v>1808</v>
      </c>
      <c r="E176" s="5"/>
    </row>
    <row r="177" spans="1:5" s="14" customFormat="1" x14ac:dyDescent="0.2">
      <c r="A177" s="290" t="s">
        <v>589</v>
      </c>
      <c r="B177">
        <v>13</v>
      </c>
      <c r="C177" t="s">
        <v>577</v>
      </c>
      <c r="D177" t="s">
        <v>1809</v>
      </c>
      <c r="E177" s="5"/>
    </row>
    <row r="178" spans="1:5" s="14" customFormat="1" x14ac:dyDescent="0.2">
      <c r="A178" s="290" t="s">
        <v>589</v>
      </c>
      <c r="B178">
        <v>14</v>
      </c>
      <c r="C178" t="s">
        <v>578</v>
      </c>
      <c r="D178" t="s">
        <v>1810</v>
      </c>
      <c r="E178" s="5"/>
    </row>
    <row r="179" spans="1:5" s="14" customFormat="1" x14ac:dyDescent="0.2">
      <c r="A179" s="290" t="s">
        <v>589</v>
      </c>
      <c r="B179" s="290">
        <v>15</v>
      </c>
      <c r="C179" s="290" t="s">
        <v>579</v>
      </c>
      <c r="D179" t="s">
        <v>1811</v>
      </c>
      <c r="E179" s="5"/>
    </row>
    <row r="180" spans="1:5" s="14" customFormat="1" x14ac:dyDescent="0.2">
      <c r="A180" s="290" t="s">
        <v>589</v>
      </c>
      <c r="B180" s="290">
        <v>16</v>
      </c>
      <c r="C180" s="290" t="s">
        <v>580</v>
      </c>
      <c r="D180" t="s">
        <v>1812</v>
      </c>
      <c r="E180" s="5"/>
    </row>
    <row r="181" spans="1:5" s="14" customFormat="1" x14ac:dyDescent="0.2">
      <c r="A181" s="290" t="s">
        <v>589</v>
      </c>
      <c r="B181" s="290">
        <v>17</v>
      </c>
      <c r="C181" s="290" t="s">
        <v>581</v>
      </c>
      <c r="D181" t="s">
        <v>1813</v>
      </c>
      <c r="E181" s="5"/>
    </row>
    <row r="182" spans="1:5" s="14" customFormat="1" x14ac:dyDescent="0.2">
      <c r="A182" s="290" t="s">
        <v>589</v>
      </c>
      <c r="B182" s="290">
        <v>18</v>
      </c>
      <c r="C182" s="290" t="s">
        <v>590</v>
      </c>
      <c r="D182" t="s">
        <v>1814</v>
      </c>
      <c r="E182" s="5"/>
    </row>
    <row r="183" spans="1:5" s="14" customFormat="1" x14ac:dyDescent="0.2">
      <c r="A183" s="290" t="s">
        <v>589</v>
      </c>
      <c r="B183" s="290">
        <v>19</v>
      </c>
      <c r="C183" s="290" t="s">
        <v>591</v>
      </c>
      <c r="D183" t="s">
        <v>1828</v>
      </c>
      <c r="E183" s="5"/>
    </row>
    <row r="184" spans="1:5" s="14" customFormat="1" x14ac:dyDescent="0.2">
      <c r="A184" s="290" t="s">
        <v>589</v>
      </c>
      <c r="B184" s="289">
        <v>20</v>
      </c>
      <c r="C184" s="290" t="s">
        <v>483</v>
      </c>
      <c r="D184" s="290" t="s">
        <v>1735</v>
      </c>
      <c r="E184" s="5"/>
    </row>
    <row r="185" spans="1:5" s="14" customFormat="1" x14ac:dyDescent="0.2">
      <c r="A185" s="290" t="s">
        <v>589</v>
      </c>
      <c r="B185" s="289">
        <v>21</v>
      </c>
      <c r="C185" s="290" t="s">
        <v>484</v>
      </c>
      <c r="D185" t="s">
        <v>1736</v>
      </c>
      <c r="E185" s="5"/>
    </row>
    <row r="186" spans="1:5" s="14" customFormat="1" x14ac:dyDescent="0.2">
      <c r="D186" s="3"/>
      <c r="E186" s="5"/>
    </row>
    <row r="187" spans="1:5" s="14" customFormat="1" x14ac:dyDescent="0.2">
      <c r="A187" s="290" t="s">
        <v>592</v>
      </c>
      <c r="B187">
        <v>1</v>
      </c>
      <c r="C187" t="s">
        <v>568</v>
      </c>
      <c r="D187" t="s">
        <v>1800</v>
      </c>
      <c r="E187" s="5"/>
    </row>
    <row r="188" spans="1:5" s="14" customFormat="1" x14ac:dyDescent="0.2">
      <c r="A188" s="290" t="s">
        <v>592</v>
      </c>
      <c r="B188">
        <v>2</v>
      </c>
      <c r="C188" t="s">
        <v>1121</v>
      </c>
      <c r="D188" t="s">
        <v>1801</v>
      </c>
      <c r="E188" s="5"/>
    </row>
    <row r="189" spans="1:5" s="14" customFormat="1" x14ac:dyDescent="0.2">
      <c r="A189" s="290" t="s">
        <v>592</v>
      </c>
      <c r="B189">
        <v>3</v>
      </c>
      <c r="C189" t="s">
        <v>569</v>
      </c>
      <c r="D189" t="s">
        <v>1802</v>
      </c>
      <c r="E189" s="5"/>
    </row>
    <row r="190" spans="1:5" s="14" customFormat="1" x14ac:dyDescent="0.2">
      <c r="A190" s="290" t="s">
        <v>592</v>
      </c>
      <c r="B190">
        <v>4</v>
      </c>
      <c r="C190" t="s">
        <v>570</v>
      </c>
      <c r="D190" t="s">
        <v>1803</v>
      </c>
      <c r="E190" s="5"/>
    </row>
    <row r="191" spans="1:5" s="14" customFormat="1" x14ac:dyDescent="0.2">
      <c r="A191" s="290" t="s">
        <v>592</v>
      </c>
      <c r="B191">
        <v>5</v>
      </c>
      <c r="C191" t="s">
        <v>1122</v>
      </c>
      <c r="D191" t="s">
        <v>1815</v>
      </c>
      <c r="E191" s="5"/>
    </row>
    <row r="192" spans="1:5" s="14" customFormat="1" x14ac:dyDescent="0.2">
      <c r="A192" s="290" t="s">
        <v>592</v>
      </c>
      <c r="B192">
        <v>6</v>
      </c>
      <c r="C192" t="s">
        <v>571</v>
      </c>
      <c r="D192" t="s">
        <v>1804</v>
      </c>
      <c r="E192" s="5"/>
    </row>
    <row r="193" spans="1:5" s="14" customFormat="1" x14ac:dyDescent="0.2">
      <c r="A193" s="290" t="s">
        <v>592</v>
      </c>
      <c r="B193">
        <v>7</v>
      </c>
      <c r="C193" t="s">
        <v>572</v>
      </c>
      <c r="D193" t="s">
        <v>1816</v>
      </c>
      <c r="E193" s="5"/>
    </row>
    <row r="194" spans="1:5" s="14" customFormat="1" x14ac:dyDescent="0.2">
      <c r="A194" s="290" t="s">
        <v>592</v>
      </c>
      <c r="B194">
        <v>8</v>
      </c>
      <c r="C194" t="s">
        <v>1123</v>
      </c>
      <c r="D194" t="s">
        <v>1817</v>
      </c>
      <c r="E194" s="5"/>
    </row>
    <row r="195" spans="1:5" s="14" customFormat="1" x14ac:dyDescent="0.2">
      <c r="A195" s="290" t="s">
        <v>592</v>
      </c>
      <c r="B195">
        <v>9</v>
      </c>
      <c r="C195" t="s">
        <v>573</v>
      </c>
      <c r="D195" t="s">
        <v>1805</v>
      </c>
      <c r="E195" s="5"/>
    </row>
    <row r="196" spans="1:5" s="14" customFormat="1" x14ac:dyDescent="0.2">
      <c r="A196" s="290" t="s">
        <v>592</v>
      </c>
      <c r="B196">
        <v>10</v>
      </c>
      <c r="C196" t="s">
        <v>574</v>
      </c>
      <c r="D196" t="s">
        <v>1806</v>
      </c>
      <c r="E196" s="5"/>
    </row>
    <row r="197" spans="1:5" s="14" customFormat="1" x14ac:dyDescent="0.2">
      <c r="A197" s="290" t="s">
        <v>592</v>
      </c>
      <c r="B197">
        <v>11</v>
      </c>
      <c r="C197" t="s">
        <v>575</v>
      </c>
      <c r="D197" t="s">
        <v>1807</v>
      </c>
      <c r="E197" s="5"/>
    </row>
    <row r="198" spans="1:5" s="14" customFormat="1" x14ac:dyDescent="0.2">
      <c r="A198" s="290" t="s">
        <v>592</v>
      </c>
      <c r="B198">
        <v>12</v>
      </c>
      <c r="C198" t="s">
        <v>576</v>
      </c>
      <c r="D198" t="s">
        <v>1808</v>
      </c>
      <c r="E198" s="5"/>
    </row>
    <row r="199" spans="1:5" s="14" customFormat="1" x14ac:dyDescent="0.2">
      <c r="A199" s="290" t="s">
        <v>592</v>
      </c>
      <c r="B199">
        <v>13</v>
      </c>
      <c r="C199" t="s">
        <v>577</v>
      </c>
      <c r="D199" t="s">
        <v>1809</v>
      </c>
      <c r="E199" s="5"/>
    </row>
    <row r="200" spans="1:5" s="14" customFormat="1" x14ac:dyDescent="0.2">
      <c r="A200" s="290" t="s">
        <v>592</v>
      </c>
      <c r="B200">
        <v>14</v>
      </c>
      <c r="C200" t="s">
        <v>578</v>
      </c>
      <c r="D200" t="s">
        <v>1810</v>
      </c>
      <c r="E200" s="5"/>
    </row>
    <row r="201" spans="1:5" s="14" customFormat="1" x14ac:dyDescent="0.2">
      <c r="A201" s="290" t="s">
        <v>592</v>
      </c>
      <c r="B201" s="290">
        <v>15</v>
      </c>
      <c r="C201" s="290" t="s">
        <v>579</v>
      </c>
      <c r="D201" t="s">
        <v>1811</v>
      </c>
      <c r="E201" s="5"/>
    </row>
    <row r="202" spans="1:5" s="14" customFormat="1" x14ac:dyDescent="0.2">
      <c r="A202" s="290" t="s">
        <v>592</v>
      </c>
      <c r="B202" s="290">
        <v>16</v>
      </c>
      <c r="C202" s="290" t="s">
        <v>580</v>
      </c>
      <c r="D202" t="s">
        <v>1812</v>
      </c>
      <c r="E202" s="5"/>
    </row>
    <row r="203" spans="1:5" s="14" customFormat="1" x14ac:dyDescent="0.2">
      <c r="A203" s="290" t="s">
        <v>592</v>
      </c>
      <c r="B203" s="290">
        <v>17</v>
      </c>
      <c r="C203" s="290" t="s">
        <v>581</v>
      </c>
      <c r="D203" t="s">
        <v>1813</v>
      </c>
      <c r="E203" s="5"/>
    </row>
    <row r="204" spans="1:5" s="14" customFormat="1" x14ac:dyDescent="0.2">
      <c r="A204" s="290" t="s">
        <v>592</v>
      </c>
      <c r="B204" s="290">
        <v>18</v>
      </c>
      <c r="C204" s="290" t="s">
        <v>593</v>
      </c>
      <c r="D204" t="s">
        <v>1814</v>
      </c>
      <c r="E204" s="5"/>
    </row>
    <row r="205" spans="1:5" s="14" customFormat="1" x14ac:dyDescent="0.2">
      <c r="A205" s="290" t="s">
        <v>592</v>
      </c>
      <c r="B205" s="290">
        <v>19</v>
      </c>
      <c r="C205" s="290" t="s">
        <v>594</v>
      </c>
      <c r="D205" t="s">
        <v>1829</v>
      </c>
      <c r="E205" s="5"/>
    </row>
    <row r="206" spans="1:5" s="14" customFormat="1" x14ac:dyDescent="0.2">
      <c r="A206" s="290" t="s">
        <v>592</v>
      </c>
      <c r="B206" s="289">
        <v>20</v>
      </c>
      <c r="C206" s="290" t="s">
        <v>483</v>
      </c>
      <c r="D206" s="290" t="s">
        <v>1735</v>
      </c>
      <c r="E206" s="5"/>
    </row>
    <row r="207" spans="1:5" s="14" customFormat="1" x14ac:dyDescent="0.2">
      <c r="A207" s="290" t="s">
        <v>592</v>
      </c>
      <c r="B207" s="289">
        <v>21</v>
      </c>
      <c r="C207" s="290" t="s">
        <v>484</v>
      </c>
      <c r="D207" t="s">
        <v>1736</v>
      </c>
      <c r="E207" s="5"/>
    </row>
    <row r="208" spans="1:5" s="12" customFormat="1" x14ac:dyDescent="0.2">
      <c r="D208" s="3"/>
      <c r="E208" s="8"/>
    </row>
    <row r="209" spans="1:5" x14ac:dyDescent="0.2">
      <c r="A209" t="s">
        <v>166</v>
      </c>
      <c r="B209" t="s">
        <v>609</v>
      </c>
      <c r="C209" t="s">
        <v>610</v>
      </c>
      <c r="D209" t="s">
        <v>1830</v>
      </c>
      <c r="E209" s="4"/>
    </row>
    <row r="210" spans="1:5" x14ac:dyDescent="0.2">
      <c r="A210" t="s">
        <v>166</v>
      </c>
      <c r="B210" t="s">
        <v>611</v>
      </c>
      <c r="C210" t="s">
        <v>612</v>
      </c>
      <c r="D210" t="s">
        <v>1831</v>
      </c>
      <c r="E210" s="4"/>
    </row>
    <row r="211" spans="1:5" x14ac:dyDescent="0.2">
      <c r="A211" t="s">
        <v>166</v>
      </c>
      <c r="B211" t="s">
        <v>613</v>
      </c>
      <c r="C211" t="s">
        <v>1159</v>
      </c>
      <c r="D211" t="s">
        <v>1832</v>
      </c>
      <c r="E211" s="4"/>
    </row>
    <row r="212" spans="1:5" x14ac:dyDescent="0.2">
      <c r="A212" t="s">
        <v>166</v>
      </c>
      <c r="B212" t="s">
        <v>614</v>
      </c>
      <c r="C212" t="s">
        <v>1160</v>
      </c>
      <c r="D212" t="s">
        <v>1833</v>
      </c>
      <c r="E212" s="4"/>
    </row>
    <row r="213" spans="1:5" x14ac:dyDescent="0.2">
      <c r="A213" t="s">
        <v>166</v>
      </c>
      <c r="B213" t="s">
        <v>615</v>
      </c>
      <c r="C213" t="s">
        <v>1162</v>
      </c>
      <c r="D213" t="s">
        <v>1834</v>
      </c>
      <c r="E213" s="4"/>
    </row>
    <row r="214" spans="1:5" x14ac:dyDescent="0.2">
      <c r="A214" t="s">
        <v>166</v>
      </c>
      <c r="B214" t="s">
        <v>616</v>
      </c>
      <c r="C214" t="s">
        <v>1163</v>
      </c>
      <c r="D214" t="s">
        <v>1835</v>
      </c>
      <c r="E214" s="4"/>
    </row>
    <row r="215" spans="1:5" x14ac:dyDescent="0.2">
      <c r="A215" t="s">
        <v>166</v>
      </c>
      <c r="B215" t="s">
        <v>1161</v>
      </c>
      <c r="C215" t="s">
        <v>1164</v>
      </c>
      <c r="D215" t="s">
        <v>1836</v>
      </c>
      <c r="E215" s="4"/>
    </row>
    <row r="216" spans="1:5" x14ac:dyDescent="0.2">
      <c r="A216" t="s">
        <v>166</v>
      </c>
      <c r="B216" t="s">
        <v>617</v>
      </c>
      <c r="C216" t="s">
        <v>618</v>
      </c>
      <c r="D216" t="s">
        <v>1837</v>
      </c>
      <c r="E216" s="4"/>
    </row>
    <row r="217" spans="1:5" x14ac:dyDescent="0.2">
      <c r="A217" t="s">
        <v>166</v>
      </c>
      <c r="B217" t="s">
        <v>619</v>
      </c>
      <c r="C217" t="s">
        <v>620</v>
      </c>
      <c r="D217" t="s">
        <v>1838</v>
      </c>
      <c r="E217" s="4"/>
    </row>
    <row r="218" spans="1:5" x14ac:dyDescent="0.2">
      <c r="A218" t="s">
        <v>166</v>
      </c>
      <c r="B218" t="s">
        <v>621</v>
      </c>
      <c r="C218" t="s">
        <v>622</v>
      </c>
      <c r="D218" t="s">
        <v>1839</v>
      </c>
      <c r="E218" s="4"/>
    </row>
    <row r="219" spans="1:5" x14ac:dyDescent="0.2">
      <c r="A219" t="s">
        <v>166</v>
      </c>
      <c r="B219" t="s">
        <v>623</v>
      </c>
      <c r="C219" t="s">
        <v>1167</v>
      </c>
      <c r="D219" t="s">
        <v>1840</v>
      </c>
      <c r="E219" s="4"/>
    </row>
    <row r="220" spans="1:5" x14ac:dyDescent="0.2">
      <c r="A220" t="s">
        <v>166</v>
      </c>
      <c r="B220" t="s">
        <v>624</v>
      </c>
      <c r="C220" t="s">
        <v>1168</v>
      </c>
      <c r="D220" t="s">
        <v>1841</v>
      </c>
      <c r="E220" s="4"/>
    </row>
    <row r="221" spans="1:5" x14ac:dyDescent="0.2">
      <c r="A221" t="s">
        <v>166</v>
      </c>
      <c r="B221" t="s">
        <v>625</v>
      </c>
      <c r="C221" t="s">
        <v>626</v>
      </c>
      <c r="D221" t="s">
        <v>1842</v>
      </c>
      <c r="E221" s="4"/>
    </row>
    <row r="222" spans="1:5" x14ac:dyDescent="0.2">
      <c r="A222" t="s">
        <v>166</v>
      </c>
      <c r="B222" t="s">
        <v>627</v>
      </c>
      <c r="C222" t="s">
        <v>628</v>
      </c>
      <c r="D222" t="s">
        <v>1843</v>
      </c>
      <c r="E222" s="4"/>
    </row>
    <row r="223" spans="1:5" x14ac:dyDescent="0.2">
      <c r="A223" t="s">
        <v>166</v>
      </c>
      <c r="B223" t="s">
        <v>629</v>
      </c>
      <c r="C223" t="s">
        <v>630</v>
      </c>
      <c r="D223" t="s">
        <v>1844</v>
      </c>
      <c r="E223" s="4"/>
    </row>
    <row r="224" spans="1:5" x14ac:dyDescent="0.2">
      <c r="A224" t="s">
        <v>166</v>
      </c>
      <c r="B224" t="s">
        <v>631</v>
      </c>
      <c r="C224" t="s">
        <v>632</v>
      </c>
      <c r="D224" t="s">
        <v>1845</v>
      </c>
      <c r="E224" s="4"/>
    </row>
    <row r="225" spans="1:5" x14ac:dyDescent="0.2">
      <c r="A225" t="s">
        <v>166</v>
      </c>
      <c r="B225" t="s">
        <v>633</v>
      </c>
      <c r="C225" t="s">
        <v>634</v>
      </c>
      <c r="D225" t="s">
        <v>1846</v>
      </c>
      <c r="E225" s="4"/>
    </row>
    <row r="226" spans="1:5" x14ac:dyDescent="0.2">
      <c r="A226" t="s">
        <v>166</v>
      </c>
      <c r="B226" t="s">
        <v>635</v>
      </c>
      <c r="C226" t="s">
        <v>636</v>
      </c>
      <c r="D226" t="s">
        <v>1847</v>
      </c>
      <c r="E226" s="4"/>
    </row>
    <row r="227" spans="1:5" x14ac:dyDescent="0.2">
      <c r="A227" t="s">
        <v>166</v>
      </c>
      <c r="B227" t="s">
        <v>637</v>
      </c>
      <c r="C227" t="s">
        <v>638</v>
      </c>
      <c r="D227" t="s">
        <v>1848</v>
      </c>
      <c r="E227" s="4"/>
    </row>
    <row r="228" spans="1:5" x14ac:dyDescent="0.2">
      <c r="A228" t="s">
        <v>166</v>
      </c>
      <c r="B228" t="s">
        <v>639</v>
      </c>
      <c r="C228" t="s">
        <v>640</v>
      </c>
      <c r="D228" t="s">
        <v>1849</v>
      </c>
      <c r="E228" s="4"/>
    </row>
    <row r="229" spans="1:5" x14ac:dyDescent="0.2">
      <c r="A229" t="s">
        <v>166</v>
      </c>
      <c r="B229" t="s">
        <v>641</v>
      </c>
      <c r="C229" t="s">
        <v>642</v>
      </c>
      <c r="D229" t="s">
        <v>1850</v>
      </c>
      <c r="E229" s="4"/>
    </row>
    <row r="230" spans="1:5" x14ac:dyDescent="0.2">
      <c r="A230" t="s">
        <v>166</v>
      </c>
      <c r="B230" t="s">
        <v>643</v>
      </c>
      <c r="C230" t="s">
        <v>644</v>
      </c>
      <c r="D230" t="s">
        <v>1851</v>
      </c>
      <c r="E230" s="4"/>
    </row>
    <row r="231" spans="1:5" x14ac:dyDescent="0.2">
      <c r="A231" t="s">
        <v>166</v>
      </c>
      <c r="B231" t="s">
        <v>645</v>
      </c>
      <c r="C231" t="s">
        <v>646</v>
      </c>
      <c r="D231" t="s">
        <v>1852</v>
      </c>
      <c r="E231" s="4"/>
    </row>
    <row r="232" spans="1:5" x14ac:dyDescent="0.2">
      <c r="A232" t="s">
        <v>166</v>
      </c>
      <c r="B232" t="s">
        <v>1165</v>
      </c>
      <c r="C232" t="s">
        <v>647</v>
      </c>
      <c r="D232" t="s">
        <v>1853</v>
      </c>
      <c r="E232" s="4"/>
    </row>
    <row r="233" spans="1:5" x14ac:dyDescent="0.2">
      <c r="A233" t="s">
        <v>166</v>
      </c>
      <c r="B233" t="s">
        <v>648</v>
      </c>
      <c r="C233" t="s">
        <v>1166</v>
      </c>
      <c r="D233" t="s">
        <v>1854</v>
      </c>
      <c r="E233" s="4"/>
    </row>
    <row r="234" spans="1:5" x14ac:dyDescent="0.2">
      <c r="A234" t="s">
        <v>166</v>
      </c>
      <c r="B234" t="s">
        <v>542</v>
      </c>
      <c r="C234" t="s">
        <v>483</v>
      </c>
      <c r="D234" t="s">
        <v>1735</v>
      </c>
      <c r="E234" s="4"/>
    </row>
    <row r="235" spans="1:5" x14ac:dyDescent="0.2">
      <c r="A235" t="s">
        <v>166</v>
      </c>
      <c r="B235" t="s">
        <v>543</v>
      </c>
      <c r="C235" t="s">
        <v>484</v>
      </c>
      <c r="D235" t="s">
        <v>1736</v>
      </c>
      <c r="E235" s="4"/>
    </row>
    <row r="236" spans="1:5" x14ac:dyDescent="0.2">
      <c r="E236" s="4"/>
    </row>
    <row r="237" spans="1:5" x14ac:dyDescent="0.2">
      <c r="A237" t="s">
        <v>595</v>
      </c>
      <c r="B237" t="s">
        <v>596</v>
      </c>
      <c r="C237" t="s">
        <v>1443</v>
      </c>
      <c r="D237" t="s">
        <v>1861</v>
      </c>
      <c r="E237" s="4"/>
    </row>
    <row r="238" spans="1:5" x14ac:dyDescent="0.2">
      <c r="A238" t="s">
        <v>595</v>
      </c>
      <c r="B238" t="s">
        <v>597</v>
      </c>
      <c r="C238" t="s">
        <v>598</v>
      </c>
      <c r="D238" t="s">
        <v>1862</v>
      </c>
      <c r="E238" s="4"/>
    </row>
    <row r="239" spans="1:5" x14ac:dyDescent="0.2">
      <c r="A239" t="s">
        <v>595</v>
      </c>
      <c r="B239" t="s">
        <v>599</v>
      </c>
      <c r="C239" t="s">
        <v>600</v>
      </c>
      <c r="D239" t="s">
        <v>1855</v>
      </c>
      <c r="E239" s="4"/>
    </row>
    <row r="240" spans="1:5" x14ac:dyDescent="0.2">
      <c r="A240" t="s">
        <v>595</v>
      </c>
      <c r="B240" t="s">
        <v>601</v>
      </c>
      <c r="C240" t="s">
        <v>602</v>
      </c>
      <c r="D240" t="s">
        <v>1856</v>
      </c>
      <c r="E240" s="4"/>
    </row>
    <row r="241" spans="1:5" x14ac:dyDescent="0.2">
      <c r="A241" t="s">
        <v>595</v>
      </c>
      <c r="B241" t="s">
        <v>603</v>
      </c>
      <c r="C241" t="s">
        <v>604</v>
      </c>
      <c r="D241" t="s">
        <v>1857</v>
      </c>
      <c r="E241" s="4"/>
    </row>
    <row r="242" spans="1:5" x14ac:dyDescent="0.2">
      <c r="A242" t="s">
        <v>595</v>
      </c>
      <c r="B242" t="s">
        <v>605</v>
      </c>
      <c r="C242" t="s">
        <v>606</v>
      </c>
      <c r="D242" t="s">
        <v>1858</v>
      </c>
      <c r="E242" s="4"/>
    </row>
    <row r="243" spans="1:5" x14ac:dyDescent="0.2">
      <c r="A243" t="s">
        <v>595</v>
      </c>
      <c r="B243" t="s">
        <v>1169</v>
      </c>
      <c r="C243" t="s">
        <v>1171</v>
      </c>
      <c r="D243" t="s">
        <v>1863</v>
      </c>
      <c r="E243" s="4"/>
    </row>
    <row r="244" spans="1:5" x14ac:dyDescent="0.2">
      <c r="A244" t="s">
        <v>595</v>
      </c>
      <c r="B244" t="s">
        <v>1170</v>
      </c>
      <c r="C244" t="s">
        <v>1172</v>
      </c>
      <c r="D244" t="s">
        <v>1864</v>
      </c>
      <c r="E244" s="4"/>
    </row>
    <row r="245" spans="1:5" x14ac:dyDescent="0.2">
      <c r="A245" t="s">
        <v>595</v>
      </c>
      <c r="B245" t="s">
        <v>540</v>
      </c>
      <c r="C245" t="s">
        <v>607</v>
      </c>
      <c r="D245" t="s">
        <v>1859</v>
      </c>
      <c r="E245" s="4"/>
    </row>
    <row r="246" spans="1:5" x14ac:dyDescent="0.2">
      <c r="A246" t="s">
        <v>595</v>
      </c>
      <c r="B246" t="s">
        <v>541</v>
      </c>
      <c r="C246" t="s">
        <v>608</v>
      </c>
      <c r="D246" t="s">
        <v>1860</v>
      </c>
      <c r="E246" s="4"/>
    </row>
    <row r="247" spans="1:5" x14ac:dyDescent="0.2">
      <c r="A247" t="s">
        <v>595</v>
      </c>
      <c r="B247" t="s">
        <v>542</v>
      </c>
      <c r="C247" t="s">
        <v>483</v>
      </c>
      <c r="D247" t="s">
        <v>1735</v>
      </c>
      <c r="E247" s="4"/>
    </row>
    <row r="248" spans="1:5" x14ac:dyDescent="0.2">
      <c r="A248" t="s">
        <v>595</v>
      </c>
      <c r="B248" t="s">
        <v>543</v>
      </c>
      <c r="C248" t="s">
        <v>484</v>
      </c>
      <c r="D248" t="s">
        <v>1736</v>
      </c>
      <c r="E248" s="4"/>
    </row>
    <row r="249" spans="1:5" x14ac:dyDescent="0.2">
      <c r="E249" s="4"/>
    </row>
    <row r="250" spans="1:5" s="13" customFormat="1" x14ac:dyDescent="0.2">
      <c r="A250" s="290" t="s">
        <v>649</v>
      </c>
      <c r="B250" s="290">
        <v>1</v>
      </c>
      <c r="C250" s="290" t="s">
        <v>650</v>
      </c>
      <c r="D250" s="290" t="s">
        <v>650</v>
      </c>
      <c r="E250" s="15"/>
    </row>
    <row r="251" spans="1:5" s="13" customFormat="1" x14ac:dyDescent="0.2">
      <c r="A251" s="290" t="s">
        <v>649</v>
      </c>
      <c r="B251" s="290">
        <v>2</v>
      </c>
      <c r="C251" s="290" t="s">
        <v>651</v>
      </c>
      <c r="D251" s="290" t="s">
        <v>1865</v>
      </c>
      <c r="E251" s="15"/>
    </row>
    <row r="252" spans="1:5" s="13" customFormat="1" x14ac:dyDescent="0.2">
      <c r="A252" s="290" t="s">
        <v>649</v>
      </c>
      <c r="B252" s="290">
        <v>3</v>
      </c>
      <c r="C252" s="290" t="s">
        <v>652</v>
      </c>
      <c r="D252" s="290" t="s">
        <v>1866</v>
      </c>
      <c r="E252" s="15"/>
    </row>
    <row r="253" spans="1:5" s="13" customFormat="1" x14ac:dyDescent="0.2">
      <c r="A253" s="290" t="s">
        <v>649</v>
      </c>
      <c r="B253" s="290">
        <v>4</v>
      </c>
      <c r="C253" s="290" t="s">
        <v>653</v>
      </c>
      <c r="D253" s="290" t="s">
        <v>1867</v>
      </c>
      <c r="E253" s="15"/>
    </row>
    <row r="254" spans="1:5" s="13" customFormat="1" x14ac:dyDescent="0.2">
      <c r="A254" s="290" t="s">
        <v>649</v>
      </c>
      <c r="B254" s="290">
        <v>5</v>
      </c>
      <c r="C254" s="293" t="s">
        <v>2075</v>
      </c>
      <c r="D254" s="293" t="s">
        <v>2117</v>
      </c>
      <c r="E254" s="15"/>
    </row>
    <row r="255" spans="1:5" s="13" customFormat="1" x14ac:dyDescent="0.2">
      <c r="D255" s="132"/>
      <c r="E255" s="15"/>
    </row>
    <row r="256" spans="1:5" s="14" customFormat="1" x14ac:dyDescent="0.2">
      <c r="A256" s="290" t="s">
        <v>654</v>
      </c>
      <c r="B256" s="290">
        <v>1</v>
      </c>
      <c r="C256" s="290" t="s">
        <v>655</v>
      </c>
      <c r="D256" s="290" t="s">
        <v>1868</v>
      </c>
      <c r="E256" s="5"/>
    </row>
    <row r="257" spans="1:5" s="14" customFormat="1" x14ac:dyDescent="0.2">
      <c r="A257" s="290" t="s">
        <v>654</v>
      </c>
      <c r="B257" s="290">
        <v>2</v>
      </c>
      <c r="C257" s="290" t="s">
        <v>656</v>
      </c>
      <c r="D257" s="290" t="s">
        <v>1869</v>
      </c>
      <c r="E257" s="5"/>
    </row>
    <row r="258" spans="1:5" s="13" customFormat="1" x14ac:dyDescent="0.2">
      <c r="D258" s="14"/>
      <c r="E258" s="15"/>
    </row>
    <row r="259" spans="1:5" s="13" customFormat="1" x14ac:dyDescent="0.2">
      <c r="A259" s="290" t="s">
        <v>657</v>
      </c>
      <c r="B259" s="290">
        <v>1</v>
      </c>
      <c r="C259" s="290" t="s">
        <v>1174</v>
      </c>
      <c r="D259" s="290" t="s">
        <v>1871</v>
      </c>
      <c r="E259" s="15"/>
    </row>
    <row r="260" spans="1:5" s="13" customFormat="1" x14ac:dyDescent="0.2">
      <c r="A260" s="290" t="s">
        <v>657</v>
      </c>
      <c r="B260" s="290">
        <v>2</v>
      </c>
      <c r="C260" s="290" t="s">
        <v>1444</v>
      </c>
      <c r="D260" s="290" t="s">
        <v>1872</v>
      </c>
      <c r="E260" s="15"/>
    </row>
    <row r="261" spans="1:5" s="13" customFormat="1" x14ac:dyDescent="0.2">
      <c r="A261" s="290" t="s">
        <v>657</v>
      </c>
      <c r="B261" s="290">
        <v>3</v>
      </c>
      <c r="C261" s="290" t="s">
        <v>1175</v>
      </c>
      <c r="D261" s="290" t="s">
        <v>1873</v>
      </c>
      <c r="E261" s="15"/>
    </row>
    <row r="262" spans="1:5" s="13" customFormat="1" x14ac:dyDescent="0.2">
      <c r="A262" s="290" t="s">
        <v>657</v>
      </c>
      <c r="B262" s="290">
        <v>4</v>
      </c>
      <c r="C262" s="290" t="s">
        <v>1176</v>
      </c>
      <c r="D262" s="290" t="s">
        <v>1874</v>
      </c>
      <c r="E262" s="15"/>
    </row>
    <row r="263" spans="1:5" s="13" customFormat="1" x14ac:dyDescent="0.2">
      <c r="A263" s="290" t="s">
        <v>657</v>
      </c>
      <c r="B263" s="290">
        <v>5</v>
      </c>
      <c r="C263" s="290" t="s">
        <v>1177</v>
      </c>
      <c r="D263" s="290" t="s">
        <v>1875</v>
      </c>
      <c r="E263" s="15"/>
    </row>
    <row r="264" spans="1:5" s="13" customFormat="1" x14ac:dyDescent="0.2">
      <c r="A264" s="290" t="s">
        <v>657</v>
      </c>
      <c r="B264" s="290">
        <v>6</v>
      </c>
      <c r="C264" s="290" t="s">
        <v>607</v>
      </c>
      <c r="D264" s="290" t="s">
        <v>1859</v>
      </c>
      <c r="E264" s="15"/>
    </row>
    <row r="265" spans="1:5" s="13" customFormat="1" x14ac:dyDescent="0.2">
      <c r="A265" s="290" t="s">
        <v>657</v>
      </c>
      <c r="B265" s="290">
        <v>7</v>
      </c>
      <c r="C265" s="290" t="s">
        <v>483</v>
      </c>
      <c r="D265" s="290" t="s">
        <v>1735</v>
      </c>
      <c r="E265" s="15"/>
    </row>
    <row r="266" spans="1:5" s="13" customFormat="1" x14ac:dyDescent="0.2">
      <c r="A266" s="290" t="s">
        <v>657</v>
      </c>
      <c r="B266" s="290">
        <v>8</v>
      </c>
      <c r="C266" s="290" t="s">
        <v>484</v>
      </c>
      <c r="D266" s="290" t="s">
        <v>1736</v>
      </c>
      <c r="E266" s="15"/>
    </row>
    <row r="267" spans="1:5" x14ac:dyDescent="0.2">
      <c r="D267" s="14"/>
      <c r="E267" s="4"/>
    </row>
    <row r="268" spans="1:5" s="13" customFormat="1" x14ac:dyDescent="0.2">
      <c r="A268" s="291" t="s">
        <v>1185</v>
      </c>
      <c r="B268" s="291">
        <v>1</v>
      </c>
      <c r="C268" s="291" t="s">
        <v>1186</v>
      </c>
      <c r="D268" s="291" t="s">
        <v>1876</v>
      </c>
      <c r="E268" s="15"/>
    </row>
    <row r="269" spans="1:5" s="13" customFormat="1" x14ac:dyDescent="0.2">
      <c r="A269" s="291" t="s">
        <v>1185</v>
      </c>
      <c r="B269" s="291">
        <v>2</v>
      </c>
      <c r="C269" s="291" t="s">
        <v>1187</v>
      </c>
      <c r="D269" s="291" t="s">
        <v>1877</v>
      </c>
      <c r="E269" s="15"/>
    </row>
    <row r="270" spans="1:5" s="13" customFormat="1" x14ac:dyDescent="0.2">
      <c r="A270" s="291" t="s">
        <v>1185</v>
      </c>
      <c r="B270" s="291">
        <v>3</v>
      </c>
      <c r="C270" s="291" t="s">
        <v>1188</v>
      </c>
      <c r="D270" s="291" t="s">
        <v>1878</v>
      </c>
      <c r="E270" s="15"/>
    </row>
    <row r="271" spans="1:5" s="13" customFormat="1" x14ac:dyDescent="0.2">
      <c r="A271" s="291" t="s">
        <v>1185</v>
      </c>
      <c r="B271" s="291">
        <v>4</v>
      </c>
      <c r="C271" s="291" t="s">
        <v>1189</v>
      </c>
      <c r="D271" s="291" t="s">
        <v>1879</v>
      </c>
      <c r="E271" s="15"/>
    </row>
    <row r="272" spans="1:5" s="13" customFormat="1" x14ac:dyDescent="0.2">
      <c r="A272" s="291" t="s">
        <v>1185</v>
      </c>
      <c r="B272" s="291">
        <v>5</v>
      </c>
      <c r="C272" s="291" t="s">
        <v>1190</v>
      </c>
      <c r="D272" s="291" t="s">
        <v>1880</v>
      </c>
      <c r="E272" s="15"/>
    </row>
    <row r="273" spans="1:6" s="13" customFormat="1" x14ac:dyDescent="0.2">
      <c r="A273" s="291" t="s">
        <v>1185</v>
      </c>
      <c r="B273" s="291">
        <v>6</v>
      </c>
      <c r="C273" s="291" t="s">
        <v>483</v>
      </c>
      <c r="D273" s="291" t="s">
        <v>1735</v>
      </c>
      <c r="E273" s="15"/>
    </row>
    <row r="274" spans="1:6" s="13" customFormat="1" x14ac:dyDescent="0.2">
      <c r="A274" s="291" t="s">
        <v>1185</v>
      </c>
      <c r="B274" s="291">
        <v>7</v>
      </c>
      <c r="C274" s="291" t="s">
        <v>484</v>
      </c>
      <c r="D274" s="291" t="s">
        <v>1881</v>
      </c>
      <c r="E274" s="15"/>
    </row>
    <row r="275" spans="1:6" x14ac:dyDescent="0.2">
      <c r="E275" s="4"/>
      <c r="F275" s="13"/>
    </row>
    <row r="276" spans="1:6" s="13" customFormat="1" x14ac:dyDescent="0.2">
      <c r="A276" s="291" t="s">
        <v>658</v>
      </c>
      <c r="B276" s="291" t="s">
        <v>659</v>
      </c>
      <c r="C276" s="291" t="s">
        <v>660</v>
      </c>
      <c r="D276" s="291" t="s">
        <v>1882</v>
      </c>
      <c r="E276" s="15"/>
    </row>
    <row r="277" spans="1:6" s="13" customFormat="1" x14ac:dyDescent="0.2">
      <c r="A277" s="291" t="s">
        <v>658</v>
      </c>
      <c r="B277" s="291" t="s">
        <v>661</v>
      </c>
      <c r="C277" s="291" t="s">
        <v>1191</v>
      </c>
      <c r="D277" s="291" t="s">
        <v>1883</v>
      </c>
      <c r="E277" s="15"/>
    </row>
    <row r="278" spans="1:6" s="13" customFormat="1" x14ac:dyDescent="0.2">
      <c r="A278" s="291" t="s">
        <v>658</v>
      </c>
      <c r="B278" s="291" t="s">
        <v>662</v>
      </c>
      <c r="C278" s="291" t="s">
        <v>1192</v>
      </c>
      <c r="D278" s="291" t="s">
        <v>1884</v>
      </c>
      <c r="E278" s="15"/>
    </row>
    <row r="279" spans="1:6" s="13" customFormat="1" x14ac:dyDescent="0.2">
      <c r="A279" s="291" t="s">
        <v>658</v>
      </c>
      <c r="B279" s="291" t="s">
        <v>1196</v>
      </c>
      <c r="C279" s="291" t="s">
        <v>1193</v>
      </c>
      <c r="D279" s="291" t="s">
        <v>1885</v>
      </c>
      <c r="E279" s="15"/>
    </row>
    <row r="280" spans="1:6" s="13" customFormat="1" x14ac:dyDescent="0.2">
      <c r="A280" s="291" t="s">
        <v>658</v>
      </c>
      <c r="B280" s="291" t="s">
        <v>1197</v>
      </c>
      <c r="C280" s="291" t="s">
        <v>1194</v>
      </c>
      <c r="D280" s="291" t="s">
        <v>1886</v>
      </c>
      <c r="E280" s="15"/>
    </row>
    <row r="281" spans="1:6" s="13" customFormat="1" x14ac:dyDescent="0.2">
      <c r="A281" s="291" t="s">
        <v>658</v>
      </c>
      <c r="B281" s="291" t="s">
        <v>664</v>
      </c>
      <c r="C281" s="291" t="s">
        <v>1195</v>
      </c>
      <c r="D281" s="291" t="s">
        <v>1887</v>
      </c>
      <c r="E281" s="15"/>
    </row>
    <row r="282" spans="1:6" s="13" customFormat="1" x14ac:dyDescent="0.2">
      <c r="A282" s="291" t="s">
        <v>658</v>
      </c>
      <c r="B282" s="291" t="s">
        <v>1198</v>
      </c>
      <c r="C282" s="291" t="s">
        <v>1199</v>
      </c>
      <c r="D282" s="291" t="s">
        <v>1888</v>
      </c>
      <c r="E282" s="15"/>
    </row>
    <row r="283" spans="1:6" s="13" customFormat="1" x14ac:dyDescent="0.2">
      <c r="A283" s="291" t="s">
        <v>658</v>
      </c>
      <c r="B283" s="291" t="s">
        <v>540</v>
      </c>
      <c r="C283" s="291" t="s">
        <v>665</v>
      </c>
      <c r="D283" s="291" t="s">
        <v>1889</v>
      </c>
      <c r="E283" s="15"/>
    </row>
    <row r="284" spans="1:6" s="13" customFormat="1" x14ac:dyDescent="0.2">
      <c r="A284" s="291" t="s">
        <v>658</v>
      </c>
      <c r="B284" s="291" t="s">
        <v>542</v>
      </c>
      <c r="C284" s="291" t="s">
        <v>483</v>
      </c>
      <c r="D284" s="291" t="s">
        <v>1735</v>
      </c>
      <c r="E284" s="15"/>
    </row>
    <row r="285" spans="1:6" s="13" customFormat="1" x14ac:dyDescent="0.2">
      <c r="A285" s="291" t="s">
        <v>658</v>
      </c>
      <c r="B285" s="291" t="s">
        <v>543</v>
      </c>
      <c r="C285" s="291" t="s">
        <v>484</v>
      </c>
      <c r="D285" s="291" t="s">
        <v>1736</v>
      </c>
      <c r="E285" s="15"/>
    </row>
    <row r="286" spans="1:6" x14ac:dyDescent="0.2">
      <c r="D286" s="13"/>
      <c r="E286" s="4"/>
    </row>
    <row r="287" spans="1:6" x14ac:dyDescent="0.2">
      <c r="A287" s="291" t="s">
        <v>666</v>
      </c>
      <c r="B287" s="291">
        <v>1</v>
      </c>
      <c r="C287" s="291" t="s">
        <v>667</v>
      </c>
      <c r="D287" s="291" t="s">
        <v>1890</v>
      </c>
      <c r="E287" s="4"/>
    </row>
    <row r="288" spans="1:6" x14ac:dyDescent="0.2">
      <c r="A288" s="291" t="s">
        <v>666</v>
      </c>
      <c r="B288" s="291">
        <v>2</v>
      </c>
      <c r="C288" s="291" t="s">
        <v>1204</v>
      </c>
      <c r="D288" s="291" t="s">
        <v>1891</v>
      </c>
      <c r="E288" s="4"/>
    </row>
    <row r="289" spans="1:6" x14ac:dyDescent="0.2">
      <c r="A289" s="291" t="s">
        <v>666</v>
      </c>
      <c r="B289" s="291">
        <v>3</v>
      </c>
      <c r="C289" s="291" t="s">
        <v>668</v>
      </c>
      <c r="D289" s="291" t="s">
        <v>1892</v>
      </c>
      <c r="E289" s="4"/>
    </row>
    <row r="290" spans="1:6" x14ac:dyDescent="0.2">
      <c r="A290" s="291" t="s">
        <v>666</v>
      </c>
      <c r="B290" s="291">
        <v>4</v>
      </c>
      <c r="C290" s="291" t="s">
        <v>669</v>
      </c>
      <c r="D290" s="291" t="s">
        <v>1893</v>
      </c>
      <c r="E290" s="4"/>
    </row>
    <row r="291" spans="1:6" x14ac:dyDescent="0.2">
      <c r="A291" s="291" t="s">
        <v>666</v>
      </c>
      <c r="B291" s="291">
        <v>5</v>
      </c>
      <c r="C291" s="291" t="s">
        <v>670</v>
      </c>
      <c r="D291" s="291" t="s">
        <v>1894</v>
      </c>
      <c r="E291" s="4"/>
    </row>
    <row r="292" spans="1:6" x14ac:dyDescent="0.2">
      <c r="A292" s="291" t="s">
        <v>666</v>
      </c>
      <c r="B292" s="291">
        <v>6</v>
      </c>
      <c r="C292" s="291" t="s">
        <v>671</v>
      </c>
      <c r="D292" s="291" t="s">
        <v>1895</v>
      </c>
      <c r="E292" s="4"/>
    </row>
    <row r="293" spans="1:6" x14ac:dyDescent="0.2">
      <c r="A293" s="291" t="s">
        <v>666</v>
      </c>
      <c r="B293" s="291">
        <v>7</v>
      </c>
      <c r="C293" s="291" t="s">
        <v>672</v>
      </c>
      <c r="D293" s="291" t="s">
        <v>1896</v>
      </c>
      <c r="E293" s="4"/>
    </row>
    <row r="294" spans="1:6" x14ac:dyDescent="0.2">
      <c r="A294" s="291" t="s">
        <v>666</v>
      </c>
      <c r="B294" s="291">
        <v>8</v>
      </c>
      <c r="C294" s="291" t="s">
        <v>673</v>
      </c>
      <c r="D294" s="291" t="s">
        <v>1897</v>
      </c>
      <c r="E294" s="4"/>
    </row>
    <row r="295" spans="1:6" x14ac:dyDescent="0.2">
      <c r="A295" s="291" t="s">
        <v>666</v>
      </c>
      <c r="B295" s="291">
        <v>9</v>
      </c>
      <c r="C295" s="291" t="s">
        <v>607</v>
      </c>
      <c r="D295" s="291" t="s">
        <v>1898</v>
      </c>
      <c r="E295" s="4"/>
    </row>
    <row r="296" spans="1:6" x14ac:dyDescent="0.2">
      <c r="D296" s="13"/>
      <c r="E296" s="4"/>
    </row>
    <row r="297" spans="1:6" x14ac:dyDescent="0.2">
      <c r="A297" s="290" t="s">
        <v>674</v>
      </c>
      <c r="B297" s="290" t="s">
        <v>1206</v>
      </c>
      <c r="C297" s="290" t="s">
        <v>675</v>
      </c>
      <c r="D297" t="s">
        <v>1901</v>
      </c>
      <c r="E297" s="4"/>
      <c r="F297" s="13"/>
    </row>
    <row r="298" spans="1:6" x14ac:dyDescent="0.2">
      <c r="A298" s="290" t="s">
        <v>674</v>
      </c>
      <c r="B298" s="290" t="s">
        <v>1210</v>
      </c>
      <c r="C298" s="290" t="s">
        <v>1207</v>
      </c>
      <c r="D298" t="s">
        <v>1902</v>
      </c>
      <c r="E298" s="4"/>
      <c r="F298" s="13"/>
    </row>
    <row r="299" spans="1:6" x14ac:dyDescent="0.2">
      <c r="A299" s="290" t="s">
        <v>674</v>
      </c>
      <c r="B299" s="290" t="s">
        <v>1209</v>
      </c>
      <c r="C299" s="290" t="s">
        <v>1208</v>
      </c>
      <c r="D299" t="s">
        <v>1903</v>
      </c>
      <c r="E299" s="4"/>
      <c r="F299" s="13"/>
    </row>
    <row r="300" spans="1:6" x14ac:dyDescent="0.2">
      <c r="A300" s="290" t="s">
        <v>674</v>
      </c>
      <c r="B300" s="290" t="s">
        <v>1211</v>
      </c>
      <c r="C300" s="290" t="s">
        <v>676</v>
      </c>
      <c r="D300" t="s">
        <v>1904</v>
      </c>
      <c r="E300" s="4"/>
      <c r="F300" s="13"/>
    </row>
    <row r="301" spans="1:6" x14ac:dyDescent="0.2">
      <c r="A301" s="290" t="s">
        <v>674</v>
      </c>
      <c r="B301" s="290" t="s">
        <v>1452</v>
      </c>
      <c r="C301" s="290" t="s">
        <v>677</v>
      </c>
      <c r="D301" t="s">
        <v>1905</v>
      </c>
      <c r="E301" s="4"/>
      <c r="F301" s="13"/>
    </row>
    <row r="302" spans="1:6" x14ac:dyDescent="0.2">
      <c r="A302" s="290" t="s">
        <v>674</v>
      </c>
      <c r="B302" s="290" t="s">
        <v>1213</v>
      </c>
      <c r="C302" s="290" t="s">
        <v>1212</v>
      </c>
      <c r="D302" t="s">
        <v>1906</v>
      </c>
      <c r="E302" s="4"/>
      <c r="F302" s="13"/>
    </row>
    <row r="303" spans="1:6" x14ac:dyDescent="0.2">
      <c r="A303" s="290" t="s">
        <v>674</v>
      </c>
      <c r="B303" s="290" t="s">
        <v>1214</v>
      </c>
      <c r="C303" s="290" t="s">
        <v>678</v>
      </c>
      <c r="D303" t="s">
        <v>1907</v>
      </c>
      <c r="E303" s="4"/>
      <c r="F303" s="13"/>
    </row>
    <row r="304" spans="1:6" x14ac:dyDescent="0.2">
      <c r="A304" s="290" t="s">
        <v>674</v>
      </c>
      <c r="B304" s="290" t="s">
        <v>1216</v>
      </c>
      <c r="C304" s="290" t="s">
        <v>1215</v>
      </c>
      <c r="D304" t="s">
        <v>1908</v>
      </c>
      <c r="E304" s="4"/>
      <c r="F304" s="13"/>
    </row>
    <row r="305" spans="1:6" x14ac:dyDescent="0.2">
      <c r="A305" s="290" t="s">
        <v>674</v>
      </c>
      <c r="B305" s="290" t="s">
        <v>1217</v>
      </c>
      <c r="C305" s="290" t="s">
        <v>1218</v>
      </c>
      <c r="D305" t="s">
        <v>1899</v>
      </c>
      <c r="E305" s="4"/>
      <c r="F305" s="13"/>
    </row>
    <row r="306" spans="1:6" x14ac:dyDescent="0.2">
      <c r="A306" s="290" t="s">
        <v>674</v>
      </c>
      <c r="B306" s="290" t="s">
        <v>1219</v>
      </c>
      <c r="C306" s="290" t="s">
        <v>679</v>
      </c>
      <c r="D306" t="s">
        <v>1909</v>
      </c>
      <c r="E306" s="4"/>
      <c r="F306" s="13"/>
    </row>
    <row r="307" spans="1:6" x14ac:dyDescent="0.2">
      <c r="A307" s="290" t="s">
        <v>674</v>
      </c>
      <c r="B307" s="290" t="s">
        <v>1220</v>
      </c>
      <c r="C307" s="290" t="s">
        <v>680</v>
      </c>
      <c r="D307" t="s">
        <v>1910</v>
      </c>
      <c r="E307" s="4"/>
      <c r="F307" s="13"/>
    </row>
    <row r="308" spans="1:6" x14ac:dyDescent="0.2">
      <c r="A308" s="290" t="s">
        <v>674</v>
      </c>
      <c r="B308" s="290" t="s">
        <v>1221</v>
      </c>
      <c r="C308" s="290" t="s">
        <v>681</v>
      </c>
      <c r="D308" t="s">
        <v>1900</v>
      </c>
      <c r="E308" s="4"/>
      <c r="F308" s="13"/>
    </row>
    <row r="309" spans="1:6" x14ac:dyDescent="0.2">
      <c r="A309" s="290" t="s">
        <v>674</v>
      </c>
      <c r="B309" s="290" t="s">
        <v>1222</v>
      </c>
      <c r="C309" s="290" t="s">
        <v>682</v>
      </c>
      <c r="D309" t="s">
        <v>1911</v>
      </c>
      <c r="E309" s="4"/>
      <c r="F309" s="13"/>
    </row>
    <row r="310" spans="1:6" x14ac:dyDescent="0.2">
      <c r="A310" s="290" t="s">
        <v>674</v>
      </c>
      <c r="B310" s="290" t="s">
        <v>1223</v>
      </c>
      <c r="C310" s="290" t="s">
        <v>1225</v>
      </c>
      <c r="D310" t="s">
        <v>1912</v>
      </c>
      <c r="E310" s="4"/>
      <c r="F310" s="13"/>
    </row>
    <row r="311" spans="1:6" x14ac:dyDescent="0.2">
      <c r="A311" s="290" t="s">
        <v>674</v>
      </c>
      <c r="B311" s="290" t="s">
        <v>1224</v>
      </c>
      <c r="C311" s="290" t="s">
        <v>728</v>
      </c>
      <c r="D311" t="s">
        <v>1913</v>
      </c>
      <c r="E311" s="4"/>
    </row>
    <row r="312" spans="1:6" x14ac:dyDescent="0.2">
      <c r="A312" s="290" t="s">
        <v>674</v>
      </c>
      <c r="B312" s="290" t="s">
        <v>540</v>
      </c>
      <c r="C312" s="290" t="s">
        <v>665</v>
      </c>
      <c r="D312" t="s">
        <v>1889</v>
      </c>
      <c r="E312" s="4"/>
      <c r="F312" s="13"/>
    </row>
    <row r="313" spans="1:6" x14ac:dyDescent="0.2">
      <c r="A313" s="290" t="s">
        <v>674</v>
      </c>
      <c r="B313" s="290" t="s">
        <v>542</v>
      </c>
      <c r="C313" s="290" t="s">
        <v>483</v>
      </c>
      <c r="D313" t="s">
        <v>1735</v>
      </c>
      <c r="E313" s="4"/>
    </row>
    <row r="314" spans="1:6" x14ac:dyDescent="0.2">
      <c r="A314" s="290" t="s">
        <v>674</v>
      </c>
      <c r="B314" s="290" t="s">
        <v>543</v>
      </c>
      <c r="C314" s="290" t="s">
        <v>484</v>
      </c>
      <c r="D314" t="s">
        <v>1736</v>
      </c>
      <c r="E314" s="4"/>
    </row>
    <row r="315" spans="1:6" x14ac:dyDescent="0.2">
      <c r="E315" s="4"/>
    </row>
    <row r="316" spans="1:6" s="13" customFormat="1" x14ac:dyDescent="0.2">
      <c r="A316" s="291" t="s">
        <v>683</v>
      </c>
      <c r="B316" s="291">
        <v>1</v>
      </c>
      <c r="C316" s="291" t="s">
        <v>684</v>
      </c>
      <c r="D316" s="291" t="s">
        <v>1914</v>
      </c>
      <c r="E316" s="15"/>
    </row>
    <row r="317" spans="1:6" s="13" customFormat="1" x14ac:dyDescent="0.2">
      <c r="A317" s="291" t="s">
        <v>683</v>
      </c>
      <c r="B317" s="291">
        <v>2</v>
      </c>
      <c r="C317" s="291" t="s">
        <v>685</v>
      </c>
      <c r="D317" s="291" t="s">
        <v>1915</v>
      </c>
      <c r="E317" s="15"/>
    </row>
    <row r="318" spans="1:6" s="13" customFormat="1" x14ac:dyDescent="0.2">
      <c r="A318" s="291" t="s">
        <v>683</v>
      </c>
      <c r="B318" s="291">
        <v>3</v>
      </c>
      <c r="C318" s="291" t="s">
        <v>686</v>
      </c>
      <c r="D318" s="291" t="s">
        <v>1916</v>
      </c>
      <c r="E318" s="15"/>
    </row>
    <row r="319" spans="1:6" s="13" customFormat="1" x14ac:dyDescent="0.2">
      <c r="A319" s="291" t="s">
        <v>683</v>
      </c>
      <c r="B319" s="291">
        <v>4</v>
      </c>
      <c r="C319" s="291" t="s">
        <v>687</v>
      </c>
      <c r="D319" s="291" t="s">
        <v>1917</v>
      </c>
      <c r="E319" s="15"/>
    </row>
    <row r="320" spans="1:6" s="13" customFormat="1" x14ac:dyDescent="0.2">
      <c r="A320" s="291" t="s">
        <v>683</v>
      </c>
      <c r="B320" s="291">
        <v>5</v>
      </c>
      <c r="C320" s="291" t="s">
        <v>688</v>
      </c>
      <c r="D320" s="291" t="s">
        <v>1918</v>
      </c>
      <c r="E320" s="15"/>
    </row>
    <row r="321" spans="1:6" s="13" customFormat="1" x14ac:dyDescent="0.2">
      <c r="A321" s="291" t="s">
        <v>683</v>
      </c>
      <c r="B321" s="291">
        <v>6</v>
      </c>
      <c r="C321" s="291" t="s">
        <v>689</v>
      </c>
      <c r="D321" s="291" t="s">
        <v>1919</v>
      </c>
      <c r="E321" s="15"/>
    </row>
    <row r="322" spans="1:6" s="13" customFormat="1" x14ac:dyDescent="0.2">
      <c r="A322" s="291" t="s">
        <v>683</v>
      </c>
      <c r="B322" s="291">
        <v>7</v>
      </c>
      <c r="C322" s="291" t="s">
        <v>483</v>
      </c>
      <c r="D322" s="291" t="s">
        <v>1870</v>
      </c>
      <c r="E322" s="15"/>
    </row>
    <row r="323" spans="1:6" x14ac:dyDescent="0.2">
      <c r="A323" s="291" t="s">
        <v>683</v>
      </c>
      <c r="B323" s="291">
        <v>8</v>
      </c>
      <c r="C323" s="291" t="s">
        <v>484</v>
      </c>
      <c r="D323" s="291" t="s">
        <v>1920</v>
      </c>
      <c r="E323" s="15"/>
      <c r="F323" s="13"/>
    </row>
    <row r="324" spans="1:6" x14ac:dyDescent="0.2">
      <c r="D324" s="13"/>
      <c r="E324" s="4"/>
    </row>
    <row r="325" spans="1:6" x14ac:dyDescent="0.2">
      <c r="A325" t="s">
        <v>690</v>
      </c>
      <c r="B325" t="s">
        <v>691</v>
      </c>
      <c r="C325" t="s">
        <v>692</v>
      </c>
      <c r="D325" t="s">
        <v>1921</v>
      </c>
      <c r="E325" s="4"/>
      <c r="F325" s="13"/>
    </row>
    <row r="326" spans="1:6" x14ac:dyDescent="0.2">
      <c r="A326" t="s">
        <v>690</v>
      </c>
      <c r="B326" t="s">
        <v>1233</v>
      </c>
      <c r="C326" t="s">
        <v>1232</v>
      </c>
      <c r="D326" t="s">
        <v>1922</v>
      </c>
      <c r="E326" s="4"/>
      <c r="F326" s="13"/>
    </row>
    <row r="327" spans="1:6" x14ac:dyDescent="0.2">
      <c r="A327" t="s">
        <v>690</v>
      </c>
      <c r="B327" t="s">
        <v>1234</v>
      </c>
      <c r="C327" t="s">
        <v>1235</v>
      </c>
      <c r="D327" t="s">
        <v>1923</v>
      </c>
      <c r="E327" s="4"/>
      <c r="F327" s="13"/>
    </row>
    <row r="328" spans="1:6" x14ac:dyDescent="0.2">
      <c r="A328" t="s">
        <v>690</v>
      </c>
      <c r="B328" t="s">
        <v>1236</v>
      </c>
      <c r="C328" t="s">
        <v>1237</v>
      </c>
      <c r="D328" t="s">
        <v>1924</v>
      </c>
      <c r="E328" s="4"/>
      <c r="F328" s="13"/>
    </row>
    <row r="329" spans="1:6" x14ac:dyDescent="0.2">
      <c r="A329" t="s">
        <v>690</v>
      </c>
      <c r="B329" t="s">
        <v>1238</v>
      </c>
      <c r="C329" t="s">
        <v>693</v>
      </c>
      <c r="D329" t="s">
        <v>1925</v>
      </c>
      <c r="E329" s="4"/>
      <c r="F329" s="13"/>
    </row>
    <row r="330" spans="1:6" x14ac:dyDescent="0.2">
      <c r="A330" t="s">
        <v>690</v>
      </c>
      <c r="B330" t="s">
        <v>740</v>
      </c>
      <c r="C330" t="s">
        <v>694</v>
      </c>
      <c r="D330" t="s">
        <v>1926</v>
      </c>
      <c r="E330" s="4"/>
      <c r="F330" s="13"/>
    </row>
    <row r="331" spans="1:6" x14ac:dyDescent="0.2">
      <c r="A331" t="s">
        <v>690</v>
      </c>
      <c r="B331" t="s">
        <v>1239</v>
      </c>
      <c r="C331" t="s">
        <v>1240</v>
      </c>
      <c r="D331" t="s">
        <v>1927</v>
      </c>
      <c r="E331" s="4"/>
      <c r="F331" s="13"/>
    </row>
    <row r="332" spans="1:6" x14ac:dyDescent="0.2">
      <c r="A332" t="s">
        <v>690</v>
      </c>
      <c r="B332" t="s">
        <v>540</v>
      </c>
      <c r="C332" t="s">
        <v>665</v>
      </c>
      <c r="D332" t="s">
        <v>1889</v>
      </c>
      <c r="E332" s="4"/>
      <c r="F332" s="13"/>
    </row>
    <row r="333" spans="1:6" x14ac:dyDescent="0.2">
      <c r="A333" t="s">
        <v>690</v>
      </c>
      <c r="B333" t="s">
        <v>542</v>
      </c>
      <c r="C333" t="s">
        <v>483</v>
      </c>
      <c r="D333" t="s">
        <v>1735</v>
      </c>
      <c r="E333" s="4"/>
      <c r="F333" s="13"/>
    </row>
    <row r="334" spans="1:6" x14ac:dyDescent="0.2">
      <c r="A334" t="s">
        <v>690</v>
      </c>
      <c r="B334" t="s">
        <v>543</v>
      </c>
      <c r="C334" t="s">
        <v>484</v>
      </c>
      <c r="D334" t="s">
        <v>1736</v>
      </c>
      <c r="E334" s="4"/>
      <c r="F334" s="13"/>
    </row>
    <row r="335" spans="1:6" x14ac:dyDescent="0.2">
      <c r="E335" s="4"/>
    </row>
    <row r="336" spans="1:6" x14ac:dyDescent="0.2">
      <c r="A336" t="s">
        <v>251</v>
      </c>
      <c r="B336">
        <v>1</v>
      </c>
      <c r="C336" t="s">
        <v>695</v>
      </c>
      <c r="D336" t="s">
        <v>1928</v>
      </c>
      <c r="E336" s="4"/>
    </row>
    <row r="337" spans="1:6" x14ac:dyDescent="0.2">
      <c r="A337" t="s">
        <v>251</v>
      </c>
      <c r="B337">
        <v>2</v>
      </c>
      <c r="C337" t="s">
        <v>1242</v>
      </c>
      <c r="D337" t="s">
        <v>1929</v>
      </c>
      <c r="E337" s="4"/>
    </row>
    <row r="338" spans="1:6" x14ac:dyDescent="0.2">
      <c r="A338" t="s">
        <v>251</v>
      </c>
      <c r="B338">
        <v>3</v>
      </c>
      <c r="C338" t="s">
        <v>696</v>
      </c>
      <c r="D338" t="s">
        <v>1930</v>
      </c>
      <c r="E338" s="4"/>
    </row>
    <row r="339" spans="1:6" x14ac:dyDescent="0.2">
      <c r="A339" t="s">
        <v>251</v>
      </c>
      <c r="B339">
        <v>4</v>
      </c>
      <c r="C339" t="s">
        <v>697</v>
      </c>
      <c r="D339" t="s">
        <v>1931</v>
      </c>
      <c r="E339" s="4"/>
    </row>
    <row r="340" spans="1:6" x14ac:dyDescent="0.2">
      <c r="A340" t="s">
        <v>251</v>
      </c>
      <c r="B340">
        <v>5</v>
      </c>
      <c r="C340" t="s">
        <v>698</v>
      </c>
      <c r="D340" t="s">
        <v>1932</v>
      </c>
      <c r="E340" s="4"/>
    </row>
    <row r="341" spans="1:6" x14ac:dyDescent="0.2">
      <c r="A341" t="s">
        <v>251</v>
      </c>
      <c r="B341">
        <v>6</v>
      </c>
      <c r="C341" t="s">
        <v>699</v>
      </c>
      <c r="D341" t="s">
        <v>1933</v>
      </c>
      <c r="E341" s="4"/>
    </row>
    <row r="342" spans="1:6" x14ac:dyDescent="0.2">
      <c r="A342" t="s">
        <v>251</v>
      </c>
      <c r="B342">
        <v>7</v>
      </c>
      <c r="C342" t="s">
        <v>700</v>
      </c>
      <c r="D342" t="s">
        <v>1934</v>
      </c>
      <c r="E342" s="4"/>
    </row>
    <row r="343" spans="1:6" x14ac:dyDescent="0.2">
      <c r="A343" t="s">
        <v>251</v>
      </c>
      <c r="B343">
        <v>8</v>
      </c>
      <c r="C343" t="s">
        <v>701</v>
      </c>
      <c r="D343" t="s">
        <v>1935</v>
      </c>
      <c r="E343" s="4"/>
    </row>
    <row r="344" spans="1:6" x14ac:dyDescent="0.2">
      <c r="A344" t="s">
        <v>251</v>
      </c>
      <c r="B344">
        <v>9</v>
      </c>
      <c r="C344" t="s">
        <v>665</v>
      </c>
      <c r="D344" t="s">
        <v>1889</v>
      </c>
      <c r="E344" s="4"/>
    </row>
    <row r="345" spans="1:6" x14ac:dyDescent="0.2">
      <c r="A345" t="s">
        <v>251</v>
      </c>
      <c r="B345" s="289">
        <v>10</v>
      </c>
      <c r="C345" t="s">
        <v>483</v>
      </c>
      <c r="D345" t="s">
        <v>1735</v>
      </c>
      <c r="E345" s="4"/>
    </row>
    <row r="346" spans="1:6" x14ac:dyDescent="0.2">
      <c r="A346" t="s">
        <v>251</v>
      </c>
      <c r="B346" s="289">
        <v>11</v>
      </c>
      <c r="C346" t="s">
        <v>484</v>
      </c>
      <c r="D346" t="s">
        <v>1736</v>
      </c>
      <c r="E346" s="4"/>
    </row>
    <row r="347" spans="1:6" x14ac:dyDescent="0.2">
      <c r="E347" s="4"/>
    </row>
    <row r="348" spans="1:6" x14ac:dyDescent="0.2">
      <c r="A348" t="s">
        <v>702</v>
      </c>
      <c r="B348" t="s">
        <v>1244</v>
      </c>
      <c r="C348" t="s">
        <v>703</v>
      </c>
      <c r="D348" t="s">
        <v>1936</v>
      </c>
      <c r="E348" s="4"/>
      <c r="F348" s="13"/>
    </row>
    <row r="349" spans="1:6" x14ac:dyDescent="0.2">
      <c r="A349" t="s">
        <v>702</v>
      </c>
      <c r="B349" t="s">
        <v>1245</v>
      </c>
      <c r="C349" t="s">
        <v>704</v>
      </c>
      <c r="D349" t="s">
        <v>1937</v>
      </c>
      <c r="E349" s="4"/>
      <c r="F349" s="13"/>
    </row>
    <row r="350" spans="1:6" x14ac:dyDescent="0.2">
      <c r="A350" t="s">
        <v>702</v>
      </c>
      <c r="B350" t="s">
        <v>1246</v>
      </c>
      <c r="C350" t="s">
        <v>1247</v>
      </c>
      <c r="D350" t="s">
        <v>1938</v>
      </c>
      <c r="E350" s="4"/>
      <c r="F350" s="13"/>
    </row>
    <row r="351" spans="1:6" x14ac:dyDescent="0.2">
      <c r="A351" t="s">
        <v>702</v>
      </c>
      <c r="B351" t="s">
        <v>1256</v>
      </c>
      <c r="C351" t="s">
        <v>705</v>
      </c>
      <c r="D351" t="s">
        <v>1939</v>
      </c>
      <c r="E351" s="4"/>
      <c r="F351" s="13"/>
    </row>
    <row r="352" spans="1:6" x14ac:dyDescent="0.2">
      <c r="A352" t="s">
        <v>702</v>
      </c>
      <c r="B352" t="s">
        <v>1257</v>
      </c>
      <c r="C352" t="s">
        <v>706</v>
      </c>
      <c r="D352" t="s">
        <v>1940</v>
      </c>
      <c r="E352" s="4"/>
      <c r="F352" s="13"/>
    </row>
    <row r="353" spans="1:6" x14ac:dyDescent="0.2">
      <c r="A353" t="s">
        <v>702</v>
      </c>
      <c r="B353" t="s">
        <v>1250</v>
      </c>
      <c r="C353" t="s">
        <v>1249</v>
      </c>
      <c r="D353" t="s">
        <v>1941</v>
      </c>
      <c r="E353" s="4"/>
      <c r="F353" s="13"/>
    </row>
    <row r="354" spans="1:6" x14ac:dyDescent="0.2">
      <c r="A354" t="s">
        <v>702</v>
      </c>
      <c r="B354" t="s">
        <v>1251</v>
      </c>
      <c r="C354" t="s">
        <v>1248</v>
      </c>
      <c r="D354" t="s">
        <v>1942</v>
      </c>
      <c r="E354" s="4"/>
      <c r="F354" s="13"/>
    </row>
    <row r="355" spans="1:6" x14ac:dyDescent="0.2">
      <c r="A355" t="s">
        <v>702</v>
      </c>
      <c r="B355" t="s">
        <v>1252</v>
      </c>
      <c r="C355" t="s">
        <v>707</v>
      </c>
      <c r="D355" t="s">
        <v>1943</v>
      </c>
      <c r="E355" s="4"/>
      <c r="F355" s="13"/>
    </row>
    <row r="356" spans="1:6" x14ac:dyDescent="0.2">
      <c r="A356" t="s">
        <v>702</v>
      </c>
      <c r="B356" t="s">
        <v>1253</v>
      </c>
      <c r="C356" t="s">
        <v>708</v>
      </c>
      <c r="D356" t="s">
        <v>1944</v>
      </c>
      <c r="E356" s="4"/>
      <c r="F356" s="13"/>
    </row>
    <row r="357" spans="1:6" x14ac:dyDescent="0.2">
      <c r="A357" t="s">
        <v>702</v>
      </c>
      <c r="B357" t="s">
        <v>1254</v>
      </c>
      <c r="C357" t="s">
        <v>709</v>
      </c>
      <c r="D357" t="s">
        <v>1945</v>
      </c>
      <c r="E357" s="4"/>
      <c r="F357" s="13"/>
    </row>
    <row r="358" spans="1:6" x14ac:dyDescent="0.2">
      <c r="A358" t="s">
        <v>702</v>
      </c>
      <c r="B358" t="s">
        <v>1255</v>
      </c>
      <c r="C358" t="s">
        <v>710</v>
      </c>
      <c r="D358" t="s">
        <v>1946</v>
      </c>
      <c r="E358" s="4"/>
      <c r="F358" s="13"/>
    </row>
    <row r="359" spans="1:6" x14ac:dyDescent="0.2">
      <c r="A359" t="s">
        <v>702</v>
      </c>
      <c r="B359" t="s">
        <v>711</v>
      </c>
      <c r="C359" t="s">
        <v>665</v>
      </c>
      <c r="D359" t="s">
        <v>1889</v>
      </c>
      <c r="E359" s="4"/>
      <c r="F359" s="13"/>
    </row>
    <row r="360" spans="1:6" x14ac:dyDescent="0.2">
      <c r="A360" t="s">
        <v>702</v>
      </c>
      <c r="B360" t="s">
        <v>712</v>
      </c>
      <c r="C360" t="s">
        <v>483</v>
      </c>
      <c r="D360" t="s">
        <v>1735</v>
      </c>
      <c r="E360" s="4"/>
      <c r="F360" s="13"/>
    </row>
    <row r="361" spans="1:6" ht="14.25" customHeight="1" x14ac:dyDescent="0.2">
      <c r="A361" t="s">
        <v>702</v>
      </c>
      <c r="B361" t="s">
        <v>713</v>
      </c>
      <c r="C361" t="s">
        <v>484</v>
      </c>
      <c r="D361" t="s">
        <v>1736</v>
      </c>
      <c r="E361" s="4"/>
      <c r="F361" s="13"/>
    </row>
    <row r="362" spans="1:6" ht="14.25" customHeight="1" x14ac:dyDescent="0.2">
      <c r="E362" s="4"/>
      <c r="F362" s="13"/>
    </row>
    <row r="363" spans="1:6" s="13" customFormat="1" ht="14.25" customHeight="1" x14ac:dyDescent="0.2">
      <c r="A363" s="291" t="s">
        <v>714</v>
      </c>
      <c r="B363" s="291" t="s">
        <v>1260</v>
      </c>
      <c r="C363" s="291" t="s">
        <v>715</v>
      </c>
      <c r="D363" s="291" t="s">
        <v>1947</v>
      </c>
      <c r="E363" s="15"/>
    </row>
    <row r="364" spans="1:6" s="13" customFormat="1" ht="14.25" customHeight="1" x14ac:dyDescent="0.2">
      <c r="A364" s="291" t="s">
        <v>714</v>
      </c>
      <c r="B364" s="291" t="s">
        <v>1261</v>
      </c>
      <c r="C364" s="291" t="s">
        <v>716</v>
      </c>
      <c r="D364" s="291" t="s">
        <v>1948</v>
      </c>
      <c r="E364" s="15"/>
    </row>
    <row r="365" spans="1:6" s="13" customFormat="1" ht="14.25" customHeight="1" x14ac:dyDescent="0.2">
      <c r="A365" s="291" t="s">
        <v>714</v>
      </c>
      <c r="B365" s="291" t="s">
        <v>1262</v>
      </c>
      <c r="C365" s="291" t="s">
        <v>717</v>
      </c>
      <c r="D365" s="291" t="s">
        <v>1949</v>
      </c>
      <c r="E365" s="15"/>
    </row>
    <row r="366" spans="1:6" s="13" customFormat="1" ht="14.25" customHeight="1" x14ac:dyDescent="0.2">
      <c r="A366" s="291" t="s">
        <v>714</v>
      </c>
      <c r="B366" s="291" t="s">
        <v>718</v>
      </c>
      <c r="C366" s="291" t="s">
        <v>1263</v>
      </c>
      <c r="D366" s="291" t="s">
        <v>1950</v>
      </c>
      <c r="E366" s="15"/>
    </row>
    <row r="367" spans="1:6" s="13" customFormat="1" ht="14.25" customHeight="1" x14ac:dyDescent="0.2">
      <c r="A367" s="291" t="s">
        <v>714</v>
      </c>
      <c r="B367" s="291" t="s">
        <v>1258</v>
      </c>
      <c r="C367" s="291" t="s">
        <v>663</v>
      </c>
      <c r="D367" s="291" t="s">
        <v>1951</v>
      </c>
      <c r="E367" s="15"/>
    </row>
    <row r="368" spans="1:6" s="13" customFormat="1" ht="14.25" customHeight="1" x14ac:dyDescent="0.2">
      <c r="A368" s="291" t="s">
        <v>714</v>
      </c>
      <c r="B368" s="291" t="s">
        <v>540</v>
      </c>
      <c r="C368" s="291" t="s">
        <v>719</v>
      </c>
      <c r="D368" s="291" t="s">
        <v>1889</v>
      </c>
      <c r="E368" s="15"/>
    </row>
    <row r="369" spans="1:6" s="13" customFormat="1" ht="14.25" customHeight="1" x14ac:dyDescent="0.2">
      <c r="A369" s="291" t="s">
        <v>714</v>
      </c>
      <c r="B369" s="291" t="s">
        <v>542</v>
      </c>
      <c r="C369" s="291" t="s">
        <v>483</v>
      </c>
      <c r="D369" s="291" t="s">
        <v>1735</v>
      </c>
      <c r="E369" s="15"/>
    </row>
    <row r="370" spans="1:6" s="13" customFormat="1" ht="14.25" customHeight="1" x14ac:dyDescent="0.2">
      <c r="A370" s="291" t="s">
        <v>714</v>
      </c>
      <c r="B370" s="291" t="s">
        <v>543</v>
      </c>
      <c r="C370" s="291" t="s">
        <v>484</v>
      </c>
      <c r="D370" s="291" t="s">
        <v>1736</v>
      </c>
      <c r="E370" s="15"/>
    </row>
    <row r="371" spans="1:6" ht="14.25" customHeight="1" x14ac:dyDescent="0.2">
      <c r="D371" s="13"/>
      <c r="E371" s="4"/>
    </row>
    <row r="372" spans="1:6" x14ac:dyDescent="0.2">
      <c r="A372" t="s">
        <v>720</v>
      </c>
      <c r="B372" t="s">
        <v>1266</v>
      </c>
      <c r="C372" t="s">
        <v>721</v>
      </c>
      <c r="D372" t="s">
        <v>1952</v>
      </c>
      <c r="E372" s="4"/>
      <c r="F372" s="13"/>
    </row>
    <row r="373" spans="1:6" x14ac:dyDescent="0.2">
      <c r="A373" t="s">
        <v>720</v>
      </c>
      <c r="B373" t="s">
        <v>1267</v>
      </c>
      <c r="C373" t="s">
        <v>722</v>
      </c>
      <c r="D373" t="s">
        <v>1953</v>
      </c>
      <c r="E373" s="4"/>
      <c r="F373" s="13"/>
    </row>
    <row r="374" spans="1:6" x14ac:dyDescent="0.2">
      <c r="A374" t="s">
        <v>720</v>
      </c>
      <c r="B374" t="s">
        <v>1268</v>
      </c>
      <c r="C374" t="s">
        <v>723</v>
      </c>
      <c r="D374" t="s">
        <v>1954</v>
      </c>
      <c r="E374" s="4"/>
      <c r="F374" s="13"/>
    </row>
    <row r="375" spans="1:6" x14ac:dyDescent="0.2">
      <c r="A375" t="s">
        <v>720</v>
      </c>
      <c r="B375" t="s">
        <v>1269</v>
      </c>
      <c r="C375" t="s">
        <v>1264</v>
      </c>
      <c r="D375" t="s">
        <v>1955</v>
      </c>
      <c r="E375" s="4"/>
      <c r="F375" s="13"/>
    </row>
    <row r="376" spans="1:6" x14ac:dyDescent="0.2">
      <c r="A376" t="s">
        <v>720</v>
      </c>
      <c r="B376" t="s">
        <v>1270</v>
      </c>
      <c r="C376" t="s">
        <v>724</v>
      </c>
      <c r="D376" t="s">
        <v>1956</v>
      </c>
      <c r="E376" s="4"/>
      <c r="F376" s="13"/>
    </row>
    <row r="377" spans="1:6" x14ac:dyDescent="0.2">
      <c r="A377" t="s">
        <v>720</v>
      </c>
      <c r="B377" t="s">
        <v>725</v>
      </c>
      <c r="C377" t="s">
        <v>1265</v>
      </c>
      <c r="D377" t="s">
        <v>1957</v>
      </c>
      <c r="E377" s="4"/>
      <c r="F377" s="13"/>
    </row>
    <row r="378" spans="1:6" x14ac:dyDescent="0.2">
      <c r="A378" t="s">
        <v>720</v>
      </c>
      <c r="B378" t="s">
        <v>1271</v>
      </c>
      <c r="C378" t="s">
        <v>726</v>
      </c>
      <c r="D378" t="s">
        <v>1958</v>
      </c>
      <c r="E378" s="4"/>
      <c r="F378" s="13"/>
    </row>
    <row r="379" spans="1:6" x14ac:dyDescent="0.2">
      <c r="A379" t="s">
        <v>720</v>
      </c>
      <c r="B379" t="s">
        <v>1272</v>
      </c>
      <c r="C379" t="s">
        <v>727</v>
      </c>
      <c r="D379" t="s">
        <v>1959</v>
      </c>
      <c r="E379" s="4"/>
      <c r="F379" s="13"/>
    </row>
    <row r="380" spans="1:6" x14ac:dyDescent="0.2">
      <c r="A380" t="s">
        <v>720</v>
      </c>
      <c r="B380" t="s">
        <v>1224</v>
      </c>
      <c r="C380" t="s">
        <v>728</v>
      </c>
      <c r="D380" t="s">
        <v>1960</v>
      </c>
      <c r="E380" s="4"/>
      <c r="F380" s="13"/>
    </row>
    <row r="381" spans="1:6" x14ac:dyDescent="0.2">
      <c r="A381" t="s">
        <v>720</v>
      </c>
      <c r="B381" t="s">
        <v>1217</v>
      </c>
      <c r="C381" t="s">
        <v>1218</v>
      </c>
      <c r="D381" t="s">
        <v>1961</v>
      </c>
      <c r="E381" s="4"/>
      <c r="F381" s="13"/>
    </row>
    <row r="382" spans="1:6" x14ac:dyDescent="0.2">
      <c r="A382" t="s">
        <v>720</v>
      </c>
      <c r="B382" t="s">
        <v>540</v>
      </c>
      <c r="C382" t="s">
        <v>665</v>
      </c>
      <c r="D382" t="s">
        <v>1889</v>
      </c>
      <c r="E382" s="4"/>
    </row>
    <row r="383" spans="1:6" x14ac:dyDescent="0.2">
      <c r="A383" t="s">
        <v>720</v>
      </c>
      <c r="B383" t="s">
        <v>542</v>
      </c>
      <c r="C383" t="s">
        <v>483</v>
      </c>
      <c r="D383" t="s">
        <v>1962</v>
      </c>
      <c r="E383" s="4"/>
    </row>
    <row r="384" spans="1:6" x14ac:dyDescent="0.2">
      <c r="A384" t="s">
        <v>720</v>
      </c>
      <c r="B384" t="s">
        <v>543</v>
      </c>
      <c r="C384" t="s">
        <v>484</v>
      </c>
      <c r="D384" t="s">
        <v>1736</v>
      </c>
      <c r="E384" s="4"/>
    </row>
    <row r="385" spans="1:5" x14ac:dyDescent="0.2">
      <c r="E385" s="4"/>
    </row>
    <row r="386" spans="1:5" x14ac:dyDescent="0.2">
      <c r="A386" s="291" t="s">
        <v>729</v>
      </c>
      <c r="B386" s="291">
        <v>1</v>
      </c>
      <c r="C386" s="291" t="s">
        <v>695</v>
      </c>
      <c r="D386" t="s">
        <v>1928</v>
      </c>
      <c r="E386" s="4"/>
    </row>
    <row r="387" spans="1:5" x14ac:dyDescent="0.2">
      <c r="A387" s="291" t="s">
        <v>729</v>
      </c>
      <c r="B387" s="291">
        <v>2</v>
      </c>
      <c r="C387" s="291" t="s">
        <v>1242</v>
      </c>
      <c r="D387" t="s">
        <v>1929</v>
      </c>
      <c r="E387" s="4"/>
    </row>
    <row r="388" spans="1:5" x14ac:dyDescent="0.2">
      <c r="A388" s="291" t="s">
        <v>729</v>
      </c>
      <c r="B388" s="291">
        <v>3</v>
      </c>
      <c r="C388" s="291" t="s">
        <v>696</v>
      </c>
      <c r="D388" t="s">
        <v>1930</v>
      </c>
      <c r="E388" s="4"/>
    </row>
    <row r="389" spans="1:5" x14ac:dyDescent="0.2">
      <c r="A389" s="291" t="s">
        <v>729</v>
      </c>
      <c r="B389" s="291">
        <v>4</v>
      </c>
      <c r="C389" s="291" t="s">
        <v>697</v>
      </c>
      <c r="D389" t="s">
        <v>1931</v>
      </c>
      <c r="E389" s="4"/>
    </row>
    <row r="390" spans="1:5" x14ac:dyDescent="0.2">
      <c r="A390" s="291" t="s">
        <v>729</v>
      </c>
      <c r="B390" s="291">
        <v>5</v>
      </c>
      <c r="C390" s="291" t="s">
        <v>698</v>
      </c>
      <c r="D390" t="s">
        <v>1932</v>
      </c>
      <c r="E390" s="4"/>
    </row>
    <row r="391" spans="1:5" x14ac:dyDescent="0.2">
      <c r="A391" s="291" t="s">
        <v>729</v>
      </c>
      <c r="B391" s="291">
        <v>6</v>
      </c>
      <c r="C391" s="291" t="s">
        <v>699</v>
      </c>
      <c r="D391" t="s">
        <v>1933</v>
      </c>
      <c r="E391" s="4"/>
    </row>
    <row r="392" spans="1:5" x14ac:dyDescent="0.2">
      <c r="A392" s="291" t="s">
        <v>729</v>
      </c>
      <c r="B392" s="291">
        <v>7</v>
      </c>
      <c r="C392" s="291" t="s">
        <v>700</v>
      </c>
      <c r="D392" t="s">
        <v>1934</v>
      </c>
      <c r="E392" s="4"/>
    </row>
    <row r="393" spans="1:5" x14ac:dyDescent="0.2">
      <c r="A393" s="291" t="s">
        <v>729</v>
      </c>
      <c r="B393" s="291">
        <v>8</v>
      </c>
      <c r="C393" s="291" t="s">
        <v>701</v>
      </c>
      <c r="D393" t="s">
        <v>1935</v>
      </c>
      <c r="E393" s="4"/>
    </row>
    <row r="394" spans="1:5" x14ac:dyDescent="0.2">
      <c r="A394" s="291" t="s">
        <v>729</v>
      </c>
      <c r="B394" s="291">
        <v>9</v>
      </c>
      <c r="C394" s="291" t="s">
        <v>665</v>
      </c>
      <c r="D394" t="s">
        <v>1889</v>
      </c>
      <c r="E394" s="4"/>
    </row>
    <row r="395" spans="1:5" x14ac:dyDescent="0.2">
      <c r="A395" s="291" t="s">
        <v>729</v>
      </c>
      <c r="B395" s="291">
        <v>666</v>
      </c>
      <c r="C395" s="291" t="s">
        <v>730</v>
      </c>
      <c r="D395" t="s">
        <v>1963</v>
      </c>
      <c r="E395" s="4"/>
    </row>
    <row r="396" spans="1:5" x14ac:dyDescent="0.2">
      <c r="A396" s="291" t="s">
        <v>729</v>
      </c>
      <c r="B396" s="291">
        <v>10</v>
      </c>
      <c r="C396" s="291" t="s">
        <v>483</v>
      </c>
      <c r="D396" t="s">
        <v>1735</v>
      </c>
      <c r="E396" s="4"/>
    </row>
    <row r="397" spans="1:5" x14ac:dyDescent="0.2">
      <c r="A397" s="291" t="s">
        <v>729</v>
      </c>
      <c r="B397" s="291">
        <v>11</v>
      </c>
      <c r="C397" s="291" t="s">
        <v>484</v>
      </c>
      <c r="D397" t="s">
        <v>1736</v>
      </c>
      <c r="E397" s="4"/>
    </row>
    <row r="398" spans="1:5" x14ac:dyDescent="0.2">
      <c r="B398" s="10"/>
      <c r="D398" s="13"/>
      <c r="E398" s="4"/>
    </row>
    <row r="399" spans="1:5" x14ac:dyDescent="0.2">
      <c r="A399" t="s">
        <v>731</v>
      </c>
      <c r="B399">
        <v>1</v>
      </c>
      <c r="C399" t="s">
        <v>695</v>
      </c>
      <c r="D399" t="s">
        <v>1928</v>
      </c>
      <c r="E399" s="4"/>
    </row>
    <row r="400" spans="1:5" x14ac:dyDescent="0.2">
      <c r="A400" t="s">
        <v>731</v>
      </c>
      <c r="B400">
        <v>2</v>
      </c>
      <c r="C400" t="s">
        <v>1242</v>
      </c>
      <c r="D400" t="s">
        <v>1929</v>
      </c>
      <c r="E400" s="4"/>
    </row>
    <row r="401" spans="1:6" x14ac:dyDescent="0.2">
      <c r="A401" t="s">
        <v>731</v>
      </c>
      <c r="B401">
        <v>3</v>
      </c>
      <c r="C401" t="s">
        <v>696</v>
      </c>
      <c r="D401" t="s">
        <v>1930</v>
      </c>
      <c r="E401" s="4"/>
    </row>
    <row r="402" spans="1:6" x14ac:dyDescent="0.2">
      <c r="A402" t="s">
        <v>731</v>
      </c>
      <c r="B402">
        <v>4</v>
      </c>
      <c r="C402" s="290" t="s">
        <v>697</v>
      </c>
      <c r="D402" t="s">
        <v>1931</v>
      </c>
      <c r="E402" s="4"/>
    </row>
    <row r="403" spans="1:6" x14ac:dyDescent="0.2">
      <c r="A403" t="s">
        <v>731</v>
      </c>
      <c r="B403">
        <v>5</v>
      </c>
      <c r="C403" t="s">
        <v>732</v>
      </c>
      <c r="D403" s="290" t="s">
        <v>1932</v>
      </c>
      <c r="E403" s="4"/>
    </row>
    <row r="404" spans="1:6" x14ac:dyDescent="0.2">
      <c r="A404" t="s">
        <v>731</v>
      </c>
      <c r="B404">
        <v>6</v>
      </c>
      <c r="C404" t="s">
        <v>699</v>
      </c>
      <c r="D404" t="s">
        <v>1933</v>
      </c>
      <c r="E404" s="4"/>
    </row>
    <row r="405" spans="1:6" x14ac:dyDescent="0.2">
      <c r="A405" t="s">
        <v>731</v>
      </c>
      <c r="B405">
        <v>7</v>
      </c>
      <c r="C405" t="s">
        <v>733</v>
      </c>
      <c r="D405" t="s">
        <v>1934</v>
      </c>
      <c r="E405" s="4"/>
    </row>
    <row r="406" spans="1:6" x14ac:dyDescent="0.2">
      <c r="A406" t="s">
        <v>731</v>
      </c>
      <c r="B406">
        <v>8</v>
      </c>
      <c r="C406" t="s">
        <v>701</v>
      </c>
      <c r="D406" t="s">
        <v>1935</v>
      </c>
      <c r="E406" s="4"/>
    </row>
    <row r="407" spans="1:6" x14ac:dyDescent="0.2">
      <c r="A407" t="s">
        <v>731</v>
      </c>
      <c r="B407">
        <v>9</v>
      </c>
      <c r="C407" t="s">
        <v>734</v>
      </c>
      <c r="D407" t="s">
        <v>1964</v>
      </c>
      <c r="E407" s="4"/>
    </row>
    <row r="408" spans="1:6" x14ac:dyDescent="0.2">
      <c r="A408" t="s">
        <v>731</v>
      </c>
      <c r="B408">
        <v>10</v>
      </c>
      <c r="C408" t="s">
        <v>735</v>
      </c>
      <c r="D408" t="s">
        <v>1965</v>
      </c>
      <c r="E408" s="4"/>
    </row>
    <row r="409" spans="1:6" x14ac:dyDescent="0.2">
      <c r="A409" t="s">
        <v>731</v>
      </c>
      <c r="B409">
        <v>11</v>
      </c>
      <c r="C409" t="s">
        <v>736</v>
      </c>
      <c r="D409" t="s">
        <v>1966</v>
      </c>
      <c r="E409" s="4"/>
    </row>
    <row r="410" spans="1:6" x14ac:dyDescent="0.2">
      <c r="A410" t="s">
        <v>731</v>
      </c>
      <c r="B410" s="289">
        <v>12</v>
      </c>
      <c r="C410" t="s">
        <v>483</v>
      </c>
      <c r="D410" t="s">
        <v>1735</v>
      </c>
      <c r="E410" s="4"/>
    </row>
    <row r="411" spans="1:6" x14ac:dyDescent="0.2">
      <c r="A411" t="s">
        <v>731</v>
      </c>
      <c r="B411" s="289">
        <v>13</v>
      </c>
      <c r="C411" t="s">
        <v>484</v>
      </c>
      <c r="D411" t="s">
        <v>1736</v>
      </c>
      <c r="E411" s="4"/>
    </row>
    <row r="412" spans="1:6" x14ac:dyDescent="0.2">
      <c r="E412" s="4"/>
    </row>
    <row r="413" spans="1:6" ht="16" customHeight="1" x14ac:dyDescent="0.2">
      <c r="A413" t="s">
        <v>737</v>
      </c>
      <c r="B413" t="s">
        <v>691</v>
      </c>
      <c r="C413" t="s">
        <v>692</v>
      </c>
      <c r="D413" t="s">
        <v>1921</v>
      </c>
      <c r="E413" s="4"/>
      <c r="F413" s="13"/>
    </row>
    <row r="414" spans="1:6" ht="16" customHeight="1" x14ac:dyDescent="0.2">
      <c r="A414" t="s">
        <v>737</v>
      </c>
      <c r="B414" t="s">
        <v>1233</v>
      </c>
      <c r="C414" t="s">
        <v>1282</v>
      </c>
      <c r="D414" t="s">
        <v>1967</v>
      </c>
      <c r="E414" s="4"/>
      <c r="F414" s="13"/>
    </row>
    <row r="415" spans="1:6" ht="16" customHeight="1" x14ac:dyDescent="0.2">
      <c r="A415" t="s">
        <v>737</v>
      </c>
      <c r="B415" t="s">
        <v>1234</v>
      </c>
      <c r="C415" t="s">
        <v>1283</v>
      </c>
      <c r="D415" t="s">
        <v>1923</v>
      </c>
      <c r="E415" s="4"/>
      <c r="F415" s="13"/>
    </row>
    <row r="416" spans="1:6" ht="16" customHeight="1" x14ac:dyDescent="0.2">
      <c r="A416" t="s">
        <v>737</v>
      </c>
      <c r="B416" t="s">
        <v>1236</v>
      </c>
      <c r="C416" t="s">
        <v>1237</v>
      </c>
      <c r="D416" t="s">
        <v>1924</v>
      </c>
      <c r="E416" s="4"/>
      <c r="F416" s="13"/>
    </row>
    <row r="417" spans="1:6" ht="16" customHeight="1" x14ac:dyDescent="0.2">
      <c r="A417" t="s">
        <v>737</v>
      </c>
      <c r="B417" t="s">
        <v>1238</v>
      </c>
      <c r="C417" t="s">
        <v>693</v>
      </c>
      <c r="D417" t="s">
        <v>1925</v>
      </c>
      <c r="E417" s="4"/>
      <c r="F417" s="13"/>
    </row>
    <row r="418" spans="1:6" ht="16" customHeight="1" x14ac:dyDescent="0.2">
      <c r="A418" t="s">
        <v>737</v>
      </c>
      <c r="B418" t="s">
        <v>738</v>
      </c>
      <c r="C418" t="s">
        <v>739</v>
      </c>
      <c r="D418" t="s">
        <v>1968</v>
      </c>
      <c r="E418" s="4"/>
      <c r="F418" s="13"/>
    </row>
    <row r="419" spans="1:6" ht="16" customHeight="1" x14ac:dyDescent="0.2">
      <c r="A419" t="s">
        <v>737</v>
      </c>
      <c r="B419" t="s">
        <v>740</v>
      </c>
      <c r="C419" t="s">
        <v>1284</v>
      </c>
      <c r="D419" t="s">
        <v>1969</v>
      </c>
      <c r="E419" s="4"/>
      <c r="F419" s="13"/>
    </row>
    <row r="420" spans="1:6" ht="16" customHeight="1" x14ac:dyDescent="0.2">
      <c r="A420" t="s">
        <v>737</v>
      </c>
      <c r="B420" t="s">
        <v>1239</v>
      </c>
      <c r="C420" t="s">
        <v>1240</v>
      </c>
      <c r="D420" t="s">
        <v>1927</v>
      </c>
      <c r="E420" s="4"/>
      <c r="F420" s="13"/>
    </row>
    <row r="421" spans="1:6" ht="16" customHeight="1" x14ac:dyDescent="0.2">
      <c r="A421" t="s">
        <v>737</v>
      </c>
      <c r="B421" t="s">
        <v>540</v>
      </c>
      <c r="C421" t="s">
        <v>665</v>
      </c>
      <c r="D421" t="s">
        <v>1889</v>
      </c>
      <c r="E421" s="4"/>
    </row>
    <row r="422" spans="1:6" ht="16" customHeight="1" x14ac:dyDescent="0.2">
      <c r="A422" t="s">
        <v>737</v>
      </c>
      <c r="B422" t="s">
        <v>542</v>
      </c>
      <c r="C422" t="s">
        <v>483</v>
      </c>
      <c r="D422" t="s">
        <v>1735</v>
      </c>
      <c r="E422" s="4"/>
    </row>
    <row r="423" spans="1:6" ht="16" customHeight="1" x14ac:dyDescent="0.2">
      <c r="A423" t="s">
        <v>737</v>
      </c>
      <c r="B423" t="s">
        <v>543</v>
      </c>
      <c r="C423" t="s">
        <v>484</v>
      </c>
      <c r="D423" t="s">
        <v>1736</v>
      </c>
      <c r="E423" s="4"/>
    </row>
    <row r="424" spans="1:6" ht="16" customHeight="1" x14ac:dyDescent="0.2">
      <c r="E424" s="4"/>
    </row>
    <row r="425" spans="1:6" x14ac:dyDescent="0.2">
      <c r="A425" t="s">
        <v>741</v>
      </c>
      <c r="B425" t="s">
        <v>742</v>
      </c>
      <c r="C425" t="s">
        <v>1285</v>
      </c>
      <c r="D425" t="s">
        <v>1970</v>
      </c>
      <c r="E425" s="4"/>
      <c r="F425" s="13"/>
    </row>
    <row r="426" spans="1:6" x14ac:dyDescent="0.2">
      <c r="A426" t="s">
        <v>741</v>
      </c>
      <c r="B426" t="s">
        <v>1288</v>
      </c>
      <c r="C426" t="s">
        <v>1286</v>
      </c>
      <c r="D426" t="s">
        <v>1971</v>
      </c>
      <c r="E426" s="4"/>
      <c r="F426" s="13"/>
    </row>
    <row r="427" spans="1:6" x14ac:dyDescent="0.2">
      <c r="A427" t="s">
        <v>741</v>
      </c>
      <c r="B427" t="s">
        <v>1289</v>
      </c>
      <c r="C427" t="s">
        <v>1287</v>
      </c>
      <c r="D427" t="s">
        <v>1972</v>
      </c>
      <c r="E427" s="4"/>
      <c r="F427" s="13"/>
    </row>
    <row r="428" spans="1:6" x14ac:dyDescent="0.2">
      <c r="A428" t="s">
        <v>741</v>
      </c>
      <c r="B428" t="s">
        <v>743</v>
      </c>
      <c r="C428" t="s">
        <v>744</v>
      </c>
      <c r="D428" t="s">
        <v>1973</v>
      </c>
      <c r="E428" s="4"/>
      <c r="F428" s="13"/>
    </row>
    <row r="429" spans="1:6" x14ac:dyDescent="0.2">
      <c r="A429" t="s">
        <v>741</v>
      </c>
      <c r="B429" t="s">
        <v>542</v>
      </c>
      <c r="C429" t="s">
        <v>483</v>
      </c>
      <c r="D429" t="s">
        <v>1735</v>
      </c>
      <c r="E429" s="4"/>
      <c r="F429" s="13"/>
    </row>
    <row r="430" spans="1:6" x14ac:dyDescent="0.2">
      <c r="A430" t="s">
        <v>741</v>
      </c>
      <c r="B430" t="s">
        <v>543</v>
      </c>
      <c r="C430" t="s">
        <v>484</v>
      </c>
      <c r="D430" t="s">
        <v>1736</v>
      </c>
      <c r="E430" s="4"/>
      <c r="F430" s="13"/>
    </row>
    <row r="431" spans="1:6" x14ac:dyDescent="0.2">
      <c r="E431" s="4"/>
    </row>
    <row r="432" spans="1:6" x14ac:dyDescent="0.2">
      <c r="A432" t="s">
        <v>745</v>
      </c>
      <c r="B432" t="s">
        <v>1451</v>
      </c>
      <c r="C432" t="s">
        <v>1294</v>
      </c>
      <c r="D432" t="s">
        <v>1974</v>
      </c>
      <c r="E432" s="4"/>
      <c r="F432" s="13"/>
    </row>
    <row r="433" spans="1:6" x14ac:dyDescent="0.2">
      <c r="A433" t="s">
        <v>745</v>
      </c>
      <c r="B433" t="s">
        <v>1291</v>
      </c>
      <c r="C433" t="s">
        <v>1292</v>
      </c>
      <c r="D433" t="s">
        <v>1975</v>
      </c>
      <c r="E433" s="4"/>
      <c r="F433" s="13"/>
    </row>
    <row r="434" spans="1:6" x14ac:dyDescent="0.2">
      <c r="A434" t="s">
        <v>745</v>
      </c>
      <c r="B434" t="s">
        <v>1290</v>
      </c>
      <c r="C434" t="s">
        <v>1293</v>
      </c>
      <c r="D434" t="s">
        <v>1976</v>
      </c>
      <c r="E434" s="4"/>
      <c r="F434" s="13"/>
    </row>
    <row r="435" spans="1:6" x14ac:dyDescent="0.2">
      <c r="A435" t="s">
        <v>745</v>
      </c>
      <c r="B435" t="s">
        <v>746</v>
      </c>
      <c r="C435" t="s">
        <v>747</v>
      </c>
      <c r="D435" t="s">
        <v>1977</v>
      </c>
      <c r="E435" s="4"/>
      <c r="F435" s="13"/>
    </row>
    <row r="436" spans="1:6" x14ac:dyDescent="0.2">
      <c r="A436" t="s">
        <v>745</v>
      </c>
      <c r="B436" t="s">
        <v>1307</v>
      </c>
      <c r="C436" t="s">
        <v>1295</v>
      </c>
      <c r="D436" t="s">
        <v>1978</v>
      </c>
      <c r="E436" s="4"/>
      <c r="F436" s="13"/>
    </row>
    <row r="437" spans="1:6" x14ac:dyDescent="0.2">
      <c r="A437" t="s">
        <v>745</v>
      </c>
      <c r="B437" t="s">
        <v>748</v>
      </c>
      <c r="C437" t="s">
        <v>1296</v>
      </c>
      <c r="D437" t="s">
        <v>1979</v>
      </c>
      <c r="E437" s="4"/>
      <c r="F437" s="13"/>
    </row>
    <row r="438" spans="1:6" x14ac:dyDescent="0.2">
      <c r="A438" t="s">
        <v>745</v>
      </c>
      <c r="B438" t="s">
        <v>1300</v>
      </c>
      <c r="C438" t="s">
        <v>1297</v>
      </c>
      <c r="D438" t="s">
        <v>1980</v>
      </c>
      <c r="E438" s="4"/>
      <c r="F438" s="13"/>
    </row>
    <row r="439" spans="1:6" x14ac:dyDescent="0.2">
      <c r="A439" t="s">
        <v>745</v>
      </c>
      <c r="B439" t="s">
        <v>1299</v>
      </c>
      <c r="C439" t="s">
        <v>1298</v>
      </c>
      <c r="D439" t="s">
        <v>1981</v>
      </c>
      <c r="E439" s="4"/>
      <c r="F439" s="13"/>
    </row>
    <row r="440" spans="1:6" x14ac:dyDescent="0.2">
      <c r="A440" t="s">
        <v>745</v>
      </c>
      <c r="B440" t="s">
        <v>540</v>
      </c>
      <c r="C440" t="s">
        <v>607</v>
      </c>
      <c r="D440" t="s">
        <v>1889</v>
      </c>
      <c r="E440" s="4"/>
    </row>
    <row r="441" spans="1:6" x14ac:dyDescent="0.2">
      <c r="A441" t="s">
        <v>745</v>
      </c>
      <c r="B441" t="s">
        <v>542</v>
      </c>
      <c r="C441" t="s">
        <v>483</v>
      </c>
      <c r="D441" t="s">
        <v>1735</v>
      </c>
      <c r="E441" s="4"/>
    </row>
    <row r="442" spans="1:6" x14ac:dyDescent="0.2">
      <c r="A442" t="s">
        <v>745</v>
      </c>
      <c r="B442" t="s">
        <v>543</v>
      </c>
      <c r="C442" t="s">
        <v>484</v>
      </c>
      <c r="D442" t="s">
        <v>1736</v>
      </c>
      <c r="E442" s="4"/>
    </row>
    <row r="443" spans="1:6" x14ac:dyDescent="0.2">
      <c r="E443" s="4"/>
    </row>
    <row r="444" spans="1:6" s="13" customFormat="1" x14ac:dyDescent="0.2">
      <c r="A444" s="291" t="s">
        <v>749</v>
      </c>
      <c r="B444" s="291" t="s">
        <v>1301</v>
      </c>
      <c r="C444" s="291" t="s">
        <v>750</v>
      </c>
      <c r="D444" s="291" t="s">
        <v>1982</v>
      </c>
      <c r="E444" s="15"/>
    </row>
    <row r="445" spans="1:6" s="13" customFormat="1" x14ac:dyDescent="0.2">
      <c r="A445" s="291" t="s">
        <v>749</v>
      </c>
      <c r="B445" s="291" t="s">
        <v>1303</v>
      </c>
      <c r="C445" s="291" t="s">
        <v>1302</v>
      </c>
      <c r="D445" s="291" t="s">
        <v>1983</v>
      </c>
      <c r="E445" s="15"/>
    </row>
    <row r="446" spans="1:6" s="13" customFormat="1" x14ac:dyDescent="0.2">
      <c r="A446" s="291" t="s">
        <v>749</v>
      </c>
      <c r="B446" s="291" t="s">
        <v>751</v>
      </c>
      <c r="C446" s="291" t="s">
        <v>1304</v>
      </c>
      <c r="D446" s="291" t="s">
        <v>1984</v>
      </c>
      <c r="E446" s="15"/>
    </row>
    <row r="447" spans="1:6" s="13" customFormat="1" x14ac:dyDescent="0.2">
      <c r="A447" s="291" t="s">
        <v>749</v>
      </c>
      <c r="B447" s="291" t="s">
        <v>752</v>
      </c>
      <c r="C447" s="291" t="s">
        <v>753</v>
      </c>
      <c r="D447" s="291" t="s">
        <v>1985</v>
      </c>
      <c r="E447" s="15"/>
    </row>
    <row r="448" spans="1:6" s="13" customFormat="1" x14ac:dyDescent="0.2">
      <c r="A448" s="291" t="s">
        <v>749</v>
      </c>
      <c r="B448" s="291" t="s">
        <v>746</v>
      </c>
      <c r="C448" s="291" t="s">
        <v>754</v>
      </c>
      <c r="D448" s="291" t="s">
        <v>1986</v>
      </c>
      <c r="E448" s="15"/>
    </row>
    <row r="449" spans="1:6" s="13" customFormat="1" x14ac:dyDescent="0.2">
      <c r="A449" s="291" t="s">
        <v>749</v>
      </c>
      <c r="B449" s="291" t="s">
        <v>755</v>
      </c>
      <c r="C449" s="291" t="s">
        <v>1305</v>
      </c>
      <c r="D449" s="291" t="s">
        <v>1987</v>
      </c>
      <c r="E449" s="15"/>
    </row>
    <row r="450" spans="1:6" s="13" customFormat="1" x14ac:dyDescent="0.2">
      <c r="A450" s="291" t="s">
        <v>749</v>
      </c>
      <c r="B450" s="291" t="s">
        <v>748</v>
      </c>
      <c r="C450" s="291" t="s">
        <v>1306</v>
      </c>
      <c r="D450" s="291" t="s">
        <v>1988</v>
      </c>
      <c r="E450" s="15"/>
    </row>
    <row r="451" spans="1:6" s="13" customFormat="1" x14ac:dyDescent="0.2">
      <c r="A451" s="291" t="s">
        <v>749</v>
      </c>
      <c r="B451" s="291" t="s">
        <v>540</v>
      </c>
      <c r="C451" s="291" t="s">
        <v>607</v>
      </c>
      <c r="D451" s="291" t="s">
        <v>1859</v>
      </c>
      <c r="E451" s="15"/>
    </row>
    <row r="452" spans="1:6" s="13" customFormat="1" x14ac:dyDescent="0.2">
      <c r="A452" s="291" t="s">
        <v>749</v>
      </c>
      <c r="B452" s="291" t="s">
        <v>542</v>
      </c>
      <c r="C452" s="291" t="s">
        <v>483</v>
      </c>
      <c r="D452" s="291" t="s">
        <v>1735</v>
      </c>
      <c r="E452" s="15"/>
    </row>
    <row r="453" spans="1:6" s="13" customFormat="1" x14ac:dyDescent="0.2">
      <c r="A453" s="291" t="s">
        <v>749</v>
      </c>
      <c r="B453" s="291" t="s">
        <v>543</v>
      </c>
      <c r="C453" s="291" t="s">
        <v>484</v>
      </c>
      <c r="D453" s="291" t="s">
        <v>1736</v>
      </c>
      <c r="E453" s="15"/>
    </row>
    <row r="454" spans="1:6" x14ac:dyDescent="0.2">
      <c r="D454" s="13"/>
      <c r="E454" s="4"/>
    </row>
    <row r="455" spans="1:6" x14ac:dyDescent="0.2">
      <c r="A455" t="s">
        <v>756</v>
      </c>
      <c r="B455">
        <v>1</v>
      </c>
      <c r="C455" t="s">
        <v>1427</v>
      </c>
      <c r="D455" t="s">
        <v>1989</v>
      </c>
      <c r="E455" s="4"/>
    </row>
    <row r="456" spans="1:6" x14ac:dyDescent="0.2">
      <c r="A456" t="s">
        <v>756</v>
      </c>
      <c r="B456">
        <v>2</v>
      </c>
      <c r="C456" t="s">
        <v>1428</v>
      </c>
      <c r="D456" t="s">
        <v>1990</v>
      </c>
      <c r="E456" s="4"/>
    </row>
    <row r="457" spans="1:6" x14ac:dyDescent="0.2">
      <c r="A457" t="s">
        <v>756</v>
      </c>
      <c r="B457">
        <v>3</v>
      </c>
      <c r="C457" t="s">
        <v>1429</v>
      </c>
      <c r="D457" t="s">
        <v>1991</v>
      </c>
      <c r="E457" s="4"/>
    </row>
    <row r="458" spans="1:6" x14ac:dyDescent="0.2">
      <c r="A458" t="s">
        <v>756</v>
      </c>
      <c r="B458">
        <v>4</v>
      </c>
      <c r="C458" t="s">
        <v>1430</v>
      </c>
      <c r="D458" t="s">
        <v>1992</v>
      </c>
      <c r="E458" s="4"/>
    </row>
    <row r="459" spans="1:6" x14ac:dyDescent="0.2">
      <c r="A459" t="s">
        <v>756</v>
      </c>
      <c r="B459">
        <v>5</v>
      </c>
      <c r="C459" t="s">
        <v>607</v>
      </c>
      <c r="D459" t="s">
        <v>1859</v>
      </c>
      <c r="E459" s="4"/>
    </row>
    <row r="460" spans="1:6" x14ac:dyDescent="0.2">
      <c r="A460" t="s">
        <v>756</v>
      </c>
      <c r="B460" s="289">
        <v>6</v>
      </c>
      <c r="C460" t="s">
        <v>483</v>
      </c>
      <c r="D460" t="s">
        <v>1735</v>
      </c>
      <c r="E460" s="4"/>
    </row>
    <row r="461" spans="1:6" x14ac:dyDescent="0.2">
      <c r="A461" t="s">
        <v>756</v>
      </c>
      <c r="B461" s="289">
        <v>7</v>
      </c>
      <c r="C461" t="s">
        <v>484</v>
      </c>
      <c r="D461" t="s">
        <v>1736</v>
      </c>
      <c r="E461" s="4"/>
    </row>
    <row r="462" spans="1:6" x14ac:dyDescent="0.2">
      <c r="E462" s="4"/>
    </row>
    <row r="463" spans="1:6" x14ac:dyDescent="0.2">
      <c r="A463" t="s">
        <v>757</v>
      </c>
      <c r="B463" t="s">
        <v>691</v>
      </c>
      <c r="C463" t="s">
        <v>692</v>
      </c>
      <c r="D463" t="s">
        <v>1921</v>
      </c>
      <c r="E463" s="4"/>
      <c r="F463" s="13"/>
    </row>
    <row r="464" spans="1:6" x14ac:dyDescent="0.2">
      <c r="A464" t="s">
        <v>757</v>
      </c>
      <c r="B464" t="s">
        <v>1233</v>
      </c>
      <c r="C464" t="s">
        <v>1422</v>
      </c>
      <c r="D464" t="s">
        <v>1993</v>
      </c>
      <c r="E464" s="4"/>
      <c r="F464" s="13"/>
    </row>
    <row r="465" spans="1:6" x14ac:dyDescent="0.2">
      <c r="A465" t="s">
        <v>757</v>
      </c>
      <c r="B465" t="s">
        <v>1234</v>
      </c>
      <c r="C465" t="s">
        <v>1423</v>
      </c>
      <c r="D465" t="s">
        <v>1923</v>
      </c>
      <c r="E465" s="4"/>
      <c r="F465" s="13"/>
    </row>
    <row r="466" spans="1:6" x14ac:dyDescent="0.2">
      <c r="A466" t="s">
        <v>757</v>
      </c>
      <c r="B466" t="s">
        <v>1236</v>
      </c>
      <c r="C466" t="s">
        <v>1424</v>
      </c>
      <c r="D466" t="s">
        <v>1924</v>
      </c>
      <c r="E466" s="4"/>
      <c r="F466" s="13"/>
    </row>
    <row r="467" spans="1:6" x14ac:dyDescent="0.2">
      <c r="A467" t="s">
        <v>757</v>
      </c>
      <c r="B467" t="s">
        <v>1445</v>
      </c>
      <c r="C467" t="s">
        <v>693</v>
      </c>
      <c r="D467" t="s">
        <v>1925</v>
      </c>
      <c r="E467" s="4"/>
      <c r="F467" s="13"/>
    </row>
    <row r="468" spans="1:6" x14ac:dyDescent="0.2">
      <c r="A468" t="s">
        <v>757</v>
      </c>
      <c r="B468" t="s">
        <v>740</v>
      </c>
      <c r="C468" t="s">
        <v>1425</v>
      </c>
      <c r="D468" t="s">
        <v>1994</v>
      </c>
      <c r="E468" s="4"/>
      <c r="F468" s="13"/>
    </row>
    <row r="469" spans="1:6" x14ac:dyDescent="0.2">
      <c r="A469" t="s">
        <v>757</v>
      </c>
      <c r="B469" t="s">
        <v>1239</v>
      </c>
      <c r="C469" t="s">
        <v>1426</v>
      </c>
      <c r="D469" t="s">
        <v>1927</v>
      </c>
      <c r="E469" s="4"/>
      <c r="F469" s="13"/>
    </row>
    <row r="470" spans="1:6" x14ac:dyDescent="0.2">
      <c r="A470" t="s">
        <v>757</v>
      </c>
      <c r="B470" t="s">
        <v>540</v>
      </c>
      <c r="C470" t="s">
        <v>665</v>
      </c>
      <c r="D470" t="s">
        <v>1889</v>
      </c>
      <c r="E470" s="4"/>
    </row>
    <row r="471" spans="1:6" x14ac:dyDescent="0.2">
      <c r="A471" t="s">
        <v>757</v>
      </c>
      <c r="B471" t="s">
        <v>542</v>
      </c>
      <c r="C471" t="s">
        <v>483</v>
      </c>
      <c r="D471" t="s">
        <v>1735</v>
      </c>
      <c r="E471" s="4"/>
    </row>
    <row r="472" spans="1:6" x14ac:dyDescent="0.2">
      <c r="A472" t="s">
        <v>757</v>
      </c>
      <c r="B472" t="s">
        <v>543</v>
      </c>
      <c r="C472" t="s">
        <v>484</v>
      </c>
      <c r="D472" t="s">
        <v>1736</v>
      </c>
      <c r="E472" s="4"/>
    </row>
    <row r="473" spans="1:6" x14ac:dyDescent="0.2">
      <c r="E473" s="4"/>
    </row>
    <row r="474" spans="1:6" x14ac:dyDescent="0.2">
      <c r="A474" t="s">
        <v>758</v>
      </c>
      <c r="B474">
        <v>1</v>
      </c>
      <c r="C474" t="s">
        <v>759</v>
      </c>
      <c r="D474" t="s">
        <v>1995</v>
      </c>
      <c r="E474" s="4"/>
    </row>
    <row r="475" spans="1:6" x14ac:dyDescent="0.2">
      <c r="A475" t="s">
        <v>758</v>
      </c>
      <c r="B475">
        <v>2</v>
      </c>
      <c r="C475" t="s">
        <v>760</v>
      </c>
      <c r="D475" t="s">
        <v>1996</v>
      </c>
      <c r="E475" s="4"/>
    </row>
    <row r="476" spans="1:6" x14ac:dyDescent="0.2">
      <c r="A476" t="s">
        <v>758</v>
      </c>
      <c r="B476">
        <v>3</v>
      </c>
      <c r="C476" t="s">
        <v>761</v>
      </c>
      <c r="D476" t="s">
        <v>1997</v>
      </c>
      <c r="E476" s="4"/>
    </row>
    <row r="477" spans="1:6" x14ac:dyDescent="0.2">
      <c r="A477" t="s">
        <v>758</v>
      </c>
      <c r="B477">
        <v>4</v>
      </c>
      <c r="C477" t="s">
        <v>762</v>
      </c>
      <c r="D477" t="s">
        <v>1735</v>
      </c>
      <c r="E477" s="4"/>
    </row>
    <row r="478" spans="1:6" x14ac:dyDescent="0.2">
      <c r="A478" t="s">
        <v>758</v>
      </c>
      <c r="B478" s="289">
        <v>5</v>
      </c>
      <c r="C478" t="s">
        <v>484</v>
      </c>
      <c r="D478" t="s">
        <v>1736</v>
      </c>
      <c r="E478" s="4"/>
    </row>
    <row r="479" spans="1:6" x14ac:dyDescent="0.2">
      <c r="E479" s="4"/>
    </row>
    <row r="480" spans="1:6" x14ac:dyDescent="0.2">
      <c r="A480" t="s">
        <v>763</v>
      </c>
      <c r="B480">
        <v>1</v>
      </c>
      <c r="C480" t="s">
        <v>479</v>
      </c>
      <c r="D480" t="s">
        <v>1738</v>
      </c>
      <c r="E480" s="4"/>
    </row>
    <row r="481" spans="1:5" x14ac:dyDescent="0.2">
      <c r="A481" t="s">
        <v>763</v>
      </c>
      <c r="B481">
        <v>2</v>
      </c>
      <c r="C481" t="s">
        <v>764</v>
      </c>
      <c r="D481" t="s">
        <v>1998</v>
      </c>
      <c r="E481" s="4"/>
    </row>
    <row r="482" spans="1:5" x14ac:dyDescent="0.2">
      <c r="A482" t="s">
        <v>763</v>
      </c>
      <c r="B482">
        <v>3</v>
      </c>
      <c r="C482" t="s">
        <v>765</v>
      </c>
      <c r="D482" t="s">
        <v>1999</v>
      </c>
      <c r="E482" s="4"/>
    </row>
    <row r="483" spans="1:5" x14ac:dyDescent="0.2">
      <c r="A483" t="s">
        <v>763</v>
      </c>
      <c r="B483">
        <v>4</v>
      </c>
      <c r="C483" t="s">
        <v>766</v>
      </c>
      <c r="D483" t="s">
        <v>2000</v>
      </c>
      <c r="E483" s="4"/>
    </row>
    <row r="484" spans="1:5" x14ac:dyDescent="0.2">
      <c r="A484" t="s">
        <v>763</v>
      </c>
      <c r="B484" s="289">
        <v>5</v>
      </c>
      <c r="C484" t="s">
        <v>483</v>
      </c>
      <c r="D484" t="s">
        <v>1735</v>
      </c>
      <c r="E484" s="4"/>
    </row>
    <row r="485" spans="1:5" x14ac:dyDescent="0.2">
      <c r="A485" t="s">
        <v>763</v>
      </c>
      <c r="B485" s="289">
        <v>6</v>
      </c>
      <c r="C485" t="s">
        <v>484</v>
      </c>
      <c r="D485" t="s">
        <v>1736</v>
      </c>
      <c r="E485" s="4"/>
    </row>
    <row r="486" spans="1:5" x14ac:dyDescent="0.2">
      <c r="E486" s="4"/>
    </row>
    <row r="487" spans="1:5" x14ac:dyDescent="0.2">
      <c r="A487" t="s">
        <v>387</v>
      </c>
      <c r="B487" t="s">
        <v>767</v>
      </c>
      <c r="C487" t="s">
        <v>768</v>
      </c>
      <c r="D487" t="s">
        <v>2001</v>
      </c>
      <c r="E487" s="4"/>
    </row>
    <row r="488" spans="1:5" x14ac:dyDescent="0.2">
      <c r="A488" t="s">
        <v>387</v>
      </c>
      <c r="B488" t="s">
        <v>769</v>
      </c>
      <c r="C488" t="s">
        <v>770</v>
      </c>
      <c r="D488" t="s">
        <v>2002</v>
      </c>
      <c r="E488" s="4"/>
    </row>
    <row r="489" spans="1:5" x14ac:dyDescent="0.2">
      <c r="A489" t="s">
        <v>387</v>
      </c>
      <c r="B489" t="s">
        <v>771</v>
      </c>
      <c r="C489" t="s">
        <v>772</v>
      </c>
      <c r="D489" t="s">
        <v>2003</v>
      </c>
      <c r="E489" s="4"/>
    </row>
    <row r="490" spans="1:5" x14ac:dyDescent="0.2">
      <c r="A490" t="s">
        <v>387</v>
      </c>
      <c r="B490" t="s">
        <v>773</v>
      </c>
      <c r="C490" t="s">
        <v>1321</v>
      </c>
      <c r="D490" t="s">
        <v>2004</v>
      </c>
      <c r="E490" s="4"/>
    </row>
    <row r="491" spans="1:5" x14ac:dyDescent="0.2">
      <c r="A491" t="s">
        <v>387</v>
      </c>
      <c r="B491" t="s">
        <v>774</v>
      </c>
      <c r="C491" t="s">
        <v>1095</v>
      </c>
      <c r="D491" t="s">
        <v>2005</v>
      </c>
      <c r="E491" s="4"/>
    </row>
    <row r="492" spans="1:5" x14ac:dyDescent="0.2">
      <c r="A492" t="s">
        <v>387</v>
      </c>
      <c r="B492" t="s">
        <v>775</v>
      </c>
      <c r="C492" t="s">
        <v>734</v>
      </c>
      <c r="D492" t="s">
        <v>1964</v>
      </c>
      <c r="E492" s="4"/>
    </row>
    <row r="493" spans="1:5" x14ac:dyDescent="0.2">
      <c r="A493" t="s">
        <v>387</v>
      </c>
      <c r="B493" t="s">
        <v>776</v>
      </c>
      <c r="C493" t="s">
        <v>777</v>
      </c>
      <c r="D493" t="s">
        <v>2006</v>
      </c>
      <c r="E493" s="4"/>
    </row>
    <row r="494" spans="1:5" x14ac:dyDescent="0.2">
      <c r="A494" t="s">
        <v>387</v>
      </c>
      <c r="B494" t="s">
        <v>778</v>
      </c>
      <c r="C494" t="s">
        <v>1096</v>
      </c>
      <c r="D494" t="s">
        <v>2007</v>
      </c>
      <c r="E494" s="4"/>
    </row>
    <row r="495" spans="1:5" x14ac:dyDescent="0.2">
      <c r="A495" t="s">
        <v>387</v>
      </c>
      <c r="B495" t="s">
        <v>779</v>
      </c>
      <c r="C495" t="s">
        <v>780</v>
      </c>
      <c r="D495" t="s">
        <v>2008</v>
      </c>
      <c r="E495" s="4"/>
    </row>
    <row r="496" spans="1:5" x14ac:dyDescent="0.2">
      <c r="A496" t="s">
        <v>387</v>
      </c>
      <c r="B496" t="s">
        <v>781</v>
      </c>
      <c r="C496" t="s">
        <v>782</v>
      </c>
      <c r="D496" t="s">
        <v>2009</v>
      </c>
      <c r="E496" s="4"/>
    </row>
    <row r="497" spans="1:6" x14ac:dyDescent="0.2">
      <c r="A497" t="s">
        <v>387</v>
      </c>
      <c r="B497" t="s">
        <v>783</v>
      </c>
      <c r="C497" t="s">
        <v>784</v>
      </c>
      <c r="D497" t="s">
        <v>2010</v>
      </c>
      <c r="E497" s="4"/>
    </row>
    <row r="498" spans="1:6" x14ac:dyDescent="0.2">
      <c r="A498" t="s">
        <v>387</v>
      </c>
      <c r="B498" t="s">
        <v>785</v>
      </c>
      <c r="C498" t="s">
        <v>786</v>
      </c>
      <c r="D498" t="s">
        <v>2011</v>
      </c>
      <c r="E498" s="4"/>
    </row>
    <row r="499" spans="1:6" x14ac:dyDescent="0.2">
      <c r="E499" s="4"/>
    </row>
    <row r="500" spans="1:6" x14ac:dyDescent="0.2">
      <c r="A500" t="s">
        <v>787</v>
      </c>
      <c r="B500" t="s">
        <v>789</v>
      </c>
      <c r="C500" t="s">
        <v>790</v>
      </c>
      <c r="D500" t="s">
        <v>2012</v>
      </c>
      <c r="E500" s="4"/>
      <c r="F500" s="13"/>
    </row>
    <row r="501" spans="1:6" x14ac:dyDescent="0.2">
      <c r="A501" t="s">
        <v>787</v>
      </c>
      <c r="B501" t="s">
        <v>1343</v>
      </c>
      <c r="C501" t="s">
        <v>1362</v>
      </c>
      <c r="D501" t="s">
        <v>2013</v>
      </c>
      <c r="E501" s="4"/>
      <c r="F501" s="13"/>
    </row>
    <row r="502" spans="1:6" x14ac:dyDescent="0.2">
      <c r="A502" t="s">
        <v>787</v>
      </c>
      <c r="B502" t="s">
        <v>1356</v>
      </c>
      <c r="C502" t="s">
        <v>1363</v>
      </c>
      <c r="D502" t="s">
        <v>2014</v>
      </c>
      <c r="E502" s="4"/>
      <c r="F502" s="13"/>
    </row>
    <row r="503" spans="1:6" x14ac:dyDescent="0.2">
      <c r="A503" t="s">
        <v>787</v>
      </c>
      <c r="B503" t="s">
        <v>1344</v>
      </c>
      <c r="C503" t="s">
        <v>1364</v>
      </c>
      <c r="D503" t="s">
        <v>2015</v>
      </c>
      <c r="E503" s="4"/>
      <c r="F503" s="13"/>
    </row>
    <row r="504" spans="1:6" x14ac:dyDescent="0.2">
      <c r="A504" t="s">
        <v>787</v>
      </c>
      <c r="B504" t="s">
        <v>1345</v>
      </c>
      <c r="C504" t="s">
        <v>1365</v>
      </c>
      <c r="D504" t="s">
        <v>2016</v>
      </c>
      <c r="E504" s="4"/>
      <c r="F504" s="13"/>
    </row>
    <row r="505" spans="1:6" x14ac:dyDescent="0.2">
      <c r="A505" t="s">
        <v>787</v>
      </c>
      <c r="B505" t="s">
        <v>1346</v>
      </c>
      <c r="C505" t="s">
        <v>1366</v>
      </c>
      <c r="D505" t="s">
        <v>2017</v>
      </c>
      <c r="E505" s="4"/>
      <c r="F505" s="13"/>
    </row>
    <row r="506" spans="1:6" x14ac:dyDescent="0.2">
      <c r="A506" t="s">
        <v>787</v>
      </c>
      <c r="B506" t="s">
        <v>1259</v>
      </c>
      <c r="C506" t="s">
        <v>1367</v>
      </c>
      <c r="D506" t="s">
        <v>2018</v>
      </c>
      <c r="E506" s="4"/>
      <c r="F506" s="13"/>
    </row>
    <row r="507" spans="1:6" x14ac:dyDescent="0.2">
      <c r="A507" t="s">
        <v>787</v>
      </c>
      <c r="B507" t="s">
        <v>1347</v>
      </c>
      <c r="C507" t="s">
        <v>1368</v>
      </c>
      <c r="D507" t="s">
        <v>2019</v>
      </c>
      <c r="E507" s="4"/>
      <c r="F507" s="13"/>
    </row>
    <row r="508" spans="1:6" x14ac:dyDescent="0.2">
      <c r="A508" t="s">
        <v>787</v>
      </c>
      <c r="B508" t="s">
        <v>1348</v>
      </c>
      <c r="C508" t="s">
        <v>1369</v>
      </c>
      <c r="D508" t="s">
        <v>2020</v>
      </c>
      <c r="E508" s="4"/>
      <c r="F508" s="13"/>
    </row>
    <row r="509" spans="1:6" x14ac:dyDescent="0.2">
      <c r="A509" t="s">
        <v>787</v>
      </c>
      <c r="B509" t="s">
        <v>1349</v>
      </c>
      <c r="C509" t="s">
        <v>1370</v>
      </c>
      <c r="D509" t="s">
        <v>2021</v>
      </c>
      <c r="E509" s="4"/>
      <c r="F509" s="13"/>
    </row>
    <row r="510" spans="1:6" x14ac:dyDescent="0.2">
      <c r="A510" t="s">
        <v>787</v>
      </c>
      <c r="B510" t="s">
        <v>1350</v>
      </c>
      <c r="C510" t="s">
        <v>1371</v>
      </c>
      <c r="D510" t="s">
        <v>2022</v>
      </c>
      <c r="E510" s="4"/>
      <c r="F510" s="13"/>
    </row>
    <row r="511" spans="1:6" x14ac:dyDescent="0.2">
      <c r="A511" t="s">
        <v>787</v>
      </c>
      <c r="B511" t="s">
        <v>1351</v>
      </c>
      <c r="C511" t="s">
        <v>1372</v>
      </c>
      <c r="D511" t="s">
        <v>2023</v>
      </c>
      <c r="E511" s="4"/>
      <c r="F511" s="13"/>
    </row>
    <row r="512" spans="1:6" x14ac:dyDescent="0.2">
      <c r="A512" t="s">
        <v>787</v>
      </c>
      <c r="B512" t="s">
        <v>1352</v>
      </c>
      <c r="C512" t="s">
        <v>1373</v>
      </c>
      <c r="D512" t="s">
        <v>2024</v>
      </c>
      <c r="E512" s="4"/>
      <c r="F512" s="13"/>
    </row>
    <row r="513" spans="1:6" x14ac:dyDescent="0.2">
      <c r="A513" t="s">
        <v>787</v>
      </c>
      <c r="B513" t="s">
        <v>1353</v>
      </c>
      <c r="C513" t="s">
        <v>1374</v>
      </c>
      <c r="D513" t="s">
        <v>2025</v>
      </c>
      <c r="E513" s="4"/>
      <c r="F513" s="13"/>
    </row>
    <row r="514" spans="1:6" x14ac:dyDescent="0.2">
      <c r="A514" t="s">
        <v>787</v>
      </c>
      <c r="B514" t="s">
        <v>1354</v>
      </c>
      <c r="C514" t="s">
        <v>1375</v>
      </c>
      <c r="D514" t="s">
        <v>2026</v>
      </c>
      <c r="E514" s="4"/>
      <c r="F514" s="13"/>
    </row>
    <row r="515" spans="1:6" x14ac:dyDescent="0.2">
      <c r="A515" t="s">
        <v>787</v>
      </c>
      <c r="B515" t="s">
        <v>1355</v>
      </c>
      <c r="C515" t="s">
        <v>1376</v>
      </c>
      <c r="D515" t="s">
        <v>2027</v>
      </c>
      <c r="E515" s="4"/>
      <c r="F515" s="13"/>
    </row>
    <row r="516" spans="1:6" x14ac:dyDescent="0.2">
      <c r="A516" t="s">
        <v>787</v>
      </c>
      <c r="B516" t="s">
        <v>540</v>
      </c>
      <c r="C516" t="s">
        <v>607</v>
      </c>
      <c r="D516" t="s">
        <v>1859</v>
      </c>
      <c r="E516" s="4"/>
    </row>
    <row r="517" spans="1:6" x14ac:dyDescent="0.2">
      <c r="A517" t="s">
        <v>787</v>
      </c>
      <c r="B517" t="s">
        <v>542</v>
      </c>
      <c r="C517" t="s">
        <v>483</v>
      </c>
      <c r="D517" t="s">
        <v>1735</v>
      </c>
      <c r="E517" s="4"/>
    </row>
    <row r="518" spans="1:6" x14ac:dyDescent="0.2">
      <c r="A518" t="s">
        <v>787</v>
      </c>
      <c r="B518" t="s">
        <v>543</v>
      </c>
      <c r="C518" t="s">
        <v>484</v>
      </c>
      <c r="D518" t="s">
        <v>1736</v>
      </c>
      <c r="E518" s="4"/>
    </row>
    <row r="519" spans="1:6" x14ac:dyDescent="0.2">
      <c r="E519" s="4"/>
    </row>
    <row r="520" spans="1:6" x14ac:dyDescent="0.2">
      <c r="A520" t="s">
        <v>788</v>
      </c>
      <c r="B520" t="s">
        <v>789</v>
      </c>
      <c r="C520" t="s">
        <v>790</v>
      </c>
      <c r="D520" t="s">
        <v>2012</v>
      </c>
      <c r="E520" s="4"/>
      <c r="F520" s="13"/>
    </row>
    <row r="521" spans="1:6" x14ac:dyDescent="0.2">
      <c r="A521" t="s">
        <v>788</v>
      </c>
      <c r="B521" t="s">
        <v>1343</v>
      </c>
      <c r="C521" t="s">
        <v>1377</v>
      </c>
      <c r="D521" t="s">
        <v>2013</v>
      </c>
      <c r="E521" s="4"/>
      <c r="F521" s="13"/>
    </row>
    <row r="522" spans="1:6" x14ac:dyDescent="0.2">
      <c r="A522" t="s">
        <v>788</v>
      </c>
      <c r="B522" t="s">
        <v>1356</v>
      </c>
      <c r="C522" t="s">
        <v>1378</v>
      </c>
      <c r="D522" t="s">
        <v>2028</v>
      </c>
      <c r="E522" s="4"/>
      <c r="F522" s="13"/>
    </row>
    <row r="523" spans="1:6" x14ac:dyDescent="0.2">
      <c r="A523" t="s">
        <v>788</v>
      </c>
      <c r="B523" t="s">
        <v>1357</v>
      </c>
      <c r="C523" t="s">
        <v>1379</v>
      </c>
      <c r="D523" t="s">
        <v>2029</v>
      </c>
      <c r="E523" s="4"/>
      <c r="F523" s="13"/>
    </row>
    <row r="524" spans="1:6" x14ac:dyDescent="0.2">
      <c r="A524" t="s">
        <v>788</v>
      </c>
      <c r="B524" t="s">
        <v>1358</v>
      </c>
      <c r="C524" t="s">
        <v>1380</v>
      </c>
      <c r="D524" t="s">
        <v>2030</v>
      </c>
      <c r="E524" s="4"/>
      <c r="F524" s="13"/>
    </row>
    <row r="525" spans="1:6" x14ac:dyDescent="0.2">
      <c r="A525" t="s">
        <v>788</v>
      </c>
      <c r="B525" t="s">
        <v>1359</v>
      </c>
      <c r="C525" t="s">
        <v>1381</v>
      </c>
      <c r="D525" t="s">
        <v>2031</v>
      </c>
      <c r="E525" s="4"/>
      <c r="F525" s="13"/>
    </row>
    <row r="526" spans="1:6" x14ac:dyDescent="0.2">
      <c r="A526" t="s">
        <v>788</v>
      </c>
      <c r="B526" t="s">
        <v>1360</v>
      </c>
      <c r="C526" t="s">
        <v>1374</v>
      </c>
      <c r="D526" t="s">
        <v>2025</v>
      </c>
      <c r="E526" s="4"/>
      <c r="F526" s="13"/>
    </row>
    <row r="527" spans="1:6" x14ac:dyDescent="0.2">
      <c r="A527" t="s">
        <v>788</v>
      </c>
      <c r="B527" t="s">
        <v>1361</v>
      </c>
      <c r="C527" t="s">
        <v>1376</v>
      </c>
      <c r="D527" t="s">
        <v>2032</v>
      </c>
      <c r="E527" s="4"/>
      <c r="F527" s="13"/>
    </row>
    <row r="528" spans="1:6" x14ac:dyDescent="0.2">
      <c r="A528" t="s">
        <v>788</v>
      </c>
      <c r="B528" t="s">
        <v>540</v>
      </c>
      <c r="C528" t="s">
        <v>607</v>
      </c>
      <c r="D528" t="s">
        <v>1859</v>
      </c>
      <c r="E528" s="4"/>
      <c r="F528" s="13"/>
    </row>
    <row r="529" spans="1:6" x14ac:dyDescent="0.2">
      <c r="A529" t="s">
        <v>788</v>
      </c>
      <c r="B529" t="s">
        <v>541</v>
      </c>
      <c r="C529" t="s">
        <v>791</v>
      </c>
      <c r="D529" t="s">
        <v>2033</v>
      </c>
      <c r="E529" s="4"/>
      <c r="F529" s="13"/>
    </row>
    <row r="530" spans="1:6" x14ac:dyDescent="0.2">
      <c r="A530" t="s">
        <v>788</v>
      </c>
      <c r="B530" t="s">
        <v>542</v>
      </c>
      <c r="C530" t="s">
        <v>762</v>
      </c>
      <c r="D530" t="s">
        <v>1735</v>
      </c>
      <c r="E530" s="4"/>
    </row>
    <row r="531" spans="1:6" x14ac:dyDescent="0.2">
      <c r="A531" t="s">
        <v>788</v>
      </c>
      <c r="B531" t="s">
        <v>543</v>
      </c>
      <c r="C531" t="s">
        <v>484</v>
      </c>
      <c r="D531" t="s">
        <v>1736</v>
      </c>
      <c r="E531" s="4"/>
    </row>
    <row r="532" spans="1:6" x14ac:dyDescent="0.2">
      <c r="E532" s="4"/>
    </row>
    <row r="533" spans="1:6" x14ac:dyDescent="0.2">
      <c r="A533" t="s">
        <v>1387</v>
      </c>
      <c r="B533">
        <v>1</v>
      </c>
      <c r="C533" t="s">
        <v>479</v>
      </c>
      <c r="D533" t="s">
        <v>2034</v>
      </c>
      <c r="E533" s="4"/>
      <c r="F533" s="13"/>
    </row>
    <row r="534" spans="1:6" x14ac:dyDescent="0.2">
      <c r="A534" t="s">
        <v>1387</v>
      </c>
      <c r="B534">
        <v>2</v>
      </c>
      <c r="C534" t="s">
        <v>1382</v>
      </c>
      <c r="D534" t="s">
        <v>2035</v>
      </c>
      <c r="E534" s="4"/>
      <c r="F534" s="13"/>
    </row>
    <row r="535" spans="1:6" x14ac:dyDescent="0.2">
      <c r="A535" t="s">
        <v>1387</v>
      </c>
      <c r="B535">
        <v>3</v>
      </c>
      <c r="C535" t="s">
        <v>1383</v>
      </c>
      <c r="D535" t="s">
        <v>2036</v>
      </c>
      <c r="E535" s="4"/>
      <c r="F535" s="13"/>
    </row>
    <row r="536" spans="1:6" x14ac:dyDescent="0.2">
      <c r="A536" t="s">
        <v>1387</v>
      </c>
      <c r="B536">
        <v>4</v>
      </c>
      <c r="C536" t="s">
        <v>1384</v>
      </c>
      <c r="D536" t="s">
        <v>2037</v>
      </c>
      <c r="E536" s="4"/>
      <c r="F536" s="13"/>
    </row>
    <row r="537" spans="1:6" x14ac:dyDescent="0.2">
      <c r="A537" t="s">
        <v>1387</v>
      </c>
      <c r="B537">
        <v>5</v>
      </c>
      <c r="C537" t="s">
        <v>1385</v>
      </c>
      <c r="D537" t="s">
        <v>2038</v>
      </c>
      <c r="E537" s="4"/>
      <c r="F537" s="13"/>
    </row>
    <row r="538" spans="1:6" x14ac:dyDescent="0.2">
      <c r="A538" t="s">
        <v>1387</v>
      </c>
      <c r="B538">
        <v>6</v>
      </c>
      <c r="C538" t="s">
        <v>1386</v>
      </c>
      <c r="D538" t="s">
        <v>2039</v>
      </c>
      <c r="E538" s="4"/>
      <c r="F538" s="13"/>
    </row>
    <row r="539" spans="1:6" x14ac:dyDescent="0.2">
      <c r="A539" t="s">
        <v>1387</v>
      </c>
      <c r="B539">
        <v>7</v>
      </c>
      <c r="C539" t="s">
        <v>483</v>
      </c>
      <c r="D539" t="s">
        <v>1735</v>
      </c>
      <c r="E539" s="4"/>
      <c r="F539" s="13"/>
    </row>
    <row r="540" spans="1:6" x14ac:dyDescent="0.2">
      <c r="A540" t="s">
        <v>1387</v>
      </c>
      <c r="B540">
        <v>8</v>
      </c>
      <c r="C540" t="s">
        <v>484</v>
      </c>
      <c r="D540" t="s">
        <v>1736</v>
      </c>
      <c r="E540" s="4"/>
      <c r="F540" s="13"/>
    </row>
    <row r="541" spans="1:6" x14ac:dyDescent="0.2">
      <c r="E541" s="4"/>
      <c r="F541" s="13"/>
    </row>
    <row r="542" spans="1:6" x14ac:dyDescent="0.2">
      <c r="A542" t="s">
        <v>1392</v>
      </c>
      <c r="B542" t="s">
        <v>1389</v>
      </c>
      <c r="C542" t="s">
        <v>1393</v>
      </c>
      <c r="D542" t="s">
        <v>1393</v>
      </c>
      <c r="E542" s="4"/>
      <c r="F542" s="13"/>
    </row>
    <row r="543" spans="1:6" x14ac:dyDescent="0.2">
      <c r="A543" t="s">
        <v>1392</v>
      </c>
      <c r="B543" t="s">
        <v>1390</v>
      </c>
      <c r="C543" t="s">
        <v>1394</v>
      </c>
      <c r="D543" t="s">
        <v>2040</v>
      </c>
      <c r="E543" s="4"/>
      <c r="F543" s="13"/>
    </row>
    <row r="544" spans="1:6" x14ac:dyDescent="0.2">
      <c r="A544" t="s">
        <v>1392</v>
      </c>
      <c r="B544" t="s">
        <v>1391</v>
      </c>
      <c r="C544" t="s">
        <v>1395</v>
      </c>
      <c r="D544" t="s">
        <v>2041</v>
      </c>
      <c r="E544" s="4"/>
      <c r="F544" s="13"/>
    </row>
    <row r="545" spans="1:6" x14ac:dyDescent="0.2">
      <c r="A545" t="s">
        <v>1392</v>
      </c>
      <c r="B545" t="s">
        <v>664</v>
      </c>
      <c r="C545" t="s">
        <v>1396</v>
      </c>
      <c r="D545" t="s">
        <v>2042</v>
      </c>
      <c r="E545" s="4"/>
      <c r="F545" s="13"/>
    </row>
    <row r="546" spans="1:6" x14ac:dyDescent="0.2">
      <c r="A546" t="s">
        <v>1392</v>
      </c>
      <c r="B546" t="s">
        <v>1196</v>
      </c>
      <c r="C546" t="s">
        <v>1397</v>
      </c>
      <c r="D546" t="s">
        <v>2043</v>
      </c>
      <c r="E546" s="4"/>
      <c r="F546" s="13"/>
    </row>
    <row r="547" spans="1:6" x14ac:dyDescent="0.2">
      <c r="A547" t="s">
        <v>1392</v>
      </c>
      <c r="B547" t="s">
        <v>542</v>
      </c>
      <c r="C547" t="s">
        <v>483</v>
      </c>
      <c r="D547" t="s">
        <v>1735</v>
      </c>
      <c r="E547" s="4"/>
      <c r="F547" s="13"/>
    </row>
    <row r="548" spans="1:6" x14ac:dyDescent="0.2">
      <c r="A548" t="s">
        <v>1392</v>
      </c>
      <c r="B548" t="s">
        <v>543</v>
      </c>
      <c r="C548" t="s">
        <v>484</v>
      </c>
      <c r="D548" t="s">
        <v>1736</v>
      </c>
      <c r="E548" s="4"/>
    </row>
    <row r="549" spans="1:6" x14ac:dyDescent="0.2">
      <c r="E549" s="4"/>
    </row>
    <row r="550" spans="1:6" x14ac:dyDescent="0.2">
      <c r="A550" t="s">
        <v>792</v>
      </c>
      <c r="B550">
        <v>1</v>
      </c>
      <c r="C550" t="s">
        <v>1431</v>
      </c>
      <c r="D550" t="s">
        <v>2044</v>
      </c>
      <c r="E550" s="4"/>
    </row>
    <row r="551" spans="1:6" x14ac:dyDescent="0.2">
      <c r="A551" t="s">
        <v>792</v>
      </c>
      <c r="B551">
        <v>2</v>
      </c>
      <c r="C551" t="s">
        <v>793</v>
      </c>
      <c r="D551" t="s">
        <v>2045</v>
      </c>
      <c r="E551" s="4"/>
    </row>
    <row r="552" spans="1:6" x14ac:dyDescent="0.2">
      <c r="A552" t="s">
        <v>792</v>
      </c>
      <c r="B552">
        <v>3</v>
      </c>
      <c r="C552" t="s">
        <v>794</v>
      </c>
      <c r="D552" t="s">
        <v>2046</v>
      </c>
      <c r="E552" s="4"/>
    </row>
    <row r="553" spans="1:6" x14ac:dyDescent="0.2">
      <c r="A553" t="s">
        <v>792</v>
      </c>
      <c r="B553">
        <v>4</v>
      </c>
      <c r="C553" t="s">
        <v>795</v>
      </c>
      <c r="D553" t="s">
        <v>2047</v>
      </c>
      <c r="E553" s="4"/>
    </row>
    <row r="554" spans="1:6" x14ac:dyDescent="0.2">
      <c r="A554" t="s">
        <v>792</v>
      </c>
      <c r="B554">
        <v>5</v>
      </c>
      <c r="C554" t="s">
        <v>796</v>
      </c>
      <c r="D554" t="s">
        <v>2048</v>
      </c>
      <c r="E554" s="4"/>
    </row>
    <row r="555" spans="1:6" x14ac:dyDescent="0.2">
      <c r="A555" t="s">
        <v>792</v>
      </c>
      <c r="B555">
        <v>6</v>
      </c>
      <c r="C555" t="s">
        <v>483</v>
      </c>
      <c r="D555" t="s">
        <v>1735</v>
      </c>
      <c r="E555" s="4"/>
    </row>
    <row r="556" spans="1:6" x14ac:dyDescent="0.2">
      <c r="A556" t="s">
        <v>792</v>
      </c>
      <c r="B556">
        <v>7</v>
      </c>
      <c r="C556" t="s">
        <v>484</v>
      </c>
      <c r="D556" t="s">
        <v>1736</v>
      </c>
      <c r="E556" s="4"/>
    </row>
    <row r="557" spans="1:6" x14ac:dyDescent="0.2">
      <c r="E557" s="4"/>
    </row>
    <row r="558" spans="1:6" x14ac:dyDescent="0.2">
      <c r="A558" t="s">
        <v>797</v>
      </c>
      <c r="B558" t="s">
        <v>798</v>
      </c>
      <c r="C558" t="s">
        <v>799</v>
      </c>
      <c r="D558" t="s">
        <v>2049</v>
      </c>
      <c r="E558" s="4"/>
    </row>
    <row r="559" spans="1:6" x14ac:dyDescent="0.2">
      <c r="A559" t="s">
        <v>797</v>
      </c>
      <c r="B559" t="s">
        <v>800</v>
      </c>
      <c r="C559" t="s">
        <v>801</v>
      </c>
      <c r="D559" t="s">
        <v>2050</v>
      </c>
      <c r="E559" s="4"/>
    </row>
    <row r="560" spans="1:6" x14ac:dyDescent="0.2">
      <c r="A560" t="s">
        <v>797</v>
      </c>
      <c r="B560" t="s">
        <v>802</v>
      </c>
      <c r="C560" t="s">
        <v>803</v>
      </c>
      <c r="D560" t="s">
        <v>2051</v>
      </c>
      <c r="E560" s="4"/>
    </row>
    <row r="561" spans="1:6" x14ac:dyDescent="0.2">
      <c r="A561" t="s">
        <v>797</v>
      </c>
      <c r="B561" t="s">
        <v>804</v>
      </c>
      <c r="C561" t="s">
        <v>805</v>
      </c>
      <c r="D561" t="s">
        <v>2052</v>
      </c>
      <c r="E561" s="4"/>
    </row>
    <row r="562" spans="1:6" x14ac:dyDescent="0.2">
      <c r="A562" t="s">
        <v>797</v>
      </c>
      <c r="B562" t="s">
        <v>806</v>
      </c>
      <c r="C562" t="s">
        <v>807</v>
      </c>
      <c r="D562" t="s">
        <v>2053</v>
      </c>
      <c r="E562" s="4"/>
    </row>
    <row r="563" spans="1:6" x14ac:dyDescent="0.2">
      <c r="A563" t="s">
        <v>797</v>
      </c>
      <c r="B563" t="s">
        <v>808</v>
      </c>
      <c r="C563" t="s">
        <v>809</v>
      </c>
      <c r="D563" t="s">
        <v>2054</v>
      </c>
      <c r="E563" s="4"/>
    </row>
    <row r="564" spans="1:6" x14ac:dyDescent="0.2">
      <c r="A564" t="s">
        <v>797</v>
      </c>
      <c r="B564" t="s">
        <v>810</v>
      </c>
      <c r="C564" t="s">
        <v>811</v>
      </c>
      <c r="D564" t="s">
        <v>2055</v>
      </c>
      <c r="E564" s="4"/>
    </row>
    <row r="565" spans="1:6" x14ac:dyDescent="0.2">
      <c r="E565" s="4"/>
    </row>
    <row r="566" spans="1:6" x14ac:dyDescent="0.2">
      <c r="A566" t="s">
        <v>462</v>
      </c>
      <c r="B566" t="s">
        <v>812</v>
      </c>
      <c r="C566" t="s">
        <v>813</v>
      </c>
      <c r="D566" t="s">
        <v>2056</v>
      </c>
      <c r="E566" s="4"/>
    </row>
    <row r="567" spans="1:6" x14ac:dyDescent="0.2">
      <c r="A567" t="s">
        <v>462</v>
      </c>
      <c r="B567" t="s">
        <v>814</v>
      </c>
      <c r="C567" t="s">
        <v>815</v>
      </c>
      <c r="D567" t="s">
        <v>2057</v>
      </c>
      <c r="E567" s="4"/>
    </row>
    <row r="568" spans="1:6" x14ac:dyDescent="0.2">
      <c r="A568" t="s">
        <v>462</v>
      </c>
      <c r="B568" t="s">
        <v>816</v>
      </c>
      <c r="C568" t="s">
        <v>817</v>
      </c>
      <c r="D568" t="s">
        <v>2058</v>
      </c>
      <c r="E568" s="4"/>
    </row>
    <row r="569" spans="1:6" x14ac:dyDescent="0.2">
      <c r="E569" s="4"/>
    </row>
    <row r="570" spans="1:6" x14ac:dyDescent="0.2">
      <c r="D570" s="11"/>
    </row>
    <row r="571" spans="1:6" x14ac:dyDescent="0.2">
      <c r="A571" s="11"/>
      <c r="B571" s="11"/>
      <c r="C571" s="11"/>
      <c r="E571" s="7"/>
      <c r="F571" s="11"/>
    </row>
  </sheetData>
  <sheetProtection algorithmName="SHA-512" hashValue="tofyXkQurFhKomUiBcQAhG8yprEELjrK29k2XPpndJZR/Tm632rrvPi9CCK1nRIIvHpF2fr7QuwjjWMgynwphA==" saltValue="MRKuxxOwqdOhA5hxbKkSsw==" spinCount="100000" sheet="1" formatCells="0" formatColumns="0" formatRows="0" insertColumns="0" insertRows="0" deleteColumns="0" deleteRows="0"/>
  <phoneticPr fontId="4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818</v>
      </c>
      <c r="B1" s="6" t="s">
        <v>819</v>
      </c>
      <c r="C1" s="6" t="s">
        <v>820</v>
      </c>
      <c r="D1" s="6" t="s">
        <v>821</v>
      </c>
    </row>
    <row r="2" spans="1:4" x14ac:dyDescent="0.2">
      <c r="A2" s="3" t="s">
        <v>822</v>
      </c>
      <c r="B2" s="4" t="s">
        <v>1455</v>
      </c>
      <c r="C2" t="s">
        <v>26</v>
      </c>
      <c r="D2" s="3" t="s">
        <v>823</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18" sqref="C18"/>
    </sheetView>
  </sheetViews>
  <sheetFormatPr baseColWidth="10" defaultColWidth="10.83203125" defaultRowHeight="15" x14ac:dyDescent="0.2"/>
  <cols>
    <col min="1" max="2" width="10.83203125" style="92"/>
    <col min="3" max="3" width="15.1640625" style="106" customWidth="1"/>
    <col min="4" max="4" width="10.83203125" style="107"/>
    <col min="5" max="5" width="28.6640625" style="108" customWidth="1"/>
    <col min="6" max="6" width="38.83203125" style="108" customWidth="1"/>
    <col min="7" max="16384" width="10.83203125" style="92"/>
  </cols>
  <sheetData>
    <row r="2" spans="2:6" x14ac:dyDescent="0.2">
      <c r="C2" s="93"/>
      <c r="D2" s="94"/>
      <c r="E2" s="95"/>
      <c r="F2" s="95"/>
    </row>
    <row r="3" spans="2:6" ht="32" x14ac:dyDescent="0.2">
      <c r="B3" s="96"/>
      <c r="C3" s="97" t="s">
        <v>824</v>
      </c>
      <c r="D3" s="98" t="s">
        <v>825</v>
      </c>
      <c r="E3" s="99" t="s">
        <v>826</v>
      </c>
      <c r="F3" s="99" t="s">
        <v>1456</v>
      </c>
    </row>
    <row r="4" spans="2:6" ht="16" x14ac:dyDescent="0.2">
      <c r="B4" s="96"/>
      <c r="C4" s="9"/>
      <c r="D4" s="100" t="s">
        <v>827</v>
      </c>
      <c r="E4" s="101" t="s">
        <v>828</v>
      </c>
      <c r="F4" s="101" t="s">
        <v>1472</v>
      </c>
    </row>
    <row r="5" spans="2:6" ht="16" x14ac:dyDescent="0.2">
      <c r="B5" s="96"/>
      <c r="C5" s="9"/>
      <c r="D5" s="100" t="s">
        <v>829</v>
      </c>
      <c r="E5" s="101" t="s">
        <v>830</v>
      </c>
      <c r="F5" s="101" t="s">
        <v>1473</v>
      </c>
    </row>
    <row r="6" spans="2:6" ht="16" x14ac:dyDescent="0.2">
      <c r="B6" s="96"/>
      <c r="C6" s="9"/>
      <c r="D6" s="100" t="s">
        <v>831</v>
      </c>
      <c r="E6" s="101" t="s">
        <v>832</v>
      </c>
      <c r="F6" s="101" t="s">
        <v>1474</v>
      </c>
    </row>
    <row r="7" spans="2:6" ht="16" x14ac:dyDescent="0.2">
      <c r="B7" s="96"/>
      <c r="C7" s="9"/>
      <c r="D7" s="100" t="s">
        <v>833</v>
      </c>
      <c r="E7" s="101" t="s">
        <v>834</v>
      </c>
      <c r="F7" s="101" t="s">
        <v>1475</v>
      </c>
    </row>
    <row r="8" spans="2:6" ht="16" x14ac:dyDescent="0.2">
      <c r="B8" s="96"/>
      <c r="C8" s="9"/>
      <c r="D8" s="100" t="s">
        <v>835</v>
      </c>
      <c r="E8" s="101" t="s">
        <v>836</v>
      </c>
      <c r="F8" s="101" t="s">
        <v>1476</v>
      </c>
    </row>
    <row r="9" spans="2:6" ht="16" x14ac:dyDescent="0.2">
      <c r="B9" s="96"/>
      <c r="C9" s="9"/>
      <c r="D9" s="100" t="s">
        <v>837</v>
      </c>
      <c r="E9" s="101" t="s">
        <v>838</v>
      </c>
      <c r="F9" s="101" t="s">
        <v>1477</v>
      </c>
    </row>
    <row r="10" spans="2:6" ht="16" x14ac:dyDescent="0.2">
      <c r="B10" s="96"/>
      <c r="C10" s="137"/>
      <c r="D10" s="100" t="s">
        <v>839</v>
      </c>
      <c r="E10" s="102" t="s">
        <v>840</v>
      </c>
      <c r="F10" s="102" t="s">
        <v>1478</v>
      </c>
    </row>
    <row r="11" spans="2:6" ht="16" x14ac:dyDescent="0.2">
      <c r="B11" s="96"/>
      <c r="C11" s="9"/>
      <c r="D11" s="100" t="s">
        <v>841</v>
      </c>
      <c r="E11" s="101" t="s">
        <v>842</v>
      </c>
      <c r="F11" s="101" t="s">
        <v>1479</v>
      </c>
    </row>
    <row r="12" spans="2:6" ht="16" x14ac:dyDescent="0.2">
      <c r="B12" s="96"/>
      <c r="C12" s="9"/>
      <c r="D12" s="100" t="s">
        <v>843</v>
      </c>
      <c r="E12" s="101" t="s">
        <v>844</v>
      </c>
      <c r="F12" s="101" t="s">
        <v>1480</v>
      </c>
    </row>
    <row r="13" spans="2:6" ht="16" x14ac:dyDescent="0.2">
      <c r="B13" s="96"/>
      <c r="C13" s="9"/>
      <c r="D13" s="100" t="s">
        <v>845</v>
      </c>
      <c r="E13" s="101" t="s">
        <v>846</v>
      </c>
      <c r="F13" s="101" t="s">
        <v>1481</v>
      </c>
    </row>
    <row r="14" spans="2:6" ht="16" x14ac:dyDescent="0.2">
      <c r="B14" s="96"/>
      <c r="C14" s="9"/>
      <c r="D14" s="100" t="s">
        <v>847</v>
      </c>
      <c r="E14" s="101" t="s">
        <v>848</v>
      </c>
      <c r="F14" s="101" t="s">
        <v>1482</v>
      </c>
    </row>
    <row r="15" spans="2:6" ht="16" x14ac:dyDescent="0.2">
      <c r="B15" s="96"/>
      <c r="C15" s="9"/>
      <c r="D15" s="100" t="s">
        <v>849</v>
      </c>
      <c r="E15" s="101" t="s">
        <v>850</v>
      </c>
      <c r="F15" s="101" t="s">
        <v>1483</v>
      </c>
    </row>
    <row r="16" spans="2:6" ht="16" x14ac:dyDescent="0.2">
      <c r="B16" s="96"/>
      <c r="C16" s="9"/>
      <c r="D16" s="100" t="s">
        <v>851</v>
      </c>
      <c r="E16" s="101" t="s">
        <v>852</v>
      </c>
      <c r="F16" s="101" t="s">
        <v>852</v>
      </c>
    </row>
    <row r="17" spans="2:6" ht="16" x14ac:dyDescent="0.2">
      <c r="B17" s="96"/>
      <c r="C17" s="137"/>
      <c r="D17" s="100" t="s">
        <v>853</v>
      </c>
      <c r="E17" s="102" t="s">
        <v>854</v>
      </c>
      <c r="F17" s="102" t="s">
        <v>1484</v>
      </c>
    </row>
    <row r="18" spans="2:6" ht="16" x14ac:dyDescent="0.2">
      <c r="B18" s="96"/>
      <c r="C18" s="9"/>
      <c r="D18" s="100" t="s">
        <v>855</v>
      </c>
      <c r="E18" s="101" t="s">
        <v>856</v>
      </c>
      <c r="F18" s="101" t="s">
        <v>1485</v>
      </c>
    </row>
    <row r="19" spans="2:6" ht="16" x14ac:dyDescent="0.2">
      <c r="B19" s="96"/>
      <c r="C19" s="9"/>
      <c r="D19" s="100" t="s">
        <v>857</v>
      </c>
      <c r="E19" s="101" t="s">
        <v>858</v>
      </c>
      <c r="F19" s="101" t="s">
        <v>1486</v>
      </c>
    </row>
    <row r="20" spans="2:6" ht="16" x14ac:dyDescent="0.2">
      <c r="B20" s="96"/>
      <c r="C20" s="9"/>
      <c r="D20" s="100" t="s">
        <v>859</v>
      </c>
      <c r="E20" s="101" t="s">
        <v>860</v>
      </c>
      <c r="F20" s="101" t="s">
        <v>1487</v>
      </c>
    </row>
    <row r="21" spans="2:6" ht="16" x14ac:dyDescent="0.2">
      <c r="B21" s="96"/>
      <c r="C21" s="9"/>
      <c r="D21" s="100" t="s">
        <v>861</v>
      </c>
      <c r="E21" s="101" t="s">
        <v>862</v>
      </c>
      <c r="F21" s="101" t="s">
        <v>1414</v>
      </c>
    </row>
    <row r="22" spans="2:6" ht="16" x14ac:dyDescent="0.2">
      <c r="B22" s="96"/>
      <c r="C22" s="9"/>
      <c r="D22" s="100" t="s">
        <v>863</v>
      </c>
      <c r="E22" s="101" t="s">
        <v>864</v>
      </c>
      <c r="F22" s="101" t="s">
        <v>1488</v>
      </c>
    </row>
    <row r="23" spans="2:6" ht="16" x14ac:dyDescent="0.2">
      <c r="B23" s="96"/>
      <c r="C23" s="9"/>
      <c r="D23" s="100" t="s">
        <v>865</v>
      </c>
      <c r="E23" s="101" t="s">
        <v>866</v>
      </c>
      <c r="F23" s="101" t="s">
        <v>1489</v>
      </c>
    </row>
    <row r="24" spans="2:6" ht="16" x14ac:dyDescent="0.2">
      <c r="B24" s="96"/>
      <c r="C24" s="9"/>
      <c r="D24" s="100" t="s">
        <v>867</v>
      </c>
      <c r="E24" s="101" t="s">
        <v>868</v>
      </c>
      <c r="F24" s="101" t="s">
        <v>1489</v>
      </c>
    </row>
    <row r="25" spans="2:6" ht="16" x14ac:dyDescent="0.2">
      <c r="B25" s="96"/>
      <c r="C25" s="137"/>
      <c r="D25" s="100" t="s">
        <v>869</v>
      </c>
      <c r="E25" s="102" t="s">
        <v>870</v>
      </c>
      <c r="F25" s="102" t="s">
        <v>1490</v>
      </c>
    </row>
    <row r="26" spans="2:6" ht="16" x14ac:dyDescent="0.2">
      <c r="B26" s="96"/>
      <c r="C26" s="9"/>
      <c r="D26" s="100" t="s">
        <v>871</v>
      </c>
      <c r="E26" s="101" t="s">
        <v>872</v>
      </c>
      <c r="F26" s="101" t="s">
        <v>1491</v>
      </c>
    </row>
    <row r="27" spans="2:6" ht="16" x14ac:dyDescent="0.2">
      <c r="B27" s="96"/>
      <c r="C27" s="9"/>
      <c r="D27" s="100" t="s">
        <v>873</v>
      </c>
      <c r="E27" s="101" t="s">
        <v>874</v>
      </c>
      <c r="F27" s="101" t="s">
        <v>1492</v>
      </c>
    </row>
    <row r="28" spans="2:6" ht="16" x14ac:dyDescent="0.2">
      <c r="B28" s="96"/>
      <c r="C28" s="9"/>
      <c r="D28" s="100" t="s">
        <v>875</v>
      </c>
      <c r="E28" s="101" t="s">
        <v>876</v>
      </c>
      <c r="F28" s="101" t="s">
        <v>1493</v>
      </c>
    </row>
    <row r="29" spans="2:6" ht="16" x14ac:dyDescent="0.2">
      <c r="B29" s="96"/>
      <c r="C29" s="9"/>
      <c r="D29" s="100" t="s">
        <v>877</v>
      </c>
      <c r="E29" s="101" t="s">
        <v>878</v>
      </c>
      <c r="F29" s="101" t="s">
        <v>1494</v>
      </c>
    </row>
    <row r="30" spans="2:6" ht="16" x14ac:dyDescent="0.2">
      <c r="B30" s="96"/>
      <c r="C30" s="9"/>
      <c r="D30" s="100" t="s">
        <v>879</v>
      </c>
      <c r="E30" s="101" t="s">
        <v>880</v>
      </c>
      <c r="F30" s="101" t="s">
        <v>1495</v>
      </c>
    </row>
    <row r="31" spans="2:6" ht="16" x14ac:dyDescent="0.2">
      <c r="B31" s="96"/>
      <c r="C31" s="9"/>
      <c r="D31" s="100" t="s">
        <v>881</v>
      </c>
      <c r="E31" s="101" t="s">
        <v>882</v>
      </c>
      <c r="F31" s="101" t="s">
        <v>882</v>
      </c>
    </row>
    <row r="32" spans="2:6" ht="16" x14ac:dyDescent="0.2">
      <c r="B32" s="96"/>
      <c r="C32" s="9"/>
      <c r="D32" s="100" t="s">
        <v>883</v>
      </c>
      <c r="E32" s="101" t="s">
        <v>884</v>
      </c>
      <c r="F32" s="101" t="s">
        <v>1496</v>
      </c>
    </row>
    <row r="33" spans="2:6" ht="32" x14ac:dyDescent="0.2">
      <c r="B33" s="96"/>
      <c r="C33" s="9"/>
      <c r="D33" s="100" t="s">
        <v>885</v>
      </c>
      <c r="E33" s="101" t="s">
        <v>886</v>
      </c>
      <c r="F33" s="101" t="s">
        <v>1497</v>
      </c>
    </row>
    <row r="34" spans="2:6" ht="16" x14ac:dyDescent="0.2">
      <c r="B34" s="96"/>
      <c r="C34" s="9"/>
      <c r="D34" s="100" t="s">
        <v>887</v>
      </c>
      <c r="E34" s="101" t="s">
        <v>888</v>
      </c>
      <c r="F34" s="101" t="s">
        <v>1498</v>
      </c>
    </row>
    <row r="35" spans="2:6" ht="16" x14ac:dyDescent="0.2">
      <c r="B35" s="96"/>
      <c r="C35" s="137"/>
      <c r="D35" s="100" t="s">
        <v>889</v>
      </c>
      <c r="E35" s="102" t="s">
        <v>890</v>
      </c>
      <c r="F35" s="102" t="s">
        <v>1499</v>
      </c>
    </row>
    <row r="36" spans="2:6" ht="16" x14ac:dyDescent="0.2">
      <c r="B36" s="96"/>
      <c r="C36" s="9"/>
      <c r="D36" s="100" t="s">
        <v>891</v>
      </c>
      <c r="E36" s="101" t="s">
        <v>892</v>
      </c>
      <c r="F36" s="101" t="s">
        <v>1415</v>
      </c>
    </row>
    <row r="37" spans="2:6" ht="16" x14ac:dyDescent="0.2">
      <c r="B37" s="96"/>
      <c r="C37" s="9"/>
      <c r="D37" s="100" t="s">
        <v>893</v>
      </c>
      <c r="E37" s="101" t="s">
        <v>894</v>
      </c>
      <c r="F37" s="101" t="s">
        <v>1500</v>
      </c>
    </row>
    <row r="38" spans="2:6" ht="16" x14ac:dyDescent="0.2">
      <c r="B38" s="96"/>
      <c r="C38" s="9"/>
      <c r="D38" s="100" t="s">
        <v>895</v>
      </c>
      <c r="E38" s="101" t="s">
        <v>896</v>
      </c>
      <c r="F38" s="101" t="s">
        <v>1501</v>
      </c>
    </row>
    <row r="39" spans="2:6" ht="16" x14ac:dyDescent="0.2">
      <c r="B39" s="96"/>
      <c r="C39" s="9"/>
      <c r="D39" s="100" t="s">
        <v>897</v>
      </c>
      <c r="E39" s="101" t="s">
        <v>898</v>
      </c>
      <c r="F39" s="101" t="s">
        <v>1502</v>
      </c>
    </row>
    <row r="40" spans="2:6" ht="16" x14ac:dyDescent="0.2">
      <c r="B40" s="96"/>
      <c r="C40" s="9"/>
      <c r="D40" s="100" t="s">
        <v>899</v>
      </c>
      <c r="E40" s="101" t="s">
        <v>900</v>
      </c>
      <c r="F40" s="101" t="s">
        <v>1503</v>
      </c>
    </row>
    <row r="41" spans="2:6" ht="16" x14ac:dyDescent="0.2">
      <c r="B41" s="96"/>
      <c r="C41" s="9"/>
      <c r="D41" s="100" t="s">
        <v>901</v>
      </c>
      <c r="E41" s="101" t="s">
        <v>902</v>
      </c>
      <c r="F41" s="101" t="s">
        <v>902</v>
      </c>
    </row>
    <row r="42" spans="2:6" ht="16" x14ac:dyDescent="0.2">
      <c r="B42" s="96"/>
      <c r="C42" s="9"/>
      <c r="D42" s="100" t="s">
        <v>903</v>
      </c>
      <c r="E42" s="101" t="s">
        <v>904</v>
      </c>
      <c r="F42" s="101" t="s">
        <v>1504</v>
      </c>
    </row>
    <row r="43" spans="2:6" ht="16" x14ac:dyDescent="0.2">
      <c r="B43" s="96"/>
      <c r="C43" s="9"/>
      <c r="D43" s="100" t="s">
        <v>905</v>
      </c>
      <c r="E43" s="101" t="s">
        <v>906</v>
      </c>
      <c r="F43" s="101" t="s">
        <v>1505</v>
      </c>
    </row>
    <row r="44" spans="2:6" ht="16" x14ac:dyDescent="0.2">
      <c r="B44" s="96"/>
      <c r="C44" s="9"/>
      <c r="D44" s="100" t="s">
        <v>907</v>
      </c>
      <c r="E44" s="101" t="s">
        <v>908</v>
      </c>
      <c r="F44" s="101" t="s">
        <v>1506</v>
      </c>
    </row>
    <row r="45" spans="2:6" ht="16" x14ac:dyDescent="0.2">
      <c r="B45" s="96"/>
      <c r="C45" s="9"/>
      <c r="D45" s="100" t="s">
        <v>909</v>
      </c>
      <c r="E45" s="101" t="s">
        <v>910</v>
      </c>
      <c r="F45" s="101" t="s">
        <v>1507</v>
      </c>
    </row>
    <row r="46" spans="2:6" ht="16" x14ac:dyDescent="0.2">
      <c r="B46" s="96"/>
      <c r="C46" s="9"/>
      <c r="D46" s="100" t="s">
        <v>911</v>
      </c>
      <c r="E46" s="101" t="s">
        <v>912</v>
      </c>
      <c r="F46" s="101" t="s">
        <v>1508</v>
      </c>
    </row>
    <row r="47" spans="2:6" ht="16" x14ac:dyDescent="0.2">
      <c r="B47" s="96"/>
      <c r="C47" s="137"/>
      <c r="D47" s="100" t="s">
        <v>913</v>
      </c>
      <c r="E47" s="102" t="s">
        <v>914</v>
      </c>
      <c r="F47" s="102" t="s">
        <v>1509</v>
      </c>
    </row>
    <row r="48" spans="2:6" ht="16" x14ac:dyDescent="0.2">
      <c r="B48" s="96"/>
      <c r="C48" s="9"/>
      <c r="D48" s="100" t="s">
        <v>915</v>
      </c>
      <c r="E48" s="101" t="s">
        <v>916</v>
      </c>
      <c r="F48" s="101" t="s">
        <v>1510</v>
      </c>
    </row>
    <row r="49" spans="2:6" ht="16" x14ac:dyDescent="0.2">
      <c r="B49" s="96"/>
      <c r="C49" s="9"/>
      <c r="D49" s="100" t="s">
        <v>917</v>
      </c>
      <c r="E49" s="101" t="s">
        <v>918</v>
      </c>
      <c r="F49" s="101" t="s">
        <v>1511</v>
      </c>
    </row>
    <row r="50" spans="2:6" ht="16" x14ac:dyDescent="0.2">
      <c r="B50" s="96"/>
      <c r="C50" s="9"/>
      <c r="D50" s="100" t="s">
        <v>919</v>
      </c>
      <c r="E50" s="101" t="s">
        <v>920</v>
      </c>
      <c r="F50" s="101" t="s">
        <v>1512</v>
      </c>
    </row>
    <row r="51" spans="2:6" ht="16" x14ac:dyDescent="0.2">
      <c r="B51" s="96"/>
      <c r="C51" s="9"/>
      <c r="D51" s="100" t="s">
        <v>921</v>
      </c>
      <c r="E51" s="101" t="s">
        <v>922</v>
      </c>
      <c r="F51" s="101" t="s">
        <v>1513</v>
      </c>
    </row>
    <row r="52" spans="2:6" ht="16" x14ac:dyDescent="0.2">
      <c r="B52" s="96"/>
      <c r="C52" s="137"/>
      <c r="D52" s="100" t="s">
        <v>923</v>
      </c>
      <c r="E52" s="102" t="s">
        <v>924</v>
      </c>
      <c r="F52" s="102" t="s">
        <v>1514</v>
      </c>
    </row>
    <row r="53" spans="2:6" ht="16" x14ac:dyDescent="0.2">
      <c r="B53" s="96"/>
      <c r="C53" s="9"/>
      <c r="D53" s="100" t="s">
        <v>925</v>
      </c>
      <c r="E53" s="101" t="s">
        <v>926</v>
      </c>
      <c r="F53" s="101" t="s">
        <v>1515</v>
      </c>
    </row>
    <row r="54" spans="2:6" ht="16" x14ac:dyDescent="0.2">
      <c r="B54" s="96"/>
      <c r="C54" s="9"/>
      <c r="D54" s="100" t="s">
        <v>927</v>
      </c>
      <c r="E54" s="101" t="s">
        <v>928</v>
      </c>
      <c r="F54" s="101" t="s">
        <v>1516</v>
      </c>
    </row>
    <row r="55" spans="2:6" ht="16" x14ac:dyDescent="0.2">
      <c r="B55" s="96"/>
      <c r="C55" s="9"/>
      <c r="D55" s="100" t="s">
        <v>929</v>
      </c>
      <c r="E55" s="101" t="s">
        <v>930</v>
      </c>
      <c r="F55" s="101" t="s">
        <v>930</v>
      </c>
    </row>
    <row r="56" spans="2:6" ht="16" x14ac:dyDescent="0.2">
      <c r="B56" s="96"/>
      <c r="C56" s="9"/>
      <c r="D56" s="100" t="s">
        <v>931</v>
      </c>
      <c r="E56" s="101" t="s">
        <v>932</v>
      </c>
      <c r="F56" s="101" t="s">
        <v>932</v>
      </c>
    </row>
    <row r="57" spans="2:6" ht="16" x14ac:dyDescent="0.2">
      <c r="B57" s="96"/>
      <c r="C57" s="9"/>
      <c r="D57" s="100" t="s">
        <v>933</v>
      </c>
      <c r="E57" s="101" t="s">
        <v>934</v>
      </c>
      <c r="F57" s="101" t="s">
        <v>1517</v>
      </c>
    </row>
    <row r="58" spans="2:6" ht="16" x14ac:dyDescent="0.2">
      <c r="B58" s="96"/>
      <c r="C58" s="9"/>
      <c r="D58" s="100" t="s">
        <v>935</v>
      </c>
      <c r="E58" s="101" t="s">
        <v>936</v>
      </c>
      <c r="F58" s="101" t="s">
        <v>1518</v>
      </c>
    </row>
    <row r="59" spans="2:6" ht="16" x14ac:dyDescent="0.2">
      <c r="B59" s="96"/>
      <c r="C59" s="9"/>
      <c r="D59" s="100" t="s">
        <v>937</v>
      </c>
      <c r="E59" s="101" t="s">
        <v>938</v>
      </c>
      <c r="F59" s="101" t="s">
        <v>1519</v>
      </c>
    </row>
    <row r="60" spans="2:6" ht="16" x14ac:dyDescent="0.2">
      <c r="B60" s="96"/>
      <c r="C60" s="9"/>
      <c r="D60" s="100" t="s">
        <v>939</v>
      </c>
      <c r="E60" s="101" t="s">
        <v>940</v>
      </c>
      <c r="F60" s="101" t="s">
        <v>1520</v>
      </c>
    </row>
    <row r="61" spans="2:6" ht="16" x14ac:dyDescent="0.2">
      <c r="B61" s="96"/>
      <c r="C61" s="9"/>
      <c r="D61" s="100" t="s">
        <v>941</v>
      </c>
      <c r="E61" s="101" t="s">
        <v>942</v>
      </c>
      <c r="F61" s="101" t="s">
        <v>1521</v>
      </c>
    </row>
    <row r="62" spans="2:6" ht="16" x14ac:dyDescent="0.2">
      <c r="B62" s="96"/>
      <c r="C62" s="9"/>
      <c r="D62" s="100" t="s">
        <v>943</v>
      </c>
      <c r="E62" s="101" t="s">
        <v>944</v>
      </c>
      <c r="F62" s="101" t="s">
        <v>1522</v>
      </c>
    </row>
    <row r="63" spans="2:6" ht="16" x14ac:dyDescent="0.2">
      <c r="B63" s="96"/>
      <c r="C63" s="9"/>
      <c r="D63" s="100" t="s">
        <v>945</v>
      </c>
      <c r="E63" s="101" t="s">
        <v>946</v>
      </c>
      <c r="F63" s="101" t="s">
        <v>1523</v>
      </c>
    </row>
    <row r="64" spans="2:6" ht="16" x14ac:dyDescent="0.2">
      <c r="B64" s="96"/>
      <c r="C64" s="9"/>
      <c r="D64" s="100" t="s">
        <v>947</v>
      </c>
      <c r="E64" s="101" t="s">
        <v>948</v>
      </c>
      <c r="F64" s="101" t="s">
        <v>1524</v>
      </c>
    </row>
    <row r="65" spans="2:6" ht="16" x14ac:dyDescent="0.2">
      <c r="B65" s="96"/>
      <c r="C65" s="9"/>
      <c r="D65" s="100" t="s">
        <v>949</v>
      </c>
      <c r="E65" s="101" t="s">
        <v>950</v>
      </c>
      <c r="F65" s="101" t="s">
        <v>1460</v>
      </c>
    </row>
    <row r="66" spans="2:6" ht="16" x14ac:dyDescent="0.2">
      <c r="B66" s="96"/>
      <c r="C66" s="9"/>
      <c r="D66" s="100" t="s">
        <v>951</v>
      </c>
      <c r="E66" s="101" t="s">
        <v>952</v>
      </c>
      <c r="F66" s="101" t="s">
        <v>1525</v>
      </c>
    </row>
    <row r="67" spans="2:6" ht="16" x14ac:dyDescent="0.2">
      <c r="B67" s="96"/>
      <c r="C67" s="9"/>
      <c r="D67" s="100" t="s">
        <v>953</v>
      </c>
      <c r="E67" s="101" t="s">
        <v>954</v>
      </c>
      <c r="F67" s="101" t="s">
        <v>1526</v>
      </c>
    </row>
    <row r="68" spans="2:6" ht="16" x14ac:dyDescent="0.2">
      <c r="B68" s="96"/>
      <c r="C68" s="9"/>
      <c r="D68" s="100" t="s">
        <v>955</v>
      </c>
      <c r="E68" s="101" t="s">
        <v>956</v>
      </c>
      <c r="F68" s="101" t="s">
        <v>1527</v>
      </c>
    </row>
    <row r="69" spans="2:6" ht="16" x14ac:dyDescent="0.2">
      <c r="B69" s="96"/>
      <c r="C69" s="9"/>
      <c r="D69" s="100" t="s">
        <v>957</v>
      </c>
      <c r="E69" s="101" t="s">
        <v>958</v>
      </c>
      <c r="F69" s="101" t="s">
        <v>1528</v>
      </c>
    </row>
    <row r="70" spans="2:6" ht="16" x14ac:dyDescent="0.2">
      <c r="B70" s="96"/>
      <c r="C70" s="9"/>
      <c r="D70" s="100" t="s">
        <v>959</v>
      </c>
      <c r="E70" s="101" t="s">
        <v>960</v>
      </c>
      <c r="F70" s="101" t="s">
        <v>1416</v>
      </c>
    </row>
    <row r="71" spans="2:6" ht="16" x14ac:dyDescent="0.2">
      <c r="B71" s="96"/>
      <c r="C71" s="137"/>
      <c r="D71" s="100" t="s">
        <v>961</v>
      </c>
      <c r="E71" s="102" t="s">
        <v>962</v>
      </c>
      <c r="F71" s="102" t="s">
        <v>1529</v>
      </c>
    </row>
    <row r="72" spans="2:6" ht="16" x14ac:dyDescent="0.2">
      <c r="B72" s="96"/>
      <c r="C72" s="9"/>
      <c r="D72" s="100" t="s">
        <v>963</v>
      </c>
      <c r="E72" s="101" t="s">
        <v>964</v>
      </c>
      <c r="F72" s="101" t="s">
        <v>1530</v>
      </c>
    </row>
    <row r="73" spans="2:6" ht="16" x14ac:dyDescent="0.2">
      <c r="B73" s="96"/>
      <c r="C73" s="9"/>
      <c r="D73" s="100" t="s">
        <v>965</v>
      </c>
      <c r="E73" s="101" t="s">
        <v>966</v>
      </c>
      <c r="F73" s="101" t="s">
        <v>1531</v>
      </c>
    </row>
    <row r="74" spans="2:6" ht="16" x14ac:dyDescent="0.2">
      <c r="B74" s="96"/>
      <c r="C74" s="9"/>
      <c r="D74" s="100" t="s">
        <v>967</v>
      </c>
      <c r="E74" s="101" t="s">
        <v>968</v>
      </c>
      <c r="F74" s="101" t="s">
        <v>1532</v>
      </c>
    </row>
    <row r="75" spans="2:6" ht="16" x14ac:dyDescent="0.2">
      <c r="B75" s="96"/>
      <c r="C75" s="9"/>
      <c r="D75" s="100" t="s">
        <v>969</v>
      </c>
      <c r="E75" s="101" t="s">
        <v>970</v>
      </c>
      <c r="F75" s="101" t="s">
        <v>1533</v>
      </c>
    </row>
    <row r="76" spans="2:6" ht="16" x14ac:dyDescent="0.2">
      <c r="B76" s="96"/>
      <c r="C76" s="9"/>
      <c r="D76" s="100" t="s">
        <v>971</v>
      </c>
      <c r="E76" s="101" t="s">
        <v>972</v>
      </c>
      <c r="F76" s="101" t="s">
        <v>1534</v>
      </c>
    </row>
    <row r="77" spans="2:6" ht="16" x14ac:dyDescent="0.2">
      <c r="B77" s="96"/>
      <c r="C77" s="9"/>
      <c r="D77" s="100" t="s">
        <v>973</v>
      </c>
      <c r="E77" s="101" t="s">
        <v>974</v>
      </c>
      <c r="F77" s="101" t="s">
        <v>1535</v>
      </c>
    </row>
    <row r="78" spans="2:6" ht="16" x14ac:dyDescent="0.2">
      <c r="B78" s="96"/>
      <c r="C78" s="9"/>
      <c r="D78" s="100" t="s">
        <v>975</v>
      </c>
      <c r="E78" s="101" t="s">
        <v>976</v>
      </c>
      <c r="F78" s="101" t="s">
        <v>1536</v>
      </c>
    </row>
    <row r="79" spans="2:6" ht="16" x14ac:dyDescent="0.2">
      <c r="B79" s="96"/>
      <c r="C79" s="9"/>
      <c r="D79" s="100" t="s">
        <v>977</v>
      </c>
      <c r="E79" s="101" t="s">
        <v>978</v>
      </c>
      <c r="F79" s="101" t="s">
        <v>1537</v>
      </c>
    </row>
    <row r="80" spans="2:6" ht="16" x14ac:dyDescent="0.2">
      <c r="B80" s="96"/>
      <c r="C80" s="137"/>
      <c r="D80" s="100" t="s">
        <v>979</v>
      </c>
      <c r="E80" s="102" t="s">
        <v>980</v>
      </c>
      <c r="F80" s="102" t="s">
        <v>1538</v>
      </c>
    </row>
    <row r="81" spans="2:6" ht="16" x14ac:dyDescent="0.2">
      <c r="B81" s="96"/>
      <c r="C81" s="9"/>
      <c r="D81" s="100" t="s">
        <v>981</v>
      </c>
      <c r="E81" s="101" t="s">
        <v>982</v>
      </c>
      <c r="F81" s="101" t="s">
        <v>1417</v>
      </c>
    </row>
    <row r="82" spans="2:6" ht="16" x14ac:dyDescent="0.2">
      <c r="B82" s="96"/>
      <c r="C82" s="9"/>
      <c r="D82" s="100" t="s">
        <v>983</v>
      </c>
      <c r="E82" s="101" t="s">
        <v>984</v>
      </c>
      <c r="F82" s="101" t="s">
        <v>1418</v>
      </c>
    </row>
    <row r="83" spans="2:6" ht="16" x14ac:dyDescent="0.2">
      <c r="B83" s="96"/>
      <c r="C83" s="9"/>
      <c r="D83" s="100" t="s">
        <v>985</v>
      </c>
      <c r="E83" s="101" t="s">
        <v>986</v>
      </c>
      <c r="F83" s="101" t="s">
        <v>1539</v>
      </c>
    </row>
    <row r="84" spans="2:6" ht="16" x14ac:dyDescent="0.2">
      <c r="B84" s="96"/>
      <c r="C84" s="9"/>
      <c r="D84" s="100" t="s">
        <v>987</v>
      </c>
      <c r="E84" s="101" t="s">
        <v>988</v>
      </c>
      <c r="F84" s="101" t="s">
        <v>1540</v>
      </c>
    </row>
    <row r="85" spans="2:6" ht="16" x14ac:dyDescent="0.2">
      <c r="B85" s="96"/>
      <c r="C85" s="9"/>
      <c r="D85" s="100" t="s">
        <v>989</v>
      </c>
      <c r="E85" s="101" t="s">
        <v>990</v>
      </c>
      <c r="F85" s="101" t="s">
        <v>1541</v>
      </c>
    </row>
    <row r="86" spans="2:6" ht="16" x14ac:dyDescent="0.2">
      <c r="B86" s="96"/>
      <c r="C86" s="137"/>
      <c r="D86" s="100" t="s">
        <v>991</v>
      </c>
      <c r="E86" s="102" t="s">
        <v>992</v>
      </c>
      <c r="F86" s="102" t="s">
        <v>1542</v>
      </c>
    </row>
    <row r="87" spans="2:6" ht="16" x14ac:dyDescent="0.2">
      <c r="B87" s="96"/>
      <c r="C87" s="9"/>
      <c r="D87" s="100" t="s">
        <v>993</v>
      </c>
      <c r="E87" s="101" t="s">
        <v>994</v>
      </c>
      <c r="F87" s="101" t="s">
        <v>1543</v>
      </c>
    </row>
    <row r="88" spans="2:6" ht="16" x14ac:dyDescent="0.2">
      <c r="B88" s="96"/>
      <c r="C88" s="9"/>
      <c r="D88" s="100" t="s">
        <v>995</v>
      </c>
      <c r="E88" s="101" t="s">
        <v>996</v>
      </c>
      <c r="F88" s="101" t="s">
        <v>1544</v>
      </c>
    </row>
    <row r="89" spans="2:6" ht="16" x14ac:dyDescent="0.2">
      <c r="B89" s="96"/>
      <c r="C89" s="9"/>
      <c r="D89" s="100" t="s">
        <v>997</v>
      </c>
      <c r="E89" s="101" t="s">
        <v>998</v>
      </c>
      <c r="F89" s="101" t="s">
        <v>1545</v>
      </c>
    </row>
    <row r="90" spans="2:6" ht="16" x14ac:dyDescent="0.2">
      <c r="B90" s="96"/>
      <c r="C90" s="9"/>
      <c r="D90" s="100" t="s">
        <v>999</v>
      </c>
      <c r="E90" s="101" t="s">
        <v>1000</v>
      </c>
      <c r="F90" s="101" t="s">
        <v>1546</v>
      </c>
    </row>
    <row r="91" spans="2:6" ht="16" x14ac:dyDescent="0.2">
      <c r="B91" s="96"/>
      <c r="C91" s="9"/>
      <c r="D91" s="100" t="s">
        <v>1001</v>
      </c>
      <c r="E91" s="101" t="s">
        <v>1002</v>
      </c>
      <c r="F91" s="101" t="s">
        <v>1547</v>
      </c>
    </row>
    <row r="92" spans="2:6" ht="16" x14ac:dyDescent="0.2">
      <c r="B92" s="96"/>
      <c r="C92" s="9"/>
      <c r="D92" s="100" t="s">
        <v>1003</v>
      </c>
      <c r="E92" s="101" t="s">
        <v>1004</v>
      </c>
      <c r="F92" s="101" t="s">
        <v>1004</v>
      </c>
    </row>
    <row r="93" spans="2:6" s="108" customFormat="1" ht="16" x14ac:dyDescent="0.2">
      <c r="B93" s="266"/>
      <c r="C93" s="267"/>
      <c r="D93" s="268" t="s">
        <v>1005</v>
      </c>
      <c r="E93" s="102" t="s">
        <v>1006</v>
      </c>
      <c r="F93" s="102" t="s">
        <v>1548</v>
      </c>
    </row>
    <row r="94" spans="2:6" x14ac:dyDescent="0.2">
      <c r="C94" s="103"/>
      <c r="D94" s="104"/>
      <c r="E94" s="105"/>
      <c r="F94" s="105"/>
    </row>
  </sheetData>
  <sheetProtection algorithmName="SHA-512" hashValue="4x9QBwmmpf14RH0wMmt486Zh17eApxgzQvdyAdM6ZbOp8lWkhkx1Fu3fkBuqh8/YYI/5TBKj1KlB+8vpFJO9Kg==" saltValue="/61zWf5pyzpbPCyumjZE6Q=="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F5" sqref="F5"/>
    </sheetView>
  </sheetViews>
  <sheetFormatPr baseColWidth="10" defaultColWidth="10.83203125" defaultRowHeight="16" x14ac:dyDescent="0.2"/>
  <cols>
    <col min="1" max="1" width="10.83203125" style="174"/>
    <col min="2" max="2" width="8.83203125" style="174" customWidth="1"/>
    <col min="3" max="3" width="27.6640625" style="174" customWidth="1"/>
    <col min="4" max="5" width="20.83203125" style="174" customWidth="1"/>
    <col min="6" max="7" width="46.5" style="187" customWidth="1"/>
    <col min="8" max="8" width="20.83203125" style="262" customWidth="1"/>
    <col min="9" max="9" width="20.83203125" style="174" customWidth="1"/>
    <col min="10" max="16384" width="10.83203125" style="174"/>
  </cols>
  <sheetData>
    <row r="1" spans="1:11" ht="17" thickBot="1" x14ac:dyDescent="0.25">
      <c r="C1" s="175"/>
      <c r="D1" s="175"/>
      <c r="E1" s="175"/>
      <c r="F1" s="176"/>
      <c r="G1" s="176"/>
      <c r="H1" s="177"/>
      <c r="I1" s="175"/>
    </row>
    <row r="2" spans="1:11" s="187" customFormat="1" ht="17" thickBot="1" x14ac:dyDescent="0.25">
      <c r="A2" s="178"/>
      <c r="B2" s="179"/>
      <c r="C2" s="180" t="s">
        <v>1007</v>
      </c>
      <c r="D2" s="181" t="s">
        <v>1461</v>
      </c>
      <c r="E2" s="181" t="s">
        <v>1420</v>
      </c>
      <c r="F2" s="182" t="s">
        <v>1457</v>
      </c>
      <c r="G2" s="183" t="s">
        <v>1419</v>
      </c>
      <c r="H2" s="184" t="s">
        <v>1458</v>
      </c>
      <c r="I2" s="185" t="s">
        <v>1421</v>
      </c>
      <c r="J2" s="186"/>
    </row>
    <row r="3" spans="1:11" ht="62.5" customHeight="1" x14ac:dyDescent="0.2">
      <c r="A3" s="188"/>
      <c r="B3" s="300" t="s">
        <v>1008</v>
      </c>
      <c r="C3" s="189" t="s">
        <v>1009</v>
      </c>
      <c r="D3" s="157"/>
      <c r="E3" s="190" t="str">
        <f>IF(D3="","",D3)</f>
        <v/>
      </c>
      <c r="F3" s="191" t="s">
        <v>2123</v>
      </c>
      <c r="G3" s="192" t="s">
        <v>1010</v>
      </c>
      <c r="H3" s="193" t="s">
        <v>1011</v>
      </c>
      <c r="I3" s="194" t="s">
        <v>1011</v>
      </c>
      <c r="J3" s="195"/>
    </row>
    <row r="4" spans="1:11" ht="31.75" customHeight="1" x14ac:dyDescent="0.2">
      <c r="A4" s="188"/>
      <c r="B4" s="295"/>
      <c r="C4" s="196" t="s">
        <v>1012</v>
      </c>
      <c r="D4" s="131"/>
      <c r="E4" s="197" t="str">
        <f>IF(D4="","",D4)</f>
        <v/>
      </c>
      <c r="F4" s="198" t="s">
        <v>2124</v>
      </c>
      <c r="G4" s="199" t="s">
        <v>1013</v>
      </c>
      <c r="H4" s="200">
        <v>18</v>
      </c>
      <c r="I4" s="201">
        <v>18</v>
      </c>
      <c r="J4" s="195"/>
    </row>
    <row r="5" spans="1:11" ht="66" customHeight="1" x14ac:dyDescent="0.2">
      <c r="A5" s="188"/>
      <c r="B5" s="295"/>
      <c r="C5" s="202" t="s">
        <v>1014</v>
      </c>
      <c r="D5" s="16"/>
      <c r="E5" s="286" t="str">
        <f>IF(D5="","",D5)</f>
        <v/>
      </c>
      <c r="F5" s="273" t="s">
        <v>2062</v>
      </c>
      <c r="G5" s="199" t="s">
        <v>1015</v>
      </c>
      <c r="H5" s="203" t="s">
        <v>1463</v>
      </c>
      <c r="I5" s="204" t="s">
        <v>1462</v>
      </c>
      <c r="J5" s="195"/>
    </row>
    <row r="6" spans="1:11" ht="48" x14ac:dyDescent="0.2">
      <c r="A6" s="188"/>
      <c r="B6" s="295"/>
      <c r="C6" s="205" t="s">
        <v>1016</v>
      </c>
      <c r="D6" s="16"/>
      <c r="E6" s="286" t="str">
        <f>IF(D6="","",D6)</f>
        <v/>
      </c>
      <c r="F6" s="273" t="s">
        <v>2063</v>
      </c>
      <c r="G6" s="198" t="s">
        <v>1017</v>
      </c>
      <c r="H6" s="206" t="s">
        <v>1464</v>
      </c>
      <c r="I6" s="207" t="s">
        <v>1465</v>
      </c>
      <c r="J6" s="195"/>
    </row>
    <row r="7" spans="1:11" s="214" customFormat="1" ht="100.5" customHeight="1" x14ac:dyDescent="0.2">
      <c r="A7" s="208"/>
      <c r="B7" s="295"/>
      <c r="C7" s="209" t="s">
        <v>1053</v>
      </c>
      <c r="D7" s="172"/>
      <c r="E7" s="210" t="str">
        <f>IF(D7="el año pasado","last year",IF(D7="un año normal","a normal year",""))</f>
        <v/>
      </c>
      <c r="F7" s="273" t="s">
        <v>2059</v>
      </c>
      <c r="G7" s="211" t="s">
        <v>1054</v>
      </c>
      <c r="H7" s="206" t="s">
        <v>1466</v>
      </c>
      <c r="I7" s="212" t="s">
        <v>1055</v>
      </c>
      <c r="J7" s="213"/>
    </row>
    <row r="8" spans="1:11" ht="121" customHeight="1" x14ac:dyDescent="0.2">
      <c r="A8" s="188"/>
      <c r="B8" s="295"/>
      <c r="C8" s="205" t="s">
        <v>1018</v>
      </c>
      <c r="D8" s="16"/>
      <c r="E8" s="16"/>
      <c r="F8" s="274" t="s">
        <v>2060</v>
      </c>
      <c r="G8" s="215" t="s">
        <v>1019</v>
      </c>
      <c r="H8" s="216" t="s">
        <v>1468</v>
      </c>
      <c r="I8" s="217" t="s">
        <v>1467</v>
      </c>
      <c r="J8" s="195"/>
      <c r="K8" s="218"/>
    </row>
    <row r="9" spans="1:11" ht="96" x14ac:dyDescent="0.2">
      <c r="A9" s="188"/>
      <c r="B9" s="295"/>
      <c r="C9" s="205" t="s">
        <v>1020</v>
      </c>
      <c r="D9" s="173"/>
      <c r="E9" s="219" t="str">
        <f>IF(D9="todavía no está en temporada","Not yet in season",IF(D9="preparación de tierra","land preparation",IF(D9="plantación","Planting",IF(D9="crecimiento temprano","Early growing",IF(D9="crecimiento","Growing",IF(D9="maduración","Maturing",IF(D9="cosecha","Harvesting",IF(D9="terminado recientemente","Recently Finished",""))))))))</f>
        <v/>
      </c>
      <c r="F9" s="274" t="s">
        <v>2065</v>
      </c>
      <c r="G9" s="215" t="s">
        <v>1021</v>
      </c>
      <c r="H9" s="216" t="s">
        <v>1471</v>
      </c>
      <c r="I9" s="207" t="s">
        <v>1022</v>
      </c>
      <c r="J9" s="195"/>
    </row>
    <row r="10" spans="1:11" s="214" customFormat="1" ht="85" customHeight="1" x14ac:dyDescent="0.2">
      <c r="A10" s="208"/>
      <c r="B10" s="295"/>
      <c r="C10" s="220" t="s">
        <v>1023</v>
      </c>
      <c r="D10" s="155"/>
      <c r="E10" s="155"/>
      <c r="F10" s="275" t="s">
        <v>2064</v>
      </c>
      <c r="G10" s="221" t="s">
        <v>1024</v>
      </c>
      <c r="H10" s="216" t="s">
        <v>1460</v>
      </c>
      <c r="I10" s="222" t="s">
        <v>1460</v>
      </c>
      <c r="J10" s="213"/>
    </row>
    <row r="11" spans="1:11" s="214" customFormat="1" ht="50.25" customHeight="1" thickBot="1" x14ac:dyDescent="0.25">
      <c r="A11" s="208"/>
      <c r="B11" s="296"/>
      <c r="C11" s="223" t="s">
        <v>1097</v>
      </c>
      <c r="D11" s="156"/>
      <c r="E11" s="224" t="str">
        <f>IF(D11&lt;&gt;"",D11,"")</f>
        <v/>
      </c>
      <c r="F11" s="276" t="s">
        <v>2061</v>
      </c>
      <c r="G11" s="225" t="s">
        <v>1093</v>
      </c>
      <c r="H11" s="226">
        <v>1.43</v>
      </c>
      <c r="I11" s="227">
        <v>1.43</v>
      </c>
      <c r="J11" s="213"/>
    </row>
    <row r="12" spans="1:11" ht="57.5" customHeight="1" x14ac:dyDescent="0.2">
      <c r="A12" s="188"/>
      <c r="B12" s="295" t="s">
        <v>1025</v>
      </c>
      <c r="C12" s="228" t="s">
        <v>1026</v>
      </c>
      <c r="D12" s="285"/>
      <c r="E12" s="197" t="str">
        <f t="shared" ref="E12:E14" si="0">IF(D12="","",D12)</f>
        <v/>
      </c>
      <c r="F12" s="277" t="s">
        <v>2066</v>
      </c>
      <c r="G12" s="229" t="s">
        <v>1027</v>
      </c>
      <c r="H12" s="203" t="s">
        <v>1459</v>
      </c>
      <c r="I12" s="230" t="s">
        <v>1459</v>
      </c>
      <c r="J12" s="195"/>
    </row>
    <row r="13" spans="1:11" ht="145.5" customHeight="1" x14ac:dyDescent="0.2">
      <c r="A13" s="188"/>
      <c r="B13" s="295"/>
      <c r="C13" s="231" t="s">
        <v>1028</v>
      </c>
      <c r="D13" s="284"/>
      <c r="E13" s="197" t="str">
        <f t="shared" si="0"/>
        <v/>
      </c>
      <c r="F13" s="278" t="s">
        <v>2070</v>
      </c>
      <c r="G13" s="232" t="s">
        <v>1029</v>
      </c>
      <c r="H13" s="216">
        <v>5</v>
      </c>
      <c r="I13" s="233">
        <v>5</v>
      </c>
      <c r="J13" s="234"/>
      <c r="K13" s="235"/>
    </row>
    <row r="14" spans="1:11" ht="198" customHeight="1" x14ac:dyDescent="0.2">
      <c r="A14" s="188"/>
      <c r="B14" s="295"/>
      <c r="C14" s="231" t="s">
        <v>1030</v>
      </c>
      <c r="D14" s="284"/>
      <c r="E14" s="197" t="str">
        <f t="shared" si="0"/>
        <v/>
      </c>
      <c r="F14" s="279" t="s">
        <v>2069</v>
      </c>
      <c r="G14" s="221" t="s">
        <v>1031</v>
      </c>
      <c r="H14" s="216">
        <v>1200000</v>
      </c>
      <c r="I14" s="233">
        <v>1200000</v>
      </c>
      <c r="J14" s="195"/>
    </row>
    <row r="15" spans="1:11" ht="48" x14ac:dyDescent="0.2">
      <c r="A15" s="188"/>
      <c r="B15" s="295"/>
      <c r="C15" s="236" t="s">
        <v>1032</v>
      </c>
      <c r="D15" s="16"/>
      <c r="E15" s="16"/>
      <c r="F15" s="275" t="s">
        <v>2067</v>
      </c>
      <c r="G15" s="221" t="s">
        <v>1033</v>
      </c>
      <c r="H15" s="216" t="s">
        <v>1470</v>
      </c>
      <c r="I15" s="217" t="s">
        <v>1034</v>
      </c>
      <c r="J15" s="195"/>
    </row>
    <row r="16" spans="1:11" ht="49" thickBot="1" x14ac:dyDescent="0.25">
      <c r="A16" s="188"/>
      <c r="B16" s="296"/>
      <c r="C16" s="237" t="s">
        <v>1035</v>
      </c>
      <c r="D16" s="17"/>
      <c r="E16" s="17"/>
      <c r="F16" s="280" t="s">
        <v>2068</v>
      </c>
      <c r="G16" s="238" t="s">
        <v>1036</v>
      </c>
      <c r="H16" s="239" t="s">
        <v>1469</v>
      </c>
      <c r="I16" s="240" t="s">
        <v>1037</v>
      </c>
      <c r="J16" s="195"/>
    </row>
    <row r="17" spans="1:10" s="249" customFormat="1" ht="5.5" customHeight="1" thickBot="1" x14ac:dyDescent="0.25">
      <c r="A17" s="241"/>
      <c r="B17" s="242"/>
      <c r="C17" s="243"/>
      <c r="D17" s="244"/>
      <c r="E17" s="245"/>
      <c r="G17" s="246"/>
      <c r="H17" s="247"/>
      <c r="I17" s="248"/>
      <c r="J17" s="235"/>
    </row>
    <row r="18" spans="1:10" ht="176" x14ac:dyDescent="0.2">
      <c r="A18" s="188"/>
      <c r="B18" s="297" t="s">
        <v>1038</v>
      </c>
      <c r="C18" s="250" t="s">
        <v>1039</v>
      </c>
      <c r="D18" s="263">
        <v>0.91</v>
      </c>
      <c r="E18" s="251">
        <f t="shared" ref="E18:E20" si="1">IF(D18="","",D18)</f>
        <v>0.91</v>
      </c>
      <c r="F18" s="281" t="s">
        <v>2071</v>
      </c>
      <c r="G18" s="252" t="s">
        <v>1040</v>
      </c>
      <c r="H18" s="166">
        <v>0.91</v>
      </c>
      <c r="I18" s="167">
        <v>0.91</v>
      </c>
      <c r="J18" s="195"/>
    </row>
    <row r="19" spans="1:10" ht="176" x14ac:dyDescent="0.2">
      <c r="A19" s="188"/>
      <c r="B19" s="298"/>
      <c r="C19" s="253" t="s">
        <v>1041</v>
      </c>
      <c r="D19" s="264">
        <v>0.91</v>
      </c>
      <c r="E19" s="254">
        <f t="shared" si="1"/>
        <v>0.91</v>
      </c>
      <c r="F19" s="282" t="s">
        <v>2072</v>
      </c>
      <c r="G19" s="255" t="s">
        <v>1042</v>
      </c>
      <c r="H19" s="168">
        <v>0.91</v>
      </c>
      <c r="I19" s="169">
        <v>0.91</v>
      </c>
      <c r="J19" s="195"/>
    </row>
    <row r="20" spans="1:10" ht="141" customHeight="1" thickBot="1" x14ac:dyDescent="0.25">
      <c r="A20" s="188"/>
      <c r="B20" s="299"/>
      <c r="C20" s="256" t="s">
        <v>1043</v>
      </c>
      <c r="D20" s="265">
        <v>0.05</v>
      </c>
      <c r="E20" s="257">
        <f t="shared" si="1"/>
        <v>0.05</v>
      </c>
      <c r="F20" s="283" t="s">
        <v>2073</v>
      </c>
      <c r="G20" s="258" t="s">
        <v>1044</v>
      </c>
      <c r="H20" s="170">
        <v>0.05</v>
      </c>
      <c r="I20" s="171">
        <v>0.05</v>
      </c>
      <c r="J20" s="195"/>
    </row>
    <row r="21" spans="1:10" x14ac:dyDescent="0.2">
      <c r="B21" s="259"/>
      <c r="C21" s="259"/>
      <c r="D21" s="259"/>
      <c r="E21" s="259"/>
      <c r="F21" s="260"/>
      <c r="G21" s="260"/>
      <c r="H21" s="261"/>
      <c r="I21" s="259"/>
    </row>
  </sheetData>
  <sheetProtection algorithmName="SHA-512" hashValue="iQ1wCCLV3ID1v5M2SXbIeC+bsegO87miEiTVnjwB5brRfY+2XVx8JywqW7bxAOPBMVuLjqX7zbjhtjlTHFjd5w==" saltValue="5iDzQEP0T7+ZlzsMQouo5w==" spinCount="100000" sheet="1" objects="1" scenarios="1"/>
  <mergeCells count="3">
    <mergeCell ref="B12:B16"/>
    <mergeCell ref="B18:B20"/>
    <mergeCell ref="B3:B11"/>
  </mergeCells>
  <dataValidations count="2">
    <dataValidation type="list" allowBlank="1" showInputMessage="1" showErrorMessage="1" sqref="D7" xr:uid="{EE451652-45C9-1340-ACDF-D2DD21BBBD80}">
      <formula1>"el año pasado, un año normal"</formula1>
    </dataValidation>
    <dataValidation type="list" allowBlank="1" showInputMessage="1" showErrorMessage="1" sqref="D9" xr:uid="{EEFB481C-A1FA-BE4C-BFC0-1256267B1D54}">
      <formula1>"todavía no está en temporada, preparación de tierra, plantación, crecimiento temprano, crecimiento, maduración, cosecha, terminado recientemente"</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7C34CB-4D7B-4197-B789-E2FA018FF5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15B646-3C0A-4AE4-895D-12A144F3453E}">
  <ds:schemaRefs>
    <ds:schemaRef ds:uri="http://purl.org/dc/dcmitype/"/>
    <ds:schemaRef ds:uri="http://schemas.openxmlformats.org/package/2006/metadata/core-properties"/>
    <ds:schemaRef ds:uri="http://www.w3.org/XML/1998/namespace"/>
    <ds:schemaRef ds:uri="http://schemas.microsoft.com/office/infopath/2007/PartnerControls"/>
    <ds:schemaRef ds:uri="http://schemas.microsoft.com/office/2006/metadata/properties"/>
    <ds:schemaRef ds:uri="http://schemas.microsoft.com/office/2006/documentManagement/types"/>
    <ds:schemaRef ds:uri="http://purl.org/dc/elements/1.1/"/>
    <ds:schemaRef ds:uri="651ac188-b77a-445d-b0b3-bedb0cff8e72"/>
    <ds:schemaRef ds:uri="4efa6d18-7e22-4963-b4bf-16e1a76dd523"/>
    <ds:schemaRef ds:uri="http://purl.org/dc/terms/"/>
  </ds:schemaRefs>
</ds:datastoreItem>
</file>

<file path=customXml/itemProps3.xml><?xml version="1.0" encoding="utf-8"?>
<ds:datastoreItem xmlns:ds="http://schemas.openxmlformats.org/officeDocument/2006/customXml" ds:itemID="{083E29E9-50F6-4C85-836A-A023FCCA69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Ines Lecland</cp:lastModifiedBy>
  <cp:revision/>
  <dcterms:created xsi:type="dcterms:W3CDTF">2021-01-05T14:16:30Z</dcterms:created>
  <dcterms:modified xsi:type="dcterms:W3CDTF">2023-03-07T16:08:05Z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