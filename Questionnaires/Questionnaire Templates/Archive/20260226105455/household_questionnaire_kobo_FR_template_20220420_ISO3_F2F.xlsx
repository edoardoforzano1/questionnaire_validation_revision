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1"/>
  <workbookPr defaultThemeVersion="124226"/>
  <mc:AlternateContent xmlns:mc="http://schemas.openxmlformats.org/markup-compatibility/2006">
    <mc:Choice Requires="x15">
      <x15ac:absPath xmlns:x15ac="http://schemas.microsoft.com/office/spreadsheetml/2010/11/ac" url="https://unfao.sharepoint.com/sites/OER/Evidence for programming/Needs Assessments/01. DIEM Monitoring/03. Toolbox/02. Questionnaires/"/>
    </mc:Choice>
  </mc:AlternateContent>
  <xr:revisionPtr revIDLastSave="49" documentId="8_{1A01F220-A984-1F4B-B6F8-7BEA7231EFC2}" xr6:coauthVersionLast="47" xr6:coauthVersionMax="47" xr10:uidLastSave="{5A1651B2-3604-E842-93C3-0336140C4DCA}"/>
  <bookViews>
    <workbookView xWindow="160" yWindow="500" windowWidth="26840" windowHeight="16600" activeTab="1" xr2:uid="{00000000-000D-0000-FFFF-FFFF00000000}"/>
  </bookViews>
  <sheets>
    <sheet name="survey" sheetId="4" r:id="rId1"/>
    <sheet name="choices" sheetId="10" r:id="rId2"/>
    <sheet name="settings" sheetId="3" r:id="rId3"/>
    <sheet name="Crop list" sheetId="9" r:id="rId4"/>
    <sheet name="Additional information" sheetId="11" r:id="rId5"/>
  </sheets>
  <definedNames>
    <definedName name="_xlnm._FilterDatabase" localSheetId="1" hidden="1">choices!#REF!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Y143" i="4" l="1"/>
  <c r="D11" i="11"/>
  <c r="D14" i="11"/>
  <c r="D13" i="11"/>
  <c r="D12" i="11"/>
  <c r="Y59" i="4" l="1"/>
  <c r="Y58" i="4"/>
  <c r="Y57" i="4"/>
  <c r="Y56" i="4"/>
  <c r="Z56" i="4" s="1"/>
  <c r="Y55" i="4"/>
  <c r="Z55" i="4" s="1"/>
  <c r="Y54" i="4"/>
  <c r="Z54" i="4" s="1"/>
  <c r="Y53" i="4"/>
  <c r="Y52" i="4"/>
  <c r="Y51" i="4"/>
  <c r="Y50" i="4"/>
  <c r="Y49" i="4"/>
  <c r="Y48" i="4"/>
  <c r="Y47" i="4"/>
  <c r="Z47" i="4" s="1"/>
  <c r="Y46" i="4"/>
  <c r="Y45" i="4"/>
  <c r="Y44" i="4"/>
  <c r="Y41" i="4"/>
  <c r="Y40" i="4"/>
  <c r="Z40" i="4" s="1"/>
  <c r="Y39" i="4"/>
  <c r="Y38" i="4"/>
  <c r="Y37" i="4"/>
  <c r="Y36" i="4"/>
  <c r="Y35" i="4"/>
  <c r="Y34" i="4"/>
  <c r="Y33" i="4"/>
  <c r="Y32" i="4"/>
  <c r="Z32" i="4" s="1"/>
  <c r="Y31" i="4"/>
  <c r="Y30" i="4"/>
  <c r="Y29" i="4"/>
  <c r="Y28" i="4"/>
  <c r="Y27" i="4"/>
  <c r="Y26" i="4"/>
  <c r="Y25" i="4"/>
  <c r="Y24" i="4"/>
  <c r="Y23" i="4"/>
  <c r="Y22" i="4"/>
  <c r="Y21" i="4"/>
  <c r="Y20" i="4"/>
  <c r="Y19" i="4"/>
  <c r="D7" i="11"/>
  <c r="Z308" i="4"/>
  <c r="Z307" i="4"/>
  <c r="Z306" i="4"/>
  <c r="Z305" i="4"/>
  <c r="Z304" i="4"/>
  <c r="Z303" i="4"/>
  <c r="Z302" i="4"/>
  <c r="Z301" i="4"/>
  <c r="Z300" i="4"/>
  <c r="Z299" i="4"/>
  <c r="Z298" i="4"/>
  <c r="Z297" i="4"/>
  <c r="Z296" i="4"/>
  <c r="Z295" i="4"/>
  <c r="Z294" i="4"/>
  <c r="Z293" i="4"/>
  <c r="Z292" i="4"/>
  <c r="Z291" i="4"/>
  <c r="Z290" i="4"/>
  <c r="Z289" i="4"/>
  <c r="Z288" i="4"/>
  <c r="Z287" i="4"/>
  <c r="Z286" i="4"/>
  <c r="Z285" i="4"/>
  <c r="Z284" i="4"/>
  <c r="Z283" i="4"/>
  <c r="Z282" i="4"/>
  <c r="Z281" i="4"/>
  <c r="Z280" i="4"/>
  <c r="Z279" i="4"/>
  <c r="Z278" i="4"/>
  <c r="Z277" i="4"/>
  <c r="Z276" i="4"/>
  <c r="Z275" i="4"/>
  <c r="Z274" i="4"/>
  <c r="Z273" i="4"/>
  <c r="Z272" i="4"/>
  <c r="Z271" i="4"/>
  <c r="Z270" i="4"/>
  <c r="Z269" i="4"/>
  <c r="Z268" i="4"/>
  <c r="Z267" i="4"/>
  <c r="Z266" i="4"/>
  <c r="Z265" i="4"/>
  <c r="Z264" i="4"/>
  <c r="Z263" i="4"/>
  <c r="Z262" i="4"/>
  <c r="Z261" i="4"/>
  <c r="Z260" i="4"/>
  <c r="Z259" i="4"/>
  <c r="Z258" i="4"/>
  <c r="Z257" i="4"/>
  <c r="Z256" i="4"/>
  <c r="Z255" i="4"/>
  <c r="Z254" i="4"/>
  <c r="Z253" i="4"/>
  <c r="Z252" i="4"/>
  <c r="Z251" i="4"/>
  <c r="Z250" i="4"/>
  <c r="Z249" i="4"/>
  <c r="Z248" i="4"/>
  <c r="Z247" i="4"/>
  <c r="Z246" i="4"/>
  <c r="Z245" i="4"/>
  <c r="Z244" i="4"/>
  <c r="Z243" i="4"/>
  <c r="Z242" i="4"/>
  <c r="Z241" i="4"/>
  <c r="Z240" i="4"/>
  <c r="Z239" i="4"/>
  <c r="Z238" i="4"/>
  <c r="Z237" i="4"/>
  <c r="Z236" i="4"/>
  <c r="Z235" i="4"/>
  <c r="Z234" i="4"/>
  <c r="Z233" i="4"/>
  <c r="Z232" i="4"/>
  <c r="Z231" i="4"/>
  <c r="Z230" i="4"/>
  <c r="Z229" i="4"/>
  <c r="Z228" i="4"/>
  <c r="Z227" i="4"/>
  <c r="Z226" i="4"/>
  <c r="Z225" i="4"/>
  <c r="Z224" i="4"/>
  <c r="Z223" i="4"/>
  <c r="Z222" i="4"/>
  <c r="Z221" i="4"/>
  <c r="Z220" i="4"/>
  <c r="Z219" i="4"/>
  <c r="Z218" i="4"/>
  <c r="Z217" i="4"/>
  <c r="Z216" i="4"/>
  <c r="Z215" i="4"/>
  <c r="Z214" i="4"/>
  <c r="Z213" i="4"/>
  <c r="Z212" i="4"/>
  <c r="Z211" i="4"/>
  <c r="Z210" i="4"/>
  <c r="Z209" i="4"/>
  <c r="Z207" i="4"/>
  <c r="Z206" i="4"/>
  <c r="Z203" i="4"/>
  <c r="Z202" i="4"/>
  <c r="Z201" i="4"/>
  <c r="Z199" i="4"/>
  <c r="Z198" i="4"/>
  <c r="Z197" i="4"/>
  <c r="Z196" i="4"/>
  <c r="Z195" i="4"/>
  <c r="Z193" i="4"/>
  <c r="Z192" i="4"/>
  <c r="Z189" i="4"/>
  <c r="Z187" i="4"/>
  <c r="Z185" i="4"/>
  <c r="Z183" i="4"/>
  <c r="Z182" i="4"/>
  <c r="Z181" i="4"/>
  <c r="Z179" i="4"/>
  <c r="Z176" i="4"/>
  <c r="Z175" i="4"/>
  <c r="Z173" i="4"/>
  <c r="Z172" i="4"/>
  <c r="Z171" i="4"/>
  <c r="Z170" i="4"/>
  <c r="Z168" i="4"/>
  <c r="Z165" i="4"/>
  <c r="Z163" i="4"/>
  <c r="Z161" i="4"/>
  <c r="Z160" i="4"/>
  <c r="Z157" i="4"/>
  <c r="Z156" i="4"/>
  <c r="Z154" i="4"/>
  <c r="Z152" i="4"/>
  <c r="Z151" i="4"/>
  <c r="Z150" i="4"/>
  <c r="Z148" i="4"/>
  <c r="Z140" i="4"/>
  <c r="Z139" i="4"/>
  <c r="Z138" i="4"/>
  <c r="Z135" i="4"/>
  <c r="Z132" i="4"/>
  <c r="Z129" i="4"/>
  <c r="Z125" i="4"/>
  <c r="Z123" i="4"/>
  <c r="Z121" i="4"/>
  <c r="Z120" i="4"/>
  <c r="Z118" i="4"/>
  <c r="Z116" i="4"/>
  <c r="Z114" i="4"/>
  <c r="Z111" i="4"/>
  <c r="Z109" i="4"/>
  <c r="Z108" i="4"/>
  <c r="Z107" i="4"/>
  <c r="Y107" i="4"/>
  <c r="Z106" i="4"/>
  <c r="Y106" i="4"/>
  <c r="Y105" i="4"/>
  <c r="Z105" i="4" s="1"/>
  <c r="Z104" i="4"/>
  <c r="Y104" i="4"/>
  <c r="Y103" i="4"/>
  <c r="Z103" i="4" s="1"/>
  <c r="Z102" i="4"/>
  <c r="Y102" i="4"/>
  <c r="Y101" i="4"/>
  <c r="Z101" i="4" s="1"/>
  <c r="Z100" i="4"/>
  <c r="Y100" i="4"/>
  <c r="Y99" i="4"/>
  <c r="Z99" i="4" s="1"/>
  <c r="Z98" i="4"/>
  <c r="Y98" i="4"/>
  <c r="Y97" i="4"/>
  <c r="Z97" i="4" s="1"/>
  <c r="Z96" i="4"/>
  <c r="Y96" i="4"/>
  <c r="Y95" i="4"/>
  <c r="Z95" i="4" s="1"/>
  <c r="Y94" i="4"/>
  <c r="Z94" i="4" s="1"/>
  <c r="Y93" i="4"/>
  <c r="Z93" i="4" s="1"/>
  <c r="Z92" i="4"/>
  <c r="Y92" i="4"/>
  <c r="Y91" i="4"/>
  <c r="Z91" i="4" s="1"/>
  <c r="Y90" i="4"/>
  <c r="Z90" i="4" s="1"/>
  <c r="Y89" i="4"/>
  <c r="Z89" i="4" s="1"/>
  <c r="Z88" i="4"/>
  <c r="Y88" i="4"/>
  <c r="Y87" i="4"/>
  <c r="Z87" i="4" s="1"/>
  <c r="Z86" i="4"/>
  <c r="Y86" i="4"/>
  <c r="Y85" i="4"/>
  <c r="Z85" i="4" s="1"/>
  <c r="Z84" i="4"/>
  <c r="Y84" i="4"/>
  <c r="Y83" i="4"/>
  <c r="Z83" i="4" s="1"/>
  <c r="Y82" i="4"/>
  <c r="Z82" i="4" s="1"/>
  <c r="Y81" i="4"/>
  <c r="Z81" i="4" s="1"/>
  <c r="Z80" i="4"/>
  <c r="Y80" i="4"/>
  <c r="Y79" i="4"/>
  <c r="Z79" i="4" s="1"/>
  <c r="Y78" i="4"/>
  <c r="Z78" i="4" s="1"/>
  <c r="Y77" i="4"/>
  <c r="Z77" i="4" s="1"/>
  <c r="Z76" i="4"/>
  <c r="Y76" i="4"/>
  <c r="Y75" i="4"/>
  <c r="Z75" i="4" s="1"/>
  <c r="Z74" i="4"/>
  <c r="Y74" i="4"/>
  <c r="Y73" i="4"/>
  <c r="Z73" i="4" s="1"/>
  <c r="Z72" i="4"/>
  <c r="Y72" i="4"/>
  <c r="Y71" i="4"/>
  <c r="Z71" i="4" s="1"/>
  <c r="Y70" i="4"/>
  <c r="Z70" i="4" s="1"/>
  <c r="Y69" i="4"/>
  <c r="Z69" i="4" s="1"/>
  <c r="Z68" i="4"/>
  <c r="Y68" i="4"/>
  <c r="Y67" i="4"/>
  <c r="Z67" i="4" s="1"/>
  <c r="Y66" i="4"/>
  <c r="Z66" i="4" s="1"/>
  <c r="Y65" i="4"/>
  <c r="Z65" i="4" s="1"/>
  <c r="Z64" i="4"/>
  <c r="Y64" i="4"/>
  <c r="Y63" i="4"/>
  <c r="Z63" i="4" s="1"/>
  <c r="Z62" i="4"/>
  <c r="Y62" i="4"/>
  <c r="Z61" i="4"/>
  <c r="Z60" i="4"/>
  <c r="Z59" i="4"/>
  <c r="Z58" i="4"/>
  <c r="Z57" i="4"/>
  <c r="Z53" i="4"/>
  <c r="Z52" i="4"/>
  <c r="Z51" i="4"/>
  <c r="Z50" i="4"/>
  <c r="Z49" i="4"/>
  <c r="Z48" i="4"/>
  <c r="Z46" i="4"/>
  <c r="Z45" i="4"/>
  <c r="Z44" i="4"/>
  <c r="Z43" i="4"/>
  <c r="Z42" i="4"/>
  <c r="Z41" i="4"/>
  <c r="Z39" i="4"/>
  <c r="Z38" i="4"/>
  <c r="Z37" i="4"/>
  <c r="Z36" i="4"/>
  <c r="Z35" i="4"/>
  <c r="Z34" i="4"/>
  <c r="Z33" i="4"/>
  <c r="Z31" i="4"/>
  <c r="Z30" i="4"/>
  <c r="Z29" i="4"/>
  <c r="Z28" i="4"/>
  <c r="Z27" i="4"/>
  <c r="Z26" i="4"/>
  <c r="Z25" i="4"/>
  <c r="Z24" i="4"/>
  <c r="Z23" i="4"/>
  <c r="Z22" i="4"/>
  <c r="Z21" i="4"/>
  <c r="Z20" i="4"/>
  <c r="Z19" i="4"/>
  <c r="Z18" i="4"/>
  <c r="Z17" i="4"/>
  <c r="Z16" i="4"/>
  <c r="Z15" i="4"/>
  <c r="Y14" i="4"/>
  <c r="Z14" i="4" s="1"/>
  <c r="Z13" i="4"/>
  <c r="Z11" i="4"/>
  <c r="Z10" i="4"/>
  <c r="Z5" i="4"/>
  <c r="Z4" i="4"/>
  <c r="Z3" i="4"/>
  <c r="Z2" i="4"/>
  <c r="AA297" i="4" l="1"/>
  <c r="AA298" i="4"/>
  <c r="AA299" i="4"/>
  <c r="AA300" i="4"/>
  <c r="D20" i="11"/>
  <c r="D19" i="11"/>
  <c r="D6" i="11"/>
  <c r="D5" i="11"/>
  <c r="D4" i="11"/>
  <c r="D3" i="11"/>
  <c r="D9" i="11"/>
  <c r="Y181" i="4" l="1"/>
  <c r="Y173" i="4"/>
  <c r="Y163" i="4"/>
  <c r="Y155" i="4"/>
  <c r="Z155" i="4" s="1"/>
  <c r="Y180" i="4"/>
  <c r="Z180" i="4" s="1"/>
  <c r="Y170" i="4"/>
  <c r="Y162" i="4"/>
  <c r="Z162" i="4" s="1"/>
  <c r="Y154" i="4"/>
  <c r="Y179" i="4"/>
  <c r="Y169" i="4"/>
  <c r="Z169" i="4" s="1"/>
  <c r="Y161" i="4"/>
  <c r="Y153" i="4"/>
  <c r="Z153" i="4" s="1"/>
  <c r="Y160" i="4"/>
  <c r="Y178" i="4"/>
  <c r="Z178" i="4" s="1"/>
  <c r="Y168" i="4"/>
  <c r="Y177" i="4"/>
  <c r="Z177" i="4" s="1"/>
  <c r="Y167" i="4"/>
  <c r="Z167" i="4" s="1"/>
  <c r="Y159" i="4"/>
  <c r="Z159" i="4" s="1"/>
  <c r="Y176" i="4"/>
  <c r="Y166" i="4"/>
  <c r="Z166" i="4" s="1"/>
  <c r="Y158" i="4"/>
  <c r="Z158" i="4" s="1"/>
  <c r="Y175" i="4"/>
  <c r="Y165" i="4"/>
  <c r="Y157" i="4"/>
  <c r="Y174" i="4"/>
  <c r="Z174" i="4" s="1"/>
  <c r="Y164" i="4"/>
  <c r="Z164" i="4" s="1"/>
  <c r="Y156" i="4"/>
  <c r="Y209" i="4"/>
  <c r="Y201" i="4"/>
  <c r="Y191" i="4"/>
  <c r="Z191" i="4" s="1"/>
  <c r="Y208" i="4"/>
  <c r="Z208" i="4" s="1"/>
  <c r="Y200" i="4"/>
  <c r="Z200" i="4" s="1"/>
  <c r="Y190" i="4"/>
  <c r="Z190" i="4" s="1"/>
  <c r="Y207" i="4"/>
  <c r="Y199" i="4"/>
  <c r="Y189" i="4"/>
  <c r="Y206" i="4"/>
  <c r="Y196" i="4"/>
  <c r="Y188" i="4"/>
  <c r="Z188" i="4" s="1"/>
  <c r="Y205" i="4"/>
  <c r="Z205" i="4" s="1"/>
  <c r="Y195" i="4"/>
  <c r="Y187" i="4"/>
  <c r="Y204" i="4"/>
  <c r="Z204" i="4" s="1"/>
  <c r="Y194" i="4"/>
  <c r="Z194" i="4" s="1"/>
  <c r="Y186" i="4"/>
  <c r="Z186" i="4" s="1"/>
  <c r="Y203" i="4"/>
  <c r="Y193" i="4"/>
  <c r="Y185" i="4"/>
  <c r="Y202" i="4"/>
  <c r="Y192" i="4"/>
  <c r="Y184" i="4"/>
  <c r="Z184" i="4" s="1"/>
  <c r="AA312" i="4"/>
  <c r="AA308" i="4"/>
  <c r="AA307" i="4"/>
  <c r="AA306" i="4"/>
  <c r="AA305" i="4"/>
  <c r="AA304" i="4"/>
  <c r="AA303" i="4"/>
  <c r="AA302" i="4"/>
  <c r="AA301" i="4"/>
  <c r="AA296" i="4"/>
  <c r="AA295" i="4"/>
  <c r="AA294" i="4"/>
  <c r="AA293" i="4"/>
  <c r="AA292" i="4"/>
  <c r="AA291" i="4"/>
  <c r="AA290" i="4"/>
  <c r="AA289" i="4"/>
  <c r="AA288" i="4"/>
  <c r="AA287" i="4"/>
  <c r="AA286" i="4"/>
  <c r="AA285" i="4"/>
  <c r="AA284" i="4"/>
  <c r="AA283" i="4"/>
  <c r="AA282" i="4"/>
  <c r="AA281" i="4"/>
  <c r="AA280" i="4"/>
  <c r="AA279" i="4"/>
  <c r="AA278" i="4"/>
  <c r="AA277" i="4"/>
  <c r="AA276" i="4"/>
  <c r="AA275" i="4"/>
  <c r="AA274" i="4"/>
  <c r="AA273" i="4"/>
  <c r="AA272" i="4"/>
  <c r="AA271" i="4"/>
  <c r="AA270" i="4"/>
  <c r="AA269" i="4"/>
  <c r="AA268" i="4"/>
  <c r="AA267" i="4"/>
  <c r="AA266" i="4"/>
  <c r="AA265" i="4"/>
  <c r="AA264" i="4"/>
  <c r="AA263" i="4"/>
  <c r="AA262" i="4"/>
  <c r="AA261" i="4"/>
  <c r="AA260" i="4"/>
  <c r="AA259" i="4"/>
  <c r="AA258" i="4"/>
  <c r="AA257" i="4"/>
  <c r="AA256" i="4"/>
  <c r="AA255" i="4"/>
  <c r="AA254" i="4"/>
  <c r="AA253" i="4"/>
  <c r="AA252" i="4"/>
  <c r="AA251" i="4"/>
  <c r="AA250" i="4"/>
  <c r="AA249" i="4"/>
  <c r="AA248" i="4"/>
  <c r="AA247" i="4"/>
  <c r="AA246" i="4"/>
  <c r="AA245" i="4"/>
  <c r="AA244" i="4"/>
  <c r="AA243" i="4"/>
  <c r="AA242" i="4"/>
  <c r="AA241" i="4"/>
  <c r="AA240" i="4"/>
  <c r="AA239" i="4"/>
  <c r="AA238" i="4"/>
  <c r="AA237" i="4"/>
  <c r="AA236" i="4"/>
  <c r="AA235" i="4"/>
  <c r="AA234" i="4"/>
  <c r="AA233" i="4"/>
  <c r="AA232" i="4"/>
  <c r="AA231" i="4"/>
  <c r="AA230" i="4"/>
  <c r="AA229" i="4"/>
  <c r="AA228" i="4"/>
  <c r="AA227" i="4"/>
  <c r="AA226" i="4"/>
  <c r="AA225" i="4"/>
  <c r="AA224" i="4"/>
  <c r="AA223" i="4"/>
  <c r="AA222" i="4"/>
  <c r="AA221" i="4"/>
  <c r="AA220" i="4"/>
  <c r="AA219" i="4"/>
  <c r="AA218" i="4"/>
  <c r="AA217" i="4"/>
  <c r="AA216" i="4"/>
  <c r="AA215" i="4"/>
  <c r="AA214" i="4"/>
  <c r="AA213" i="4"/>
  <c r="AA212" i="4"/>
  <c r="AA211" i="4"/>
  <c r="AA210" i="4"/>
  <c r="AA209" i="4"/>
  <c r="AA208" i="4"/>
  <c r="AA207" i="4"/>
  <c r="AA206" i="4"/>
  <c r="AA204" i="4"/>
  <c r="AA203" i="4"/>
  <c r="AA202" i="4"/>
  <c r="AA201" i="4"/>
  <c r="AA199" i="4"/>
  <c r="AA198" i="4"/>
  <c r="AA197" i="4"/>
  <c r="AA196" i="4"/>
  <c r="AA195" i="4"/>
  <c r="AA194" i="4"/>
  <c r="AA193" i="4"/>
  <c r="AA192" i="4"/>
  <c r="AA191" i="4"/>
  <c r="AA189" i="4"/>
  <c r="AA187" i="4"/>
  <c r="AA185" i="4"/>
  <c r="AA184" i="4"/>
  <c r="AA183" i="4"/>
  <c r="AA182" i="4"/>
  <c r="AA181" i="4"/>
  <c r="AA180" i="4"/>
  <c r="AA179" i="4"/>
  <c r="AA178" i="4"/>
  <c r="AA177" i="4"/>
  <c r="AA176" i="4"/>
  <c r="AA175" i="4"/>
  <c r="AA173" i="4"/>
  <c r="AA172" i="4"/>
  <c r="AA171" i="4"/>
  <c r="AA170" i="4"/>
  <c r="AA169" i="4"/>
  <c r="AA168" i="4"/>
  <c r="AA166" i="4"/>
  <c r="AA165" i="4"/>
  <c r="AA164" i="4"/>
  <c r="AA163" i="4"/>
  <c r="AA162" i="4"/>
  <c r="AA161" i="4"/>
  <c r="AA160" i="4"/>
  <c r="AA159" i="4"/>
  <c r="AA158" i="4"/>
  <c r="AA157" i="4"/>
  <c r="AA156" i="4"/>
  <c r="AA155" i="4"/>
  <c r="AA154" i="4"/>
  <c r="AA152" i="4"/>
  <c r="AA151" i="4"/>
  <c r="AA150" i="4"/>
  <c r="AA148" i="4"/>
  <c r="AA140" i="4"/>
  <c r="AA139" i="4"/>
  <c r="AA138" i="4"/>
  <c r="AA137" i="4"/>
  <c r="AA136" i="4"/>
  <c r="AA135" i="4"/>
  <c r="AA132" i="4"/>
  <c r="AA131" i="4"/>
  <c r="AA130" i="4"/>
  <c r="AA129" i="4"/>
  <c r="AA128" i="4"/>
  <c r="AA127" i="4"/>
  <c r="AA125" i="4"/>
  <c r="AA123" i="4"/>
  <c r="AA122" i="4"/>
  <c r="AA121" i="4"/>
  <c r="AA120" i="4"/>
  <c r="AA118" i="4"/>
  <c r="AA116" i="4"/>
  <c r="AA114" i="4"/>
  <c r="AA111" i="4"/>
  <c r="AA109" i="4"/>
  <c r="AA108" i="4"/>
  <c r="AA107" i="4"/>
  <c r="AA106" i="4"/>
  <c r="AA104" i="4"/>
  <c r="AA103" i="4"/>
  <c r="AA102" i="4"/>
  <c r="AA101" i="4"/>
  <c r="AA100" i="4"/>
  <c r="AA99" i="4"/>
  <c r="AA98" i="4"/>
  <c r="AA96" i="4"/>
  <c r="AA95" i="4"/>
  <c r="AA94" i="4"/>
  <c r="AA93" i="4"/>
  <c r="AA92" i="4"/>
  <c r="AA91" i="4"/>
  <c r="AA88" i="4"/>
  <c r="AA87" i="4"/>
  <c r="AA86" i="4"/>
  <c r="AA85" i="4"/>
  <c r="AA84" i="4"/>
  <c r="AA83" i="4"/>
  <c r="AA82" i="4"/>
  <c r="AA81" i="4"/>
  <c r="AA80" i="4"/>
  <c r="AA79" i="4"/>
  <c r="AA78" i="4"/>
  <c r="AA77" i="4"/>
  <c r="AA76" i="4"/>
  <c r="AA75" i="4"/>
  <c r="AA74" i="4"/>
  <c r="AA72" i="4"/>
  <c r="AA71" i="4"/>
  <c r="AA70" i="4"/>
  <c r="AA69" i="4"/>
  <c r="AA68" i="4"/>
  <c r="AA66" i="4"/>
  <c r="AA64" i="4"/>
  <c r="AA63" i="4"/>
  <c r="AA62" i="4"/>
  <c r="AA61" i="4"/>
  <c r="AA60" i="4"/>
  <c r="AA59" i="4"/>
  <c r="AA58" i="4"/>
  <c r="AA57" i="4"/>
  <c r="AA56" i="4"/>
  <c r="AA55" i="4"/>
  <c r="AA54" i="4"/>
  <c r="AA53" i="4"/>
  <c r="AA52" i="4"/>
  <c r="AA51" i="4"/>
  <c r="AA49" i="4"/>
  <c r="AA48" i="4"/>
  <c r="AA46" i="4"/>
  <c r="AA45" i="4"/>
  <c r="AA44" i="4"/>
  <c r="AA43" i="4"/>
  <c r="AA42" i="4"/>
  <c r="AA41" i="4"/>
  <c r="AA40" i="4"/>
  <c r="AA39" i="4"/>
  <c r="AA38" i="4"/>
  <c r="AA37" i="4"/>
  <c r="AA36" i="4"/>
  <c r="AA35" i="4"/>
  <c r="AA34" i="4"/>
  <c r="AA33" i="4"/>
  <c r="AA32" i="4"/>
  <c r="AA31" i="4"/>
  <c r="AA30" i="4"/>
  <c r="AA29" i="4"/>
  <c r="AA28" i="4"/>
  <c r="AA27" i="4"/>
  <c r="AA26" i="4"/>
  <c r="AA25" i="4"/>
  <c r="AA24" i="4"/>
  <c r="AA23" i="4"/>
  <c r="AA22" i="4"/>
  <c r="AA21" i="4"/>
  <c r="AA19" i="4"/>
  <c r="AA18" i="4"/>
  <c r="AA17" i="4"/>
  <c r="AA16" i="4"/>
  <c r="AA14" i="4"/>
  <c r="AA13" i="4"/>
  <c r="AA11" i="4"/>
  <c r="AA10" i="4"/>
  <c r="AA5" i="4"/>
  <c r="AA4" i="4"/>
  <c r="AA3" i="4"/>
  <c r="AA2" i="4"/>
  <c r="AA190" i="4" l="1"/>
  <c r="AA174" i="4"/>
  <c r="AA167" i="4"/>
  <c r="AA200" i="4"/>
  <c r="AA186" i="4"/>
  <c r="AA205" i="4"/>
  <c r="AA67" i="4"/>
  <c r="AA90" i="4"/>
  <c r="AA50" i="4"/>
  <c r="AA47" i="4"/>
  <c r="AA73" i="4"/>
  <c r="AA105" i="4"/>
  <c r="AA153" i="4"/>
  <c r="AA97" i="4"/>
  <c r="AA65" i="4"/>
  <c r="AA188" i="4"/>
  <c r="AA20" i="4"/>
  <c r="AA89" i="4"/>
  <c r="D18" i="11" l="1"/>
  <c r="Y145" i="4" l="1"/>
  <c r="Y135" i="4"/>
  <c r="Y127" i="4"/>
  <c r="Z127" i="4" s="1"/>
  <c r="Y119" i="4"/>
  <c r="Z119" i="4" s="1"/>
  <c r="Y111" i="4"/>
  <c r="Y124" i="4"/>
  <c r="Z124" i="4" s="1"/>
  <c r="Y144" i="4"/>
  <c r="Y134" i="4"/>
  <c r="Z134" i="4" s="1"/>
  <c r="Y126" i="4"/>
  <c r="Z126" i="4" s="1"/>
  <c r="Y118" i="4"/>
  <c r="Y110" i="4"/>
  <c r="Z110" i="4" s="1"/>
  <c r="Y150" i="4"/>
  <c r="Y142" i="4"/>
  <c r="Z142" i="4" s="1"/>
  <c r="Y133" i="4"/>
  <c r="Z133" i="4" s="1"/>
  <c r="Y125" i="4"/>
  <c r="Y117" i="4"/>
  <c r="Z117" i="4" s="1"/>
  <c r="Y116" i="4"/>
  <c r="Y149" i="4"/>
  <c r="Z149" i="4" s="1"/>
  <c r="Y131" i="4"/>
  <c r="Z131" i="4" s="1"/>
  <c r="Y123" i="4"/>
  <c r="Y115" i="4"/>
  <c r="Z115" i="4" s="1"/>
  <c r="Y148" i="4"/>
  <c r="Y138" i="4"/>
  <c r="Y130" i="4"/>
  <c r="Z130" i="4" s="1"/>
  <c r="Y122" i="4"/>
  <c r="Z122" i="4" s="1"/>
  <c r="Y114" i="4"/>
  <c r="Y147" i="4"/>
  <c r="Z147" i="4" s="1"/>
  <c r="Y137" i="4"/>
  <c r="Z137" i="4" s="1"/>
  <c r="Y129" i="4"/>
  <c r="Y121" i="4"/>
  <c r="Y113" i="4"/>
  <c r="Z113" i="4" s="1"/>
  <c r="Y132" i="4"/>
  <c r="Y146" i="4"/>
  <c r="Z146" i="4" s="1"/>
  <c r="Y136" i="4"/>
  <c r="Z136" i="4" s="1"/>
  <c r="Y128" i="4"/>
  <c r="Z128" i="4" s="1"/>
  <c r="Y120" i="4"/>
  <c r="Y112" i="4"/>
  <c r="Z112" i="4" s="1"/>
  <c r="Y141" i="4"/>
  <c r="Z141" i="4" s="1"/>
  <c r="AA126" i="4"/>
  <c r="AA112" i="4"/>
  <c r="Z319" i="4" l="1"/>
  <c r="AA115" i="4"/>
  <c r="AA147" i="4"/>
  <c r="AA117" i="4"/>
  <c r="AA113" i="4"/>
  <c r="AA119" i="4"/>
  <c r="AA110" i="4"/>
  <c r="AA124" i="4"/>
  <c r="AA134" i="4"/>
  <c r="AA146" i="4"/>
  <c r="AA149" i="4"/>
  <c r="AA133" i="4"/>
  <c r="AA319" i="4" l="1"/>
</calcChain>
</file>

<file path=xl/sharedStrings.xml><?xml version="1.0" encoding="utf-8"?>
<sst xmlns="http://schemas.openxmlformats.org/spreadsheetml/2006/main" count="3869" uniqueCount="2029">
  <si>
    <t>type</t>
  </si>
  <si>
    <t>name</t>
  </si>
  <si>
    <t>label::English (en)</t>
  </si>
  <si>
    <t>label::French (fr)</t>
  </si>
  <si>
    <t>label::</t>
  </si>
  <si>
    <t>hint::English (en)</t>
  </si>
  <si>
    <t>hint::French (fr)</t>
  </si>
  <si>
    <t>hint::</t>
  </si>
  <si>
    <t>required</t>
  </si>
  <si>
    <t>appearance</t>
  </si>
  <si>
    <t>constraint</t>
  </si>
  <si>
    <t>constraint_message::English (en)</t>
  </si>
  <si>
    <t>constraint_message::French (fr)</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</si>
  <si>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</si>
  <si>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</si>
  <si>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</si>
  <si>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</si>
  <si>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</si>
  <si>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</si>
  <si>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</si>
  <si>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</si>
  <si>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</si>
  <si>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</si>
  <si>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</si>
  <si>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</si>
  <si>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</si>
  <si>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</si>
  <si>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</si>
  <si>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</si>
  <si>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</si>
  <si>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</si>
  <si>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</si>
  <si>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</si>
  <si>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enumteam</t>
  </si>
  <si>
    <t>enum_team</t>
  </si>
  <si>
    <t>Enumerator team number or code</t>
  </si>
  <si>
    <t>Numéro ou code de l'équipe d'enquêteurs</t>
  </si>
  <si>
    <t>select_one enumerator</t>
  </si>
  <si>
    <t>enumerator</t>
  </si>
  <si>
    <t>Name of enumerator</t>
  </si>
  <si>
    <t>Nom de l'énumérateur</t>
  </si>
  <si>
    <t>true</t>
  </si>
  <si>
    <t>my_filter_admin=${enum_team}</t>
  </si>
  <si>
    <t>yes</t>
  </si>
  <si>
    <t>enumerator_</t>
  </si>
  <si>
    <t>jr:choice-name(${enumerator},'${enumerator}')</t>
  </si>
  <si>
    <t>note</t>
  </si>
  <si>
    <t>introduction</t>
  </si>
  <si>
    <r>
      <t xml:space="preserve">Hello sir/ma'am, my name is ${enumerator_}. On behalf of the humanitarian organization called Food and Agriculture Organization of the United Nations (FAO), we are conducting a survey on households' ability to access food in your area and the impact of COVID-19 pandemic. I would like to ask you some questions about your household.
The survey usually takes </t>
    </r>
    <r>
      <rPr>
        <b/>
        <sz val="11"/>
        <color rgb="FFC00000"/>
        <rFont val="Calibri"/>
        <family val="2"/>
        <scheme val="minor"/>
      </rPr>
      <t>20/30 minutes</t>
    </r>
    <r>
      <rPr>
        <sz val="11"/>
        <color theme="9" tint="-0.249977111117893"/>
        <rFont val="Calibri"/>
        <family val="2"/>
        <scheme val="minor"/>
      </rPr>
      <t xml:space="preserve"> </t>
    </r>
    <r>
      <rPr>
        <sz val="11"/>
        <color theme="1"/>
        <rFont val="Calibri"/>
        <family val="2"/>
        <scheme val="minor"/>
      </rPr>
      <t xml:space="preserve">to complete. Any information that you provide will be kept strictly confidential, only used for the purpose of the survey and will not be shown to other people. No personal identifying information will be collected.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sz val="11"/>
        <color rgb="FFC00000"/>
        <rFont val="Calibri"/>
        <family val="2"/>
        <scheme val="minor"/>
      </rPr>
      <t xml:space="preserve">
</t>
    </r>
    <r>
      <rPr>
        <sz val="11"/>
        <color theme="1"/>
        <rFont val="Calibri"/>
        <family val="2"/>
        <scheme val="minor"/>
      </rPr>
      <t xml:space="preserve">
Do you have any questions?</t>
    </r>
  </si>
  <si>
    <r>
      <t xml:space="preserve">Bonjour Monsieur/Madame, mon nom est ${enumerator_}. Nous sommes ici de la part de l'organisation humanitaire, l'Organisation des Nations Unies pour l'alimentation et l'agriculture (la FAO). Nous menons une enquête sur la capacité des ménages à accéder à la nourriture dans votre région et sur l'impact de la pandémie de covid-19. J'aimerais vous poser quelques questions sur votre ménage.
L'enquête dure généralement entre </t>
    </r>
    <r>
      <rPr>
        <b/>
        <sz val="11"/>
        <color rgb="FFC00000"/>
        <rFont val="Calibri"/>
        <family val="2"/>
        <scheme val="minor"/>
      </rPr>
      <t>15 et 20 minutes</t>
    </r>
    <r>
      <rPr>
        <sz val="11"/>
        <rFont val="Calibri"/>
        <family val="2"/>
        <scheme val="minor"/>
      </rPr>
      <t>. Toutes les informations que vous fournirez resteront strictement confidentielles; elles ne seront utilisées que pour cette enquête et ne seront pas communiquées à d'autres personnes. Aucune information permettant de vous identifier personnellement ne sera recueillie.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Avez-vous des questions?</t>
    </r>
  </si>
  <si>
    <t>[INSTRUCTIONS: ADDRESS QUESTIONS FROM RESPONDENT, IF ANY.]</t>
  </si>
  <si>
    <t>[INSTRUCTIONS :  RÉPONDRE, LE CAS ÉCHÉANT, AUX QUESTIONS DE LA PERSONNE INTERROGÉE.]</t>
  </si>
  <si>
    <t>false</t>
  </si>
  <si>
    <t>no</t>
  </si>
  <si>
    <t>select_one participate</t>
  </si>
  <si>
    <t>resp_agree</t>
  </si>
  <si>
    <t>Are you interested in participating in this survey?</t>
  </si>
  <si>
    <t xml:space="preserve">Souhaitez-vous participer à cette enquête ? </t>
  </si>
  <si>
    <t>geopoint</t>
  </si>
  <si>
    <t>gps_1</t>
  </si>
  <si>
    <t xml:space="preserve">GPS INSTRUCTION: Take a GPS measurement. </t>
  </si>
  <si>
    <t>INSTRUCTION : Récupérer les coordonnées GPS.</t>
  </si>
  <si>
    <t>NOTE: It might take a few minutes for the device to register the GPS. Wait for it to load. If it takes longer than 3 minutes, skip to the next question. You can take the GPS reading in the end.</t>
  </si>
  <si>
    <t>REMARQUE : L'enregistrement des coordonnées peut prendre quelques temps - il faudra peut-être patienter quelques minutes. Si cela prend plus de 3 minutes, passez à la question suivante. Vous pouvez récupérer les coordonnées GPS à la fin.</t>
  </si>
  <si>
    <t>${resp_agree} = '1'</t>
  </si>
  <si>
    <t>Refusal</t>
  </si>
  <si>
    <t>Thank you for your time, you will be removed from today's survey.</t>
  </si>
  <si>
    <t>Merci pour votre temps. Vous serez écarté de l'enquête d'aujourd'hui.</t>
  </si>
  <si>
    <t>${resp_agree} = '2'</t>
  </si>
  <si>
    <t/>
  </si>
  <si>
    <t>begin_group</t>
  </si>
  <si>
    <t>eligibility</t>
  </si>
  <si>
    <t>ELIGIBILITY CRITERIA</t>
  </si>
  <si>
    <t>CRITÈRES D'ÉLIGIBILITÉ</t>
  </si>
  <si>
    <t>text</t>
  </si>
  <si>
    <t>resp_firstname</t>
  </si>
  <si>
    <t>What is your first name?</t>
  </si>
  <si>
    <t>Quel est votre prénom?</t>
  </si>
  <si>
    <t>[INSTRUCTIONS: RECORD THE RESPONDENT'S FIRST NAME. ENTER 999 FOR REFUSED]</t>
  </si>
  <si>
    <t>[INSTRUCTIONS :  ENREGISTRER LE PRÉNOM DE LA PERSONNE INTÉRROGÉE. SAISIR 999 POUR REFUSÉ.]</t>
  </si>
  <si>
    <t>resp_lastname</t>
  </si>
  <si>
    <t>What is your last name?</t>
  </si>
  <si>
    <t>Quel est votre nom de famille?</t>
  </si>
  <si>
    <t>[INSTRUCTIONS: RECORD THE RESPONDENT'S LAST NAME. ENTER 999 FOR REFUSED]</t>
  </si>
  <si>
    <t>integer</t>
  </si>
  <si>
    <t>resp_age</t>
  </si>
  <si>
    <t>How old are you?</t>
  </si>
  <si>
    <t>Quel âge avez-vous (en années)?</t>
  </si>
  <si>
    <t>[INSTRUCTIONS: RECORD AGE IN NUMBER OF YEARS. ROUND UP TO NEAREST WHOLE NUMBER. IF THE RESPONDENT GIVES BIRTH YEAR, REPEAT THE QUESTION.]</t>
  </si>
  <si>
    <t>[INSTRUCTIONS :  ENREGISTRER L'ÂGE EN ANNÉES. ARRONDIR AU NOMBRE ENTIER LE PLUS PROCHE. SI LE RÉPONDANT DONNE SON ANNÉE DE NAISSANCE, RÉPÉTER LA QUESTION. SAISIR 00 pour JE NE SAIS PAS.]</t>
  </si>
  <si>
    <r>
      <t xml:space="preserve">. &gt;= </t>
    </r>
    <r>
      <rPr>
        <b/>
        <sz val="11"/>
        <color rgb="FF7030A0"/>
        <rFont val="Calibri"/>
        <family val="2"/>
        <scheme val="minor"/>
      </rPr>
      <t>#age#</t>
    </r>
    <r>
      <rPr>
        <sz val="11"/>
        <color theme="1"/>
        <rFont val="Calibri"/>
        <family val="2"/>
        <scheme val="minor"/>
      </rPr>
      <t xml:space="preserve"> and . &lt;= 100</t>
    </r>
  </si>
  <si>
    <t>select_one gender</t>
  </si>
  <si>
    <t>resp_gender</t>
  </si>
  <si>
    <t>What is the gender of the respondent?</t>
  </si>
  <si>
    <t xml:space="preserve">Quel est le sexe du répondant?  </t>
  </si>
  <si>
    <t>[INSTRUCTIONS: DO NOT ASK THIS QUESTIONNAIRE. LISTEN TO THE VOICE AND CHECK THE CORRECT BOX.]</t>
  </si>
  <si>
    <t>[INSTRUCTIONS :  ÉCOUTER LA VOIX ET DÉTERMINER SI LE RÉPONDANT EST UN HOMME OU UNE FEMME.]</t>
  </si>
  <si>
    <t>phone_number_personal</t>
  </si>
  <si>
    <t>What is your phone number?</t>
  </si>
  <si>
    <t>Quel est votre numéro de téléphone?</t>
  </si>
  <si>
    <t>numbers</t>
  </si>
  <si>
    <r>
      <rPr>
        <sz val="11"/>
        <color theme="6" tint="-0.499984740745262"/>
        <rFont val="Calibri"/>
        <family val="2"/>
        <scheme val="minor"/>
      </rPr>
      <t>regex(.,’^[0-9]{</t>
    </r>
    <r>
      <rPr>
        <b/>
        <sz val="11"/>
        <color rgb="FF7030A0"/>
        <rFont val="Calibri"/>
        <family val="2"/>
        <scheme val="minor"/>
      </rPr>
      <t>#number of digits#</t>
    </r>
    <r>
      <rPr>
        <sz val="11"/>
        <color theme="6" tint="-0.499984740745262"/>
        <rFont val="Calibri"/>
        <family val="2"/>
        <scheme val="minor"/>
      </rPr>
      <t>}$’)</t>
    </r>
  </si>
  <si>
    <t>Please enter the telephone number in the correct format, e.g. #phone number#</t>
  </si>
  <si>
    <t>yes - panel</t>
  </si>
  <si>
    <t>select_one contact_info</t>
  </si>
  <si>
    <t>contact_2</t>
  </si>
  <si>
    <t>Can you give me an additonal phone number belonging to you, a relative or a friend at which you can be reached?</t>
  </si>
  <si>
    <t>Pouvez-vous me donner un autre numéro de téléphone, le vôtre, celui d'un parent ou d'un ami, auquel vous pouvez être joint ?</t>
  </si>
  <si>
    <t>[INSTRUCTIONS: SINGLE RESPONSE.]</t>
  </si>
  <si>
    <t>[INSTRUCTIONS :  RÉPONSE UNIQUE.]</t>
  </si>
  <si>
    <t>phone_number_2</t>
  </si>
  <si>
    <t>What is the additional phone number?</t>
  </si>
  <si>
    <t>Quel est cet autre numéro de téléphone?</t>
  </si>
  <si>
    <t xml:space="preserve">${contact_2} = '1' or ${contact_2} = '2' </t>
  </si>
  <si>
    <t>contact_2_name</t>
  </si>
  <si>
    <t>What is the name of the contact?</t>
  </si>
  <si>
    <t>Quel est le nom du contact associé à ce numéro de téléphone?</t>
  </si>
  <si>
    <t xml:space="preserve">${contact_2} = '2' </t>
  </si>
  <si>
    <t>contact_3</t>
  </si>
  <si>
    <t xml:space="preserve">${contact_2} ='1' or ${contact_2} = '2' </t>
  </si>
  <si>
    <t>phone_number_3</t>
  </si>
  <si>
    <t xml:space="preserve">${contact_3} = '1' or ${contact_3} = '2' </t>
  </si>
  <si>
    <t>contact_3_name</t>
  </si>
  <si>
    <t xml:space="preserve">${contact_3} = '2' </t>
  </si>
  <si>
    <r>
      <t xml:space="preserve">select_one </t>
    </r>
    <r>
      <rPr>
        <b/>
        <sz val="11"/>
        <color rgb="FF7030A0"/>
        <rFont val="Calibri"/>
        <family val="2"/>
        <scheme val="minor"/>
      </rPr>
      <t>#ADMIN1#</t>
    </r>
  </si>
  <si>
    <t>adm1_pcode</t>
  </si>
  <si>
    <r>
      <t>Currently, in which</t>
    </r>
    <r>
      <rPr>
        <b/>
        <sz val="11"/>
        <color rgb="FF7030A0"/>
        <rFont val="Calibri"/>
        <family val="2"/>
        <scheme val="minor"/>
      </rPr>
      <t xml:space="preserve"> #ADMIN1#</t>
    </r>
    <r>
      <rPr>
        <sz val="11"/>
        <color theme="1"/>
        <rFont val="Calibri"/>
        <family val="2"/>
        <scheme val="minor"/>
      </rPr>
      <t xml:space="preserve"> does your household reside?</t>
    </r>
  </si>
  <si>
    <r>
      <t>Actuellement, dans quel #</t>
    </r>
    <r>
      <rPr>
        <b/>
        <sz val="11"/>
        <color rgb="FF7030A0"/>
        <rFont val="Calibri"/>
        <family val="2"/>
        <scheme val="minor"/>
      </rPr>
      <t>ADMIN1#</t>
    </r>
    <r>
      <rPr>
        <sz val="11"/>
        <rFont val="Calibri"/>
        <family val="2"/>
        <scheme val="minor"/>
      </rPr>
      <t xml:space="preserve"> votre ménage vit-il?</t>
    </r>
  </si>
  <si>
    <t>[INSTRUCTIONS: SINGLE RESPONSE.]
[HINT: HOUSEHOLD CONSISTS OF ALL MEMBERS LIVING TOGETHER, SHARING RESOURCES &amp; EATING FROM THE SAME POT.]</t>
  </si>
  <si>
    <t>[INSTRUCTIONS :  RÉPONSE UNIQUE.]
[CONSEIL: LE MÉNAGE EST COMPOSÉ DE TOUTES LES PERSONNES VIVANT ENSEMBLE, PARTAGEANT LEURS RESSOURCES ET MANGEANT DANS UNE MARMITE COMMUNE.]</t>
  </si>
  <si>
    <t>minimal</t>
  </si>
  <si>
    <t>adm1_name</t>
  </si>
  <si>
    <t>jr:choice-name(${adm1_pcode},'${adm1_pcode}')</t>
  </si>
  <si>
    <r>
      <t xml:space="preserve">select_one </t>
    </r>
    <r>
      <rPr>
        <b/>
        <sz val="11"/>
        <color rgb="FF7030A0"/>
        <rFont val="Calibri"/>
        <family val="2"/>
        <scheme val="minor"/>
      </rPr>
      <t>#ADMIN2#</t>
    </r>
  </si>
  <si>
    <t xml:space="preserve">adm2_pcode </t>
  </si>
  <si>
    <r>
      <t xml:space="preserve">Currently, in which </t>
    </r>
    <r>
      <rPr>
        <b/>
        <sz val="11"/>
        <color rgb="FF7030A0"/>
        <rFont val="Calibri"/>
        <family val="2"/>
        <scheme val="minor"/>
      </rPr>
      <t xml:space="preserve">#ADMIN2# </t>
    </r>
    <r>
      <rPr>
        <sz val="11"/>
        <color theme="1"/>
        <rFont val="Calibri"/>
        <family val="2"/>
        <scheme val="minor"/>
      </rPr>
      <t>does your household reside?</t>
    </r>
  </si>
  <si>
    <r>
      <t>Actuellement, dans quel #</t>
    </r>
    <r>
      <rPr>
        <b/>
        <sz val="11"/>
        <color rgb="FF7030A0"/>
        <rFont val="Calibri"/>
        <family val="2"/>
        <scheme val="minor"/>
      </rPr>
      <t>ADMIN2#</t>
    </r>
    <r>
      <rPr>
        <sz val="11"/>
        <rFont val="Calibri"/>
        <family val="2"/>
        <scheme val="minor"/>
      </rPr>
      <t xml:space="preserve"> votre ménage vit-il ?</t>
    </r>
  </si>
  <si>
    <t>my_filter_admin=${adm1_pcode}</t>
  </si>
  <si>
    <t>adm2_name</t>
  </si>
  <si>
    <t>jr:choice-name(${adm2_pcode},'${adm2_pcode}')</t>
  </si>
  <si>
    <t>select_one agricactivity</t>
  </si>
  <si>
    <t>hh_agricactivity</t>
  </si>
  <si>
    <t>Has anybody in your household been producing crops or livestock for household consumption or for sale in the past 12 months, including household members currently away for transhumance?</t>
  </si>
  <si>
    <t>Est-ce que quelqu'un dans votre ménage a produit des cultures ou du bétail pour la consommation du ménage ou pour la vente au cours des 12 derniers mois, y compris des membres du ménage actuellement partis pour la transhumance?</t>
  </si>
  <si>
    <t>[INSTRUCTIONS: SINGLE RESPONSE. THIS IS THE MAIN SCREENING QUESTION. THE RESPONDENT WILL HAVE TO ANSWER. DON'T FORGET TO PROBE ABOUT TRANSHUMANCE.] 
[HINT: HOUSEHOLD CONSISTS OF ALL MEMBERS LIVING TOGETHER, SHARING RESOURCES &amp; EATING FROM THE SAME POT.]</t>
  </si>
  <si>
    <t>[INSTRUCTIONS :  RÉPONSE UNIQUE. IL S'AGIT DE LA PRINCIPALE QUESTION DE SÉLECTION. LA PERSONNE INTERROGÉE DOIT Y RÉPONDRE. NE PAS OUBLIER DE MENTIONNER LA TRANSHUMANCE].
[CONSEIL: LE MÉNAGE EST COMPOSÉ DE TOUTES LES PERSONNES VIVANT ENSEMBLE, PARTAGEANT LEURS RESSOURCES ET MANGEANT DANS UNE MARMITE COMMUNE.]</t>
  </si>
  <si>
    <t>end_group</t>
  </si>
  <si>
    <t>generalInfo</t>
  </si>
  <si>
    <t>GENERAL INFORMATION</t>
  </si>
  <si>
    <t>INFORMATIONS GÉNÉRALES</t>
  </si>
  <si>
    <t>${resp_agree} = '1' and ${hh_agricactivity} != '5' and ${hh_agricactivity} != '6'</t>
  </si>
  <si>
    <t>hh_gender</t>
  </si>
  <si>
    <t xml:space="preserve">Is the head of your household male or female? </t>
  </si>
  <si>
    <t>Le chef de votre ménage est-il un homme ou une femme ?</t>
  </si>
  <si>
    <t>select_one edu</t>
  </si>
  <si>
    <t>hh_education</t>
  </si>
  <si>
    <t xml:space="preserve">What is the educational level attained by the head of household? </t>
  </si>
  <si>
    <t>Quel est le niveau d'éducation du chef de votre ménage ?</t>
  </si>
  <si>
    <t>select_one water</t>
  </si>
  <si>
    <t>hh_wealth_water</t>
  </si>
  <si>
    <t>Where does the water that you drink at home come from?</t>
  </si>
  <si>
    <t>Où procurez-vous habituellement l'eau que vous buvez dans votre foyer ?</t>
  </si>
  <si>
    <t>select_one toilet</t>
  </si>
  <si>
    <t>hh_wealth_toilet</t>
  </si>
  <si>
    <t>Where do household members typically go to use the toilet?</t>
  </si>
  <si>
    <t>Où vous rendez-vous généralement, vous et les membres de votre ménage, pour aller aux toilettes ?</t>
  </si>
  <si>
    <t>select_one light</t>
  </si>
  <si>
    <t>hh_wealth_light</t>
  </si>
  <si>
    <t>What is the main source of light in your dwelling?</t>
  </si>
  <si>
    <t>Quelle est la principale source de lumière de votre logement ?</t>
  </si>
  <si>
    <t>select_one residence</t>
  </si>
  <si>
    <t>hh_residencetype</t>
  </si>
  <si>
    <t>Which in the following types of residence best describes your residence?</t>
  </si>
  <si>
    <t>Parmi les propositions suivantes, laquelle décrit le mieux votre résidence ?</t>
  </si>
  <si>
    <t>[INSTRUCTIONS: READ OUT THE OPTIONS. SINGLE RESPONSE.]
[HINT: IF RESPONDENT IS ONLY AWAY FROM THE HOUSEHOLD FOR SHORT SEASONAL WORK (&lt;6 MONTHS) OR TRANSHUMANCE, MAKE SURE TO REFER TO THEIR HOUSEHOLD BACK WHERE THEY TYPICALLY ARE LOCATED.]</t>
  </si>
  <si>
    <t>[INSTRUCTIONS :  LIRE LES OPTIONS, RÉPONSE UNIQUE].
[CONSEIL: SI LA PERSONNE INTERROGÉE N'EST ÉLOIGNÉE DU FOYER QUE POUR UN TRAVAIL SAISONNIER DE COURTE DURÉE (&lt;6 MOIS) OU POUR LA TRANSHUMANCE,  FAIRE RÉFÉRENCE AU FOYER DE RETOUR OÙ ELLE VIT HABITUELLEMENT].</t>
  </si>
  <si>
    <t>hh_size</t>
  </si>
  <si>
    <t>How many people are part of the household?</t>
  </si>
  <si>
    <t>De combien de personnes est composé votre ménage ?</t>
  </si>
  <si>
    <t>[INSTRUCTIONS: RECORD NUMBER OF MEMBERS IN HOUSEHOLD. ENTER 888 FOR DON'T KNOW &amp; 999 FOR REFUSED.]</t>
  </si>
  <si>
    <t xml:space="preserve">(. &gt;= 1 and . &lt;= 50) or . = 888 or . = 999 </t>
  </si>
  <si>
    <t>select_multiple asset_prod</t>
  </si>
  <si>
    <t>hh_asset_prod</t>
  </si>
  <si>
    <t xml:space="preserve">Does your household own any of the following production assets? </t>
  </si>
  <si>
    <t>Votre ménage possède-t-il l'un des actifs productifs suivants ?</t>
  </si>
  <si>
    <t>[INSTRUCTIONS: MULTIPLE RESPONSES.]</t>
  </si>
  <si>
    <t xml:space="preserve">[INSTRUCTIONS :  PLUSIEURS RÉPONSE POSSIBLES.] </t>
  </si>
  <si>
    <t>if(selected(.,'7') or selected(.,'8'), count-selected(.) = 1, count-selected(.) &gt;= 1)</t>
  </si>
  <si>
    <t>select_multiple asset_transp</t>
  </si>
  <si>
    <t>hh_asset_transp</t>
  </si>
  <si>
    <t xml:space="preserve">Does you or anyone in your household own any of the following transportation assets? </t>
  </si>
  <si>
    <t>Est-ce que vous ou un membre de votre ménage possède un des véhicules suivants ?</t>
  </si>
  <si>
    <t>select_one maritalstat</t>
  </si>
  <si>
    <t>hh_maritalstat</t>
  </si>
  <si>
    <t xml:space="preserve">What is the head of household’s current marital status? </t>
  </si>
  <si>
    <t>Quel est le status marital actuel du chef de ménage ?</t>
  </si>
  <si>
    <t>select_one agegroup</t>
  </si>
  <si>
    <t>hh_age</t>
  </si>
  <si>
    <t xml:space="preserve">How old is the head of household? </t>
  </si>
  <si>
    <t>Quel âge du chef de famille ?</t>
  </si>
  <si>
    <t>Income_Shocks_group</t>
  </si>
  <si>
    <t>INCOME SOURCES, LIVELIHOODS AND SHOCKS</t>
  </si>
  <si>
    <t>SOURCES DE REVENUS, MOYENS DE SUBSISTANCE ET CHOCS</t>
  </si>
  <si>
    <t>select_one incomesource1</t>
  </si>
  <si>
    <t>income_main</t>
  </si>
  <si>
    <t>What has been your household's main source of income in the past 3 months?</t>
  </si>
  <si>
    <t>Quelle a été la principale source de revenu de votre ménage au cours des trois derniers mois ?</t>
  </si>
  <si>
    <t>[INSTRUCTIONS: SINGLE RESPONSE. REFUSED OPTIONS SHOULD BE AVOIDED AS MUCH AS POSSIBLE.]</t>
  </si>
  <si>
    <t>[INSTRUCTIONS :  RÉPONSE UNIQUE. L'OPTION «REFUSÉ» DOIT ÊTRE, AUTANT QUE POSSIBLE, ÉVITÉE.]</t>
  </si>
  <si>
    <t>incomemain</t>
  </si>
  <si>
    <t>jr:choice-name(${income_main},'${income_main}')</t>
  </si>
  <si>
    <t>select_one yes_no</t>
  </si>
  <si>
    <t>income_main_cropcheck</t>
  </si>
  <si>
    <t xml:space="preserve">Are the crops that you sell produced by you or anyone in your household? </t>
  </si>
  <si>
    <t>Les cultures que vous vendez sont-elles produites par vous ou par un des membres de votre ménage ?</t>
  </si>
  <si>
    <t xml:space="preserve">${income_main} = '1' or ${income_main} = '2' or ${income_main} = '3' </t>
  </si>
  <si>
    <t>income_main_lscheck</t>
  </si>
  <si>
    <t xml:space="preserve">Are the livestock and livestock products that you sell produced by you or anyone in your household? </t>
  </si>
  <si>
    <t>Le bétail et les produits du bétail que vous vendez sont-ils produits par vous par un des membres de votre ménage ?</t>
  </si>
  <si>
    <t>${income_main} = '4'</t>
  </si>
  <si>
    <t>income_main_fishcheck</t>
  </si>
  <si>
    <t xml:space="preserve">Are the fish products that you sell produced by you or anyone in your household? </t>
  </si>
  <si>
    <t>Les produits de la pêche que vous vendez sont-ils produits par vous ou par un membre de votre ménage ?</t>
  </si>
  <si>
    <t>${income_main} = '5'</t>
  </si>
  <si>
    <t>income_main_gender</t>
  </si>
  <si>
    <t xml:space="preserve">Is the person earning from ${incomemain} male or female? </t>
  </si>
  <si>
    <t>La personne qui perçoit ${incomemain} est-elle un homme ou une femme ?</t>
  </si>
  <si>
    <t xml:space="preserve">${income_main} != '19' and ${income_main} != '20' and ${income_main} != '21' </t>
  </si>
  <si>
    <t>decimal</t>
  </si>
  <si>
    <t>income_main_amount</t>
  </si>
  <si>
    <r>
      <t xml:space="preserve">How much was earned (in </t>
    </r>
    <r>
      <rPr>
        <b/>
        <sz val="11"/>
        <color rgb="FF7030A0"/>
        <rFont val="Calibri"/>
        <family val="2"/>
        <scheme val="minor"/>
      </rPr>
      <t>#currency#</t>
    </r>
    <r>
      <rPr>
        <sz val="11"/>
        <color theme="0" tint="-0.34998626667073579"/>
        <rFont val="Calibri"/>
        <family val="2"/>
        <scheme val="minor"/>
      </rPr>
      <t>) from your main income source, ${incomemain}, in the past 3 months ?</t>
    </r>
  </si>
  <si>
    <r>
      <rPr>
        <sz val="11"/>
        <color theme="0" tint="-0.34998626667073579"/>
        <rFont val="Calibri"/>
        <family val="2"/>
        <scheme val="minor"/>
      </rPr>
      <t>Quelle somme (en</t>
    </r>
    <r>
      <rPr>
        <sz val="11"/>
        <rFont val="Calibri"/>
        <family val="2"/>
        <scheme val="minor"/>
      </rPr>
      <t xml:space="preserve"> </t>
    </r>
    <r>
      <rPr>
        <b/>
        <sz val="11"/>
        <color rgb="FF7030A0"/>
        <rFont val="Calibri"/>
        <family val="2"/>
        <scheme val="minor"/>
      </rPr>
      <t>#devise#</t>
    </r>
    <r>
      <rPr>
        <sz val="11"/>
        <color theme="0" tint="-0.34998626667073579"/>
        <rFont val="Calibri"/>
        <family val="2"/>
        <scheme val="minor"/>
      </rPr>
      <t xml:space="preserve"> a rapporté votre principale source de revenu, ${incomemain}, au cours des trois derniers mois ?</t>
    </r>
  </si>
  <si>
    <t>[INSTRUCTIONS: DOUBLE CHECK FOR OUTLIERS &amp; MAKE SURE THE INFORMATION IS RECORDED IN THE CORRECT CURRENCY. ENTER 888 FOR DON'T KNOW AND 999 FOR REFUSED.]</t>
  </si>
  <si>
    <t>[INSTRUCTIONS :  VÉRIFIER QUE LA RÉPONSE N’EST PAS INCOHÉRENTE ET QU'ELLE EST ENREGISTRÉE DANS LA BONNE DEVISE. SAISIR 888 POUR «NE SAIT PAS» ET 999 POUR «REFUSÉ».]</t>
  </si>
  <si>
    <r>
      <t xml:space="preserve">. &gt; </t>
    </r>
    <r>
      <rPr>
        <b/>
        <sz val="11"/>
        <color rgb="FF7030A0"/>
        <rFont val="Calibri"/>
        <family val="2"/>
        <scheme val="minor"/>
      </rPr>
      <t>#MIN AMOUNT#</t>
    </r>
  </si>
  <si>
    <t>select_one continue</t>
  </si>
  <si>
    <t>income_main_amount_conf</t>
  </si>
  <si>
    <t>Can you confirm the amount of income you just stated is correct?</t>
  </si>
  <si>
    <t>Pouvez-vous confirmer que le montant que vous venez de déclarer est correct ?</t>
  </si>
  <si>
    <t>[INSTRUCTIONS: IF THE RESPONDENT CONFIRMS THAT THE INCOME AMOUNT EARNED FROM THIS INCOME SOURCE OVER THE PAST 3 MONTH IS INDEED OVER #THRESHOLD#, CLICK ON CONTINUE. OTHERWISE, GO BACK AND CHANGE THE AMOUNT ENTERED.]</t>
  </si>
  <si>
    <t>[INSTRUCTIONS :  SI LE RÉPONDANT CONFIRME QUE LE MONTANT ISSU DE CETTE SOURCE DE REVENU AU COURS DES TROIS DERNIERS MOIS EST BIEN SUPÉRIEUR AU #THRESHOLD#, CLIQUER SUR CONTINUER. SINON, REVENIR EN ARRIÈRE ET MODIFIER LE MONTANT SAISI.]</t>
  </si>
  <si>
    <r>
      <t xml:space="preserve">${income_main_amount} &gt; </t>
    </r>
    <r>
      <rPr>
        <b/>
        <sz val="11"/>
        <color rgb="FF7030A0"/>
        <rFont val="Calibri"/>
        <family val="2"/>
        <scheme val="minor"/>
      </rPr>
      <t>#THRESHOLD#</t>
    </r>
    <r>
      <rPr>
        <sz val="11"/>
        <color theme="0" tint="-0.34998626667073579"/>
        <rFont val="Calibri"/>
        <family val="2"/>
        <scheme val="minor"/>
      </rPr>
      <t xml:space="preserve"> and (${income_main} != '19' and ${income_main} != '20' and ${income_main} != '21') </t>
    </r>
  </si>
  <si>
    <t>select_one change</t>
  </si>
  <si>
    <t>income_main_comp</t>
  </si>
  <si>
    <r>
      <t xml:space="preserve">Has your household's income from ${incomemain} changed in the last 3 months compared to the same period of </t>
    </r>
    <r>
      <rPr>
        <b/>
        <sz val="11"/>
        <color rgb="FF7030A0"/>
        <rFont val="Calibri (Body)"/>
      </rPr>
      <t>#reference year#</t>
    </r>
    <r>
      <rPr>
        <sz val="11"/>
        <rFont val="Calibri"/>
        <family val="2"/>
        <scheme val="minor"/>
      </rPr>
      <t xml:space="preserve">? </t>
    </r>
  </si>
  <si>
    <r>
      <t xml:space="preserve">Le revenu de votre ménage provenant de ${incomemain} a-t-il changé au cours des trois derniers mois par rapport à la même periode de </t>
    </r>
    <r>
      <rPr>
        <b/>
        <sz val="11"/>
        <color rgb="FF7030A0"/>
        <rFont val="Calibri (Body)"/>
      </rPr>
      <t xml:space="preserve">#reference year FR# </t>
    </r>
    <r>
      <rPr>
        <sz val="11"/>
        <rFont val="Calibri"/>
        <family val="2"/>
        <scheme val="minor"/>
      </rPr>
      <t>?</t>
    </r>
  </si>
  <si>
    <t>select_one incomesource2</t>
  </si>
  <si>
    <t>income_sec</t>
  </si>
  <si>
    <t>What has been your household's second most important source of income in the past 3 months?</t>
  </si>
  <si>
    <t>Quelle a été la deuxième source principale de revenu de votre ménage au cours des trois derniers mois ?</t>
  </si>
  <si>
    <t>[INSTRUCTIONS: SINGLE RESPONSE. DON'T KNOW AND REFUSED OPTIONS SHOULD BE AVOIDED AS MUCH AS POSSIBLE.]</t>
  </si>
  <si>
    <t>[INSTRUCTIONS :  RÉPONSE UNIQUE. LES OPTIONS «NE SAIT PAS» ET «REFUSÉ» DOIVENT ÊTRE ÉVITÉES AUTANT QUE POSSIBLE].</t>
  </si>
  <si>
    <t>not(selected(${income_main}, name))</t>
  </si>
  <si>
    <t>incomesec</t>
  </si>
  <si>
    <t>jr:choice-name(${income_sec},'${income_sec}')</t>
  </si>
  <si>
    <t>income_sec_cropcheck</t>
  </si>
  <si>
    <t xml:space="preserve">${income_sec} = '1' or ${income_sec} = '2' or ${income_sec} = '3' </t>
  </si>
  <si>
    <t>income_sec_lscheck</t>
  </si>
  <si>
    <t>${income_sec} = '4'</t>
  </si>
  <si>
    <t>income_sec_fishcheck</t>
  </si>
  <si>
    <t>${income_sec} = '5'</t>
  </si>
  <si>
    <t>income_sec_gender</t>
  </si>
  <si>
    <t xml:space="preserve">Is the person earning from ${incomesec} male or female? </t>
  </si>
  <si>
    <t>La personne qui perçoit ${incomesec} est-elle un homme ou une femme ?</t>
  </si>
  <si>
    <t xml:space="preserve">${income_main} != '19' and ${income_main} != '20' and ${income_main} != '21' and ${income_sec} != '19' and ${income_sec} != '20' and ${income_sec} != '21' </t>
  </si>
  <si>
    <t>income_sec_amount</t>
  </si>
  <si>
    <r>
      <t xml:space="preserve">How much was earned (in </t>
    </r>
    <r>
      <rPr>
        <b/>
        <sz val="11"/>
        <color rgb="FF7030A0"/>
        <rFont val="Calibri"/>
        <family val="2"/>
        <scheme val="minor"/>
      </rPr>
      <t>#currency#</t>
    </r>
    <r>
      <rPr>
        <sz val="11"/>
        <color theme="0" tint="-0.34998626667073579"/>
        <rFont val="Calibri"/>
        <family val="2"/>
        <scheme val="minor"/>
      </rPr>
      <t>) from your second main income source, ${incomesec}, in the past 3 months ?</t>
    </r>
  </si>
  <si>
    <r>
      <rPr>
        <sz val="11"/>
        <color theme="0" tint="-0.34998626667073579"/>
        <rFont val="Calibri"/>
        <family val="2"/>
        <scheme val="minor"/>
      </rPr>
      <t xml:space="preserve">Quelle somme (en </t>
    </r>
    <r>
      <rPr>
        <b/>
        <sz val="11"/>
        <color rgb="FF7030A0"/>
        <rFont val="Calibri"/>
        <family val="2"/>
        <scheme val="minor"/>
      </rPr>
      <t>#devise#</t>
    </r>
    <r>
      <rPr>
        <sz val="11"/>
        <color theme="0" tint="-0.34998626667073579"/>
        <rFont val="Calibri"/>
        <family val="2"/>
        <scheme val="minor"/>
      </rPr>
      <t>) a rapporté votre deuxième source de revenu, ${incomesec}, au cours des trois derniers mois ?</t>
    </r>
  </si>
  <si>
    <t>income_sec_amount_conf</t>
  </si>
  <si>
    <r>
      <t xml:space="preserve">${income_sec_amount} &gt; </t>
    </r>
    <r>
      <rPr>
        <b/>
        <sz val="11"/>
        <color rgb="FF7030A0"/>
        <rFont val="Calibri"/>
        <family val="2"/>
        <scheme val="minor"/>
      </rPr>
      <t>#THRESHOLD#</t>
    </r>
    <r>
      <rPr>
        <sz val="11"/>
        <color theme="0" tint="-0.34998626667073579"/>
        <rFont val="Calibri"/>
        <family val="2"/>
        <scheme val="minor"/>
      </rPr>
      <t xml:space="preserve"> and (${income_main} != '19' and ${income_main} != '20' and ${income_main} != '21' and ${income_sec} != '19' and ${income_sec} != '20' and ${income_sec} != '21')</t>
    </r>
  </si>
  <si>
    <t>income_sec_comp</t>
  </si>
  <si>
    <r>
      <t>Has your household's income from ${incomesec} changed in the last 3 months compared to the same period of</t>
    </r>
    <r>
      <rPr>
        <b/>
        <sz val="11"/>
        <color rgb="FF7030A0"/>
        <rFont val="Calibri (Body)"/>
      </rPr>
      <t xml:space="preserve"> #reference year#</t>
    </r>
    <r>
      <rPr>
        <sz val="11"/>
        <rFont val="Calibri"/>
        <family val="2"/>
        <scheme val="minor"/>
      </rPr>
      <t>?</t>
    </r>
  </si>
  <si>
    <r>
      <t xml:space="preserve">Le revenu de votre ménage provenant de ${incomesec} a-t-il changé au cours des trois derniers mois par rapport à la même période de </t>
    </r>
    <r>
      <rPr>
        <b/>
        <sz val="11"/>
        <color rgb="FF7030A0"/>
        <rFont val="Calibri (Body)"/>
      </rPr>
      <t xml:space="preserve">#reference year FR# </t>
    </r>
    <r>
      <rPr>
        <sz val="11"/>
        <rFont val="Calibri"/>
        <family val="2"/>
        <scheme val="minor"/>
      </rPr>
      <t>?</t>
    </r>
  </si>
  <si>
    <t>select_one incomesource3</t>
  </si>
  <si>
    <t>income_third</t>
  </si>
  <si>
    <t>What has been your household's third most important source of income in the past 3 months?</t>
  </si>
  <si>
    <t>Quelle a été la troisième source principale de revenu de votre ménage au cours des trois derniers mois ?</t>
  </si>
  <si>
    <t>[INSTRUCTIONS :  RÉPONSE UNIQUE. LES OPTIONS «NE SAIT PAS» ET «REFUSÉ» DOIVENT ÊTRE ÉVITÉES AUTANT QUE POSSIBLE.]</t>
  </si>
  <si>
    <t>not(selected(${income_main}, name) or selected(${income_sec}, name))</t>
  </si>
  <si>
    <t>incomethird</t>
  </si>
  <si>
    <t>jr:choice-name(${income_third},'${income_third}')</t>
  </si>
  <si>
    <t>income_third_cropcheck</t>
  </si>
  <si>
    <t xml:space="preserve">${income_third} = '1' or ${income_third} = '2' or ${income_third} = '3' </t>
  </si>
  <si>
    <t>income_third_lscheck</t>
  </si>
  <si>
    <t>${income_third} = '4'</t>
  </si>
  <si>
    <t>income_third_fishcheck</t>
  </si>
  <si>
    <t>${income_third} = '5'</t>
  </si>
  <si>
    <t>income_third_gender</t>
  </si>
  <si>
    <t xml:space="preserve">Is the person earning from ${incomethird} male or female? </t>
  </si>
  <si>
    <t>La personne qui perçoit ${incomethird} est-elle un homme ou une femme ?</t>
  </si>
  <si>
    <t xml:space="preserve">${income_main} != '19' and ${income_main} != '20' and ${income_main} != '21' and ${income_sec} != '19' and ${income_sec} != '20' and ${income_sec} != '21' and ${income_third} != '19' and ${income_third} != '20' and ${income_third} != '21' </t>
  </si>
  <si>
    <t>income_third_amount</t>
  </si>
  <si>
    <r>
      <t xml:space="preserve">How much was earned (in </t>
    </r>
    <r>
      <rPr>
        <b/>
        <sz val="11"/>
        <color rgb="FF7030A0"/>
        <rFont val="Calibri"/>
        <family val="2"/>
        <scheme val="minor"/>
      </rPr>
      <t>#currency#</t>
    </r>
    <r>
      <rPr>
        <sz val="11"/>
        <color theme="0" tint="-0.34998626667073579"/>
        <rFont val="Calibri"/>
        <family val="2"/>
        <scheme val="minor"/>
      </rPr>
      <t>) from your third main income source, ${incomethird}, in the past 3 months ?</t>
    </r>
  </si>
  <si>
    <r>
      <rPr>
        <sz val="11"/>
        <color theme="0" tint="-0.34998626667073579"/>
        <rFont val="Calibri"/>
        <family val="2"/>
        <scheme val="minor"/>
      </rPr>
      <t xml:space="preserve">Quelle somme (en </t>
    </r>
    <r>
      <rPr>
        <b/>
        <sz val="11"/>
        <color rgb="FF7030A0"/>
        <rFont val="Calibri"/>
        <family val="2"/>
        <scheme val="minor"/>
      </rPr>
      <t>#devise#</t>
    </r>
    <r>
      <rPr>
        <sz val="11"/>
        <color theme="0" tint="-0.34998626667073579"/>
        <rFont val="Calibri"/>
        <family val="2"/>
        <scheme val="minor"/>
      </rPr>
      <t>) a rapporté votre troisième source de revenu, ${incomethird}, au cours des trois derniers mois ?</t>
    </r>
  </si>
  <si>
    <t>income_third_amount_conf</t>
  </si>
  <si>
    <r>
      <t xml:space="preserve">${income_third_amount} &gt; </t>
    </r>
    <r>
      <rPr>
        <b/>
        <sz val="11"/>
        <color rgb="FF7030A0"/>
        <rFont val="Calibri"/>
        <family val="2"/>
        <scheme val="minor"/>
      </rPr>
      <t>#THRESHOLD#</t>
    </r>
    <r>
      <rPr>
        <sz val="11"/>
        <color rgb="FFA6A6A6"/>
        <rFont val="Calibri"/>
        <family val="2"/>
        <scheme val="minor"/>
      </rPr>
      <t xml:space="preserve"> and (${income_main} != '19' and ${income_main} != '20' and ${income_main} != '21' and ${income_sec} != '19' and ${income_sec} != '20' and ${income_sec} != '21' and ${income_third} != '19' and ${income_third} != '20' and ${income_third} != '21' )</t>
    </r>
  </si>
  <si>
    <t>income_third_comp</t>
  </si>
  <si>
    <r>
      <t xml:space="preserve">Has your household's income from ${incomethird} changed in the last 3 months compared to the same period of </t>
    </r>
    <r>
      <rPr>
        <b/>
        <sz val="11"/>
        <color rgb="FF7030A0"/>
        <rFont val="Calibri (Body)"/>
      </rPr>
      <t>#reference year#</t>
    </r>
    <r>
      <rPr>
        <sz val="11"/>
        <rFont val="Calibri (Body)"/>
      </rPr>
      <t>?</t>
    </r>
  </si>
  <si>
    <r>
      <t xml:space="preserve">Le revenu de votre ménage provenant de ${incomethird} a-t-il changé au cours des trois derniers mois par rapport à la même période de </t>
    </r>
    <r>
      <rPr>
        <b/>
        <sz val="11"/>
        <color rgb="FF7030A0"/>
        <rFont val="Calibri (Body)"/>
      </rPr>
      <t xml:space="preserve">#reference year FR# </t>
    </r>
    <r>
      <rPr>
        <sz val="11"/>
        <rFont val="Calibri"/>
        <family val="2"/>
        <scheme val="minor"/>
      </rPr>
      <t>?</t>
    </r>
  </si>
  <si>
    <t>income_gender_control</t>
  </si>
  <si>
    <t>Are women in this household able to decide how to use the income they earn?</t>
  </si>
  <si>
    <t>Les femmes de votre ménage sont-elles en mesure de décider de l'utilisation des revenus qu'elles rapportent ?</t>
  </si>
  <si>
    <t>${income_main_gender}='2' or ${income_sec_gender}='2' or ${income_third_gender}='2'</t>
  </si>
  <si>
    <t>select_multiple shock</t>
  </si>
  <si>
    <t>shock</t>
  </si>
  <si>
    <t xml:space="preserve">Has your household faced any particular disaster or crisis affecting your community or your household that affected your ability to raise an income and/or to produce food for self consumption in the last 3 months? </t>
  </si>
  <si>
    <t>Au cours des trois derniers mois, votre ménage a-t-il été confronté à une catastrophe ou une crise particulière touchant votre communauté ou votre ménage et qui a atteint votre capacité à dégager un revenu et/ou à produire des aliments pour votre propre consommation ?</t>
  </si>
  <si>
    <t>[INSTRUCTIONS: SELECT RELEVANT SHOCKS EXPERIENCED BY THE HOUSEHOLD. MULTIPLE RESPONSES POSSIBLE. REFER TO ECONOMIC SHOCKS, CROP AND LIVESTOCK SHOCKS, INTRA-HOUSEHOLD SHOCK, NATURAL HAZARDS AND MAN-MADE HAZARDS.]</t>
  </si>
  <si>
    <t>[INSTRUCTIONS :  SÉLECTIONNER LES CHOCS PERTINENTS SUBIS PAR LE MÉNAGE. PLUSIEURS RÉPONSES POSSIBLES. SE RÉFÉRER AUX CHOCS ÉCONOMIQUES, AUX CHOCS TOUCHANT LES RÉCOLTES ET LE BÉTAIL, AUX CHOCS INTRA-MÉNAGE, AUX RISQUES NATURELS ET AUX RISQUES D'ORIGINE HUMAINE.]</t>
  </si>
  <si>
    <t>if(selected(.,'noshock') or selected(.,'dk') or selected(.,'ref'), count-selected(.) = 1, count-selected(.) &gt;= 1)</t>
  </si>
  <si>
    <t>hh_explanation</t>
  </si>
  <si>
    <t>If the household was affected by a major recent shock object of this assessment (for example, an earthquake), what do you think are the consequences for your household, in your own words?</t>
  </si>
  <si>
    <t>Si votre ménage a été concerné par un choc majeur récent objet de cette évaluation (par exemple, un tremblement de terre), quelles en sont, selon vous et dans vos propres mots, les conséquences pour votre ménage ?</t>
  </si>
  <si>
    <t>[INSTRUCTIONS: RECORD IN FEW WORDS THE MAIN CONSEQUENCE OF THE RECENT SHOCKS. ENTER 888 FOR DON'T KNOW AND 999 FOR REFUSED.]</t>
  </si>
  <si>
    <t>[INSTRUCTIONS :  SAISIR EN QUELQUES MOTS LA PRINCIPALE CONSÉQUENCE DES RÉCENTS CHOCS. SAISIR 88 POUR «NE SAIT PAS» ET 99 POUR «REFUSÉ»].</t>
  </si>
  <si>
    <t>${shock} != 'noshock' and ${shock} != 'dk' and ${shock} != 'ref'</t>
  </si>
  <si>
    <t>select_multiple covidmeasures</t>
  </si>
  <si>
    <t>covid</t>
  </si>
  <si>
    <t>Have you or anyone in your household been affected by movement restrictions or social distancing measures aimed at containing COVID-19 in the last 3 months?</t>
  </si>
  <si>
    <t>Au cours des trois derniers mois, avez-vous, ou un membre de votre ménage, été touché par des restrictions de mouvement ou des mesures de distanciation sociale visant à contenir la covid-19 ?</t>
  </si>
  <si>
    <t>[INSTRUCTIONS: MULTIPLE RESPONSES POSSIBLE.]</t>
  </si>
  <si>
    <t>[INSTRUCTIONS :  PLUSIEURS RÉPONSES POSSIBLES.]</t>
  </si>
  <si>
    <t>if(selected(.,'none') or selected(.,'dk') or selected(.,'ref'), count-selected(.) = 1, count-selected(.) &gt;= 1)</t>
  </si>
  <si>
    <t>covid_otherspecify</t>
  </si>
  <si>
    <t>If other, specify.</t>
  </si>
  <si>
    <t>Si autre, précisez.</t>
  </si>
  <si>
    <t>[INSTRUCTIONS: RECORD THE OPEN RESPONSE GIVEN IN FEW WORDS. ENTER 888 FOR DON'T KNOW AND 999 FOR REFUSED]</t>
  </si>
  <si>
    <t>[INSTRUCTIONS :  DÉCRIVEZ LA RÉPONSE DONNÉE PAR LE RÉPONDANT EN QUELQUES MOTS. ENTREZ 888 POUR NE SAIT PAS ET 999 POUR REFUS.]</t>
  </si>
  <si>
    <t>selected(${covid}, 'other')</t>
  </si>
  <si>
    <t>CropProduction_group</t>
  </si>
  <si>
    <t>CROP PRODUCTION</t>
  </si>
  <si>
    <t>PRODUCTION DE CULTURES</t>
  </si>
  <si>
    <t>${resp_agree} = '1' and (${hh_agricactivity}='1' or ${hh_agricactivity} = '3' or ${income_main_cropcheck}='1' or ${income_sec_cropcheck}='1' or ${income_third_cropcheck}='1')</t>
  </si>
  <si>
    <t>crp_intro</t>
  </si>
  <si>
    <r>
      <t xml:space="preserve">We will now ask you some questions about crop production which apply to you and anyone in your household that is involved in crop production or sales. All questions refer to the crops grown during </t>
    </r>
    <r>
      <rPr>
        <b/>
        <sz val="11"/>
        <color rgb="FF7030A0"/>
        <rFont val="Calibri"/>
        <family val="2"/>
        <scheme val="minor"/>
      </rPr>
      <t>#season#</t>
    </r>
    <r>
      <rPr>
        <sz val="11"/>
        <color theme="1"/>
        <rFont val="Calibri"/>
        <family val="2"/>
        <scheme val="minor"/>
      </rPr>
      <t xml:space="preserve">. </t>
    </r>
  </si>
  <si>
    <r>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t>
    </r>
    <r>
      <rPr>
        <b/>
        <sz val="11"/>
        <color rgb="FF7030A0"/>
        <rFont val="Calibri"/>
        <family val="2"/>
        <scheme val="minor"/>
      </rPr>
      <t>#saison#</t>
    </r>
    <r>
      <rPr>
        <sz val="11"/>
        <rFont val="Calibri"/>
        <family val="2"/>
        <scheme val="minor"/>
      </rPr>
      <t xml:space="preserve">. </t>
    </r>
  </si>
  <si>
    <t>crp_landsize_num</t>
  </si>
  <si>
    <t>What is the total size of the land you can cultivate?</t>
  </si>
  <si>
    <t>Quelle superficie totale pouvez-vous cultiver ?</t>
  </si>
  <si>
    <t>[INSTRUCTIONS: RECORD THE TOTAL LAND SIZE PROVIDED BY THE RESPONDENT. WRITE 888 FOR DON'T KNOW AND 999 FOR REFUSED. MEASUREMENT UNIT WILL BE SPECIFIED IN THE FOLLOWING QUESTION.]</t>
  </si>
  <si>
    <t>[INSTRUCTIONS :  SAISIR LA TAILLE TOTALE DU TERRAIN ANNONCÉE PAR LE RÉPONDANT. ENTRER 888 POUR «NE SAIT PAS» ET 999 POUR «REFUSÉ» . L'UNITÉ DE MESURE SERA PRÉCISÉE À LA QUESTION SUIVANTE].</t>
  </si>
  <si>
    <t>. &gt;= 0</t>
  </si>
  <si>
    <t>select_one landsize_unit</t>
  </si>
  <si>
    <t>crp_landsize_unit</t>
  </si>
  <si>
    <t xml:space="preserve">Unit of measurement for land size: </t>
  </si>
  <si>
    <t>Unité de mesure des terrains cultivés:</t>
  </si>
  <si>
    <t>[INSTRUCTIONS: DO NOT READ QUESTION. SELECT UNIT OF MEASUREMENT IN WHICH LAND SIZE WAS PROVIDED.]</t>
  </si>
  <si>
    <t xml:space="preserve">[INSTRUCTIONS :  NE PAS LIRE LA QUESTION. SÉLECTIONNEZ L'UNITÉ DE MESURE UTILISÉE POUR LA SUPERFICIE TOTALE.] </t>
  </si>
  <si>
    <t>${crp_landsize_num} != 888 and ${crp_landsize_num} != 999</t>
  </si>
  <si>
    <t>select_one crop</t>
  </si>
  <si>
    <t>crp_main</t>
  </si>
  <si>
    <r>
      <t>What is the main crop that your household grows for food and income generation in</t>
    </r>
    <r>
      <rPr>
        <b/>
        <sz val="11"/>
        <color rgb="FF7030A0"/>
        <rFont val="Calibri"/>
        <family val="2"/>
        <scheme val="minor"/>
      </rPr>
      <t xml:space="preserve"> #season#</t>
    </r>
    <r>
      <rPr>
        <sz val="11"/>
        <color theme="1"/>
        <rFont val="Calibri"/>
        <family val="2"/>
        <scheme val="minor"/>
      </rPr>
      <t>, if any?</t>
    </r>
  </si>
  <si>
    <r>
      <t xml:space="preserve">Quelle est la principale culture pratiquée par votre ménage pour se nourrir et générer des revenus pendant la </t>
    </r>
    <r>
      <rPr>
        <b/>
        <sz val="11"/>
        <color rgb="FF7030A0"/>
        <rFont val="Calibri"/>
        <family val="2"/>
        <scheme val="minor"/>
      </rPr>
      <t>#saison#</t>
    </r>
    <r>
      <rPr>
        <sz val="11"/>
        <rFont val="Calibri"/>
        <family val="2"/>
        <scheme val="minor"/>
      </rPr>
      <t>, si applicable ?</t>
    </r>
  </si>
  <si>
    <t>[INSTRUCTIONS: SINGLE RESPONSE. "NO CROP PRODUCTION" APPEARS AT THE END OF THE LIST OF OPTIONS.]</t>
  </si>
  <si>
    <t>[INSTRUCTIONS :  RÉPONSE UNIQUE. «AUCUNE PRODUCTION VÉGÉTALE» EST PARMI LES DERNIÈRES OPTIONS, À LA FIN DE LA LISTE.]</t>
  </si>
  <si>
    <t>crpmain</t>
  </si>
  <si>
    <t>jr:choice-name(${crp_main},'${crp_main}')</t>
  </si>
  <si>
    <t>select_one cropcheck</t>
  </si>
  <si>
    <t>crp_main_check</t>
  </si>
  <si>
    <r>
      <t xml:space="preserve">Why did you not produce any crops in </t>
    </r>
    <r>
      <rPr>
        <b/>
        <sz val="11"/>
        <color rgb="FF7030A0"/>
        <rFont val="Calibri"/>
        <family val="2"/>
        <scheme val="minor"/>
      </rPr>
      <t>#season#</t>
    </r>
    <r>
      <rPr>
        <sz val="11"/>
        <rFont val="Calibri"/>
        <family val="2"/>
        <scheme val="minor"/>
      </rPr>
      <t>?</t>
    </r>
  </si>
  <si>
    <r>
      <t xml:space="preserve">Pourquoi n'avez-vous pas produit de cultures pendant la </t>
    </r>
    <r>
      <rPr>
        <b/>
        <sz val="11"/>
        <color rgb="FF7030A0"/>
        <rFont val="Calibri"/>
        <family val="2"/>
        <scheme val="minor"/>
      </rPr>
      <t>#saison# ?</t>
    </r>
  </si>
  <si>
    <t>${crp_main}='777'</t>
  </si>
  <si>
    <t>select_one irrigation</t>
  </si>
  <si>
    <t>crp_irrigation</t>
  </si>
  <si>
    <t xml:space="preserve">How do you normally access water for ${crpmain}? </t>
  </si>
  <si>
    <t>Comment accédez-vous normalement à l'eau pour votre principale production végétale, ${crpmain} ?</t>
  </si>
  <si>
    <t>${crp_main} != '777' and ${crp_main} != '888' and ${crp_main} != '999'</t>
  </si>
  <si>
    <t>crp_irrigation_otherspecify</t>
  </si>
  <si>
    <r>
      <t>selected(${crp_irrigation},</t>
    </r>
    <r>
      <rPr>
        <sz val="11"/>
        <color theme="1"/>
        <rFont val="Calibri"/>
        <family val="2"/>
        <scheme val="minor"/>
      </rPr>
      <t xml:space="preserve"> '6') and (${crp_main} != '777' and ${crp_main} != '888' and ${crp_main} != '999')</t>
    </r>
  </si>
  <si>
    <t xml:space="preserve">select_multiple seedsupply </t>
  </si>
  <si>
    <t>crp_seed</t>
  </si>
  <si>
    <t xml:space="preserve">Where do you normally procure your seeds? </t>
  </si>
  <si>
    <t>Où vous procurez-vous habituellement vos semences ?</t>
  </si>
  <si>
    <t>if(selected(., 'ref') or selected(., 'dk'), count-selected(.) = 1, count-selected(.) &gt;= 1)</t>
  </si>
  <si>
    <t>crp_area_change</t>
  </si>
  <si>
    <r>
      <t>How did the ***</t>
    </r>
    <r>
      <rPr>
        <u/>
        <sz val="11"/>
        <color theme="1"/>
        <rFont val="Calibri"/>
        <family val="2"/>
        <scheme val="minor"/>
      </rPr>
      <t>area planted</t>
    </r>
    <r>
      <rPr>
        <sz val="11"/>
        <color theme="1"/>
        <rFont val="Calibri"/>
        <family val="2"/>
        <scheme val="minor"/>
      </rPr>
      <t xml:space="preserve">*** for ${crpmain} from </t>
    </r>
    <r>
      <rPr>
        <b/>
        <sz val="11"/>
        <color rgb="FF7030A0"/>
        <rFont val="Calibri"/>
        <family val="2"/>
        <scheme val="minor"/>
      </rPr>
      <t xml:space="preserve">#season# </t>
    </r>
    <r>
      <rPr>
        <sz val="11"/>
        <color theme="1"/>
        <rFont val="Calibri"/>
        <family val="2"/>
        <scheme val="minor"/>
      </rPr>
      <t xml:space="preserve">compare to </t>
    </r>
    <r>
      <rPr>
        <b/>
        <sz val="11"/>
        <color rgb="FF7030A0"/>
        <rFont val="Calibri (Body)"/>
      </rPr>
      <t>#reference year#</t>
    </r>
    <r>
      <rPr>
        <sz val="11"/>
        <color theme="1"/>
        <rFont val="Calibri"/>
        <family val="2"/>
        <scheme val="minor"/>
      </rPr>
      <t>?</t>
    </r>
  </si>
  <si>
    <r>
      <t>Comment estimez-vous la **</t>
    </r>
    <r>
      <rPr>
        <u/>
        <sz val="11"/>
        <rFont val="Calibri"/>
        <family val="2"/>
        <scheme val="minor"/>
      </rPr>
      <t>superficie plantée</t>
    </r>
    <r>
      <rPr>
        <sz val="11"/>
        <rFont val="Calibri"/>
        <family val="2"/>
        <scheme val="minor"/>
      </rPr>
      <t xml:space="preserve">** </t>
    </r>
    <r>
      <rPr>
        <sz val="11"/>
        <color theme="1"/>
        <rFont val="Calibri"/>
        <family val="2"/>
        <scheme val="minor"/>
      </rPr>
      <t>d</t>
    </r>
    <r>
      <rPr>
        <sz val="11"/>
        <rFont val="Calibri"/>
        <family val="2"/>
        <scheme val="minor"/>
      </rPr>
      <t xml:space="preserve">e votre principale production végétale, ${crpmain}, pour la </t>
    </r>
    <r>
      <rPr>
        <b/>
        <sz val="11"/>
        <color rgb="FF7030A0"/>
        <rFont val="Calibri"/>
        <family val="2"/>
        <scheme val="minor"/>
      </rPr>
      <t xml:space="preserve">#saison# </t>
    </r>
    <r>
      <rPr>
        <sz val="11"/>
        <rFont val="Calibri"/>
        <family val="2"/>
        <scheme val="minor"/>
      </rPr>
      <t xml:space="preserve">par rapport à </t>
    </r>
    <r>
      <rPr>
        <b/>
        <sz val="11"/>
        <color rgb="FF7030A0"/>
        <rFont val="Calibri (Body)"/>
      </rPr>
      <t>#reference year FR#</t>
    </r>
    <r>
      <rPr>
        <sz val="11"/>
        <rFont val="Calibri"/>
        <family val="2"/>
        <scheme val="minor"/>
      </rPr>
      <t xml:space="preserve"> ?</t>
    </r>
  </si>
  <si>
    <t>crp_harv_change</t>
  </si>
  <si>
    <r>
      <t xml:space="preserve">How does the </t>
    </r>
    <r>
      <rPr>
        <b/>
        <sz val="11"/>
        <color rgb="FF7030A0"/>
        <rFont val="Calibri"/>
        <family val="2"/>
        <scheme val="minor"/>
      </rPr>
      <t>#expected or nothing#</t>
    </r>
    <r>
      <rPr>
        <sz val="11"/>
        <color theme="1"/>
        <rFont val="Calibri"/>
        <family val="2"/>
        <scheme val="minor"/>
      </rPr>
      <t xml:space="preserve"> ***</t>
    </r>
    <r>
      <rPr>
        <u/>
        <sz val="11"/>
        <color theme="1"/>
        <rFont val="Calibri"/>
        <family val="2"/>
        <scheme val="minor"/>
      </rPr>
      <t>harvest</t>
    </r>
    <r>
      <rPr>
        <sz val="11"/>
        <color theme="1"/>
        <rFont val="Calibri"/>
        <family val="2"/>
        <scheme val="minor"/>
      </rPr>
      <t xml:space="preserve">*** of ${crpmain} in the </t>
    </r>
    <r>
      <rPr>
        <b/>
        <sz val="11"/>
        <color rgb="FF7030A0"/>
        <rFont val="Calibri"/>
        <family val="2"/>
        <scheme val="minor"/>
      </rPr>
      <t>#season#</t>
    </r>
    <r>
      <rPr>
        <sz val="11"/>
        <color theme="1"/>
        <rFont val="Calibri"/>
        <family val="2"/>
        <scheme val="minor"/>
      </rPr>
      <t xml:space="preserve"> compare to </t>
    </r>
    <r>
      <rPr>
        <b/>
        <sz val="11"/>
        <color rgb="FF7030A0"/>
        <rFont val="Calibri (Body)"/>
      </rPr>
      <t>#reference year#</t>
    </r>
    <r>
      <rPr>
        <sz val="11"/>
        <color theme="1"/>
        <rFont val="Calibri"/>
        <family val="2"/>
        <scheme val="minor"/>
      </rPr>
      <t xml:space="preserve">? </t>
    </r>
  </si>
  <si>
    <r>
      <t>Comment estimez-vous la **</t>
    </r>
    <r>
      <rPr>
        <u/>
        <sz val="11"/>
        <rFont val="Calibri"/>
        <family val="2"/>
        <scheme val="minor"/>
      </rPr>
      <t>récolte</t>
    </r>
    <r>
      <rPr>
        <sz val="11"/>
        <rFont val="Calibri"/>
        <family val="2"/>
        <scheme val="minor"/>
      </rPr>
      <t>**</t>
    </r>
    <r>
      <rPr>
        <b/>
        <sz val="11"/>
        <color rgb="FF7030A0"/>
        <rFont val="Calibri"/>
        <family val="2"/>
        <scheme val="minor"/>
      </rPr>
      <t xml:space="preserve"> #attendue ou rien# </t>
    </r>
    <r>
      <rPr>
        <sz val="11"/>
        <rFont val="Calibri"/>
        <family val="2"/>
        <scheme val="minor"/>
      </rPr>
      <t xml:space="preserve">de votre principale production végétale, ${crpmain} pour la </t>
    </r>
    <r>
      <rPr>
        <b/>
        <sz val="11"/>
        <color rgb="FF7030A0"/>
        <rFont val="Calibri"/>
        <family val="2"/>
        <scheme val="minor"/>
      </rPr>
      <t>#saison#</t>
    </r>
    <r>
      <rPr>
        <sz val="11"/>
        <rFont val="Calibri"/>
        <family val="2"/>
        <scheme val="minor"/>
      </rPr>
      <t xml:space="preserve"> par rapport à </t>
    </r>
    <r>
      <rPr>
        <b/>
        <sz val="11"/>
        <color rgb="FF7030A0"/>
        <rFont val="Calibri (Body)"/>
      </rPr>
      <t>#reference year FR#</t>
    </r>
    <r>
      <rPr>
        <sz val="11"/>
        <rFont val="Calibri"/>
        <family val="2"/>
        <scheme val="minor"/>
      </rPr>
      <t xml:space="preserve"> ?</t>
    </r>
  </si>
  <si>
    <t>crp_harv_vol</t>
  </si>
  <si>
    <r>
      <t xml:space="preserve">How much (threshed) ${crpmain} did you harvest this </t>
    </r>
    <r>
      <rPr>
        <b/>
        <sz val="11"/>
        <color rgb="FF7030A0"/>
        <rFont val="Calibri"/>
        <family val="2"/>
        <scheme val="minor"/>
      </rPr>
      <t>#season#</t>
    </r>
    <r>
      <rPr>
        <sz val="11"/>
        <color theme="0" tint="-0.34998626667073579"/>
        <rFont val="Calibri"/>
        <family val="2"/>
        <scheme val="minor"/>
      </rPr>
      <t>?</t>
    </r>
  </si>
  <si>
    <r>
      <rPr>
        <sz val="11"/>
        <color theme="0" tint="-0.34998626667073579"/>
        <rFont val="Calibri"/>
        <family val="2"/>
        <scheme val="minor"/>
      </rPr>
      <t xml:space="preserve">Quelle quantité (battue) de ${crpmain} avez-vous récoltée cette </t>
    </r>
    <r>
      <rPr>
        <b/>
        <sz val="11"/>
        <color rgb="FF7030A0"/>
        <rFont val="Calibri"/>
        <family val="2"/>
        <scheme val="minor"/>
      </rPr>
      <t xml:space="preserve">#saison# </t>
    </r>
    <r>
      <rPr>
        <sz val="11"/>
        <color theme="0" tint="-0.34998626667073579"/>
        <rFont val="Calibri"/>
        <family val="2"/>
        <scheme val="minor"/>
      </rPr>
      <t>?</t>
    </r>
  </si>
  <si>
    <t>[INSTRUCTIONS: RECORD THE RESPONSE GIVEN. UNIT OF MEASUREMENT TO BE SPECIFIED IN NEXT QUESTION. ENTER 888 FOR DON'T KNOW &amp; 999 FOR REFUSED, TO BE USED RARELY - PROBE!]</t>
  </si>
  <si>
    <t>[INSTRUCTIONS :  ENREGISTRER LA RÉPONSE DONNÉE. L'UNITÉ DE MESURE DOIT ÊTRE SPÉCIFIÉE À LA QUESTION SUIVANTE. SAISIR 888 POUR «NE SAIT PAS» ET 999 POUR «REFUSÉ», À UTILISER LE MOINS POSSIBLE - DEMANDER DES PRÉCISIONS!]</t>
  </si>
  <si>
    <t>select_one harv_unit</t>
  </si>
  <si>
    <t>crp_harv_unit</t>
  </si>
  <si>
    <t>Unit of measurement for harvested ${crpmain}:</t>
  </si>
  <si>
    <t xml:space="preserve">Unité de mesure pour la récolte ${crpmain} : </t>
  </si>
  <si>
    <t>[INSTRUCTIONS: SINGLE SELECTION]</t>
  </si>
  <si>
    <t>${crp_harv_vol} != '888' and ${crp_harv_vol} != '999'</t>
  </si>
  <si>
    <t>crp_harvunit</t>
  </si>
  <si>
    <t>jr:choice-name(${crp_harv_unit},'${crp_harv_unit}')</t>
  </si>
  <si>
    <t>crp_harv_unit_kg</t>
  </si>
  <si>
    <t>How many kilograms [kgs] in each unit?</t>
  </si>
  <si>
    <t>Combien de kilogrammes [kg] chaque unité contient-elle ?</t>
  </si>
  <si>
    <t>[INSTRUCTIONS: RECORD THE RESPONSE GIVEN. UNIT OF MEASUREMENT TO BE SPECIFIED IN NEXT QUESTION. ENTER 888 FOR DON'T KNOW &amp; 999 FOR REFUSED]</t>
  </si>
  <si>
    <t>[INSTRUCTIONS :   SAISIR LA QUANTITÉ ANNONCÉE. SAISIR 888 POUR «NE SAIT PAS» ET 999 POUR «REFUSÉ».]</t>
  </si>
  <si>
    <t>(${crp_harv_vol} != '888' and ${crp_harv_vol} != '999') and (${crp_harv_unit}='5' or ${crp_harv_unit}='6' or ${crp_harv_unit}='7' or ${crp_harv_unit}='8' or ${crp_harv_unit}='9')</t>
  </si>
  <si>
    <t>crp_harv_lastyr</t>
  </si>
  <si>
    <t>How many ${crp_harvunit} of (threshed) ${crpmain} did you harvest last year during the same season?</t>
  </si>
  <si>
    <t>Combien de ${crp_harvunit} de ${crpmain} (battu) avez-vous récolté l'année dernière au cours de la même saison ?</t>
  </si>
  <si>
    <t>[INSTRUCTIONS: RECORD THE RESPONSE GIVEN. ENTER 888 FOR DON'T KNOW &amp; 999 FOR REFUSED, TO BE USED RARELY - PROBE!]</t>
  </si>
  <si>
    <t>[INSTRUCTIONS :  SAISIR LA RÉPONSE DONNÉE. ENTRER 888 POUR «NE SAIT PAS» ET 999 POUR «REFUSÉ», À UTILISER LE MOINS POSSIBLE - DEMANDER DES PRÉCISIONS!]</t>
  </si>
  <si>
    <t>${crp_harv_vol} != '888' and ${crp_harv_vol} != '999' and (${crp_main} != '777' and ${crp_main} != '888' and ${crp_main} != '999')</t>
  </si>
  <si>
    <t>crp_proddif</t>
  </si>
  <si>
    <r>
      <t xml:space="preserve">Has your household faced any difficulty </t>
    </r>
    <r>
      <rPr>
        <sz val="11"/>
        <color theme="1"/>
        <rFont val="Calibri"/>
        <family val="2"/>
        <scheme val="minor"/>
      </rPr>
      <t>***</t>
    </r>
    <r>
      <rPr>
        <u/>
        <sz val="11"/>
        <color theme="1"/>
        <rFont val="Calibri"/>
        <family val="2"/>
        <scheme val="minor"/>
      </rPr>
      <t>in terms of crop production</t>
    </r>
    <r>
      <rPr>
        <sz val="11"/>
        <color theme="1"/>
        <rFont val="Calibri"/>
        <family val="2"/>
        <scheme val="minor"/>
      </rPr>
      <t xml:space="preserve">*** in </t>
    </r>
    <r>
      <rPr>
        <b/>
        <sz val="11"/>
        <color rgb="FF7030A0"/>
        <rFont val="Calibri"/>
        <family val="2"/>
        <scheme val="minor"/>
      </rPr>
      <t>#season#</t>
    </r>
    <r>
      <rPr>
        <sz val="11"/>
        <color theme="1"/>
        <rFont val="Calibri"/>
        <family val="2"/>
        <scheme val="minor"/>
      </rPr>
      <t>?</t>
    </r>
  </si>
  <si>
    <r>
      <t>Votre ménage a-t-il rencontré des difficultés en matière de **production végétale** au cours de</t>
    </r>
    <r>
      <rPr>
        <b/>
        <sz val="11"/>
        <color rgb="FF7030A0"/>
        <rFont val="Calibri"/>
        <family val="2"/>
        <scheme val="minor"/>
      </rPr>
      <t xml:space="preserve"> #saison# </t>
    </r>
    <r>
      <rPr>
        <sz val="11"/>
        <rFont val="Calibri"/>
        <family val="2"/>
        <scheme val="minor"/>
      </rPr>
      <t>?</t>
    </r>
  </si>
  <si>
    <t>${crp_main} != '888' and ${crp_main} != '999' and ${crp_main_check} != 1</t>
  </si>
  <si>
    <t>select_multiple cropproddiff</t>
  </si>
  <si>
    <t>crp_proddif_</t>
  </si>
  <si>
    <r>
      <t xml:space="preserve">Which difficulties has your household faced with crop production in </t>
    </r>
    <r>
      <rPr>
        <b/>
        <sz val="11"/>
        <color rgb="FF7030A0"/>
        <rFont val="Calibri"/>
        <family val="2"/>
        <scheme val="minor"/>
      </rPr>
      <t>#season#</t>
    </r>
    <r>
      <rPr>
        <sz val="11"/>
        <color theme="1"/>
        <rFont val="Calibri"/>
        <family val="2"/>
        <scheme val="minor"/>
      </rPr>
      <t>?</t>
    </r>
  </si>
  <si>
    <r>
      <t xml:space="preserve">Quelles difficultés votre ménage a-t-il rencontrées dans la production végétale au cours de </t>
    </r>
    <r>
      <rPr>
        <b/>
        <sz val="11"/>
        <color rgb="FF7030A0"/>
        <rFont val="Calibri"/>
        <family val="2"/>
        <scheme val="minor"/>
      </rPr>
      <t xml:space="preserve">#saison# </t>
    </r>
    <r>
      <rPr>
        <sz val="11"/>
        <rFont val="Calibri"/>
        <family val="2"/>
        <scheme val="minor"/>
      </rPr>
      <t>?</t>
    </r>
  </si>
  <si>
    <t>[INSTRUCTIONS: MULTIPLE RESPONSES POSSIBLE. SELECT OPTION(S) THAT BEST FIT THE INFORMATION PROVIDED BY THE RESPONDENTS.]</t>
  </si>
  <si>
    <t>[INSTRUCTIONS :  PLUSIEURS RÉPONSES POSSIBLES. SÉLECTIONNER LES OPTIONS QUI CORRESPONDENT LE MIEUX AUX INFORMATIONS PROPOSÉES PAR LE RÉPONDANT.]</t>
  </si>
  <si>
    <t>${crp_proddif} = '1' and (${crp_main} != '888' and ${crp_main} != '999' and ${crp_main_check} != 1)</t>
  </si>
  <si>
    <t>select_one storage</t>
  </si>
  <si>
    <t>crp_storage</t>
  </si>
  <si>
    <t>Last year, what proportion of your ${crp_main} stock did you lose (to pests, rotting, mould, etc.)?</t>
  </si>
  <si>
    <t>L'année dernière, quelle part du stock de votre ${crpmain} avez-vous perdue (en raison des parasites, de la pourriture, de la moisissure, etc.)?</t>
  </si>
  <si>
    <t>${crp_main} != '888' and ${crp_main} != '999' and ${crp_main} != '777'</t>
  </si>
  <si>
    <t>select_multiple crop2</t>
  </si>
  <si>
    <t>crp_all</t>
  </si>
  <si>
    <t>Do you cultivate any other crops aside from ${crpmain}, and if so which ones?</t>
  </si>
  <si>
    <t>Pratiquez-vous d'autres cultures en dehors de ${crpmain}, et si oui, lesquelles ?</t>
  </si>
  <si>
    <t>[INSTRUCTIONS: "No other crops" APPEARS AT THE END OF THE LIST OF OPTIONS. SELECT ALL CROPS LISTED BY THE RESPONDENT.]</t>
  </si>
  <si>
    <t>[INSTRUCTIONS :  "Pas d'autre culture" FIGURE DANS LES DERNIÈRES OPTIONS DE RÉPONSE. SÉLECTIONNER TOUTES LES CULTURES LISTÉES PAR LE RÉPONDANT.]</t>
  </si>
  <si>
    <t>if(selected(., '888') or selected(., '999') or selected(.,'666'), count-selected(.) = 1, count-selected(.) &gt;= 1)</t>
  </si>
  <si>
    <t>not(selected(${crp_main}, name))</t>
  </si>
  <si>
    <t>CropSales_group</t>
  </si>
  <si>
    <t>CROP MARKETING</t>
  </si>
  <si>
    <t>VENTES DES RÉCOLTES</t>
  </si>
  <si>
    <t>${resp_agree} = '1' and (${income_main}='1' or ${income_sec}='1' or ${income_third}='1' or ${income_main}='2' or ${income_sec}='2' or ${income_third}='2' or ${income_main}='3' or ${income_sec}='3' or ${income_third}='3')</t>
  </si>
  <si>
    <t>crp_sales_main_1</t>
  </si>
  <si>
    <t xml:space="preserve">Is ${crpmain} the main crop that you have sold over the *last 3 months*? </t>
  </si>
  <si>
    <t xml:space="preserve">Est-ce que ${crpmain} est la principale récolte que vous avez vendue au cours des *3 derniers mois* ? </t>
  </si>
  <si>
    <t>select_one crop3</t>
  </si>
  <si>
    <t>crp_sales_main_2</t>
  </si>
  <si>
    <t>What has been the main crop that you have sold over the *last 3 months*?</t>
  </si>
  <si>
    <t>Quelle a été la principale récolte que vous avez vendue au cours des *3 derniers mois* ?</t>
  </si>
  <si>
    <t>${crp_sales_main_1}='2'</t>
  </si>
  <si>
    <t>crp_salesmain</t>
  </si>
  <si>
    <t>if(${crp_sales_main_1}='1',${crpmain},jr:choice-name(${crp_sales_main_2},'${crp_sales_main_2}'))</t>
  </si>
  <si>
    <t>crp_salesdif</t>
  </si>
  <si>
    <t>select_multiple cropsalesdiff</t>
  </si>
  <si>
    <t>crp_saledif</t>
  </si>
  <si>
    <t>Quelles difficultés votre ménage a-t-il rencontrées au cours des trois derniers mois pour vendre ses récoltes ?</t>
  </si>
  <si>
    <t>[INSTRUCTIONS :  PLUSIEURS RÉPONSES POSSIBLES. SÉLECTIONNER LA OU LES OPTIONS QUI CORRESPONDENT LE MIEUX AUX INFORMATIONS PROPOSÉES PAR LE RÉPONDANT.]</t>
  </si>
  <si>
    <t>if(selected(., 'dk') or selected(., 'ref'), count-selected(.) = 1, count-selected(.) &gt;= 1)</t>
  </si>
  <si>
    <t xml:space="preserve">${crp_salesdif} = '1' </t>
  </si>
  <si>
    <t>crp_salesprice</t>
  </si>
  <si>
    <t>[INSTRUCTIONS: SINGLE RESPONSE. INSIST ON THE MAIN PRODUCT MENTIONED.]</t>
  </si>
  <si>
    <t>[INSTRUCTIONS :  RÉPONSE UNIQUE. INSISTER SUR LA PRINCIPALE CULTURE MENTIONNÉE AUPARAVANT.]</t>
  </si>
  <si>
    <t>Livestock_group</t>
  </si>
  <si>
    <t>LIVESTOCK PRODUCTION</t>
  </si>
  <si>
    <t>PRODUCTION DE BÉTAIL</t>
  </si>
  <si>
    <t>${resp_agree} = '1' and (${hh_agricactivity}='2' or ${hh_agricactivity} = '3' or ${income_main_lscheck}='1' or ${income_sec_lscheck}='1' or ${income_third_lscheck}='1')</t>
  </si>
  <si>
    <t>ls_intro</t>
  </si>
  <si>
    <t xml:space="preserve">We will now ask you some questions about livestock production which apply to you and anyone in your household that is involved in livestock production or sales. </t>
  </si>
  <si>
    <t>Nous allons maintenant vous poser quelques questions sur la production animale. Ces questions  s'appliquent à vous et à toute personne de votre ménage impliquée dans la production ou la vente de bétail.</t>
  </si>
  <si>
    <t>select_one lsmain</t>
  </si>
  <si>
    <t>ls_main</t>
  </si>
  <si>
    <t>What has been the main animal your household raised for food and income generation in the last 12 months?</t>
  </si>
  <si>
    <t>Quel  animal votre ménage a-t-il principalement élevé pour se nourrir et générer des revenus au cours des 12 derniers mois ?</t>
  </si>
  <si>
    <t>[INSTRUCTIONS: SINGLE RESPONSE. ASK ABOUT THE MOST IMPORTANT ANIMAL ONLY.] [HINT: DON'T FORGET TO PROBE ABOUT TRANSHUMANCE - MOVING LIVESTOCK FROM ONE GRAZING GROUND TO ANOTHER.]</t>
  </si>
  <si>
    <t>[INSTRUCTIONS :  RÉPONSE UNIQUE. NE RETENIR QUE L'ANIMAL PRINCIPAL.]
[CONSEIL: N'OUBLIEZ PAS DE POSER DES QUESTIONS SUR LA TRANSHUMANCE - LE DÉPLACEMENT DU BÉTAIL D'UN PÂTURAGE À UN AUTRE.]</t>
  </si>
  <si>
    <t>lsmain</t>
  </si>
  <si>
    <t>jr:choice-name(${ls_main},'${ls_main}')</t>
  </si>
  <si>
    <t>ls_num_lastyr</t>
  </si>
  <si>
    <t>How many ${lsmain} did you have at the same time last year?</t>
  </si>
  <si>
    <t>Combien de ${lsmain} aviez-vousà la même period il y a un an ?</t>
  </si>
  <si>
    <t>[INSTRUCTIONS: RECORD THE NUMBER OF ANIMALS. ENTER 888 FOR DON'T KNOW AND 999 FOR REFUSED.]</t>
  </si>
  <si>
    <t>[INSTRUCTIONS :  SAISIR LE NOMBRE D'ANIMAUX. ENTREZ 888 POUR «NE SAIT PAS» ET 999 POUR «REFUSÉ».]</t>
  </si>
  <si>
    <t xml:space="preserve">. &gt;= 0 </t>
  </si>
  <si>
    <t>${ls_main} != '10' or ${ls_main} != '11'</t>
  </si>
  <si>
    <t>ls_num_now</t>
  </si>
  <si>
    <t>How many ${lsmain} do you have now?</t>
  </si>
  <si>
    <t>Combien de ${lsmain} avez-vous maintenant ?</t>
  </si>
  <si>
    <t>ls_num_diff</t>
  </si>
  <si>
    <t xml:space="preserve">Change in ${lsmain}: </t>
  </si>
  <si>
    <t xml:space="preserve">Différence de ${lsmain}: </t>
  </si>
  <si>
    <t>(${ls_main} != '10' or ${ls_main} != '11') and (${ls_num_lastyr} != '888' and ${ls_num_lastyr} != '999' and ${ls_num_now} != '888' and ${ls_num_now} != '999')</t>
  </si>
  <si>
    <t>${ls_num_now} - ${ls_num_lastyr}</t>
  </si>
  <si>
    <t>select_multiple lsnum</t>
  </si>
  <si>
    <t>ls_num</t>
  </si>
  <si>
    <t>Why did the number of livestock change?</t>
  </si>
  <si>
    <t>Pourquoi le nombre d’animaux que vous possédez a-t-il varié ?</t>
  </si>
  <si>
    <t xml:space="preserve">[INSTRUCTIONS :  PLUSIEURS RÉPONSES POSSIBLES.] </t>
  </si>
  <si>
    <t>if(selected(., 'inc_dec_dk') or selected(., 'inc_dec_ref'), count-selected(.) = 1, count-selected(.) &gt;= 1)</t>
  </si>
  <si>
    <t>select_multiple lsfood</t>
  </si>
  <si>
    <t>ls_food_supply</t>
  </si>
  <si>
    <t xml:space="preserve">Where do you usually access food for your ${lsmain}? </t>
  </si>
  <si>
    <t>Où vous procurez-vous habituellement l'alimentation pour votre ${lsmain} ?</t>
  </si>
  <si>
    <t>ls_proddif</t>
  </si>
  <si>
    <t>Has your household faced any difficulty with livestock production over the last 3 months?</t>
  </si>
  <si>
    <t>Votre ménage a-t-il rencontré des difficultés en matière d'élevage au cours des trois derniers mois ?</t>
  </si>
  <si>
    <t>select_multiple lsproddiff</t>
  </si>
  <si>
    <t>ls_proddif_</t>
  </si>
  <si>
    <t>Which difficulties has your household faced with livestock production in the last 3 months?</t>
  </si>
  <si>
    <t>Quelles ont été les principales difficultés rencontrées par votre ménage en matière d'élevage au cours des trois derniers mois ?</t>
  </si>
  <si>
    <t>[INSTRUCTIONS :  PLUSIEURS RÉPONSES POSSIBLES. SÉLECTIONNER LA OU LES OPTIONS QUI CORRESPONDENT LE MIEUX AUX INFORMATIONS PROPOSÉES PAR LES RÉPONDANTS]</t>
  </si>
  <si>
    <t>${ls_proddif}='1'</t>
  </si>
  <si>
    <t>select_multiple lsmain2</t>
  </si>
  <si>
    <t>ls_all</t>
  </si>
  <si>
    <t>Do you own any other livestock aside from ${lsmain}, and if so which ones?</t>
  </si>
  <si>
    <t>Possédez-vous d'autres animaux d'élevage en dehors de ${lsmain}, et si oui, lesquels ?</t>
  </si>
  <si>
    <t>[INSTRUCTIONS: "No other livestock" APPEARS AT THE END OF THE LIST OF OPTIONS. SELECT ALL LIVESTOCK LISTED BY THE RESPONDENT.]</t>
  </si>
  <si>
    <t>[INSTRUCTIONS :  "Pas d'autre bétail" FIGURE DANS LES DERNIÈRES OPTIONS DE RÉPONSE. SAISIR TOUS LES ANIMAUX ÉNUMÉRÉS PAR LE RÉPONDANT.]</t>
  </si>
  <si>
    <t>if(selected(., '10') or selected(., '11') or selected(.,'666'), count-selected(.) = 1, count-selected(.) &gt;= 1)</t>
  </si>
  <si>
    <t>${ls_main} != '10' and ${ls_main} != '11'</t>
  </si>
  <si>
    <t>not(selected(${ls_main}, name))</t>
  </si>
  <si>
    <t>LivestockSales_group</t>
  </si>
  <si>
    <t xml:space="preserve">LIVESTOCK &amp; LIVESTOCK PRODUCT MARKETING </t>
  </si>
  <si>
    <t>VENTE DE BÉTAIL ET DE PRODUITS D'ÉLEVAGE</t>
  </si>
  <si>
    <t>${resp_agree} = '1' and (${income_main}='4' or ${income_sec}='4' or ${income_third}='4')</t>
  </si>
  <si>
    <t>select_one salesmain</t>
  </si>
  <si>
    <t>ls_salesmain</t>
  </si>
  <si>
    <t>What has been the main livestock or livestock product sold by the household in the last 3 months?</t>
  </si>
  <si>
    <t>Quel a été le principal animal ou produit animal vendu par votre ménage au cours des trois derniers mois ?</t>
  </si>
  <si>
    <t>[INSTRUCTIONS :  RÉPONSE UNIQUE. INSISTER SUR LE PRODUIT PRINCIPAL.]</t>
  </si>
  <si>
    <t>lssalesmain</t>
  </si>
  <si>
    <t>jr:choice-name(${ls_salesmain},'${ls_salesmain}')</t>
  </si>
  <si>
    <t>ls_salesdif</t>
  </si>
  <si>
    <t>Has your household faced any difficulty in the last 3 months in selling your ${lssalesmain}?</t>
  </si>
  <si>
    <t>Votre ménage a-t-il rencontré des difficultés pour vendre sa ${ls_salesmain} au cours des trois derniers mois ?</t>
  </si>
  <si>
    <t>select_multiple lssalesdif</t>
  </si>
  <si>
    <t>ls_salesdif_</t>
  </si>
  <si>
    <t>Which difficulties has your household faced in the last 3 months in selling ${lssalesmain}?</t>
  </si>
  <si>
    <t>Quelles difficultés votre ménage a-t-il rencontrées au cours des trois derniers mois pour vendre sa principale production animale, ${lssalesmain} ?</t>
  </si>
  <si>
    <t>[INSTRUCTIONS :  PLUSIEURS RÉPONSES POSSIBLES. SÉLECTIONNER LA OU LES OPTIONS QUI CORRESPONDENT LE MIEUX AUX INFORMATIONS FOURNIES PAR LES PERSONNES INTERROGÉES.]</t>
  </si>
  <si>
    <t xml:space="preserve">${ls_salesdif} = '1' </t>
  </si>
  <si>
    <t>ls_salesprice</t>
  </si>
  <si>
    <r>
      <t xml:space="preserve">How does the current price of your household's ${lssalesmain} compare to the average price in the same period of </t>
    </r>
    <r>
      <rPr>
        <b/>
        <sz val="11"/>
        <color rgb="FF7030A0"/>
        <rFont val="Calibri (Body)"/>
      </rPr>
      <t>#reference year#</t>
    </r>
    <r>
      <rPr>
        <sz val="11"/>
        <rFont val="Calibri"/>
        <family val="2"/>
        <scheme val="minor"/>
      </rPr>
      <t xml:space="preserve">? </t>
    </r>
  </si>
  <si>
    <r>
      <t xml:space="preserve">Comment évaluez-vous le prix actuel de la principale production animale de votre ménage, ${lssalesmain}, par rapport au prix moyen sur la même période de </t>
    </r>
    <r>
      <rPr>
        <b/>
        <sz val="11"/>
        <color rgb="FF7030A0"/>
        <rFont val="Calibri (Body)"/>
      </rPr>
      <t>#reference year FR#</t>
    </r>
    <r>
      <rPr>
        <sz val="11"/>
        <rFont val="Calibri"/>
        <family val="2"/>
        <scheme val="minor"/>
      </rPr>
      <t xml:space="preserve"> ?</t>
    </r>
  </si>
  <si>
    <t>[INSTRUCTIONS :  RÉPONSE UNIQUE. INSISTER SUR LE PRINCIPAL PRODUIT MENTIONNÉ AUPARAVANT.]</t>
  </si>
  <si>
    <t>Fishing_group</t>
  </si>
  <si>
    <t>FISHING / AQUACULTURE PRODUCTION</t>
  </si>
  <si>
    <t>PRODUCTION PISCICOLE / AQUACOLE</t>
  </si>
  <si>
    <t>${resp_agree} = '1' and (${income_main_fishcheck}='1' or ${income_sec_fishcheck}='1' or ${income_third_fishcheck}='1')</t>
  </si>
  <si>
    <t>fish_intro</t>
  </si>
  <si>
    <t>We will now ask you some questions about fish and aquaculture production which apply to you and anyone in your household that is involved in the production or sales of fish/aquaculture.</t>
  </si>
  <si>
    <t>Nous allons maintenant vous poser quelques questions sur la production piscicole et aquacole. Ces questions s'appliquent à vous et à toute personne de votre foyer impliquée dans la production ou la vente de poisson/aquaculture.</t>
  </si>
  <si>
    <t>select_multiple fishactivity</t>
  </si>
  <si>
    <t>fish_main</t>
  </si>
  <si>
    <t>What type of fishing activity does your household generally practice?</t>
  </si>
  <si>
    <t>Quel type de pêche votre ménage pratique-t-il généralement ?</t>
  </si>
  <si>
    <t>[INSTRUCTIONS: MUTIPLE RESPONSES POSSIBLE.]</t>
  </si>
  <si>
    <t>fish_change</t>
  </si>
  <si>
    <t>How does your fish production / catch in the last 3 months compare to the same period last year?</t>
  </si>
  <si>
    <t>Comment évaluez-vous votre production / capture de poissons au cours des trois derniers mois par rapport à la même période de l'année dernière ?</t>
  </si>
  <si>
    <t>[INSTRUCTIONS: SINGLE RESPONSE]</t>
  </si>
  <si>
    <t>fish_proddif</t>
  </si>
  <si>
    <t>Has your household faced any difficulty with fisheries and aquaculture production in the last 3 months?</t>
  </si>
  <si>
    <t>Votre ménage a-t-il rencontré des difficultés dans ses activités piscicoles et/ou aquacoles au cours des trois derniers mois ?</t>
  </si>
  <si>
    <t>select_multiple fishproddiff</t>
  </si>
  <si>
    <t>fish_proddif_</t>
  </si>
  <si>
    <t>Which difficulties has your household faced with fisheries and aquaculture production in the last 3 months?</t>
  </si>
  <si>
    <t>Quelles difficultés votre ménage a-t-il rencontrées en matière de production piscicole et aquacole au cours des trois derniers mois ?</t>
  </si>
  <si>
    <t>[INSTRUCTIONS :  PLUSIEURS RÉPONSES POSSIBLES. SÉLECTIONNER LA OU LES OPTIONS QUI CORRESPONDENT LE MIEUX AUX INFORMATIONS PROPOSÉES PAR LES RÉPONDANTS].</t>
  </si>
  <si>
    <t>${fish_proddif}='1'</t>
  </si>
  <si>
    <t>fish_proddif_otherspecify</t>
  </si>
  <si>
    <t>${fish_proddif} = '1' and selected(${fish_proddif_}, 'other')</t>
  </si>
  <si>
    <t>select_multiple fishinput</t>
  </si>
  <si>
    <t>fish_inputdif</t>
  </si>
  <si>
    <t>Which fishing material or input has your household been having difficulties to access in the last 3 months?</t>
  </si>
  <si>
    <t>Quel matériel ou intrant piscicole votre ménage a-t-il eu des difficultés à se procurer au cours des trois derniers mois ?</t>
  </si>
  <si>
    <t>${fish_proddif} = '1' and selected(${fish_proddif_}, 'inputs')</t>
  </si>
  <si>
    <t>fish_inputdif_otherspecify</t>
  </si>
  <si>
    <t>${fish_inputdif} = 'other'</t>
  </si>
  <si>
    <t>FishSales_group</t>
  </si>
  <si>
    <t xml:space="preserve">FISHING / AQUACULTURE MARKETING </t>
  </si>
  <si>
    <t>VENTES DE POISSON</t>
  </si>
  <si>
    <t>${resp_agree} = '1' and (${income_main}='5' or ${income_sec}='5' or ${income_third}='5')</t>
  </si>
  <si>
    <t>select_one fishsales</t>
  </si>
  <si>
    <t>fish_salesmain</t>
  </si>
  <si>
    <t>What has been the main fish product sold by your household in the last 3 months?</t>
  </si>
  <si>
    <t>Quel a été le principal produit piscicole vendu par votre ménage au cours des trois derniers mois ?</t>
  </si>
  <si>
    <t>fishsalesmain</t>
  </si>
  <si>
    <t>jr:choice-name(${fish_salesmain},'${fish_salesmain}')</t>
  </si>
  <si>
    <t>fish_salesmain_otherspecify</t>
  </si>
  <si>
    <t>selected(${fish_salesmain} , '5')</t>
  </si>
  <si>
    <t>fish_salesdif</t>
  </si>
  <si>
    <t>Has your household faced any difficulty in the last 3 months in selling your ${fishsalesmain} ?</t>
  </si>
  <si>
    <t>Votre ménage a-t-il rencontré des difficultés pour vendre vos ${fishsalesmain} au cours des trois derniers mois ?</t>
  </si>
  <si>
    <t>select_multiple fishsalesdif</t>
  </si>
  <si>
    <t>fish_saledif</t>
  </si>
  <si>
    <t>What difficulties, if any, has your household faced to sell the ${fishsalesmain} product in the last 3 months?</t>
  </si>
  <si>
    <t>Quelles difficultés votre ménage a-t-il rencontrées au cours des trois derniers mois pour vendre le ${fishsalesmain} ?</t>
  </si>
  <si>
    <t>[INSTRUCTIONS :  PLUSIEURS RÉPONSES POSSIBLES. SÉLECTIONNEZ LA OU LES OPTIONS QUI CORRESPONDENT LE MIEUX AUX INFORMATIONS FOURNIES PAR LES PERSONNES INTERROGÉES.]</t>
  </si>
  <si>
    <t xml:space="preserve">${fish_salesdif} = '1' </t>
  </si>
  <si>
    <t>fish_salesdif_otherspecify</t>
  </si>
  <si>
    <t>selected(${fish_saledif}, 'other')</t>
  </si>
  <si>
    <t>fish_salesprice</t>
  </si>
  <si>
    <r>
      <t xml:space="preserve">How does the current price of your household's ${fishsalesmain} compare to the average price in the same period of </t>
    </r>
    <r>
      <rPr>
        <b/>
        <sz val="11"/>
        <color rgb="FF7030A0"/>
        <rFont val="Calibri (Body)"/>
      </rPr>
      <t>#reference year#</t>
    </r>
    <r>
      <rPr>
        <sz val="11"/>
        <rFont val="Calibri"/>
        <family val="2"/>
        <scheme val="minor"/>
      </rPr>
      <t xml:space="preserve">? </t>
    </r>
  </si>
  <si>
    <r>
      <t xml:space="preserve">Comment évaluez-vous le prix actuel de vos ${fishsalesmain} vendus par votre ménage par rapport au prix moyen sur la même période de </t>
    </r>
    <r>
      <rPr>
        <b/>
        <sz val="11"/>
        <color rgb="FF7030A0"/>
        <rFont val="Calibri (Body)"/>
      </rPr>
      <t>#reference year FR#</t>
    </r>
    <r>
      <rPr>
        <sz val="11"/>
        <color theme="1"/>
        <rFont val="Calibri"/>
        <family val="2"/>
        <scheme val="minor"/>
      </rPr>
      <t xml:space="preserve"> ? </t>
    </r>
  </si>
  <si>
    <t>FSI</t>
  </si>
  <si>
    <t>FOOD SECURITY INDICATORS</t>
  </si>
  <si>
    <t>INDICATEURS DE SÉCURITÉ ALIMENTAIRE</t>
  </si>
  <si>
    <t>intro_foodsec</t>
  </si>
  <si>
    <t>Now I would like to ask you some questions about food consumption, food utilization and coping mechanisms. Make sure to refer to the correct time period for each set of questions.</t>
  </si>
  <si>
    <t xml:space="preserve">Je vais maintenant vous poser quelques questions sur votre consommation de nourriture, l'utilisation de la nourriture et les mécanismes d'adaptation. Attention à vous référer à la bonne période pour chaque série de questions. </t>
  </si>
  <si>
    <t>intro_fies</t>
  </si>
  <si>
    <t>FIES</t>
  </si>
  <si>
    <t>fies</t>
  </si>
  <si>
    <t xml:space="preserve">The first set of questions refers to experiences faced by your or any of your household members over the past 30 days. </t>
  </si>
  <si>
    <t>La première série de questions concerne les expériences auxquelles vous ou l'un des membres de votre foyer avez été confrontés au cours des 30 derniers jours.</t>
  </si>
  <si>
    <t>fies_worried</t>
  </si>
  <si>
    <r>
      <t>During the *last 30 days*, was there a time when you or others in your household were **</t>
    </r>
    <r>
      <rPr>
        <u/>
        <sz val="11"/>
        <color theme="1"/>
        <rFont val="Calibri"/>
        <family val="2"/>
        <scheme val="minor"/>
      </rPr>
      <t>worried about not having enough food to eat</t>
    </r>
    <r>
      <rPr>
        <sz val="11"/>
        <color theme="1"/>
        <rFont val="Calibri"/>
        <family val="2"/>
        <scheme val="minor"/>
      </rPr>
      <t>** because of lack of money or other resources?</t>
    </r>
  </si>
  <si>
    <r>
      <t>Au cours de ces *30 derniers jours*, vous ou un autre membre de votre ménage avez-vous été **</t>
    </r>
    <r>
      <rPr>
        <u/>
        <sz val="11"/>
        <rFont val="Calibri"/>
        <family val="2"/>
        <scheme val="minor"/>
      </rPr>
      <t>inquiets de ne pas avoir suffisamment de nourriture</t>
    </r>
    <r>
      <rPr>
        <sz val="11"/>
        <rFont val="Calibri"/>
        <family val="2"/>
        <scheme val="minor"/>
      </rPr>
      <t>** par manque d’argent ou d’autres ressources ?</t>
    </r>
  </si>
  <si>
    <t>fies_healthy</t>
  </si>
  <si>
    <r>
      <t>During the *last 30 days*, was there a time when you or others in your household were **</t>
    </r>
    <r>
      <rPr>
        <u/>
        <sz val="11"/>
        <color theme="1"/>
        <rFont val="Calibri"/>
        <family val="2"/>
        <scheme val="minor"/>
      </rPr>
      <t>unable to eat healthy and nutritious food</t>
    </r>
    <r>
      <rPr>
        <sz val="11"/>
        <color theme="1"/>
        <rFont val="Calibri"/>
        <family val="2"/>
        <scheme val="minor"/>
      </rPr>
      <t>** because of lack of money or other resources?</t>
    </r>
  </si>
  <si>
    <r>
      <t>Au cours des *30 derniers jours*, vous ou un autre membre de votre ménage n'avez-vous **</t>
    </r>
    <r>
      <rPr>
        <u/>
        <sz val="11"/>
        <rFont val="Calibri"/>
        <family val="2"/>
        <scheme val="minor"/>
      </rPr>
      <t>pas pu manger une nourriture saine et nutritive</t>
    </r>
    <r>
      <rPr>
        <sz val="11"/>
        <rFont val="Calibri"/>
        <family val="2"/>
        <scheme val="minor"/>
      </rPr>
      <t>** par manque d’argent ou d’autres ressources ?</t>
    </r>
  </si>
  <si>
    <t>fies_fewfoods</t>
  </si>
  <si>
    <r>
      <t>During the *last 30 days*, was there a time when you or others in your household **</t>
    </r>
    <r>
      <rPr>
        <u/>
        <sz val="11"/>
        <color theme="1"/>
        <rFont val="Calibri"/>
        <family val="2"/>
        <scheme val="minor"/>
      </rPr>
      <t>ate only a few kinds of foods</t>
    </r>
    <r>
      <rPr>
        <sz val="11"/>
        <color theme="1"/>
        <rFont val="Calibri"/>
        <family val="2"/>
        <scheme val="minor"/>
      </rPr>
      <t>** because of lack of money or other resources?</t>
    </r>
  </si>
  <si>
    <r>
      <t>Au cours des *30 derniers jours*, vous ou un autre membre de votre ménage avez-vous **</t>
    </r>
    <r>
      <rPr>
        <u/>
        <sz val="11"/>
        <rFont val="Calibri"/>
        <family val="2"/>
        <scheme val="minor"/>
      </rPr>
      <t>mangé une nourriture peu variée</t>
    </r>
    <r>
      <rPr>
        <sz val="11"/>
        <rFont val="Calibri"/>
        <family val="2"/>
        <scheme val="minor"/>
      </rPr>
      <t>** par manque d’argent ou d’autres ressources ?</t>
    </r>
  </si>
  <si>
    <t>fies_skipped</t>
  </si>
  <si>
    <r>
      <t>During the *last 30 days*, was there a time when you or others in your household **</t>
    </r>
    <r>
      <rPr>
        <u/>
        <sz val="11"/>
        <color theme="1"/>
        <rFont val="Calibri"/>
        <family val="2"/>
        <scheme val="minor"/>
      </rPr>
      <t>had to skip a meal</t>
    </r>
    <r>
      <rPr>
        <sz val="11"/>
        <color theme="1"/>
        <rFont val="Calibri"/>
        <family val="2"/>
        <scheme val="minor"/>
      </rPr>
      <t>** because of lack of money or other resources to get food?</t>
    </r>
  </si>
  <si>
    <r>
      <t>Au cours des *30 derniers jours*, vous ou un autre membre de votre ménage avez-vous **</t>
    </r>
    <r>
      <rPr>
        <u/>
        <sz val="11"/>
        <rFont val="Calibri"/>
        <family val="2"/>
        <scheme val="minor"/>
      </rPr>
      <t>dû sauter un repas</t>
    </r>
    <r>
      <rPr>
        <sz val="11"/>
        <rFont val="Calibri"/>
        <family val="2"/>
        <scheme val="minor"/>
      </rPr>
      <t>** parce que vous n’aviez pas assez d’argent ou d’autres ressources pour vous procurer à manger ?</t>
    </r>
  </si>
  <si>
    <t>fies_ateless</t>
  </si>
  <si>
    <r>
      <t>During the *last 30 days*, was there a time when you or others in your household **</t>
    </r>
    <r>
      <rPr>
        <u/>
        <sz val="11"/>
        <color theme="1"/>
        <rFont val="Calibri"/>
        <family val="2"/>
        <scheme val="minor"/>
      </rPr>
      <t>ate less than you thought you should</t>
    </r>
    <r>
      <rPr>
        <sz val="11"/>
        <color theme="1"/>
        <rFont val="Calibri"/>
        <family val="2"/>
        <scheme val="minor"/>
      </rPr>
      <t>** because of lack of money or other resources?</t>
    </r>
  </si>
  <si>
    <r>
      <t>Au cours des *30 derniers jours*, y-a-t-il eu des moments lors desquels vous ou d'autre membre de votre ménage avez **</t>
    </r>
    <r>
      <rPr>
        <u/>
        <sz val="11"/>
        <rFont val="Calibri"/>
        <family val="2"/>
        <scheme val="minor"/>
      </rPr>
      <t>mangé moins que ce que vous pensiez que auriez dû manger</t>
    </r>
    <r>
      <rPr>
        <sz val="11"/>
        <rFont val="Calibri"/>
        <family val="2"/>
        <scheme val="minor"/>
      </rPr>
      <t>** à cause d'un manque d'argent ou d'autres ressources ?</t>
    </r>
  </si>
  <si>
    <t>fies_ranout</t>
  </si>
  <si>
    <r>
      <t>In the *past 30 days*, was there ever **</t>
    </r>
    <r>
      <rPr>
        <u/>
        <sz val="11"/>
        <color theme="1"/>
        <rFont val="Calibri"/>
        <family val="2"/>
        <scheme val="minor"/>
      </rPr>
      <t>no food to eat of any kind</t>
    </r>
    <r>
      <rPr>
        <sz val="11"/>
        <color theme="1"/>
        <rFont val="Calibri"/>
        <family val="2"/>
        <scheme val="minor"/>
      </rPr>
      <t>** in your house because of lack of resources to get food?</t>
    </r>
  </si>
  <si>
    <r>
      <t>Au cours des *30 derniers jours*, y a-t-il parfois eu plus **</t>
    </r>
    <r>
      <rPr>
        <u/>
        <sz val="11"/>
        <rFont val="Calibri"/>
        <family val="2"/>
        <scheme val="minor"/>
      </rPr>
      <t>aucune nourriture à manger</t>
    </r>
    <r>
      <rPr>
        <sz val="11"/>
        <rFont val="Calibri"/>
        <family val="2"/>
        <scheme val="minor"/>
      </rPr>
      <t>**, de quelque nature que ce soit, dans votre foyer, en raison du manque de ressources pour se procurer de la nourriture ?</t>
    </r>
  </si>
  <si>
    <t>select_one frequency</t>
  </si>
  <si>
    <t>fies_ranout_hhs</t>
  </si>
  <si>
    <t xml:space="preserve">How often did this happen? </t>
  </si>
  <si>
    <t>Combien de fois cela s'est-il produit ?</t>
  </si>
  <si>
    <t>${fies_ranout} = '1'</t>
  </si>
  <si>
    <t>fies_hungry</t>
  </si>
  <si>
    <r>
      <t>In the *past 30 days*, did you or any household member ever **</t>
    </r>
    <r>
      <rPr>
        <u/>
        <sz val="11"/>
        <rFont val="Calibri"/>
        <family val="2"/>
        <scheme val="minor"/>
      </rPr>
      <t>go to sleep at night hungry</t>
    </r>
    <r>
      <rPr>
        <sz val="11"/>
        <rFont val="Calibri"/>
        <family val="2"/>
        <scheme val="minor"/>
      </rPr>
      <t>**because there was not enough food?</t>
    </r>
  </si>
  <si>
    <r>
      <t>Au cours des *30 derniers jours*, êtiez-vous ou tout membre de votre ménage **</t>
    </r>
    <r>
      <rPr>
        <u/>
        <sz val="11"/>
        <rFont val="Calibri"/>
        <family val="2"/>
        <scheme val="minor"/>
      </rPr>
      <t>obligé de dormir affamé le soir</t>
    </r>
    <r>
      <rPr>
        <sz val="11"/>
        <rFont val="Calibri"/>
        <family val="2"/>
        <scheme val="minor"/>
      </rPr>
      <t>** parce qu'il n'y avait pas assez de nourriture ?</t>
    </r>
  </si>
  <si>
    <t>fies_hungry_hhs</t>
  </si>
  <si>
    <t>${fies_hungry} = '1'</t>
  </si>
  <si>
    <t>fies_whlday</t>
  </si>
  <si>
    <r>
      <t>In the *past 30 days*, did you or any household member ever **</t>
    </r>
    <r>
      <rPr>
        <u/>
        <sz val="11"/>
        <rFont val="Calibri"/>
        <family val="2"/>
        <scheme val="minor"/>
      </rPr>
      <t>go a whole day and night without eating anything at all</t>
    </r>
    <r>
      <rPr>
        <sz val="11"/>
        <rFont val="Calibri"/>
        <family val="2"/>
        <scheme val="minor"/>
      </rPr>
      <t>** because there was not enough food?</t>
    </r>
  </si>
  <si>
    <r>
      <t>Au cours des *30 derniers jours*, avez-vous ou tout membre de votre ménage passé **</t>
    </r>
    <r>
      <rPr>
        <u/>
        <sz val="11"/>
        <rFont val="Calibri"/>
        <family val="2"/>
        <scheme val="minor"/>
      </rPr>
      <t>une journée et une nuit entières sans rien manger</t>
    </r>
    <r>
      <rPr>
        <sz val="11"/>
        <rFont val="Calibri"/>
        <family val="2"/>
        <scheme val="minor"/>
      </rPr>
      <t>** parce qu'il n'y avait pas assez de nourriture ?</t>
    </r>
  </si>
  <si>
    <t>fies_whlday_hhs</t>
  </si>
  <si>
    <t>${fies_whlday} = '1'</t>
  </si>
  <si>
    <t>intro_cs</t>
  </si>
  <si>
    <t>LCSI</t>
  </si>
  <si>
    <t>copingstrategies</t>
  </si>
  <si>
    <t xml:space="preserve">Now I would like to ask you about the 2nd set of questions on coping strategies, referring to the *past 30 days*. Think about whether you or anyone in your household had to resort to the following strategies that you would otherwise avoid because you **did not have enough food or money to feed the household members**. </t>
  </si>
  <si>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parce que vous n'aviez **pas assez de nourriture ou d'argent pour nourrir les membres du ménage**. </t>
  </si>
  <si>
    <t>select_one coping</t>
  </si>
  <si>
    <t>cs_stress_hh_assets</t>
  </si>
  <si>
    <t>**Sell household assets/goods** (radio, furniture, television, jewelry etc.)</t>
  </si>
  <si>
    <t>**Vendre des actifs/biens ménagers** (radio, meubles, télévision, bijoux, etc.)</t>
  </si>
  <si>
    <t>cs_stress_spent_savings</t>
  </si>
  <si>
    <t>**Spend savings**</t>
  </si>
  <si>
    <t>**Dépenser l'épargne**</t>
  </si>
  <si>
    <t>cs_stress_sold_more_animals</t>
  </si>
  <si>
    <t>**Sell more animals (non-reproductive) than usual**</t>
  </si>
  <si>
    <t>**Vendre plus d'animaux (non productifs) que d'habitude**</t>
  </si>
  <si>
    <t>cs_stress_eat_elsewhere</t>
  </si>
  <si>
    <t>**Send household members to eat elsewhere**</t>
  </si>
  <si>
    <t>**Envoyer les membres du ménage manger ailleurs**</t>
  </si>
  <si>
    <t>cs_stress_borrowed_or_helped</t>
  </si>
  <si>
    <t>**Borrow food or relied on help from friends or relatives **</t>
  </si>
  <si>
    <t>**Emprunter de la nourriture ou compter sur l'aide d'amis ou de parents **</t>
  </si>
  <si>
    <t>cs_stress_credit</t>
  </si>
  <si>
    <t>**Purchase food on credit or borrowed food**</t>
  </si>
  <si>
    <t>**Acheter de la nourriture à crédit ou emprunter de la nourriture**</t>
  </si>
  <si>
    <t>cs_stress_borrowed_money</t>
  </si>
  <si>
    <t>**Borrow money**</t>
  </si>
  <si>
    <t>**Emprunter de l'argent**</t>
  </si>
  <si>
    <t>cs_stress_changed_school</t>
  </si>
  <si>
    <t>**Move children to less expensive school**</t>
  </si>
  <si>
    <t>**Mettre les enfants dans une école moins chère**</t>
  </si>
  <si>
    <t>cs_crisis_sold_prod_assets</t>
  </si>
  <si>
    <t>**Sell productive assets or means of transport** (sewing machine, wheelbarrow, bicycle, car, etc.)</t>
  </si>
  <si>
    <t>**Vendre des biens actifs ou de moyens de transport** (machine à coudre, charrette vélo, voiture, etc.)</t>
  </si>
  <si>
    <t>cs_crisis_no_school</t>
  </si>
  <si>
    <t>**Withdraw children from school**</t>
  </si>
  <si>
    <t>**Retirer les enfants de l'école**</t>
  </si>
  <si>
    <t>cs_crisis_reduced_health_exp</t>
  </si>
  <si>
    <t>**Reduce expenses on health** (including drugs)</t>
  </si>
  <si>
    <r>
      <t>**Réduire les dépenses de santé** (dont les médicaments)</t>
    </r>
    <r>
      <rPr>
        <b/>
        <sz val="11"/>
        <color rgb="FFFF0000"/>
        <rFont val="Calibri"/>
        <family val="2"/>
        <scheme val="minor"/>
      </rPr>
      <t xml:space="preserve"> </t>
    </r>
  </si>
  <si>
    <t>cs_crisis_harv_immature_crops</t>
  </si>
  <si>
    <t>**Harvest immature crops (e.g. green maize) to eat**</t>
  </si>
  <si>
    <t>**Récolte de culture non arrivées à maturité** (par exemple, le maïs vert) pour les manger</t>
  </si>
  <si>
    <t>cs_crisis_consumed_seed_stocks</t>
  </si>
  <si>
    <t>**Consume seed stocks that were to be saved for the next planting season**</t>
  </si>
  <si>
    <t>**Consommer des stocks de semence qui devaient être gardés pour la prochaine saison agricole**</t>
  </si>
  <si>
    <t>cs_crisis_decr_agric_input_exp</t>
  </si>
  <si>
    <t>**Decrease expenditures on fertilizer, pesticide, fodder, animal feed, veterinary care, etc.**</t>
  </si>
  <si>
    <t>**Diminuer les dépenses de fertilisants, pesticides, fourrage, aliments pour animaux, soins vétérinaires, etc.**</t>
  </si>
  <si>
    <t>cs_emergency_sold_house</t>
  </si>
  <si>
    <t>**Sell house or land**</t>
  </si>
  <si>
    <t>**Vendre sa maison ou des terres**</t>
  </si>
  <si>
    <t>cs_emergency_begged</t>
  </si>
  <si>
    <t>**Beg**</t>
  </si>
  <si>
    <t>**Mendier**</t>
  </si>
  <si>
    <t>cs_emergency_illegal</t>
  </si>
  <si>
    <t>**Engage in illegal or degrading income activities** (theft, prostitution)</t>
  </si>
  <si>
    <t>**S'engager dans des activités illégales ou dégradantes** (vol, prostitution) pour générer un revenu</t>
  </si>
  <si>
    <t>cs_emergency_sold_last_female</t>
  </si>
  <si>
    <t>**Sell last female animals**</t>
  </si>
  <si>
    <t>**Vendre les dernières animaux femelles**</t>
  </si>
  <si>
    <t>cs_emergency_hh_migration</t>
  </si>
  <si>
    <t>**Migrate with the entire household**</t>
  </si>
  <si>
    <t>**Migration de l'entièreté du ménage**</t>
  </si>
  <si>
    <t>hdds</t>
  </si>
  <si>
    <t>HDDS</t>
  </si>
  <si>
    <t>hdds_intro</t>
  </si>
  <si>
    <t>Now I would like to ask you about the 3rd set of questions on food consumption, referring to the *24 hours of yesterday*.</t>
  </si>
  <si>
    <t xml:space="preserve">Je voudrais maintenant vous poser une troisième série de questions sur votre consommation alimentaire, avec comme référence les *24 dernières heures*. </t>
  </si>
  <si>
    <t>select_multiple hdds</t>
  </si>
  <si>
    <t>hdds_</t>
  </si>
  <si>
    <t>Please describe the foods (meals and snacks) that you or any household member ate or drank at home yesterday (in the *24 hours of yesterday*: breakfast, lunch, dinner and snacks).</t>
  </si>
  <si>
    <t>Veuillez décrire les aliments (repas et collations) que vous ou l'un des membres du ménage avez consommés à la maison au cours de la journée d’hier (dans les *24 dernières heures:* petit-déjeuner, déjeuner, dîner et collations).</t>
  </si>
  <si>
    <t>[INSTRUCTIONS: SELECT ALL FOOD GROUPS CONSUMED IN THE 24 HOURS OF YESTERDAY AS THE RESPONDENT ANSWERS. MULTIPLE RESPONSES POSSIBLE.]</t>
  </si>
  <si>
    <t>[INSTRUCTIONS :  SÉLECTIONNER TOUS LES GROUPES D'ALIMENTS CONSOMMÉS AU COURS DES 24 HEURES DE LA JOURNÉE PASSÉE DANS LES RÉPONSES DE LA PERSONNE INTERROGÉE. PLUSIEURS RÉPONSES POSSIBLES.]</t>
  </si>
  <si>
    <t>hdds_confirmation</t>
  </si>
  <si>
    <t>[INSTRUCTIONS: Remember to probe for snacks, special foods given to children or pregnant women, ingredients in mixed dishes. At the end, probe for any food groups not specified.]</t>
  </si>
  <si>
    <t>[INSTRUCTIONS : Ne pas oublier de demander des informations sur les collations, les aliments spéciaux donnés aux enfants ou aux femmes enceintes, les ingrédients contenus dans les plats composés. À la fin, renseignez-vous sur les groupes d'aliments non consommés.]</t>
  </si>
  <si>
    <t>intro_fcs</t>
  </si>
  <si>
    <t>FCS</t>
  </si>
  <si>
    <t>fcs_intro</t>
  </si>
  <si>
    <t>Now I would like to ask you about the foods and drinks your household ate or drank in  *the last 7 days* during the day and at night [breakfast, lunch, dinner, snacks].</t>
  </si>
  <si>
    <t>Je voudrais maintenant vous interroger sur les aliments et les boissons consommés dans votre ménage au cours des *7 derniers jours* pendant la journée et la nuit [petit-déjeuner, déjeuner, dîner, collation].</t>
  </si>
  <si>
    <t>fcs_staple_days</t>
  </si>
  <si>
    <t>How many days over *the last 7 days*, did members of your household eat **starches, roots and tubers** such as rice, maize, pasta, bread, sorghum, millet, potato, yam, cassava, white sweet potato?</t>
  </si>
  <si>
    <r>
      <t>Combien de fois (en nombre de jours) au cours des *</t>
    </r>
    <r>
      <rPr>
        <b/>
        <sz val="11"/>
        <color theme="0" tint="-0.34998626667073579"/>
        <rFont val="Calibri"/>
        <family val="2"/>
        <scheme val="minor"/>
      </rPr>
      <t>7 derniers jours</t>
    </r>
    <r>
      <rPr>
        <sz val="11"/>
        <color theme="0" tint="-0.34998626667073579"/>
        <rFont val="Calibri"/>
        <family val="2"/>
        <scheme val="minor"/>
      </rPr>
      <t>*, les membres de votre foyer ont-ils mangé des **féculents, racines et tubercules** tels que du riz, du maïs, des pâtes, du pain, du sorgho, du mil, des pommes de terre, des ignames, du manioc, des patates douces blanches ?</t>
    </r>
  </si>
  <si>
    <t>[INSTRUCTIONS: RECORD NUMBER OF DAYS 0 - 7]</t>
  </si>
  <si>
    <t>[INSTRUCTIONS :  SAISIR LE NOMBRE DE JOURS DE 0 À 7]</t>
  </si>
  <si>
    <t>.&gt;= 0 and .&lt;=7</t>
  </si>
  <si>
    <t>The answer must be between 0 and 7 days</t>
  </si>
  <si>
    <t>fcs_pulses_days</t>
  </si>
  <si>
    <t>How many days over *the last 7 days*, did members of your household eat** pulses and nuts such as beans, lentils, cowpeas, soybean, pigeon peas and peanuts or other nuts**?</t>
  </si>
  <si>
    <r>
      <t>Combien de fois (en nombre de jours) au cours des *</t>
    </r>
    <r>
      <rPr>
        <b/>
        <sz val="11"/>
        <color theme="0" tint="-0.34998626667073579"/>
        <rFont val="Calibri"/>
        <family val="2"/>
        <scheme val="minor"/>
      </rPr>
      <t>7 derniers jours</t>
    </r>
    <r>
      <rPr>
        <sz val="11"/>
        <color theme="0" tint="-0.34998626667073579"/>
        <rFont val="Calibri"/>
        <family val="2"/>
        <scheme val="minor"/>
      </rPr>
      <t>*, les membres de votre foyer ont-ils mangé des **légumineuses et des fruits à coque** tels que des haricots, des lentilles, du niébé, du soja, des pois cajan, des cacahuètes ou d'autres fruits à coque ?</t>
    </r>
  </si>
  <si>
    <t>fcs_veg_days</t>
  </si>
  <si>
    <r>
      <t>How many days over *the last 7 days*, did members of your household eat **vegetables or leaves** such as</t>
    </r>
    <r>
      <rPr>
        <b/>
        <sz val="11"/>
        <color rgb="FF7030A0"/>
        <rFont val="Calibri"/>
        <family val="2"/>
        <scheme val="minor"/>
      </rPr>
      <t xml:space="preserve"> #local vegetables#</t>
    </r>
    <r>
      <rPr>
        <sz val="11"/>
        <color theme="0" tint="-0.34998626667073579"/>
        <rFont val="Calibri"/>
        <family val="2"/>
        <scheme val="minor"/>
      </rPr>
      <t xml:space="preserve"> and/or other leaves/vegetables?</t>
    </r>
  </si>
  <si>
    <r>
      <rPr>
        <sz val="11"/>
        <color theme="0" tint="-0.34998626667073579"/>
        <rFont val="Calibri"/>
        <family val="2"/>
        <scheme val="minor"/>
      </rPr>
      <t>Combien de fois (en nombre de jours) au cours des *</t>
    </r>
    <r>
      <rPr>
        <b/>
        <sz val="11"/>
        <color theme="0" tint="-0.34998626667073579"/>
        <rFont val="Calibri"/>
        <family val="2"/>
        <scheme val="minor"/>
      </rPr>
      <t>7 derniers jours</t>
    </r>
    <r>
      <rPr>
        <sz val="11"/>
        <color theme="0" tint="-0.34998626667073579"/>
        <rFont val="Calibri"/>
        <family val="2"/>
        <scheme val="minor"/>
      </rPr>
      <t xml:space="preserve">*, les membres de votre foyer ont-ils mangé des **légumes ou des feuilles** tels que des </t>
    </r>
    <r>
      <rPr>
        <b/>
        <sz val="11"/>
        <color rgb="FF7030A0"/>
        <rFont val="Calibri"/>
        <family val="2"/>
        <scheme val="minor"/>
      </rPr>
      <t>#légumes locaux#</t>
    </r>
    <r>
      <rPr>
        <sz val="11"/>
        <color theme="1"/>
        <rFont val="Calibri"/>
        <family val="2"/>
        <scheme val="minor"/>
      </rPr>
      <t xml:space="preserve"> </t>
    </r>
    <r>
      <rPr>
        <sz val="11"/>
        <color theme="0" tint="-0.34998626667073579"/>
        <rFont val="Calibri"/>
        <family val="2"/>
        <scheme val="minor"/>
      </rPr>
      <t>et/ou d'autres feuilles/légumes ?</t>
    </r>
  </si>
  <si>
    <t>fcs_fruit_days</t>
  </si>
  <si>
    <r>
      <t xml:space="preserve">How many days over *the last 7 days*, did members of your household eat **fruits** such as </t>
    </r>
    <r>
      <rPr>
        <sz val="11"/>
        <color rgb="FF7030A0"/>
        <rFont val="Calibri"/>
        <family val="2"/>
        <scheme val="minor"/>
      </rPr>
      <t>#</t>
    </r>
    <r>
      <rPr>
        <b/>
        <sz val="11"/>
        <color rgb="FF7030A0"/>
        <rFont val="Calibri"/>
        <family val="2"/>
        <scheme val="minor"/>
      </rPr>
      <t>local fruits#</t>
    </r>
    <r>
      <rPr>
        <sz val="11"/>
        <color theme="0" tint="-0.34998626667073579"/>
        <rFont val="Calibri"/>
        <family val="2"/>
        <scheme val="minor"/>
      </rPr>
      <t xml:space="preserve"> and/or other fruits?</t>
    </r>
  </si>
  <si>
    <r>
      <rPr>
        <sz val="11"/>
        <color theme="0" tint="-0.34998626667073579"/>
        <rFont val="Calibri"/>
        <family val="2"/>
        <scheme val="minor"/>
      </rPr>
      <t>Combien de fois (en nombre de jours) au cours des *</t>
    </r>
    <r>
      <rPr>
        <b/>
        <sz val="11"/>
        <color theme="0" tint="-0.34998626667073579"/>
        <rFont val="Calibri"/>
        <family val="2"/>
        <scheme val="minor"/>
      </rPr>
      <t>7 derniers jours</t>
    </r>
    <r>
      <rPr>
        <sz val="11"/>
        <color theme="0" tint="-0.34998626667073579"/>
        <rFont val="Calibri"/>
        <family val="2"/>
        <scheme val="minor"/>
      </rPr>
      <t>*, les membres de votre foyer ont-ils mangé des **fruits** tels que des</t>
    </r>
    <r>
      <rPr>
        <sz val="11"/>
        <color theme="1"/>
        <rFont val="Calibri"/>
        <family val="2"/>
        <scheme val="minor"/>
      </rPr>
      <t xml:space="preserve"> </t>
    </r>
    <r>
      <rPr>
        <b/>
        <sz val="11"/>
        <color rgb="FF7030A0"/>
        <rFont val="Calibri"/>
        <family val="2"/>
        <scheme val="minor"/>
      </rPr>
      <t>#fruits locaux#</t>
    </r>
    <r>
      <rPr>
        <sz val="11"/>
        <color theme="1"/>
        <rFont val="Calibri"/>
        <family val="2"/>
        <scheme val="minor"/>
      </rPr>
      <t xml:space="preserve"> </t>
    </r>
    <r>
      <rPr>
        <sz val="11"/>
        <color theme="0" tint="-0.34998626667073579"/>
        <rFont val="Calibri"/>
        <family val="2"/>
        <scheme val="minor"/>
      </rPr>
      <t>et/ou d'autres fruits ?</t>
    </r>
  </si>
  <si>
    <t>fcs_meat_fish_days</t>
  </si>
  <si>
    <t>How many days over *the last 7 days*, did members of your household eat **meat, eggs or fish** [any type of meat or fish including insects, birds, bush meat, seafood, or organs]?</t>
  </si>
  <si>
    <r>
      <t>Combien de fois (en nombre de jours) au cours des *</t>
    </r>
    <r>
      <rPr>
        <b/>
        <sz val="11"/>
        <color theme="0" tint="-0.34998626667073579"/>
        <rFont val="Calibri"/>
        <family val="2"/>
        <scheme val="minor"/>
      </rPr>
      <t>7 derniers jour</t>
    </r>
    <r>
      <rPr>
        <sz val="11"/>
        <color theme="0" tint="-0.34998626667073579"/>
        <rFont val="Calibri"/>
        <family val="2"/>
        <scheme val="minor"/>
      </rPr>
      <t>s</t>
    </r>
    <r>
      <rPr>
        <b/>
        <sz val="11"/>
        <color theme="0" tint="-0.34998626667073579"/>
        <rFont val="Calibri"/>
        <family val="2"/>
        <scheme val="minor"/>
      </rPr>
      <t>*</t>
    </r>
    <r>
      <rPr>
        <sz val="11"/>
        <color theme="0" tint="-0.34998626667073579"/>
        <rFont val="Calibri"/>
        <family val="2"/>
        <scheme val="minor"/>
      </rPr>
      <t>, les membres de votre foyer ont-ils mangé de** la viande, des œufs ou du poisson** [tout type de viande ou  poisson, y compris des insectes, oiseaux, viande de brousse, fruits de mer ou abats]?</t>
    </r>
  </si>
  <si>
    <t>fcs_dairy_days</t>
  </si>
  <si>
    <t>How many days over *the last 7 days*, did members of your household consume fresh milk, sour milk, yogurt, cheese or other **dairy products** [excluding margarine/butter or small amounts of milk for tea/ coffee]?</t>
  </si>
  <si>
    <r>
      <t>Combien de fois (en nombre de jours) au cours des *</t>
    </r>
    <r>
      <rPr>
        <b/>
        <sz val="11"/>
        <color theme="0" tint="-0.34998626667073579"/>
        <rFont val="Calibri"/>
        <family val="2"/>
        <scheme val="minor"/>
      </rPr>
      <t>7 derniers jours</t>
    </r>
    <r>
      <rPr>
        <sz val="11"/>
        <color theme="0" tint="-0.34998626667073579"/>
        <rFont val="Calibri"/>
        <family val="2"/>
        <scheme val="minor"/>
      </rPr>
      <t>*, les membres de votre foyer ont-ils consommé du lait frais, du lait aigre, du yaourt, du fromage ou d'autres **produits laitiers** [à l'exception de la margarine/du beurre ou de petites quantités de lait pour le thé/café] ?</t>
    </r>
  </si>
  <si>
    <t>fcs_sugar_days</t>
  </si>
  <si>
    <t>How many days over *the last 7 days*, did members of your household consume **sugar or sweet** such as sugar, honey, jam, cakes, candy, cookies, pastries, cakes and other sweets and sugary drinks?</t>
  </si>
  <si>
    <r>
      <t>Combien de fois (en nombre de jours) au cours des *</t>
    </r>
    <r>
      <rPr>
        <b/>
        <sz val="11"/>
        <color theme="0" tint="-0.34998626667073579"/>
        <rFont val="Calibri"/>
        <family val="2"/>
        <scheme val="minor"/>
      </rPr>
      <t>7 derniers jours</t>
    </r>
    <r>
      <rPr>
        <sz val="11"/>
        <color theme="0" tint="-0.34998626667073579"/>
        <rFont val="Calibri"/>
        <family val="2"/>
        <scheme val="minor"/>
      </rPr>
      <t>*, les membres de votre foyer ont-ils consommé du **sucre ou des produits sucrés** tels que du sucre, du miel, de la confiture, des gâteaux, des bonbons, des biscuits, des pâtisseries et d'autres sucreries et des boissons sucrées ?</t>
    </r>
  </si>
  <si>
    <t>fcs_oil_days</t>
  </si>
  <si>
    <t>How many days over *the last 7 days*, did members of your household eat **oil/fat/butter** such as vegetable oil, palm oil, groundnut oil, margarine, other fats / oil?</t>
  </si>
  <si>
    <r>
      <t>Combien de fois (en nombre de jours) au cours des *</t>
    </r>
    <r>
      <rPr>
        <b/>
        <sz val="11"/>
        <color theme="0" tint="-0.34998626667073579"/>
        <rFont val="Calibri"/>
        <family val="2"/>
        <scheme val="minor"/>
      </rPr>
      <t>7 derniers jours</t>
    </r>
    <r>
      <rPr>
        <sz val="11"/>
        <color theme="0" tint="-0.34998626667073579"/>
        <rFont val="Calibri"/>
        <family val="2"/>
        <scheme val="minor"/>
      </rPr>
      <t>*, les membres de votre foyer ont-ils consommé de **l'huile/de la graisse/du beurre** tels que des huiles végétales, de l'huile de palme, de l'huile d'arachide, de la margarine, d'autres graisses/huiles ?</t>
    </r>
  </si>
  <si>
    <t>fcs_condiments_days</t>
  </si>
  <si>
    <t>How many days over *the last 7 days*, did members of your household eat **spices or condiments** such as tea, coffee, cocoa, salt, garlic, spices, yeast, meat fish as a condiment or small amounts of milk for tea or coffee?</t>
  </si>
  <si>
    <r>
      <t>Combien de fois (en nombre de jours) au cours des *</t>
    </r>
    <r>
      <rPr>
        <b/>
        <sz val="11"/>
        <color theme="0" tint="-0.34998626667073579"/>
        <rFont val="Calibri"/>
        <family val="2"/>
        <scheme val="minor"/>
      </rPr>
      <t>7 derniers jours</t>
    </r>
    <r>
      <rPr>
        <sz val="11"/>
        <color theme="0" tint="-0.34998626667073579"/>
        <rFont val="Calibri"/>
        <family val="2"/>
        <scheme val="minor"/>
      </rPr>
      <t>*, les membres de votre foyer ont-ils consommé **des épices ou des condiments** tels que du thé, du café, du cacao, du sel, de l'ail, des épices, de la levure, de la viande, du poisson comme condiment ou de petites quantités de lait pour le thé ou le café ?</t>
    </r>
  </si>
  <si>
    <t>intro_rcsi</t>
  </si>
  <si>
    <t>rCSI</t>
  </si>
  <si>
    <t>rcsi</t>
  </si>
  <si>
    <t>Now I will ask you about the number of days, in *the last 7 days*, during which the household has done some of the actions that I will mention to cope with the lack of food or money to buy food.</t>
  </si>
  <si>
    <t>Je vais maintenant vous demander combien de fois (en nombre de jours), au cours des *7 derniers jours*, votre ménage a du recourir à certaines mesures pour faire face au manque de nourriture ou d'argent pour acheter de la nourriture.</t>
  </si>
  <si>
    <t>rcsi_less_preferred_foods</t>
  </si>
  <si>
    <t xml:space="preserve">In *the past 7 days*, how many days did your household **rely on less preferred or less expensive food** due to lack of food/money?  </t>
  </si>
  <si>
    <r>
      <t>Au cours des *</t>
    </r>
    <r>
      <rPr>
        <b/>
        <sz val="11"/>
        <color theme="0" tint="-0.34998626667073579"/>
        <rFont val="Calibri"/>
        <family val="2"/>
        <scheme val="minor"/>
      </rPr>
      <t>7 derniers jours</t>
    </r>
    <r>
      <rPr>
        <sz val="11"/>
        <color theme="0" tint="-0.34998626667073579"/>
        <rFont val="Calibri"/>
        <family val="2"/>
        <scheme val="minor"/>
      </rPr>
      <t>*, combien de fois (en nombre de jours) votre ménage s'est-il **rabattu sur des aliments qu'il aime moins ou moins chers** par manque de nourriture/argent ?</t>
    </r>
  </si>
  <si>
    <t>rcsi_borrowed_food</t>
  </si>
  <si>
    <t xml:space="preserve">In the *past 7 days*, how many days did your household **borrow food, or rely on help from a friend or relative** due to lack of food or money to buy food? </t>
  </si>
  <si>
    <r>
      <t>Au cours des *</t>
    </r>
    <r>
      <rPr>
        <b/>
        <sz val="11"/>
        <color theme="0" tint="-0.34998626667073579"/>
        <rFont val="Calibri"/>
        <family val="2"/>
        <scheme val="minor"/>
      </rPr>
      <t>7 derniers jours</t>
    </r>
    <r>
      <rPr>
        <sz val="11"/>
        <color theme="0" tint="-0.34998626667073579"/>
        <rFont val="Calibri"/>
        <family val="2"/>
        <scheme val="minor"/>
      </rPr>
      <t>*, combien de fois (en nombre de jours) votre ménage a-t-il **emprunté de la nourriture ou demandé l'aide d'un ami ou d'un parent** en raison du manque de nourriture ou d'argent pour acheter de la nourriture ?</t>
    </r>
  </si>
  <si>
    <t>rcsi_reduce_number_meals</t>
  </si>
  <si>
    <t>In the past 7 days, how many days did your household **reduce the number of meals eaten in a day** due to lack of food or money to buy food?</t>
  </si>
  <si>
    <r>
      <t>Au cours des *</t>
    </r>
    <r>
      <rPr>
        <b/>
        <sz val="11"/>
        <color theme="0" tint="-0.34998626667073579"/>
        <rFont val="Calibri"/>
        <family val="2"/>
        <scheme val="minor"/>
      </rPr>
      <t>7 derniers jours</t>
    </r>
    <r>
      <rPr>
        <sz val="11"/>
        <color theme="0" tint="-0.34998626667073579"/>
        <rFont val="Calibri"/>
        <family val="2"/>
        <scheme val="minor"/>
      </rPr>
      <t>*, combien de fois (en nombre de jours) votre ménage a-t-il **réduit le nombre de repas pris dans une journée** par manque de nourriture ou d'argent pour acheter de la nourriture ?</t>
    </r>
  </si>
  <si>
    <t>rcsi_limit_portions</t>
  </si>
  <si>
    <t xml:space="preserve">In the *past 7 days*, how many days did your household **limit portion sizes at mealtime** due to lack of food or money to buy food? </t>
  </si>
  <si>
    <r>
      <t>Au cours des *</t>
    </r>
    <r>
      <rPr>
        <b/>
        <sz val="11"/>
        <color theme="0" tint="-0.34998626667073579"/>
        <rFont val="Calibri"/>
        <family val="2"/>
        <scheme val="minor"/>
      </rPr>
      <t>7 derniers jours</t>
    </r>
    <r>
      <rPr>
        <sz val="11"/>
        <color theme="0" tint="-0.34998626667073579"/>
        <rFont val="Calibri"/>
        <family val="2"/>
        <scheme val="minor"/>
      </rPr>
      <t>*, combien de fois (en nombre de jours) votre ménage a-t-il **limité la taille des portions consommées pour le repas** en raison du manque de nourriture ou d'argent pour acheter de la nourriture ?</t>
    </r>
  </si>
  <si>
    <t>rcsi_restrict_adult_consumption</t>
  </si>
  <si>
    <t>In the *past 7 days*, how many days did your household **restrict consumption by adults so children could eat**, due to lack of food or money to buy food?</t>
  </si>
  <si>
    <r>
      <t>Au cours des</t>
    </r>
    <r>
      <rPr>
        <b/>
        <sz val="11"/>
        <color theme="0" tint="-0.34998626667073579"/>
        <rFont val="Calibri"/>
        <family val="2"/>
        <scheme val="minor"/>
      </rPr>
      <t xml:space="preserve"> *7 derniers jours</t>
    </r>
    <r>
      <rPr>
        <sz val="11"/>
        <color theme="0" tint="-0.34998626667073579"/>
        <rFont val="Calibri"/>
        <family val="2"/>
        <scheme val="minor"/>
      </rPr>
      <t>*, combien de fois (en nombre de jours) votre ménage a-t-il **limité les quantités consommées par les adultes pour que les enfants puissent manger**, par manque de nourriture ou d'argent pour acheter de la nourriture ?</t>
    </r>
  </si>
  <si>
    <t>Assisstance_group</t>
  </si>
  <si>
    <t>NEEDS ASSISTANCE</t>
  </si>
  <si>
    <t>BESOIN D'ASSISTANCE</t>
  </si>
  <si>
    <t>need</t>
  </si>
  <si>
    <t>Does your household need assistance in the next 3 to 6 months?</t>
  </si>
  <si>
    <t>Votre ménage aura-t-il besoin d'aide / assistance au cours des trois à six prochains mois ?</t>
  </si>
  <si>
    <t>select_multiple needs</t>
  </si>
  <si>
    <t>need_</t>
  </si>
  <si>
    <t>What are your greatest needs for assistance for your household in the next 3 to 6 months?</t>
  </si>
  <si>
    <t>De quelle aide votre ménage aura-t-il besoin au cours des trois à six prochains mois ?</t>
  </si>
  <si>
    <t>[INSTRUCTIONS: MULTIPLE RESPONSE. DO NOT READ THE OPTIONS IF POSSIBLE.]</t>
  </si>
  <si>
    <t>[INSTRUCTIONS :  PLUSIEURS RÉPONSES POSSILES. SI POSSIBLE, NE PAS LIRE LES OPTIONS.]</t>
  </si>
  <si>
    <t>${need} = 1</t>
  </si>
  <si>
    <t>need_otherspecify</t>
  </si>
  <si>
    <t>selected(${need_}, 'other')</t>
  </si>
  <si>
    <t>select_multiple needreceived</t>
  </si>
  <si>
    <t>need_received</t>
  </si>
  <si>
    <t>Has your household received any assistance in the past 3 months, and if so, what?</t>
  </si>
  <si>
    <t>Votre ménage a-t-il reçu une aide au cours des 3 derniers mois, et si oui, de quel type ?</t>
  </si>
  <si>
    <t>[INSTRUCTIONS: READ OUT ANSWER OPTIONS. MULTIPLE RESPONSES POSSIBLE.]</t>
  </si>
  <si>
    <t>[INSTRUCTIONS :  PLUSIEURS RÉPONSES POSSIBLES. LIRE A VOIX HAUTE LES OPTIONS.]</t>
  </si>
  <si>
    <t>if(selected(., 'dk') or selected(., 'ref') or selected(., 'noassistreceived'), count-selected(.) = 1, count-selected(.) &gt;= 1)</t>
  </si>
  <si>
    <t>need_received_otherspecify</t>
  </si>
  <si>
    <t>selected(${need_received}, 'other')</t>
  </si>
  <si>
    <t>assistance_timeliness</t>
  </si>
  <si>
    <t xml:space="preserve">Was the assistance received in time for production or sales difficulty to be overcome? </t>
  </si>
  <si>
    <t>Cette aide a-t-elle été reçue à temps pour surmonter les difficultés de production ou de vente ?</t>
  </si>
  <si>
    <t>${need_received} != 'dk' and ${need_received} != 'ref' and ${need_received} != 'noassistreceived'</t>
  </si>
  <si>
    <t>closing</t>
  </si>
  <si>
    <t>CLOSING</t>
  </si>
  <si>
    <t>FINALISATION DE L'ENTRETIEN</t>
  </si>
  <si>
    <t>select_one yesno</t>
  </si>
  <si>
    <t>callback</t>
  </si>
  <si>
    <t>Your answers will help us to understand and respond to your community needs. May we call you in a few months?</t>
  </si>
  <si>
    <t>Vos réponses nous aideront à comprendre les besoins de votre communauté et à y répondre. Pouvons-nous vous appeler dans quelques mois ?</t>
  </si>
  <si>
    <t>leader_contact</t>
  </si>
  <si>
    <r>
      <t xml:space="preserve">Can you provide me with the </t>
    </r>
    <r>
      <rPr>
        <b/>
        <sz val="11"/>
        <color theme="6" tint="-0.499984740745262"/>
        <rFont val="Calibri"/>
        <family val="2"/>
        <scheme val="minor"/>
      </rPr>
      <t>contact information</t>
    </r>
    <r>
      <rPr>
        <sz val="11"/>
        <color theme="6" tint="-0.499984740745262"/>
        <rFont val="Calibri"/>
        <family val="2"/>
        <scheme val="minor"/>
      </rPr>
      <t xml:space="preserve"> of a leader in your community?</t>
    </r>
  </si>
  <si>
    <t>Pouvez-vous me donner les coordonnées d'une personnalité influente de votre communauté ?</t>
  </si>
  <si>
    <t>${callback} = '1'</t>
  </si>
  <si>
    <t>no - panel</t>
  </si>
  <si>
    <t>select_one leader</t>
  </si>
  <si>
    <t>leader_type</t>
  </si>
  <si>
    <t>What type of community leader can you provide information for?</t>
  </si>
  <si>
    <t>Pour quel type de personnalité influente pouvez-vous fournir des informations ?</t>
  </si>
  <si>
    <t>${callback} = '1' and ${leader_contact}='1'</t>
  </si>
  <si>
    <t>phone_number_leader</t>
  </si>
  <si>
    <r>
      <t>What is the leader's *</t>
    </r>
    <r>
      <rPr>
        <b/>
        <sz val="11"/>
        <color theme="6" tint="-0.499984740745262"/>
        <rFont val="Calibri"/>
        <family val="2"/>
        <scheme val="minor"/>
      </rPr>
      <t>phone number*</t>
    </r>
    <r>
      <rPr>
        <sz val="11"/>
        <color theme="6" tint="-0.499984740745262"/>
        <rFont val="Calibri"/>
        <family val="2"/>
        <scheme val="minor"/>
      </rPr>
      <t>?</t>
    </r>
  </si>
  <si>
    <t>Quel est le *numéro de téléphone* de cette personnalité influente ?</t>
  </si>
  <si>
    <t>leader_name</t>
  </si>
  <si>
    <r>
      <t xml:space="preserve">What is the leader's </t>
    </r>
    <r>
      <rPr>
        <b/>
        <sz val="11"/>
        <color theme="6" tint="-0.499984740745262"/>
        <rFont val="Calibri"/>
        <family val="2"/>
        <scheme val="minor"/>
      </rPr>
      <t>name?</t>
    </r>
  </si>
  <si>
    <t>Quel est le nom de cette personnalité influente ?</t>
  </si>
  <si>
    <t>select_multiple week</t>
  </si>
  <si>
    <t>future_int_day</t>
  </si>
  <si>
    <r>
      <t xml:space="preserve">For future interviews, in which </t>
    </r>
    <r>
      <rPr>
        <b/>
        <sz val="11"/>
        <color theme="6" tint="-0.499984740745262"/>
        <rFont val="Calibri"/>
        <family val="2"/>
        <scheme val="minor"/>
      </rPr>
      <t>day(s)</t>
    </r>
    <r>
      <rPr>
        <sz val="11"/>
        <color theme="6" tint="-0.499984740745262"/>
        <rFont val="Calibri"/>
        <family val="2"/>
        <scheme val="minor"/>
      </rPr>
      <t xml:space="preserve"> can I call you?</t>
    </r>
  </si>
  <si>
    <t>Pour les prochains entretiens, quel(s) jour(s) puis-je vous appeler ?</t>
  </si>
  <si>
    <t>[INSTRUCTIONS: MULTIPLE ANSWERS POSSIBLE.]</t>
  </si>
  <si>
    <t>select_multiple time</t>
  </si>
  <si>
    <t>future_int_time</t>
  </si>
  <si>
    <r>
      <t xml:space="preserve">For future interviews, at what </t>
    </r>
    <r>
      <rPr>
        <b/>
        <sz val="11"/>
        <color theme="6" tint="-0.499984740745262"/>
        <rFont val="Calibri"/>
        <family val="2"/>
        <scheme val="minor"/>
      </rPr>
      <t>time(s)</t>
    </r>
    <r>
      <rPr>
        <sz val="11"/>
        <color theme="6" tint="-0.499984740745262"/>
        <rFont val="Calibri"/>
        <family val="2"/>
        <scheme val="minor"/>
      </rPr>
      <t xml:space="preserve"> can I call you?</t>
    </r>
  </si>
  <si>
    <t>Pour les prochains entretiens, à quel(s) moment(s) de la journée puis-je vous appeler ?</t>
  </si>
  <si>
    <t>select_one language</t>
  </si>
  <si>
    <t>language2</t>
  </si>
  <si>
    <t xml:space="preserve">Select the language that was mostly used to complete the interview. </t>
  </si>
  <si>
    <t>Sélectionner la langue qui a été principalement utilisée pour réaliser l'entretien.</t>
  </si>
  <si>
    <t>closeout</t>
  </si>
  <si>
    <r>
      <t>Thank you for your time. The interview has come to an end.</t>
    </r>
    <r>
      <rPr>
        <sz val="11"/>
        <color rgb="FF7030A0"/>
        <rFont val="Calibri"/>
        <family val="2"/>
        <scheme val="minor"/>
      </rPr>
      <t xml:space="preserve"> </t>
    </r>
  </si>
  <si>
    <t xml:space="preserve">Merci de nous avoir accordé votre temps. L'entretien est terminé. </t>
  </si>
  <si>
    <t>time</t>
  </si>
  <si>
    <t>Interview_End_Time</t>
  </si>
  <si>
    <t>Interview End Time</t>
  </si>
  <si>
    <t>Heure de la fin de l'interview</t>
  </si>
  <si>
    <t>gps_2</t>
  </si>
  <si>
    <t>GPS INSTRUCTION: You didn't take a measurement earlier. Now walk around the household or go near the main road and try to take a GPS measurement.</t>
  </si>
  <si>
    <t>INSTRUCTION GPS : Vous n'avez pas encore enregistré les coordonnées GPS. Déplacez-vous autour de la maison ou allez proche de la route principale et essayez de récupérer les coordonnées GPS de nouveau.</t>
  </si>
  <si>
    <t xml:space="preserve">false </t>
  </si>
  <si>
    <t>${resp_agree} = '1' and ${gps_1} = ''</t>
  </si>
  <si>
    <t>enum_notes</t>
  </si>
  <si>
    <t>Enter any notes or feedback from this survey:</t>
  </si>
  <si>
    <t>Saisissez toutes les notes ou commentaires de cet entretien :</t>
  </si>
  <si>
    <t xml:space="preserve">Leave empty if there are no comments. </t>
  </si>
  <si>
    <t xml:space="preserve">Laissez vide s'il n'y a pas de commentaires. </t>
  </si>
  <si>
    <t>__version__</t>
  </si>
  <si>
    <t>'vfVbKi5bfYAnEzqoBsXTzQ'</t>
  </si>
  <si>
    <t xml:space="preserve">AVERAGE ESTIMATED DURATION </t>
  </si>
  <si>
    <t>list_name</t>
  </si>
  <si>
    <t>my_filter_admin</t>
  </si>
  <si>
    <t>enumteam</t>
  </si>
  <si>
    <t>Enumerator team 1</t>
  </si>
  <si>
    <t>Équipe d'enquêteurs 1</t>
  </si>
  <si>
    <t>Enumerator team 2</t>
  </si>
  <si>
    <t>Équipe d'enquêteurs 2</t>
  </si>
  <si>
    <t>Enumerator team 3</t>
  </si>
  <si>
    <t>Équipe d'enquêteurs 3</t>
  </si>
  <si>
    <t>Enumerator team 4</t>
  </si>
  <si>
    <t>Équipe d'enquêteurs 4</t>
  </si>
  <si>
    <t>enumerator name 1</t>
  </si>
  <si>
    <t xml:space="preserve">Nom énumérateur 1 </t>
  </si>
  <si>
    <t>enumerator name 2</t>
  </si>
  <si>
    <t xml:space="preserve">Nom énumérateur 2 </t>
  </si>
  <si>
    <t>enumerator name 3</t>
  </si>
  <si>
    <t>Nom énumérateur 3</t>
  </si>
  <si>
    <t>participate</t>
  </si>
  <si>
    <t>Yes</t>
  </si>
  <si>
    <t>Oui</t>
  </si>
  <si>
    <t>No</t>
  </si>
  <si>
    <t>Non</t>
  </si>
  <si>
    <t>yes_no</t>
  </si>
  <si>
    <t>YES</t>
  </si>
  <si>
    <t>OUI</t>
  </si>
  <si>
    <t>NO</t>
  </si>
  <si>
    <t>NON</t>
  </si>
  <si>
    <t>DON'T KNOW</t>
  </si>
  <si>
    <t>NE SAIT PAS</t>
  </si>
  <si>
    <t>REFUSED</t>
  </si>
  <si>
    <t>REFUSÉ</t>
  </si>
  <si>
    <t>continue</t>
  </si>
  <si>
    <t>continuez</t>
  </si>
  <si>
    <t>yesno</t>
  </si>
  <si>
    <t>language</t>
  </si>
  <si>
    <t>en</t>
  </si>
  <si>
    <t>English</t>
  </si>
  <si>
    <t>fr</t>
  </si>
  <si>
    <t>French</t>
  </si>
  <si>
    <t>Français</t>
  </si>
  <si>
    <t>…</t>
  </si>
  <si>
    <t>gender</t>
  </si>
  <si>
    <t>Male</t>
  </si>
  <si>
    <t>Homme</t>
  </si>
  <si>
    <t>Female</t>
  </si>
  <si>
    <t>Femme</t>
  </si>
  <si>
    <t>contact_info</t>
  </si>
  <si>
    <t>YES - mine</t>
  </si>
  <si>
    <t>Oui - le mien</t>
  </si>
  <si>
    <t>YES - friend or relative</t>
  </si>
  <si>
    <t>Oui - celui d'un ami ou d'un parent</t>
  </si>
  <si>
    <t>agricactivity</t>
  </si>
  <si>
    <t xml:space="preserve">Yes - crop production </t>
  </si>
  <si>
    <t xml:space="preserve">Oui - production végétale </t>
  </si>
  <si>
    <t>Yes - livestock production</t>
  </si>
  <si>
    <t>Oui - production animale</t>
  </si>
  <si>
    <t xml:space="preserve">Yes - both crop and livestock production </t>
  </si>
  <si>
    <t xml:space="preserve">Oui - production végétale et animale </t>
  </si>
  <si>
    <t>edu</t>
  </si>
  <si>
    <t>None or did not complete primary school</t>
  </si>
  <si>
    <t>Aucun ou n'a pas terminé l'école primaire</t>
  </si>
  <si>
    <t>Completed primary school</t>
  </si>
  <si>
    <t>A terminé l'école primaire</t>
  </si>
  <si>
    <t>Completed secondary school</t>
  </si>
  <si>
    <t>A terminé l'école secondaire</t>
  </si>
  <si>
    <t>Completed higher education [University / College] degree</t>
  </si>
  <si>
    <t>Diplôme de l'enseignement supérieur [Université]</t>
  </si>
  <si>
    <t>Religious or informal education only</t>
  </si>
  <si>
    <t>Enseignement religieux ou informel uniquement</t>
  </si>
  <si>
    <t>water</t>
  </si>
  <si>
    <t>Private tap from piped water</t>
  </si>
  <si>
    <t>Robinet privé avec eau courante</t>
  </si>
  <si>
    <t>Public tap</t>
  </si>
  <si>
    <t>Robinet public</t>
  </si>
  <si>
    <t>Protected well</t>
  </si>
  <si>
    <t>Puits protégé</t>
  </si>
  <si>
    <t>Bottled water</t>
  </si>
  <si>
    <t>Eau en bouteille</t>
  </si>
  <si>
    <t>Other safe source</t>
  </si>
  <si>
    <t>Autre source sûre</t>
  </si>
  <si>
    <t>River</t>
  </si>
  <si>
    <t>Rivière</t>
  </si>
  <si>
    <t>Unprotected well</t>
  </si>
  <si>
    <t>Puits non protégé</t>
  </si>
  <si>
    <t>Spring water</t>
  </si>
  <si>
    <t>Eau de source</t>
  </si>
  <si>
    <t>Canal or other surface water</t>
  </si>
  <si>
    <t>Canal ou autre eau de surface</t>
  </si>
  <si>
    <t>Other unsafe source</t>
  </si>
  <si>
    <t>Autre source non sûre</t>
  </si>
  <si>
    <t>toilet</t>
  </si>
  <si>
    <t>Flush latrine/toilet with water</t>
  </si>
  <si>
    <t>Latrines à chasse d'eau [toilettes avec eau]</t>
  </si>
  <si>
    <t>Traditional pit latrine [no water]</t>
  </si>
  <si>
    <t>Latrines traditionnelles à fosse [sans eau]</t>
  </si>
  <si>
    <t>Open pit [hole in the ground for excrement without water, roof or wall]</t>
  </si>
  <si>
    <t>Fosse ouverte [trou dans le sol pour les excréments, sans eau, toit ni mur]</t>
  </si>
  <si>
    <t>Communal latrine [with or without water]</t>
  </si>
  <si>
    <t>Latrines communautaires [avec ou sans eau]</t>
  </si>
  <si>
    <t>None – bush</t>
  </si>
  <si>
    <t>Aucune – brousse</t>
  </si>
  <si>
    <t>light</t>
  </si>
  <si>
    <t>Electricity [from generator or electrical grid or solar panel]</t>
  </si>
  <si>
    <t>Électricité [à partir d'un générateur, du réseau électrique ou de panneaux solaires]</t>
  </si>
  <si>
    <t>Candle</t>
  </si>
  <si>
    <t>Bougie</t>
  </si>
  <si>
    <t>Petrol lamp</t>
  </si>
  <si>
    <t>Lampe à pétrole</t>
  </si>
  <si>
    <t>Lamp with batteries</t>
  </si>
  <si>
    <t>Lampe à piles</t>
  </si>
  <si>
    <t>Other [no electric supply to the house]</t>
  </si>
  <si>
    <t>Autre [pas d'alimentation électrique dans la maison]</t>
  </si>
  <si>
    <t>residence</t>
  </si>
  <si>
    <t>Permanent Resident - you have been living in your village / town for longer than two years and this is what you consider your habitual residence</t>
  </si>
  <si>
    <t>Résident permanent - vous vivez dans votre village/ville depuis plus de deux ans et vous le/la considérez comme votre résidence habituelle</t>
  </si>
  <si>
    <t>Recent migrant not forcefully displaced - you have been living in your current place of residence for less than two years and you moved there voluntarily for work / family or other reasons that are not related to conflict or natural disaster</t>
  </si>
  <si>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</si>
  <si>
    <t>Returnee - you have only come back to this residence in the last two years after having been forced to move to another location having fled conflict or natural disaster [if return was over 2 years ago the respondent is considered a permanent resident]</t>
  </si>
  <si>
    <t>Personne rapatriée - vous êtes revenu dans ce lieu de résidence au cours des deux dernières années après avoir été contraint de vous déplacer pour fuir un conflit ou une catastrophe naturelle [si le retour a eu lieu il y a plus de deux ans, le répondant est considéré comme un résident permanent]</t>
  </si>
  <si>
    <t xml:space="preserve">Internally displaced person [IDP] - you were forced to flee your village or town because of conflict or natural disaster and you are now an internally displaced person in your current place of residence </t>
  </si>
  <si>
    <t>Personne déplacée à l'intérieur de son pays - vous avez été forcé de fuir votre village ou votre ville en raison d'un conflit ou d'une catastrophe naturelle et vous êtes une personne déplacée à l'intérieur de son propre pays dans votre lieu de résidence actuel</t>
  </si>
  <si>
    <t>Refugee - you were forced to flee your country because of conflict or natural disaster and you are now a refugee in your current place of residence</t>
  </si>
  <si>
    <t>Réfugié - vous avez été forcé de fuir votre pays en raison d'un conflit ou d'une catastrophe naturelle et vous êtes un réfugié dans votre lieu de résidence actuel</t>
  </si>
  <si>
    <t>asset_prod</t>
  </si>
  <si>
    <t>taxi</t>
  </si>
  <si>
    <t>Taxi</t>
  </si>
  <si>
    <t>truck</t>
  </si>
  <si>
    <t>Truck</t>
  </si>
  <si>
    <t>Camion</t>
  </si>
  <si>
    <t>farmmach</t>
  </si>
  <si>
    <t>Farm machinery (tractor, other)</t>
  </si>
  <si>
    <t>Machine agricole (tracteur, autre)</t>
  </si>
  <si>
    <t>sewing</t>
  </si>
  <si>
    <t>Sewing machine</t>
  </si>
  <si>
    <t>Machine à coudre</t>
  </si>
  <si>
    <t>other</t>
  </si>
  <si>
    <t>Other productive machines</t>
  </si>
  <si>
    <t>Autre machine productive</t>
  </si>
  <si>
    <t>none</t>
  </si>
  <si>
    <t>No productive machines</t>
  </si>
  <si>
    <t>Pas de machine productive</t>
  </si>
  <si>
    <t>dk</t>
  </si>
  <si>
    <t>ref</t>
  </si>
  <si>
    <t>asset_transp</t>
  </si>
  <si>
    <t>bici</t>
  </si>
  <si>
    <t>Bicycle</t>
  </si>
  <si>
    <t>Bicyclette</t>
  </si>
  <si>
    <t>motorbike</t>
  </si>
  <si>
    <t>Motorbike or auto rickshaw</t>
  </si>
  <si>
    <t>Moto ou pousse-pousse</t>
  </si>
  <si>
    <t>car</t>
  </si>
  <si>
    <t>Car</t>
  </si>
  <si>
    <t>Voiture</t>
  </si>
  <si>
    <t>van</t>
  </si>
  <si>
    <t>Van or small truck</t>
  </si>
  <si>
    <t>Fourgonnette ou petit camion</t>
  </si>
  <si>
    <t>Other motor vehicle</t>
  </si>
  <si>
    <t>Autre véhicule motorisé</t>
  </si>
  <si>
    <t>None of the above</t>
  </si>
  <si>
    <t>Aucune des propositions citées</t>
  </si>
  <si>
    <t>maritalstat</t>
  </si>
  <si>
    <t xml:space="preserve">Single / never married </t>
  </si>
  <si>
    <t xml:space="preserve">Célibataire / jamais marié </t>
  </si>
  <si>
    <t>Married</t>
  </si>
  <si>
    <t>Marié(e)</t>
  </si>
  <si>
    <t>Separated</t>
  </si>
  <si>
    <t>Séparé(e)</t>
  </si>
  <si>
    <t>Divorced</t>
  </si>
  <si>
    <t>Divorcé(e)</t>
  </si>
  <si>
    <t>Widowed</t>
  </si>
  <si>
    <t>Veuf ou veuve</t>
  </si>
  <si>
    <t>DON’T KNOW</t>
  </si>
  <si>
    <t xml:space="preserve">REFUSED </t>
  </si>
  <si>
    <t>agegroup</t>
  </si>
  <si>
    <t>Under 18</t>
  </si>
  <si>
    <t>Moins de 18 ans</t>
  </si>
  <si>
    <t>18 to 40</t>
  </si>
  <si>
    <t xml:space="preserve">18 à 40 ans </t>
  </si>
  <si>
    <t>41 to 65</t>
  </si>
  <si>
    <t>41 à 65 ans</t>
  </si>
  <si>
    <t>Over 65</t>
  </si>
  <si>
    <t>Plus de 65 ans</t>
  </si>
  <si>
    <t>incomesource1</t>
  </si>
  <si>
    <t>Production and sale of staple crops</t>
  </si>
  <si>
    <t>Production et vente de cultures d'aliments de base</t>
  </si>
  <si>
    <t xml:space="preserve">Production and sale of vegetable or fruit </t>
  </si>
  <si>
    <t>Production et vente de légumes ou de fruits</t>
  </si>
  <si>
    <t>Production and sale of cashcrops</t>
  </si>
  <si>
    <t>Production et vente de cultures de rente</t>
  </si>
  <si>
    <t xml:space="preserve">Production and sale of livestock and livestock products </t>
  </si>
  <si>
    <t>Production et vente de bétail et de produits du bétail</t>
  </si>
  <si>
    <t xml:space="preserve">Production and sale of fish </t>
  </si>
  <si>
    <t>Production et vente de poisson</t>
  </si>
  <si>
    <t>Collection and sale of natural resources (including forestry or bush products)</t>
  </si>
  <si>
    <t>Collecte et vente de ressources naturelles (y compris les produits forestiers ou de la brousse)</t>
  </si>
  <si>
    <t xml:space="preserve">Informal agricultural trade EXCLUDING producers </t>
  </si>
  <si>
    <t>Commerce agricole informel EXCLUANT les producteurs</t>
  </si>
  <si>
    <t xml:space="preserve">Formal agricultural trade EXCLUDING producers </t>
  </si>
  <si>
    <t>Commerce agricole formel EXCLUANT les producteurs</t>
  </si>
  <si>
    <t xml:space="preserve">Daily wage on farms and other casual employment in agricultural sector </t>
  </si>
  <si>
    <t>Salaire journalier dans une exploitation et autres emplois occasionnels dans le secteur agricole</t>
  </si>
  <si>
    <t xml:space="preserve">Stable employment in agricultural sector </t>
  </si>
  <si>
    <t>Emploi stable dans le secteur agricole</t>
  </si>
  <si>
    <t>Non-agricultural self-employed or liberal profession, doctor, architect, lawyer, including restaurant</t>
  </si>
  <si>
    <t>Indépendant non-agricole ou profession libérale, médecin, architecte, avocat, y compris restaurant</t>
  </si>
  <si>
    <t>Off-farm daily wages and other non-agricultural casual employment</t>
  </si>
  <si>
    <t>Salaire journalier et autres emplois occasionnels non‑agricoles</t>
  </si>
  <si>
    <t>Stable employment in non-agricultural sector</t>
  </si>
  <si>
    <t>Emploi stable dans le secteur non-agricole</t>
  </si>
  <si>
    <t xml:space="preserve">Public employment </t>
  </si>
  <si>
    <t>Emploi public</t>
  </si>
  <si>
    <t>Income not derived from work / Charity</t>
  </si>
  <si>
    <t>Revenu non tiré du travail / Charité</t>
  </si>
  <si>
    <t>Income not derived from work / Welfare transfer, pension, humanitarian aid</t>
  </si>
  <si>
    <t>Revenu non tiré du travail / Transferts sociaux, pension, aide humanitaire</t>
  </si>
  <si>
    <t>Income not derived from work / Remittances</t>
  </si>
  <si>
    <t>Revenu non tiré du travail / Envoi de fonds des migrants</t>
  </si>
  <si>
    <t xml:space="preserve">Income not derived from work / Income from other rents                                                                                                                                              </t>
  </si>
  <si>
    <t>Revenu non tiré du travail / Revenu d'autres loyers</t>
  </si>
  <si>
    <t xml:space="preserve">No income source in the last 3 months and used exclusively savings </t>
  </si>
  <si>
    <t>Aucune source de revenu au cours des trois derniers mois et utilisation exclusive de l'épargne</t>
  </si>
  <si>
    <t>No income source in the last 3 months and used exclusively debt</t>
  </si>
  <si>
    <t>Aucune source de revenu au cours des trois derniers mois et création de dettes</t>
  </si>
  <si>
    <t>change</t>
  </si>
  <si>
    <t>A lot more [increased by more than 50%]</t>
  </si>
  <si>
    <t>Très supérieur [augmentation de plus de 50%]</t>
  </si>
  <si>
    <t>Slightly more</t>
  </si>
  <si>
    <t>Supérieur</t>
  </si>
  <si>
    <t>Same</t>
  </si>
  <si>
    <t>Identique</t>
  </si>
  <si>
    <t>Slightly less</t>
  </si>
  <si>
    <t>Inférieur</t>
  </si>
  <si>
    <t xml:space="preserve">A lot less [less than half as much] </t>
  </si>
  <si>
    <t>Très inférieur [moins de la moitié]</t>
  </si>
  <si>
    <t>incomesource2</t>
  </si>
  <si>
    <t>Income not derived from work / Income from other rents</t>
  </si>
  <si>
    <t>No second most important source of income</t>
  </si>
  <si>
    <t xml:space="preserve">Pas de seconde source de revenu </t>
  </si>
  <si>
    <t>incomesource3</t>
  </si>
  <si>
    <t xml:space="preserve">Income not derived from work / Income from other rents                                </t>
  </si>
  <si>
    <t>No third most important source of income</t>
  </si>
  <si>
    <t xml:space="preserve">Pas de troisème source de revenu </t>
  </si>
  <si>
    <t>covidmeasures</t>
  </si>
  <si>
    <t>goodstransp</t>
  </si>
  <si>
    <t>Movement restrictions [sometimes producing product scarcity or price heights]</t>
  </si>
  <si>
    <t>Restrictions de mouvement [entraînant parfois une raréfaction des produits ou une forte hausse des prix]</t>
  </si>
  <si>
    <t>marketclosed</t>
  </si>
  <si>
    <t>Closure of food markets or other businesses</t>
  </si>
  <si>
    <t>Fermeture des marchés alimentaires ou d'autres commerces</t>
  </si>
  <si>
    <t>borderclosed</t>
  </si>
  <si>
    <t>Closure of international borders [affecting the purchase of imported inputs or the sale of goods for export or transhumance]</t>
  </si>
  <si>
    <t>Fermeture des frontières internationales [ayant un impact sur l'achat d'intrants importés, la vente de marchandises exportées ou la transhumance]</t>
  </si>
  <si>
    <t>stayhome</t>
  </si>
  <si>
    <t>Stay at home order</t>
  </si>
  <si>
    <t>Ordre de confinement</t>
  </si>
  <si>
    <t>gatherings</t>
  </si>
  <si>
    <t>Ban on gatherings</t>
  </si>
  <si>
    <t>Interdiction des rassemblements</t>
  </si>
  <si>
    <t>processclosed</t>
  </si>
  <si>
    <t>Closure of food processors [slaughterhouse / dairy cooperatives / etc] or restaurants</t>
  </si>
  <si>
    <t>Fermeture des lieux de transformation des aliments (abattoirs, coopératives laitières, etc.) ou des restaurants</t>
  </si>
  <si>
    <t>Other [specify]</t>
  </si>
  <si>
    <t>Autre [préciser]</t>
  </si>
  <si>
    <t>Not affected by restrictions</t>
  </si>
  <si>
    <t>Non touché par les restrictions</t>
  </si>
  <si>
    <t>noshock</t>
  </si>
  <si>
    <t>No shock</t>
  </si>
  <si>
    <t>Aucun choc</t>
  </si>
  <si>
    <t>sicknessordeathofhh</t>
  </si>
  <si>
    <t>Sickness or accident or death of household member[s] [sickness of breadwinner / unusually high medical expenditure / funeral expenses / death of breadwinner]</t>
  </si>
  <si>
    <t>Maladie, accident ou décès d'un ou plusieurs membres du ménage [maladie du soutien de famille / dépenses médicales anormalement élevées / frais funéraires / décès du soutien de famille]</t>
  </si>
  <si>
    <t>lostemplorwork</t>
  </si>
  <si>
    <t>Lost employment or working opportunities [mainly applies for daily work]</t>
  </si>
  <si>
    <t>Perte d'emploi ou de possibilités de travail [principalement travail journalier]</t>
  </si>
  <si>
    <t>otherintrahhshock</t>
  </si>
  <si>
    <t>Other intra household shock</t>
  </si>
  <si>
    <t>Autre choc interne au ménage</t>
  </si>
  <si>
    <t>higherfoodprices</t>
  </si>
  <si>
    <t>Much higher than usual food prices</t>
  </si>
  <si>
    <t>Prix des denrées alimentaires beaucoup plus élevés que d'habitude</t>
  </si>
  <si>
    <t>higherfuelprices</t>
  </si>
  <si>
    <t>Much higher than usual fuel prices or transport prices</t>
  </si>
  <si>
    <t>Prix des carburants ou des transports beaucoup plus élevés que d'habitude</t>
  </si>
  <si>
    <t>cantworkordobusiness</t>
  </si>
  <si>
    <t>Could not continue business as usual due to external constraints [such as covid restrictions, insecurity, infrastructure damage, etc.]</t>
  </si>
  <si>
    <t>Impossibilité de poursuivre les activités habituelles en raison de contraintes externes [restrictions budgétaires, insécurité, infrastructures endommagées, etc.]</t>
  </si>
  <si>
    <t>othereconomicshock</t>
  </si>
  <si>
    <t xml:space="preserve">Other economic shock </t>
  </si>
  <si>
    <t xml:space="preserve">Autre choc économique </t>
  </si>
  <si>
    <t>pestoutbreak</t>
  </si>
  <si>
    <t>Pest outbreak</t>
  </si>
  <si>
    <t>Invasion d'organismes nuisibles</t>
  </si>
  <si>
    <t>plantdisease</t>
  </si>
  <si>
    <t>Plant disease</t>
  </si>
  <si>
    <t>Maladie des plantes</t>
  </si>
  <si>
    <t>animaldisease</t>
  </si>
  <si>
    <t xml:space="preserve">Animal disease affecting many animals or death of animals </t>
  </si>
  <si>
    <t>Maladie animale touchant de nombreux animaux ou mort d'animaux</t>
  </si>
  <si>
    <t>napasture</t>
  </si>
  <si>
    <t>Lack of physical access to pasture [because of conflict / infrastructure damage / COVID-19 restrictions]</t>
  </si>
  <si>
    <t>Accès difficile aux pâturages [en raison de conflits / d'infrastructures endommagées / des restrictions liées à la covid-19]</t>
  </si>
  <si>
    <t>othercropandlivests</t>
  </si>
  <si>
    <t>Other crop and livestock shock</t>
  </si>
  <si>
    <t>Autres chocs touchant les cultures et le bétail</t>
  </si>
  <si>
    <t>coldtemporhail</t>
  </si>
  <si>
    <t>Cold temperatures or hail</t>
  </si>
  <si>
    <t>Températures froides / grêle</t>
  </si>
  <si>
    <t>flood</t>
  </si>
  <si>
    <t>Flood / riverbank erosion</t>
  </si>
  <si>
    <t>Inondations / érosion des berges</t>
  </si>
  <si>
    <t>hurricane</t>
  </si>
  <si>
    <t>Hurricane / cyclone / tornado</t>
  </si>
  <si>
    <t>Ouragan / cyclone / tornade</t>
  </si>
  <si>
    <t>drought</t>
  </si>
  <si>
    <t>Drought / heat stress</t>
  </si>
  <si>
    <t>Sécheresse / stress dû à la chaleur</t>
  </si>
  <si>
    <t>earthquake</t>
  </si>
  <si>
    <t>Earthquake</t>
  </si>
  <si>
    <t>Tremblement de terre</t>
  </si>
  <si>
    <t>landslides</t>
  </si>
  <si>
    <t>Landslides</t>
  </si>
  <si>
    <t>Glissement de terrain</t>
  </si>
  <si>
    <t>firenatural</t>
  </si>
  <si>
    <t>Fire from natural disaster</t>
  </si>
  <si>
    <t>Incendie dû à une catastrophe naturelle</t>
  </si>
  <si>
    <t>othernathazard</t>
  </si>
  <si>
    <t>Other natural hazard</t>
  </si>
  <si>
    <t>Autres risques naturels</t>
  </si>
  <si>
    <t>violenceinsecconf</t>
  </si>
  <si>
    <t>Violence and insecurity / conflict</t>
  </si>
  <si>
    <t>Violence et insécurité / conflit</t>
  </si>
  <si>
    <t>theftofprodassets</t>
  </si>
  <si>
    <t>Theft of production assets [land / livestock / tools / etc]</t>
  </si>
  <si>
    <t>Vol d'actifs de production [terres/ bétail/ outils/ etc.]</t>
  </si>
  <si>
    <t>fire</t>
  </si>
  <si>
    <t>Fire from man-made disaster</t>
  </si>
  <si>
    <t>Incendie d'origine humaine</t>
  </si>
  <si>
    <t>othermanmadehazard</t>
  </si>
  <si>
    <t>Other man-made hazard</t>
  </si>
  <si>
    <t>Autre risque d'origine humaine</t>
  </si>
  <si>
    <t>landsize_unit</t>
  </si>
  <si>
    <t>Acres</t>
  </si>
  <si>
    <t>Hectares</t>
  </si>
  <si>
    <t>Square meters</t>
  </si>
  <si>
    <t>Mètres carrés</t>
  </si>
  <si>
    <t>Square feet</t>
  </si>
  <si>
    <t>Pieds carrés</t>
  </si>
  <si>
    <t>#local measurement units#</t>
  </si>
  <si>
    <t>#unité de mesure locale#</t>
  </si>
  <si>
    <t>cropcheck</t>
  </si>
  <si>
    <t xml:space="preserve">Don’t usually produce during this season </t>
  </si>
  <si>
    <t xml:space="preserve">Ne produit habituellement pas pendant cette saison </t>
  </si>
  <si>
    <t>Wasn't able to produce (e.g. due to difficulties)</t>
  </si>
  <si>
    <t>N'a pas été en mesure de produire (en raison de difficultés, par exemple)</t>
  </si>
  <si>
    <t>irrigation</t>
  </si>
  <si>
    <t>Rainfed (no irrigation system)</t>
  </si>
  <si>
    <t>Pluie (pas de système d'irrigation)</t>
  </si>
  <si>
    <t>Canal irrigation (using syphon)</t>
  </si>
  <si>
    <t>Irrigation via un canal (avec un siphon)</t>
  </si>
  <si>
    <t>Sprinkler or drip irrigation (from surface water, groundwater or tap water)</t>
  </si>
  <si>
    <t>Irrigation par aspersion ou goutte à goutte (à partir d'eau de surface, souterraine ou du robinet)</t>
  </si>
  <si>
    <t>Manual irrigation (from surface water, groundwater or tap water)</t>
  </si>
  <si>
    <t>Irrigation manuelle (à partir d'eau de surface, souterraine ou du robinet)</t>
  </si>
  <si>
    <t>Flood irrigation (by gravity)</t>
  </si>
  <si>
    <t>Irrigation par inondation (par gravité)</t>
  </si>
  <si>
    <t>seedsupply</t>
  </si>
  <si>
    <t>ownprod</t>
  </si>
  <si>
    <t>Own production</t>
  </si>
  <si>
    <t>Propre production</t>
  </si>
  <si>
    <t>market</t>
  </si>
  <si>
    <t>Purchased at market or agro-input shop</t>
  </si>
  <si>
    <t>Achetées au marché ou dans un magasin d'intrants agricoles</t>
  </si>
  <si>
    <t>company</t>
  </si>
  <si>
    <t>Purchased directly from seed company</t>
  </si>
  <si>
    <t>Achetées directement à un semencier</t>
  </si>
  <si>
    <t>freedist</t>
  </si>
  <si>
    <t>Free distribution</t>
  </si>
  <si>
    <t>Distribution gratuite</t>
  </si>
  <si>
    <t>bank</t>
  </si>
  <si>
    <t>Community seed banks / farmer networks / etc.</t>
  </si>
  <si>
    <t>Banques de semences communautaires / réseaux d'agriculteurs / etc.</t>
  </si>
  <si>
    <t>gov</t>
  </si>
  <si>
    <t>Government suppliers</t>
  </si>
  <si>
    <t xml:space="preserve">Fournisseurs étatiques </t>
  </si>
  <si>
    <t>Other</t>
  </si>
  <si>
    <t>Autre</t>
  </si>
  <si>
    <t>harv_unit</t>
  </si>
  <si>
    <t>Kilograms [kgs]</t>
  </si>
  <si>
    <t>Kilogrammes [kg]</t>
  </si>
  <si>
    <t>Tons</t>
  </si>
  <si>
    <t>Tonnes</t>
  </si>
  <si>
    <t>Ounces</t>
  </si>
  <si>
    <t>Onces</t>
  </si>
  <si>
    <t>Pounds</t>
  </si>
  <si>
    <t>Livres</t>
  </si>
  <si>
    <t>Bags</t>
  </si>
  <si>
    <t>Sacs</t>
  </si>
  <si>
    <t>Boxes</t>
  </si>
  <si>
    <t>Boîtes</t>
  </si>
  <si>
    <t>Bundles</t>
  </si>
  <si>
    <t>Fagots</t>
  </si>
  <si>
    <t>Packets</t>
  </si>
  <si>
    <t>Paquets</t>
  </si>
  <si>
    <t>cropproddiff</t>
  </si>
  <si>
    <t xml:space="preserve">Plant disease </t>
  </si>
  <si>
    <t>seedquality</t>
  </si>
  <si>
    <t>Low quality of seeds</t>
  </si>
  <si>
    <t>Mauvaise qualité des semences</t>
  </si>
  <si>
    <t>lostordamaged</t>
  </si>
  <si>
    <t>Crop damage [e.g. by pests, animals or bandits] other than plant disease during growing season</t>
  </si>
  <si>
    <t>Dommages aux cultures [causés par exemple par des parasites, des animaux ou des malfaiteurs] autres que les maladies des plantes pendant la période de végétation</t>
  </si>
  <si>
    <t>naplot</t>
  </si>
  <si>
    <t>Access to plot</t>
  </si>
  <si>
    <t>Accès à la parcelle</t>
  </si>
  <si>
    <t>nafertilizer</t>
  </si>
  <si>
    <t>Access to fertilizer [not available on markets or prices too high]</t>
  </si>
  <si>
    <t>Accès aux engrais [non disponibles sur les marchés ou prix trop élevés]</t>
  </si>
  <si>
    <t>naseeds</t>
  </si>
  <si>
    <t>Access to enough seeds [not available on markets or prices too high]</t>
  </si>
  <si>
    <t>Accès à suffisamment de semences [non disponibles sur les marchés ou prix trop élevés]</t>
  </si>
  <si>
    <t>nainsecticides</t>
  </si>
  <si>
    <t xml:space="preserve">Access to insecticides </t>
  </si>
  <si>
    <t>Accès aux pesticides</t>
  </si>
  <si>
    <t>nalabour</t>
  </si>
  <si>
    <t>Access to labour or manpower</t>
  </si>
  <si>
    <t>Accès à de la main-d'œuvre supplémentaire</t>
  </si>
  <si>
    <t>namachinery</t>
  </si>
  <si>
    <t>Access to machinery, tools or animals for ploughing</t>
  </si>
  <si>
    <t>Accès aux machines</t>
  </si>
  <si>
    <t>nafuelorelect</t>
  </si>
  <si>
    <t>Access to fuel or electricity to power agricultural equipment</t>
  </si>
  <si>
    <t>Accès au carburant ou à l'électricité pour alimenter les équipements agricoles</t>
  </si>
  <si>
    <t>soilerosion</t>
  </si>
  <si>
    <t>Soil erosion</t>
  </si>
  <si>
    <t>Érosion des sols</t>
  </si>
  <si>
    <t xml:space="preserve">Not enough irrigation or rainfall water </t>
  </si>
  <si>
    <t>Eau d'irrigation ou pluie insuffisante</t>
  </si>
  <si>
    <t>storage</t>
  </si>
  <si>
    <t>None</t>
  </si>
  <si>
    <t>Aucune</t>
  </si>
  <si>
    <t>A little</t>
  </si>
  <si>
    <t>Une petite part</t>
  </si>
  <si>
    <t>An important part of it, but less than half</t>
  </si>
  <si>
    <t>Une part importante, mais moins de la moitié</t>
  </si>
  <si>
    <t>Most of it [half or more]</t>
  </si>
  <si>
    <t>Une grande part [la moitié ou plus]</t>
  </si>
  <si>
    <t>Almost everything</t>
  </si>
  <si>
    <t>La presque totalité</t>
  </si>
  <si>
    <t>Everything</t>
  </si>
  <si>
    <t>La totalité</t>
  </si>
  <si>
    <t>cropsalesdiff</t>
  </si>
  <si>
    <t>marketing_cost</t>
  </si>
  <si>
    <t>High transportation or other marketing costs</t>
  </si>
  <si>
    <t>Coûts de transport ou autres coûts de commercialisation élevés</t>
  </si>
  <si>
    <t>damagelosses</t>
  </si>
  <si>
    <t>Difficulty accessing the market [e.g. insecurity, closure due to COVID-19 restrictions, etc.]</t>
  </si>
  <si>
    <t>Difficultés d'accès au marché [par exemple, insécurité, fermetures dues aux restrictions liées à la covid-19, etc.]</t>
  </si>
  <si>
    <t>lowdemand</t>
  </si>
  <si>
    <t>Usual traders or local customers are not buying as much as usual / payment delays</t>
  </si>
  <si>
    <t>Les commerçants habituels ou les clients locaux n'achètent pas autant que d'habitude / retards de paiement</t>
  </si>
  <si>
    <t>lowprice</t>
  </si>
  <si>
    <t>Low selling prices [e.g. compared to input prices / inflation]</t>
  </si>
  <si>
    <t>Faible prix de vente [par exemple, par rapport aux prix des intrants / inflation]</t>
  </si>
  <si>
    <t>dif_processing</t>
  </si>
  <si>
    <t>Difficulty processing product [lack of processing inputs / equipment / etc]</t>
  </si>
  <si>
    <t>Difficulté de transformation de la production [manque d'intrants / d'équipements de transformation / etc.]</t>
  </si>
  <si>
    <t>Cattle [cow / beef / veal / yak / buffalo]</t>
  </si>
  <si>
    <t>Bovins [vache / bœuf / veau / yak / buffle]</t>
  </si>
  <si>
    <t>Goats</t>
  </si>
  <si>
    <t>Chèvres</t>
  </si>
  <si>
    <t>Sheep</t>
  </si>
  <si>
    <t>Moutons</t>
  </si>
  <si>
    <t>Swine [swine / boar / hog / etc]</t>
  </si>
  <si>
    <t>Porcins [cochon / sanglier / porc / etc.]</t>
  </si>
  <si>
    <t>Equine [donkey / horse / etc]</t>
  </si>
  <si>
    <t>Équidés [âne / cheval / etc]</t>
  </si>
  <si>
    <t>Small domesticated mammals [rabbits / minks / guinea pigs / etc]</t>
  </si>
  <si>
    <t>Petits mammifères domestiques [lapins / visons / cochons d'Inde / etc.]</t>
  </si>
  <si>
    <t>Poultry [chicken / guineafowl / duck / quail / turkey / etc]</t>
  </si>
  <si>
    <t>Volaille [poulets / pintades / canards / cailles / dindes / etc.]</t>
  </si>
  <si>
    <t>Camelids</t>
  </si>
  <si>
    <t>Camélidés</t>
  </si>
  <si>
    <t>lsnum</t>
  </si>
  <si>
    <t>nochange</t>
  </si>
  <si>
    <t>No significant change in livestock number</t>
  </si>
  <si>
    <t>Pas de changement significatif du nombre de têtes de bétail</t>
  </si>
  <si>
    <t>inc_didnotsellasmany</t>
  </si>
  <si>
    <t>Did not sell as many</t>
  </si>
  <si>
    <t>Les ventes ont été moins importantes</t>
  </si>
  <si>
    <t>inc_moreborn</t>
  </si>
  <si>
    <t>Many more born</t>
  </si>
  <si>
    <t>Beaucoup plus de naissances</t>
  </si>
  <si>
    <t>inc_purchbarterdmore</t>
  </si>
  <si>
    <t>Purchased or bartered more animals this year</t>
  </si>
  <si>
    <t>Davantage d'animaux achetés ou troqués cette année</t>
  </si>
  <si>
    <t>inc_receivedfree</t>
  </si>
  <si>
    <t>Received animals for free [restocking, gift]</t>
  </si>
  <si>
    <t>Animaux reçus gratuitement [réapprovisionnement / cadeau]</t>
  </si>
  <si>
    <t>dec_animalsdied</t>
  </si>
  <si>
    <t>Animals died of poor health, malnutrition or injury</t>
  </si>
  <si>
    <t>Animaux morts de problèmes de santé / de malnutrition / de blessures</t>
  </si>
  <si>
    <t>dec_soldmoregoodprice</t>
  </si>
  <si>
    <t>Sold more than usual because of good prices</t>
  </si>
  <si>
    <t>Davantage de ventes en raison de bons prix</t>
  </si>
  <si>
    <t>dec_soldmoredistsale</t>
  </si>
  <si>
    <t>Sold more than usual because of distress sales [unable to feed animal, need money urgently for household basic needs even if sales were unsustainable]</t>
  </si>
  <si>
    <t>Davantage de ventes en raison de ventes de détresse [incapacité à nourrir l'animal / besoin urgent d'argent pour les besoins de base du ménage même si les ventes ne sont pas durables]</t>
  </si>
  <si>
    <t>dec_anmlescloststolen</t>
  </si>
  <si>
    <t>Animal escaped or was lost or stolen</t>
  </si>
  <si>
    <t>Des animaux se sont échappés, ont été perdus ou volés</t>
  </si>
  <si>
    <t>dec_killedorgaveanml</t>
  </si>
  <si>
    <t>Killed or gave away more animals than usual for household consumption or celebrations [marriage, funerals, etc]</t>
  </si>
  <si>
    <t>A tué ou donné plus d'animaux que d'habitude pour la consommation du ménage ou pour des célébrations [mariage / funérailles / etc]</t>
  </si>
  <si>
    <t>inc_dec_other</t>
  </si>
  <si>
    <t>inc_dec_dk</t>
  </si>
  <si>
    <t>inc_dec_ref</t>
  </si>
  <si>
    <t>lsfood</t>
  </si>
  <si>
    <t>openpasture</t>
  </si>
  <si>
    <t>Open pasture</t>
  </si>
  <si>
    <t>Pâturages ouverts</t>
  </si>
  <si>
    <t>commonpasture</t>
  </si>
  <si>
    <t>Community-managed pasture land</t>
  </si>
  <si>
    <t>Pâturages gérés par la communauté</t>
  </si>
  <si>
    <t>fieldselfprodfod</t>
  </si>
  <si>
    <t>Owned or rented field or self-produced fodder</t>
  </si>
  <si>
    <t>Champ possédé ou loué, ou fourrage auto-produit</t>
  </si>
  <si>
    <t>purchased</t>
  </si>
  <si>
    <t>Purchase feed or fodder on markets</t>
  </si>
  <si>
    <t>Achat d'aliments/fourrage sur les marchés</t>
  </si>
  <si>
    <t xml:space="preserve">Other </t>
  </si>
  <si>
    <t>lsproddiff</t>
  </si>
  <si>
    <t>diffeedpurchase</t>
  </si>
  <si>
    <t>Difficulty to purchase feed [prices or access to market]</t>
  </si>
  <si>
    <t>Difficulté à acheter des aliments pour animaux [prix ou accès au marché]</t>
  </si>
  <si>
    <t>constaccesstopasture</t>
  </si>
  <si>
    <t>Access to pasture</t>
  </si>
  <si>
    <t>Accès aux pâturages</t>
  </si>
  <si>
    <t>constaccesstowater</t>
  </si>
  <si>
    <t>Access to water</t>
  </si>
  <si>
    <t>Accès à l'eau</t>
  </si>
  <si>
    <t>difaccessvetserv</t>
  </si>
  <si>
    <t>Access to veterinary services</t>
  </si>
  <si>
    <t>Accès aux services vétérinaires</t>
  </si>
  <si>
    <t>difaccessvetinp</t>
  </si>
  <si>
    <t>Access to veterinary inputs [medicine for animals / tools for animal health / etc]</t>
  </si>
  <si>
    <t>Accès aux intrants vétérinaires [médicaments pour animaux / outils pour la santé animale / etc.]</t>
  </si>
  <si>
    <t>diseases</t>
  </si>
  <si>
    <t>Livestock diseases or death</t>
  </si>
  <si>
    <t>Maladies ou mort du bétail</t>
  </si>
  <si>
    <t>theftorinsecurity</t>
  </si>
  <si>
    <t>Livestock theft</t>
  </si>
  <si>
    <t>Vol de bétail</t>
  </si>
  <si>
    <t>pooraccesstolmarket</t>
  </si>
  <si>
    <t>Access to livestock market to buy young animals</t>
  </si>
  <si>
    <t>Accès aux marchés de bétail pour acheter de jeunes animaux</t>
  </si>
  <si>
    <t>noaccesstocredit</t>
  </si>
  <si>
    <t>Access to credit</t>
  </si>
  <si>
    <t>Accès au crédit</t>
  </si>
  <si>
    <t>lackoflabour</t>
  </si>
  <si>
    <t xml:space="preserve">Labour too expensive or income insufficient to hire labour or labourers are unavailable  </t>
  </si>
  <si>
    <t>Main-d'œuvre trop chère, revenus insuffisants pour engager de la main-d'œuvre ou travailleurs non disponibles</t>
  </si>
  <si>
    <t>lsmain2</t>
  </si>
  <si>
    <t>No other livestock</t>
  </si>
  <si>
    <t>Pas d'autre bétail</t>
  </si>
  <si>
    <t>salesmain</t>
  </si>
  <si>
    <t>Equine [donkey / horse / etc.]</t>
  </si>
  <si>
    <t>Poultry [chicken / guineafowl / duck / quail / turkey / etc.]</t>
  </si>
  <si>
    <t>Eggs</t>
  </si>
  <si>
    <t>Œufs</t>
  </si>
  <si>
    <t>Milk or dairy products</t>
  </si>
  <si>
    <t>Lait ou produits laitiers</t>
  </si>
  <si>
    <t>Skin or leather or wool</t>
  </si>
  <si>
    <t>Peau, cuir ou laine</t>
  </si>
  <si>
    <t>lssalesdif</t>
  </si>
  <si>
    <t>smallerprofits</t>
  </si>
  <si>
    <t>damageandlosses</t>
  </si>
  <si>
    <t>lowprices</t>
  </si>
  <si>
    <t>Faibles prix de vente [par exemple, par rapport aux prix des intrants / l'inflation]</t>
  </si>
  <si>
    <t>slaughterhouse</t>
  </si>
  <si>
    <t>Closure of slaughterhouses or difficulties accessing slaughterhouses</t>
  </si>
  <si>
    <t>Fermeture des abattoirs ou difficultés d'accès aux abattoirs</t>
  </si>
  <si>
    <t>processing</t>
  </si>
  <si>
    <t>Difficulties to process product other than closure of slaughterhouse [lack of access to processing inputs / equipment / etc]</t>
  </si>
  <si>
    <t>Difficultés de transformation du produit autres que la fermeture de l'abattoir [manque d'accès aux intrants de transformation / aux équipements / etc.]</t>
  </si>
  <si>
    <t>fishactivity</t>
  </si>
  <si>
    <t>coastal</t>
  </si>
  <si>
    <t>Coastal fishing</t>
  </si>
  <si>
    <t>Pêche côtière</t>
  </si>
  <si>
    <t>opensea</t>
  </si>
  <si>
    <t>Open sea fishing</t>
  </si>
  <si>
    <t>Pêche en haute mer</t>
  </si>
  <si>
    <t>lakespondsrivers</t>
  </si>
  <si>
    <t>Freshwater fishing [e.g. lakes, ponds, rivers]</t>
  </si>
  <si>
    <t>Pêche en eau douce [lacs, étangs, rivières par exemple]</t>
  </si>
  <si>
    <t>aquaculture</t>
  </si>
  <si>
    <t>Aquaculture</t>
  </si>
  <si>
    <t>fishproddiff</t>
  </si>
  <si>
    <t>find</t>
  </si>
  <si>
    <t>Fish is more difficult to find than in previous years  in the same season</t>
  </si>
  <si>
    <t>Le poisson est plus difficile à trouver que les années précédentes à la même saison</t>
  </si>
  <si>
    <t>Impossible to go out fishing [e.g. due to weather conditions, COVID-19 restrictions]</t>
  </si>
  <si>
    <t>Impossible de sortir pêcher [par exemple en raison des conditions météorologiques, des restrictions liées à la covid-19]</t>
  </si>
  <si>
    <t>fuel</t>
  </si>
  <si>
    <t>Access to fuel [prices higher or not available]</t>
  </si>
  <si>
    <t>Accès au carburant [prix plus élevé ou non disponible]</t>
  </si>
  <si>
    <t>inputs</t>
  </si>
  <si>
    <t>Access to fishing material and-or other inputs [prices higher or not available]</t>
  </si>
  <si>
    <t>Accès au matériel de pêche et/ou à d'autres intrants [prix plus élevé ou non disponibles]</t>
  </si>
  <si>
    <t>labour</t>
  </si>
  <si>
    <t>Labour too expensive or income insufficient to hire labour</t>
  </si>
  <si>
    <t>Main-d'œuvre trop chère ou revenu insuffisant pour embaucher de la main d'œuvre</t>
  </si>
  <si>
    <t>fishinput</t>
  </si>
  <si>
    <t>bait</t>
  </si>
  <si>
    <t>Feed or bait</t>
  </si>
  <si>
    <t>Aliments ou appâts</t>
  </si>
  <si>
    <t>net</t>
  </si>
  <si>
    <t>Net</t>
  </si>
  <si>
    <t>Filets</t>
  </si>
  <si>
    <t>gear</t>
  </si>
  <si>
    <t>Gear</t>
  </si>
  <si>
    <t>Engins de pêche</t>
  </si>
  <si>
    <t>ice</t>
  </si>
  <si>
    <t>Ice</t>
  </si>
  <si>
    <t>Glace</t>
  </si>
  <si>
    <t>Fuel</t>
  </si>
  <si>
    <t>Carburant</t>
  </si>
  <si>
    <t>boatrepairs</t>
  </si>
  <si>
    <t>Boat repairs</t>
  </si>
  <si>
    <t>Réparation des bateaux</t>
  </si>
  <si>
    <t>fishsales</t>
  </si>
  <si>
    <t>Fresh fish [any kind]</t>
  </si>
  <si>
    <t>Poisson frais [toutes sortes]</t>
  </si>
  <si>
    <t>Dry fish [any kind]</t>
  </si>
  <si>
    <t>Poisson séché [toutes sortes]</t>
  </si>
  <si>
    <t>Smoked fish</t>
  </si>
  <si>
    <t>Poisson fumé</t>
  </si>
  <si>
    <t>Seafood [any kind]</t>
  </si>
  <si>
    <t>Fruits de mer [toutes sortes]</t>
  </si>
  <si>
    <t>fishsalesdif</t>
  </si>
  <si>
    <t>Damage and losses due to storage dfficulties or delays or inability to physically access markets</t>
  </si>
  <si>
    <t>Difficulties to process product [lack of access to processing inputs / equipment / etc]</t>
  </si>
  <si>
    <t>Difficultés de transformation du produit [manque d'accès aux intrants de transformation, aux équipements, etc.]</t>
  </si>
  <si>
    <t>frequency</t>
  </si>
  <si>
    <t>Rarely (1-2 times in the past 30 days)</t>
  </si>
  <si>
    <t>Rarement [1 ou 2 fois au cours des 30 derniers jours]</t>
  </si>
  <si>
    <t>Sometimes (3-10 times in the past 30 days)</t>
  </si>
  <si>
    <t>Parfois [entre 3 et 10 fois au cours des 30 derniers jours]</t>
  </si>
  <si>
    <t>Often (more than 10 times in the last 30 days)</t>
  </si>
  <si>
    <t>Souvent [plus de 10 fois au cours des 30 derniers jours]</t>
  </si>
  <si>
    <t xml:space="preserve">DON'T KNOW </t>
  </si>
  <si>
    <t>coping</t>
  </si>
  <si>
    <t>No - because it wasn’t necessary</t>
  </si>
  <si>
    <t>Non - parce que ce n'était pas nécessaire</t>
  </si>
  <si>
    <t>No - because you already sold those assets or did this activity within the last 12 months and you cannot continue to do it</t>
  </si>
  <si>
    <t>Non - parce que vous avez déjà vendu ces biens ou réalisé cette activité au cours des 12 derniers mois et que vous ne pouvez pas continuer à le faire</t>
  </si>
  <si>
    <t>Not applicable</t>
  </si>
  <si>
    <t>Non applicable</t>
  </si>
  <si>
    <t>cereals</t>
  </si>
  <si>
    <t>Cereals [sorghum / millet / corn / wheat / rice / spaghetti / bread or insert any other locally available grain]</t>
  </si>
  <si>
    <t>Céréales [sorgho / millet / maïs / blé / riz / spaghettis / pain ou toute autre céréale disponible localement]</t>
  </si>
  <si>
    <t>rootstubers</t>
  </si>
  <si>
    <t>Roots and tubers [white sweet potato / potato / yam / cassava or other tubers]</t>
  </si>
  <si>
    <t>Racines et tubercules [patate douce blanche / pomme de terre / igname / manioc ou autres tubercules]</t>
  </si>
  <si>
    <t>vegetables</t>
  </si>
  <si>
    <t>Vegetables [all]</t>
  </si>
  <si>
    <t>Légumes [tous]</t>
  </si>
  <si>
    <t>fruits</t>
  </si>
  <si>
    <t>Fruits [all]</t>
  </si>
  <si>
    <t>Fruits [tous]</t>
  </si>
  <si>
    <t>meat</t>
  </si>
  <si>
    <t>Viande/ volaille et abats [bœuf / porc / agneau / chèvre/ lapin / gibier / poulet / canard / foie / rein / cœur ou autres abats]</t>
  </si>
  <si>
    <t>eggs</t>
  </si>
  <si>
    <t>fish</t>
  </si>
  <si>
    <t>Fish or shellfish [fresh or dried fish / other seafood]</t>
  </si>
  <si>
    <t>Poissons ou crustacés [poissons frais ou séchés / crustacés]</t>
  </si>
  <si>
    <t>legumes</t>
  </si>
  <si>
    <t>milkdairy</t>
  </si>
  <si>
    <t>Milk and other dairy products [fresh milk / sour / yogurt / cheese / other dairy products]</t>
  </si>
  <si>
    <t>Lait et autres produits laitiers [lait frais / lait caillé / yaourt / fromage / autres produits laitiers]</t>
  </si>
  <si>
    <t>oils</t>
  </si>
  <si>
    <t>Oil/fat / butter [cooking / butter / margarine / fat/oil / other oil]</t>
  </si>
  <si>
    <t>Huiles et graisses [cuisson / beurre / margarine / graisse / huile / autres huiles]</t>
  </si>
  <si>
    <t>sugar</t>
  </si>
  <si>
    <t>Sugar or sugary products [honey / jam / donuts / candy / biscuits / pastries / cakes and other sweet products]</t>
  </si>
  <si>
    <t>Sucre ou produits sucrés [miel / confiture / beignets / bonbons / chocolat / biscuits / pâtisseries / gâteaux et autres produits sucrés]</t>
  </si>
  <si>
    <t>condiments</t>
  </si>
  <si>
    <t>Condiments [cocoa /salt / garlic / spices / yeast or baking powder / tomato or tomato sauce / meat or fish as a condiment] / coffee / tea</t>
  </si>
  <si>
    <t>Condiments [cacao / sel / ail / épices / levure / levure chimique / tomate ou sauce tomate / viande ou poisson comme condiment] et café / thé</t>
  </si>
  <si>
    <t>needs</t>
  </si>
  <si>
    <t>seeds</t>
  </si>
  <si>
    <t>Seeds</t>
  </si>
  <si>
    <t>Semences</t>
  </si>
  <si>
    <t>fertilizers</t>
  </si>
  <si>
    <t>Fertilizers</t>
  </si>
  <si>
    <t>Engrais</t>
  </si>
  <si>
    <t>pesticides</t>
  </si>
  <si>
    <t>Pesticides</t>
  </si>
  <si>
    <t>tools</t>
  </si>
  <si>
    <t>Tools</t>
  </si>
  <si>
    <t>Outils</t>
  </si>
  <si>
    <t>accesstoirrigationwater</t>
  </si>
  <si>
    <t>Access to irrigation water</t>
  </si>
  <si>
    <t>Accès à l'eau d'irrigation</t>
  </si>
  <si>
    <t>accesstoland</t>
  </si>
  <si>
    <t>Access to land</t>
  </si>
  <si>
    <t>Accès à la terre</t>
  </si>
  <si>
    <t>animalfeed</t>
  </si>
  <si>
    <t>Animal feed</t>
  </si>
  <si>
    <t>Alimentation animale</t>
  </si>
  <si>
    <t>veterinaryservices</t>
  </si>
  <si>
    <t>Veterinary services</t>
  </si>
  <si>
    <t>Services vétérinaires</t>
  </si>
  <si>
    <t>veterinaryinputs</t>
  </si>
  <si>
    <t>Veterinary inputs</t>
  </si>
  <si>
    <t>Intrants vétérinaires</t>
  </si>
  <si>
    <t>animalsalemingarantdprice</t>
  </si>
  <si>
    <t>Sales of animals with minimum guaranteed price</t>
  </si>
  <si>
    <t>Vente d'animaux à un prix minimum garanti</t>
  </si>
  <si>
    <t>restockinganimals</t>
  </si>
  <si>
    <t>Restocking animals</t>
  </si>
  <si>
    <t>Reconstitution des stocks d'animaux</t>
  </si>
  <si>
    <t>supportforprocessprod</t>
  </si>
  <si>
    <t>Support for processing product</t>
  </si>
  <si>
    <t>Aide à la transformation des produits</t>
  </si>
  <si>
    <t>supptransofanimalsorprod</t>
  </si>
  <si>
    <t>Support for transportation of animals or animal product [e.g. cold chains for milk]</t>
  </si>
  <si>
    <t>Aide au transport des animaux ou des produits animaux [par exemple, chaînes du froid pour le lait]</t>
  </si>
  <si>
    <t>acstomechanisedequipprod</t>
  </si>
  <si>
    <t>Access to tractors</t>
  </si>
  <si>
    <t>Accès aux tracteurs</t>
  </si>
  <si>
    <t>marketingsupport</t>
  </si>
  <si>
    <t>Marketing support</t>
  </si>
  <si>
    <t>Aide à la commercialisation</t>
  </si>
  <si>
    <t>cashassistance</t>
  </si>
  <si>
    <t>Cash or food assistance</t>
  </si>
  <si>
    <t>Aide en espèces ou alimentaire</t>
  </si>
  <si>
    <t>loans</t>
  </si>
  <si>
    <t>Loans</t>
  </si>
  <si>
    <t>Prêts</t>
  </si>
  <si>
    <t>storageequipmentorfaci</t>
  </si>
  <si>
    <t>Storage equipment or facility [bags / containers / etc.]</t>
  </si>
  <si>
    <t>Équipements ou installation de stockage (sacs, conteneurs, etc.)</t>
  </si>
  <si>
    <t>techsupporextensionserv</t>
  </si>
  <si>
    <t>Technical support or extension services</t>
  </si>
  <si>
    <t>Soutien technique ou services de vulgarisation</t>
  </si>
  <si>
    <t>landrehabilitation</t>
  </si>
  <si>
    <t>Land rehabilitation [in case of a disaster]</t>
  </si>
  <si>
    <t>Remise en état des terres [en cas de catastrophe]</t>
  </si>
  <si>
    <t>fishequiorothersuppforfish</t>
  </si>
  <si>
    <t>Access to boats (new or repair of existing boats), fishing equipment and supplies</t>
  </si>
  <si>
    <t>Accès à des bateaux (nouveaux bateaux ou réparation de bateaux existants), à l'équipement et aux fournitures de pêche</t>
  </si>
  <si>
    <t>infoonsafetymeasures</t>
  </si>
  <si>
    <t>Information on safety measures in the context of the COVID-19 epidemic</t>
  </si>
  <si>
    <t>Informations sur les mesures de sécurité dans le cadre de l'épidémie de covid-19</t>
  </si>
  <si>
    <t>needreceived</t>
  </si>
  <si>
    <t>food</t>
  </si>
  <si>
    <t>Food</t>
  </si>
  <si>
    <t>Nourriture</t>
  </si>
  <si>
    <t>cashvouchers</t>
  </si>
  <si>
    <t>Cash vouchers</t>
  </si>
  <si>
    <t>Bons d'achat en espèces</t>
  </si>
  <si>
    <t>extensionservices</t>
  </si>
  <si>
    <t>Extension services</t>
  </si>
  <si>
    <t>Services de vulgarisation</t>
  </si>
  <si>
    <t>livestockfeed</t>
  </si>
  <si>
    <t>Livestock feed</t>
  </si>
  <si>
    <t>Aliment pour bétail</t>
  </si>
  <si>
    <t xml:space="preserve">Autres </t>
  </si>
  <si>
    <t>noassistreceived</t>
  </si>
  <si>
    <t>No assistance received</t>
  </si>
  <si>
    <t>Aucune aide reçue</t>
  </si>
  <si>
    <t>leader</t>
  </si>
  <si>
    <t>Village/ town administrator</t>
  </si>
  <si>
    <t>Administrateur du village/de la ville</t>
  </si>
  <si>
    <t>Agricultural extension officer</t>
  </si>
  <si>
    <t>Agent de vulgarisation agricole</t>
  </si>
  <si>
    <t>Health extension officer</t>
  </si>
  <si>
    <t>Agent de vulgarisation sanitaire</t>
  </si>
  <si>
    <t>Teacher</t>
  </si>
  <si>
    <t>Enseignant</t>
  </si>
  <si>
    <t>Other (specify)</t>
  </si>
  <si>
    <t>week</t>
  </si>
  <si>
    <t>mon</t>
  </si>
  <si>
    <t>Monday</t>
  </si>
  <si>
    <t>Lundi</t>
  </si>
  <si>
    <t>tues</t>
  </si>
  <si>
    <t>Tuesday</t>
  </si>
  <si>
    <t>Mardi</t>
  </si>
  <si>
    <t>wed</t>
  </si>
  <si>
    <t>Wednesday</t>
  </si>
  <si>
    <t>Mercredi</t>
  </si>
  <si>
    <t>thurs</t>
  </si>
  <si>
    <t>Thursday</t>
  </si>
  <si>
    <t>Jeudi</t>
  </si>
  <si>
    <t>fri</t>
  </si>
  <si>
    <t>Friday</t>
  </si>
  <si>
    <t>Vendredi</t>
  </si>
  <si>
    <t>sat</t>
  </si>
  <si>
    <t>Saturday</t>
  </si>
  <si>
    <t>Samedi</t>
  </si>
  <si>
    <t>sun</t>
  </si>
  <si>
    <t>Sunday</t>
  </si>
  <si>
    <t>Dimanche</t>
  </si>
  <si>
    <t>morn</t>
  </si>
  <si>
    <t>Mornings</t>
  </si>
  <si>
    <t>Le matin</t>
  </si>
  <si>
    <t>aft</t>
  </si>
  <si>
    <t>Afternoons</t>
  </si>
  <si>
    <t>L'après-midi</t>
  </si>
  <si>
    <t>eve</t>
  </si>
  <si>
    <t>Evenings</t>
  </si>
  <si>
    <t>Le soir</t>
  </si>
  <si>
    <t>version</t>
  </si>
  <si>
    <t>default_language</t>
  </si>
  <si>
    <t>allow_choice_duplicates</t>
  </si>
  <si>
    <t>style</t>
  </si>
  <si>
    <t>vM6cWXyHNhR3djPbARkHWi</t>
  </si>
  <si>
    <t>French (fr)</t>
  </si>
  <si>
    <t>theme-grid no-text-transform</t>
  </si>
  <si>
    <t xml:space="preserve">Select top 10 crops </t>
  </si>
  <si>
    <t>Dataset code</t>
  </si>
  <si>
    <t>Label (EN)</t>
  </si>
  <si>
    <t>Label (FR)</t>
  </si>
  <si>
    <t>1.1</t>
  </si>
  <si>
    <t>Rice</t>
  </si>
  <si>
    <t>Riz</t>
  </si>
  <si>
    <t>1.2</t>
  </si>
  <si>
    <t>Wheat</t>
  </si>
  <si>
    <t>Blé</t>
  </si>
  <si>
    <t>1.3</t>
  </si>
  <si>
    <t>Millet</t>
  </si>
  <si>
    <t>Mil</t>
  </si>
  <si>
    <t>1.4</t>
  </si>
  <si>
    <t>Sorghum</t>
  </si>
  <si>
    <t>Sorgho</t>
  </si>
  <si>
    <t>1.5</t>
  </si>
  <si>
    <t>Maize</t>
  </si>
  <si>
    <t>Maïs</t>
  </si>
  <si>
    <t>1.6</t>
  </si>
  <si>
    <t>Barley</t>
  </si>
  <si>
    <t>Orge</t>
  </si>
  <si>
    <t>1.99</t>
  </si>
  <si>
    <t>Other Cereal</t>
  </si>
  <si>
    <t>Autres céréales</t>
  </si>
  <si>
    <t>2.1</t>
  </si>
  <si>
    <t>Cassava</t>
  </si>
  <si>
    <t>Manioc</t>
  </si>
  <si>
    <t>2.2</t>
  </si>
  <si>
    <t>Potatoe</t>
  </si>
  <si>
    <t>Pommes de terre</t>
  </si>
  <si>
    <t>2.3</t>
  </si>
  <si>
    <t>Sweet Potatoes</t>
  </si>
  <si>
    <t>Patates douces</t>
  </si>
  <si>
    <t>2.4</t>
  </si>
  <si>
    <t>Yams</t>
  </si>
  <si>
    <t>Ignames</t>
  </si>
  <si>
    <t>2.5</t>
  </si>
  <si>
    <t>Carrots</t>
  </si>
  <si>
    <t>Carottes</t>
  </si>
  <si>
    <t>2.6</t>
  </si>
  <si>
    <t>Cocoyam</t>
  </si>
  <si>
    <t>Chou caraïbe</t>
  </si>
  <si>
    <t>2.99</t>
  </si>
  <si>
    <t>Other tubers</t>
  </si>
  <si>
    <t>Autres tubercules</t>
  </si>
  <si>
    <t>3.1</t>
  </si>
  <si>
    <t>Beans</t>
  </si>
  <si>
    <t>Haricots</t>
  </si>
  <si>
    <t>3.2</t>
  </si>
  <si>
    <t>Lentils</t>
  </si>
  <si>
    <t>Lentilles</t>
  </si>
  <si>
    <t>3.3</t>
  </si>
  <si>
    <t>Peas</t>
  </si>
  <si>
    <t>Pois</t>
  </si>
  <si>
    <t>3.4</t>
  </si>
  <si>
    <t>Soybeans</t>
  </si>
  <si>
    <t>Soja</t>
  </si>
  <si>
    <t>3.5</t>
  </si>
  <si>
    <t>Chickpeas</t>
  </si>
  <si>
    <t>Pois chiches</t>
  </si>
  <si>
    <t>3.6</t>
  </si>
  <si>
    <t>Fava beans</t>
  </si>
  <si>
    <t>Fève</t>
  </si>
  <si>
    <t>3.7</t>
  </si>
  <si>
    <t>Broad beans</t>
  </si>
  <si>
    <t>Fève large</t>
  </si>
  <si>
    <t>3.99</t>
  </si>
  <si>
    <t>Other pulses</t>
  </si>
  <si>
    <t>Autres légumineuses</t>
  </si>
  <si>
    <t>4.1</t>
  </si>
  <si>
    <t>Cabbage</t>
  </si>
  <si>
    <t>Choux</t>
  </si>
  <si>
    <t>4.2</t>
  </si>
  <si>
    <t>Lettuce</t>
  </si>
  <si>
    <t>Laitue</t>
  </si>
  <si>
    <t>4.3</t>
  </si>
  <si>
    <t>Spinach-Amaranth</t>
  </si>
  <si>
    <t>Epinards-Amaranthe</t>
  </si>
  <si>
    <t>4.4</t>
  </si>
  <si>
    <t>Cassava leaves</t>
  </si>
  <si>
    <t>Feuilles de manioc</t>
  </si>
  <si>
    <t>4.5</t>
  </si>
  <si>
    <t>Potatoe leaves</t>
  </si>
  <si>
    <t>Feuilles de pomme de terre</t>
  </si>
  <si>
    <t>4.6</t>
  </si>
  <si>
    <t>Moringa</t>
  </si>
  <si>
    <t>4.7</t>
  </si>
  <si>
    <t>Sorrel Hibiscus / Rosselle</t>
  </si>
  <si>
    <t>Oseille Hibiscus / Rosselle</t>
  </si>
  <si>
    <t>4.9</t>
  </si>
  <si>
    <t>Green salad herbs (thyme, parsley, mint, rocca, other)</t>
  </si>
  <si>
    <t>Herbes aromatiques (thym, persil, menthe, rocca, autres)</t>
  </si>
  <si>
    <t>4.101</t>
  </si>
  <si>
    <t>Cauliflower</t>
  </si>
  <si>
    <t>Choux-fleur</t>
  </si>
  <si>
    <t>4.99</t>
  </si>
  <si>
    <t>Other leafy vegetables</t>
  </si>
  <si>
    <t>Autres légumes à feuilles</t>
  </si>
  <si>
    <t>5.1</t>
  </si>
  <si>
    <t>Tomatoes</t>
  </si>
  <si>
    <t>Tomates</t>
  </si>
  <si>
    <t>5.2</t>
  </si>
  <si>
    <t>Cucumber</t>
  </si>
  <si>
    <t>Concombre</t>
  </si>
  <si>
    <t>5.3</t>
  </si>
  <si>
    <t>Pumpkin</t>
  </si>
  <si>
    <t>Citrouille</t>
  </si>
  <si>
    <t>5.4</t>
  </si>
  <si>
    <t>Eggplant/aubergine</t>
  </si>
  <si>
    <t>Aubergines/aubergines</t>
  </si>
  <si>
    <t>5.5</t>
  </si>
  <si>
    <t>Zucchini</t>
  </si>
  <si>
    <t>Courgettes</t>
  </si>
  <si>
    <t>5.6</t>
  </si>
  <si>
    <t>Okra</t>
  </si>
  <si>
    <t>5.7</t>
  </si>
  <si>
    <t>Bell pepper</t>
  </si>
  <si>
    <t>Poivron</t>
  </si>
  <si>
    <t>5.8</t>
  </si>
  <si>
    <t>Onions</t>
  </si>
  <si>
    <t>Oignons</t>
  </si>
  <si>
    <t>5.9</t>
  </si>
  <si>
    <t>Haricot</t>
  </si>
  <si>
    <t xml:space="preserve">Haricot </t>
  </si>
  <si>
    <t>5.101</t>
  </si>
  <si>
    <t>Green peas</t>
  </si>
  <si>
    <t>Petit pois</t>
  </si>
  <si>
    <t>5.11</t>
  </si>
  <si>
    <t>Fava beans green</t>
  </si>
  <si>
    <t>Pois fève</t>
  </si>
  <si>
    <t>5.99</t>
  </si>
  <si>
    <t>Other non leafy vegs</t>
  </si>
  <si>
    <t>Autres légumes non feuillus</t>
  </si>
  <si>
    <t>6.1</t>
  </si>
  <si>
    <t>Orange</t>
  </si>
  <si>
    <t>6.2</t>
  </si>
  <si>
    <t>Lemon</t>
  </si>
  <si>
    <t>Citron</t>
  </si>
  <si>
    <t>6.3</t>
  </si>
  <si>
    <t>Grapefruit</t>
  </si>
  <si>
    <t>Pamplemousse</t>
  </si>
  <si>
    <t>6.4</t>
  </si>
  <si>
    <t>Mandarins/clementines</t>
  </si>
  <si>
    <t>Tangerine/clémentine</t>
  </si>
  <si>
    <t>6.99</t>
  </si>
  <si>
    <t>Other citrus fruit</t>
  </si>
  <si>
    <t>Autres agrumes</t>
  </si>
  <si>
    <t>7.1</t>
  </si>
  <si>
    <t>Sweet Banana</t>
  </si>
  <si>
    <t>Banane douce</t>
  </si>
  <si>
    <t>7.2</t>
  </si>
  <si>
    <t>Plantains</t>
  </si>
  <si>
    <t>Banane plantain</t>
  </si>
  <si>
    <t>7.3</t>
  </si>
  <si>
    <t>Papaya</t>
  </si>
  <si>
    <t>Papaye</t>
  </si>
  <si>
    <t>7.4</t>
  </si>
  <si>
    <t>Mango</t>
  </si>
  <si>
    <t>Mangue</t>
  </si>
  <si>
    <t>7.5</t>
  </si>
  <si>
    <t>Guava</t>
  </si>
  <si>
    <t>Goyave</t>
  </si>
  <si>
    <t>7.6</t>
  </si>
  <si>
    <t>Pineapple</t>
  </si>
  <si>
    <t>Ananas</t>
  </si>
  <si>
    <t>7.7</t>
  </si>
  <si>
    <t>Avocado</t>
  </si>
  <si>
    <t>Avocat</t>
  </si>
  <si>
    <t>7.8</t>
  </si>
  <si>
    <t>Water Melon</t>
  </si>
  <si>
    <t>Pastèques</t>
  </si>
  <si>
    <t>7.9</t>
  </si>
  <si>
    <t>Dates</t>
  </si>
  <si>
    <t>Dattes</t>
  </si>
  <si>
    <t>7.101</t>
  </si>
  <si>
    <t>Figs</t>
  </si>
  <si>
    <t>Figues</t>
  </si>
  <si>
    <t>7.11</t>
  </si>
  <si>
    <t>Grapes</t>
  </si>
  <si>
    <t>Raisins</t>
  </si>
  <si>
    <t>7.12</t>
  </si>
  <si>
    <t>Olives</t>
  </si>
  <si>
    <t>7.13</t>
  </si>
  <si>
    <t>Apple</t>
  </si>
  <si>
    <t>Pomme</t>
  </si>
  <si>
    <t>7.14</t>
  </si>
  <si>
    <t>Apricot</t>
  </si>
  <si>
    <t>Abricot</t>
  </si>
  <si>
    <t>7.15</t>
  </si>
  <si>
    <t>Cherries</t>
  </si>
  <si>
    <t>Cerises</t>
  </si>
  <si>
    <t>7.16</t>
  </si>
  <si>
    <t>Peach/nectarine</t>
  </si>
  <si>
    <t>Pêche/nectarine</t>
  </si>
  <si>
    <t>7.17</t>
  </si>
  <si>
    <t>Strawberries</t>
  </si>
  <si>
    <t>Fraises</t>
  </si>
  <si>
    <t>7.18</t>
  </si>
  <si>
    <t>Melon (Cantaloupe)</t>
  </si>
  <si>
    <t>Melon</t>
  </si>
  <si>
    <t>7.99</t>
  </si>
  <si>
    <t>Other fruit</t>
  </si>
  <si>
    <t>Autres fruits</t>
  </si>
  <si>
    <t>8.1</t>
  </si>
  <si>
    <t>Coconuts</t>
  </si>
  <si>
    <t>Noix de coco</t>
  </si>
  <si>
    <t>8.2</t>
  </si>
  <si>
    <t>Groundnut/peanut</t>
  </si>
  <si>
    <t>Arachide / cacahuète</t>
  </si>
  <si>
    <t>8.3</t>
  </si>
  <si>
    <t>Cashew Nut</t>
  </si>
  <si>
    <t>Noix de cajou</t>
  </si>
  <si>
    <t>8.4</t>
  </si>
  <si>
    <t>Kola Nut</t>
  </si>
  <si>
    <t>Noix de kola</t>
  </si>
  <si>
    <t>8.5</t>
  </si>
  <si>
    <t>Sesame</t>
  </si>
  <si>
    <t>Sésame</t>
  </si>
  <si>
    <t>8.6</t>
  </si>
  <si>
    <t>Bambara nut</t>
  </si>
  <si>
    <t>Noix de bambara</t>
  </si>
  <si>
    <t>8.7</t>
  </si>
  <si>
    <t>Almond</t>
  </si>
  <si>
    <t>Amande</t>
  </si>
  <si>
    <t>8.8</t>
  </si>
  <si>
    <t>Walnut</t>
  </si>
  <si>
    <t>Noix</t>
  </si>
  <si>
    <t>8.99</t>
  </si>
  <si>
    <t>Other nuts</t>
  </si>
  <si>
    <t>Autres fruits à coque</t>
  </si>
  <si>
    <t>9.1</t>
  </si>
  <si>
    <t>Cocoa</t>
  </si>
  <si>
    <t>Cacao</t>
  </si>
  <si>
    <t>9.2</t>
  </si>
  <si>
    <t>Coffee</t>
  </si>
  <si>
    <t>Café</t>
  </si>
  <si>
    <t>9.3</t>
  </si>
  <si>
    <t>Tea</t>
  </si>
  <si>
    <t>Thé</t>
  </si>
  <si>
    <t>9.4</t>
  </si>
  <si>
    <t>Sugarcane</t>
  </si>
  <si>
    <t>Canne à sucre</t>
  </si>
  <si>
    <t>9.5</t>
  </si>
  <si>
    <t>Sunflower</t>
  </si>
  <si>
    <t>Tournesol</t>
  </si>
  <si>
    <t>9.99</t>
  </si>
  <si>
    <t>Other food cash crop</t>
  </si>
  <si>
    <t>Autres cultures vivrières de rente</t>
  </si>
  <si>
    <t>10.1</t>
  </si>
  <si>
    <t>Cotton</t>
  </si>
  <si>
    <t>Coton</t>
  </si>
  <si>
    <t>10.2</t>
  </si>
  <si>
    <t>Rubber</t>
  </si>
  <si>
    <t>Caoutchouc</t>
  </si>
  <si>
    <t>10.3</t>
  </si>
  <si>
    <t>Jute</t>
  </si>
  <si>
    <t>10.4</t>
  </si>
  <si>
    <t>Fodder</t>
  </si>
  <si>
    <t>Fourrage</t>
  </si>
  <si>
    <t>10.5</t>
  </si>
  <si>
    <t>Tobacco</t>
  </si>
  <si>
    <t>Tabac</t>
  </si>
  <si>
    <t>10.6</t>
  </si>
  <si>
    <t>Qat</t>
  </si>
  <si>
    <t>10.99</t>
  </si>
  <si>
    <t>Other non-food cash crop</t>
  </si>
  <si>
    <t>Autre culture de rente non alimentaire</t>
  </si>
  <si>
    <r>
      <t xml:space="preserve">Original 
EN / </t>
    </r>
    <r>
      <rPr>
        <b/>
        <i/>
        <sz val="11"/>
        <color rgb="FF000000"/>
        <rFont val="Calibri"/>
        <family val="2"/>
      </rPr>
      <t>FR</t>
    </r>
  </si>
  <si>
    <t>Replacement (EN)</t>
  </si>
  <si>
    <t>Remplacement (FR)</t>
  </si>
  <si>
    <t>Comment (EN)</t>
  </si>
  <si>
    <t>Comment (FR)</t>
  </si>
  <si>
    <t>Example (EN)</t>
  </si>
  <si>
    <t>Exemple (FR)</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</si>
  <si>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</si>
  <si>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r>
      <t xml:space="preserve">phone number / 
</t>
    </r>
    <r>
      <rPr>
        <i/>
        <sz val="11"/>
        <color rgb="FF000000"/>
        <rFont val="Calibri"/>
        <family val="2"/>
      </rPr>
      <t>numéro de téléphone</t>
    </r>
  </si>
  <si>
    <t>Type a phone number from your country in typical format, e.g. 77******* [please use exactly the number of characters that are found in a phone number].</t>
  </si>
  <si>
    <t>Tapez un numéro de téléphone dans le format typique du pays, par exemple 77******* [veuillez écrire le nombre exact de chiffres qu'il y a dans un numéro de téléphone].</t>
  </si>
  <si>
    <t>070******</t>
  </si>
  <si>
    <r>
      <t xml:space="preserve">age / </t>
    </r>
    <r>
      <rPr>
        <i/>
        <sz val="11"/>
        <color rgb="FF000000"/>
        <rFont val="Calibri"/>
        <family val="2"/>
      </rPr>
      <t>age</t>
    </r>
  </si>
  <si>
    <t>Minimum age of respondent (recommend 18 years old)</t>
  </si>
  <si>
    <t>Âge minimum du répondant (nous recommandons 18 ans)</t>
  </si>
  <si>
    <r>
      <t xml:space="preserve">ADMIN1 / </t>
    </r>
    <r>
      <rPr>
        <i/>
        <sz val="11"/>
        <color rgb="FF000000"/>
        <rFont val="Calibri"/>
        <family val="2"/>
      </rPr>
      <t>ADMIN1</t>
    </r>
  </si>
  <si>
    <r>
      <t xml:space="preserve">The first subdivision of the country, after national level; region; province; governorate; etc. </t>
    </r>
    <r>
      <rPr>
        <b/>
        <sz val="11"/>
        <color rgb="FF000000"/>
        <rFont val="Calibri"/>
        <family val="2"/>
      </rPr>
      <t>Only one word should be inputted - Do not include spaces.</t>
    </r>
  </si>
  <si>
    <t>La première subdivision du pays, après le niveau national ; par exemple, région ; province ; gouvernorat ; etc. Un seul mot doit être saisi - Ne pas inclure d'espaces.</t>
  </si>
  <si>
    <t>region</t>
  </si>
  <si>
    <r>
      <t xml:space="preserve">ADMIN2 / </t>
    </r>
    <r>
      <rPr>
        <i/>
        <sz val="11"/>
        <color rgb="FF000000"/>
        <rFont val="Calibri"/>
        <family val="2"/>
      </rPr>
      <t>ADMIN2</t>
    </r>
  </si>
  <si>
    <r>
      <t xml:space="preserve">The second subdivision of the country; district; municipality; LGA; etc. </t>
    </r>
    <r>
      <rPr>
        <b/>
        <sz val="11"/>
        <color rgb="FF000000"/>
        <rFont val="Calibri"/>
        <family val="2"/>
      </rPr>
      <t>Only one word should be inputted - Do not include spaces.</t>
    </r>
  </si>
  <si>
    <t>La deuxième subdivision du pays ; par exemple, district, municipalité, LGA, etc. Un seul mot doit être saisi - Ne pas inclure d'espaces.</t>
  </si>
  <si>
    <t>district</t>
  </si>
  <si>
    <t xml:space="preserve">reference year </t>
  </si>
  <si>
    <t xml:space="preserve">Comparison questions will need need a reference year. Select whether you want to use "last year" or "a normal year" as a baseline. A "normal year" should refers to an average year from the past 5 years - make sure to train the enumerators accordingly. </t>
  </si>
  <si>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</si>
  <si>
    <t>a normal year</t>
  </si>
  <si>
    <t>une année normale</t>
  </si>
  <si>
    <r>
      <t xml:space="preserve">season / </t>
    </r>
    <r>
      <rPr>
        <i/>
        <sz val="11"/>
        <color rgb="FF000000"/>
        <rFont val="Calibri"/>
        <family val="2"/>
      </rPr>
      <t>saison</t>
    </r>
  </si>
  <si>
    <t>Name the crop season(s) of interest if there are several cropping seasons in the country (e.g. Meher and Belg in Ethiopia, rainy season / flood-recession cropping / irrigated dry season in the Sahel). You can refer to the “last season” or “ongoing season".</t>
  </si>
  <si>
    <t>Nommez la ou les saisons culturales concernée(s) en ANGLAIS s'il y en a plusieurs dans le pays (par exemple, Meher et Belg en Ethiopie, saison des pluies / cultures de décrue / saison sèche irriguée au Sahel). Vous pouvez vous référer à la "dernière saison" ou "saison actuelle".</t>
  </si>
  <si>
    <t>wet season</t>
  </si>
  <si>
    <t>saison des pluies</t>
  </si>
  <si>
    <r>
      <t xml:space="preserve">season phase / </t>
    </r>
    <r>
      <rPr>
        <i/>
        <sz val="11"/>
        <color rgb="FF000000"/>
        <rFont val="Calibri"/>
        <family val="2"/>
      </rPr>
      <t>phase de la saison</t>
    </r>
  </si>
  <si>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</si>
  <si>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r>
      <t xml:space="preserve">Indiquez le stade de la saison culturale </t>
    </r>
    <r>
      <rPr>
        <b/>
        <sz val="11"/>
        <rFont val="Calibri"/>
        <family val="2"/>
      </rPr>
      <t>au moment de la collecte des données</t>
    </r>
    <r>
      <rPr>
        <sz val="11"/>
        <rFont val="Calibri"/>
        <family val="2"/>
      </rPr>
      <t xml:space="preserve">. Si la récolte de la saison n'a pas encore eu lieu, la question sur la récolte des cultures (crp_harv_change) inclura le mot "attendue" (là où se trouve </t>
    </r>
    <r>
      <rPr>
        <i/>
        <sz val="11"/>
        <rFont val="Calibri"/>
        <family val="2"/>
      </rPr>
      <t>#attendue ou rien#</t>
    </r>
    <r>
      <rPr>
        <sz val="11"/>
        <rFont val="Calibri"/>
        <family val="2"/>
      </rPr>
      <t xml:space="preserve">). Si la récolte a eu lieu, "attendue" ne sera pas inséré dans la question. </t>
    </r>
  </si>
  <si>
    <t>Harvesting</t>
  </si>
  <si>
    <t>Récolte</t>
  </si>
  <si>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</si>
  <si>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r>
      <t>Indiquez l'unité utilisée localement pour mesurer la taille des terrains, autre que les acres, les hectares, les mètres carrés et les pieds carrés. Si aucune autre unité de mesure n'est nécessaire,</t>
    </r>
    <r>
      <rPr>
        <b/>
        <sz val="11"/>
        <rFont val="Calibri"/>
        <family val="2"/>
      </rPr>
      <t xml:space="preserve"> garder cette cellule vide. </t>
    </r>
  </si>
  <si>
    <t>Jeribs</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</si>
  <si>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</si>
  <si>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t xml:space="preserve">Indiquez la conversion de l'unité de mesure locale en hectares. En d'autres termes, indiquez combien d'unités de mesure locales y a-t-il dans 1 ha. </t>
  </si>
  <si>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</si>
  <si>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r>
      <t xml:space="preserve">currency / </t>
    </r>
    <r>
      <rPr>
        <i/>
        <sz val="11"/>
        <color rgb="FF000000"/>
        <rFont val="Calibri"/>
        <family val="2"/>
      </rPr>
      <t>devise</t>
    </r>
  </si>
  <si>
    <t xml:space="preserve">The name of the main currency used nationally; USD; Naira; Rial; Pesos; etc. </t>
  </si>
  <si>
    <t xml:space="preserve">Nom de la principale devise utilisée au niveau national; par exemple, USD; Naira; Rial; Pesos; etc. </t>
  </si>
  <si>
    <t>Naira</t>
  </si>
  <si>
    <r>
      <t xml:space="preserve">MIN AMOUNT / </t>
    </r>
    <r>
      <rPr>
        <i/>
        <sz val="11"/>
        <color rgb="FF000000"/>
        <rFont val="Calibri"/>
        <family val="2"/>
      </rPr>
      <t>MIN AMOUNT</t>
    </r>
  </si>
  <si>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</si>
  <si>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r>
      <t xml:space="preserve">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t>
    </r>
    <r>
      <rPr>
        <b/>
        <sz val="11"/>
        <rFont val="Calibri"/>
        <family val="2"/>
      </rPr>
      <t>Seuls des chiffres doivent être saisis</t>
    </r>
    <r>
      <rPr>
        <sz val="11"/>
        <rFont val="Calibri"/>
        <family val="2"/>
      </rPr>
      <t>.</t>
    </r>
  </si>
  <si>
    <r>
      <t xml:space="preserve">THRESHOLD / </t>
    </r>
    <r>
      <rPr>
        <i/>
        <sz val="11"/>
        <color rgb="FF000000"/>
        <rFont val="Calibri"/>
        <family val="2"/>
      </rPr>
      <t>THRESHOLD</t>
    </r>
  </si>
  <si>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</si>
  <si>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r>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t>
    </r>
    <r>
      <rPr>
        <b/>
        <sz val="11"/>
        <rFont val="Calibri"/>
        <family val="2"/>
      </rPr>
      <t xml:space="preserve"> Seuls des chiffres doivent être saisis.</t>
    </r>
  </si>
  <si>
    <r>
      <t xml:space="preserve">local vegetables /
</t>
    </r>
    <r>
      <rPr>
        <i/>
        <sz val="11"/>
        <color rgb="FF000000"/>
        <rFont val="Calibri"/>
        <family val="2"/>
      </rPr>
      <t>légumes locaux</t>
    </r>
  </si>
  <si>
    <t>Input some common local vegetables [to be used as examples in the food consumption score indicator].</t>
  </si>
  <si>
    <t>Saisissez quelques légumes locaux courants [à utiliser comme exemples dans l'indicateur de score de consommation alimentaire].</t>
  </si>
  <si>
    <t>eggplants, zucchini, cauliflower</t>
  </si>
  <si>
    <t>aubergines, courgettes, choux-fleurs</t>
  </si>
  <si>
    <r>
      <t xml:space="preserve">local fruits / 
</t>
    </r>
    <r>
      <rPr>
        <i/>
        <sz val="11"/>
        <color rgb="FF000000"/>
        <rFont val="Calibri"/>
        <family val="2"/>
      </rPr>
      <t>fruits locaux</t>
    </r>
  </si>
  <si>
    <t>Input some common local fruits [to be used as examples in the food consumption score indicator].</t>
  </si>
  <si>
    <t>Indiquez quelques fruits locaux courants [à utiliser comme exemples dans l'indicateur de score de consommation alimentaire].</t>
  </si>
  <si>
    <t>apples, bananas, oranges</t>
  </si>
  <si>
    <t>pommes, bananes, oranges</t>
  </si>
  <si>
    <r>
      <t xml:space="preserve">FILL OUT FOR QUESTIONNAIRE DURATION ESTIMATION    </t>
    </r>
    <r>
      <rPr>
        <sz val="12"/>
        <color theme="0"/>
        <rFont val="Calibri"/>
        <family val="2"/>
        <scheme val="minor"/>
      </rPr>
      <t>.</t>
    </r>
  </si>
  <si>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</si>
  <si>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</si>
  <si>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</si>
  <si>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</si>
  <si>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</si>
  <si>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</si>
  <si>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</si>
  <si>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</si>
  <si>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</si>
  <si>
    <t>Meat, poultry and offal [beef / pork / lamb /goat / rabbit / wild game / chicken / duck or other birds / liver / kidney / heart / or other organ meats]</t>
  </si>
  <si>
    <t>Legumes, nuts and seeds [beans / peas / peanut / lentils / almond / and/or other nuts]</t>
  </si>
  <si>
    <t>Légumineuses, fruits à coque et graines [haricots / pois / arachides / lentilles / amandes et/ou autres fruits à coque]</t>
  </si>
  <si>
    <r>
      <t xml:space="preserve">local measurement unit </t>
    </r>
    <r>
      <rPr>
        <i/>
        <sz val="11"/>
        <color rgb="FF000000"/>
        <rFont val="Calibri"/>
        <family val="2"/>
      </rPr>
      <t xml:space="preserve"> </t>
    </r>
  </si>
  <si>
    <t>local measurement unit conversion</t>
  </si>
  <si>
    <t>crp_sales_main</t>
  </si>
  <si>
    <t>Has your household faced any difficulty in the *last 3 months* in **selling** your ${crp_sales_main}?</t>
  </si>
  <si>
    <t xml:space="preserve">Which difficulties has your household faced in the last 3 months when selling your ${crp_sales_main}? </t>
  </si>
  <si>
    <r>
      <t xml:space="preserve">How does the current price of your household's ${crp_sales_main} compare to the average price in the same period of </t>
    </r>
    <r>
      <rPr>
        <b/>
        <sz val="11"/>
        <color rgb="FF7030A0"/>
        <rFont val="Calibri (Body)"/>
      </rPr>
      <t>#reference year#</t>
    </r>
    <r>
      <rPr>
        <sz val="11"/>
        <rFont val="Calibri"/>
        <family val="2"/>
        <scheme val="minor"/>
      </rPr>
      <t>?</t>
    </r>
  </si>
  <si>
    <t>Au cours des trois derniers mois, votre ménage a-t-il rencontré des difficultés pour **vendre** ses ${crp_sales_main} ?</t>
  </si>
  <si>
    <r>
      <t xml:space="preserve">Comment évaluez-vous le prix actuel de la principale culture vendue par votre ménage, ${crp_sales_main} par rapport au prix moyen sur la même periode de </t>
    </r>
    <r>
      <rPr>
        <b/>
        <sz val="11"/>
        <color rgb="FF7030A0"/>
        <rFont val="Calibri (Body)"/>
      </rPr>
      <t>#reference year FR#</t>
    </r>
    <r>
      <rPr>
        <sz val="11"/>
        <rFont val="Calibri"/>
        <family val="2"/>
        <scheme val="minor"/>
      </rPr>
      <t xml:space="preserve"> ?</t>
    </r>
  </si>
  <si>
    <t>if(${crp_sales_main_1}='1',${crp_main},${crp_sales_main_2})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</si>
</sst>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0"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i/>
      <sz val="11"/>
      <color theme="1"/>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70C0"/>
      <name val="Calibri"/>
      <family val="2"/>
      <scheme val="minor"/>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i/>
      <sz val="11"/>
      <name val="Calibri"/>
      <family val="2"/>
    </font>
    <font>
      <sz val="11"/>
      <color rgb="FFC00000"/>
      <name val="Calibri"/>
      <family val="2"/>
      <scheme val="minor"/>
    </font>
    <font>
      <b/>
      <sz val="11"/>
      <name val="Calibri"/>
      <family val="2"/>
    </font>
    <font>
      <b/>
      <sz val="11"/>
      <color rgb="FF7030A0"/>
      <name val="Calibri"/>
      <family val="2"/>
      <scheme val="minor"/>
    </font>
    <font>
      <u/>
      <sz val="11"/>
      <color theme="1"/>
      <name val="Calibri"/>
      <family val="2"/>
      <scheme val="minor"/>
    </font>
    <font>
      <u/>
      <sz val="11"/>
      <name val="Calibri"/>
      <family val="2"/>
      <scheme val="minor"/>
    </font>
    <font>
      <b/>
      <sz val="11"/>
      <color rgb="FFC00000"/>
      <name val="Calibri"/>
      <family val="2"/>
      <scheme val="minor"/>
    </font>
    <font>
      <sz val="11"/>
      <color theme="9" tint="-0.249977111117893"/>
      <name val="Calibri"/>
      <family val="2"/>
      <scheme val="minor"/>
    </font>
    <font>
      <sz val="11"/>
      <color rgb="FF00B050"/>
      <name val="Calibri"/>
      <family val="2"/>
      <scheme val="minor"/>
    </font>
    <font>
      <b/>
      <sz val="12"/>
      <color theme="1"/>
      <name val="Calibri"/>
      <family val="2"/>
      <scheme val="minor"/>
    </font>
    <font>
      <i/>
      <sz val="12"/>
      <color theme="1"/>
      <name val="Calibri"/>
      <family val="2"/>
      <scheme val="minor"/>
    </font>
    <font>
      <i/>
      <sz val="12"/>
      <color theme="0"/>
      <name val="Calibri"/>
      <family val="2"/>
      <scheme val="minor"/>
    </font>
    <font>
      <sz val="12"/>
      <color theme="0"/>
      <name val="Calibri"/>
      <family val="2"/>
      <scheme val="minor"/>
    </font>
    <font>
      <sz val="12"/>
      <color rgb="FF000000"/>
      <name val="Calibri"/>
      <family val="2"/>
      <scheme val="minor"/>
    </font>
    <font>
      <b/>
      <i/>
      <sz val="11"/>
      <color rgb="FF000000"/>
      <name val="Calibri"/>
      <family val="2"/>
    </font>
    <font>
      <i/>
      <sz val="10.5"/>
      <name val="Calibri"/>
      <family val="2"/>
    </font>
    <font>
      <b/>
      <sz val="11"/>
      <color rgb="FFFF0000"/>
      <name val="Calibri"/>
      <family val="2"/>
      <scheme val="minor"/>
    </font>
    <font>
      <sz val="11"/>
      <color theme="6" tint="-0.499984740745262"/>
      <name val="Calibri"/>
      <family val="2"/>
      <scheme val="minor"/>
    </font>
    <font>
      <b/>
      <sz val="11"/>
      <color theme="6" tint="-0.499984740745262"/>
      <name val="Calibri"/>
      <family val="2"/>
      <scheme val="minor"/>
    </font>
    <font>
      <b/>
      <sz val="11"/>
      <color rgb="FF7030A0"/>
      <name val="Calibri (Body)"/>
    </font>
    <font>
      <sz val="11"/>
      <name val="Calibri (Body)"/>
    </font>
  </fonts>
  <fills count="8">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s>
  <borders count="64">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theme="1"/>
      </left>
      <right style="thin">
        <color theme="1"/>
      </right>
      <top/>
      <bottom style="thin">
        <color indexed="64"/>
      </bottom>
      <diagonal/>
    </border>
    <border>
      <left style="thin">
        <color theme="1"/>
      </left>
      <right style="thin">
        <color theme="1"/>
      </right>
      <top style="medium">
        <color indexed="64"/>
      </top>
      <bottom style="thin">
        <color indexed="64"/>
      </bottom>
      <diagonal/>
    </border>
    <border>
      <left style="thin">
        <color auto="1"/>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theme="0"/>
      </top>
      <bottom style="thin">
        <color theme="0"/>
      </bottom>
      <diagonal/>
    </border>
    <border>
      <left style="thin">
        <color auto="1"/>
      </left>
      <right style="thin">
        <color auto="1"/>
      </right>
      <top style="thin">
        <color auto="1"/>
      </top>
      <bottom/>
      <diagonal/>
    </border>
    <border>
      <left style="thin">
        <color indexed="64"/>
      </left>
      <right/>
      <top style="medium">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thin">
        <color theme="1"/>
      </bottom>
      <diagonal/>
    </border>
    <border>
      <left style="thin">
        <color theme="1"/>
      </left>
      <right style="thin">
        <color theme="1"/>
      </right>
      <top style="thin">
        <color auto="1"/>
      </top>
      <bottom style="thin">
        <color auto="1"/>
      </bottom>
      <diagonal/>
    </border>
    <border>
      <left style="medium">
        <color indexed="64"/>
      </left>
      <right style="thin">
        <color auto="1"/>
      </right>
      <top style="thin">
        <color auto="1"/>
      </top>
      <bottom/>
      <diagonal/>
    </border>
  </borders>
  <cellStyleXfs count="16">
    <xf numFmtId="0" fontId="0" fillId="0" borderId="0"/>
    <xf numFmtId="0" fontId="9" fillId="0" borderId="0"/>
    <xf numFmtId="0" fontId="13" fillId="0" borderId="0"/>
    <xf numFmtId="0" fontId="19" fillId="0" borderId="0"/>
    <xf numFmtId="0" fontId="8" fillId="0" borderId="0"/>
    <xf numFmtId="0" fontId="7" fillId="0" borderId="0"/>
    <xf numFmtId="0" fontId="24" fillId="4" borderId="14" applyNumberFormat="0" applyAlignment="0" applyProtection="0"/>
    <xf numFmtId="9" fontId="13" fillId="0" borderId="0" applyFont="0" applyFill="0" applyBorder="0" applyAlignment="0" applyProtection="0"/>
    <xf numFmtId="0" fontId="6" fillId="0" borderId="0"/>
    <xf numFmtId="0" fontId="6" fillId="0" borderId="0"/>
    <xf numFmtId="0" fontId="6" fillId="0" borderId="0"/>
    <xf numFmtId="0" fontId="5" fillId="0" borderId="0"/>
    <xf numFmtId="0" fontId="13" fillId="0" borderId="0"/>
    <xf numFmtId="0" fontId="5" fillId="0" borderId="0"/>
    <xf numFmtId="0" fontId="13" fillId="0" borderId="0"/>
    <xf numFmtId="0" fontId="4" fillId="0" borderId="0"/>
  </cellStyleXfs>
  <cellXfs count="313">
    <xf numFmtId="0" fontId="0" fillId="0" borderId="0" xfId="0"/>
    <xf numFmtId="0" fontId="12" fillId="2" borderId="0" xfId="0" applyFont="1" applyFill="1" applyProtection="1">
      <protection locked="0"/>
    </xf>
    <xf numFmtId="0" fontId="12" fillId="0" borderId="0" xfId="0" applyFont="1" applyProtection="1">
      <protection locked="0"/>
    </xf>
    <xf numFmtId="0" fontId="0" fillId="0" borderId="0" xfId="0" applyProtection="1">
      <protection locked="0"/>
    </xf>
    <xf numFmtId="0" fontId="0" fillId="2" borderId="0" xfId="0" applyFill="1" applyProtection="1">
      <protection locked="0"/>
    </xf>
    <xf numFmtId="0" fontId="14" fillId="2" borderId="0" xfId="0" applyFont="1" applyFill="1" applyProtection="1">
      <protection locked="0"/>
    </xf>
    <xf numFmtId="0" fontId="12" fillId="0" borderId="0" xfId="0" applyFont="1"/>
    <xf numFmtId="0" fontId="17" fillId="2" borderId="0" xfId="0" applyFont="1" applyFill="1" applyProtection="1">
      <protection locked="0"/>
    </xf>
    <xf numFmtId="0" fontId="11" fillId="2" borderId="0" xfId="0" applyFont="1" applyFill="1" applyProtection="1">
      <protection locked="0"/>
    </xf>
    <xf numFmtId="0" fontId="10" fillId="2" borderId="0" xfId="0" applyFont="1" applyFill="1" applyProtection="1">
      <protection locked="0"/>
    </xf>
    <xf numFmtId="0" fontId="25" fillId="2" borderId="7" xfId="6" applyFont="1" applyFill="1" applyBorder="1" applyAlignment="1" applyProtection="1">
      <alignment horizontal="center" vertical="center"/>
      <protection locked="0"/>
    </xf>
    <xf numFmtId="0" fontId="16" fillId="0" borderId="0" xfId="0" applyFont="1" applyProtection="1">
      <protection locked="0"/>
    </xf>
    <xf numFmtId="0" fontId="17" fillId="0" borderId="0" xfId="0" applyFont="1" applyProtection="1">
      <protection locked="0"/>
    </xf>
    <xf numFmtId="0" fontId="10" fillId="0" borderId="0" xfId="0" applyFont="1" applyProtection="1">
      <protection locked="0"/>
    </xf>
    <xf numFmtId="0" fontId="15" fillId="0" borderId="0" xfId="0" applyFont="1"/>
    <xf numFmtId="0" fontId="15" fillId="0" borderId="0" xfId="0" applyFont="1" applyProtection="1">
      <protection locked="0"/>
    </xf>
    <xf numFmtId="0" fontId="14" fillId="0" borderId="0" xfId="0" applyFont="1"/>
    <xf numFmtId="0" fontId="12" fillId="0" borderId="0" xfId="0" applyFont="1" applyAlignment="1">
      <alignment wrapText="1"/>
    </xf>
    <xf numFmtId="0" fontId="14" fillId="0" borderId="0" xfId="0" applyFont="1" applyProtection="1">
      <protection locked="0"/>
    </xf>
    <xf numFmtId="0" fontId="15" fillId="2" borderId="0" xfId="0" applyFont="1" applyFill="1" applyProtection="1">
      <protection locked="0"/>
    </xf>
    <xf numFmtId="0" fontId="16" fillId="0" borderId="0" xfId="0" applyFont="1"/>
    <xf numFmtId="0" fontId="6" fillId="0" borderId="2" xfId="10" applyBorder="1"/>
    <xf numFmtId="0" fontId="6" fillId="0" borderId="13" xfId="10" applyBorder="1"/>
    <xf numFmtId="0" fontId="6" fillId="0" borderId="6" xfId="10" applyBorder="1"/>
    <xf numFmtId="0" fontId="6" fillId="0" borderId="23" xfId="10" applyBorder="1"/>
    <xf numFmtId="0" fontId="21" fillId="0" borderId="33" xfId="10" applyFont="1" applyBorder="1" applyAlignment="1">
      <alignment horizontal="center" vertical="center" wrapText="1"/>
    </xf>
    <xf numFmtId="0" fontId="21" fillId="0" borderId="29" xfId="10" applyFont="1" applyBorder="1" applyAlignment="1">
      <alignment horizontal="center" vertical="center" wrapText="1"/>
    </xf>
    <xf numFmtId="0" fontId="22" fillId="0" borderId="29" xfId="10" applyFont="1" applyBorder="1" applyAlignment="1">
      <alignment horizontal="center" vertical="center" wrapText="1"/>
    </xf>
    <xf numFmtId="0" fontId="22" fillId="0" borderId="19" xfId="10" applyFont="1" applyBorder="1" applyAlignment="1">
      <alignment vertical="center" wrapText="1"/>
    </xf>
    <xf numFmtId="0" fontId="22" fillId="0" borderId="31" xfId="10" applyFont="1" applyBorder="1" applyAlignment="1">
      <alignment vertical="center" wrapText="1"/>
    </xf>
    <xf numFmtId="9" fontId="22" fillId="0" borderId="21" xfId="7" applyFont="1" applyBorder="1" applyAlignment="1" applyProtection="1">
      <alignment horizontal="center" vertical="center" wrapText="1"/>
    </xf>
    <xf numFmtId="9" fontId="22" fillId="0" borderId="22" xfId="7" applyFont="1" applyBorder="1" applyAlignment="1" applyProtection="1">
      <alignment horizontal="center" vertical="center" wrapText="1"/>
    </xf>
    <xf numFmtId="0" fontId="6" fillId="0" borderId="3" xfId="10" applyBorder="1"/>
    <xf numFmtId="0" fontId="6" fillId="3" borderId="9" xfId="10" applyFill="1" applyBorder="1" applyAlignment="1" applyProtection="1">
      <alignment horizontal="center" vertical="center"/>
      <protection locked="0"/>
    </xf>
    <xf numFmtId="0" fontId="6" fillId="3" borderId="7" xfId="10" applyFill="1" applyBorder="1" applyAlignment="1" applyProtection="1">
      <alignment horizontal="center" vertical="center"/>
      <protection locked="0"/>
    </xf>
    <xf numFmtId="0" fontId="6" fillId="3" borderId="4" xfId="10" applyFill="1" applyBorder="1" applyAlignment="1" applyProtection="1">
      <alignment horizontal="center" vertical="center"/>
      <protection locked="0"/>
    </xf>
    <xf numFmtId="0" fontId="21" fillId="0" borderId="10" xfId="5" applyFont="1" applyBorder="1" applyAlignment="1">
      <alignment horizontal="left" vertical="center"/>
    </xf>
    <xf numFmtId="0" fontId="21" fillId="0" borderId="39" xfId="10" applyFont="1" applyBorder="1" applyAlignment="1">
      <alignment horizontal="left" vertical="center"/>
    </xf>
    <xf numFmtId="0" fontId="21" fillId="0" borderId="38" xfId="10" applyFont="1" applyBorder="1" applyAlignment="1">
      <alignment horizontal="left" vertical="center"/>
    </xf>
    <xf numFmtId="0" fontId="21" fillId="0" borderId="10" xfId="10" applyFont="1" applyBorder="1" applyAlignment="1">
      <alignment horizontal="left" vertical="center"/>
    </xf>
    <xf numFmtId="0" fontId="28" fillId="0" borderId="8" xfId="10" applyFont="1" applyBorder="1" applyAlignment="1">
      <alignment horizontal="center" vertical="center" wrapText="1"/>
    </xf>
    <xf numFmtId="0" fontId="28" fillId="0" borderId="5" xfId="10" applyFont="1" applyBorder="1" applyAlignment="1">
      <alignment horizontal="center" vertical="center" wrapText="1"/>
    </xf>
    <xf numFmtId="0" fontId="26" fillId="0" borderId="42" xfId="0" applyFont="1" applyBorder="1" applyAlignment="1" applyProtection="1">
      <alignment horizontal="center" vertical="center" wrapText="1"/>
      <protection locked="0"/>
    </xf>
    <xf numFmtId="0" fontId="6" fillId="0" borderId="44" xfId="10" applyBorder="1"/>
    <xf numFmtId="0" fontId="6" fillId="0" borderId="13" xfId="10" applyBorder="1" applyAlignment="1">
      <alignment vertical="center"/>
    </xf>
    <xf numFmtId="0" fontId="23" fillId="0" borderId="26" xfId="10" applyFont="1" applyBorder="1" applyAlignment="1">
      <alignment horizontal="center" vertical="center"/>
    </xf>
    <xf numFmtId="0" fontId="22" fillId="0" borderId="41" xfId="5" applyFont="1" applyBorder="1" applyAlignment="1">
      <alignment vertical="center" wrapText="1"/>
    </xf>
    <xf numFmtId="0" fontId="21" fillId="0" borderId="32" xfId="10" applyFont="1" applyBorder="1" applyAlignment="1">
      <alignment vertical="center" wrapText="1"/>
    </xf>
    <xf numFmtId="0" fontId="6" fillId="0" borderId="3" xfId="10" applyBorder="1" applyAlignment="1">
      <alignment vertical="center"/>
    </xf>
    <xf numFmtId="0" fontId="6" fillId="0" borderId="2" xfId="10" applyBorder="1" applyAlignment="1">
      <alignment vertical="center"/>
    </xf>
    <xf numFmtId="0" fontId="0" fillId="0" borderId="0" xfId="0" applyAlignment="1">
      <alignment vertical="center" wrapText="1"/>
    </xf>
    <xf numFmtId="0" fontId="0" fillId="0" borderId="0" xfId="0" applyAlignment="1">
      <alignment vertical="top" wrapText="1"/>
    </xf>
    <xf numFmtId="0" fontId="14" fillId="0" borderId="0" xfId="3" applyFont="1" applyAlignment="1">
      <alignment horizontal="lef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4" fillId="0" borderId="0" xfId="0" applyFont="1" applyAlignment="1" applyProtection="1">
      <alignment vertical="top" wrapText="1"/>
      <protection locked="0"/>
    </xf>
    <xf numFmtId="0" fontId="6" fillId="3" borderId="49" xfId="10" applyFill="1" applyBorder="1" applyAlignment="1" applyProtection="1">
      <alignment horizontal="center" vertical="center"/>
      <protection locked="0"/>
    </xf>
    <xf numFmtId="0" fontId="6" fillId="3" borderId="51" xfId="10" applyFill="1" applyBorder="1" applyAlignment="1" applyProtection="1">
      <alignment horizontal="center" vertical="center"/>
      <protection locked="0"/>
    </xf>
    <xf numFmtId="0" fontId="21" fillId="0" borderId="15" xfId="5" applyFont="1" applyBorder="1" applyAlignment="1">
      <alignment horizontal="left" vertical="center" wrapText="1"/>
    </xf>
    <xf numFmtId="0" fontId="28" fillId="0" borderId="15" xfId="10" applyFont="1" applyBorder="1" applyAlignment="1">
      <alignment horizontal="center" vertical="center" wrapText="1"/>
    </xf>
    <xf numFmtId="9" fontId="22" fillId="0" borderId="52" xfId="7" applyFont="1" applyBorder="1" applyAlignment="1" applyProtection="1">
      <alignment horizontal="center" vertical="center" wrapText="1"/>
    </xf>
    <xf numFmtId="0" fontId="44" fillId="0" borderId="16" xfId="10" applyFont="1" applyBorder="1" applyAlignment="1">
      <alignment vertical="center" wrapText="1"/>
    </xf>
    <xf numFmtId="0" fontId="44" fillId="0" borderId="7" xfId="10" applyFont="1" applyBorder="1" applyAlignment="1">
      <alignment vertical="center" wrapText="1"/>
    </xf>
    <xf numFmtId="0" fontId="44" fillId="0" borderId="4" xfId="10" applyFont="1" applyBorder="1" applyAlignment="1">
      <alignment vertical="center" wrapText="1"/>
    </xf>
    <xf numFmtId="0" fontId="6" fillId="5" borderId="6" xfId="10" applyFill="1" applyBorder="1"/>
    <xf numFmtId="0" fontId="6" fillId="5" borderId="34" xfId="10" applyFill="1" applyBorder="1" applyAlignment="1">
      <alignment wrapText="1"/>
    </xf>
    <xf numFmtId="0" fontId="21" fillId="5" borderId="35" xfId="10" applyFont="1" applyFill="1" applyBorder="1" applyAlignment="1">
      <alignment vertical="center"/>
    </xf>
    <xf numFmtId="0" fontId="22" fillId="5" borderId="36" xfId="10" applyFont="1" applyFill="1" applyBorder="1" applyAlignment="1">
      <alignment vertical="center" wrapText="1"/>
    </xf>
    <xf numFmtId="0" fontId="22" fillId="5" borderId="37" xfId="10" applyFont="1" applyFill="1" applyBorder="1" applyAlignment="1">
      <alignment horizontal="center" vertical="center" wrapText="1"/>
    </xf>
    <xf numFmtId="0" fontId="6" fillId="5" borderId="23" xfId="10" applyFill="1" applyBorder="1"/>
    <xf numFmtId="0" fontId="6" fillId="5" borderId="2" xfId="10" applyFill="1" applyBorder="1"/>
    <xf numFmtId="0" fontId="15" fillId="0" borderId="0" xfId="0" applyFont="1" applyAlignment="1" applyProtection="1">
      <alignment horizontal="left" vertical="center" wrapText="1"/>
      <protection locked="0"/>
    </xf>
    <xf numFmtId="0" fontId="21" fillId="0" borderId="8" xfId="10" applyFont="1" applyBorder="1" applyAlignment="1">
      <alignment horizontal="left" vertical="center" wrapText="1"/>
    </xf>
    <xf numFmtId="0" fontId="21" fillId="0" borderId="47" xfId="5" applyFont="1" applyBorder="1" applyAlignment="1">
      <alignment vertical="center" wrapText="1"/>
    </xf>
    <xf numFmtId="0" fontId="21" fillId="0" borderId="48" xfId="5" applyFont="1" applyBorder="1" applyAlignment="1">
      <alignment vertical="center" wrapText="1"/>
    </xf>
    <xf numFmtId="0" fontId="6" fillId="0" borderId="6" xfId="10" applyBorder="1" applyAlignment="1">
      <alignment vertical="center"/>
    </xf>
    <xf numFmtId="0" fontId="6" fillId="0" borderId="25" xfId="10" applyBorder="1" applyAlignment="1">
      <alignment vertical="center"/>
    </xf>
    <xf numFmtId="0" fontId="23" fillId="0" borderId="12" xfId="10" applyFont="1" applyBorder="1" applyAlignment="1">
      <alignment horizontal="center" vertical="center" wrapText="1"/>
    </xf>
    <xf numFmtId="0" fontId="23" fillId="0" borderId="11" xfId="10" applyFont="1" applyBorder="1" applyAlignment="1">
      <alignment horizontal="center" vertical="center"/>
    </xf>
    <xf numFmtId="0" fontId="23" fillId="0" borderId="46" xfId="10" applyFont="1" applyBorder="1" applyAlignment="1">
      <alignment horizontal="center" vertical="center"/>
    </xf>
    <xf numFmtId="0" fontId="23" fillId="0" borderId="18" xfId="10" applyFont="1" applyBorder="1" applyAlignment="1">
      <alignment horizontal="center" vertical="center"/>
    </xf>
    <xf numFmtId="0" fontId="6" fillId="0" borderId="23" xfId="10" applyBorder="1" applyAlignment="1">
      <alignment vertical="center"/>
    </xf>
    <xf numFmtId="0" fontId="22" fillId="0" borderId="49" xfId="10" applyFont="1" applyBorder="1" applyAlignment="1">
      <alignment vertical="center" wrapText="1"/>
    </xf>
    <xf numFmtId="0" fontId="13" fillId="0" borderId="53" xfId="5" applyFont="1" applyBorder="1" applyAlignment="1">
      <alignment horizontal="center" vertical="center"/>
    </xf>
    <xf numFmtId="0" fontId="13" fillId="0" borderId="54" xfId="5" applyFont="1" applyBorder="1" applyAlignment="1">
      <alignment horizontal="center" vertical="center"/>
    </xf>
    <xf numFmtId="0" fontId="22" fillId="0" borderId="7" xfId="10" applyFont="1" applyBorder="1" applyAlignment="1">
      <alignment vertical="center" wrapText="1"/>
    </xf>
    <xf numFmtId="0" fontId="22" fillId="0" borderId="38" xfId="10" applyFont="1" applyBorder="1" applyAlignment="1">
      <alignment vertical="center" wrapText="1"/>
    </xf>
    <xf numFmtId="0" fontId="23" fillId="0" borderId="43" xfId="10" applyFont="1" applyBorder="1" applyAlignment="1">
      <alignment horizontal="center" vertical="center"/>
    </xf>
    <xf numFmtId="0" fontId="22" fillId="0" borderId="57" xfId="10" applyFont="1" applyBorder="1" applyAlignment="1">
      <alignment vertical="center" wrapText="1"/>
    </xf>
    <xf numFmtId="0" fontId="22" fillId="5" borderId="56" xfId="10" applyFont="1" applyFill="1" applyBorder="1" applyAlignment="1">
      <alignment vertical="center" wrapText="1"/>
    </xf>
    <xf numFmtId="0" fontId="44" fillId="0" borderId="58" xfId="10" applyFont="1" applyBorder="1" applyAlignment="1">
      <alignment vertical="center" wrapText="1"/>
    </xf>
    <xf numFmtId="0" fontId="44" fillId="0" borderId="59" xfId="10" applyFont="1" applyBorder="1" applyAlignment="1">
      <alignment vertical="center" wrapText="1"/>
    </xf>
    <xf numFmtId="0" fontId="44" fillId="0" borderId="57" xfId="10" applyFont="1" applyBorder="1" applyAlignment="1">
      <alignment vertical="center" wrapText="1"/>
    </xf>
    <xf numFmtId="0" fontId="13" fillId="0" borderId="16" xfId="5" applyFont="1" applyBorder="1" applyAlignment="1">
      <alignment horizontal="center" vertical="center"/>
    </xf>
    <xf numFmtId="0" fontId="13" fillId="0" borderId="61" xfId="5" applyFont="1" applyBorder="1" applyAlignment="1">
      <alignment horizontal="center" vertical="center"/>
    </xf>
    <xf numFmtId="0" fontId="21" fillId="0" borderId="9" xfId="10" applyFont="1" applyBorder="1" applyAlignment="1">
      <alignment horizontal="center" vertical="center" wrapText="1"/>
    </xf>
    <xf numFmtId="0" fontId="21" fillId="0" borderId="7" xfId="10" applyFont="1" applyBorder="1" applyAlignment="1">
      <alignment horizontal="center" vertical="center" wrapText="1"/>
    </xf>
    <xf numFmtId="0" fontId="22" fillId="0" borderId="7" xfId="10" applyFont="1" applyBorder="1" applyAlignment="1">
      <alignment horizontal="center" vertical="center" wrapText="1"/>
    </xf>
    <xf numFmtId="0" fontId="22" fillId="0" borderId="4" xfId="10" applyFont="1" applyBorder="1" applyAlignment="1">
      <alignment horizontal="center" vertical="center" wrapText="1"/>
    </xf>
    <xf numFmtId="0" fontId="22" fillId="5" borderId="24" xfId="10" applyFont="1" applyFill="1" applyBorder="1" applyAlignment="1">
      <alignment horizontal="center" vertical="center" wrapText="1"/>
    </xf>
    <xf numFmtId="9" fontId="22" fillId="0" borderId="60" xfId="7" applyFont="1" applyBorder="1" applyAlignment="1" applyProtection="1">
      <alignment horizontal="center" vertical="center" wrapText="1"/>
    </xf>
    <xf numFmtId="9" fontId="22" fillId="0" borderId="45" xfId="7" applyFont="1" applyBorder="1" applyAlignment="1" applyProtection="1">
      <alignment horizontal="center" vertical="center" wrapText="1"/>
    </xf>
    <xf numFmtId="9" fontId="22" fillId="0" borderId="4" xfId="7" applyFont="1" applyBorder="1" applyAlignment="1" applyProtection="1">
      <alignment horizontal="center" vertical="center" wrapText="1"/>
    </xf>
    <xf numFmtId="0" fontId="12" fillId="0" borderId="0" xfId="0" applyFont="1" applyAlignment="1">
      <alignment vertical="top"/>
    </xf>
    <xf numFmtId="0" fontId="12" fillId="2" borderId="0" xfId="0" applyFont="1" applyFill="1" applyAlignment="1" applyProtection="1">
      <alignment vertical="top" wrapText="1"/>
      <protection locked="0"/>
    </xf>
    <xf numFmtId="0" fontId="12" fillId="2" borderId="0" xfId="0" applyFont="1" applyFill="1" applyAlignment="1" applyProtection="1">
      <alignment vertical="top"/>
      <protection locked="0"/>
    </xf>
    <xf numFmtId="0" fontId="12" fillId="0" borderId="0" xfId="0" applyFont="1" applyAlignment="1" applyProtection="1">
      <alignment vertical="top"/>
      <protection locked="0"/>
    </xf>
    <xf numFmtId="0" fontId="26" fillId="0" borderId="0" xfId="0" applyFont="1" applyAlignment="1" applyProtection="1">
      <alignment vertical="top"/>
      <protection locked="0"/>
    </xf>
    <xf numFmtId="0" fontId="0" fillId="0" borderId="0" xfId="0" applyAlignment="1">
      <alignment vertical="top"/>
    </xf>
    <xf numFmtId="0" fontId="14" fillId="0" borderId="0" xfId="0" applyFont="1" applyAlignment="1" applyProtection="1">
      <alignment vertical="top"/>
      <protection locked="0"/>
    </xf>
    <xf numFmtId="0" fontId="15" fillId="0" borderId="0" xfId="0" applyFont="1" applyAlignment="1" applyProtection="1">
      <alignment vertical="top"/>
      <protection locked="0"/>
    </xf>
    <xf numFmtId="0" fontId="15" fillId="0" borderId="0" xfId="0" applyFont="1" applyAlignment="1" applyProtection="1">
      <alignment vertical="top" wrapText="1"/>
      <protection locked="0"/>
    </xf>
    <xf numFmtId="0" fontId="15" fillId="2" borderId="0" xfId="0" applyFont="1" applyFill="1" applyAlignment="1" applyProtection="1">
      <alignment vertical="top" wrapText="1"/>
      <protection locked="0"/>
    </xf>
    <xf numFmtId="0" fontId="14" fillId="0" borderId="0" xfId="0" applyFont="1" applyAlignment="1">
      <alignment vertical="top"/>
    </xf>
    <xf numFmtId="0" fontId="14" fillId="0" borderId="0" xfId="0" applyFont="1" applyAlignment="1">
      <alignment vertical="top" wrapText="1"/>
    </xf>
    <xf numFmtId="0" fontId="26" fillId="0" borderId="0" xfId="0" applyFont="1" applyAlignment="1">
      <alignment vertical="top"/>
    </xf>
    <xf numFmtId="0" fontId="15" fillId="2" borderId="0" xfId="0" applyFont="1" applyFill="1" applyAlignment="1" applyProtection="1">
      <alignment vertical="top"/>
      <protection locked="0"/>
    </xf>
    <xf numFmtId="0" fontId="15" fillId="0" borderId="1" xfId="0" applyFont="1" applyBorder="1" applyAlignment="1" applyProtection="1">
      <alignment vertical="top"/>
      <protection locked="0"/>
    </xf>
    <xf numFmtId="0" fontId="15" fillId="0" borderId="1" xfId="0" applyFont="1" applyBorder="1" applyAlignment="1" applyProtection="1">
      <alignment vertical="top" wrapText="1"/>
      <protection locked="0"/>
    </xf>
    <xf numFmtId="0" fontId="15" fillId="2" borderId="1" xfId="0" applyFont="1" applyFill="1" applyBorder="1" applyAlignment="1" applyProtection="1">
      <alignment vertical="top" wrapText="1"/>
      <protection locked="0"/>
    </xf>
    <xf numFmtId="0" fontId="15"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14" fillId="0" borderId="1" xfId="0" applyFont="1" applyBorder="1" applyAlignment="1" applyProtection="1">
      <alignment vertical="top"/>
      <protection locked="0"/>
    </xf>
    <xf numFmtId="0" fontId="14" fillId="0" borderId="1" xfId="0" applyFont="1" applyBorder="1" applyAlignment="1" applyProtection="1">
      <alignment vertical="top" wrapText="1"/>
      <protection locked="0"/>
    </xf>
    <xf numFmtId="0" fontId="14" fillId="2" borderId="1" xfId="0" applyFont="1" applyFill="1" applyBorder="1" applyAlignment="1" applyProtection="1">
      <alignment vertical="top" wrapText="1"/>
      <protection locked="0"/>
    </xf>
    <xf numFmtId="0" fontId="14" fillId="2" borderId="1" xfId="0" applyFont="1" applyFill="1" applyBorder="1" applyAlignment="1" applyProtection="1">
      <alignment vertical="top"/>
      <protection locked="0"/>
    </xf>
    <xf numFmtId="0" fontId="12" fillId="0" borderId="0" xfId="0" applyFont="1" applyAlignment="1">
      <alignment vertical="top" wrapText="1"/>
    </xf>
    <xf numFmtId="0" fontId="12" fillId="0" borderId="0" xfId="0" applyFont="1" applyAlignment="1" applyProtection="1">
      <alignment vertical="top" wrapText="1"/>
      <protection locked="0"/>
    </xf>
    <xf numFmtId="0" fontId="37" fillId="0" borderId="0" xfId="0" applyFont="1" applyAlignment="1" applyProtection="1">
      <alignment vertical="top"/>
      <protection locked="0"/>
    </xf>
    <xf numFmtId="0" fontId="14" fillId="0" borderId="1" xfId="0" applyFont="1" applyBorder="1" applyAlignment="1">
      <alignment vertical="top"/>
    </xf>
    <xf numFmtId="0" fontId="14" fillId="0" borderId="1" xfId="0" applyFont="1" applyBorder="1" applyAlignment="1">
      <alignment vertical="top" wrapText="1"/>
    </xf>
    <xf numFmtId="0" fontId="14" fillId="2" borderId="0" xfId="0" applyFont="1" applyFill="1" applyAlignment="1" applyProtection="1">
      <alignment vertical="top" wrapText="1"/>
      <protection locked="0"/>
    </xf>
    <xf numFmtId="0" fontId="16" fillId="0" borderId="0" xfId="0" applyFont="1" applyAlignment="1" applyProtection="1">
      <alignment vertical="top"/>
      <protection locked="0"/>
    </xf>
    <xf numFmtId="0" fontId="14"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6" fillId="0" borderId="0" xfId="0" applyFont="1" applyAlignment="1">
      <alignment vertical="top" wrapText="1"/>
    </xf>
    <xf numFmtId="0" fontId="14" fillId="0" borderId="0" xfId="3" applyFont="1" applyAlignment="1" applyProtection="1">
      <alignment horizontal="left" vertical="top" wrapText="1"/>
      <protection locked="0"/>
    </xf>
    <xf numFmtId="0" fontId="15" fillId="0" borderId="0" xfId="3" applyFont="1" applyAlignment="1" applyProtection="1">
      <alignment horizontal="left" vertical="top"/>
      <protection locked="0"/>
    </xf>
    <xf numFmtId="0" fontId="18" fillId="2" borderId="0" xfId="0" applyFont="1" applyFill="1" applyAlignment="1" applyProtection="1">
      <alignment vertical="top"/>
      <protection locked="0"/>
    </xf>
    <xf numFmtId="0" fontId="14" fillId="0" borderId="0" xfId="2" applyFont="1" applyAlignment="1">
      <alignment vertical="top" wrapText="1"/>
    </xf>
    <xf numFmtId="0" fontId="14" fillId="0" borderId="0" xfId="0" applyFont="1" applyAlignment="1" applyProtection="1">
      <alignment horizontal="left" vertical="top" wrapText="1"/>
      <protection locked="0"/>
    </xf>
    <xf numFmtId="0" fontId="15" fillId="0" borderId="0" xfId="0" applyFont="1" applyAlignment="1" applyProtection="1">
      <alignment horizontal="left" vertical="top" wrapText="1"/>
      <protection locked="0"/>
    </xf>
    <xf numFmtId="0" fontId="15" fillId="0" borderId="0" xfId="2" applyFont="1" applyAlignment="1" applyProtection="1">
      <alignment vertical="top" wrapText="1"/>
      <protection locked="0"/>
    </xf>
    <xf numFmtId="0" fontId="16" fillId="2" borderId="0" xfId="0" applyFont="1" applyFill="1" applyAlignment="1" applyProtection="1">
      <alignment vertical="top"/>
      <protection locked="0"/>
    </xf>
    <xf numFmtId="0" fontId="16" fillId="0" borderId="0" xfId="0" applyFont="1" applyAlignment="1">
      <alignment vertical="top"/>
    </xf>
    <xf numFmtId="9" fontId="14" fillId="0" borderId="0" xfId="0" applyNumberFormat="1" applyFont="1" applyAlignment="1" applyProtection="1">
      <alignment vertical="top"/>
      <protection locked="0"/>
    </xf>
    <xf numFmtId="0" fontId="20" fillId="2" borderId="0" xfId="0" applyFont="1" applyFill="1" applyAlignment="1" applyProtection="1">
      <alignment vertical="top" wrapText="1"/>
      <protection locked="0"/>
    </xf>
    <xf numFmtId="0" fontId="20" fillId="2" borderId="0" xfId="0" applyFont="1" applyFill="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12" fillId="0" borderId="0" xfId="0" applyFont="1" applyAlignment="1">
      <alignment horizontal="center" vertical="center"/>
    </xf>
    <xf numFmtId="0" fontId="12" fillId="0" borderId="0" xfId="0" applyFont="1" applyAlignment="1">
      <alignment horizontal="center" vertical="center" wrapText="1"/>
    </xf>
    <xf numFmtId="0" fontId="12" fillId="2" borderId="0" xfId="0" applyFont="1" applyFill="1" applyAlignment="1" applyProtection="1">
      <alignment horizontal="center" vertical="center" wrapText="1"/>
      <protection locked="0"/>
    </xf>
    <xf numFmtId="0" fontId="12" fillId="2" borderId="0" xfId="0" applyFont="1" applyFill="1" applyAlignment="1" applyProtection="1">
      <alignment horizontal="center" vertical="center"/>
      <protection locked="0"/>
    </xf>
    <xf numFmtId="0" fontId="12" fillId="0" borderId="0" xfId="0" applyFont="1" applyAlignment="1" applyProtection="1">
      <alignment horizontal="center" vertical="center"/>
      <protection locked="0"/>
    </xf>
    <xf numFmtId="0" fontId="26" fillId="0" borderId="0" xfId="0" applyFont="1" applyAlignment="1" applyProtection="1">
      <alignment horizontal="center" vertical="center"/>
      <protection locked="0"/>
    </xf>
    <xf numFmtId="0" fontId="0" fillId="0" borderId="0" xfId="0" applyAlignment="1">
      <alignment vertical="center"/>
    </xf>
    <xf numFmtId="0" fontId="15" fillId="0" borderId="0" xfId="0" applyFont="1" applyAlignment="1" applyProtection="1">
      <alignment vertical="center"/>
      <protection locked="0"/>
    </xf>
    <xf numFmtId="0" fontId="14" fillId="0" borderId="0" xfId="0" applyFont="1" applyAlignment="1">
      <alignment vertical="center"/>
    </xf>
    <xf numFmtId="0" fontId="15" fillId="0" borderId="1" xfId="0" applyFont="1" applyBorder="1" applyAlignment="1" applyProtection="1">
      <alignment vertical="center"/>
      <protection locked="0"/>
    </xf>
    <xf numFmtId="0" fontId="14" fillId="0" borderId="1" xfId="0" applyFont="1" applyBorder="1" applyAlignment="1" applyProtection="1">
      <alignment vertical="center"/>
      <protection locked="0"/>
    </xf>
    <xf numFmtId="0" fontId="12" fillId="0" borderId="0" xfId="0" applyFont="1" applyAlignment="1">
      <alignment vertical="center"/>
    </xf>
    <xf numFmtId="0" fontId="12" fillId="0" borderId="0" xfId="0" applyFont="1" applyAlignment="1" applyProtection="1">
      <alignment vertical="center"/>
      <protection locked="0"/>
    </xf>
    <xf numFmtId="0" fontId="0" fillId="0" borderId="0" xfId="0" applyAlignment="1" applyProtection="1">
      <alignment vertical="center"/>
      <protection locked="0"/>
    </xf>
    <xf numFmtId="0" fontId="37" fillId="0" borderId="0" xfId="0" applyFont="1" applyAlignment="1" applyProtection="1">
      <alignment vertical="center"/>
      <protection locked="0"/>
    </xf>
    <xf numFmtId="0" fontId="37" fillId="0" borderId="0" xfId="0" applyFont="1" applyAlignment="1">
      <alignment vertical="center"/>
    </xf>
    <xf numFmtId="0" fontId="15" fillId="0" borderId="0" xfId="0" applyFont="1" applyAlignment="1">
      <alignment vertical="center"/>
    </xf>
    <xf numFmtId="0" fontId="14" fillId="0" borderId="1" xfId="0" applyFont="1" applyBorder="1" applyAlignment="1">
      <alignment vertical="center"/>
    </xf>
    <xf numFmtId="0" fontId="14" fillId="0" borderId="0" xfId="0" applyFont="1" applyAlignment="1" applyProtection="1">
      <alignment vertical="center"/>
      <protection locked="0"/>
    </xf>
    <xf numFmtId="0" fontId="0" fillId="0" borderId="1" xfId="0" applyBorder="1" applyAlignment="1">
      <alignment vertical="center"/>
    </xf>
    <xf numFmtId="0" fontId="26" fillId="0" borderId="0" xfId="0" applyFont="1" applyAlignment="1">
      <alignment vertical="center"/>
    </xf>
    <xf numFmtId="0" fontId="18" fillId="0" borderId="0" xfId="0" applyFont="1" applyAlignment="1" applyProtection="1">
      <alignment vertical="center"/>
      <protection locked="0"/>
    </xf>
    <xf numFmtId="0" fontId="15" fillId="0" borderId="0" xfId="0" applyFont="1" applyAlignment="1" applyProtection="1">
      <alignment vertical="center" wrapText="1"/>
      <protection locked="0"/>
    </xf>
    <xf numFmtId="0" fontId="10" fillId="0" borderId="0" xfId="0" applyFont="1" applyAlignment="1">
      <alignment vertical="center"/>
    </xf>
    <xf numFmtId="0" fontId="21" fillId="0" borderId="5" xfId="10" applyFont="1" applyBorder="1" applyAlignment="1">
      <alignment horizontal="left" vertical="center" wrapText="1"/>
    </xf>
    <xf numFmtId="0" fontId="6" fillId="2" borderId="49" xfId="10" applyFill="1" applyBorder="1" applyAlignment="1" applyProtection="1">
      <alignment horizontal="center" vertical="center"/>
      <protection locked="0"/>
    </xf>
    <xf numFmtId="0" fontId="22" fillId="0" borderId="55" xfId="5" applyFont="1" applyBorder="1" applyAlignment="1">
      <alignment vertical="center" wrapText="1"/>
    </xf>
    <xf numFmtId="0" fontId="21" fillId="0" borderId="7" xfId="5" applyFont="1" applyBorder="1" applyAlignment="1">
      <alignment vertical="center" wrapText="1"/>
    </xf>
    <xf numFmtId="0" fontId="21" fillId="0" borderId="40" xfId="5" applyFont="1" applyBorder="1" applyAlignment="1">
      <alignment vertical="center" wrapText="1"/>
    </xf>
    <xf numFmtId="0" fontId="21" fillId="0" borderId="8" xfId="10" applyFont="1" applyBorder="1" applyAlignment="1">
      <alignment horizontal="left" vertical="center"/>
    </xf>
    <xf numFmtId="0" fontId="22" fillId="0" borderId="19" xfId="5" applyFont="1" applyBorder="1" applyAlignment="1">
      <alignment vertical="center" wrapText="1"/>
    </xf>
    <xf numFmtId="0" fontId="22" fillId="0" borderId="62" xfId="5" applyFont="1" applyBorder="1" applyAlignment="1">
      <alignment vertical="center" wrapText="1"/>
    </xf>
    <xf numFmtId="0" fontId="6" fillId="5" borderId="24" xfId="10" applyFill="1" applyBorder="1" applyAlignment="1">
      <alignment horizontal="center" vertical="center"/>
    </xf>
    <xf numFmtId="0" fontId="6" fillId="5" borderId="50" xfId="10" applyFill="1" applyBorder="1" applyAlignment="1">
      <alignment horizontal="center" vertical="center"/>
    </xf>
    <xf numFmtId="0" fontId="6" fillId="0" borderId="7" xfId="10" applyBorder="1" applyAlignment="1">
      <alignment horizontal="center" vertical="center"/>
    </xf>
    <xf numFmtId="165" fontId="6" fillId="0" borderId="7" xfId="10" applyNumberFormat="1" applyBorder="1" applyAlignment="1">
      <alignment horizontal="center" vertical="center"/>
    </xf>
    <xf numFmtId="165" fontId="6" fillId="0" borderId="4" xfId="10" applyNumberFormat="1" applyBorder="1" applyAlignment="1">
      <alignment horizontal="center" vertical="center"/>
    </xf>
    <xf numFmtId="0" fontId="22" fillId="0" borderId="22" xfId="10" applyFont="1" applyBorder="1" applyAlignment="1">
      <alignment horizontal="center" vertical="center" wrapText="1"/>
    </xf>
    <xf numFmtId="0" fontId="0" fillId="0" borderId="2" xfId="0" applyBorder="1"/>
    <xf numFmtId="0" fontId="14"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12" fillId="0" borderId="7" xfId="0" applyFont="1" applyBorder="1" applyAlignment="1">
      <alignment horizontal="center" vertical="center" wrapText="1"/>
    </xf>
    <xf numFmtId="0" fontId="26" fillId="0" borderId="7" xfId="0" applyFont="1" applyBorder="1" applyAlignment="1">
      <alignment horizontal="center" vertical="center"/>
    </xf>
    <xf numFmtId="0" fontId="26" fillId="0" borderId="7" xfId="0" applyFont="1" applyBorder="1" applyAlignment="1">
      <alignment horizontal="center" vertical="center" wrapText="1"/>
    </xf>
    <xf numFmtId="0" fontId="14" fillId="0" borderId="7" xfId="0" applyFont="1" applyBorder="1" applyAlignment="1">
      <alignment horizontal="center" vertical="center"/>
    </xf>
    <xf numFmtId="0" fontId="14" fillId="0" borderId="7" xfId="0" applyFont="1" applyBorder="1" applyAlignment="1">
      <alignment wrapText="1"/>
    </xf>
    <xf numFmtId="0" fontId="26" fillId="0" borderId="7" xfId="0" applyFont="1" applyBorder="1" applyAlignment="1">
      <alignment wrapText="1"/>
    </xf>
    <xf numFmtId="0" fontId="14"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4"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46" fillId="0" borderId="0" xfId="0" applyFont="1" applyAlignment="1">
      <alignment vertical="center"/>
    </xf>
    <xf numFmtId="0" fontId="46" fillId="0" borderId="0" xfId="0" applyFont="1" applyAlignment="1">
      <alignment vertical="top"/>
    </xf>
    <xf numFmtId="0" fontId="46" fillId="0" borderId="0" xfId="0" applyFont="1" applyAlignment="1">
      <alignment vertical="top" wrapText="1"/>
    </xf>
    <xf numFmtId="0" fontId="46" fillId="0" borderId="0" xfId="0" applyFont="1" applyAlignment="1" applyProtection="1">
      <alignment vertical="top"/>
      <protection locked="0"/>
    </xf>
    <xf numFmtId="0" fontId="46" fillId="2" borderId="0" xfId="0" applyFont="1" applyFill="1" applyAlignment="1" applyProtection="1">
      <alignment vertical="top" wrapText="1"/>
      <protection locked="0"/>
    </xf>
    <xf numFmtId="0" fontId="46" fillId="2" borderId="0" xfId="0" applyFont="1" applyFill="1" applyAlignment="1" applyProtection="1">
      <alignment vertical="top"/>
      <protection locked="0"/>
    </xf>
    <xf numFmtId="0" fontId="27" fillId="0" borderId="0" xfId="0" applyFont="1" applyAlignment="1" applyProtection="1">
      <alignment vertical="top" wrapText="1"/>
      <protection locked="0"/>
    </xf>
    <xf numFmtId="0" fontId="15" fillId="0" borderId="0" xfId="3" applyFont="1" applyAlignment="1" applyProtection="1">
      <alignment horizontal="left" vertical="center" wrapText="1"/>
      <protection locked="0"/>
    </xf>
    <xf numFmtId="0" fontId="20" fillId="0" borderId="0" xfId="0" applyFont="1" applyAlignment="1" applyProtection="1">
      <alignment vertical="top"/>
      <protection locked="0"/>
    </xf>
    <xf numFmtId="0" fontId="20" fillId="0" borderId="0" xfId="0" applyFont="1" applyAlignment="1" applyProtection="1">
      <alignment vertical="center"/>
      <protection locked="0"/>
    </xf>
    <xf numFmtId="0" fontId="15" fillId="0" borderId="0" xfId="2" applyFont="1" applyAlignment="1" applyProtection="1">
      <alignment horizontal="left" vertical="center" wrapText="1"/>
      <protection locked="0"/>
    </xf>
    <xf numFmtId="0" fontId="0" fillId="0" borderId="0" xfId="0" applyAlignment="1">
      <alignment wrapText="1"/>
    </xf>
    <xf numFmtId="164" fontId="14" fillId="0" borderId="0" xfId="0" applyNumberFormat="1" applyFont="1" applyAlignment="1" applyProtection="1">
      <alignment vertical="top"/>
      <protection locked="0"/>
    </xf>
    <xf numFmtId="164" fontId="14" fillId="0" borderId="0" xfId="0" applyNumberFormat="1" applyFont="1" applyAlignment="1" applyProtection="1">
      <alignment vertical="top" wrapText="1"/>
      <protection locked="0"/>
    </xf>
    <xf numFmtId="9" fontId="14" fillId="0" borderId="0" xfId="7" applyFont="1" applyFill="1" applyBorder="1" applyAlignment="1" applyProtection="1">
      <alignment vertical="top"/>
      <protection locked="0"/>
    </xf>
    <xf numFmtId="164" fontId="15" fillId="0" borderId="0" xfId="0" applyNumberFormat="1" applyFont="1" applyAlignment="1" applyProtection="1">
      <alignment vertical="top"/>
      <protection locked="0"/>
    </xf>
    <xf numFmtId="9" fontId="15" fillId="0" borderId="0" xfId="7" applyFont="1" applyFill="1" applyBorder="1" applyAlignment="1" applyProtection="1">
      <alignment vertical="top"/>
      <protection locked="0"/>
    </xf>
    <xf numFmtId="9" fontId="26" fillId="0" borderId="17" xfId="7" applyFont="1" applyFill="1" applyBorder="1" applyAlignment="1" applyProtection="1">
      <alignment vertical="top"/>
      <protection locked="0"/>
    </xf>
    <xf numFmtId="0" fontId="26" fillId="0" borderId="18" xfId="0" applyFont="1" applyBorder="1" applyAlignment="1" applyProtection="1">
      <alignment vertical="top"/>
      <protection locked="0"/>
    </xf>
    <xf numFmtId="0" fontId="14" fillId="0" borderId="0" xfId="2" applyFont="1" applyAlignment="1" applyProtection="1">
      <alignment vertical="top" wrapText="1"/>
      <protection locked="0"/>
    </xf>
    <xf numFmtId="0" fontId="15" fillId="0" borderId="0" xfId="2" applyFont="1" applyAlignment="1" applyProtection="1">
      <alignment horizontal="left" vertical="top" wrapText="1"/>
      <protection locked="0"/>
    </xf>
    <xf numFmtId="0" fontId="0" fillId="0" borderId="0" xfId="2" applyFont="1" applyAlignment="1" applyProtection="1">
      <alignment horizontal="left" vertical="center" wrapText="1"/>
      <protection locked="0"/>
    </xf>
    <xf numFmtId="0" fontId="14" fillId="0" borderId="0" xfId="2" applyFont="1" applyAlignment="1" applyProtection="1">
      <alignment horizontal="left" vertical="center" wrapText="1"/>
      <protection locked="0"/>
    </xf>
    <xf numFmtId="0" fontId="15" fillId="0" borderId="0" xfId="2" applyFont="1" applyAlignment="1" applyProtection="1">
      <alignment vertical="center" wrapText="1"/>
      <protection locked="0"/>
    </xf>
    <xf numFmtId="0" fontId="0" fillId="0" borderId="0" xfId="2" applyFont="1" applyAlignment="1" applyProtection="1">
      <alignment vertical="center" wrapText="1"/>
      <protection locked="0"/>
    </xf>
    <xf numFmtId="0" fontId="26" fillId="2" borderId="0" xfId="0" applyFont="1" applyFill="1" applyAlignment="1" applyProtection="1">
      <alignment vertical="top" wrapText="1"/>
      <protection locked="0"/>
    </xf>
    <xf numFmtId="0" fontId="26" fillId="2" borderId="0" xfId="0" applyFont="1" applyFill="1" applyAlignment="1" applyProtection="1">
      <alignment vertical="top"/>
      <protection locked="0"/>
    </xf>
    <xf numFmtId="0" fontId="0" fillId="0" borderId="0" xfId="0" applyAlignment="1" applyProtection="1">
      <alignment horizontal="left" vertical="center" wrapText="1"/>
      <protection locked="0"/>
    </xf>
    <xf numFmtId="0" fontId="14" fillId="0" borderId="0" xfId="0" applyFont="1" applyAlignment="1">
      <alignment horizontal="left" vertical="top" wrapText="1"/>
    </xf>
    <xf numFmtId="0" fontId="0" fillId="0" borderId="0" xfId="2" applyFont="1" applyAlignment="1">
      <alignment horizontal="left" vertical="top" wrapText="1"/>
    </xf>
    <xf numFmtId="0" fontId="14" fillId="0" borderId="0" xfId="0" applyFont="1" applyAlignment="1">
      <alignment horizontal="left" vertical="top"/>
    </xf>
    <xf numFmtId="0" fontId="14" fillId="0" borderId="0" xfId="3" applyFont="1" applyAlignment="1">
      <alignment horizontal="left" vertical="center" wrapText="1"/>
    </xf>
    <xf numFmtId="0" fontId="14" fillId="0" borderId="0" xfId="2" applyFont="1" applyAlignment="1">
      <alignment horizontal="left" vertical="center" wrapText="1"/>
    </xf>
    <xf numFmtId="0" fontId="14" fillId="0" borderId="0" xfId="2" applyFont="1" applyAlignment="1">
      <alignment vertical="center" wrapText="1"/>
    </xf>
    <xf numFmtId="0" fontId="0" fillId="0" borderId="0" xfId="2" applyFont="1" applyAlignment="1">
      <alignment horizontal="left" vertical="center" wrapText="1"/>
    </xf>
    <xf numFmtId="49" fontId="46" fillId="0" borderId="0" xfId="0" applyNumberFormat="1" applyFont="1" applyAlignment="1">
      <alignment horizontal="left" vertical="top" wrapText="1"/>
    </xf>
    <xf numFmtId="1" fontId="42" fillId="2" borderId="7" xfId="5" applyNumberFormat="1" applyFont="1" applyFill="1" applyBorder="1" applyAlignment="1" applyProtection="1">
      <alignment horizontal="center" vertical="center"/>
      <protection locked="0"/>
    </xf>
    <xf numFmtId="0" fontId="32" fillId="0" borderId="0" xfId="0" applyFont="1" applyProtection="1">
      <protection locked="0"/>
    </xf>
    <xf numFmtId="0" fontId="0" fillId="6" borderId="0" xfId="0" applyFill="1" applyAlignment="1">
      <alignment vertical="center"/>
    </xf>
    <xf numFmtId="49" fontId="46" fillId="0" borderId="0" xfId="0" applyNumberFormat="1" applyFont="1" applyAlignment="1" applyProtection="1">
      <alignment horizontal="left" vertical="top" wrapText="1"/>
      <protection locked="0"/>
    </xf>
    <xf numFmtId="0" fontId="46" fillId="0" borderId="0" xfId="0" applyFont="1" applyAlignment="1" applyProtection="1">
      <alignment vertical="center"/>
      <protection locked="0"/>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15" fillId="0" borderId="0" xfId="0" applyFont="1" applyAlignment="1">
      <alignment vertical="top"/>
    </xf>
    <xf numFmtId="0" fontId="25" fillId="0" borderId="7" xfId="6" applyFont="1" applyFill="1" applyBorder="1" applyAlignment="1" applyProtection="1">
      <alignment horizontal="center" vertical="center"/>
    </xf>
    <xf numFmtId="0" fontId="12" fillId="0" borderId="34" xfId="0" applyFont="1" applyBorder="1" applyAlignment="1" applyProtection="1">
      <alignment horizontal="center" vertical="center"/>
      <protection locked="0"/>
    </xf>
    <xf numFmtId="0" fontId="26" fillId="7" borderId="12" xfId="0" applyFont="1" applyFill="1" applyBorder="1" applyAlignment="1" applyProtection="1">
      <alignment horizontal="center" vertical="center" wrapText="1"/>
      <protection locked="0"/>
    </xf>
    <xf numFmtId="9" fontId="26" fillId="7" borderId="11" xfId="7" applyFont="1" applyFill="1" applyBorder="1" applyAlignment="1" applyProtection="1">
      <alignment horizontal="center" vertical="center" wrapText="1"/>
      <protection locked="0"/>
    </xf>
    <xf numFmtId="0" fontId="26" fillId="7" borderId="11" xfId="0" applyFont="1" applyFill="1" applyBorder="1" applyAlignment="1" applyProtection="1">
      <alignment horizontal="center" vertical="center" wrapText="1"/>
      <protection locked="0"/>
    </xf>
    <xf numFmtId="164" fontId="14" fillId="0" borderId="0" xfId="0" applyNumberFormat="1" applyFont="1" applyAlignment="1" applyProtection="1">
      <alignment horizontal="right" vertical="top"/>
      <protection locked="0"/>
    </xf>
    <xf numFmtId="164" fontId="14" fillId="0" borderId="0" xfId="0" applyNumberFormat="1" applyFont="1" applyAlignment="1" applyProtection="1">
      <alignment horizontal="right" vertical="top" wrapText="1"/>
      <protection locked="0"/>
    </xf>
    <xf numFmtId="164" fontId="14" fillId="0" borderId="0" xfId="0" applyNumberFormat="1" applyFont="1" applyAlignment="1">
      <alignment horizontal="right" vertical="top"/>
    </xf>
    <xf numFmtId="164" fontId="15" fillId="0" borderId="0" xfId="0" applyNumberFormat="1" applyFont="1" applyAlignment="1" applyProtection="1">
      <alignment horizontal="right" vertical="top"/>
      <protection locked="0"/>
    </xf>
    <xf numFmtId="9" fontId="15" fillId="0" borderId="0" xfId="0" applyNumberFormat="1" applyFont="1" applyAlignment="1" applyProtection="1">
      <alignment vertical="top"/>
      <protection locked="0"/>
    </xf>
    <xf numFmtId="0" fontId="14" fillId="0" borderId="0" xfId="0" applyFont="1" applyAlignment="1" applyProtection="1">
      <alignment horizontal="right" vertical="top"/>
      <protection locked="0"/>
    </xf>
    <xf numFmtId="0" fontId="26" fillId="0" borderId="17" xfId="0" applyFont="1" applyBorder="1" applyAlignment="1" applyProtection="1">
      <alignment horizontal="right" vertical="top"/>
      <protection locked="0"/>
    </xf>
    <xf numFmtId="0" fontId="25" fillId="0" borderId="20" xfId="0" applyFont="1" applyBorder="1" applyProtection="1">
      <protection locked="0"/>
    </xf>
    <xf numFmtId="0" fontId="0" fillId="0" borderId="17" xfId="0" applyBorder="1" applyAlignment="1" applyProtection="1">
      <alignment vertical="top"/>
      <protection locked="0"/>
    </xf>
    <xf numFmtId="0" fontId="21" fillId="0" borderId="19" xfId="5" applyFont="1" applyBorder="1" applyAlignment="1">
      <alignment horizontal="left" vertical="center" wrapText="1"/>
    </xf>
    <xf numFmtId="9" fontId="14" fillId="0" borderId="0" xfId="7" applyFont="1" applyFill="1" applyAlignment="1" applyProtection="1">
      <alignment vertical="top"/>
      <protection locked="0"/>
    </xf>
    <xf numFmtId="9" fontId="14" fillId="0" borderId="0" xfId="7" applyFont="1" applyFill="1" applyAlignment="1" applyProtection="1">
      <alignment vertical="top" wrapText="1"/>
      <protection locked="0"/>
    </xf>
    <xf numFmtId="9" fontId="26" fillId="0" borderId="0" xfId="0" applyNumberFormat="1" applyFont="1" applyAlignment="1" applyProtection="1">
      <alignment vertical="top"/>
      <protection locked="0"/>
    </xf>
    <xf numFmtId="0" fontId="18" fillId="0" borderId="0" xfId="0" applyFont="1" applyAlignment="1" applyProtection="1">
      <alignment vertical="top" wrapText="1"/>
      <protection locked="0"/>
    </xf>
    <xf numFmtId="0" fontId="15" fillId="3" borderId="0" xfId="0" applyFont="1" applyFill="1" applyProtection="1">
      <protection locked="0"/>
    </xf>
    <xf numFmtId="0" fontId="27" fillId="2" borderId="0" xfId="0" applyFont="1" applyFill="1" applyProtection="1">
      <protection locked="0"/>
    </xf>
    <xf numFmtId="0" fontId="27" fillId="0" borderId="0" xfId="0" applyFont="1" applyProtection="1">
      <protection locked="0"/>
    </xf>
    <xf numFmtId="9" fontId="15" fillId="0" borderId="0" xfId="7" applyFont="1" applyFill="1" applyAlignment="1" applyProtection="1">
      <alignment vertical="top"/>
      <protection locked="0"/>
    </xf>
    <xf numFmtId="0" fontId="4" fillId="0" borderId="6" xfId="15" applyBorder="1"/>
    <xf numFmtId="0" fontId="4" fillId="3" borderId="7" xfId="15" applyFill="1" applyBorder="1" applyAlignment="1" applyProtection="1">
      <alignment horizontal="center" vertical="center" wrapText="1"/>
      <protection locked="0"/>
    </xf>
    <xf numFmtId="0" fontId="4" fillId="3" borderId="49" xfId="15" applyFill="1" applyBorder="1" applyAlignment="1" applyProtection="1">
      <alignment horizontal="center" vertical="center" wrapText="1"/>
      <protection locked="0"/>
    </xf>
    <xf numFmtId="0" fontId="22" fillId="0" borderId="19" xfId="15" applyFont="1" applyBorder="1" applyAlignment="1">
      <alignment vertical="center" wrapText="1"/>
    </xf>
    <xf numFmtId="0" fontId="22" fillId="0" borderId="38" xfId="15" applyFont="1" applyBorder="1" applyAlignment="1">
      <alignment vertical="center" wrapText="1"/>
    </xf>
    <xf numFmtId="0" fontId="22" fillId="0" borderId="7" xfId="15" applyFont="1" applyBorder="1" applyAlignment="1">
      <alignment horizontal="center" vertical="center" wrapText="1"/>
    </xf>
    <xf numFmtId="0" fontId="22" fillId="0" borderId="29" xfId="15" applyFont="1" applyBorder="1" applyAlignment="1">
      <alignment horizontal="center" vertical="center" wrapText="1"/>
    </xf>
    <xf numFmtId="0" fontId="4" fillId="0" borderId="23" xfId="15" applyBorder="1"/>
    <xf numFmtId="0" fontId="4" fillId="0" borderId="2" xfId="15" applyBorder="1"/>
    <xf numFmtId="0" fontId="4" fillId="0" borderId="6" xfId="15" applyBorder="1" applyAlignment="1">
      <alignment wrapText="1"/>
    </xf>
    <xf numFmtId="0" fontId="22" fillId="0" borderId="36" xfId="15" applyFont="1" applyBorder="1" applyAlignment="1">
      <alignment vertical="center" wrapText="1"/>
    </xf>
    <xf numFmtId="0" fontId="22" fillId="0" borderId="56" xfId="15" applyFont="1" applyBorder="1" applyAlignment="1">
      <alignment vertical="center" wrapText="1"/>
    </xf>
    <xf numFmtId="0" fontId="4" fillId="0" borderId="23" xfId="15" applyBorder="1" applyAlignment="1">
      <alignment wrapText="1"/>
    </xf>
    <xf numFmtId="0" fontId="4" fillId="0" borderId="2" xfId="15" applyBorder="1" applyAlignment="1">
      <alignment wrapText="1"/>
    </xf>
    <xf numFmtId="4" fontId="4" fillId="5" borderId="4" xfId="15" applyNumberFormat="1" applyFill="1" applyBorder="1" applyAlignment="1">
      <alignment horizontal="center" vertical="center"/>
    </xf>
    <xf numFmtId="2" fontId="4" fillId="3" borderId="4" xfId="15" applyNumberFormat="1" applyFill="1" applyBorder="1" applyAlignment="1" applyProtection="1">
      <alignment horizontal="center" vertical="center" wrapText="1"/>
      <protection locked="0"/>
    </xf>
    <xf numFmtId="2" fontId="22" fillId="0" borderId="24" xfId="15" applyNumberFormat="1" applyFont="1" applyBorder="1" applyAlignment="1">
      <alignment horizontal="center" vertical="center" wrapText="1"/>
    </xf>
    <xf numFmtId="2" fontId="22" fillId="0" borderId="37" xfId="15" applyNumberFormat="1" applyFont="1" applyBorder="1" applyAlignment="1">
      <alignment horizontal="center" vertical="center" wrapText="1"/>
    </xf>
    <xf numFmtId="0" fontId="3" fillId="5" borderId="60" xfId="5" applyFont="1" applyFill="1" applyBorder="1" applyAlignment="1">
      <alignment horizontal="center" vertical="center"/>
    </xf>
    <xf numFmtId="0" fontId="3" fillId="5" borderId="7" xfId="5" applyFont="1" applyFill="1" applyBorder="1" applyAlignment="1">
      <alignment horizontal="center" vertical="center"/>
    </xf>
    <xf numFmtId="0" fontId="3" fillId="0" borderId="7" xfId="5" applyFont="1" applyBorder="1" applyAlignment="1">
      <alignment horizontal="center" vertical="center"/>
    </xf>
    <xf numFmtId="0" fontId="3" fillId="0" borderId="2" xfId="10" applyFont="1" applyBorder="1"/>
    <xf numFmtId="165" fontId="3" fillId="0" borderId="16" xfId="5" applyNumberFormat="1" applyFont="1" applyBorder="1" applyAlignment="1">
      <alignment horizontal="center" vertical="center"/>
    </xf>
    <xf numFmtId="165" fontId="3" fillId="2" borderId="16" xfId="5" applyNumberFormat="1" applyFont="1" applyFill="1" applyBorder="1" applyAlignment="1" applyProtection="1">
      <alignment horizontal="center" vertical="center"/>
      <protection locked="0"/>
    </xf>
    <xf numFmtId="165" fontId="3" fillId="2" borderId="7" xfId="5" applyNumberFormat="1" applyFont="1" applyFill="1" applyBorder="1" applyAlignment="1" applyProtection="1">
      <alignment horizontal="center" vertical="center"/>
      <protection locked="0"/>
    </xf>
    <xf numFmtId="165" fontId="3" fillId="2" borderId="4" xfId="5" applyNumberFormat="1" applyFont="1" applyFill="1" applyBorder="1" applyAlignment="1" applyProtection="1">
      <alignment horizontal="center" vertical="center"/>
      <protection locked="0"/>
    </xf>
    <xf numFmtId="49" fontId="3" fillId="3" borderId="16" xfId="5" applyNumberFormat="1" applyFont="1" applyFill="1" applyBorder="1" applyAlignment="1" applyProtection="1">
      <alignment horizontal="center" vertical="center"/>
      <protection locked="0"/>
    </xf>
    <xf numFmtId="0" fontId="2" fillId="3" borderId="9" xfId="10" applyFont="1" applyFill="1" applyBorder="1" applyAlignment="1" applyProtection="1">
      <alignment horizontal="center" vertical="center"/>
      <protection locked="0"/>
    </xf>
    <xf numFmtId="0" fontId="21" fillId="0" borderId="32" xfId="10" applyFont="1" applyBorder="1" applyAlignment="1">
      <alignment horizontal="center" vertical="center" wrapText="1"/>
    </xf>
    <xf numFmtId="4" fontId="4" fillId="5" borderId="7" xfId="15" applyNumberFormat="1" applyFill="1" applyBorder="1" applyAlignment="1">
      <alignment horizontal="center" vertical="center"/>
    </xf>
    <xf numFmtId="4" fontId="3" fillId="3" borderId="7" xfId="10" applyNumberFormat="1" applyFont="1" applyFill="1" applyBorder="1" applyAlignment="1" applyProtection="1">
      <alignment horizontal="center" vertical="center"/>
      <protection locked="0"/>
    </xf>
    <xf numFmtId="0" fontId="21" fillId="0" borderId="63" xfId="15" applyFont="1" applyBorder="1" applyAlignment="1">
      <alignment vertical="center" wrapText="1"/>
    </xf>
    <xf numFmtId="0" fontId="21" fillId="0" borderId="35" xfId="15" applyFont="1" applyBorder="1" applyAlignment="1">
      <alignment vertical="center" wrapText="1"/>
    </xf>
    <xf numFmtId="0" fontId="6" fillId="0" borderId="28" xfId="10" applyBorder="1" applyAlignment="1">
      <alignment horizontal="center" vertical="top" textRotation="90" wrapText="1"/>
    </xf>
    <xf numFmtId="0" fontId="6" fillId="0" borderId="30" xfId="10" applyBorder="1" applyAlignment="1">
      <alignment horizontal="center" vertical="top" textRotation="90" wrapText="1"/>
    </xf>
    <xf numFmtId="0" fontId="6" fillId="0" borderId="27" xfId="10" applyBorder="1" applyAlignment="1">
      <alignment horizontal="center" vertical="top" textRotation="90"/>
    </xf>
    <xf numFmtId="0" fontId="6" fillId="0" borderId="28" xfId="10" applyBorder="1" applyAlignment="1">
      <alignment horizontal="center" vertical="top" textRotation="90"/>
    </xf>
    <xf numFmtId="0" fontId="6" fillId="0" borderId="30" xfId="10" applyBorder="1" applyAlignment="1">
      <alignment horizontal="center" vertical="top" textRotation="90"/>
    </xf>
    <xf numFmtId="0" fontId="6" fillId="0" borderId="27" xfId="10" applyBorder="1" applyAlignment="1">
      <alignment horizontal="center" vertical="top" textRotation="90" wrapText="1"/>
    </xf>
  </cellXfs>
  <cellStyles count="16">
    <cellStyle name="Check Cell" xfId="6" builtinId="23"/>
    <cellStyle name="Normal" xfId="0" builtinId="0"/>
    <cellStyle name="Normal 2" xfId="1" xr:uid="{00000000-0005-0000-0000-000002000000}"/>
    <cellStyle name="Normal 2 2" xfId="8" xr:uid="{00000000-0005-0000-0000-000003000000}"/>
    <cellStyle name="Normal 2 2 2" xfId="13" xr:uid="{00000000-0005-0000-0000-000004000000}"/>
    <cellStyle name="Normal 2 3" xfId="11" xr:uid="{00000000-0005-0000-0000-000005000000}"/>
    <cellStyle name="Normal 3" xfId="2" xr:uid="{00000000-0005-0000-0000-000006000000}"/>
    <cellStyle name="Normal 3 2" xfId="12" xr:uid="{00000000-0005-0000-0000-000007000000}"/>
    <cellStyle name="Normal 4" xfId="4" xr:uid="{00000000-0005-0000-0000-000008000000}"/>
    <cellStyle name="Normal 4 2" xfId="5" xr:uid="{00000000-0005-0000-0000-000009000000}"/>
    <cellStyle name="Normal 4 2 2" xfId="10" xr:uid="{00000000-0005-0000-0000-00000A000000}"/>
    <cellStyle name="Normal 4 2 2 2" xfId="15" xr:uid="{B84698E5-E1F3-E34B-B543-B5919A429203}"/>
    <cellStyle name="Normal 4 3" xfId="9" xr:uid="{00000000-0005-0000-0000-00000B000000}"/>
    <cellStyle name="Normal 4 4" xfId="14" xr:uid="{00000000-0005-0000-0000-00000C000000}"/>
    <cellStyle name="Normal 5" xfId="3" xr:uid="{00000000-0005-0000-0000-00000D000000}"/>
    <cellStyle name="Per 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19"/>
  <sheetViews>
    <sheetView zoomScaleNormal="100" workbookViewId="0">
      <pane ySplit="1" topLeftCell="A2" activePane="bottomLeft" state="frozen"/>
      <selection pane="bottomLeft" activeCell="G312" sqref="G312"/>
    </sheetView>
  </sheetViews>
  <sheetFormatPr baseColWidth="10" defaultColWidth="8.83203125" defaultRowHeight="15" x14ac:dyDescent="0.2"/>
  <cols>
    <col min="1" max="1" width="21.1640625" style="53" customWidth="1"/>
    <col min="2" max="2" width="25.83203125" style="53" customWidth="1"/>
    <col min="3" max="4" width="66" style="54" customWidth="1"/>
    <col min="5" max="5" width="16.83203125" style="54" customWidth="1"/>
    <col min="6" max="7" width="28" style="53" customWidth="1"/>
    <col min="8" max="8" width="15.5" style="53" customWidth="1"/>
    <col min="9" max="10" width="8.83203125" style="165" customWidth="1"/>
    <col min="11" max="11" width="29.1640625" style="165" customWidth="1"/>
    <col min="12" max="17" width="8.83203125" style="165" customWidth="1"/>
    <col min="18" max="21" width="8.83203125" style="53" customWidth="1"/>
    <col min="22" max="22" width="10.33203125" style="53" hidden="1" customWidth="1"/>
    <col min="23" max="23" width="8.83203125" style="53"/>
    <col min="24" max="24" width="18.1640625" style="261" customWidth="1"/>
    <col min="25" max="25" width="18.33203125" style="221" customWidth="1"/>
    <col min="26" max="26" width="14.1640625" style="109" customWidth="1"/>
    <col min="27" max="27" width="19.6640625" style="109" hidden="1" customWidth="1"/>
    <col min="28" max="28" width="8.83203125" style="109"/>
    <col min="29" max="16384" width="8.83203125" style="53"/>
  </cols>
  <sheetData>
    <row r="1" spans="1:28" s="156" customFormat="1" ht="33" thickBot="1" x14ac:dyDescent="0.25">
      <c r="A1" s="152" t="s">
        <v>0</v>
      </c>
      <c r="B1" s="152" t="s">
        <v>1</v>
      </c>
      <c r="C1" s="153" t="s">
        <v>2</v>
      </c>
      <c r="D1" s="153" t="s">
        <v>3</v>
      </c>
      <c r="E1" s="154" t="s">
        <v>4</v>
      </c>
      <c r="F1" s="152" t="s">
        <v>5</v>
      </c>
      <c r="G1" s="152" t="s">
        <v>6</v>
      </c>
      <c r="H1" s="155" t="s">
        <v>7</v>
      </c>
      <c r="I1" s="152" t="s">
        <v>8</v>
      </c>
      <c r="J1" s="152" t="s">
        <v>9</v>
      </c>
      <c r="K1" s="152" t="s">
        <v>10</v>
      </c>
      <c r="L1" s="152" t="s">
        <v>11</v>
      </c>
      <c r="M1" s="152" t="s">
        <v>12</v>
      </c>
      <c r="N1" s="152" t="s">
        <v>13</v>
      </c>
      <c r="O1" s="152" t="s">
        <v>14</v>
      </c>
      <c r="P1" s="152" t="s">
        <v>15</v>
      </c>
      <c r="Q1" s="152" t="s">
        <v>16</v>
      </c>
      <c r="V1" s="252" t="s">
        <v>17</v>
      </c>
      <c r="X1" s="253" t="s">
        <v>18</v>
      </c>
      <c r="Y1" s="254" t="s">
        <v>19</v>
      </c>
      <c r="Z1" s="255" t="s">
        <v>20</v>
      </c>
      <c r="AA1" s="42" t="s">
        <v>21</v>
      </c>
      <c r="AB1" s="157"/>
    </row>
    <row r="2" spans="1:28" x14ac:dyDescent="0.2">
      <c r="A2" s="108" t="s">
        <v>22</v>
      </c>
      <c r="B2" s="108" t="s">
        <v>22</v>
      </c>
      <c r="C2" s="51"/>
      <c r="D2" s="51"/>
      <c r="E2" s="121"/>
      <c r="F2" s="108"/>
      <c r="G2" s="108"/>
      <c r="H2" s="122"/>
      <c r="I2" s="158"/>
      <c r="J2" s="158"/>
      <c r="K2" s="158"/>
      <c r="L2" s="158"/>
      <c r="M2" s="158"/>
      <c r="N2" s="158"/>
      <c r="O2" s="158"/>
      <c r="P2" s="158"/>
      <c r="Q2" s="158"/>
      <c r="X2" s="256"/>
      <c r="Y2" s="266"/>
      <c r="Z2" s="219" t="str">
        <f>IF(X2&lt;&gt;"",X2*Y2,"")</f>
        <v/>
      </c>
      <c r="AA2" s="219" t="str">
        <f>IF(AND(X2&lt;&gt;"",V2="yes"),X2*Y2,"")</f>
        <v/>
      </c>
    </row>
    <row r="3" spans="1:28" x14ac:dyDescent="0.2">
      <c r="A3" s="108" t="s">
        <v>23</v>
      </c>
      <c r="B3" s="108" t="s">
        <v>23</v>
      </c>
      <c r="C3" s="51"/>
      <c r="D3" s="51"/>
      <c r="E3" s="121"/>
      <c r="F3" s="108"/>
      <c r="G3" s="108"/>
      <c r="H3" s="122"/>
      <c r="I3" s="158"/>
      <c r="J3" s="158"/>
      <c r="K3" s="158"/>
      <c r="L3" s="158"/>
      <c r="M3" s="158"/>
      <c r="N3" s="158"/>
      <c r="O3" s="158"/>
      <c r="P3" s="158"/>
      <c r="Q3" s="158"/>
      <c r="X3" s="256"/>
      <c r="Y3" s="266"/>
      <c r="Z3" s="219" t="str">
        <f t="shared" ref="Z3:Z69" si="0">IF(X3&lt;&gt;"",X3*Y3,"")</f>
        <v/>
      </c>
      <c r="AA3" s="219" t="str">
        <f>IF(AND(X3&lt;&gt;"",V3="yes"),X3*Y3,"")</f>
        <v/>
      </c>
    </row>
    <row r="4" spans="1:28" x14ac:dyDescent="0.2">
      <c r="A4" s="108" t="s">
        <v>24</v>
      </c>
      <c r="B4" s="108" t="s">
        <v>24</v>
      </c>
      <c r="C4" s="51"/>
      <c r="D4" s="51"/>
      <c r="E4" s="121"/>
      <c r="F4" s="108"/>
      <c r="G4" s="108"/>
      <c r="H4" s="122"/>
      <c r="I4" s="158"/>
      <c r="J4" s="158"/>
      <c r="K4" s="158"/>
      <c r="L4" s="158"/>
      <c r="M4" s="158"/>
      <c r="N4" s="158"/>
      <c r="O4" s="158"/>
      <c r="P4" s="158"/>
      <c r="Q4" s="158"/>
      <c r="X4" s="256"/>
      <c r="Y4" s="266"/>
      <c r="Z4" s="219" t="str">
        <f t="shared" si="0"/>
        <v/>
      </c>
      <c r="AA4" s="219" t="str">
        <f>IF(AND(X4&lt;&gt;"",V4="yes"),X4*Y4,"")</f>
        <v/>
      </c>
    </row>
    <row r="5" spans="1:28" x14ac:dyDescent="0.2">
      <c r="A5" s="108" t="s">
        <v>25</v>
      </c>
      <c r="B5" s="108" t="s">
        <v>25</v>
      </c>
      <c r="C5" s="51"/>
      <c r="D5" s="51"/>
      <c r="E5" s="121"/>
      <c r="F5" s="108"/>
      <c r="G5" s="108"/>
      <c r="H5" s="122"/>
      <c r="I5" s="158"/>
      <c r="J5" s="158"/>
      <c r="K5" s="158"/>
      <c r="L5" s="158"/>
      <c r="M5" s="158"/>
      <c r="N5" s="158"/>
      <c r="O5" s="158"/>
      <c r="P5" s="158"/>
      <c r="Q5" s="158"/>
      <c r="X5" s="256"/>
      <c r="Y5" s="266"/>
      <c r="Z5" s="219" t="str">
        <f t="shared" si="0"/>
        <v/>
      </c>
      <c r="AA5" s="219" t="str">
        <f>IF(AND(X5&lt;&gt;"",V5="yes"),X5*Y5,"")</f>
        <v/>
      </c>
    </row>
    <row r="6" spans="1:28" x14ac:dyDescent="0.2">
      <c r="A6" s="108" t="s">
        <v>26</v>
      </c>
      <c r="B6" s="108" t="s">
        <v>26</v>
      </c>
      <c r="C6" s="51"/>
      <c r="D6" s="51"/>
      <c r="E6" s="121"/>
      <c r="F6" s="108"/>
      <c r="G6" s="108"/>
      <c r="H6" s="122"/>
      <c r="I6" s="158"/>
      <c r="J6" s="158"/>
      <c r="K6" s="158"/>
      <c r="L6" s="158"/>
      <c r="M6" s="158"/>
      <c r="N6" s="158"/>
      <c r="O6" s="158"/>
      <c r="P6" s="158"/>
      <c r="Q6" s="158"/>
      <c r="X6" s="256"/>
      <c r="Y6" s="266"/>
      <c r="Z6" s="219"/>
      <c r="AA6" s="219"/>
    </row>
    <row r="7" spans="1:28" x14ac:dyDescent="0.2">
      <c r="A7" s="108" t="s">
        <v>27</v>
      </c>
      <c r="B7" s="108" t="s">
        <v>28</v>
      </c>
      <c r="C7" s="51"/>
      <c r="D7" s="51"/>
      <c r="E7" s="121"/>
      <c r="F7" s="108"/>
      <c r="G7" s="108"/>
      <c r="H7" s="122"/>
      <c r="I7" s="158"/>
      <c r="J7" s="158"/>
      <c r="K7" s="158"/>
      <c r="L7" s="158"/>
      <c r="M7" s="158"/>
      <c r="N7" s="53"/>
      <c r="O7" s="158"/>
      <c r="P7" s="158"/>
      <c r="Q7" s="158" t="s">
        <v>29</v>
      </c>
      <c r="X7" s="256"/>
      <c r="Y7" s="266"/>
      <c r="Z7" s="219"/>
      <c r="AA7" s="219"/>
    </row>
    <row r="8" spans="1:28" x14ac:dyDescent="0.2">
      <c r="A8" s="108" t="s">
        <v>30</v>
      </c>
      <c r="B8" s="108" t="s">
        <v>30</v>
      </c>
      <c r="C8" s="51"/>
      <c r="D8" s="51"/>
      <c r="E8" s="121"/>
      <c r="F8" s="108"/>
      <c r="G8" s="108"/>
      <c r="H8" s="122"/>
      <c r="I8" s="158"/>
      <c r="J8" s="158"/>
      <c r="K8" s="53"/>
      <c r="L8" s="158"/>
      <c r="M8" s="158"/>
      <c r="N8" s="158" t="s">
        <v>31</v>
      </c>
      <c r="O8" s="158"/>
      <c r="P8" s="158" t="s">
        <v>32</v>
      </c>
      <c r="Q8" s="158"/>
      <c r="X8" s="256"/>
      <c r="Y8" s="266"/>
      <c r="Z8" s="219"/>
      <c r="AA8" s="219"/>
    </row>
    <row r="9" spans="1:28" s="110" customFormat="1" ht="16" x14ac:dyDescent="0.2">
      <c r="A9" s="110" t="s">
        <v>33</v>
      </c>
      <c r="B9" s="110" t="s">
        <v>34</v>
      </c>
      <c r="C9" s="111" t="s">
        <v>35</v>
      </c>
      <c r="D9" s="111" t="s">
        <v>36</v>
      </c>
      <c r="E9" s="112"/>
      <c r="H9" s="116"/>
      <c r="I9" s="159"/>
      <c r="J9" s="159"/>
      <c r="L9" s="159"/>
      <c r="M9" s="159"/>
      <c r="N9" s="159"/>
      <c r="P9" s="159"/>
      <c r="W9" s="259"/>
      <c r="X9" s="273"/>
      <c r="Y9" s="222"/>
      <c r="Z9" s="222"/>
    </row>
    <row r="10" spans="1:28" ht="16" x14ac:dyDescent="0.2">
      <c r="A10" s="108" t="s">
        <v>37</v>
      </c>
      <c r="B10" s="108" t="s">
        <v>38</v>
      </c>
      <c r="C10" s="51" t="s">
        <v>39</v>
      </c>
      <c r="D10" s="51" t="s">
        <v>40</v>
      </c>
      <c r="E10" s="121"/>
      <c r="F10" s="108"/>
      <c r="G10" s="108"/>
      <c r="H10" s="122"/>
      <c r="I10" s="158" t="s">
        <v>41</v>
      </c>
      <c r="J10" s="158"/>
      <c r="K10" s="158"/>
      <c r="L10" s="158"/>
      <c r="M10" s="158"/>
      <c r="N10" s="158"/>
      <c r="O10" s="159" t="s">
        <v>42</v>
      </c>
      <c r="P10" s="158"/>
      <c r="Q10" s="158"/>
      <c r="V10" s="53" t="s">
        <v>43</v>
      </c>
      <c r="X10" s="256"/>
      <c r="Y10" s="266"/>
      <c r="Z10" s="219" t="str">
        <f t="shared" si="0"/>
        <v/>
      </c>
      <c r="AA10" s="219" t="str">
        <f>IF(AND(X10&lt;&gt;"",V10="yes"),X10*Y10,"")</f>
        <v/>
      </c>
    </row>
    <row r="11" spans="1:28" x14ac:dyDescent="0.2">
      <c r="A11" s="108" t="s">
        <v>27</v>
      </c>
      <c r="B11" s="108" t="s">
        <v>44</v>
      </c>
      <c r="C11" s="51"/>
      <c r="D11" s="51"/>
      <c r="E11" s="121"/>
      <c r="F11" s="108"/>
      <c r="G11" s="108"/>
      <c r="H11" s="122"/>
      <c r="I11" s="158"/>
      <c r="J11" s="158"/>
      <c r="K11" s="158"/>
      <c r="L11" s="158"/>
      <c r="M11" s="158"/>
      <c r="N11" s="158"/>
      <c r="O11" s="158"/>
      <c r="P11" s="158"/>
      <c r="Q11" s="158" t="s">
        <v>45</v>
      </c>
      <c r="V11" s="53" t="s">
        <v>43</v>
      </c>
      <c r="X11" s="256"/>
      <c r="Y11" s="266"/>
      <c r="Z11" s="219" t="str">
        <f t="shared" si="0"/>
        <v/>
      </c>
      <c r="AA11" s="219" t="str">
        <f>IF(AND(X11&lt;&gt;"",V11="yes"),X11*Y11,"")</f>
        <v/>
      </c>
    </row>
    <row r="12" spans="1:28" s="110" customFormat="1" ht="16" thickBot="1" x14ac:dyDescent="0.25">
      <c r="A12" s="117"/>
      <c r="B12" s="117"/>
      <c r="C12" s="118"/>
      <c r="D12" s="118"/>
      <c r="E12" s="119"/>
      <c r="F12" s="117"/>
      <c r="G12" s="117"/>
      <c r="H12" s="120"/>
      <c r="I12" s="161"/>
      <c r="J12" s="161"/>
      <c r="K12" s="161"/>
      <c r="L12" s="161"/>
      <c r="M12" s="161"/>
      <c r="N12" s="161"/>
      <c r="O12" s="161"/>
      <c r="P12" s="161"/>
      <c r="Q12" s="161"/>
      <c r="X12" s="256"/>
      <c r="Y12" s="266"/>
      <c r="Z12" s="219"/>
      <c r="AA12" s="219"/>
      <c r="AB12" s="109"/>
    </row>
    <row r="13" spans="1:28" ht="273" thickTop="1" x14ac:dyDescent="0.2">
      <c r="A13" s="108" t="s">
        <v>46</v>
      </c>
      <c r="B13" s="108" t="s">
        <v>47</v>
      </c>
      <c r="C13" s="234" t="s">
        <v>48</v>
      </c>
      <c r="D13" s="234" t="s">
        <v>49</v>
      </c>
      <c r="E13" s="121"/>
      <c r="F13" s="108" t="s">
        <v>50</v>
      </c>
      <c r="G13" s="108" t="s">
        <v>51</v>
      </c>
      <c r="H13" s="122"/>
      <c r="I13" s="158" t="s">
        <v>52</v>
      </c>
      <c r="J13" s="158"/>
      <c r="K13" s="158"/>
      <c r="L13" s="158"/>
      <c r="M13" s="158"/>
      <c r="N13" s="158"/>
      <c r="O13" s="158"/>
      <c r="P13" s="158"/>
      <c r="Q13" s="158"/>
      <c r="V13" s="53" t="s">
        <v>53</v>
      </c>
      <c r="X13" s="256">
        <v>50.822540283203125</v>
      </c>
      <c r="Y13" s="266"/>
      <c r="Z13" s="219">
        <f t="shared" si="0"/>
        <v>0</v>
      </c>
      <c r="AA13" s="219" t="str">
        <f>IF(AND(X13&lt;&gt;"",V13="yes"),X13*Y13,"")</f>
        <v/>
      </c>
    </row>
    <row r="14" spans="1:28" ht="16" x14ac:dyDescent="0.2">
      <c r="A14" s="108" t="s">
        <v>54</v>
      </c>
      <c r="B14" s="108" t="s">
        <v>55</v>
      </c>
      <c r="C14" s="51" t="s">
        <v>56</v>
      </c>
      <c r="D14" s="51" t="s">
        <v>57</v>
      </c>
      <c r="E14" s="121"/>
      <c r="F14" s="108"/>
      <c r="G14" s="108"/>
      <c r="H14" s="122"/>
      <c r="I14" s="158" t="s">
        <v>52</v>
      </c>
      <c r="J14" s="158"/>
      <c r="K14" s="158"/>
      <c r="L14" s="158"/>
      <c r="M14" s="158"/>
      <c r="N14" s="158"/>
      <c r="O14" s="158"/>
      <c r="P14" s="158"/>
      <c r="Q14" s="158"/>
      <c r="V14" s="53" t="s">
        <v>43</v>
      </c>
      <c r="X14" s="256">
        <v>3.5</v>
      </c>
      <c r="Y14" s="266">
        <f>1</f>
        <v>1</v>
      </c>
      <c r="Z14" s="219">
        <f t="shared" si="0"/>
        <v>3.5</v>
      </c>
      <c r="AA14" s="219">
        <f>IF(AND(X14&lt;&gt;"",V14="yes"),X14*Y14,"")</f>
        <v>3.5</v>
      </c>
    </row>
    <row r="15" spans="1:28" s="110" customFormat="1" ht="16" x14ac:dyDescent="0.2">
      <c r="A15" s="113" t="s">
        <v>58</v>
      </c>
      <c r="B15" s="113" t="s">
        <v>59</v>
      </c>
      <c r="C15" s="114" t="s">
        <v>60</v>
      </c>
      <c r="D15" s="51" t="s">
        <v>61</v>
      </c>
      <c r="E15" s="112"/>
      <c r="F15" s="113" t="s">
        <v>62</v>
      </c>
      <c r="G15" s="113" t="s">
        <v>63</v>
      </c>
      <c r="H15" s="116"/>
      <c r="I15" s="158" t="s">
        <v>52</v>
      </c>
      <c r="J15" s="168"/>
      <c r="K15" s="168"/>
      <c r="L15" s="168"/>
      <c r="M15" s="168"/>
      <c r="N15" s="158" t="s">
        <v>64</v>
      </c>
      <c r="O15" s="168"/>
      <c r="P15" s="168"/>
      <c r="Q15" s="250"/>
      <c r="W15" s="109"/>
      <c r="X15" s="256">
        <v>0</v>
      </c>
      <c r="Y15" s="266">
        <v>1</v>
      </c>
      <c r="Z15" s="219">
        <f t="shared" si="0"/>
        <v>0</v>
      </c>
      <c r="AA15" s="109"/>
    </row>
    <row r="16" spans="1:28" s="109" customFormat="1" ht="16" x14ac:dyDescent="0.2">
      <c r="A16" s="113" t="s">
        <v>46</v>
      </c>
      <c r="B16" s="113" t="s">
        <v>65</v>
      </c>
      <c r="C16" s="114" t="s">
        <v>66</v>
      </c>
      <c r="D16" s="114" t="s">
        <v>67</v>
      </c>
      <c r="E16" s="132"/>
      <c r="F16" s="113"/>
      <c r="G16" s="113"/>
      <c r="H16" s="134"/>
      <c r="I16" s="160" t="s">
        <v>52</v>
      </c>
      <c r="J16" s="160"/>
      <c r="K16" s="160"/>
      <c r="L16" s="160"/>
      <c r="M16" s="160"/>
      <c r="N16" s="160" t="s">
        <v>68</v>
      </c>
      <c r="O16" s="160"/>
      <c r="P16" s="160"/>
      <c r="Q16" s="160"/>
      <c r="V16" s="109" t="s">
        <v>53</v>
      </c>
      <c r="X16" s="256">
        <v>0</v>
      </c>
      <c r="Y16" s="266">
        <v>1</v>
      </c>
      <c r="Z16" s="219">
        <f t="shared" si="0"/>
        <v>0</v>
      </c>
      <c r="AA16" s="219" t="str">
        <f t="shared" ref="AA16:AA47" si="1">IF(AND(X16&lt;&gt;"",V16="yes"),X16*Y16,"")</f>
        <v/>
      </c>
    </row>
    <row r="17" spans="1:28" s="109" customFormat="1" ht="16" thickBot="1" x14ac:dyDescent="0.25">
      <c r="A17" s="123"/>
      <c r="B17" s="123"/>
      <c r="C17" s="124"/>
      <c r="D17" s="124"/>
      <c r="E17" s="125"/>
      <c r="F17" s="123"/>
      <c r="G17" s="123"/>
      <c r="H17" s="126"/>
      <c r="I17" s="162"/>
      <c r="J17" s="162"/>
      <c r="K17" s="162"/>
      <c r="L17" s="162"/>
      <c r="M17" s="162"/>
      <c r="N17" s="162"/>
      <c r="O17" s="162"/>
      <c r="P17" s="162"/>
      <c r="Q17" s="162"/>
      <c r="V17" s="109" t="s">
        <v>69</v>
      </c>
      <c r="X17" s="256" t="s">
        <v>69</v>
      </c>
      <c r="Y17" s="266"/>
      <c r="Z17" s="219" t="str">
        <f t="shared" si="0"/>
        <v/>
      </c>
      <c r="AA17" s="219" t="str">
        <f t="shared" si="1"/>
        <v/>
      </c>
    </row>
    <row r="18" spans="1:28" s="106" customFormat="1" ht="17" thickTop="1" x14ac:dyDescent="0.2">
      <c r="A18" s="103" t="s">
        <v>70</v>
      </c>
      <c r="B18" s="103" t="s">
        <v>71</v>
      </c>
      <c r="C18" s="127" t="s">
        <v>72</v>
      </c>
      <c r="D18" s="127" t="s">
        <v>73</v>
      </c>
      <c r="E18" s="104"/>
      <c r="F18" s="103"/>
      <c r="G18" s="103"/>
      <c r="H18" s="105"/>
      <c r="I18" s="163" t="s">
        <v>52</v>
      </c>
      <c r="J18" s="163"/>
      <c r="K18" s="163"/>
      <c r="L18" s="163"/>
      <c r="M18" s="163"/>
      <c r="N18" s="163" t="s">
        <v>64</v>
      </c>
      <c r="O18" s="163"/>
      <c r="P18" s="163"/>
      <c r="Q18" s="163"/>
      <c r="V18" s="106" t="s">
        <v>43</v>
      </c>
      <c r="X18" s="256"/>
      <c r="Y18" s="266"/>
      <c r="Z18" s="219" t="str">
        <f t="shared" si="0"/>
        <v/>
      </c>
      <c r="AA18" s="219" t="str">
        <f t="shared" si="1"/>
        <v/>
      </c>
      <c r="AB18" s="107"/>
    </row>
    <row r="19" spans="1:28" s="106" customFormat="1" x14ac:dyDescent="0.2">
      <c r="C19" s="128"/>
      <c r="D19" s="128"/>
      <c r="E19" s="104"/>
      <c r="H19" s="105"/>
      <c r="I19" s="164"/>
      <c r="J19" s="164"/>
      <c r="K19" s="164"/>
      <c r="L19" s="164"/>
      <c r="M19" s="164"/>
      <c r="N19" s="164"/>
      <c r="O19" s="164"/>
      <c r="P19" s="164"/>
      <c r="Q19" s="164"/>
      <c r="V19" s="106" t="s">
        <v>69</v>
      </c>
      <c r="X19" s="256" t="s">
        <v>69</v>
      </c>
      <c r="Y19" s="266">
        <f>1</f>
        <v>1</v>
      </c>
      <c r="Z19" s="219" t="str">
        <f t="shared" si="0"/>
        <v/>
      </c>
      <c r="AA19" s="219" t="str">
        <f t="shared" si="1"/>
        <v/>
      </c>
      <c r="AB19" s="107"/>
    </row>
    <row r="20" spans="1:28" s="110" customFormat="1" ht="16" x14ac:dyDescent="0.2">
      <c r="A20" s="113" t="s">
        <v>74</v>
      </c>
      <c r="B20" s="113" t="s">
        <v>75</v>
      </c>
      <c r="C20" s="114" t="s">
        <v>76</v>
      </c>
      <c r="D20" s="114" t="s">
        <v>77</v>
      </c>
      <c r="E20" s="112"/>
      <c r="F20" s="109" t="s">
        <v>78</v>
      </c>
      <c r="G20" s="109" t="s">
        <v>79</v>
      </c>
      <c r="H20" s="116"/>
      <c r="I20" s="160" t="s">
        <v>41</v>
      </c>
      <c r="J20" s="160"/>
      <c r="K20" s="160"/>
      <c r="L20" s="160"/>
      <c r="M20" s="160"/>
      <c r="N20" s="160"/>
      <c r="O20" s="160"/>
      <c r="P20" s="160"/>
      <c r="Q20" s="160"/>
      <c r="V20" s="109" t="s">
        <v>43</v>
      </c>
      <c r="X20" s="256">
        <v>10</v>
      </c>
      <c r="Y20" s="266">
        <f>1</f>
        <v>1</v>
      </c>
      <c r="Z20" s="219">
        <f t="shared" si="0"/>
        <v>10</v>
      </c>
      <c r="AA20" s="219">
        <f t="shared" si="1"/>
        <v>10</v>
      </c>
      <c r="AB20" s="109"/>
    </row>
    <row r="21" spans="1:28" s="110" customFormat="1" ht="16" x14ac:dyDescent="0.2">
      <c r="A21" s="113" t="s">
        <v>74</v>
      </c>
      <c r="B21" s="113" t="s">
        <v>80</v>
      </c>
      <c r="C21" s="114" t="s">
        <v>81</v>
      </c>
      <c r="D21" s="114" t="s">
        <v>82</v>
      </c>
      <c r="E21" s="112"/>
      <c r="F21" s="109" t="s">
        <v>83</v>
      </c>
      <c r="G21" s="109" t="s">
        <v>79</v>
      </c>
      <c r="H21" s="116"/>
      <c r="I21" s="160" t="s">
        <v>41</v>
      </c>
      <c r="J21" s="160"/>
      <c r="K21" s="160"/>
      <c r="L21" s="160"/>
      <c r="M21" s="160"/>
      <c r="N21" s="160"/>
      <c r="O21" s="160"/>
      <c r="P21" s="160"/>
      <c r="Q21" s="160"/>
      <c r="V21" s="109" t="s">
        <v>43</v>
      </c>
      <c r="X21" s="256">
        <v>10</v>
      </c>
      <c r="Y21" s="266">
        <f>1</f>
        <v>1</v>
      </c>
      <c r="Z21" s="219">
        <f t="shared" si="0"/>
        <v>10</v>
      </c>
      <c r="AA21" s="219">
        <f t="shared" si="1"/>
        <v>10</v>
      </c>
      <c r="AB21" s="109"/>
    </row>
    <row r="22" spans="1:28" s="110" customFormat="1" x14ac:dyDescent="0.2">
      <c r="C22" s="111"/>
      <c r="E22" s="112"/>
      <c r="H22" s="116"/>
      <c r="I22" s="159"/>
      <c r="J22" s="159"/>
      <c r="K22" s="159"/>
      <c r="L22" s="159"/>
      <c r="M22" s="159"/>
      <c r="N22" s="159"/>
      <c r="O22" s="159"/>
      <c r="P22" s="159"/>
      <c r="Q22" s="159"/>
      <c r="V22" s="110" t="s">
        <v>69</v>
      </c>
      <c r="X22" s="256" t="s">
        <v>69</v>
      </c>
      <c r="Y22" s="266">
        <f>1</f>
        <v>1</v>
      </c>
      <c r="Z22" s="219" t="str">
        <f t="shared" si="0"/>
        <v/>
      </c>
      <c r="AA22" s="219" t="str">
        <f t="shared" si="1"/>
        <v/>
      </c>
      <c r="AB22" s="109"/>
    </row>
    <row r="23" spans="1:28" ht="16" x14ac:dyDescent="0.2">
      <c r="A23" s="108" t="s">
        <v>84</v>
      </c>
      <c r="B23" s="108" t="s">
        <v>85</v>
      </c>
      <c r="C23" s="51" t="s">
        <v>86</v>
      </c>
      <c r="D23" s="114" t="s">
        <v>87</v>
      </c>
      <c r="E23" s="132"/>
      <c r="F23" s="108" t="s">
        <v>88</v>
      </c>
      <c r="G23" s="108" t="s">
        <v>89</v>
      </c>
      <c r="H23" s="122"/>
      <c r="I23" s="158" t="s">
        <v>41</v>
      </c>
      <c r="J23" s="158"/>
      <c r="K23" s="158" t="s">
        <v>90</v>
      </c>
      <c r="L23" s="158"/>
      <c r="M23" s="158"/>
      <c r="N23" s="158"/>
      <c r="O23" s="158"/>
      <c r="P23" s="158"/>
      <c r="Q23" s="158"/>
      <c r="V23" s="53" t="s">
        <v>43</v>
      </c>
      <c r="X23" s="256">
        <v>13.753072738647461</v>
      </c>
      <c r="Y23" s="266">
        <f>1</f>
        <v>1</v>
      </c>
      <c r="Z23" s="219">
        <f t="shared" si="0"/>
        <v>13.753072738647461</v>
      </c>
      <c r="AA23" s="219">
        <f t="shared" si="1"/>
        <v>13.753072738647461</v>
      </c>
    </row>
    <row r="24" spans="1:28" x14ac:dyDescent="0.2">
      <c r="E24" s="121"/>
      <c r="H24" s="122"/>
      <c r="V24" s="53" t="s">
        <v>69</v>
      </c>
      <c r="X24" s="256" t="s">
        <v>69</v>
      </c>
      <c r="Y24" s="266">
        <f>1</f>
        <v>1</v>
      </c>
      <c r="Z24" s="219" t="str">
        <f t="shared" si="0"/>
        <v/>
      </c>
      <c r="AA24" s="219" t="str">
        <f t="shared" si="1"/>
        <v/>
      </c>
    </row>
    <row r="25" spans="1:28" s="110" customFormat="1" ht="16" x14ac:dyDescent="0.2">
      <c r="A25" s="110" t="s">
        <v>91</v>
      </c>
      <c r="B25" s="110" t="s">
        <v>92</v>
      </c>
      <c r="C25" s="111" t="s">
        <v>93</v>
      </c>
      <c r="D25" s="111" t="s">
        <v>94</v>
      </c>
      <c r="E25" s="112"/>
      <c r="F25" s="110" t="s">
        <v>95</v>
      </c>
      <c r="G25" s="110" t="s">
        <v>96</v>
      </c>
      <c r="H25" s="116"/>
      <c r="I25" s="159" t="s">
        <v>41</v>
      </c>
      <c r="J25" s="159"/>
      <c r="K25" s="159"/>
      <c r="L25" s="159"/>
      <c r="M25" s="159"/>
      <c r="N25" s="159"/>
      <c r="O25" s="159"/>
      <c r="P25" s="159"/>
      <c r="Q25" s="159"/>
      <c r="V25" s="110" t="s">
        <v>53</v>
      </c>
      <c r="X25" s="256">
        <v>2.1173560619354248</v>
      </c>
      <c r="Y25" s="266">
        <f>1</f>
        <v>1</v>
      </c>
      <c r="Z25" s="219">
        <f t="shared" si="0"/>
        <v>2.1173560619354248</v>
      </c>
      <c r="AA25" s="219" t="str">
        <f t="shared" si="1"/>
        <v/>
      </c>
      <c r="AB25" s="109"/>
    </row>
    <row r="26" spans="1:28" s="110" customFormat="1" x14ac:dyDescent="0.2">
      <c r="C26" s="111"/>
      <c r="D26" s="111"/>
      <c r="E26" s="112"/>
      <c r="H26" s="116"/>
      <c r="I26" s="168"/>
      <c r="J26" s="168"/>
      <c r="K26" s="168"/>
      <c r="L26" s="167"/>
      <c r="M26" s="167"/>
      <c r="N26" s="168"/>
      <c r="O26" s="168"/>
      <c r="P26" s="159"/>
      <c r="Q26" s="159"/>
      <c r="V26" s="110" t="s">
        <v>69</v>
      </c>
      <c r="X26" s="256" t="s">
        <v>69</v>
      </c>
      <c r="Y26" s="266">
        <f>1</f>
        <v>1</v>
      </c>
      <c r="Z26" s="219" t="str">
        <f t="shared" si="0"/>
        <v/>
      </c>
      <c r="AA26" s="219" t="str">
        <f t="shared" si="1"/>
        <v/>
      </c>
      <c r="AB26" s="109"/>
    </row>
    <row r="27" spans="1:28" s="129" customFormat="1" ht="16" x14ac:dyDescent="0.2">
      <c r="A27" s="208" t="s">
        <v>74</v>
      </c>
      <c r="B27" s="208" t="s">
        <v>97</v>
      </c>
      <c r="C27" s="209" t="s">
        <v>98</v>
      </c>
      <c r="D27" s="209" t="s">
        <v>99</v>
      </c>
      <c r="E27" s="211"/>
      <c r="F27" s="210"/>
      <c r="G27" s="210"/>
      <c r="H27" s="212"/>
      <c r="I27" s="207" t="s">
        <v>41</v>
      </c>
      <c r="J27" s="207" t="s">
        <v>100</v>
      </c>
      <c r="K27" s="168" t="s">
        <v>101</v>
      </c>
      <c r="L27" s="207" t="s">
        <v>102</v>
      </c>
      <c r="M27" s="207" t="s">
        <v>102</v>
      </c>
      <c r="N27" s="207"/>
      <c r="O27" s="207"/>
      <c r="P27" s="207"/>
      <c r="Q27" s="167"/>
      <c r="V27" s="210" t="s">
        <v>103</v>
      </c>
      <c r="X27" s="256">
        <v>10</v>
      </c>
      <c r="Y27" s="266">
        <f>1</f>
        <v>1</v>
      </c>
      <c r="Z27" s="219">
        <f t="shared" si="0"/>
        <v>10</v>
      </c>
      <c r="AA27" s="219" t="str">
        <f t="shared" si="1"/>
        <v/>
      </c>
    </row>
    <row r="28" spans="1:28" s="129" customFormat="1" ht="32" x14ac:dyDescent="0.2">
      <c r="A28" s="208" t="s">
        <v>104</v>
      </c>
      <c r="B28" s="208" t="s">
        <v>105</v>
      </c>
      <c r="C28" s="209" t="s">
        <v>106</v>
      </c>
      <c r="D28" s="209" t="s">
        <v>107</v>
      </c>
      <c r="E28" s="211"/>
      <c r="F28" s="210" t="s">
        <v>108</v>
      </c>
      <c r="G28" s="210" t="s">
        <v>109</v>
      </c>
      <c r="H28" s="212"/>
      <c r="I28" s="207" t="s">
        <v>41</v>
      </c>
      <c r="J28" s="207"/>
      <c r="K28" s="167"/>
      <c r="L28" s="207"/>
      <c r="M28" s="207"/>
      <c r="N28" s="207"/>
      <c r="O28" s="207"/>
      <c r="P28" s="207"/>
      <c r="Q28" s="167"/>
      <c r="V28" s="210" t="s">
        <v>103</v>
      </c>
      <c r="X28" s="256">
        <v>10</v>
      </c>
      <c r="Y28" s="266">
        <f>1</f>
        <v>1</v>
      </c>
      <c r="Z28" s="219">
        <f t="shared" si="0"/>
        <v>10</v>
      </c>
      <c r="AA28" s="219" t="str">
        <f t="shared" si="1"/>
        <v/>
      </c>
    </row>
    <row r="29" spans="1:28" s="129" customFormat="1" ht="16" x14ac:dyDescent="0.2">
      <c r="A29" s="208" t="s">
        <v>74</v>
      </c>
      <c r="B29" s="208" t="s">
        <v>110</v>
      </c>
      <c r="C29" s="209" t="s">
        <v>111</v>
      </c>
      <c r="D29" s="209" t="s">
        <v>112</v>
      </c>
      <c r="E29" s="211"/>
      <c r="F29" s="210"/>
      <c r="G29" s="210"/>
      <c r="H29" s="212"/>
      <c r="I29" s="207" t="s">
        <v>41</v>
      </c>
      <c r="J29" s="207" t="s">
        <v>100</v>
      </c>
      <c r="K29" s="168" t="s">
        <v>101</v>
      </c>
      <c r="L29" s="207" t="s">
        <v>102</v>
      </c>
      <c r="M29" s="207" t="s">
        <v>102</v>
      </c>
      <c r="N29" s="207" t="s">
        <v>113</v>
      </c>
      <c r="O29" s="207"/>
      <c r="P29" s="207"/>
      <c r="Q29" s="167"/>
      <c r="V29" s="210" t="s">
        <v>103</v>
      </c>
      <c r="X29" s="256">
        <v>10</v>
      </c>
      <c r="Y29" s="266">
        <f>1</f>
        <v>1</v>
      </c>
      <c r="Z29" s="219">
        <f t="shared" si="0"/>
        <v>10</v>
      </c>
      <c r="AA29" s="219" t="str">
        <f t="shared" si="1"/>
        <v/>
      </c>
    </row>
    <row r="30" spans="1:28" s="129" customFormat="1" ht="16" x14ac:dyDescent="0.2">
      <c r="A30" s="208" t="s">
        <v>74</v>
      </c>
      <c r="B30" s="208" t="s">
        <v>114</v>
      </c>
      <c r="C30" s="209" t="s">
        <v>115</v>
      </c>
      <c r="D30" s="209" t="s">
        <v>116</v>
      </c>
      <c r="E30" s="211"/>
      <c r="F30" s="210"/>
      <c r="G30" s="210"/>
      <c r="H30" s="212"/>
      <c r="I30" s="207" t="s">
        <v>41</v>
      </c>
      <c r="J30" s="207"/>
      <c r="K30" s="167"/>
      <c r="L30" s="207"/>
      <c r="M30" s="207"/>
      <c r="N30" s="207" t="s">
        <v>117</v>
      </c>
      <c r="O30" s="207"/>
      <c r="P30" s="207"/>
      <c r="Q30" s="167"/>
      <c r="V30" s="210" t="s">
        <v>103</v>
      </c>
      <c r="X30" s="256">
        <v>10</v>
      </c>
      <c r="Y30" s="266">
        <f>1</f>
        <v>1</v>
      </c>
      <c r="Z30" s="219">
        <f t="shared" si="0"/>
        <v>10</v>
      </c>
      <c r="AA30" s="219" t="str">
        <f t="shared" si="1"/>
        <v/>
      </c>
    </row>
    <row r="31" spans="1:28" s="129" customFormat="1" ht="32" x14ac:dyDescent="0.2">
      <c r="A31" s="208" t="s">
        <v>104</v>
      </c>
      <c r="B31" s="208" t="s">
        <v>118</v>
      </c>
      <c r="C31" s="209" t="s">
        <v>106</v>
      </c>
      <c r="D31" s="209" t="s">
        <v>107</v>
      </c>
      <c r="E31" s="211"/>
      <c r="F31" s="210" t="s">
        <v>108</v>
      </c>
      <c r="G31" s="210" t="s">
        <v>109</v>
      </c>
      <c r="H31" s="212"/>
      <c r="I31" s="207" t="s">
        <v>41</v>
      </c>
      <c r="J31" s="207"/>
      <c r="K31" s="167"/>
      <c r="L31" s="207"/>
      <c r="M31" s="207"/>
      <c r="N31" s="207" t="s">
        <v>119</v>
      </c>
      <c r="O31" s="207"/>
      <c r="P31" s="207"/>
      <c r="Q31" s="167"/>
      <c r="V31" s="210" t="s">
        <v>103</v>
      </c>
      <c r="X31" s="256">
        <v>10</v>
      </c>
      <c r="Y31" s="266">
        <f>1</f>
        <v>1</v>
      </c>
      <c r="Z31" s="219">
        <f t="shared" si="0"/>
        <v>10</v>
      </c>
      <c r="AA31" s="219" t="str">
        <f t="shared" si="1"/>
        <v/>
      </c>
    </row>
    <row r="32" spans="1:28" s="129" customFormat="1" ht="16" x14ac:dyDescent="0.2">
      <c r="A32" s="208" t="s">
        <v>74</v>
      </c>
      <c r="B32" s="208" t="s">
        <v>120</v>
      </c>
      <c r="C32" s="209" t="s">
        <v>111</v>
      </c>
      <c r="D32" s="209" t="s">
        <v>112</v>
      </c>
      <c r="E32" s="211"/>
      <c r="F32" s="210"/>
      <c r="G32" s="210"/>
      <c r="H32" s="212"/>
      <c r="I32" s="207" t="s">
        <v>41</v>
      </c>
      <c r="J32" s="207" t="s">
        <v>100</v>
      </c>
      <c r="K32" s="168" t="s">
        <v>101</v>
      </c>
      <c r="L32" s="207" t="s">
        <v>102</v>
      </c>
      <c r="M32" s="207" t="s">
        <v>102</v>
      </c>
      <c r="N32" s="207" t="s">
        <v>121</v>
      </c>
      <c r="O32" s="207"/>
      <c r="P32" s="207"/>
      <c r="Q32" s="167"/>
      <c r="V32" s="210" t="s">
        <v>103</v>
      </c>
      <c r="X32" s="256">
        <v>10</v>
      </c>
      <c r="Y32" s="266">
        <f>1</f>
        <v>1</v>
      </c>
      <c r="Z32" s="219">
        <f t="shared" si="0"/>
        <v>10</v>
      </c>
      <c r="AA32" s="219" t="str">
        <f t="shared" si="1"/>
        <v/>
      </c>
    </row>
    <row r="33" spans="1:28" s="129" customFormat="1" ht="16" x14ac:dyDescent="0.2">
      <c r="A33" s="208" t="s">
        <v>74</v>
      </c>
      <c r="B33" s="208" t="s">
        <v>122</v>
      </c>
      <c r="C33" s="209" t="s">
        <v>115</v>
      </c>
      <c r="D33" s="209" t="s">
        <v>116</v>
      </c>
      <c r="E33" s="211"/>
      <c r="F33" s="210"/>
      <c r="G33" s="210"/>
      <c r="H33" s="212"/>
      <c r="I33" s="207" t="s">
        <v>41</v>
      </c>
      <c r="J33" s="207"/>
      <c r="K33" s="167"/>
      <c r="L33" s="207"/>
      <c r="M33" s="207"/>
      <c r="N33" s="207" t="s">
        <v>123</v>
      </c>
      <c r="O33" s="207"/>
      <c r="P33" s="207"/>
      <c r="Q33" s="167"/>
      <c r="V33" s="210" t="s">
        <v>103</v>
      </c>
      <c r="X33" s="256">
        <v>10</v>
      </c>
      <c r="Y33" s="266">
        <f>1</f>
        <v>1</v>
      </c>
      <c r="Z33" s="219">
        <f t="shared" si="0"/>
        <v>10</v>
      </c>
      <c r="AA33" s="219" t="str">
        <f t="shared" si="1"/>
        <v/>
      </c>
    </row>
    <row r="34" spans="1:28" s="110" customFormat="1" x14ac:dyDescent="0.2">
      <c r="C34" s="111"/>
      <c r="D34" s="111"/>
      <c r="E34" s="112"/>
      <c r="H34" s="116"/>
      <c r="I34" s="159"/>
      <c r="J34" s="159"/>
      <c r="K34" s="159"/>
      <c r="L34" s="166"/>
      <c r="M34" s="166"/>
      <c r="N34" s="159"/>
      <c r="O34" s="159"/>
      <c r="P34" s="159"/>
      <c r="Q34" s="159"/>
      <c r="V34" s="110" t="s">
        <v>69</v>
      </c>
      <c r="X34" s="256" t="s">
        <v>69</v>
      </c>
      <c r="Y34" s="266">
        <f>1</f>
        <v>1</v>
      </c>
      <c r="Z34" s="219" t="str">
        <f t="shared" si="0"/>
        <v/>
      </c>
      <c r="AA34" s="219" t="str">
        <f t="shared" si="1"/>
        <v/>
      </c>
      <c r="AB34" s="109"/>
    </row>
    <row r="35" spans="1:28" ht="128" x14ac:dyDescent="0.2">
      <c r="A35" s="108" t="s">
        <v>124</v>
      </c>
      <c r="B35" s="108" t="s">
        <v>125</v>
      </c>
      <c r="C35" s="51" t="s">
        <v>126</v>
      </c>
      <c r="D35" s="52" t="s">
        <v>127</v>
      </c>
      <c r="E35" s="121"/>
      <c r="F35" s="51" t="s">
        <v>128</v>
      </c>
      <c r="G35" s="51" t="s">
        <v>129</v>
      </c>
      <c r="H35" s="122"/>
      <c r="I35" s="158" t="s">
        <v>41</v>
      </c>
      <c r="J35" s="158" t="s">
        <v>130</v>
      </c>
      <c r="K35" s="158"/>
      <c r="L35" s="167"/>
      <c r="M35" s="167"/>
      <c r="N35" s="158"/>
      <c r="O35" s="158"/>
      <c r="P35" s="158"/>
      <c r="Q35" s="158"/>
      <c r="V35" s="53" t="s">
        <v>43</v>
      </c>
      <c r="X35" s="256">
        <v>8.8000000000000007</v>
      </c>
      <c r="Y35" s="266">
        <f>1</f>
        <v>1</v>
      </c>
      <c r="Z35" s="219">
        <f t="shared" si="0"/>
        <v>8.8000000000000007</v>
      </c>
      <c r="AA35" s="219">
        <f t="shared" si="1"/>
        <v>8.8000000000000007</v>
      </c>
    </row>
    <row r="36" spans="1:28" x14ac:dyDescent="0.2">
      <c r="A36" s="108" t="s">
        <v>27</v>
      </c>
      <c r="B36" s="108" t="s">
        <v>131</v>
      </c>
      <c r="C36" s="51"/>
      <c r="D36" s="108"/>
      <c r="E36" s="121"/>
      <c r="F36" s="108"/>
      <c r="G36" s="108"/>
      <c r="H36" s="122"/>
      <c r="I36" s="158"/>
      <c r="J36" s="158"/>
      <c r="K36" s="158"/>
      <c r="L36" s="158"/>
      <c r="M36" s="158"/>
      <c r="N36" s="158"/>
      <c r="O36" s="158"/>
      <c r="P36" s="158"/>
      <c r="Q36" s="158" t="s">
        <v>132</v>
      </c>
      <c r="V36" s="53" t="s">
        <v>43</v>
      </c>
      <c r="X36" s="256"/>
      <c r="Y36" s="266">
        <f>1</f>
        <v>1</v>
      </c>
      <c r="Z36" s="219" t="str">
        <f t="shared" si="0"/>
        <v/>
      </c>
      <c r="AA36" s="219" t="str">
        <f t="shared" si="1"/>
        <v/>
      </c>
    </row>
    <row r="37" spans="1:28" ht="128" x14ac:dyDescent="0.2">
      <c r="A37" s="108" t="s">
        <v>133</v>
      </c>
      <c r="B37" s="108" t="s">
        <v>134</v>
      </c>
      <c r="C37" s="51" t="s">
        <v>135</v>
      </c>
      <c r="D37" s="235" t="s">
        <v>136</v>
      </c>
      <c r="E37" s="121"/>
      <c r="F37" s="51" t="s">
        <v>128</v>
      </c>
      <c r="G37" s="51" t="s">
        <v>129</v>
      </c>
      <c r="H37" s="122"/>
      <c r="I37" s="158" t="s">
        <v>41</v>
      </c>
      <c r="J37" s="158" t="s">
        <v>130</v>
      </c>
      <c r="K37" s="158"/>
      <c r="L37" s="158"/>
      <c r="M37" s="158"/>
      <c r="N37" s="158"/>
      <c r="O37" s="158" t="s">
        <v>137</v>
      </c>
      <c r="P37" s="158"/>
      <c r="Q37" s="158"/>
      <c r="V37" s="53" t="s">
        <v>43</v>
      </c>
      <c r="X37" s="256">
        <v>10.4</v>
      </c>
      <c r="Y37" s="266">
        <f>1</f>
        <v>1</v>
      </c>
      <c r="Z37" s="219">
        <f t="shared" si="0"/>
        <v>10.4</v>
      </c>
      <c r="AA37" s="219">
        <f t="shared" si="1"/>
        <v>10.4</v>
      </c>
    </row>
    <row r="38" spans="1:28" x14ac:dyDescent="0.2">
      <c r="A38" s="108" t="s">
        <v>27</v>
      </c>
      <c r="B38" s="108" t="s">
        <v>138</v>
      </c>
      <c r="C38" s="51"/>
      <c r="D38" s="51"/>
      <c r="E38" s="121"/>
      <c r="F38" s="108"/>
      <c r="G38" s="108"/>
      <c r="H38" s="122"/>
      <c r="I38" s="158"/>
      <c r="J38" s="158"/>
      <c r="K38" s="158"/>
      <c r="L38" s="158"/>
      <c r="M38" s="158"/>
      <c r="N38" s="158"/>
      <c r="O38" s="158"/>
      <c r="P38" s="158"/>
      <c r="Q38" s="158" t="s">
        <v>139</v>
      </c>
      <c r="V38" s="53" t="s">
        <v>43</v>
      </c>
      <c r="X38" s="256"/>
      <c r="Y38" s="266">
        <f>1</f>
        <v>1</v>
      </c>
      <c r="Z38" s="219" t="str">
        <f t="shared" si="0"/>
        <v/>
      </c>
      <c r="AA38" s="219" t="str">
        <f t="shared" si="1"/>
        <v/>
      </c>
    </row>
    <row r="39" spans="1:28" x14ac:dyDescent="0.2">
      <c r="E39" s="121"/>
      <c r="H39" s="122"/>
      <c r="V39" s="53" t="s">
        <v>69</v>
      </c>
      <c r="X39" s="256" t="s">
        <v>69</v>
      </c>
      <c r="Y39" s="266">
        <f>1</f>
        <v>1</v>
      </c>
      <c r="Z39" s="219" t="str">
        <f t="shared" si="0"/>
        <v/>
      </c>
      <c r="AA39" s="219" t="str">
        <f t="shared" si="1"/>
        <v/>
      </c>
    </row>
    <row r="40" spans="1:28" s="54" customFormat="1" ht="48" x14ac:dyDescent="0.2">
      <c r="A40" s="51" t="s">
        <v>140</v>
      </c>
      <c r="B40" s="51" t="s">
        <v>141</v>
      </c>
      <c r="C40" s="51" t="s">
        <v>142</v>
      </c>
      <c r="D40" s="52" t="s">
        <v>143</v>
      </c>
      <c r="E40" s="121"/>
      <c r="F40" s="108" t="s">
        <v>144</v>
      </c>
      <c r="G40" s="108" t="s">
        <v>145</v>
      </c>
      <c r="H40" s="121"/>
      <c r="I40" s="50" t="s">
        <v>41</v>
      </c>
      <c r="J40" s="50"/>
      <c r="K40" s="50"/>
      <c r="L40" s="50"/>
      <c r="M40" s="50"/>
      <c r="N40" s="50"/>
      <c r="O40" s="50"/>
      <c r="P40" s="50"/>
      <c r="Q40" s="50"/>
      <c r="V40" s="54" t="s">
        <v>43</v>
      </c>
      <c r="X40" s="257">
        <v>31.372377395629883</v>
      </c>
      <c r="Y40" s="266">
        <f>1</f>
        <v>1</v>
      </c>
      <c r="Z40" s="220">
        <f t="shared" si="0"/>
        <v>31.372377395629883</v>
      </c>
      <c r="AA40" s="220">
        <f t="shared" si="1"/>
        <v>31.372377395629883</v>
      </c>
      <c r="AB40" s="55"/>
    </row>
    <row r="41" spans="1:28" x14ac:dyDescent="0.2">
      <c r="E41" s="121"/>
      <c r="H41" s="122"/>
      <c r="V41" s="53" t="s">
        <v>69</v>
      </c>
      <c r="X41" s="256" t="s">
        <v>69</v>
      </c>
      <c r="Y41" s="266">
        <f>1</f>
        <v>1</v>
      </c>
      <c r="Z41" s="219" t="str">
        <f t="shared" si="0"/>
        <v/>
      </c>
      <c r="AA41" s="219" t="str">
        <f t="shared" si="1"/>
        <v/>
      </c>
    </row>
    <row r="42" spans="1:28" s="109" customFormat="1" ht="16" thickBot="1" x14ac:dyDescent="0.25">
      <c r="A42" s="130" t="s">
        <v>146</v>
      </c>
      <c r="B42" s="130"/>
      <c r="C42" s="131"/>
      <c r="D42" s="131"/>
      <c r="E42" s="125"/>
      <c r="F42" s="130"/>
      <c r="G42" s="130"/>
      <c r="H42" s="126"/>
      <c r="I42" s="169"/>
      <c r="J42" s="169"/>
      <c r="K42" s="169"/>
      <c r="L42" s="169"/>
      <c r="M42" s="169"/>
      <c r="N42" s="169"/>
      <c r="O42" s="169"/>
      <c r="P42" s="169"/>
      <c r="Q42" s="169"/>
      <c r="V42" s="109" t="s">
        <v>69</v>
      </c>
      <c r="X42" s="256" t="s">
        <v>69</v>
      </c>
      <c r="Y42" s="266"/>
      <c r="Z42" s="219" t="str">
        <f t="shared" si="0"/>
        <v/>
      </c>
      <c r="AA42" s="219" t="str">
        <f t="shared" si="1"/>
        <v/>
      </c>
    </row>
    <row r="43" spans="1:28" s="106" customFormat="1" ht="17" thickTop="1" x14ac:dyDescent="0.2">
      <c r="A43" s="103" t="s">
        <v>70</v>
      </c>
      <c r="B43" s="103" t="s">
        <v>147</v>
      </c>
      <c r="C43" s="127" t="s">
        <v>148</v>
      </c>
      <c r="D43" s="127" t="s">
        <v>149</v>
      </c>
      <c r="E43" s="104"/>
      <c r="F43" s="103"/>
      <c r="G43" s="103"/>
      <c r="H43" s="105"/>
      <c r="I43" s="163" t="s">
        <v>52</v>
      </c>
      <c r="J43" s="163"/>
      <c r="K43" s="163"/>
      <c r="L43" s="163"/>
      <c r="M43" s="163"/>
      <c r="N43" s="163" t="s">
        <v>150</v>
      </c>
      <c r="O43" s="163"/>
      <c r="P43" s="163"/>
      <c r="Q43" s="163"/>
      <c r="V43" s="106" t="s">
        <v>43</v>
      </c>
      <c r="X43" s="256"/>
      <c r="Y43" s="266"/>
      <c r="Z43" s="219" t="str">
        <f t="shared" si="0"/>
        <v/>
      </c>
      <c r="AA43" s="219" t="str">
        <f t="shared" si="1"/>
        <v/>
      </c>
      <c r="AB43" s="107"/>
    </row>
    <row r="44" spans="1:28" x14ac:dyDescent="0.2">
      <c r="E44" s="121"/>
      <c r="H44" s="122"/>
      <c r="V44" s="53" t="s">
        <v>69</v>
      </c>
      <c r="X44" s="256" t="s">
        <v>69</v>
      </c>
      <c r="Y44" s="266">
        <f>1</f>
        <v>1</v>
      </c>
      <c r="Z44" s="219" t="str">
        <f t="shared" si="0"/>
        <v/>
      </c>
      <c r="AA44" s="219" t="str">
        <f t="shared" si="1"/>
        <v/>
      </c>
    </row>
    <row r="45" spans="1:28" ht="16" x14ac:dyDescent="0.2">
      <c r="A45" s="108" t="s">
        <v>91</v>
      </c>
      <c r="B45" s="108" t="s">
        <v>151</v>
      </c>
      <c r="C45" s="51" t="s">
        <v>152</v>
      </c>
      <c r="D45" s="52" t="s">
        <v>153</v>
      </c>
      <c r="E45" s="121"/>
      <c r="F45" s="108" t="s">
        <v>108</v>
      </c>
      <c r="G45" s="53" t="s">
        <v>109</v>
      </c>
      <c r="H45" s="122"/>
      <c r="I45" s="158" t="s">
        <v>41</v>
      </c>
      <c r="J45" s="158"/>
      <c r="K45" s="158"/>
      <c r="L45" s="158"/>
      <c r="M45" s="158"/>
      <c r="N45" s="158"/>
      <c r="O45" s="158"/>
      <c r="P45" s="158"/>
      <c r="Q45" s="158"/>
      <c r="V45" s="53" t="s">
        <v>43</v>
      </c>
      <c r="X45" s="256">
        <v>10.085731506347656</v>
      </c>
      <c r="Y45" s="266">
        <f>1</f>
        <v>1</v>
      </c>
      <c r="Z45" s="219">
        <f t="shared" si="0"/>
        <v>10.085731506347656</v>
      </c>
      <c r="AA45" s="219">
        <f t="shared" si="1"/>
        <v>10.085731506347656</v>
      </c>
    </row>
    <row r="46" spans="1:28" x14ac:dyDescent="0.2">
      <c r="D46" s="142"/>
      <c r="E46" s="121"/>
      <c r="H46" s="122"/>
      <c r="V46" s="53" t="s">
        <v>69</v>
      </c>
      <c r="X46" s="256" t="s">
        <v>69</v>
      </c>
      <c r="Y46" s="266">
        <f>1</f>
        <v>1</v>
      </c>
      <c r="Z46" s="219" t="str">
        <f t="shared" si="0"/>
        <v/>
      </c>
      <c r="AA46" s="219" t="str">
        <f t="shared" si="1"/>
        <v/>
      </c>
    </row>
    <row r="47" spans="1:28" ht="16" x14ac:dyDescent="0.2">
      <c r="A47" s="108" t="s">
        <v>154</v>
      </c>
      <c r="B47" s="108" t="s">
        <v>155</v>
      </c>
      <c r="C47" s="51" t="s">
        <v>156</v>
      </c>
      <c r="D47" s="52" t="s">
        <v>157</v>
      </c>
      <c r="E47" s="121"/>
      <c r="F47" s="108" t="s">
        <v>108</v>
      </c>
      <c r="G47" s="53" t="s">
        <v>109</v>
      </c>
      <c r="H47" s="122"/>
      <c r="I47" s="158" t="s">
        <v>41</v>
      </c>
      <c r="J47" s="158"/>
      <c r="K47" s="158"/>
      <c r="L47" s="158"/>
      <c r="M47" s="158"/>
      <c r="N47" s="158"/>
      <c r="O47" s="158"/>
      <c r="P47" s="158"/>
      <c r="Q47" s="158"/>
      <c r="V47" s="53" t="s">
        <v>43</v>
      </c>
      <c r="X47" s="256">
        <v>12.894034385681152</v>
      </c>
      <c r="Y47" s="266">
        <f>1</f>
        <v>1</v>
      </c>
      <c r="Z47" s="219">
        <f t="shared" si="0"/>
        <v>12.894034385681152</v>
      </c>
      <c r="AA47" s="219">
        <f t="shared" si="1"/>
        <v>12.894034385681152</v>
      </c>
    </row>
    <row r="48" spans="1:28" x14ac:dyDescent="0.2">
      <c r="E48" s="121"/>
      <c r="H48" s="122"/>
      <c r="V48" s="53" t="s">
        <v>69</v>
      </c>
      <c r="X48" s="256" t="s">
        <v>69</v>
      </c>
      <c r="Y48" s="266">
        <f>1</f>
        <v>1</v>
      </c>
      <c r="Z48" s="219" t="str">
        <f t="shared" si="0"/>
        <v/>
      </c>
      <c r="AA48" s="219" t="str">
        <f t="shared" ref="AA48:AA79" si="2">IF(AND(X48&lt;&gt;"",V48="yes"),X48*Y48,"")</f>
        <v/>
      </c>
    </row>
    <row r="49" spans="1:28" s="109" customFormat="1" ht="16" x14ac:dyDescent="0.2">
      <c r="A49" s="109" t="s">
        <v>158</v>
      </c>
      <c r="B49" s="109" t="s">
        <v>159</v>
      </c>
      <c r="C49" s="55" t="s">
        <v>160</v>
      </c>
      <c r="D49" s="55" t="s">
        <v>161</v>
      </c>
      <c r="E49" s="132"/>
      <c r="F49" s="133" t="s">
        <v>108</v>
      </c>
      <c r="G49" s="53" t="s">
        <v>109</v>
      </c>
      <c r="H49" s="134"/>
      <c r="I49" s="165" t="s">
        <v>41</v>
      </c>
      <c r="J49" s="170"/>
      <c r="K49" s="170"/>
      <c r="L49" s="170"/>
      <c r="M49" s="170"/>
      <c r="N49" s="170"/>
      <c r="O49" s="170"/>
      <c r="P49" s="170"/>
      <c r="Q49" s="170"/>
      <c r="V49" s="109" t="s">
        <v>43</v>
      </c>
      <c r="X49" s="256">
        <v>15.265829086303711</v>
      </c>
      <c r="Y49" s="266">
        <f>1</f>
        <v>1</v>
      </c>
      <c r="Z49" s="219">
        <f t="shared" si="0"/>
        <v>15.265829086303711</v>
      </c>
      <c r="AA49" s="219">
        <f t="shared" si="2"/>
        <v>15.265829086303711</v>
      </c>
    </row>
    <row r="50" spans="1:28" s="109" customFormat="1" ht="32" x14ac:dyDescent="0.2">
      <c r="A50" s="109" t="s">
        <v>162</v>
      </c>
      <c r="B50" s="109" t="s">
        <v>163</v>
      </c>
      <c r="C50" s="55" t="s">
        <v>164</v>
      </c>
      <c r="D50" s="55" t="s">
        <v>165</v>
      </c>
      <c r="E50" s="132"/>
      <c r="F50" s="133" t="s">
        <v>108</v>
      </c>
      <c r="G50" s="53" t="s">
        <v>109</v>
      </c>
      <c r="H50" s="134"/>
      <c r="I50" s="165" t="s">
        <v>41</v>
      </c>
      <c r="J50" s="170"/>
      <c r="K50" s="170"/>
      <c r="L50" s="170"/>
      <c r="M50" s="170"/>
      <c r="N50" s="170"/>
      <c r="O50" s="170"/>
      <c r="P50" s="170"/>
      <c r="Q50" s="170"/>
      <c r="V50" s="109" t="s">
        <v>43</v>
      </c>
      <c r="X50" s="256">
        <v>15.12371826171875</v>
      </c>
      <c r="Y50" s="266">
        <f>1</f>
        <v>1</v>
      </c>
      <c r="Z50" s="219">
        <f t="shared" si="0"/>
        <v>15.12371826171875</v>
      </c>
      <c r="AA50" s="219">
        <f t="shared" si="2"/>
        <v>15.12371826171875</v>
      </c>
    </row>
    <row r="51" spans="1:28" s="109" customFormat="1" ht="16" x14ac:dyDescent="0.2">
      <c r="A51" s="109" t="s">
        <v>166</v>
      </c>
      <c r="B51" s="109" t="s">
        <v>167</v>
      </c>
      <c r="C51" s="55" t="s">
        <v>168</v>
      </c>
      <c r="D51" s="55" t="s">
        <v>169</v>
      </c>
      <c r="E51" s="132"/>
      <c r="F51" s="133" t="s">
        <v>108</v>
      </c>
      <c r="G51" s="53" t="s">
        <v>109</v>
      </c>
      <c r="H51" s="134"/>
      <c r="I51" s="165" t="s">
        <v>41</v>
      </c>
      <c r="J51" s="170"/>
      <c r="K51" s="170"/>
      <c r="L51" s="170"/>
      <c r="M51" s="170"/>
      <c r="N51" s="170"/>
      <c r="O51" s="170"/>
      <c r="P51" s="170"/>
      <c r="Q51" s="170"/>
      <c r="V51" s="109" t="s">
        <v>43</v>
      </c>
      <c r="X51" s="256">
        <v>13.760138511657715</v>
      </c>
      <c r="Y51" s="266">
        <f>1</f>
        <v>1</v>
      </c>
      <c r="Z51" s="219">
        <f t="shared" si="0"/>
        <v>13.760138511657715</v>
      </c>
      <c r="AA51" s="219">
        <f t="shared" si="2"/>
        <v>13.760138511657715</v>
      </c>
    </row>
    <row r="52" spans="1:28" s="109" customFormat="1" x14ac:dyDescent="0.2">
      <c r="C52" s="55"/>
      <c r="D52" s="55"/>
      <c r="E52" s="132"/>
      <c r="F52" s="133"/>
      <c r="G52" s="133"/>
      <c r="H52" s="134"/>
      <c r="I52" s="170"/>
      <c r="J52" s="170"/>
      <c r="K52" s="170"/>
      <c r="L52" s="170"/>
      <c r="M52" s="170"/>
      <c r="N52" s="170"/>
      <c r="O52" s="170"/>
      <c r="P52" s="170"/>
      <c r="Q52" s="170"/>
      <c r="V52" s="109" t="s">
        <v>69</v>
      </c>
      <c r="X52" s="256" t="s">
        <v>69</v>
      </c>
      <c r="Y52" s="266">
        <f>1</f>
        <v>1</v>
      </c>
      <c r="Z52" s="219" t="str">
        <f t="shared" si="0"/>
        <v/>
      </c>
      <c r="AA52" s="219" t="str">
        <f t="shared" si="2"/>
        <v/>
      </c>
    </row>
    <row r="53" spans="1:28" s="110" customFormat="1" x14ac:dyDescent="0.2">
      <c r="A53" s="110" t="s">
        <v>170</v>
      </c>
      <c r="B53" s="110" t="s">
        <v>171</v>
      </c>
      <c r="C53" s="110" t="s">
        <v>172</v>
      </c>
      <c r="D53" s="110" t="s">
        <v>173</v>
      </c>
      <c r="E53" s="116"/>
      <c r="F53" s="110" t="s">
        <v>174</v>
      </c>
      <c r="G53" s="110" t="s">
        <v>175</v>
      </c>
      <c r="H53" s="116"/>
      <c r="I53" s="159" t="s">
        <v>41</v>
      </c>
      <c r="J53" s="159"/>
      <c r="K53" s="159"/>
      <c r="L53" s="159"/>
      <c r="M53" s="159"/>
      <c r="N53" s="159"/>
      <c r="O53" s="159"/>
      <c r="P53" s="159"/>
      <c r="Q53" s="159"/>
      <c r="V53" s="110" t="s">
        <v>53</v>
      </c>
      <c r="X53" s="256">
        <v>30.646188735961914</v>
      </c>
      <c r="Y53" s="266">
        <f>1</f>
        <v>1</v>
      </c>
      <c r="Z53" s="219">
        <f t="shared" si="0"/>
        <v>30.646188735961914</v>
      </c>
      <c r="AA53" s="219" t="str">
        <f t="shared" si="2"/>
        <v/>
      </c>
      <c r="AB53" s="109"/>
    </row>
    <row r="54" spans="1:28" s="110" customFormat="1" ht="16" x14ac:dyDescent="0.2">
      <c r="A54" s="110" t="s">
        <v>84</v>
      </c>
      <c r="B54" s="110" t="s">
        <v>176</v>
      </c>
      <c r="C54" s="111" t="s">
        <v>177</v>
      </c>
      <c r="D54" s="111" t="s">
        <v>178</v>
      </c>
      <c r="E54" s="112"/>
      <c r="F54" s="110" t="s">
        <v>179</v>
      </c>
      <c r="H54" s="116"/>
      <c r="I54" s="159" t="s">
        <v>41</v>
      </c>
      <c r="J54" s="159"/>
      <c r="K54" s="159" t="s">
        <v>180</v>
      </c>
      <c r="L54" s="159"/>
      <c r="M54" s="159"/>
      <c r="N54" s="159"/>
      <c r="O54" s="159"/>
      <c r="P54" s="159"/>
      <c r="Q54" s="159"/>
      <c r="V54" s="110" t="s">
        <v>53</v>
      </c>
      <c r="X54" s="256">
        <v>15.211848258972168</v>
      </c>
      <c r="Y54" s="266">
        <f>1</f>
        <v>1</v>
      </c>
      <c r="Z54" s="219">
        <f t="shared" si="0"/>
        <v>15.211848258972168</v>
      </c>
      <c r="AA54" s="219" t="str">
        <f t="shared" si="2"/>
        <v/>
      </c>
      <c r="AB54" s="109"/>
    </row>
    <row r="55" spans="1:28" s="110" customFormat="1" ht="16" x14ac:dyDescent="0.2">
      <c r="A55" s="110" t="s">
        <v>181</v>
      </c>
      <c r="B55" s="110" t="s">
        <v>182</v>
      </c>
      <c r="C55" s="111" t="s">
        <v>183</v>
      </c>
      <c r="D55" s="111" t="s">
        <v>184</v>
      </c>
      <c r="E55" s="112"/>
      <c r="F55" s="110" t="s">
        <v>185</v>
      </c>
      <c r="G55" s="110" t="s">
        <v>186</v>
      </c>
      <c r="H55" s="116"/>
      <c r="I55" s="159" t="s">
        <v>41</v>
      </c>
      <c r="J55" s="159"/>
      <c r="K55" s="159" t="s">
        <v>187</v>
      </c>
      <c r="L55" s="159"/>
      <c r="M55" s="159"/>
      <c r="N55" s="159"/>
      <c r="O55" s="159"/>
      <c r="P55" s="159"/>
      <c r="Q55" s="159"/>
      <c r="V55" s="110" t="s">
        <v>53</v>
      </c>
      <c r="X55" s="256">
        <v>17</v>
      </c>
      <c r="Y55" s="266">
        <f>1</f>
        <v>1</v>
      </c>
      <c r="Z55" s="219">
        <f t="shared" si="0"/>
        <v>17</v>
      </c>
      <c r="AA55" s="219" t="str">
        <f t="shared" si="2"/>
        <v/>
      </c>
      <c r="AB55" s="109"/>
    </row>
    <row r="56" spans="1:28" s="110" customFormat="1" ht="32" x14ac:dyDescent="0.2">
      <c r="A56" s="110" t="s">
        <v>188</v>
      </c>
      <c r="B56" s="110" t="s">
        <v>189</v>
      </c>
      <c r="C56" s="111" t="s">
        <v>190</v>
      </c>
      <c r="D56" s="111" t="s">
        <v>191</v>
      </c>
      <c r="E56" s="112"/>
      <c r="F56" s="110" t="s">
        <v>185</v>
      </c>
      <c r="G56" s="110" t="s">
        <v>186</v>
      </c>
      <c r="H56" s="116"/>
      <c r="I56" s="159" t="s">
        <v>41</v>
      </c>
      <c r="J56" s="159"/>
      <c r="K56" s="159" t="s">
        <v>187</v>
      </c>
      <c r="L56" s="159"/>
      <c r="M56" s="159"/>
      <c r="N56" s="159"/>
      <c r="O56" s="159"/>
      <c r="P56" s="159"/>
      <c r="Q56" s="159"/>
      <c r="V56" s="110" t="s">
        <v>53</v>
      </c>
      <c r="X56" s="256">
        <v>17</v>
      </c>
      <c r="Y56" s="266">
        <f>1</f>
        <v>1</v>
      </c>
      <c r="Z56" s="219">
        <f t="shared" si="0"/>
        <v>17</v>
      </c>
      <c r="AA56" s="219" t="str">
        <f t="shared" si="2"/>
        <v/>
      </c>
      <c r="AB56" s="109"/>
    </row>
    <row r="57" spans="1:28" s="110" customFormat="1" ht="16" x14ac:dyDescent="0.2">
      <c r="A57" s="110" t="s">
        <v>192</v>
      </c>
      <c r="B57" s="110" t="s">
        <v>193</v>
      </c>
      <c r="C57" s="111" t="s">
        <v>194</v>
      </c>
      <c r="D57" s="111" t="s">
        <v>195</v>
      </c>
      <c r="E57" s="112"/>
      <c r="F57" s="110" t="s">
        <v>108</v>
      </c>
      <c r="G57" s="110" t="s">
        <v>109</v>
      </c>
      <c r="H57" s="116"/>
      <c r="I57" s="159" t="s">
        <v>41</v>
      </c>
      <c r="J57" s="159"/>
      <c r="K57" s="159"/>
      <c r="L57" s="159"/>
      <c r="M57" s="159"/>
      <c r="N57" s="159"/>
      <c r="O57" s="159"/>
      <c r="P57" s="159"/>
      <c r="Q57" s="159"/>
      <c r="V57" s="110" t="s">
        <v>53</v>
      </c>
      <c r="X57" s="256">
        <v>17</v>
      </c>
      <c r="Y57" s="266">
        <f>1</f>
        <v>1</v>
      </c>
      <c r="Z57" s="219">
        <f t="shared" si="0"/>
        <v>17</v>
      </c>
      <c r="AA57" s="219" t="str">
        <f t="shared" si="2"/>
        <v/>
      </c>
      <c r="AB57" s="109"/>
    </row>
    <row r="58" spans="1:28" s="110" customFormat="1" ht="16" x14ac:dyDescent="0.2">
      <c r="A58" s="110" t="s">
        <v>196</v>
      </c>
      <c r="B58" s="110" t="s">
        <v>197</v>
      </c>
      <c r="C58" s="111" t="s">
        <v>198</v>
      </c>
      <c r="D58" s="111" t="s">
        <v>199</v>
      </c>
      <c r="E58" s="112"/>
      <c r="F58" s="110" t="s">
        <v>108</v>
      </c>
      <c r="G58" s="110" t="s">
        <v>109</v>
      </c>
      <c r="H58" s="116"/>
      <c r="I58" s="159" t="s">
        <v>41</v>
      </c>
      <c r="J58" s="159"/>
      <c r="K58" s="159"/>
      <c r="L58" s="159"/>
      <c r="M58" s="159"/>
      <c r="N58" s="159"/>
      <c r="O58" s="159"/>
      <c r="P58" s="159"/>
      <c r="Q58" s="159"/>
      <c r="V58" s="110" t="s">
        <v>53</v>
      </c>
      <c r="X58" s="256">
        <v>8.2288064956665039</v>
      </c>
      <c r="Y58" s="266">
        <f>1</f>
        <v>1</v>
      </c>
      <c r="Z58" s="219">
        <f t="shared" si="0"/>
        <v>8.2288064956665039</v>
      </c>
      <c r="AA58" s="219" t="str">
        <f t="shared" si="2"/>
        <v/>
      </c>
      <c r="AB58" s="109"/>
    </row>
    <row r="59" spans="1:28" s="110" customFormat="1" x14ac:dyDescent="0.2">
      <c r="C59" s="111"/>
      <c r="D59" s="111"/>
      <c r="E59" s="112"/>
      <c r="H59" s="116"/>
      <c r="I59" s="159"/>
      <c r="J59" s="159"/>
      <c r="K59" s="159"/>
      <c r="L59" s="159"/>
      <c r="M59" s="159"/>
      <c r="N59" s="159"/>
      <c r="O59" s="159"/>
      <c r="P59" s="159"/>
      <c r="Q59" s="159"/>
      <c r="V59" s="110" t="s">
        <v>69</v>
      </c>
      <c r="X59" s="256" t="s">
        <v>69</v>
      </c>
      <c r="Y59" s="266">
        <f>1</f>
        <v>1</v>
      </c>
      <c r="Z59" s="219" t="str">
        <f t="shared" si="0"/>
        <v/>
      </c>
      <c r="AA59" s="219" t="str">
        <f t="shared" si="2"/>
        <v/>
      </c>
      <c r="AB59" s="109"/>
    </row>
    <row r="60" spans="1:28" ht="16" thickBot="1" x14ac:dyDescent="0.25">
      <c r="A60" s="135" t="s">
        <v>146</v>
      </c>
      <c r="B60" s="135"/>
      <c r="C60" s="136"/>
      <c r="D60" s="136"/>
      <c r="E60" s="150"/>
      <c r="F60" s="135"/>
      <c r="G60" s="135"/>
      <c r="H60" s="151"/>
      <c r="I60" s="171"/>
      <c r="J60" s="171"/>
      <c r="K60" s="171"/>
      <c r="L60" s="171"/>
      <c r="M60" s="171"/>
      <c r="N60" s="171"/>
      <c r="O60" s="171"/>
      <c r="P60" s="171"/>
      <c r="Q60" s="171"/>
      <c r="V60" s="53" t="s">
        <v>69</v>
      </c>
      <c r="X60" s="256" t="s">
        <v>69</v>
      </c>
      <c r="Y60" s="147"/>
      <c r="Z60" s="219" t="str">
        <f t="shared" si="0"/>
        <v/>
      </c>
      <c r="AA60" s="219" t="str">
        <f t="shared" si="2"/>
        <v/>
      </c>
    </row>
    <row r="61" spans="1:28" s="106" customFormat="1" ht="17" thickTop="1" x14ac:dyDescent="0.2">
      <c r="A61" s="115" t="s">
        <v>70</v>
      </c>
      <c r="B61" s="115" t="s">
        <v>200</v>
      </c>
      <c r="C61" s="137" t="s">
        <v>201</v>
      </c>
      <c r="D61" s="137" t="s">
        <v>202</v>
      </c>
      <c r="E61" s="232"/>
      <c r="F61" s="115"/>
      <c r="G61" s="115"/>
      <c r="H61" s="233"/>
      <c r="I61" s="172" t="s">
        <v>52</v>
      </c>
      <c r="J61" s="172"/>
      <c r="K61" s="172"/>
      <c r="L61" s="172"/>
      <c r="M61" s="172"/>
      <c r="N61" s="172" t="s">
        <v>150</v>
      </c>
      <c r="O61" s="172"/>
      <c r="P61" s="172"/>
      <c r="Q61" s="172"/>
      <c r="V61" s="106" t="s">
        <v>43</v>
      </c>
      <c r="X61" s="256"/>
      <c r="Y61" s="268"/>
      <c r="Z61" s="219" t="str">
        <f t="shared" si="0"/>
        <v/>
      </c>
      <c r="AA61" s="219" t="str">
        <f t="shared" si="2"/>
        <v/>
      </c>
      <c r="AB61" s="107"/>
    </row>
    <row r="62" spans="1:28" x14ac:dyDescent="0.2">
      <c r="D62" s="53"/>
      <c r="E62" s="121"/>
      <c r="H62" s="122"/>
      <c r="V62" s="53" t="s">
        <v>69</v>
      </c>
      <c r="X62" s="256" t="s">
        <v>69</v>
      </c>
      <c r="Y62" s="266">
        <f>1</f>
        <v>1</v>
      </c>
      <c r="Z62" s="219" t="str">
        <f t="shared" si="0"/>
        <v/>
      </c>
      <c r="AA62" s="219" t="str">
        <f t="shared" si="2"/>
        <v/>
      </c>
    </row>
    <row r="63" spans="1:28" ht="32" x14ac:dyDescent="0.2">
      <c r="A63" s="113" t="s">
        <v>203</v>
      </c>
      <c r="B63" s="113" t="s">
        <v>204</v>
      </c>
      <c r="C63" s="114" t="s">
        <v>205</v>
      </c>
      <c r="D63" s="236" t="s">
        <v>206</v>
      </c>
      <c r="E63" s="132"/>
      <c r="F63" s="109" t="s">
        <v>207</v>
      </c>
      <c r="G63" s="53" t="s">
        <v>208</v>
      </c>
      <c r="H63" s="134"/>
      <c r="I63" s="160" t="s">
        <v>41</v>
      </c>
      <c r="J63" s="160" t="s">
        <v>130</v>
      </c>
      <c r="K63" s="160"/>
      <c r="L63" s="160"/>
      <c r="M63" s="160"/>
      <c r="N63" s="160"/>
      <c r="O63" s="160"/>
      <c r="P63" s="160"/>
      <c r="Q63" s="160"/>
      <c r="V63" s="53" t="s">
        <v>43</v>
      </c>
      <c r="X63" s="256">
        <v>36.928733825683594</v>
      </c>
      <c r="Y63" s="266">
        <f>1</f>
        <v>1</v>
      </c>
      <c r="Z63" s="219">
        <f t="shared" si="0"/>
        <v>36.928733825683594</v>
      </c>
      <c r="AA63" s="219">
        <f t="shared" si="2"/>
        <v>36.928733825683594</v>
      </c>
    </row>
    <row r="64" spans="1:28" x14ac:dyDescent="0.2">
      <c r="A64" s="113" t="s">
        <v>27</v>
      </c>
      <c r="B64" s="113" t="s">
        <v>209</v>
      </c>
      <c r="C64" s="114"/>
      <c r="D64" s="108"/>
      <c r="E64" s="132"/>
      <c r="F64" s="109"/>
      <c r="G64" s="109"/>
      <c r="H64" s="134"/>
      <c r="I64" s="160"/>
      <c r="J64" s="160"/>
      <c r="K64" s="160"/>
      <c r="L64" s="160"/>
      <c r="M64" s="160"/>
      <c r="N64" s="160"/>
      <c r="O64" s="160"/>
      <c r="P64" s="160"/>
      <c r="Q64" s="160" t="s">
        <v>210</v>
      </c>
      <c r="V64" s="53" t="s">
        <v>43</v>
      </c>
      <c r="X64" s="256"/>
      <c r="Y64" s="266">
        <f>1</f>
        <v>1</v>
      </c>
      <c r="Z64" s="219" t="str">
        <f t="shared" si="0"/>
        <v/>
      </c>
      <c r="AA64" s="219" t="str">
        <f t="shared" si="2"/>
        <v/>
      </c>
    </row>
    <row r="65" spans="1:28" ht="32" x14ac:dyDescent="0.2">
      <c r="A65" s="113" t="s">
        <v>211</v>
      </c>
      <c r="B65" s="113" t="s">
        <v>212</v>
      </c>
      <c r="C65" s="114" t="s">
        <v>213</v>
      </c>
      <c r="D65" s="141" t="s">
        <v>214</v>
      </c>
      <c r="E65" s="132"/>
      <c r="F65" s="109" t="s">
        <v>108</v>
      </c>
      <c r="G65" s="109" t="s">
        <v>109</v>
      </c>
      <c r="H65" s="134"/>
      <c r="I65" s="160" t="s">
        <v>41</v>
      </c>
      <c r="J65" s="160"/>
      <c r="K65" s="160"/>
      <c r="L65" s="160"/>
      <c r="M65" s="160"/>
      <c r="N65" s="160" t="s">
        <v>215</v>
      </c>
      <c r="O65" s="160"/>
      <c r="P65" s="160"/>
      <c r="Q65" s="160"/>
      <c r="V65" s="53" t="s">
        <v>43</v>
      </c>
      <c r="X65" s="256">
        <v>0</v>
      </c>
      <c r="Y65" s="266">
        <f>1</f>
        <v>1</v>
      </c>
      <c r="Z65" s="219">
        <f t="shared" si="0"/>
        <v>0</v>
      </c>
      <c r="AA65" s="219">
        <f t="shared" si="2"/>
        <v>0</v>
      </c>
    </row>
    <row r="66" spans="1:28" ht="32" x14ac:dyDescent="0.2">
      <c r="A66" s="113" t="s">
        <v>211</v>
      </c>
      <c r="B66" s="113" t="s">
        <v>216</v>
      </c>
      <c r="C66" s="114" t="s">
        <v>217</v>
      </c>
      <c r="D66" s="141" t="s">
        <v>218</v>
      </c>
      <c r="E66" s="132"/>
      <c r="F66" s="109" t="s">
        <v>108</v>
      </c>
      <c r="G66" s="109" t="s">
        <v>109</v>
      </c>
      <c r="H66" s="134"/>
      <c r="I66" s="160" t="s">
        <v>41</v>
      </c>
      <c r="J66" s="160"/>
      <c r="K66" s="160"/>
      <c r="L66" s="160"/>
      <c r="M66" s="160"/>
      <c r="N66" s="160" t="s">
        <v>219</v>
      </c>
      <c r="O66" s="160"/>
      <c r="P66" s="160"/>
      <c r="Q66" s="160"/>
      <c r="V66" s="53" t="s">
        <v>43</v>
      </c>
      <c r="X66" s="256">
        <v>0</v>
      </c>
      <c r="Y66" s="266">
        <f>1</f>
        <v>1</v>
      </c>
      <c r="Z66" s="219">
        <f t="shared" si="0"/>
        <v>0</v>
      </c>
      <c r="AA66" s="219">
        <f t="shared" si="2"/>
        <v>0</v>
      </c>
    </row>
    <row r="67" spans="1:28" ht="32" x14ac:dyDescent="0.2">
      <c r="A67" s="113" t="s">
        <v>211</v>
      </c>
      <c r="B67" s="113" t="s">
        <v>220</v>
      </c>
      <c r="C67" s="114" t="s">
        <v>221</v>
      </c>
      <c r="D67" s="141" t="s">
        <v>222</v>
      </c>
      <c r="E67" s="132"/>
      <c r="F67" s="109" t="s">
        <v>108</v>
      </c>
      <c r="G67" s="109" t="s">
        <v>109</v>
      </c>
      <c r="H67" s="134"/>
      <c r="I67" s="160" t="s">
        <v>41</v>
      </c>
      <c r="J67" s="160"/>
      <c r="K67" s="160"/>
      <c r="L67" s="160"/>
      <c r="M67" s="160"/>
      <c r="N67" s="160" t="s">
        <v>223</v>
      </c>
      <c r="O67" s="160"/>
      <c r="P67" s="160"/>
      <c r="Q67" s="160"/>
      <c r="V67" s="53" t="s">
        <v>43</v>
      </c>
      <c r="X67" s="256">
        <v>0</v>
      </c>
      <c r="Y67" s="266">
        <f>1</f>
        <v>1</v>
      </c>
      <c r="Z67" s="219">
        <f t="shared" si="0"/>
        <v>0</v>
      </c>
      <c r="AA67" s="219">
        <f t="shared" si="2"/>
        <v>0</v>
      </c>
    </row>
    <row r="68" spans="1:28" x14ac:dyDescent="0.2">
      <c r="D68" s="53"/>
      <c r="E68" s="121"/>
      <c r="H68" s="122"/>
      <c r="V68" s="53" t="s">
        <v>69</v>
      </c>
      <c r="X68" s="256" t="s">
        <v>69</v>
      </c>
      <c r="Y68" s="266">
        <f>1</f>
        <v>1</v>
      </c>
      <c r="Z68" s="219" t="str">
        <f t="shared" si="0"/>
        <v/>
      </c>
      <c r="AA68" s="219" t="str">
        <f t="shared" si="2"/>
        <v/>
      </c>
    </row>
    <row r="69" spans="1:28" s="110" customFormat="1" ht="16" x14ac:dyDescent="0.2">
      <c r="A69" s="110" t="s">
        <v>91</v>
      </c>
      <c r="B69" s="110" t="s">
        <v>224</v>
      </c>
      <c r="C69" s="111" t="s">
        <v>225</v>
      </c>
      <c r="D69" s="144" t="s">
        <v>226</v>
      </c>
      <c r="E69" s="112"/>
      <c r="F69" s="110" t="s">
        <v>108</v>
      </c>
      <c r="G69" s="110" t="s">
        <v>109</v>
      </c>
      <c r="H69" s="116"/>
      <c r="I69" s="159" t="s">
        <v>41</v>
      </c>
      <c r="J69" s="159"/>
      <c r="K69" s="159"/>
      <c r="L69" s="159"/>
      <c r="M69" s="159"/>
      <c r="N69" s="159" t="s">
        <v>227</v>
      </c>
      <c r="O69" s="159"/>
      <c r="P69" s="159"/>
      <c r="Q69" s="159"/>
      <c r="V69" s="110" t="s">
        <v>53</v>
      </c>
      <c r="X69" s="256">
        <v>17</v>
      </c>
      <c r="Y69" s="266">
        <f>1</f>
        <v>1</v>
      </c>
      <c r="Z69" s="219">
        <f t="shared" si="0"/>
        <v>17</v>
      </c>
      <c r="AA69" s="219" t="str">
        <f t="shared" si="2"/>
        <v/>
      </c>
      <c r="AB69" s="109"/>
    </row>
    <row r="70" spans="1:28" s="110" customFormat="1" ht="32" x14ac:dyDescent="0.2">
      <c r="A70" s="110" t="s">
        <v>228</v>
      </c>
      <c r="B70" s="110" t="s">
        <v>229</v>
      </c>
      <c r="C70" s="111" t="s">
        <v>230</v>
      </c>
      <c r="D70" s="138" t="s">
        <v>231</v>
      </c>
      <c r="E70" s="112"/>
      <c r="F70" s="110" t="s">
        <v>232</v>
      </c>
      <c r="G70" s="110" t="s">
        <v>233</v>
      </c>
      <c r="H70" s="116"/>
      <c r="I70" s="159" t="s">
        <v>41</v>
      </c>
      <c r="J70" s="159"/>
      <c r="K70" s="159" t="s">
        <v>234</v>
      </c>
      <c r="L70" s="159"/>
      <c r="M70" s="159"/>
      <c r="N70" s="159" t="s">
        <v>227</v>
      </c>
      <c r="O70" s="159"/>
      <c r="P70" s="159"/>
      <c r="Q70" s="159"/>
      <c r="V70" s="110" t="s">
        <v>53</v>
      </c>
      <c r="X70" s="256">
        <v>40.047317504882812</v>
      </c>
      <c r="Y70" s="266">
        <f>1</f>
        <v>1</v>
      </c>
      <c r="Z70" s="219">
        <f t="shared" ref="Z70:Z133" si="3">IF(X70&lt;&gt;"",X70*Y70,"")</f>
        <v>40.047317504882812</v>
      </c>
      <c r="AA70" s="219" t="str">
        <f t="shared" si="2"/>
        <v/>
      </c>
      <c r="AB70" s="109"/>
    </row>
    <row r="71" spans="1:28" s="110" customFormat="1" x14ac:dyDescent="0.2">
      <c r="A71" s="110" t="s">
        <v>235</v>
      </c>
      <c r="B71" s="110" t="s">
        <v>236</v>
      </c>
      <c r="C71" s="110" t="s">
        <v>237</v>
      </c>
      <c r="D71" s="139" t="s">
        <v>238</v>
      </c>
      <c r="E71" s="116"/>
      <c r="F71" s="110" t="s">
        <v>239</v>
      </c>
      <c r="G71" s="110" t="s">
        <v>240</v>
      </c>
      <c r="H71" s="116"/>
      <c r="I71" s="159" t="s">
        <v>52</v>
      </c>
      <c r="J71" s="159"/>
      <c r="K71" s="159"/>
      <c r="L71" s="159"/>
      <c r="M71" s="159"/>
      <c r="N71" s="159" t="s">
        <v>241</v>
      </c>
      <c r="O71" s="159"/>
      <c r="P71" s="159"/>
      <c r="Q71" s="159"/>
      <c r="V71" s="110" t="s">
        <v>53</v>
      </c>
      <c r="X71" s="256">
        <v>3.6870110034942627</v>
      </c>
      <c r="Y71" s="266">
        <f>1</f>
        <v>1</v>
      </c>
      <c r="Z71" s="219">
        <f t="shared" si="3"/>
        <v>3.6870110034942627</v>
      </c>
      <c r="AA71" s="219" t="str">
        <f t="shared" si="2"/>
        <v/>
      </c>
      <c r="AB71" s="109"/>
    </row>
    <row r="72" spans="1:28" s="110" customFormat="1" x14ac:dyDescent="0.2">
      <c r="C72" s="111"/>
      <c r="E72" s="112"/>
      <c r="H72" s="116"/>
      <c r="I72" s="159"/>
      <c r="J72" s="159"/>
      <c r="K72" s="159"/>
      <c r="L72" s="159"/>
      <c r="M72" s="159"/>
      <c r="N72" s="159"/>
      <c r="O72" s="159"/>
      <c r="P72" s="159"/>
      <c r="Q72" s="159"/>
      <c r="V72" s="110" t="s">
        <v>69</v>
      </c>
      <c r="X72" s="256" t="s">
        <v>69</v>
      </c>
      <c r="Y72" s="266">
        <f>1</f>
        <v>1</v>
      </c>
      <c r="Z72" s="219" t="str">
        <f t="shared" si="3"/>
        <v/>
      </c>
      <c r="AA72" s="219" t="str">
        <f t="shared" si="2"/>
        <v/>
      </c>
      <c r="AB72" s="109"/>
    </row>
    <row r="73" spans="1:28" ht="32" x14ac:dyDescent="0.2">
      <c r="A73" s="113" t="s">
        <v>242</v>
      </c>
      <c r="B73" s="113" t="s">
        <v>243</v>
      </c>
      <c r="C73" s="114" t="s">
        <v>244</v>
      </c>
      <c r="D73" s="141" t="s">
        <v>245</v>
      </c>
      <c r="E73" s="132"/>
      <c r="F73" s="113" t="s">
        <v>108</v>
      </c>
      <c r="G73" s="113" t="s">
        <v>109</v>
      </c>
      <c r="H73" s="134"/>
      <c r="I73" s="160" t="s">
        <v>41</v>
      </c>
      <c r="J73" s="160"/>
      <c r="K73" s="160"/>
      <c r="L73" s="160"/>
      <c r="M73" s="160"/>
      <c r="N73" s="160" t="s">
        <v>227</v>
      </c>
      <c r="O73" s="160"/>
      <c r="P73" s="160"/>
      <c r="Q73" s="160"/>
      <c r="V73" s="53" t="s">
        <v>43</v>
      </c>
      <c r="X73" s="256">
        <v>27.242166519165039</v>
      </c>
      <c r="Y73" s="266">
        <f>1</f>
        <v>1</v>
      </c>
      <c r="Z73" s="219">
        <f t="shared" si="3"/>
        <v>27.242166519165039</v>
      </c>
      <c r="AA73" s="219">
        <f t="shared" si="2"/>
        <v>27.242166519165039</v>
      </c>
    </row>
    <row r="74" spans="1:28" x14ac:dyDescent="0.2">
      <c r="D74" s="226"/>
      <c r="E74" s="121"/>
      <c r="H74" s="122"/>
      <c r="V74" s="53" t="s">
        <v>69</v>
      </c>
      <c r="X74" s="256" t="s">
        <v>69</v>
      </c>
      <c r="Y74" s="266">
        <f>1</f>
        <v>1</v>
      </c>
      <c r="Z74" s="219" t="str">
        <f t="shared" si="3"/>
        <v/>
      </c>
      <c r="AA74" s="219" t="str">
        <f t="shared" si="2"/>
        <v/>
      </c>
    </row>
    <row r="75" spans="1:28" ht="32" x14ac:dyDescent="0.2">
      <c r="A75" s="113" t="s">
        <v>246</v>
      </c>
      <c r="B75" s="113" t="s">
        <v>247</v>
      </c>
      <c r="C75" s="114" t="s">
        <v>248</v>
      </c>
      <c r="D75" s="52" t="s">
        <v>249</v>
      </c>
      <c r="E75" s="132"/>
      <c r="F75" s="109" t="s">
        <v>250</v>
      </c>
      <c r="G75" s="109" t="s">
        <v>251</v>
      </c>
      <c r="H75" s="134"/>
      <c r="I75" s="160" t="s">
        <v>41</v>
      </c>
      <c r="J75" s="160" t="s">
        <v>130</v>
      </c>
      <c r="K75" s="160"/>
      <c r="L75" s="160"/>
      <c r="M75" s="160"/>
      <c r="N75" s="160" t="s">
        <v>227</v>
      </c>
      <c r="O75" s="160" t="s">
        <v>252</v>
      </c>
      <c r="P75" s="160"/>
      <c r="Q75" s="160"/>
      <c r="V75" s="53" t="s">
        <v>43</v>
      </c>
      <c r="X75" s="256">
        <v>25.308004379272461</v>
      </c>
      <c r="Y75" s="266">
        <f>1</f>
        <v>1</v>
      </c>
      <c r="Z75" s="219">
        <f t="shared" si="3"/>
        <v>25.308004379272461</v>
      </c>
      <c r="AA75" s="219">
        <f t="shared" si="2"/>
        <v>25.308004379272461</v>
      </c>
    </row>
    <row r="76" spans="1:28" x14ac:dyDescent="0.2">
      <c r="A76" s="113" t="s">
        <v>27</v>
      </c>
      <c r="B76" s="113" t="s">
        <v>253</v>
      </c>
      <c r="C76" s="114"/>
      <c r="D76" s="108"/>
      <c r="E76" s="132"/>
      <c r="F76" s="109"/>
      <c r="H76" s="134"/>
      <c r="I76" s="160"/>
      <c r="J76" s="160"/>
      <c r="K76" s="160"/>
      <c r="L76" s="160"/>
      <c r="M76" s="160"/>
      <c r="N76" s="160"/>
      <c r="O76" s="160"/>
      <c r="P76" s="160"/>
      <c r="Q76" s="160" t="s">
        <v>254</v>
      </c>
      <c r="V76" s="53" t="s">
        <v>43</v>
      </c>
      <c r="X76" s="256"/>
      <c r="Y76" s="266">
        <f>1</f>
        <v>1</v>
      </c>
      <c r="Z76" s="219" t="str">
        <f t="shared" si="3"/>
        <v/>
      </c>
      <c r="AA76" s="219" t="str">
        <f t="shared" si="2"/>
        <v/>
      </c>
    </row>
    <row r="77" spans="1:28" ht="32" x14ac:dyDescent="0.2">
      <c r="A77" s="113" t="s">
        <v>211</v>
      </c>
      <c r="B77" s="113" t="s">
        <v>255</v>
      </c>
      <c r="C77" s="114" t="s">
        <v>213</v>
      </c>
      <c r="D77" s="141" t="s">
        <v>214</v>
      </c>
      <c r="E77" s="132"/>
      <c r="F77" s="109" t="s">
        <v>108</v>
      </c>
      <c r="G77" s="109" t="s">
        <v>109</v>
      </c>
      <c r="H77" s="134"/>
      <c r="I77" s="160" t="s">
        <v>41</v>
      </c>
      <c r="J77" s="160"/>
      <c r="K77" s="160"/>
      <c r="L77" s="160"/>
      <c r="M77" s="160"/>
      <c r="N77" s="160" t="s">
        <v>256</v>
      </c>
      <c r="O77" s="160"/>
      <c r="P77" s="160"/>
      <c r="Q77" s="160"/>
      <c r="V77" s="53" t="s">
        <v>43</v>
      </c>
      <c r="X77" s="256">
        <v>0</v>
      </c>
      <c r="Y77" s="266">
        <f>1</f>
        <v>1</v>
      </c>
      <c r="Z77" s="219">
        <f t="shared" si="3"/>
        <v>0</v>
      </c>
      <c r="AA77" s="219">
        <f t="shared" si="2"/>
        <v>0</v>
      </c>
    </row>
    <row r="78" spans="1:28" ht="32" x14ac:dyDescent="0.2">
      <c r="A78" s="113" t="s">
        <v>211</v>
      </c>
      <c r="B78" s="113" t="s">
        <v>257</v>
      </c>
      <c r="C78" s="114" t="s">
        <v>217</v>
      </c>
      <c r="D78" s="141" t="s">
        <v>218</v>
      </c>
      <c r="E78" s="132"/>
      <c r="F78" s="109" t="s">
        <v>108</v>
      </c>
      <c r="G78" s="109" t="s">
        <v>109</v>
      </c>
      <c r="H78" s="134"/>
      <c r="I78" s="160" t="s">
        <v>41</v>
      </c>
      <c r="J78" s="160"/>
      <c r="K78" s="160"/>
      <c r="L78" s="160"/>
      <c r="M78" s="160"/>
      <c r="N78" s="160" t="s">
        <v>258</v>
      </c>
      <c r="O78" s="160"/>
      <c r="P78" s="160"/>
      <c r="Q78" s="160"/>
      <c r="V78" s="53" t="s">
        <v>43</v>
      </c>
      <c r="X78" s="256">
        <v>0</v>
      </c>
      <c r="Y78" s="266">
        <f>1</f>
        <v>1</v>
      </c>
      <c r="Z78" s="219">
        <f t="shared" si="3"/>
        <v>0</v>
      </c>
      <c r="AA78" s="219">
        <f t="shared" si="2"/>
        <v>0</v>
      </c>
    </row>
    <row r="79" spans="1:28" ht="32" x14ac:dyDescent="0.2">
      <c r="A79" s="113" t="s">
        <v>211</v>
      </c>
      <c r="B79" s="113" t="s">
        <v>259</v>
      </c>
      <c r="C79" s="114" t="s">
        <v>221</v>
      </c>
      <c r="D79" s="141" t="s">
        <v>222</v>
      </c>
      <c r="E79" s="132"/>
      <c r="F79" s="109" t="s">
        <v>108</v>
      </c>
      <c r="G79" s="109" t="s">
        <v>109</v>
      </c>
      <c r="H79" s="134"/>
      <c r="I79" s="160" t="s">
        <v>41</v>
      </c>
      <c r="J79" s="160"/>
      <c r="K79" s="160"/>
      <c r="L79" s="160"/>
      <c r="M79" s="160"/>
      <c r="N79" s="160" t="s">
        <v>260</v>
      </c>
      <c r="O79" s="160"/>
      <c r="P79" s="160"/>
      <c r="Q79" s="160"/>
      <c r="V79" s="53" t="s">
        <v>43</v>
      </c>
      <c r="X79" s="256">
        <v>0</v>
      </c>
      <c r="Y79" s="266">
        <f>1</f>
        <v>1</v>
      </c>
      <c r="Z79" s="219">
        <f t="shared" si="3"/>
        <v>0</v>
      </c>
      <c r="AA79" s="219">
        <f t="shared" si="2"/>
        <v>0</v>
      </c>
    </row>
    <row r="80" spans="1:28" x14ac:dyDescent="0.2">
      <c r="D80" s="53"/>
      <c r="E80" s="121"/>
      <c r="H80" s="122"/>
      <c r="V80" s="53" t="s">
        <v>69</v>
      </c>
      <c r="X80" s="256" t="s">
        <v>69</v>
      </c>
      <c r="Y80" s="266">
        <f>1</f>
        <v>1</v>
      </c>
      <c r="Z80" s="219" t="str">
        <f t="shared" si="3"/>
        <v/>
      </c>
      <c r="AA80" s="219" t="str">
        <f t="shared" ref="AA80:AA111" si="4">IF(AND(X80&lt;&gt;"",V80="yes"),X80*Y80,"")</f>
        <v/>
      </c>
    </row>
    <row r="81" spans="1:28" s="110" customFormat="1" ht="16" x14ac:dyDescent="0.2">
      <c r="A81" s="110" t="s">
        <v>91</v>
      </c>
      <c r="B81" s="110" t="s">
        <v>261</v>
      </c>
      <c r="C81" s="111" t="s">
        <v>262</v>
      </c>
      <c r="D81" s="144" t="s">
        <v>263</v>
      </c>
      <c r="E81" s="112"/>
      <c r="F81" s="110" t="s">
        <v>108</v>
      </c>
      <c r="G81" s="110" t="s">
        <v>109</v>
      </c>
      <c r="H81" s="116"/>
      <c r="I81" s="159" t="s">
        <v>41</v>
      </c>
      <c r="J81" s="159"/>
      <c r="K81" s="159"/>
      <c r="L81" s="159"/>
      <c r="M81" s="159"/>
      <c r="N81" s="159" t="s">
        <v>264</v>
      </c>
      <c r="O81" s="159"/>
      <c r="P81" s="159"/>
      <c r="Q81" s="159"/>
      <c r="V81" s="110" t="s">
        <v>53</v>
      </c>
      <c r="X81" s="256">
        <v>17</v>
      </c>
      <c r="Y81" s="266">
        <f>1</f>
        <v>1</v>
      </c>
      <c r="Z81" s="219">
        <f t="shared" si="3"/>
        <v>17</v>
      </c>
      <c r="AA81" s="219" t="str">
        <f t="shared" si="4"/>
        <v/>
      </c>
      <c r="AB81" s="109"/>
    </row>
    <row r="82" spans="1:28" s="110" customFormat="1" ht="32" x14ac:dyDescent="0.2">
      <c r="A82" s="110" t="s">
        <v>228</v>
      </c>
      <c r="B82" s="110" t="s">
        <v>265</v>
      </c>
      <c r="C82" s="111" t="s">
        <v>266</v>
      </c>
      <c r="D82" s="138" t="s">
        <v>267</v>
      </c>
      <c r="E82" s="112"/>
      <c r="F82" s="110" t="s">
        <v>232</v>
      </c>
      <c r="G82" s="110" t="s">
        <v>233</v>
      </c>
      <c r="H82" s="116"/>
      <c r="I82" s="159" t="s">
        <v>41</v>
      </c>
      <c r="J82" s="159"/>
      <c r="K82" s="159" t="s">
        <v>234</v>
      </c>
      <c r="L82" s="159"/>
      <c r="M82" s="159"/>
      <c r="N82" s="159" t="s">
        <v>264</v>
      </c>
      <c r="O82" s="159"/>
      <c r="P82" s="159"/>
      <c r="Q82" s="159"/>
      <c r="V82" s="110" t="s">
        <v>53</v>
      </c>
      <c r="X82" s="256">
        <v>30.828470230102539</v>
      </c>
      <c r="Y82" s="266">
        <f>1</f>
        <v>1</v>
      </c>
      <c r="Z82" s="219">
        <f t="shared" si="3"/>
        <v>30.828470230102539</v>
      </c>
      <c r="AA82" s="219" t="str">
        <f t="shared" si="4"/>
        <v/>
      </c>
      <c r="AB82" s="109"/>
    </row>
    <row r="83" spans="1:28" s="110" customFormat="1" x14ac:dyDescent="0.2">
      <c r="A83" s="110" t="s">
        <v>235</v>
      </c>
      <c r="B83" s="110" t="s">
        <v>268</v>
      </c>
      <c r="C83" s="110" t="s">
        <v>237</v>
      </c>
      <c r="D83" s="139" t="s">
        <v>238</v>
      </c>
      <c r="E83" s="112"/>
      <c r="F83" s="110" t="s">
        <v>239</v>
      </c>
      <c r="G83" s="110" t="s">
        <v>240</v>
      </c>
      <c r="H83" s="116"/>
      <c r="I83" s="159" t="s">
        <v>52</v>
      </c>
      <c r="J83" s="159"/>
      <c r="K83" s="159"/>
      <c r="L83" s="159"/>
      <c r="M83" s="159"/>
      <c r="N83" s="159" t="s">
        <v>269</v>
      </c>
      <c r="O83" s="159"/>
      <c r="P83" s="159"/>
      <c r="Q83" s="159"/>
      <c r="V83" s="110" t="s">
        <v>53</v>
      </c>
      <c r="X83" s="256">
        <v>2.2941176891326904</v>
      </c>
      <c r="Y83" s="266">
        <f>1</f>
        <v>1</v>
      </c>
      <c r="Z83" s="219">
        <f t="shared" si="3"/>
        <v>2.2941176891326904</v>
      </c>
      <c r="AA83" s="219" t="str">
        <f t="shared" si="4"/>
        <v/>
      </c>
      <c r="AB83" s="109"/>
    </row>
    <row r="84" spans="1:28" s="110" customFormat="1" x14ac:dyDescent="0.2">
      <c r="C84" s="111"/>
      <c r="E84" s="112"/>
      <c r="H84" s="116"/>
      <c r="I84" s="159"/>
      <c r="J84" s="159"/>
      <c r="K84" s="159"/>
      <c r="L84" s="159"/>
      <c r="M84" s="159"/>
      <c r="N84" s="159"/>
      <c r="O84" s="159"/>
      <c r="P84" s="159"/>
      <c r="Q84" s="159"/>
      <c r="V84" s="110" t="s">
        <v>69</v>
      </c>
      <c r="X84" s="256" t="s">
        <v>69</v>
      </c>
      <c r="Y84" s="266">
        <f>1</f>
        <v>1</v>
      </c>
      <c r="Z84" s="219" t="str">
        <f t="shared" si="3"/>
        <v/>
      </c>
      <c r="AA84" s="219" t="str">
        <f t="shared" si="4"/>
        <v/>
      </c>
      <c r="AB84" s="109"/>
    </row>
    <row r="85" spans="1:28" ht="32" x14ac:dyDescent="0.2">
      <c r="A85" s="113" t="s">
        <v>242</v>
      </c>
      <c r="B85" s="113" t="s">
        <v>270</v>
      </c>
      <c r="C85" s="114" t="s">
        <v>271</v>
      </c>
      <c r="D85" s="141" t="s">
        <v>272</v>
      </c>
      <c r="E85" s="132"/>
      <c r="F85" s="113" t="s">
        <v>108</v>
      </c>
      <c r="G85" s="113" t="s">
        <v>109</v>
      </c>
      <c r="H85" s="134"/>
      <c r="I85" s="160" t="s">
        <v>41</v>
      </c>
      <c r="J85" s="160"/>
      <c r="K85" s="160"/>
      <c r="L85" s="160"/>
      <c r="M85" s="160"/>
      <c r="N85" s="160" t="s">
        <v>264</v>
      </c>
      <c r="O85" s="160"/>
      <c r="P85" s="160"/>
      <c r="Q85" s="160"/>
      <c r="V85" s="53" t="s">
        <v>43</v>
      </c>
      <c r="X85" s="256">
        <v>21.193256378173828</v>
      </c>
      <c r="Y85" s="266">
        <f>1</f>
        <v>1</v>
      </c>
      <c r="Z85" s="219">
        <f t="shared" si="3"/>
        <v>21.193256378173828</v>
      </c>
      <c r="AA85" s="219">
        <f t="shared" si="4"/>
        <v>21.193256378173828</v>
      </c>
    </row>
    <row r="86" spans="1:28" x14ac:dyDescent="0.2">
      <c r="D86" s="226"/>
      <c r="E86" s="121"/>
      <c r="H86" s="122"/>
      <c r="N86" s="170"/>
      <c r="V86" s="53" t="s">
        <v>69</v>
      </c>
      <c r="X86" s="256" t="s">
        <v>69</v>
      </c>
      <c r="Y86" s="266">
        <f>1</f>
        <v>1</v>
      </c>
      <c r="Z86" s="219" t="str">
        <f t="shared" si="3"/>
        <v/>
      </c>
      <c r="AA86" s="219" t="str">
        <f t="shared" si="4"/>
        <v/>
      </c>
    </row>
    <row r="87" spans="1:28" ht="32" x14ac:dyDescent="0.2">
      <c r="A87" s="113" t="s">
        <v>273</v>
      </c>
      <c r="B87" s="113" t="s">
        <v>274</v>
      </c>
      <c r="C87" s="114" t="s">
        <v>275</v>
      </c>
      <c r="D87" s="52" t="s">
        <v>276</v>
      </c>
      <c r="E87" s="132"/>
      <c r="F87" s="109" t="s">
        <v>250</v>
      </c>
      <c r="G87" s="109" t="s">
        <v>277</v>
      </c>
      <c r="H87" s="134"/>
      <c r="I87" s="160" t="s">
        <v>41</v>
      </c>
      <c r="J87" s="160" t="s">
        <v>130</v>
      </c>
      <c r="K87" s="160"/>
      <c r="L87" s="160"/>
      <c r="M87" s="160"/>
      <c r="N87" s="160" t="s">
        <v>264</v>
      </c>
      <c r="O87" s="160" t="s">
        <v>278</v>
      </c>
      <c r="P87" s="160"/>
      <c r="Q87" s="160"/>
      <c r="V87" s="53" t="s">
        <v>43</v>
      </c>
      <c r="X87" s="256">
        <v>20.229927062988281</v>
      </c>
      <c r="Y87" s="266">
        <f>1</f>
        <v>1</v>
      </c>
      <c r="Z87" s="219">
        <f t="shared" si="3"/>
        <v>20.229927062988281</v>
      </c>
      <c r="AA87" s="219">
        <f t="shared" si="4"/>
        <v>20.229927062988281</v>
      </c>
    </row>
    <row r="88" spans="1:28" x14ac:dyDescent="0.2">
      <c r="A88" s="113" t="s">
        <v>27</v>
      </c>
      <c r="B88" s="113" t="s">
        <v>279</v>
      </c>
      <c r="C88" s="114"/>
      <c r="D88" s="108"/>
      <c r="E88" s="132"/>
      <c r="F88" s="109"/>
      <c r="G88" s="109"/>
      <c r="H88" s="134"/>
      <c r="I88" s="160"/>
      <c r="J88" s="160"/>
      <c r="K88" s="160"/>
      <c r="L88" s="160"/>
      <c r="M88" s="160"/>
      <c r="N88" s="160"/>
      <c r="O88" s="160"/>
      <c r="P88" s="160"/>
      <c r="Q88" s="160" t="s">
        <v>280</v>
      </c>
      <c r="V88" s="53" t="s">
        <v>43</v>
      </c>
      <c r="X88" s="256"/>
      <c r="Y88" s="266">
        <f>1</f>
        <v>1</v>
      </c>
      <c r="Z88" s="219" t="str">
        <f t="shared" si="3"/>
        <v/>
      </c>
      <c r="AA88" s="219" t="str">
        <f t="shared" si="4"/>
        <v/>
      </c>
    </row>
    <row r="89" spans="1:28" ht="32" x14ac:dyDescent="0.2">
      <c r="A89" s="113" t="s">
        <v>211</v>
      </c>
      <c r="B89" s="113" t="s">
        <v>281</v>
      </c>
      <c r="C89" s="114" t="s">
        <v>213</v>
      </c>
      <c r="D89" s="141" t="s">
        <v>214</v>
      </c>
      <c r="E89" s="132"/>
      <c r="F89" s="109" t="s">
        <v>108</v>
      </c>
      <c r="G89" s="109" t="s">
        <v>109</v>
      </c>
      <c r="H89" s="134"/>
      <c r="I89" s="160" t="s">
        <v>41</v>
      </c>
      <c r="J89" s="160"/>
      <c r="K89" s="160"/>
      <c r="L89" s="160"/>
      <c r="M89" s="160"/>
      <c r="N89" s="160" t="s">
        <v>282</v>
      </c>
      <c r="O89" s="160"/>
      <c r="P89" s="160"/>
      <c r="Q89" s="160"/>
      <c r="V89" s="53" t="s">
        <v>43</v>
      </c>
      <c r="X89" s="256">
        <v>0</v>
      </c>
      <c r="Y89" s="266">
        <f>1</f>
        <v>1</v>
      </c>
      <c r="Z89" s="219">
        <f t="shared" si="3"/>
        <v>0</v>
      </c>
      <c r="AA89" s="219">
        <f t="shared" si="4"/>
        <v>0</v>
      </c>
    </row>
    <row r="90" spans="1:28" ht="32" x14ac:dyDescent="0.2">
      <c r="A90" s="113" t="s">
        <v>211</v>
      </c>
      <c r="B90" s="113" t="s">
        <v>283</v>
      </c>
      <c r="C90" s="114" t="s">
        <v>217</v>
      </c>
      <c r="D90" s="141" t="s">
        <v>218</v>
      </c>
      <c r="E90" s="132"/>
      <c r="F90" s="109" t="s">
        <v>108</v>
      </c>
      <c r="G90" s="109" t="s">
        <v>109</v>
      </c>
      <c r="H90" s="134"/>
      <c r="I90" s="160" t="s">
        <v>41</v>
      </c>
      <c r="J90" s="160"/>
      <c r="K90" s="160"/>
      <c r="L90" s="160"/>
      <c r="M90" s="160"/>
      <c r="N90" s="160" t="s">
        <v>284</v>
      </c>
      <c r="O90" s="160"/>
      <c r="P90" s="160"/>
      <c r="Q90" s="160"/>
      <c r="V90" s="53" t="s">
        <v>43</v>
      </c>
      <c r="X90" s="256">
        <v>0</v>
      </c>
      <c r="Y90" s="266">
        <f>1</f>
        <v>1</v>
      </c>
      <c r="Z90" s="219">
        <f t="shared" si="3"/>
        <v>0</v>
      </c>
      <c r="AA90" s="219">
        <f t="shared" si="4"/>
        <v>0</v>
      </c>
    </row>
    <row r="91" spans="1:28" ht="32" x14ac:dyDescent="0.2">
      <c r="A91" s="113" t="s">
        <v>211</v>
      </c>
      <c r="B91" s="113" t="s">
        <v>285</v>
      </c>
      <c r="C91" s="114" t="s">
        <v>221</v>
      </c>
      <c r="D91" s="141" t="s">
        <v>222</v>
      </c>
      <c r="E91" s="132"/>
      <c r="F91" s="109" t="s">
        <v>108</v>
      </c>
      <c r="G91" s="109" t="s">
        <v>109</v>
      </c>
      <c r="H91" s="134"/>
      <c r="I91" s="160" t="s">
        <v>41</v>
      </c>
      <c r="J91" s="160"/>
      <c r="K91" s="160"/>
      <c r="L91" s="160"/>
      <c r="M91" s="160"/>
      <c r="N91" s="160" t="s">
        <v>286</v>
      </c>
      <c r="O91" s="160"/>
      <c r="P91" s="160"/>
      <c r="Q91" s="160"/>
      <c r="V91" s="53" t="s">
        <v>43</v>
      </c>
      <c r="X91" s="256">
        <v>0</v>
      </c>
      <c r="Y91" s="266">
        <f>1</f>
        <v>1</v>
      </c>
      <c r="Z91" s="219">
        <f t="shared" si="3"/>
        <v>0</v>
      </c>
      <c r="AA91" s="219">
        <f t="shared" si="4"/>
        <v>0</v>
      </c>
    </row>
    <row r="92" spans="1:28" x14ac:dyDescent="0.2">
      <c r="D92" s="53"/>
      <c r="E92" s="121"/>
      <c r="H92" s="122"/>
      <c r="V92" s="53" t="s">
        <v>69</v>
      </c>
      <c r="X92" s="256" t="s">
        <v>69</v>
      </c>
      <c r="Y92" s="266">
        <f>1</f>
        <v>1</v>
      </c>
      <c r="Z92" s="219" t="str">
        <f t="shared" si="3"/>
        <v/>
      </c>
      <c r="AA92" s="219" t="str">
        <f t="shared" si="4"/>
        <v/>
      </c>
    </row>
    <row r="93" spans="1:28" s="110" customFormat="1" ht="16" x14ac:dyDescent="0.2">
      <c r="A93" s="110" t="s">
        <v>91</v>
      </c>
      <c r="B93" s="110" t="s">
        <v>287</v>
      </c>
      <c r="C93" s="111" t="s">
        <v>288</v>
      </c>
      <c r="D93" s="144" t="s">
        <v>289</v>
      </c>
      <c r="E93" s="112"/>
      <c r="F93" s="110" t="s">
        <v>108</v>
      </c>
      <c r="G93" s="110" t="s">
        <v>109</v>
      </c>
      <c r="H93" s="116"/>
      <c r="I93" s="159" t="s">
        <v>41</v>
      </c>
      <c r="J93" s="159"/>
      <c r="K93" s="159"/>
      <c r="L93" s="159"/>
      <c r="M93" s="159"/>
      <c r="N93" s="159" t="s">
        <v>290</v>
      </c>
      <c r="O93" s="159"/>
      <c r="P93" s="159"/>
      <c r="Q93" s="159"/>
      <c r="V93" s="110" t="s">
        <v>53</v>
      </c>
      <c r="X93" s="256">
        <v>17</v>
      </c>
      <c r="Y93" s="266">
        <f>1</f>
        <v>1</v>
      </c>
      <c r="Z93" s="219">
        <f t="shared" si="3"/>
        <v>17</v>
      </c>
      <c r="AA93" s="219" t="str">
        <f t="shared" si="4"/>
        <v/>
      </c>
      <c r="AB93" s="109"/>
    </row>
    <row r="94" spans="1:28" s="110" customFormat="1" ht="32" x14ac:dyDescent="0.2">
      <c r="A94" s="110" t="s">
        <v>228</v>
      </c>
      <c r="B94" s="110" t="s">
        <v>291</v>
      </c>
      <c r="C94" s="111" t="s">
        <v>292</v>
      </c>
      <c r="D94" s="138" t="s">
        <v>293</v>
      </c>
      <c r="E94" s="112"/>
      <c r="F94" s="110" t="s">
        <v>232</v>
      </c>
      <c r="G94" s="110" t="s">
        <v>233</v>
      </c>
      <c r="H94" s="116"/>
      <c r="I94" s="159" t="s">
        <v>41</v>
      </c>
      <c r="J94" s="159"/>
      <c r="K94" s="159" t="s">
        <v>234</v>
      </c>
      <c r="L94" s="159"/>
      <c r="M94" s="159"/>
      <c r="N94" s="159" t="s">
        <v>290</v>
      </c>
      <c r="O94" s="159"/>
      <c r="P94" s="159"/>
      <c r="Q94" s="159"/>
      <c r="V94" s="110" t="s">
        <v>53</v>
      </c>
      <c r="X94" s="256">
        <v>29.429832458496094</v>
      </c>
      <c r="Y94" s="266">
        <f>1</f>
        <v>1</v>
      </c>
      <c r="Z94" s="219">
        <f t="shared" si="3"/>
        <v>29.429832458496094</v>
      </c>
      <c r="AA94" s="219" t="str">
        <f t="shared" si="4"/>
        <v/>
      </c>
      <c r="AB94" s="109"/>
    </row>
    <row r="95" spans="1:28" s="110" customFormat="1" x14ac:dyDescent="0.2">
      <c r="A95" s="110" t="s">
        <v>235</v>
      </c>
      <c r="B95" s="110" t="s">
        <v>294</v>
      </c>
      <c r="C95" s="110" t="s">
        <v>237</v>
      </c>
      <c r="D95" s="139" t="s">
        <v>238</v>
      </c>
      <c r="E95" s="112"/>
      <c r="F95" s="110" t="s">
        <v>239</v>
      </c>
      <c r="G95" s="110" t="s">
        <v>240</v>
      </c>
      <c r="H95" s="140"/>
      <c r="I95" s="159" t="s">
        <v>52</v>
      </c>
      <c r="J95" s="159"/>
      <c r="K95" s="159"/>
      <c r="L95" s="159"/>
      <c r="M95" s="159"/>
      <c r="N95" s="173" t="s">
        <v>295</v>
      </c>
      <c r="O95" s="159"/>
      <c r="P95" s="159"/>
      <c r="Q95" s="159"/>
      <c r="V95" s="110" t="s">
        <v>53</v>
      </c>
      <c r="X95" s="256">
        <v>1.5555555820465088</v>
      </c>
      <c r="Y95" s="266">
        <f>1</f>
        <v>1</v>
      </c>
      <c r="Z95" s="219">
        <f t="shared" si="3"/>
        <v>1.5555555820465088</v>
      </c>
      <c r="AA95" s="219" t="str">
        <f t="shared" si="4"/>
        <v/>
      </c>
      <c r="AB95" s="109"/>
    </row>
    <row r="96" spans="1:28" s="110" customFormat="1" x14ac:dyDescent="0.2">
      <c r="C96" s="111"/>
      <c r="E96" s="112"/>
      <c r="H96" s="140"/>
      <c r="I96" s="159"/>
      <c r="J96" s="159"/>
      <c r="K96" s="159"/>
      <c r="L96" s="159"/>
      <c r="M96" s="159"/>
      <c r="N96" s="173"/>
      <c r="O96" s="159"/>
      <c r="P96" s="159"/>
      <c r="Q96" s="159"/>
      <c r="V96" s="110" t="s">
        <v>69</v>
      </c>
      <c r="X96" s="256" t="s">
        <v>69</v>
      </c>
      <c r="Y96" s="266">
        <f>1</f>
        <v>1</v>
      </c>
      <c r="Z96" s="219" t="str">
        <f t="shared" si="3"/>
        <v/>
      </c>
      <c r="AA96" s="219" t="str">
        <f t="shared" si="4"/>
        <v/>
      </c>
      <c r="AB96" s="109"/>
    </row>
    <row r="97" spans="1:28" ht="32" x14ac:dyDescent="0.2">
      <c r="A97" s="113" t="s">
        <v>242</v>
      </c>
      <c r="B97" s="113" t="s">
        <v>296</v>
      </c>
      <c r="C97" s="114" t="s">
        <v>297</v>
      </c>
      <c r="D97" s="141" t="s">
        <v>298</v>
      </c>
      <c r="E97" s="132"/>
      <c r="F97" s="113" t="s">
        <v>108</v>
      </c>
      <c r="G97" s="113" t="s">
        <v>109</v>
      </c>
      <c r="H97" s="134"/>
      <c r="I97" s="160" t="s">
        <v>41</v>
      </c>
      <c r="J97" s="160"/>
      <c r="K97" s="160"/>
      <c r="L97" s="160"/>
      <c r="M97" s="160"/>
      <c r="N97" s="160" t="s">
        <v>290</v>
      </c>
      <c r="O97" s="160"/>
      <c r="P97" s="160"/>
      <c r="Q97" s="160"/>
      <c r="V97" s="53" t="s">
        <v>43</v>
      </c>
      <c r="X97" s="256">
        <v>16.348396301269531</v>
      </c>
      <c r="Y97" s="266">
        <f>1</f>
        <v>1</v>
      </c>
      <c r="Z97" s="219">
        <f t="shared" si="3"/>
        <v>16.348396301269531</v>
      </c>
      <c r="AA97" s="219">
        <f t="shared" si="4"/>
        <v>16.348396301269531</v>
      </c>
    </row>
    <row r="98" spans="1:28" x14ac:dyDescent="0.2">
      <c r="D98" s="53"/>
      <c r="E98" s="121"/>
      <c r="H98" s="122"/>
      <c r="N98" s="170"/>
      <c r="V98" s="53" t="s">
        <v>69</v>
      </c>
      <c r="X98" s="256" t="s">
        <v>69</v>
      </c>
      <c r="Y98" s="266">
        <f>1</f>
        <v>1</v>
      </c>
      <c r="Z98" s="219" t="str">
        <f t="shared" si="3"/>
        <v/>
      </c>
      <c r="AA98" s="219" t="str">
        <f t="shared" si="4"/>
        <v/>
      </c>
    </row>
    <row r="99" spans="1:28" s="110" customFormat="1" ht="32" x14ac:dyDescent="0.2">
      <c r="A99" s="110" t="s">
        <v>211</v>
      </c>
      <c r="B99" s="110" t="s">
        <v>299</v>
      </c>
      <c r="C99" s="111" t="s">
        <v>300</v>
      </c>
      <c r="D99" s="111" t="s">
        <v>301</v>
      </c>
      <c r="E99" s="112"/>
      <c r="F99" s="110" t="s">
        <v>108</v>
      </c>
      <c r="G99" s="110" t="s">
        <v>109</v>
      </c>
      <c r="H99" s="116"/>
      <c r="I99" s="159" t="s">
        <v>41</v>
      </c>
      <c r="J99" s="159"/>
      <c r="K99" s="159"/>
      <c r="L99" s="159"/>
      <c r="M99" s="159"/>
      <c r="N99" s="159" t="s">
        <v>302</v>
      </c>
      <c r="O99" s="159"/>
      <c r="P99" s="159"/>
      <c r="Q99" s="159"/>
      <c r="V99" s="110" t="s">
        <v>53</v>
      </c>
      <c r="X99" s="256">
        <v>0</v>
      </c>
      <c r="Y99" s="266">
        <f>1</f>
        <v>1</v>
      </c>
      <c r="Z99" s="219">
        <f t="shared" si="3"/>
        <v>0</v>
      </c>
      <c r="AA99" s="219" t="str">
        <f t="shared" si="4"/>
        <v/>
      </c>
      <c r="AB99" s="109"/>
    </row>
    <row r="100" spans="1:28" s="110" customFormat="1" x14ac:dyDescent="0.2">
      <c r="C100" s="111"/>
      <c r="D100" s="111"/>
      <c r="E100" s="112"/>
      <c r="H100" s="116"/>
      <c r="I100" s="159"/>
      <c r="J100" s="159"/>
      <c r="K100" s="159"/>
      <c r="L100" s="159"/>
      <c r="M100" s="159"/>
      <c r="N100" s="159"/>
      <c r="O100" s="159"/>
      <c r="P100" s="159"/>
      <c r="Q100" s="159"/>
      <c r="V100" s="110" t="s">
        <v>69</v>
      </c>
      <c r="X100" s="256" t="s">
        <v>69</v>
      </c>
      <c r="Y100" s="266">
        <f>1</f>
        <v>1</v>
      </c>
      <c r="Z100" s="219" t="str">
        <f t="shared" si="3"/>
        <v/>
      </c>
      <c r="AA100" s="219" t="str">
        <f t="shared" si="4"/>
        <v/>
      </c>
      <c r="AB100" s="109"/>
    </row>
    <row r="101" spans="1:28" ht="64" x14ac:dyDescent="0.2">
      <c r="A101" s="113" t="s">
        <v>303</v>
      </c>
      <c r="B101" s="113" t="s">
        <v>304</v>
      </c>
      <c r="C101" s="114" t="s">
        <v>305</v>
      </c>
      <c r="D101" s="141" t="s">
        <v>306</v>
      </c>
      <c r="E101" s="132"/>
      <c r="F101" s="113" t="s">
        <v>307</v>
      </c>
      <c r="G101" s="113" t="s">
        <v>308</v>
      </c>
      <c r="H101" s="134"/>
      <c r="I101" s="160" t="s">
        <v>41</v>
      </c>
      <c r="J101" s="160"/>
      <c r="K101" s="160" t="s">
        <v>309</v>
      </c>
      <c r="L101" s="160"/>
      <c r="M101" s="160"/>
      <c r="N101" s="160"/>
      <c r="O101" s="160"/>
      <c r="P101" s="160"/>
      <c r="Q101" s="160"/>
      <c r="V101" s="53" t="s">
        <v>43</v>
      </c>
      <c r="X101" s="256">
        <v>46.247528076171875</v>
      </c>
      <c r="Y101" s="266">
        <f>1</f>
        <v>1</v>
      </c>
      <c r="Z101" s="219">
        <f t="shared" si="3"/>
        <v>46.247528076171875</v>
      </c>
      <c r="AA101" s="219">
        <f t="shared" si="4"/>
        <v>46.247528076171875</v>
      </c>
    </row>
    <row r="102" spans="1:28" x14ac:dyDescent="0.2">
      <c r="D102" s="53"/>
      <c r="E102" s="121"/>
      <c r="H102" s="122"/>
      <c r="V102" s="53" t="s">
        <v>69</v>
      </c>
      <c r="X102" s="256" t="s">
        <v>69</v>
      </c>
      <c r="Y102" s="266">
        <f>1</f>
        <v>1</v>
      </c>
      <c r="Z102" s="219" t="str">
        <f t="shared" si="3"/>
        <v/>
      </c>
      <c r="AA102" s="219" t="str">
        <f t="shared" si="4"/>
        <v/>
      </c>
    </row>
    <row r="103" spans="1:28" s="110" customFormat="1" ht="48" x14ac:dyDescent="0.2">
      <c r="A103" s="110" t="s">
        <v>74</v>
      </c>
      <c r="B103" s="110" t="s">
        <v>310</v>
      </c>
      <c r="C103" s="111" t="s">
        <v>311</v>
      </c>
      <c r="D103" s="111" t="s">
        <v>312</v>
      </c>
      <c r="E103" s="112"/>
      <c r="F103" s="110" t="s">
        <v>313</v>
      </c>
      <c r="G103" s="110" t="s">
        <v>314</v>
      </c>
      <c r="H103" s="116"/>
      <c r="I103" s="159" t="s">
        <v>52</v>
      </c>
      <c r="J103" s="159"/>
      <c r="K103" s="165"/>
      <c r="L103" s="159"/>
      <c r="M103" s="159"/>
      <c r="N103" s="159" t="s">
        <v>315</v>
      </c>
      <c r="O103" s="159"/>
      <c r="P103" s="159"/>
      <c r="Q103" s="159"/>
      <c r="V103" s="110" t="s">
        <v>53</v>
      </c>
      <c r="X103" s="256">
        <v>26.118782043457031</v>
      </c>
      <c r="Y103" s="266">
        <f>1</f>
        <v>1</v>
      </c>
      <c r="Z103" s="219">
        <f t="shared" si="3"/>
        <v>26.118782043457031</v>
      </c>
      <c r="AA103" s="219" t="str">
        <f t="shared" si="4"/>
        <v/>
      </c>
      <c r="AB103" s="109"/>
    </row>
    <row r="104" spans="1:28" x14ac:dyDescent="0.2">
      <c r="D104" s="53"/>
      <c r="E104" s="121"/>
      <c r="H104" s="122"/>
      <c r="N104" s="170"/>
      <c r="V104" s="53" t="s">
        <v>69</v>
      </c>
      <c r="X104" s="256" t="s">
        <v>69</v>
      </c>
      <c r="Y104" s="266">
        <f>1</f>
        <v>1</v>
      </c>
      <c r="Z104" s="219" t="str">
        <f t="shared" si="3"/>
        <v/>
      </c>
      <c r="AA104" s="219" t="str">
        <f t="shared" si="4"/>
        <v/>
      </c>
    </row>
    <row r="105" spans="1:28" ht="48" x14ac:dyDescent="0.2">
      <c r="A105" s="113" t="s">
        <v>316</v>
      </c>
      <c r="B105" s="113" t="s">
        <v>317</v>
      </c>
      <c r="C105" s="114" t="s">
        <v>318</v>
      </c>
      <c r="D105" s="235" t="s">
        <v>319</v>
      </c>
      <c r="E105" s="132"/>
      <c r="F105" s="113" t="s">
        <v>320</v>
      </c>
      <c r="G105" s="113" t="s">
        <v>321</v>
      </c>
      <c r="H105" s="134"/>
      <c r="I105" s="160" t="s">
        <v>41</v>
      </c>
      <c r="J105" s="160"/>
      <c r="K105" s="160" t="s">
        <v>322</v>
      </c>
      <c r="L105" s="160"/>
      <c r="M105" s="160"/>
      <c r="N105" s="160"/>
      <c r="O105" s="160"/>
      <c r="P105" s="160"/>
      <c r="Q105" s="160"/>
      <c r="V105" s="53" t="s">
        <v>43</v>
      </c>
      <c r="X105" s="256">
        <v>56.471023559570312</v>
      </c>
      <c r="Y105" s="266">
        <f>1</f>
        <v>1</v>
      </c>
      <c r="Z105" s="219">
        <f t="shared" si="3"/>
        <v>56.471023559570312</v>
      </c>
      <c r="AA105" s="219">
        <f t="shared" si="4"/>
        <v>56.471023559570312</v>
      </c>
    </row>
    <row r="106" spans="1:28" ht="16" x14ac:dyDescent="0.2">
      <c r="A106" s="113" t="s">
        <v>74</v>
      </c>
      <c r="B106" s="113" t="s">
        <v>323</v>
      </c>
      <c r="C106" s="114" t="s">
        <v>324</v>
      </c>
      <c r="D106" s="51" t="s">
        <v>325</v>
      </c>
      <c r="E106" s="132"/>
      <c r="F106" s="109" t="s">
        <v>326</v>
      </c>
      <c r="G106" s="109" t="s">
        <v>327</v>
      </c>
      <c r="H106" s="134"/>
      <c r="I106" s="160" t="s">
        <v>41</v>
      </c>
      <c r="J106" s="160"/>
      <c r="K106" s="160"/>
      <c r="L106" s="160"/>
      <c r="M106" s="160"/>
      <c r="N106" s="160" t="s">
        <v>328</v>
      </c>
      <c r="O106" s="160"/>
      <c r="P106" s="160"/>
      <c r="Q106" s="160"/>
      <c r="V106" s="53" t="s">
        <v>43</v>
      </c>
      <c r="X106" s="256"/>
      <c r="Y106" s="266">
        <f>1</f>
        <v>1</v>
      </c>
      <c r="Z106" s="219" t="str">
        <f t="shared" si="3"/>
        <v/>
      </c>
      <c r="AA106" s="219" t="str">
        <f t="shared" si="4"/>
        <v/>
      </c>
    </row>
    <row r="107" spans="1:28" s="110" customFormat="1" x14ac:dyDescent="0.2">
      <c r="C107" s="111"/>
      <c r="D107" s="111"/>
      <c r="E107" s="112"/>
      <c r="H107" s="116"/>
      <c r="I107" s="159"/>
      <c r="J107" s="159"/>
      <c r="K107" s="165"/>
      <c r="L107" s="159"/>
      <c r="M107" s="159"/>
      <c r="N107" s="159"/>
      <c r="O107" s="159"/>
      <c r="P107" s="159"/>
      <c r="Q107" s="159"/>
      <c r="V107" s="110" t="s">
        <v>69</v>
      </c>
      <c r="X107" s="256" t="s">
        <v>69</v>
      </c>
      <c r="Y107" s="266">
        <f>1</f>
        <v>1</v>
      </c>
      <c r="Z107" s="219" t="str">
        <f t="shared" si="3"/>
        <v/>
      </c>
      <c r="AA107" s="219" t="str">
        <f t="shared" si="4"/>
        <v/>
      </c>
      <c r="AB107" s="109"/>
    </row>
    <row r="108" spans="1:28" ht="16" thickBot="1" x14ac:dyDescent="0.25">
      <c r="A108" s="130" t="s">
        <v>146</v>
      </c>
      <c r="B108" s="130"/>
      <c r="C108" s="131"/>
      <c r="D108" s="131"/>
      <c r="E108" s="125"/>
      <c r="F108" s="130"/>
      <c r="G108" s="130"/>
      <c r="H108" s="126"/>
      <c r="I108" s="169"/>
      <c r="J108" s="169"/>
      <c r="K108" s="169"/>
      <c r="L108" s="169"/>
      <c r="M108" s="169"/>
      <c r="N108" s="169"/>
      <c r="O108" s="169"/>
      <c r="P108" s="169"/>
      <c r="Q108" s="169"/>
      <c r="V108" s="53" t="s">
        <v>69</v>
      </c>
      <c r="X108" s="256" t="s">
        <v>69</v>
      </c>
      <c r="Y108" s="147"/>
      <c r="Z108" s="219" t="str">
        <f t="shared" si="3"/>
        <v/>
      </c>
      <c r="AA108" s="219" t="str">
        <f t="shared" si="4"/>
        <v/>
      </c>
    </row>
    <row r="109" spans="1:28" s="106" customFormat="1" ht="17" thickTop="1" x14ac:dyDescent="0.2">
      <c r="A109" s="103" t="s">
        <v>70</v>
      </c>
      <c r="B109" s="103" t="s">
        <v>329</v>
      </c>
      <c r="C109" s="127" t="s">
        <v>330</v>
      </c>
      <c r="D109" s="17" t="s">
        <v>331</v>
      </c>
      <c r="E109" s="104"/>
      <c r="F109" s="103"/>
      <c r="G109" s="103"/>
      <c r="H109" s="105"/>
      <c r="I109" s="163" t="s">
        <v>52</v>
      </c>
      <c r="J109" s="163"/>
      <c r="K109" s="163"/>
      <c r="L109" s="163"/>
      <c r="M109" s="163"/>
      <c r="N109" s="163" t="s">
        <v>332</v>
      </c>
      <c r="O109" s="163"/>
      <c r="P109" s="163"/>
      <c r="Q109" s="163"/>
      <c r="V109" s="53" t="s">
        <v>43</v>
      </c>
      <c r="X109" s="256"/>
      <c r="Y109" s="268"/>
      <c r="Z109" s="219" t="str">
        <f t="shared" si="3"/>
        <v/>
      </c>
      <c r="AA109" s="219" t="str">
        <f t="shared" si="4"/>
        <v/>
      </c>
      <c r="AB109" s="107"/>
    </row>
    <row r="110" spans="1:28" ht="69.5" customHeight="1" x14ac:dyDescent="0.2">
      <c r="A110" s="108" t="s">
        <v>46</v>
      </c>
      <c r="B110" s="108" t="s">
        <v>333</v>
      </c>
      <c r="C110" s="51" t="s">
        <v>334</v>
      </c>
      <c r="D110" s="141" t="s">
        <v>335</v>
      </c>
      <c r="E110" s="121"/>
      <c r="F110" s="108"/>
      <c r="G110" s="108"/>
      <c r="H110" s="122"/>
      <c r="I110" s="158"/>
      <c r="J110" s="158"/>
      <c r="K110" s="158"/>
      <c r="L110" s="158"/>
      <c r="M110" s="158"/>
      <c r="N110" s="158"/>
      <c r="O110" s="158"/>
      <c r="P110" s="158"/>
      <c r="Q110" s="158"/>
      <c r="V110" s="53" t="s">
        <v>43</v>
      </c>
      <c r="X110" s="257">
        <v>7.5</v>
      </c>
      <c r="Y110" s="267">
        <f>'Additional information'!$D$18</f>
        <v>0.91</v>
      </c>
      <c r="Z110" s="220">
        <f t="shared" si="3"/>
        <v>6.8250000000000002</v>
      </c>
      <c r="AA110" s="219">
        <f t="shared" si="4"/>
        <v>6.8250000000000002</v>
      </c>
    </row>
    <row r="111" spans="1:28" x14ac:dyDescent="0.2">
      <c r="D111" s="226"/>
      <c r="E111" s="121"/>
      <c r="H111" s="122"/>
      <c r="V111" s="53" t="s">
        <v>69</v>
      </c>
      <c r="X111" s="256" t="s">
        <v>69</v>
      </c>
      <c r="Y111" s="267">
        <f>'Additional information'!$D$18</f>
        <v>0.91</v>
      </c>
      <c r="Z111" s="219" t="str">
        <f t="shared" si="3"/>
        <v/>
      </c>
      <c r="AA111" s="219" t="str">
        <f t="shared" si="4"/>
        <v/>
      </c>
    </row>
    <row r="112" spans="1:28" s="109" customFormat="1" ht="16" x14ac:dyDescent="0.2">
      <c r="A112" s="113" t="s">
        <v>228</v>
      </c>
      <c r="B112" s="113" t="s">
        <v>336</v>
      </c>
      <c r="C112" s="114" t="s">
        <v>337</v>
      </c>
      <c r="D112" s="52" t="s">
        <v>338</v>
      </c>
      <c r="E112" s="132"/>
      <c r="F112" s="113" t="s">
        <v>339</v>
      </c>
      <c r="G112" s="113" t="s">
        <v>340</v>
      </c>
      <c r="H112" s="134"/>
      <c r="I112" s="160" t="s">
        <v>41</v>
      </c>
      <c r="J112" s="160"/>
      <c r="K112" s="160" t="s">
        <v>341</v>
      </c>
      <c r="L112" s="160"/>
      <c r="M112" s="160"/>
      <c r="N112" s="160"/>
      <c r="O112" s="160"/>
      <c r="P112" s="160"/>
      <c r="Q112" s="160"/>
      <c r="V112" s="109" t="s">
        <v>43</v>
      </c>
      <c r="X112" s="256">
        <v>17</v>
      </c>
      <c r="Y112" s="267">
        <f>'Additional information'!$D$18</f>
        <v>0.91</v>
      </c>
      <c r="Z112" s="219">
        <f t="shared" si="3"/>
        <v>15.47</v>
      </c>
      <c r="AA112" s="219">
        <f t="shared" ref="AA112:AA140" si="5">IF(AND(X112&lt;&gt;"",V112="yes"),X112*Y112,"")</f>
        <v>15.47</v>
      </c>
    </row>
    <row r="113" spans="1:28" s="109" customFormat="1" ht="16" x14ac:dyDescent="0.2">
      <c r="A113" s="113" t="s">
        <v>342</v>
      </c>
      <c r="B113" s="113" t="s">
        <v>343</v>
      </c>
      <c r="C113" s="114" t="s">
        <v>344</v>
      </c>
      <c r="D113" s="141" t="s">
        <v>345</v>
      </c>
      <c r="E113" s="132"/>
      <c r="F113" s="113" t="s">
        <v>346</v>
      </c>
      <c r="G113" s="237" t="s">
        <v>347</v>
      </c>
      <c r="H113" s="134"/>
      <c r="I113" s="160" t="s">
        <v>41</v>
      </c>
      <c r="J113" s="160"/>
      <c r="K113" s="160"/>
      <c r="L113" s="160"/>
      <c r="M113" s="160"/>
      <c r="N113" s="160" t="s">
        <v>348</v>
      </c>
      <c r="O113" s="160"/>
      <c r="P113" s="160"/>
      <c r="Q113" s="160"/>
      <c r="V113" s="109" t="s">
        <v>43</v>
      </c>
      <c r="X113" s="256">
        <v>0</v>
      </c>
      <c r="Y113" s="267">
        <f>'Additional information'!$D$18</f>
        <v>0.91</v>
      </c>
      <c r="Z113" s="219">
        <f t="shared" si="3"/>
        <v>0</v>
      </c>
      <c r="AA113" s="219">
        <f t="shared" si="5"/>
        <v>0</v>
      </c>
    </row>
    <row r="114" spans="1:28" s="106" customFormat="1" x14ac:dyDescent="0.2">
      <c r="C114" s="128"/>
      <c r="E114" s="104"/>
      <c r="H114" s="105"/>
      <c r="I114" s="164"/>
      <c r="J114" s="164"/>
      <c r="K114" s="164"/>
      <c r="L114" s="164"/>
      <c r="M114" s="164"/>
      <c r="N114" s="164"/>
      <c r="O114" s="164"/>
      <c r="P114" s="164"/>
      <c r="Q114" s="164"/>
      <c r="V114" s="106" t="s">
        <v>69</v>
      </c>
      <c r="X114" s="256" t="s">
        <v>69</v>
      </c>
      <c r="Y114" s="267">
        <f>'Additional information'!$D$18</f>
        <v>0.91</v>
      </c>
      <c r="Z114" s="219" t="str">
        <f t="shared" si="3"/>
        <v/>
      </c>
      <c r="AA114" s="219" t="str">
        <f t="shared" si="5"/>
        <v/>
      </c>
      <c r="AB114" s="107"/>
    </row>
    <row r="115" spans="1:28" ht="32" x14ac:dyDescent="0.2">
      <c r="A115" s="108" t="s">
        <v>349</v>
      </c>
      <c r="B115" s="108" t="s">
        <v>350</v>
      </c>
      <c r="C115" s="51" t="s">
        <v>351</v>
      </c>
      <c r="D115" s="52" t="s">
        <v>352</v>
      </c>
      <c r="E115" s="121"/>
      <c r="F115" s="108" t="s">
        <v>353</v>
      </c>
      <c r="G115" s="108" t="s">
        <v>354</v>
      </c>
      <c r="H115" s="122"/>
      <c r="I115" s="158" t="s">
        <v>41</v>
      </c>
      <c r="J115" s="158" t="s">
        <v>130</v>
      </c>
      <c r="K115" s="158"/>
      <c r="L115" s="158"/>
      <c r="M115" s="158"/>
      <c r="N115" s="158"/>
      <c r="O115" s="158"/>
      <c r="P115" s="158"/>
      <c r="Q115" s="158"/>
      <c r="V115" s="53" t="s">
        <v>43</v>
      </c>
      <c r="X115" s="256">
        <v>27.057552337646484</v>
      </c>
      <c r="Y115" s="267">
        <f>'Additional information'!$D$18</f>
        <v>0.91</v>
      </c>
      <c r="Z115" s="219">
        <f t="shared" si="3"/>
        <v>24.622372627258301</v>
      </c>
      <c r="AA115" s="219">
        <f t="shared" si="5"/>
        <v>24.622372627258301</v>
      </c>
    </row>
    <row r="116" spans="1:28" x14ac:dyDescent="0.2">
      <c r="A116" s="108" t="s">
        <v>27</v>
      </c>
      <c r="B116" s="108" t="s">
        <v>355</v>
      </c>
      <c r="C116" s="51"/>
      <c r="D116" s="108"/>
      <c r="E116" s="121"/>
      <c r="H116" s="122"/>
      <c r="I116" s="158"/>
      <c r="J116" s="158"/>
      <c r="K116" s="158"/>
      <c r="L116" s="158"/>
      <c r="M116" s="158"/>
      <c r="N116" s="158"/>
      <c r="O116" s="158"/>
      <c r="P116" s="158"/>
      <c r="Q116" s="158" t="s">
        <v>356</v>
      </c>
      <c r="V116" s="53" t="s">
        <v>43</v>
      </c>
      <c r="X116" s="256"/>
      <c r="Y116" s="267">
        <f>'Additional information'!$D$18</f>
        <v>0.91</v>
      </c>
      <c r="Z116" s="219" t="str">
        <f t="shared" si="3"/>
        <v/>
      </c>
      <c r="AA116" s="219" t="str">
        <f t="shared" si="5"/>
        <v/>
      </c>
    </row>
    <row r="117" spans="1:28" ht="16" x14ac:dyDescent="0.2">
      <c r="A117" s="108" t="s">
        <v>357</v>
      </c>
      <c r="B117" s="108" t="s">
        <v>358</v>
      </c>
      <c r="C117" s="51" t="s">
        <v>359</v>
      </c>
      <c r="D117" s="141" t="s">
        <v>360</v>
      </c>
      <c r="E117" s="121"/>
      <c r="F117" s="53" t="s">
        <v>108</v>
      </c>
      <c r="G117" s="53" t="s">
        <v>109</v>
      </c>
      <c r="H117" s="122"/>
      <c r="I117" s="158" t="s">
        <v>41</v>
      </c>
      <c r="J117" s="158"/>
      <c r="K117" s="158"/>
      <c r="L117" s="158"/>
      <c r="M117" s="158"/>
      <c r="N117" s="158" t="s">
        <v>361</v>
      </c>
      <c r="O117" s="158"/>
      <c r="P117" s="158"/>
      <c r="Q117" s="158"/>
      <c r="V117" s="53" t="s">
        <v>43</v>
      </c>
      <c r="X117" s="256">
        <v>0</v>
      </c>
      <c r="Y117" s="267">
        <f>'Additional information'!$D$18</f>
        <v>0.91</v>
      </c>
      <c r="Z117" s="219">
        <f t="shared" si="3"/>
        <v>0</v>
      </c>
      <c r="AA117" s="219">
        <f t="shared" si="5"/>
        <v>0</v>
      </c>
    </row>
    <row r="118" spans="1:28" s="109" customFormat="1" x14ac:dyDescent="0.2">
      <c r="C118" s="55"/>
      <c r="D118" s="226"/>
      <c r="E118" s="132"/>
      <c r="H118" s="134"/>
      <c r="I118" s="170"/>
      <c r="J118" s="170"/>
      <c r="K118" s="170"/>
      <c r="L118" s="170"/>
      <c r="M118" s="170"/>
      <c r="N118" s="170"/>
      <c r="O118" s="170"/>
      <c r="P118" s="170"/>
      <c r="Q118" s="170"/>
      <c r="V118" s="109" t="s">
        <v>69</v>
      </c>
      <c r="X118" s="256" t="s">
        <v>69</v>
      </c>
      <c r="Y118" s="267">
        <f>'Additional information'!$D$18</f>
        <v>0.91</v>
      </c>
      <c r="Z118" s="219" t="str">
        <f t="shared" si="3"/>
        <v/>
      </c>
      <c r="AA118" s="219" t="str">
        <f t="shared" si="5"/>
        <v/>
      </c>
    </row>
    <row r="119" spans="1:28" ht="31.75" customHeight="1" x14ac:dyDescent="0.2">
      <c r="A119" s="108" t="s">
        <v>362</v>
      </c>
      <c r="B119" s="108" t="s">
        <v>363</v>
      </c>
      <c r="C119" s="108" t="s">
        <v>364</v>
      </c>
      <c r="D119" s="52" t="s">
        <v>365</v>
      </c>
      <c r="E119" s="122"/>
      <c r="F119" s="53" t="s">
        <v>108</v>
      </c>
      <c r="G119" s="53" t="s">
        <v>109</v>
      </c>
      <c r="H119" s="122"/>
      <c r="I119" s="158" t="s">
        <v>41</v>
      </c>
      <c r="J119" s="158"/>
      <c r="K119" s="158"/>
      <c r="L119" s="158"/>
      <c r="M119" s="158"/>
      <c r="N119" s="158" t="s">
        <v>366</v>
      </c>
      <c r="O119" s="158"/>
      <c r="P119" s="158"/>
      <c r="Q119" s="158"/>
      <c r="V119" s="53" t="s">
        <v>43</v>
      </c>
      <c r="X119" s="256">
        <v>15.95429515838623</v>
      </c>
      <c r="Y119" s="267">
        <f>'Additional information'!$D$18</f>
        <v>0.91</v>
      </c>
      <c r="Z119" s="219">
        <f t="shared" si="3"/>
        <v>14.51840859413147</v>
      </c>
      <c r="AA119" s="219">
        <f t="shared" si="5"/>
        <v>14.51840859413147</v>
      </c>
    </row>
    <row r="120" spans="1:28" ht="15.5" customHeight="1" x14ac:dyDescent="0.2">
      <c r="A120" s="108" t="s">
        <v>74</v>
      </c>
      <c r="B120" s="108" t="s">
        <v>367</v>
      </c>
      <c r="C120" s="114" t="s">
        <v>324</v>
      </c>
      <c r="D120" s="51" t="s">
        <v>325</v>
      </c>
      <c r="E120" s="132"/>
      <c r="F120" s="109" t="s">
        <v>326</v>
      </c>
      <c r="G120" s="109" t="s">
        <v>327</v>
      </c>
      <c r="H120" s="122"/>
      <c r="I120" s="158" t="s">
        <v>41</v>
      </c>
      <c r="J120" s="158"/>
      <c r="K120" s="158"/>
      <c r="L120" s="158"/>
      <c r="M120" s="158"/>
      <c r="N120" s="158" t="s">
        <v>368</v>
      </c>
      <c r="O120" s="158"/>
      <c r="P120" s="158"/>
      <c r="Q120" s="158"/>
      <c r="V120" s="53" t="s">
        <v>43</v>
      </c>
      <c r="X120" s="256"/>
      <c r="Y120" s="267">
        <f>'Additional information'!$D$18</f>
        <v>0.91</v>
      </c>
      <c r="Z120" s="219" t="str">
        <f t="shared" si="3"/>
        <v/>
      </c>
      <c r="AA120" s="219" t="str">
        <f t="shared" si="5"/>
        <v/>
      </c>
    </row>
    <row r="121" spans="1:28" s="110" customFormat="1" ht="15.5" customHeight="1" x14ac:dyDescent="0.2">
      <c r="C121" s="111"/>
      <c r="E121" s="112"/>
      <c r="H121" s="116"/>
      <c r="I121" s="159"/>
      <c r="J121" s="159"/>
      <c r="K121" s="159"/>
      <c r="L121" s="159"/>
      <c r="M121" s="159"/>
      <c r="N121" s="159"/>
      <c r="O121" s="159"/>
      <c r="P121" s="159"/>
      <c r="Q121" s="159"/>
      <c r="V121" s="110" t="s">
        <v>69</v>
      </c>
      <c r="X121" s="256" t="s">
        <v>69</v>
      </c>
      <c r="Y121" s="267">
        <f>'Additional information'!$D$18</f>
        <v>0.91</v>
      </c>
      <c r="Z121" s="219" t="str">
        <f t="shared" si="3"/>
        <v/>
      </c>
      <c r="AA121" s="219" t="str">
        <f t="shared" si="5"/>
        <v/>
      </c>
      <c r="AB121" s="109"/>
    </row>
    <row r="122" spans="1:28" s="110" customFormat="1" ht="16" x14ac:dyDescent="0.2">
      <c r="A122" s="110" t="s">
        <v>369</v>
      </c>
      <c r="B122" s="110" t="s">
        <v>370</v>
      </c>
      <c r="C122" s="111" t="s">
        <v>371</v>
      </c>
      <c r="D122" s="138" t="s">
        <v>372</v>
      </c>
      <c r="E122" s="112"/>
      <c r="F122" s="110" t="s">
        <v>320</v>
      </c>
      <c r="G122" s="110" t="s">
        <v>321</v>
      </c>
      <c r="H122" s="116"/>
      <c r="I122" s="159" t="s">
        <v>41</v>
      </c>
      <c r="J122" s="159"/>
      <c r="K122" s="159" t="s">
        <v>373</v>
      </c>
      <c r="L122" s="159"/>
      <c r="M122" s="159"/>
      <c r="N122" s="159" t="s">
        <v>366</v>
      </c>
      <c r="O122" s="159"/>
      <c r="P122" s="159"/>
      <c r="Q122" s="159"/>
      <c r="V122" s="110" t="s">
        <v>53</v>
      </c>
      <c r="X122" s="256">
        <v>17.928909301757812</v>
      </c>
      <c r="Y122" s="267">
        <f>'Additional information'!$D$18</f>
        <v>0.91</v>
      </c>
      <c r="Z122" s="219">
        <f t="shared" si="3"/>
        <v>16.315307464599609</v>
      </c>
      <c r="AA122" s="219" t="str">
        <f t="shared" si="5"/>
        <v/>
      </c>
      <c r="AB122" s="109"/>
    </row>
    <row r="123" spans="1:28" s="110" customFormat="1" x14ac:dyDescent="0.2">
      <c r="C123" s="111"/>
      <c r="E123" s="112"/>
      <c r="H123" s="116"/>
      <c r="I123" s="159"/>
      <c r="J123" s="159"/>
      <c r="K123" s="159"/>
      <c r="L123" s="159"/>
      <c r="M123" s="159"/>
      <c r="N123" s="159"/>
      <c r="O123" s="159"/>
      <c r="P123" s="159"/>
      <c r="Q123" s="159"/>
      <c r="V123" s="110" t="s">
        <v>69</v>
      </c>
      <c r="X123" s="256" t="s">
        <v>69</v>
      </c>
      <c r="Y123" s="267">
        <f>'Additional information'!$D$18</f>
        <v>0.91</v>
      </c>
      <c r="Z123" s="219" t="str">
        <f t="shared" si="3"/>
        <v/>
      </c>
      <c r="AA123" s="219" t="str">
        <f t="shared" si="5"/>
        <v/>
      </c>
      <c r="AB123" s="109"/>
    </row>
    <row r="124" spans="1:28" ht="32" x14ac:dyDescent="0.2">
      <c r="A124" s="108" t="s">
        <v>242</v>
      </c>
      <c r="B124" s="108" t="s">
        <v>374</v>
      </c>
      <c r="C124" s="51" t="s">
        <v>375</v>
      </c>
      <c r="D124" s="52" t="s">
        <v>376</v>
      </c>
      <c r="E124" s="121"/>
      <c r="F124" s="108" t="s">
        <v>108</v>
      </c>
      <c r="G124" s="113" t="s">
        <v>109</v>
      </c>
      <c r="H124" s="122"/>
      <c r="I124" s="158" t="s">
        <v>41</v>
      </c>
      <c r="J124" s="158"/>
      <c r="K124" s="158"/>
      <c r="L124" s="158"/>
      <c r="M124" s="158"/>
      <c r="N124" s="160" t="s">
        <v>366</v>
      </c>
      <c r="O124" s="158"/>
      <c r="P124" s="158"/>
      <c r="Q124" s="158"/>
      <c r="V124" s="53" t="s">
        <v>43</v>
      </c>
      <c r="X124" s="256">
        <v>25.436874389648438</v>
      </c>
      <c r="Y124" s="267">
        <f>'Additional information'!$D$18</f>
        <v>0.91</v>
      </c>
      <c r="Z124" s="219">
        <f t="shared" si="3"/>
        <v>23.147555694580078</v>
      </c>
      <c r="AA124" s="219">
        <f t="shared" si="5"/>
        <v>23.147555694580078</v>
      </c>
    </row>
    <row r="125" spans="1:28" x14ac:dyDescent="0.2">
      <c r="D125" s="226"/>
      <c r="E125" s="121"/>
      <c r="H125" s="122"/>
      <c r="N125" s="170"/>
      <c r="V125" s="53" t="s">
        <v>69</v>
      </c>
      <c r="X125" s="256" t="s">
        <v>69</v>
      </c>
      <c r="Y125" s="267">
        <f>'Additional information'!$D$18</f>
        <v>0.91</v>
      </c>
      <c r="Z125" s="219" t="str">
        <f t="shared" si="3"/>
        <v/>
      </c>
      <c r="AA125" s="219" t="str">
        <f t="shared" si="5"/>
        <v/>
      </c>
    </row>
    <row r="126" spans="1:28" ht="48" x14ac:dyDescent="0.2">
      <c r="A126" s="108" t="s">
        <v>242</v>
      </c>
      <c r="B126" s="108" t="s">
        <v>377</v>
      </c>
      <c r="C126" s="51" t="s">
        <v>378</v>
      </c>
      <c r="D126" s="52" t="s">
        <v>379</v>
      </c>
      <c r="E126" s="121"/>
      <c r="F126" s="53" t="s">
        <v>108</v>
      </c>
      <c r="G126" s="53" t="s">
        <v>109</v>
      </c>
      <c r="H126" s="122"/>
      <c r="I126" s="158" t="s">
        <v>41</v>
      </c>
      <c r="J126" s="158"/>
      <c r="K126" s="158"/>
      <c r="L126" s="158"/>
      <c r="M126" s="158"/>
      <c r="N126" s="160" t="s">
        <v>366</v>
      </c>
      <c r="O126" s="158"/>
      <c r="P126" s="158"/>
      <c r="Q126" s="158"/>
      <c r="V126" s="53" t="s">
        <v>43</v>
      </c>
      <c r="X126" s="256">
        <v>19.364946365356445</v>
      </c>
      <c r="Y126" s="267">
        <f>'Additional information'!$D$18</f>
        <v>0.91</v>
      </c>
      <c r="Z126" s="219">
        <f t="shared" si="3"/>
        <v>17.622101192474364</v>
      </c>
      <c r="AA126" s="219">
        <f t="shared" si="5"/>
        <v>17.622101192474364</v>
      </c>
    </row>
    <row r="127" spans="1:28" s="110" customFormat="1" ht="16" x14ac:dyDescent="0.2">
      <c r="A127" s="110" t="s">
        <v>228</v>
      </c>
      <c r="B127" s="110" t="s">
        <v>380</v>
      </c>
      <c r="C127" s="111" t="s">
        <v>381</v>
      </c>
      <c r="D127" s="142" t="s">
        <v>382</v>
      </c>
      <c r="E127" s="112"/>
      <c r="F127" s="110" t="s">
        <v>383</v>
      </c>
      <c r="G127" s="110" t="s">
        <v>384</v>
      </c>
      <c r="H127" s="116"/>
      <c r="I127" s="159" t="s">
        <v>41</v>
      </c>
      <c r="J127" s="170"/>
      <c r="K127" s="159" t="s">
        <v>341</v>
      </c>
      <c r="L127" s="159"/>
      <c r="M127" s="159"/>
      <c r="N127" s="159" t="s">
        <v>366</v>
      </c>
      <c r="O127" s="159"/>
      <c r="P127" s="159"/>
      <c r="Q127" s="159"/>
      <c r="V127" s="110" t="s">
        <v>53</v>
      </c>
      <c r="X127" s="256">
        <v>17</v>
      </c>
      <c r="Y127" s="267">
        <f>'Additional information'!$D$18</f>
        <v>0.91</v>
      </c>
      <c r="Z127" s="219">
        <f t="shared" si="3"/>
        <v>15.47</v>
      </c>
      <c r="AA127" s="219" t="str">
        <f t="shared" si="5"/>
        <v/>
      </c>
      <c r="AB127" s="109"/>
    </row>
    <row r="128" spans="1:28" s="110" customFormat="1" ht="16" x14ac:dyDescent="0.2">
      <c r="A128" s="110" t="s">
        <v>385</v>
      </c>
      <c r="B128" s="110" t="s">
        <v>386</v>
      </c>
      <c r="C128" s="111" t="s">
        <v>387</v>
      </c>
      <c r="D128" s="143" t="s">
        <v>388</v>
      </c>
      <c r="E128" s="112"/>
      <c r="F128" s="110" t="s">
        <v>389</v>
      </c>
      <c r="G128" s="110" t="s">
        <v>109</v>
      </c>
      <c r="H128" s="116"/>
      <c r="I128" s="159" t="s">
        <v>41</v>
      </c>
      <c r="J128" s="170"/>
      <c r="K128" s="159"/>
      <c r="L128" s="159"/>
      <c r="M128" s="159"/>
      <c r="N128" s="159" t="s">
        <v>390</v>
      </c>
      <c r="O128" s="159"/>
      <c r="P128" s="159"/>
      <c r="Q128" s="159"/>
      <c r="V128" s="110" t="s">
        <v>53</v>
      </c>
      <c r="X128" s="256">
        <v>17</v>
      </c>
      <c r="Y128" s="267">
        <f>'Additional information'!$D$18</f>
        <v>0.91</v>
      </c>
      <c r="Z128" s="219">
        <f t="shared" si="3"/>
        <v>15.47</v>
      </c>
      <c r="AA128" s="219" t="str">
        <f t="shared" si="5"/>
        <v/>
      </c>
      <c r="AB128" s="109"/>
    </row>
    <row r="129" spans="1:28" s="110" customFormat="1" x14ac:dyDescent="0.2">
      <c r="A129" s="110" t="s">
        <v>27</v>
      </c>
      <c r="B129" s="110" t="s">
        <v>391</v>
      </c>
      <c r="C129" s="111"/>
      <c r="E129" s="112"/>
      <c r="H129" s="116"/>
      <c r="I129" s="159"/>
      <c r="J129" s="159"/>
      <c r="K129" s="159"/>
      <c r="L129" s="159"/>
      <c r="M129" s="159"/>
      <c r="N129" s="159"/>
      <c r="O129" s="159"/>
      <c r="P129" s="159"/>
      <c r="Q129" s="159" t="s">
        <v>392</v>
      </c>
      <c r="V129" s="110" t="s">
        <v>53</v>
      </c>
      <c r="X129" s="256"/>
      <c r="Y129" s="267">
        <f>'Additional information'!$D$18</f>
        <v>0.91</v>
      </c>
      <c r="Z129" s="219" t="str">
        <f t="shared" si="3"/>
        <v/>
      </c>
      <c r="AA129" s="219" t="str">
        <f t="shared" si="5"/>
        <v/>
      </c>
      <c r="AB129" s="109"/>
    </row>
    <row r="130" spans="1:28" s="110" customFormat="1" ht="16" x14ac:dyDescent="0.2">
      <c r="A130" s="110" t="s">
        <v>228</v>
      </c>
      <c r="B130" s="110" t="s">
        <v>393</v>
      </c>
      <c r="C130" s="111" t="s">
        <v>394</v>
      </c>
      <c r="D130" s="143" t="s">
        <v>395</v>
      </c>
      <c r="E130" s="112"/>
      <c r="F130" s="110" t="s">
        <v>396</v>
      </c>
      <c r="G130" s="110" t="s">
        <v>397</v>
      </c>
      <c r="H130" s="116"/>
      <c r="I130" s="159" t="s">
        <v>41</v>
      </c>
      <c r="J130" s="170"/>
      <c r="K130" s="159"/>
      <c r="L130" s="159"/>
      <c r="M130" s="159"/>
      <c r="N130" s="159" t="s">
        <v>398</v>
      </c>
      <c r="O130" s="159"/>
      <c r="P130" s="159"/>
      <c r="Q130" s="159"/>
      <c r="V130" s="110" t="s">
        <v>53</v>
      </c>
      <c r="X130" s="256">
        <v>17</v>
      </c>
      <c r="Y130" s="267">
        <f>'Additional information'!$D$18</f>
        <v>0.91</v>
      </c>
      <c r="Z130" s="219">
        <f t="shared" si="3"/>
        <v>15.47</v>
      </c>
      <c r="AA130" s="219" t="str">
        <f t="shared" si="5"/>
        <v/>
      </c>
      <c r="AB130" s="109"/>
    </row>
    <row r="131" spans="1:28" s="110" customFormat="1" ht="32" x14ac:dyDescent="0.2">
      <c r="A131" s="110" t="s">
        <v>84</v>
      </c>
      <c r="B131" s="110" t="s">
        <v>399</v>
      </c>
      <c r="C131" s="111" t="s">
        <v>400</v>
      </c>
      <c r="D131" s="144" t="s">
        <v>401</v>
      </c>
      <c r="E131" s="112"/>
      <c r="F131" s="110" t="s">
        <v>402</v>
      </c>
      <c r="G131" s="110" t="s">
        <v>403</v>
      </c>
      <c r="H131" s="116"/>
      <c r="I131" s="159" t="s">
        <v>41</v>
      </c>
      <c r="J131" s="170"/>
      <c r="K131" s="159" t="s">
        <v>341</v>
      </c>
      <c r="L131" s="159"/>
      <c r="M131" s="159"/>
      <c r="N131" s="159" t="s">
        <v>404</v>
      </c>
      <c r="O131" s="159"/>
      <c r="P131" s="159"/>
      <c r="Q131" s="159"/>
      <c r="V131" s="110" t="s">
        <v>53</v>
      </c>
      <c r="X131" s="256">
        <v>17</v>
      </c>
      <c r="Y131" s="267">
        <f>'Additional information'!$D$18</f>
        <v>0.91</v>
      </c>
      <c r="Z131" s="219">
        <f t="shared" si="3"/>
        <v>15.47</v>
      </c>
      <c r="AA131" s="219" t="str">
        <f t="shared" si="5"/>
        <v/>
      </c>
      <c r="AB131" s="109"/>
    </row>
    <row r="132" spans="1:28" s="110" customFormat="1" x14ac:dyDescent="0.2">
      <c r="C132" s="111"/>
      <c r="E132" s="112"/>
      <c r="H132" s="116"/>
      <c r="I132" s="159"/>
      <c r="J132" s="159"/>
      <c r="K132" s="159"/>
      <c r="L132" s="159"/>
      <c r="M132" s="159"/>
      <c r="N132" s="159"/>
      <c r="O132" s="159"/>
      <c r="P132" s="159"/>
      <c r="Q132" s="159"/>
      <c r="V132" s="110" t="s">
        <v>69</v>
      </c>
      <c r="X132" s="256" t="s">
        <v>69</v>
      </c>
      <c r="Y132" s="267">
        <f>'Additional information'!$D$18</f>
        <v>0.91</v>
      </c>
      <c r="Z132" s="219" t="str">
        <f t="shared" si="3"/>
        <v/>
      </c>
      <c r="AA132" s="219" t="str">
        <f t="shared" si="5"/>
        <v/>
      </c>
      <c r="AB132" s="109"/>
    </row>
    <row r="133" spans="1:28" ht="32" x14ac:dyDescent="0.2">
      <c r="A133" s="108" t="s">
        <v>211</v>
      </c>
      <c r="B133" s="108" t="s">
        <v>405</v>
      </c>
      <c r="C133" s="51" t="s">
        <v>406</v>
      </c>
      <c r="D133" s="52" t="s">
        <v>407</v>
      </c>
      <c r="E133" s="121"/>
      <c r="F133" s="53" t="s">
        <v>108</v>
      </c>
      <c r="G133" s="53" t="s">
        <v>109</v>
      </c>
      <c r="H133" s="122"/>
      <c r="I133" s="158" t="s">
        <v>41</v>
      </c>
      <c r="J133" s="158"/>
      <c r="K133" s="158"/>
      <c r="L133" s="158"/>
      <c r="M133" s="158"/>
      <c r="N133" s="160" t="s">
        <v>408</v>
      </c>
      <c r="O133" s="158"/>
      <c r="P133" s="158"/>
      <c r="Q133" s="158"/>
      <c r="V133" s="53" t="s">
        <v>43</v>
      </c>
      <c r="X133" s="256">
        <v>13.458864212036133</v>
      </c>
      <c r="Y133" s="267">
        <f>'Additional information'!$D$18</f>
        <v>0.91</v>
      </c>
      <c r="Z133" s="219">
        <f t="shared" si="3"/>
        <v>12.247566432952881</v>
      </c>
      <c r="AA133" s="219">
        <f t="shared" si="5"/>
        <v>12.247566432952881</v>
      </c>
    </row>
    <row r="134" spans="1:28" ht="32" x14ac:dyDescent="0.2">
      <c r="A134" s="108" t="s">
        <v>409</v>
      </c>
      <c r="B134" s="108" t="s">
        <v>410</v>
      </c>
      <c r="C134" s="51" t="s">
        <v>411</v>
      </c>
      <c r="D134" s="52" t="s">
        <v>412</v>
      </c>
      <c r="E134" s="121"/>
      <c r="F134" s="53" t="s">
        <v>413</v>
      </c>
      <c r="G134" s="53" t="s">
        <v>414</v>
      </c>
      <c r="H134" s="122"/>
      <c r="I134" s="158" t="s">
        <v>41</v>
      </c>
      <c r="J134" s="158"/>
      <c r="K134" s="160" t="s">
        <v>373</v>
      </c>
      <c r="L134" s="158"/>
      <c r="M134" s="158"/>
      <c r="N134" s="160" t="s">
        <v>415</v>
      </c>
      <c r="O134" s="158"/>
      <c r="P134" s="158"/>
      <c r="Q134" s="158"/>
      <c r="V134" s="53" t="s">
        <v>43</v>
      </c>
      <c r="X134" s="256">
        <v>37.523288726806641</v>
      </c>
      <c r="Y134" s="267">
        <f>'Additional information'!$D$18</f>
        <v>0.91</v>
      </c>
      <c r="Z134" s="219">
        <f t="shared" ref="Z134:Z201" si="6">IF(X134&lt;&gt;"",X134*Y134,"")</f>
        <v>34.146192741394046</v>
      </c>
      <c r="AA134" s="219">
        <f t="shared" si="5"/>
        <v>34.146192741394046</v>
      </c>
    </row>
    <row r="135" spans="1:28" x14ac:dyDescent="0.2">
      <c r="D135" s="53"/>
      <c r="E135" s="121"/>
      <c r="H135" s="122"/>
      <c r="N135" s="170"/>
      <c r="V135" s="53" t="s">
        <v>69</v>
      </c>
      <c r="X135" s="256" t="s">
        <v>69</v>
      </c>
      <c r="Y135" s="267">
        <f>'Additional information'!$D$18</f>
        <v>0.91</v>
      </c>
      <c r="Z135" s="219" t="str">
        <f t="shared" si="6"/>
        <v/>
      </c>
      <c r="AA135" s="219" t="str">
        <f t="shared" si="5"/>
        <v/>
      </c>
    </row>
    <row r="136" spans="1:28" s="110" customFormat="1" ht="32" x14ac:dyDescent="0.2">
      <c r="A136" s="110" t="s">
        <v>416</v>
      </c>
      <c r="B136" s="110" t="s">
        <v>417</v>
      </c>
      <c r="C136" s="269" t="s">
        <v>418</v>
      </c>
      <c r="D136" s="227" t="s">
        <v>419</v>
      </c>
      <c r="E136" s="112"/>
      <c r="F136" s="110" t="s">
        <v>108</v>
      </c>
      <c r="G136" s="110" t="s">
        <v>109</v>
      </c>
      <c r="H136" s="116"/>
      <c r="I136" s="159" t="s">
        <v>41</v>
      </c>
      <c r="J136" s="159"/>
      <c r="K136" s="159"/>
      <c r="L136" s="159"/>
      <c r="M136" s="159"/>
      <c r="N136" s="159" t="s">
        <v>420</v>
      </c>
      <c r="O136" s="159"/>
      <c r="P136" s="159"/>
      <c r="Q136" s="159"/>
      <c r="V136" s="110" t="s">
        <v>53</v>
      </c>
      <c r="X136" s="256">
        <v>17</v>
      </c>
      <c r="Y136" s="267">
        <f>'Additional information'!$D$18</f>
        <v>0.91</v>
      </c>
      <c r="Z136" s="219">
        <f t="shared" si="6"/>
        <v>15.47</v>
      </c>
      <c r="AA136" s="219" t="str">
        <f t="shared" si="5"/>
        <v/>
      </c>
      <c r="AB136" s="109"/>
    </row>
    <row r="137" spans="1:28" s="110" customFormat="1" ht="16" x14ac:dyDescent="0.2">
      <c r="A137" s="110" t="s">
        <v>421</v>
      </c>
      <c r="B137" s="110" t="s">
        <v>422</v>
      </c>
      <c r="C137" s="111" t="s">
        <v>423</v>
      </c>
      <c r="D137" s="143" t="s">
        <v>424</v>
      </c>
      <c r="E137" s="112"/>
      <c r="F137" s="110" t="s">
        <v>425</v>
      </c>
      <c r="G137" s="110" t="s">
        <v>426</v>
      </c>
      <c r="H137" s="116"/>
      <c r="I137" s="159" t="s">
        <v>41</v>
      </c>
      <c r="J137" s="159" t="s">
        <v>130</v>
      </c>
      <c r="K137" s="159" t="s">
        <v>427</v>
      </c>
      <c r="L137" s="159"/>
      <c r="M137" s="159"/>
      <c r="N137" s="159" t="s">
        <v>420</v>
      </c>
      <c r="O137" s="159" t="s">
        <v>428</v>
      </c>
      <c r="P137" s="165"/>
      <c r="Q137" s="165"/>
      <c r="R137" s="53"/>
      <c r="V137" s="110" t="s">
        <v>53</v>
      </c>
      <c r="X137" s="256">
        <v>17</v>
      </c>
      <c r="Y137" s="267">
        <f>'Additional information'!$D$18</f>
        <v>0.91</v>
      </c>
      <c r="Z137" s="219">
        <f t="shared" si="6"/>
        <v>15.47</v>
      </c>
      <c r="AA137" s="219" t="str">
        <f t="shared" si="5"/>
        <v/>
      </c>
      <c r="AB137" s="109"/>
    </row>
    <row r="138" spans="1:28" x14ac:dyDescent="0.2">
      <c r="E138" s="121"/>
      <c r="H138" s="122"/>
      <c r="N138" s="170"/>
      <c r="X138" s="256" t="s">
        <v>69</v>
      </c>
      <c r="Y138" s="267">
        <f>'Additional information'!$D$18</f>
        <v>0.91</v>
      </c>
      <c r="Z138" s="219" t="str">
        <f t="shared" si="6"/>
        <v/>
      </c>
      <c r="AA138" s="219" t="str">
        <f t="shared" si="5"/>
        <v/>
      </c>
    </row>
    <row r="139" spans="1:28" ht="16" thickBot="1" x14ac:dyDescent="0.25">
      <c r="A139" s="135" t="s">
        <v>146</v>
      </c>
      <c r="B139" s="135"/>
      <c r="C139" s="136"/>
      <c r="D139" s="136"/>
      <c r="E139" s="150"/>
      <c r="F139" s="135"/>
      <c r="G139" s="135"/>
      <c r="H139" s="151"/>
      <c r="I139" s="171"/>
      <c r="J139" s="171"/>
      <c r="K139" s="171"/>
      <c r="L139" s="171"/>
      <c r="M139" s="171"/>
      <c r="N139" s="171"/>
      <c r="O139" s="171"/>
      <c r="P139" s="171"/>
      <c r="Q139" s="171"/>
      <c r="X139" s="256" t="s">
        <v>69</v>
      </c>
      <c r="Z139" s="219" t="str">
        <f t="shared" si="6"/>
        <v/>
      </c>
      <c r="AA139" s="219" t="str">
        <f t="shared" si="5"/>
        <v/>
      </c>
    </row>
    <row r="140" spans="1:28" s="106" customFormat="1" ht="17" thickTop="1" x14ac:dyDescent="0.2">
      <c r="A140" s="103" t="s">
        <v>70</v>
      </c>
      <c r="B140" s="103" t="s">
        <v>429</v>
      </c>
      <c r="C140" s="127" t="s">
        <v>430</v>
      </c>
      <c r="D140" s="17" t="s">
        <v>431</v>
      </c>
      <c r="E140" s="104"/>
      <c r="F140" s="103"/>
      <c r="G140" s="103"/>
      <c r="H140" s="105"/>
      <c r="I140" s="163" t="s">
        <v>52</v>
      </c>
      <c r="J140" s="163"/>
      <c r="K140" s="163"/>
      <c r="L140" s="163"/>
      <c r="M140" s="163"/>
      <c r="N140" s="163" t="s">
        <v>432</v>
      </c>
      <c r="O140" s="163"/>
      <c r="P140" s="163"/>
      <c r="Q140" s="163"/>
      <c r="V140" s="53" t="s">
        <v>43</v>
      </c>
      <c r="X140" s="256"/>
      <c r="Y140" s="266"/>
      <c r="Z140" s="219" t="str">
        <f t="shared" si="6"/>
        <v/>
      </c>
      <c r="AA140" s="219" t="str">
        <f t="shared" si="5"/>
        <v/>
      </c>
      <c r="AB140" s="107"/>
    </row>
    <row r="141" spans="1:28" ht="32" x14ac:dyDescent="0.2">
      <c r="A141" s="108" t="s">
        <v>211</v>
      </c>
      <c r="B141" s="108" t="s">
        <v>433</v>
      </c>
      <c r="C141" s="114" t="s">
        <v>434</v>
      </c>
      <c r="D141" s="51" t="s">
        <v>435</v>
      </c>
      <c r="E141" s="121"/>
      <c r="F141" s="53" t="s">
        <v>108</v>
      </c>
      <c r="G141" s="53" t="s">
        <v>109</v>
      </c>
      <c r="H141" s="122"/>
      <c r="I141" s="160" t="s">
        <v>41</v>
      </c>
      <c r="J141" s="160"/>
      <c r="K141" s="160"/>
      <c r="L141" s="160"/>
      <c r="M141" s="160"/>
      <c r="N141" s="160"/>
      <c r="O141" s="113"/>
      <c r="P141" s="160"/>
      <c r="Q141" s="160"/>
      <c r="V141" s="53" t="s">
        <v>43</v>
      </c>
      <c r="X141" s="256">
        <v>13.55</v>
      </c>
      <c r="Y141" s="267">
        <f>'Additional information'!$D$18</f>
        <v>0.91</v>
      </c>
      <c r="Z141" s="219">
        <f t="shared" si="6"/>
        <v>12.330500000000001</v>
      </c>
      <c r="AA141" s="219"/>
    </row>
    <row r="142" spans="1:28" ht="32" x14ac:dyDescent="0.2">
      <c r="A142" s="108" t="s">
        <v>436</v>
      </c>
      <c r="B142" s="108" t="s">
        <v>437</v>
      </c>
      <c r="C142" s="51" t="s">
        <v>438</v>
      </c>
      <c r="D142" s="51" t="s">
        <v>439</v>
      </c>
      <c r="E142" s="121"/>
      <c r="F142" s="53" t="s">
        <v>108</v>
      </c>
      <c r="G142" s="53" t="s">
        <v>109</v>
      </c>
      <c r="H142" s="122"/>
      <c r="I142" s="160" t="s">
        <v>41</v>
      </c>
      <c r="J142" s="160"/>
      <c r="K142" s="160"/>
      <c r="L142" s="160"/>
      <c r="M142" s="160"/>
      <c r="N142" s="160" t="s">
        <v>440</v>
      </c>
      <c r="O142" s="160" t="s">
        <v>428</v>
      </c>
      <c r="P142" s="160"/>
      <c r="Q142" s="160"/>
      <c r="V142" s="53" t="s">
        <v>43</v>
      </c>
      <c r="X142" s="256">
        <v>13.55</v>
      </c>
      <c r="Y142" s="267">
        <f>'Additional information'!$D$18</f>
        <v>0.91</v>
      </c>
      <c r="Z142" s="219">
        <f t="shared" si="6"/>
        <v>12.330500000000001</v>
      </c>
      <c r="AA142" s="219"/>
    </row>
    <row r="143" spans="1:28" x14ac:dyDescent="0.2">
      <c r="A143" s="108" t="s">
        <v>27</v>
      </c>
      <c r="B143" s="108" t="s">
        <v>441</v>
      </c>
      <c r="C143" s="51"/>
      <c r="D143" s="51"/>
      <c r="E143" s="121"/>
      <c r="H143" s="122"/>
      <c r="I143" s="160"/>
      <c r="J143" s="160"/>
      <c r="K143" s="160"/>
      <c r="L143" s="160"/>
      <c r="M143" s="160"/>
      <c r="N143" s="160"/>
      <c r="O143" s="160"/>
      <c r="P143" s="160"/>
      <c r="Q143" s="160" t="s">
        <v>2028</v>
      </c>
      <c r="V143" s="53" t="s">
        <v>43</v>
      </c>
      <c r="X143" s="256"/>
      <c r="Y143" s="267">
        <f>'Additional information'!$D$18</f>
        <v>0.91</v>
      </c>
      <c r="Z143" s="219"/>
      <c r="AA143" s="219"/>
    </row>
    <row r="144" spans="1:28" x14ac:dyDescent="0.2">
      <c r="A144" s="108" t="s">
        <v>27</v>
      </c>
      <c r="B144" s="108" t="s">
        <v>2022</v>
      </c>
      <c r="C144" s="51"/>
      <c r="D144" s="51"/>
      <c r="E144" s="121"/>
      <c r="H144" s="122"/>
      <c r="I144" s="160"/>
      <c r="J144" s="160"/>
      <c r="K144" s="160"/>
      <c r="L144" s="160"/>
      <c r="M144" s="160"/>
      <c r="N144" s="160"/>
      <c r="O144" s="160"/>
      <c r="P144" s="160"/>
      <c r="Q144" s="160" t="s">
        <v>442</v>
      </c>
      <c r="V144" s="53" t="s">
        <v>43</v>
      </c>
      <c r="X144" s="256"/>
      <c r="Y144" s="267">
        <f>'Additional information'!$D$18</f>
        <v>0.91</v>
      </c>
      <c r="Z144" s="219"/>
      <c r="AA144" s="219"/>
    </row>
    <row r="145" spans="1:28" x14ac:dyDescent="0.2">
      <c r="E145" s="121"/>
      <c r="H145" s="122"/>
      <c r="X145" s="256"/>
      <c r="Y145" s="267">
        <f>'Additional information'!$D$18</f>
        <v>0.91</v>
      </c>
      <c r="Z145" s="219"/>
      <c r="AA145" s="219"/>
    </row>
    <row r="146" spans="1:28" ht="32" x14ac:dyDescent="0.2">
      <c r="A146" s="108" t="s">
        <v>211</v>
      </c>
      <c r="B146" s="108" t="s">
        <v>443</v>
      </c>
      <c r="C146" s="51" t="s">
        <v>2023</v>
      </c>
      <c r="D146" s="238" t="s">
        <v>2026</v>
      </c>
      <c r="E146" s="121"/>
      <c r="F146" s="133" t="s">
        <v>108</v>
      </c>
      <c r="G146" s="133" t="s">
        <v>109</v>
      </c>
      <c r="H146" s="145"/>
      <c r="I146" s="158" t="s">
        <v>41</v>
      </c>
      <c r="J146" s="158"/>
      <c r="K146" s="158"/>
      <c r="L146" s="158"/>
      <c r="M146" s="158"/>
      <c r="N146" s="158"/>
      <c r="O146" s="158"/>
      <c r="P146" s="158"/>
      <c r="Q146" s="158"/>
      <c r="V146" s="53" t="s">
        <v>43</v>
      </c>
      <c r="X146" s="256">
        <v>12.681487083435059</v>
      </c>
      <c r="Y146" s="267">
        <f>'Additional information'!$D$18</f>
        <v>0.91</v>
      </c>
      <c r="Z146" s="219">
        <f t="shared" si="6"/>
        <v>11.540153245925904</v>
      </c>
      <c r="AA146" s="219">
        <f t="shared" ref="AA146:AA177" si="7">IF(AND(X146&lt;&gt;"",V146="yes"),X146*Y146,"")</f>
        <v>11.540153245925904</v>
      </c>
    </row>
    <row r="147" spans="1:28" ht="32" x14ac:dyDescent="0.2">
      <c r="A147" s="108" t="s">
        <v>444</v>
      </c>
      <c r="B147" s="108" t="s">
        <v>445</v>
      </c>
      <c r="C147" s="114" t="s">
        <v>2024</v>
      </c>
      <c r="D147" s="238" t="s">
        <v>446</v>
      </c>
      <c r="E147" s="132"/>
      <c r="F147" s="53" t="s">
        <v>413</v>
      </c>
      <c r="G147" s="53" t="s">
        <v>447</v>
      </c>
      <c r="H147" s="122"/>
      <c r="I147" s="158" t="s">
        <v>41</v>
      </c>
      <c r="J147" s="158"/>
      <c r="K147" s="160" t="s">
        <v>448</v>
      </c>
      <c r="L147" s="158"/>
      <c r="M147" s="158"/>
      <c r="N147" s="160" t="s">
        <v>449</v>
      </c>
      <c r="O147" s="158"/>
      <c r="P147" s="158"/>
      <c r="Q147" s="158"/>
      <c r="V147" s="53" t="s">
        <v>43</v>
      </c>
      <c r="X147" s="256">
        <v>22.613609313964844</v>
      </c>
      <c r="Y147" s="267">
        <f>'Additional information'!$D$18</f>
        <v>0.91</v>
      </c>
      <c r="Z147" s="219">
        <f t="shared" si="6"/>
        <v>20.57838447570801</v>
      </c>
      <c r="AA147" s="219">
        <f t="shared" si="7"/>
        <v>20.57838447570801</v>
      </c>
    </row>
    <row r="148" spans="1:28" x14ac:dyDescent="0.2">
      <c r="D148" s="228"/>
      <c r="E148" s="121"/>
      <c r="H148" s="122"/>
      <c r="N148" s="170"/>
      <c r="V148" s="53" t="s">
        <v>69</v>
      </c>
      <c r="X148" s="256" t="s">
        <v>69</v>
      </c>
      <c r="Y148" s="267">
        <f>'Additional information'!$D$18</f>
        <v>0.91</v>
      </c>
      <c r="Z148" s="219" t="str">
        <f t="shared" si="6"/>
        <v/>
      </c>
      <c r="AA148" s="219" t="str">
        <f t="shared" si="7"/>
        <v/>
      </c>
    </row>
    <row r="149" spans="1:28" ht="48" x14ac:dyDescent="0.2">
      <c r="A149" s="108" t="s">
        <v>242</v>
      </c>
      <c r="B149" s="108" t="s">
        <v>450</v>
      </c>
      <c r="C149" s="114" t="s">
        <v>2025</v>
      </c>
      <c r="D149" s="238" t="s">
        <v>2027</v>
      </c>
      <c r="E149" s="132"/>
      <c r="F149" s="146" t="s">
        <v>451</v>
      </c>
      <c r="G149" s="146" t="s">
        <v>452</v>
      </c>
      <c r="H149" s="145"/>
      <c r="I149" s="158" t="s">
        <v>41</v>
      </c>
      <c r="J149" s="158"/>
      <c r="K149" s="158"/>
      <c r="L149" s="158"/>
      <c r="M149" s="158"/>
      <c r="N149" s="160"/>
      <c r="O149" s="158"/>
      <c r="P149" s="158"/>
      <c r="Q149" s="158"/>
      <c r="V149" s="53" t="s">
        <v>43</v>
      </c>
      <c r="X149" s="256">
        <v>21.701908111572266</v>
      </c>
      <c r="Y149" s="267">
        <f>'Additional information'!$D$18</f>
        <v>0.91</v>
      </c>
      <c r="Z149" s="219">
        <f t="shared" si="6"/>
        <v>19.748736381530762</v>
      </c>
      <c r="AA149" s="219">
        <f t="shared" si="7"/>
        <v>19.748736381530762</v>
      </c>
    </row>
    <row r="150" spans="1:28" x14ac:dyDescent="0.2">
      <c r="C150" s="55"/>
      <c r="D150" s="55"/>
      <c r="E150" s="132"/>
      <c r="F150" s="133"/>
      <c r="G150" s="133"/>
      <c r="H150" s="145"/>
      <c r="N150" s="170"/>
      <c r="V150" s="53" t="s">
        <v>69</v>
      </c>
      <c r="X150" s="256" t="s">
        <v>69</v>
      </c>
      <c r="Y150" s="267">
        <f>'Additional information'!$D$18</f>
        <v>0.91</v>
      </c>
      <c r="Z150" s="219" t="str">
        <f t="shared" si="6"/>
        <v/>
      </c>
      <c r="AA150" s="219" t="str">
        <f t="shared" si="7"/>
        <v/>
      </c>
    </row>
    <row r="151" spans="1:28" ht="16" thickBot="1" x14ac:dyDescent="0.25">
      <c r="A151" s="135" t="s">
        <v>146</v>
      </c>
      <c r="B151" s="135"/>
      <c r="C151" s="136"/>
      <c r="D151" s="136"/>
      <c r="E151" s="150"/>
      <c r="F151" s="135"/>
      <c r="G151" s="135"/>
      <c r="H151" s="151"/>
      <c r="I151" s="171"/>
      <c r="J151" s="171"/>
      <c r="K151" s="171"/>
      <c r="L151" s="171"/>
      <c r="M151" s="171"/>
      <c r="N151" s="171"/>
      <c r="O151" s="171"/>
      <c r="P151" s="171"/>
      <c r="Q151" s="171"/>
      <c r="X151" s="256" t="s">
        <v>69</v>
      </c>
      <c r="Z151" s="219" t="str">
        <f t="shared" si="6"/>
        <v/>
      </c>
      <c r="AA151" s="219" t="str">
        <f t="shared" si="7"/>
        <v/>
      </c>
    </row>
    <row r="152" spans="1:28" s="106" customFormat="1" ht="17" thickTop="1" x14ac:dyDescent="0.2">
      <c r="A152" s="103" t="s">
        <v>70</v>
      </c>
      <c r="B152" s="103" t="s">
        <v>453</v>
      </c>
      <c r="C152" s="127" t="s">
        <v>454</v>
      </c>
      <c r="D152" s="17" t="s">
        <v>455</v>
      </c>
      <c r="E152" s="104"/>
      <c r="F152" s="103"/>
      <c r="G152" s="103"/>
      <c r="H152" s="105"/>
      <c r="I152" s="163" t="s">
        <v>52</v>
      </c>
      <c r="J152" s="163"/>
      <c r="K152" s="163"/>
      <c r="L152" s="163"/>
      <c r="M152" s="163"/>
      <c r="N152" s="163" t="s">
        <v>456</v>
      </c>
      <c r="O152" s="163"/>
      <c r="P152" s="163"/>
      <c r="Q152" s="163"/>
      <c r="V152" s="53" t="s">
        <v>43</v>
      </c>
      <c r="X152" s="256"/>
      <c r="Y152" s="268"/>
      <c r="Z152" s="219" t="str">
        <f t="shared" si="6"/>
        <v/>
      </c>
      <c r="AA152" s="219" t="str">
        <f t="shared" si="7"/>
        <v/>
      </c>
      <c r="AB152" s="107"/>
    </row>
    <row r="153" spans="1:28" ht="48" x14ac:dyDescent="0.2">
      <c r="A153" s="108" t="s">
        <v>46</v>
      </c>
      <c r="B153" s="108" t="s">
        <v>457</v>
      </c>
      <c r="C153" s="51" t="s">
        <v>458</v>
      </c>
      <c r="D153" s="50" t="s">
        <v>459</v>
      </c>
      <c r="E153" s="121"/>
      <c r="F153" s="108"/>
      <c r="G153" s="108"/>
      <c r="H153" s="122"/>
      <c r="I153" s="158"/>
      <c r="J153" s="158"/>
      <c r="K153" s="158"/>
      <c r="L153" s="158"/>
      <c r="M153" s="158"/>
      <c r="N153" s="158"/>
      <c r="O153" s="158"/>
      <c r="P153" s="158"/>
      <c r="Q153" s="158"/>
      <c r="V153" s="53" t="s">
        <v>43</v>
      </c>
      <c r="X153" s="256">
        <v>7.5</v>
      </c>
      <c r="Y153" s="147">
        <f>'Additional information'!$D$19</f>
        <v>0.91</v>
      </c>
      <c r="Z153" s="219">
        <f t="shared" si="6"/>
        <v>6.8250000000000002</v>
      </c>
      <c r="AA153" s="219">
        <f t="shared" si="7"/>
        <v>6.8250000000000002</v>
      </c>
    </row>
    <row r="154" spans="1:28" s="106" customFormat="1" x14ac:dyDescent="0.2">
      <c r="C154" s="128"/>
      <c r="D154" s="228"/>
      <c r="E154" s="104"/>
      <c r="H154" s="105"/>
      <c r="I154" s="164"/>
      <c r="J154" s="164"/>
      <c r="K154" s="164"/>
      <c r="L154" s="164"/>
      <c r="M154" s="164"/>
      <c r="N154" s="164"/>
      <c r="O154" s="164"/>
      <c r="P154" s="164"/>
      <c r="Q154" s="164"/>
      <c r="V154" s="106" t="s">
        <v>69</v>
      </c>
      <c r="X154" s="256" t="s">
        <v>69</v>
      </c>
      <c r="Y154" s="147">
        <f>'Additional information'!$D$19</f>
        <v>0.91</v>
      </c>
      <c r="Z154" s="219" t="str">
        <f t="shared" si="6"/>
        <v/>
      </c>
      <c r="AA154" s="219" t="str">
        <f t="shared" si="7"/>
        <v/>
      </c>
      <c r="AB154" s="107"/>
    </row>
    <row r="155" spans="1:28" ht="128" x14ac:dyDescent="0.2">
      <c r="A155" s="108" t="s">
        <v>460</v>
      </c>
      <c r="B155" s="108" t="s">
        <v>461</v>
      </c>
      <c r="C155" s="51" t="s">
        <v>462</v>
      </c>
      <c r="D155" s="238" t="s">
        <v>463</v>
      </c>
      <c r="E155" s="121"/>
      <c r="F155" s="53" t="s">
        <v>464</v>
      </c>
      <c r="G155" s="54" t="s">
        <v>465</v>
      </c>
      <c r="H155" s="122"/>
      <c r="I155" s="158" t="s">
        <v>41</v>
      </c>
      <c r="J155" s="158" t="s">
        <v>130</v>
      </c>
      <c r="K155" s="158"/>
      <c r="L155" s="158"/>
      <c r="M155" s="158"/>
      <c r="N155" s="158"/>
      <c r="O155" s="158"/>
      <c r="P155" s="158"/>
      <c r="Q155" s="158"/>
      <c r="V155" s="53" t="s">
        <v>43</v>
      </c>
      <c r="X155" s="256">
        <v>20.294422149658203</v>
      </c>
      <c r="Y155" s="147">
        <f>'Additional information'!$D$19</f>
        <v>0.91</v>
      </c>
      <c r="Z155" s="219">
        <f t="shared" si="6"/>
        <v>18.467924156188964</v>
      </c>
      <c r="AA155" s="219">
        <f t="shared" si="7"/>
        <v>18.467924156188964</v>
      </c>
    </row>
    <row r="156" spans="1:28" x14ac:dyDescent="0.2">
      <c r="A156" s="108" t="s">
        <v>27</v>
      </c>
      <c r="B156" s="108" t="s">
        <v>466</v>
      </c>
      <c r="C156" s="51"/>
      <c r="D156" s="239"/>
      <c r="E156" s="121"/>
      <c r="H156" s="122"/>
      <c r="I156" s="158"/>
      <c r="J156" s="158"/>
      <c r="K156" s="158"/>
      <c r="L156" s="158"/>
      <c r="M156" s="158"/>
      <c r="N156" s="158"/>
      <c r="O156" s="158"/>
      <c r="P156" s="158"/>
      <c r="Q156" s="158" t="s">
        <v>467</v>
      </c>
      <c r="V156" s="53" t="s">
        <v>43</v>
      </c>
      <c r="X156" s="256"/>
      <c r="Y156" s="147">
        <f>'Additional information'!$D$19</f>
        <v>0.91</v>
      </c>
      <c r="Z156" s="219" t="str">
        <f t="shared" si="6"/>
        <v/>
      </c>
      <c r="AA156" s="219" t="str">
        <f t="shared" si="7"/>
        <v/>
      </c>
    </row>
    <row r="157" spans="1:28" x14ac:dyDescent="0.2">
      <c r="D157" s="53"/>
      <c r="E157" s="121"/>
      <c r="H157" s="122"/>
      <c r="N157" s="170"/>
      <c r="V157" s="53" t="s">
        <v>69</v>
      </c>
      <c r="X157" s="256" t="s">
        <v>69</v>
      </c>
      <c r="Y157" s="147">
        <f>'Additional information'!$D$19</f>
        <v>0.91</v>
      </c>
      <c r="Z157" s="219" t="str">
        <f t="shared" si="6"/>
        <v/>
      </c>
      <c r="AA157" s="219" t="str">
        <f t="shared" si="7"/>
        <v/>
      </c>
    </row>
    <row r="158" spans="1:28" ht="16" x14ac:dyDescent="0.2">
      <c r="A158" s="108" t="s">
        <v>84</v>
      </c>
      <c r="B158" s="108" t="s">
        <v>468</v>
      </c>
      <c r="C158" s="51" t="s">
        <v>469</v>
      </c>
      <c r="D158" s="238" t="s">
        <v>470</v>
      </c>
      <c r="E158" s="121"/>
      <c r="F158" s="108" t="s">
        <v>471</v>
      </c>
      <c r="G158" s="108" t="s">
        <v>472</v>
      </c>
      <c r="H158" s="122"/>
      <c r="I158" s="158" t="s">
        <v>41</v>
      </c>
      <c r="J158" s="158"/>
      <c r="K158" s="158" t="s">
        <v>473</v>
      </c>
      <c r="L158" s="158"/>
      <c r="M158" s="158"/>
      <c r="N158" s="158" t="s">
        <v>474</v>
      </c>
      <c r="O158" s="158"/>
      <c r="P158" s="158"/>
      <c r="Q158" s="158"/>
      <c r="V158" s="53" t="s">
        <v>43</v>
      </c>
      <c r="X158" s="256">
        <v>18.539077758789062</v>
      </c>
      <c r="Y158" s="147">
        <f>'Additional information'!$D$19</f>
        <v>0.91</v>
      </c>
      <c r="Z158" s="219">
        <f t="shared" si="6"/>
        <v>16.870560760498048</v>
      </c>
      <c r="AA158" s="219">
        <f t="shared" si="7"/>
        <v>16.870560760498048</v>
      </c>
    </row>
    <row r="159" spans="1:28" ht="16" x14ac:dyDescent="0.2">
      <c r="A159" s="108" t="s">
        <v>84</v>
      </c>
      <c r="B159" s="108" t="s">
        <v>475</v>
      </c>
      <c r="C159" s="51" t="s">
        <v>476</v>
      </c>
      <c r="D159" s="238" t="s">
        <v>477</v>
      </c>
      <c r="E159" s="121"/>
      <c r="F159" s="108" t="s">
        <v>471</v>
      </c>
      <c r="G159" s="108" t="s">
        <v>472</v>
      </c>
      <c r="H159" s="122"/>
      <c r="I159" s="158" t="s">
        <v>41</v>
      </c>
      <c r="J159" s="158"/>
      <c r="K159" s="158" t="s">
        <v>473</v>
      </c>
      <c r="L159" s="158"/>
      <c r="M159" s="158"/>
      <c r="N159" s="158" t="s">
        <v>474</v>
      </c>
      <c r="O159" s="158"/>
      <c r="P159" s="158"/>
      <c r="Q159" s="158"/>
      <c r="V159" s="53" t="s">
        <v>43</v>
      </c>
      <c r="X159" s="256">
        <v>8.9158916473388672</v>
      </c>
      <c r="Y159" s="147">
        <f>'Additional information'!$D$19</f>
        <v>0.91</v>
      </c>
      <c r="Z159" s="219">
        <f t="shared" si="6"/>
        <v>8.1134613990783695</v>
      </c>
      <c r="AA159" s="219">
        <f t="shared" si="7"/>
        <v>8.1134613990783695</v>
      </c>
    </row>
    <row r="160" spans="1:28" ht="16" x14ac:dyDescent="0.2">
      <c r="A160" s="108" t="s">
        <v>27</v>
      </c>
      <c r="B160" s="108" t="s">
        <v>478</v>
      </c>
      <c r="C160" s="51" t="s">
        <v>479</v>
      </c>
      <c r="D160" s="108" t="s">
        <v>480</v>
      </c>
      <c r="E160" s="121"/>
      <c r="F160" s="108"/>
      <c r="G160" s="108"/>
      <c r="H160" s="122"/>
      <c r="I160" s="158" t="s">
        <v>41</v>
      </c>
      <c r="J160" s="158"/>
      <c r="K160" s="158"/>
      <c r="L160" s="158"/>
      <c r="M160" s="158"/>
      <c r="N160" s="245" t="s">
        <v>481</v>
      </c>
      <c r="O160" s="158"/>
      <c r="P160" s="158"/>
      <c r="Q160" s="158" t="s">
        <v>482</v>
      </c>
      <c r="V160" s="53" t="s">
        <v>43</v>
      </c>
      <c r="X160" s="256"/>
      <c r="Y160" s="147">
        <f>'Additional information'!$D$19</f>
        <v>0.91</v>
      </c>
      <c r="Z160" s="219" t="str">
        <f t="shared" si="6"/>
        <v/>
      </c>
      <c r="AA160" s="219" t="str">
        <f t="shared" si="7"/>
        <v/>
      </c>
    </row>
    <row r="161" spans="1:28" x14ac:dyDescent="0.2">
      <c r="D161" s="53"/>
      <c r="E161" s="121"/>
      <c r="H161" s="122"/>
      <c r="V161" s="53" t="s">
        <v>69</v>
      </c>
      <c r="X161" s="256" t="s">
        <v>69</v>
      </c>
      <c r="Y161" s="147">
        <f>'Additional information'!$D$19</f>
        <v>0.91</v>
      </c>
      <c r="Z161" s="219" t="str">
        <f t="shared" si="6"/>
        <v/>
      </c>
      <c r="AA161" s="219" t="str">
        <f t="shared" si="7"/>
        <v/>
      </c>
    </row>
    <row r="162" spans="1:28" ht="16" x14ac:dyDescent="0.2">
      <c r="A162" s="108" t="s">
        <v>483</v>
      </c>
      <c r="B162" s="108" t="s">
        <v>484</v>
      </c>
      <c r="C162" s="51" t="s">
        <v>485</v>
      </c>
      <c r="D162" s="238" t="s">
        <v>486</v>
      </c>
      <c r="E162" s="121"/>
      <c r="F162" s="53" t="s">
        <v>320</v>
      </c>
      <c r="G162" s="53" t="s">
        <v>487</v>
      </c>
      <c r="H162" s="122"/>
      <c r="I162" s="158" t="s">
        <v>41</v>
      </c>
      <c r="J162" s="158"/>
      <c r="K162" s="158" t="s">
        <v>488</v>
      </c>
      <c r="L162" s="158"/>
      <c r="M162" s="158"/>
      <c r="N162" s="158" t="s">
        <v>474</v>
      </c>
      <c r="O162" s="158"/>
      <c r="P162" s="158"/>
      <c r="Q162" s="158"/>
      <c r="V162" s="53" t="s">
        <v>43</v>
      </c>
      <c r="X162" s="256">
        <v>25.81001091003418</v>
      </c>
      <c r="Y162" s="147">
        <f>'Additional information'!$D$19</f>
        <v>0.91</v>
      </c>
      <c r="Z162" s="219">
        <f t="shared" si="6"/>
        <v>23.487109928131105</v>
      </c>
      <c r="AA162" s="219">
        <f t="shared" si="7"/>
        <v>23.487109928131105</v>
      </c>
    </row>
    <row r="163" spans="1:28" x14ac:dyDescent="0.2">
      <c r="D163" s="53"/>
      <c r="E163" s="121"/>
      <c r="H163" s="122"/>
      <c r="N163" s="170"/>
      <c r="V163" s="53" t="s">
        <v>69</v>
      </c>
      <c r="X163" s="256" t="s">
        <v>69</v>
      </c>
      <c r="Y163" s="147">
        <f>'Additional information'!$D$19</f>
        <v>0.91</v>
      </c>
      <c r="Z163" s="219" t="str">
        <f t="shared" si="6"/>
        <v/>
      </c>
      <c r="AA163" s="219" t="str">
        <f t="shared" si="7"/>
        <v/>
      </c>
    </row>
    <row r="164" spans="1:28" s="110" customFormat="1" ht="16" x14ac:dyDescent="0.2">
      <c r="A164" s="110" t="s">
        <v>489</v>
      </c>
      <c r="B164" s="110" t="s">
        <v>490</v>
      </c>
      <c r="C164" s="111" t="s">
        <v>491</v>
      </c>
      <c r="D164" s="71" t="s">
        <v>492</v>
      </c>
      <c r="E164" s="112"/>
      <c r="F164" s="110" t="s">
        <v>320</v>
      </c>
      <c r="G164" s="110" t="s">
        <v>487</v>
      </c>
      <c r="H164" s="116"/>
      <c r="I164" s="159" t="s">
        <v>41</v>
      </c>
      <c r="J164" s="159"/>
      <c r="K164" s="159" t="s">
        <v>448</v>
      </c>
      <c r="L164" s="159"/>
      <c r="M164" s="159"/>
      <c r="N164" s="159"/>
      <c r="O164" s="159"/>
      <c r="P164" s="159"/>
      <c r="Q164" s="159"/>
      <c r="V164" s="110" t="s">
        <v>53</v>
      </c>
      <c r="X164" s="256">
        <v>19.553197860717773</v>
      </c>
      <c r="Y164" s="147">
        <f>'Additional information'!$D$19</f>
        <v>0.91</v>
      </c>
      <c r="Z164" s="219">
        <f t="shared" si="6"/>
        <v>17.793410053253176</v>
      </c>
      <c r="AA164" s="219" t="str">
        <f t="shared" si="7"/>
        <v/>
      </c>
      <c r="AB164" s="109"/>
    </row>
    <row r="165" spans="1:28" s="110" customFormat="1" x14ac:dyDescent="0.2">
      <c r="C165" s="111"/>
      <c r="E165" s="112"/>
      <c r="H165" s="116"/>
      <c r="I165" s="159"/>
      <c r="J165" s="159"/>
      <c r="K165" s="159"/>
      <c r="L165" s="159"/>
      <c r="M165" s="159"/>
      <c r="N165" s="159"/>
      <c r="O165" s="159"/>
      <c r="P165" s="159"/>
      <c r="Q165" s="159"/>
      <c r="V165" s="110" t="s">
        <v>69</v>
      </c>
      <c r="X165" s="256" t="s">
        <v>69</v>
      </c>
      <c r="Y165" s="147">
        <f>'Additional information'!$D$19</f>
        <v>0.91</v>
      </c>
      <c r="Z165" s="219" t="str">
        <f t="shared" si="6"/>
        <v/>
      </c>
      <c r="AA165" s="219" t="str">
        <f t="shared" si="7"/>
        <v/>
      </c>
      <c r="AB165" s="109"/>
    </row>
    <row r="166" spans="1:28" ht="32" x14ac:dyDescent="0.2">
      <c r="A166" s="108" t="s">
        <v>211</v>
      </c>
      <c r="B166" s="108" t="s">
        <v>493</v>
      </c>
      <c r="C166" s="51" t="s">
        <v>494</v>
      </c>
      <c r="D166" s="238" t="s">
        <v>495</v>
      </c>
      <c r="E166" s="121"/>
      <c r="F166" s="53" t="s">
        <v>108</v>
      </c>
      <c r="G166" s="53" t="s">
        <v>109</v>
      </c>
      <c r="H166" s="122"/>
      <c r="I166" s="158" t="s">
        <v>41</v>
      </c>
      <c r="J166" s="158"/>
      <c r="K166" s="158"/>
      <c r="L166" s="158"/>
      <c r="M166" s="158"/>
      <c r="N166" s="160"/>
      <c r="O166" s="158"/>
      <c r="P166" s="158"/>
      <c r="Q166" s="158"/>
      <c r="V166" s="53" t="s">
        <v>43</v>
      </c>
      <c r="X166" s="256">
        <v>13.613316535949707</v>
      </c>
      <c r="Y166" s="147">
        <f>'Additional information'!$D$19</f>
        <v>0.91</v>
      </c>
      <c r="Z166" s="219">
        <f t="shared" si="6"/>
        <v>12.388118047714233</v>
      </c>
      <c r="AA166" s="219">
        <f t="shared" si="7"/>
        <v>12.388118047714233</v>
      </c>
    </row>
    <row r="167" spans="1:28" ht="32" x14ac:dyDescent="0.2">
      <c r="A167" s="108" t="s">
        <v>496</v>
      </c>
      <c r="B167" s="108" t="s">
        <v>497</v>
      </c>
      <c r="C167" s="51" t="s">
        <v>498</v>
      </c>
      <c r="D167" s="238" t="s">
        <v>499</v>
      </c>
      <c r="E167" s="121"/>
      <c r="F167" s="53" t="s">
        <v>413</v>
      </c>
      <c r="G167" s="53" t="s">
        <v>500</v>
      </c>
      <c r="H167" s="122"/>
      <c r="I167" s="158" t="s">
        <v>41</v>
      </c>
      <c r="J167" s="158"/>
      <c r="K167" s="160" t="s">
        <v>448</v>
      </c>
      <c r="L167" s="158"/>
      <c r="M167" s="158"/>
      <c r="N167" s="160" t="s">
        <v>501</v>
      </c>
      <c r="O167" s="158"/>
      <c r="P167" s="158"/>
      <c r="Q167" s="158"/>
      <c r="V167" s="53" t="s">
        <v>43</v>
      </c>
      <c r="X167" s="256">
        <v>27.754648208618164</v>
      </c>
      <c r="Y167" s="147">
        <f>'Additional information'!$D$19</f>
        <v>0.91</v>
      </c>
      <c r="Z167" s="219">
        <f t="shared" si="6"/>
        <v>25.25672986984253</v>
      </c>
      <c r="AA167" s="219">
        <f t="shared" si="7"/>
        <v>25.25672986984253</v>
      </c>
    </row>
    <row r="168" spans="1:28" x14ac:dyDescent="0.2">
      <c r="D168" s="53"/>
      <c r="E168" s="121"/>
      <c r="H168" s="122"/>
      <c r="N168" s="170"/>
      <c r="V168" s="53" t="s">
        <v>69</v>
      </c>
      <c r="X168" s="256" t="s">
        <v>69</v>
      </c>
      <c r="Y168" s="147">
        <f>'Additional information'!$D$19</f>
        <v>0.91</v>
      </c>
      <c r="Z168" s="219" t="str">
        <f t="shared" si="6"/>
        <v/>
      </c>
      <c r="AA168" s="219" t="str">
        <f t="shared" si="7"/>
        <v/>
      </c>
    </row>
    <row r="169" spans="1:28" s="110" customFormat="1" ht="16" x14ac:dyDescent="0.2">
      <c r="A169" s="110" t="s">
        <v>502</v>
      </c>
      <c r="B169" s="110" t="s">
        <v>503</v>
      </c>
      <c r="C169" s="111" t="s">
        <v>504</v>
      </c>
      <c r="D169" s="71" t="s">
        <v>505</v>
      </c>
      <c r="E169" s="112"/>
      <c r="F169" s="110" t="s">
        <v>506</v>
      </c>
      <c r="G169" s="110" t="s">
        <v>507</v>
      </c>
      <c r="H169" s="116"/>
      <c r="I169" s="159" t="s">
        <v>41</v>
      </c>
      <c r="J169" s="159" t="s">
        <v>130</v>
      </c>
      <c r="K169" s="159" t="s">
        <v>508</v>
      </c>
      <c r="L169" s="159"/>
      <c r="M169" s="159"/>
      <c r="N169" s="159" t="s">
        <v>509</v>
      </c>
      <c r="O169" s="159" t="s">
        <v>510</v>
      </c>
      <c r="P169" s="165"/>
      <c r="Q169" s="165"/>
      <c r="R169" s="53"/>
      <c r="V169" s="110" t="s">
        <v>53</v>
      </c>
      <c r="X169" s="256">
        <v>17</v>
      </c>
      <c r="Y169" s="147">
        <f>'Additional information'!$D$19</f>
        <v>0.91</v>
      </c>
      <c r="Z169" s="219">
        <f t="shared" si="6"/>
        <v>15.47</v>
      </c>
      <c r="AA169" s="219" t="str">
        <f t="shared" si="7"/>
        <v/>
      </c>
      <c r="AB169" s="109"/>
    </row>
    <row r="170" spans="1:28" x14ac:dyDescent="0.2">
      <c r="E170" s="121"/>
      <c r="H170" s="122"/>
      <c r="N170" s="170"/>
      <c r="V170" s="53" t="s">
        <v>69</v>
      </c>
      <c r="X170" s="256" t="s">
        <v>69</v>
      </c>
      <c r="Y170" s="147">
        <f>'Additional information'!$D$19</f>
        <v>0.91</v>
      </c>
      <c r="Z170" s="219" t="str">
        <f t="shared" si="6"/>
        <v/>
      </c>
      <c r="AA170" s="219" t="str">
        <f t="shared" si="7"/>
        <v/>
      </c>
    </row>
    <row r="171" spans="1:28" ht="16" thickBot="1" x14ac:dyDescent="0.25">
      <c r="A171" s="135" t="s">
        <v>146</v>
      </c>
      <c r="B171" s="135"/>
      <c r="C171" s="136"/>
      <c r="D171" s="136"/>
      <c r="E171" s="150"/>
      <c r="F171" s="135"/>
      <c r="G171" s="135"/>
      <c r="H171" s="151"/>
      <c r="I171" s="171"/>
      <c r="J171" s="171"/>
      <c r="K171" s="171"/>
      <c r="L171" s="171"/>
      <c r="M171" s="171"/>
      <c r="N171" s="171"/>
      <c r="O171" s="171"/>
      <c r="P171" s="171"/>
      <c r="Q171" s="171"/>
      <c r="X171" s="256" t="s">
        <v>69</v>
      </c>
      <c r="Y171" s="266"/>
      <c r="Z171" s="219" t="str">
        <f t="shared" si="6"/>
        <v/>
      </c>
      <c r="AA171" s="219" t="str">
        <f t="shared" si="7"/>
        <v/>
      </c>
    </row>
    <row r="172" spans="1:28" s="106" customFormat="1" ht="17" thickTop="1" x14ac:dyDescent="0.2">
      <c r="A172" s="103" t="s">
        <v>70</v>
      </c>
      <c r="B172" s="103" t="s">
        <v>511</v>
      </c>
      <c r="C172" s="127" t="s">
        <v>512</v>
      </c>
      <c r="D172" s="17" t="s">
        <v>513</v>
      </c>
      <c r="E172" s="104"/>
      <c r="F172" s="103"/>
      <c r="G172" s="103"/>
      <c r="H172" s="105"/>
      <c r="I172" s="163" t="s">
        <v>52</v>
      </c>
      <c r="J172" s="163"/>
      <c r="K172" s="163"/>
      <c r="L172" s="163"/>
      <c r="M172" s="163"/>
      <c r="N172" s="163" t="s">
        <v>514</v>
      </c>
      <c r="O172" s="163"/>
      <c r="P172" s="163"/>
      <c r="Q172" s="163"/>
      <c r="V172" s="53" t="s">
        <v>43</v>
      </c>
      <c r="X172" s="256"/>
      <c r="Y172" s="266"/>
      <c r="Z172" s="219" t="str">
        <f t="shared" si="6"/>
        <v/>
      </c>
      <c r="AA172" s="219" t="str">
        <f t="shared" si="7"/>
        <v/>
      </c>
      <c r="AB172" s="107"/>
    </row>
    <row r="173" spans="1:28" s="106" customFormat="1" x14ac:dyDescent="0.2">
      <c r="C173" s="128"/>
      <c r="D173" s="128"/>
      <c r="E173" s="104"/>
      <c r="H173" s="105"/>
      <c r="I173" s="164"/>
      <c r="J173" s="164"/>
      <c r="K173" s="164"/>
      <c r="L173" s="164"/>
      <c r="M173" s="164"/>
      <c r="N173" s="164"/>
      <c r="O173" s="164"/>
      <c r="P173" s="164"/>
      <c r="Q173" s="164"/>
      <c r="V173" s="106" t="s">
        <v>69</v>
      </c>
      <c r="X173" s="256" t="s">
        <v>69</v>
      </c>
      <c r="Y173" s="147">
        <f>'Additional information'!$D$19</f>
        <v>0.91</v>
      </c>
      <c r="Z173" s="219" t="str">
        <f t="shared" si="6"/>
        <v/>
      </c>
      <c r="AA173" s="219" t="str">
        <f t="shared" si="7"/>
        <v/>
      </c>
      <c r="AB173" s="107"/>
    </row>
    <row r="174" spans="1:28" s="106" customFormat="1" ht="32" x14ac:dyDescent="0.2">
      <c r="A174" s="108" t="s">
        <v>515</v>
      </c>
      <c r="B174" s="108" t="s">
        <v>516</v>
      </c>
      <c r="C174" s="51" t="s">
        <v>517</v>
      </c>
      <c r="D174" s="238" t="s">
        <v>518</v>
      </c>
      <c r="E174" s="121"/>
      <c r="F174" s="53" t="s">
        <v>108</v>
      </c>
      <c r="G174" s="53" t="s">
        <v>519</v>
      </c>
      <c r="H174" s="122"/>
      <c r="I174" s="158" t="s">
        <v>41</v>
      </c>
      <c r="J174" s="158" t="s">
        <v>130</v>
      </c>
      <c r="K174" s="163"/>
      <c r="L174" s="163"/>
      <c r="M174" s="163"/>
      <c r="N174" s="163"/>
      <c r="O174" s="163"/>
      <c r="P174" s="163"/>
      <c r="Q174" s="163"/>
      <c r="V174" s="53" t="s">
        <v>43</v>
      </c>
      <c r="X174" s="256">
        <v>13.999390602111816</v>
      </c>
      <c r="Y174" s="147">
        <f>'Additional information'!$D$19</f>
        <v>0.91</v>
      </c>
      <c r="Z174" s="219">
        <f t="shared" si="6"/>
        <v>12.739445447921753</v>
      </c>
      <c r="AA174" s="219">
        <f t="shared" si="7"/>
        <v>12.739445447921753</v>
      </c>
      <c r="AB174" s="107"/>
    </row>
    <row r="175" spans="1:28" x14ac:dyDescent="0.2">
      <c r="A175" s="108" t="s">
        <v>27</v>
      </c>
      <c r="B175" s="108" t="s">
        <v>520</v>
      </c>
      <c r="C175" s="51"/>
      <c r="D175" s="240"/>
      <c r="E175" s="121"/>
      <c r="H175" s="122"/>
      <c r="I175" s="158"/>
      <c r="J175" s="158"/>
      <c r="K175" s="158"/>
      <c r="L175" s="158"/>
      <c r="M175" s="158"/>
      <c r="N175" s="158"/>
      <c r="O175" s="158"/>
      <c r="P175" s="158"/>
      <c r="Q175" s="158" t="s">
        <v>521</v>
      </c>
      <c r="V175" s="53" t="s">
        <v>43</v>
      </c>
      <c r="X175" s="256"/>
      <c r="Y175" s="147">
        <f>'Additional information'!$D$19</f>
        <v>0.91</v>
      </c>
      <c r="Z175" s="219" t="str">
        <f t="shared" si="6"/>
        <v/>
      </c>
      <c r="AA175" s="219" t="str">
        <f t="shared" si="7"/>
        <v/>
      </c>
    </row>
    <row r="176" spans="1:28" x14ac:dyDescent="0.2">
      <c r="D176" s="53"/>
      <c r="E176" s="121"/>
      <c r="H176" s="122"/>
      <c r="V176" s="53" t="s">
        <v>69</v>
      </c>
      <c r="X176" s="256" t="s">
        <v>69</v>
      </c>
      <c r="Y176" s="147">
        <f>'Additional information'!$D$19</f>
        <v>0.91</v>
      </c>
      <c r="Z176" s="219" t="str">
        <f t="shared" si="6"/>
        <v/>
      </c>
      <c r="AA176" s="219" t="str">
        <f t="shared" si="7"/>
        <v/>
      </c>
    </row>
    <row r="177" spans="1:28" ht="32" x14ac:dyDescent="0.2">
      <c r="A177" s="108" t="s">
        <v>211</v>
      </c>
      <c r="B177" s="108" t="s">
        <v>522</v>
      </c>
      <c r="C177" s="51" t="s">
        <v>523</v>
      </c>
      <c r="D177" s="238" t="s">
        <v>524</v>
      </c>
      <c r="E177" s="121"/>
      <c r="F177" s="53" t="s">
        <v>108</v>
      </c>
      <c r="G177" s="53" t="s">
        <v>109</v>
      </c>
      <c r="H177" s="122"/>
      <c r="I177" s="158" t="s">
        <v>41</v>
      </c>
      <c r="J177" s="158"/>
      <c r="K177" s="158"/>
      <c r="L177" s="158"/>
      <c r="M177" s="158"/>
      <c r="N177" s="158"/>
      <c r="O177" s="158"/>
      <c r="P177" s="158"/>
      <c r="Q177" s="158"/>
      <c r="V177" s="53" t="s">
        <v>43</v>
      </c>
      <c r="X177" s="256">
        <v>10.25279426574707</v>
      </c>
      <c r="Y177" s="147">
        <f>'Additional information'!$D$19</f>
        <v>0.91</v>
      </c>
      <c r="Z177" s="219">
        <f t="shared" si="6"/>
        <v>9.3300427818298335</v>
      </c>
      <c r="AA177" s="219">
        <f t="shared" si="7"/>
        <v>9.3300427818298335</v>
      </c>
    </row>
    <row r="178" spans="1:28" ht="32" x14ac:dyDescent="0.2">
      <c r="A178" s="108" t="s">
        <v>525</v>
      </c>
      <c r="B178" s="108" t="s">
        <v>526</v>
      </c>
      <c r="C178" s="51" t="s">
        <v>527</v>
      </c>
      <c r="D178" s="238" t="s">
        <v>528</v>
      </c>
      <c r="E178" s="121"/>
      <c r="F178" s="53" t="s">
        <v>413</v>
      </c>
      <c r="G178" s="53" t="s">
        <v>529</v>
      </c>
      <c r="H178" s="122"/>
      <c r="I178" s="158" t="s">
        <v>41</v>
      </c>
      <c r="J178" s="158"/>
      <c r="K178" s="160" t="s">
        <v>448</v>
      </c>
      <c r="L178" s="160"/>
      <c r="M178" s="160"/>
      <c r="N178" s="160" t="s">
        <v>530</v>
      </c>
      <c r="O178" s="158"/>
      <c r="P178" s="158"/>
      <c r="Q178" s="158"/>
      <c r="V178" s="53" t="s">
        <v>43</v>
      </c>
      <c r="X178" s="256">
        <v>24.194343566894531</v>
      </c>
      <c r="Y178" s="147">
        <f>'Additional information'!$D$19</f>
        <v>0.91</v>
      </c>
      <c r="Z178" s="219">
        <f t="shared" si="6"/>
        <v>22.016852645874025</v>
      </c>
      <c r="AA178" s="219">
        <f t="shared" ref="AA178:AA209" si="8">IF(AND(X178&lt;&gt;"",V178="yes"),X178*Y178,"")</f>
        <v>22.016852645874025</v>
      </c>
    </row>
    <row r="179" spans="1:28" x14ac:dyDescent="0.2">
      <c r="D179" s="229"/>
      <c r="E179" s="121"/>
      <c r="H179" s="122"/>
      <c r="N179" s="170"/>
      <c r="V179" s="53" t="s">
        <v>69</v>
      </c>
      <c r="X179" s="256" t="s">
        <v>69</v>
      </c>
      <c r="Y179" s="147">
        <f>'Additional information'!$D$19</f>
        <v>0.91</v>
      </c>
      <c r="Z179" s="219" t="str">
        <f t="shared" si="6"/>
        <v/>
      </c>
      <c r="AA179" s="219" t="str">
        <f t="shared" si="8"/>
        <v/>
      </c>
    </row>
    <row r="180" spans="1:28" ht="48" x14ac:dyDescent="0.2">
      <c r="A180" s="108" t="s">
        <v>242</v>
      </c>
      <c r="B180" s="108" t="s">
        <v>531</v>
      </c>
      <c r="C180" s="114" t="s">
        <v>532</v>
      </c>
      <c r="D180" s="238" t="s">
        <v>533</v>
      </c>
      <c r="E180" s="121"/>
      <c r="F180" s="108" t="s">
        <v>451</v>
      </c>
      <c r="G180" s="146" t="s">
        <v>534</v>
      </c>
      <c r="H180" s="122"/>
      <c r="I180" s="158" t="s">
        <v>41</v>
      </c>
      <c r="J180" s="158"/>
      <c r="K180" s="158"/>
      <c r="L180" s="158"/>
      <c r="M180" s="158"/>
      <c r="N180" s="160"/>
      <c r="O180" s="158"/>
      <c r="P180" s="158"/>
      <c r="Q180" s="158"/>
      <c r="V180" s="53" t="s">
        <v>43</v>
      </c>
      <c r="X180" s="256">
        <v>19.321737289428711</v>
      </c>
      <c r="Y180" s="147">
        <f>'Additional information'!$D$19</f>
        <v>0.91</v>
      </c>
      <c r="Z180" s="219">
        <f t="shared" si="6"/>
        <v>17.582780933380128</v>
      </c>
      <c r="AA180" s="219">
        <f t="shared" si="8"/>
        <v>17.582780933380128</v>
      </c>
    </row>
    <row r="181" spans="1:28" x14ac:dyDescent="0.2">
      <c r="C181" s="55"/>
      <c r="D181" s="55"/>
      <c r="E181" s="121"/>
      <c r="H181" s="122"/>
      <c r="N181" s="170"/>
      <c r="V181" s="53" t="s">
        <v>69</v>
      </c>
      <c r="X181" s="256" t="s">
        <v>69</v>
      </c>
      <c r="Y181" s="147">
        <f>'Additional information'!$D$19</f>
        <v>0.91</v>
      </c>
      <c r="Z181" s="219" t="str">
        <f t="shared" si="6"/>
        <v/>
      </c>
      <c r="AA181" s="219" t="str">
        <f t="shared" si="8"/>
        <v/>
      </c>
    </row>
    <row r="182" spans="1:28" ht="16" thickBot="1" x14ac:dyDescent="0.25">
      <c r="A182" s="135" t="s">
        <v>146</v>
      </c>
      <c r="B182" s="135"/>
      <c r="C182" s="136"/>
      <c r="D182" s="136"/>
      <c r="E182" s="150"/>
      <c r="F182" s="135"/>
      <c r="G182" s="135"/>
      <c r="H182" s="151"/>
      <c r="I182" s="171"/>
      <c r="J182" s="171"/>
      <c r="K182" s="171"/>
      <c r="L182" s="171"/>
      <c r="M182" s="171"/>
      <c r="N182" s="171"/>
      <c r="O182" s="171"/>
      <c r="P182" s="171"/>
      <c r="Q182" s="171"/>
      <c r="X182" s="256" t="s">
        <v>69</v>
      </c>
      <c r="Z182" s="219" t="str">
        <f t="shared" si="6"/>
        <v/>
      </c>
      <c r="AA182" s="219" t="str">
        <f t="shared" si="8"/>
        <v/>
      </c>
    </row>
    <row r="183" spans="1:28" s="106" customFormat="1" ht="17" thickTop="1" x14ac:dyDescent="0.2">
      <c r="A183" s="103" t="s">
        <v>70</v>
      </c>
      <c r="B183" s="103" t="s">
        <v>535</v>
      </c>
      <c r="C183" s="127" t="s">
        <v>536</v>
      </c>
      <c r="D183" s="17" t="s">
        <v>537</v>
      </c>
      <c r="E183" s="104"/>
      <c r="F183" s="103"/>
      <c r="G183" s="103"/>
      <c r="H183" s="105"/>
      <c r="I183" s="163" t="s">
        <v>52</v>
      </c>
      <c r="J183" s="163"/>
      <c r="K183" s="163"/>
      <c r="L183" s="163"/>
      <c r="M183" s="163"/>
      <c r="N183" s="163" t="s">
        <v>538</v>
      </c>
      <c r="O183" s="163"/>
      <c r="P183" s="163"/>
      <c r="Q183" s="163"/>
      <c r="V183" s="53" t="s">
        <v>43</v>
      </c>
      <c r="X183" s="256"/>
      <c r="Y183" s="268"/>
      <c r="Z183" s="219" t="str">
        <f t="shared" si="6"/>
        <v/>
      </c>
      <c r="AA183" s="219" t="str">
        <f t="shared" si="8"/>
        <v/>
      </c>
      <c r="AB183" s="107"/>
    </row>
    <row r="184" spans="1:28" s="109" customFormat="1" ht="48" x14ac:dyDescent="0.2">
      <c r="A184" s="113" t="s">
        <v>46</v>
      </c>
      <c r="B184" s="113" t="s">
        <v>539</v>
      </c>
      <c r="C184" s="114" t="s">
        <v>540</v>
      </c>
      <c r="D184" s="241" t="s">
        <v>541</v>
      </c>
      <c r="E184" s="132"/>
      <c r="H184" s="134"/>
      <c r="I184" s="160"/>
      <c r="J184" s="160"/>
      <c r="K184" s="160"/>
      <c r="L184" s="160"/>
      <c r="M184" s="160"/>
      <c r="N184" s="160"/>
      <c r="O184" s="160"/>
      <c r="P184" s="160"/>
      <c r="Q184" s="160"/>
      <c r="V184" s="109" t="s">
        <v>43</v>
      </c>
      <c r="X184" s="256">
        <v>7.5</v>
      </c>
      <c r="Y184" s="147">
        <f>'Additional information'!$D$20</f>
        <v>0.05</v>
      </c>
      <c r="Z184" s="219">
        <f t="shared" si="6"/>
        <v>0.375</v>
      </c>
      <c r="AA184" s="219">
        <f t="shared" si="8"/>
        <v>0.375</v>
      </c>
    </row>
    <row r="185" spans="1:28" s="106" customFormat="1" x14ac:dyDescent="0.2">
      <c r="C185" s="128"/>
      <c r="D185" s="229"/>
      <c r="E185" s="104"/>
      <c r="H185" s="105"/>
      <c r="I185" s="164"/>
      <c r="J185" s="164"/>
      <c r="K185" s="164"/>
      <c r="L185" s="164"/>
      <c r="M185" s="164"/>
      <c r="N185" s="164"/>
      <c r="O185" s="164"/>
      <c r="P185" s="164"/>
      <c r="Q185" s="164"/>
      <c r="V185" s="106" t="s">
        <v>69</v>
      </c>
      <c r="X185" s="256" t="s">
        <v>69</v>
      </c>
      <c r="Y185" s="147">
        <f>'Additional information'!$D$20</f>
        <v>0.05</v>
      </c>
      <c r="Z185" s="219" t="str">
        <f t="shared" si="6"/>
        <v/>
      </c>
      <c r="AA185" s="219" t="str">
        <f t="shared" si="8"/>
        <v/>
      </c>
      <c r="AB185" s="107"/>
    </row>
    <row r="186" spans="1:28" ht="16" x14ac:dyDescent="0.2">
      <c r="A186" s="108" t="s">
        <v>542</v>
      </c>
      <c r="B186" s="108" t="s">
        <v>543</v>
      </c>
      <c r="C186" s="51" t="s">
        <v>544</v>
      </c>
      <c r="D186" s="238" t="s">
        <v>545</v>
      </c>
      <c r="E186" s="121"/>
      <c r="F186" s="53" t="s">
        <v>546</v>
      </c>
      <c r="G186" s="53" t="s">
        <v>487</v>
      </c>
      <c r="H186" s="122"/>
      <c r="I186" s="158" t="s">
        <v>41</v>
      </c>
      <c r="J186" s="158"/>
      <c r="K186" s="158" t="s">
        <v>448</v>
      </c>
      <c r="L186" s="158"/>
      <c r="M186" s="158"/>
      <c r="N186" s="158"/>
      <c r="O186" s="158"/>
      <c r="P186" s="158"/>
      <c r="Q186" s="158"/>
      <c r="V186" s="53" t="s">
        <v>43</v>
      </c>
      <c r="X186" s="256">
        <v>19.090116500854492</v>
      </c>
      <c r="Y186" s="147">
        <f>'Additional information'!$D$20</f>
        <v>0.05</v>
      </c>
      <c r="Z186" s="219">
        <f t="shared" si="6"/>
        <v>0.95450582504272463</v>
      </c>
      <c r="AA186" s="219">
        <f t="shared" si="8"/>
        <v>0.95450582504272463</v>
      </c>
    </row>
    <row r="187" spans="1:28" x14ac:dyDescent="0.2">
      <c r="D187" s="228"/>
      <c r="E187" s="121"/>
      <c r="H187" s="122"/>
      <c r="V187" s="53" t="s">
        <v>69</v>
      </c>
      <c r="X187" s="256" t="s">
        <v>69</v>
      </c>
      <c r="Y187" s="147">
        <f>'Additional information'!$D$20</f>
        <v>0.05</v>
      </c>
      <c r="Z187" s="219" t="str">
        <f t="shared" si="6"/>
        <v/>
      </c>
      <c r="AA187" s="219" t="str">
        <f t="shared" si="8"/>
        <v/>
      </c>
    </row>
    <row r="188" spans="1:28" ht="32" x14ac:dyDescent="0.2">
      <c r="A188" s="108" t="s">
        <v>242</v>
      </c>
      <c r="B188" s="108" t="s">
        <v>547</v>
      </c>
      <c r="C188" s="51" t="s">
        <v>548</v>
      </c>
      <c r="D188" s="238" t="s">
        <v>549</v>
      </c>
      <c r="E188" s="121"/>
      <c r="F188" s="53" t="s">
        <v>550</v>
      </c>
      <c r="G188" s="53" t="s">
        <v>109</v>
      </c>
      <c r="H188" s="122"/>
      <c r="I188" s="158" t="s">
        <v>41</v>
      </c>
      <c r="J188" s="158"/>
      <c r="K188" s="158"/>
      <c r="L188" s="158"/>
      <c r="M188" s="158"/>
      <c r="N188" s="158"/>
      <c r="O188" s="158"/>
      <c r="P188" s="158"/>
      <c r="Q188" s="158"/>
      <c r="V188" s="53" t="s">
        <v>43</v>
      </c>
      <c r="X188" s="256">
        <v>17.656976699829102</v>
      </c>
      <c r="Y188" s="147">
        <f>'Additional information'!$D$20</f>
        <v>0.05</v>
      </c>
      <c r="Z188" s="219">
        <f t="shared" si="6"/>
        <v>0.88284883499145517</v>
      </c>
      <c r="AA188" s="219">
        <f t="shared" si="8"/>
        <v>0.88284883499145517</v>
      </c>
    </row>
    <row r="189" spans="1:28" x14ac:dyDescent="0.2">
      <c r="D189" s="229"/>
      <c r="E189" s="121"/>
      <c r="H189" s="122"/>
      <c r="V189" s="53" t="s">
        <v>69</v>
      </c>
      <c r="X189" s="256" t="s">
        <v>69</v>
      </c>
      <c r="Y189" s="147">
        <f>'Additional information'!$D$20</f>
        <v>0.05</v>
      </c>
      <c r="Z189" s="219" t="str">
        <f t="shared" si="6"/>
        <v/>
      </c>
      <c r="AA189" s="219" t="str">
        <f t="shared" si="8"/>
        <v/>
      </c>
    </row>
    <row r="190" spans="1:28" ht="32" x14ac:dyDescent="0.2">
      <c r="A190" s="108" t="s">
        <v>211</v>
      </c>
      <c r="B190" s="108" t="s">
        <v>551</v>
      </c>
      <c r="C190" s="51" t="s">
        <v>552</v>
      </c>
      <c r="D190" s="238" t="s">
        <v>553</v>
      </c>
      <c r="E190" s="121"/>
      <c r="F190" s="53" t="s">
        <v>108</v>
      </c>
      <c r="G190" s="53" t="s">
        <v>109</v>
      </c>
      <c r="H190" s="122"/>
      <c r="I190" s="158" t="s">
        <v>41</v>
      </c>
      <c r="J190" s="158"/>
      <c r="K190" s="158"/>
      <c r="L190" s="158"/>
      <c r="M190" s="158"/>
      <c r="N190" s="158"/>
      <c r="O190" s="158"/>
      <c r="P190" s="158"/>
      <c r="Q190" s="158"/>
      <c r="V190" s="53" t="s">
        <v>43</v>
      </c>
      <c r="X190" s="258">
        <v>8.7647056579589844</v>
      </c>
      <c r="Y190" s="147">
        <f>'Additional information'!$D$20</f>
        <v>0.05</v>
      </c>
      <c r="Z190" s="219">
        <f t="shared" si="6"/>
        <v>0.43823528289794922</v>
      </c>
      <c r="AA190" s="219">
        <f t="shared" si="8"/>
        <v>0.43823528289794922</v>
      </c>
    </row>
    <row r="191" spans="1:28" ht="32" x14ac:dyDescent="0.2">
      <c r="A191" s="108" t="s">
        <v>554</v>
      </c>
      <c r="B191" s="108" t="s">
        <v>555</v>
      </c>
      <c r="C191" s="51" t="s">
        <v>556</v>
      </c>
      <c r="D191" s="238" t="s">
        <v>557</v>
      </c>
      <c r="E191" s="121"/>
      <c r="F191" s="53" t="s">
        <v>413</v>
      </c>
      <c r="G191" s="53" t="s">
        <v>558</v>
      </c>
      <c r="H191" s="122"/>
      <c r="I191" s="158"/>
      <c r="J191" s="158"/>
      <c r="K191" s="160" t="s">
        <v>448</v>
      </c>
      <c r="L191" s="158"/>
      <c r="M191" s="158"/>
      <c r="N191" s="160" t="s">
        <v>559</v>
      </c>
      <c r="O191" s="158"/>
      <c r="P191" s="158"/>
      <c r="Q191" s="158"/>
      <c r="V191" s="53" t="s">
        <v>43</v>
      </c>
      <c r="X191" s="258">
        <v>27.953845977783203</v>
      </c>
      <c r="Y191" s="147">
        <f>'Additional information'!$D$20</f>
        <v>0.05</v>
      </c>
      <c r="Z191" s="219">
        <f t="shared" si="6"/>
        <v>1.3976922988891602</v>
      </c>
      <c r="AA191" s="219">
        <f t="shared" si="8"/>
        <v>1.3976922988891602</v>
      </c>
    </row>
    <row r="192" spans="1:28" ht="16" x14ac:dyDescent="0.2">
      <c r="A192" s="108" t="s">
        <v>74</v>
      </c>
      <c r="B192" s="108" t="s">
        <v>560</v>
      </c>
      <c r="C192" s="114" t="s">
        <v>324</v>
      </c>
      <c r="D192" s="51" t="s">
        <v>325</v>
      </c>
      <c r="E192" s="132"/>
      <c r="F192" s="109" t="s">
        <v>326</v>
      </c>
      <c r="G192" s="109" t="s">
        <v>327</v>
      </c>
      <c r="H192" s="122"/>
      <c r="I192" s="158" t="s">
        <v>41</v>
      </c>
      <c r="J192" s="158"/>
      <c r="K192" s="158"/>
      <c r="L192" s="158"/>
      <c r="M192" s="158"/>
      <c r="N192" s="158" t="s">
        <v>561</v>
      </c>
      <c r="O192" s="158"/>
      <c r="P192" s="158"/>
      <c r="Q192" s="158"/>
      <c r="V192" s="53" t="s">
        <v>43</v>
      </c>
      <c r="X192" s="256"/>
      <c r="Y192" s="147">
        <f>'Additional information'!$D$20</f>
        <v>0.05</v>
      </c>
      <c r="Z192" s="219" t="str">
        <f t="shared" si="6"/>
        <v/>
      </c>
      <c r="AA192" s="219" t="str">
        <f t="shared" si="8"/>
        <v/>
      </c>
    </row>
    <row r="193" spans="1:28" x14ac:dyDescent="0.2">
      <c r="E193" s="121"/>
      <c r="H193" s="122"/>
      <c r="V193" s="53" t="s">
        <v>69</v>
      </c>
      <c r="X193" s="256" t="s">
        <v>69</v>
      </c>
      <c r="Y193" s="147">
        <f>'Additional information'!$D$20</f>
        <v>0.05</v>
      </c>
      <c r="Z193" s="219" t="str">
        <f t="shared" si="6"/>
        <v/>
      </c>
      <c r="AA193" s="219" t="str">
        <f t="shared" si="8"/>
        <v/>
      </c>
    </row>
    <row r="194" spans="1:28" s="110" customFormat="1" ht="32" x14ac:dyDescent="0.2">
      <c r="A194" s="110" t="s">
        <v>562</v>
      </c>
      <c r="B194" s="110" t="s">
        <v>563</v>
      </c>
      <c r="C194" s="111" t="s">
        <v>564</v>
      </c>
      <c r="D194" s="111" t="s">
        <v>565</v>
      </c>
      <c r="E194" s="112"/>
      <c r="F194" s="110" t="s">
        <v>546</v>
      </c>
      <c r="G194" s="110" t="s">
        <v>321</v>
      </c>
      <c r="H194" s="116"/>
      <c r="I194" s="159" t="s">
        <v>41</v>
      </c>
      <c r="J194" s="159"/>
      <c r="K194" s="159" t="s">
        <v>448</v>
      </c>
      <c r="L194" s="159"/>
      <c r="M194" s="159"/>
      <c r="N194" s="159" t="s">
        <v>566</v>
      </c>
      <c r="O194" s="159"/>
      <c r="P194" s="159"/>
      <c r="Q194" s="159"/>
      <c r="V194" s="110" t="s">
        <v>53</v>
      </c>
      <c r="X194" s="256">
        <v>21.25</v>
      </c>
      <c r="Y194" s="147">
        <f>'Additional information'!$D$20</f>
        <v>0.05</v>
      </c>
      <c r="Z194" s="219">
        <f t="shared" si="6"/>
        <v>1.0625</v>
      </c>
      <c r="AA194" s="219" t="str">
        <f t="shared" si="8"/>
        <v/>
      </c>
      <c r="AB194" s="109"/>
    </row>
    <row r="195" spans="1:28" s="110" customFormat="1" ht="16" x14ac:dyDescent="0.2">
      <c r="A195" s="110" t="s">
        <v>74</v>
      </c>
      <c r="B195" s="110" t="s">
        <v>567</v>
      </c>
      <c r="C195" s="111" t="s">
        <v>324</v>
      </c>
      <c r="D195" s="111" t="s">
        <v>325</v>
      </c>
      <c r="E195" s="112"/>
      <c r="F195" s="110" t="s">
        <v>326</v>
      </c>
      <c r="G195" s="110" t="s">
        <v>327</v>
      </c>
      <c r="H195" s="116"/>
      <c r="I195" s="159" t="s">
        <v>41</v>
      </c>
      <c r="J195" s="159"/>
      <c r="K195" s="159"/>
      <c r="L195" s="159"/>
      <c r="M195" s="159"/>
      <c r="N195" s="159" t="s">
        <v>568</v>
      </c>
      <c r="O195" s="159"/>
      <c r="P195" s="159"/>
      <c r="Q195" s="159"/>
      <c r="V195" s="110" t="s">
        <v>53</v>
      </c>
      <c r="X195" s="256"/>
      <c r="Y195" s="147">
        <f>'Additional information'!$D$20</f>
        <v>0.05</v>
      </c>
      <c r="Z195" s="219" t="str">
        <f t="shared" si="6"/>
        <v/>
      </c>
      <c r="AA195" s="219" t="str">
        <f t="shared" si="8"/>
        <v/>
      </c>
      <c r="AB195" s="109"/>
    </row>
    <row r="196" spans="1:28" s="110" customFormat="1" x14ac:dyDescent="0.2">
      <c r="C196" s="111"/>
      <c r="D196" s="111"/>
      <c r="E196" s="112"/>
      <c r="H196" s="116"/>
      <c r="I196" s="159"/>
      <c r="J196" s="159"/>
      <c r="K196" s="159"/>
      <c r="L196" s="159"/>
      <c r="M196" s="159"/>
      <c r="N196" s="159"/>
      <c r="O196" s="159"/>
      <c r="P196" s="159"/>
      <c r="Q196" s="159"/>
      <c r="V196" s="110" t="s">
        <v>69</v>
      </c>
      <c r="X196" s="256" t="s">
        <v>69</v>
      </c>
      <c r="Y196" s="147">
        <f>'Additional information'!$D$20</f>
        <v>0.05</v>
      </c>
      <c r="Z196" s="219" t="str">
        <f t="shared" si="6"/>
        <v/>
      </c>
      <c r="AA196" s="219" t="str">
        <f t="shared" si="8"/>
        <v/>
      </c>
      <c r="AB196" s="109"/>
    </row>
    <row r="197" spans="1:28" ht="16" thickBot="1" x14ac:dyDescent="0.25">
      <c r="A197" s="130" t="s">
        <v>146</v>
      </c>
      <c r="B197" s="130"/>
      <c r="C197" s="131"/>
      <c r="D197" s="131"/>
      <c r="E197" s="125"/>
      <c r="F197" s="130"/>
      <c r="G197" s="130"/>
      <c r="H197" s="126"/>
      <c r="I197" s="169"/>
      <c r="J197" s="169"/>
      <c r="K197" s="169"/>
      <c r="L197" s="169"/>
      <c r="M197" s="169"/>
      <c r="N197" s="169"/>
      <c r="O197" s="169"/>
      <c r="P197" s="169"/>
      <c r="Q197" s="169"/>
      <c r="X197" s="256" t="s">
        <v>69</v>
      </c>
      <c r="Z197" s="219" t="str">
        <f t="shared" si="6"/>
        <v/>
      </c>
      <c r="AA197" s="219" t="str">
        <f t="shared" si="8"/>
        <v/>
      </c>
    </row>
    <row r="198" spans="1:28" s="106" customFormat="1" ht="17" thickTop="1" x14ac:dyDescent="0.2">
      <c r="A198" s="103" t="s">
        <v>70</v>
      </c>
      <c r="B198" s="103" t="s">
        <v>569</v>
      </c>
      <c r="C198" s="127" t="s">
        <v>570</v>
      </c>
      <c r="D198" s="17" t="s">
        <v>571</v>
      </c>
      <c r="E198" s="104"/>
      <c r="F198" s="103"/>
      <c r="G198" s="103"/>
      <c r="H198" s="105"/>
      <c r="I198" s="163" t="s">
        <v>52</v>
      </c>
      <c r="J198" s="163"/>
      <c r="K198" s="163"/>
      <c r="L198" s="163"/>
      <c r="M198" s="163"/>
      <c r="N198" s="163" t="s">
        <v>572</v>
      </c>
      <c r="O198" s="163"/>
      <c r="P198" s="163"/>
      <c r="Q198" s="163"/>
      <c r="V198" s="53" t="s">
        <v>43</v>
      </c>
      <c r="X198" s="256"/>
      <c r="Y198" s="268"/>
      <c r="Z198" s="219" t="str">
        <f t="shared" si="6"/>
        <v/>
      </c>
      <c r="AA198" s="219" t="str">
        <f t="shared" si="8"/>
        <v/>
      </c>
      <c r="AB198" s="107"/>
    </row>
    <row r="199" spans="1:28" s="106" customFormat="1" x14ac:dyDescent="0.2">
      <c r="C199" s="128"/>
      <c r="D199" s="128"/>
      <c r="E199" s="104"/>
      <c r="H199" s="105"/>
      <c r="I199" s="164"/>
      <c r="J199" s="164"/>
      <c r="K199" s="164"/>
      <c r="L199" s="164"/>
      <c r="M199" s="164"/>
      <c r="N199" s="164"/>
      <c r="O199" s="164"/>
      <c r="P199" s="164"/>
      <c r="Q199" s="164"/>
      <c r="V199" s="106" t="s">
        <v>69</v>
      </c>
      <c r="X199" s="256" t="s">
        <v>69</v>
      </c>
      <c r="Y199" s="147">
        <f>'Additional information'!$D$20</f>
        <v>0.05</v>
      </c>
      <c r="Z199" s="219" t="str">
        <f t="shared" si="6"/>
        <v/>
      </c>
      <c r="AA199" s="219" t="str">
        <f t="shared" si="8"/>
        <v/>
      </c>
      <c r="AB199" s="107"/>
    </row>
    <row r="200" spans="1:28" s="106" customFormat="1" ht="32" x14ac:dyDescent="0.2">
      <c r="A200" s="108" t="s">
        <v>573</v>
      </c>
      <c r="B200" s="108" t="s">
        <v>574</v>
      </c>
      <c r="C200" s="51" t="s">
        <v>575</v>
      </c>
      <c r="D200" s="51" t="s">
        <v>576</v>
      </c>
      <c r="E200" s="121"/>
      <c r="F200" s="108" t="s">
        <v>108</v>
      </c>
      <c r="G200" s="108" t="s">
        <v>109</v>
      </c>
      <c r="H200" s="122"/>
      <c r="I200" s="158" t="s">
        <v>41</v>
      </c>
      <c r="J200" s="163"/>
      <c r="K200" s="163"/>
      <c r="L200" s="163"/>
      <c r="M200" s="163"/>
      <c r="N200" s="163"/>
      <c r="O200" s="163"/>
      <c r="P200" s="163"/>
      <c r="Q200" s="163"/>
      <c r="V200" s="53" t="s">
        <v>43</v>
      </c>
      <c r="X200" s="256">
        <v>14.384955406188965</v>
      </c>
      <c r="Y200" s="147">
        <f>'Additional information'!$D$20</f>
        <v>0.05</v>
      </c>
      <c r="Z200" s="219">
        <f t="shared" si="6"/>
        <v>0.71924777030944831</v>
      </c>
      <c r="AA200" s="219">
        <f t="shared" si="8"/>
        <v>0.71924777030944831</v>
      </c>
      <c r="AB200" s="107"/>
    </row>
    <row r="201" spans="1:28" x14ac:dyDescent="0.2">
      <c r="A201" s="108" t="s">
        <v>27</v>
      </c>
      <c r="B201" s="108" t="s">
        <v>577</v>
      </c>
      <c r="C201" s="51"/>
      <c r="D201" s="51"/>
      <c r="E201" s="121"/>
      <c r="F201" s="108"/>
      <c r="G201" s="108"/>
      <c r="H201" s="122"/>
      <c r="I201" s="158"/>
      <c r="J201" s="158"/>
      <c r="K201" s="158"/>
      <c r="L201" s="158"/>
      <c r="M201" s="158"/>
      <c r="N201" s="158"/>
      <c r="O201" s="158"/>
      <c r="P201" s="158"/>
      <c r="Q201" s="158" t="s">
        <v>578</v>
      </c>
      <c r="V201" s="53" t="s">
        <v>43</v>
      </c>
      <c r="X201" s="256"/>
      <c r="Y201" s="147">
        <f>'Additional information'!$D$20</f>
        <v>0.05</v>
      </c>
      <c r="Z201" s="219" t="str">
        <f t="shared" si="6"/>
        <v/>
      </c>
      <c r="AA201" s="219" t="str">
        <f t="shared" si="8"/>
        <v/>
      </c>
    </row>
    <row r="202" spans="1:28" ht="16" x14ac:dyDescent="0.2">
      <c r="A202" s="108" t="s">
        <v>74</v>
      </c>
      <c r="B202" s="108" t="s">
        <v>579</v>
      </c>
      <c r="C202" s="114" t="s">
        <v>324</v>
      </c>
      <c r="D202" s="51" t="s">
        <v>325</v>
      </c>
      <c r="E202" s="132"/>
      <c r="F202" s="109" t="s">
        <v>326</v>
      </c>
      <c r="G202" s="109" t="s">
        <v>327</v>
      </c>
      <c r="H202" s="122"/>
      <c r="I202" s="158" t="s">
        <v>41</v>
      </c>
      <c r="J202" s="158"/>
      <c r="K202" s="158"/>
      <c r="L202" s="158"/>
      <c r="M202" s="158"/>
      <c r="N202" s="160" t="s">
        <v>580</v>
      </c>
      <c r="O202" s="158"/>
      <c r="P202" s="158"/>
      <c r="Q202" s="158"/>
      <c r="V202" s="53" t="s">
        <v>43</v>
      </c>
      <c r="X202" s="256"/>
      <c r="Y202" s="147">
        <f>'Additional information'!$D$20</f>
        <v>0.05</v>
      </c>
      <c r="Z202" s="219" t="str">
        <f t="shared" ref="Z202:Z265" si="9">IF(X202&lt;&gt;"",X202*Y202,"")</f>
        <v/>
      </c>
      <c r="AA202" s="219" t="str">
        <f t="shared" si="8"/>
        <v/>
      </c>
    </row>
    <row r="203" spans="1:28" x14ac:dyDescent="0.2">
      <c r="D203" s="53"/>
      <c r="E203" s="121"/>
      <c r="H203" s="122"/>
      <c r="N203" s="170"/>
      <c r="V203" s="53" t="s">
        <v>69</v>
      </c>
      <c r="X203" s="256" t="s">
        <v>69</v>
      </c>
      <c r="Y203" s="147">
        <f>'Additional information'!$D$20</f>
        <v>0.05</v>
      </c>
      <c r="Z203" s="219" t="str">
        <f t="shared" si="9"/>
        <v/>
      </c>
      <c r="AA203" s="219" t="str">
        <f t="shared" si="8"/>
        <v/>
      </c>
    </row>
    <row r="204" spans="1:28" ht="32" x14ac:dyDescent="0.2">
      <c r="A204" s="108" t="s">
        <v>211</v>
      </c>
      <c r="B204" s="108" t="s">
        <v>581</v>
      </c>
      <c r="C204" s="51" t="s">
        <v>582</v>
      </c>
      <c r="D204" s="51" t="s">
        <v>583</v>
      </c>
      <c r="E204" s="121"/>
      <c r="F204" s="108" t="s">
        <v>108</v>
      </c>
      <c r="G204" s="108" t="s">
        <v>109</v>
      </c>
      <c r="H204" s="122"/>
      <c r="I204" s="158" t="s">
        <v>41</v>
      </c>
      <c r="J204" s="158"/>
      <c r="K204" s="158"/>
      <c r="L204" s="158"/>
      <c r="M204" s="158"/>
      <c r="N204" s="158"/>
      <c r="O204" s="158"/>
      <c r="P204" s="158"/>
      <c r="Q204" s="158"/>
      <c r="V204" s="53" t="s">
        <v>43</v>
      </c>
      <c r="X204" s="256">
        <v>9.4380531311035156</v>
      </c>
      <c r="Y204" s="147">
        <f>'Additional information'!$D$20</f>
        <v>0.05</v>
      </c>
      <c r="Z204" s="219">
        <f t="shared" si="9"/>
        <v>0.47190265655517583</v>
      </c>
      <c r="AA204" s="219">
        <f t="shared" si="8"/>
        <v>0.47190265655517583</v>
      </c>
    </row>
    <row r="205" spans="1:28" ht="32" x14ac:dyDescent="0.2">
      <c r="A205" s="108" t="s">
        <v>584</v>
      </c>
      <c r="B205" s="108" t="s">
        <v>585</v>
      </c>
      <c r="C205" s="51" t="s">
        <v>586</v>
      </c>
      <c r="D205" s="51" t="s">
        <v>587</v>
      </c>
      <c r="E205" s="121"/>
      <c r="F205" s="108" t="s">
        <v>320</v>
      </c>
      <c r="G205" s="108" t="s">
        <v>588</v>
      </c>
      <c r="H205" s="122"/>
      <c r="I205" s="158" t="s">
        <v>41</v>
      </c>
      <c r="J205" s="158"/>
      <c r="K205" s="160" t="s">
        <v>448</v>
      </c>
      <c r="L205" s="158"/>
      <c r="M205" s="158"/>
      <c r="N205" s="160" t="s">
        <v>589</v>
      </c>
      <c r="O205" s="158"/>
      <c r="P205" s="158"/>
      <c r="Q205" s="158"/>
      <c r="V205" s="53" t="s">
        <v>43</v>
      </c>
      <c r="X205" s="256">
        <v>27.766990661621094</v>
      </c>
      <c r="Y205" s="147">
        <f>'Additional information'!$D$20</f>
        <v>0.05</v>
      </c>
      <c r="Z205" s="219">
        <f t="shared" si="9"/>
        <v>1.3883495330810547</v>
      </c>
      <c r="AA205" s="219">
        <f t="shared" si="8"/>
        <v>1.3883495330810547</v>
      </c>
    </row>
    <row r="206" spans="1:28" ht="16" x14ac:dyDescent="0.2">
      <c r="A206" s="108" t="s">
        <v>74</v>
      </c>
      <c r="B206" s="108" t="s">
        <v>590</v>
      </c>
      <c r="C206" s="114" t="s">
        <v>324</v>
      </c>
      <c r="D206" s="51" t="s">
        <v>325</v>
      </c>
      <c r="E206" s="132"/>
      <c r="F206" s="109" t="s">
        <v>326</v>
      </c>
      <c r="G206" s="109" t="s">
        <v>327</v>
      </c>
      <c r="H206" s="122"/>
      <c r="I206" s="158" t="s">
        <v>41</v>
      </c>
      <c r="J206" s="158"/>
      <c r="K206" s="158"/>
      <c r="L206" s="158"/>
      <c r="M206" s="158"/>
      <c r="N206" s="160" t="s">
        <v>591</v>
      </c>
      <c r="O206" s="158"/>
      <c r="P206" s="158"/>
      <c r="Q206" s="158"/>
      <c r="V206" s="53" t="s">
        <v>43</v>
      </c>
      <c r="X206" s="256"/>
      <c r="Y206" s="147">
        <f>'Additional information'!$D$20</f>
        <v>0.05</v>
      </c>
      <c r="Z206" s="219" t="str">
        <f t="shared" si="9"/>
        <v/>
      </c>
      <c r="AA206" s="219" t="str">
        <f t="shared" si="8"/>
        <v/>
      </c>
    </row>
    <row r="207" spans="1:28" x14ac:dyDescent="0.2">
      <c r="E207" s="121"/>
      <c r="H207" s="122"/>
      <c r="N207" s="170"/>
      <c r="V207" s="53" t="s">
        <v>69</v>
      </c>
      <c r="X207" s="256" t="s">
        <v>69</v>
      </c>
      <c r="Y207" s="147">
        <f>'Additional information'!$D$20</f>
        <v>0.05</v>
      </c>
      <c r="Z207" s="219" t="str">
        <f t="shared" si="9"/>
        <v/>
      </c>
      <c r="AA207" s="219" t="str">
        <f t="shared" si="8"/>
        <v/>
      </c>
    </row>
    <row r="208" spans="1:28" ht="32" x14ac:dyDescent="0.2">
      <c r="A208" s="108" t="s">
        <v>242</v>
      </c>
      <c r="B208" s="108" t="s">
        <v>592</v>
      </c>
      <c r="C208" s="114" t="s">
        <v>593</v>
      </c>
      <c r="D208" s="51" t="s">
        <v>594</v>
      </c>
      <c r="E208" s="121"/>
      <c r="F208" s="108" t="s">
        <v>451</v>
      </c>
      <c r="G208" s="108" t="s">
        <v>534</v>
      </c>
      <c r="H208" s="122"/>
      <c r="I208" s="158" t="s">
        <v>41</v>
      </c>
      <c r="J208" s="158"/>
      <c r="K208" s="158"/>
      <c r="L208" s="158"/>
      <c r="M208" s="158"/>
      <c r="N208" s="160"/>
      <c r="O208" s="158"/>
      <c r="P208" s="158"/>
      <c r="Q208" s="158"/>
      <c r="V208" s="53" t="s">
        <v>43</v>
      </c>
      <c r="X208" s="256">
        <v>13.705752372741699</v>
      </c>
      <c r="Y208" s="147">
        <f>'Additional information'!$D$20</f>
        <v>0.05</v>
      </c>
      <c r="Z208" s="219">
        <f t="shared" si="9"/>
        <v>0.68528761863708498</v>
      </c>
      <c r="AA208" s="219">
        <f t="shared" si="8"/>
        <v>0.68528761863708498</v>
      </c>
    </row>
    <row r="209" spans="1:28" x14ac:dyDescent="0.2">
      <c r="C209" s="55"/>
      <c r="D209" s="55"/>
      <c r="E209" s="121"/>
      <c r="H209" s="122"/>
      <c r="N209" s="170"/>
      <c r="V209" s="53" t="s">
        <v>69</v>
      </c>
      <c r="X209" s="256" t="s">
        <v>69</v>
      </c>
      <c r="Y209" s="147">
        <f>'Additional information'!$D$20</f>
        <v>0.05</v>
      </c>
      <c r="Z209" s="219" t="str">
        <f t="shared" si="9"/>
        <v/>
      </c>
      <c r="AA209" s="219" t="str">
        <f t="shared" si="8"/>
        <v/>
      </c>
    </row>
    <row r="210" spans="1:28" ht="16" thickBot="1" x14ac:dyDescent="0.25">
      <c r="A210" s="135" t="s">
        <v>146</v>
      </c>
      <c r="B210" s="135"/>
      <c r="C210" s="136"/>
      <c r="D210" s="136"/>
      <c r="E210" s="150"/>
      <c r="F210" s="135"/>
      <c r="G210" s="135"/>
      <c r="H210" s="151"/>
      <c r="I210" s="171"/>
      <c r="J210" s="171"/>
      <c r="K210" s="171"/>
      <c r="L210" s="171"/>
      <c r="M210" s="171"/>
      <c r="N210" s="171"/>
      <c r="O210" s="171"/>
      <c r="P210" s="171"/>
      <c r="Q210" s="171"/>
      <c r="X210" s="256" t="s">
        <v>69</v>
      </c>
      <c r="Z210" s="219" t="str">
        <f t="shared" si="9"/>
        <v/>
      </c>
      <c r="AA210" s="219" t="str">
        <f t="shared" ref="AA210:AA241" si="10">IF(AND(X210&lt;&gt;"",V210="yes"),X210*Y210,"")</f>
        <v/>
      </c>
    </row>
    <row r="211" spans="1:28" s="106" customFormat="1" ht="17" thickTop="1" x14ac:dyDescent="0.2">
      <c r="A211" s="103" t="s">
        <v>70</v>
      </c>
      <c r="B211" s="103" t="s">
        <v>595</v>
      </c>
      <c r="C211" s="127" t="s">
        <v>596</v>
      </c>
      <c r="D211" s="17" t="s">
        <v>597</v>
      </c>
      <c r="E211" s="104"/>
      <c r="F211" s="103"/>
      <c r="G211" s="103"/>
      <c r="H211" s="105"/>
      <c r="I211" s="163" t="s">
        <v>52</v>
      </c>
      <c r="J211" s="163"/>
      <c r="K211" s="163"/>
      <c r="L211" s="163"/>
      <c r="M211" s="163"/>
      <c r="N211" s="163" t="s">
        <v>150</v>
      </c>
      <c r="O211" s="163"/>
      <c r="P211" s="163"/>
      <c r="Q211" s="163"/>
      <c r="V211" s="53" t="s">
        <v>43</v>
      </c>
      <c r="X211" s="256"/>
      <c r="Y211" s="268"/>
      <c r="Z211" s="219" t="str">
        <f t="shared" si="9"/>
        <v/>
      </c>
      <c r="AA211" s="219" t="str">
        <f t="shared" si="10"/>
        <v/>
      </c>
      <c r="AB211" s="107"/>
    </row>
    <row r="212" spans="1:28" x14ac:dyDescent="0.2">
      <c r="C212" s="55"/>
      <c r="D212" s="55"/>
      <c r="E212" s="121"/>
      <c r="H212" s="122"/>
      <c r="N212" s="170"/>
      <c r="V212" s="53" t="s">
        <v>69</v>
      </c>
      <c r="X212" s="256" t="s">
        <v>69</v>
      </c>
      <c r="Y212" s="147">
        <v>1</v>
      </c>
      <c r="Z212" s="219" t="str">
        <f t="shared" si="9"/>
        <v/>
      </c>
      <c r="AA212" s="219" t="str">
        <f t="shared" si="10"/>
        <v/>
      </c>
    </row>
    <row r="213" spans="1:28" s="106" customFormat="1" ht="48" x14ac:dyDescent="0.2">
      <c r="A213" s="108" t="s">
        <v>46</v>
      </c>
      <c r="B213" s="108" t="s">
        <v>598</v>
      </c>
      <c r="C213" s="51" t="s">
        <v>599</v>
      </c>
      <c r="D213" s="239" t="s">
        <v>600</v>
      </c>
      <c r="E213" s="104"/>
      <c r="H213" s="105"/>
      <c r="I213" s="163"/>
      <c r="J213" s="163"/>
      <c r="K213" s="163"/>
      <c r="L213" s="163"/>
      <c r="M213" s="163"/>
      <c r="N213" s="163"/>
      <c r="O213" s="163"/>
      <c r="P213" s="163"/>
      <c r="Q213" s="163"/>
      <c r="V213" s="106" t="s">
        <v>53</v>
      </c>
      <c r="X213" s="256"/>
      <c r="Y213" s="147">
        <v>1</v>
      </c>
      <c r="Z213" s="219" t="str">
        <f t="shared" si="9"/>
        <v/>
      </c>
      <c r="AA213" s="219" t="str">
        <f t="shared" si="10"/>
        <v/>
      </c>
      <c r="AB213" s="107"/>
    </row>
    <row r="214" spans="1:28" x14ac:dyDescent="0.2">
      <c r="C214" s="55"/>
      <c r="D214" s="55"/>
      <c r="E214" s="121"/>
      <c r="H214" s="122"/>
      <c r="N214" s="170"/>
      <c r="X214" s="256" t="s">
        <v>69</v>
      </c>
      <c r="Y214" s="147">
        <v>1</v>
      </c>
      <c r="Z214" s="219" t="str">
        <f t="shared" si="9"/>
        <v/>
      </c>
      <c r="AA214" s="219" t="str">
        <f t="shared" si="10"/>
        <v/>
      </c>
    </row>
    <row r="215" spans="1:28" s="106" customFormat="1" ht="16" x14ac:dyDescent="0.2">
      <c r="A215" s="108" t="s">
        <v>70</v>
      </c>
      <c r="B215" s="108" t="s">
        <v>601</v>
      </c>
      <c r="C215" s="127" t="s">
        <v>602</v>
      </c>
      <c r="D215" s="6" t="s">
        <v>602</v>
      </c>
      <c r="E215" s="104"/>
      <c r="F215" s="103"/>
      <c r="G215" s="103"/>
      <c r="H215" s="105"/>
      <c r="I215" s="163"/>
      <c r="J215" s="163"/>
      <c r="K215" s="163"/>
      <c r="L215" s="163"/>
      <c r="M215" s="163"/>
      <c r="N215" s="163"/>
      <c r="O215" s="163"/>
      <c r="P215" s="163"/>
      <c r="Q215" s="163"/>
      <c r="X215" s="256"/>
      <c r="Y215" s="147">
        <v>1</v>
      </c>
      <c r="Z215" s="219" t="str">
        <f t="shared" si="9"/>
        <v/>
      </c>
      <c r="AA215" s="219" t="str">
        <f t="shared" si="10"/>
        <v/>
      </c>
      <c r="AB215" s="107"/>
    </row>
    <row r="216" spans="1:28" ht="32" x14ac:dyDescent="0.2">
      <c r="A216" s="108" t="s">
        <v>46</v>
      </c>
      <c r="B216" s="108" t="s">
        <v>603</v>
      </c>
      <c r="C216" s="51" t="s">
        <v>604</v>
      </c>
      <c r="D216" s="51" t="s">
        <v>605</v>
      </c>
      <c r="E216" s="121"/>
      <c r="F216" s="108"/>
      <c r="G216" s="108"/>
      <c r="H216" s="122"/>
      <c r="I216" s="158" t="s">
        <v>52</v>
      </c>
      <c r="J216" s="158"/>
      <c r="K216" s="158"/>
      <c r="L216" s="158"/>
      <c r="M216" s="158"/>
      <c r="N216" s="158"/>
      <c r="O216" s="158"/>
      <c r="P216" s="158"/>
      <c r="Q216" s="158"/>
      <c r="V216" s="53" t="s">
        <v>43</v>
      </c>
      <c r="X216" s="256">
        <v>12.77690315246582</v>
      </c>
      <c r="Y216" s="147">
        <v>1</v>
      </c>
      <c r="Z216" s="219">
        <f t="shared" si="9"/>
        <v>12.77690315246582</v>
      </c>
      <c r="AA216" s="219">
        <f t="shared" si="10"/>
        <v>12.77690315246582</v>
      </c>
    </row>
    <row r="217" spans="1:28" ht="48" x14ac:dyDescent="0.2">
      <c r="A217" s="108" t="s">
        <v>211</v>
      </c>
      <c r="B217" s="108" t="s">
        <v>606</v>
      </c>
      <c r="C217" s="51" t="s">
        <v>607</v>
      </c>
      <c r="D217" s="238" t="s">
        <v>608</v>
      </c>
      <c r="E217" s="121"/>
      <c r="F217" s="108"/>
      <c r="G217" s="108"/>
      <c r="H217" s="122"/>
      <c r="I217" s="158" t="s">
        <v>41</v>
      </c>
      <c r="J217" s="158"/>
      <c r="K217" s="158"/>
      <c r="L217" s="158"/>
      <c r="M217" s="158"/>
      <c r="N217" s="158"/>
      <c r="O217" s="158"/>
      <c r="P217" s="158"/>
      <c r="Q217" s="158"/>
      <c r="V217" s="53" t="s">
        <v>43</v>
      </c>
      <c r="X217" s="256">
        <v>21.398605346679688</v>
      </c>
      <c r="Y217" s="147">
        <v>1</v>
      </c>
      <c r="Z217" s="219">
        <f t="shared" si="9"/>
        <v>21.398605346679688</v>
      </c>
      <c r="AA217" s="219">
        <f t="shared" si="10"/>
        <v>21.398605346679688</v>
      </c>
    </row>
    <row r="218" spans="1:28" ht="48" x14ac:dyDescent="0.2">
      <c r="A218" s="108" t="s">
        <v>211</v>
      </c>
      <c r="B218" s="108" t="s">
        <v>609</v>
      </c>
      <c r="C218" s="51" t="s">
        <v>610</v>
      </c>
      <c r="D218" s="238" t="s">
        <v>611</v>
      </c>
      <c r="E218" s="121"/>
      <c r="F218" s="108"/>
      <c r="G218" s="108"/>
      <c r="H218" s="122"/>
      <c r="I218" s="158" t="s">
        <v>41</v>
      </c>
      <c r="J218" s="158"/>
      <c r="K218" s="158"/>
      <c r="L218" s="158"/>
      <c r="M218" s="158"/>
      <c r="N218" s="158"/>
      <c r="O218" s="158"/>
      <c r="P218" s="158"/>
      <c r="Q218" s="158"/>
      <c r="V218" s="53" t="s">
        <v>43</v>
      </c>
      <c r="X218" s="256">
        <v>14.980740547180176</v>
      </c>
      <c r="Y218" s="147">
        <v>1</v>
      </c>
      <c r="Z218" s="219">
        <f t="shared" si="9"/>
        <v>14.980740547180176</v>
      </c>
      <c r="AA218" s="219">
        <f t="shared" si="10"/>
        <v>14.980740547180176</v>
      </c>
    </row>
    <row r="219" spans="1:28" ht="48" x14ac:dyDescent="0.2">
      <c r="A219" s="108" t="s">
        <v>211</v>
      </c>
      <c r="B219" s="108" t="s">
        <v>612</v>
      </c>
      <c r="C219" s="51" t="s">
        <v>613</v>
      </c>
      <c r="D219" s="238" t="s">
        <v>614</v>
      </c>
      <c r="E219" s="121"/>
      <c r="F219" s="108"/>
      <c r="G219" s="108"/>
      <c r="H219" s="122"/>
      <c r="I219" s="158" t="s">
        <v>41</v>
      </c>
      <c r="J219" s="158"/>
      <c r="K219" s="158"/>
      <c r="L219" s="158"/>
      <c r="M219" s="158"/>
      <c r="N219" s="158"/>
      <c r="O219" s="158"/>
      <c r="P219" s="158"/>
      <c r="Q219" s="158"/>
      <c r="V219" s="53" t="s">
        <v>43</v>
      </c>
      <c r="X219" s="256">
        <v>13.723021507263184</v>
      </c>
      <c r="Y219" s="147">
        <v>1</v>
      </c>
      <c r="Z219" s="219">
        <f t="shared" si="9"/>
        <v>13.723021507263184</v>
      </c>
      <c r="AA219" s="219">
        <f t="shared" si="10"/>
        <v>13.723021507263184</v>
      </c>
    </row>
    <row r="220" spans="1:28" ht="48" x14ac:dyDescent="0.2">
      <c r="A220" s="108" t="s">
        <v>211</v>
      </c>
      <c r="B220" s="108" t="s">
        <v>615</v>
      </c>
      <c r="C220" s="51" t="s">
        <v>616</v>
      </c>
      <c r="D220" s="238" t="s">
        <v>617</v>
      </c>
      <c r="E220" s="121"/>
      <c r="F220" s="108"/>
      <c r="G220" s="108"/>
      <c r="H220" s="122"/>
      <c r="I220" s="158" t="s">
        <v>41</v>
      </c>
      <c r="J220" s="158"/>
      <c r="K220" s="158"/>
      <c r="L220" s="158"/>
      <c r="M220" s="158"/>
      <c r="N220" s="158"/>
      <c r="O220" s="158"/>
      <c r="P220" s="158"/>
      <c r="Q220" s="158"/>
      <c r="V220" s="53" t="s">
        <v>43</v>
      </c>
      <c r="X220" s="256">
        <v>13.062200546264648</v>
      </c>
      <c r="Y220" s="147">
        <v>1</v>
      </c>
      <c r="Z220" s="219">
        <f t="shared" si="9"/>
        <v>13.062200546264648</v>
      </c>
      <c r="AA220" s="219">
        <f t="shared" si="10"/>
        <v>13.062200546264648</v>
      </c>
    </row>
    <row r="221" spans="1:28" ht="48" x14ac:dyDescent="0.2">
      <c r="A221" s="108" t="s">
        <v>211</v>
      </c>
      <c r="B221" s="108" t="s">
        <v>618</v>
      </c>
      <c r="C221" s="51" t="s">
        <v>619</v>
      </c>
      <c r="D221" s="238" t="s">
        <v>620</v>
      </c>
      <c r="E221" s="121"/>
      <c r="F221" s="108"/>
      <c r="G221" s="108"/>
      <c r="H221" s="122"/>
      <c r="I221" s="158" t="s">
        <v>41</v>
      </c>
      <c r="J221" s="158"/>
      <c r="K221" s="158"/>
      <c r="L221" s="158"/>
      <c r="M221" s="158"/>
      <c r="N221" s="158"/>
      <c r="O221" s="158"/>
      <c r="P221" s="158"/>
      <c r="Q221" s="158"/>
      <c r="V221" s="53" t="s">
        <v>43</v>
      </c>
      <c r="X221" s="256">
        <v>13.09532356262207</v>
      </c>
      <c r="Y221" s="147">
        <v>1</v>
      </c>
      <c r="Z221" s="219">
        <f t="shared" si="9"/>
        <v>13.09532356262207</v>
      </c>
      <c r="AA221" s="219">
        <f t="shared" si="10"/>
        <v>13.09532356262207</v>
      </c>
    </row>
    <row r="222" spans="1:28" ht="48" x14ac:dyDescent="0.2">
      <c r="A222" s="108" t="s">
        <v>211</v>
      </c>
      <c r="B222" s="108" t="s">
        <v>621</v>
      </c>
      <c r="C222" s="51" t="s">
        <v>622</v>
      </c>
      <c r="D222" s="240" t="s">
        <v>623</v>
      </c>
      <c r="E222" s="121"/>
      <c r="F222" s="108"/>
      <c r="G222" s="108"/>
      <c r="H222" s="122"/>
      <c r="I222" s="158" t="s">
        <v>41</v>
      </c>
      <c r="J222" s="158"/>
      <c r="K222" s="158"/>
      <c r="L222" s="158"/>
      <c r="M222" s="158"/>
      <c r="N222" s="158"/>
      <c r="O222" s="158"/>
      <c r="P222" s="158"/>
      <c r="Q222" s="158"/>
      <c r="V222" s="53" t="s">
        <v>43</v>
      </c>
      <c r="X222" s="256">
        <v>16.101019184652277</v>
      </c>
      <c r="Y222" s="147">
        <v>1</v>
      </c>
      <c r="Z222" s="219">
        <f t="shared" si="9"/>
        <v>16.101019184652277</v>
      </c>
      <c r="AA222" s="219">
        <f t="shared" si="10"/>
        <v>16.101019184652277</v>
      </c>
    </row>
    <row r="223" spans="1:28" s="109" customFormat="1" ht="16" x14ac:dyDescent="0.2">
      <c r="A223" s="113" t="s">
        <v>624</v>
      </c>
      <c r="B223" s="113" t="s">
        <v>625</v>
      </c>
      <c r="C223" s="114" t="s">
        <v>626</v>
      </c>
      <c r="D223" s="238" t="s">
        <v>627</v>
      </c>
      <c r="E223" s="132"/>
      <c r="F223" s="113"/>
      <c r="G223" s="113"/>
      <c r="H223" s="134"/>
      <c r="I223" s="160" t="s">
        <v>41</v>
      </c>
      <c r="J223" s="160"/>
      <c r="K223" s="160"/>
      <c r="L223" s="160"/>
      <c r="M223" s="160"/>
      <c r="N223" s="160" t="s">
        <v>628</v>
      </c>
      <c r="O223" s="160"/>
      <c r="P223" s="160"/>
      <c r="Q223" s="160"/>
      <c r="V223" s="109" t="s">
        <v>43</v>
      </c>
      <c r="X223" s="256">
        <v>11.765043258666992</v>
      </c>
      <c r="Y223" s="147">
        <v>1</v>
      </c>
      <c r="Z223" s="219">
        <f t="shared" si="9"/>
        <v>11.765043258666992</v>
      </c>
      <c r="AA223" s="219">
        <f t="shared" si="10"/>
        <v>11.765043258666992</v>
      </c>
    </row>
    <row r="224" spans="1:28" s="109" customFormat="1" ht="32" x14ac:dyDescent="0.2">
      <c r="A224" s="113" t="s">
        <v>211</v>
      </c>
      <c r="B224" s="113" t="s">
        <v>629</v>
      </c>
      <c r="C224" s="114" t="s">
        <v>630</v>
      </c>
      <c r="D224" s="240" t="s">
        <v>631</v>
      </c>
      <c r="E224" s="132"/>
      <c r="F224" s="113"/>
      <c r="G224" s="113"/>
      <c r="H224" s="134"/>
      <c r="I224" s="160" t="s">
        <v>41</v>
      </c>
      <c r="J224" s="160"/>
      <c r="K224" s="160"/>
      <c r="L224" s="160"/>
      <c r="M224" s="160"/>
      <c r="N224" s="160"/>
      <c r="O224" s="160"/>
      <c r="P224" s="160"/>
      <c r="Q224" s="160"/>
      <c r="V224" s="109" t="s">
        <v>43</v>
      </c>
      <c r="X224" s="256">
        <v>12.432478904724121</v>
      </c>
      <c r="Y224" s="147">
        <v>1</v>
      </c>
      <c r="Z224" s="219">
        <f t="shared" si="9"/>
        <v>12.432478904724121</v>
      </c>
      <c r="AA224" s="219">
        <f t="shared" si="10"/>
        <v>12.432478904724121</v>
      </c>
    </row>
    <row r="225" spans="1:28" s="109" customFormat="1" ht="16" x14ac:dyDescent="0.2">
      <c r="A225" s="113" t="s">
        <v>624</v>
      </c>
      <c r="B225" s="113" t="s">
        <v>632</v>
      </c>
      <c r="C225" s="114" t="s">
        <v>626</v>
      </c>
      <c r="D225" s="238" t="s">
        <v>627</v>
      </c>
      <c r="E225" s="132"/>
      <c r="F225" s="113"/>
      <c r="G225" s="113"/>
      <c r="H225" s="134"/>
      <c r="I225" s="160" t="s">
        <v>41</v>
      </c>
      <c r="J225" s="160"/>
      <c r="K225" s="160"/>
      <c r="L225" s="160"/>
      <c r="M225" s="160"/>
      <c r="N225" s="160" t="s">
        <v>633</v>
      </c>
      <c r="O225" s="160"/>
      <c r="P225" s="160"/>
      <c r="Q225" s="160"/>
      <c r="V225" s="109" t="s">
        <v>43</v>
      </c>
      <c r="X225" s="256">
        <v>8.9801836013793945</v>
      </c>
      <c r="Y225" s="147">
        <v>1</v>
      </c>
      <c r="Z225" s="219">
        <f t="shared" si="9"/>
        <v>8.9801836013793945</v>
      </c>
      <c r="AA225" s="219">
        <f t="shared" si="10"/>
        <v>8.9801836013793945</v>
      </c>
    </row>
    <row r="226" spans="1:28" s="109" customFormat="1" ht="48" x14ac:dyDescent="0.2">
      <c r="A226" s="113" t="s">
        <v>211</v>
      </c>
      <c r="B226" s="113" t="s">
        <v>634</v>
      </c>
      <c r="C226" s="114" t="s">
        <v>635</v>
      </c>
      <c r="D226" s="240" t="s">
        <v>636</v>
      </c>
      <c r="E226" s="132"/>
      <c r="F226" s="113"/>
      <c r="G226" s="113"/>
      <c r="H226" s="134"/>
      <c r="I226" s="160" t="s">
        <v>41</v>
      </c>
      <c r="J226" s="160"/>
      <c r="K226" s="160"/>
      <c r="L226" s="160"/>
      <c r="M226" s="160"/>
      <c r="N226" s="160"/>
      <c r="O226" s="160"/>
      <c r="P226" s="160"/>
      <c r="Q226" s="160"/>
      <c r="V226" s="109" t="s">
        <v>43</v>
      </c>
      <c r="X226" s="256">
        <v>11.089328765869141</v>
      </c>
      <c r="Y226" s="147">
        <v>1</v>
      </c>
      <c r="Z226" s="219">
        <f t="shared" si="9"/>
        <v>11.089328765869141</v>
      </c>
      <c r="AA226" s="219">
        <f t="shared" si="10"/>
        <v>11.089328765869141</v>
      </c>
    </row>
    <row r="227" spans="1:28" s="109" customFormat="1" ht="16" x14ac:dyDescent="0.2">
      <c r="A227" s="113" t="s">
        <v>624</v>
      </c>
      <c r="B227" s="113" t="s">
        <v>637</v>
      </c>
      <c r="C227" s="114" t="s">
        <v>626</v>
      </c>
      <c r="D227" s="238" t="s">
        <v>627</v>
      </c>
      <c r="E227" s="132"/>
      <c r="F227" s="113"/>
      <c r="G227" s="113"/>
      <c r="H227" s="134"/>
      <c r="I227" s="160" t="s">
        <v>41</v>
      </c>
      <c r="J227" s="160"/>
      <c r="K227" s="160"/>
      <c r="L227" s="160"/>
      <c r="M227" s="160"/>
      <c r="N227" s="160" t="s">
        <v>638</v>
      </c>
      <c r="O227" s="160"/>
      <c r="P227" s="160"/>
      <c r="Q227" s="160"/>
      <c r="V227" s="109" t="s">
        <v>43</v>
      </c>
      <c r="X227" s="256">
        <v>8.0683355331420898</v>
      </c>
      <c r="Y227" s="147">
        <v>1</v>
      </c>
      <c r="Z227" s="219">
        <f t="shared" si="9"/>
        <v>8.0683355331420898</v>
      </c>
      <c r="AA227" s="219">
        <f t="shared" si="10"/>
        <v>8.0683355331420898</v>
      </c>
    </row>
    <row r="228" spans="1:28" x14ac:dyDescent="0.2">
      <c r="A228" s="113" t="s">
        <v>146</v>
      </c>
      <c r="B228" s="113"/>
      <c r="C228" s="51"/>
      <c r="D228" s="51"/>
      <c r="E228" s="121"/>
      <c r="F228" s="108"/>
      <c r="G228" s="108"/>
      <c r="H228" s="122"/>
      <c r="I228" s="158"/>
      <c r="J228" s="158"/>
      <c r="K228" s="158"/>
      <c r="L228" s="158"/>
      <c r="M228" s="158"/>
      <c r="N228" s="158"/>
      <c r="O228" s="158"/>
      <c r="P228" s="158"/>
      <c r="Q228" s="158"/>
      <c r="V228" s="53" t="s">
        <v>69</v>
      </c>
      <c r="X228" s="256" t="s">
        <v>69</v>
      </c>
      <c r="Y228" s="147">
        <v>1</v>
      </c>
      <c r="Z228" s="219" t="str">
        <f t="shared" si="9"/>
        <v/>
      </c>
      <c r="AA228" s="219" t="str">
        <f t="shared" si="10"/>
        <v/>
      </c>
    </row>
    <row r="229" spans="1:28" x14ac:dyDescent="0.2">
      <c r="A229" s="109"/>
      <c r="B229" s="109"/>
      <c r="E229" s="121"/>
      <c r="H229" s="122"/>
      <c r="V229" s="53" t="s">
        <v>69</v>
      </c>
      <c r="X229" s="256" t="s">
        <v>69</v>
      </c>
      <c r="Y229" s="147">
        <v>1</v>
      </c>
      <c r="Z229" s="219" t="str">
        <f t="shared" si="9"/>
        <v/>
      </c>
      <c r="AA229" s="219" t="str">
        <f t="shared" si="10"/>
        <v/>
      </c>
    </row>
    <row r="230" spans="1:28" s="110" customFormat="1" ht="16" x14ac:dyDescent="0.2">
      <c r="A230" s="110" t="s">
        <v>70</v>
      </c>
      <c r="B230" s="110" t="s">
        <v>639</v>
      </c>
      <c r="C230" s="213" t="s">
        <v>640</v>
      </c>
      <c r="D230" s="213" t="s">
        <v>640</v>
      </c>
      <c r="E230" s="112"/>
      <c r="H230" s="116"/>
      <c r="I230" s="159"/>
      <c r="J230" s="159"/>
      <c r="K230" s="159"/>
      <c r="L230" s="159"/>
      <c r="M230" s="159"/>
      <c r="N230" s="159"/>
      <c r="O230" s="159"/>
      <c r="P230" s="159"/>
      <c r="Q230" s="159"/>
      <c r="X230" s="259"/>
      <c r="Y230" s="260">
        <v>1</v>
      </c>
      <c r="Z230" s="222" t="str">
        <f t="shared" si="9"/>
        <v/>
      </c>
      <c r="AA230" s="222" t="str">
        <f t="shared" si="10"/>
        <v/>
      </c>
    </row>
    <row r="231" spans="1:28" s="110" customFormat="1" ht="80" x14ac:dyDescent="0.2">
      <c r="A231" s="110" t="s">
        <v>46</v>
      </c>
      <c r="B231" s="110" t="s">
        <v>641</v>
      </c>
      <c r="C231" s="111" t="s">
        <v>642</v>
      </c>
      <c r="D231" s="214" t="s">
        <v>643</v>
      </c>
      <c r="E231" s="112"/>
      <c r="H231" s="116"/>
      <c r="I231" s="159"/>
      <c r="J231" s="159"/>
      <c r="K231" s="159"/>
      <c r="L231" s="159"/>
      <c r="M231" s="159"/>
      <c r="N231" s="159"/>
      <c r="O231" s="159"/>
      <c r="P231" s="159"/>
      <c r="Q231" s="159"/>
      <c r="V231" s="110" t="s">
        <v>53</v>
      </c>
      <c r="X231" s="259">
        <v>5.7112536430358887</v>
      </c>
      <c r="Y231" s="260">
        <v>1</v>
      </c>
      <c r="Z231" s="222">
        <f t="shared" si="9"/>
        <v>5.7112536430358887</v>
      </c>
      <c r="AA231" s="222" t="str">
        <f t="shared" si="10"/>
        <v/>
      </c>
    </row>
    <row r="232" spans="1:28" s="215" customFormat="1" ht="16" x14ac:dyDescent="0.2">
      <c r="A232" s="110" t="s">
        <v>644</v>
      </c>
      <c r="B232" s="110" t="s">
        <v>645</v>
      </c>
      <c r="C232" s="111" t="s">
        <v>646</v>
      </c>
      <c r="D232" s="111" t="s">
        <v>647</v>
      </c>
      <c r="E232" s="148"/>
      <c r="H232" s="149"/>
      <c r="I232" s="159" t="s">
        <v>41</v>
      </c>
      <c r="J232" s="216"/>
      <c r="K232" s="216"/>
      <c r="L232" s="216"/>
      <c r="M232" s="216"/>
      <c r="N232" s="216"/>
      <c r="O232" s="216"/>
      <c r="P232" s="216"/>
      <c r="Q232" s="216"/>
      <c r="V232" s="110" t="s">
        <v>53</v>
      </c>
      <c r="X232" s="256">
        <v>19.851530075073242</v>
      </c>
      <c r="Y232" s="147">
        <v>1</v>
      </c>
      <c r="Z232" s="219">
        <f t="shared" si="9"/>
        <v>19.851530075073242</v>
      </c>
      <c r="AA232" s="219" t="str">
        <f t="shared" si="10"/>
        <v/>
      </c>
      <c r="AB232" s="109"/>
    </row>
    <row r="233" spans="1:28" s="215" customFormat="1" ht="16" x14ac:dyDescent="0.2">
      <c r="A233" s="110" t="s">
        <v>644</v>
      </c>
      <c r="B233" s="110" t="s">
        <v>648</v>
      </c>
      <c r="C233" s="111" t="s">
        <v>649</v>
      </c>
      <c r="D233" s="111" t="s">
        <v>650</v>
      </c>
      <c r="E233" s="148"/>
      <c r="H233" s="149"/>
      <c r="I233" s="159" t="s">
        <v>41</v>
      </c>
      <c r="J233" s="216"/>
      <c r="K233" s="216"/>
      <c r="L233" s="216"/>
      <c r="M233" s="216"/>
      <c r="N233" s="216"/>
      <c r="O233" s="216"/>
      <c r="P233" s="216"/>
      <c r="Q233" s="216"/>
      <c r="V233" s="110" t="s">
        <v>53</v>
      </c>
      <c r="X233" s="256">
        <v>15.436671257019043</v>
      </c>
      <c r="Y233" s="147">
        <v>1</v>
      </c>
      <c r="Z233" s="219">
        <f t="shared" si="9"/>
        <v>15.436671257019043</v>
      </c>
      <c r="AA233" s="219" t="str">
        <f t="shared" si="10"/>
        <v/>
      </c>
      <c r="AB233" s="109"/>
    </row>
    <row r="234" spans="1:28" s="215" customFormat="1" ht="16" x14ac:dyDescent="0.2">
      <c r="A234" s="110" t="s">
        <v>644</v>
      </c>
      <c r="B234" s="110" t="s">
        <v>651</v>
      </c>
      <c r="C234" s="111" t="s">
        <v>652</v>
      </c>
      <c r="D234" s="111" t="s">
        <v>653</v>
      </c>
      <c r="E234" s="148"/>
      <c r="H234" s="149"/>
      <c r="I234" s="159" t="s">
        <v>41</v>
      </c>
      <c r="J234" s="216"/>
      <c r="K234" s="216"/>
      <c r="L234" s="216"/>
      <c r="M234" s="216"/>
      <c r="N234" s="216"/>
      <c r="O234" s="216"/>
      <c r="P234" s="216"/>
      <c r="Q234" s="216"/>
      <c r="V234" s="110" t="s">
        <v>53</v>
      </c>
      <c r="X234" s="256">
        <v>13.399938583374023</v>
      </c>
      <c r="Y234" s="147">
        <v>1</v>
      </c>
      <c r="Z234" s="219">
        <f t="shared" si="9"/>
        <v>13.399938583374023</v>
      </c>
      <c r="AA234" s="219" t="str">
        <f t="shared" si="10"/>
        <v/>
      </c>
      <c r="AB234" s="109"/>
    </row>
    <row r="235" spans="1:28" s="215" customFormat="1" ht="16" x14ac:dyDescent="0.2">
      <c r="A235" s="110" t="s">
        <v>644</v>
      </c>
      <c r="B235" s="110" t="s">
        <v>654</v>
      </c>
      <c r="C235" s="111" t="s">
        <v>655</v>
      </c>
      <c r="D235" s="111" t="s">
        <v>656</v>
      </c>
      <c r="E235" s="148"/>
      <c r="H235" s="149"/>
      <c r="I235" s="159" t="s">
        <v>41</v>
      </c>
      <c r="J235" s="216"/>
      <c r="K235" s="216"/>
      <c r="L235" s="216"/>
      <c r="M235" s="216"/>
      <c r="N235" s="216"/>
      <c r="O235" s="216"/>
      <c r="P235" s="216"/>
      <c r="Q235" s="216"/>
      <c r="V235" s="110" t="s">
        <v>53</v>
      </c>
      <c r="X235" s="256">
        <v>14.625933647155762</v>
      </c>
      <c r="Y235" s="147">
        <v>1</v>
      </c>
      <c r="Z235" s="219">
        <f t="shared" si="9"/>
        <v>14.625933647155762</v>
      </c>
      <c r="AA235" s="219" t="str">
        <f t="shared" si="10"/>
        <v/>
      </c>
      <c r="AB235" s="109"/>
    </row>
    <row r="236" spans="1:28" s="215" customFormat="1" ht="16" x14ac:dyDescent="0.2">
      <c r="A236" s="110" t="s">
        <v>644</v>
      </c>
      <c r="B236" s="110" t="s">
        <v>657</v>
      </c>
      <c r="C236" s="111" t="s">
        <v>658</v>
      </c>
      <c r="D236" s="217" t="s">
        <v>659</v>
      </c>
      <c r="E236" s="148"/>
      <c r="H236" s="149"/>
      <c r="I236" s="159" t="s">
        <v>41</v>
      </c>
      <c r="J236" s="216"/>
      <c r="K236" s="216"/>
      <c r="L236" s="216"/>
      <c r="M236" s="216"/>
      <c r="N236" s="216"/>
      <c r="O236" s="216"/>
      <c r="P236" s="216"/>
      <c r="Q236" s="216"/>
      <c r="V236" s="110" t="s">
        <v>53</v>
      </c>
      <c r="X236" s="256">
        <v>11.787801742553711</v>
      </c>
      <c r="Y236" s="147">
        <v>1</v>
      </c>
      <c r="Z236" s="219">
        <f t="shared" si="9"/>
        <v>11.787801742553711</v>
      </c>
      <c r="AA236" s="219" t="str">
        <f t="shared" si="10"/>
        <v/>
      </c>
      <c r="AB236" s="109"/>
    </row>
    <row r="237" spans="1:28" s="215" customFormat="1" ht="16" x14ac:dyDescent="0.2">
      <c r="A237" s="110" t="s">
        <v>644</v>
      </c>
      <c r="B237" s="110" t="s">
        <v>660</v>
      </c>
      <c r="C237" s="111" t="s">
        <v>661</v>
      </c>
      <c r="D237" s="111" t="s">
        <v>662</v>
      </c>
      <c r="E237" s="148"/>
      <c r="H237" s="149"/>
      <c r="I237" s="159" t="s">
        <v>41</v>
      </c>
      <c r="J237" s="216"/>
      <c r="K237" s="216"/>
      <c r="L237" s="216"/>
      <c r="M237" s="216"/>
      <c r="N237" s="216"/>
      <c r="O237" s="216"/>
      <c r="P237" s="216"/>
      <c r="Q237" s="216"/>
      <c r="V237" s="110" t="s">
        <v>53</v>
      </c>
      <c r="X237" s="256">
        <v>12.408086776733398</v>
      </c>
      <c r="Y237" s="147">
        <v>1</v>
      </c>
      <c r="Z237" s="219">
        <f t="shared" si="9"/>
        <v>12.408086776733398</v>
      </c>
      <c r="AA237" s="219" t="str">
        <f t="shared" si="10"/>
        <v/>
      </c>
      <c r="AB237" s="109"/>
    </row>
    <row r="238" spans="1:28" s="215" customFormat="1" ht="16" x14ac:dyDescent="0.2">
      <c r="A238" s="110" t="s">
        <v>644</v>
      </c>
      <c r="B238" s="110" t="s">
        <v>663</v>
      </c>
      <c r="C238" s="111" t="s">
        <v>664</v>
      </c>
      <c r="D238" s="111" t="s">
        <v>665</v>
      </c>
      <c r="E238" s="148"/>
      <c r="H238" s="149"/>
      <c r="I238" s="159" t="s">
        <v>41</v>
      </c>
      <c r="J238" s="216"/>
      <c r="K238" s="216"/>
      <c r="L238" s="216"/>
      <c r="M238" s="216"/>
      <c r="N238" s="216"/>
      <c r="O238" s="216"/>
      <c r="P238" s="216"/>
      <c r="Q238" s="216"/>
      <c r="V238" s="110" t="s">
        <v>53</v>
      </c>
      <c r="X238" s="256">
        <v>9.2894678115844727</v>
      </c>
      <c r="Y238" s="147">
        <v>1</v>
      </c>
      <c r="Z238" s="219">
        <f t="shared" si="9"/>
        <v>9.2894678115844727</v>
      </c>
      <c r="AA238" s="219" t="str">
        <f t="shared" si="10"/>
        <v/>
      </c>
      <c r="AB238" s="109"/>
    </row>
    <row r="239" spans="1:28" s="215" customFormat="1" ht="16" x14ac:dyDescent="0.2">
      <c r="A239" s="110" t="s">
        <v>644</v>
      </c>
      <c r="B239" s="110" t="s">
        <v>666</v>
      </c>
      <c r="C239" s="111" t="s">
        <v>667</v>
      </c>
      <c r="D239" s="111" t="s">
        <v>668</v>
      </c>
      <c r="E239" s="148"/>
      <c r="H239" s="149"/>
      <c r="I239" s="159" t="s">
        <v>41</v>
      </c>
      <c r="J239" s="216"/>
      <c r="K239" s="216"/>
      <c r="L239" s="216"/>
      <c r="M239" s="216"/>
      <c r="N239" s="216"/>
      <c r="O239" s="216"/>
      <c r="P239" s="216"/>
      <c r="Q239" s="216"/>
      <c r="V239" s="110" t="s">
        <v>53</v>
      </c>
      <c r="X239" s="256">
        <v>12</v>
      </c>
      <c r="Y239" s="147">
        <v>1</v>
      </c>
      <c r="Z239" s="219">
        <f t="shared" si="9"/>
        <v>12</v>
      </c>
      <c r="AA239" s="219" t="str">
        <f t="shared" si="10"/>
        <v/>
      </c>
      <c r="AB239" s="109"/>
    </row>
    <row r="240" spans="1:28" s="215" customFormat="1" ht="32" x14ac:dyDescent="0.2">
      <c r="A240" s="110" t="s">
        <v>644</v>
      </c>
      <c r="B240" s="110" t="s">
        <v>669</v>
      </c>
      <c r="C240" s="111" t="s">
        <v>670</v>
      </c>
      <c r="D240" s="111" t="s">
        <v>671</v>
      </c>
      <c r="E240" s="148"/>
      <c r="H240" s="149"/>
      <c r="I240" s="159" t="s">
        <v>41</v>
      </c>
      <c r="J240" s="216"/>
      <c r="K240" s="216"/>
      <c r="L240" s="216"/>
      <c r="M240" s="216"/>
      <c r="N240" s="216"/>
      <c r="O240" s="216"/>
      <c r="P240" s="216"/>
      <c r="Q240" s="216"/>
      <c r="V240" s="110" t="s">
        <v>53</v>
      </c>
      <c r="X240" s="256">
        <v>14.410958904109588</v>
      </c>
      <c r="Y240" s="147">
        <v>1</v>
      </c>
      <c r="Z240" s="219">
        <f t="shared" si="9"/>
        <v>14.410958904109588</v>
      </c>
      <c r="AA240" s="219" t="str">
        <f t="shared" si="10"/>
        <v/>
      </c>
      <c r="AB240" s="109"/>
    </row>
    <row r="241" spans="1:28" s="215" customFormat="1" ht="16" x14ac:dyDescent="0.2">
      <c r="A241" s="110" t="s">
        <v>644</v>
      </c>
      <c r="B241" s="110" t="s">
        <v>672</v>
      </c>
      <c r="C241" s="111" t="s">
        <v>673</v>
      </c>
      <c r="D241" s="111" t="s">
        <v>674</v>
      </c>
      <c r="E241" s="148"/>
      <c r="H241" s="149"/>
      <c r="I241" s="159" t="s">
        <v>41</v>
      </c>
      <c r="J241" s="216"/>
      <c r="K241" s="216"/>
      <c r="L241" s="216"/>
      <c r="M241" s="216"/>
      <c r="N241" s="216"/>
      <c r="O241" s="216"/>
      <c r="P241" s="216"/>
      <c r="Q241" s="216"/>
      <c r="V241" s="110" t="s">
        <v>53</v>
      </c>
      <c r="X241" s="256">
        <v>15.408385276794434</v>
      </c>
      <c r="Y241" s="147">
        <v>1</v>
      </c>
      <c r="Z241" s="219">
        <f t="shared" si="9"/>
        <v>15.408385276794434</v>
      </c>
      <c r="AA241" s="219" t="str">
        <f t="shared" si="10"/>
        <v/>
      </c>
      <c r="AB241" s="109"/>
    </row>
    <row r="242" spans="1:28" s="215" customFormat="1" ht="16" x14ac:dyDescent="0.2">
      <c r="A242" s="110" t="s">
        <v>644</v>
      </c>
      <c r="B242" s="110" t="s">
        <v>675</v>
      </c>
      <c r="C242" s="111" t="s">
        <v>676</v>
      </c>
      <c r="D242" s="111" t="s">
        <v>677</v>
      </c>
      <c r="E242" s="148"/>
      <c r="H242" s="149"/>
      <c r="I242" s="159" t="s">
        <v>41</v>
      </c>
      <c r="J242" s="216"/>
      <c r="K242" s="216"/>
      <c r="L242" s="216"/>
      <c r="M242" s="216"/>
      <c r="N242" s="216"/>
      <c r="O242" s="216"/>
      <c r="P242" s="216"/>
      <c r="Q242" s="216"/>
      <c r="V242" s="110" t="s">
        <v>53</v>
      </c>
      <c r="X242" s="256">
        <v>15.543986320495605</v>
      </c>
      <c r="Y242" s="147">
        <v>1</v>
      </c>
      <c r="Z242" s="219">
        <f t="shared" si="9"/>
        <v>15.543986320495605</v>
      </c>
      <c r="AA242" s="219" t="str">
        <f t="shared" ref="AA242:AA273" si="11">IF(AND(X242&lt;&gt;"",V242="yes"),X242*Y242,"")</f>
        <v/>
      </c>
      <c r="AB242" s="109"/>
    </row>
    <row r="243" spans="1:28" s="215" customFormat="1" ht="32" x14ac:dyDescent="0.2">
      <c r="A243" s="110" t="s">
        <v>644</v>
      </c>
      <c r="B243" s="110" t="s">
        <v>678</v>
      </c>
      <c r="C243" s="111" t="s">
        <v>679</v>
      </c>
      <c r="D243" s="111" t="s">
        <v>680</v>
      </c>
      <c r="E243" s="148"/>
      <c r="H243" s="149"/>
      <c r="I243" s="159" t="s">
        <v>41</v>
      </c>
      <c r="J243" s="216"/>
      <c r="K243" s="216"/>
      <c r="L243" s="216"/>
      <c r="M243" s="216"/>
      <c r="N243" s="216"/>
      <c r="O243" s="216"/>
      <c r="P243" s="216"/>
      <c r="Q243" s="216"/>
      <c r="V243" s="110" t="s">
        <v>53</v>
      </c>
      <c r="X243" s="256">
        <v>12</v>
      </c>
      <c r="Y243" s="147">
        <v>1</v>
      </c>
      <c r="Z243" s="219">
        <f t="shared" si="9"/>
        <v>12</v>
      </c>
      <c r="AA243" s="219" t="str">
        <f t="shared" si="11"/>
        <v/>
      </c>
      <c r="AB243" s="109"/>
    </row>
    <row r="244" spans="1:28" s="215" customFormat="1" ht="32" x14ac:dyDescent="0.2">
      <c r="A244" s="110" t="s">
        <v>644</v>
      </c>
      <c r="B244" s="110" t="s">
        <v>681</v>
      </c>
      <c r="C244" s="111" t="s">
        <v>682</v>
      </c>
      <c r="D244" s="111" t="s">
        <v>683</v>
      </c>
      <c r="E244" s="148"/>
      <c r="H244" s="149"/>
      <c r="I244" s="159" t="s">
        <v>41</v>
      </c>
      <c r="J244" s="216"/>
      <c r="K244" s="216"/>
      <c r="L244" s="216"/>
      <c r="M244" s="216"/>
      <c r="N244" s="216"/>
      <c r="O244" s="216"/>
      <c r="P244" s="216"/>
      <c r="Q244" s="216"/>
      <c r="V244" s="110" t="s">
        <v>53</v>
      </c>
      <c r="X244" s="256">
        <v>12.996181488037109</v>
      </c>
      <c r="Y244" s="147">
        <v>1</v>
      </c>
      <c r="Z244" s="219">
        <f t="shared" si="9"/>
        <v>12.996181488037109</v>
      </c>
      <c r="AA244" s="219" t="str">
        <f t="shared" si="11"/>
        <v/>
      </c>
      <c r="AB244" s="109"/>
    </row>
    <row r="245" spans="1:28" s="215" customFormat="1" ht="32" x14ac:dyDescent="0.2">
      <c r="A245" s="110" t="s">
        <v>644</v>
      </c>
      <c r="B245" s="110" t="s">
        <v>684</v>
      </c>
      <c r="C245" s="111" t="s">
        <v>685</v>
      </c>
      <c r="D245" s="111" t="s">
        <v>686</v>
      </c>
      <c r="E245" s="148"/>
      <c r="H245" s="149"/>
      <c r="I245" s="159" t="s">
        <v>41</v>
      </c>
      <c r="J245" s="216"/>
      <c r="K245" s="216"/>
      <c r="L245" s="216"/>
      <c r="M245" s="216"/>
      <c r="N245" s="216"/>
      <c r="O245" s="216"/>
      <c r="P245" s="216"/>
      <c r="Q245" s="216"/>
      <c r="V245" s="110" t="s">
        <v>53</v>
      </c>
      <c r="X245" s="256">
        <v>14.752389907836914</v>
      </c>
      <c r="Y245" s="147">
        <v>1</v>
      </c>
      <c r="Z245" s="219">
        <f t="shared" si="9"/>
        <v>14.752389907836914</v>
      </c>
      <c r="AA245" s="219" t="str">
        <f t="shared" si="11"/>
        <v/>
      </c>
      <c r="AB245" s="109"/>
    </row>
    <row r="246" spans="1:28" s="215" customFormat="1" ht="16" x14ac:dyDescent="0.2">
      <c r="A246" s="110" t="s">
        <v>644</v>
      </c>
      <c r="B246" s="110" t="s">
        <v>687</v>
      </c>
      <c r="C246" s="111" t="s">
        <v>688</v>
      </c>
      <c r="D246" s="111" t="s">
        <v>689</v>
      </c>
      <c r="E246" s="148"/>
      <c r="H246" s="149"/>
      <c r="I246" s="159" t="s">
        <v>41</v>
      </c>
      <c r="J246" s="216"/>
      <c r="K246" s="216"/>
      <c r="L246" s="216"/>
      <c r="M246" s="216"/>
      <c r="N246" s="216"/>
      <c r="O246" s="216"/>
      <c r="P246" s="216"/>
      <c r="Q246" s="216"/>
      <c r="V246" s="110" t="s">
        <v>53</v>
      </c>
      <c r="X246" s="256">
        <v>10.668112754821777</v>
      </c>
      <c r="Y246" s="147">
        <v>1</v>
      </c>
      <c r="Z246" s="219">
        <f t="shared" si="9"/>
        <v>10.668112754821777</v>
      </c>
      <c r="AA246" s="219" t="str">
        <f t="shared" si="11"/>
        <v/>
      </c>
      <c r="AB246" s="109"/>
    </row>
    <row r="247" spans="1:28" s="215" customFormat="1" ht="16" x14ac:dyDescent="0.2">
      <c r="A247" s="110" t="s">
        <v>644</v>
      </c>
      <c r="B247" s="110" t="s">
        <v>690</v>
      </c>
      <c r="C247" s="111" t="s">
        <v>691</v>
      </c>
      <c r="D247" s="111" t="s">
        <v>692</v>
      </c>
      <c r="E247" s="148"/>
      <c r="H247" s="149"/>
      <c r="I247" s="159" t="s">
        <v>41</v>
      </c>
      <c r="J247" s="216"/>
      <c r="K247" s="216"/>
      <c r="L247" s="216"/>
      <c r="M247" s="216"/>
      <c r="N247" s="216"/>
      <c r="O247" s="216"/>
      <c r="P247" s="216"/>
      <c r="Q247" s="216"/>
      <c r="V247" s="110" t="s">
        <v>53</v>
      </c>
      <c r="X247" s="256">
        <v>9.716710090637207</v>
      </c>
      <c r="Y247" s="147">
        <v>1</v>
      </c>
      <c r="Z247" s="219">
        <f t="shared" si="9"/>
        <v>9.716710090637207</v>
      </c>
      <c r="AA247" s="219" t="str">
        <f t="shared" si="11"/>
        <v/>
      </c>
      <c r="AB247" s="109"/>
    </row>
    <row r="248" spans="1:28" s="215" customFormat="1" ht="32" x14ac:dyDescent="0.2">
      <c r="A248" s="110" t="s">
        <v>644</v>
      </c>
      <c r="B248" s="110" t="s">
        <v>693</v>
      </c>
      <c r="C248" s="111" t="s">
        <v>694</v>
      </c>
      <c r="D248" s="111" t="s">
        <v>695</v>
      </c>
      <c r="E248" s="148"/>
      <c r="H248" s="149"/>
      <c r="I248" s="159" t="s">
        <v>41</v>
      </c>
      <c r="J248" s="216"/>
      <c r="K248" s="216"/>
      <c r="L248" s="216"/>
      <c r="M248" s="216"/>
      <c r="N248" s="216"/>
      <c r="O248" s="216"/>
      <c r="P248" s="216"/>
      <c r="Q248" s="216"/>
      <c r="V248" s="110" t="s">
        <v>53</v>
      </c>
      <c r="X248" s="256">
        <v>10.953365325927734</v>
      </c>
      <c r="Y248" s="147">
        <v>1</v>
      </c>
      <c r="Z248" s="219">
        <f t="shared" si="9"/>
        <v>10.953365325927734</v>
      </c>
      <c r="AA248" s="219" t="str">
        <f t="shared" si="11"/>
        <v/>
      </c>
      <c r="AB248" s="109"/>
    </row>
    <row r="249" spans="1:28" s="215" customFormat="1" ht="16" x14ac:dyDescent="0.2">
      <c r="A249" s="110" t="s">
        <v>644</v>
      </c>
      <c r="B249" s="110" t="s">
        <v>696</v>
      </c>
      <c r="C249" s="111" t="s">
        <v>697</v>
      </c>
      <c r="D249" s="111" t="s">
        <v>698</v>
      </c>
      <c r="E249" s="148"/>
      <c r="H249" s="149"/>
      <c r="I249" s="159" t="s">
        <v>41</v>
      </c>
      <c r="J249" s="216"/>
      <c r="K249" s="216"/>
      <c r="L249" s="216"/>
      <c r="M249" s="216"/>
      <c r="N249" s="216"/>
      <c r="O249" s="216"/>
      <c r="P249" s="216"/>
      <c r="Q249" s="216"/>
      <c r="V249" s="110" t="s">
        <v>53</v>
      </c>
      <c r="X249" s="256">
        <v>10.114131927490234</v>
      </c>
      <c r="Y249" s="147">
        <v>1</v>
      </c>
      <c r="Z249" s="219">
        <f t="shared" si="9"/>
        <v>10.114131927490234</v>
      </c>
      <c r="AA249" s="219" t="str">
        <f t="shared" si="11"/>
        <v/>
      </c>
      <c r="AB249" s="109"/>
    </row>
    <row r="250" spans="1:28" s="215" customFormat="1" ht="16" x14ac:dyDescent="0.2">
      <c r="A250" s="110" t="s">
        <v>644</v>
      </c>
      <c r="B250" s="110" t="s">
        <v>699</v>
      </c>
      <c r="C250" s="111" t="s">
        <v>700</v>
      </c>
      <c r="D250" s="111" t="s">
        <v>701</v>
      </c>
      <c r="E250" s="148"/>
      <c r="H250" s="149"/>
      <c r="I250" s="159" t="s">
        <v>41</v>
      </c>
      <c r="J250" s="216"/>
      <c r="K250" s="216"/>
      <c r="L250" s="216"/>
      <c r="M250" s="216"/>
      <c r="N250" s="216"/>
      <c r="O250" s="216"/>
      <c r="P250" s="216"/>
      <c r="Q250" s="216"/>
      <c r="V250" s="110" t="s">
        <v>53</v>
      </c>
      <c r="X250" s="256">
        <v>10.867705345153809</v>
      </c>
      <c r="Y250" s="147">
        <v>1</v>
      </c>
      <c r="Z250" s="219">
        <f t="shared" si="9"/>
        <v>10.867705345153809</v>
      </c>
      <c r="AA250" s="219" t="str">
        <f t="shared" si="11"/>
        <v/>
      </c>
      <c r="AB250" s="109"/>
    </row>
    <row r="251" spans="1:28" x14ac:dyDescent="0.2">
      <c r="A251" s="110" t="s">
        <v>146</v>
      </c>
      <c r="B251" s="110"/>
      <c r="C251" s="111"/>
      <c r="D251" s="111"/>
      <c r="E251" s="121"/>
      <c r="H251" s="122"/>
      <c r="I251" s="159"/>
      <c r="V251" s="53" t="s">
        <v>69</v>
      </c>
      <c r="X251" s="256" t="s">
        <v>69</v>
      </c>
      <c r="Y251" s="147">
        <v>1</v>
      </c>
      <c r="Z251" s="219" t="str">
        <f t="shared" si="9"/>
        <v/>
      </c>
      <c r="AA251" s="219" t="str">
        <f t="shared" si="11"/>
        <v/>
      </c>
    </row>
    <row r="252" spans="1:28" x14ac:dyDescent="0.2">
      <c r="A252" s="109"/>
      <c r="B252" s="109"/>
      <c r="E252" s="121"/>
      <c r="H252" s="122"/>
      <c r="V252" s="53" t="s">
        <v>69</v>
      </c>
      <c r="X252" s="256" t="s">
        <v>69</v>
      </c>
      <c r="Y252" s="147">
        <v>1</v>
      </c>
      <c r="Z252" s="219" t="str">
        <f t="shared" si="9"/>
        <v/>
      </c>
      <c r="AA252" s="219" t="str">
        <f t="shared" si="11"/>
        <v/>
      </c>
    </row>
    <row r="253" spans="1:28" ht="16" x14ac:dyDescent="0.2">
      <c r="A253" s="113" t="s">
        <v>70</v>
      </c>
      <c r="B253" s="113" t="s">
        <v>702</v>
      </c>
      <c r="C253" s="127" t="s">
        <v>703</v>
      </c>
      <c r="D253" s="127" t="s">
        <v>703</v>
      </c>
      <c r="E253" s="121"/>
      <c r="F253" s="108"/>
      <c r="G253" s="108"/>
      <c r="H253" s="122"/>
      <c r="I253" s="158"/>
      <c r="J253" s="158"/>
      <c r="K253" s="158"/>
      <c r="L253" s="158"/>
      <c r="M253" s="158"/>
      <c r="N253" s="158"/>
      <c r="O253" s="158"/>
      <c r="P253" s="158"/>
      <c r="Q253" s="158"/>
      <c r="X253" s="256"/>
      <c r="Y253" s="147">
        <v>1</v>
      </c>
      <c r="Z253" s="219" t="str">
        <f t="shared" si="9"/>
        <v/>
      </c>
      <c r="AA253" s="219" t="str">
        <f t="shared" si="11"/>
        <v/>
      </c>
    </row>
    <row r="254" spans="1:28" ht="32" x14ac:dyDescent="0.2">
      <c r="A254" s="108" t="s">
        <v>46</v>
      </c>
      <c r="B254" s="108" t="s">
        <v>704</v>
      </c>
      <c r="C254" s="51" t="s">
        <v>705</v>
      </c>
      <c r="D254" s="51" t="s">
        <v>706</v>
      </c>
      <c r="E254" s="121"/>
      <c r="F254" s="108"/>
      <c r="G254" s="108"/>
      <c r="H254" s="122"/>
      <c r="I254" s="158" t="s">
        <v>52</v>
      </c>
      <c r="J254" s="158"/>
      <c r="K254" s="158"/>
      <c r="L254" s="158"/>
      <c r="M254" s="158"/>
      <c r="N254" s="158"/>
      <c r="O254" s="158"/>
      <c r="P254" s="158"/>
      <c r="Q254" s="158"/>
      <c r="V254" s="53" t="s">
        <v>43</v>
      </c>
      <c r="X254" s="256"/>
      <c r="Y254" s="147">
        <v>1</v>
      </c>
      <c r="Z254" s="219" t="str">
        <f t="shared" si="9"/>
        <v/>
      </c>
      <c r="AA254" s="219" t="str">
        <f t="shared" si="11"/>
        <v/>
      </c>
    </row>
    <row r="255" spans="1:28" ht="48" x14ac:dyDescent="0.2">
      <c r="A255" s="108" t="s">
        <v>707</v>
      </c>
      <c r="B255" s="108" t="s">
        <v>708</v>
      </c>
      <c r="C255" s="51" t="s">
        <v>709</v>
      </c>
      <c r="D255" s="51" t="s">
        <v>710</v>
      </c>
      <c r="E255" s="121"/>
      <c r="F255" s="108" t="s">
        <v>711</v>
      </c>
      <c r="G255" s="108" t="s">
        <v>712</v>
      </c>
      <c r="H255" s="122"/>
      <c r="I255" s="158" t="s">
        <v>41</v>
      </c>
      <c r="J255" s="158"/>
      <c r="K255" s="158"/>
      <c r="L255" s="158"/>
      <c r="M255" s="158"/>
      <c r="N255" s="158"/>
      <c r="O255" s="158"/>
      <c r="P255" s="158"/>
      <c r="Q255" s="158"/>
      <c r="V255" s="53" t="s">
        <v>43</v>
      </c>
      <c r="X255" s="256">
        <v>72.295135498046875</v>
      </c>
      <c r="Y255" s="147">
        <v>1</v>
      </c>
      <c r="Z255" s="219">
        <f t="shared" si="9"/>
        <v>72.295135498046875</v>
      </c>
      <c r="AA255" s="219">
        <f t="shared" si="11"/>
        <v>72.295135498046875</v>
      </c>
    </row>
    <row r="256" spans="1:28" ht="64" x14ac:dyDescent="0.2">
      <c r="A256" s="108" t="s">
        <v>46</v>
      </c>
      <c r="B256" s="108" t="s">
        <v>713</v>
      </c>
      <c r="C256" s="51" t="s">
        <v>714</v>
      </c>
      <c r="D256" s="51" t="s">
        <v>715</v>
      </c>
      <c r="E256" s="121"/>
      <c r="F256" s="108"/>
      <c r="G256" s="108"/>
      <c r="H256" s="122"/>
      <c r="I256" s="158" t="s">
        <v>52</v>
      </c>
      <c r="J256" s="158"/>
      <c r="K256" s="158"/>
      <c r="L256" s="158"/>
      <c r="M256" s="158"/>
      <c r="N256" s="158"/>
      <c r="O256" s="158"/>
      <c r="P256" s="158"/>
      <c r="Q256" s="158"/>
      <c r="V256" s="53" t="s">
        <v>43</v>
      </c>
      <c r="X256" s="256">
        <v>3.7052218914031982</v>
      </c>
      <c r="Y256" s="147">
        <v>1</v>
      </c>
      <c r="Z256" s="219">
        <f t="shared" si="9"/>
        <v>3.7052218914031982</v>
      </c>
      <c r="AA256" s="219">
        <f t="shared" si="11"/>
        <v>3.7052218914031982</v>
      </c>
    </row>
    <row r="257" spans="1:28" ht="16" customHeight="1" x14ac:dyDescent="0.2">
      <c r="A257" s="108" t="s">
        <v>146</v>
      </c>
      <c r="B257" s="108"/>
      <c r="C257" s="51"/>
      <c r="D257" s="51"/>
      <c r="E257" s="121"/>
      <c r="F257" s="108"/>
      <c r="G257" s="108"/>
      <c r="H257" s="122"/>
      <c r="I257" s="158"/>
      <c r="J257" s="158"/>
      <c r="K257" s="158"/>
      <c r="L257" s="158"/>
      <c r="M257" s="158"/>
      <c r="N257" s="158"/>
      <c r="O257" s="158"/>
      <c r="P257" s="158"/>
      <c r="Q257" s="158"/>
      <c r="X257" s="256" t="s">
        <v>69</v>
      </c>
      <c r="Y257" s="147">
        <v>1</v>
      </c>
      <c r="Z257" s="219" t="str">
        <f t="shared" si="9"/>
        <v/>
      </c>
      <c r="AA257" s="219" t="str">
        <f t="shared" si="11"/>
        <v/>
      </c>
    </row>
    <row r="258" spans="1:28" x14ac:dyDescent="0.2">
      <c r="A258" s="109"/>
      <c r="B258" s="109"/>
      <c r="E258" s="121"/>
      <c r="H258" s="122"/>
      <c r="V258" s="53" t="s">
        <v>69</v>
      </c>
      <c r="X258" s="256" t="s">
        <v>69</v>
      </c>
      <c r="Y258" s="147">
        <v>1</v>
      </c>
      <c r="Z258" s="219" t="str">
        <f t="shared" si="9"/>
        <v/>
      </c>
      <c r="AA258" s="219" t="str">
        <f t="shared" si="11"/>
        <v/>
      </c>
    </row>
    <row r="259" spans="1:28" s="110" customFormat="1" ht="16" x14ac:dyDescent="0.2">
      <c r="A259" s="110" t="s">
        <v>70</v>
      </c>
      <c r="B259" s="110" t="s">
        <v>716</v>
      </c>
      <c r="C259" s="111" t="s">
        <v>717</v>
      </c>
      <c r="D259" s="111" t="s">
        <v>717</v>
      </c>
      <c r="E259" s="112"/>
      <c r="H259" s="116"/>
      <c r="I259" s="159"/>
      <c r="J259" s="159"/>
      <c r="K259" s="159"/>
      <c r="L259" s="159"/>
      <c r="M259" s="159"/>
      <c r="N259" s="159"/>
      <c r="O259" s="159"/>
      <c r="P259" s="159"/>
      <c r="Q259" s="159"/>
      <c r="V259" s="110" t="s">
        <v>53</v>
      </c>
      <c r="X259" s="256"/>
      <c r="Y259" s="147">
        <v>1</v>
      </c>
      <c r="Z259" s="219" t="str">
        <f t="shared" si="9"/>
        <v/>
      </c>
      <c r="AA259" s="219" t="str">
        <f t="shared" si="11"/>
        <v/>
      </c>
    </row>
    <row r="260" spans="1:28" s="111" customFormat="1" ht="48" x14ac:dyDescent="0.2">
      <c r="A260" s="111" t="s">
        <v>46</v>
      </c>
      <c r="B260" s="111" t="s">
        <v>718</v>
      </c>
      <c r="C260" s="111" t="s">
        <v>719</v>
      </c>
      <c r="D260" s="230" t="s">
        <v>720</v>
      </c>
      <c r="E260" s="112"/>
      <c r="H260" s="112"/>
      <c r="I260" s="159" t="s">
        <v>52</v>
      </c>
      <c r="J260" s="174"/>
      <c r="K260" s="174"/>
      <c r="L260" s="159"/>
      <c r="M260" s="159"/>
      <c r="N260" s="174"/>
      <c r="O260" s="174"/>
      <c r="P260" s="174"/>
      <c r="Q260" s="174"/>
      <c r="V260" s="111" t="s">
        <v>53</v>
      </c>
      <c r="X260" s="256">
        <v>0</v>
      </c>
      <c r="Y260" s="147">
        <v>1</v>
      </c>
      <c r="Z260" s="219">
        <f t="shared" si="9"/>
        <v>0</v>
      </c>
      <c r="AA260" s="219" t="str">
        <f t="shared" si="11"/>
        <v/>
      </c>
    </row>
    <row r="261" spans="1:28" s="111" customFormat="1" ht="64" x14ac:dyDescent="0.2">
      <c r="A261" s="111" t="s">
        <v>84</v>
      </c>
      <c r="B261" s="111" t="s">
        <v>721</v>
      </c>
      <c r="C261" s="111" t="s">
        <v>722</v>
      </c>
      <c r="D261" s="230" t="s">
        <v>723</v>
      </c>
      <c r="E261" s="112"/>
      <c r="F261" s="110" t="s">
        <v>724</v>
      </c>
      <c r="G261" s="110" t="s">
        <v>725</v>
      </c>
      <c r="H261" s="112"/>
      <c r="I261" s="159" t="s">
        <v>41</v>
      </c>
      <c r="J261" s="174"/>
      <c r="K261" s="174" t="s">
        <v>726</v>
      </c>
      <c r="L261" s="159" t="s">
        <v>727</v>
      </c>
      <c r="M261" s="159" t="s">
        <v>727</v>
      </c>
      <c r="N261" s="174"/>
      <c r="O261" s="174"/>
      <c r="P261" s="174"/>
      <c r="Q261" s="174"/>
      <c r="V261" s="111" t="s">
        <v>53</v>
      </c>
      <c r="X261" s="256">
        <v>17</v>
      </c>
      <c r="Y261" s="147">
        <v>1</v>
      </c>
      <c r="Z261" s="219">
        <f t="shared" si="9"/>
        <v>17</v>
      </c>
      <c r="AA261" s="219" t="str">
        <f t="shared" si="11"/>
        <v/>
      </c>
    </row>
    <row r="262" spans="1:28" s="111" customFormat="1" ht="64" x14ac:dyDescent="0.2">
      <c r="A262" s="111" t="s">
        <v>84</v>
      </c>
      <c r="B262" s="111" t="s">
        <v>728</v>
      </c>
      <c r="C262" s="111" t="s">
        <v>729</v>
      </c>
      <c r="D262" s="230" t="s">
        <v>730</v>
      </c>
      <c r="E262" s="112"/>
      <c r="F262" s="110" t="s">
        <v>724</v>
      </c>
      <c r="G262" s="110" t="s">
        <v>725</v>
      </c>
      <c r="H262" s="112"/>
      <c r="I262" s="159" t="s">
        <v>41</v>
      </c>
      <c r="J262" s="174"/>
      <c r="K262" s="174" t="s">
        <v>726</v>
      </c>
      <c r="L262" s="159" t="s">
        <v>727</v>
      </c>
      <c r="M262" s="159" t="s">
        <v>727</v>
      </c>
      <c r="N262" s="174"/>
      <c r="O262" s="174"/>
      <c r="P262" s="174"/>
      <c r="Q262" s="174"/>
      <c r="V262" s="111" t="s">
        <v>53</v>
      </c>
      <c r="X262" s="256">
        <v>17</v>
      </c>
      <c r="Y262" s="147">
        <v>1</v>
      </c>
      <c r="Z262" s="219">
        <f t="shared" si="9"/>
        <v>17</v>
      </c>
      <c r="AA262" s="219" t="str">
        <f t="shared" si="11"/>
        <v/>
      </c>
    </row>
    <row r="263" spans="1:28" s="111" customFormat="1" ht="48" x14ac:dyDescent="0.2">
      <c r="A263" s="111" t="s">
        <v>84</v>
      </c>
      <c r="B263" s="111" t="s">
        <v>731</v>
      </c>
      <c r="C263" s="111" t="s">
        <v>732</v>
      </c>
      <c r="D263" s="231" t="s">
        <v>733</v>
      </c>
      <c r="E263" s="112"/>
      <c r="F263" s="110" t="s">
        <v>724</v>
      </c>
      <c r="G263" s="110" t="s">
        <v>725</v>
      </c>
      <c r="H263" s="112"/>
      <c r="I263" s="159" t="s">
        <v>41</v>
      </c>
      <c r="J263" s="174"/>
      <c r="K263" s="174" t="s">
        <v>726</v>
      </c>
      <c r="L263" s="159" t="s">
        <v>727</v>
      </c>
      <c r="M263" s="159" t="s">
        <v>727</v>
      </c>
      <c r="N263" s="174"/>
      <c r="O263" s="174"/>
      <c r="P263" s="174"/>
      <c r="Q263" s="174"/>
      <c r="V263" s="111" t="s">
        <v>53</v>
      </c>
      <c r="X263" s="256">
        <v>17</v>
      </c>
      <c r="Y263" s="147">
        <v>1</v>
      </c>
      <c r="Z263" s="219">
        <f t="shared" si="9"/>
        <v>17</v>
      </c>
      <c r="AA263" s="219" t="str">
        <f t="shared" si="11"/>
        <v/>
      </c>
    </row>
    <row r="264" spans="1:28" s="111" customFormat="1" ht="48" x14ac:dyDescent="0.2">
      <c r="A264" s="111" t="s">
        <v>84</v>
      </c>
      <c r="B264" s="111" t="s">
        <v>734</v>
      </c>
      <c r="C264" s="111" t="s">
        <v>735</v>
      </c>
      <c r="D264" s="231" t="s">
        <v>736</v>
      </c>
      <c r="E264" s="112"/>
      <c r="F264" s="110" t="s">
        <v>724</v>
      </c>
      <c r="G264" s="110" t="s">
        <v>725</v>
      </c>
      <c r="H264" s="112"/>
      <c r="I264" s="159" t="s">
        <v>41</v>
      </c>
      <c r="J264" s="174"/>
      <c r="K264" s="174" t="s">
        <v>726</v>
      </c>
      <c r="L264" s="159" t="s">
        <v>727</v>
      </c>
      <c r="M264" s="159" t="s">
        <v>727</v>
      </c>
      <c r="N264" s="174"/>
      <c r="O264" s="174"/>
      <c r="P264" s="174"/>
      <c r="Q264" s="174"/>
      <c r="V264" s="111" t="s">
        <v>53</v>
      </c>
      <c r="X264" s="256">
        <v>17</v>
      </c>
      <c r="Y264" s="147">
        <v>1</v>
      </c>
      <c r="Z264" s="219">
        <f t="shared" si="9"/>
        <v>17</v>
      </c>
      <c r="AA264" s="219" t="str">
        <f t="shared" si="11"/>
        <v/>
      </c>
    </row>
    <row r="265" spans="1:28" s="111" customFormat="1" ht="64" x14ac:dyDescent="0.2">
      <c r="A265" s="111" t="s">
        <v>84</v>
      </c>
      <c r="B265" s="111" t="s">
        <v>737</v>
      </c>
      <c r="C265" s="111" t="s">
        <v>738</v>
      </c>
      <c r="D265" s="230" t="s">
        <v>739</v>
      </c>
      <c r="E265" s="112"/>
      <c r="F265" s="110" t="s">
        <v>724</v>
      </c>
      <c r="G265" s="110" t="s">
        <v>725</v>
      </c>
      <c r="H265" s="112"/>
      <c r="I265" s="159" t="s">
        <v>41</v>
      </c>
      <c r="J265" s="174"/>
      <c r="K265" s="174" t="s">
        <v>726</v>
      </c>
      <c r="L265" s="159" t="s">
        <v>727</v>
      </c>
      <c r="M265" s="159" t="s">
        <v>727</v>
      </c>
      <c r="N265" s="174"/>
      <c r="O265" s="174"/>
      <c r="P265" s="174"/>
      <c r="Q265" s="174"/>
      <c r="V265" s="111" t="s">
        <v>53</v>
      </c>
      <c r="X265" s="256">
        <v>17</v>
      </c>
      <c r="Y265" s="147">
        <v>1</v>
      </c>
      <c r="Z265" s="219">
        <f t="shared" si="9"/>
        <v>17</v>
      </c>
      <c r="AA265" s="219" t="str">
        <f t="shared" si="11"/>
        <v/>
      </c>
    </row>
    <row r="266" spans="1:28" s="111" customFormat="1" ht="64" x14ac:dyDescent="0.2">
      <c r="A266" s="111" t="s">
        <v>84</v>
      </c>
      <c r="B266" s="111" t="s">
        <v>740</v>
      </c>
      <c r="C266" s="111" t="s">
        <v>741</v>
      </c>
      <c r="D266" s="230" t="s">
        <v>742</v>
      </c>
      <c r="E266" s="112"/>
      <c r="F266" s="110" t="s">
        <v>724</v>
      </c>
      <c r="G266" s="110" t="s">
        <v>725</v>
      </c>
      <c r="H266" s="112"/>
      <c r="I266" s="159" t="s">
        <v>41</v>
      </c>
      <c r="J266" s="174"/>
      <c r="K266" s="174" t="s">
        <v>726</v>
      </c>
      <c r="L266" s="159" t="s">
        <v>727</v>
      </c>
      <c r="M266" s="159" t="s">
        <v>727</v>
      </c>
      <c r="N266" s="174"/>
      <c r="O266" s="174"/>
      <c r="P266" s="174"/>
      <c r="Q266" s="174"/>
      <c r="V266" s="111" t="s">
        <v>53</v>
      </c>
      <c r="X266" s="256">
        <v>17</v>
      </c>
      <c r="Y266" s="147">
        <v>1</v>
      </c>
      <c r="Z266" s="219">
        <f t="shared" ref="Z266:Z308" si="12">IF(X266&lt;&gt;"",X266*Y266,"")</f>
        <v>17</v>
      </c>
      <c r="AA266" s="219" t="str">
        <f t="shared" si="11"/>
        <v/>
      </c>
    </row>
    <row r="267" spans="1:28" s="111" customFormat="1" ht="64" x14ac:dyDescent="0.2">
      <c r="A267" s="111" t="s">
        <v>84</v>
      </c>
      <c r="B267" s="111" t="s">
        <v>743</v>
      </c>
      <c r="C267" s="111" t="s">
        <v>744</v>
      </c>
      <c r="D267" s="230" t="s">
        <v>745</v>
      </c>
      <c r="E267" s="112"/>
      <c r="F267" s="110" t="s">
        <v>724</v>
      </c>
      <c r="G267" s="110" t="s">
        <v>725</v>
      </c>
      <c r="H267" s="112"/>
      <c r="I267" s="159" t="s">
        <v>41</v>
      </c>
      <c r="J267" s="174"/>
      <c r="K267" s="174" t="s">
        <v>726</v>
      </c>
      <c r="L267" s="159" t="s">
        <v>727</v>
      </c>
      <c r="M267" s="159" t="s">
        <v>727</v>
      </c>
      <c r="N267" s="174"/>
      <c r="O267" s="174"/>
      <c r="P267" s="174"/>
      <c r="Q267" s="174"/>
      <c r="V267" s="111" t="s">
        <v>53</v>
      </c>
      <c r="X267" s="256">
        <v>17</v>
      </c>
      <c r="Y267" s="147">
        <v>1</v>
      </c>
      <c r="Z267" s="219">
        <f t="shared" si="12"/>
        <v>17</v>
      </c>
      <c r="AA267" s="219" t="str">
        <f t="shared" si="11"/>
        <v/>
      </c>
    </row>
    <row r="268" spans="1:28" s="111" customFormat="1" ht="64" x14ac:dyDescent="0.2">
      <c r="A268" s="111" t="s">
        <v>84</v>
      </c>
      <c r="B268" s="111" t="s">
        <v>746</v>
      </c>
      <c r="C268" s="111" t="s">
        <v>747</v>
      </c>
      <c r="D268" s="230" t="s">
        <v>748</v>
      </c>
      <c r="E268" s="112"/>
      <c r="F268" s="110" t="s">
        <v>724</v>
      </c>
      <c r="G268" s="110" t="s">
        <v>725</v>
      </c>
      <c r="H268" s="112"/>
      <c r="I268" s="159" t="s">
        <v>41</v>
      </c>
      <c r="J268" s="174"/>
      <c r="K268" s="174" t="s">
        <v>726</v>
      </c>
      <c r="L268" s="159" t="s">
        <v>727</v>
      </c>
      <c r="M268" s="159" t="s">
        <v>727</v>
      </c>
      <c r="N268" s="174"/>
      <c r="O268" s="174"/>
      <c r="P268" s="174"/>
      <c r="Q268" s="174"/>
      <c r="V268" s="111" t="s">
        <v>53</v>
      </c>
      <c r="X268" s="256">
        <v>17</v>
      </c>
      <c r="Y268" s="147">
        <v>1</v>
      </c>
      <c r="Z268" s="219">
        <f t="shared" si="12"/>
        <v>17</v>
      </c>
      <c r="AA268" s="219" t="str">
        <f t="shared" si="11"/>
        <v/>
      </c>
    </row>
    <row r="269" spans="1:28" s="111" customFormat="1" ht="64" x14ac:dyDescent="0.2">
      <c r="A269" s="111" t="s">
        <v>84</v>
      </c>
      <c r="B269" s="111" t="s">
        <v>749</v>
      </c>
      <c r="C269" s="111" t="s">
        <v>750</v>
      </c>
      <c r="D269" s="230" t="s">
        <v>751</v>
      </c>
      <c r="E269" s="112"/>
      <c r="F269" s="110" t="s">
        <v>724</v>
      </c>
      <c r="G269" s="110" t="s">
        <v>725</v>
      </c>
      <c r="H269" s="112"/>
      <c r="I269" s="159" t="s">
        <v>41</v>
      </c>
      <c r="J269" s="174"/>
      <c r="K269" s="174" t="s">
        <v>726</v>
      </c>
      <c r="L269" s="159" t="s">
        <v>727</v>
      </c>
      <c r="M269" s="159" t="s">
        <v>727</v>
      </c>
      <c r="N269" s="174"/>
      <c r="O269" s="174"/>
      <c r="P269" s="174"/>
      <c r="Q269" s="174"/>
      <c r="V269" s="111" t="s">
        <v>53</v>
      </c>
      <c r="X269" s="256">
        <v>17</v>
      </c>
      <c r="Y269" s="147">
        <v>1</v>
      </c>
      <c r="Z269" s="219">
        <f t="shared" si="12"/>
        <v>17</v>
      </c>
      <c r="AA269" s="219" t="str">
        <f t="shared" si="11"/>
        <v/>
      </c>
    </row>
    <row r="270" spans="1:28" s="110" customFormat="1" x14ac:dyDescent="0.2">
      <c r="A270" s="110" t="s">
        <v>146</v>
      </c>
      <c r="C270" s="111"/>
      <c r="D270" s="111"/>
      <c r="E270" s="112"/>
      <c r="H270" s="116"/>
      <c r="I270" s="159"/>
      <c r="J270" s="159"/>
      <c r="K270" s="159"/>
      <c r="L270" s="159"/>
      <c r="M270" s="159"/>
      <c r="N270" s="159"/>
      <c r="O270" s="159"/>
      <c r="P270" s="159"/>
      <c r="Q270" s="159"/>
      <c r="V270" s="110" t="s">
        <v>69</v>
      </c>
      <c r="X270" s="256">
        <v>17</v>
      </c>
      <c r="Y270" s="147">
        <v>1</v>
      </c>
      <c r="Z270" s="219">
        <f t="shared" si="12"/>
        <v>17</v>
      </c>
      <c r="AA270" s="219" t="str">
        <f t="shared" si="11"/>
        <v/>
      </c>
      <c r="AB270" s="109"/>
    </row>
    <row r="271" spans="1:28" s="110" customFormat="1" x14ac:dyDescent="0.2">
      <c r="C271" s="111"/>
      <c r="D271" s="111"/>
      <c r="E271" s="112"/>
      <c r="H271" s="116"/>
      <c r="I271" s="159"/>
      <c r="J271" s="159"/>
      <c r="K271" s="159"/>
      <c r="L271" s="159"/>
      <c r="M271" s="159"/>
      <c r="N271" s="159"/>
      <c r="O271" s="159"/>
      <c r="P271" s="159"/>
      <c r="Q271" s="159"/>
      <c r="V271" s="110" t="s">
        <v>69</v>
      </c>
      <c r="X271" s="256">
        <v>17</v>
      </c>
      <c r="Y271" s="147">
        <v>1</v>
      </c>
      <c r="Z271" s="219">
        <f t="shared" si="12"/>
        <v>17</v>
      </c>
      <c r="AA271" s="219" t="str">
        <f t="shared" si="11"/>
        <v/>
      </c>
      <c r="AB271" s="109"/>
    </row>
    <row r="272" spans="1:28" s="110" customFormat="1" ht="16" x14ac:dyDescent="0.2">
      <c r="A272" s="110" t="s">
        <v>70</v>
      </c>
      <c r="B272" s="110" t="s">
        <v>752</v>
      </c>
      <c r="C272" s="111" t="s">
        <v>753</v>
      </c>
      <c r="D272" s="111" t="s">
        <v>753</v>
      </c>
      <c r="E272" s="112"/>
      <c r="H272" s="116"/>
      <c r="I272" s="159"/>
      <c r="J272" s="159"/>
      <c r="K272" s="159"/>
      <c r="L272" s="159"/>
      <c r="M272" s="159"/>
      <c r="N272" s="159"/>
      <c r="O272" s="159"/>
      <c r="P272" s="159"/>
      <c r="Q272" s="159"/>
      <c r="V272" s="110" t="s">
        <v>53</v>
      </c>
      <c r="X272" s="256"/>
      <c r="Y272" s="147">
        <v>1</v>
      </c>
      <c r="Z272" s="219" t="str">
        <f t="shared" si="12"/>
        <v/>
      </c>
      <c r="AA272" s="219" t="str">
        <f t="shared" si="11"/>
        <v/>
      </c>
    </row>
    <row r="273" spans="1:28" s="110" customFormat="1" ht="48" x14ac:dyDescent="0.2">
      <c r="A273" s="110" t="s">
        <v>46</v>
      </c>
      <c r="B273" s="110" t="s">
        <v>754</v>
      </c>
      <c r="C273" s="111" t="s">
        <v>755</v>
      </c>
      <c r="D273" s="230" t="s">
        <v>756</v>
      </c>
      <c r="E273" s="112"/>
      <c r="H273" s="116"/>
      <c r="I273" s="159" t="s">
        <v>52</v>
      </c>
      <c r="J273" s="159"/>
      <c r="K273" s="159"/>
      <c r="L273" s="159"/>
      <c r="M273" s="159"/>
      <c r="N273" s="159"/>
      <c r="O273" s="159"/>
      <c r="P273" s="159"/>
      <c r="Q273" s="159"/>
      <c r="V273" s="110" t="s">
        <v>53</v>
      </c>
      <c r="X273" s="256">
        <v>17</v>
      </c>
      <c r="Y273" s="147">
        <v>1</v>
      </c>
      <c r="Z273" s="219">
        <f t="shared" si="12"/>
        <v>17</v>
      </c>
      <c r="AA273" s="219" t="str">
        <f t="shared" si="11"/>
        <v/>
      </c>
    </row>
    <row r="274" spans="1:28" s="110" customFormat="1" ht="48" x14ac:dyDescent="0.2">
      <c r="A274" s="110" t="s">
        <v>84</v>
      </c>
      <c r="B274" s="110" t="s">
        <v>757</v>
      </c>
      <c r="C274" s="111" t="s">
        <v>758</v>
      </c>
      <c r="D274" s="230" t="s">
        <v>759</v>
      </c>
      <c r="E274" s="112"/>
      <c r="F274" s="110" t="s">
        <v>724</v>
      </c>
      <c r="G274" s="110" t="s">
        <v>725</v>
      </c>
      <c r="H274" s="116"/>
      <c r="I274" s="159" t="s">
        <v>41</v>
      </c>
      <c r="J274" s="159"/>
      <c r="K274" s="159" t="s">
        <v>726</v>
      </c>
      <c r="L274" s="159" t="s">
        <v>727</v>
      </c>
      <c r="M274" s="159" t="s">
        <v>727</v>
      </c>
      <c r="N274" s="159"/>
      <c r="O274" s="159"/>
      <c r="P274" s="159"/>
      <c r="Q274" s="159"/>
      <c r="V274" s="110" t="s">
        <v>53</v>
      </c>
      <c r="X274" s="256">
        <v>17</v>
      </c>
      <c r="Y274" s="147">
        <v>1</v>
      </c>
      <c r="Z274" s="219">
        <f t="shared" si="12"/>
        <v>17</v>
      </c>
      <c r="AA274" s="219" t="str">
        <f t="shared" ref="AA274:AA308" si="13">IF(AND(X274&lt;&gt;"",V274="yes"),X274*Y274,"")</f>
        <v/>
      </c>
    </row>
    <row r="275" spans="1:28" s="110" customFormat="1" ht="48" x14ac:dyDescent="0.2">
      <c r="A275" s="110" t="s">
        <v>84</v>
      </c>
      <c r="B275" s="110" t="s">
        <v>760</v>
      </c>
      <c r="C275" s="111" t="s">
        <v>761</v>
      </c>
      <c r="D275" s="230" t="s">
        <v>762</v>
      </c>
      <c r="E275" s="112"/>
      <c r="F275" s="110" t="s">
        <v>724</v>
      </c>
      <c r="G275" s="110" t="s">
        <v>725</v>
      </c>
      <c r="H275" s="116"/>
      <c r="I275" s="159" t="s">
        <v>41</v>
      </c>
      <c r="J275" s="159"/>
      <c r="K275" s="159" t="s">
        <v>726</v>
      </c>
      <c r="L275" s="159" t="s">
        <v>727</v>
      </c>
      <c r="M275" s="159" t="s">
        <v>727</v>
      </c>
      <c r="N275" s="159"/>
      <c r="O275" s="159"/>
      <c r="P275" s="159"/>
      <c r="Q275" s="159"/>
      <c r="V275" s="110" t="s">
        <v>53</v>
      </c>
      <c r="X275" s="256">
        <v>17</v>
      </c>
      <c r="Y275" s="147">
        <v>1</v>
      </c>
      <c r="Z275" s="219">
        <f t="shared" si="12"/>
        <v>17</v>
      </c>
      <c r="AA275" s="219" t="str">
        <f t="shared" si="13"/>
        <v/>
      </c>
    </row>
    <row r="276" spans="1:28" s="110" customFormat="1" ht="48" x14ac:dyDescent="0.2">
      <c r="A276" s="110" t="s">
        <v>84</v>
      </c>
      <c r="B276" s="110" t="s">
        <v>763</v>
      </c>
      <c r="C276" s="111" t="s">
        <v>764</v>
      </c>
      <c r="D276" s="230" t="s">
        <v>765</v>
      </c>
      <c r="E276" s="112"/>
      <c r="F276" s="110" t="s">
        <v>724</v>
      </c>
      <c r="G276" s="110" t="s">
        <v>725</v>
      </c>
      <c r="H276" s="116"/>
      <c r="I276" s="159" t="s">
        <v>41</v>
      </c>
      <c r="J276" s="159"/>
      <c r="K276" s="159" t="s">
        <v>726</v>
      </c>
      <c r="L276" s="159" t="s">
        <v>727</v>
      </c>
      <c r="M276" s="159" t="s">
        <v>727</v>
      </c>
      <c r="N276" s="159"/>
      <c r="O276" s="159"/>
      <c r="P276" s="159"/>
      <c r="Q276" s="159"/>
      <c r="V276" s="110" t="s">
        <v>53</v>
      </c>
      <c r="X276" s="256">
        <v>17</v>
      </c>
      <c r="Y276" s="147">
        <v>1</v>
      </c>
      <c r="Z276" s="219">
        <f t="shared" si="12"/>
        <v>17</v>
      </c>
      <c r="AA276" s="219" t="str">
        <f t="shared" si="13"/>
        <v/>
      </c>
    </row>
    <row r="277" spans="1:28" s="110" customFormat="1" ht="48" x14ac:dyDescent="0.2">
      <c r="A277" s="110" t="s">
        <v>84</v>
      </c>
      <c r="B277" s="110" t="s">
        <v>766</v>
      </c>
      <c r="C277" s="111" t="s">
        <v>767</v>
      </c>
      <c r="D277" s="230" t="s">
        <v>768</v>
      </c>
      <c r="E277" s="112"/>
      <c r="F277" s="110" t="s">
        <v>724</v>
      </c>
      <c r="G277" s="110" t="s">
        <v>725</v>
      </c>
      <c r="H277" s="116"/>
      <c r="I277" s="159" t="s">
        <v>41</v>
      </c>
      <c r="J277" s="159"/>
      <c r="K277" s="159" t="s">
        <v>726</v>
      </c>
      <c r="L277" s="159" t="s">
        <v>727</v>
      </c>
      <c r="M277" s="159" t="s">
        <v>727</v>
      </c>
      <c r="N277" s="159"/>
      <c r="O277" s="159"/>
      <c r="P277" s="159"/>
      <c r="Q277" s="159"/>
      <c r="V277" s="110" t="s">
        <v>53</v>
      </c>
      <c r="X277" s="256">
        <v>17</v>
      </c>
      <c r="Y277" s="147">
        <v>1</v>
      </c>
      <c r="Z277" s="219">
        <f t="shared" si="12"/>
        <v>17</v>
      </c>
      <c r="AA277" s="219" t="str">
        <f t="shared" si="13"/>
        <v/>
      </c>
    </row>
    <row r="278" spans="1:28" s="110" customFormat="1" ht="48" x14ac:dyDescent="0.2">
      <c r="A278" s="110" t="s">
        <v>84</v>
      </c>
      <c r="B278" s="110" t="s">
        <v>769</v>
      </c>
      <c r="C278" s="111" t="s">
        <v>770</v>
      </c>
      <c r="D278" s="217" t="s">
        <v>771</v>
      </c>
      <c r="E278" s="112"/>
      <c r="F278" s="110" t="s">
        <v>724</v>
      </c>
      <c r="G278" s="110" t="s">
        <v>725</v>
      </c>
      <c r="H278" s="116"/>
      <c r="I278" s="159" t="s">
        <v>41</v>
      </c>
      <c r="J278" s="159"/>
      <c r="K278" s="159" t="s">
        <v>726</v>
      </c>
      <c r="L278" s="159" t="s">
        <v>727</v>
      </c>
      <c r="M278" s="159" t="s">
        <v>727</v>
      </c>
      <c r="N278" s="159"/>
      <c r="O278" s="159"/>
      <c r="P278" s="159"/>
      <c r="Q278" s="159"/>
      <c r="V278" s="110" t="s">
        <v>53</v>
      </c>
      <c r="X278" s="256">
        <v>17</v>
      </c>
      <c r="Y278" s="147">
        <v>1</v>
      </c>
      <c r="Z278" s="219">
        <f t="shared" si="12"/>
        <v>17</v>
      </c>
      <c r="AA278" s="219" t="str">
        <f t="shared" si="13"/>
        <v/>
      </c>
    </row>
    <row r="279" spans="1:28" s="110" customFormat="1" x14ac:dyDescent="0.2">
      <c r="A279" s="110" t="s">
        <v>146</v>
      </c>
      <c r="C279" s="111"/>
      <c r="D279" s="111"/>
      <c r="E279" s="112"/>
      <c r="H279" s="116"/>
      <c r="I279" s="159"/>
      <c r="J279" s="159"/>
      <c r="K279" s="159"/>
      <c r="L279" s="159"/>
      <c r="M279" s="159"/>
      <c r="N279" s="159"/>
      <c r="O279" s="159"/>
      <c r="P279" s="159"/>
      <c r="Q279" s="159"/>
      <c r="V279" s="110" t="s">
        <v>69</v>
      </c>
      <c r="X279" s="256" t="s">
        <v>69</v>
      </c>
      <c r="Y279" s="147">
        <v>1</v>
      </c>
      <c r="Z279" s="219" t="str">
        <f t="shared" si="12"/>
        <v/>
      </c>
      <c r="AA279" s="219" t="str">
        <f t="shared" si="13"/>
        <v/>
      </c>
    </row>
    <row r="280" spans="1:28" s="110" customFormat="1" x14ac:dyDescent="0.2">
      <c r="C280" s="111"/>
      <c r="D280" s="111"/>
      <c r="E280" s="112"/>
      <c r="H280" s="116"/>
      <c r="I280" s="159"/>
      <c r="J280" s="159"/>
      <c r="K280" s="159"/>
      <c r="L280" s="159"/>
      <c r="M280" s="159"/>
      <c r="N280" s="159"/>
      <c r="O280" s="159"/>
      <c r="P280" s="159"/>
      <c r="Q280" s="159"/>
      <c r="V280" s="110" t="s">
        <v>69</v>
      </c>
      <c r="X280" s="256" t="s">
        <v>69</v>
      </c>
      <c r="Y280" s="147">
        <v>1</v>
      </c>
      <c r="Z280" s="219" t="str">
        <f t="shared" si="12"/>
        <v/>
      </c>
      <c r="AA280" s="219" t="str">
        <f t="shared" si="13"/>
        <v/>
      </c>
    </row>
    <row r="281" spans="1:28" ht="16" thickBot="1" x14ac:dyDescent="0.25">
      <c r="A281" s="135" t="s">
        <v>146</v>
      </c>
      <c r="B281" s="135"/>
      <c r="C281" s="136"/>
      <c r="D281" s="136"/>
      <c r="E281" s="150"/>
      <c r="F281" s="135"/>
      <c r="G281" s="135"/>
      <c r="H281" s="151"/>
      <c r="I281" s="171"/>
      <c r="J281" s="171"/>
      <c r="K281" s="171"/>
      <c r="L281" s="171"/>
      <c r="M281" s="171"/>
      <c r="N281" s="171"/>
      <c r="O281" s="171"/>
      <c r="P281" s="171"/>
      <c r="Q281" s="171"/>
      <c r="X281" s="256"/>
      <c r="Z281" s="219" t="str">
        <f t="shared" si="12"/>
        <v/>
      </c>
      <c r="AA281" s="219" t="str">
        <f t="shared" si="13"/>
        <v/>
      </c>
    </row>
    <row r="282" spans="1:28" s="106" customFormat="1" ht="15" customHeight="1" thickTop="1" x14ac:dyDescent="0.2">
      <c r="A282" s="103" t="s">
        <v>70</v>
      </c>
      <c r="B282" s="103" t="s">
        <v>772</v>
      </c>
      <c r="C282" s="127" t="s">
        <v>773</v>
      </c>
      <c r="D282" s="17" t="s">
        <v>774</v>
      </c>
      <c r="E282" s="104"/>
      <c r="F282" s="103"/>
      <c r="G282" s="103"/>
      <c r="H282" s="105"/>
      <c r="I282" s="163" t="s">
        <v>52</v>
      </c>
      <c r="J282" s="163"/>
      <c r="K282" s="163"/>
      <c r="L282" s="163"/>
      <c r="M282" s="163"/>
      <c r="N282" s="163" t="s">
        <v>150</v>
      </c>
      <c r="O282" s="163"/>
      <c r="P282" s="163"/>
      <c r="Q282" s="163"/>
      <c r="V282" s="53" t="s">
        <v>43</v>
      </c>
      <c r="X282" s="256"/>
      <c r="Y282" s="268"/>
      <c r="Z282" s="219" t="str">
        <f t="shared" si="12"/>
        <v/>
      </c>
      <c r="AA282" s="219" t="str">
        <f t="shared" si="13"/>
        <v/>
      </c>
      <c r="AB282" s="107"/>
    </row>
    <row r="283" spans="1:28" s="106" customFormat="1" ht="15" customHeight="1" x14ac:dyDescent="0.2">
      <c r="C283" s="128"/>
      <c r="D283" s="128"/>
      <c r="E283" s="104"/>
      <c r="H283" s="105"/>
      <c r="I283" s="164"/>
      <c r="J283" s="164"/>
      <c r="K283" s="164"/>
      <c r="L283" s="164"/>
      <c r="M283" s="164"/>
      <c r="N283" s="164"/>
      <c r="O283" s="164"/>
      <c r="P283" s="164"/>
      <c r="Q283" s="164"/>
      <c r="V283" s="106" t="s">
        <v>69</v>
      </c>
      <c r="X283" s="256" t="s">
        <v>69</v>
      </c>
      <c r="Y283" s="147">
        <v>1</v>
      </c>
      <c r="Z283" s="219" t="str">
        <f t="shared" si="12"/>
        <v/>
      </c>
      <c r="AA283" s="219" t="str">
        <f t="shared" si="13"/>
        <v/>
      </c>
      <c r="AB283" s="107"/>
    </row>
    <row r="284" spans="1:28" ht="32" x14ac:dyDescent="0.2">
      <c r="A284" s="108" t="s">
        <v>211</v>
      </c>
      <c r="B284" s="108" t="s">
        <v>775</v>
      </c>
      <c r="C284" s="51" t="s">
        <v>776</v>
      </c>
      <c r="D284" s="51" t="s">
        <v>777</v>
      </c>
      <c r="E284" s="121"/>
      <c r="F284" s="108" t="s">
        <v>550</v>
      </c>
      <c r="G284" s="108" t="s">
        <v>109</v>
      </c>
      <c r="H284" s="122"/>
      <c r="I284" s="158" t="s">
        <v>41</v>
      </c>
      <c r="J284" s="158"/>
      <c r="K284" s="158"/>
      <c r="L284" s="158"/>
      <c r="M284" s="158"/>
      <c r="N284" s="158"/>
      <c r="O284" s="158"/>
      <c r="P284" s="158"/>
      <c r="Q284" s="158"/>
      <c r="V284" s="53" t="s">
        <v>43</v>
      </c>
      <c r="X284" s="256">
        <v>19.828245162963867</v>
      </c>
      <c r="Y284" s="147">
        <v>1</v>
      </c>
      <c r="Z284" s="219">
        <f t="shared" si="12"/>
        <v>19.828245162963867</v>
      </c>
      <c r="AA284" s="219">
        <f t="shared" si="13"/>
        <v>19.828245162963867</v>
      </c>
    </row>
    <row r="285" spans="1:28" ht="32" x14ac:dyDescent="0.2">
      <c r="A285" s="108" t="s">
        <v>778</v>
      </c>
      <c r="B285" s="108" t="s">
        <v>779</v>
      </c>
      <c r="C285" s="51" t="s">
        <v>780</v>
      </c>
      <c r="D285" s="51" t="s">
        <v>781</v>
      </c>
      <c r="E285" s="121"/>
      <c r="F285" s="108" t="s">
        <v>782</v>
      </c>
      <c r="G285" s="108" t="s">
        <v>783</v>
      </c>
      <c r="H285" s="122"/>
      <c r="I285" s="158" t="s">
        <v>41</v>
      </c>
      <c r="J285" s="158"/>
      <c r="K285" s="160" t="s">
        <v>448</v>
      </c>
      <c r="L285" s="158"/>
      <c r="M285" s="158"/>
      <c r="N285" s="158" t="s">
        <v>784</v>
      </c>
      <c r="O285" s="158"/>
      <c r="P285" s="158"/>
      <c r="Q285" s="158"/>
      <c r="V285" s="53" t="s">
        <v>43</v>
      </c>
      <c r="X285" s="256">
        <v>49.529693603515625</v>
      </c>
      <c r="Y285" s="147">
        <v>1</v>
      </c>
      <c r="Z285" s="219">
        <f t="shared" si="12"/>
        <v>49.529693603515625</v>
      </c>
      <c r="AA285" s="219">
        <f t="shared" si="13"/>
        <v>49.529693603515625</v>
      </c>
    </row>
    <row r="286" spans="1:28" ht="16" x14ac:dyDescent="0.2">
      <c r="A286" s="108" t="s">
        <v>74</v>
      </c>
      <c r="B286" s="108" t="s">
        <v>785</v>
      </c>
      <c r="C286" s="114" t="s">
        <v>324</v>
      </c>
      <c r="D286" s="51" t="s">
        <v>325</v>
      </c>
      <c r="E286" s="132"/>
      <c r="F286" s="109" t="s">
        <v>326</v>
      </c>
      <c r="G286" s="109" t="s">
        <v>327</v>
      </c>
      <c r="H286" s="122"/>
      <c r="I286" s="158" t="s">
        <v>41</v>
      </c>
      <c r="J286" s="158"/>
      <c r="K286" s="158"/>
      <c r="L286" s="158"/>
      <c r="M286" s="158"/>
      <c r="N286" s="158" t="s">
        <v>786</v>
      </c>
      <c r="O286" s="158"/>
      <c r="P286" s="158"/>
      <c r="Q286" s="158"/>
      <c r="V286" s="53" t="s">
        <v>43</v>
      </c>
      <c r="X286" s="256"/>
      <c r="Y286" s="147">
        <v>1</v>
      </c>
      <c r="Z286" s="219" t="str">
        <f t="shared" si="12"/>
        <v/>
      </c>
      <c r="AA286" s="219" t="str">
        <f t="shared" si="13"/>
        <v/>
      </c>
    </row>
    <row r="287" spans="1:28" x14ac:dyDescent="0.2">
      <c r="E287" s="121"/>
      <c r="H287" s="122"/>
      <c r="V287" s="53" t="s">
        <v>69</v>
      </c>
      <c r="X287" s="256" t="s">
        <v>69</v>
      </c>
      <c r="Y287" s="147">
        <v>1</v>
      </c>
      <c r="Z287" s="219" t="str">
        <f t="shared" si="12"/>
        <v/>
      </c>
      <c r="AA287" s="219" t="str">
        <f t="shared" si="13"/>
        <v/>
      </c>
    </row>
    <row r="288" spans="1:28" s="110" customFormat="1" ht="32" x14ac:dyDescent="0.2">
      <c r="A288" s="110" t="s">
        <v>787</v>
      </c>
      <c r="B288" s="110" t="s">
        <v>788</v>
      </c>
      <c r="C288" s="111" t="s">
        <v>789</v>
      </c>
      <c r="D288" s="111" t="s">
        <v>790</v>
      </c>
      <c r="E288" s="112"/>
      <c r="F288" s="110" t="s">
        <v>791</v>
      </c>
      <c r="G288" s="110" t="s">
        <v>792</v>
      </c>
      <c r="H288" s="116"/>
      <c r="I288" s="159" t="s">
        <v>41</v>
      </c>
      <c r="J288" s="159"/>
      <c r="K288" s="159" t="s">
        <v>793</v>
      </c>
      <c r="L288" s="159"/>
      <c r="M288" s="159"/>
      <c r="N288" s="159"/>
      <c r="O288" s="159"/>
      <c r="P288" s="159"/>
      <c r="Q288" s="159"/>
      <c r="V288" s="110" t="s">
        <v>53</v>
      </c>
      <c r="X288" s="256">
        <v>22.029750823974609</v>
      </c>
      <c r="Y288" s="147">
        <v>1</v>
      </c>
      <c r="Z288" s="219">
        <f t="shared" si="12"/>
        <v>22.029750823974609</v>
      </c>
      <c r="AA288" s="219" t="str">
        <f t="shared" si="13"/>
        <v/>
      </c>
      <c r="AB288" s="109"/>
    </row>
    <row r="289" spans="1:28" s="110" customFormat="1" ht="16" x14ac:dyDescent="0.2">
      <c r="A289" s="110" t="s">
        <v>74</v>
      </c>
      <c r="B289" s="110" t="s">
        <v>794</v>
      </c>
      <c r="C289" s="111" t="s">
        <v>324</v>
      </c>
      <c r="D289" s="111" t="s">
        <v>325</v>
      </c>
      <c r="E289" s="112"/>
      <c r="F289" s="110" t="s">
        <v>326</v>
      </c>
      <c r="G289" s="110" t="s">
        <v>327</v>
      </c>
      <c r="H289" s="116"/>
      <c r="I289" s="159" t="s">
        <v>41</v>
      </c>
      <c r="J289" s="159"/>
      <c r="K289" s="159"/>
      <c r="L289" s="159"/>
      <c r="M289" s="159"/>
      <c r="N289" s="159" t="s">
        <v>795</v>
      </c>
      <c r="O289" s="159"/>
      <c r="P289" s="159"/>
      <c r="Q289" s="159"/>
      <c r="V289" s="110" t="s">
        <v>53</v>
      </c>
      <c r="X289" s="256"/>
      <c r="Y289" s="147">
        <v>1</v>
      </c>
      <c r="Z289" s="219" t="str">
        <f t="shared" si="12"/>
        <v/>
      </c>
      <c r="AA289" s="219" t="str">
        <f t="shared" si="13"/>
        <v/>
      </c>
      <c r="AB289" s="109"/>
    </row>
    <row r="290" spans="1:28" s="110" customFormat="1" ht="32" x14ac:dyDescent="0.2">
      <c r="A290" s="110" t="s">
        <v>211</v>
      </c>
      <c r="B290" s="110" t="s">
        <v>796</v>
      </c>
      <c r="C290" s="111" t="s">
        <v>797</v>
      </c>
      <c r="D290" s="111" t="s">
        <v>798</v>
      </c>
      <c r="E290" s="112"/>
      <c r="F290" s="110" t="s">
        <v>108</v>
      </c>
      <c r="G290" s="110" t="s">
        <v>109</v>
      </c>
      <c r="H290" s="116"/>
      <c r="I290" s="159" t="s">
        <v>41</v>
      </c>
      <c r="J290" s="159"/>
      <c r="K290" s="159"/>
      <c r="L290" s="159"/>
      <c r="M290" s="159"/>
      <c r="N290" s="159" t="s">
        <v>799</v>
      </c>
      <c r="O290" s="159"/>
      <c r="P290" s="159"/>
      <c r="Q290" s="159"/>
      <c r="S290" s="53"/>
      <c r="V290" s="110" t="s">
        <v>53</v>
      </c>
      <c r="X290" s="256">
        <v>17</v>
      </c>
      <c r="Y290" s="147">
        <v>1</v>
      </c>
      <c r="Z290" s="219">
        <f t="shared" si="12"/>
        <v>17</v>
      </c>
      <c r="AA290" s="219" t="str">
        <f t="shared" si="13"/>
        <v/>
      </c>
      <c r="AB290" s="109"/>
    </row>
    <row r="291" spans="1:28" s="110" customFormat="1" x14ac:dyDescent="0.2">
      <c r="C291" s="111"/>
      <c r="E291" s="112"/>
      <c r="H291" s="116"/>
      <c r="I291" s="159"/>
      <c r="J291" s="159"/>
      <c r="K291" s="159"/>
      <c r="L291" s="159"/>
      <c r="M291" s="159"/>
      <c r="N291" s="159"/>
      <c r="O291" s="159"/>
      <c r="P291" s="159"/>
      <c r="Q291" s="159"/>
      <c r="S291" s="53"/>
      <c r="V291" s="110" t="s">
        <v>69</v>
      </c>
      <c r="X291" s="256" t="s">
        <v>69</v>
      </c>
      <c r="Y291" s="147">
        <v>1</v>
      </c>
      <c r="Z291" s="219" t="str">
        <f t="shared" si="12"/>
        <v/>
      </c>
      <c r="AA291" s="219" t="str">
        <f t="shared" si="13"/>
        <v/>
      </c>
      <c r="AB291" s="109"/>
    </row>
    <row r="292" spans="1:28" ht="16" thickBot="1" x14ac:dyDescent="0.25">
      <c r="A292" s="135" t="s">
        <v>146</v>
      </c>
      <c r="B292" s="135"/>
      <c r="C292" s="136"/>
      <c r="D292" s="136"/>
      <c r="E292" s="150"/>
      <c r="F292" s="135"/>
      <c r="G292" s="135"/>
      <c r="H292" s="151"/>
      <c r="I292" s="171"/>
      <c r="J292" s="171"/>
      <c r="K292" s="171"/>
      <c r="L292" s="171"/>
      <c r="M292" s="171"/>
      <c r="N292" s="171"/>
      <c r="O292" s="171"/>
      <c r="P292" s="171"/>
      <c r="Q292" s="171"/>
      <c r="V292" s="53" t="s">
        <v>69</v>
      </c>
      <c r="X292" s="256" t="s">
        <v>69</v>
      </c>
      <c r="Z292" s="219" t="str">
        <f t="shared" si="12"/>
        <v/>
      </c>
      <c r="AA292" s="219" t="str">
        <f t="shared" si="13"/>
        <v/>
      </c>
    </row>
    <row r="293" spans="1:28" s="106" customFormat="1" ht="17" thickTop="1" x14ac:dyDescent="0.2">
      <c r="A293" s="103" t="s">
        <v>70</v>
      </c>
      <c r="B293" s="103" t="s">
        <v>800</v>
      </c>
      <c r="C293" s="127" t="s">
        <v>801</v>
      </c>
      <c r="D293" s="127" t="s">
        <v>802</v>
      </c>
      <c r="E293" s="104"/>
      <c r="F293" s="103"/>
      <c r="G293" s="103"/>
      <c r="H293" s="105"/>
      <c r="I293" s="163" t="s">
        <v>52</v>
      </c>
      <c r="J293" s="163"/>
      <c r="K293" s="163"/>
      <c r="L293" s="163"/>
      <c r="M293" s="163"/>
      <c r="N293" s="163" t="s">
        <v>150</v>
      </c>
      <c r="O293" s="163"/>
      <c r="P293" s="163"/>
      <c r="Q293" s="163"/>
      <c r="V293" s="53" t="s">
        <v>43</v>
      </c>
      <c r="X293" s="256"/>
      <c r="Y293" s="221"/>
      <c r="Z293" s="219" t="str">
        <f t="shared" si="12"/>
        <v/>
      </c>
      <c r="AA293" s="219" t="str">
        <f t="shared" si="13"/>
        <v/>
      </c>
      <c r="AB293" s="107"/>
    </row>
    <row r="294" spans="1:28" s="106" customFormat="1" x14ac:dyDescent="0.2">
      <c r="C294" s="128"/>
      <c r="D294" s="128"/>
      <c r="E294" s="104"/>
      <c r="H294" s="105"/>
      <c r="I294" s="164"/>
      <c r="J294" s="164"/>
      <c r="K294" s="164"/>
      <c r="L294" s="164"/>
      <c r="M294" s="164"/>
      <c r="N294" s="164"/>
      <c r="O294" s="164"/>
      <c r="P294" s="164"/>
      <c r="Q294" s="164"/>
      <c r="V294" s="106" t="s">
        <v>69</v>
      </c>
      <c r="X294" s="256" t="s">
        <v>69</v>
      </c>
      <c r="Y294" s="147">
        <v>1</v>
      </c>
      <c r="Z294" s="219" t="str">
        <f t="shared" si="12"/>
        <v/>
      </c>
      <c r="AA294" s="219" t="str">
        <f t="shared" si="13"/>
        <v/>
      </c>
      <c r="AB294" s="107"/>
    </row>
    <row r="295" spans="1:28" ht="32" x14ac:dyDescent="0.2">
      <c r="A295" s="108" t="s">
        <v>803</v>
      </c>
      <c r="B295" s="108" t="s">
        <v>804</v>
      </c>
      <c r="C295" s="51" t="s">
        <v>805</v>
      </c>
      <c r="D295" s="238" t="s">
        <v>806</v>
      </c>
      <c r="E295" s="121"/>
      <c r="F295" s="108" t="s">
        <v>108</v>
      </c>
      <c r="G295" s="108" t="s">
        <v>109</v>
      </c>
      <c r="H295" s="122"/>
      <c r="I295" s="158" t="s">
        <v>41</v>
      </c>
      <c r="J295" s="158"/>
      <c r="K295" s="158"/>
      <c r="L295" s="158"/>
      <c r="M295" s="158"/>
      <c r="N295" s="158"/>
      <c r="O295" s="158"/>
      <c r="P295" s="158"/>
      <c r="Q295" s="158"/>
      <c r="V295" s="53" t="s">
        <v>43</v>
      </c>
      <c r="X295" s="256">
        <v>36.783046722412109</v>
      </c>
      <c r="Y295" s="147">
        <v>1</v>
      </c>
      <c r="Z295" s="219">
        <f t="shared" si="12"/>
        <v>36.783046722412109</v>
      </c>
      <c r="AA295" s="219">
        <f t="shared" si="13"/>
        <v>36.783046722412109</v>
      </c>
    </row>
    <row r="296" spans="1:28" x14ac:dyDescent="0.2">
      <c r="E296" s="121"/>
      <c r="H296" s="122"/>
      <c r="V296" s="53" t="s">
        <v>69</v>
      </c>
      <c r="X296" s="256" t="s">
        <v>69</v>
      </c>
      <c r="Y296" s="147">
        <v>1</v>
      </c>
      <c r="Z296" s="219" t="str">
        <f t="shared" si="12"/>
        <v/>
      </c>
      <c r="AA296" s="219" t="str">
        <f t="shared" si="13"/>
        <v/>
      </c>
    </row>
    <row r="297" spans="1:28" s="129" customFormat="1" ht="32" x14ac:dyDescent="0.2">
      <c r="A297" s="210" t="s">
        <v>211</v>
      </c>
      <c r="B297" s="210" t="s">
        <v>807</v>
      </c>
      <c r="C297" s="246" t="s">
        <v>808</v>
      </c>
      <c r="D297" s="246" t="s">
        <v>809</v>
      </c>
      <c r="E297" s="211"/>
      <c r="F297" s="210" t="s">
        <v>108</v>
      </c>
      <c r="G297" s="210" t="s">
        <v>109</v>
      </c>
      <c r="H297" s="212"/>
      <c r="I297" s="247" t="s">
        <v>41</v>
      </c>
      <c r="J297" s="247"/>
      <c r="K297" s="166"/>
      <c r="L297" s="247"/>
      <c r="M297" s="247"/>
      <c r="N297" s="247" t="s">
        <v>810</v>
      </c>
      <c r="O297" s="166"/>
      <c r="P297" s="166"/>
      <c r="Q297" s="166"/>
      <c r="V297" s="210" t="s">
        <v>811</v>
      </c>
      <c r="X297" s="256">
        <v>10</v>
      </c>
      <c r="Y297" s="147">
        <v>1</v>
      </c>
      <c r="Z297" s="219">
        <f t="shared" si="12"/>
        <v>10</v>
      </c>
      <c r="AA297" s="219" t="str">
        <f t="shared" si="13"/>
        <v/>
      </c>
    </row>
    <row r="298" spans="1:28" s="129" customFormat="1" ht="16" x14ac:dyDescent="0.2">
      <c r="A298" s="210" t="s">
        <v>812</v>
      </c>
      <c r="B298" s="210" t="s">
        <v>813</v>
      </c>
      <c r="C298" s="246" t="s">
        <v>814</v>
      </c>
      <c r="D298" s="246" t="s">
        <v>815</v>
      </c>
      <c r="E298" s="211"/>
      <c r="F298" s="210" t="s">
        <v>108</v>
      </c>
      <c r="G298" s="210" t="s">
        <v>109</v>
      </c>
      <c r="H298" s="212"/>
      <c r="I298" s="247" t="s">
        <v>41</v>
      </c>
      <c r="J298" s="247"/>
      <c r="K298" s="166"/>
      <c r="L298" s="247"/>
      <c r="M298" s="247"/>
      <c r="N298" s="247" t="s">
        <v>816</v>
      </c>
      <c r="O298" s="166"/>
      <c r="P298" s="166"/>
      <c r="Q298" s="166"/>
      <c r="V298" s="210" t="s">
        <v>811</v>
      </c>
      <c r="X298" s="256">
        <v>10</v>
      </c>
      <c r="Y298" s="147">
        <v>1</v>
      </c>
      <c r="Z298" s="219">
        <f t="shared" si="12"/>
        <v>10</v>
      </c>
      <c r="AA298" s="219" t="str">
        <f t="shared" si="13"/>
        <v/>
      </c>
    </row>
    <row r="299" spans="1:28" s="110" customFormat="1" ht="16" x14ac:dyDescent="0.2">
      <c r="A299" s="210" t="s">
        <v>74</v>
      </c>
      <c r="B299" s="210" t="s">
        <v>817</v>
      </c>
      <c r="C299" s="246" t="s">
        <v>818</v>
      </c>
      <c r="D299" s="246" t="s">
        <v>819</v>
      </c>
      <c r="E299" s="211"/>
      <c r="F299" s="210"/>
      <c r="G299" s="210"/>
      <c r="H299" s="212"/>
      <c r="I299" s="247" t="s">
        <v>41</v>
      </c>
      <c r="J299" s="247" t="s">
        <v>100</v>
      </c>
      <c r="K299" s="159" t="s">
        <v>101</v>
      </c>
      <c r="L299" s="247" t="s">
        <v>102</v>
      </c>
      <c r="M299" s="247" t="s">
        <v>102</v>
      </c>
      <c r="N299" s="247" t="s">
        <v>816</v>
      </c>
      <c r="O299" s="159"/>
      <c r="P299" s="159"/>
      <c r="Q299" s="159"/>
      <c r="V299" s="210" t="s">
        <v>811</v>
      </c>
      <c r="X299" s="256">
        <v>10</v>
      </c>
      <c r="Y299" s="147">
        <v>1</v>
      </c>
      <c r="Z299" s="219">
        <f t="shared" si="12"/>
        <v>10</v>
      </c>
      <c r="AA299" s="219" t="str">
        <f t="shared" si="13"/>
        <v/>
      </c>
      <c r="AB299" s="109"/>
    </row>
    <row r="300" spans="1:28" s="110" customFormat="1" ht="16" x14ac:dyDescent="0.2">
      <c r="A300" s="210" t="s">
        <v>74</v>
      </c>
      <c r="B300" s="210" t="s">
        <v>820</v>
      </c>
      <c r="C300" s="246" t="s">
        <v>821</v>
      </c>
      <c r="D300" s="246" t="s">
        <v>822</v>
      </c>
      <c r="E300" s="211"/>
      <c r="F300" s="210"/>
      <c r="G300" s="210"/>
      <c r="H300" s="212"/>
      <c r="I300" s="247" t="s">
        <v>41</v>
      </c>
      <c r="J300" s="247"/>
      <c r="K300" s="159"/>
      <c r="L300" s="247"/>
      <c r="M300" s="247"/>
      <c r="N300" s="247" t="s">
        <v>816</v>
      </c>
      <c r="O300" s="159"/>
      <c r="P300" s="159"/>
      <c r="Q300" s="159"/>
      <c r="V300" s="210" t="s">
        <v>811</v>
      </c>
      <c r="X300" s="256">
        <v>10</v>
      </c>
      <c r="Y300" s="147">
        <v>1</v>
      </c>
      <c r="Z300" s="219">
        <f t="shared" si="12"/>
        <v>10</v>
      </c>
      <c r="AA300" s="219" t="str">
        <f t="shared" si="13"/>
        <v/>
      </c>
      <c r="AB300" s="109"/>
    </row>
    <row r="301" spans="1:28" s="110" customFormat="1" ht="16" x14ac:dyDescent="0.2">
      <c r="A301" s="208" t="s">
        <v>823</v>
      </c>
      <c r="B301" s="208" t="s">
        <v>824</v>
      </c>
      <c r="C301" s="242" t="s">
        <v>825</v>
      </c>
      <c r="D301" s="242" t="s">
        <v>826</v>
      </c>
      <c r="E301" s="211"/>
      <c r="F301" s="208" t="s">
        <v>827</v>
      </c>
      <c r="G301" s="208" t="s">
        <v>321</v>
      </c>
      <c r="H301" s="212"/>
      <c r="I301" s="207" t="s">
        <v>41</v>
      </c>
      <c r="J301" s="207"/>
      <c r="K301" s="175"/>
      <c r="L301" s="207"/>
      <c r="M301" s="207"/>
      <c r="N301" s="207" t="s">
        <v>810</v>
      </c>
      <c r="O301" s="168"/>
      <c r="P301" s="168"/>
      <c r="Q301" s="168"/>
      <c r="V301" s="210" t="s">
        <v>103</v>
      </c>
      <c r="X301" s="256">
        <v>10</v>
      </c>
      <c r="Y301" s="147">
        <v>1</v>
      </c>
      <c r="Z301" s="219">
        <f t="shared" si="12"/>
        <v>10</v>
      </c>
      <c r="AA301" s="219" t="str">
        <f t="shared" si="13"/>
        <v/>
      </c>
      <c r="AB301" s="109"/>
    </row>
    <row r="302" spans="1:28" s="110" customFormat="1" ht="32" x14ac:dyDescent="0.2">
      <c r="A302" s="208" t="s">
        <v>828</v>
      </c>
      <c r="B302" s="208" t="s">
        <v>829</v>
      </c>
      <c r="C302" s="242" t="s">
        <v>830</v>
      </c>
      <c r="D302" s="242" t="s">
        <v>831</v>
      </c>
      <c r="E302" s="211"/>
      <c r="F302" s="208" t="s">
        <v>827</v>
      </c>
      <c r="G302" s="208" t="s">
        <v>321</v>
      </c>
      <c r="H302" s="212"/>
      <c r="I302" s="207" t="s">
        <v>41</v>
      </c>
      <c r="J302" s="207"/>
      <c r="K302" s="175"/>
      <c r="L302" s="207"/>
      <c r="M302" s="207"/>
      <c r="N302" s="207" t="s">
        <v>810</v>
      </c>
      <c r="O302" s="168"/>
      <c r="P302" s="168"/>
      <c r="Q302" s="168"/>
      <c r="V302" s="210" t="s">
        <v>103</v>
      </c>
      <c r="X302" s="256">
        <v>10</v>
      </c>
      <c r="Y302" s="147">
        <v>1</v>
      </c>
      <c r="Z302" s="219">
        <f t="shared" si="12"/>
        <v>10</v>
      </c>
      <c r="AA302" s="219" t="str">
        <f t="shared" si="13"/>
        <v/>
      </c>
      <c r="AB302" s="109"/>
    </row>
    <row r="303" spans="1:28" s="110" customFormat="1" x14ac:dyDescent="0.2">
      <c r="C303" s="111"/>
      <c r="D303" s="111"/>
      <c r="E303" s="112"/>
      <c r="H303" s="116"/>
      <c r="I303" s="159"/>
      <c r="J303" s="159"/>
      <c r="K303" s="159"/>
      <c r="L303" s="159"/>
      <c r="M303" s="159"/>
      <c r="N303" s="159"/>
      <c r="O303" s="159"/>
      <c r="P303" s="159"/>
      <c r="Q303" s="159"/>
      <c r="V303" s="110" t="s">
        <v>69</v>
      </c>
      <c r="X303" s="256" t="s">
        <v>69</v>
      </c>
      <c r="Y303" s="147">
        <v>1</v>
      </c>
      <c r="Z303" s="219" t="str">
        <f t="shared" si="12"/>
        <v/>
      </c>
      <c r="AA303" s="219" t="str">
        <f t="shared" si="13"/>
        <v/>
      </c>
      <c r="AB303" s="109"/>
    </row>
    <row r="304" spans="1:28" ht="16" x14ac:dyDescent="0.2">
      <c r="A304" s="108" t="s">
        <v>832</v>
      </c>
      <c r="B304" s="108" t="s">
        <v>833</v>
      </c>
      <c r="C304" s="51" t="s">
        <v>834</v>
      </c>
      <c r="D304" s="241" t="s">
        <v>835</v>
      </c>
      <c r="E304" s="121"/>
      <c r="F304" s="108" t="s">
        <v>108</v>
      </c>
      <c r="G304" s="108" t="s">
        <v>109</v>
      </c>
      <c r="H304" s="122"/>
      <c r="I304" s="158" t="s">
        <v>41</v>
      </c>
      <c r="J304" s="158"/>
      <c r="K304" s="158"/>
      <c r="L304" s="158"/>
      <c r="M304" s="158"/>
      <c r="N304" s="158"/>
      <c r="O304" s="158"/>
      <c r="P304" s="158"/>
      <c r="Q304" s="158"/>
      <c r="V304" s="53" t="s">
        <v>43</v>
      </c>
      <c r="X304" s="256">
        <v>3</v>
      </c>
      <c r="Y304" s="147">
        <v>1</v>
      </c>
      <c r="Z304" s="219">
        <f t="shared" si="12"/>
        <v>3</v>
      </c>
      <c r="AA304" s="219">
        <f t="shared" si="13"/>
        <v>3</v>
      </c>
    </row>
    <row r="305" spans="1:28" x14ac:dyDescent="0.2">
      <c r="D305" s="53"/>
      <c r="E305" s="121"/>
      <c r="H305" s="122"/>
      <c r="V305" s="53" t="s">
        <v>69</v>
      </c>
      <c r="X305" s="256" t="s">
        <v>69</v>
      </c>
      <c r="Y305" s="147">
        <v>1</v>
      </c>
      <c r="Z305" s="219" t="str">
        <f t="shared" si="12"/>
        <v/>
      </c>
      <c r="AA305" s="219" t="str">
        <f t="shared" si="13"/>
        <v/>
      </c>
    </row>
    <row r="306" spans="1:28" ht="16" x14ac:dyDescent="0.2">
      <c r="A306" s="108" t="s">
        <v>46</v>
      </c>
      <c r="B306" s="108" t="s">
        <v>836</v>
      </c>
      <c r="C306" s="51" t="s">
        <v>837</v>
      </c>
      <c r="D306" s="239" t="s">
        <v>838</v>
      </c>
      <c r="E306" s="121"/>
      <c r="F306" s="108"/>
      <c r="G306" s="108"/>
      <c r="H306" s="122"/>
      <c r="I306" s="158" t="s">
        <v>52</v>
      </c>
      <c r="J306" s="158"/>
      <c r="K306" s="158"/>
      <c r="L306" s="158"/>
      <c r="M306" s="158"/>
      <c r="N306" s="158"/>
      <c r="O306" s="158"/>
      <c r="P306" s="158"/>
      <c r="Q306" s="158"/>
      <c r="V306" s="53" t="s">
        <v>53</v>
      </c>
      <c r="X306" s="256">
        <v>0</v>
      </c>
      <c r="Y306" s="147">
        <v>1</v>
      </c>
      <c r="Z306" s="219">
        <f t="shared" si="12"/>
        <v>0</v>
      </c>
      <c r="AA306" s="219" t="str">
        <f t="shared" si="13"/>
        <v/>
      </c>
    </row>
    <row r="307" spans="1:28" x14ac:dyDescent="0.2">
      <c r="E307" s="121"/>
      <c r="H307" s="122"/>
      <c r="X307" s="256" t="s">
        <v>69</v>
      </c>
      <c r="Y307" s="147">
        <v>1</v>
      </c>
      <c r="Z307" s="219" t="str">
        <f t="shared" si="12"/>
        <v/>
      </c>
      <c r="AA307" s="219" t="str">
        <f t="shared" si="13"/>
        <v/>
      </c>
    </row>
    <row r="308" spans="1:28" ht="16" thickBot="1" x14ac:dyDescent="0.25">
      <c r="A308" s="135" t="s">
        <v>146</v>
      </c>
      <c r="B308" s="135"/>
      <c r="C308" s="136"/>
      <c r="D308" s="136"/>
      <c r="E308" s="150"/>
      <c r="F308" s="135"/>
      <c r="G308" s="135"/>
      <c r="H308" s="151"/>
      <c r="I308" s="171"/>
      <c r="J308" s="171"/>
      <c r="K308" s="171"/>
      <c r="L308" s="171"/>
      <c r="M308" s="171"/>
      <c r="N308" s="171"/>
      <c r="O308" s="171"/>
      <c r="P308" s="171"/>
      <c r="Q308" s="171"/>
      <c r="X308" s="256" t="s">
        <v>69</v>
      </c>
      <c r="Z308" s="219" t="str">
        <f t="shared" si="12"/>
        <v/>
      </c>
      <c r="AA308" s="219" t="str">
        <f t="shared" si="13"/>
        <v/>
      </c>
    </row>
    <row r="309" spans="1:28" s="110" customFormat="1" ht="16" thickTop="1" x14ac:dyDescent="0.2">
      <c r="C309" s="111"/>
      <c r="D309" s="111"/>
      <c r="E309" s="111"/>
      <c r="I309" s="159"/>
      <c r="J309" s="159"/>
      <c r="K309" s="159"/>
      <c r="L309" s="159"/>
      <c r="M309" s="159"/>
      <c r="N309" s="159"/>
      <c r="O309" s="159"/>
      <c r="P309" s="159"/>
      <c r="Q309" s="159"/>
      <c r="X309" s="256"/>
      <c r="Y309" s="223"/>
      <c r="Z309" s="222"/>
    </row>
    <row r="310" spans="1:28" ht="16" x14ac:dyDescent="0.2">
      <c r="A310" s="108" t="s">
        <v>839</v>
      </c>
      <c r="B310" s="108" t="s">
        <v>840</v>
      </c>
      <c r="C310" s="51" t="s">
        <v>841</v>
      </c>
      <c r="D310" s="218" t="s">
        <v>842</v>
      </c>
      <c r="F310" s="108"/>
      <c r="G310" s="108"/>
      <c r="I310" s="158" t="s">
        <v>41</v>
      </c>
      <c r="J310" s="158"/>
      <c r="K310" s="158"/>
      <c r="L310" s="158"/>
      <c r="M310" s="158"/>
      <c r="N310" s="158" t="s">
        <v>64</v>
      </c>
      <c r="O310" s="158"/>
      <c r="P310" s="158"/>
      <c r="Q310" s="158"/>
      <c r="V310" s="53" t="s">
        <v>53</v>
      </c>
      <c r="X310" s="256"/>
      <c r="Z310" s="219"/>
    </row>
    <row r="311" spans="1:28" ht="48" x14ac:dyDescent="0.2">
      <c r="A311" s="108" t="s">
        <v>58</v>
      </c>
      <c r="B311" s="108" t="s">
        <v>843</v>
      </c>
      <c r="C311" s="51" t="s">
        <v>844</v>
      </c>
      <c r="D311" s="218" t="s">
        <v>845</v>
      </c>
      <c r="E311" s="248"/>
      <c r="H311" s="249"/>
      <c r="I311" s="158" t="s">
        <v>846</v>
      </c>
      <c r="J311" s="158"/>
      <c r="K311" s="158"/>
      <c r="L311" s="158"/>
      <c r="M311" s="158"/>
      <c r="N311" s="165" t="s">
        <v>847</v>
      </c>
      <c r="O311" s="158"/>
      <c r="P311" s="158"/>
      <c r="Q311" s="108"/>
      <c r="W311" s="109"/>
      <c r="X311" s="256"/>
      <c r="Z311" s="219"/>
      <c r="AB311" s="53"/>
    </row>
    <row r="312" spans="1:28" s="110" customFormat="1" ht="16" x14ac:dyDescent="0.2">
      <c r="A312" s="110" t="s">
        <v>74</v>
      </c>
      <c r="B312" s="110" t="s">
        <v>848</v>
      </c>
      <c r="C312" s="111" t="s">
        <v>849</v>
      </c>
      <c r="D312" s="111" t="s">
        <v>850</v>
      </c>
      <c r="E312" s="112"/>
      <c r="F312" s="110" t="s">
        <v>851</v>
      </c>
      <c r="G312" s="110" t="s">
        <v>852</v>
      </c>
      <c r="H312" s="116"/>
      <c r="I312" s="159" t="s">
        <v>52</v>
      </c>
      <c r="J312" s="159"/>
      <c r="K312" s="159"/>
      <c r="L312" s="159"/>
      <c r="M312" s="159"/>
      <c r="N312" s="159"/>
      <c r="O312" s="159"/>
      <c r="P312" s="159"/>
      <c r="Q312" s="159"/>
      <c r="V312" s="110" t="s">
        <v>53</v>
      </c>
      <c r="X312" s="256"/>
      <c r="Y312" s="147"/>
      <c r="Z312" s="219"/>
      <c r="AA312" s="219" t="str">
        <f>IF(AND(X312&lt;&gt;"",V312="yes"),X312*Y312,"")</f>
        <v/>
      </c>
    </row>
    <row r="313" spans="1:28" x14ac:dyDescent="0.2">
      <c r="A313" s="108" t="s">
        <v>27</v>
      </c>
      <c r="B313" s="108" t="s">
        <v>853</v>
      </c>
      <c r="C313" s="51"/>
      <c r="D313" s="51"/>
      <c r="F313" s="108"/>
      <c r="G313" s="108"/>
      <c r="I313" s="158" t="s">
        <v>52</v>
      </c>
      <c r="J313" s="158"/>
      <c r="K313" s="158"/>
      <c r="L313" s="158"/>
      <c r="M313" s="158"/>
      <c r="N313" s="158"/>
      <c r="O313" s="158"/>
      <c r="P313" s="158"/>
      <c r="Q313" s="158" t="s">
        <v>854</v>
      </c>
      <c r="V313" s="53" t="s">
        <v>53</v>
      </c>
      <c r="X313" s="256"/>
    </row>
    <row r="314" spans="1:28" x14ac:dyDescent="0.2">
      <c r="X314" s="256"/>
    </row>
    <row r="318" spans="1:28" ht="16" thickBot="1" x14ac:dyDescent="0.25"/>
    <row r="319" spans="1:28" ht="17" thickBot="1" x14ac:dyDescent="0.25">
      <c r="T319" s="263" t="s">
        <v>855</v>
      </c>
      <c r="U319" s="264"/>
      <c r="V319" s="264"/>
      <c r="W319" s="264"/>
      <c r="X319" s="262"/>
      <c r="Y319" s="224"/>
      <c r="Z319" s="225">
        <f>(SUM(Z4:Z306)/60)</f>
        <v>38.310931620636012</v>
      </c>
      <c r="AA319" s="225">
        <f>(SUM(AA4:AA48)+AVERAGE(AA49:AA51)+SUM(AA52:AA306))/60</f>
        <v>18.316048467464963</v>
      </c>
    </row>
  </sheetData>
  <sheetProtection algorithmName="SHA-512" hashValue="JtHj9aTA8rbbpEKmn+Xr7+3uxWyajamFBZjgDYZ4vftftUVik5ZhmMQO5Fj7yVXO9tlczyk5SSW+MRmT26La/w==" saltValue="TppL0eDwg2QlbCUBvcXpWw==" spinCount="100000" sheet="1" formatCells="0" formatColumns="0" formatRows="0" insertColumns="0" insertRows="0" deleteColumns="0" deleteRows="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17"/>
  <sheetViews>
    <sheetView tabSelected="1" zoomScale="110" zoomScaleNormal="110" workbookViewId="0">
      <pane ySplit="1" topLeftCell="A2" activePane="bottomLeft" state="frozen"/>
      <selection pane="bottomLeft" activeCell="C14" sqref="C14"/>
    </sheetView>
  </sheetViews>
  <sheetFormatPr baseColWidth="10" defaultColWidth="8.83203125" defaultRowHeight="15" x14ac:dyDescent="0.2"/>
  <cols>
    <col min="1" max="1" width="8.83203125" style="3"/>
    <col min="2" max="2" width="30" style="3" customWidth="1"/>
    <col min="3" max="4" width="27.1640625" style="3" customWidth="1"/>
    <col min="5" max="5" width="20" style="3" customWidth="1"/>
    <col min="6" max="6" width="16.1640625" style="3" customWidth="1"/>
    <col min="7" max="16384" width="8.83203125" style="3"/>
  </cols>
  <sheetData>
    <row r="1" spans="1:6" x14ac:dyDescent="0.2">
      <c r="A1" s="6" t="s">
        <v>856</v>
      </c>
      <c r="B1" s="6" t="s">
        <v>1</v>
      </c>
      <c r="C1" s="6" t="s">
        <v>2</v>
      </c>
      <c r="D1" s="2" t="s">
        <v>3</v>
      </c>
      <c r="E1" s="1" t="s">
        <v>4</v>
      </c>
      <c r="F1" s="6" t="s">
        <v>857</v>
      </c>
    </row>
    <row r="2" spans="1:6" s="15" customFormat="1" x14ac:dyDescent="0.2">
      <c r="A2" s="15" t="s">
        <v>858</v>
      </c>
      <c r="B2" s="270">
        <v>1</v>
      </c>
      <c r="C2" s="270" t="s">
        <v>859</v>
      </c>
      <c r="D2" s="19" t="s">
        <v>860</v>
      </c>
      <c r="E2" s="271"/>
      <c r="F2" s="272"/>
    </row>
    <row r="3" spans="1:6" s="15" customFormat="1" x14ac:dyDescent="0.2">
      <c r="A3" s="15" t="s">
        <v>858</v>
      </c>
      <c r="B3" s="270">
        <v>2</v>
      </c>
      <c r="C3" s="270" t="s">
        <v>861</v>
      </c>
      <c r="D3" s="19" t="s">
        <v>862</v>
      </c>
      <c r="E3" s="271"/>
      <c r="F3" s="272"/>
    </row>
    <row r="4" spans="1:6" s="15" customFormat="1" x14ac:dyDescent="0.2">
      <c r="A4" s="15" t="s">
        <v>858</v>
      </c>
      <c r="B4" s="270">
        <v>3</v>
      </c>
      <c r="C4" s="270" t="s">
        <v>863</v>
      </c>
      <c r="D4" s="19" t="s">
        <v>864</v>
      </c>
      <c r="E4" s="271"/>
      <c r="F4" s="272"/>
    </row>
    <row r="5" spans="1:6" s="15" customFormat="1" x14ac:dyDescent="0.2">
      <c r="A5" s="15" t="s">
        <v>858</v>
      </c>
      <c r="B5" s="270">
        <v>4</v>
      </c>
      <c r="C5" s="270" t="s">
        <v>865</v>
      </c>
      <c r="D5" s="19" t="s">
        <v>866</v>
      </c>
      <c r="E5" s="271"/>
      <c r="F5" s="272"/>
    </row>
    <row r="6" spans="1:6" x14ac:dyDescent="0.2">
      <c r="A6" s="2"/>
      <c r="B6" s="2"/>
      <c r="C6" s="2"/>
      <c r="D6" s="2"/>
      <c r="E6" s="1"/>
      <c r="F6" s="2"/>
    </row>
    <row r="7" spans="1:6" x14ac:dyDescent="0.2">
      <c r="A7" t="s">
        <v>38</v>
      </c>
      <c r="B7" s="3">
        <v>1</v>
      </c>
      <c r="C7" s="5" t="s">
        <v>867</v>
      </c>
      <c r="D7" s="5" t="s">
        <v>868</v>
      </c>
      <c r="E7" s="4"/>
      <c r="F7" s="4"/>
    </row>
    <row r="8" spans="1:6" x14ac:dyDescent="0.2">
      <c r="A8" t="s">
        <v>38</v>
      </c>
      <c r="B8" s="3">
        <v>2</v>
      </c>
      <c r="C8" s="5" t="s">
        <v>869</v>
      </c>
      <c r="D8" s="5" t="s">
        <v>870</v>
      </c>
      <c r="E8" s="4"/>
      <c r="F8" s="4"/>
    </row>
    <row r="9" spans="1:6" x14ac:dyDescent="0.2">
      <c r="A9" t="s">
        <v>38</v>
      </c>
      <c r="B9" s="3">
        <v>3</v>
      </c>
      <c r="C9" s="5" t="s">
        <v>871</v>
      </c>
      <c r="D9" s="5" t="s">
        <v>872</v>
      </c>
      <c r="E9" s="4"/>
      <c r="F9" s="4"/>
    </row>
    <row r="10" spans="1:6" x14ac:dyDescent="0.2">
      <c r="C10" s="12"/>
      <c r="D10" s="12"/>
      <c r="E10" s="8"/>
    </row>
    <row r="11" spans="1:6" x14ac:dyDescent="0.2">
      <c r="A11" t="s">
        <v>873</v>
      </c>
      <c r="B11">
        <v>1</v>
      </c>
      <c r="C11" t="s">
        <v>874</v>
      </c>
      <c r="D11" s="3" t="s">
        <v>875</v>
      </c>
      <c r="E11" s="4"/>
    </row>
    <row r="12" spans="1:6" x14ac:dyDescent="0.2">
      <c r="A12" t="s">
        <v>873</v>
      </c>
      <c r="B12">
        <v>2</v>
      </c>
      <c r="C12" t="s">
        <v>876</v>
      </c>
      <c r="D12" s="3" t="s">
        <v>877</v>
      </c>
      <c r="E12" s="4"/>
    </row>
    <row r="13" spans="1:6" x14ac:dyDescent="0.2">
      <c r="E13" s="4"/>
    </row>
    <row r="14" spans="1:6" x14ac:dyDescent="0.2">
      <c r="A14" t="s">
        <v>878</v>
      </c>
      <c r="B14">
        <v>1</v>
      </c>
      <c r="C14" t="s">
        <v>879</v>
      </c>
      <c r="D14" s="3" t="s">
        <v>880</v>
      </c>
      <c r="E14" s="4"/>
    </row>
    <row r="15" spans="1:6" x14ac:dyDescent="0.2">
      <c r="A15" t="s">
        <v>878</v>
      </c>
      <c r="B15">
        <v>2</v>
      </c>
      <c r="C15" t="s">
        <v>881</v>
      </c>
      <c r="D15" s="3" t="s">
        <v>882</v>
      </c>
      <c r="E15" s="4"/>
    </row>
    <row r="16" spans="1:6" x14ac:dyDescent="0.2">
      <c r="A16" t="s">
        <v>878</v>
      </c>
      <c r="B16" s="20">
        <v>3</v>
      </c>
      <c r="C16" t="s">
        <v>883</v>
      </c>
      <c r="D16" s="3" t="s">
        <v>884</v>
      </c>
      <c r="E16" s="4"/>
    </row>
    <row r="17" spans="1:5" x14ac:dyDescent="0.2">
      <c r="A17" t="s">
        <v>878</v>
      </c>
      <c r="B17" s="20">
        <v>4</v>
      </c>
      <c r="C17" t="s">
        <v>885</v>
      </c>
      <c r="D17" s="3" t="s">
        <v>886</v>
      </c>
      <c r="E17" s="4"/>
    </row>
    <row r="18" spans="1:5" x14ac:dyDescent="0.2">
      <c r="E18" s="4"/>
    </row>
    <row r="19" spans="1:5" x14ac:dyDescent="0.2">
      <c r="A19" t="s">
        <v>887</v>
      </c>
      <c r="B19" t="s">
        <v>887</v>
      </c>
      <c r="C19" t="s">
        <v>887</v>
      </c>
      <c r="D19" s="3" t="s">
        <v>888</v>
      </c>
      <c r="E19" s="4"/>
    </row>
    <row r="20" spans="1:5" x14ac:dyDescent="0.2">
      <c r="E20" s="4"/>
    </row>
    <row r="21" spans="1:5" x14ac:dyDescent="0.2">
      <c r="A21" t="s">
        <v>889</v>
      </c>
      <c r="B21">
        <v>1</v>
      </c>
      <c r="C21" t="s">
        <v>874</v>
      </c>
      <c r="D21" s="3" t="s">
        <v>875</v>
      </c>
      <c r="E21" s="4"/>
    </row>
    <row r="22" spans="1:5" x14ac:dyDescent="0.2">
      <c r="A22" t="s">
        <v>889</v>
      </c>
      <c r="B22">
        <v>2</v>
      </c>
      <c r="C22" t="s">
        <v>876</v>
      </c>
      <c r="D22" s="3" t="s">
        <v>877</v>
      </c>
      <c r="E22" s="4"/>
    </row>
    <row r="23" spans="1:5" x14ac:dyDescent="0.2">
      <c r="E23" s="4"/>
    </row>
    <row r="24" spans="1:5" s="12" customFormat="1" x14ac:dyDescent="0.2">
      <c r="A24" s="16" t="s">
        <v>890</v>
      </c>
      <c r="B24" s="16" t="s">
        <v>891</v>
      </c>
      <c r="C24" s="16" t="s">
        <v>892</v>
      </c>
      <c r="D24" s="18" t="s">
        <v>892</v>
      </c>
      <c r="E24" s="7"/>
    </row>
    <row r="25" spans="1:5" s="12" customFormat="1" x14ac:dyDescent="0.2">
      <c r="A25" s="16" t="s">
        <v>890</v>
      </c>
      <c r="B25" s="16" t="s">
        <v>893</v>
      </c>
      <c r="C25" s="16" t="s">
        <v>894</v>
      </c>
      <c r="D25" s="18" t="s">
        <v>895</v>
      </c>
      <c r="E25" s="7"/>
    </row>
    <row r="26" spans="1:5" s="12" customFormat="1" x14ac:dyDescent="0.2">
      <c r="A26" s="18" t="s">
        <v>890</v>
      </c>
      <c r="B26" s="5" t="s">
        <v>896</v>
      </c>
      <c r="C26" s="5" t="s">
        <v>896</v>
      </c>
      <c r="D26" s="5" t="s">
        <v>896</v>
      </c>
      <c r="E26" s="7"/>
    </row>
    <row r="27" spans="1:5" x14ac:dyDescent="0.2">
      <c r="E27" s="4"/>
    </row>
    <row r="28" spans="1:5" x14ac:dyDescent="0.2">
      <c r="A28" t="s">
        <v>897</v>
      </c>
      <c r="B28">
        <v>1</v>
      </c>
      <c r="C28" t="s">
        <v>898</v>
      </c>
      <c r="D28" s="3" t="s">
        <v>899</v>
      </c>
      <c r="E28" s="4"/>
    </row>
    <row r="29" spans="1:5" x14ac:dyDescent="0.2">
      <c r="A29" t="s">
        <v>897</v>
      </c>
      <c r="B29">
        <v>2</v>
      </c>
      <c r="C29" t="s">
        <v>900</v>
      </c>
      <c r="D29" s="3" t="s">
        <v>901</v>
      </c>
      <c r="E29" s="4"/>
    </row>
    <row r="30" spans="1:5" x14ac:dyDescent="0.2">
      <c r="A30" t="s">
        <v>897</v>
      </c>
      <c r="B30" s="20">
        <v>3</v>
      </c>
      <c r="C30" s="16" t="s">
        <v>883</v>
      </c>
      <c r="D30" s="18" t="s">
        <v>884</v>
      </c>
      <c r="E30" s="4"/>
    </row>
    <row r="31" spans="1:5" x14ac:dyDescent="0.2">
      <c r="A31" t="s">
        <v>897</v>
      </c>
      <c r="B31" s="20">
        <v>4</v>
      </c>
      <c r="C31" s="16" t="s">
        <v>885</v>
      </c>
      <c r="D31" s="18" t="s">
        <v>886</v>
      </c>
      <c r="E31" s="4"/>
    </row>
    <row r="32" spans="1:5" x14ac:dyDescent="0.2">
      <c r="C32" s="18"/>
      <c r="D32" s="18"/>
      <c r="E32" s="4"/>
    </row>
    <row r="33" spans="1:5" x14ac:dyDescent="0.2">
      <c r="A33" t="s">
        <v>902</v>
      </c>
      <c r="B33">
        <v>1</v>
      </c>
      <c r="C33" s="16" t="s">
        <v>903</v>
      </c>
      <c r="D33" s="18" t="s">
        <v>904</v>
      </c>
      <c r="E33" s="4"/>
    </row>
    <row r="34" spans="1:5" x14ac:dyDescent="0.2">
      <c r="A34" t="s">
        <v>902</v>
      </c>
      <c r="B34">
        <v>2</v>
      </c>
      <c r="C34" s="16" t="s">
        <v>905</v>
      </c>
      <c r="D34" s="18" t="s">
        <v>906</v>
      </c>
      <c r="E34" s="4"/>
    </row>
    <row r="35" spans="1:5" x14ac:dyDescent="0.2">
      <c r="A35" t="s">
        <v>902</v>
      </c>
      <c r="B35">
        <v>3</v>
      </c>
      <c r="C35" s="16" t="s">
        <v>881</v>
      </c>
      <c r="D35" s="18" t="s">
        <v>877</v>
      </c>
      <c r="E35" s="4"/>
    </row>
    <row r="36" spans="1:5" x14ac:dyDescent="0.2">
      <c r="C36" s="18"/>
      <c r="E36" s="4"/>
    </row>
    <row r="37" spans="1:5" x14ac:dyDescent="0.2">
      <c r="A37" t="s">
        <v>907</v>
      </c>
      <c r="B37">
        <v>1</v>
      </c>
      <c r="C37" t="s">
        <v>908</v>
      </c>
      <c r="D37" s="18" t="s">
        <v>909</v>
      </c>
      <c r="E37" s="4"/>
    </row>
    <row r="38" spans="1:5" x14ac:dyDescent="0.2">
      <c r="A38" t="s">
        <v>907</v>
      </c>
      <c r="B38">
        <v>2</v>
      </c>
      <c r="C38" t="s">
        <v>910</v>
      </c>
      <c r="D38" s="3" t="s">
        <v>911</v>
      </c>
      <c r="E38" s="4"/>
    </row>
    <row r="39" spans="1:5" x14ac:dyDescent="0.2">
      <c r="A39" t="s">
        <v>907</v>
      </c>
      <c r="B39">
        <v>3</v>
      </c>
      <c r="C39" t="s">
        <v>912</v>
      </c>
      <c r="D39" s="3" t="s">
        <v>913</v>
      </c>
      <c r="E39" s="4"/>
    </row>
    <row r="40" spans="1:5" x14ac:dyDescent="0.2">
      <c r="A40" t="s">
        <v>907</v>
      </c>
      <c r="B40">
        <v>4</v>
      </c>
      <c r="C40" t="s">
        <v>876</v>
      </c>
      <c r="D40" s="3" t="s">
        <v>877</v>
      </c>
      <c r="E40" s="4"/>
    </row>
    <row r="41" spans="1:5" x14ac:dyDescent="0.2">
      <c r="A41" t="s">
        <v>907</v>
      </c>
      <c r="B41" s="20">
        <v>5</v>
      </c>
      <c r="C41" s="16" t="s">
        <v>883</v>
      </c>
      <c r="D41" s="18" t="s">
        <v>884</v>
      </c>
      <c r="E41" s="4"/>
    </row>
    <row r="42" spans="1:5" x14ac:dyDescent="0.2">
      <c r="A42" t="s">
        <v>907</v>
      </c>
      <c r="B42" s="20">
        <v>6</v>
      </c>
      <c r="C42" t="s">
        <v>885</v>
      </c>
      <c r="D42" s="18" t="s">
        <v>886</v>
      </c>
      <c r="E42" s="4"/>
    </row>
    <row r="43" spans="1:5" x14ac:dyDescent="0.2">
      <c r="E43" s="4"/>
    </row>
    <row r="44" spans="1:5" x14ac:dyDescent="0.2">
      <c r="A44" t="s">
        <v>914</v>
      </c>
      <c r="B44">
        <v>1</v>
      </c>
      <c r="C44" s="16" t="s">
        <v>915</v>
      </c>
      <c r="D44" s="18" t="s">
        <v>916</v>
      </c>
      <c r="E44" s="4"/>
    </row>
    <row r="45" spans="1:5" x14ac:dyDescent="0.2">
      <c r="A45" t="s">
        <v>914</v>
      </c>
      <c r="B45">
        <v>2</v>
      </c>
      <c r="C45" s="16" t="s">
        <v>917</v>
      </c>
      <c r="D45" s="18" t="s">
        <v>918</v>
      </c>
      <c r="E45" s="4"/>
    </row>
    <row r="46" spans="1:5" x14ac:dyDescent="0.2">
      <c r="A46" t="s">
        <v>914</v>
      </c>
      <c r="B46">
        <v>3</v>
      </c>
      <c r="C46" s="16" t="s">
        <v>919</v>
      </c>
      <c r="D46" s="18" t="s">
        <v>920</v>
      </c>
      <c r="E46" s="4"/>
    </row>
    <row r="47" spans="1:5" x14ac:dyDescent="0.2">
      <c r="A47" t="s">
        <v>914</v>
      </c>
      <c r="B47">
        <v>4</v>
      </c>
      <c r="C47" s="16" t="s">
        <v>921</v>
      </c>
      <c r="D47" s="18" t="s">
        <v>922</v>
      </c>
      <c r="E47" s="4"/>
    </row>
    <row r="48" spans="1:5" x14ac:dyDescent="0.2">
      <c r="A48" t="s">
        <v>914</v>
      </c>
      <c r="B48">
        <v>5</v>
      </c>
      <c r="C48" s="16" t="s">
        <v>923</v>
      </c>
      <c r="D48" s="18" t="s">
        <v>924</v>
      </c>
      <c r="E48" s="4"/>
    </row>
    <row r="49" spans="1:5" x14ac:dyDescent="0.2">
      <c r="A49" t="s">
        <v>914</v>
      </c>
      <c r="B49" s="20">
        <v>6</v>
      </c>
      <c r="C49" t="s">
        <v>883</v>
      </c>
      <c r="D49" s="18" t="s">
        <v>884</v>
      </c>
      <c r="E49" s="4"/>
    </row>
    <row r="50" spans="1:5" x14ac:dyDescent="0.2">
      <c r="A50" t="s">
        <v>914</v>
      </c>
      <c r="B50" s="20">
        <v>7</v>
      </c>
      <c r="C50" t="s">
        <v>885</v>
      </c>
      <c r="D50" s="18" t="s">
        <v>886</v>
      </c>
      <c r="E50" s="4"/>
    </row>
    <row r="51" spans="1:5" x14ac:dyDescent="0.2">
      <c r="B51" s="11"/>
      <c r="E51" s="4"/>
    </row>
    <row r="52" spans="1:5" x14ac:dyDescent="0.2">
      <c r="A52" t="s">
        <v>925</v>
      </c>
      <c r="B52" s="20">
        <v>1</v>
      </c>
      <c r="C52" t="s">
        <v>926</v>
      </c>
      <c r="D52" s="3" t="s">
        <v>927</v>
      </c>
      <c r="E52" s="4"/>
    </row>
    <row r="53" spans="1:5" x14ac:dyDescent="0.2">
      <c r="A53" t="s">
        <v>925</v>
      </c>
      <c r="B53" s="20">
        <v>2</v>
      </c>
      <c r="C53" t="s">
        <v>928</v>
      </c>
      <c r="D53" s="3" t="s">
        <v>929</v>
      </c>
      <c r="E53" s="4"/>
    </row>
    <row r="54" spans="1:5" x14ac:dyDescent="0.2">
      <c r="A54" t="s">
        <v>925</v>
      </c>
      <c r="B54" s="20">
        <v>3</v>
      </c>
      <c r="C54" t="s">
        <v>930</v>
      </c>
      <c r="D54" s="3" t="s">
        <v>931</v>
      </c>
      <c r="E54" s="4"/>
    </row>
    <row r="55" spans="1:5" x14ac:dyDescent="0.2">
      <c r="A55" t="s">
        <v>925</v>
      </c>
      <c r="B55" s="20">
        <v>4</v>
      </c>
      <c r="C55" t="s">
        <v>932</v>
      </c>
      <c r="D55" s="3" t="s">
        <v>933</v>
      </c>
      <c r="E55" s="4"/>
    </row>
    <row r="56" spans="1:5" x14ac:dyDescent="0.2">
      <c r="A56" t="s">
        <v>925</v>
      </c>
      <c r="B56" s="20">
        <v>5</v>
      </c>
      <c r="C56" t="s">
        <v>934</v>
      </c>
      <c r="D56" s="3" t="s">
        <v>935</v>
      </c>
      <c r="E56" s="4"/>
    </row>
    <row r="57" spans="1:5" x14ac:dyDescent="0.2">
      <c r="A57" t="s">
        <v>925</v>
      </c>
      <c r="B57" s="20">
        <v>6</v>
      </c>
      <c r="C57" t="s">
        <v>936</v>
      </c>
      <c r="D57" s="3" t="s">
        <v>937</v>
      </c>
      <c r="E57" s="4"/>
    </row>
    <row r="58" spans="1:5" x14ac:dyDescent="0.2">
      <c r="A58" t="s">
        <v>925</v>
      </c>
      <c r="B58" s="20">
        <v>7</v>
      </c>
      <c r="C58" t="s">
        <v>938</v>
      </c>
      <c r="D58" s="3" t="s">
        <v>939</v>
      </c>
      <c r="E58" s="4"/>
    </row>
    <row r="59" spans="1:5" x14ac:dyDescent="0.2">
      <c r="A59" t="s">
        <v>925</v>
      </c>
      <c r="B59" s="20">
        <v>8</v>
      </c>
      <c r="C59" t="s">
        <v>940</v>
      </c>
      <c r="D59" s="3" t="s">
        <v>941</v>
      </c>
      <c r="E59" s="4"/>
    </row>
    <row r="60" spans="1:5" x14ac:dyDescent="0.2">
      <c r="A60" t="s">
        <v>925</v>
      </c>
      <c r="B60" s="20">
        <v>9</v>
      </c>
      <c r="C60" t="s">
        <v>942</v>
      </c>
      <c r="D60" s="3" t="s">
        <v>943</v>
      </c>
      <c r="E60" s="4"/>
    </row>
    <row r="61" spans="1:5" x14ac:dyDescent="0.2">
      <c r="A61" t="s">
        <v>925</v>
      </c>
      <c r="B61" s="20">
        <v>10</v>
      </c>
      <c r="C61" t="s">
        <v>944</v>
      </c>
      <c r="D61" s="3" t="s">
        <v>945</v>
      </c>
      <c r="E61" s="4"/>
    </row>
    <row r="62" spans="1:5" x14ac:dyDescent="0.2">
      <c r="A62" t="s">
        <v>925</v>
      </c>
      <c r="B62" s="20">
        <v>11</v>
      </c>
      <c r="C62" t="s">
        <v>883</v>
      </c>
      <c r="D62" s="18" t="s">
        <v>884</v>
      </c>
      <c r="E62" s="4"/>
    </row>
    <row r="63" spans="1:5" x14ac:dyDescent="0.2">
      <c r="A63" t="s">
        <v>925</v>
      </c>
      <c r="B63" s="20">
        <v>12</v>
      </c>
      <c r="C63" t="s">
        <v>885</v>
      </c>
      <c r="D63" s="18" t="s">
        <v>886</v>
      </c>
      <c r="E63" s="4"/>
    </row>
    <row r="64" spans="1:5" x14ac:dyDescent="0.2">
      <c r="B64" s="11"/>
      <c r="E64" s="4"/>
    </row>
    <row r="65" spans="1:5" x14ac:dyDescent="0.2">
      <c r="A65" t="s">
        <v>946</v>
      </c>
      <c r="B65" s="20">
        <v>1</v>
      </c>
      <c r="C65" t="s">
        <v>947</v>
      </c>
      <c r="D65" s="3" t="s">
        <v>948</v>
      </c>
      <c r="E65" s="4"/>
    </row>
    <row r="66" spans="1:5" x14ac:dyDescent="0.2">
      <c r="A66" t="s">
        <v>946</v>
      </c>
      <c r="B66" s="20">
        <v>2</v>
      </c>
      <c r="C66" t="s">
        <v>949</v>
      </c>
      <c r="D66" s="3" t="s">
        <v>950</v>
      </c>
      <c r="E66" s="4"/>
    </row>
    <row r="67" spans="1:5" x14ac:dyDescent="0.2">
      <c r="A67" t="s">
        <v>946</v>
      </c>
      <c r="B67" s="20">
        <v>3</v>
      </c>
      <c r="C67" t="s">
        <v>951</v>
      </c>
      <c r="D67" s="3" t="s">
        <v>952</v>
      </c>
      <c r="E67" s="4"/>
    </row>
    <row r="68" spans="1:5" x14ac:dyDescent="0.2">
      <c r="A68" t="s">
        <v>946</v>
      </c>
      <c r="B68" s="20">
        <v>4</v>
      </c>
      <c r="C68" t="s">
        <v>953</v>
      </c>
      <c r="D68" s="3" t="s">
        <v>954</v>
      </c>
      <c r="E68" s="4"/>
    </row>
    <row r="69" spans="1:5" x14ac:dyDescent="0.2">
      <c r="A69" t="s">
        <v>946</v>
      </c>
      <c r="B69" s="20">
        <v>5</v>
      </c>
      <c r="C69" t="s">
        <v>955</v>
      </c>
      <c r="D69" s="3" t="s">
        <v>956</v>
      </c>
      <c r="E69" s="4"/>
    </row>
    <row r="70" spans="1:5" x14ac:dyDescent="0.2">
      <c r="A70" t="s">
        <v>946</v>
      </c>
      <c r="B70" s="20">
        <v>6</v>
      </c>
      <c r="C70" t="s">
        <v>883</v>
      </c>
      <c r="D70" s="18" t="s">
        <v>884</v>
      </c>
      <c r="E70" s="4"/>
    </row>
    <row r="71" spans="1:5" x14ac:dyDescent="0.2">
      <c r="A71" t="s">
        <v>946</v>
      </c>
      <c r="B71" s="20">
        <v>7</v>
      </c>
      <c r="C71" t="s">
        <v>885</v>
      </c>
      <c r="D71" s="18" t="s">
        <v>886</v>
      </c>
      <c r="E71" s="4"/>
    </row>
    <row r="72" spans="1:5" x14ac:dyDescent="0.2">
      <c r="B72" s="11"/>
      <c r="E72" s="4"/>
    </row>
    <row r="73" spans="1:5" x14ac:dyDescent="0.2">
      <c r="A73" t="s">
        <v>957</v>
      </c>
      <c r="B73" s="20">
        <v>1</v>
      </c>
      <c r="C73" t="s">
        <v>958</v>
      </c>
      <c r="D73" s="3" t="s">
        <v>959</v>
      </c>
      <c r="E73" s="4"/>
    </row>
    <row r="74" spans="1:5" x14ac:dyDescent="0.2">
      <c r="A74" t="s">
        <v>957</v>
      </c>
      <c r="B74" s="20">
        <v>2</v>
      </c>
      <c r="C74" t="s">
        <v>960</v>
      </c>
      <c r="D74" s="3" t="s">
        <v>961</v>
      </c>
      <c r="E74" s="4"/>
    </row>
    <row r="75" spans="1:5" x14ac:dyDescent="0.2">
      <c r="A75" t="s">
        <v>957</v>
      </c>
      <c r="B75" s="20">
        <v>3</v>
      </c>
      <c r="C75" t="s">
        <v>962</v>
      </c>
      <c r="D75" s="3" t="s">
        <v>963</v>
      </c>
      <c r="E75" s="4"/>
    </row>
    <row r="76" spans="1:5" x14ac:dyDescent="0.2">
      <c r="A76" t="s">
        <v>957</v>
      </c>
      <c r="B76" s="20">
        <v>4</v>
      </c>
      <c r="C76" t="s">
        <v>964</v>
      </c>
      <c r="D76" s="3" t="s">
        <v>965</v>
      </c>
      <c r="E76" s="4"/>
    </row>
    <row r="77" spans="1:5" x14ac:dyDescent="0.2">
      <c r="A77" t="s">
        <v>957</v>
      </c>
      <c r="B77" s="20">
        <v>5</v>
      </c>
      <c r="C77" t="s">
        <v>966</v>
      </c>
      <c r="D77" s="3" t="s">
        <v>967</v>
      </c>
      <c r="E77" s="4"/>
    </row>
    <row r="78" spans="1:5" x14ac:dyDescent="0.2">
      <c r="A78" t="s">
        <v>957</v>
      </c>
      <c r="B78" s="20">
        <v>6</v>
      </c>
      <c r="C78" t="s">
        <v>883</v>
      </c>
      <c r="D78" s="18" t="s">
        <v>884</v>
      </c>
      <c r="E78" s="4"/>
    </row>
    <row r="79" spans="1:5" x14ac:dyDescent="0.2">
      <c r="A79" t="s">
        <v>957</v>
      </c>
      <c r="B79" s="20">
        <v>7</v>
      </c>
      <c r="C79" t="s">
        <v>885</v>
      </c>
      <c r="D79" s="18" t="s">
        <v>886</v>
      </c>
      <c r="E79" s="4"/>
    </row>
    <row r="80" spans="1:5" x14ac:dyDescent="0.2">
      <c r="E80" s="4"/>
    </row>
    <row r="81" spans="1:5" x14ac:dyDescent="0.2">
      <c r="A81" s="14" t="s">
        <v>968</v>
      </c>
      <c r="B81" s="14">
        <v>1</v>
      </c>
      <c r="C81" s="14" t="s">
        <v>969</v>
      </c>
      <c r="D81" s="15" t="s">
        <v>970</v>
      </c>
      <c r="E81" s="4"/>
    </row>
    <row r="82" spans="1:5" x14ac:dyDescent="0.2">
      <c r="A82" s="14" t="s">
        <v>968</v>
      </c>
      <c r="B82" s="14">
        <v>2</v>
      </c>
      <c r="C82" s="14" t="s">
        <v>971</v>
      </c>
      <c r="D82" s="15" t="s">
        <v>972</v>
      </c>
      <c r="E82" s="4"/>
    </row>
    <row r="83" spans="1:5" x14ac:dyDescent="0.2">
      <c r="A83" s="14" t="s">
        <v>968</v>
      </c>
      <c r="B83" s="14">
        <v>3</v>
      </c>
      <c r="C83" s="14" t="s">
        <v>973</v>
      </c>
      <c r="D83" s="15" t="s">
        <v>974</v>
      </c>
      <c r="E83" s="4"/>
    </row>
    <row r="84" spans="1:5" x14ac:dyDescent="0.2">
      <c r="A84" s="14" t="s">
        <v>968</v>
      </c>
      <c r="B84" s="14">
        <v>4</v>
      </c>
      <c r="C84" s="14" t="s">
        <v>975</v>
      </c>
      <c r="D84" s="15" t="s">
        <v>976</v>
      </c>
      <c r="E84" s="4"/>
    </row>
    <row r="85" spans="1:5" x14ac:dyDescent="0.2">
      <c r="A85" s="14" t="s">
        <v>968</v>
      </c>
      <c r="B85" s="14">
        <v>5</v>
      </c>
      <c r="C85" s="14" t="s">
        <v>977</v>
      </c>
      <c r="D85" s="15" t="s">
        <v>978</v>
      </c>
      <c r="E85" s="4"/>
    </row>
    <row r="86" spans="1:5" x14ac:dyDescent="0.2">
      <c r="A86" s="14" t="s">
        <v>968</v>
      </c>
      <c r="B86" s="14">
        <v>6</v>
      </c>
      <c r="C86" s="14" t="s">
        <v>883</v>
      </c>
      <c r="D86" s="15" t="s">
        <v>884</v>
      </c>
      <c r="E86" s="4"/>
    </row>
    <row r="87" spans="1:5" x14ac:dyDescent="0.2">
      <c r="A87" s="14" t="s">
        <v>968</v>
      </c>
      <c r="B87" s="14">
        <v>7</v>
      </c>
      <c r="C87" s="14" t="s">
        <v>885</v>
      </c>
      <c r="D87" s="15" t="s">
        <v>886</v>
      </c>
      <c r="E87" s="4"/>
    </row>
    <row r="88" spans="1:5" x14ac:dyDescent="0.2">
      <c r="A88" s="15"/>
      <c r="B88" s="15"/>
      <c r="C88" s="15"/>
      <c r="D88" s="15"/>
      <c r="E88" s="4"/>
    </row>
    <row r="89" spans="1:5" x14ac:dyDescent="0.2">
      <c r="A89" s="14" t="s">
        <v>979</v>
      </c>
      <c r="B89" s="14" t="s">
        <v>980</v>
      </c>
      <c r="C89" s="14" t="s">
        <v>981</v>
      </c>
      <c r="D89" s="15" t="s">
        <v>981</v>
      </c>
      <c r="E89" s="4"/>
    </row>
    <row r="90" spans="1:5" x14ac:dyDescent="0.2">
      <c r="A90" s="14" t="s">
        <v>979</v>
      </c>
      <c r="B90" s="14" t="s">
        <v>982</v>
      </c>
      <c r="C90" s="14" t="s">
        <v>983</v>
      </c>
      <c r="D90" s="15" t="s">
        <v>984</v>
      </c>
      <c r="E90" s="4"/>
    </row>
    <row r="91" spans="1:5" x14ac:dyDescent="0.2">
      <c r="A91" s="14" t="s">
        <v>979</v>
      </c>
      <c r="B91" s="14" t="s">
        <v>985</v>
      </c>
      <c r="C91" s="14" t="s">
        <v>986</v>
      </c>
      <c r="D91" s="15" t="s">
        <v>987</v>
      </c>
      <c r="E91" s="4"/>
    </row>
    <row r="92" spans="1:5" x14ac:dyDescent="0.2">
      <c r="A92" s="14" t="s">
        <v>979</v>
      </c>
      <c r="B92" s="14" t="s">
        <v>988</v>
      </c>
      <c r="C92" s="14" t="s">
        <v>989</v>
      </c>
      <c r="D92" s="15" t="s">
        <v>990</v>
      </c>
      <c r="E92" s="4"/>
    </row>
    <row r="93" spans="1:5" x14ac:dyDescent="0.2">
      <c r="A93" s="14" t="s">
        <v>979</v>
      </c>
      <c r="B93" s="14" t="s">
        <v>991</v>
      </c>
      <c r="C93" s="14" t="s">
        <v>992</v>
      </c>
      <c r="D93" s="15" t="s">
        <v>993</v>
      </c>
      <c r="E93" s="4"/>
    </row>
    <row r="94" spans="1:5" x14ac:dyDescent="0.2">
      <c r="A94" s="14" t="s">
        <v>979</v>
      </c>
      <c r="B94" s="14" t="s">
        <v>994</v>
      </c>
      <c r="C94" s="14" t="s">
        <v>995</v>
      </c>
      <c r="D94" s="15" t="s">
        <v>996</v>
      </c>
      <c r="E94" s="4"/>
    </row>
    <row r="95" spans="1:5" x14ac:dyDescent="0.2">
      <c r="A95" s="14" t="s">
        <v>979</v>
      </c>
      <c r="B95" s="14" t="s">
        <v>997</v>
      </c>
      <c r="C95" s="14" t="s">
        <v>883</v>
      </c>
      <c r="D95" s="15" t="s">
        <v>884</v>
      </c>
      <c r="E95" s="4"/>
    </row>
    <row r="96" spans="1:5" x14ac:dyDescent="0.2">
      <c r="A96" s="14" t="s">
        <v>979</v>
      </c>
      <c r="B96" s="14" t="s">
        <v>998</v>
      </c>
      <c r="C96" s="14" t="s">
        <v>885</v>
      </c>
      <c r="D96" s="15" t="s">
        <v>886</v>
      </c>
      <c r="E96" s="4"/>
    </row>
    <row r="97" spans="1:5" x14ac:dyDescent="0.2">
      <c r="A97" s="15"/>
      <c r="B97" s="15"/>
      <c r="C97" s="15"/>
      <c r="D97" s="15"/>
      <c r="E97" s="4"/>
    </row>
    <row r="98" spans="1:5" x14ac:dyDescent="0.2">
      <c r="A98" s="14" t="s">
        <v>999</v>
      </c>
      <c r="B98" s="14" t="s">
        <v>1000</v>
      </c>
      <c r="C98" s="14" t="s">
        <v>1001</v>
      </c>
      <c r="D98" s="15" t="s">
        <v>1002</v>
      </c>
      <c r="E98" s="4"/>
    </row>
    <row r="99" spans="1:5" x14ac:dyDescent="0.2">
      <c r="A99" s="14" t="s">
        <v>999</v>
      </c>
      <c r="B99" s="14" t="s">
        <v>1003</v>
      </c>
      <c r="C99" s="14" t="s">
        <v>1004</v>
      </c>
      <c r="D99" s="15" t="s">
        <v>1005</v>
      </c>
      <c r="E99" s="4"/>
    </row>
    <row r="100" spans="1:5" x14ac:dyDescent="0.2">
      <c r="A100" s="14" t="s">
        <v>999</v>
      </c>
      <c r="B100" s="14" t="s">
        <v>1006</v>
      </c>
      <c r="C100" s="14" t="s">
        <v>1007</v>
      </c>
      <c r="D100" s="15" t="s">
        <v>1008</v>
      </c>
      <c r="E100" s="4"/>
    </row>
    <row r="101" spans="1:5" x14ac:dyDescent="0.2">
      <c r="A101" s="14" t="s">
        <v>999</v>
      </c>
      <c r="B101" s="14" t="s">
        <v>1009</v>
      </c>
      <c r="C101" s="14" t="s">
        <v>1010</v>
      </c>
      <c r="D101" s="15" t="s">
        <v>1011</v>
      </c>
      <c r="E101" s="4"/>
    </row>
    <row r="102" spans="1:5" x14ac:dyDescent="0.2">
      <c r="A102" s="14" t="s">
        <v>999</v>
      </c>
      <c r="B102" s="14" t="s">
        <v>991</v>
      </c>
      <c r="C102" s="14" t="s">
        <v>1012</v>
      </c>
      <c r="D102" s="15" t="s">
        <v>1013</v>
      </c>
      <c r="E102" s="4"/>
    </row>
    <row r="103" spans="1:5" x14ac:dyDescent="0.2">
      <c r="A103" s="14" t="s">
        <v>999</v>
      </c>
      <c r="B103" s="14" t="s">
        <v>994</v>
      </c>
      <c r="C103" s="14" t="s">
        <v>1014</v>
      </c>
      <c r="D103" s="15" t="s">
        <v>1015</v>
      </c>
      <c r="E103" s="4"/>
    </row>
    <row r="104" spans="1:5" x14ac:dyDescent="0.2">
      <c r="A104" s="14" t="s">
        <v>999</v>
      </c>
      <c r="B104" s="14" t="s">
        <v>997</v>
      </c>
      <c r="C104" s="14" t="s">
        <v>883</v>
      </c>
      <c r="D104" s="15" t="s">
        <v>884</v>
      </c>
      <c r="E104" s="4"/>
    </row>
    <row r="105" spans="1:5" x14ac:dyDescent="0.2">
      <c r="A105" s="14" t="s">
        <v>999</v>
      </c>
      <c r="B105" s="14" t="s">
        <v>998</v>
      </c>
      <c r="C105" s="14" t="s">
        <v>885</v>
      </c>
      <c r="D105" s="15" t="s">
        <v>886</v>
      </c>
      <c r="E105" s="4"/>
    </row>
    <row r="106" spans="1:5" x14ac:dyDescent="0.2">
      <c r="A106" s="15"/>
      <c r="B106" s="15"/>
      <c r="C106" s="15"/>
      <c r="D106" s="15"/>
      <c r="E106" s="4"/>
    </row>
    <row r="107" spans="1:5" x14ac:dyDescent="0.2">
      <c r="A107" s="14" t="s">
        <v>1016</v>
      </c>
      <c r="B107" s="14">
        <v>1</v>
      </c>
      <c r="C107" s="14" t="s">
        <v>1017</v>
      </c>
      <c r="D107" s="15" t="s">
        <v>1018</v>
      </c>
      <c r="E107" s="4"/>
    </row>
    <row r="108" spans="1:5" x14ac:dyDescent="0.2">
      <c r="A108" s="14" t="s">
        <v>1016</v>
      </c>
      <c r="B108" s="14">
        <v>2</v>
      </c>
      <c r="C108" s="14" t="s">
        <v>1019</v>
      </c>
      <c r="D108" s="15" t="s">
        <v>1020</v>
      </c>
      <c r="E108" s="4"/>
    </row>
    <row r="109" spans="1:5" x14ac:dyDescent="0.2">
      <c r="A109" s="14" t="s">
        <v>1016</v>
      </c>
      <c r="B109" s="14">
        <v>3</v>
      </c>
      <c r="C109" s="14" t="s">
        <v>1021</v>
      </c>
      <c r="D109" s="15" t="s">
        <v>1022</v>
      </c>
      <c r="E109" s="4"/>
    </row>
    <row r="110" spans="1:5" x14ac:dyDescent="0.2">
      <c r="A110" s="14" t="s">
        <v>1016</v>
      </c>
      <c r="B110" s="14">
        <v>4</v>
      </c>
      <c r="C110" s="14" t="s">
        <v>1023</v>
      </c>
      <c r="D110" s="15" t="s">
        <v>1024</v>
      </c>
      <c r="E110" s="4"/>
    </row>
    <row r="111" spans="1:5" x14ac:dyDescent="0.2">
      <c r="A111" s="14" t="s">
        <v>1016</v>
      </c>
      <c r="B111" s="14">
        <v>5</v>
      </c>
      <c r="C111" s="14" t="s">
        <v>1025</v>
      </c>
      <c r="D111" s="15" t="s">
        <v>1026</v>
      </c>
      <c r="E111" s="4"/>
    </row>
    <row r="112" spans="1:5" x14ac:dyDescent="0.2">
      <c r="A112" s="14" t="s">
        <v>1016</v>
      </c>
      <c r="B112" s="14">
        <v>6</v>
      </c>
      <c r="C112" s="14" t="s">
        <v>1027</v>
      </c>
      <c r="D112" s="15" t="s">
        <v>884</v>
      </c>
      <c r="E112" s="4"/>
    </row>
    <row r="113" spans="1:5" x14ac:dyDescent="0.2">
      <c r="A113" s="14" t="s">
        <v>1016</v>
      </c>
      <c r="B113" s="14">
        <v>7</v>
      </c>
      <c r="C113" s="14" t="s">
        <v>1028</v>
      </c>
      <c r="D113" s="15" t="s">
        <v>886</v>
      </c>
      <c r="E113" s="4"/>
    </row>
    <row r="114" spans="1:5" x14ac:dyDescent="0.2">
      <c r="A114" s="15"/>
      <c r="B114" s="15"/>
      <c r="C114" s="15"/>
      <c r="D114" s="15"/>
      <c r="E114" s="4"/>
    </row>
    <row r="115" spans="1:5" x14ac:dyDescent="0.2">
      <c r="A115" s="14" t="s">
        <v>1029</v>
      </c>
      <c r="B115" s="14">
        <v>1</v>
      </c>
      <c r="C115" s="14" t="s">
        <v>1030</v>
      </c>
      <c r="D115" s="15" t="s">
        <v>1031</v>
      </c>
      <c r="E115" s="4"/>
    </row>
    <row r="116" spans="1:5" x14ac:dyDescent="0.2">
      <c r="A116" s="14" t="s">
        <v>1029</v>
      </c>
      <c r="B116" s="14">
        <v>2</v>
      </c>
      <c r="C116" s="14" t="s">
        <v>1032</v>
      </c>
      <c r="D116" s="15" t="s">
        <v>1033</v>
      </c>
      <c r="E116" s="4"/>
    </row>
    <row r="117" spans="1:5" x14ac:dyDescent="0.2">
      <c r="A117" s="14" t="s">
        <v>1029</v>
      </c>
      <c r="B117" s="14">
        <v>3</v>
      </c>
      <c r="C117" s="14" t="s">
        <v>1034</v>
      </c>
      <c r="D117" s="15" t="s">
        <v>1035</v>
      </c>
      <c r="E117" s="4"/>
    </row>
    <row r="118" spans="1:5" x14ac:dyDescent="0.2">
      <c r="A118" s="14" t="s">
        <v>1029</v>
      </c>
      <c r="B118" s="14">
        <v>4</v>
      </c>
      <c r="C118" s="14" t="s">
        <v>1036</v>
      </c>
      <c r="D118" s="15" t="s">
        <v>1037</v>
      </c>
      <c r="E118" s="4"/>
    </row>
    <row r="119" spans="1:5" x14ac:dyDescent="0.2">
      <c r="A119" s="14" t="s">
        <v>1029</v>
      </c>
      <c r="B119" s="14">
        <v>5</v>
      </c>
      <c r="C119" s="14" t="s">
        <v>883</v>
      </c>
      <c r="D119" s="15" t="s">
        <v>884</v>
      </c>
      <c r="E119" s="4"/>
    </row>
    <row r="120" spans="1:5" x14ac:dyDescent="0.2">
      <c r="A120" s="14" t="s">
        <v>1029</v>
      </c>
      <c r="B120" s="14">
        <v>6</v>
      </c>
      <c r="C120" s="14" t="s">
        <v>885</v>
      </c>
      <c r="D120" s="15" t="s">
        <v>886</v>
      </c>
      <c r="E120" s="4"/>
    </row>
    <row r="121" spans="1:5" x14ac:dyDescent="0.2">
      <c r="A121" s="15"/>
      <c r="B121" s="15"/>
      <c r="C121" s="15"/>
      <c r="D121" s="15"/>
      <c r="E121" s="4"/>
    </row>
    <row r="122" spans="1:5" x14ac:dyDescent="0.2">
      <c r="A122" t="s">
        <v>1038</v>
      </c>
      <c r="B122">
        <v>1</v>
      </c>
      <c r="C122" t="s">
        <v>1039</v>
      </c>
      <c r="D122" s="3" t="s">
        <v>1040</v>
      </c>
      <c r="E122" s="4"/>
    </row>
    <row r="123" spans="1:5" x14ac:dyDescent="0.2">
      <c r="A123" t="s">
        <v>1038</v>
      </c>
      <c r="B123">
        <v>2</v>
      </c>
      <c r="C123" t="s">
        <v>1041</v>
      </c>
      <c r="D123" s="3" t="s">
        <v>1042</v>
      </c>
      <c r="E123" s="4"/>
    </row>
    <row r="124" spans="1:5" x14ac:dyDescent="0.2">
      <c r="A124" t="s">
        <v>1038</v>
      </c>
      <c r="B124">
        <v>3</v>
      </c>
      <c r="C124" t="s">
        <v>1043</v>
      </c>
      <c r="D124" s="3" t="s">
        <v>1044</v>
      </c>
      <c r="E124" s="4"/>
    </row>
    <row r="125" spans="1:5" x14ac:dyDescent="0.2">
      <c r="A125" t="s">
        <v>1038</v>
      </c>
      <c r="B125">
        <v>4</v>
      </c>
      <c r="C125" t="s">
        <v>1045</v>
      </c>
      <c r="D125" s="3" t="s">
        <v>1046</v>
      </c>
      <c r="E125" s="4"/>
    </row>
    <row r="126" spans="1:5" x14ac:dyDescent="0.2">
      <c r="A126" t="s">
        <v>1038</v>
      </c>
      <c r="B126">
        <v>5</v>
      </c>
      <c r="C126" t="s">
        <v>1047</v>
      </c>
      <c r="D126" s="3" t="s">
        <v>1048</v>
      </c>
      <c r="E126" s="4"/>
    </row>
    <row r="127" spans="1:5" x14ac:dyDescent="0.2">
      <c r="A127" t="s">
        <v>1038</v>
      </c>
      <c r="B127">
        <v>6</v>
      </c>
      <c r="C127" t="s">
        <v>1049</v>
      </c>
      <c r="D127" s="3" t="s">
        <v>1050</v>
      </c>
      <c r="E127" s="4"/>
    </row>
    <row r="128" spans="1:5" x14ac:dyDescent="0.2">
      <c r="A128" t="s">
        <v>1038</v>
      </c>
      <c r="B128">
        <v>7</v>
      </c>
      <c r="C128" t="s">
        <v>1051</v>
      </c>
      <c r="D128" s="3" t="s">
        <v>1052</v>
      </c>
      <c r="E128" s="4"/>
    </row>
    <row r="129" spans="1:5" x14ac:dyDescent="0.2">
      <c r="A129" t="s">
        <v>1038</v>
      </c>
      <c r="B129">
        <v>8</v>
      </c>
      <c r="C129" t="s">
        <v>1053</v>
      </c>
      <c r="D129" s="3" t="s">
        <v>1054</v>
      </c>
      <c r="E129" s="4"/>
    </row>
    <row r="130" spans="1:5" x14ac:dyDescent="0.2">
      <c r="A130" t="s">
        <v>1038</v>
      </c>
      <c r="B130">
        <v>9</v>
      </c>
      <c r="C130" t="s">
        <v>1055</v>
      </c>
      <c r="D130" s="3" t="s">
        <v>1056</v>
      </c>
      <c r="E130" s="4"/>
    </row>
    <row r="131" spans="1:5" x14ac:dyDescent="0.2">
      <c r="A131" t="s">
        <v>1038</v>
      </c>
      <c r="B131">
        <v>10</v>
      </c>
      <c r="C131" t="s">
        <v>1057</v>
      </c>
      <c r="D131" s="3" t="s">
        <v>1058</v>
      </c>
      <c r="E131" s="4"/>
    </row>
    <row r="132" spans="1:5" x14ac:dyDescent="0.2">
      <c r="A132" t="s">
        <v>1038</v>
      </c>
      <c r="B132">
        <v>11</v>
      </c>
      <c r="C132" t="s">
        <v>1059</v>
      </c>
      <c r="D132" s="3" t="s">
        <v>1060</v>
      </c>
      <c r="E132" s="4"/>
    </row>
    <row r="133" spans="1:5" x14ac:dyDescent="0.2">
      <c r="A133" t="s">
        <v>1038</v>
      </c>
      <c r="B133">
        <v>12</v>
      </c>
      <c r="C133" t="s">
        <v>1061</v>
      </c>
      <c r="D133" s="3" t="s">
        <v>1062</v>
      </c>
      <c r="E133" s="4"/>
    </row>
    <row r="134" spans="1:5" x14ac:dyDescent="0.2">
      <c r="A134" t="s">
        <v>1038</v>
      </c>
      <c r="B134">
        <v>13</v>
      </c>
      <c r="C134" t="s">
        <v>1063</v>
      </c>
      <c r="D134" s="3" t="s">
        <v>1064</v>
      </c>
      <c r="E134" s="4"/>
    </row>
    <row r="135" spans="1:5" x14ac:dyDescent="0.2">
      <c r="A135" t="s">
        <v>1038</v>
      </c>
      <c r="B135">
        <v>14</v>
      </c>
      <c r="C135" t="s">
        <v>1065</v>
      </c>
      <c r="D135" s="3" t="s">
        <v>1066</v>
      </c>
      <c r="E135" s="4"/>
    </row>
    <row r="136" spans="1:5" x14ac:dyDescent="0.2">
      <c r="A136" t="s">
        <v>1038</v>
      </c>
      <c r="B136">
        <v>15</v>
      </c>
      <c r="C136" t="s">
        <v>1067</v>
      </c>
      <c r="D136" s="3" t="s">
        <v>1068</v>
      </c>
      <c r="E136" s="4"/>
    </row>
    <row r="137" spans="1:5" x14ac:dyDescent="0.2">
      <c r="A137" t="s">
        <v>1038</v>
      </c>
      <c r="B137">
        <v>16</v>
      </c>
      <c r="C137" t="s">
        <v>1069</v>
      </c>
      <c r="D137" s="3" t="s">
        <v>1070</v>
      </c>
      <c r="E137" s="4"/>
    </row>
    <row r="138" spans="1:5" x14ac:dyDescent="0.2">
      <c r="A138" t="s">
        <v>1038</v>
      </c>
      <c r="B138">
        <v>17</v>
      </c>
      <c r="C138" t="s">
        <v>1071</v>
      </c>
      <c r="D138" s="3" t="s">
        <v>1072</v>
      </c>
      <c r="E138" s="4"/>
    </row>
    <row r="139" spans="1:5" x14ac:dyDescent="0.2">
      <c r="A139" t="s">
        <v>1038</v>
      </c>
      <c r="B139">
        <v>18</v>
      </c>
      <c r="C139" t="s">
        <v>1073</v>
      </c>
      <c r="D139" s="3" t="s">
        <v>1074</v>
      </c>
      <c r="E139" s="4"/>
    </row>
    <row r="140" spans="1:5" x14ac:dyDescent="0.2">
      <c r="A140" t="s">
        <v>1038</v>
      </c>
      <c r="B140">
        <v>19</v>
      </c>
      <c r="C140" t="s">
        <v>1075</v>
      </c>
      <c r="D140" s="3" t="s">
        <v>1076</v>
      </c>
      <c r="E140" s="4"/>
    </row>
    <row r="141" spans="1:5" x14ac:dyDescent="0.2">
      <c r="A141" t="s">
        <v>1038</v>
      </c>
      <c r="B141">
        <v>20</v>
      </c>
      <c r="C141" t="s">
        <v>1077</v>
      </c>
      <c r="D141" s="3" t="s">
        <v>1078</v>
      </c>
      <c r="E141" s="4"/>
    </row>
    <row r="142" spans="1:5" x14ac:dyDescent="0.2">
      <c r="A142" t="s">
        <v>1038</v>
      </c>
      <c r="B142" s="20">
        <v>21</v>
      </c>
      <c r="C142" t="s">
        <v>885</v>
      </c>
      <c r="D142" s="3" t="s">
        <v>886</v>
      </c>
      <c r="E142" s="4"/>
    </row>
    <row r="143" spans="1:5" x14ac:dyDescent="0.2">
      <c r="E143" s="4"/>
    </row>
    <row r="144" spans="1:5" x14ac:dyDescent="0.2">
      <c r="A144" t="s">
        <v>1079</v>
      </c>
      <c r="B144">
        <v>1</v>
      </c>
      <c r="C144" t="s">
        <v>1080</v>
      </c>
      <c r="D144" s="3" t="s">
        <v>1081</v>
      </c>
      <c r="E144" s="4"/>
    </row>
    <row r="145" spans="1:5" x14ac:dyDescent="0.2">
      <c r="A145" t="s">
        <v>1079</v>
      </c>
      <c r="B145">
        <v>2</v>
      </c>
      <c r="C145" t="s">
        <v>1082</v>
      </c>
      <c r="D145" s="3" t="s">
        <v>1083</v>
      </c>
      <c r="E145" s="4"/>
    </row>
    <row r="146" spans="1:5" x14ac:dyDescent="0.2">
      <c r="A146" t="s">
        <v>1079</v>
      </c>
      <c r="B146">
        <v>3</v>
      </c>
      <c r="C146" t="s">
        <v>1084</v>
      </c>
      <c r="D146" s="3" t="s">
        <v>1085</v>
      </c>
      <c r="E146" s="4"/>
    </row>
    <row r="147" spans="1:5" x14ac:dyDescent="0.2">
      <c r="A147" t="s">
        <v>1079</v>
      </c>
      <c r="B147">
        <v>4</v>
      </c>
      <c r="C147" t="s">
        <v>1086</v>
      </c>
      <c r="D147" s="3" t="s">
        <v>1087</v>
      </c>
      <c r="E147" s="4"/>
    </row>
    <row r="148" spans="1:5" x14ac:dyDescent="0.2">
      <c r="A148" t="s">
        <v>1079</v>
      </c>
      <c r="B148">
        <v>5</v>
      </c>
      <c r="C148" t="s">
        <v>1088</v>
      </c>
      <c r="D148" s="3" t="s">
        <v>1089</v>
      </c>
      <c r="E148" s="4"/>
    </row>
    <row r="149" spans="1:5" x14ac:dyDescent="0.2">
      <c r="A149" t="s">
        <v>1079</v>
      </c>
      <c r="B149" s="20">
        <v>6</v>
      </c>
      <c r="C149" t="s">
        <v>883</v>
      </c>
      <c r="D149" s="3" t="s">
        <v>884</v>
      </c>
      <c r="E149" s="4"/>
    </row>
    <row r="150" spans="1:5" x14ac:dyDescent="0.2">
      <c r="A150" t="s">
        <v>1079</v>
      </c>
      <c r="B150" s="20">
        <v>7</v>
      </c>
      <c r="C150" t="s">
        <v>885</v>
      </c>
      <c r="D150" s="3" t="s">
        <v>886</v>
      </c>
      <c r="E150" s="4"/>
    </row>
    <row r="151" spans="1:5" x14ac:dyDescent="0.2">
      <c r="E151" s="4"/>
    </row>
    <row r="152" spans="1:5" s="18" customFormat="1" x14ac:dyDescent="0.2">
      <c r="A152" s="16" t="s">
        <v>1090</v>
      </c>
      <c r="B152" s="16">
        <v>1</v>
      </c>
      <c r="C152" t="s">
        <v>1039</v>
      </c>
      <c r="D152" s="3" t="s">
        <v>1040</v>
      </c>
      <c r="E152" s="5"/>
    </row>
    <row r="153" spans="1:5" s="18" customFormat="1" x14ac:dyDescent="0.2">
      <c r="A153" s="16" t="s">
        <v>1090</v>
      </c>
      <c r="B153" s="16">
        <v>2</v>
      </c>
      <c r="C153" t="s">
        <v>1041</v>
      </c>
      <c r="D153" s="3" t="s">
        <v>1042</v>
      </c>
      <c r="E153" s="5"/>
    </row>
    <row r="154" spans="1:5" s="18" customFormat="1" x14ac:dyDescent="0.2">
      <c r="A154" s="16" t="s">
        <v>1090</v>
      </c>
      <c r="B154" s="16">
        <v>3</v>
      </c>
      <c r="C154" t="s">
        <v>1043</v>
      </c>
      <c r="D154" s="3" t="s">
        <v>1044</v>
      </c>
      <c r="E154" s="5"/>
    </row>
    <row r="155" spans="1:5" s="18" customFormat="1" x14ac:dyDescent="0.2">
      <c r="A155" s="16" t="s">
        <v>1090</v>
      </c>
      <c r="B155" s="16">
        <v>4</v>
      </c>
      <c r="C155" t="s">
        <v>1045</v>
      </c>
      <c r="D155" s="3" t="s">
        <v>1046</v>
      </c>
      <c r="E155" s="5"/>
    </row>
    <row r="156" spans="1:5" s="18" customFormat="1" x14ac:dyDescent="0.2">
      <c r="A156" s="16" t="s">
        <v>1090</v>
      </c>
      <c r="B156" s="16">
        <v>5</v>
      </c>
      <c r="C156" t="s">
        <v>1047</v>
      </c>
      <c r="D156" s="3" t="s">
        <v>1048</v>
      </c>
      <c r="E156" s="5"/>
    </row>
    <row r="157" spans="1:5" s="18" customFormat="1" x14ac:dyDescent="0.2">
      <c r="A157" s="16" t="s">
        <v>1090</v>
      </c>
      <c r="B157" s="16">
        <v>6</v>
      </c>
      <c r="C157" s="16" t="s">
        <v>1049</v>
      </c>
      <c r="D157" s="3" t="s">
        <v>1050</v>
      </c>
      <c r="E157" s="5"/>
    </row>
    <row r="158" spans="1:5" s="18" customFormat="1" x14ac:dyDescent="0.2">
      <c r="A158" s="16" t="s">
        <v>1090</v>
      </c>
      <c r="B158" s="16">
        <v>7</v>
      </c>
      <c r="C158" s="16" t="s">
        <v>1051</v>
      </c>
      <c r="D158" s="3" t="s">
        <v>1052</v>
      </c>
      <c r="E158" s="5"/>
    </row>
    <row r="159" spans="1:5" s="18" customFormat="1" x14ac:dyDescent="0.2">
      <c r="A159" s="16" t="s">
        <v>1090</v>
      </c>
      <c r="B159" s="16">
        <v>8</v>
      </c>
      <c r="C159" s="16" t="s">
        <v>1053</v>
      </c>
      <c r="D159" s="3" t="s">
        <v>1054</v>
      </c>
      <c r="E159" s="5"/>
    </row>
    <row r="160" spans="1:5" s="18" customFormat="1" x14ac:dyDescent="0.2">
      <c r="A160" s="16" t="s">
        <v>1090</v>
      </c>
      <c r="B160" s="16">
        <v>9</v>
      </c>
      <c r="C160" s="16" t="s">
        <v>1055</v>
      </c>
      <c r="D160" s="3" t="s">
        <v>1056</v>
      </c>
      <c r="E160" s="5"/>
    </row>
    <row r="161" spans="1:5" s="18" customFormat="1" x14ac:dyDescent="0.2">
      <c r="A161" s="16" t="s">
        <v>1090</v>
      </c>
      <c r="B161" s="16">
        <v>10</v>
      </c>
      <c r="C161" s="16" t="s">
        <v>1057</v>
      </c>
      <c r="D161" s="3" t="s">
        <v>1058</v>
      </c>
      <c r="E161" s="5"/>
    </row>
    <row r="162" spans="1:5" s="18" customFormat="1" x14ac:dyDescent="0.2">
      <c r="A162" s="16" t="s">
        <v>1090</v>
      </c>
      <c r="B162" s="16">
        <v>11</v>
      </c>
      <c r="C162" s="16" t="s">
        <v>1059</v>
      </c>
      <c r="D162" s="3" t="s">
        <v>1060</v>
      </c>
      <c r="E162" s="5"/>
    </row>
    <row r="163" spans="1:5" s="18" customFormat="1" x14ac:dyDescent="0.2">
      <c r="A163" s="16" t="s">
        <v>1090</v>
      </c>
      <c r="B163" s="16">
        <v>12</v>
      </c>
      <c r="C163" s="16" t="s">
        <v>1061</v>
      </c>
      <c r="D163" s="3" t="s">
        <v>1062</v>
      </c>
      <c r="E163" s="5"/>
    </row>
    <row r="164" spans="1:5" s="18" customFormat="1" x14ac:dyDescent="0.2">
      <c r="A164" s="16" t="s">
        <v>1090</v>
      </c>
      <c r="B164" s="16">
        <v>13</v>
      </c>
      <c r="C164" s="16" t="s">
        <v>1063</v>
      </c>
      <c r="D164" s="3" t="s">
        <v>1064</v>
      </c>
      <c r="E164" s="5"/>
    </row>
    <row r="165" spans="1:5" s="18" customFormat="1" x14ac:dyDescent="0.2">
      <c r="A165" s="16" t="s">
        <v>1090</v>
      </c>
      <c r="B165" s="16">
        <v>14</v>
      </c>
      <c r="C165" s="16" t="s">
        <v>1065</v>
      </c>
      <c r="D165" s="3" t="s">
        <v>1066</v>
      </c>
      <c r="E165" s="5"/>
    </row>
    <row r="166" spans="1:5" s="18" customFormat="1" x14ac:dyDescent="0.2">
      <c r="A166" s="16" t="s">
        <v>1090</v>
      </c>
      <c r="B166" s="16">
        <v>15</v>
      </c>
      <c r="C166" s="16" t="s">
        <v>1067</v>
      </c>
      <c r="D166" s="3" t="s">
        <v>1068</v>
      </c>
      <c r="E166" s="5"/>
    </row>
    <row r="167" spans="1:5" s="18" customFormat="1" x14ac:dyDescent="0.2">
      <c r="A167" s="16" t="s">
        <v>1090</v>
      </c>
      <c r="B167" s="16">
        <v>16</v>
      </c>
      <c r="C167" s="16" t="s">
        <v>1069</v>
      </c>
      <c r="D167" s="3" t="s">
        <v>1070</v>
      </c>
      <c r="E167" s="5"/>
    </row>
    <row r="168" spans="1:5" s="18" customFormat="1" x14ac:dyDescent="0.2">
      <c r="A168" s="16" t="s">
        <v>1090</v>
      </c>
      <c r="B168" s="16">
        <v>17</v>
      </c>
      <c r="C168" s="16" t="s">
        <v>1071</v>
      </c>
      <c r="D168" s="3" t="s">
        <v>1072</v>
      </c>
      <c r="E168" s="5"/>
    </row>
    <row r="169" spans="1:5" s="18" customFormat="1" x14ac:dyDescent="0.2">
      <c r="A169" s="16" t="s">
        <v>1090</v>
      </c>
      <c r="B169" s="16">
        <v>18</v>
      </c>
      <c r="C169" s="16" t="s">
        <v>1091</v>
      </c>
      <c r="D169" s="3" t="s">
        <v>1074</v>
      </c>
      <c r="E169" s="5"/>
    </row>
    <row r="170" spans="1:5" s="18" customFormat="1" x14ac:dyDescent="0.2">
      <c r="A170" s="16" t="s">
        <v>1090</v>
      </c>
      <c r="B170" s="16">
        <v>19</v>
      </c>
      <c r="C170" s="16" t="s">
        <v>1092</v>
      </c>
      <c r="D170" s="18" t="s">
        <v>1093</v>
      </c>
      <c r="E170" s="5"/>
    </row>
    <row r="171" spans="1:5" s="18" customFormat="1" x14ac:dyDescent="0.2">
      <c r="A171" s="16" t="s">
        <v>1090</v>
      </c>
      <c r="B171" s="20">
        <v>20</v>
      </c>
      <c r="C171" s="16" t="s">
        <v>883</v>
      </c>
      <c r="D171" s="3" t="s">
        <v>884</v>
      </c>
      <c r="E171" s="5"/>
    </row>
    <row r="172" spans="1:5" s="18" customFormat="1" x14ac:dyDescent="0.2">
      <c r="A172" s="16" t="s">
        <v>1090</v>
      </c>
      <c r="B172" s="20">
        <v>21</v>
      </c>
      <c r="C172" s="16" t="s">
        <v>885</v>
      </c>
      <c r="D172" s="3" t="s">
        <v>886</v>
      </c>
      <c r="E172" s="5"/>
    </row>
    <row r="173" spans="1:5" s="18" customFormat="1" x14ac:dyDescent="0.2">
      <c r="E173" s="5"/>
    </row>
    <row r="174" spans="1:5" s="18" customFormat="1" x14ac:dyDescent="0.2">
      <c r="A174" s="16" t="s">
        <v>1094</v>
      </c>
      <c r="B174" s="16">
        <v>1</v>
      </c>
      <c r="C174" t="s">
        <v>1039</v>
      </c>
      <c r="D174" s="3" t="s">
        <v>1040</v>
      </c>
      <c r="E174" s="5"/>
    </row>
    <row r="175" spans="1:5" s="18" customFormat="1" x14ac:dyDescent="0.2">
      <c r="A175" s="16" t="s">
        <v>1094</v>
      </c>
      <c r="B175" s="16">
        <v>2</v>
      </c>
      <c r="C175" t="s">
        <v>1041</v>
      </c>
      <c r="D175" s="3" t="s">
        <v>1042</v>
      </c>
      <c r="E175" s="5"/>
    </row>
    <row r="176" spans="1:5" s="18" customFormat="1" x14ac:dyDescent="0.2">
      <c r="A176" s="16" t="s">
        <v>1094</v>
      </c>
      <c r="B176" s="16">
        <v>3</v>
      </c>
      <c r="C176" t="s">
        <v>1043</v>
      </c>
      <c r="D176" s="3" t="s">
        <v>1044</v>
      </c>
      <c r="E176" s="5"/>
    </row>
    <row r="177" spans="1:5" s="18" customFormat="1" x14ac:dyDescent="0.2">
      <c r="A177" s="16" t="s">
        <v>1094</v>
      </c>
      <c r="B177" s="16">
        <v>4</v>
      </c>
      <c r="C177" t="s">
        <v>1045</v>
      </c>
      <c r="D177" s="3" t="s">
        <v>1046</v>
      </c>
      <c r="E177" s="5"/>
    </row>
    <row r="178" spans="1:5" s="18" customFormat="1" x14ac:dyDescent="0.2">
      <c r="A178" s="16" t="s">
        <v>1094</v>
      </c>
      <c r="B178" s="16">
        <v>5</v>
      </c>
      <c r="C178" t="s">
        <v>1047</v>
      </c>
      <c r="D178" s="3" t="s">
        <v>1048</v>
      </c>
      <c r="E178" s="5"/>
    </row>
    <row r="179" spans="1:5" s="18" customFormat="1" x14ac:dyDescent="0.2">
      <c r="A179" s="16" t="s">
        <v>1094</v>
      </c>
      <c r="B179" s="16">
        <v>6</v>
      </c>
      <c r="C179" s="16" t="s">
        <v>1049</v>
      </c>
      <c r="D179" s="3" t="s">
        <v>1050</v>
      </c>
      <c r="E179" s="5"/>
    </row>
    <row r="180" spans="1:5" s="18" customFormat="1" x14ac:dyDescent="0.2">
      <c r="A180" s="16" t="s">
        <v>1094</v>
      </c>
      <c r="B180" s="16">
        <v>7</v>
      </c>
      <c r="C180" s="16" t="s">
        <v>1051</v>
      </c>
      <c r="D180" s="3" t="s">
        <v>1052</v>
      </c>
      <c r="E180" s="5"/>
    </row>
    <row r="181" spans="1:5" s="18" customFormat="1" x14ac:dyDescent="0.2">
      <c r="A181" s="16" t="s">
        <v>1094</v>
      </c>
      <c r="B181" s="16">
        <v>8</v>
      </c>
      <c r="C181" s="16" t="s">
        <v>1053</v>
      </c>
      <c r="D181" s="3" t="s">
        <v>1054</v>
      </c>
      <c r="E181" s="5"/>
    </row>
    <row r="182" spans="1:5" s="18" customFormat="1" x14ac:dyDescent="0.2">
      <c r="A182" s="16" t="s">
        <v>1094</v>
      </c>
      <c r="B182" s="16">
        <v>9</v>
      </c>
      <c r="C182" s="16" t="s">
        <v>1055</v>
      </c>
      <c r="D182" s="3" t="s">
        <v>1056</v>
      </c>
      <c r="E182" s="5"/>
    </row>
    <row r="183" spans="1:5" s="18" customFormat="1" x14ac:dyDescent="0.2">
      <c r="A183" s="16" t="s">
        <v>1094</v>
      </c>
      <c r="B183" s="16">
        <v>10</v>
      </c>
      <c r="C183" s="16" t="s">
        <v>1057</v>
      </c>
      <c r="D183" s="3" t="s">
        <v>1058</v>
      </c>
      <c r="E183" s="5"/>
    </row>
    <row r="184" spans="1:5" s="18" customFormat="1" x14ac:dyDescent="0.2">
      <c r="A184" s="16" t="s">
        <v>1094</v>
      </c>
      <c r="B184" s="16">
        <v>11</v>
      </c>
      <c r="C184" s="16" t="s">
        <v>1059</v>
      </c>
      <c r="D184" s="3" t="s">
        <v>1060</v>
      </c>
      <c r="E184" s="5"/>
    </row>
    <row r="185" spans="1:5" s="18" customFormat="1" x14ac:dyDescent="0.2">
      <c r="A185" s="16" t="s">
        <v>1094</v>
      </c>
      <c r="B185" s="16">
        <v>12</v>
      </c>
      <c r="C185" s="16" t="s">
        <v>1061</v>
      </c>
      <c r="D185" s="3" t="s">
        <v>1062</v>
      </c>
      <c r="E185" s="5"/>
    </row>
    <row r="186" spans="1:5" s="18" customFormat="1" x14ac:dyDescent="0.2">
      <c r="A186" s="16" t="s">
        <v>1094</v>
      </c>
      <c r="B186" s="16">
        <v>13</v>
      </c>
      <c r="C186" s="16" t="s">
        <v>1063</v>
      </c>
      <c r="D186" s="3" t="s">
        <v>1064</v>
      </c>
      <c r="E186" s="5"/>
    </row>
    <row r="187" spans="1:5" s="18" customFormat="1" x14ac:dyDescent="0.2">
      <c r="A187" s="16" t="s">
        <v>1094</v>
      </c>
      <c r="B187" s="16">
        <v>14</v>
      </c>
      <c r="C187" s="16" t="s">
        <v>1065</v>
      </c>
      <c r="D187" s="3" t="s">
        <v>1066</v>
      </c>
      <c r="E187" s="5"/>
    </row>
    <row r="188" spans="1:5" s="18" customFormat="1" x14ac:dyDescent="0.2">
      <c r="A188" s="16" t="s">
        <v>1094</v>
      </c>
      <c r="B188" s="16">
        <v>15</v>
      </c>
      <c r="C188" s="16" t="s">
        <v>1067</v>
      </c>
      <c r="D188" s="3" t="s">
        <v>1068</v>
      </c>
      <c r="E188" s="5"/>
    </row>
    <row r="189" spans="1:5" s="18" customFormat="1" x14ac:dyDescent="0.2">
      <c r="A189" s="16" t="s">
        <v>1094</v>
      </c>
      <c r="B189" s="16">
        <v>16</v>
      </c>
      <c r="C189" s="16" t="s">
        <v>1069</v>
      </c>
      <c r="D189" s="3" t="s">
        <v>1070</v>
      </c>
      <c r="E189" s="5"/>
    </row>
    <row r="190" spans="1:5" s="18" customFormat="1" x14ac:dyDescent="0.2">
      <c r="A190" s="16" t="s">
        <v>1094</v>
      </c>
      <c r="B190" s="16">
        <v>17</v>
      </c>
      <c r="C190" s="16" t="s">
        <v>1071</v>
      </c>
      <c r="D190" s="3" t="s">
        <v>1072</v>
      </c>
      <c r="E190" s="5"/>
    </row>
    <row r="191" spans="1:5" s="18" customFormat="1" x14ac:dyDescent="0.2">
      <c r="A191" s="16" t="s">
        <v>1094</v>
      </c>
      <c r="B191" s="16">
        <v>18</v>
      </c>
      <c r="C191" s="16" t="s">
        <v>1095</v>
      </c>
      <c r="D191" s="3" t="s">
        <v>1074</v>
      </c>
      <c r="E191" s="5"/>
    </row>
    <row r="192" spans="1:5" s="18" customFormat="1" x14ac:dyDescent="0.2">
      <c r="A192" s="16" t="s">
        <v>1094</v>
      </c>
      <c r="B192" s="16">
        <v>19</v>
      </c>
      <c r="C192" s="16" t="s">
        <v>1096</v>
      </c>
      <c r="D192" s="18" t="s">
        <v>1097</v>
      </c>
      <c r="E192" s="5"/>
    </row>
    <row r="193" spans="1:5" s="18" customFormat="1" x14ac:dyDescent="0.2">
      <c r="A193" s="16" t="s">
        <v>1094</v>
      </c>
      <c r="B193" s="20">
        <v>20</v>
      </c>
      <c r="C193" s="16" t="s">
        <v>883</v>
      </c>
      <c r="D193" s="3" t="s">
        <v>884</v>
      </c>
      <c r="E193" s="5"/>
    </row>
    <row r="194" spans="1:5" s="18" customFormat="1" x14ac:dyDescent="0.2">
      <c r="A194" s="16" t="s">
        <v>1094</v>
      </c>
      <c r="B194" s="20">
        <v>21</v>
      </c>
      <c r="C194" s="16" t="s">
        <v>885</v>
      </c>
      <c r="D194" s="3" t="s">
        <v>886</v>
      </c>
      <c r="E194" s="5"/>
    </row>
    <row r="195" spans="1:5" s="13" customFormat="1" x14ac:dyDescent="0.2">
      <c r="E195" s="9"/>
    </row>
    <row r="196" spans="1:5" x14ac:dyDescent="0.2">
      <c r="A196" t="s">
        <v>1098</v>
      </c>
      <c r="B196" t="s">
        <v>1099</v>
      </c>
      <c r="C196" t="s">
        <v>1100</v>
      </c>
      <c r="D196" s="3" t="s">
        <v>1101</v>
      </c>
      <c r="E196" s="4"/>
    </row>
    <row r="197" spans="1:5" x14ac:dyDescent="0.2">
      <c r="A197" t="s">
        <v>1098</v>
      </c>
      <c r="B197" t="s">
        <v>1102</v>
      </c>
      <c r="C197" t="s">
        <v>1103</v>
      </c>
      <c r="D197" s="3" t="s">
        <v>1104</v>
      </c>
      <c r="E197" s="4"/>
    </row>
    <row r="198" spans="1:5" x14ac:dyDescent="0.2">
      <c r="A198" t="s">
        <v>1098</v>
      </c>
      <c r="B198" t="s">
        <v>1105</v>
      </c>
      <c r="C198" t="s">
        <v>1106</v>
      </c>
      <c r="D198" s="3" t="s">
        <v>1107</v>
      </c>
      <c r="E198" s="4"/>
    </row>
    <row r="199" spans="1:5" x14ac:dyDescent="0.2">
      <c r="A199" t="s">
        <v>1098</v>
      </c>
      <c r="B199" t="s">
        <v>1108</v>
      </c>
      <c r="C199" t="s">
        <v>1109</v>
      </c>
      <c r="D199" s="3" t="s">
        <v>1110</v>
      </c>
      <c r="E199" s="4"/>
    </row>
    <row r="200" spans="1:5" x14ac:dyDescent="0.2">
      <c r="A200" t="s">
        <v>1098</v>
      </c>
      <c r="B200" t="s">
        <v>1111</v>
      </c>
      <c r="C200" t="s">
        <v>1112</v>
      </c>
      <c r="D200" s="3" t="s">
        <v>1113</v>
      </c>
      <c r="E200" s="4"/>
    </row>
    <row r="201" spans="1:5" x14ac:dyDescent="0.2">
      <c r="A201" t="s">
        <v>1098</v>
      </c>
      <c r="B201" t="s">
        <v>1114</v>
      </c>
      <c r="C201" t="s">
        <v>1115</v>
      </c>
      <c r="D201" s="3" t="s">
        <v>1116</v>
      </c>
      <c r="E201" s="4"/>
    </row>
    <row r="202" spans="1:5" x14ac:dyDescent="0.2">
      <c r="A202" t="s">
        <v>1098</v>
      </c>
      <c r="B202" t="s">
        <v>991</v>
      </c>
      <c r="C202" t="s">
        <v>1117</v>
      </c>
      <c r="D202" s="3" t="s">
        <v>1118</v>
      </c>
      <c r="E202" s="4"/>
    </row>
    <row r="203" spans="1:5" x14ac:dyDescent="0.2">
      <c r="A203" t="s">
        <v>1098</v>
      </c>
      <c r="B203" t="s">
        <v>994</v>
      </c>
      <c r="C203" t="s">
        <v>1119</v>
      </c>
      <c r="D203" s="3" t="s">
        <v>1120</v>
      </c>
      <c r="E203" s="4"/>
    </row>
    <row r="204" spans="1:5" x14ac:dyDescent="0.2">
      <c r="A204" t="s">
        <v>1098</v>
      </c>
      <c r="B204" t="s">
        <v>997</v>
      </c>
      <c r="C204" t="s">
        <v>883</v>
      </c>
      <c r="D204" s="3" t="s">
        <v>884</v>
      </c>
      <c r="E204" s="4"/>
    </row>
    <row r="205" spans="1:5" x14ac:dyDescent="0.2">
      <c r="A205" t="s">
        <v>1098</v>
      </c>
      <c r="B205" t="s">
        <v>998</v>
      </c>
      <c r="C205" t="s">
        <v>885</v>
      </c>
      <c r="D205" s="3" t="s">
        <v>886</v>
      </c>
      <c r="E205" s="4"/>
    </row>
    <row r="206" spans="1:5" x14ac:dyDescent="0.2">
      <c r="E206" s="4"/>
    </row>
    <row r="207" spans="1:5" x14ac:dyDescent="0.2">
      <c r="A207" t="s">
        <v>304</v>
      </c>
      <c r="B207" t="s">
        <v>1121</v>
      </c>
      <c r="C207" t="s">
        <v>1122</v>
      </c>
      <c r="D207" s="3" t="s">
        <v>1123</v>
      </c>
      <c r="E207" s="4"/>
    </row>
    <row r="208" spans="1:5" x14ac:dyDescent="0.2">
      <c r="A208" t="s">
        <v>304</v>
      </c>
      <c r="B208" t="s">
        <v>1124</v>
      </c>
      <c r="C208" t="s">
        <v>1125</v>
      </c>
      <c r="D208" s="3" t="s">
        <v>1126</v>
      </c>
      <c r="E208" s="4"/>
    </row>
    <row r="209" spans="1:5" x14ac:dyDescent="0.2">
      <c r="A209" t="s">
        <v>304</v>
      </c>
      <c r="B209" t="s">
        <v>1127</v>
      </c>
      <c r="C209" t="s">
        <v>1128</v>
      </c>
      <c r="D209" s="3" t="s">
        <v>1129</v>
      </c>
      <c r="E209" s="4"/>
    </row>
    <row r="210" spans="1:5" x14ac:dyDescent="0.2">
      <c r="A210" t="s">
        <v>304</v>
      </c>
      <c r="B210" t="s">
        <v>1130</v>
      </c>
      <c r="C210" t="s">
        <v>1131</v>
      </c>
      <c r="D210" s="3" t="s">
        <v>1132</v>
      </c>
      <c r="E210" s="4"/>
    </row>
    <row r="211" spans="1:5" x14ac:dyDescent="0.2">
      <c r="A211" t="s">
        <v>304</v>
      </c>
      <c r="B211" t="s">
        <v>1133</v>
      </c>
      <c r="C211" t="s">
        <v>1134</v>
      </c>
      <c r="D211" s="3" t="s">
        <v>1135</v>
      </c>
      <c r="E211" s="4"/>
    </row>
    <row r="212" spans="1:5" x14ac:dyDescent="0.2">
      <c r="A212" t="s">
        <v>304</v>
      </c>
      <c r="B212" t="s">
        <v>1136</v>
      </c>
      <c r="C212" t="s">
        <v>1137</v>
      </c>
      <c r="D212" s="3" t="s">
        <v>1138</v>
      </c>
      <c r="E212" s="4"/>
    </row>
    <row r="213" spans="1:5" x14ac:dyDescent="0.2">
      <c r="A213" t="s">
        <v>304</v>
      </c>
      <c r="B213" t="s">
        <v>1139</v>
      </c>
      <c r="C213" t="s">
        <v>1140</v>
      </c>
      <c r="D213" s="3" t="s">
        <v>1141</v>
      </c>
      <c r="E213" s="4"/>
    </row>
    <row r="214" spans="1:5" x14ac:dyDescent="0.2">
      <c r="A214" t="s">
        <v>304</v>
      </c>
      <c r="B214" t="s">
        <v>1142</v>
      </c>
      <c r="C214" t="s">
        <v>1143</v>
      </c>
      <c r="D214" s="3" t="s">
        <v>1144</v>
      </c>
      <c r="E214" s="4"/>
    </row>
    <row r="215" spans="1:5" x14ac:dyDescent="0.2">
      <c r="A215" t="s">
        <v>304</v>
      </c>
      <c r="B215" t="s">
        <v>1145</v>
      </c>
      <c r="C215" t="s">
        <v>1146</v>
      </c>
      <c r="D215" s="3" t="s">
        <v>1147</v>
      </c>
      <c r="E215" s="4"/>
    </row>
    <row r="216" spans="1:5" x14ac:dyDescent="0.2">
      <c r="A216" t="s">
        <v>304</v>
      </c>
      <c r="B216" t="s">
        <v>1148</v>
      </c>
      <c r="C216" t="s">
        <v>1149</v>
      </c>
      <c r="D216" s="3" t="s">
        <v>1150</v>
      </c>
      <c r="E216" s="4"/>
    </row>
    <row r="217" spans="1:5" x14ac:dyDescent="0.2">
      <c r="A217" t="s">
        <v>304</v>
      </c>
      <c r="B217" t="s">
        <v>1151</v>
      </c>
      <c r="C217" t="s">
        <v>1152</v>
      </c>
      <c r="D217" s="3" t="s">
        <v>1153</v>
      </c>
      <c r="E217" s="4"/>
    </row>
    <row r="218" spans="1:5" x14ac:dyDescent="0.2">
      <c r="A218" t="s">
        <v>304</v>
      </c>
      <c r="B218" t="s">
        <v>1154</v>
      </c>
      <c r="C218" t="s">
        <v>1155</v>
      </c>
      <c r="D218" s="3" t="s">
        <v>1156</v>
      </c>
      <c r="E218" s="4"/>
    </row>
    <row r="219" spans="1:5" x14ac:dyDescent="0.2">
      <c r="A219" t="s">
        <v>304</v>
      </c>
      <c r="B219" t="s">
        <v>1157</v>
      </c>
      <c r="C219" t="s">
        <v>1158</v>
      </c>
      <c r="D219" s="3" t="s">
        <v>1159</v>
      </c>
      <c r="E219" s="4"/>
    </row>
    <row r="220" spans="1:5" x14ac:dyDescent="0.2">
      <c r="A220" t="s">
        <v>304</v>
      </c>
      <c r="B220" t="s">
        <v>1160</v>
      </c>
      <c r="C220" t="s">
        <v>1161</v>
      </c>
      <c r="D220" s="3" t="s">
        <v>1162</v>
      </c>
      <c r="E220" s="4"/>
    </row>
    <row r="221" spans="1:5" x14ac:dyDescent="0.2">
      <c r="A221" t="s">
        <v>304</v>
      </c>
      <c r="B221" t="s">
        <v>1163</v>
      </c>
      <c r="C221" t="s">
        <v>1164</v>
      </c>
      <c r="D221" s="3" t="s">
        <v>1165</v>
      </c>
      <c r="E221" s="4"/>
    </row>
    <row r="222" spans="1:5" x14ac:dyDescent="0.2">
      <c r="A222" t="s">
        <v>304</v>
      </c>
      <c r="B222" t="s">
        <v>1166</v>
      </c>
      <c r="C222" t="s">
        <v>1167</v>
      </c>
      <c r="D222" s="3" t="s">
        <v>1168</v>
      </c>
      <c r="E222" s="4"/>
    </row>
    <row r="223" spans="1:5" x14ac:dyDescent="0.2">
      <c r="A223" t="s">
        <v>304</v>
      </c>
      <c r="B223" t="s">
        <v>1169</v>
      </c>
      <c r="C223" t="s">
        <v>1170</v>
      </c>
      <c r="D223" s="3" t="s">
        <v>1171</v>
      </c>
      <c r="E223" s="4"/>
    </row>
    <row r="224" spans="1:5" x14ac:dyDescent="0.2">
      <c r="A224" t="s">
        <v>304</v>
      </c>
      <c r="B224" t="s">
        <v>1172</v>
      </c>
      <c r="C224" t="s">
        <v>1173</v>
      </c>
      <c r="D224" s="3" t="s">
        <v>1174</v>
      </c>
      <c r="E224" s="4"/>
    </row>
    <row r="225" spans="1:5" x14ac:dyDescent="0.2">
      <c r="A225" t="s">
        <v>304</v>
      </c>
      <c r="B225" t="s">
        <v>1175</v>
      </c>
      <c r="C225" t="s">
        <v>1176</v>
      </c>
      <c r="D225" s="3" t="s">
        <v>1177</v>
      </c>
      <c r="E225" s="4"/>
    </row>
    <row r="226" spans="1:5" x14ac:dyDescent="0.2">
      <c r="A226" t="s">
        <v>304</v>
      </c>
      <c r="B226" t="s">
        <v>1178</v>
      </c>
      <c r="C226" t="s">
        <v>1179</v>
      </c>
      <c r="D226" s="3" t="s">
        <v>1180</v>
      </c>
      <c r="E226" s="4"/>
    </row>
    <row r="227" spans="1:5" x14ac:dyDescent="0.2">
      <c r="A227" t="s">
        <v>304</v>
      </c>
      <c r="B227" t="s">
        <v>1181</v>
      </c>
      <c r="C227" t="s">
        <v>1182</v>
      </c>
      <c r="D227" s="3" t="s">
        <v>1183</v>
      </c>
      <c r="E227" s="4"/>
    </row>
    <row r="228" spans="1:5" x14ac:dyDescent="0.2">
      <c r="A228" t="s">
        <v>304</v>
      </c>
      <c r="B228" t="s">
        <v>1184</v>
      </c>
      <c r="C228" t="s">
        <v>1185</v>
      </c>
      <c r="D228" s="3" t="s">
        <v>1186</v>
      </c>
      <c r="E228" s="4"/>
    </row>
    <row r="229" spans="1:5" x14ac:dyDescent="0.2">
      <c r="A229" t="s">
        <v>304</v>
      </c>
      <c r="B229" t="s">
        <v>1187</v>
      </c>
      <c r="C229" t="s">
        <v>1188</v>
      </c>
      <c r="D229" s="3" t="s">
        <v>1189</v>
      </c>
      <c r="E229" s="4"/>
    </row>
    <row r="230" spans="1:5" x14ac:dyDescent="0.2">
      <c r="A230" t="s">
        <v>304</v>
      </c>
      <c r="B230" t="s">
        <v>1190</v>
      </c>
      <c r="C230" t="s">
        <v>1191</v>
      </c>
      <c r="D230" s="3" t="s">
        <v>1192</v>
      </c>
      <c r="E230" s="4"/>
    </row>
    <row r="231" spans="1:5" x14ac:dyDescent="0.2">
      <c r="A231" t="s">
        <v>304</v>
      </c>
      <c r="B231" t="s">
        <v>1193</v>
      </c>
      <c r="C231" t="s">
        <v>1194</v>
      </c>
      <c r="D231" s="3" t="s">
        <v>1195</v>
      </c>
      <c r="E231" s="4"/>
    </row>
    <row r="232" spans="1:5" x14ac:dyDescent="0.2">
      <c r="A232" t="s">
        <v>304</v>
      </c>
      <c r="B232" t="s">
        <v>997</v>
      </c>
      <c r="C232" t="s">
        <v>883</v>
      </c>
      <c r="D232" s="3" t="s">
        <v>884</v>
      </c>
      <c r="E232" s="4"/>
    </row>
    <row r="233" spans="1:5" x14ac:dyDescent="0.2">
      <c r="A233" t="s">
        <v>304</v>
      </c>
      <c r="B233" t="s">
        <v>998</v>
      </c>
      <c r="C233" t="s">
        <v>885</v>
      </c>
      <c r="D233" s="3" t="s">
        <v>886</v>
      </c>
      <c r="E233" s="4"/>
    </row>
    <row r="234" spans="1:5" x14ac:dyDescent="0.2">
      <c r="E234" s="4"/>
    </row>
    <row r="235" spans="1:5" s="15" customFormat="1" x14ac:dyDescent="0.2">
      <c r="A235" s="16" t="s">
        <v>1196</v>
      </c>
      <c r="B235" s="16">
        <v>1</v>
      </c>
      <c r="C235" s="16" t="s">
        <v>1197</v>
      </c>
      <c r="D235" s="18" t="s">
        <v>1197</v>
      </c>
      <c r="E235" s="19"/>
    </row>
    <row r="236" spans="1:5" s="15" customFormat="1" x14ac:dyDescent="0.2">
      <c r="A236" s="16" t="s">
        <v>1196</v>
      </c>
      <c r="B236" s="16">
        <v>2</v>
      </c>
      <c r="C236" s="16" t="s">
        <v>1198</v>
      </c>
      <c r="D236" s="18" t="s">
        <v>1198</v>
      </c>
      <c r="E236" s="19"/>
    </row>
    <row r="237" spans="1:5" s="15" customFormat="1" x14ac:dyDescent="0.2">
      <c r="A237" s="16" t="s">
        <v>1196</v>
      </c>
      <c r="B237" s="16">
        <v>3</v>
      </c>
      <c r="C237" s="16" t="s">
        <v>1199</v>
      </c>
      <c r="D237" s="18" t="s">
        <v>1200</v>
      </c>
      <c r="E237" s="19"/>
    </row>
    <row r="238" spans="1:5" s="15" customFormat="1" x14ac:dyDescent="0.2">
      <c r="A238" s="16" t="s">
        <v>1196</v>
      </c>
      <c r="B238" s="16">
        <v>4</v>
      </c>
      <c r="C238" s="16" t="s">
        <v>1201</v>
      </c>
      <c r="D238" s="18" t="s">
        <v>1202</v>
      </c>
      <c r="E238" s="19"/>
    </row>
    <row r="239" spans="1:5" s="15" customFormat="1" x14ac:dyDescent="0.2">
      <c r="A239" s="18" t="s">
        <v>1196</v>
      </c>
      <c r="B239" s="18">
        <v>5</v>
      </c>
      <c r="C239" s="244" t="s">
        <v>1203</v>
      </c>
      <c r="D239" s="244" t="s">
        <v>1204</v>
      </c>
      <c r="E239" s="19"/>
    </row>
    <row r="240" spans="1:5" s="15" customFormat="1" x14ac:dyDescent="0.2">
      <c r="E240" s="19"/>
    </row>
    <row r="241" spans="1:5" s="18" customFormat="1" x14ac:dyDescent="0.2">
      <c r="A241" s="16" t="s">
        <v>1205</v>
      </c>
      <c r="B241" s="16">
        <v>1</v>
      </c>
      <c r="C241" s="16" t="s">
        <v>1206</v>
      </c>
      <c r="D241" s="18" t="s">
        <v>1207</v>
      </c>
      <c r="E241" s="5"/>
    </row>
    <row r="242" spans="1:5" s="18" customFormat="1" x14ac:dyDescent="0.2">
      <c r="A242" s="16" t="s">
        <v>1205</v>
      </c>
      <c r="B242" s="16">
        <v>2</v>
      </c>
      <c r="C242" s="16" t="s">
        <v>1208</v>
      </c>
      <c r="D242" s="18" t="s">
        <v>1209</v>
      </c>
      <c r="E242" s="5"/>
    </row>
    <row r="243" spans="1:5" s="15" customFormat="1" x14ac:dyDescent="0.2">
      <c r="E243" s="19"/>
    </row>
    <row r="244" spans="1:5" s="15" customFormat="1" x14ac:dyDescent="0.2">
      <c r="A244" s="14" t="s">
        <v>1210</v>
      </c>
      <c r="B244" s="14">
        <v>1</v>
      </c>
      <c r="C244" s="14" t="s">
        <v>1211</v>
      </c>
      <c r="D244" s="15" t="s">
        <v>1212</v>
      </c>
      <c r="E244" s="19"/>
    </row>
    <row r="245" spans="1:5" s="15" customFormat="1" x14ac:dyDescent="0.2">
      <c r="A245" s="14" t="s">
        <v>1210</v>
      </c>
      <c r="B245" s="14">
        <v>2</v>
      </c>
      <c r="C245" s="14" t="s">
        <v>1213</v>
      </c>
      <c r="D245" s="15" t="s">
        <v>1214</v>
      </c>
      <c r="E245" s="19"/>
    </row>
    <row r="246" spans="1:5" s="15" customFormat="1" x14ac:dyDescent="0.2">
      <c r="A246" s="14" t="s">
        <v>1210</v>
      </c>
      <c r="B246" s="14">
        <v>3</v>
      </c>
      <c r="C246" s="14" t="s">
        <v>1215</v>
      </c>
      <c r="D246" s="15" t="s">
        <v>1216</v>
      </c>
      <c r="E246" s="19"/>
    </row>
    <row r="247" spans="1:5" s="15" customFormat="1" x14ac:dyDescent="0.2">
      <c r="A247" s="14" t="s">
        <v>1210</v>
      </c>
      <c r="B247" s="14">
        <v>4</v>
      </c>
      <c r="C247" s="14" t="s">
        <v>1217</v>
      </c>
      <c r="D247" s="15" t="s">
        <v>1218</v>
      </c>
      <c r="E247" s="19"/>
    </row>
    <row r="248" spans="1:5" s="15" customFormat="1" x14ac:dyDescent="0.2">
      <c r="A248" s="14" t="s">
        <v>1210</v>
      </c>
      <c r="B248" s="14">
        <v>5</v>
      </c>
      <c r="C248" s="14" t="s">
        <v>1219</v>
      </c>
      <c r="D248" s="15" t="s">
        <v>1220</v>
      </c>
      <c r="E248" s="19"/>
    </row>
    <row r="249" spans="1:5" s="15" customFormat="1" x14ac:dyDescent="0.2">
      <c r="A249" s="14" t="s">
        <v>1210</v>
      </c>
      <c r="B249" s="14">
        <v>6</v>
      </c>
      <c r="C249" s="14" t="s">
        <v>1117</v>
      </c>
      <c r="D249" s="15" t="s">
        <v>1118</v>
      </c>
      <c r="E249" s="19"/>
    </row>
    <row r="250" spans="1:5" s="15" customFormat="1" x14ac:dyDescent="0.2">
      <c r="A250" s="14" t="s">
        <v>1210</v>
      </c>
      <c r="B250" s="14">
        <v>7</v>
      </c>
      <c r="C250" s="14" t="s">
        <v>883</v>
      </c>
      <c r="D250" s="15" t="s">
        <v>884</v>
      </c>
      <c r="E250" s="19"/>
    </row>
    <row r="251" spans="1:5" s="15" customFormat="1" x14ac:dyDescent="0.2">
      <c r="A251" s="14" t="s">
        <v>1210</v>
      </c>
      <c r="B251" s="14">
        <v>8</v>
      </c>
      <c r="C251" s="14" t="s">
        <v>885</v>
      </c>
      <c r="D251" s="15" t="s">
        <v>886</v>
      </c>
      <c r="E251" s="19"/>
    </row>
    <row r="252" spans="1:5" x14ac:dyDescent="0.2">
      <c r="E252" s="4"/>
    </row>
    <row r="253" spans="1:5" s="15" customFormat="1" x14ac:dyDescent="0.2">
      <c r="A253" s="14" t="s">
        <v>1221</v>
      </c>
      <c r="B253" s="14" t="s">
        <v>1222</v>
      </c>
      <c r="C253" s="14" t="s">
        <v>1223</v>
      </c>
      <c r="D253" s="15" t="s">
        <v>1224</v>
      </c>
      <c r="E253" s="19"/>
    </row>
    <row r="254" spans="1:5" s="15" customFormat="1" x14ac:dyDescent="0.2">
      <c r="A254" s="14" t="s">
        <v>1221</v>
      </c>
      <c r="B254" s="14" t="s">
        <v>1225</v>
      </c>
      <c r="C254" s="14" t="s">
        <v>1226</v>
      </c>
      <c r="D254" s="15" t="s">
        <v>1227</v>
      </c>
      <c r="E254" s="19"/>
    </row>
    <row r="255" spans="1:5" s="15" customFormat="1" x14ac:dyDescent="0.2">
      <c r="A255" s="14" t="s">
        <v>1221</v>
      </c>
      <c r="B255" s="14" t="s">
        <v>1228</v>
      </c>
      <c r="C255" s="14" t="s">
        <v>1229</v>
      </c>
      <c r="D255" s="15" t="s">
        <v>1230</v>
      </c>
      <c r="E255" s="19"/>
    </row>
    <row r="256" spans="1:5" s="15" customFormat="1" x14ac:dyDescent="0.2">
      <c r="A256" s="14" t="s">
        <v>1221</v>
      </c>
      <c r="B256" s="14" t="s">
        <v>1231</v>
      </c>
      <c r="C256" s="14" t="s">
        <v>1232</v>
      </c>
      <c r="D256" s="15" t="s">
        <v>1233</v>
      </c>
      <c r="E256" s="19"/>
    </row>
    <row r="257" spans="1:5" s="15" customFormat="1" x14ac:dyDescent="0.2">
      <c r="A257" s="14" t="s">
        <v>1221</v>
      </c>
      <c r="B257" s="14" t="s">
        <v>1234</v>
      </c>
      <c r="C257" s="14" t="s">
        <v>1235</v>
      </c>
      <c r="D257" s="15" t="s">
        <v>1236</v>
      </c>
      <c r="E257" s="19"/>
    </row>
    <row r="258" spans="1:5" s="15" customFormat="1" x14ac:dyDescent="0.2">
      <c r="A258" s="14" t="s">
        <v>1221</v>
      </c>
      <c r="B258" s="14" t="s">
        <v>1237</v>
      </c>
      <c r="C258" s="14" t="s">
        <v>1238</v>
      </c>
      <c r="D258" s="15" t="s">
        <v>1239</v>
      </c>
      <c r="E258" s="19"/>
    </row>
    <row r="259" spans="1:5" s="15" customFormat="1" x14ac:dyDescent="0.2">
      <c r="A259" s="14" t="s">
        <v>1221</v>
      </c>
      <c r="B259" s="14" t="s">
        <v>991</v>
      </c>
      <c r="C259" s="14" t="s">
        <v>1240</v>
      </c>
      <c r="D259" s="15" t="s">
        <v>1241</v>
      </c>
      <c r="E259" s="19"/>
    </row>
    <row r="260" spans="1:5" s="15" customFormat="1" x14ac:dyDescent="0.2">
      <c r="A260" s="14" t="s">
        <v>1221</v>
      </c>
      <c r="B260" s="14" t="s">
        <v>997</v>
      </c>
      <c r="C260" s="14" t="s">
        <v>883</v>
      </c>
      <c r="D260" s="15" t="s">
        <v>884</v>
      </c>
      <c r="E260" s="19"/>
    </row>
    <row r="261" spans="1:5" s="15" customFormat="1" x14ac:dyDescent="0.2">
      <c r="A261" s="14" t="s">
        <v>1221</v>
      </c>
      <c r="B261" s="14" t="s">
        <v>998</v>
      </c>
      <c r="C261" s="14" t="s">
        <v>885</v>
      </c>
      <c r="D261" s="15" t="s">
        <v>886</v>
      </c>
      <c r="E261" s="19"/>
    </row>
    <row r="262" spans="1:5" x14ac:dyDescent="0.2">
      <c r="E262" s="4"/>
    </row>
    <row r="263" spans="1:5" x14ac:dyDescent="0.2">
      <c r="A263" s="14" t="s">
        <v>1242</v>
      </c>
      <c r="B263" s="14">
        <v>1</v>
      </c>
      <c r="C263" s="14" t="s">
        <v>1243</v>
      </c>
      <c r="D263" s="15" t="s">
        <v>1244</v>
      </c>
      <c r="E263" s="4"/>
    </row>
    <row r="264" spans="1:5" x14ac:dyDescent="0.2">
      <c r="A264" s="14" t="s">
        <v>1242</v>
      </c>
      <c r="B264" s="14">
        <v>2</v>
      </c>
      <c r="C264" s="14" t="s">
        <v>1245</v>
      </c>
      <c r="D264" s="15" t="s">
        <v>1246</v>
      </c>
      <c r="E264" s="4"/>
    </row>
    <row r="265" spans="1:5" x14ac:dyDescent="0.2">
      <c r="A265" s="14" t="s">
        <v>1242</v>
      </c>
      <c r="B265" s="14">
        <v>3</v>
      </c>
      <c r="C265" s="14" t="s">
        <v>1247</v>
      </c>
      <c r="D265" s="15" t="s">
        <v>1248</v>
      </c>
      <c r="E265" s="4"/>
    </row>
    <row r="266" spans="1:5" x14ac:dyDescent="0.2">
      <c r="A266" s="14" t="s">
        <v>1242</v>
      </c>
      <c r="B266" s="14">
        <v>4</v>
      </c>
      <c r="C266" s="14" t="s">
        <v>1249</v>
      </c>
      <c r="D266" s="15" t="s">
        <v>1250</v>
      </c>
      <c r="E266" s="4"/>
    </row>
    <row r="267" spans="1:5" x14ac:dyDescent="0.2">
      <c r="A267" s="14" t="s">
        <v>1242</v>
      </c>
      <c r="B267" s="14">
        <v>5</v>
      </c>
      <c r="C267" s="14" t="s">
        <v>1251</v>
      </c>
      <c r="D267" s="15" t="s">
        <v>1252</v>
      </c>
      <c r="E267" s="4"/>
    </row>
    <row r="268" spans="1:5" x14ac:dyDescent="0.2">
      <c r="A268" s="14" t="s">
        <v>1242</v>
      </c>
      <c r="B268" s="14">
        <v>6</v>
      </c>
      <c r="C268" s="14" t="s">
        <v>1253</v>
      </c>
      <c r="D268" s="15" t="s">
        <v>1254</v>
      </c>
      <c r="E268" s="4"/>
    </row>
    <row r="269" spans="1:5" x14ac:dyDescent="0.2">
      <c r="A269" s="14" t="s">
        <v>1242</v>
      </c>
      <c r="B269" s="14">
        <v>7</v>
      </c>
      <c r="C269" s="14" t="s">
        <v>1255</v>
      </c>
      <c r="D269" s="15" t="s">
        <v>1256</v>
      </c>
      <c r="E269" s="4"/>
    </row>
    <row r="270" spans="1:5" x14ac:dyDescent="0.2">
      <c r="A270" s="14" t="s">
        <v>1242</v>
      </c>
      <c r="B270" s="14">
        <v>8</v>
      </c>
      <c r="C270" s="14" t="s">
        <v>1257</v>
      </c>
      <c r="D270" s="15" t="s">
        <v>1258</v>
      </c>
      <c r="E270" s="4"/>
    </row>
    <row r="271" spans="1:5" x14ac:dyDescent="0.2">
      <c r="A271" s="14" t="s">
        <v>1242</v>
      </c>
      <c r="B271" s="14">
        <v>9</v>
      </c>
      <c r="C271" s="14" t="s">
        <v>1117</v>
      </c>
      <c r="D271" s="15" t="s">
        <v>1118</v>
      </c>
      <c r="E271" s="4"/>
    </row>
    <row r="272" spans="1:5" x14ac:dyDescent="0.2">
      <c r="E272" s="4"/>
    </row>
    <row r="273" spans="1:5" x14ac:dyDescent="0.2">
      <c r="A273" t="s">
        <v>1259</v>
      </c>
      <c r="B273" t="s">
        <v>1148</v>
      </c>
      <c r="C273" t="s">
        <v>1260</v>
      </c>
      <c r="D273" s="3" t="s">
        <v>1150</v>
      </c>
      <c r="E273" s="4"/>
    </row>
    <row r="274" spans="1:5" x14ac:dyDescent="0.2">
      <c r="A274" t="s">
        <v>1259</v>
      </c>
      <c r="B274" t="s">
        <v>1261</v>
      </c>
      <c r="C274" t="s">
        <v>1262</v>
      </c>
      <c r="D274" s="3" t="s">
        <v>1263</v>
      </c>
      <c r="E274" s="4"/>
    </row>
    <row r="275" spans="1:5" x14ac:dyDescent="0.2">
      <c r="A275" t="s">
        <v>1259</v>
      </c>
      <c r="B275" t="s">
        <v>1264</v>
      </c>
      <c r="C275" t="s">
        <v>1265</v>
      </c>
      <c r="D275" s="3" t="s">
        <v>1266</v>
      </c>
      <c r="E275" s="4"/>
    </row>
    <row r="276" spans="1:5" x14ac:dyDescent="0.2">
      <c r="A276" t="s">
        <v>1259</v>
      </c>
      <c r="B276" t="s">
        <v>1267</v>
      </c>
      <c r="C276" t="s">
        <v>1268</v>
      </c>
      <c r="D276" s="3" t="s">
        <v>1269</v>
      </c>
      <c r="E276" s="4"/>
    </row>
    <row r="277" spans="1:5" x14ac:dyDescent="0.2">
      <c r="A277" t="s">
        <v>1259</v>
      </c>
      <c r="B277" t="s">
        <v>1270</v>
      </c>
      <c r="C277" t="s">
        <v>1271</v>
      </c>
      <c r="D277" s="3" t="s">
        <v>1272</v>
      </c>
      <c r="E277" s="4"/>
    </row>
    <row r="278" spans="1:5" x14ac:dyDescent="0.2">
      <c r="A278" t="s">
        <v>1259</v>
      </c>
      <c r="B278" t="s">
        <v>1273</v>
      </c>
      <c r="C278" t="s">
        <v>1274</v>
      </c>
      <c r="D278" s="3" t="s">
        <v>1275</v>
      </c>
      <c r="E278" s="4"/>
    </row>
    <row r="279" spans="1:5" x14ac:dyDescent="0.2">
      <c r="A279" t="s">
        <v>1259</v>
      </c>
      <c r="B279" t="s">
        <v>1276</v>
      </c>
      <c r="C279" t="s">
        <v>1277</v>
      </c>
      <c r="D279" s="3" t="s">
        <v>1278</v>
      </c>
      <c r="E279" s="4"/>
    </row>
    <row r="280" spans="1:5" x14ac:dyDescent="0.2">
      <c r="A280" t="s">
        <v>1259</v>
      </c>
      <c r="B280" t="s">
        <v>1279</v>
      </c>
      <c r="C280" t="s">
        <v>1280</v>
      </c>
      <c r="D280" s="3" t="s">
        <v>1281</v>
      </c>
      <c r="E280" s="4"/>
    </row>
    <row r="281" spans="1:5" x14ac:dyDescent="0.2">
      <c r="A281" t="s">
        <v>1259</v>
      </c>
      <c r="B281" t="s">
        <v>1282</v>
      </c>
      <c r="C281" t="s">
        <v>1283</v>
      </c>
      <c r="D281" s="3" t="s">
        <v>1284</v>
      </c>
      <c r="E281" s="4"/>
    </row>
    <row r="282" spans="1:5" x14ac:dyDescent="0.2">
      <c r="A282" t="s">
        <v>1259</v>
      </c>
      <c r="B282" t="s">
        <v>1285</v>
      </c>
      <c r="C282" t="s">
        <v>1286</v>
      </c>
      <c r="D282" s="3" t="s">
        <v>1287</v>
      </c>
      <c r="E282" s="4"/>
    </row>
    <row r="283" spans="1:5" x14ac:dyDescent="0.2">
      <c r="A283" t="s">
        <v>1259</v>
      </c>
      <c r="B283" t="s">
        <v>1288</v>
      </c>
      <c r="C283" t="s">
        <v>1289</v>
      </c>
      <c r="D283" s="3" t="s">
        <v>1290</v>
      </c>
      <c r="E283" s="4"/>
    </row>
    <row r="284" spans="1:5" x14ac:dyDescent="0.2">
      <c r="A284" t="s">
        <v>1259</v>
      </c>
      <c r="B284" t="s">
        <v>1210</v>
      </c>
      <c r="C284" t="s">
        <v>1291</v>
      </c>
      <c r="D284" s="3" t="s">
        <v>1292</v>
      </c>
      <c r="E284" s="4"/>
    </row>
    <row r="285" spans="1:5" x14ac:dyDescent="0.2">
      <c r="A285" t="s">
        <v>1259</v>
      </c>
      <c r="B285" t="s">
        <v>991</v>
      </c>
      <c r="C285" t="s">
        <v>1240</v>
      </c>
      <c r="D285" s="3" t="s">
        <v>1241</v>
      </c>
      <c r="E285" s="4"/>
    </row>
    <row r="286" spans="1:5" x14ac:dyDescent="0.2">
      <c r="A286" t="s">
        <v>1259</v>
      </c>
      <c r="B286" t="s">
        <v>997</v>
      </c>
      <c r="C286" t="s">
        <v>883</v>
      </c>
      <c r="D286" s="3" t="s">
        <v>884</v>
      </c>
      <c r="E286" s="4"/>
    </row>
    <row r="287" spans="1:5" x14ac:dyDescent="0.2">
      <c r="A287" t="s">
        <v>1259</v>
      </c>
      <c r="B287" t="s">
        <v>998</v>
      </c>
      <c r="C287" t="s">
        <v>885</v>
      </c>
      <c r="D287" s="3" t="s">
        <v>886</v>
      </c>
      <c r="E287" s="4"/>
    </row>
    <row r="288" spans="1:5" x14ac:dyDescent="0.2">
      <c r="E288" s="4"/>
    </row>
    <row r="289" spans="1:6" s="15" customFormat="1" x14ac:dyDescent="0.2">
      <c r="A289" s="14" t="s">
        <v>1293</v>
      </c>
      <c r="B289" s="14">
        <v>1</v>
      </c>
      <c r="C289" s="14" t="s">
        <v>1294</v>
      </c>
      <c r="D289" s="15" t="s">
        <v>1295</v>
      </c>
      <c r="E289" s="19"/>
    </row>
    <row r="290" spans="1:6" s="15" customFormat="1" x14ac:dyDescent="0.2">
      <c r="A290" s="14" t="s">
        <v>1293</v>
      </c>
      <c r="B290" s="14">
        <v>2</v>
      </c>
      <c r="C290" s="14" t="s">
        <v>1296</v>
      </c>
      <c r="D290" s="15" t="s">
        <v>1297</v>
      </c>
      <c r="E290" s="19"/>
    </row>
    <row r="291" spans="1:6" s="15" customFormat="1" x14ac:dyDescent="0.2">
      <c r="A291" s="14" t="s">
        <v>1293</v>
      </c>
      <c r="B291" s="14">
        <v>3</v>
      </c>
      <c r="C291" s="14" t="s">
        <v>1298</v>
      </c>
      <c r="D291" s="15" t="s">
        <v>1299</v>
      </c>
      <c r="E291" s="19"/>
    </row>
    <row r="292" spans="1:6" s="15" customFormat="1" x14ac:dyDescent="0.2">
      <c r="A292" s="14" t="s">
        <v>1293</v>
      </c>
      <c r="B292" s="14">
        <v>4</v>
      </c>
      <c r="C292" s="14" t="s">
        <v>1300</v>
      </c>
      <c r="D292" s="15" t="s">
        <v>1301</v>
      </c>
      <c r="E292" s="19"/>
    </row>
    <row r="293" spans="1:6" s="15" customFormat="1" x14ac:dyDescent="0.2">
      <c r="A293" s="14" t="s">
        <v>1293</v>
      </c>
      <c r="B293" s="14">
        <v>5</v>
      </c>
      <c r="C293" s="14" t="s">
        <v>1302</v>
      </c>
      <c r="D293" s="15" t="s">
        <v>1303</v>
      </c>
      <c r="E293" s="19"/>
    </row>
    <row r="294" spans="1:6" s="15" customFormat="1" x14ac:dyDescent="0.2">
      <c r="A294" s="14" t="s">
        <v>1293</v>
      </c>
      <c r="B294" s="14">
        <v>6</v>
      </c>
      <c r="C294" s="14" t="s">
        <v>1304</v>
      </c>
      <c r="D294" s="15" t="s">
        <v>1305</v>
      </c>
      <c r="E294" s="19"/>
    </row>
    <row r="295" spans="1:6" s="15" customFormat="1" x14ac:dyDescent="0.2">
      <c r="A295" s="14" t="s">
        <v>1293</v>
      </c>
      <c r="B295" s="14">
        <v>7</v>
      </c>
      <c r="C295" s="14" t="s">
        <v>883</v>
      </c>
      <c r="D295" s="15" t="s">
        <v>884</v>
      </c>
      <c r="E295" s="19"/>
    </row>
    <row r="296" spans="1:6" x14ac:dyDescent="0.2">
      <c r="A296" s="14" t="s">
        <v>1293</v>
      </c>
      <c r="B296" s="14">
        <v>8</v>
      </c>
      <c r="C296" s="14" t="s">
        <v>885</v>
      </c>
      <c r="D296" s="15" t="s">
        <v>886</v>
      </c>
      <c r="E296" s="19"/>
      <c r="F296" s="15"/>
    </row>
    <row r="297" spans="1:6" x14ac:dyDescent="0.2">
      <c r="E297" s="4"/>
    </row>
    <row r="298" spans="1:6" x14ac:dyDescent="0.2">
      <c r="A298" t="s">
        <v>1306</v>
      </c>
      <c r="B298" t="s">
        <v>1307</v>
      </c>
      <c r="C298" t="s">
        <v>1308</v>
      </c>
      <c r="D298" s="3" t="s">
        <v>1309</v>
      </c>
      <c r="E298" s="4"/>
    </row>
    <row r="299" spans="1:6" x14ac:dyDescent="0.2">
      <c r="A299" t="s">
        <v>1306</v>
      </c>
      <c r="B299" t="s">
        <v>1310</v>
      </c>
      <c r="C299" t="s">
        <v>1311</v>
      </c>
      <c r="D299" s="3" t="s">
        <v>1312</v>
      </c>
      <c r="E299" s="4"/>
    </row>
    <row r="300" spans="1:6" x14ac:dyDescent="0.2">
      <c r="A300" t="s">
        <v>1306</v>
      </c>
      <c r="B300" t="s">
        <v>1313</v>
      </c>
      <c r="C300" t="s">
        <v>1314</v>
      </c>
      <c r="D300" s="3" t="s">
        <v>1315</v>
      </c>
      <c r="E300" s="4"/>
    </row>
    <row r="301" spans="1:6" x14ac:dyDescent="0.2">
      <c r="A301" t="s">
        <v>1306</v>
      </c>
      <c r="B301" t="s">
        <v>1316</v>
      </c>
      <c r="C301" t="s">
        <v>1317</v>
      </c>
      <c r="D301" s="3" t="s">
        <v>1318</v>
      </c>
      <c r="E301" s="4"/>
    </row>
    <row r="302" spans="1:6" x14ac:dyDescent="0.2">
      <c r="A302" t="s">
        <v>1306</v>
      </c>
      <c r="B302" t="s">
        <v>1319</v>
      </c>
      <c r="C302" t="s">
        <v>1320</v>
      </c>
      <c r="D302" s="3" t="s">
        <v>1321</v>
      </c>
      <c r="E302" s="4"/>
    </row>
    <row r="303" spans="1:6" x14ac:dyDescent="0.2">
      <c r="A303" t="s">
        <v>1306</v>
      </c>
      <c r="B303" t="s">
        <v>991</v>
      </c>
      <c r="C303" t="s">
        <v>1240</v>
      </c>
      <c r="D303" s="3" t="s">
        <v>1241</v>
      </c>
      <c r="E303" s="4"/>
    </row>
    <row r="304" spans="1:6" x14ac:dyDescent="0.2">
      <c r="A304" t="s">
        <v>1306</v>
      </c>
      <c r="B304" t="s">
        <v>997</v>
      </c>
      <c r="C304" t="s">
        <v>883</v>
      </c>
      <c r="D304" s="3" t="s">
        <v>884</v>
      </c>
      <c r="E304" s="4"/>
    </row>
    <row r="305" spans="1:5" x14ac:dyDescent="0.2">
      <c r="A305" t="s">
        <v>1306</v>
      </c>
      <c r="B305" t="s">
        <v>998</v>
      </c>
      <c r="C305" t="s">
        <v>885</v>
      </c>
      <c r="D305" s="3" t="s">
        <v>886</v>
      </c>
      <c r="E305" s="4"/>
    </row>
    <row r="306" spans="1:5" x14ac:dyDescent="0.2">
      <c r="E306" s="4"/>
    </row>
    <row r="307" spans="1:5" x14ac:dyDescent="0.2">
      <c r="A307" t="s">
        <v>466</v>
      </c>
      <c r="B307">
        <v>1</v>
      </c>
      <c r="C307" t="s">
        <v>1322</v>
      </c>
      <c r="D307" s="3" t="s">
        <v>1323</v>
      </c>
      <c r="E307" s="4"/>
    </row>
    <row r="308" spans="1:5" x14ac:dyDescent="0.2">
      <c r="A308" t="s">
        <v>466</v>
      </c>
      <c r="B308">
        <v>2</v>
      </c>
      <c r="C308" t="s">
        <v>1324</v>
      </c>
      <c r="D308" s="3" t="s">
        <v>1325</v>
      </c>
      <c r="E308" s="4"/>
    </row>
    <row r="309" spans="1:5" x14ac:dyDescent="0.2">
      <c r="A309" t="s">
        <v>466</v>
      </c>
      <c r="B309">
        <v>3</v>
      </c>
      <c r="C309" t="s">
        <v>1326</v>
      </c>
      <c r="D309" s="3" t="s">
        <v>1327</v>
      </c>
      <c r="E309" s="4"/>
    </row>
    <row r="310" spans="1:5" x14ac:dyDescent="0.2">
      <c r="A310" t="s">
        <v>466</v>
      </c>
      <c r="B310">
        <v>4</v>
      </c>
      <c r="C310" t="s">
        <v>1328</v>
      </c>
      <c r="D310" s="3" t="s">
        <v>1329</v>
      </c>
      <c r="E310" s="4"/>
    </row>
    <row r="311" spans="1:5" x14ac:dyDescent="0.2">
      <c r="A311" t="s">
        <v>466</v>
      </c>
      <c r="B311">
        <v>5</v>
      </c>
      <c r="C311" t="s">
        <v>1330</v>
      </c>
      <c r="D311" s="3" t="s">
        <v>1331</v>
      </c>
      <c r="E311" s="4"/>
    </row>
    <row r="312" spans="1:5" x14ac:dyDescent="0.2">
      <c r="A312" t="s">
        <v>466</v>
      </c>
      <c r="B312">
        <v>6</v>
      </c>
      <c r="C312" t="s">
        <v>1332</v>
      </c>
      <c r="D312" s="3" t="s">
        <v>1333</v>
      </c>
      <c r="E312" s="4"/>
    </row>
    <row r="313" spans="1:5" x14ac:dyDescent="0.2">
      <c r="A313" t="s">
        <v>466</v>
      </c>
      <c r="B313">
        <v>7</v>
      </c>
      <c r="C313" t="s">
        <v>1334</v>
      </c>
      <c r="D313" s="3" t="s">
        <v>1335</v>
      </c>
      <c r="E313" s="4"/>
    </row>
    <row r="314" spans="1:5" x14ac:dyDescent="0.2">
      <c r="A314" t="s">
        <v>466</v>
      </c>
      <c r="B314">
        <v>8</v>
      </c>
      <c r="C314" t="s">
        <v>1336</v>
      </c>
      <c r="D314" s="3" t="s">
        <v>1337</v>
      </c>
      <c r="E314" s="4"/>
    </row>
    <row r="315" spans="1:5" x14ac:dyDescent="0.2">
      <c r="A315" t="s">
        <v>466</v>
      </c>
      <c r="B315">
        <v>9</v>
      </c>
      <c r="C315" t="s">
        <v>1240</v>
      </c>
      <c r="D315" s="3" t="s">
        <v>1241</v>
      </c>
      <c r="E315" s="4"/>
    </row>
    <row r="316" spans="1:5" x14ac:dyDescent="0.2">
      <c r="A316" t="s">
        <v>466</v>
      </c>
      <c r="B316" s="20">
        <v>10</v>
      </c>
      <c r="C316" t="s">
        <v>883</v>
      </c>
      <c r="D316" s="3" t="s">
        <v>884</v>
      </c>
      <c r="E316" s="4"/>
    </row>
    <row r="317" spans="1:5" x14ac:dyDescent="0.2">
      <c r="A317" t="s">
        <v>466</v>
      </c>
      <c r="B317" s="20">
        <v>11</v>
      </c>
      <c r="C317" t="s">
        <v>885</v>
      </c>
      <c r="D317" s="3" t="s">
        <v>886</v>
      </c>
      <c r="E317" s="4"/>
    </row>
    <row r="318" spans="1:5" x14ac:dyDescent="0.2">
      <c r="E318" s="4"/>
    </row>
    <row r="319" spans="1:5" x14ac:dyDescent="0.2">
      <c r="A319" t="s">
        <v>1338</v>
      </c>
      <c r="B319" t="s">
        <v>1339</v>
      </c>
      <c r="C319" t="s">
        <v>1340</v>
      </c>
      <c r="D319" s="3" t="s">
        <v>1341</v>
      </c>
      <c r="E319" s="4"/>
    </row>
    <row r="320" spans="1:5" x14ac:dyDescent="0.2">
      <c r="A320" t="s">
        <v>1338</v>
      </c>
      <c r="B320" t="s">
        <v>1342</v>
      </c>
      <c r="C320" t="s">
        <v>1343</v>
      </c>
      <c r="D320" s="3" t="s">
        <v>1344</v>
      </c>
      <c r="E320" s="4"/>
    </row>
    <row r="321" spans="1:5" x14ac:dyDescent="0.2">
      <c r="A321" t="s">
        <v>1338</v>
      </c>
      <c r="B321" t="s">
        <v>1345</v>
      </c>
      <c r="C321" t="s">
        <v>1346</v>
      </c>
      <c r="D321" s="3" t="s">
        <v>1347</v>
      </c>
      <c r="E321" s="4"/>
    </row>
    <row r="322" spans="1:5" x14ac:dyDescent="0.2">
      <c r="A322" t="s">
        <v>1338</v>
      </c>
      <c r="B322" t="s">
        <v>1348</v>
      </c>
      <c r="C322" t="s">
        <v>1349</v>
      </c>
      <c r="D322" s="3" t="s">
        <v>1350</v>
      </c>
      <c r="E322" s="4"/>
    </row>
    <row r="323" spans="1:5" x14ac:dyDescent="0.2">
      <c r="A323" t="s">
        <v>1338</v>
      </c>
      <c r="B323" t="s">
        <v>1351</v>
      </c>
      <c r="C323" t="s">
        <v>1352</v>
      </c>
      <c r="D323" s="3" t="s">
        <v>1353</v>
      </c>
      <c r="E323" s="4"/>
    </row>
    <row r="324" spans="1:5" x14ac:dyDescent="0.2">
      <c r="A324" t="s">
        <v>1338</v>
      </c>
      <c r="B324" t="s">
        <v>1354</v>
      </c>
      <c r="C324" t="s">
        <v>1355</v>
      </c>
      <c r="D324" s="3" t="s">
        <v>1356</v>
      </c>
      <c r="E324" s="4"/>
    </row>
    <row r="325" spans="1:5" x14ac:dyDescent="0.2">
      <c r="A325" t="s">
        <v>1338</v>
      </c>
      <c r="B325" t="s">
        <v>1357</v>
      </c>
      <c r="C325" t="s">
        <v>1358</v>
      </c>
      <c r="D325" s="3" t="s">
        <v>1359</v>
      </c>
      <c r="E325" s="4"/>
    </row>
    <row r="326" spans="1:5" x14ac:dyDescent="0.2">
      <c r="A326" t="s">
        <v>1338</v>
      </c>
      <c r="B326" t="s">
        <v>1360</v>
      </c>
      <c r="C326" t="s">
        <v>1361</v>
      </c>
      <c r="D326" s="3" t="s">
        <v>1362</v>
      </c>
      <c r="E326" s="4"/>
    </row>
    <row r="327" spans="1:5" x14ac:dyDescent="0.2">
      <c r="A327" t="s">
        <v>1338</v>
      </c>
      <c r="B327" t="s">
        <v>1363</v>
      </c>
      <c r="C327" t="s">
        <v>1364</v>
      </c>
      <c r="D327" s="3" t="s">
        <v>1365</v>
      </c>
      <c r="E327" s="4"/>
    </row>
    <row r="328" spans="1:5" x14ac:dyDescent="0.2">
      <c r="A328" t="s">
        <v>1338</v>
      </c>
      <c r="B328" t="s">
        <v>1366</v>
      </c>
      <c r="C328" t="s">
        <v>1367</v>
      </c>
      <c r="D328" s="3" t="s">
        <v>1368</v>
      </c>
      <c r="E328" s="4"/>
    </row>
    <row r="329" spans="1:5" x14ac:dyDescent="0.2">
      <c r="A329" t="s">
        <v>1338</v>
      </c>
      <c r="B329" t="s">
        <v>1369</v>
      </c>
      <c r="C329" t="s">
        <v>1240</v>
      </c>
      <c r="D329" s="3" t="s">
        <v>1241</v>
      </c>
      <c r="E329" s="4"/>
    </row>
    <row r="330" spans="1:5" x14ac:dyDescent="0.2">
      <c r="A330" t="s">
        <v>1338</v>
      </c>
      <c r="B330" t="s">
        <v>1370</v>
      </c>
      <c r="C330" t="s">
        <v>883</v>
      </c>
      <c r="D330" s="3" t="s">
        <v>884</v>
      </c>
      <c r="E330" s="4"/>
    </row>
    <row r="331" spans="1:5" ht="14" customHeight="1" x14ac:dyDescent="0.2">
      <c r="A331" t="s">
        <v>1338</v>
      </c>
      <c r="B331" t="s">
        <v>1371</v>
      </c>
      <c r="C331" t="s">
        <v>885</v>
      </c>
      <c r="D331" s="3" t="s">
        <v>886</v>
      </c>
      <c r="E331" s="4"/>
    </row>
    <row r="332" spans="1:5" ht="14" customHeight="1" x14ac:dyDescent="0.2">
      <c r="E332" s="4"/>
    </row>
    <row r="333" spans="1:5" s="15" customFormat="1" ht="14" customHeight="1" x14ac:dyDescent="0.2">
      <c r="A333" s="14" t="s">
        <v>1372</v>
      </c>
      <c r="B333" s="14" t="s">
        <v>1373</v>
      </c>
      <c r="C333" s="14" t="s">
        <v>1374</v>
      </c>
      <c r="D333" s="15" t="s">
        <v>1375</v>
      </c>
      <c r="E333" s="19"/>
    </row>
    <row r="334" spans="1:5" s="15" customFormat="1" ht="14" customHeight="1" x14ac:dyDescent="0.2">
      <c r="A334" s="14" t="s">
        <v>1372</v>
      </c>
      <c r="B334" s="14" t="s">
        <v>1376</v>
      </c>
      <c r="C334" s="14" t="s">
        <v>1377</v>
      </c>
      <c r="D334" s="15" t="s">
        <v>1378</v>
      </c>
      <c r="E334" s="19"/>
    </row>
    <row r="335" spans="1:5" s="15" customFormat="1" ht="14" customHeight="1" x14ac:dyDescent="0.2">
      <c r="A335" s="14" t="s">
        <v>1372</v>
      </c>
      <c r="B335" s="14" t="s">
        <v>1379</v>
      </c>
      <c r="C335" s="14" t="s">
        <v>1380</v>
      </c>
      <c r="D335" s="15" t="s">
        <v>1381</v>
      </c>
      <c r="E335" s="19"/>
    </row>
    <row r="336" spans="1:5" s="15" customFormat="1" ht="14" customHeight="1" x14ac:dyDescent="0.2">
      <c r="A336" s="14" t="s">
        <v>1372</v>
      </c>
      <c r="B336" s="14" t="s">
        <v>1382</v>
      </c>
      <c r="C336" s="14" t="s">
        <v>1383</v>
      </c>
      <c r="D336" s="15" t="s">
        <v>1384</v>
      </c>
      <c r="E336" s="19"/>
    </row>
    <row r="337" spans="1:5" s="15" customFormat="1" ht="14" customHeight="1" x14ac:dyDescent="0.2">
      <c r="A337" s="14" t="s">
        <v>1372</v>
      </c>
      <c r="B337" s="14" t="s">
        <v>991</v>
      </c>
      <c r="C337" s="14" t="s">
        <v>1385</v>
      </c>
      <c r="D337" s="15" t="s">
        <v>1241</v>
      </c>
      <c r="E337" s="19"/>
    </row>
    <row r="338" spans="1:5" s="15" customFormat="1" ht="14" customHeight="1" x14ac:dyDescent="0.2">
      <c r="A338" s="14" t="s">
        <v>1372</v>
      </c>
      <c r="B338" s="14" t="s">
        <v>997</v>
      </c>
      <c r="C338" s="14" t="s">
        <v>883</v>
      </c>
      <c r="D338" s="15" t="s">
        <v>884</v>
      </c>
      <c r="E338" s="19"/>
    </row>
    <row r="339" spans="1:5" s="15" customFormat="1" ht="14" customHeight="1" x14ac:dyDescent="0.2">
      <c r="A339" s="14" t="s">
        <v>1372</v>
      </c>
      <c r="B339" s="14" t="s">
        <v>998</v>
      </c>
      <c r="C339" s="14" t="s">
        <v>885</v>
      </c>
      <c r="D339" s="15" t="s">
        <v>886</v>
      </c>
      <c r="E339" s="19"/>
    </row>
    <row r="340" spans="1:5" ht="14" customHeight="1" x14ac:dyDescent="0.2">
      <c r="E340" s="4"/>
    </row>
    <row r="341" spans="1:5" x14ac:dyDescent="0.2">
      <c r="A341" t="s">
        <v>1386</v>
      </c>
      <c r="B341" t="s">
        <v>1387</v>
      </c>
      <c r="C341" t="s">
        <v>1388</v>
      </c>
      <c r="D341" s="3" t="s">
        <v>1389</v>
      </c>
      <c r="E341" s="4"/>
    </row>
    <row r="342" spans="1:5" x14ac:dyDescent="0.2">
      <c r="A342" t="s">
        <v>1386</v>
      </c>
      <c r="B342" t="s">
        <v>1390</v>
      </c>
      <c r="C342" t="s">
        <v>1391</v>
      </c>
      <c r="D342" s="3" t="s">
        <v>1392</v>
      </c>
      <c r="E342" s="4"/>
    </row>
    <row r="343" spans="1:5" x14ac:dyDescent="0.2">
      <c r="A343" t="s">
        <v>1386</v>
      </c>
      <c r="B343" t="s">
        <v>1393</v>
      </c>
      <c r="C343" t="s">
        <v>1394</v>
      </c>
      <c r="D343" s="3" t="s">
        <v>1395</v>
      </c>
      <c r="E343" s="4"/>
    </row>
    <row r="344" spans="1:5" x14ac:dyDescent="0.2">
      <c r="A344" t="s">
        <v>1386</v>
      </c>
      <c r="B344" t="s">
        <v>1396</v>
      </c>
      <c r="C344" t="s">
        <v>1397</v>
      </c>
      <c r="D344" s="3" t="s">
        <v>1398</v>
      </c>
      <c r="E344" s="4"/>
    </row>
    <row r="345" spans="1:5" x14ac:dyDescent="0.2">
      <c r="A345" t="s">
        <v>1386</v>
      </c>
      <c r="B345" t="s">
        <v>1399</v>
      </c>
      <c r="C345" t="s">
        <v>1400</v>
      </c>
      <c r="D345" s="3" t="s">
        <v>1401</v>
      </c>
      <c r="E345" s="4"/>
    </row>
    <row r="346" spans="1:5" x14ac:dyDescent="0.2">
      <c r="A346" t="s">
        <v>1386</v>
      </c>
      <c r="B346" t="s">
        <v>1402</v>
      </c>
      <c r="C346" t="s">
        <v>1403</v>
      </c>
      <c r="D346" s="3" t="s">
        <v>1404</v>
      </c>
      <c r="E346" s="4"/>
    </row>
    <row r="347" spans="1:5" x14ac:dyDescent="0.2">
      <c r="A347" t="s">
        <v>1386</v>
      </c>
      <c r="B347" t="s">
        <v>1405</v>
      </c>
      <c r="C347" t="s">
        <v>1406</v>
      </c>
      <c r="D347" s="3" t="s">
        <v>1407</v>
      </c>
      <c r="E347" s="4"/>
    </row>
    <row r="348" spans="1:5" x14ac:dyDescent="0.2">
      <c r="A348" t="s">
        <v>1386</v>
      </c>
      <c r="B348" t="s">
        <v>1408</v>
      </c>
      <c r="C348" t="s">
        <v>1409</v>
      </c>
      <c r="D348" s="3" t="s">
        <v>1410</v>
      </c>
      <c r="E348" s="4"/>
    </row>
    <row r="349" spans="1:5" x14ac:dyDescent="0.2">
      <c r="A349" t="s">
        <v>1386</v>
      </c>
      <c r="B349" t="s">
        <v>1411</v>
      </c>
      <c r="C349" t="s">
        <v>1412</v>
      </c>
      <c r="D349" s="3" t="s">
        <v>1413</v>
      </c>
      <c r="E349" s="4"/>
    </row>
    <row r="350" spans="1:5" x14ac:dyDescent="0.2">
      <c r="A350" t="s">
        <v>1386</v>
      </c>
      <c r="B350" t="s">
        <v>1414</v>
      </c>
      <c r="C350" t="s">
        <v>1415</v>
      </c>
      <c r="D350" s="3" t="s">
        <v>1416</v>
      </c>
      <c r="E350" s="4"/>
    </row>
    <row r="351" spans="1:5" x14ac:dyDescent="0.2">
      <c r="A351" t="s">
        <v>1386</v>
      </c>
      <c r="B351" t="s">
        <v>991</v>
      </c>
      <c r="C351" t="s">
        <v>1240</v>
      </c>
      <c r="D351" s="3" t="s">
        <v>1241</v>
      </c>
      <c r="E351" s="4"/>
    </row>
    <row r="352" spans="1:5" x14ac:dyDescent="0.2">
      <c r="A352" t="s">
        <v>1386</v>
      </c>
      <c r="B352" t="s">
        <v>997</v>
      </c>
      <c r="C352" t="s">
        <v>883</v>
      </c>
      <c r="D352" s="3" t="s">
        <v>884</v>
      </c>
      <c r="E352" s="4"/>
    </row>
    <row r="353" spans="1:5" x14ac:dyDescent="0.2">
      <c r="A353" t="s">
        <v>1386</v>
      </c>
      <c r="B353" t="s">
        <v>998</v>
      </c>
      <c r="C353" t="s">
        <v>885</v>
      </c>
      <c r="D353" s="3" t="s">
        <v>886</v>
      </c>
      <c r="E353" s="4"/>
    </row>
    <row r="354" spans="1:5" x14ac:dyDescent="0.2">
      <c r="E354" s="4"/>
    </row>
    <row r="355" spans="1:5" x14ac:dyDescent="0.2">
      <c r="A355" s="14" t="s">
        <v>1417</v>
      </c>
      <c r="B355" s="14">
        <v>1</v>
      </c>
      <c r="C355" s="14" t="s">
        <v>1322</v>
      </c>
      <c r="D355" s="15" t="s">
        <v>1323</v>
      </c>
      <c r="E355" s="4"/>
    </row>
    <row r="356" spans="1:5" x14ac:dyDescent="0.2">
      <c r="A356" s="14" t="s">
        <v>1417</v>
      </c>
      <c r="B356" s="14">
        <v>2</v>
      </c>
      <c r="C356" s="14" t="s">
        <v>1324</v>
      </c>
      <c r="D356" s="15" t="s">
        <v>1325</v>
      </c>
      <c r="E356" s="4"/>
    </row>
    <row r="357" spans="1:5" x14ac:dyDescent="0.2">
      <c r="A357" s="14" t="s">
        <v>1417</v>
      </c>
      <c r="B357" s="14">
        <v>3</v>
      </c>
      <c r="C357" s="14" t="s">
        <v>1326</v>
      </c>
      <c r="D357" s="15" t="s">
        <v>1327</v>
      </c>
      <c r="E357" s="4"/>
    </row>
    <row r="358" spans="1:5" x14ac:dyDescent="0.2">
      <c r="A358" s="14" t="s">
        <v>1417</v>
      </c>
      <c r="B358" s="14">
        <v>4</v>
      </c>
      <c r="C358" s="14" t="s">
        <v>1328</v>
      </c>
      <c r="D358" s="15" t="s">
        <v>1329</v>
      </c>
      <c r="E358" s="4"/>
    </row>
    <row r="359" spans="1:5" x14ac:dyDescent="0.2">
      <c r="A359" s="14" t="s">
        <v>1417</v>
      </c>
      <c r="B359" s="14">
        <v>5</v>
      </c>
      <c r="C359" s="14" t="s">
        <v>1330</v>
      </c>
      <c r="D359" s="15" t="s">
        <v>1331</v>
      </c>
      <c r="E359" s="4"/>
    </row>
    <row r="360" spans="1:5" x14ac:dyDescent="0.2">
      <c r="A360" s="14" t="s">
        <v>1417</v>
      </c>
      <c r="B360" s="14">
        <v>6</v>
      </c>
      <c r="C360" s="14" t="s">
        <v>1332</v>
      </c>
      <c r="D360" s="15" t="s">
        <v>1333</v>
      </c>
      <c r="E360" s="4"/>
    </row>
    <row r="361" spans="1:5" x14ac:dyDescent="0.2">
      <c r="A361" s="14" t="s">
        <v>1417</v>
      </c>
      <c r="B361" s="14">
        <v>7</v>
      </c>
      <c r="C361" s="14" t="s">
        <v>1334</v>
      </c>
      <c r="D361" s="15" t="s">
        <v>1335</v>
      </c>
      <c r="E361" s="4"/>
    </row>
    <row r="362" spans="1:5" x14ac:dyDescent="0.2">
      <c r="A362" s="14" t="s">
        <v>1417</v>
      </c>
      <c r="B362" s="14">
        <v>8</v>
      </c>
      <c r="C362" s="14" t="s">
        <v>1336</v>
      </c>
      <c r="D362" s="15" t="s">
        <v>1337</v>
      </c>
      <c r="E362" s="4"/>
    </row>
    <row r="363" spans="1:5" x14ac:dyDescent="0.2">
      <c r="A363" s="14" t="s">
        <v>1417</v>
      </c>
      <c r="B363" s="14">
        <v>9</v>
      </c>
      <c r="C363" s="14" t="s">
        <v>1240</v>
      </c>
      <c r="D363" s="15" t="s">
        <v>1241</v>
      </c>
      <c r="E363" s="4"/>
    </row>
    <row r="364" spans="1:5" x14ac:dyDescent="0.2">
      <c r="A364" s="14" t="s">
        <v>1417</v>
      </c>
      <c r="B364" s="14">
        <v>666</v>
      </c>
      <c r="C364" s="14" t="s">
        <v>1418</v>
      </c>
      <c r="D364" s="15" t="s">
        <v>1419</v>
      </c>
      <c r="E364" s="4"/>
    </row>
    <row r="365" spans="1:5" x14ac:dyDescent="0.2">
      <c r="A365" s="14" t="s">
        <v>1417</v>
      </c>
      <c r="B365" s="14">
        <v>10</v>
      </c>
      <c r="C365" s="14" t="s">
        <v>883</v>
      </c>
      <c r="D365" s="15" t="s">
        <v>884</v>
      </c>
      <c r="E365" s="4"/>
    </row>
    <row r="366" spans="1:5" x14ac:dyDescent="0.2">
      <c r="A366" s="14" t="s">
        <v>1417</v>
      </c>
      <c r="B366" s="14">
        <v>11</v>
      </c>
      <c r="C366" s="14" t="s">
        <v>885</v>
      </c>
      <c r="D366" s="15" t="s">
        <v>886</v>
      </c>
      <c r="E366" s="4"/>
    </row>
    <row r="367" spans="1:5" x14ac:dyDescent="0.2">
      <c r="B367" s="11"/>
      <c r="E367" s="4"/>
    </row>
    <row r="368" spans="1:5" x14ac:dyDescent="0.2">
      <c r="A368" t="s">
        <v>1420</v>
      </c>
      <c r="B368">
        <v>1</v>
      </c>
      <c r="C368" t="s">
        <v>1322</v>
      </c>
      <c r="D368" s="3" t="s">
        <v>1323</v>
      </c>
      <c r="E368" s="4"/>
    </row>
    <row r="369" spans="1:5" x14ac:dyDescent="0.2">
      <c r="A369" t="s">
        <v>1420</v>
      </c>
      <c r="B369">
        <v>2</v>
      </c>
      <c r="C369" t="s">
        <v>1324</v>
      </c>
      <c r="D369" s="3" t="s">
        <v>1325</v>
      </c>
      <c r="E369" s="4"/>
    </row>
    <row r="370" spans="1:5" x14ac:dyDescent="0.2">
      <c r="A370" t="s">
        <v>1420</v>
      </c>
      <c r="B370">
        <v>3</v>
      </c>
      <c r="C370" t="s">
        <v>1326</v>
      </c>
      <c r="D370" s="3" t="s">
        <v>1327</v>
      </c>
      <c r="E370" s="4"/>
    </row>
    <row r="371" spans="1:5" x14ac:dyDescent="0.2">
      <c r="A371" t="s">
        <v>1420</v>
      </c>
      <c r="B371">
        <v>4</v>
      </c>
      <c r="C371" s="16" t="s">
        <v>1328</v>
      </c>
      <c r="D371" s="18" t="s">
        <v>1329</v>
      </c>
      <c r="E371" s="4"/>
    </row>
    <row r="372" spans="1:5" x14ac:dyDescent="0.2">
      <c r="A372" t="s">
        <v>1420</v>
      </c>
      <c r="B372">
        <v>5</v>
      </c>
      <c r="C372" t="s">
        <v>1421</v>
      </c>
      <c r="D372" s="3" t="s">
        <v>1331</v>
      </c>
      <c r="E372" s="4"/>
    </row>
    <row r="373" spans="1:5" x14ac:dyDescent="0.2">
      <c r="A373" t="s">
        <v>1420</v>
      </c>
      <c r="B373">
        <v>6</v>
      </c>
      <c r="C373" t="s">
        <v>1332</v>
      </c>
      <c r="D373" s="3" t="s">
        <v>1333</v>
      </c>
      <c r="E373" s="4"/>
    </row>
    <row r="374" spans="1:5" x14ac:dyDescent="0.2">
      <c r="A374" t="s">
        <v>1420</v>
      </c>
      <c r="B374">
        <v>7</v>
      </c>
      <c r="C374" t="s">
        <v>1422</v>
      </c>
      <c r="D374" s="3" t="s">
        <v>1335</v>
      </c>
      <c r="E374" s="4"/>
    </row>
    <row r="375" spans="1:5" x14ac:dyDescent="0.2">
      <c r="A375" t="s">
        <v>1420</v>
      </c>
      <c r="B375">
        <v>8</v>
      </c>
      <c r="C375" t="s">
        <v>1336</v>
      </c>
      <c r="D375" s="3" t="s">
        <v>1337</v>
      </c>
      <c r="E375" s="4"/>
    </row>
    <row r="376" spans="1:5" x14ac:dyDescent="0.2">
      <c r="A376" t="s">
        <v>1420</v>
      </c>
      <c r="B376">
        <v>9</v>
      </c>
      <c r="C376" t="s">
        <v>1423</v>
      </c>
      <c r="D376" s="3" t="s">
        <v>1424</v>
      </c>
      <c r="E376" s="4"/>
    </row>
    <row r="377" spans="1:5" x14ac:dyDescent="0.2">
      <c r="A377" t="s">
        <v>1420</v>
      </c>
      <c r="B377">
        <v>10</v>
      </c>
      <c r="C377" t="s">
        <v>1425</v>
      </c>
      <c r="D377" s="3" t="s">
        <v>1426</v>
      </c>
      <c r="E377" s="4"/>
    </row>
    <row r="378" spans="1:5" x14ac:dyDescent="0.2">
      <c r="A378" t="s">
        <v>1420</v>
      </c>
      <c r="B378">
        <v>11</v>
      </c>
      <c r="C378" t="s">
        <v>1427</v>
      </c>
      <c r="D378" s="3" t="s">
        <v>1428</v>
      </c>
      <c r="E378" s="4"/>
    </row>
    <row r="379" spans="1:5" x14ac:dyDescent="0.2">
      <c r="A379" t="s">
        <v>1420</v>
      </c>
      <c r="B379" s="20">
        <v>12</v>
      </c>
      <c r="C379" t="s">
        <v>883</v>
      </c>
      <c r="D379" s="3" t="s">
        <v>884</v>
      </c>
      <c r="E379" s="4"/>
    </row>
    <row r="380" spans="1:5" x14ac:dyDescent="0.2">
      <c r="A380" t="s">
        <v>1420</v>
      </c>
      <c r="B380" s="20">
        <v>13</v>
      </c>
      <c r="C380" t="s">
        <v>885</v>
      </c>
      <c r="D380" s="3" t="s">
        <v>886</v>
      </c>
      <c r="E380" s="4"/>
    </row>
    <row r="381" spans="1:5" x14ac:dyDescent="0.2">
      <c r="E381" s="4"/>
    </row>
    <row r="382" spans="1:5" ht="16" customHeight="1" x14ac:dyDescent="0.2">
      <c r="A382" t="s">
        <v>1429</v>
      </c>
      <c r="B382" t="s">
        <v>1430</v>
      </c>
      <c r="C382" t="s">
        <v>1308</v>
      </c>
      <c r="D382" s="3" t="s">
        <v>1309</v>
      </c>
      <c r="E382" s="4"/>
    </row>
    <row r="383" spans="1:5" ht="16" customHeight="1" x14ac:dyDescent="0.2">
      <c r="A383" t="s">
        <v>1429</v>
      </c>
      <c r="B383" t="s">
        <v>1431</v>
      </c>
      <c r="C383" t="s">
        <v>1311</v>
      </c>
      <c r="D383" s="3" t="s">
        <v>1312</v>
      </c>
      <c r="E383" s="4"/>
    </row>
    <row r="384" spans="1:5" ht="16" customHeight="1" x14ac:dyDescent="0.2">
      <c r="A384" t="s">
        <v>1429</v>
      </c>
      <c r="B384" t="s">
        <v>1313</v>
      </c>
      <c r="C384" t="s">
        <v>1314</v>
      </c>
      <c r="D384" s="3" t="s">
        <v>1315</v>
      </c>
      <c r="E384" s="4"/>
    </row>
    <row r="385" spans="1:5" ht="16" customHeight="1" x14ac:dyDescent="0.2">
      <c r="A385" t="s">
        <v>1429</v>
      </c>
      <c r="B385" t="s">
        <v>1432</v>
      </c>
      <c r="C385" t="s">
        <v>1317</v>
      </c>
      <c r="D385" s="3" t="s">
        <v>1433</v>
      </c>
      <c r="E385" s="4"/>
    </row>
    <row r="386" spans="1:5" ht="16" customHeight="1" x14ac:dyDescent="0.2">
      <c r="A386" t="s">
        <v>1429</v>
      </c>
      <c r="B386" t="s">
        <v>1434</v>
      </c>
      <c r="C386" t="s">
        <v>1435</v>
      </c>
      <c r="D386" s="3" t="s">
        <v>1436</v>
      </c>
      <c r="E386" s="4"/>
    </row>
    <row r="387" spans="1:5" ht="16" customHeight="1" x14ac:dyDescent="0.2">
      <c r="A387" t="s">
        <v>1429</v>
      </c>
      <c r="B387" t="s">
        <v>1437</v>
      </c>
      <c r="C387" t="s">
        <v>1438</v>
      </c>
      <c r="D387" s="3" t="s">
        <v>1439</v>
      </c>
      <c r="E387" s="4"/>
    </row>
    <row r="388" spans="1:5" ht="16" customHeight="1" x14ac:dyDescent="0.2">
      <c r="A388" t="s">
        <v>1429</v>
      </c>
      <c r="B388" t="s">
        <v>991</v>
      </c>
      <c r="C388" t="s">
        <v>1240</v>
      </c>
      <c r="D388" s="3" t="s">
        <v>1241</v>
      </c>
      <c r="E388" s="4"/>
    </row>
    <row r="389" spans="1:5" ht="16" customHeight="1" x14ac:dyDescent="0.2">
      <c r="A389" t="s">
        <v>1429</v>
      </c>
      <c r="B389" t="s">
        <v>997</v>
      </c>
      <c r="C389" t="s">
        <v>883</v>
      </c>
      <c r="D389" s="3" t="s">
        <v>884</v>
      </c>
      <c r="E389" s="4"/>
    </row>
    <row r="390" spans="1:5" ht="16" customHeight="1" x14ac:dyDescent="0.2">
      <c r="A390" t="s">
        <v>1429</v>
      </c>
      <c r="B390" t="s">
        <v>998</v>
      </c>
      <c r="C390" t="s">
        <v>885</v>
      </c>
      <c r="D390" s="3" t="s">
        <v>886</v>
      </c>
      <c r="E390" s="4"/>
    </row>
    <row r="391" spans="1:5" ht="16" customHeight="1" x14ac:dyDescent="0.2">
      <c r="E391" s="4"/>
    </row>
    <row r="392" spans="1:5" x14ac:dyDescent="0.2">
      <c r="A392" t="s">
        <v>1440</v>
      </c>
      <c r="B392" t="s">
        <v>1441</v>
      </c>
      <c r="C392" t="s">
        <v>1442</v>
      </c>
      <c r="D392" s="3" t="s">
        <v>1443</v>
      </c>
      <c r="E392" s="4"/>
    </row>
    <row r="393" spans="1:5" x14ac:dyDescent="0.2">
      <c r="A393" t="s">
        <v>1440</v>
      </c>
      <c r="B393" t="s">
        <v>1444</v>
      </c>
      <c r="C393" t="s">
        <v>1445</v>
      </c>
      <c r="D393" s="3" t="s">
        <v>1446</v>
      </c>
      <c r="E393" s="4"/>
    </row>
    <row r="394" spans="1:5" x14ac:dyDescent="0.2">
      <c r="A394" t="s">
        <v>1440</v>
      </c>
      <c r="B394" t="s">
        <v>1447</v>
      </c>
      <c r="C394" t="s">
        <v>1448</v>
      </c>
      <c r="D394" s="3" t="s">
        <v>1449</v>
      </c>
      <c r="E394" s="4"/>
    </row>
    <row r="395" spans="1:5" x14ac:dyDescent="0.2">
      <c r="A395" t="s">
        <v>1440</v>
      </c>
      <c r="B395" t="s">
        <v>1450</v>
      </c>
      <c r="C395" t="s">
        <v>1451</v>
      </c>
      <c r="D395" s="3" t="s">
        <v>1451</v>
      </c>
      <c r="E395" s="4"/>
    </row>
    <row r="396" spans="1:5" x14ac:dyDescent="0.2">
      <c r="A396" t="s">
        <v>1440</v>
      </c>
      <c r="B396" t="s">
        <v>997</v>
      </c>
      <c r="C396" t="s">
        <v>883</v>
      </c>
      <c r="D396" s="3" t="s">
        <v>884</v>
      </c>
      <c r="E396" s="4"/>
    </row>
    <row r="397" spans="1:5" x14ac:dyDescent="0.2">
      <c r="A397" t="s">
        <v>1440</v>
      </c>
      <c r="B397" t="s">
        <v>998</v>
      </c>
      <c r="C397" t="s">
        <v>885</v>
      </c>
      <c r="D397" s="3" t="s">
        <v>886</v>
      </c>
      <c r="E397" s="4"/>
    </row>
    <row r="398" spans="1:5" x14ac:dyDescent="0.2">
      <c r="E398" s="4"/>
    </row>
    <row r="399" spans="1:5" x14ac:dyDescent="0.2">
      <c r="A399" t="s">
        <v>1452</v>
      </c>
      <c r="B399" t="s">
        <v>1453</v>
      </c>
      <c r="C399" t="s">
        <v>1454</v>
      </c>
      <c r="D399" s="3" t="s">
        <v>1455</v>
      </c>
      <c r="E399" s="4"/>
    </row>
    <row r="400" spans="1:5" x14ac:dyDescent="0.2">
      <c r="A400" t="s">
        <v>1452</v>
      </c>
      <c r="B400" t="s">
        <v>317</v>
      </c>
      <c r="C400" t="s">
        <v>1456</v>
      </c>
      <c r="D400" s="3" t="s">
        <v>1457</v>
      </c>
      <c r="E400" s="4"/>
    </row>
    <row r="401" spans="1:5" x14ac:dyDescent="0.2">
      <c r="A401" t="s">
        <v>1452</v>
      </c>
      <c r="B401" t="s">
        <v>1458</v>
      </c>
      <c r="C401" t="s">
        <v>1459</v>
      </c>
      <c r="D401" s="3" t="s">
        <v>1460</v>
      </c>
      <c r="E401" s="4"/>
    </row>
    <row r="402" spans="1:5" x14ac:dyDescent="0.2">
      <c r="A402" t="s">
        <v>1452</v>
      </c>
      <c r="B402" t="s">
        <v>1461</v>
      </c>
      <c r="C402" t="s">
        <v>1462</v>
      </c>
      <c r="D402" s="3" t="s">
        <v>1463</v>
      </c>
      <c r="E402" s="4"/>
    </row>
    <row r="403" spans="1:5" x14ac:dyDescent="0.2">
      <c r="A403" t="s">
        <v>1452</v>
      </c>
      <c r="B403" t="s">
        <v>1464</v>
      </c>
      <c r="C403" t="s">
        <v>1465</v>
      </c>
      <c r="D403" s="3" t="s">
        <v>1466</v>
      </c>
      <c r="E403" s="4"/>
    </row>
    <row r="404" spans="1:5" x14ac:dyDescent="0.2">
      <c r="A404" t="s">
        <v>1452</v>
      </c>
      <c r="B404" t="s">
        <v>991</v>
      </c>
      <c r="C404" t="s">
        <v>1117</v>
      </c>
      <c r="D404" s="3" t="s">
        <v>1118</v>
      </c>
      <c r="E404" s="4"/>
    </row>
    <row r="405" spans="1:5" x14ac:dyDescent="0.2">
      <c r="A405" t="s">
        <v>1452</v>
      </c>
      <c r="B405" t="s">
        <v>997</v>
      </c>
      <c r="C405" t="s">
        <v>883</v>
      </c>
      <c r="D405" s="3" t="s">
        <v>884</v>
      </c>
      <c r="E405" s="4"/>
    </row>
    <row r="406" spans="1:5" x14ac:dyDescent="0.2">
      <c r="A406" t="s">
        <v>1452</v>
      </c>
      <c r="B406" t="s">
        <v>998</v>
      </c>
      <c r="C406" t="s">
        <v>885</v>
      </c>
      <c r="D406" s="3" t="s">
        <v>886</v>
      </c>
      <c r="E406" s="4"/>
    </row>
    <row r="407" spans="1:5" x14ac:dyDescent="0.2">
      <c r="E407" s="4"/>
    </row>
    <row r="408" spans="1:5" s="15" customFormat="1" x14ac:dyDescent="0.2">
      <c r="A408" s="14" t="s">
        <v>1467</v>
      </c>
      <c r="B408" s="14" t="s">
        <v>1468</v>
      </c>
      <c r="C408" s="14" t="s">
        <v>1469</v>
      </c>
      <c r="D408" s="15" t="s">
        <v>1470</v>
      </c>
      <c r="E408" s="19"/>
    </row>
    <row r="409" spans="1:5" s="15" customFormat="1" x14ac:dyDescent="0.2">
      <c r="A409" s="14" t="s">
        <v>1467</v>
      </c>
      <c r="B409" s="14" t="s">
        <v>1471</v>
      </c>
      <c r="C409" s="14" t="s">
        <v>1472</v>
      </c>
      <c r="D409" s="15" t="s">
        <v>1473</v>
      </c>
      <c r="E409" s="19"/>
    </row>
    <row r="410" spans="1:5" s="15" customFormat="1" x14ac:dyDescent="0.2">
      <c r="A410" s="14" t="s">
        <v>1467</v>
      </c>
      <c r="B410" s="14" t="s">
        <v>1474</v>
      </c>
      <c r="C410" s="14" t="s">
        <v>1475</v>
      </c>
      <c r="D410" s="15" t="s">
        <v>1476</v>
      </c>
      <c r="E410" s="19"/>
    </row>
    <row r="411" spans="1:5" s="15" customFormat="1" x14ac:dyDescent="0.2">
      <c r="A411" s="14" t="s">
        <v>1467</v>
      </c>
      <c r="B411" s="14" t="s">
        <v>1477</v>
      </c>
      <c r="C411" s="14" t="s">
        <v>1478</v>
      </c>
      <c r="D411" s="15" t="s">
        <v>1479</v>
      </c>
      <c r="E411" s="19"/>
    </row>
    <row r="412" spans="1:5" s="15" customFormat="1" x14ac:dyDescent="0.2">
      <c r="A412" s="14" t="s">
        <v>1467</v>
      </c>
      <c r="B412" s="14" t="s">
        <v>1458</v>
      </c>
      <c r="C412" s="14" t="s">
        <v>1480</v>
      </c>
      <c r="D412" s="15" t="s">
        <v>1481</v>
      </c>
      <c r="E412" s="19"/>
    </row>
    <row r="413" spans="1:5" s="15" customFormat="1" x14ac:dyDescent="0.2">
      <c r="A413" s="14" t="s">
        <v>1467</v>
      </c>
      <c r="B413" s="14" t="s">
        <v>1482</v>
      </c>
      <c r="C413" s="14" t="s">
        <v>1483</v>
      </c>
      <c r="D413" s="15" t="s">
        <v>1484</v>
      </c>
      <c r="E413" s="19"/>
    </row>
    <row r="414" spans="1:5" s="15" customFormat="1" x14ac:dyDescent="0.2">
      <c r="A414" s="14" t="s">
        <v>1467</v>
      </c>
      <c r="B414" s="14" t="s">
        <v>991</v>
      </c>
      <c r="C414" s="14" t="s">
        <v>1117</v>
      </c>
      <c r="D414" s="15" t="s">
        <v>1118</v>
      </c>
      <c r="E414" s="19"/>
    </row>
    <row r="415" spans="1:5" s="15" customFormat="1" x14ac:dyDescent="0.2">
      <c r="A415" s="14" t="s">
        <v>1467</v>
      </c>
      <c r="B415" s="14" t="s">
        <v>997</v>
      </c>
      <c r="C415" s="14" t="s">
        <v>883</v>
      </c>
      <c r="D415" s="15" t="s">
        <v>884</v>
      </c>
      <c r="E415" s="19"/>
    </row>
    <row r="416" spans="1:5" s="15" customFormat="1" x14ac:dyDescent="0.2">
      <c r="A416" s="14" t="s">
        <v>1467</v>
      </c>
      <c r="B416" s="14" t="s">
        <v>998</v>
      </c>
      <c r="C416" s="14" t="s">
        <v>885</v>
      </c>
      <c r="D416" s="15" t="s">
        <v>886</v>
      </c>
      <c r="E416" s="19"/>
    </row>
    <row r="417" spans="1:5" x14ac:dyDescent="0.2">
      <c r="E417" s="4"/>
    </row>
    <row r="418" spans="1:5" x14ac:dyDescent="0.2">
      <c r="A418" t="s">
        <v>1485</v>
      </c>
      <c r="B418">
        <v>1</v>
      </c>
      <c r="C418" t="s">
        <v>1486</v>
      </c>
      <c r="D418" s="3" t="s">
        <v>1487</v>
      </c>
      <c r="E418" s="4"/>
    </row>
    <row r="419" spans="1:5" x14ac:dyDescent="0.2">
      <c r="A419" t="s">
        <v>1485</v>
      </c>
      <c r="B419">
        <v>2</v>
      </c>
      <c r="C419" t="s">
        <v>1488</v>
      </c>
      <c r="D419" s="3" t="s">
        <v>1489</v>
      </c>
      <c r="E419" s="4"/>
    </row>
    <row r="420" spans="1:5" x14ac:dyDescent="0.2">
      <c r="A420" t="s">
        <v>1485</v>
      </c>
      <c r="B420">
        <v>3</v>
      </c>
      <c r="C420" t="s">
        <v>1490</v>
      </c>
      <c r="D420" s="3" t="s">
        <v>1491</v>
      </c>
      <c r="E420" s="4"/>
    </row>
    <row r="421" spans="1:5" x14ac:dyDescent="0.2">
      <c r="A421" t="s">
        <v>1485</v>
      </c>
      <c r="B421">
        <v>4</v>
      </c>
      <c r="C421" t="s">
        <v>1492</v>
      </c>
      <c r="D421" s="3" t="s">
        <v>1493</v>
      </c>
      <c r="E421" s="4"/>
    </row>
    <row r="422" spans="1:5" x14ac:dyDescent="0.2">
      <c r="A422" t="s">
        <v>1485</v>
      </c>
      <c r="B422">
        <v>5</v>
      </c>
      <c r="C422" t="s">
        <v>1117</v>
      </c>
      <c r="D422" s="3" t="s">
        <v>1118</v>
      </c>
      <c r="E422" s="4"/>
    </row>
    <row r="423" spans="1:5" x14ac:dyDescent="0.2">
      <c r="A423" t="s">
        <v>1485</v>
      </c>
      <c r="B423" s="20">
        <v>6</v>
      </c>
      <c r="C423" t="s">
        <v>883</v>
      </c>
      <c r="D423" s="3" t="s">
        <v>884</v>
      </c>
      <c r="E423" s="4"/>
    </row>
    <row r="424" spans="1:5" x14ac:dyDescent="0.2">
      <c r="A424" t="s">
        <v>1485</v>
      </c>
      <c r="B424" s="20">
        <v>7</v>
      </c>
      <c r="C424" t="s">
        <v>885</v>
      </c>
      <c r="D424" s="3" t="s">
        <v>886</v>
      </c>
      <c r="E424" s="4"/>
    </row>
    <row r="425" spans="1:5" x14ac:dyDescent="0.2">
      <c r="E425" s="4"/>
    </row>
    <row r="426" spans="1:5" x14ac:dyDescent="0.2">
      <c r="A426" t="s">
        <v>1494</v>
      </c>
      <c r="B426" t="s">
        <v>1430</v>
      </c>
      <c r="C426" t="s">
        <v>1308</v>
      </c>
      <c r="D426" s="3" t="s">
        <v>1309</v>
      </c>
      <c r="E426" s="4"/>
    </row>
    <row r="427" spans="1:5" x14ac:dyDescent="0.2">
      <c r="A427" t="s">
        <v>1494</v>
      </c>
      <c r="B427" t="s">
        <v>1431</v>
      </c>
      <c r="C427" t="s">
        <v>1495</v>
      </c>
      <c r="D427" s="3" t="s">
        <v>1312</v>
      </c>
      <c r="E427" s="4"/>
    </row>
    <row r="428" spans="1:5" x14ac:dyDescent="0.2">
      <c r="A428" t="s">
        <v>1494</v>
      </c>
      <c r="B428" t="s">
        <v>1313</v>
      </c>
      <c r="C428" t="s">
        <v>1314</v>
      </c>
      <c r="D428" s="3" t="s">
        <v>1315</v>
      </c>
      <c r="E428" s="4"/>
    </row>
    <row r="429" spans="1:5" x14ac:dyDescent="0.2">
      <c r="A429" t="s">
        <v>1494</v>
      </c>
      <c r="B429" t="s">
        <v>1432</v>
      </c>
      <c r="C429" t="s">
        <v>1317</v>
      </c>
      <c r="D429" s="3" t="s">
        <v>1433</v>
      </c>
      <c r="E429" s="4"/>
    </row>
    <row r="430" spans="1:5" x14ac:dyDescent="0.2">
      <c r="A430" t="s">
        <v>1494</v>
      </c>
      <c r="B430" t="s">
        <v>1437</v>
      </c>
      <c r="C430" t="s">
        <v>1496</v>
      </c>
      <c r="D430" s="3" t="s">
        <v>1497</v>
      </c>
      <c r="E430" s="4"/>
    </row>
    <row r="431" spans="1:5" x14ac:dyDescent="0.2">
      <c r="A431" t="s">
        <v>1494</v>
      </c>
      <c r="B431" t="s">
        <v>991</v>
      </c>
      <c r="C431" t="s">
        <v>1117</v>
      </c>
      <c r="D431" s="3" t="s">
        <v>1118</v>
      </c>
      <c r="E431" s="4"/>
    </row>
    <row r="432" spans="1:5" x14ac:dyDescent="0.2">
      <c r="A432" t="s">
        <v>1494</v>
      </c>
      <c r="B432" t="s">
        <v>997</v>
      </c>
      <c r="C432" t="s">
        <v>883</v>
      </c>
      <c r="D432" s="3" t="s">
        <v>884</v>
      </c>
      <c r="E432" s="4"/>
    </row>
    <row r="433" spans="1:5" x14ac:dyDescent="0.2">
      <c r="A433" t="s">
        <v>1494</v>
      </c>
      <c r="B433" t="s">
        <v>998</v>
      </c>
      <c r="C433" t="s">
        <v>885</v>
      </c>
      <c r="D433" s="3" t="s">
        <v>886</v>
      </c>
      <c r="E433" s="4"/>
    </row>
    <row r="434" spans="1:5" x14ac:dyDescent="0.2">
      <c r="E434" s="4"/>
    </row>
    <row r="435" spans="1:5" x14ac:dyDescent="0.2">
      <c r="A435" t="s">
        <v>1498</v>
      </c>
      <c r="B435">
        <v>1</v>
      </c>
      <c r="C435" t="s">
        <v>1499</v>
      </c>
      <c r="D435" s="3" t="s">
        <v>1500</v>
      </c>
      <c r="E435" s="4"/>
    </row>
    <row r="436" spans="1:5" x14ac:dyDescent="0.2">
      <c r="A436" t="s">
        <v>1498</v>
      </c>
      <c r="B436">
        <v>2</v>
      </c>
      <c r="C436" t="s">
        <v>1501</v>
      </c>
      <c r="D436" s="3" t="s">
        <v>1502</v>
      </c>
      <c r="E436" s="4"/>
    </row>
    <row r="437" spans="1:5" x14ac:dyDescent="0.2">
      <c r="A437" t="s">
        <v>1498</v>
      </c>
      <c r="B437">
        <v>3</v>
      </c>
      <c r="C437" t="s">
        <v>1503</v>
      </c>
      <c r="D437" s="3" t="s">
        <v>1504</v>
      </c>
      <c r="E437" s="4"/>
    </row>
    <row r="438" spans="1:5" x14ac:dyDescent="0.2">
      <c r="A438" t="s">
        <v>1498</v>
      </c>
      <c r="B438">
        <v>4</v>
      </c>
      <c r="C438" t="s">
        <v>1505</v>
      </c>
      <c r="D438" s="3" t="s">
        <v>884</v>
      </c>
      <c r="E438" s="4"/>
    </row>
    <row r="439" spans="1:5" x14ac:dyDescent="0.2">
      <c r="A439" t="s">
        <v>1498</v>
      </c>
      <c r="B439" s="20">
        <v>5</v>
      </c>
      <c r="C439" t="s">
        <v>885</v>
      </c>
      <c r="D439" s="3" t="s">
        <v>886</v>
      </c>
      <c r="E439" s="4"/>
    </row>
    <row r="440" spans="1:5" x14ac:dyDescent="0.2">
      <c r="E440" s="4"/>
    </row>
    <row r="441" spans="1:5" x14ac:dyDescent="0.2">
      <c r="A441" t="s">
        <v>1506</v>
      </c>
      <c r="B441">
        <v>1</v>
      </c>
      <c r="C441" t="s">
        <v>874</v>
      </c>
      <c r="D441" s="3" t="s">
        <v>875</v>
      </c>
      <c r="E441" s="4"/>
    </row>
    <row r="442" spans="1:5" x14ac:dyDescent="0.2">
      <c r="A442" t="s">
        <v>1506</v>
      </c>
      <c r="B442">
        <v>2</v>
      </c>
      <c r="C442" t="s">
        <v>1507</v>
      </c>
      <c r="D442" s="3" t="s">
        <v>1508</v>
      </c>
      <c r="E442" s="4"/>
    </row>
    <row r="443" spans="1:5" x14ac:dyDescent="0.2">
      <c r="A443" t="s">
        <v>1506</v>
      </c>
      <c r="B443">
        <v>3</v>
      </c>
      <c r="C443" t="s">
        <v>1509</v>
      </c>
      <c r="D443" s="3" t="s">
        <v>1510</v>
      </c>
      <c r="E443" s="4"/>
    </row>
    <row r="444" spans="1:5" x14ac:dyDescent="0.2">
      <c r="A444" t="s">
        <v>1506</v>
      </c>
      <c r="B444">
        <v>4</v>
      </c>
      <c r="C444" t="s">
        <v>1511</v>
      </c>
      <c r="D444" s="3" t="s">
        <v>1512</v>
      </c>
      <c r="E444" s="4"/>
    </row>
    <row r="445" spans="1:5" x14ac:dyDescent="0.2">
      <c r="A445" t="s">
        <v>1506</v>
      </c>
      <c r="B445" s="20">
        <v>5</v>
      </c>
      <c r="C445" t="s">
        <v>883</v>
      </c>
      <c r="D445" s="3" t="s">
        <v>884</v>
      </c>
      <c r="E445" s="4"/>
    </row>
    <row r="446" spans="1:5" x14ac:dyDescent="0.2">
      <c r="A446" t="s">
        <v>1506</v>
      </c>
      <c r="B446" s="20">
        <v>6</v>
      </c>
      <c r="C446" t="s">
        <v>885</v>
      </c>
      <c r="D446" s="3" t="s">
        <v>886</v>
      </c>
      <c r="E446" s="4"/>
    </row>
    <row r="447" spans="1:5" x14ac:dyDescent="0.2">
      <c r="E447" s="4"/>
    </row>
    <row r="448" spans="1:5" x14ac:dyDescent="0.2">
      <c r="A448" t="s">
        <v>702</v>
      </c>
      <c r="B448" t="s">
        <v>1513</v>
      </c>
      <c r="C448" t="s">
        <v>1514</v>
      </c>
      <c r="D448" s="3" t="s">
        <v>1515</v>
      </c>
      <c r="E448" s="4"/>
    </row>
    <row r="449" spans="1:5" x14ac:dyDescent="0.2">
      <c r="A449" t="s">
        <v>702</v>
      </c>
      <c r="B449" t="s">
        <v>1516</v>
      </c>
      <c r="C449" t="s">
        <v>1517</v>
      </c>
      <c r="D449" s="3" t="s">
        <v>1518</v>
      </c>
      <c r="E449" s="4"/>
    </row>
    <row r="450" spans="1:5" x14ac:dyDescent="0.2">
      <c r="A450" t="s">
        <v>702</v>
      </c>
      <c r="B450" t="s">
        <v>1519</v>
      </c>
      <c r="C450" t="s">
        <v>1520</v>
      </c>
      <c r="D450" s="3" t="s">
        <v>1521</v>
      </c>
      <c r="E450" s="4"/>
    </row>
    <row r="451" spans="1:5" x14ac:dyDescent="0.2">
      <c r="A451" t="s">
        <v>702</v>
      </c>
      <c r="B451" t="s">
        <v>1522</v>
      </c>
      <c r="C451" t="s">
        <v>1523</v>
      </c>
      <c r="D451" s="3" t="s">
        <v>1524</v>
      </c>
      <c r="E451" s="4"/>
    </row>
    <row r="452" spans="1:5" x14ac:dyDescent="0.2">
      <c r="A452" t="s">
        <v>702</v>
      </c>
      <c r="B452" t="s">
        <v>1525</v>
      </c>
      <c r="C452" t="s">
        <v>2017</v>
      </c>
      <c r="D452" s="3" t="s">
        <v>1526</v>
      </c>
      <c r="E452" s="4"/>
    </row>
    <row r="453" spans="1:5" x14ac:dyDescent="0.2">
      <c r="A453" t="s">
        <v>702</v>
      </c>
      <c r="B453" t="s">
        <v>1527</v>
      </c>
      <c r="C453" t="s">
        <v>1423</v>
      </c>
      <c r="D453" s="3" t="s">
        <v>1424</v>
      </c>
      <c r="E453" s="4"/>
    </row>
    <row r="454" spans="1:5" x14ac:dyDescent="0.2">
      <c r="A454" t="s">
        <v>702</v>
      </c>
      <c r="B454" t="s">
        <v>1528</v>
      </c>
      <c r="C454" t="s">
        <v>1529</v>
      </c>
      <c r="D454" s="3" t="s">
        <v>1530</v>
      </c>
      <c r="E454" s="4"/>
    </row>
    <row r="455" spans="1:5" x14ac:dyDescent="0.2">
      <c r="A455" t="s">
        <v>702</v>
      </c>
      <c r="B455" t="s">
        <v>1531</v>
      </c>
      <c r="C455" t="s">
        <v>2018</v>
      </c>
      <c r="D455" s="3" t="s">
        <v>2019</v>
      </c>
      <c r="E455" s="4"/>
    </row>
    <row r="456" spans="1:5" x14ac:dyDescent="0.2">
      <c r="A456" t="s">
        <v>702</v>
      </c>
      <c r="B456" t="s">
        <v>1532</v>
      </c>
      <c r="C456" t="s">
        <v>1533</v>
      </c>
      <c r="D456" s="3" t="s">
        <v>1534</v>
      </c>
      <c r="E456" s="4"/>
    </row>
    <row r="457" spans="1:5" x14ac:dyDescent="0.2">
      <c r="A457" t="s">
        <v>702</v>
      </c>
      <c r="B457" t="s">
        <v>1535</v>
      </c>
      <c r="C457" t="s">
        <v>1536</v>
      </c>
      <c r="D457" s="3" t="s">
        <v>1537</v>
      </c>
      <c r="E457" s="4"/>
    </row>
    <row r="458" spans="1:5" x14ac:dyDescent="0.2">
      <c r="A458" t="s">
        <v>702</v>
      </c>
      <c r="B458" t="s">
        <v>1538</v>
      </c>
      <c r="C458" t="s">
        <v>1539</v>
      </c>
      <c r="D458" s="3" t="s">
        <v>1540</v>
      </c>
      <c r="E458" s="4"/>
    </row>
    <row r="459" spans="1:5" x14ac:dyDescent="0.2">
      <c r="A459" t="s">
        <v>702</v>
      </c>
      <c r="B459" t="s">
        <v>1541</v>
      </c>
      <c r="C459" t="s">
        <v>1542</v>
      </c>
      <c r="D459" s="3" t="s">
        <v>1543</v>
      </c>
      <c r="E459" s="4"/>
    </row>
    <row r="460" spans="1:5" x14ac:dyDescent="0.2">
      <c r="E460" s="4"/>
    </row>
    <row r="461" spans="1:5" x14ac:dyDescent="0.2">
      <c r="A461" t="s">
        <v>1544</v>
      </c>
      <c r="B461" t="s">
        <v>1545</v>
      </c>
      <c r="C461" t="s">
        <v>1546</v>
      </c>
      <c r="D461" s="3" t="s">
        <v>1547</v>
      </c>
      <c r="E461" s="4"/>
    </row>
    <row r="462" spans="1:5" x14ac:dyDescent="0.2">
      <c r="A462" t="s">
        <v>1544</v>
      </c>
      <c r="B462" t="s">
        <v>1548</v>
      </c>
      <c r="C462" t="s">
        <v>1549</v>
      </c>
      <c r="D462" s="3" t="s">
        <v>1550</v>
      </c>
      <c r="E462" s="4"/>
    </row>
    <row r="463" spans="1:5" x14ac:dyDescent="0.2">
      <c r="A463" t="s">
        <v>1544</v>
      </c>
      <c r="B463" t="s">
        <v>1551</v>
      </c>
      <c r="C463" t="s">
        <v>1552</v>
      </c>
      <c r="D463" s="3" t="s">
        <v>1552</v>
      </c>
      <c r="E463" s="4"/>
    </row>
    <row r="464" spans="1:5" x14ac:dyDescent="0.2">
      <c r="A464" t="s">
        <v>1544</v>
      </c>
      <c r="B464" t="s">
        <v>1553</v>
      </c>
      <c r="C464" t="s">
        <v>1554</v>
      </c>
      <c r="D464" s="3" t="s">
        <v>1555</v>
      </c>
      <c r="E464" s="4"/>
    </row>
    <row r="465" spans="1:5" x14ac:dyDescent="0.2">
      <c r="A465" t="s">
        <v>1544</v>
      </c>
      <c r="B465" t="s">
        <v>1556</v>
      </c>
      <c r="C465" t="s">
        <v>1557</v>
      </c>
      <c r="D465" s="3" t="s">
        <v>1558</v>
      </c>
      <c r="E465" s="4"/>
    </row>
    <row r="466" spans="1:5" x14ac:dyDescent="0.2">
      <c r="A466" t="s">
        <v>1544</v>
      </c>
      <c r="B466" t="s">
        <v>1559</v>
      </c>
      <c r="C466" t="s">
        <v>1560</v>
      </c>
      <c r="D466" s="3" t="s">
        <v>1561</v>
      </c>
      <c r="E466" s="4"/>
    </row>
    <row r="467" spans="1:5" x14ac:dyDescent="0.2">
      <c r="A467" t="s">
        <v>1544</v>
      </c>
      <c r="B467" t="s">
        <v>1562</v>
      </c>
      <c r="C467" t="s">
        <v>1563</v>
      </c>
      <c r="D467" s="3" t="s">
        <v>1564</v>
      </c>
      <c r="E467" s="4"/>
    </row>
    <row r="468" spans="1:5" x14ac:dyDescent="0.2">
      <c r="A468" t="s">
        <v>1544</v>
      </c>
      <c r="B468" t="s">
        <v>1565</v>
      </c>
      <c r="C468" t="s">
        <v>1566</v>
      </c>
      <c r="D468" s="3" t="s">
        <v>1567</v>
      </c>
      <c r="E468" s="4"/>
    </row>
    <row r="469" spans="1:5" x14ac:dyDescent="0.2">
      <c r="A469" t="s">
        <v>1544</v>
      </c>
      <c r="B469" t="s">
        <v>1568</v>
      </c>
      <c r="C469" t="s">
        <v>1569</v>
      </c>
      <c r="D469" s="3" t="s">
        <v>1570</v>
      </c>
      <c r="E469" s="4"/>
    </row>
    <row r="470" spans="1:5" x14ac:dyDescent="0.2">
      <c r="A470" t="s">
        <v>1544</v>
      </c>
      <c r="B470" t="s">
        <v>1571</v>
      </c>
      <c r="C470" t="s">
        <v>1572</v>
      </c>
      <c r="D470" s="3" t="s">
        <v>1573</v>
      </c>
      <c r="E470" s="4"/>
    </row>
    <row r="471" spans="1:5" x14ac:dyDescent="0.2">
      <c r="A471" t="s">
        <v>1544</v>
      </c>
      <c r="B471" t="s">
        <v>1574</v>
      </c>
      <c r="C471" t="s">
        <v>1575</v>
      </c>
      <c r="D471" s="3" t="s">
        <v>1576</v>
      </c>
      <c r="E471" s="4"/>
    </row>
    <row r="472" spans="1:5" x14ac:dyDescent="0.2">
      <c r="A472" t="s">
        <v>1544</v>
      </c>
      <c r="B472" t="s">
        <v>1577</v>
      </c>
      <c r="C472" t="s">
        <v>1578</v>
      </c>
      <c r="D472" s="3" t="s">
        <v>1579</v>
      </c>
      <c r="E472" s="4"/>
    </row>
    <row r="473" spans="1:5" x14ac:dyDescent="0.2">
      <c r="A473" t="s">
        <v>1544</v>
      </c>
      <c r="B473" t="s">
        <v>1580</v>
      </c>
      <c r="C473" t="s">
        <v>1581</v>
      </c>
      <c r="D473" s="3" t="s">
        <v>1582</v>
      </c>
      <c r="E473" s="4"/>
    </row>
    <row r="474" spans="1:5" x14ac:dyDescent="0.2">
      <c r="A474" t="s">
        <v>1544</v>
      </c>
      <c r="B474" t="s">
        <v>1583</v>
      </c>
      <c r="C474" t="s">
        <v>1584</v>
      </c>
      <c r="D474" s="3" t="s">
        <v>1585</v>
      </c>
      <c r="E474" s="4"/>
    </row>
    <row r="475" spans="1:5" x14ac:dyDescent="0.2">
      <c r="A475" t="s">
        <v>1544</v>
      </c>
      <c r="B475" t="s">
        <v>1586</v>
      </c>
      <c r="C475" t="s">
        <v>1587</v>
      </c>
      <c r="D475" s="3" t="s">
        <v>1588</v>
      </c>
      <c r="E475" s="4"/>
    </row>
    <row r="476" spans="1:5" x14ac:dyDescent="0.2">
      <c r="A476" t="s">
        <v>1544</v>
      </c>
      <c r="B476" t="s">
        <v>1589</v>
      </c>
      <c r="C476" t="s">
        <v>1590</v>
      </c>
      <c r="D476" s="3" t="s">
        <v>1591</v>
      </c>
      <c r="E476" s="4"/>
    </row>
    <row r="477" spans="1:5" x14ac:dyDescent="0.2">
      <c r="A477" t="s">
        <v>1544</v>
      </c>
      <c r="B477" t="s">
        <v>1592</v>
      </c>
      <c r="C477" t="s">
        <v>1593</v>
      </c>
      <c r="D477" s="3" t="s">
        <v>1594</v>
      </c>
      <c r="E477" s="4"/>
    </row>
    <row r="478" spans="1:5" x14ac:dyDescent="0.2">
      <c r="A478" t="s">
        <v>1544</v>
      </c>
      <c r="B478" t="s">
        <v>1595</v>
      </c>
      <c r="C478" t="s">
        <v>1596</v>
      </c>
      <c r="D478" s="3" t="s">
        <v>1597</v>
      </c>
      <c r="E478" s="4"/>
    </row>
    <row r="479" spans="1:5" x14ac:dyDescent="0.2">
      <c r="A479" t="s">
        <v>1544</v>
      </c>
      <c r="B479" t="s">
        <v>1598</v>
      </c>
      <c r="C479" t="s">
        <v>1599</v>
      </c>
      <c r="D479" s="3" t="s">
        <v>1600</v>
      </c>
      <c r="E479" s="4"/>
    </row>
    <row r="480" spans="1:5" x14ac:dyDescent="0.2">
      <c r="A480" t="s">
        <v>1544</v>
      </c>
      <c r="B480" t="s">
        <v>1601</v>
      </c>
      <c r="C480" t="s">
        <v>1602</v>
      </c>
      <c r="D480" s="3" t="s">
        <v>1603</v>
      </c>
      <c r="E480" s="4"/>
    </row>
    <row r="481" spans="1:5" x14ac:dyDescent="0.2">
      <c r="A481" t="s">
        <v>1544</v>
      </c>
      <c r="B481" t="s">
        <v>1604</v>
      </c>
      <c r="C481" t="s">
        <v>1605</v>
      </c>
      <c r="D481" s="3" t="s">
        <v>1606</v>
      </c>
      <c r="E481" s="4"/>
    </row>
    <row r="482" spans="1:5" x14ac:dyDescent="0.2">
      <c r="A482" t="s">
        <v>1544</v>
      </c>
      <c r="B482" t="s">
        <v>1607</v>
      </c>
      <c r="C482" t="s">
        <v>1608</v>
      </c>
      <c r="D482" s="3" t="s">
        <v>1609</v>
      </c>
      <c r="E482" s="4"/>
    </row>
    <row r="483" spans="1:5" x14ac:dyDescent="0.2">
      <c r="A483" t="s">
        <v>1544</v>
      </c>
      <c r="B483" t="s">
        <v>991</v>
      </c>
      <c r="C483" t="s">
        <v>1117</v>
      </c>
      <c r="D483" s="3" t="s">
        <v>1118</v>
      </c>
      <c r="E483" s="4"/>
    </row>
    <row r="484" spans="1:5" x14ac:dyDescent="0.2">
      <c r="A484" t="s">
        <v>1544</v>
      </c>
      <c r="B484" t="s">
        <v>997</v>
      </c>
      <c r="C484" t="s">
        <v>883</v>
      </c>
      <c r="D484" s="3" t="s">
        <v>884</v>
      </c>
      <c r="E484" s="4"/>
    </row>
    <row r="485" spans="1:5" x14ac:dyDescent="0.2">
      <c r="A485" t="s">
        <v>1544</v>
      </c>
      <c r="B485" t="s">
        <v>998</v>
      </c>
      <c r="C485" t="s">
        <v>885</v>
      </c>
      <c r="D485" s="3" t="s">
        <v>886</v>
      </c>
      <c r="E485" s="4"/>
    </row>
    <row r="486" spans="1:5" x14ac:dyDescent="0.2">
      <c r="E486" s="4"/>
    </row>
    <row r="487" spans="1:5" x14ac:dyDescent="0.2">
      <c r="A487" t="s">
        <v>1610</v>
      </c>
      <c r="B487" t="s">
        <v>1611</v>
      </c>
      <c r="C487" t="s">
        <v>1612</v>
      </c>
      <c r="D487" s="3" t="s">
        <v>1613</v>
      </c>
      <c r="E487" s="4"/>
    </row>
    <row r="488" spans="1:5" x14ac:dyDescent="0.2">
      <c r="A488" t="s">
        <v>1610</v>
      </c>
      <c r="B488" t="s">
        <v>1614</v>
      </c>
      <c r="C488" t="s">
        <v>1615</v>
      </c>
      <c r="D488" s="3" t="s">
        <v>1616</v>
      </c>
      <c r="E488" s="4"/>
    </row>
    <row r="489" spans="1:5" x14ac:dyDescent="0.2">
      <c r="A489" t="s">
        <v>1610</v>
      </c>
      <c r="B489" t="s">
        <v>1545</v>
      </c>
      <c r="C489" t="s">
        <v>1546</v>
      </c>
      <c r="D489" s="3" t="s">
        <v>1547</v>
      </c>
      <c r="E489" s="4"/>
    </row>
    <row r="490" spans="1:5" x14ac:dyDescent="0.2">
      <c r="A490" t="s">
        <v>1610</v>
      </c>
      <c r="B490" t="s">
        <v>1617</v>
      </c>
      <c r="C490" t="s">
        <v>1618</v>
      </c>
      <c r="D490" s="3" t="s">
        <v>1619</v>
      </c>
      <c r="E490" s="4"/>
    </row>
    <row r="491" spans="1:5" x14ac:dyDescent="0.2">
      <c r="A491" t="s">
        <v>1610</v>
      </c>
      <c r="B491" t="s">
        <v>1620</v>
      </c>
      <c r="C491" t="s">
        <v>1621</v>
      </c>
      <c r="D491" s="3" t="s">
        <v>1622</v>
      </c>
      <c r="E491" s="4"/>
    </row>
    <row r="492" spans="1:5" x14ac:dyDescent="0.2">
      <c r="A492" t="s">
        <v>1610</v>
      </c>
      <c r="B492" t="s">
        <v>991</v>
      </c>
      <c r="C492" t="s">
        <v>1117</v>
      </c>
      <c r="D492" s="3" t="s">
        <v>1623</v>
      </c>
      <c r="E492" s="4"/>
    </row>
    <row r="493" spans="1:5" x14ac:dyDescent="0.2">
      <c r="A493" t="s">
        <v>1610</v>
      </c>
      <c r="B493" t="s">
        <v>1624</v>
      </c>
      <c r="C493" t="s">
        <v>1625</v>
      </c>
      <c r="D493" s="3" t="s">
        <v>1626</v>
      </c>
      <c r="E493" s="4"/>
    </row>
    <row r="494" spans="1:5" x14ac:dyDescent="0.2">
      <c r="A494" t="s">
        <v>1610</v>
      </c>
      <c r="B494" t="s">
        <v>997</v>
      </c>
      <c r="C494" t="s">
        <v>883</v>
      </c>
      <c r="D494" s="3" t="s">
        <v>884</v>
      </c>
      <c r="E494" s="4"/>
    </row>
    <row r="495" spans="1:5" x14ac:dyDescent="0.2">
      <c r="A495" t="s">
        <v>1610</v>
      </c>
      <c r="B495" t="s">
        <v>998</v>
      </c>
      <c r="C495" t="s">
        <v>885</v>
      </c>
      <c r="D495" s="3" t="s">
        <v>886</v>
      </c>
      <c r="E495" s="4"/>
    </row>
    <row r="496" spans="1:5" x14ac:dyDescent="0.2">
      <c r="E496" s="4"/>
    </row>
    <row r="497" spans="1:5" x14ac:dyDescent="0.2">
      <c r="A497" t="s">
        <v>1627</v>
      </c>
      <c r="B497">
        <v>1</v>
      </c>
      <c r="C497" t="s">
        <v>1628</v>
      </c>
      <c r="D497" s="3" t="s">
        <v>1629</v>
      </c>
      <c r="E497" s="4"/>
    </row>
    <row r="498" spans="1:5" x14ac:dyDescent="0.2">
      <c r="A498" t="s">
        <v>1627</v>
      </c>
      <c r="B498">
        <v>2</v>
      </c>
      <c r="C498" t="s">
        <v>1630</v>
      </c>
      <c r="D498" s="3" t="s">
        <v>1631</v>
      </c>
      <c r="E498" s="4"/>
    </row>
    <row r="499" spans="1:5" x14ac:dyDescent="0.2">
      <c r="A499" t="s">
        <v>1627</v>
      </c>
      <c r="B499">
        <v>3</v>
      </c>
      <c r="C499" t="s">
        <v>1632</v>
      </c>
      <c r="D499" s="3" t="s">
        <v>1633</v>
      </c>
      <c r="E499" s="4"/>
    </row>
    <row r="500" spans="1:5" x14ac:dyDescent="0.2">
      <c r="A500" t="s">
        <v>1627</v>
      </c>
      <c r="B500">
        <v>4</v>
      </c>
      <c r="C500" t="s">
        <v>1634</v>
      </c>
      <c r="D500" s="3" t="s">
        <v>1635</v>
      </c>
      <c r="E500" s="4"/>
    </row>
    <row r="501" spans="1:5" x14ac:dyDescent="0.2">
      <c r="A501" t="s">
        <v>1627</v>
      </c>
      <c r="B501">
        <v>5</v>
      </c>
      <c r="C501" t="s">
        <v>1636</v>
      </c>
      <c r="D501" s="3" t="s">
        <v>1118</v>
      </c>
      <c r="E501" s="4"/>
    </row>
    <row r="502" spans="1:5" x14ac:dyDescent="0.2">
      <c r="A502" t="s">
        <v>1627</v>
      </c>
      <c r="B502">
        <v>6</v>
      </c>
      <c r="C502" t="s">
        <v>883</v>
      </c>
      <c r="D502" s="3" t="s">
        <v>884</v>
      </c>
      <c r="E502" s="4"/>
    </row>
    <row r="503" spans="1:5" x14ac:dyDescent="0.2">
      <c r="A503" t="s">
        <v>1627</v>
      </c>
      <c r="B503">
        <v>7</v>
      </c>
      <c r="C503" t="s">
        <v>885</v>
      </c>
      <c r="D503" s="3" t="s">
        <v>886</v>
      </c>
      <c r="E503" s="4"/>
    </row>
    <row r="504" spans="1:5" x14ac:dyDescent="0.2">
      <c r="E504" s="4"/>
    </row>
    <row r="505" spans="1:5" x14ac:dyDescent="0.2">
      <c r="A505" t="s">
        <v>1637</v>
      </c>
      <c r="B505" t="s">
        <v>1638</v>
      </c>
      <c r="C505" t="s">
        <v>1639</v>
      </c>
      <c r="D505" s="3" t="s">
        <v>1640</v>
      </c>
      <c r="E505" s="4"/>
    </row>
    <row r="506" spans="1:5" x14ac:dyDescent="0.2">
      <c r="A506" t="s">
        <v>1637</v>
      </c>
      <c r="B506" t="s">
        <v>1641</v>
      </c>
      <c r="C506" t="s">
        <v>1642</v>
      </c>
      <c r="D506" s="3" t="s">
        <v>1643</v>
      </c>
      <c r="E506" s="4"/>
    </row>
    <row r="507" spans="1:5" x14ac:dyDescent="0.2">
      <c r="A507" t="s">
        <v>1637</v>
      </c>
      <c r="B507" t="s">
        <v>1644</v>
      </c>
      <c r="C507" t="s">
        <v>1645</v>
      </c>
      <c r="D507" s="3" t="s">
        <v>1646</v>
      </c>
      <c r="E507" s="4"/>
    </row>
    <row r="508" spans="1:5" x14ac:dyDescent="0.2">
      <c r="A508" t="s">
        <v>1637</v>
      </c>
      <c r="B508" t="s">
        <v>1647</v>
      </c>
      <c r="C508" t="s">
        <v>1648</v>
      </c>
      <c r="D508" s="3" t="s">
        <v>1649</v>
      </c>
      <c r="E508" s="4"/>
    </row>
    <row r="509" spans="1:5" x14ac:dyDescent="0.2">
      <c r="A509" t="s">
        <v>1637</v>
      </c>
      <c r="B509" t="s">
        <v>1650</v>
      </c>
      <c r="C509" t="s">
        <v>1651</v>
      </c>
      <c r="D509" s="3" t="s">
        <v>1652</v>
      </c>
      <c r="E509" s="4"/>
    </row>
    <row r="510" spans="1:5" x14ac:dyDescent="0.2">
      <c r="A510" t="s">
        <v>1637</v>
      </c>
      <c r="B510" t="s">
        <v>1653</v>
      </c>
      <c r="C510" t="s">
        <v>1654</v>
      </c>
      <c r="D510" s="3" t="s">
        <v>1655</v>
      </c>
      <c r="E510" s="4"/>
    </row>
    <row r="511" spans="1:5" x14ac:dyDescent="0.2">
      <c r="A511" t="s">
        <v>1637</v>
      </c>
      <c r="B511" t="s">
        <v>1656</v>
      </c>
      <c r="C511" t="s">
        <v>1657</v>
      </c>
      <c r="D511" s="3" t="s">
        <v>1658</v>
      </c>
      <c r="E511" s="4"/>
    </row>
    <row r="512" spans="1:5" x14ac:dyDescent="0.2">
      <c r="E512" s="4"/>
    </row>
    <row r="513" spans="1:6" x14ac:dyDescent="0.2">
      <c r="A513" t="s">
        <v>839</v>
      </c>
      <c r="B513" t="s">
        <v>1659</v>
      </c>
      <c r="C513" t="s">
        <v>1660</v>
      </c>
      <c r="D513" s="3" t="s">
        <v>1661</v>
      </c>
      <c r="E513" s="4"/>
    </row>
    <row r="514" spans="1:6" x14ac:dyDescent="0.2">
      <c r="A514" t="s">
        <v>839</v>
      </c>
      <c r="B514" t="s">
        <v>1662</v>
      </c>
      <c r="C514" t="s">
        <v>1663</v>
      </c>
      <c r="D514" s="3" t="s">
        <v>1664</v>
      </c>
      <c r="E514" s="4"/>
    </row>
    <row r="515" spans="1:6" x14ac:dyDescent="0.2">
      <c r="A515" t="s">
        <v>839</v>
      </c>
      <c r="B515" t="s">
        <v>1665</v>
      </c>
      <c r="C515" t="s">
        <v>1666</v>
      </c>
      <c r="D515" s="3" t="s">
        <v>1667</v>
      </c>
      <c r="E515" s="4"/>
    </row>
    <row r="517" spans="1:6" x14ac:dyDescent="0.2">
      <c r="A517" s="12"/>
      <c r="B517" s="12"/>
      <c r="C517" s="12"/>
      <c r="D517" s="12"/>
      <c r="E517" s="7"/>
      <c r="F517" s="12"/>
    </row>
  </sheetData>
  <sheetProtection algorithmName="SHA-512" hashValue="CUqWBYWCBAtsnyxWA+to4+SvL2FFMoUpc+Kz5bTc7XQd7scEiCpq5VE4nt6iLtsGMchlBJRfhkzbSbBqlSiw3w==" saltValue="WP6wdUM5kAQkWfYBmVFTvQ==" spinCount="100000" sheet="1" formatCells="0" formatColumns="0" formatRows="0" insertColumns="0" insertRows="0" deleteColumns="0" deleteRows="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B3" sqref="B3"/>
    </sheetView>
  </sheetViews>
  <sheetFormatPr baseColWidth="10" defaultColWidth="8.83203125" defaultRowHeight="15" x14ac:dyDescent="0.2"/>
  <cols>
    <col min="1" max="4" width="28.1640625" style="3" customWidth="1"/>
    <col min="5" max="16384" width="8.83203125" style="3"/>
  </cols>
  <sheetData>
    <row r="1" spans="1:4" s="2" customFormat="1" x14ac:dyDescent="0.2">
      <c r="A1" s="6" t="s">
        <v>1668</v>
      </c>
      <c r="B1" s="6" t="s">
        <v>1669</v>
      </c>
      <c r="C1" s="6" t="s">
        <v>1670</v>
      </c>
      <c r="D1" s="6" t="s">
        <v>1671</v>
      </c>
    </row>
    <row r="2" spans="1:4" x14ac:dyDescent="0.2">
      <c r="A2" s="3" t="s">
        <v>1672</v>
      </c>
      <c r="B2" s="4" t="s">
        <v>1673</v>
      </c>
      <c r="C2" t="s">
        <v>43</v>
      </c>
      <c r="D2" s="3" t="s">
        <v>1674</v>
      </c>
    </row>
  </sheetData>
  <sheetProtection algorithmName="SHA-512" hashValue="TwOTRX3etBot1mkXQhDoo24Du3rNsbCGs8LqVnsvgDtdBun8swGJp2Pa/J3D7BSmWCRroqs8Gx1zq1HsE3viwQ==" saltValue="tI7YYmcFS/6vGU2uXZyvGA=="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4"/>
  <sheetViews>
    <sheetView workbookViewId="0">
      <pane ySplit="3" topLeftCell="A4" activePane="bottomLeft" state="frozen"/>
      <selection pane="bottomLeft" activeCell="C4" sqref="C4"/>
    </sheetView>
  </sheetViews>
  <sheetFormatPr baseColWidth="10" defaultColWidth="10.83203125" defaultRowHeight="15" x14ac:dyDescent="0.2"/>
  <cols>
    <col min="1" max="2" width="10.83203125" style="190"/>
    <col min="3" max="3" width="15.1640625" style="204" customWidth="1"/>
    <col min="4" max="4" width="10.83203125" style="205"/>
    <col min="5" max="5" width="28.6640625" style="206" customWidth="1"/>
    <col min="6" max="6" width="32" style="206" customWidth="1"/>
    <col min="7" max="16384" width="10.83203125" style="190"/>
  </cols>
  <sheetData>
    <row r="2" spans="2:6" x14ac:dyDescent="0.2">
      <c r="C2" s="191"/>
      <c r="D2" s="192"/>
      <c r="E2" s="193"/>
      <c r="F2" s="193"/>
    </row>
    <row r="3" spans="2:6" ht="32" x14ac:dyDescent="0.2">
      <c r="B3" s="194"/>
      <c r="C3" s="195" t="s">
        <v>1675</v>
      </c>
      <c r="D3" s="196" t="s">
        <v>1676</v>
      </c>
      <c r="E3" s="197" t="s">
        <v>1677</v>
      </c>
      <c r="F3" s="197" t="s">
        <v>1678</v>
      </c>
    </row>
    <row r="4" spans="2:6" ht="16" x14ac:dyDescent="0.2">
      <c r="B4" s="194"/>
      <c r="C4" s="10"/>
      <c r="D4" s="198" t="s">
        <v>1679</v>
      </c>
      <c r="E4" s="199" t="s">
        <v>1680</v>
      </c>
      <c r="F4" s="199" t="s">
        <v>1681</v>
      </c>
    </row>
    <row r="5" spans="2:6" ht="16" x14ac:dyDescent="0.2">
      <c r="B5" s="194"/>
      <c r="C5" s="10"/>
      <c r="D5" s="198" t="s">
        <v>1682</v>
      </c>
      <c r="E5" s="199" t="s">
        <v>1683</v>
      </c>
      <c r="F5" s="199" t="s">
        <v>1684</v>
      </c>
    </row>
    <row r="6" spans="2:6" ht="16" x14ac:dyDescent="0.2">
      <c r="B6" s="194"/>
      <c r="C6" s="10"/>
      <c r="D6" s="198" t="s">
        <v>1685</v>
      </c>
      <c r="E6" s="199" t="s">
        <v>1686</v>
      </c>
      <c r="F6" s="199" t="s">
        <v>1687</v>
      </c>
    </row>
    <row r="7" spans="2:6" ht="16" x14ac:dyDescent="0.2">
      <c r="B7" s="194"/>
      <c r="C7" s="10"/>
      <c r="D7" s="198" t="s">
        <v>1688</v>
      </c>
      <c r="E7" s="199" t="s">
        <v>1689</v>
      </c>
      <c r="F7" s="199" t="s">
        <v>1690</v>
      </c>
    </row>
    <row r="8" spans="2:6" ht="16" x14ac:dyDescent="0.2">
      <c r="B8" s="194"/>
      <c r="C8" s="10"/>
      <c r="D8" s="198" t="s">
        <v>1691</v>
      </c>
      <c r="E8" s="199" t="s">
        <v>1692</v>
      </c>
      <c r="F8" s="199" t="s">
        <v>1693</v>
      </c>
    </row>
    <row r="9" spans="2:6" ht="16" x14ac:dyDescent="0.2">
      <c r="B9" s="194"/>
      <c r="C9" s="10"/>
      <c r="D9" s="198" t="s">
        <v>1694</v>
      </c>
      <c r="E9" s="199" t="s">
        <v>1695</v>
      </c>
      <c r="F9" s="199" t="s">
        <v>1696</v>
      </c>
    </row>
    <row r="10" spans="2:6" ht="16" x14ac:dyDescent="0.2">
      <c r="B10" s="194"/>
      <c r="C10" s="251"/>
      <c r="D10" s="198" t="s">
        <v>1697</v>
      </c>
      <c r="E10" s="200" t="s">
        <v>1698</v>
      </c>
      <c r="F10" s="200" t="s">
        <v>1699</v>
      </c>
    </row>
    <row r="11" spans="2:6" ht="16" x14ac:dyDescent="0.2">
      <c r="B11" s="194"/>
      <c r="C11" s="10"/>
      <c r="D11" s="198" t="s">
        <v>1700</v>
      </c>
      <c r="E11" s="199" t="s">
        <v>1701</v>
      </c>
      <c r="F11" s="199" t="s">
        <v>1702</v>
      </c>
    </row>
    <row r="12" spans="2:6" ht="16" x14ac:dyDescent="0.2">
      <c r="B12" s="194"/>
      <c r="C12" s="10"/>
      <c r="D12" s="198" t="s">
        <v>1703</v>
      </c>
      <c r="E12" s="199" t="s">
        <v>1704</v>
      </c>
      <c r="F12" s="199" t="s">
        <v>1705</v>
      </c>
    </row>
    <row r="13" spans="2:6" ht="16" x14ac:dyDescent="0.2">
      <c r="B13" s="194"/>
      <c r="C13" s="10"/>
      <c r="D13" s="198" t="s">
        <v>1706</v>
      </c>
      <c r="E13" s="199" t="s">
        <v>1707</v>
      </c>
      <c r="F13" s="199" t="s">
        <v>1708</v>
      </c>
    </row>
    <row r="14" spans="2:6" ht="16" x14ac:dyDescent="0.2">
      <c r="B14" s="194"/>
      <c r="C14" s="10"/>
      <c r="D14" s="198" t="s">
        <v>1709</v>
      </c>
      <c r="E14" s="199" t="s">
        <v>1710</v>
      </c>
      <c r="F14" s="199" t="s">
        <v>1711</v>
      </c>
    </row>
    <row r="15" spans="2:6" ht="16" x14ac:dyDescent="0.2">
      <c r="B15" s="194"/>
      <c r="C15" s="10"/>
      <c r="D15" s="198" t="s">
        <v>1712</v>
      </c>
      <c r="E15" s="199" t="s">
        <v>1713</v>
      </c>
      <c r="F15" s="199" t="s">
        <v>1714</v>
      </c>
    </row>
    <row r="16" spans="2:6" ht="16" x14ac:dyDescent="0.2">
      <c r="B16" s="194"/>
      <c r="C16" s="10"/>
      <c r="D16" s="198" t="s">
        <v>1715</v>
      </c>
      <c r="E16" s="199" t="s">
        <v>1716</v>
      </c>
      <c r="F16" s="199" t="s">
        <v>1717</v>
      </c>
    </row>
    <row r="17" spans="2:6" ht="16" x14ac:dyDescent="0.2">
      <c r="B17" s="194"/>
      <c r="C17" s="251"/>
      <c r="D17" s="198" t="s">
        <v>1718</v>
      </c>
      <c r="E17" s="200" t="s">
        <v>1719</v>
      </c>
      <c r="F17" s="200" t="s">
        <v>1720</v>
      </c>
    </row>
    <row r="18" spans="2:6" ht="16" x14ac:dyDescent="0.2">
      <c r="B18" s="194"/>
      <c r="C18" s="10"/>
      <c r="D18" s="198" t="s">
        <v>1721</v>
      </c>
      <c r="E18" s="199" t="s">
        <v>1722</v>
      </c>
      <c r="F18" s="199" t="s">
        <v>1723</v>
      </c>
    </row>
    <row r="19" spans="2:6" ht="16" x14ac:dyDescent="0.2">
      <c r="B19" s="194"/>
      <c r="C19" s="10"/>
      <c r="D19" s="198" t="s">
        <v>1724</v>
      </c>
      <c r="E19" s="199" t="s">
        <v>1725</v>
      </c>
      <c r="F19" s="199" t="s">
        <v>1726</v>
      </c>
    </row>
    <row r="20" spans="2:6" ht="16" x14ac:dyDescent="0.2">
      <c r="B20" s="194"/>
      <c r="C20" s="10"/>
      <c r="D20" s="198" t="s">
        <v>1727</v>
      </c>
      <c r="E20" s="199" t="s">
        <v>1728</v>
      </c>
      <c r="F20" s="199" t="s">
        <v>1729</v>
      </c>
    </row>
    <row r="21" spans="2:6" ht="16" x14ac:dyDescent="0.2">
      <c r="B21" s="194"/>
      <c r="C21" s="10"/>
      <c r="D21" s="198" t="s">
        <v>1730</v>
      </c>
      <c r="E21" s="199" t="s">
        <v>1731</v>
      </c>
      <c r="F21" s="199" t="s">
        <v>1732</v>
      </c>
    </row>
    <row r="22" spans="2:6" ht="16" x14ac:dyDescent="0.2">
      <c r="B22" s="194"/>
      <c r="C22" s="10"/>
      <c r="D22" s="198" t="s">
        <v>1733</v>
      </c>
      <c r="E22" s="199" t="s">
        <v>1734</v>
      </c>
      <c r="F22" s="199" t="s">
        <v>1735</v>
      </c>
    </row>
    <row r="23" spans="2:6" ht="16" x14ac:dyDescent="0.2">
      <c r="B23" s="194"/>
      <c r="C23" s="10"/>
      <c r="D23" s="198" t="s">
        <v>1736</v>
      </c>
      <c r="E23" s="199" t="s">
        <v>1737</v>
      </c>
      <c r="F23" s="199" t="s">
        <v>1738</v>
      </c>
    </row>
    <row r="24" spans="2:6" ht="16" x14ac:dyDescent="0.2">
      <c r="B24" s="194"/>
      <c r="C24" s="10"/>
      <c r="D24" s="198" t="s">
        <v>1739</v>
      </c>
      <c r="E24" s="199" t="s">
        <v>1740</v>
      </c>
      <c r="F24" s="199" t="s">
        <v>1741</v>
      </c>
    </row>
    <row r="25" spans="2:6" ht="16" x14ac:dyDescent="0.2">
      <c r="B25" s="194"/>
      <c r="C25" s="251"/>
      <c r="D25" s="198" t="s">
        <v>1742</v>
      </c>
      <c r="E25" s="200" t="s">
        <v>1743</v>
      </c>
      <c r="F25" s="200" t="s">
        <v>1744</v>
      </c>
    </row>
    <row r="26" spans="2:6" ht="16" x14ac:dyDescent="0.2">
      <c r="B26" s="194"/>
      <c r="C26" s="10"/>
      <c r="D26" s="198" t="s">
        <v>1745</v>
      </c>
      <c r="E26" s="199" t="s">
        <v>1746</v>
      </c>
      <c r="F26" s="199" t="s">
        <v>1747</v>
      </c>
    </row>
    <row r="27" spans="2:6" ht="16" x14ac:dyDescent="0.2">
      <c r="B27" s="194"/>
      <c r="C27" s="10"/>
      <c r="D27" s="198" t="s">
        <v>1748</v>
      </c>
      <c r="E27" s="199" t="s">
        <v>1749</v>
      </c>
      <c r="F27" s="199" t="s">
        <v>1750</v>
      </c>
    </row>
    <row r="28" spans="2:6" ht="16" x14ac:dyDescent="0.2">
      <c r="B28" s="194"/>
      <c r="C28" s="10"/>
      <c r="D28" s="198" t="s">
        <v>1751</v>
      </c>
      <c r="E28" s="199" t="s">
        <v>1752</v>
      </c>
      <c r="F28" s="199" t="s">
        <v>1753</v>
      </c>
    </row>
    <row r="29" spans="2:6" ht="16" x14ac:dyDescent="0.2">
      <c r="B29" s="194"/>
      <c r="C29" s="10"/>
      <c r="D29" s="198" t="s">
        <v>1754</v>
      </c>
      <c r="E29" s="199" t="s">
        <v>1755</v>
      </c>
      <c r="F29" s="199" t="s">
        <v>1756</v>
      </c>
    </row>
    <row r="30" spans="2:6" ht="16" x14ac:dyDescent="0.2">
      <c r="B30" s="194"/>
      <c r="C30" s="10"/>
      <c r="D30" s="198" t="s">
        <v>1757</v>
      </c>
      <c r="E30" s="199" t="s">
        <v>1758</v>
      </c>
      <c r="F30" s="199" t="s">
        <v>1759</v>
      </c>
    </row>
    <row r="31" spans="2:6" ht="16" x14ac:dyDescent="0.2">
      <c r="B31" s="194"/>
      <c r="C31" s="10"/>
      <c r="D31" s="198" t="s">
        <v>1760</v>
      </c>
      <c r="E31" s="199" t="s">
        <v>1761</v>
      </c>
      <c r="F31" s="199" t="s">
        <v>1761</v>
      </c>
    </row>
    <row r="32" spans="2:6" ht="16" x14ac:dyDescent="0.2">
      <c r="B32" s="194"/>
      <c r="C32" s="10"/>
      <c r="D32" s="198" t="s">
        <v>1762</v>
      </c>
      <c r="E32" s="199" t="s">
        <v>1763</v>
      </c>
      <c r="F32" s="199" t="s">
        <v>1764</v>
      </c>
    </row>
    <row r="33" spans="2:6" ht="32" x14ac:dyDescent="0.2">
      <c r="B33" s="194"/>
      <c r="C33" s="10"/>
      <c r="D33" s="198" t="s">
        <v>1765</v>
      </c>
      <c r="E33" s="199" t="s">
        <v>1766</v>
      </c>
      <c r="F33" s="199" t="s">
        <v>1767</v>
      </c>
    </row>
    <row r="34" spans="2:6" ht="16" x14ac:dyDescent="0.2">
      <c r="B34" s="194"/>
      <c r="C34" s="10"/>
      <c r="D34" s="198" t="s">
        <v>1768</v>
      </c>
      <c r="E34" s="199" t="s">
        <v>1769</v>
      </c>
      <c r="F34" s="199" t="s">
        <v>1770</v>
      </c>
    </row>
    <row r="35" spans="2:6" ht="16" x14ac:dyDescent="0.2">
      <c r="B35" s="194"/>
      <c r="C35" s="251"/>
      <c r="D35" s="198" t="s">
        <v>1771</v>
      </c>
      <c r="E35" s="200" t="s">
        <v>1772</v>
      </c>
      <c r="F35" s="200" t="s">
        <v>1773</v>
      </c>
    </row>
    <row r="36" spans="2:6" ht="16" x14ac:dyDescent="0.2">
      <c r="B36" s="194"/>
      <c r="C36" s="10"/>
      <c r="D36" s="198" t="s">
        <v>1774</v>
      </c>
      <c r="E36" s="199" t="s">
        <v>1775</v>
      </c>
      <c r="F36" s="199" t="s">
        <v>1776</v>
      </c>
    </row>
    <row r="37" spans="2:6" ht="16" x14ac:dyDescent="0.2">
      <c r="B37" s="194"/>
      <c r="C37" s="10"/>
      <c r="D37" s="198" t="s">
        <v>1777</v>
      </c>
      <c r="E37" s="199" t="s">
        <v>1778</v>
      </c>
      <c r="F37" s="199" t="s">
        <v>1779</v>
      </c>
    </row>
    <row r="38" spans="2:6" ht="16" x14ac:dyDescent="0.2">
      <c r="B38" s="194"/>
      <c r="C38" s="10"/>
      <c r="D38" s="198" t="s">
        <v>1780</v>
      </c>
      <c r="E38" s="199" t="s">
        <v>1781</v>
      </c>
      <c r="F38" s="199" t="s">
        <v>1782</v>
      </c>
    </row>
    <row r="39" spans="2:6" ht="16" x14ac:dyDescent="0.2">
      <c r="B39" s="194"/>
      <c r="C39" s="10"/>
      <c r="D39" s="198" t="s">
        <v>1783</v>
      </c>
      <c r="E39" s="199" t="s">
        <v>1784</v>
      </c>
      <c r="F39" s="199" t="s">
        <v>1785</v>
      </c>
    </row>
    <row r="40" spans="2:6" ht="16" x14ac:dyDescent="0.2">
      <c r="B40" s="194"/>
      <c r="C40" s="10"/>
      <c r="D40" s="198" t="s">
        <v>1786</v>
      </c>
      <c r="E40" s="199" t="s">
        <v>1787</v>
      </c>
      <c r="F40" s="199" t="s">
        <v>1788</v>
      </c>
    </row>
    <row r="41" spans="2:6" ht="16" x14ac:dyDescent="0.2">
      <c r="B41" s="194"/>
      <c r="C41" s="10"/>
      <c r="D41" s="198" t="s">
        <v>1789</v>
      </c>
      <c r="E41" s="199" t="s">
        <v>1790</v>
      </c>
      <c r="F41" s="199" t="s">
        <v>1790</v>
      </c>
    </row>
    <row r="42" spans="2:6" ht="16" x14ac:dyDescent="0.2">
      <c r="B42" s="194"/>
      <c r="C42" s="10"/>
      <c r="D42" s="198" t="s">
        <v>1791</v>
      </c>
      <c r="E42" s="199" t="s">
        <v>1792</v>
      </c>
      <c r="F42" s="199" t="s">
        <v>1793</v>
      </c>
    </row>
    <row r="43" spans="2:6" ht="16" x14ac:dyDescent="0.2">
      <c r="B43" s="194"/>
      <c r="C43" s="10"/>
      <c r="D43" s="198" t="s">
        <v>1794</v>
      </c>
      <c r="E43" s="199" t="s">
        <v>1795</v>
      </c>
      <c r="F43" s="199" t="s">
        <v>1796</v>
      </c>
    </row>
    <row r="44" spans="2:6" ht="16" x14ac:dyDescent="0.2">
      <c r="B44" s="194"/>
      <c r="C44" s="10"/>
      <c r="D44" s="198" t="s">
        <v>1797</v>
      </c>
      <c r="E44" s="199" t="s">
        <v>1798</v>
      </c>
      <c r="F44" s="199" t="s">
        <v>1799</v>
      </c>
    </row>
    <row r="45" spans="2:6" ht="16" x14ac:dyDescent="0.2">
      <c r="B45" s="194"/>
      <c r="C45" s="10"/>
      <c r="D45" s="198" t="s">
        <v>1800</v>
      </c>
      <c r="E45" s="199" t="s">
        <v>1801</v>
      </c>
      <c r="F45" s="199" t="s">
        <v>1802</v>
      </c>
    </row>
    <row r="46" spans="2:6" ht="16" x14ac:dyDescent="0.2">
      <c r="B46" s="194"/>
      <c r="C46" s="10"/>
      <c r="D46" s="198" t="s">
        <v>1803</v>
      </c>
      <c r="E46" s="199" t="s">
        <v>1804</v>
      </c>
      <c r="F46" s="199" t="s">
        <v>1805</v>
      </c>
    </row>
    <row r="47" spans="2:6" ht="16" x14ac:dyDescent="0.2">
      <c r="B47" s="194"/>
      <c r="C47" s="251"/>
      <c r="D47" s="198" t="s">
        <v>1806</v>
      </c>
      <c r="E47" s="200" t="s">
        <v>1807</v>
      </c>
      <c r="F47" s="200" t="s">
        <v>1808</v>
      </c>
    </row>
    <row r="48" spans="2:6" ht="16" x14ac:dyDescent="0.2">
      <c r="B48" s="194"/>
      <c r="C48" s="10"/>
      <c r="D48" s="198" t="s">
        <v>1809</v>
      </c>
      <c r="E48" s="199" t="s">
        <v>1810</v>
      </c>
      <c r="F48" s="199" t="s">
        <v>1810</v>
      </c>
    </row>
    <row r="49" spans="2:6" ht="16" x14ac:dyDescent="0.2">
      <c r="B49" s="194"/>
      <c r="C49" s="10"/>
      <c r="D49" s="198" t="s">
        <v>1811</v>
      </c>
      <c r="E49" s="199" t="s">
        <v>1812</v>
      </c>
      <c r="F49" s="199" t="s">
        <v>1813</v>
      </c>
    </row>
    <row r="50" spans="2:6" ht="16" x14ac:dyDescent="0.2">
      <c r="B50" s="194"/>
      <c r="C50" s="10"/>
      <c r="D50" s="198" t="s">
        <v>1814</v>
      </c>
      <c r="E50" s="199" t="s">
        <v>1815</v>
      </c>
      <c r="F50" s="199" t="s">
        <v>1816</v>
      </c>
    </row>
    <row r="51" spans="2:6" ht="16" x14ac:dyDescent="0.2">
      <c r="B51" s="194"/>
      <c r="C51" s="10"/>
      <c r="D51" s="198" t="s">
        <v>1817</v>
      </c>
      <c r="E51" s="199" t="s">
        <v>1818</v>
      </c>
      <c r="F51" s="199" t="s">
        <v>1819</v>
      </c>
    </row>
    <row r="52" spans="2:6" ht="16" x14ac:dyDescent="0.2">
      <c r="B52" s="194"/>
      <c r="C52" s="251"/>
      <c r="D52" s="198" t="s">
        <v>1820</v>
      </c>
      <c r="E52" s="200" t="s">
        <v>1821</v>
      </c>
      <c r="F52" s="200" t="s">
        <v>1822</v>
      </c>
    </row>
    <row r="53" spans="2:6" ht="16" x14ac:dyDescent="0.2">
      <c r="B53" s="194"/>
      <c r="C53" s="10"/>
      <c r="D53" s="198" t="s">
        <v>1823</v>
      </c>
      <c r="E53" s="199" t="s">
        <v>1824</v>
      </c>
      <c r="F53" s="199" t="s">
        <v>1825</v>
      </c>
    </row>
    <row r="54" spans="2:6" ht="16" x14ac:dyDescent="0.2">
      <c r="B54" s="194"/>
      <c r="C54" s="10"/>
      <c r="D54" s="198" t="s">
        <v>1826</v>
      </c>
      <c r="E54" s="199" t="s">
        <v>1827</v>
      </c>
      <c r="F54" s="199" t="s">
        <v>1828</v>
      </c>
    </row>
    <row r="55" spans="2:6" ht="16" x14ac:dyDescent="0.2">
      <c r="B55" s="194"/>
      <c r="C55" s="10"/>
      <c r="D55" s="198" t="s">
        <v>1829</v>
      </c>
      <c r="E55" s="199" t="s">
        <v>1830</v>
      </c>
      <c r="F55" s="199" t="s">
        <v>1831</v>
      </c>
    </row>
    <row r="56" spans="2:6" ht="16" x14ac:dyDescent="0.2">
      <c r="B56" s="194"/>
      <c r="C56" s="10"/>
      <c r="D56" s="198" t="s">
        <v>1832</v>
      </c>
      <c r="E56" s="199" t="s">
        <v>1833</v>
      </c>
      <c r="F56" s="199" t="s">
        <v>1834</v>
      </c>
    </row>
    <row r="57" spans="2:6" ht="16" x14ac:dyDescent="0.2">
      <c r="B57" s="194"/>
      <c r="C57" s="10"/>
      <c r="D57" s="198" t="s">
        <v>1835</v>
      </c>
      <c r="E57" s="199" t="s">
        <v>1836</v>
      </c>
      <c r="F57" s="199" t="s">
        <v>1837</v>
      </c>
    </row>
    <row r="58" spans="2:6" ht="16" x14ac:dyDescent="0.2">
      <c r="B58" s="194"/>
      <c r="C58" s="10"/>
      <c r="D58" s="198" t="s">
        <v>1838</v>
      </c>
      <c r="E58" s="199" t="s">
        <v>1839</v>
      </c>
      <c r="F58" s="199" t="s">
        <v>1840</v>
      </c>
    </row>
    <row r="59" spans="2:6" ht="16" x14ac:dyDescent="0.2">
      <c r="B59" s="194"/>
      <c r="C59" s="10"/>
      <c r="D59" s="198" t="s">
        <v>1841</v>
      </c>
      <c r="E59" s="199" t="s">
        <v>1842</v>
      </c>
      <c r="F59" s="199" t="s">
        <v>1843</v>
      </c>
    </row>
    <row r="60" spans="2:6" ht="16" x14ac:dyDescent="0.2">
      <c r="B60" s="194"/>
      <c r="C60" s="10"/>
      <c r="D60" s="198" t="s">
        <v>1844</v>
      </c>
      <c r="E60" s="199" t="s">
        <v>1845</v>
      </c>
      <c r="F60" s="199" t="s">
        <v>1846</v>
      </c>
    </row>
    <row r="61" spans="2:6" ht="16" x14ac:dyDescent="0.2">
      <c r="B61" s="194"/>
      <c r="C61" s="10"/>
      <c r="D61" s="198" t="s">
        <v>1847</v>
      </c>
      <c r="E61" s="199" t="s">
        <v>1848</v>
      </c>
      <c r="F61" s="199" t="s">
        <v>1849</v>
      </c>
    </row>
    <row r="62" spans="2:6" ht="16" x14ac:dyDescent="0.2">
      <c r="B62" s="194"/>
      <c r="C62" s="10"/>
      <c r="D62" s="198" t="s">
        <v>1850</v>
      </c>
      <c r="E62" s="199" t="s">
        <v>1851</v>
      </c>
      <c r="F62" s="199" t="s">
        <v>1852</v>
      </c>
    </row>
    <row r="63" spans="2:6" ht="16" x14ac:dyDescent="0.2">
      <c r="B63" s="194"/>
      <c r="C63" s="10"/>
      <c r="D63" s="198" t="s">
        <v>1853</v>
      </c>
      <c r="E63" s="199" t="s">
        <v>1854</v>
      </c>
      <c r="F63" s="199" t="s">
        <v>1855</v>
      </c>
    </row>
    <row r="64" spans="2:6" ht="16" x14ac:dyDescent="0.2">
      <c r="B64" s="194"/>
      <c r="C64" s="10"/>
      <c r="D64" s="198" t="s">
        <v>1856</v>
      </c>
      <c r="E64" s="199" t="s">
        <v>1857</v>
      </c>
      <c r="F64" s="199" t="s">
        <v>1857</v>
      </c>
    </row>
    <row r="65" spans="2:6" ht="16" x14ac:dyDescent="0.2">
      <c r="B65" s="194"/>
      <c r="C65" s="10"/>
      <c r="D65" s="198" t="s">
        <v>1858</v>
      </c>
      <c r="E65" s="199" t="s">
        <v>1859</v>
      </c>
      <c r="F65" s="199" t="s">
        <v>1860</v>
      </c>
    </row>
    <row r="66" spans="2:6" ht="16" x14ac:dyDescent="0.2">
      <c r="B66" s="194"/>
      <c r="C66" s="10"/>
      <c r="D66" s="198" t="s">
        <v>1861</v>
      </c>
      <c r="E66" s="199" t="s">
        <v>1862</v>
      </c>
      <c r="F66" s="199" t="s">
        <v>1863</v>
      </c>
    </row>
    <row r="67" spans="2:6" ht="16" x14ac:dyDescent="0.2">
      <c r="B67" s="194"/>
      <c r="C67" s="10"/>
      <c r="D67" s="198" t="s">
        <v>1864</v>
      </c>
      <c r="E67" s="199" t="s">
        <v>1865</v>
      </c>
      <c r="F67" s="199" t="s">
        <v>1866</v>
      </c>
    </row>
    <row r="68" spans="2:6" ht="16" x14ac:dyDescent="0.2">
      <c r="B68" s="194"/>
      <c r="C68" s="10"/>
      <c r="D68" s="198" t="s">
        <v>1867</v>
      </c>
      <c r="E68" s="199" t="s">
        <v>1868</v>
      </c>
      <c r="F68" s="199" t="s">
        <v>1869</v>
      </c>
    </row>
    <row r="69" spans="2:6" ht="16" x14ac:dyDescent="0.2">
      <c r="B69" s="194"/>
      <c r="C69" s="10"/>
      <c r="D69" s="198" t="s">
        <v>1870</v>
      </c>
      <c r="E69" s="199" t="s">
        <v>1871</v>
      </c>
      <c r="F69" s="199" t="s">
        <v>1872</v>
      </c>
    </row>
    <row r="70" spans="2:6" ht="16" x14ac:dyDescent="0.2">
      <c r="B70" s="194"/>
      <c r="C70" s="10"/>
      <c r="D70" s="198" t="s">
        <v>1873</v>
      </c>
      <c r="E70" s="199" t="s">
        <v>1874</v>
      </c>
      <c r="F70" s="199" t="s">
        <v>1875</v>
      </c>
    </row>
    <row r="71" spans="2:6" ht="16" x14ac:dyDescent="0.2">
      <c r="B71" s="194"/>
      <c r="C71" s="251"/>
      <c r="D71" s="198" t="s">
        <v>1876</v>
      </c>
      <c r="E71" s="200" t="s">
        <v>1877</v>
      </c>
      <c r="F71" s="200" t="s">
        <v>1878</v>
      </c>
    </row>
    <row r="72" spans="2:6" ht="16" x14ac:dyDescent="0.2">
      <c r="B72" s="194"/>
      <c r="C72" s="10"/>
      <c r="D72" s="198" t="s">
        <v>1879</v>
      </c>
      <c r="E72" s="199" t="s">
        <v>1880</v>
      </c>
      <c r="F72" s="199" t="s">
        <v>1881</v>
      </c>
    </row>
    <row r="73" spans="2:6" ht="16" x14ac:dyDescent="0.2">
      <c r="B73" s="194"/>
      <c r="C73" s="10"/>
      <c r="D73" s="198" t="s">
        <v>1882</v>
      </c>
      <c r="E73" s="199" t="s">
        <v>1883</v>
      </c>
      <c r="F73" s="199" t="s">
        <v>1884</v>
      </c>
    </row>
    <row r="74" spans="2:6" ht="16" x14ac:dyDescent="0.2">
      <c r="B74" s="194"/>
      <c r="C74" s="10"/>
      <c r="D74" s="198" t="s">
        <v>1885</v>
      </c>
      <c r="E74" s="199" t="s">
        <v>1886</v>
      </c>
      <c r="F74" s="199" t="s">
        <v>1887</v>
      </c>
    </row>
    <row r="75" spans="2:6" ht="16" x14ac:dyDescent="0.2">
      <c r="B75" s="194"/>
      <c r="C75" s="10"/>
      <c r="D75" s="198" t="s">
        <v>1888</v>
      </c>
      <c r="E75" s="199" t="s">
        <v>1889</v>
      </c>
      <c r="F75" s="199" t="s">
        <v>1890</v>
      </c>
    </row>
    <row r="76" spans="2:6" ht="16" x14ac:dyDescent="0.2">
      <c r="B76" s="194"/>
      <c r="C76" s="10"/>
      <c r="D76" s="198" t="s">
        <v>1891</v>
      </c>
      <c r="E76" s="199" t="s">
        <v>1892</v>
      </c>
      <c r="F76" s="199" t="s">
        <v>1893</v>
      </c>
    </row>
    <row r="77" spans="2:6" ht="16" x14ac:dyDescent="0.2">
      <c r="B77" s="194"/>
      <c r="C77" s="10"/>
      <c r="D77" s="198" t="s">
        <v>1894</v>
      </c>
      <c r="E77" s="199" t="s">
        <v>1895</v>
      </c>
      <c r="F77" s="199" t="s">
        <v>1896</v>
      </c>
    </row>
    <row r="78" spans="2:6" ht="16" x14ac:dyDescent="0.2">
      <c r="B78" s="194"/>
      <c r="C78" s="10"/>
      <c r="D78" s="198" t="s">
        <v>1897</v>
      </c>
      <c r="E78" s="199" t="s">
        <v>1898</v>
      </c>
      <c r="F78" s="199" t="s">
        <v>1899</v>
      </c>
    </row>
    <row r="79" spans="2:6" ht="16" x14ac:dyDescent="0.2">
      <c r="B79" s="194"/>
      <c r="C79" s="10"/>
      <c r="D79" s="198" t="s">
        <v>1900</v>
      </c>
      <c r="E79" s="199" t="s">
        <v>1901</v>
      </c>
      <c r="F79" s="199" t="s">
        <v>1902</v>
      </c>
    </row>
    <row r="80" spans="2:6" ht="16" x14ac:dyDescent="0.2">
      <c r="B80" s="194"/>
      <c r="C80" s="251"/>
      <c r="D80" s="198" t="s">
        <v>1903</v>
      </c>
      <c r="E80" s="200" t="s">
        <v>1904</v>
      </c>
      <c r="F80" s="200" t="s">
        <v>1905</v>
      </c>
    </row>
    <row r="81" spans="2:6" ht="16" x14ac:dyDescent="0.2">
      <c r="B81" s="194"/>
      <c r="C81" s="10"/>
      <c r="D81" s="198" t="s">
        <v>1906</v>
      </c>
      <c r="E81" s="199" t="s">
        <v>1907</v>
      </c>
      <c r="F81" s="199" t="s">
        <v>1908</v>
      </c>
    </row>
    <row r="82" spans="2:6" ht="16" x14ac:dyDescent="0.2">
      <c r="B82" s="194"/>
      <c r="C82" s="10"/>
      <c r="D82" s="198" t="s">
        <v>1909</v>
      </c>
      <c r="E82" s="199" t="s">
        <v>1910</v>
      </c>
      <c r="F82" s="199" t="s">
        <v>1911</v>
      </c>
    </row>
    <row r="83" spans="2:6" ht="16" x14ac:dyDescent="0.2">
      <c r="B83" s="194"/>
      <c r="C83" s="10"/>
      <c r="D83" s="198" t="s">
        <v>1912</v>
      </c>
      <c r="E83" s="199" t="s">
        <v>1913</v>
      </c>
      <c r="F83" s="199" t="s">
        <v>1914</v>
      </c>
    </row>
    <row r="84" spans="2:6" ht="16" x14ac:dyDescent="0.2">
      <c r="B84" s="194"/>
      <c r="C84" s="10"/>
      <c r="D84" s="198" t="s">
        <v>1915</v>
      </c>
      <c r="E84" s="199" t="s">
        <v>1916</v>
      </c>
      <c r="F84" s="199" t="s">
        <v>1917</v>
      </c>
    </row>
    <row r="85" spans="2:6" ht="16" x14ac:dyDescent="0.2">
      <c r="B85" s="194"/>
      <c r="C85" s="10"/>
      <c r="D85" s="198" t="s">
        <v>1918</v>
      </c>
      <c r="E85" s="199" t="s">
        <v>1919</v>
      </c>
      <c r="F85" s="199" t="s">
        <v>1920</v>
      </c>
    </row>
    <row r="86" spans="2:6" ht="16" x14ac:dyDescent="0.2">
      <c r="B86" s="194"/>
      <c r="C86" s="251"/>
      <c r="D86" s="198" t="s">
        <v>1921</v>
      </c>
      <c r="E86" s="200" t="s">
        <v>1922</v>
      </c>
      <c r="F86" s="200" t="s">
        <v>1923</v>
      </c>
    </row>
    <row r="87" spans="2:6" ht="16" x14ac:dyDescent="0.2">
      <c r="B87" s="194"/>
      <c r="C87" s="10"/>
      <c r="D87" s="198" t="s">
        <v>1924</v>
      </c>
      <c r="E87" s="199" t="s">
        <v>1925</v>
      </c>
      <c r="F87" s="199" t="s">
        <v>1926</v>
      </c>
    </row>
    <row r="88" spans="2:6" ht="16" x14ac:dyDescent="0.2">
      <c r="B88" s="194"/>
      <c r="C88" s="10"/>
      <c r="D88" s="198" t="s">
        <v>1927</v>
      </c>
      <c r="E88" s="199" t="s">
        <v>1928</v>
      </c>
      <c r="F88" s="199" t="s">
        <v>1929</v>
      </c>
    </row>
    <row r="89" spans="2:6" ht="16" x14ac:dyDescent="0.2">
      <c r="B89" s="194"/>
      <c r="C89" s="10"/>
      <c r="D89" s="198" t="s">
        <v>1930</v>
      </c>
      <c r="E89" s="199" t="s">
        <v>1931</v>
      </c>
      <c r="F89" s="199" t="s">
        <v>1931</v>
      </c>
    </row>
    <row r="90" spans="2:6" ht="16" x14ac:dyDescent="0.2">
      <c r="B90" s="194"/>
      <c r="C90" s="10"/>
      <c r="D90" s="198" t="s">
        <v>1932</v>
      </c>
      <c r="E90" s="199" t="s">
        <v>1933</v>
      </c>
      <c r="F90" s="199" t="s">
        <v>1934</v>
      </c>
    </row>
    <row r="91" spans="2:6" ht="16" x14ac:dyDescent="0.2">
      <c r="B91" s="194"/>
      <c r="C91" s="10"/>
      <c r="D91" s="198" t="s">
        <v>1935</v>
      </c>
      <c r="E91" s="199" t="s">
        <v>1936</v>
      </c>
      <c r="F91" s="199" t="s">
        <v>1937</v>
      </c>
    </row>
    <row r="92" spans="2:6" ht="16" x14ac:dyDescent="0.2">
      <c r="B92" s="194"/>
      <c r="C92" s="10"/>
      <c r="D92" s="198" t="s">
        <v>1938</v>
      </c>
      <c r="E92" s="199" t="s">
        <v>1939</v>
      </c>
      <c r="F92" s="199" t="s">
        <v>1939</v>
      </c>
    </row>
    <row r="93" spans="2:6" ht="16" x14ac:dyDescent="0.2">
      <c r="B93" s="194"/>
      <c r="C93" s="251"/>
      <c r="D93" s="198" t="s">
        <v>1940</v>
      </c>
      <c r="E93" s="200" t="s">
        <v>1941</v>
      </c>
      <c r="F93" s="200" t="s">
        <v>1942</v>
      </c>
    </row>
    <row r="94" spans="2:6" x14ac:dyDescent="0.2">
      <c r="C94" s="201"/>
      <c r="D94" s="202"/>
      <c r="E94" s="203"/>
      <c r="F94" s="203"/>
    </row>
  </sheetData>
  <sheetProtection algorithmName="SHA-512" hashValue="D9O0lHytbk8oi/xkBvvDjlrHdnNLU6AHxF0gQB6yoM3ncgvpWK+WU/imuyWbqP5N9HJ0FN3PkBKXaPM97Zt4nA==" saltValue="ncs6yxi07yr9ySeByqkykA==" spinCount="100000" sheet="1" selectLockedCells="1"/>
  <dataValidations count="1">
    <dataValidation type="list" allowBlank="1"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zoomScale="80" zoomScaleNormal="80" workbookViewId="0">
      <selection activeCell="E3" sqref="E3"/>
    </sheetView>
  </sheetViews>
  <sheetFormatPr baseColWidth="10" defaultColWidth="10.83203125" defaultRowHeight="16" x14ac:dyDescent="0.2"/>
  <cols>
    <col min="1" max="1" width="10.83203125" style="21"/>
    <col min="2" max="2" width="8.83203125" style="21" customWidth="1"/>
    <col min="3" max="3" width="27.6640625" style="21" customWidth="1"/>
    <col min="4" max="5" width="20.83203125" style="21" customWidth="1"/>
    <col min="6" max="7" width="46.5" style="49" customWidth="1"/>
    <col min="8" max="8" width="20.83203125" style="49" customWidth="1"/>
    <col min="9" max="9" width="20.83203125" style="21" customWidth="1"/>
    <col min="10" max="16384" width="10.83203125" style="21"/>
  </cols>
  <sheetData>
    <row r="1" spans="1:11" ht="17" thickBot="1" x14ac:dyDescent="0.25">
      <c r="C1" s="22"/>
      <c r="D1" s="22"/>
      <c r="E1" s="22"/>
      <c r="F1" s="44"/>
      <c r="G1" s="44"/>
      <c r="H1" s="44"/>
      <c r="I1" s="22"/>
    </row>
    <row r="2" spans="1:11" s="49" customFormat="1" ht="33" thickBot="1" x14ac:dyDescent="0.25">
      <c r="A2" s="75"/>
      <c r="B2" s="76"/>
      <c r="C2" s="77" t="s">
        <v>1943</v>
      </c>
      <c r="D2" s="78" t="s">
        <v>1944</v>
      </c>
      <c r="E2" s="79" t="s">
        <v>1945</v>
      </c>
      <c r="F2" s="45" t="s">
        <v>1946</v>
      </c>
      <c r="G2" s="87" t="s">
        <v>1947</v>
      </c>
      <c r="H2" s="78" t="s">
        <v>1948</v>
      </c>
      <c r="I2" s="80" t="s">
        <v>1949</v>
      </c>
      <c r="J2" s="81"/>
    </row>
    <row r="3" spans="1:11" ht="62.5" customHeight="1" x14ac:dyDescent="0.2">
      <c r="A3" s="23"/>
      <c r="B3" s="312" t="s">
        <v>1950</v>
      </c>
      <c r="C3" s="58" t="s">
        <v>1951</v>
      </c>
      <c r="D3" s="292" t="str">
        <f>IF(E3="","",E3)</f>
        <v/>
      </c>
      <c r="E3" s="300"/>
      <c r="F3" s="46" t="s">
        <v>1952</v>
      </c>
      <c r="G3" s="178" t="s">
        <v>1953</v>
      </c>
      <c r="H3" s="93" t="s">
        <v>1954</v>
      </c>
      <c r="I3" s="83" t="s">
        <v>1954</v>
      </c>
      <c r="J3" s="24"/>
    </row>
    <row r="4" spans="1:11" ht="31.75" customHeight="1" x14ac:dyDescent="0.2">
      <c r="A4" s="23"/>
      <c r="B4" s="307"/>
      <c r="C4" s="36" t="s">
        <v>1955</v>
      </c>
      <c r="D4" s="293" t="str">
        <f>IF(E4="","",E4)</f>
        <v/>
      </c>
      <c r="E4" s="243"/>
      <c r="F4" s="73" t="s">
        <v>1956</v>
      </c>
      <c r="G4" s="179" t="s">
        <v>1957</v>
      </c>
      <c r="H4" s="94">
        <v>18</v>
      </c>
      <c r="I4" s="84">
        <v>18</v>
      </c>
      <c r="J4" s="24"/>
    </row>
    <row r="5" spans="1:11" ht="43.25" customHeight="1" x14ac:dyDescent="0.2">
      <c r="A5" s="23"/>
      <c r="B5" s="307"/>
      <c r="C5" s="37" t="s">
        <v>1958</v>
      </c>
      <c r="D5" s="293" t="str">
        <f>IF(E5="","",E5)</f>
        <v/>
      </c>
      <c r="E5" s="34"/>
      <c r="F5" s="73" t="s">
        <v>1959</v>
      </c>
      <c r="G5" s="179" t="s">
        <v>1960</v>
      </c>
      <c r="H5" s="95" t="s">
        <v>1961</v>
      </c>
      <c r="I5" s="25" t="s">
        <v>1961</v>
      </c>
      <c r="J5" s="24"/>
    </row>
    <row r="6" spans="1:11" ht="48" x14ac:dyDescent="0.2">
      <c r="A6" s="23"/>
      <c r="B6" s="307"/>
      <c r="C6" s="38" t="s">
        <v>1962</v>
      </c>
      <c r="D6" s="293" t="str">
        <f>IF(E6="","",E6)</f>
        <v/>
      </c>
      <c r="E6" s="34"/>
      <c r="F6" s="74" t="s">
        <v>1963</v>
      </c>
      <c r="G6" s="179" t="s">
        <v>1964</v>
      </c>
      <c r="H6" s="96" t="s">
        <v>1965</v>
      </c>
      <c r="I6" s="26" t="s">
        <v>1965</v>
      </c>
      <c r="J6" s="24"/>
    </row>
    <row r="7" spans="1:11" ht="96" x14ac:dyDescent="0.2">
      <c r="A7" s="23"/>
      <c r="B7" s="307"/>
      <c r="C7" s="38" t="s">
        <v>1966</v>
      </c>
      <c r="D7" s="294" t="str">
        <f>IF(E7="une année normale","a normal year",IF(E7="l'année dernière","last year",""))</f>
        <v/>
      </c>
      <c r="E7" s="34"/>
      <c r="F7" s="265" t="s">
        <v>1967</v>
      </c>
      <c r="G7" s="179" t="s">
        <v>1968</v>
      </c>
      <c r="H7" s="96" t="s">
        <v>1969</v>
      </c>
      <c r="I7" s="26" t="s">
        <v>1970</v>
      </c>
      <c r="J7" s="24"/>
    </row>
    <row r="8" spans="1:11" ht="80" x14ac:dyDescent="0.2">
      <c r="A8" s="23"/>
      <c r="B8" s="307"/>
      <c r="C8" s="38" t="s">
        <v>1971</v>
      </c>
      <c r="D8" s="34"/>
      <c r="E8" s="34"/>
      <c r="F8" s="82" t="s">
        <v>1972</v>
      </c>
      <c r="G8" s="85" t="s">
        <v>1973</v>
      </c>
      <c r="H8" s="97" t="s">
        <v>1974</v>
      </c>
      <c r="I8" s="27" t="s">
        <v>1975</v>
      </c>
      <c r="J8" s="24"/>
      <c r="K8" s="295"/>
    </row>
    <row r="9" spans="1:11" ht="96" x14ac:dyDescent="0.2">
      <c r="A9" s="23"/>
      <c r="B9" s="307"/>
      <c r="C9" s="38" t="s">
        <v>1976</v>
      </c>
      <c r="D9" s="186" t="str">
        <f>IF(E9="Pas encore en saison","Not yet in season",IF(E9="Préparation du terrain","Land preparation",IF(E9="Semis / plantation","Planting",IF(E9="Début de la croissance","Early growing",IF(E9="Croissance","Growing",IF(E9="Proche de la récolte","Maturing",IF(E9="Récolte","Harvesting",IF(E9="Post-récolte","Recently finished",""))))))))</f>
        <v/>
      </c>
      <c r="E9" s="177"/>
      <c r="F9" s="82" t="s">
        <v>1977</v>
      </c>
      <c r="G9" s="85" t="s">
        <v>1978</v>
      </c>
      <c r="H9" s="97" t="s">
        <v>1979</v>
      </c>
      <c r="I9" s="27" t="s">
        <v>1980</v>
      </c>
      <c r="J9" s="24"/>
    </row>
    <row r="10" spans="1:11" s="282" customFormat="1" ht="64" x14ac:dyDescent="0.2">
      <c r="A10" s="274"/>
      <c r="B10" s="307"/>
      <c r="C10" s="305" t="s">
        <v>2020</v>
      </c>
      <c r="D10" s="275"/>
      <c r="E10" s="276"/>
      <c r="F10" s="277" t="s">
        <v>1981</v>
      </c>
      <c r="G10" s="278" t="s">
        <v>1982</v>
      </c>
      <c r="H10" s="279" t="s">
        <v>1983</v>
      </c>
      <c r="I10" s="280" t="s">
        <v>1983</v>
      </c>
      <c r="J10" s="281"/>
    </row>
    <row r="11" spans="1:11" s="287" customFormat="1" ht="49" thickBot="1" x14ac:dyDescent="0.25">
      <c r="A11" s="283"/>
      <c r="B11" s="308"/>
      <c r="C11" s="306" t="s">
        <v>2021</v>
      </c>
      <c r="D11" s="288" t="str">
        <f>IF(E11&lt;&gt;"",E11,"")</f>
        <v/>
      </c>
      <c r="E11" s="289"/>
      <c r="F11" s="284" t="s">
        <v>1984</v>
      </c>
      <c r="G11" s="285" t="s">
        <v>1985</v>
      </c>
      <c r="H11" s="290">
        <v>0.2</v>
      </c>
      <c r="I11" s="291">
        <v>0.2</v>
      </c>
      <c r="J11" s="286"/>
    </row>
    <row r="12" spans="1:11" ht="32" x14ac:dyDescent="0.2">
      <c r="A12" s="23"/>
      <c r="B12" s="307" t="s">
        <v>1986</v>
      </c>
      <c r="C12" s="39" t="s">
        <v>1987</v>
      </c>
      <c r="D12" s="302" t="str">
        <f>IF(E12="","",E12)</f>
        <v/>
      </c>
      <c r="E12" s="301"/>
      <c r="F12" s="47" t="s">
        <v>1988</v>
      </c>
      <c r="G12" s="180" t="s">
        <v>1989</v>
      </c>
      <c r="H12" s="95" t="s">
        <v>1990</v>
      </c>
      <c r="I12" s="25" t="s">
        <v>1990</v>
      </c>
      <c r="J12" s="24"/>
    </row>
    <row r="13" spans="1:11" ht="112" x14ac:dyDescent="0.2">
      <c r="A13" s="23"/>
      <c r="B13" s="307"/>
      <c r="C13" s="181" t="s">
        <v>1991</v>
      </c>
      <c r="D13" s="303" t="str">
        <f t="shared" ref="D13:D14" si="0">IF(E13="","",E13)</f>
        <v/>
      </c>
      <c r="E13" s="304"/>
      <c r="F13" s="182" t="s">
        <v>1992</v>
      </c>
      <c r="G13" s="183" t="s">
        <v>1993</v>
      </c>
      <c r="H13" s="97">
        <v>5</v>
      </c>
      <c r="I13" s="27">
        <v>5</v>
      </c>
      <c r="J13" s="43"/>
      <c r="K13" s="69"/>
    </row>
    <row r="14" spans="1:11" ht="149.5" customHeight="1" x14ac:dyDescent="0.2">
      <c r="A14" s="23"/>
      <c r="B14" s="307"/>
      <c r="C14" s="181" t="s">
        <v>1994</v>
      </c>
      <c r="D14" s="303" t="str">
        <f t="shared" si="0"/>
        <v/>
      </c>
      <c r="E14" s="304"/>
      <c r="F14" s="28" t="s">
        <v>1995</v>
      </c>
      <c r="G14" s="183" t="s">
        <v>1996</v>
      </c>
      <c r="H14" s="97">
        <v>1200000</v>
      </c>
      <c r="I14" s="27">
        <v>1200000</v>
      </c>
      <c r="J14" s="24"/>
    </row>
    <row r="15" spans="1:11" ht="48" x14ac:dyDescent="0.2">
      <c r="A15" s="23"/>
      <c r="B15" s="307"/>
      <c r="C15" s="72" t="s">
        <v>1997</v>
      </c>
      <c r="D15" s="33"/>
      <c r="E15" s="56"/>
      <c r="F15" s="28" t="s">
        <v>1998</v>
      </c>
      <c r="G15" s="86" t="s">
        <v>1999</v>
      </c>
      <c r="H15" s="97" t="s">
        <v>2000</v>
      </c>
      <c r="I15" s="27" t="s">
        <v>2001</v>
      </c>
      <c r="J15" s="24"/>
    </row>
    <row r="16" spans="1:11" ht="49" thickBot="1" x14ac:dyDescent="0.25">
      <c r="A16" s="23"/>
      <c r="B16" s="308"/>
      <c r="C16" s="176" t="s">
        <v>2002</v>
      </c>
      <c r="D16" s="35"/>
      <c r="E16" s="57"/>
      <c r="F16" s="29" t="s">
        <v>2003</v>
      </c>
      <c r="G16" s="88" t="s">
        <v>2004</v>
      </c>
      <c r="H16" s="98" t="s">
        <v>2005</v>
      </c>
      <c r="I16" s="189" t="s">
        <v>2006</v>
      </c>
      <c r="J16" s="24"/>
    </row>
    <row r="17" spans="1:10" s="70" customFormat="1" ht="5.5" customHeight="1" thickBot="1" x14ac:dyDescent="0.25">
      <c r="A17" s="64"/>
      <c r="B17" s="65"/>
      <c r="C17" s="66"/>
      <c r="D17" s="184"/>
      <c r="E17" s="185"/>
      <c r="F17" s="67"/>
      <c r="G17" s="89"/>
      <c r="H17" s="99"/>
      <c r="I17" s="68"/>
      <c r="J17" s="69"/>
    </row>
    <row r="18" spans="1:10" ht="192" x14ac:dyDescent="0.2">
      <c r="A18" s="23"/>
      <c r="B18" s="309" t="s">
        <v>2007</v>
      </c>
      <c r="C18" s="59" t="s">
        <v>2008</v>
      </c>
      <c r="D18" s="296">
        <f>IF(E18="","",E18)</f>
        <v>0.91</v>
      </c>
      <c r="E18" s="297">
        <v>0.91</v>
      </c>
      <c r="F18" s="61" t="s">
        <v>2009</v>
      </c>
      <c r="G18" s="90" t="s">
        <v>2010</v>
      </c>
      <c r="H18" s="100">
        <v>0.91</v>
      </c>
      <c r="I18" s="60">
        <v>0.91</v>
      </c>
      <c r="J18" s="24"/>
    </row>
    <row r="19" spans="1:10" ht="176" x14ac:dyDescent="0.2">
      <c r="A19" s="23"/>
      <c r="B19" s="310"/>
      <c r="C19" s="40" t="s">
        <v>2011</v>
      </c>
      <c r="D19" s="187">
        <f t="shared" ref="D19:D20" si="1">IF(E19="","",E19)</f>
        <v>0.91</v>
      </c>
      <c r="E19" s="298">
        <v>0.91</v>
      </c>
      <c r="F19" s="62" t="s">
        <v>2012</v>
      </c>
      <c r="G19" s="91" t="s">
        <v>2013</v>
      </c>
      <c r="H19" s="101">
        <v>0.91</v>
      </c>
      <c r="I19" s="30">
        <v>0.91</v>
      </c>
      <c r="J19" s="24"/>
    </row>
    <row r="20" spans="1:10" ht="141" customHeight="1" thickBot="1" x14ac:dyDescent="0.25">
      <c r="A20" s="23"/>
      <c r="B20" s="311"/>
      <c r="C20" s="41" t="s">
        <v>2014</v>
      </c>
      <c r="D20" s="188">
        <f t="shared" si="1"/>
        <v>0.05</v>
      </c>
      <c r="E20" s="299">
        <v>0.05</v>
      </c>
      <c r="F20" s="63" t="s">
        <v>2015</v>
      </c>
      <c r="G20" s="92" t="s">
        <v>2016</v>
      </c>
      <c r="H20" s="102">
        <v>0.05</v>
      </c>
      <c r="I20" s="31">
        <v>0.05</v>
      </c>
      <c r="J20" s="24"/>
    </row>
    <row r="21" spans="1:10" x14ac:dyDescent="0.2">
      <c r="B21" s="32"/>
      <c r="C21" s="32"/>
      <c r="D21" s="32"/>
      <c r="E21" s="32"/>
      <c r="F21" s="48"/>
      <c r="G21" s="48"/>
      <c r="H21" s="48"/>
      <c r="I21" s="32"/>
    </row>
  </sheetData>
  <sheetProtection algorithmName="SHA-512" hashValue="1nw41kWpmRC3tvM6/fgrfVx4vl8jdomoND9NdTNXv4XY3ErWxDXwi2muDDk94euzkXF3bmhOvJ5qwCt+daOvvQ==" saltValue="yjhOW+rgbx0OB7AP5UVwBA==" spinCount="100000" sheet="1" objects="1" scenarios="1"/>
  <mergeCells count="3">
    <mergeCell ref="B12:B16"/>
    <mergeCell ref="B18:B20"/>
    <mergeCell ref="B3:B11"/>
  </mergeCells>
  <dataValidations count="3">
    <dataValidation type="list" allowBlank="1" showInputMessage="1" showErrorMessage="1" sqref="E9" xr:uid="{15347E08-650D-874F-8954-369B3EB06B29}">
      <formula1>"Pas encore en saison,Préparation du terrain,Semis / plantation,Début de la croissance,Croissance,Proche de la récolte,Récolte,Post-récolte"</formula1>
    </dataValidation>
    <dataValidation type="list" allowBlank="1" showInputMessage="1" showErrorMessage="1" sqref="D7" xr:uid="{912F3205-9803-AB43-8C48-2AAB7A966683}">
      <formula1>"last year, a normal year"</formula1>
    </dataValidation>
    <dataValidation type="list" allowBlank="1" showInputMessage="1" showErrorMessage="1" sqref="E7" xr:uid="{5B24B5B5-1031-0742-949F-49BC253180C3}">
      <formula1>"une année normale, l'année dernière"</formula1>
    </dataValidation>
  </dataValidations>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6" ma:contentTypeDescription="Create a new document." ma:contentTypeScope="" ma:versionID="4828c5410de3b85b98104ed3a3ae4778">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a29beb268dca3c918c18ecb5e9e0442b"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83E29E9-50F6-4C85-836A-A023FCCA6985}">
  <ds:schemaRefs>
    <ds:schemaRef ds:uri="http://schemas.microsoft.com/sharepoint/v3/contenttype/forms"/>
  </ds:schemaRefs>
</ds:datastoreItem>
</file>

<file path=customXml/itemProps2.xml><?xml version="1.0" encoding="utf-8"?>
<ds:datastoreItem xmlns:ds="http://schemas.openxmlformats.org/officeDocument/2006/customXml" ds:itemID="{5515B646-3C0A-4AE4-895D-12A144F3453E}">
  <ds:schemaRefs>
    <ds:schemaRef ds:uri="http://schemas.microsoft.com/office/infopath/2007/PartnerControls"/>
    <ds:schemaRef ds:uri="http://schemas.microsoft.com/office/2006/metadata/properties"/>
    <ds:schemaRef ds:uri="http://www.w3.org/XML/1998/namespace"/>
    <ds:schemaRef ds:uri="http://purl.org/dc/terms/"/>
    <ds:schemaRef ds:uri="http://purl.org/dc/dcmitype/"/>
    <ds:schemaRef ds:uri="http://schemas.microsoft.com/office/2006/documentManagement/types"/>
    <ds:schemaRef ds:uri="http://purl.org/dc/elements/1.1/"/>
    <ds:schemaRef ds:uri="http://schemas.openxmlformats.org/package/2006/metadata/core-properties"/>
    <ds:schemaRef ds:uri="4efa6d18-7e22-4963-b4bf-16e1a76dd523"/>
    <ds:schemaRef ds:uri="651ac188-b77a-445d-b0b3-bedb0cff8e72"/>
  </ds:schemaRefs>
</ds:datastoreItem>
</file>

<file path=customXml/itemProps3.xml><?xml version="1.0" encoding="utf-8"?>
<ds:datastoreItem xmlns:ds="http://schemas.openxmlformats.org/officeDocument/2006/customXml" ds:itemID="{259FB0AC-4C2D-4C47-84EF-ADEFE7CFB2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ac188-b77a-445d-b0b3-bedb0cff8e72"/>
    <ds:schemaRef ds:uri="4efa6d18-7e22-4963-b4bf-16e1a76dd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Lecland, Ines (OER)</dc:creator>
  <cp:keywords/>
  <dc:description/>
  <cp:lastModifiedBy>Ines Lecland</cp:lastModifiedBy>
  <cp:revision/>
  <dcterms:created xsi:type="dcterms:W3CDTF">2021-01-05T14:16:30Z</dcterms:created>
  <dcterms:modified xsi:type="dcterms:W3CDTF">2022-11-09T17:02:10Z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ies>
</file>