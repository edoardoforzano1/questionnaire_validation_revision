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801"/>
  <workbookPr defaultThemeVersion="124226"/>
  <mc:AlternateContent xmlns:mc="http://schemas.openxmlformats.org/markup-compatibility/2006">
    <mc:Choice Requires="x15">
      <x15ac:absPath xmlns:x15ac="http://schemas.microsoft.com/office/spreadsheetml/2010/11/ac" url="https://unfao.sharepoint.com/sites/OER/Evidence for programming/Needs Assessments/01. DIEM Monitoring/03. Toolbox/02. Questionnaires/"/>
    </mc:Choice>
  </mc:AlternateContent>
  <xr:revisionPtr revIDLastSave="113" documentId="8_{E9611F27-A21C-5B40-8EB6-96AC1458707A}" xr6:coauthVersionLast="47" xr6:coauthVersionMax="47" xr10:uidLastSave="{9F046BE9-CBE8-4A6F-A7DA-34B78B58FD7D}"/>
  <bookViews>
    <workbookView xWindow="1120" yWindow="500" windowWidth="26540" windowHeight="16520" xr2:uid="{00000000-000D-0000-FFFF-FFFF00000000}"/>
  </bookViews>
  <sheets>
    <sheet name="survey" sheetId="4" r:id="rId1"/>
    <sheet name="choices" sheetId="10" r:id="rId2"/>
    <sheet name="settings" sheetId="3" r:id="rId3"/>
    <sheet name="Crop list" sheetId="9" r:id="rId4"/>
    <sheet name="Additional information" sheetId="11" r:id="rId5"/>
  </sheets>
  <definedNames>
    <definedName name="_xlnm._FilterDatabase" localSheetId="1" hidden="1">choices!#REF!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41" i="4" l="1"/>
  <c r="Y41" i="4" s="1"/>
  <c r="E7" i="11"/>
  <c r="E9" i="11"/>
  <c r="E20" i="11"/>
  <c r="E19" i="11"/>
  <c r="E18" i="11"/>
  <c r="E14" i="11"/>
  <c r="E13" i="11"/>
  <c r="E12" i="11"/>
  <c r="E11" i="11"/>
  <c r="E4" i="11"/>
  <c r="E3" i="11"/>
  <c r="Z101" i="4"/>
  <c r="Y101" i="4"/>
  <c r="X101" i="4"/>
  <c r="Z87" i="4"/>
  <c r="Y87" i="4"/>
  <c r="X87" i="4"/>
  <c r="Z76" i="4"/>
  <c r="Y76" i="4"/>
  <c r="X76" i="4"/>
  <c r="X151" i="4"/>
  <c r="X153" i="4"/>
  <c r="X152" i="4"/>
  <c r="X113" i="4"/>
  <c r="X112" i="4"/>
  <c r="X111" i="4"/>
  <c r="X110" i="4"/>
  <c r="X109" i="4"/>
  <c r="Y109" i="4" s="1"/>
  <c r="X108" i="4"/>
  <c r="X107" i="4"/>
  <c r="X106" i="4"/>
  <c r="X105" i="4"/>
  <c r="X104" i="4"/>
  <c r="X100" i="4"/>
  <c r="X99" i="4"/>
  <c r="X98" i="4"/>
  <c r="X97" i="4"/>
  <c r="X96" i="4"/>
  <c r="X95" i="4"/>
  <c r="X94" i="4"/>
  <c r="X93" i="4"/>
  <c r="X92" i="4"/>
  <c r="X91" i="4"/>
  <c r="X90" i="4"/>
  <c r="X86" i="4"/>
  <c r="X85" i="4"/>
  <c r="X84" i="4"/>
  <c r="X83" i="4"/>
  <c r="X82" i="4"/>
  <c r="X81" i="4"/>
  <c r="X80" i="4"/>
  <c r="X79" i="4"/>
  <c r="Y79" i="4" s="1"/>
  <c r="X78" i="4"/>
  <c r="X77" i="4"/>
  <c r="X72" i="4"/>
  <c r="X71" i="4"/>
  <c r="X70" i="4"/>
  <c r="X69" i="4"/>
  <c r="X68" i="4"/>
  <c r="X67" i="4"/>
  <c r="Y67" i="4" s="1"/>
  <c r="X66" i="4"/>
  <c r="X65" i="4"/>
  <c r="X64" i="4"/>
  <c r="X63" i="4"/>
  <c r="X62" i="4"/>
  <c r="X61" i="4"/>
  <c r="X60" i="4"/>
  <c r="X59" i="4"/>
  <c r="Y59" i="4" s="1"/>
  <c r="X58" i="4"/>
  <c r="X57" i="4"/>
  <c r="X56" i="4"/>
  <c r="X55" i="4"/>
  <c r="X54" i="4"/>
  <c r="X53" i="4"/>
  <c r="X52" i="4"/>
  <c r="X51" i="4"/>
  <c r="Y51" i="4" s="1"/>
  <c r="X50" i="4"/>
  <c r="X49" i="4"/>
  <c r="X48" i="4"/>
  <c r="X47" i="4"/>
  <c r="X45" i="4"/>
  <c r="X42" i="4"/>
  <c r="X40" i="4"/>
  <c r="X39" i="4"/>
  <c r="X38" i="4"/>
  <c r="X37" i="4"/>
  <c r="X36" i="4"/>
  <c r="X35" i="4"/>
  <c r="X34" i="4"/>
  <c r="X33" i="4"/>
  <c r="X32" i="4"/>
  <c r="X31" i="4"/>
  <c r="Y31" i="4" s="1"/>
  <c r="X30" i="4"/>
  <c r="X29" i="4"/>
  <c r="X28" i="4"/>
  <c r="X27" i="4"/>
  <c r="X26" i="4"/>
  <c r="X25" i="4"/>
  <c r="X24" i="4"/>
  <c r="X23" i="4"/>
  <c r="Z23" i="4" s="1"/>
  <c r="X22" i="4"/>
  <c r="X21" i="4"/>
  <c r="X20" i="4"/>
  <c r="Z19" i="4"/>
  <c r="Y19" i="4"/>
  <c r="Y15" i="4"/>
  <c r="X14" i="4"/>
  <c r="X150" i="4"/>
  <c r="Y150" i="4" s="1"/>
  <c r="X149" i="4"/>
  <c r="Y149" i="4"/>
  <c r="X135" i="4"/>
  <c r="Y135" i="4" s="1"/>
  <c r="Z135" i="4"/>
  <c r="X136" i="4"/>
  <c r="Y136" i="4"/>
  <c r="Z136" i="4"/>
  <c r="X137" i="4"/>
  <c r="Y137" i="4"/>
  <c r="Z137" i="4"/>
  <c r="X138" i="4"/>
  <c r="Y138" i="4"/>
  <c r="Z138" i="4"/>
  <c r="X139" i="4"/>
  <c r="Y139" i="4" s="1"/>
  <c r="Z139" i="4"/>
  <c r="Y52" i="4"/>
  <c r="Z318" i="4"/>
  <c r="Z314" i="4"/>
  <c r="Y314" i="4"/>
  <c r="Z313" i="4"/>
  <c r="Y313" i="4"/>
  <c r="Z312" i="4"/>
  <c r="Y312" i="4"/>
  <c r="Z311" i="4"/>
  <c r="Y311" i="4"/>
  <c r="Z310" i="4"/>
  <c r="Y310" i="4"/>
  <c r="Z309" i="4"/>
  <c r="Y309" i="4"/>
  <c r="Z308" i="4"/>
  <c r="Y308" i="4"/>
  <c r="Z307" i="4"/>
  <c r="Y307" i="4"/>
  <c r="Z306" i="4"/>
  <c r="Y306" i="4"/>
  <c r="Z305" i="4"/>
  <c r="Y305" i="4"/>
  <c r="Z304" i="4"/>
  <c r="Y304" i="4"/>
  <c r="Z303" i="4"/>
  <c r="Y303" i="4"/>
  <c r="Z302" i="4"/>
  <c r="Y302" i="4"/>
  <c r="Z299" i="4"/>
  <c r="Y299" i="4"/>
  <c r="Z298" i="4"/>
  <c r="Y298" i="4"/>
  <c r="Z297" i="4"/>
  <c r="Y297" i="4"/>
  <c r="Z296" i="4"/>
  <c r="Y296" i="4"/>
  <c r="Z295" i="4"/>
  <c r="Y295" i="4"/>
  <c r="Z294" i="4"/>
  <c r="Y294" i="4"/>
  <c r="Z293" i="4"/>
  <c r="Y293" i="4"/>
  <c r="Z292" i="4"/>
  <c r="Y292" i="4"/>
  <c r="Z291" i="4"/>
  <c r="Y291" i="4"/>
  <c r="Z290" i="4"/>
  <c r="Y290" i="4"/>
  <c r="Z289" i="4"/>
  <c r="Y289" i="4"/>
  <c r="Z288" i="4"/>
  <c r="Y288" i="4"/>
  <c r="Z287" i="4"/>
  <c r="Y287" i="4"/>
  <c r="Z286" i="4"/>
  <c r="Y286" i="4"/>
  <c r="Z285" i="4"/>
  <c r="Y285" i="4"/>
  <c r="Z284" i="4"/>
  <c r="Y284" i="4"/>
  <c r="Z283" i="4"/>
  <c r="Y283" i="4"/>
  <c r="Z282" i="4"/>
  <c r="Y282" i="4"/>
  <c r="Z281" i="4"/>
  <c r="Y281" i="4"/>
  <c r="Z280" i="4"/>
  <c r="Y280" i="4"/>
  <c r="Z279" i="4"/>
  <c r="Y279" i="4"/>
  <c r="Z278" i="4"/>
  <c r="Y278" i="4"/>
  <c r="Z277" i="4"/>
  <c r="Y277" i="4"/>
  <c r="Z276" i="4"/>
  <c r="Y276" i="4"/>
  <c r="Z275" i="4"/>
  <c r="Y275" i="4"/>
  <c r="Z274" i="4"/>
  <c r="Y274" i="4"/>
  <c r="Z273" i="4"/>
  <c r="Y273" i="4"/>
  <c r="Z272" i="4"/>
  <c r="Y272" i="4"/>
  <c r="Z271" i="4"/>
  <c r="Y271" i="4"/>
  <c r="Z270" i="4"/>
  <c r="Y270" i="4"/>
  <c r="Z269" i="4"/>
  <c r="Y269" i="4"/>
  <c r="Z268" i="4"/>
  <c r="Y268" i="4"/>
  <c r="Z267" i="4"/>
  <c r="Y267" i="4"/>
  <c r="Z266" i="4"/>
  <c r="Y266" i="4"/>
  <c r="Z265" i="4"/>
  <c r="Y265" i="4"/>
  <c r="Z264" i="4"/>
  <c r="Y264" i="4"/>
  <c r="Z263" i="4"/>
  <c r="Y263" i="4"/>
  <c r="Z262" i="4"/>
  <c r="Y262" i="4"/>
  <c r="Z261" i="4"/>
  <c r="Y261" i="4"/>
  <c r="Z260" i="4"/>
  <c r="Y260" i="4"/>
  <c r="Z259" i="4"/>
  <c r="Y259" i="4"/>
  <c r="Z258" i="4"/>
  <c r="Y258" i="4"/>
  <c r="Z257" i="4"/>
  <c r="Y257" i="4"/>
  <c r="Z256" i="4"/>
  <c r="Y256" i="4"/>
  <c r="Z255" i="4"/>
  <c r="Y255" i="4"/>
  <c r="Z254" i="4"/>
  <c r="Y254" i="4"/>
  <c r="Z253" i="4"/>
  <c r="Y253" i="4"/>
  <c r="Z252" i="4"/>
  <c r="Y252" i="4"/>
  <c r="Z251" i="4"/>
  <c r="Y251" i="4"/>
  <c r="Z250" i="4"/>
  <c r="Y250" i="4"/>
  <c r="Z249" i="4"/>
  <c r="Y249" i="4"/>
  <c r="Z248" i="4"/>
  <c r="Y248" i="4"/>
  <c r="Z247" i="4"/>
  <c r="Y247" i="4"/>
  <c r="Z246" i="4"/>
  <c r="Y246" i="4"/>
  <c r="Z245" i="4"/>
  <c r="Y245" i="4"/>
  <c r="Z244" i="4"/>
  <c r="Y244" i="4"/>
  <c r="Z243" i="4"/>
  <c r="Y243" i="4"/>
  <c r="Z242" i="4"/>
  <c r="Y242" i="4"/>
  <c r="Z241" i="4"/>
  <c r="Y241" i="4"/>
  <c r="Z240" i="4"/>
  <c r="Y240" i="4"/>
  <c r="Z239" i="4"/>
  <c r="Y239" i="4"/>
  <c r="Z238" i="4"/>
  <c r="Y238" i="4"/>
  <c r="Z237" i="4"/>
  <c r="Y237" i="4"/>
  <c r="Z236" i="4"/>
  <c r="Y236" i="4"/>
  <c r="Z235" i="4"/>
  <c r="Y235" i="4"/>
  <c r="Z234" i="4"/>
  <c r="Y234" i="4"/>
  <c r="Z233" i="4"/>
  <c r="Y233" i="4"/>
  <c r="Z232" i="4"/>
  <c r="Y232" i="4"/>
  <c r="Z231" i="4"/>
  <c r="Y231" i="4"/>
  <c r="Z230" i="4"/>
  <c r="Y230" i="4"/>
  <c r="Z229" i="4"/>
  <c r="Y229" i="4"/>
  <c r="Z228" i="4"/>
  <c r="Y228" i="4"/>
  <c r="Z227" i="4"/>
  <c r="Y227" i="4"/>
  <c r="Z226" i="4"/>
  <c r="Y226" i="4"/>
  <c r="Z225" i="4"/>
  <c r="Y225" i="4"/>
  <c r="Z224" i="4"/>
  <c r="Y224" i="4"/>
  <c r="Z223" i="4"/>
  <c r="Y223" i="4"/>
  <c r="Z222" i="4"/>
  <c r="Y222" i="4"/>
  <c r="Z221" i="4"/>
  <c r="Y221" i="4"/>
  <c r="Z220" i="4"/>
  <c r="Y220" i="4"/>
  <c r="Z219" i="4"/>
  <c r="Y219" i="4"/>
  <c r="Z218" i="4"/>
  <c r="Y218" i="4"/>
  <c r="Z217" i="4"/>
  <c r="Y217" i="4"/>
  <c r="X217" i="4"/>
  <c r="X216" i="4"/>
  <c r="Z216" i="4"/>
  <c r="Z215" i="4"/>
  <c r="Y215" i="4"/>
  <c r="X215" i="4"/>
  <c r="Z214" i="4"/>
  <c r="Y214" i="4"/>
  <c r="X214" i="4"/>
  <c r="X213" i="4"/>
  <c r="Z213" i="4"/>
  <c r="X212" i="4"/>
  <c r="Y212" i="4" s="1"/>
  <c r="Z211" i="4"/>
  <c r="Y211" i="4"/>
  <c r="X211" i="4"/>
  <c r="Z210" i="4"/>
  <c r="Y210" i="4"/>
  <c r="X210" i="4"/>
  <c r="Z209" i="4"/>
  <c r="Y209" i="4"/>
  <c r="X209" i="4"/>
  <c r="X208" i="4"/>
  <c r="Z208" i="4" s="1"/>
  <c r="Z207" i="4"/>
  <c r="Y207" i="4"/>
  <c r="X207" i="4"/>
  <c r="Z206" i="4"/>
  <c r="Y206" i="4"/>
  <c r="Z205" i="4"/>
  <c r="Y205" i="4"/>
  <c r="Z204" i="4"/>
  <c r="Y204" i="4"/>
  <c r="X204" i="4"/>
  <c r="Z203" i="4"/>
  <c r="Y203" i="4"/>
  <c r="X203" i="4"/>
  <c r="Z202" i="4"/>
  <c r="X202" i="4"/>
  <c r="Y202" i="4" s="1"/>
  <c r="Z201" i="4"/>
  <c r="Y201" i="4"/>
  <c r="X201" i="4"/>
  <c r="Z200" i="4"/>
  <c r="Y200" i="4"/>
  <c r="X200" i="4"/>
  <c r="X199" i="4"/>
  <c r="Z199" i="4" s="1"/>
  <c r="X198" i="4"/>
  <c r="Y198" i="4" s="1"/>
  <c r="Z197" i="4"/>
  <c r="Y197" i="4"/>
  <c r="X197" i="4"/>
  <c r="X196" i="4"/>
  <c r="Y196" i="4"/>
  <c r="Z195" i="4"/>
  <c r="Y195" i="4"/>
  <c r="X195" i="4"/>
  <c r="X194" i="4"/>
  <c r="Z194" i="4"/>
  <c r="Z193" i="4"/>
  <c r="Y193" i="4"/>
  <c r="X193" i="4"/>
  <c r="X192" i="4"/>
  <c r="Z192" i="4"/>
  <c r="Z191" i="4"/>
  <c r="Y191" i="4"/>
  <c r="Z190" i="4"/>
  <c r="Y190" i="4"/>
  <c r="Z189" i="4"/>
  <c r="Y189" i="4"/>
  <c r="X189" i="4"/>
  <c r="X188" i="4"/>
  <c r="Z188" i="4" s="1"/>
  <c r="Z187" i="4"/>
  <c r="Y187" i="4"/>
  <c r="X187" i="4"/>
  <c r="X186" i="4"/>
  <c r="Y186" i="4"/>
  <c r="X185" i="4"/>
  <c r="Z185" i="4"/>
  <c r="Z184" i="4"/>
  <c r="Y184" i="4"/>
  <c r="X184" i="4"/>
  <c r="Z183" i="4"/>
  <c r="Y183" i="4"/>
  <c r="X183" i="4"/>
  <c r="X182" i="4"/>
  <c r="Z182" i="4"/>
  <c r="Z181" i="4"/>
  <c r="Y181" i="4"/>
  <c r="X181" i="4"/>
  <c r="Z180" i="4"/>
  <c r="Y180" i="4"/>
  <c r="Z179" i="4"/>
  <c r="Y179" i="4"/>
  <c r="Z178" i="4"/>
  <c r="Y178" i="4"/>
  <c r="X178" i="4"/>
  <c r="Z177" i="4"/>
  <c r="X177" i="4"/>
  <c r="Y177" i="4" s="1"/>
  <c r="Z176" i="4"/>
  <c r="Y176" i="4"/>
  <c r="X176" i="4"/>
  <c r="X175" i="4"/>
  <c r="Z175" i="4"/>
  <c r="X174" i="4"/>
  <c r="Y174" i="4" s="1"/>
  <c r="Z173" i="4"/>
  <c r="Y173" i="4"/>
  <c r="X173" i="4"/>
  <c r="Z172" i="4"/>
  <c r="X172" i="4"/>
  <c r="Y172" i="4"/>
  <c r="Z171" i="4"/>
  <c r="Y171" i="4"/>
  <c r="X171" i="4"/>
  <c r="X170" i="4"/>
  <c r="Z170" i="4" s="1"/>
  <c r="Z169" i="4"/>
  <c r="Y169" i="4"/>
  <c r="X169" i="4"/>
  <c r="Z168" i="4"/>
  <c r="Y168" i="4"/>
  <c r="X168" i="4"/>
  <c r="X167" i="4"/>
  <c r="Z167" i="4" s="1"/>
  <c r="X166" i="4"/>
  <c r="Y166" i="4" s="1"/>
  <c r="Z165" i="4"/>
  <c r="Y165" i="4"/>
  <c r="X165" i="4"/>
  <c r="Z164" i="4"/>
  <c r="Y164" i="4"/>
  <c r="X164" i="4"/>
  <c r="X163" i="4"/>
  <c r="Y163" i="4" s="1"/>
  <c r="Z162" i="4"/>
  <c r="Y162" i="4"/>
  <c r="X162" i="4"/>
  <c r="X161" i="4"/>
  <c r="Y161" i="4"/>
  <c r="Z160" i="4"/>
  <c r="Y160" i="4"/>
  <c r="Z159" i="4"/>
  <c r="Y159" i="4"/>
  <c r="Z158" i="4"/>
  <c r="Y158" i="4"/>
  <c r="X158" i="4"/>
  <c r="X157" i="4"/>
  <c r="Z157" i="4" s="1"/>
  <c r="Z156" i="4"/>
  <c r="Y156" i="4"/>
  <c r="X156" i="4"/>
  <c r="X155" i="4"/>
  <c r="Y155" i="4" s="1"/>
  <c r="X154" i="4"/>
  <c r="Y154" i="4"/>
  <c r="Z148" i="4"/>
  <c r="Y148" i="4"/>
  <c r="Z147" i="4"/>
  <c r="Y147" i="4"/>
  <c r="Z146" i="4"/>
  <c r="Y146" i="4"/>
  <c r="X146" i="4"/>
  <c r="Z145" i="4"/>
  <c r="X145" i="4"/>
  <c r="Y145" i="4"/>
  <c r="Z144" i="4"/>
  <c r="X144" i="4"/>
  <c r="Y144" i="4"/>
  <c r="Z143" i="4"/>
  <c r="Y143" i="4"/>
  <c r="X143" i="4"/>
  <c r="X142" i="4"/>
  <c r="Z142" i="4"/>
  <c r="X141" i="4"/>
  <c r="Z141" i="4"/>
  <c r="Z140" i="4"/>
  <c r="Y140" i="4"/>
  <c r="X140" i="4"/>
  <c r="X134" i="4"/>
  <c r="Y134" i="4" s="1"/>
  <c r="Z133" i="4"/>
  <c r="Y133" i="4"/>
  <c r="X133" i="4"/>
  <c r="X132" i="4"/>
  <c r="Z132" i="4" s="1"/>
  <c r="Z131" i="4"/>
  <c r="Y131" i="4"/>
  <c r="X131" i="4"/>
  <c r="Z130" i="4"/>
  <c r="X130" i="4"/>
  <c r="Y130" i="4"/>
  <c r="Z127" i="4"/>
  <c r="Y127" i="4"/>
  <c r="X127" i="4"/>
  <c r="Z126" i="4"/>
  <c r="Y126" i="4"/>
  <c r="X126" i="4"/>
  <c r="X125" i="4"/>
  <c r="Y125" i="4"/>
  <c r="Z124" i="4"/>
  <c r="Y124" i="4"/>
  <c r="X124" i="4"/>
  <c r="X123" i="4"/>
  <c r="Y123" i="4" s="1"/>
  <c r="Z122" i="4"/>
  <c r="Y122" i="4"/>
  <c r="X122" i="4"/>
  <c r="X121" i="4"/>
  <c r="Z121" i="4" s="1"/>
  <c r="Z120" i="4"/>
  <c r="Y120" i="4"/>
  <c r="X120" i="4"/>
  <c r="X119" i="4"/>
  <c r="Z119" i="4" s="1"/>
  <c r="X118" i="4"/>
  <c r="Z118" i="4"/>
  <c r="Z117" i="4"/>
  <c r="Y117" i="4"/>
  <c r="X117" i="4"/>
  <c r="X116" i="4"/>
  <c r="Z116" i="4"/>
  <c r="Z115" i="4"/>
  <c r="Y115" i="4"/>
  <c r="Z114" i="4"/>
  <c r="Y114" i="4"/>
  <c r="Z113" i="4"/>
  <c r="Y113" i="4"/>
  <c r="Z112" i="4"/>
  <c r="Y112" i="4"/>
  <c r="Y111" i="4"/>
  <c r="Z110" i="4"/>
  <c r="Y110" i="4"/>
  <c r="Z109" i="4"/>
  <c r="Z108" i="4"/>
  <c r="Y108" i="4"/>
  <c r="Z107" i="4"/>
  <c r="Z106" i="4"/>
  <c r="Y106" i="4"/>
  <c r="Y105" i="4"/>
  <c r="Z104" i="4"/>
  <c r="Y104" i="4"/>
  <c r="Z100" i="4"/>
  <c r="Y100" i="4"/>
  <c r="Z99" i="4"/>
  <c r="Y99" i="4"/>
  <c r="Z98" i="4"/>
  <c r="Y98" i="4"/>
  <c r="Y97" i="4"/>
  <c r="Y96" i="4"/>
  <c r="Y95" i="4"/>
  <c r="Z94" i="4"/>
  <c r="Y94" i="4"/>
  <c r="Z93" i="4"/>
  <c r="Z92" i="4"/>
  <c r="Y92" i="4"/>
  <c r="Z91" i="4"/>
  <c r="Z90" i="4"/>
  <c r="Y90" i="4"/>
  <c r="Z86" i="4"/>
  <c r="Y86" i="4"/>
  <c r="Z85" i="4"/>
  <c r="Y85" i="4"/>
  <c r="Z84" i="4"/>
  <c r="Y84" i="4"/>
  <c r="Z83" i="4"/>
  <c r="Z82" i="4"/>
  <c r="Y81" i="4"/>
  <c r="Z80" i="4"/>
  <c r="Y80" i="4"/>
  <c r="Z78" i="4"/>
  <c r="Y78" i="4"/>
  <c r="Y77" i="4"/>
  <c r="Z72" i="4"/>
  <c r="Y72" i="4"/>
  <c r="Z71" i="4"/>
  <c r="Y71" i="4"/>
  <c r="Z70" i="4"/>
  <c r="Y70" i="4"/>
  <c r="Z69" i="4"/>
  <c r="Y68" i="4"/>
  <c r="Z66" i="4"/>
  <c r="Y66" i="4"/>
  <c r="Y65" i="4"/>
  <c r="Z64" i="4"/>
  <c r="Y64" i="4"/>
  <c r="Z63" i="4"/>
  <c r="Y63" i="4"/>
  <c r="Z62" i="4"/>
  <c r="Y62" i="4"/>
  <c r="Z61" i="4"/>
  <c r="Y61" i="4"/>
  <c r="Z60" i="4"/>
  <c r="Y60" i="4"/>
  <c r="Z59" i="4"/>
  <c r="Z58" i="4"/>
  <c r="Y58" i="4"/>
  <c r="Z57" i="4"/>
  <c r="Y57" i="4"/>
  <c r="Z56" i="4"/>
  <c r="Y56" i="4"/>
  <c r="Z55" i="4"/>
  <c r="Y55" i="4"/>
  <c r="Z54" i="4"/>
  <c r="Y54" i="4"/>
  <c r="Z53" i="4"/>
  <c r="Z50" i="4"/>
  <c r="Y50" i="4"/>
  <c r="Y49" i="4"/>
  <c r="Z48" i="4"/>
  <c r="Y48" i="4"/>
  <c r="Z47" i="4"/>
  <c r="Z45" i="4"/>
  <c r="Y45" i="4"/>
  <c r="Z44" i="4"/>
  <c r="Y44" i="4"/>
  <c r="Z43" i="4"/>
  <c r="Y43" i="4"/>
  <c r="Z42" i="4"/>
  <c r="Y42" i="4"/>
  <c r="Y40" i="4"/>
  <c r="Z39" i="4"/>
  <c r="Y39" i="4"/>
  <c r="Z38" i="4"/>
  <c r="Y38" i="4"/>
  <c r="Z37" i="4"/>
  <c r="Z36" i="4"/>
  <c r="Y36" i="4"/>
  <c r="Z35" i="4"/>
  <c r="Z34" i="4"/>
  <c r="Y34" i="4"/>
  <c r="Z33" i="4"/>
  <c r="Y33" i="4"/>
  <c r="Z32" i="4"/>
  <c r="Y32" i="4"/>
  <c r="Z31" i="4"/>
  <c r="Z30" i="4"/>
  <c r="Y30" i="4"/>
  <c r="Z29" i="4"/>
  <c r="Y29" i="4"/>
  <c r="Z28" i="4"/>
  <c r="Y28" i="4"/>
  <c r="Z27" i="4"/>
  <c r="Y27" i="4"/>
  <c r="Z26" i="4"/>
  <c r="Y26" i="4"/>
  <c r="Y25" i="4"/>
  <c r="Z25" i="4"/>
  <c r="Z24" i="4"/>
  <c r="Y24" i="4"/>
  <c r="Z22" i="4"/>
  <c r="Y22" i="4"/>
  <c r="Y21" i="4"/>
  <c r="Z20" i="4"/>
  <c r="Z18" i="4"/>
  <c r="Y18" i="4"/>
  <c r="Z17" i="4"/>
  <c r="Y17" i="4"/>
  <c r="Z16" i="4"/>
  <c r="Y16" i="4"/>
  <c r="Z14" i="4"/>
  <c r="Y14" i="4"/>
  <c r="Z13" i="4"/>
  <c r="Y13" i="4"/>
  <c r="Z11" i="4"/>
  <c r="Y11" i="4"/>
  <c r="Z10" i="4"/>
  <c r="Y10" i="4"/>
  <c r="Z5" i="4"/>
  <c r="Y5" i="4"/>
  <c r="Z4" i="4"/>
  <c r="Y4" i="4"/>
  <c r="Z3" i="4"/>
  <c r="Y3" i="4"/>
  <c r="Z2" i="4"/>
  <c r="Y2" i="4"/>
  <c r="Z96" i="4"/>
  <c r="Z111" i="4"/>
  <c r="Z105" i="4"/>
  <c r="Z196" i="4"/>
  <c r="Y199" i="4"/>
  <c r="Y91" i="4"/>
  <c r="Z95" i="4"/>
  <c r="Y216" i="4"/>
  <c r="Y167" i="4"/>
  <c r="Y142" i="4"/>
  <c r="Y141" i="4"/>
  <c r="Y192" i="4"/>
  <c r="Y170" i="4"/>
  <c r="Y185" i="4"/>
  <c r="Z161" i="4"/>
  <c r="Y157" i="4"/>
  <c r="Y35" i="4"/>
  <c r="Z81" i="4"/>
  <c r="Z65" i="4"/>
  <c r="Z163" i="4"/>
  <c r="Z166" i="4"/>
  <c r="Y53" i="4"/>
  <c r="Y83" i="4"/>
  <c r="Y47" i="4"/>
  <c r="Y37" i="4"/>
  <c r="Y82" i="4"/>
  <c r="Z186" i="4"/>
  <c r="Y188" i="4"/>
  <c r="Z154" i="4"/>
  <c r="Y69" i="4"/>
  <c r="Z52" i="4"/>
  <c r="Z21" i="4"/>
  <c r="Z123" i="4"/>
  <c r="Y93" i="4"/>
  <c r="Y107" i="4"/>
  <c r="Z77" i="4"/>
  <c r="Z49" i="4"/>
  <c r="Y208" i="4"/>
  <c r="Z125" i="4"/>
  <c r="Z198" i="4"/>
  <c r="Y213" i="4"/>
  <c r="Y175" i="4"/>
  <c r="Z134" i="4"/>
  <c r="Y182" i="4"/>
  <c r="Y116" i="4"/>
  <c r="Y119" i="4"/>
  <c r="Y194" i="4"/>
  <c r="Y20" i="4"/>
  <c r="Z40" i="4"/>
  <c r="Z68" i="4"/>
  <c r="Z97" i="4"/>
  <c r="Y118" i="4"/>
  <c r="Y132" i="4" l="1"/>
  <c r="Z155" i="4"/>
  <c r="Z67" i="4"/>
  <c r="Z79" i="4"/>
  <c r="Y121" i="4"/>
  <c r="Z174" i="4"/>
  <c r="Z212" i="4"/>
  <c r="Z51" i="4"/>
  <c r="Z325" i="4" s="1"/>
  <c r="Y23" i="4"/>
  <c r="Y325" i="4" l="1"/>
</calcChain>
</file>

<file path=xl/sharedStrings.xml><?xml version="1.0" encoding="utf-8"?>
<sst xmlns="http://schemas.openxmlformats.org/spreadsheetml/2006/main" count="3939" uniqueCount="2127">
  <si>
    <t>type</t>
  </si>
  <si>
    <t>name</t>
  </si>
  <si>
    <t>label::English (en)</t>
  </si>
  <si>
    <t>label::Arabic (ar)</t>
  </si>
  <si>
    <t>label::</t>
  </si>
  <si>
    <t>hint::English (en)</t>
  </si>
  <si>
    <t>hint::Arabic (ar)</t>
  </si>
  <si>
    <t>hint::</t>
  </si>
  <si>
    <t>required</t>
  </si>
  <si>
    <t>appearance</t>
  </si>
  <si>
    <t>constraint</t>
  </si>
  <si>
    <t>constraint_message</t>
  </si>
  <si>
    <t>relevant</t>
  </si>
  <si>
    <t>choice_filter</t>
  </si>
  <si>
    <t>parameters</t>
  </si>
  <si>
    <t>calculation</t>
  </si>
  <si>
    <t xml:space="preserve">Mandatory </t>
  </si>
  <si>
    <t>New question duration (sec)</t>
  </si>
  <si>
    <t>Estimated percentage of repondents</t>
  </si>
  <si>
    <t>Weighted time</t>
  </si>
  <si>
    <t>Weighted time for core vars</t>
  </si>
  <si>
    <t>start</t>
  </si>
  <si>
    <t>end</t>
  </si>
  <si>
    <t>today</t>
  </si>
  <si>
    <t>deviceid</t>
  </si>
  <si>
    <t>audit</t>
  </si>
  <si>
    <t>calculate</t>
  </si>
  <si>
    <t>audio_random</t>
  </si>
  <si>
    <t>once(random())</t>
  </si>
  <si>
    <t>background-audio</t>
  </si>
  <si>
    <t>${audio_random}&lt;=0.02</t>
  </si>
  <si>
    <t>quality=low</t>
  </si>
  <si>
    <t>select_one enumteam</t>
  </si>
  <si>
    <t>enum_team</t>
  </si>
  <si>
    <t>Enumerator team number or code</t>
  </si>
  <si>
    <t>رقم أو رمز فريق جمع البيانات</t>
  </si>
  <si>
    <t>select_one enumerator</t>
  </si>
  <si>
    <t>enumerator</t>
  </si>
  <si>
    <t>Name of enumerator</t>
  </si>
  <si>
    <t>اسم جامع البيانات</t>
  </si>
  <si>
    <t>true</t>
  </si>
  <si>
    <t>my_filter_admin=${enum_team}</t>
  </si>
  <si>
    <t>yes</t>
  </si>
  <si>
    <t>enumerator_</t>
  </si>
  <si>
    <t>jr:choice-name(${enumerator},'${enumerator}')</t>
  </si>
  <si>
    <t>note</t>
  </si>
  <si>
    <t>introduction</t>
  </si>
  <si>
    <r>
      <t xml:space="preserve">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t>
    </r>
    <r>
      <rPr>
        <b/>
        <sz val="11"/>
        <color rgb="FFC00000"/>
        <rFont val="Calibri (Body)"/>
      </rPr>
      <t>20 / 30 minutes</t>
    </r>
    <r>
      <rPr>
        <sz val="11"/>
        <color theme="1"/>
        <rFont val="Calibri"/>
        <family val="2"/>
        <scheme val="minor"/>
      </rPr>
      <t xml:space="preserve">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r>
  </si>
  <si>
    <r>
      <t xml:space="preserve">مرحبًا سيدي / سيدتي ، اسمي ${enumerator_}. نجري دراسة استقصائية نيابة عن  منظمة الأغذية والزراعة للأمم المتحدة (الفاو) حول سبل عيش الأسر والقدرة على الوصول إلى الغذاء في منطقتك. أود أن أطرح عليك بعض الأسئلة حول أسرتك.
يستغرق الاستبيان عادةً </t>
    </r>
    <r>
      <rPr>
        <b/>
        <sz val="11"/>
        <color rgb="FFC00000"/>
        <rFont val="Calibri"/>
        <family val="2"/>
        <scheme val="minor"/>
      </rPr>
      <t>20/30</t>
    </r>
    <r>
      <rPr>
        <sz val="11"/>
        <color theme="1"/>
        <rFont val="Calibri"/>
        <family val="2"/>
        <scheme val="minor"/>
      </rPr>
      <t xml:space="preserve"> 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مهمة.
هل لديك اسئلة؟</t>
    </r>
  </si>
  <si>
    <t>[INSTRUCTIONS: ADDRESS QUESTIONS FROM RESPONDENT, IF ANY.]</t>
  </si>
  <si>
    <t>[تعليمات: أجب عن أسئلة المُجيب ، إن وجدت]</t>
  </si>
  <si>
    <t>false</t>
  </si>
  <si>
    <t>no</t>
  </si>
  <si>
    <t>select_one yesno</t>
  </si>
  <si>
    <t>resp_agree</t>
  </si>
  <si>
    <t>Are you interested in participating in this survey?</t>
  </si>
  <si>
    <t>هل لديك رغبة في بالمشاركة في هذه الدراسة؟</t>
  </si>
  <si>
    <t>geopoint</t>
  </si>
  <si>
    <t>gps_1</t>
  </si>
  <si>
    <t xml:space="preserve">GPS INSTRUCTION: Take a GPS measurement. </t>
  </si>
  <si>
    <t>تعليمات GPS: قم بقياس GPS.</t>
  </si>
  <si>
    <t>NOTE: It might take a few minutes for the tablet to register the GPS. Wait for it to load. If it takes longer than 3 minutes, skip to the next question. You can take the GPS reading at the end of the interview.</t>
  </si>
  <si>
    <t>ملاحظة: قد يستغرق الجهاز اللوحي بضع دقائق لتسجيل GPS. انتظر حتى يتم التحميل. إذا استغرق الأمر أكثر من 3 دقائق ، فانتقل إلى السؤال التالي. يمكنك أن تأخذ قراءة GPS في النهاية.</t>
  </si>
  <si>
    <t>${resp_agree} = '1'</t>
  </si>
  <si>
    <t>Refusal</t>
  </si>
  <si>
    <t>Thank you for your time, you will be removed from today's survey.</t>
  </si>
  <si>
    <t>شكراً جزيلاً على وقتك، سنقوم بحذف إسمك من دراسة اليوم.</t>
  </si>
  <si>
    <t>${resp_agree} = '2'</t>
  </si>
  <si>
    <t/>
  </si>
  <si>
    <t>begin_group</t>
  </si>
  <si>
    <t>eligibility</t>
  </si>
  <si>
    <t>ELIGIBILITY CRITERIA</t>
  </si>
  <si>
    <t>معايير الأهلية</t>
  </si>
  <si>
    <t>text</t>
  </si>
  <si>
    <t>resp_firstname</t>
  </si>
  <si>
    <t>What is your first name?</t>
  </si>
  <si>
    <t>ما اسمك؟</t>
  </si>
  <si>
    <t>[INSTRUCTIONS: RECORD THE RESPONDENT'S FIRST NAME. ENTER 999 FOR REFUSED]</t>
  </si>
  <si>
    <t>[تعليمات: سجل اسم المجيب. أدخل 999 في حالة الرفض]</t>
  </si>
  <si>
    <t>resp_lastname</t>
  </si>
  <si>
    <t>What is your last name?</t>
  </si>
  <si>
    <t>ما هو اسم عائلتك؟</t>
  </si>
  <si>
    <t>[INSTRUCTIONS: RECORD THE RESPONDENT'S LAST NAME. ENTER 999 FOR REFUSED]</t>
  </si>
  <si>
    <t>[تعليمات: سجل اسم عائلة المجيب. أدخل 999 في حالة الرفض]</t>
  </si>
  <si>
    <t>integer</t>
  </si>
  <si>
    <t>resp_age</t>
  </si>
  <si>
    <t>How old are you?</t>
  </si>
  <si>
    <t>كم عمرك؟</t>
  </si>
  <si>
    <t>[INSTRUCTIONS: RECORD AGE IN NUMBER OF YEARS. ROUND UP TO NEAREST WHOLE NUMBER. IF THE RESPONDENT GIVES BIRTH YEAR, REPEAT THE QUESTION. ENTER 888 FOR DON'T KNOW.]</t>
  </si>
  <si>
    <t>[تعليمات: سجل العمر في عدد السنوات. قم بالتقريب لأقرب رقم كامل. إذا أعطى المجيب سنة الميلاد ، فكرر السؤال. أدخل 888 إذا كان الجواب لا أعرف]</t>
  </si>
  <si>
    <r>
      <t xml:space="preserve">(. &gt;= </t>
    </r>
    <r>
      <rPr>
        <b/>
        <sz val="11"/>
        <color rgb="FF7030A0"/>
        <rFont val="Calibri"/>
        <family val="2"/>
        <scheme val="minor"/>
      </rPr>
      <t>#age#</t>
    </r>
    <r>
      <rPr>
        <sz val="11"/>
        <color theme="1"/>
        <rFont val="Calibri"/>
        <family val="2"/>
        <scheme val="minor"/>
      </rPr>
      <t xml:space="preserve"> and . &lt;= 100) or . = 888</t>
    </r>
  </si>
  <si>
    <t>select_one gender</t>
  </si>
  <si>
    <t>resp_gender</t>
  </si>
  <si>
    <t>What is the gender of the respondent?</t>
  </si>
  <si>
    <t>ما هو جنس المجيب؟</t>
  </si>
  <si>
    <t>[INSTRUCTIONS: DO NOT ASK THIS QUESTION OUT LOUD. SELECT THE GENDER OF THE RESPONDENT.]</t>
  </si>
  <si>
    <t>[تعليمات: لا تطرح هذا السؤال. حدد جنس المجيب]</t>
  </si>
  <si>
    <t>phone_number_personal</t>
  </si>
  <si>
    <t>What is your phone number?</t>
  </si>
  <si>
    <t>ما هو رقم هاتفك؟</t>
  </si>
  <si>
    <t>numbers</t>
  </si>
  <si>
    <r>
      <rPr>
        <sz val="11"/>
        <color theme="6" tint="-0.499984740745262"/>
        <rFont val="Calibri"/>
        <family val="2"/>
        <scheme val="minor"/>
      </rPr>
      <t>regex(.,’^[0-9]{</t>
    </r>
    <r>
      <rPr>
        <b/>
        <sz val="11"/>
        <color rgb="FF7030A0"/>
        <rFont val="Calibri"/>
        <family val="2"/>
        <scheme val="minor"/>
      </rPr>
      <t>#number of digits#</t>
    </r>
    <r>
      <rPr>
        <sz val="11"/>
        <color theme="6" tint="-0.499984740745262"/>
        <rFont val="Calibri"/>
        <family val="2"/>
        <scheme val="minor"/>
      </rPr>
      <t>}$’)</t>
    </r>
  </si>
  <si>
    <t>Please enter the telephone number in the correct format, e.g. #phone number#</t>
  </si>
  <si>
    <t>yes - panel</t>
  </si>
  <si>
    <t>select_one contact_info</t>
  </si>
  <si>
    <t>contact_2</t>
  </si>
  <si>
    <t>Can you give me an additional phone number belonging to you, another household member or a close relation living outside of the household at which you can be reached?</t>
  </si>
  <si>
    <t>هل يمكن أن تعطيني رقم هاتف إضافي يخصك، أو أحد أفراد الأسرة، أو قريب يعيش خارج المنزل ويمكن التواصل معك عبره؟</t>
  </si>
  <si>
    <t>phone_number_2</t>
  </si>
  <si>
    <t>What is the additional phone number?</t>
  </si>
  <si>
    <t>ما هو رقم الهاتف الإضافي؟</t>
  </si>
  <si>
    <t xml:space="preserve">${contact_2} = '1' or ${contact_2} = '2' or ${contact_2} = '3' </t>
  </si>
  <si>
    <t>contact_2_name</t>
  </si>
  <si>
    <t>What is the name of the contact?</t>
  </si>
  <si>
    <t>ما هو اسم صاحب رقم الهاتف الإضافي الذي قمت بمشاركته؟</t>
  </si>
  <si>
    <t xml:space="preserve">${contact_2} = '2' or ${contact_2} = '3' </t>
  </si>
  <si>
    <t>contact_3</t>
  </si>
  <si>
    <t>phone_number_3</t>
  </si>
  <si>
    <t xml:space="preserve">${contact_3} = '1' or ${contact_3} = '2' or ${contact_3} = '3' </t>
  </si>
  <si>
    <t>contact_3_name</t>
  </si>
  <si>
    <t xml:space="preserve">${contact_3} = '2' or ${contact_3} = '3' </t>
  </si>
  <si>
    <t>select_one admin1</t>
  </si>
  <si>
    <t>adm1_pcode</t>
  </si>
  <si>
    <r>
      <t>Currently, in which</t>
    </r>
    <r>
      <rPr>
        <b/>
        <sz val="11"/>
        <color rgb="FF7030A0"/>
        <rFont val="Calibri"/>
        <family val="2"/>
        <scheme val="minor"/>
      </rPr>
      <t xml:space="preserve"> #ADMIN1#</t>
    </r>
    <r>
      <rPr>
        <sz val="11"/>
        <color theme="1"/>
        <rFont val="Calibri"/>
        <family val="2"/>
        <scheme val="minor"/>
      </rPr>
      <t xml:space="preserve"> does your household reside?</t>
    </r>
  </si>
  <si>
    <r>
      <t xml:space="preserve">حاليًا ، في أي </t>
    </r>
    <r>
      <rPr>
        <b/>
        <sz val="11"/>
        <color rgb="FF7030A0"/>
        <rFont val="Calibri (Body)"/>
      </rPr>
      <t>#ADMIN1 AR#</t>
    </r>
    <r>
      <rPr>
        <sz val="11"/>
        <rFont val="Calibri"/>
        <family val="2"/>
        <scheme val="minor"/>
      </rPr>
      <t xml:space="preserve"> تقيم أسرتك؟</t>
    </r>
  </si>
  <si>
    <t>[HINT: HOUSEHOLD CONSISTS OF ALL MEMBERS LIVING TOGETHER, SHARING RESOURCES &amp; EATING FROM THE SAME POT.]</t>
  </si>
  <si>
    <t>[ملحوظة: تتكون الأسرة من جميع الأعضاء الذين يعيشون معًا ، ويتشاركون الموارد ويأكلون من نفس القدر]</t>
  </si>
  <si>
    <t>autocomplete</t>
  </si>
  <si>
    <t>adm1_name</t>
  </si>
  <si>
    <t>jr:choice-name(${adm1_pcode},'${adm1_pcode}')</t>
  </si>
  <si>
    <t>select_one admin2</t>
  </si>
  <si>
    <t xml:space="preserve">adm2_pcode </t>
  </si>
  <si>
    <r>
      <t xml:space="preserve">Currently, in which </t>
    </r>
    <r>
      <rPr>
        <b/>
        <sz val="11"/>
        <color rgb="FF7030A0"/>
        <rFont val="Calibri"/>
        <family val="2"/>
        <scheme val="minor"/>
      </rPr>
      <t xml:space="preserve">#ADMIN2# </t>
    </r>
    <r>
      <rPr>
        <sz val="11"/>
        <color theme="1"/>
        <rFont val="Calibri"/>
        <family val="2"/>
        <scheme val="minor"/>
      </rPr>
      <t>does your household reside?</t>
    </r>
  </si>
  <si>
    <r>
      <t xml:space="preserve">حاليًا ، في أي </t>
    </r>
    <r>
      <rPr>
        <b/>
        <sz val="11"/>
        <color rgb="FF7030A0"/>
        <rFont val="Calibri (Body)"/>
      </rPr>
      <t>#ADMIN2 AR#</t>
    </r>
    <r>
      <rPr>
        <sz val="11"/>
        <rFont val="Calibri"/>
        <family val="2"/>
        <scheme val="minor"/>
      </rPr>
      <t xml:space="preserve"> تقيم أسرتك؟</t>
    </r>
  </si>
  <si>
    <t>my_filter_admin=${adm1_pcode}</t>
  </si>
  <si>
    <t>adm2_name</t>
  </si>
  <si>
    <t>jr:choice-name(${adm2_pcode},'${adm2_pcode}')</t>
  </si>
  <si>
    <t>select_one agricactivity</t>
  </si>
  <si>
    <t>hh_agricactivity</t>
  </si>
  <si>
    <t>Has anybody in your household produced crops or livestock for household consumption or for sale in the past 12 months, including household members currently away for transhumance?</t>
  </si>
  <si>
    <t>هل قام أي شخص في أسرتك بإنتاج المحاصيل أو الماشية للاستهلاك المنزلي أو للبيع خلال الاثني عشر شهرًا الماضية ، بما في ذلك أفراد الأسرة الغير موجودين بغرض التنقل الرعوي؟</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</si>
  <si>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</si>
  <si>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[تعليمات: هذا هو سؤال الفرز الرئيسي]
[ملحوظة للتحقيق: هل قمت بزراعة أي نباتات للبيع أو الاستهلاك ؟ هل قمت بتربية أي حيوانات بنية البيع أو الاستهلاك أو انتاج منتجات مثل اللحوم و الالبان و الصوف و الجلد ؟ هل أي فرد من أفراد أسرتك حاليا بعيدًا عن الأسرة مع الماشية أو حيوانات أخري بغرض التنقل الرعوي ؟]</t>
  </si>
  <si>
    <t>select_one yes_no</t>
  </si>
  <si>
    <t>hh_fish</t>
  </si>
  <si>
    <t xml:space="preserve">Has anybody in your household been engaged in aquatic production [fish catch or aquaculture farming] for household consumption or for sales in the past 12 months? </t>
  </si>
  <si>
    <t>هل شارك أي شخص في منزلك في الإنتاج البحري [صيد الأسماك أو زراعة الأحياء المائية] لاستهلاك المنزل أو للبيع خلال الـ 12 شهرًا الماضية؟</t>
  </si>
  <si>
    <t>[HINT FOR PROBING: It should not include sports fishing. It should be about production of aquatic products [fish catch or aquaculture farming] for household consumption or sales.]</t>
  </si>
  <si>
    <t xml:space="preserve">تلميح للتوضيح: يجب ألا يشمل ذلك صيد الأسماك للترفيه، ينبغي أن يكون السؤال عن إنتاج المنتجات المائية
[صيد الأسماك أو زراعة الأحياء المائية] لاستهلاك المنزل أو للبيعا
</t>
  </si>
  <si>
    <t>end_group</t>
  </si>
  <si>
    <t>generalInfo</t>
  </si>
  <si>
    <t>GENERAL INFORMATION</t>
  </si>
  <si>
    <t>معلومات عامة</t>
  </si>
  <si>
    <t>${resp_agree} = '1' and ${hh_agricactivity} != '5' and ${hh_agricactivity} != '6'</t>
  </si>
  <si>
    <t>resp_id</t>
  </si>
  <si>
    <t>Are you the head of household?</t>
  </si>
  <si>
    <t>هل أنت رب الأسرة ؟</t>
  </si>
  <si>
    <t>hh_gender</t>
  </si>
  <si>
    <t xml:space="preserve">Is the head of your household male or female? </t>
  </si>
  <si>
    <t>هل رب أسرتك ذكر أم أنثى؟</t>
  </si>
  <si>
    <t>${resp_id} != '1'</t>
  </si>
  <si>
    <t>select_one edu</t>
  </si>
  <si>
    <t>hh_education</t>
  </si>
  <si>
    <t xml:space="preserve">What is the educational level attained by the head of household? </t>
  </si>
  <si>
    <t>ما هو المستوى التعليمي الذي وصل إليه رب الأسرة؟</t>
  </si>
  <si>
    <t>select_one water</t>
  </si>
  <si>
    <t>hh_wealth_water</t>
  </si>
  <si>
    <t>Where does the water that you drink at home come from?</t>
  </si>
  <si>
    <t>من أين تأتي المياه التي تشربونها في المنزل؟</t>
  </si>
  <si>
    <t>select_one toilet</t>
  </si>
  <si>
    <t>hh_wealth_toilet</t>
  </si>
  <si>
    <t>Where do household members typically go to use the toilet?</t>
  </si>
  <si>
    <t>أين يذهب أفراد الأسرة عادة لاستخدام المرحاض؟</t>
  </si>
  <si>
    <t>select_one light</t>
  </si>
  <si>
    <t>hh_wealth_light</t>
  </si>
  <si>
    <t>What is the main source of light in your dwelling?</t>
  </si>
  <si>
    <t>ما هو المصدر الرئيسي للضوء في مسكنك؟</t>
  </si>
  <si>
    <t>select_one residence</t>
  </si>
  <si>
    <t>hh_residencetype</t>
  </si>
  <si>
    <t>Which in the following types of residence best describes your residence?</t>
  </si>
  <si>
    <t>أي من أنواع الإقامة التالية يصف إقامتك بشكل أفضل؟</t>
  </si>
  <si>
    <t>[INSTRUCTIONS: READ OUT THE OPTIONS.]
[HINT: IF RESPONDENT IS ONLY AWAY FROM THE HOUSEHOLD FOR SHORT SEASONAL WORK (&lt;6 MONTHS) OR TRANSHUMANCE, MAKE SURE TO REFER TO THEIR HOUSEHOLD BACK WHERE THEY TYPICALLY ARE LOCATED.]</t>
  </si>
  <si>
    <t>[تعليمات: اقرأ الخيارات] 
[ملحوظة: إذا كان المجيب بعيدًا فقط عن الأسرة للعمل الموسمي القصير (أقل من 6 أشهر) أو بغرض التنقل الرعوي ، فتأكد من الرجوع إلى أسرته في المكان الذي يوجد فيه عادةً]</t>
  </si>
  <si>
    <t>hh_size</t>
  </si>
  <si>
    <t>How many people are part of the household?</t>
  </si>
  <si>
    <t>كم عدد الأشخاص الذين هم جزء من الأسرة؟</t>
  </si>
  <si>
    <t>[INSTRUCTIONS: RECORD NUMBER OF MEMBERS IN HOUSEHOLD. ENTER 888 FOR DON'T KNOW &amp; 999 FOR REFUSED.]
[HINT: TO BE A PART OF THE SAME HOUSEHOLD, MEMBERS MUST LIVE UNDER THE SAME ROOF, SHARE THE SAME RESOURCES &amp; EAT FROM THE SAME POT.]</t>
  </si>
  <si>
    <t>[تعليمات: سجل عدد أعضاء الأسرة. أدخل 888 للا أعرف و 999 في حالة الرفض]
[ملحوظة: لكي يكونوا جزءًا من نفس الأسرة، يجب أن يكون جميع الاعضاء يعيشون تحت سقف منزل واحد، و يتشاركون نفس الموارد و يأكلون من نفس القدر]</t>
  </si>
  <si>
    <t xml:space="preserve">(. &gt;= 1 and . &lt;= 50) or . = 888 or . = 999 </t>
  </si>
  <si>
    <t>select_multiple asset_prod</t>
  </si>
  <si>
    <t>hh_asset_prod</t>
  </si>
  <si>
    <t xml:space="preserve">Does your household own any of the following productive assets? </t>
  </si>
  <si>
    <t>هل تمتلك أسرتك أي من الأصول الإنتاجية الآتية ؟</t>
  </si>
  <si>
    <t>[INSTRUCTIONS: MULTIPLE RESPONSES POSSIBLE. READ ANSWER OPTIONS OUT LOUD.]</t>
  </si>
  <si>
    <t>[تعليمات: عدة استجابات محتملة. يرجي قراءة اختيارات الإجابة بصوت مرتفع]</t>
  </si>
  <si>
    <t>if(selected(.,'none') or selected(.,'dk') or selected(.,'ref'), count-selected(.) = 1, count-selected(.) &gt;= 1)</t>
  </si>
  <si>
    <t>select_multiple asset_transp</t>
  </si>
  <si>
    <t>hh_asset_transp</t>
  </si>
  <si>
    <t xml:space="preserve">Do you or any member of household own any of the following transportation assets? </t>
  </si>
  <si>
    <t>هل تمتلك انت أو اي فرد من أفراد أسرتك أي من أصول النقل التالية ؟</t>
  </si>
  <si>
    <t>select_one maritalstat</t>
  </si>
  <si>
    <t>hh_maritalstat</t>
  </si>
  <si>
    <t xml:space="preserve">What is the head of household’s current marital status? </t>
  </si>
  <si>
    <t>ما هي الحالة الاجتماعية الحالية لرب الأسرة؟</t>
  </si>
  <si>
    <t>select_one agegroup</t>
  </si>
  <si>
    <t>hh_age</t>
  </si>
  <si>
    <t xml:space="preserve">How old is the head of household? </t>
  </si>
  <si>
    <t>كم عمر رب الاسرة؟</t>
  </si>
  <si>
    <t>Income_Shocks_group</t>
  </si>
  <si>
    <t>INCOME SOURCES, LIVELIHOODS AND SHOCKS</t>
  </si>
  <si>
    <t>مصادر الدخل وسبل العيش والصدمات</t>
  </si>
  <si>
    <t>select_one incomesource1</t>
  </si>
  <si>
    <t>income_main</t>
  </si>
  <si>
    <t>What was your household's main source of income in the past 3 months?</t>
  </si>
  <si>
    <t>ما كان مصدر الدخل الرئيسي لأسرتك في الأشهر الثلاثة الماضية؟</t>
  </si>
  <si>
    <t>[INSTRUCTIONS: REFUSED OPTIONS SHOULD BE AVOIDED AS MUCH AS POSSIBLE.]</t>
  </si>
  <si>
    <t>[تعليمات: يجب تجنب الخيار "رفض الإجابة" قدر الإمكان]</t>
  </si>
  <si>
    <t>minimal</t>
  </si>
  <si>
    <t>incomemain</t>
  </si>
  <si>
    <t>jr:choice-name(${income_main},'${income_main}')</t>
  </si>
  <si>
    <t>income_main_crop_check</t>
  </si>
  <si>
    <t xml:space="preserve">Are the crops sold also produced by you or anyone in your household? </t>
  </si>
  <si>
    <t>هل تم إنتاج المحاصيل التي تبيعها أنت أو أي شخص في منزلك أيضًا؟</t>
  </si>
  <si>
    <t xml:space="preserve">${income_main} = '1' or ${income_main} = '2' or ${income_main} = '3' </t>
  </si>
  <si>
    <t>income_main_ls_check</t>
  </si>
  <si>
    <t xml:space="preserve">Are the livestock or livestock products sold also produced by you or anyone in your household? </t>
  </si>
  <si>
    <t>هل تم إنتاج المواشي ومنتجاتها التي تبيعها أنت أو أي شخص في منزلك أيضًا؟</t>
  </si>
  <si>
    <t>${income_main} = '4'</t>
  </si>
  <si>
    <t>income_main_fish_check</t>
  </si>
  <si>
    <t>Are the fish or aquatic products sold also captured/harvested by you or anyone in your household?</t>
  </si>
  <si>
    <t>هل الأسماك أو المنتجات المائية التي تُباع تم أيضًا صيدها أو جمعها بواسطتك أو أي شخص في منزلك؟</t>
  </si>
  <si>
    <t>${income_main} = '6'</t>
  </si>
  <si>
    <t>decimal</t>
  </si>
  <si>
    <t>income_main_amount</t>
  </si>
  <si>
    <r>
      <t xml:space="preserve">How much was earned (in </t>
    </r>
    <r>
      <rPr>
        <b/>
        <sz val="11"/>
        <color rgb="FF7030A0"/>
        <rFont val="Calibri"/>
        <family val="2"/>
        <scheme val="minor"/>
      </rPr>
      <t>#currency#</t>
    </r>
    <r>
      <rPr>
        <sz val="11"/>
        <color theme="0" tint="-0.34998626667073579"/>
        <rFont val="Calibri"/>
        <family val="2"/>
        <scheme val="minor"/>
      </rPr>
      <t>) from your main income source, ${incomemain}, in the past 3 months ?</t>
    </r>
  </si>
  <si>
    <r>
      <rPr>
        <sz val="11"/>
        <color theme="0" tint="-0.34998626667073579"/>
        <rFont val="Calibri (Body)"/>
      </rPr>
      <t>ما المبلغ الذي كسبته أسرتك (بالعملة</t>
    </r>
    <r>
      <rPr>
        <sz val="11"/>
        <rFont val="Calibri"/>
        <family val="2"/>
        <scheme val="minor"/>
      </rPr>
      <t xml:space="preserve"> </t>
    </r>
    <r>
      <rPr>
        <b/>
        <sz val="11"/>
        <color rgb="FF7030A0"/>
        <rFont val="Calibri"/>
        <family val="2"/>
        <scheme val="minor"/>
      </rPr>
      <t>#currency AR#</t>
    </r>
    <r>
      <rPr>
        <sz val="11"/>
        <color theme="0" tint="-0.34998626667073579"/>
        <rFont val="Calibri (Body)"/>
      </rPr>
      <t>) من مصدر دخلها الرئيسي ، ${incomemain} ، في الأشهر الثلاثة الماضية؟</t>
    </r>
  </si>
  <si>
    <t>[INSTRUCTIONS: MAKE SURE THE INFORMATION IS RECORDED IN THE CORRECT CURRENCY. ENTER 888 FOR DON'T KNOW AND 999 FOR REFUSED.]</t>
  </si>
  <si>
    <t>[تعليمات: تأكد من تسجيل المعلومات بالعملة الصحيحة. أدخل 888 للا أعرف و 999 في حالة الرفض]</t>
  </si>
  <si>
    <r>
      <t xml:space="preserve">. &gt; </t>
    </r>
    <r>
      <rPr>
        <b/>
        <sz val="11"/>
        <color rgb="FF7030A0"/>
        <rFont val="Calibri"/>
        <family val="2"/>
        <scheme val="minor"/>
      </rPr>
      <t>#MIN AMOUNT#</t>
    </r>
    <r>
      <rPr>
        <sz val="11"/>
        <color theme="0" tint="-0.34998626667073579"/>
        <rFont val="Calibri"/>
        <family val="2"/>
        <scheme val="minor"/>
      </rPr>
      <t xml:space="preserve"> or . = 888 or . = 999</t>
    </r>
  </si>
  <si>
    <t>${income_main} != '19' and ${income_main} != '20'</t>
  </si>
  <si>
    <t>select_one continue</t>
  </si>
  <si>
    <t>income_main_amount_conf</t>
  </si>
  <si>
    <t>Can you confirm the amount of income you just stated is correct?</t>
  </si>
  <si>
    <t>هل يمكنك تأكيد مبلغ الدخل الذي ذكرته للتو؟</t>
  </si>
  <si>
    <r>
      <t xml:space="preserve">[INSTRUCTIONS: IF THE RESPONDENT CONFIRMS THAT THE INCOME AMOUNT EARNED FROM THIS INCOME SOURCE OVER THE PAST 3 MONTH IS INDEED OVER </t>
    </r>
    <r>
      <rPr>
        <b/>
        <sz val="11"/>
        <color rgb="FF7030A0"/>
        <rFont val="Calibri (Body)"/>
      </rPr>
      <t>#THRESHOLD#</t>
    </r>
    <r>
      <rPr>
        <sz val="11"/>
        <color theme="0" tint="-0.34998626667073579"/>
        <rFont val="Calibri"/>
        <family val="2"/>
        <scheme val="minor"/>
      </rPr>
      <t>, CLICK ON CONTINUE. OTHERWISE, GO BACK AND CHANGE THE AMOUNT ENTERED.]</t>
    </r>
  </si>
  <si>
    <t>[تعليمات: إذا أكد المجيب أن المبلغ المكتسب من مصدر الدخل هذا خلال الأشهر الثلاثة الماضية أكثر من  #THRESHOLD#  ، انقر على "تابع". بخلاف ذلك ، الرجاء الرجوع وتغيير المبلغ الذي تم إدخاله]</t>
  </si>
  <si>
    <r>
      <t xml:space="preserve">${income_main_amount} &gt; </t>
    </r>
    <r>
      <rPr>
        <b/>
        <sz val="11"/>
        <color rgb="FF7030A0"/>
        <rFont val="Calibri"/>
        <family val="2"/>
        <scheme val="minor"/>
      </rPr>
      <t>#THRESHOLD#</t>
    </r>
    <r>
      <rPr>
        <sz val="11"/>
        <color theme="0" tint="-0.34998626667073579"/>
        <rFont val="Calibri"/>
        <family val="2"/>
        <scheme val="minor"/>
      </rPr>
      <t xml:space="preserve"> and (${income_main} != '19' and ${income_main} != '20') </t>
    </r>
  </si>
  <si>
    <t>select_one gender_inc_1</t>
  </si>
  <si>
    <t>income_main_gender</t>
  </si>
  <si>
    <t xml:space="preserve">What is the gender of the household member(s) generating income from this source? </t>
  </si>
  <si>
    <t xml:space="preserve">ما هو جنس الفرد ( الأفراد ) داخل الاسرة الذين يحصلون علي الدخل من هذا المصدر ؟ </t>
  </si>
  <si>
    <t>select_one gender_inc_2</t>
  </si>
  <si>
    <t>income_main_control</t>
  </si>
  <si>
    <t xml:space="preserve">Who controls the revenue that is earned from this source? </t>
  </si>
  <si>
    <t>من المتحكم فى الدخل الذي تكسبه الاسرة من هذا المصدر ؟</t>
  </si>
  <si>
    <t>select_one change</t>
  </si>
  <si>
    <t>income_main_comp</t>
  </si>
  <si>
    <r>
      <t xml:space="preserve">Has your household's income from ${incomemain} changed in the last 3 months compared to the same period of </t>
    </r>
    <r>
      <rPr>
        <b/>
        <sz val="11"/>
        <color rgb="FF7030A0"/>
        <rFont val="Calibri (Body)"/>
      </rPr>
      <t>#reference year#</t>
    </r>
    <r>
      <rPr>
        <sz val="11"/>
        <rFont val="Calibri (Body)"/>
      </rPr>
      <t>?</t>
    </r>
  </si>
  <si>
    <r>
      <t xml:space="preserve">هل تغير دخل أسرتك من ${incomemain} في الأشهر الثلاثة الماضية مقارنة بنفس الفترة من </t>
    </r>
    <r>
      <rPr>
        <b/>
        <sz val="11"/>
        <color rgb="FF7030A0"/>
        <rFont val="Calibri"/>
        <family val="2"/>
        <scheme val="minor"/>
      </rPr>
      <t>#reference year AR#</t>
    </r>
    <r>
      <rPr>
        <sz val="11"/>
        <rFont val="Calibri"/>
        <family val="2"/>
        <scheme val="minor"/>
      </rPr>
      <t>؟</t>
    </r>
  </si>
  <si>
    <t>select_one incomesource2</t>
  </si>
  <si>
    <t>income_sec</t>
  </si>
  <si>
    <t>What was your household's second most important source of income in the past 3 months?</t>
  </si>
  <si>
    <t>ما هو ثاني أهم مصدر دخل لأسرتك فى الثلاثة أشهر الماضية ؟</t>
  </si>
  <si>
    <t>[INSTRUCTIONS: DON'T KNOW AND REFUSED OPTIONS SHOULD BE AVOIDED AS MUCH AS POSSIBLE.]</t>
  </si>
  <si>
    <t>[تعليمات: يجب تجنب خيارات الإجابة "لا أعرف" و "رفض الإجابة" قدر الإمكان]</t>
  </si>
  <si>
    <t>not(selected(${income_main}, name))</t>
  </si>
  <si>
    <t>incomesec</t>
  </si>
  <si>
    <t>jr:choice-name(${income_sec},'${income_sec}')</t>
  </si>
  <si>
    <t>income_sec_crop_check</t>
  </si>
  <si>
    <t xml:space="preserve">${income_sec} = '1' or ${income_sec} = '2' or ${income_sec} = '3' </t>
  </si>
  <si>
    <t>income_sec_ls_check</t>
  </si>
  <si>
    <t>${income_sec} = '4'</t>
  </si>
  <si>
    <t>income_sec_fish_check</t>
  </si>
  <si>
    <t>${income_sec} = '6'</t>
  </si>
  <si>
    <t>income_sec_amount</t>
  </si>
  <si>
    <r>
      <t xml:space="preserve">How much was earned (in </t>
    </r>
    <r>
      <rPr>
        <b/>
        <sz val="11"/>
        <color rgb="FF7030A0"/>
        <rFont val="Calibri"/>
        <family val="2"/>
        <scheme val="minor"/>
      </rPr>
      <t>#currency#</t>
    </r>
    <r>
      <rPr>
        <sz val="11"/>
        <color theme="0" tint="-0.34998626667073579"/>
        <rFont val="Calibri"/>
        <family val="2"/>
        <scheme val="minor"/>
      </rPr>
      <t>) from your second main income source, ${incomesec}, in the past 3 months ?</t>
    </r>
  </si>
  <si>
    <r>
      <rPr>
        <sz val="11"/>
        <color theme="0" tint="-0.34998626667073579"/>
        <rFont val="Calibri (Body)"/>
      </rPr>
      <t>ما المبلغ الذي كسبته أسرتك (بالعملة</t>
    </r>
    <r>
      <rPr>
        <sz val="11"/>
        <rFont val="Calibri"/>
        <family val="2"/>
        <scheme val="minor"/>
      </rPr>
      <t xml:space="preserve"> </t>
    </r>
    <r>
      <rPr>
        <b/>
        <sz val="11"/>
        <color rgb="FF7030A0"/>
        <rFont val="Calibri"/>
        <family val="2"/>
        <scheme val="minor"/>
      </rPr>
      <t>#currency AR#</t>
    </r>
    <r>
      <rPr>
        <sz val="11"/>
        <color theme="0" tint="-0.34998626667073579"/>
        <rFont val="Calibri (Body)"/>
      </rPr>
      <t>) من ثاني أهم مصدر دخل لها ، ${incomesec} ، في الأشهر الثلاثة الماضية؟</t>
    </r>
  </si>
  <si>
    <t xml:space="preserve">${income_main} != '19' and ${income_main} != '20' and ${income_sec} != '19' and ${income_sec} != '20' and ${income_sec} != '21' </t>
  </si>
  <si>
    <t>income_sec_amount_conf</t>
  </si>
  <si>
    <t>[INSTRUCTIONS: IF THE RESPONDENT CONFIRMS THAT THE INCOME AMOUNT EARNED FROM THIS INCOME SOURCE OVER THE PAST 3 MONTH IS INDEED OVER #THRESHOLD#, CLICK ON CONTINUE. OTHERWISE, GO BACK AND CHANGE THE AMOUNT ENTERED.]</t>
  </si>
  <si>
    <t>[تعليمات: إذا أكد المجيب أن المبلغ المكتسب من مصدر الدخل هذا خلال الأشهر الثلاثة الماضية أكثر من  #THRESHOLD# ، انقر على "تابع". بخلاف ذلك ، الرجاء الرجوع وتغيير المبلغ الذي تم إدخاله]</t>
  </si>
  <si>
    <r>
      <t xml:space="preserve">${income_sec_amount} &gt; </t>
    </r>
    <r>
      <rPr>
        <b/>
        <sz val="11"/>
        <color rgb="FF7030A0"/>
        <rFont val="Calibri"/>
        <family val="2"/>
        <scheme val="minor"/>
      </rPr>
      <t>#THRESHOLD#</t>
    </r>
    <r>
      <rPr>
        <sz val="11"/>
        <color theme="0" tint="-0.34998626667073579"/>
        <rFont val="Calibri"/>
        <family val="2"/>
        <scheme val="minor"/>
      </rPr>
      <t xml:space="preserve"> and (${income_main} != '19' and ${income_main} != '20' and ${income_sec} != '19' and ${income_sec} != '20' and ${income_sec} != '21')</t>
    </r>
  </si>
  <si>
    <t>income_sec_gender</t>
  </si>
  <si>
    <t>income_sec_control</t>
  </si>
  <si>
    <t>income_sec_comp</t>
  </si>
  <si>
    <r>
      <t xml:space="preserve">Has your household's income from ${incomesec} changed in the last 3 months compared to the same period of </t>
    </r>
    <r>
      <rPr>
        <b/>
        <sz val="11"/>
        <color rgb="FF7030A0"/>
        <rFont val="Calibri (Body)"/>
      </rPr>
      <t>#reference year#</t>
    </r>
    <r>
      <rPr>
        <sz val="11"/>
        <rFont val="Calibri"/>
        <family val="2"/>
        <scheme val="minor"/>
      </rPr>
      <t>?</t>
    </r>
  </si>
  <si>
    <r>
      <t xml:space="preserve">هل تغير دخل أسرتك من ${incomesec} في الأشهر الثلاثة الماضية مقارنة بنفس الفترة من </t>
    </r>
    <r>
      <rPr>
        <b/>
        <sz val="11"/>
        <color rgb="FF7030A0"/>
        <rFont val="Calibri"/>
        <family val="2"/>
        <scheme val="minor"/>
      </rPr>
      <t>#reference year AR#</t>
    </r>
    <r>
      <rPr>
        <sz val="11"/>
        <rFont val="Calibri"/>
        <family val="2"/>
        <scheme val="minor"/>
      </rPr>
      <t>؟</t>
    </r>
  </si>
  <si>
    <t>select_one incomesource3</t>
  </si>
  <si>
    <t>income_third</t>
  </si>
  <si>
    <t>What was your household's third most important source of income in the past 3 months?</t>
  </si>
  <si>
    <t>ما هو ثالث أهم مصدر دخل لأسرتك فى الثلاثة أشهر الماضية ؟</t>
  </si>
  <si>
    <t>not(selected(${income_main}, name) or selected(${income_sec}, name))</t>
  </si>
  <si>
    <t>incomethird</t>
  </si>
  <si>
    <t>jr:choice-name(${income_third},'${income_third}')</t>
  </si>
  <si>
    <t>income_third_crop_check</t>
  </si>
  <si>
    <t xml:space="preserve">${income_third} = '1' or ${income_third} = '2' or ${income_third} = '3' </t>
  </si>
  <si>
    <t>income_third_ls_check</t>
  </si>
  <si>
    <t>${income_third} = '4'</t>
  </si>
  <si>
    <t>income_third_fish_check</t>
  </si>
  <si>
    <t>${income_third} = '6'</t>
  </si>
  <si>
    <t>income_third_amount</t>
  </si>
  <si>
    <r>
      <t xml:space="preserve">How much was earned (in </t>
    </r>
    <r>
      <rPr>
        <b/>
        <sz val="11"/>
        <color rgb="FF7030A0"/>
        <rFont val="Calibri"/>
        <family val="2"/>
        <scheme val="minor"/>
      </rPr>
      <t>#currency#</t>
    </r>
    <r>
      <rPr>
        <sz val="11"/>
        <color theme="0" tint="-0.34998626667073579"/>
        <rFont val="Calibri"/>
        <family val="2"/>
        <scheme val="minor"/>
      </rPr>
      <t>) from your third main income source, ${incomethird}, in the past 3 months ?</t>
    </r>
  </si>
  <si>
    <r>
      <rPr>
        <sz val="11"/>
        <color theme="0" tint="-0.34998626667073579"/>
        <rFont val="Calibri (Body)"/>
      </rPr>
      <t>ما المبلغ الذي كسبته أسرتك (بالعملة</t>
    </r>
    <r>
      <rPr>
        <sz val="11"/>
        <rFont val="Calibri"/>
        <family val="2"/>
        <scheme val="minor"/>
      </rPr>
      <t xml:space="preserve"> </t>
    </r>
    <r>
      <rPr>
        <b/>
        <sz val="11"/>
        <color rgb="FF7030A0"/>
        <rFont val="Calibri"/>
        <family val="2"/>
        <scheme val="minor"/>
      </rPr>
      <t>#currency AR#</t>
    </r>
    <r>
      <rPr>
        <sz val="11"/>
        <color theme="0" tint="-0.34998626667073579"/>
        <rFont val="Calibri (Body)"/>
      </rPr>
      <t>) من ثالث أهم مصدر دخل لها ، ${incomethird} ، في الأشهر الثلاثة الماضية؟</t>
    </r>
  </si>
  <si>
    <t xml:space="preserve">${income_main} != '19' and ${income_main} != '20' and ${income_sec} != '19' and ${income_sec} != '20' and ${income_sec} != '21' and ${income_third} != '19' and ${income_third} != '20' and ${income_third} != '21' </t>
  </si>
  <si>
    <t>income_third_amount_conf</t>
  </si>
  <si>
    <r>
      <t xml:space="preserve">${income_third_amount} &gt; </t>
    </r>
    <r>
      <rPr>
        <b/>
        <sz val="11"/>
        <color rgb="FF7030A0"/>
        <rFont val="Calibri"/>
        <family val="2"/>
        <scheme val="minor"/>
      </rPr>
      <t>#THRESHOLD#</t>
    </r>
    <r>
      <rPr>
        <sz val="11"/>
        <color rgb="FFA6A6A6"/>
        <rFont val="Calibri"/>
        <family val="2"/>
        <scheme val="minor"/>
      </rPr>
      <t xml:space="preserve"> and (${income_main} != '19' and ${income_main} != '20' and ${income_sec} != '19' and ${income_sec} != '20' and ${income_sec} != '21' and ${income_third} != '19' and ${income_third} != '20' and ${income_third} != '21' )</t>
    </r>
  </si>
  <si>
    <t>income_third_gender</t>
  </si>
  <si>
    <t>income_third_control</t>
  </si>
  <si>
    <t>income_third_comp</t>
  </si>
  <si>
    <r>
      <t xml:space="preserve">Has your household's income from ${incomethird} changed in the last 3 months compared to the same period of </t>
    </r>
    <r>
      <rPr>
        <b/>
        <sz val="11"/>
        <color rgb="FF7030A0"/>
        <rFont val="Calibri (Body)"/>
      </rPr>
      <t>#reference year#</t>
    </r>
    <r>
      <rPr>
        <sz val="11"/>
        <rFont val="Calibri"/>
        <family val="2"/>
        <scheme val="minor"/>
      </rPr>
      <t>?</t>
    </r>
  </si>
  <si>
    <r>
      <t xml:space="preserve">هل تغير دخل أسرتك من ${incomethird} في الأشهر الثلاثة الماضية مقارنة بنفس الفترة من </t>
    </r>
    <r>
      <rPr>
        <b/>
        <sz val="11"/>
        <color rgb="FF7030A0"/>
        <rFont val="Calibri"/>
        <family val="2"/>
        <scheme val="minor"/>
      </rPr>
      <t>#reference year AR#</t>
    </r>
    <r>
      <rPr>
        <sz val="11"/>
        <rFont val="Calibri"/>
        <family val="2"/>
        <scheme val="minor"/>
      </rPr>
      <t>؟</t>
    </r>
  </si>
  <si>
    <t>select_multiple shock</t>
  </si>
  <si>
    <t>shock</t>
  </si>
  <si>
    <t xml:space="preserve">Has your household or community faced any particular disaster or crisis affecting your household's ability to raise an income and/or to produce food for self consumption in the last 3 months, and if so, which ones? </t>
  </si>
  <si>
    <t>هل واجهت أسرتك أو هل واجه مجتمعك أي كارثة أو أزمة معينة أثرت على قدرة أسرتك على إدرار الدخل و / أو إنتاج الغذاء للاستهلاك الذاتي في الأشهر الثلاثة الماضية ، وإذا كان الأمر كذلك ، فما كانت؟</t>
  </si>
  <si>
    <t>[INSTRUCTIONS: SELECT RELEVANT SHOCKS EXPERIENCED BY THE HOUSEHOLD. MULTIPLE RESPONSES POSSIBLE. REFER TO ECONOMIC SHOCKS, CROP AND LIVESTOCK SHOCKS, INTRA-HOUSEHOLD SHOCK, NATURAL HAZARDS AND HUMAN-INDUCED HAZARDS.]</t>
  </si>
  <si>
    <t>[تعليمات: حدد الصدمات ذات الصلة التي اختبرتها الأسرة. استجابات متعددة ممكنة. راجع الصدمات الاقتصادية والصدمات التي تصيب المحصول والمواشي و داخل الأسرة والمخاطر الطبيعية والأخطار التي يسببها الإنسان]</t>
  </si>
  <si>
    <t>if(selected(.,'noshock') or selected(.,'dk') or selected(.,'ref'), count-selected(.) = 1, count-selected(.) &gt;= 1)</t>
  </si>
  <si>
    <t>hh_explanation</t>
  </si>
  <si>
    <r>
      <t xml:space="preserve">If the household was affected by a major recent shock </t>
    </r>
    <r>
      <rPr>
        <sz val="11"/>
        <color theme="0" tint="-0.34998626667073579"/>
        <rFont val="Calibri (Body)"/>
      </rPr>
      <t>as indicated in</t>
    </r>
    <r>
      <rPr>
        <sz val="11"/>
        <color theme="0" tint="-0.34998626667073579"/>
        <rFont val="Calibri"/>
        <family val="2"/>
        <scheme val="minor"/>
      </rPr>
      <t xml:space="preserve"> this assessment </t>
    </r>
    <r>
      <rPr>
        <sz val="11"/>
        <color theme="0" tint="-0.34998626667073579"/>
        <rFont val="Calibri (Body)"/>
      </rPr>
      <t>[</t>
    </r>
    <r>
      <rPr>
        <sz val="11"/>
        <color theme="0" tint="-0.34998626667073579"/>
        <rFont val="Calibri"/>
        <family val="2"/>
        <scheme val="minor"/>
      </rPr>
      <t>for example, an earthquake</t>
    </r>
    <r>
      <rPr>
        <sz val="11"/>
        <color theme="0" tint="-0.34998626667073579"/>
        <rFont val="Calibri (Body)"/>
      </rPr>
      <t>]</t>
    </r>
    <r>
      <rPr>
        <sz val="11"/>
        <color theme="0" tint="-0.34998626667073579"/>
        <rFont val="Calibri"/>
        <family val="2"/>
        <scheme val="minor"/>
      </rPr>
      <t>, what</t>
    </r>
    <r>
      <rPr>
        <sz val="11"/>
        <color theme="0" tint="-0.34998626667073579"/>
        <rFont val="Calibri (Body)"/>
      </rPr>
      <t xml:space="preserve"> </t>
    </r>
    <r>
      <rPr>
        <sz val="11"/>
        <color theme="0" tint="-0.34998626667073579"/>
        <rFont val="Calibri"/>
        <family val="2"/>
        <scheme val="minor"/>
      </rPr>
      <t xml:space="preserve">are the </t>
    </r>
    <r>
      <rPr>
        <sz val="11"/>
        <color theme="0" tint="-0.34998626667073579"/>
        <rFont val="Calibri (Body)"/>
      </rPr>
      <t>[expected]</t>
    </r>
    <r>
      <rPr>
        <sz val="11"/>
        <color theme="0" tint="-0.34998626667073579"/>
        <rFont val="Calibri"/>
        <family val="2"/>
        <scheme val="minor"/>
      </rPr>
      <t xml:space="preserve"> consequences for your household, in your own words?</t>
    </r>
  </si>
  <si>
    <t>إذا تأثرت أسرتك بصدمة كبيرة حديثة ذات صلة بهذا الاستبيان (على سبيل المثال ، زلزال) ، فما هي في رأيك عواقب التي شوهدت بالفعل أو المتوقعه  على أسرتك ، بكلماتك الخاصة؟</t>
  </si>
  <si>
    <t>[INSTRUCTIONS: RECORD IN FEW WORDS THE MAIN CONSEQUENCE OF THE RECENT SHOCKS. ENTER 888 FOR DON'T KNOW AND 999 FOR REFUSED.]</t>
  </si>
  <si>
    <t>[تعليمات: سجل في بضع كلمات العواقب الرئيسية للصدمات الأخيرة . أدخل 888 للا أعرف و 999 في حالة الرفض]</t>
  </si>
  <si>
    <t>${shock} != 'noshock' and ${shock} != 'dk' and ${shock} != 'ref'</t>
  </si>
  <si>
    <t>select_multiple covidmeasures</t>
  </si>
  <si>
    <t>covid</t>
  </si>
  <si>
    <t>Have you or anyone in your household been affected by movement restrictions or social distancing measures aimed at containing COVID-19 in the last 3 months?</t>
  </si>
  <si>
    <t>هل تأثرت أنت أو أي شخص في أسرتك بقيود على الحركة أو إجراءات التباعد الاجتماعي التي تهدف إلى احتواء فيروس الكورونا في الأشهر الثلاثة الماضية؟</t>
  </si>
  <si>
    <t>[INSTRUCTIONS: MULTIPLE RESPONSES POSSIBLE.]</t>
  </si>
  <si>
    <t>[تعليمات: احتمال وجود عدة استجابات]</t>
  </si>
  <si>
    <t>covid_otherspecify</t>
  </si>
  <si>
    <t>If other, specify.</t>
  </si>
  <si>
    <t>إذا كانت الإجابة "آخر"، حدد.</t>
  </si>
  <si>
    <t>[INSTRUCTIONS: RECORD THE OPEN RESPONSE GIVEN IN FEW WORDS. ENTER 888 FOR DON'T KNOW AND 999 FOR REFUSED]</t>
  </si>
  <si>
    <t>[تعليمات: سجل في بضع كلمات الاستجابة المفتوحة المعطاة . أدخل 888 للا أعرف و 999 في حالة الرفض]</t>
  </si>
  <si>
    <t>selected(${covid}, 'other')</t>
  </si>
  <si>
    <t>CropProduction_group</t>
  </si>
  <si>
    <t>CROP PRODUCTION</t>
  </si>
  <si>
    <t>إنتاج المحاصيل</t>
  </si>
  <si>
    <t>${resp_agree} = '1' and (${hh_agricactivity}='1' or ${hh_agricactivity} = '3' or ${income_main_crop_check}='1' or ${income_sec_crop_check}='1' or ${income_third_crop_check}='1')</t>
  </si>
  <si>
    <t>crp_intro</t>
  </si>
  <si>
    <r>
      <t xml:space="preserve">We will now ask you some questions about crop production which apply to you and anyone in your household that is involved in crop production or sales. All questions refer to the crops grown during </t>
    </r>
    <r>
      <rPr>
        <b/>
        <sz val="11"/>
        <color rgb="FF7030A0"/>
        <rFont val="Calibri"/>
        <family val="2"/>
        <scheme val="minor"/>
      </rPr>
      <t>#season#</t>
    </r>
    <r>
      <rPr>
        <sz val="11"/>
        <color theme="1"/>
        <rFont val="Calibri"/>
        <family val="2"/>
        <scheme val="minor"/>
      </rPr>
      <t>.</t>
    </r>
  </si>
  <si>
    <r>
      <t xml:space="preserve">سنطرح عليك الآن بعض الأسئلة حول إنتاج المحاصيل التي تنطبق عليك وعلى أي شخص في أسرتك يشارك في إنتاج المحاصيل أو بيعها. تشير جميع الأسئلة إلى المحاصيل المزروعة خلال </t>
    </r>
    <r>
      <rPr>
        <b/>
        <sz val="11"/>
        <color rgb="FF7030A0"/>
        <rFont val="Calibri"/>
        <family val="2"/>
        <scheme val="minor"/>
      </rPr>
      <t>#season AR#</t>
    </r>
    <r>
      <rPr>
        <sz val="11"/>
        <rFont val="Calibri"/>
        <family val="2"/>
        <scheme val="minor"/>
      </rPr>
      <t xml:space="preserve">. </t>
    </r>
  </si>
  <si>
    <t>crp_landsize_num</t>
  </si>
  <si>
    <t>What is the total size of the land you can cultivate?</t>
  </si>
  <si>
    <t>ما هو الحجم الإجمالي للأرض التي يمكنك زراعتها؟</t>
  </si>
  <si>
    <t>[INSTRUCTIONS: RECORD THE TOTAL LAND SIZE PROVIDED BY THE RESPONDENT. WRITE 888 FOR DON'T KNOW AND 999 FOR REFUSED. MEASUREMENT UNIT WILL BE SPECIFIED IN THE FOLLOWING QUESTION.]</t>
  </si>
  <si>
    <t>[تعليمات: سجل إجمالي حجم الأرض الذي ذكره المجيب. اكتب 888 للا أعرف و 999 في حالة الرفض. سيتم تحديد وحدة القياس في السؤال التالي]</t>
  </si>
  <si>
    <t>. &gt;= 0</t>
  </si>
  <si>
    <t>select_one landsize_unit</t>
  </si>
  <si>
    <t>crp_landsize_unit</t>
  </si>
  <si>
    <t xml:space="preserve">Unit of measurement for land size: </t>
  </si>
  <si>
    <t>وحدة قياس مساحة الارض:</t>
  </si>
  <si>
    <t>[INSTRUCTIONS: DO NOT READ QUESTION. SELECT UNIT OF MEASUREMENT IN WHICH LAND SIZE WAS PROVIDED.]</t>
  </si>
  <si>
    <t>[تعليمات: لا تقرأ السؤال. حدد وحدة القياس لمساحة الأرض]</t>
  </si>
  <si>
    <t>${crp_landsize_num} != 888 and ${crp_landsize_num} != 999</t>
  </si>
  <si>
    <t>select_one crop</t>
  </si>
  <si>
    <t>crp_main</t>
  </si>
  <si>
    <r>
      <t>What is the main crop that your household grows for food or income generation in</t>
    </r>
    <r>
      <rPr>
        <b/>
        <sz val="11"/>
        <color rgb="FF7030A0"/>
        <rFont val="Calibri"/>
        <family val="2"/>
        <scheme val="minor"/>
      </rPr>
      <t xml:space="preserve"> #season#</t>
    </r>
    <r>
      <rPr>
        <sz val="11"/>
        <color theme="1"/>
        <rFont val="Calibri"/>
        <family val="2"/>
        <scheme val="minor"/>
      </rPr>
      <t>, if any?</t>
    </r>
  </si>
  <si>
    <r>
      <t xml:space="preserve">ما هو المحصول الرئيسي الذي تزرعه أسرتك من أجل الغذاء وتوليد الدخل في موسم </t>
    </r>
    <r>
      <rPr>
        <b/>
        <sz val="11"/>
        <color rgb="FF7030A0"/>
        <rFont val="Calibri"/>
        <family val="2"/>
        <scheme val="minor"/>
      </rPr>
      <t>#season AR#</t>
    </r>
    <r>
      <rPr>
        <sz val="11"/>
        <rFont val="Calibri"/>
        <family val="2"/>
        <scheme val="minor"/>
      </rPr>
      <t xml:space="preserve"> ، إن وجد؟</t>
    </r>
  </si>
  <si>
    <t>[INSTRUCTIONS: "NO CROP PRODUCTION" APPEARS AT THE END OF THE LIST OF OPTIONS.]</t>
  </si>
  <si>
    <t>[تعليمات: "لا إنتاج للمحصول" في آخر الخيارات في النهاية]</t>
  </si>
  <si>
    <t>crpmain</t>
  </si>
  <si>
    <t>jr:choice-name(${crp_main},'${crp_main}')</t>
  </si>
  <si>
    <t>select_one cropcheck</t>
  </si>
  <si>
    <t>crp_main_check</t>
  </si>
  <si>
    <r>
      <t xml:space="preserve">Why did you not produce any crops in </t>
    </r>
    <r>
      <rPr>
        <b/>
        <sz val="11"/>
        <color rgb="FF7030A0"/>
        <rFont val="Calibri"/>
        <family val="2"/>
        <scheme val="minor"/>
      </rPr>
      <t>#season#</t>
    </r>
    <r>
      <rPr>
        <sz val="11"/>
        <rFont val="Calibri"/>
        <family val="2"/>
        <scheme val="minor"/>
      </rPr>
      <t>?</t>
    </r>
  </si>
  <si>
    <r>
      <t xml:space="preserve">لماذا لم تنتج أي محاصيل في </t>
    </r>
    <r>
      <rPr>
        <b/>
        <sz val="11"/>
        <color rgb="FF7030A0"/>
        <rFont val="Calibri"/>
        <family val="2"/>
        <scheme val="minor"/>
      </rPr>
      <t>#season AR#</t>
    </r>
    <r>
      <rPr>
        <sz val="11"/>
        <rFont val="Calibri"/>
        <family val="2"/>
        <scheme val="minor"/>
      </rPr>
      <t>؟</t>
    </r>
  </si>
  <si>
    <t>${crp_main}='777'</t>
  </si>
  <si>
    <t>select_one irrigation</t>
  </si>
  <si>
    <t>crp_irrig_source</t>
  </si>
  <si>
    <t xml:space="preserve">Where do you normally and mainly obtain water for the production of ${crpmain}? </t>
  </si>
  <si>
    <t>كيف  تحصل عادة على الماء لري ${crpmain} بشكل رئيسي؟</t>
  </si>
  <si>
    <t>${crp_main} != '777' and ${crp_main} != '888' and ${crp_main} != '999'</t>
  </si>
  <si>
    <t>crp_irrig_source_otherspecify</t>
  </si>
  <si>
    <t>${crp_irrig_source}='6' and (${crp_main} != '777' and ${crp_main} != '888' and ${crp_main} != '999')</t>
  </si>
  <si>
    <t>select_one irrigpump</t>
  </si>
  <si>
    <t>crp_irrig_system</t>
  </si>
  <si>
    <t>Do you [your community] use a pump for your own [the communal] irrigation system?</t>
  </si>
  <si>
    <t>هل تستخدم (أو هل يستخدم المجتمع الذي تنتمي اليه) مضخة لنظام الري ؟</t>
  </si>
  <si>
    <t>not(${crp_irrig_source}='7' or ${crp_irrig_source}='8') and (${crp_main} != '777' and ${crp_main} != '888' and ${crp_main} != '999')</t>
  </si>
  <si>
    <t>crp_irrig_pay</t>
  </si>
  <si>
    <t xml:space="preserve">Do you have to pay for water rights [e.g. water rights, communal infrastructure maintenance, gas for communal pump, etc.]? </t>
  </si>
  <si>
    <t xml:space="preserve">هل يتعين عليك الدفع مقابل الحصول علي حقوق المياه ( علي سبيل المثال حقوق المياه ، صيانة البنية التحتية المشتركة،  الغاز للمضخات المشتركة ، إلخ ) ؟ </t>
  </si>
  <si>
    <t xml:space="preserve">select_multiple seedsupply </t>
  </si>
  <si>
    <t>crp_seed</t>
  </si>
  <si>
    <t xml:space="preserve">Who do you normally procure your seeds from? </t>
  </si>
  <si>
    <t>من أين تحصل عادة على البذور؟</t>
  </si>
  <si>
    <t>if(selected(., 'ref') or selected(., 'dk'), count-selected(.) = 1, count-selected(.) &gt;= 1)</t>
  </si>
  <si>
    <t>crp_area_change</t>
  </si>
  <si>
    <r>
      <t>How did the ***</t>
    </r>
    <r>
      <rPr>
        <u/>
        <sz val="11"/>
        <color theme="1"/>
        <rFont val="Calibri"/>
        <family val="2"/>
        <scheme val="minor"/>
      </rPr>
      <t>area planted</t>
    </r>
    <r>
      <rPr>
        <sz val="11"/>
        <color theme="1"/>
        <rFont val="Calibri"/>
        <family val="2"/>
        <scheme val="minor"/>
      </rPr>
      <t xml:space="preserve">*** for ${crpmain} from </t>
    </r>
    <r>
      <rPr>
        <b/>
        <sz val="11"/>
        <color rgb="FF7030A0"/>
        <rFont val="Calibri"/>
        <family val="2"/>
        <scheme val="minor"/>
      </rPr>
      <t xml:space="preserve">#season# </t>
    </r>
    <r>
      <rPr>
        <sz val="11"/>
        <color theme="1"/>
        <rFont val="Calibri"/>
        <family val="2"/>
        <scheme val="minor"/>
      </rPr>
      <t xml:space="preserve">compare to </t>
    </r>
    <r>
      <rPr>
        <b/>
        <sz val="11"/>
        <color rgb="FF7030A0"/>
        <rFont val="Calibri (Body)"/>
      </rPr>
      <t>#reference year#</t>
    </r>
    <r>
      <rPr>
        <sz val="11"/>
        <color theme="1"/>
        <rFont val="Calibri"/>
        <family val="2"/>
        <scheme val="minor"/>
      </rPr>
      <t>?</t>
    </r>
  </si>
  <si>
    <r>
      <t xml:space="preserve">كيف يمكن مقارنة ***المساحة المزروعة*** ل ${crpmain} في </t>
    </r>
    <r>
      <rPr>
        <b/>
        <sz val="11"/>
        <color rgb="FF7030A0"/>
        <rFont val="Calibri"/>
        <family val="2"/>
        <scheme val="minor"/>
      </rPr>
      <t>#season AR#</t>
    </r>
    <r>
      <rPr>
        <sz val="11"/>
        <rFont val="Calibri"/>
        <family val="2"/>
        <scheme val="minor"/>
      </rPr>
      <t xml:space="preserve"> نسبةً ل </t>
    </r>
    <r>
      <rPr>
        <b/>
        <sz val="11"/>
        <color rgb="FF7030A0"/>
        <rFont val="Calibri"/>
        <family val="2"/>
        <scheme val="minor"/>
      </rPr>
      <t>#reference year AR#</t>
    </r>
    <r>
      <rPr>
        <sz val="11"/>
        <rFont val="Calibri"/>
        <family val="2"/>
        <scheme val="minor"/>
      </rPr>
      <t>؟</t>
    </r>
  </si>
  <si>
    <t>crp_harv_change</t>
  </si>
  <si>
    <r>
      <t xml:space="preserve">How does the </t>
    </r>
    <r>
      <rPr>
        <b/>
        <sz val="11"/>
        <color rgb="FF7030A0"/>
        <rFont val="Calibri"/>
        <family val="2"/>
        <scheme val="minor"/>
      </rPr>
      <t>#expected or nothing#</t>
    </r>
    <r>
      <rPr>
        <sz val="11"/>
        <color theme="1"/>
        <rFont val="Calibri"/>
        <family val="2"/>
        <scheme val="minor"/>
      </rPr>
      <t xml:space="preserve"> ***</t>
    </r>
    <r>
      <rPr>
        <u/>
        <sz val="11"/>
        <color theme="1"/>
        <rFont val="Calibri"/>
        <family val="2"/>
        <scheme val="minor"/>
      </rPr>
      <t>harvest</t>
    </r>
    <r>
      <rPr>
        <sz val="11"/>
        <color theme="1"/>
        <rFont val="Calibri"/>
        <family val="2"/>
        <scheme val="minor"/>
      </rPr>
      <t xml:space="preserve">*** of ${crpmain} in the </t>
    </r>
    <r>
      <rPr>
        <b/>
        <sz val="11"/>
        <color rgb="FF7030A0"/>
        <rFont val="Calibri"/>
        <family val="2"/>
        <scheme val="minor"/>
      </rPr>
      <t>#season#</t>
    </r>
    <r>
      <rPr>
        <sz val="11"/>
        <color theme="1"/>
        <rFont val="Calibri"/>
        <family val="2"/>
        <scheme val="minor"/>
      </rPr>
      <t xml:space="preserve"> compare to </t>
    </r>
    <r>
      <rPr>
        <b/>
        <sz val="11"/>
        <color rgb="FF7030A0"/>
        <rFont val="Calibri (Body)"/>
      </rPr>
      <t>#reference year#</t>
    </r>
    <r>
      <rPr>
        <sz val="11"/>
        <color theme="1"/>
        <rFont val="Calibri"/>
        <family val="2"/>
        <scheme val="minor"/>
      </rPr>
      <t xml:space="preserve">? </t>
    </r>
  </si>
  <si>
    <r>
      <rPr>
        <sz val="11"/>
        <color rgb="FF000000"/>
        <rFont val="Calibri"/>
        <family val="2"/>
      </rPr>
      <t xml:space="preserve">كيف يمكن مقارنة ***الحصاد***  </t>
    </r>
    <r>
      <rPr>
        <b/>
        <sz val="11"/>
        <color rgb="FF7030A0"/>
        <rFont val="Calibri"/>
        <family val="2"/>
      </rPr>
      <t>#expected or nothing AR#</t>
    </r>
    <r>
      <rPr>
        <sz val="11"/>
        <color rgb="FF000000"/>
        <rFont val="Calibri"/>
        <family val="2"/>
      </rPr>
      <t xml:space="preserve"> لـ ${crpmain} في </t>
    </r>
    <r>
      <rPr>
        <b/>
        <sz val="11"/>
        <color rgb="FF7030A0"/>
        <rFont val="Calibri"/>
        <family val="2"/>
      </rPr>
      <t>#season AR#</t>
    </r>
    <r>
      <rPr>
        <sz val="11"/>
        <color rgb="FF000000"/>
        <rFont val="Calibri"/>
        <family val="2"/>
      </rPr>
      <t xml:space="preserve"> نسبةً ل </t>
    </r>
    <r>
      <rPr>
        <b/>
        <sz val="11"/>
        <color rgb="FF7030A0"/>
        <rFont val="Calibri"/>
        <family val="2"/>
      </rPr>
      <t>#reference year AR#</t>
    </r>
    <r>
      <rPr>
        <sz val="11"/>
        <color rgb="FF000000"/>
        <rFont val="Calibri"/>
        <family val="2"/>
      </rPr>
      <t>؟</t>
    </r>
  </si>
  <si>
    <t>crp_harv_vol</t>
  </si>
  <si>
    <r>
      <t xml:space="preserve">How much (threshed) ${crpmain} did you harvest this </t>
    </r>
    <r>
      <rPr>
        <b/>
        <sz val="11"/>
        <color rgb="FF7030A0"/>
        <rFont val="Calibri"/>
        <family val="2"/>
        <scheme val="minor"/>
      </rPr>
      <t>#season#</t>
    </r>
    <r>
      <rPr>
        <sz val="11"/>
        <color theme="0" tint="-0.34998626667073579"/>
        <rFont val="Calibri"/>
        <family val="2"/>
        <scheme val="minor"/>
      </rPr>
      <t>?</t>
    </r>
  </si>
  <si>
    <r>
      <t xml:space="preserve"> ما هي كمية ال ${crpmain}  (المدروس/ة) التي قمت بحصادها هذا الموسم </t>
    </r>
    <r>
      <rPr>
        <b/>
        <sz val="11"/>
        <color rgb="FF7030A0"/>
        <rFont val="Calibri"/>
        <family val="2"/>
        <scheme val="minor"/>
      </rPr>
      <t>#season AR#</t>
    </r>
    <r>
      <rPr>
        <sz val="11"/>
        <rFont val="Calibri"/>
        <family val="2"/>
        <scheme val="minor"/>
      </rPr>
      <t>؟</t>
    </r>
  </si>
  <si>
    <t>[INSTRUCTIONS: RECORD THE RESPONSE GIVEN. UNIT OF MEASUREMENT TO BE SPECIFIED IN NEXT QUESTION. ENTER 888 FOR DON'T KNOW &amp; 999 FOR REFUSED, TO BE USED RARELY - PROBE!]</t>
  </si>
  <si>
    <t>[تعليمات: سجل الاستجابة المُعطاة. يتم تحديد وحدة القياس في السؤال التالي. أدخل 888 للا أعرف و 999 في حالة الرفض ، والتي يجب استخدامها نادرًا - تحقق]</t>
  </si>
  <si>
    <t>select_one harv_unit</t>
  </si>
  <si>
    <t>crp_harv_unit</t>
  </si>
  <si>
    <t>Unit of measurement for harvested ${crpmain}:</t>
  </si>
  <si>
    <t>وحدة قياس حصاد ${crpmain}:</t>
  </si>
  <si>
    <t>${crp_harv_vol} != '888' and ${crp_harv_vol} != '999'</t>
  </si>
  <si>
    <t>crp_harvunit</t>
  </si>
  <si>
    <t>jr:choice-name(${crp_harv_unit},'${crp_harv_unit}')</t>
  </si>
  <si>
    <t>crp_harv_unit_kg</t>
  </si>
  <si>
    <t>How many kilograms [kgs] in each unit?</t>
  </si>
  <si>
    <t>كم كيلوغرام [كلغ] في كل وحدة؟</t>
  </si>
  <si>
    <t>[INSTRUCTIONS: RECORD THE RESPONSE GIVEN. ENTER 888 FOR DON'T KNOW &amp; 999 FOR REFUSED, TO BE USED RARELY - PROBE!]</t>
  </si>
  <si>
    <t>[تعليمات: سجل المبلغ المعطى. أدخل 888 لـلا أعرف و 999 في حالة الرفض]</t>
  </si>
  <si>
    <t>(${crp_harv_vol} != '888' and ${crp_harv_vol} != '999') and (${crp_harv_unit}='5' or ${crp_harv_unit}='6' or ${crp_harv_unit}='7' or ${crp_harv_unit}='8' or ${crp_harv_unit}='9')</t>
  </si>
  <si>
    <t>crp_harv_lastyr</t>
  </si>
  <si>
    <t>How many ${crp_harvunit} of (threshed) ${crpmain} did you harvest last year during the same season?</t>
  </si>
  <si>
    <t>كم ${crp_harvunit} من ${crpmain}   (المدروس/ة) قمت بحصادها العام الماضي خلال نفس الموسم؟</t>
  </si>
  <si>
    <t>[تعليمات: سجل الاستجابة المُعطاة. أدخل 888 لـلا أعرف و 999 في حالة الرفض ، والتي يجب استخدامها نادرًا - تحقق]</t>
  </si>
  <si>
    <t>${crp_harv_vol} != '888' and ${crp_harv_vol} != '999' and (${crp_main} != '777' and ${crp_main} != '888' and ${crp_main} != '999')</t>
  </si>
  <si>
    <t>crp_proddif</t>
  </si>
  <si>
    <r>
      <t>Has your household faced any significant difficulty ***</t>
    </r>
    <r>
      <rPr>
        <u/>
        <sz val="11"/>
        <color theme="1"/>
        <rFont val="Calibri"/>
        <family val="2"/>
        <scheme val="minor"/>
      </rPr>
      <t>in terms of crop production</t>
    </r>
    <r>
      <rPr>
        <sz val="11"/>
        <color theme="1"/>
        <rFont val="Calibri"/>
        <family val="2"/>
        <scheme val="minor"/>
      </rPr>
      <t xml:space="preserve">*** in </t>
    </r>
    <r>
      <rPr>
        <b/>
        <sz val="11"/>
        <color rgb="FF7030A0"/>
        <rFont val="Calibri"/>
        <family val="2"/>
        <scheme val="minor"/>
      </rPr>
      <t>#season#</t>
    </r>
    <r>
      <rPr>
        <sz val="11"/>
        <color theme="1"/>
        <rFont val="Calibri"/>
        <family val="2"/>
        <scheme val="minor"/>
      </rPr>
      <t>?</t>
    </r>
  </si>
  <si>
    <r>
      <rPr>
        <sz val="11"/>
        <color rgb="FF000000"/>
        <rFont val="Calibri"/>
        <family val="2"/>
      </rPr>
      <t xml:space="preserve">هل واجهت أسرتك أي صعوبة ***في إنتاج المحاصيل*** في </t>
    </r>
    <r>
      <rPr>
        <b/>
        <sz val="11"/>
        <color rgb="FF7030A0"/>
        <rFont val="Calibri"/>
        <family val="2"/>
      </rPr>
      <t>#season AR#</t>
    </r>
    <r>
      <rPr>
        <sz val="11"/>
        <color rgb="FF000000"/>
        <rFont val="Calibri"/>
        <family val="2"/>
      </rPr>
      <t>؟</t>
    </r>
  </si>
  <si>
    <t>${crp_main} != '888' and ${crp_main} != '999' and ${crp_main_check} != 1</t>
  </si>
  <si>
    <t>select_multiple cropproddiff</t>
  </si>
  <si>
    <t>crp_proddif_</t>
  </si>
  <si>
    <r>
      <t xml:space="preserve">Which difficulties has your household faced with crop production in </t>
    </r>
    <r>
      <rPr>
        <b/>
        <sz val="11"/>
        <color rgb="FF7030A0"/>
        <rFont val="Calibri"/>
        <family val="2"/>
        <scheme val="minor"/>
      </rPr>
      <t>#season#</t>
    </r>
    <r>
      <rPr>
        <sz val="11"/>
        <color theme="1"/>
        <rFont val="Calibri"/>
        <family val="2"/>
        <scheme val="minor"/>
      </rPr>
      <t>?</t>
    </r>
  </si>
  <si>
    <r>
      <t xml:space="preserve">ما الصعوبات التي واجهتها أسرتك في إنتاج المحاصيل في </t>
    </r>
    <r>
      <rPr>
        <b/>
        <sz val="11"/>
        <color rgb="FF7030A0"/>
        <rFont val="Calibri"/>
        <family val="2"/>
        <scheme val="minor"/>
      </rPr>
      <t>#season AR#</t>
    </r>
    <r>
      <rPr>
        <sz val="11"/>
        <rFont val="Calibri"/>
        <family val="2"/>
        <scheme val="minor"/>
      </rPr>
      <t>؟</t>
    </r>
  </si>
  <si>
    <t>[INSTRUCTIONS: MULTIPLE RESPONSES POSSIBLE. SELECT OPTION(S) THAT BEST FIT THE INFORMATION PROVIDED BY THE RESPONDENTS.]</t>
  </si>
  <si>
    <t>[تعليمات: عدة استجابات محتملة. حدد الخيار (الخيارات) الأنسب للمعلومات المقدمة من المجيب]</t>
  </si>
  <si>
    <t>${crp_proddif} = '1' and (${crp_main} != '888' and ${crp_main} != '999' and ${crp_main_check} != 1)</t>
  </si>
  <si>
    <t>select_one storage</t>
  </si>
  <si>
    <t>crp_storage</t>
  </si>
  <si>
    <t>Last year, what proportion of your ${crpmain} stock did you lose [to pests, rotting, mould, etc.] after the harvest?</t>
  </si>
  <si>
    <t>في العام الماضي ، ما هي نسبة مخزونك التي خسرتها (بسبب الآفات ، والتعفن ، والعفن ، وما إلى ذلك) من إجمالي ${crpmain} المخزن؟</t>
  </si>
  <si>
    <t>${crp_main} != '888' and ${crp_main} != '999' and ${crp_main} != '777'</t>
  </si>
  <si>
    <t>select_multiple crop2</t>
  </si>
  <si>
    <t>crp_all</t>
  </si>
  <si>
    <t>Do you cultivate any other crops aside from ${crpmain}, and if so which ones?</t>
  </si>
  <si>
    <t>هل تزرع أي محاصيل أخرى غير ${crpmain} ، وإذا كان الأمر كذلك فما هي؟</t>
  </si>
  <si>
    <t>[INSTRUCTIONS: "No other crops" APPEARS AT THE END OF THE LIST OF OPTIONS. SELECT ALL CROPS LISTED BY THE RESPONDENT.]</t>
  </si>
  <si>
    <t>[تعليمات: "لا محاصيل أخرى" تظهر في نهاية قائمة الخيارات. حدد جميع المحاصيل التي ذكرها المجيب]</t>
  </si>
  <si>
    <t>if(selected(., '888') or selected(., '999') or selected(.,'666'), count-selected(.) = 1, count-selected(.) &gt;= 1)</t>
  </si>
  <si>
    <t>not(selected(${crp_main}, name))</t>
  </si>
  <si>
    <t>CropSales_group</t>
  </si>
  <si>
    <t>CROP MARKETING</t>
  </si>
  <si>
    <t>تسويق المحاصيل</t>
  </si>
  <si>
    <t>${resp_agree} = '1' and (${income_main}='1' or ${income_sec}='1' or ${income_third}='1' or ${income_main}='2' or ${income_sec}='2' or ${income_third}='2' or ${income_main}='3' or ${income_sec}='3' or ${income_third}='3')</t>
  </si>
  <si>
    <t>crp_sales_main_1</t>
  </si>
  <si>
    <t xml:space="preserve">Was ${crpmain} the main crop that you sold over the *last 3 months*? </t>
  </si>
  <si>
    <t>هل ${crpmain} هو المحصول الرئيسي الذي بعته خلال * الأشهر الثلاثة الماضية *؟</t>
  </si>
  <si>
    <t>select_one crop3</t>
  </si>
  <si>
    <t>crp_sales_main_2</t>
  </si>
  <si>
    <t>What was the main crop that you sold over the *last 3 months*?</t>
  </si>
  <si>
    <t>ما هو المحصول الرئيسي الذي بعته خلال * الأشهر الثلاثة الماضية *؟</t>
  </si>
  <si>
    <t>${crp_sales_main_1}='2'</t>
  </si>
  <si>
    <t>crp_salesmain</t>
  </si>
  <si>
    <t>if(${crp_sales_main_1}='1',${crp_main},${crp_sales_main_2})</t>
  </si>
  <si>
    <t>crp_sales_main</t>
  </si>
  <si>
    <t>if(${crp_sales_main_1}='1',${crpmain},jr:choice-name(${crp_sales_main_2},'${crp_sales_main_2}'))</t>
  </si>
  <si>
    <t>crp_salesdif</t>
  </si>
  <si>
    <t>Has your household faced any significant difficulty in the last 3 months **selling** your ${crp_sales_main}?</t>
  </si>
  <si>
    <t>هل واجهت أسرتك أي صعوبة خلال الأشهر الثلاثة الماضية في **بيع** ${crp_sales_main}؟</t>
  </si>
  <si>
    <t>select_multiple cropsalesdiff</t>
  </si>
  <si>
    <t>crp_saledif</t>
  </si>
  <si>
    <t xml:space="preserve">Which difficulties has your household faced in the last 3 months selling your ${crp_sales_main}? </t>
  </si>
  <si>
    <t>ما الصعوبات التي واجهتها أسرتك في الأشهر الثلاثة الماضية عند بيع ${crp_sales_main}؟</t>
  </si>
  <si>
    <t>if(selected(., 'dk') or selected(., 'ref'), count-selected(.) = 1, count-selected(.) &gt;= 1)</t>
  </si>
  <si>
    <t xml:space="preserve">${crp_salesdif} = '1' </t>
  </si>
  <si>
    <t>crp_salesprice</t>
  </si>
  <si>
    <r>
      <t xml:space="preserve">How does the current price of your household's ${crp_sales_main} compare to the average price in the same period of </t>
    </r>
    <r>
      <rPr>
        <b/>
        <sz val="11"/>
        <color rgb="FF7030A0"/>
        <rFont val="Calibri (Body)"/>
      </rPr>
      <t>#reference year#</t>
    </r>
    <r>
      <rPr>
        <sz val="11"/>
        <rFont val="Calibri"/>
        <family val="2"/>
        <scheme val="minor"/>
      </rPr>
      <t>?</t>
    </r>
  </si>
  <si>
    <r>
      <t xml:space="preserve">كيف تقارن السعر الحالي ل${crp_sales_main} لأسرتك بمتوسط ​​السعر في نفس الفترة من </t>
    </r>
    <r>
      <rPr>
        <b/>
        <sz val="11"/>
        <color rgb="FF7030A0"/>
        <rFont val="Calibri"/>
        <family val="2"/>
        <scheme val="minor"/>
      </rPr>
      <t>#reference year AR#</t>
    </r>
    <r>
      <rPr>
        <sz val="11"/>
        <rFont val="Calibri"/>
        <family val="2"/>
        <scheme val="minor"/>
      </rPr>
      <t>؟</t>
    </r>
  </si>
  <si>
    <t>[INSTRUCTIONS: INSIST ON THE MAIN PRODUCT MENTIONED.]</t>
  </si>
  <si>
    <t>[تعليمات: قم بالإصرار على المحصول الرئيسي المذكور]</t>
  </si>
  <si>
    <t>Livestock_group</t>
  </si>
  <si>
    <t>LIVESTOCK PRODUCTION</t>
  </si>
  <si>
    <t>إنتاج الماشية</t>
  </si>
  <si>
    <t>${resp_agree} = '1' and (${hh_agricactivity}='2' or ${hh_agricactivity} = '3' or ${income_main_ls_check}='1' or ${income_sec_ls_check}='1' or ${income_third_ls_check}='1')</t>
  </si>
  <si>
    <t>ls_intro</t>
  </si>
  <si>
    <t xml:space="preserve">We will now ask you some questions about livestock production which apply to you and anyone in your household that is involved in livestock production or sales. </t>
  </si>
  <si>
    <t>سنطرح عليك الآن بعض الأسئلة حول إنتاج الماشية التي تنطبق عليك وعلى أي شخص في أسرتك يشارك في إنتاج الماشية أو بيعها.</t>
  </si>
  <si>
    <t>select_one lsmain</t>
  </si>
  <si>
    <t>ls_main</t>
  </si>
  <si>
    <t>What was the main animal raised by your household for food or income generation in the last 12 months?</t>
  </si>
  <si>
    <t>ما هو الحيوان الرئيسي الذي قامت أسرتك بتربيته من أجل الغذاء وتوليد الدخل خلال الاثني عشر شهرًا الماضية؟</t>
  </si>
  <si>
    <t>[INSTRUCTIONS: ASK ABOUT THE MOST IMPORTANT ANIMAL ONLY.] [HINT: DON'T FORGET TO PROBE ABOUT TRANSHUMANCE - MOVING LIVESTOCK FROM ONE GRAZING GROUND TO ANOTHER.]</t>
  </si>
  <si>
    <t>[تعليمات: اسأل عن الحيوان الأكثر أهمية فقط]
[ملحوظة: لا تنسَ التحقيق في مسألة التنقل الرعوي - نقل االماشية من أرض رعي إلى أخرى]</t>
  </si>
  <si>
    <t>lsmain</t>
  </si>
  <si>
    <t>jr:choice-name(${ls_main},'${ls_main}')</t>
  </si>
  <si>
    <t>ls_num_lastyr</t>
  </si>
  <si>
    <t>How many ${lsmain} did you have at the same time last year?</t>
  </si>
  <si>
    <t>كم ${lsmain} كان لديك في نفس الوقت من العام الماضي؟</t>
  </si>
  <si>
    <t>[INSTRUCTIONS: RECORD THE NUMBER OF ANIMALS. ENTER 888 FOR DON'T KNOW AND 999 FOR REFUSED.]</t>
  </si>
  <si>
    <t>[تعليمات: سجل عدد الحيوانات. أدخل 888 للا أعرف و 999 في حالة الرفض]</t>
  </si>
  <si>
    <t xml:space="preserve">. &gt;= 0 </t>
  </si>
  <si>
    <t>${ls_main} != '10' or ${ls_main} != '11'</t>
  </si>
  <si>
    <t>ls_num_now</t>
  </si>
  <si>
    <t>How many ${lsmain} do you have now?</t>
  </si>
  <si>
    <t>كم ${lsmain} لديك الآن؟</t>
  </si>
  <si>
    <t>ls_num_diff</t>
  </si>
  <si>
    <t xml:space="preserve">Change in ${lsmain}: </t>
  </si>
  <si>
    <t xml:space="preserve">التغيير في ${lsmain}: </t>
  </si>
  <si>
    <t>(${ls_main} != '10' or ${ls_main} != '11') and (${ls_num_lastyr} != '888' and ${ls_num_lastyr} != '999' and ${ls_num_now} != '888' and ${ls_num_now} != '999')</t>
  </si>
  <si>
    <t>${ls_num_now} - ${ls_num_lastyr}</t>
  </si>
  <si>
    <t>select_multiple lsnum</t>
  </si>
  <si>
    <t>ls_num</t>
  </si>
  <si>
    <t>Why did the number of livestock change?</t>
  </si>
  <si>
    <t>لماذا تغير عدد الماشية؟</t>
  </si>
  <si>
    <t>if(selected(., 'inc_dec_dk') or selected(., 'inc_dec_ref'), count-selected(.) = 1, count-selected(.) &gt;= 1)</t>
  </si>
  <si>
    <t>select_multiple lsfood</t>
  </si>
  <si>
    <t>ls_feed</t>
  </si>
  <si>
    <t xml:space="preserve">Where do you usually access feed for your ${lsmain}? </t>
  </si>
  <si>
    <t>من أين تحصل على الغذاء ل ${lsmain} ؟</t>
  </si>
  <si>
    <t>ls_proddif</t>
  </si>
  <si>
    <t>Has your household faced any significant difficulty with livestock production over the last 3 months?</t>
  </si>
  <si>
    <t>هل واجهت أسرتك أي صعوبة في إنتاج الماشية خلال الأشهر الثلاثة الماضية؟</t>
  </si>
  <si>
    <t>select_multiple lsproddiff</t>
  </si>
  <si>
    <t>ls_proddif_</t>
  </si>
  <si>
    <t>Which difficulties has your household faced with livestock production in the last 3 months?</t>
  </si>
  <si>
    <t>ما الصعوبات التي واجهتها أسرتك في إنتاج الماشية في الأشهر الثلاثة الماضية؟</t>
  </si>
  <si>
    <t>${ls_proddif}='1'</t>
  </si>
  <si>
    <t>select_multiple lsmain2</t>
  </si>
  <si>
    <t>ls_all</t>
  </si>
  <si>
    <t>Do you own any other livestock aside from ${lsmain}, and if so which ones?</t>
  </si>
  <si>
    <t>هل تملك أي ماشية أخرى غير ${lsmain} ، وإذا كان الأمر كذلك فما هي؟</t>
  </si>
  <si>
    <t>[INSTRUCTIONS: "No other livestock" APPEARS AT THE END OF THE LIST OF OPTIONS. SELECT ALL LIVESTOCK LISTED BY THE RESPONDENT.]</t>
  </si>
  <si>
    <t>[تعليمات: "لا مواشي أخرى" موجودة في خيارات الإجابة الأخيرة. حدد كل الحيوانات المدرجة]</t>
  </si>
  <si>
    <t>if(selected(., '10') or selected(., '11') or selected(.,'666'), count-selected(.) = 1, count-selected(.) &gt;= 1)</t>
  </si>
  <si>
    <t>${ls_main} != '10' and ${ls_main} != '11'</t>
  </si>
  <si>
    <t>not(selected(${ls_main}, name))</t>
  </si>
  <si>
    <t>LivestockSales_group</t>
  </si>
  <si>
    <t xml:space="preserve">LIVESTOCK &amp; LIVESTOCK PRODUCT MARKETING </t>
  </si>
  <si>
    <t>تسويق الماشية و المنتجات الحيوانية</t>
  </si>
  <si>
    <t>${resp_agree} = '1' and (${income_main}='4' or ${income_sec}='4' or ${income_third}='4')</t>
  </si>
  <si>
    <t>select_one salesmain</t>
  </si>
  <si>
    <t>ls_salesmain</t>
  </si>
  <si>
    <t>What was the main livestock or livestock product sold by the household in the last 3 months?</t>
  </si>
  <si>
    <t>ما كان نوع الماشية الأساسي أو المنتج الحيواني الرئيسي الذي باعته أسرتك في الأشهر الثلاثة الماضية؟</t>
  </si>
  <si>
    <t>lssalesmain</t>
  </si>
  <si>
    <t>jr:choice-name(${ls_salesmain},'${ls_salesmain}')</t>
  </si>
  <si>
    <t>ls_salesdif</t>
  </si>
  <si>
    <t>Has your household faced any significant difficulty in the last 3 months selling your ${lssalesmain}?</t>
  </si>
  <si>
    <t>هل واجهت أسرتك أي صعوبة خلال الأشهر الثلاثة الماضية في بيع ${lssalesmain}؟</t>
  </si>
  <si>
    <t>select_multiple lssalesdif</t>
  </si>
  <si>
    <t>ls_salesdif_</t>
  </si>
  <si>
    <t>What difficulties has your household faced in the last 3 months selling your ${lssalesmain}?</t>
  </si>
  <si>
    <t xml:space="preserve"> ما الصعوبات التي واجهتها أسرتك خلال الأشهر الثلاثة الماضية في بيع ${lssalesmain}؟</t>
  </si>
  <si>
    <t xml:space="preserve">${ls_salesdif} = '1' </t>
  </si>
  <si>
    <t>ls_salesprice</t>
  </si>
  <si>
    <r>
      <t xml:space="preserve">How does the current price of your household's ${lssalesmain} compare to the average price in the same period of </t>
    </r>
    <r>
      <rPr>
        <b/>
        <sz val="11"/>
        <color rgb="FF7030A0"/>
        <rFont val="Calibri (Body)"/>
      </rPr>
      <t>#reference year#</t>
    </r>
    <r>
      <rPr>
        <sz val="11"/>
        <rFont val="Calibri"/>
        <family val="2"/>
        <scheme val="minor"/>
      </rPr>
      <t>?</t>
    </r>
  </si>
  <si>
    <r>
      <rPr>
        <sz val="11"/>
        <color rgb="FF000000"/>
        <rFont val="Calibri"/>
        <family val="2"/>
      </rPr>
      <t xml:space="preserve">كيف تقارن السعر الحالي ل ${lssalesmain} لأسرتك بمتوسط ​​السعر في نفس الفترة من </t>
    </r>
    <r>
      <rPr>
        <b/>
        <sz val="11"/>
        <color rgb="FF7030A0"/>
        <rFont val="Calibri"/>
        <family val="2"/>
      </rPr>
      <t>#reference year AR#</t>
    </r>
    <r>
      <rPr>
        <sz val="11"/>
        <color rgb="FF000000"/>
        <rFont val="Calibri"/>
        <family val="2"/>
      </rPr>
      <t>؟</t>
    </r>
  </si>
  <si>
    <t>[تعليمات: قم بالإصرار على المنتج الرئيسي المذكور]</t>
  </si>
  <si>
    <t>Fishing_group</t>
  </si>
  <si>
    <t>FISHING / AQUACULTURE PRODUCTION</t>
  </si>
  <si>
    <t>إنتاج الأسماك وتربية الأحياء المائية</t>
  </si>
  <si>
    <t>${resp_agree} = '1' and (${income_main_fish_check}='1' or ${income_sec_fish_check}='1' or ${income_third_fish_check}='1' or ${hh_fish}='1')</t>
  </si>
  <si>
    <t>fish_intro</t>
  </si>
  <si>
    <t>We will now ask you some questions about fishing and aquaculture production which apply to you and anyone in your household that is involved in the capture, culture, or harvest of fish and aquatic products.</t>
  </si>
  <si>
    <t>سنطرح عليك الآن بعض الأسئلة حول صيد الأسماك وتربية الأحياء المائية، وهي تنطبق عليك وعلى أي شخص في أسرتك يشارك في الصيد أو تربية الأسماك والمنتجات المائية، أو حصادها وتجهيزها وبيعها.</t>
  </si>
  <si>
    <t>select_multiple fishactivity</t>
  </si>
  <si>
    <t>fish_main</t>
  </si>
  <si>
    <t>What type of fishing activity does your household generally practice?</t>
  </si>
  <si>
    <t>ما نوع نشاط الصيد الذي تمارسه أسرتك بشكل عام؟</t>
  </si>
  <si>
    <t>[INSTRUCTIONS: MUTIPLE RESPONSES POSSIBLE.]</t>
  </si>
  <si>
    <t>fish_change</t>
  </si>
  <si>
    <t>How does your fish catch [farmed] in the last 3 months [last harvest] compare to the same period [harvest] last year?</t>
  </si>
  <si>
    <t>كيف يتم إنتاج الأسماك [زراعتها] في الأشهر الثلاثة الماضية [آخر حصاد] مقارنة بنفس الفترة [الحصاد] في العام الماضي؟</t>
  </si>
  <si>
    <t>fish_proddif</t>
  </si>
  <si>
    <t>Has your household faced any significant difficulty with fish catch / harvest / farming in the last 3 months?</t>
  </si>
  <si>
    <t>هل واجهت أسرتك أي صعوبة كبيرة في صيد الأسماك أو حصادها أو تربيتها خلال الأشهر الثلاثة الماضية؟</t>
  </si>
  <si>
    <t>select_multiple fishproddiff</t>
  </si>
  <si>
    <t>fish_proddif_</t>
  </si>
  <si>
    <t>Which difficulties has your household faced with fish catch / harvest / farming in the last 3 months?</t>
  </si>
  <si>
    <t>ما الصعوبات التي واجهتها أسرتك في صيد الأسماك و / أو حصادها في الأشهر الثلاثة الماضية؟</t>
  </si>
  <si>
    <t>${fish_proddif}='1'</t>
  </si>
  <si>
    <t>fish_proddif_otherspecify</t>
  </si>
  <si>
    <t>${fish_proddif} = '1' and selected(${fish_proddif_}, 'other')</t>
  </si>
  <si>
    <t>select_multiple fishinput</t>
  </si>
  <si>
    <t>fish_inputdif</t>
  </si>
  <si>
    <t>Which fishing [culture] input material has your household had difficulties accessing in the last 3 months?</t>
  </si>
  <si>
    <t>ما هي مواد الصيد أو المدخلات التي واجهت أسرتك صعوبة في الوصول إليها خلال الأشهر الثلاثة الماضية؟</t>
  </si>
  <si>
    <t>${fish_proddif} = '1' and selected(${fish_proddif_}, 'input_access')</t>
  </si>
  <si>
    <t>fish_inputdif_otherspecify</t>
  </si>
  <si>
    <t>${fish_inputdif} = 'other'</t>
  </si>
  <si>
    <t>FishSales_group</t>
  </si>
  <si>
    <t xml:space="preserve">FISHING / AQUACULTURE MARKETING </t>
  </si>
  <si>
    <t>تسويق الأسماك وتربية الأحياء المائية</t>
  </si>
  <si>
    <t>${resp_agree} = '1' and (${income_main}='6' or ${income_sec}='6' or ${income_third}='6')</t>
  </si>
  <si>
    <t>select_one fishsales</t>
  </si>
  <si>
    <t>fish_salesmain</t>
  </si>
  <si>
    <t>What was the main fish or aquatic product sold by your household in the last 3 months?</t>
  </si>
  <si>
    <t>ما هو السمك أو المنتج المائي الرئيسي الذي باعته أسرتك في الأشهر الثلاثة الماضية؟</t>
  </si>
  <si>
    <t>fishsalesmain</t>
  </si>
  <si>
    <t>jr:choice-name(${fish_salesmain},'${fish_salesmain}')</t>
  </si>
  <si>
    <t>fish_salesmain_otherspecify</t>
  </si>
  <si>
    <t>selected(${fish_salesmain} , '5')</t>
  </si>
  <si>
    <t>fish_salesdif</t>
  </si>
  <si>
    <t>Has your household faced any significant difficulty marketing / selling your ${fishsalesmain} in the last 3 months?</t>
  </si>
  <si>
    <t>هل واجهت أسرتك أي صعوبة خلال الأشهر الثلاثة الماضية في بيع  و تسويق  ${fishsalesmain}؟</t>
  </si>
  <si>
    <t>select_multiple fishsalesdif</t>
  </si>
  <si>
    <t>fish_saledif</t>
  </si>
  <si>
    <t>What difficulties has your household faced in the last 3 months selling your ${fishsalesmain}?</t>
  </si>
  <si>
    <t>ما الصعوبات التي واجهتها أسرتك في الأشهر الثلاثة الماضية في بيع ${fishsalesmain}؟</t>
  </si>
  <si>
    <t xml:space="preserve">${fish_salesdif} = '1' </t>
  </si>
  <si>
    <t>fish_salesdif_otherspecify</t>
  </si>
  <si>
    <t>selected(${fish_saledif}, 'other')</t>
  </si>
  <si>
    <t>fish_salesprice</t>
  </si>
  <si>
    <r>
      <t xml:space="preserve">How does the current price of your household's ${fishsalesmain} compare to the average price in the same period/harvest of </t>
    </r>
    <r>
      <rPr>
        <b/>
        <sz val="11"/>
        <color rgb="FF7030A0"/>
        <rFont val="Calibri (Body)"/>
      </rPr>
      <t>#reference year#</t>
    </r>
    <r>
      <rPr>
        <sz val="11"/>
        <rFont val="Calibri"/>
        <family val="2"/>
        <scheme val="minor"/>
      </rPr>
      <t xml:space="preserve">? </t>
    </r>
  </si>
  <si>
    <r>
      <rPr>
        <sz val="11"/>
        <color rgb="FF000000"/>
        <rFont val="Calibri"/>
        <family val="2"/>
      </rPr>
      <t xml:space="preserve">كيف تقارن السعر الحالي لبيع  ${fishsalesmain}  لأسرتك بمتوسط ​​السعر في نفس الفترة من </t>
    </r>
    <r>
      <rPr>
        <b/>
        <sz val="11"/>
        <color rgb="FF7030A0"/>
        <rFont val="Calibri"/>
        <family val="2"/>
      </rPr>
      <t>#reference year AR#</t>
    </r>
    <r>
      <rPr>
        <sz val="11"/>
        <color rgb="FF000000"/>
        <rFont val="Calibri"/>
        <family val="2"/>
      </rPr>
      <t>؟</t>
    </r>
  </si>
  <si>
    <t>FSI</t>
  </si>
  <si>
    <t>FOOD SECURITY INDICATORS</t>
  </si>
  <si>
    <t>مؤشرات الأمن الغذائي</t>
  </si>
  <si>
    <t>intro_foodsec</t>
  </si>
  <si>
    <t>Now I would like to ask you some questions about food consumption, food utilization and coping mechanisms. Make sure to refer to the correct time period for each set of questions.</t>
  </si>
  <si>
    <t>الآن أود أن أطرح عليك بعض الأسئلة حول استهلاك الغذاء ، واستخدام الغذاء و استراتيجيات المواجهة. تأكد من الرجوع إلى الفترة الزمنية الصحيحة لكل مجموعة من الأسئلة.</t>
  </si>
  <si>
    <t>grp_fies</t>
  </si>
  <si>
    <t>FIES</t>
  </si>
  <si>
    <t>fies_intro</t>
  </si>
  <si>
    <t xml:space="preserve">The first set of questions refers to experiences faced by your or any of your household members over the past 30 days. </t>
  </si>
  <si>
    <t>تشير المجموعة الأولى من الأسئلة إلى التجارب التي واجهتها أنت أو أي فرد من أفراد أسرتك خلال الثلاثين يومًا الماضية.</t>
  </si>
  <si>
    <t>fies_worried</t>
  </si>
  <si>
    <r>
      <t>During the *last 30 days*, was there a time when you or others in your household were **</t>
    </r>
    <r>
      <rPr>
        <u/>
        <sz val="11"/>
        <color theme="1"/>
        <rFont val="Calibri"/>
        <family val="2"/>
        <scheme val="minor"/>
      </rPr>
      <t>worried about not having enough food to eat</t>
    </r>
    <r>
      <rPr>
        <sz val="11"/>
        <color theme="1"/>
        <rFont val="Calibri"/>
        <family val="2"/>
        <scheme val="minor"/>
      </rPr>
      <t>** because of lack of money or other resources?</t>
    </r>
  </si>
  <si>
    <t>خلال *الثلاثين يومًا الماضية* ، هل حدث أن كنت أنت أو الآخرين في اسرتك قلقين بأنه لن يتوفر لكم الطعام الكافي لتأكلوا بسبب نقص النقود أو المصادر الأخرى؟</t>
  </si>
  <si>
    <t>fies_healthy</t>
  </si>
  <si>
    <r>
      <t>During the *last 30 days*, was there a time when you or others in your household were **</t>
    </r>
    <r>
      <rPr>
        <u/>
        <sz val="11"/>
        <color theme="1"/>
        <rFont val="Calibri"/>
        <family val="2"/>
        <scheme val="minor"/>
      </rPr>
      <t>unable to eat healthy and nutritious food</t>
    </r>
    <r>
      <rPr>
        <sz val="11"/>
        <color theme="1"/>
        <rFont val="Calibri"/>
        <family val="2"/>
        <scheme val="minor"/>
      </rPr>
      <t>** because of lack of money or other resources?</t>
    </r>
  </si>
  <si>
    <t xml:space="preserve">خلال *الثلاثين يومًا الماضية* ، هل حدث أن لم يكن باستطاعتك أنت أو الآخرين في اسرتك أكل طعام صحي ومغذي بسبب نقص النقود أو المصادر الأخرى؟ </t>
  </si>
  <si>
    <t>fies_fewfoods</t>
  </si>
  <si>
    <r>
      <t>During the *last 30 days*, was there a time when you or others in your household **</t>
    </r>
    <r>
      <rPr>
        <u/>
        <sz val="11"/>
        <color theme="1"/>
        <rFont val="Calibri"/>
        <family val="2"/>
        <scheme val="minor"/>
      </rPr>
      <t>ate only a few kinds of foods</t>
    </r>
    <r>
      <rPr>
        <sz val="11"/>
        <color theme="1"/>
        <rFont val="Calibri"/>
        <family val="2"/>
        <scheme val="minor"/>
      </rPr>
      <t>** because of lack of money or other resources?</t>
    </r>
  </si>
  <si>
    <t xml:space="preserve">خلال *الثلاثين يومًا الماضية* ، هل حدث أن أنت أو الآخرين في اسرتك أكلتم أنواعاً قليلةً من الأطعمة بسبب نقص النقود أو المصادر الأخرى ؟ </t>
  </si>
  <si>
    <t>fies_skipped</t>
  </si>
  <si>
    <r>
      <t>During the *last 30 days*, was there a time when you or others in your household **</t>
    </r>
    <r>
      <rPr>
        <u/>
        <sz val="11"/>
        <color theme="1"/>
        <rFont val="Calibri"/>
        <family val="2"/>
        <scheme val="minor"/>
      </rPr>
      <t>had to skip a meal</t>
    </r>
    <r>
      <rPr>
        <sz val="11"/>
        <color theme="1"/>
        <rFont val="Calibri"/>
        <family val="2"/>
        <scheme val="minor"/>
      </rPr>
      <t>** because of lack of money or other resources to get food?</t>
    </r>
  </si>
  <si>
    <t>خلال *الثلاثين يومًا الماضية* ، هل كان عليك أنت أو الآخرين في اسرتك أن تتخلوا عن وجبة طعام بسبب نقص النقود أو المصادر الأخرى للحصول على الطعام ؟</t>
  </si>
  <si>
    <t>fies_ateless</t>
  </si>
  <si>
    <r>
      <t>During the *last 30 days*, was there a time when you or others in your household **</t>
    </r>
    <r>
      <rPr>
        <u/>
        <sz val="11"/>
        <color theme="1"/>
        <rFont val="Calibri"/>
        <family val="2"/>
        <scheme val="minor"/>
      </rPr>
      <t>ate less than you thought you should</t>
    </r>
    <r>
      <rPr>
        <sz val="11"/>
        <color theme="1"/>
        <rFont val="Calibri"/>
        <family val="2"/>
        <scheme val="minor"/>
      </rPr>
      <t>** because of lack of money or other resources?</t>
    </r>
  </si>
  <si>
    <t xml:space="preserve">خلال *الثلاثين يومًا الماضية* ، هل حدث أن أكلت أنت أو الآخرين في اسرتك أقل مما اعتقدت أنكم يجب أن تأكلوا بسبب نقص النقود أو المصادر الأخرى؟  </t>
  </si>
  <si>
    <t>fies_ranout</t>
  </si>
  <si>
    <r>
      <t>In the *past 30 days*, was there ever **</t>
    </r>
    <r>
      <rPr>
        <u/>
        <sz val="11"/>
        <color theme="1"/>
        <rFont val="Calibri"/>
        <family val="2"/>
        <scheme val="minor"/>
      </rPr>
      <t>no food to eat of any kind</t>
    </r>
    <r>
      <rPr>
        <sz val="11"/>
        <color theme="1"/>
        <rFont val="Calibri"/>
        <family val="2"/>
        <scheme val="minor"/>
      </rPr>
      <t>** in your house because of lack of resources to get food?</t>
    </r>
  </si>
  <si>
    <t xml:space="preserve">خلال *الثلاثين يومًا الماضية* ، هل حدث أن لم يكن هنالك أي طعام لتأكله من أي نوع في منزلك  (نفد الطعام في منزلك) بسبب نقص الموارد للحصول على الطعام؟ </t>
  </si>
  <si>
    <t>select_one frequency</t>
  </si>
  <si>
    <t>fies_ranout_hhs</t>
  </si>
  <si>
    <t xml:space="preserve">How often did this happen? </t>
  </si>
  <si>
    <t>كم مرة حدث ذلك؟</t>
  </si>
  <si>
    <t>${fies_ranout} = '1'</t>
  </si>
  <si>
    <t>fies_hungry</t>
  </si>
  <si>
    <r>
      <t>In the *past 30 days*, did you or any household member ever **</t>
    </r>
    <r>
      <rPr>
        <u/>
        <sz val="11"/>
        <rFont val="Calibri"/>
        <family val="2"/>
        <scheme val="minor"/>
      </rPr>
      <t>go to sleep at night hungry</t>
    </r>
    <r>
      <rPr>
        <sz val="11"/>
        <rFont val="Calibri"/>
        <family val="2"/>
        <scheme val="minor"/>
      </rPr>
      <t>**because there was not enough food?</t>
    </r>
  </si>
  <si>
    <t xml:space="preserve">خلال *الثلاثين يومًا الماضية* ، هل سبق لك أو لأي فرد من أفراد أسرتك أن تنام ليلاً وأنت جائعاً بسبب عدم وجود ما يكفي من الطعام؟ </t>
  </si>
  <si>
    <t>fies_hungry_hhs</t>
  </si>
  <si>
    <t>${fies_hungry} = '1'</t>
  </si>
  <si>
    <t>fies_whlday</t>
  </si>
  <si>
    <r>
      <t>In the *past 30 days*, did you or any household member ever **</t>
    </r>
    <r>
      <rPr>
        <u/>
        <sz val="11"/>
        <rFont val="Calibri"/>
        <family val="2"/>
        <scheme val="minor"/>
      </rPr>
      <t>go a whole day and night without eating anything at all</t>
    </r>
    <r>
      <rPr>
        <sz val="11"/>
        <rFont val="Calibri"/>
        <family val="2"/>
        <scheme val="minor"/>
      </rPr>
      <t>** because there was not enough food?</t>
    </r>
  </si>
  <si>
    <t>خلال *الثلاثين يومًا الماضية* ، هل بقيت أنت أو أي فرد من أفراد أسرتك يومًا كاملاً ليلاً ونهارًا دون تناول أي شيء على الإطلاق بسبب عدم وجود ما يكفي من الطعام؟</t>
  </si>
  <si>
    <t>fies_whlday_hhs</t>
  </si>
  <si>
    <t>${fies_whlday} = '1'</t>
  </si>
  <si>
    <t>grp_lcsi</t>
  </si>
  <si>
    <t>LCSI</t>
  </si>
  <si>
    <t>field-list</t>
  </si>
  <si>
    <t>lcsi_intro</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</si>
  <si>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</si>
  <si>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الآن أود أن أسألك عن المجموعة الثانية من الأسئلة حول استراتيجيات المواجهة ، بالإشارة إلى *الثلاثين يومًا الماضية*. فكر فيما إذا كان عليك أنت أو أي شخص في أسرتك اللجوء إلى الاستراتيجيات التالية التي قد تتجنبها لولا ذلك لأنك * لم يكن لديك ما يكفي من الطعام أو المال لإطعام أفراد الأسرة *</t>
  </si>
  <si>
    <t>select_one coping</t>
  </si>
  <si>
    <t>cs_stress_hh_assets</t>
  </si>
  <si>
    <t>**Sell household assets/goods** (radio, furniture, television, jewelry etc.)</t>
  </si>
  <si>
    <t>بيع أصول / سلع منزلية (راديو ، أثاث ، تلفزيون ، مجوهرات ، إلخ)</t>
  </si>
  <si>
    <t>cs_stress_spent_savings</t>
  </si>
  <si>
    <t>**Spend savings**</t>
  </si>
  <si>
    <t>إنفاق مدخرات</t>
  </si>
  <si>
    <t>cs_stress_sold_more_animals</t>
  </si>
  <si>
    <t>**Sell more animals (non-reproductive) than usual**</t>
  </si>
  <si>
    <t>بيع حيوانات (غير تناسلية) أكثر من المعتاد</t>
  </si>
  <si>
    <t>cs_stress_eat_elsewhere</t>
  </si>
  <si>
    <t>**Send household members to eat elsewhere**</t>
  </si>
  <si>
    <t xml:space="preserve"> إرسال أفراد الأسرة لتناول الطعام في مكان آخر</t>
  </si>
  <si>
    <t>cs_stress_borrowed_or_helped</t>
  </si>
  <si>
    <t>**Borrow food or relied on help from friends or relatives **</t>
  </si>
  <si>
    <t xml:space="preserve"> اقتراض الطعام أو الاعتماد على مساعدة الأصدقاء أو الأقارب</t>
  </si>
  <si>
    <t>cs_stress_credit</t>
  </si>
  <si>
    <t>**Purchase food on credit or borrowed food**</t>
  </si>
  <si>
    <t xml:space="preserve"> شراء الطعام عن طريق الائتمان أو اقتراض الطعام</t>
  </si>
  <si>
    <t>cs_stress_borrowed_money</t>
  </si>
  <si>
    <t>**Borrow money**</t>
  </si>
  <si>
    <t>اقتراض المال</t>
  </si>
  <si>
    <t>cs_stress_changed_school</t>
  </si>
  <si>
    <t>**Move children to less expensive schools**</t>
  </si>
  <si>
    <t>نقل أطفاله إلى مدرسة أقل تكلفة</t>
  </si>
  <si>
    <t>cs_crisis_sold_prod_assets</t>
  </si>
  <si>
    <t>**Sell productive assets or means of transport** (sewing machine, wheelbarrow, bicycle, car, etc.)</t>
  </si>
  <si>
    <t>بيع أصول منتجة أو وسائل نقل (ماكينة خياطة ، عربة يد ، دراجة ، سيارة ، إلخ)</t>
  </si>
  <si>
    <t>cs_crisis_no_school</t>
  </si>
  <si>
    <t>**Withdraw children from school**</t>
  </si>
  <si>
    <t>سحب أطفاله من المدرسة</t>
  </si>
  <si>
    <t>cs_crisis_reduced_health_exp</t>
  </si>
  <si>
    <t>**Reduce expenses on health** (including drugs)</t>
  </si>
  <si>
    <t>تقليل النفقات على الصحة (بما في ذلك الأدوية)</t>
  </si>
  <si>
    <t>cs_crisis_harv_immature_crops</t>
  </si>
  <si>
    <t>**Harvest immature crops** (e.g. green maize) **to eat**</t>
  </si>
  <si>
    <t>حصاد المحاصيل غير الناضجة (مثل الذرة الخضراء) لتناولها</t>
  </si>
  <si>
    <t>cs_crisis_consume_seed_stocks</t>
  </si>
  <si>
    <t>**Consume seed stocks that were to be saved for the next planting season**</t>
  </si>
  <si>
    <t xml:space="preserve">إستهلاك مخزون البذور الذي كان من المقرر الاحتفاظ به / حفظه لموسم الزراعة التالي </t>
  </si>
  <si>
    <t>cs_crisis_decrease_input_exp</t>
  </si>
  <si>
    <t>**Decrease expenditures on fertilizer, pesticide, fodder, animal feed, veterinary care, etc.**</t>
  </si>
  <si>
    <t>تقليل الإنفاق على الأسمدة ومبيدات الآفات والأعلاف والأعلاف الحيوانية والرعاية البيطرية وما إلى ذلك</t>
  </si>
  <si>
    <t>cs_emergency_sold_house</t>
  </si>
  <si>
    <t>**Sell a house or land**</t>
  </si>
  <si>
    <t>بيع منزل أو أرض</t>
  </si>
  <si>
    <t>cs_emergency_begged</t>
  </si>
  <si>
    <t>**Beg**</t>
  </si>
  <si>
    <t>التسول</t>
  </si>
  <si>
    <t>cs_emergency_illegal</t>
  </si>
  <si>
    <t>**Engage in illegal or degrading income activities** (theft, prostitution)</t>
  </si>
  <si>
    <t>الانخراط في أنشطة دخل غير قانونية أو مهينة (السرقة ، الدعارة)</t>
  </si>
  <si>
    <t>cs_emergency_sold_last_female</t>
  </si>
  <si>
    <t>**Sell your last female animals**</t>
  </si>
  <si>
    <t>بيع آخر إناث الحيوانات</t>
  </si>
  <si>
    <t>cs_emergency_hh_migration</t>
  </si>
  <si>
    <t>**Migrate with the entire household**</t>
  </si>
  <si>
    <t xml:space="preserve">الهجرة مع الأسرة بأكملها </t>
  </si>
  <si>
    <t>grp_hdds</t>
  </si>
  <si>
    <t>HDDS</t>
  </si>
  <si>
    <t>hdds_intro</t>
  </si>
  <si>
    <t>Now I would like to ask you about a set of questions on food consumption, referring to the *24 hours of yesterday*.</t>
  </si>
  <si>
    <t>الآن أود أن أسألك عن المجموعة الثالثة من الأسئلة حول استهلاك الغذاء ، بالإشارة إلى*24 ساعة أمس*.</t>
  </si>
  <si>
    <t>select_multiple hdds</t>
  </si>
  <si>
    <t>hdds</t>
  </si>
  <si>
    <t>Please describe the foods (meals and snacks) that you or any household member ate or drank at home yesterday (in the *24 hours of yesterday*: breakfast, lunch, dinner and snacks).</t>
  </si>
  <si>
    <t xml:space="preserve"> يرجى وصف الأطعمة (الوجبات والوجبات الخفيفة) التي أكلتها أو شربتها أنت أو أي فرد من أفراد أسرتك في المنزل أمس (في *24 ساعة من أمس*: الإفطار والغداء والعشاء والوجبات الخفيفة).</t>
  </si>
  <si>
    <t>[INSTRUCTIONS: SELECT ALL FOOD GROUPS CONSUMED IN THE 24 HOURS OF YESTERDAY AS THE RESPONDENT ANSWERS. MULTIPLE RESPONSES POSSIBLE.]</t>
  </si>
  <si>
    <t>[تعليمات: حدد كل المجموعات الغذائية المستهلكة خلال الـ 24 ساعة الماضية كإجابة للمُجيب. ردود متعددة ممكنة]</t>
  </si>
  <si>
    <t>hdds_confirmation</t>
  </si>
  <si>
    <t>[INSTRUCTIONS: Remember to probe for snacks, special foods given to children or pregnant women, ingredients in mixed dishes. At the end, probe for any food groups not specified.]</t>
  </si>
  <si>
    <t>تذكر: تحقق من الوجبات الخفيفة والأطعمة الخاصة المقدمة للأطفال أو النساء الحوامل والمكونات في الأطباق المختلطة. في النهاية ، تحقق من المجموعات الغذائية التي لم يتم تناولها.</t>
  </si>
  <si>
    <t>grp_fcs</t>
  </si>
  <si>
    <t>FCS</t>
  </si>
  <si>
    <t>fcs_intro</t>
  </si>
  <si>
    <t>Now I would like to ask you about the foods and drinks your household ate or drank in  *the last 7 days* during the day and at night [breakfast, lunch, dinner, snacks].</t>
  </si>
  <si>
    <t>الآن أود أن أسألك عن الأطعمة والمشروبات التي أكلتها أو شربتها أسرتك في *آخر 7 أيام* خلال النهار والليل [الإفطار ، والغداء ، والعشاء ، والوجبات الخفيفة]</t>
  </si>
  <si>
    <t>fcs_staple_days</t>
  </si>
  <si>
    <t>How many days over *the last 7 days*, did members of your household eat **starches, roots and tubers** such as rice, maize, pasta, bread, sorghum, millet, potato, yam, cassava, white sweet potato?</t>
  </si>
  <si>
    <t>كم يومًا خلال *السبعة أيام الماضية* ، تناول أفراد أسرتك **النشويات والجذور والدرنات** مثل الأرز والذرة والمعكرونة والخبز والذرة الرفيعة والدخن والبطاطا والكسافا والبطاطا الحلوة البيضاء؟</t>
  </si>
  <si>
    <t>[INSTRUCTIONS: RECORD NUMBER OF DAYS 0 - 7. IF CONSUMED ONLY IN SMALL QUANTITY, DO NOT INCLUDE.]</t>
  </si>
  <si>
    <t>[تعليمات: سجل عدد الأيام من صفر إلى 7. إذا تم تناول هذه الأطعمة بكميات صغيرة فقط ، فلا تقم بتضمينها]</t>
  </si>
  <si>
    <t>.&gt;= 0 and .&lt;=7</t>
  </si>
  <si>
    <t>The answer must be between 0 and 7 days</t>
  </si>
  <si>
    <t>fcs_pulses_days</t>
  </si>
  <si>
    <t>How many days over *the last 7 days*, did members of your household eat** pulses and nuts such as beans, lentils, cowpeas, soybean, pigeon peas and peanuts or other nuts**?</t>
  </si>
  <si>
    <t>كم يومًا خلال *السبعة أيام الماضية* ، تناول أفراد أسرتك **البقول والمكسرات مثل الفاصوليا والعدس واللوبيا وفول الصويا والفول والفول السوداني أو غيرها من المكسرات**؟</t>
  </si>
  <si>
    <t>fcs_vegetables_days</t>
  </si>
  <si>
    <r>
      <t>How many days over *the last 7 days*, did members of your household eat **vegetables or leaves** such as</t>
    </r>
    <r>
      <rPr>
        <b/>
        <sz val="11"/>
        <color rgb="FF7030A0"/>
        <rFont val="Calibri"/>
        <family val="2"/>
        <scheme val="minor"/>
      </rPr>
      <t xml:space="preserve"> #local vegetables#</t>
    </r>
    <r>
      <rPr>
        <sz val="11"/>
        <color theme="0" tint="-0.34998626667073579"/>
        <rFont val="Calibri"/>
        <family val="2"/>
        <scheme val="minor"/>
      </rPr>
      <t xml:space="preserve"> and/or other leaves/vegetables?</t>
    </r>
  </si>
  <si>
    <r>
      <t xml:space="preserve">كم يومًا خلال *السبعة أيام الماضية* ، أكل أفراد أسرتك **خضروات أو خضار ورقية** مثل  </t>
    </r>
    <r>
      <rPr>
        <b/>
        <sz val="11"/>
        <color rgb="FF7030A0"/>
        <rFont val="Calibri (Body)"/>
      </rPr>
      <t>#local vegetables AR#</t>
    </r>
    <r>
      <rPr>
        <sz val="11"/>
        <color theme="0" tint="-0.34998626667073579"/>
        <rFont val="Calibri"/>
        <family val="2"/>
        <scheme val="minor"/>
      </rPr>
      <t xml:space="preserve"> و / أو خضار ورقية / خضروات أخرى؟</t>
    </r>
  </si>
  <si>
    <t>fcs_fruit_days</t>
  </si>
  <si>
    <r>
      <t xml:space="preserve">How many days over *the last 7 days*, did members of your household eat **fruit** such as </t>
    </r>
    <r>
      <rPr>
        <sz val="11"/>
        <color rgb="FF7030A0"/>
        <rFont val="Calibri"/>
        <family val="2"/>
        <scheme val="minor"/>
      </rPr>
      <t>#</t>
    </r>
    <r>
      <rPr>
        <b/>
        <sz val="11"/>
        <color rgb="FF7030A0"/>
        <rFont val="Calibri"/>
        <family val="2"/>
        <scheme val="minor"/>
      </rPr>
      <t>local fruits#</t>
    </r>
    <r>
      <rPr>
        <sz val="11"/>
        <color theme="0" tint="-0.34998626667073579"/>
        <rFont val="Calibri"/>
        <family val="2"/>
        <scheme val="minor"/>
      </rPr>
      <t xml:space="preserve"> and/or other fruits?</t>
    </r>
  </si>
  <si>
    <r>
      <t xml:space="preserve">كم يومًا خلال *السبعة أيام الماضية* ، تناول أفراد أسرتك **فواكه** مثل </t>
    </r>
    <r>
      <rPr>
        <b/>
        <sz val="11"/>
        <color rgb="FF7030A0"/>
        <rFont val="Calibri (Body)"/>
      </rPr>
      <t>#local fruits AR#</t>
    </r>
    <r>
      <rPr>
        <sz val="11"/>
        <color theme="0" tint="-0.34998626667073579"/>
        <rFont val="Calibri"/>
        <family val="2"/>
        <scheme val="minor"/>
      </rPr>
      <t xml:space="preserve"> و / أو غيرها من الفواكه؟</t>
    </r>
  </si>
  <si>
    <t>fcs_meat_fish_days</t>
  </si>
  <si>
    <t>How many days over *the last 7 days*, did members of your household eat **meat, eggs or fish** [any type of meat or fish including insects, birds, bush meat, seafood, or organs]?</t>
  </si>
  <si>
    <t>كم يومًا خلال *السبعة أيام الماضية* ، تناول أفراد أسرتك **اللحوم أو البيض أو الأسماك** [أي نوع من اللحوم أو الأسماك بما في ذلك الحشرات أو الطيور أو لحوم الحيوانات البرية أو المأكولات البحرية أو لحوم الأعضاء] ؟</t>
  </si>
  <si>
    <t>fcs_dairy_days</t>
  </si>
  <si>
    <t>How many days over *the last 7 days*, did members of your household consume fresh milk, sour milk, yogurt, cheese or other **dairy products** [excluding margarine/butter or small amounts of milk for tea/ coffee]?</t>
  </si>
  <si>
    <t>كم يومًا خلال *السبعة أيام الماضية* ، استهلك أفراد أسرتك الحليب الطازج أو اللبن الرائب أو الزبادي أو الجبن أو **منتجات الألبان** الأخرى؟ [باستثناء المارجرين / الزبدة أو كميات صغيرة من الحليب للشاي / القهوة]</t>
  </si>
  <si>
    <t>fcs_sugar_days</t>
  </si>
  <si>
    <t>How many days over *the last 7 days*, did members of your household consume **sugar or sweets** such as sugar, honey, jam, cakes, candy, cookies, pastries, cakes and other sweets and sugary drinks?</t>
  </si>
  <si>
    <t>كم يومًا خلال *السبعة أيام الماضية* ، استهلك أفراد أسرتك **السكر أو الحلوى** مثل السكر والعسل والمربى والكيك والحلو والبسكويت والحلويات الأخرى والمشروبات السكرية؟</t>
  </si>
  <si>
    <t>fcs_oil_days</t>
  </si>
  <si>
    <t>How many days over *the last 7 days*, did members of your household eat **oil/fat/butter** such as vegetable oil, palm oil, groundnut oil, margarine, other fats / oil?</t>
  </si>
  <si>
    <t>كم يومًا خلال *السبعة أيام الماضية* ، تناول أفراد أسرتك **الزيت / الدهون / الزبدة** مثل الزيت النباتي وزيت النخيل وزيت الفول السوداني والسمن النباتي والدهون / الزيوت الأخرى؟</t>
  </si>
  <si>
    <t>fcs_condiments_days</t>
  </si>
  <si>
    <t>How many days over *the last 7 days*, did members of your household eat **spices or condiments** such as tea, coffee, cocoa, salt, garlic, spices, yeast, meat fish as a condiment or small amounts of milk for tea or coffee?</t>
  </si>
  <si>
    <t>كم يومًا خلال *السبعة أيام الماضية* ، تناول أفراد أسرتك **البهارات أو التوابل** مثل الشاي أو القهوة أو الكاكاو أو الملح أو الثوم أو البهارات أو الخميرة أو اللحوم والأسماك كتوابل أو كميات صغيرة من الحليب للشاي أو القهوة؟</t>
  </si>
  <si>
    <t>grp_rcsi</t>
  </si>
  <si>
    <t>rCSI</t>
  </si>
  <si>
    <t>rcsi_intro</t>
  </si>
  <si>
    <t>Now I will ask you about the number of days, in *the last 7 days*, during which the household has done some of the actions that I will mention to cope with the lack of food or money to buy food.</t>
  </si>
  <si>
    <t>الآن سوف أسألك عن عدد الأيام ، في *الأيام السبعة الماضية* ، والتي قامت خلالها الأسرة ببعض الإجراءات التي سأذكرها للتغلب على نقص الطعام أو المال لشراء الطعام.</t>
  </si>
  <si>
    <t>rcsi_less_preferred_foods</t>
  </si>
  <si>
    <t xml:space="preserve">In *the past 7 days*, how many days did your household **rely on less preferred or less expensive food** due to lack of food/money?  </t>
  </si>
  <si>
    <t>في *الأيام السبعة الماضية* ، كم عدد الأيام التي اعتمدت فيها أسرتك على **طعام أقل تفضيلًا أو أقل تكلفة** بسبب نقص الطعام / المال؟</t>
  </si>
  <si>
    <t>[INSTRUCTIONS: RECORD NUMBER OF DAYS 0 - 7]</t>
  </si>
  <si>
    <t>[تعليمات: سجل عدد الأيام من صفر إلى 7]</t>
  </si>
  <si>
    <t>rcsi_borrowed_food</t>
  </si>
  <si>
    <t xml:space="preserve">In the *past 7 days*, how many days did your household **borrow food, or rely on help from a friend or relative** due to lack of food or money to buy food? </t>
  </si>
  <si>
    <t>في *الأيام السبعة الماضية* ، كم عدد الأيام التي **استعارت فيها أسرتك الطعام ، أو اعتمدت على المساعدة من صديق أو قريب** بسبب نقص الطعام أو المال لشراء الطعام؟</t>
  </si>
  <si>
    <t>rcsi_reduce_number_meals</t>
  </si>
  <si>
    <t>In the past 7 days, how many days did your household **reduce the number of meals eaten in a day** due to lack of food or money to buy food?</t>
  </si>
  <si>
    <t>في *الأيام السبعة الماضية* ، كم عدد الأيام التي **قللت فيها أسرتك عدد الوجبات التي يتم تناولها في اليوم** بسبب نقص الطعام أو المال لشراء الطعام؟</t>
  </si>
  <si>
    <t>rcsi_limit_portions</t>
  </si>
  <si>
    <t xml:space="preserve">In the *past 7 days*, how many days did your household **limit portion sizes at mealtime** due to lack of food or money to buy food? </t>
  </si>
  <si>
    <t>في *الأيام السبعة الماضية* ، كم عدد الأيام التي **حددت فيها أسرتك أحجام الحصص في وقت الوجبة** بسبب نقص الطعام أو المال لشراء الطعام؟</t>
  </si>
  <si>
    <t>rcsi_restrict_adult_consumpt</t>
  </si>
  <si>
    <t>In the *past 7 days*, how many days did your household **restrict consumption by adults so children could eat**, due to lack of food or money to buy food?</t>
  </si>
  <si>
    <t>في *الأيام السبعة الماضية* ، كم عدد الأيام التي قامت فيها أسرتك **بتقييد استهلاك البالغين حتى يتمكن الأطفال من تناول الطعام** ، بسبب نقص الطعام أو المال لشراء الطعام؟</t>
  </si>
  <si>
    <t>Assisstance_group</t>
  </si>
  <si>
    <t>NEEDS ASSISTANCE</t>
  </si>
  <si>
    <t>مساعدة لتلبية الإحتياجات</t>
  </si>
  <si>
    <t>${resp_agree} = 1 and (${hh_agricactivity} &lt; 4 or ${hh_fish} = 1 or ${income_main_crop_check} = 1 or ${income_main_ls_check} = 1 or ${income_main_fish_check} = 1 or ${income_sec_crop_check} = 1 or ${income_sec_ls_check} = 1 or ${income_sec_fish_check} = 1 or ${income_third_crop_check} = 1 or ${income_third_ls_check} = 1 or ${income_third_fish_check} = 1 )</t>
  </si>
  <si>
    <t>need</t>
  </si>
  <si>
    <t>Does your household need assistance for agricultural activities [including crop, livestock or fisheries/aquaculture activities] over the next 3 to 6 months?</t>
  </si>
  <si>
    <t>هل تحتاج أسرتك إلى مساعدة للقيام بالأنشطة الزراعية [بما فى ذلك انتاج المحاصيل أو الماشية أو مصايد الأسماك / أنشطة تربية الأحياء المائية] خلال الأشهر الثلاثة إلى الستة المقبلة؟</t>
  </si>
  <si>
    <t>select_multiple needs</t>
  </si>
  <si>
    <t>need_</t>
  </si>
  <si>
    <t>What are your household's greatest needs for assistance for your household's agricultural activities [including crop, livestock or fisheries/aquaculture production activities] over the next 3 to 6 months?</t>
  </si>
  <si>
    <t>ما هي أكبر احتياجات أسرتك للمساعدة في إنتاج المحاصيل أو الماشية أو مصايد الأسماك / تربية الأحياء المائية خلال الأشهر الثلاثة إلى الستة المقبلة؟</t>
  </si>
  <si>
    <t>[INSTRUCTIONS: MULTIPLE RESPONSE. DO NOT READ THE OPTIONS.]</t>
  </si>
  <si>
    <t>[تعليمات: عدة استجابات محتملة. لا تقرأ الخيارات إذا كان ذلك ممكنًا]</t>
  </si>
  <si>
    <t>${need} = 1</t>
  </si>
  <si>
    <t>need_otherspecify</t>
  </si>
  <si>
    <t>selected(${need_}, 'other')</t>
  </si>
  <si>
    <t>select_multiple needreceived</t>
  </si>
  <si>
    <t>need_received</t>
  </si>
  <si>
    <t>Has your household received any assistance in the last 3 months, and if so, which kind?</t>
  </si>
  <si>
    <t>هل تلقت أسرتك أي مساعدة خلال الأشهر الثلاثة الماضية ، وإذا كان الأمر كذلك ، فمن أي نوع؟</t>
  </si>
  <si>
    <t>[INSTRUCTIONS: READ OUT ANSWER OPTIONS. MULTIPLE RESPONSES POSSIBLE.]</t>
  </si>
  <si>
    <t>[تعليمات: اقرأ الخيارات. إمكانية الاستجابة المتعددة]</t>
  </si>
  <si>
    <t>if(selected(., 'dk') or selected(., 'ref') or selected(., 'none'), count-selected(.) = 1, count-selected(.) &gt;= 1)</t>
  </si>
  <si>
    <t>need_received_otherspecify</t>
  </si>
  <si>
    <t>selected(${need_received}, 'other')</t>
  </si>
  <si>
    <t>select_one assist_quality</t>
  </si>
  <si>
    <t>assistance_quality</t>
  </si>
  <si>
    <t xml:space="preserve">Were you satisfied with the quality of the assistance provided? </t>
  </si>
  <si>
    <t xml:space="preserve">هل كنت راضيا عن جودة المساعدة التي قدمت لكم ؟ </t>
  </si>
  <si>
    <t>[INSTRUCTIONS: QUALITY OF ASSISTANCE IN TERMS OF SUFFICIENT ASSISTANCE FOR PRODUCTION OR SALES DIFFICULTY TO BE OVERCOME.]</t>
  </si>
  <si>
    <t>[تعليمات: جودة المساعدة من حيث كفاية المساعدة للتغلب على صعوبات الانتاج أو البيع]</t>
  </si>
  <si>
    <t>${need_received} != 'dk' and ${need_received} != 'ref' and ${need_received} != 'none'</t>
  </si>
  <si>
    <t>select_multiple provider</t>
  </si>
  <si>
    <t>assistance</t>
  </si>
  <si>
    <t>Who provided your household with this assistance?</t>
  </si>
  <si>
    <t xml:space="preserve">من قام بتقديم تلك المساعدة لاسرتك ؟ </t>
  </si>
  <si>
    <t>[INSTRUCTIONS: MULTIPLE RESPONSES.]</t>
  </si>
  <si>
    <t>closing</t>
  </si>
  <si>
    <t>CLOSING</t>
  </si>
  <si>
    <t>إغلاق</t>
  </si>
  <si>
    <t>callback</t>
  </si>
  <si>
    <t>Your answers will help us to understand and respond to your community needs. May we call you in a few months?</t>
  </si>
  <si>
    <t>ستساعدنا إجاباتك على فهم احتياجات مجتمعك والاستجابة لها. هل يمكننا الاتصال بك مرة أخرى في غضون بضعة أشهر؟</t>
  </si>
  <si>
    <t>select_multiple week</t>
  </si>
  <si>
    <t>future_int_day</t>
  </si>
  <si>
    <r>
      <t xml:space="preserve">For future interviews, in which </t>
    </r>
    <r>
      <rPr>
        <b/>
        <sz val="11"/>
        <color theme="6" tint="-0.499984740745262"/>
        <rFont val="Calibri"/>
        <family val="2"/>
        <scheme val="minor"/>
      </rPr>
      <t>day(s)</t>
    </r>
    <r>
      <rPr>
        <sz val="11"/>
        <color theme="6" tint="-0.499984740745262"/>
        <rFont val="Calibri"/>
        <family val="2"/>
        <scheme val="minor"/>
      </rPr>
      <t xml:space="preserve"> can I call you?</t>
    </r>
  </si>
  <si>
    <r>
      <t xml:space="preserve">للمقابلات المستقبلية ، في أي </t>
    </r>
    <r>
      <rPr>
        <b/>
        <sz val="11"/>
        <color theme="6" tint="-0.499984740745262"/>
        <rFont val="Calibri"/>
        <family val="2"/>
        <scheme val="minor"/>
      </rPr>
      <t>يوم (أيام)</t>
    </r>
    <r>
      <rPr>
        <sz val="11"/>
        <color theme="6" tint="-0.499984740745262"/>
        <rFont val="Calibri"/>
        <family val="2"/>
        <scheme val="minor"/>
      </rPr>
      <t xml:space="preserve"> يمكنني الاتصال بك؟</t>
    </r>
  </si>
  <si>
    <t>[INSTRUCTIONS: MULTIPLE ANSWERS POSSIBLE.]</t>
  </si>
  <si>
    <t>${callback} = '1'</t>
  </si>
  <si>
    <t>select_multiple time</t>
  </si>
  <si>
    <t>future_int_time</t>
  </si>
  <si>
    <r>
      <t xml:space="preserve">For future interviews, at what </t>
    </r>
    <r>
      <rPr>
        <b/>
        <sz val="11"/>
        <color theme="6" tint="-0.499984740745262"/>
        <rFont val="Calibri"/>
        <family val="2"/>
        <scheme val="minor"/>
      </rPr>
      <t>time(s)</t>
    </r>
    <r>
      <rPr>
        <sz val="11"/>
        <color theme="6" tint="-0.499984740745262"/>
        <rFont val="Calibri"/>
        <family val="2"/>
        <scheme val="minor"/>
      </rPr>
      <t xml:space="preserve"> can I call you?</t>
    </r>
  </si>
  <si>
    <r>
      <t xml:space="preserve">للمقابلات المستقبلية ، في أي </t>
    </r>
    <r>
      <rPr>
        <b/>
        <sz val="11"/>
        <color theme="6" tint="-0.499984740745262"/>
        <rFont val="Calibri"/>
        <family val="2"/>
        <scheme val="minor"/>
      </rPr>
      <t>وقت (أوقات)</t>
    </r>
    <r>
      <rPr>
        <sz val="11"/>
        <color theme="6" tint="-0.499984740745262"/>
        <rFont val="Calibri"/>
        <family val="2"/>
        <scheme val="minor"/>
      </rPr>
      <t xml:space="preserve"> يمكنني الاتصال بك؟</t>
    </r>
  </si>
  <si>
    <t>select_one language</t>
  </si>
  <si>
    <t>language2</t>
  </si>
  <si>
    <t xml:space="preserve">Select the language that was mostly used to complete the interview. </t>
  </si>
  <si>
    <t>حدد اللغة التي تم استخدامها في الغالب لإكمال المقابلة.</t>
  </si>
  <si>
    <t>closeout</t>
  </si>
  <si>
    <r>
      <t>Thank you for your time. The interview has come to an end.</t>
    </r>
    <r>
      <rPr>
        <sz val="11"/>
        <color rgb="FF7030A0"/>
        <rFont val="Calibri"/>
        <family val="2"/>
        <scheme val="minor"/>
      </rPr>
      <t xml:space="preserve"> </t>
    </r>
  </si>
  <si>
    <t>شكرا لك على وقتك. انتهت المقابلة.</t>
  </si>
  <si>
    <t>time</t>
  </si>
  <si>
    <t>Interview_End_Time</t>
  </si>
  <si>
    <t>Interview End Time</t>
  </si>
  <si>
    <t>وقت انتهاء المقابلة</t>
  </si>
  <si>
    <t>gps_2</t>
  </si>
  <si>
    <t>GPS INSTRUCTION: You didn't take a measurement earlier. Now walk around the household or go near the main road and try to take a GPS measurement.</t>
  </si>
  <si>
    <t>تعليمات GPS: لم تأخذ القياس في وقت سابق. تجول الآن في المنزل أو اقترب من الطريق الرئيسي وحاول إجراء قياس GPS.</t>
  </si>
  <si>
    <t xml:space="preserve">false </t>
  </si>
  <si>
    <t>${resp_agree} = '1' and ${gps_1} = ''</t>
  </si>
  <si>
    <t>enum_notes</t>
  </si>
  <si>
    <t>Enter any notes or feedback from this survey:</t>
  </si>
  <si>
    <t>أدخل أي ملاحظات أو ملاحظات من هذا الاستطلاع:</t>
  </si>
  <si>
    <t xml:space="preserve">Leave empty if there are no comments. </t>
  </si>
  <si>
    <t>اتركه فارغا إذا لم تكن هناك تعليقات.</t>
  </si>
  <si>
    <t>__version__</t>
  </si>
  <si>
    <t>'vfVbKi5bfYAnEzqoBsXTzQ'</t>
  </si>
  <si>
    <t xml:space="preserve">AVERAGE ESTIMATED DURATION </t>
  </si>
  <si>
    <t>list_name</t>
  </si>
  <si>
    <t>my_filter_admin</t>
  </si>
  <si>
    <t>enumteam</t>
  </si>
  <si>
    <t>Enumerator team 1</t>
  </si>
  <si>
    <t>فريق جمع البيانات 1</t>
  </si>
  <si>
    <t>Enumerator team 2</t>
  </si>
  <si>
    <t>فريق جمع البيانات 2</t>
  </si>
  <si>
    <t>Enumerator team 3</t>
  </si>
  <si>
    <t>فريق جمع البيانات 3</t>
  </si>
  <si>
    <t>Enumerator team 4</t>
  </si>
  <si>
    <t>فريق جمع البيانات 4</t>
  </si>
  <si>
    <t>enumerator name 1</t>
  </si>
  <si>
    <t>اسم جامع البيانات 1</t>
  </si>
  <si>
    <t>enumerator name 2</t>
  </si>
  <si>
    <t>اسم جامع البيانات 2</t>
  </si>
  <si>
    <t>enumerator name 3</t>
  </si>
  <si>
    <t>اسم جامع البيانات 3</t>
  </si>
  <si>
    <t>yes_no</t>
  </si>
  <si>
    <t>Yes</t>
  </si>
  <si>
    <t>نعم</t>
  </si>
  <si>
    <t>No</t>
  </si>
  <si>
    <t>لا</t>
  </si>
  <si>
    <t>DON'T KNOW</t>
  </si>
  <si>
    <t>لا أعرف</t>
  </si>
  <si>
    <t>REFUSED</t>
  </si>
  <si>
    <t>رفض الإجابة</t>
  </si>
  <si>
    <t>continue</t>
  </si>
  <si>
    <t>تابع</t>
  </si>
  <si>
    <t>yesno</t>
  </si>
  <si>
    <t>language</t>
  </si>
  <si>
    <t>en</t>
  </si>
  <si>
    <t>English</t>
  </si>
  <si>
    <t xml:space="preserve">الإنجليزية </t>
  </si>
  <si>
    <t>ar</t>
  </si>
  <si>
    <t>Arabic</t>
  </si>
  <si>
    <t>العربية</t>
  </si>
  <si>
    <t>…</t>
  </si>
  <si>
    <t>gender</t>
  </si>
  <si>
    <t>Male</t>
  </si>
  <si>
    <t>ذكر</t>
  </si>
  <si>
    <t>Female</t>
  </si>
  <si>
    <t>أنثى</t>
  </si>
  <si>
    <t>contact_info</t>
  </si>
  <si>
    <t>YES - mine</t>
  </si>
  <si>
    <t>نعم - لي</t>
  </si>
  <si>
    <t>YES - other household member</t>
  </si>
  <si>
    <t>نعم - فرد اخر من أفراد الأسرة</t>
  </si>
  <si>
    <t>YES - friend or relative (non-household member)</t>
  </si>
  <si>
    <t>نعم - أحد الأقارب او الاصدقاء [ ليس فردا من أفراد الأسرة]</t>
  </si>
  <si>
    <t>NO</t>
  </si>
  <si>
    <t>agricactivity</t>
  </si>
  <si>
    <t xml:space="preserve">Yes - crop production </t>
  </si>
  <si>
    <t>نعم - إنتاج المحاصيل</t>
  </si>
  <si>
    <t>Yes - livestock production</t>
  </si>
  <si>
    <t>نعم - إنتاج الماشية</t>
  </si>
  <si>
    <t xml:space="preserve">Yes - both crop and livestock production </t>
  </si>
  <si>
    <t>نعم - كل من إنتاج المحاصيل والماشية</t>
  </si>
  <si>
    <t>edu</t>
  </si>
  <si>
    <t>None or did not complete primary school</t>
  </si>
  <si>
    <t>لا شيء أو لم يكمل المرحلة الابتدائية</t>
  </si>
  <si>
    <t>Completed primary school</t>
  </si>
  <si>
    <t>أكمل المرحلة الابتدائية</t>
  </si>
  <si>
    <t>Completed secondary school</t>
  </si>
  <si>
    <t>أكمل المرحلة الثانوية</t>
  </si>
  <si>
    <t>Completed higher education [University / College] degree</t>
  </si>
  <si>
    <t>أكمل درجة تعليم عالي [جامعة / كلية]</t>
  </si>
  <si>
    <t>Religious or informal education only</t>
  </si>
  <si>
    <t>تربية دينية أو غير رسمية فقط</t>
  </si>
  <si>
    <t>water</t>
  </si>
  <si>
    <t>Private tap from piped water</t>
  </si>
  <si>
    <t>صنبور خاص من مياه الأنابيب</t>
  </si>
  <si>
    <t>Public tap</t>
  </si>
  <si>
    <t>صنبور عام</t>
  </si>
  <si>
    <t>Protected well</t>
  </si>
  <si>
    <t>بئر محمي</t>
  </si>
  <si>
    <t>Bottled water</t>
  </si>
  <si>
    <t>المياه المعبأة</t>
  </si>
  <si>
    <t>Other safe source</t>
  </si>
  <si>
    <t>مصدر آمن آخر</t>
  </si>
  <si>
    <t>River</t>
  </si>
  <si>
    <t>نهر</t>
  </si>
  <si>
    <t>Unprotected well</t>
  </si>
  <si>
    <t>بئر غير محمي</t>
  </si>
  <si>
    <t>Spring water</t>
  </si>
  <si>
    <t>مياه الينابيع</t>
  </si>
  <si>
    <t>Surface water [e.g. canal, ponds, dams]</t>
  </si>
  <si>
    <t>قناة أو مياه سطحية أخرى</t>
  </si>
  <si>
    <t>Other unsafe source</t>
  </si>
  <si>
    <t>مصدر آخر غير آمن</t>
  </si>
  <si>
    <t>toilet</t>
  </si>
  <si>
    <t>Flush latrine/toilet with water</t>
  </si>
  <si>
    <t>مرحاض دافق/مزود بنظام شطف [مرحاض به ماء]</t>
  </si>
  <si>
    <t>Traditional pit latrine [no water]</t>
  </si>
  <si>
    <t>مرحاض الحفرة التقليدي [بدون ماء]</t>
  </si>
  <si>
    <t>Open pit [hole in the ground for excrement without water, roof or wall]</t>
  </si>
  <si>
    <t>حفرة مفتوحة [كاملة في الأرض للفضلات بدون ماء أو سقف أو جدار]</t>
  </si>
  <si>
    <t>Communal latrine [with or without water]</t>
  </si>
  <si>
    <t>مرحاض مشترك/جماعي [بالماء أو بدون الماء]</t>
  </si>
  <si>
    <t>None – bush</t>
  </si>
  <si>
    <t>لا شيء - في العراء</t>
  </si>
  <si>
    <t>light</t>
  </si>
  <si>
    <t>Electricity [from generator or electrical grid]</t>
  </si>
  <si>
    <t>الكهرباء [من المولدات أو الشبكة الكهربائية ]</t>
  </si>
  <si>
    <t>Candle</t>
  </si>
  <si>
    <t>الشموع</t>
  </si>
  <si>
    <t>Petrol lamp</t>
  </si>
  <si>
    <t>مصباح البنزين</t>
  </si>
  <si>
    <t>Lamp with batteries</t>
  </si>
  <si>
    <t>مصباح بالبطاريات</t>
  </si>
  <si>
    <t>Solar panel</t>
  </si>
  <si>
    <t>الالواح الشمسية</t>
  </si>
  <si>
    <t>Other [no electric supply to the house]</t>
  </si>
  <si>
    <t>غير ذلك [لا يوجد تغذية كهربائية للمنزل]</t>
  </si>
  <si>
    <t>residence</t>
  </si>
  <si>
    <t>Permanent Resident - you have been living in your village / town for longer than two years and this is what you consider your habitual residence</t>
  </si>
  <si>
    <t>مقيم دائم - تعيش في قريتك / بلدتك لمدة تزيد عن عامين وهذا ما تعتبره مكان إقامتك المعتاد</t>
  </si>
  <si>
    <t>Recent migrant not forcefully displaced - you have been living in your current place of residence for less than two years and you moved there voluntarily for work / family or other reasons that are not related to conflict or natural disaster</t>
  </si>
  <si>
    <t>مهاجر حديث لم ينزح قسراً - تعيش في مكان إقامتك الحالي لمدة تقل عن عامين وانتقلت إلى هناك بمحض ارادتك من أجل العمل/ الأسرة أو لأسباب أخرى لا تتعلق بالنزاعات أو الكوارث الطبيعية</t>
  </si>
  <si>
    <t>Returnee - you have only come back to this residence in the last two years after having been forced to move to another location having fled conflict or natural disaster [if return was over 2 years ago the respondent is considered a permanent resident]</t>
  </si>
  <si>
    <t>عائد - لقد عدت إلى مكان إقامتك الحالي في العامين الماضيين فقط بعد أن أجبرت على الانتقال إلى مكان آخر للهرب من نزاع أو كارثة طبيعية [إذا تمت العودة منذ أكثر من عامين ، يُعتبر المجيب مقيمًا دائمًا]</t>
  </si>
  <si>
    <t xml:space="preserve">Internally displaced person [IDP] - you were forced to flee your village or town because of conflict or natural disaster and you are now an internally displaced person in your current place of residence </t>
  </si>
  <si>
    <t>شخص نازح داخليًا [IDP] - لقد أُجبرت على الفرار من قريتك أو بلدتك بسبب نزاع أو كارثة طبيعية وأنت الآن نازح داخليًا في مكان إقامتك الحالي</t>
  </si>
  <si>
    <t>Refugee - you were forced to flee your country because of conflict or natural disaster and you are now a refugee in your current place of residence</t>
  </si>
  <si>
    <t>لاجئ - لقد أُجبرت على الفرار من بلدك بسبب نزاع أو كارثة طبيعية وأنت الآن لاجئ في مكان إقامتك الحالي</t>
  </si>
  <si>
    <t>asset_prod</t>
  </si>
  <si>
    <t>process</t>
  </si>
  <si>
    <t>Processing assets (e.g. grinding/crushing machine, mill, oil press, fish tanks)</t>
  </si>
  <si>
    <t>أصول المعالجة (مثل آلة الطحن / الكسر، المطحنة، آلة العصر، أحواض الأسماك)</t>
  </si>
  <si>
    <t>farmmach</t>
  </si>
  <si>
    <t>Farm or fishing machinery (e.g. tractor, plough, sickle, boats, engines)</t>
  </si>
  <si>
    <t>معدات زراعية أو صيد (مثل الجرار، المحراث، الفلاحة، القوارب، المحركات)</t>
  </si>
  <si>
    <t>sewing</t>
  </si>
  <si>
    <t>Sewing machine or weaving tool</t>
  </si>
  <si>
    <t>ماكينات الخياطة و حياكة الصوف</t>
  </si>
  <si>
    <t>taxi</t>
  </si>
  <si>
    <t>Taxi</t>
  </si>
  <si>
    <t>تاكسي (سيارة أجرة)</t>
  </si>
  <si>
    <t>truck</t>
  </si>
  <si>
    <t>Truck</t>
  </si>
  <si>
    <t>شاحنة</t>
  </si>
  <si>
    <t>other</t>
  </si>
  <si>
    <t>Other productive machines or assets</t>
  </si>
  <si>
    <t>آلات و معدات انتاجية أخرى</t>
  </si>
  <si>
    <t>none</t>
  </si>
  <si>
    <t>No productive machines or assets</t>
  </si>
  <si>
    <t xml:space="preserve">لا تمتلك أي آلات أو أصول انتاجية </t>
  </si>
  <si>
    <t>dk</t>
  </si>
  <si>
    <t>ref</t>
  </si>
  <si>
    <t>asset_transp</t>
  </si>
  <si>
    <t>bici</t>
  </si>
  <si>
    <t>Bicycle</t>
  </si>
  <si>
    <t>دراجة</t>
  </si>
  <si>
    <t>cart</t>
  </si>
  <si>
    <t>Cart (animal drawn)</t>
  </si>
  <si>
    <t>عربة تسوق</t>
  </si>
  <si>
    <t>boatmotor</t>
  </si>
  <si>
    <t>Boat with an engine [inboard or outboard]</t>
  </si>
  <si>
    <t>قارب بمحرك [داخلي أو خارجي]</t>
  </si>
  <si>
    <t>boatnomotor</t>
  </si>
  <si>
    <t>Unmotorized boat [e.g. canoe]</t>
  </si>
  <si>
    <t>قارب غير مجهز بمحرك [مثل الكانو، الزورق غير المحرك]</t>
  </si>
  <si>
    <t>motorbike</t>
  </si>
  <si>
    <t>Motorbike / scooter / auto rickshaw</t>
  </si>
  <si>
    <t>دراجة نارية / سكوتر / عربة الريكاشة الآلية القيادة (توك توك)</t>
  </si>
  <si>
    <t>car</t>
  </si>
  <si>
    <t>Car</t>
  </si>
  <si>
    <t>سيارة</t>
  </si>
  <si>
    <t>van</t>
  </si>
  <si>
    <t>Van or small truck</t>
  </si>
  <si>
    <t>سيارة نقل أو شاحنة صغيرة</t>
  </si>
  <si>
    <t>Other motor vehicle</t>
  </si>
  <si>
    <t>مركبة أخرى</t>
  </si>
  <si>
    <t>None of the above</t>
  </si>
  <si>
    <t>لا شيء مما سبق</t>
  </si>
  <si>
    <t>maritalstat</t>
  </si>
  <si>
    <t xml:space="preserve">Single / never married </t>
  </si>
  <si>
    <t>أعزب / لم يتزوج قط</t>
  </si>
  <si>
    <t>Married</t>
  </si>
  <si>
    <t>متزوج</t>
  </si>
  <si>
    <t>Separated</t>
  </si>
  <si>
    <t>منفصل</t>
  </si>
  <si>
    <t>Divorced</t>
  </si>
  <si>
    <t>مطلق</t>
  </si>
  <si>
    <t>Widowed</t>
  </si>
  <si>
    <t>أرمل</t>
  </si>
  <si>
    <t>DON’T KNOW</t>
  </si>
  <si>
    <t xml:space="preserve">REFUSED </t>
  </si>
  <si>
    <t>agegroup</t>
  </si>
  <si>
    <t>Under 18</t>
  </si>
  <si>
    <t>أقل من 18 عامًا</t>
  </si>
  <si>
    <t>18 to 40</t>
  </si>
  <si>
    <t>بين 18 و 40 عامًا</t>
  </si>
  <si>
    <t>41 to 65</t>
  </si>
  <si>
    <t>بين 41 و 65 عامًا</t>
  </si>
  <si>
    <t>Over 65</t>
  </si>
  <si>
    <t>فوق 65 عامًا</t>
  </si>
  <si>
    <t>incomesource1</t>
  </si>
  <si>
    <t>Production and sale of staple crops</t>
  </si>
  <si>
    <t>إنتاج وبيع المحاصيل الأساسية</t>
  </si>
  <si>
    <t xml:space="preserve">Production and sale of vegetables or fruit </t>
  </si>
  <si>
    <t>إنتاج وبيع الخضار أو الفاكهة</t>
  </si>
  <si>
    <t>Production and sale of cashcrops</t>
  </si>
  <si>
    <t>إنتاج وبيع المحاصيل النقدية</t>
  </si>
  <si>
    <t xml:space="preserve">Production and sale of livestock or livestock products </t>
  </si>
  <si>
    <t>إنتاج وبيع الحيوانات الأليفة أو منتجاتها</t>
  </si>
  <si>
    <t>Production and sale of honey and bee products</t>
  </si>
  <si>
    <t xml:space="preserve">انتاج و بيع العسل أو منتجات النحل </t>
  </si>
  <si>
    <t>Production and sale of fish or aquatic products</t>
  </si>
  <si>
    <t>إنتاج وبيع الأسماك أو منتجات المنتجات المائية</t>
  </si>
  <si>
    <t>Collection and sale of natural resources (including forestry or bush products)</t>
  </si>
  <si>
    <t>جمع وبيع منتجات الغابات أو الأحراش</t>
  </si>
  <si>
    <t>Agricultural trade EXCLUDING producers (formal or informal)</t>
  </si>
  <si>
    <t>التجارة الزراعية الرسمية و غير الرسمية باستثناء المنتجين</t>
  </si>
  <si>
    <t xml:space="preserve">Daily wage on farms and other casual employment in agricultural sector </t>
  </si>
  <si>
    <t>الأجر اليومي في المزارع وغيرها من العمالة العرضية في قطاع الزراعة</t>
  </si>
  <si>
    <t xml:space="preserve">Stable employment in agricultural sector </t>
  </si>
  <si>
    <t>العمالة المستقرة في القطاع الزراعي</t>
  </si>
  <si>
    <t>Non-agricultural self-employed or liberal profession, doctor, architect, lawyer, including restaurant</t>
  </si>
  <si>
    <t>العاملين لحسابهم الخاص غير الزراعيين أو المهنة الحرة / طبيب / مهندس معماري / محامٍ / بما في ذلك مطعم</t>
  </si>
  <si>
    <t>Off-farm daily wages and other non-agricultural casual employment</t>
  </si>
  <si>
    <t>الأجور اليومية خارج المزرعة وغيرها من العمالة العرضية غير الزراعية</t>
  </si>
  <si>
    <t>Stable employment in non-agricultural sector</t>
  </si>
  <si>
    <t>العمالة المستقرة في القطاع غير الزراعي</t>
  </si>
  <si>
    <t xml:space="preserve">Public employment </t>
  </si>
  <si>
    <t>الوظائف العامة</t>
  </si>
  <si>
    <t>Income not derived from work / Charity</t>
  </si>
  <si>
    <t xml:space="preserve">الدخل غير المستمد من العمل / الاعمال الخيرية </t>
  </si>
  <si>
    <t>Income not derived from work / Welfare transfer, pension, humanitarian aid</t>
  </si>
  <si>
    <t>الدخل غير المستمد من العمل / المدفوعات التحويلية ، المعاش التقاعدي ، المساعدات الإنسانية</t>
  </si>
  <si>
    <t>Income not derived from work / Remittances</t>
  </si>
  <si>
    <t>الدخل غير المستمد من العمل / التحويلات</t>
  </si>
  <si>
    <t xml:space="preserve">Income not derived from work / Income from other rents                                                                                                                                              </t>
  </si>
  <si>
    <t>الدخل غير المستمد من العمل / الدخل من الإيجارات الأخرى</t>
  </si>
  <si>
    <t>No income source in the last 3 months and used exclusively savings / debts</t>
  </si>
  <si>
    <t>لم يكن هناك مصدر دخل خلال الأشهر الثلاثة الماضية واستخدمت المدخرات أو الدين حصريًا</t>
  </si>
  <si>
    <t>gender_inc_1</t>
  </si>
  <si>
    <t>Joint (both male &amp; female)</t>
  </si>
  <si>
    <t>مختلط ( ذكر و أنثى )</t>
  </si>
  <si>
    <t>gender_inc_2</t>
  </si>
  <si>
    <t>Male household member(s)</t>
  </si>
  <si>
    <t>الافراد الذكور</t>
  </si>
  <si>
    <t>Female household member(s)</t>
  </si>
  <si>
    <t>الافراد الاناث</t>
  </si>
  <si>
    <t>Joint household members (both female &amp; male)</t>
  </si>
  <si>
    <t>كلا من الذكور و الاناث</t>
  </si>
  <si>
    <t>change</t>
  </si>
  <si>
    <t>A lot more [increased by more than 50%]</t>
  </si>
  <si>
    <t>أكثر بكثير [زاد بنسبة تزيد عن 50٪]</t>
  </si>
  <si>
    <t>Slightly more</t>
  </si>
  <si>
    <t>أكثر قليلا</t>
  </si>
  <si>
    <t>Same</t>
  </si>
  <si>
    <t>نفس الشيء</t>
  </si>
  <si>
    <t>Slightly less</t>
  </si>
  <si>
    <t>أقل قليلاً</t>
  </si>
  <si>
    <t xml:space="preserve">A lot less [less than half as much] </t>
  </si>
  <si>
    <t>أقل بكثير [أقل من نصف الكمية]</t>
  </si>
  <si>
    <t>incomesource2</t>
  </si>
  <si>
    <t>Income not derived from work / Income from other rents</t>
  </si>
  <si>
    <t>No second most important source of income</t>
  </si>
  <si>
    <t xml:space="preserve">لم يكن هناك مصدر دخل ثانٍ </t>
  </si>
  <si>
    <t>incomesource3</t>
  </si>
  <si>
    <t xml:space="preserve">Income not derived from work / Income from other rents                                </t>
  </si>
  <si>
    <t>No third most important source of income</t>
  </si>
  <si>
    <t>لم يكن هناك مصدر دخل ثالث</t>
  </si>
  <si>
    <t>noshock</t>
  </si>
  <si>
    <t>No shock</t>
  </si>
  <si>
    <t>لا صدمة</t>
  </si>
  <si>
    <t>sicknessordeathofhh</t>
  </si>
  <si>
    <t>Sickness or accident or death of household member[s] [sickness of breadwinner / unusually high medical expenditure / funeral expenses / death of breadwinner]</t>
  </si>
  <si>
    <t>مرض أو حادث أو وفاة أحد أفراد الأسرة [مرض العائل / النفقات الطبية المرتفعة بشكل غير عادي / نفقات الجنازة / وفاة العائل]</t>
  </si>
  <si>
    <t>lostemplorwork</t>
  </si>
  <si>
    <t>Lost employment or working opportunities [not due to illness/accident]</t>
  </si>
  <si>
    <t>فرص العمل أو العمل المفقودة [ليس بسبب مرض / حادث]</t>
  </si>
  <si>
    <t>otherintrahhshock</t>
  </si>
  <si>
    <t>Other intra-household shock</t>
  </si>
  <si>
    <t>صدمة أخرى داخل الأسرة</t>
  </si>
  <si>
    <t>higherfoodprices</t>
  </si>
  <si>
    <t>Unusually high food prices</t>
  </si>
  <si>
    <t>أسعار المواد الغذائية أعلى بكثير من المعتاد</t>
  </si>
  <si>
    <t>higherfuelprices</t>
  </si>
  <si>
    <t>Unusually high fuel prices or transport prices</t>
  </si>
  <si>
    <t>أسعار الوقود  أو أسعار النقل أعلى بكثير من المعتاد</t>
  </si>
  <si>
    <t>mvtrestrict</t>
  </si>
  <si>
    <t>Population movement restrictions [e.g. due to epidemic or infrastructure damage]</t>
  </si>
  <si>
    <t>القيود المفروضة على حركة السكان [على سبيل المثال بسبب الوباء أو تلف البنية التحتية]</t>
  </si>
  <si>
    <t>othereconomicshock</t>
  </si>
  <si>
    <t xml:space="preserve">Other economic shock </t>
  </si>
  <si>
    <t>صدمة اقتصادية أخرى</t>
  </si>
  <si>
    <t>pestoutbreak</t>
  </si>
  <si>
    <t>Pest outbreak</t>
  </si>
  <si>
    <t>تفشي الآفات</t>
  </si>
  <si>
    <t>plantdisease</t>
  </si>
  <si>
    <t>Plant disease</t>
  </si>
  <si>
    <t>أمراض نباتية</t>
  </si>
  <si>
    <t>animaldisease</t>
  </si>
  <si>
    <t>Animal disease [affecting many animals] or death</t>
  </si>
  <si>
    <t>أمراض حيوانية تصيب العديد من الحيوانات أو تتسبب بنفقها</t>
  </si>
  <si>
    <t>napasture</t>
  </si>
  <si>
    <t>Lack of physical access to pasture</t>
  </si>
  <si>
    <t xml:space="preserve">عدم إمكانية الوصول للمراعي </t>
  </si>
  <si>
    <t>othercropandlivests</t>
  </si>
  <si>
    <t>Other crop and livestock shock</t>
  </si>
  <si>
    <t>صدمة أخرى للمحاصيل والماشية</t>
  </si>
  <si>
    <t>coldtemporhail</t>
  </si>
  <si>
    <t>Cold temperatures or hail</t>
  </si>
  <si>
    <t>درجات الحرارة الباردة أو البرد</t>
  </si>
  <si>
    <t>flood</t>
  </si>
  <si>
    <t>Flood / riverbank erosion</t>
  </si>
  <si>
    <t>الفيضانات / تآكل ضفاف الأنهار</t>
  </si>
  <si>
    <t>hurricane</t>
  </si>
  <si>
    <t>Hurricane / cyclone / tornado</t>
  </si>
  <si>
    <t xml:space="preserve">إعصار </t>
  </si>
  <si>
    <t>drought</t>
  </si>
  <si>
    <t>Drought / heat stress</t>
  </si>
  <si>
    <t>الجفاف / الإجهاد الحراري</t>
  </si>
  <si>
    <t>earthquake</t>
  </si>
  <si>
    <t>Earthquake</t>
  </si>
  <si>
    <t>زلزال</t>
  </si>
  <si>
    <t>landslides</t>
  </si>
  <si>
    <t>Landslides</t>
  </si>
  <si>
    <t>الانهيارات الارضية</t>
  </si>
  <si>
    <t>firenatural</t>
  </si>
  <si>
    <t>Fire from natural disaster</t>
  </si>
  <si>
    <t>حريق مسبب من كارثة طبيعية</t>
  </si>
  <si>
    <t>othernathazard</t>
  </si>
  <si>
    <t>Other natural hazard</t>
  </si>
  <si>
    <t>مخاطر طبيعية أخرى</t>
  </si>
  <si>
    <t>violenceinsecconf</t>
  </si>
  <si>
    <t>Violence and insecurity / conflict</t>
  </si>
  <si>
    <t>العنف وانعدام الأمن / النزاع</t>
  </si>
  <si>
    <t>theftofprodassets</t>
  </si>
  <si>
    <t>Theft of production assets [land / livestock / tools / etc]</t>
  </si>
  <si>
    <t>سرقة أصول الإنتاج [الأرض / الماشية / الأدوات / إلخ]</t>
  </si>
  <si>
    <t>firemanmade</t>
  </si>
  <si>
    <t>Fire from man-made disaster</t>
  </si>
  <si>
    <t>حريق مسبب من كارثة من صنع الإنسان</t>
  </si>
  <si>
    <t>othermanmadehazard</t>
  </si>
  <si>
    <t>Other human-induced hazard</t>
  </si>
  <si>
    <t>مخاطر أخرى من صنع الإنسان</t>
  </si>
  <si>
    <t>covidmeasures</t>
  </si>
  <si>
    <t>goodstransp</t>
  </si>
  <si>
    <t>Movement restrictions [sometimes producing product scarcity or price hikes]</t>
  </si>
  <si>
    <t>قيود على الحركة [تؤدي أحيانًا إلى ندرة المنتج أو ارتفاع الأسعار]</t>
  </si>
  <si>
    <t>marketclosed</t>
  </si>
  <si>
    <t>Closure of food markets or other businesses</t>
  </si>
  <si>
    <t>إغلاق أسواق المواد الغذائية أو غيرها من الأعمال التجارية</t>
  </si>
  <si>
    <t>borderclosed</t>
  </si>
  <si>
    <t>Closure of international borders [affecting the purchase of imported inputs or the sale of goods for export or transhumance]</t>
  </si>
  <si>
    <t>إغلاق الحدود الدولية [التي تؤثر على شراء المدخلات المستوردة أو بيع البضائع من أجل التصدير أو التنقل الرعوي]</t>
  </si>
  <si>
    <t>stayhome</t>
  </si>
  <si>
    <t>Stay at home order</t>
  </si>
  <si>
    <t>الالتزام بالبقاء في المنزل</t>
  </si>
  <si>
    <t>gatherings</t>
  </si>
  <si>
    <t>Ban on gatherings</t>
  </si>
  <si>
    <t>حظر التجمعات</t>
  </si>
  <si>
    <t>processclosed</t>
  </si>
  <si>
    <t>Closure of food processors [slaughterhouse / dairy cooperatives / etc] or restaurants</t>
  </si>
  <si>
    <t>إغلاق مصانع معالجة الأغذية [المسلخ / تعاونيات الألبان / إلخ] أو المطاعم</t>
  </si>
  <si>
    <t>curfew</t>
  </si>
  <si>
    <t>Curfews</t>
  </si>
  <si>
    <t>حظر التجول</t>
  </si>
  <si>
    <t>school</t>
  </si>
  <si>
    <t>Closure of schools</t>
  </si>
  <si>
    <t>إغلاق المدارس</t>
  </si>
  <si>
    <t>Other [specify]</t>
  </si>
  <si>
    <t>آخر [حدد]</t>
  </si>
  <si>
    <t>Not affected by restrictions</t>
  </si>
  <si>
    <t>لم أتأثر بالقيود</t>
  </si>
  <si>
    <t>landsize_unit</t>
  </si>
  <si>
    <t>Acres</t>
  </si>
  <si>
    <t>فدان</t>
  </si>
  <si>
    <t>Hectares</t>
  </si>
  <si>
    <t>هكتار</t>
  </si>
  <si>
    <t>Square meters</t>
  </si>
  <si>
    <t>متر مربع</t>
  </si>
  <si>
    <t>Square feet</t>
  </si>
  <si>
    <t>قدم مربع</t>
  </si>
  <si>
    <t>#local measurement unit#</t>
  </si>
  <si>
    <t>#local measurement unit AR#</t>
  </si>
  <si>
    <t>cropcheck</t>
  </si>
  <si>
    <t xml:space="preserve">Don’t usually produce during this season </t>
  </si>
  <si>
    <t>لا أنتج عادة محاصيل خلال هذا الموسم</t>
  </si>
  <si>
    <t>Wasn't able to produce (e.g. due to difficulties)</t>
  </si>
  <si>
    <t>لم أتمكن من إنتاج المحاصيل (على سبيل المثال بسبب الصعوبات)</t>
  </si>
  <si>
    <t>irrigation</t>
  </si>
  <si>
    <t>Rainfed</t>
  </si>
  <si>
    <t>بعلي (لا يوجد نظام ري)</t>
  </si>
  <si>
    <t>Groundwater</t>
  </si>
  <si>
    <t>مياه جوفية</t>
  </si>
  <si>
    <t>Natural surface water [river, lake, stream, pond, etc.]</t>
  </si>
  <si>
    <t>مياه سطحية طبيعية ( نهر / بحيرة / بركة مياه / إلخ )</t>
  </si>
  <si>
    <t>Constructed water point [canal, dam, etc.]</t>
  </si>
  <si>
    <t>نقطة مياه منشأة ( قناة / سد / إلخ)</t>
  </si>
  <si>
    <t>Public water supply system [e.g. tap water]</t>
  </si>
  <si>
    <t>نظام تزويد مياه عام ( ماء الصنبور علي سبيل المثال )</t>
  </si>
  <si>
    <t>irrigpump</t>
  </si>
  <si>
    <t>No, everything works on gravity</t>
  </si>
  <si>
    <t>لا ، كل شيء يعمل علي الجاذبية</t>
  </si>
  <si>
    <t>Yes, there is a communal diesel/gas pump</t>
  </si>
  <si>
    <t>نعم ، توجد مضخة مشتركة تعمل علي الديزل أو الغاز</t>
  </si>
  <si>
    <t>Yes, there is a communal manual pump</t>
  </si>
  <si>
    <t>نعم، توجد مضخة يدوية مشتركة</t>
  </si>
  <si>
    <t>Yes, there is a manual pump in my field</t>
  </si>
  <si>
    <t xml:space="preserve">نعم ، توجد مضخة يدوية فى حقلي </t>
  </si>
  <si>
    <t>Yes, there is a diesel pump in my field</t>
  </si>
  <si>
    <t>نعم، توجد مضخة تعمل بالديزل فى حقلي</t>
  </si>
  <si>
    <t>seedsupply</t>
  </si>
  <si>
    <t>ownprod</t>
  </si>
  <si>
    <t>Own production</t>
  </si>
  <si>
    <t>الإنتاج الخاص</t>
  </si>
  <si>
    <t>market</t>
  </si>
  <si>
    <t>Local market or agro-input shop / dealer</t>
  </si>
  <si>
    <t>اشتريها من السوق أو متجر المدخلات الزراعية</t>
  </si>
  <si>
    <t>company</t>
  </si>
  <si>
    <t>Private seed company</t>
  </si>
  <si>
    <t>اشتريها  من شركة بذور خاصة</t>
  </si>
  <si>
    <t>ngo</t>
  </si>
  <si>
    <t>NGOs</t>
  </si>
  <si>
    <t>المنظمات الغير حكومية</t>
  </si>
  <si>
    <t>organized_community</t>
  </si>
  <si>
    <t>Community seed banks / farmer networks / farmers' association / etc.</t>
  </si>
  <si>
    <t>بنوك البذور المجتمعية / شبكات المزارعين / إلخ</t>
  </si>
  <si>
    <t>gov</t>
  </si>
  <si>
    <t>Government [e.g. MoA]</t>
  </si>
  <si>
    <t>الحكومة ( وزارة الزراعة علي سبيل المثال )</t>
  </si>
  <si>
    <t>relatives_friends</t>
  </si>
  <si>
    <t>Relatives or friends</t>
  </si>
  <si>
    <t>الاقارب أو الاصدقاء</t>
  </si>
  <si>
    <t>Other</t>
  </si>
  <si>
    <t>آخر</t>
  </si>
  <si>
    <t>harv_unit</t>
  </si>
  <si>
    <t>Kilograms [kgs]</t>
  </si>
  <si>
    <t>كيلوغرامات [كلغ]</t>
  </si>
  <si>
    <t>Tonnes</t>
  </si>
  <si>
    <t xml:space="preserve">أطنان </t>
  </si>
  <si>
    <t>Ounces</t>
  </si>
  <si>
    <t>أوقية</t>
  </si>
  <si>
    <t>Pounds</t>
  </si>
  <si>
    <t xml:space="preserve">أرطال </t>
  </si>
  <si>
    <t>Bags</t>
  </si>
  <si>
    <t>أكياس</t>
  </si>
  <si>
    <t>Boxes</t>
  </si>
  <si>
    <t>صناديق</t>
  </si>
  <si>
    <t>Bundles</t>
  </si>
  <si>
    <t>حزم</t>
  </si>
  <si>
    <t>Packets</t>
  </si>
  <si>
    <t>رزمات</t>
  </si>
  <si>
    <t>cropproddiff</t>
  </si>
  <si>
    <t>plant_disease</t>
  </si>
  <si>
    <t xml:space="preserve">Plant disease </t>
  </si>
  <si>
    <t>مرض نباتي</t>
  </si>
  <si>
    <t>pest_outbreak</t>
  </si>
  <si>
    <t>Pest outbreak [including birds]</t>
  </si>
  <si>
    <t>تفشي الافات ( بما في ذلك الطيور )</t>
  </si>
  <si>
    <t>animal_grazing</t>
  </si>
  <si>
    <t>Uncontrolled animal grazing</t>
  </si>
  <si>
    <t>رعي الحيوانات الغير منضبط</t>
  </si>
  <si>
    <t>access_plot</t>
  </si>
  <si>
    <t>Access to plot</t>
  </si>
  <si>
    <t>الوصول إلى قطعة الأرض</t>
  </si>
  <si>
    <t>access_fertilize</t>
  </si>
  <si>
    <t>Access to fertilizer [not available on markets or prices too high]</t>
  </si>
  <si>
    <t>الوصول إلى الأسمدة [غير متوفرة في الأسواق أو أن اسعارها مرتفعة جداً]</t>
  </si>
  <si>
    <t>seed_quality</t>
  </si>
  <si>
    <t>Access to quality seeds</t>
  </si>
  <si>
    <t>الوصول الي البذور الجيدة</t>
  </si>
  <si>
    <t>seed_quantity</t>
  </si>
  <si>
    <t>Access to enough seeds [not available on markets or prices too high]</t>
  </si>
  <si>
    <t>الوصول إلى ما يكفي من البذور [غير متوفرة في الأسواق أو أن اسعارها مرتفعة جداً]</t>
  </si>
  <si>
    <t>access_pesticide</t>
  </si>
  <si>
    <t>Access to pesticides</t>
  </si>
  <si>
    <t>الوصول إلى المبيدات الحشرية</t>
  </si>
  <si>
    <t>access_labour</t>
  </si>
  <si>
    <t>Access to manpower labour</t>
  </si>
  <si>
    <t>الوصول إلى العمالة أو القوى العاملة</t>
  </si>
  <si>
    <t>access_machinery</t>
  </si>
  <si>
    <t>Access to machinery, tools or animals for ploughing</t>
  </si>
  <si>
    <t>الوصول إلى آلات أو أدوات أو حيوانات للحراثة</t>
  </si>
  <si>
    <t>access_fuel</t>
  </si>
  <si>
    <t>Access to fuel or electricity to power agricultural equipment</t>
  </si>
  <si>
    <t>الحصول على الوقود أو الكهرباء لتشغيل المعدات الزراعية</t>
  </si>
  <si>
    <t>soil_erosion</t>
  </si>
  <si>
    <t>Soil erosion</t>
  </si>
  <si>
    <t>تعرية التربة</t>
  </si>
  <si>
    <t>lack_irrigation</t>
  </si>
  <si>
    <t xml:space="preserve">Not enough irrigation or rainfall water </t>
  </si>
  <si>
    <t>عدم كفاية مياه الري أو مياه الأمطار</t>
  </si>
  <si>
    <t>excess_water</t>
  </si>
  <si>
    <t>Too much irrigation or water</t>
  </si>
  <si>
    <t>زيادة مياه الري</t>
  </si>
  <si>
    <t>access_credit</t>
  </si>
  <si>
    <t>Access to credit</t>
  </si>
  <si>
    <t>الحصول على تمويل</t>
  </si>
  <si>
    <t>storage</t>
  </si>
  <si>
    <t>None</t>
  </si>
  <si>
    <t>لا شيء</t>
  </si>
  <si>
    <t>A little</t>
  </si>
  <si>
    <t>قليلا</t>
  </si>
  <si>
    <t>An important part of it, but less than half</t>
  </si>
  <si>
    <t>جزء مهم منه ولكن أقل من النصف</t>
  </si>
  <si>
    <t>Most of it [half or more]</t>
  </si>
  <si>
    <t>معظمها [نصف أو أكثر]</t>
  </si>
  <si>
    <t>Almost everything</t>
  </si>
  <si>
    <t>كل شيء تقريبا</t>
  </si>
  <si>
    <t>Everything</t>
  </si>
  <si>
    <t>كل شيء</t>
  </si>
  <si>
    <t>cropsalesdiff</t>
  </si>
  <si>
    <t>marketing_cost</t>
  </si>
  <si>
    <t>High transportation or other marketing costs</t>
  </si>
  <si>
    <t>ارتفاع تكاليف النقل أو تكاليف التسويق الأخرى</t>
  </si>
  <si>
    <t>damage_losses</t>
  </si>
  <si>
    <t>Damages and losses due to storage difficulties and/or difficulty accessing the market [e.g. insecurity, poor infrastructure, etc.]</t>
  </si>
  <si>
    <t>الاضرار و الخسائر نتيجة صعوبات التخزين و صعوبة الوصول الي السوق ( انعدام الامن / البنية التحتية الفقيرة و غيرها )</t>
  </si>
  <si>
    <t>low_demand</t>
  </si>
  <si>
    <t xml:space="preserve">Lack of demand from usual traders or buyers </t>
  </si>
  <si>
    <t>قلة الطلب من المشترين و التجار المعتادين</t>
  </si>
  <si>
    <t>pay_delay</t>
  </si>
  <si>
    <t>Payment delays from traders / buyers</t>
  </si>
  <si>
    <t>تأخر المدفوعات من التجار و المشترين</t>
  </si>
  <si>
    <t>low_price</t>
  </si>
  <si>
    <t>Low selling prices [e.g. compared to input prices / inflation]</t>
  </si>
  <si>
    <t>انخفاض أسعار البيع ( مقارنة باسعار المدخلات / التضخم علي سبيل المثال )</t>
  </si>
  <si>
    <t>processing</t>
  </si>
  <si>
    <t>Difficulty processing product [lack of processing inputs / equipment / etc]</t>
  </si>
  <si>
    <t xml:space="preserve">صعوبة معالجة المنتج (قلة مدخلات المعالجة ، المعدات و غيرها ) </t>
  </si>
  <si>
    <t>competition</t>
  </si>
  <si>
    <t>Market flooded with products</t>
  </si>
  <si>
    <t>تشبع السوق بالمنتجات</t>
  </si>
  <si>
    <t>Cattle [cow / beef / veal / yak / buffalo]</t>
  </si>
  <si>
    <t>البقر [بقرة / ثور / عجل  / ياك / جاموس]</t>
  </si>
  <si>
    <t>Goat</t>
  </si>
  <si>
    <t>الماعز</t>
  </si>
  <si>
    <t>Sheep</t>
  </si>
  <si>
    <t>الأغنام</t>
  </si>
  <si>
    <t>Swine [swine / boar / hog / etc]</t>
  </si>
  <si>
    <t>الخنازير [خنزير / خنزير بري / إلخ]</t>
  </si>
  <si>
    <t>Equine [donkey / horse / etc]</t>
  </si>
  <si>
    <t>الحمير/ الأحصنة</t>
  </si>
  <si>
    <t>Small domesticated mammals [rabbits / minks / guinea pigs / etc]</t>
  </si>
  <si>
    <t>الثدييات المستأنسة الصغيرة [الأرانب / المنك / خنازير غينيا / إلخ]</t>
  </si>
  <si>
    <t>Poultry [chicken / guineafowl / duck / quail / turkey / etc]</t>
  </si>
  <si>
    <t>دواجن [دجاج / دجاج غينيا / بطة / سمان / ديك رومي / إلخ]</t>
  </si>
  <si>
    <t>Camelids</t>
  </si>
  <si>
    <t>الإبل</t>
  </si>
  <si>
    <t>lsnum</t>
  </si>
  <si>
    <t>no_change</t>
  </si>
  <si>
    <t>No significant change in livestock number</t>
  </si>
  <si>
    <t>لا تغيير ملحوظ في عدد الماشية</t>
  </si>
  <si>
    <t>inc_less_sales</t>
  </si>
  <si>
    <t>Did not sell as many</t>
  </si>
  <si>
    <t>لم نتمكن البيع بنفس المقدار</t>
  </si>
  <si>
    <t>inc_more_birth</t>
  </si>
  <si>
    <t>Many more were born</t>
  </si>
  <si>
    <t>زيادة عدد المواليد</t>
  </si>
  <si>
    <t>inc_more_acquired</t>
  </si>
  <si>
    <t>Purchased or bartered more animals this year</t>
  </si>
  <si>
    <t>شراء أو مقايضة المزيد من الحيوانات هذا العام</t>
  </si>
  <si>
    <t>inc_received_free</t>
  </si>
  <si>
    <t>Received animals for free [restocking, gift]</t>
  </si>
  <si>
    <t>إستلام حيوانات مجانًا [إعادة تخزين / هدية]</t>
  </si>
  <si>
    <t>dec_poor_health</t>
  </si>
  <si>
    <t>Animal death due to malnutrition, drought, lack of feed</t>
  </si>
  <si>
    <t>وفاة الحيوانات نتيجة سوء التغذية / الجفاف / قلة الغذاء</t>
  </si>
  <si>
    <t>dec_death</t>
  </si>
  <si>
    <t>Animal death due to other factors [e.g. diseases, parasites, injury]</t>
  </si>
  <si>
    <t>وفاة الحيوانات نتيجة عوامل أخرى ( الامراض / الطفيليات / الإصابات علي سبيل المثال )</t>
  </si>
  <si>
    <t>dec_sales_good_price</t>
  </si>
  <si>
    <t>Sold more than usual because of good prices</t>
  </si>
  <si>
    <t>بيعت أكثر من المعتاد بسبب الأسعار الجيدة</t>
  </si>
  <si>
    <t>dec_sales_distress</t>
  </si>
  <si>
    <t>Sold more than usual because of distress sales [unable to feed animal, need money urgently for household basic needs even if sales were unsustainable]</t>
  </si>
  <si>
    <t>تم البيع أكثر من المعتاد بسبب المبيعات الضائقة [عدم القدرة على إطعام الحيوانات / بحاجة ماسة إلى المال لتلبية الاحتياجات الأساسية للأسرة حتى لو كانت المبيعات غير مستدامة]</t>
  </si>
  <si>
    <t>dec_escape_stolen</t>
  </si>
  <si>
    <t>Animal escaped or was lost or stolen</t>
  </si>
  <si>
    <t>هروب الحيوانات أو فقدانها أو سرقتها</t>
  </si>
  <si>
    <t>dec_consumed</t>
  </si>
  <si>
    <t>Killed or gave away more animals than usual for household consumption or celebrations [marriage, funerals, etc]</t>
  </si>
  <si>
    <t>قتل أو توزيع حيوانات أكثر من المعتاد للاستهلاك المنزلي أو للاحتفالات [زواج / جنازات / إلخ]</t>
  </si>
  <si>
    <t>inc_dec_other</t>
  </si>
  <si>
    <t>inc_dec_dk</t>
  </si>
  <si>
    <t>inc_dec_ref</t>
  </si>
  <si>
    <t>lsfood</t>
  </si>
  <si>
    <t>open_pasture</t>
  </si>
  <si>
    <t>Open pasture</t>
  </si>
  <si>
    <t>المرعى المفتوح</t>
  </si>
  <si>
    <t>common_pasture</t>
  </si>
  <si>
    <t>Community-managed pasture land</t>
  </si>
  <si>
    <t>أراضي المراعي التي يديرها المجتمع</t>
  </si>
  <si>
    <t>self_produced</t>
  </si>
  <si>
    <t>Owned or rented field or self-produced fodder</t>
  </si>
  <si>
    <t>الحقول المملوكة أو المؤجرة أو الأعلاف المنتجة ذاتيا</t>
  </si>
  <si>
    <t>purchased</t>
  </si>
  <si>
    <t>Purchase feed or fodder at the market</t>
  </si>
  <si>
    <t>شراء العلف من الأسواق</t>
  </si>
  <si>
    <t>free_dist</t>
  </si>
  <si>
    <t>Free distribution</t>
  </si>
  <si>
    <t>التوزيع المجاني</t>
  </si>
  <si>
    <t xml:space="preserve">Other </t>
  </si>
  <si>
    <t>lsproddiff</t>
  </si>
  <si>
    <t>feed_purchase</t>
  </si>
  <si>
    <t>Difficulty to purchase feed [prices or access to market]</t>
  </si>
  <si>
    <t>صعوبة شراء العلف [الأسعار أو الوصول إلى السوق]</t>
  </si>
  <si>
    <t>access_pasture</t>
  </si>
  <si>
    <t>Access to pasture</t>
  </si>
  <si>
    <t>الوصول إلى المراعي</t>
  </si>
  <si>
    <t>access_water</t>
  </si>
  <si>
    <t>Access to water</t>
  </si>
  <si>
    <t>الحصول على الماء</t>
  </si>
  <si>
    <t>vet_serv</t>
  </si>
  <si>
    <t>Access to veterinary services [vaccinations, treatments, spraying, advisory etc]</t>
  </si>
  <si>
    <t>الحصول على الخدمات البيطرية ( التطعيمات / العلاج / نصائح الرش و غيرها )</t>
  </si>
  <si>
    <t>vet_input</t>
  </si>
  <si>
    <t>Access to veterinary inputs [medicine for animals / tools for animal health / etc]</t>
  </si>
  <si>
    <t>الوصول إلى المدخلات البيطرية [أدوية للحيوانات / أدوات لصحة الحيوان / إلخ]</t>
  </si>
  <si>
    <t>diseases</t>
  </si>
  <si>
    <t>Livestock diseases or injury</t>
  </si>
  <si>
    <t>أمراض الماشية أو الموت</t>
  </si>
  <si>
    <t>theft</t>
  </si>
  <si>
    <t>Livestock theft</t>
  </si>
  <si>
    <t>سرقة المواشي</t>
  </si>
  <si>
    <t>access_market</t>
  </si>
  <si>
    <t>Access to livestock market to buy young animals</t>
  </si>
  <si>
    <t>الوصول إلى سوق المواشي لشراء الحيوانات الصغيرة العمر</t>
  </si>
  <si>
    <t>الحصول على الائتمان</t>
  </si>
  <si>
    <t>الوصول إلى القوى العاملة</t>
  </si>
  <si>
    <t>lsmain2</t>
  </si>
  <si>
    <t>No other livestock</t>
  </si>
  <si>
    <t>لا مواشي أخرى</t>
  </si>
  <si>
    <t>salesmain</t>
  </si>
  <si>
    <t>البقر [بقرة / ثور / عجل / ياك / جاموس]</t>
  </si>
  <si>
    <t>Equine [donkey / horse / etc.]</t>
  </si>
  <si>
    <t>Poultry [chicken / guineafowl / duck / quail / turkey / etc.]</t>
  </si>
  <si>
    <t>Eggs</t>
  </si>
  <si>
    <t>البيض</t>
  </si>
  <si>
    <t>Milk or dairy products</t>
  </si>
  <si>
    <t>الحليب أو مشتقاته</t>
  </si>
  <si>
    <t>Skin or leather or wool</t>
  </si>
  <si>
    <t>الجلد أو الصوف</t>
  </si>
  <si>
    <t>lssalesdif</t>
  </si>
  <si>
    <t xml:space="preserve">Damage and losses during transportation or difficulty accessing the market </t>
  </si>
  <si>
    <t>الأضرار والخسائر أثناء النقل أو صعوبة الوصول إلى السوق</t>
  </si>
  <si>
    <t>Lack of demand from usual traders or buyers</t>
  </si>
  <si>
    <t>انخفاض الطلب من التجار و المشترين المعتادين</t>
  </si>
  <si>
    <t>أسعار بيع منخفضة [على سبيل المثال مقارنة بأسعار المدخلات / التضخم]</t>
  </si>
  <si>
    <t>slaughterhouse</t>
  </si>
  <si>
    <t>Closure of slaughterhouses or difficulties accessing slaughterhouses</t>
  </si>
  <si>
    <t>إغلاق المسالخ أو صعوبة الوصول إلى المسالخ</t>
  </si>
  <si>
    <t>Difficulties processing product other than closure of slaughterhouse [lack of access to processing inputs / equipment / etc]</t>
  </si>
  <si>
    <t>صعوبات في معالجة المنتج بخلاف إغلاق المسلخ [تعثر الوصول إلى مدخلات المعالجة / المعدات / إلخ]</t>
  </si>
  <si>
    <t>fishactivity</t>
  </si>
  <si>
    <t>coastal</t>
  </si>
  <si>
    <t>Near coastal, delta, lagoon fishing</t>
  </si>
  <si>
    <t>الصيد الساحلي بالقرب من الساحل و الدلتا و البحيرات</t>
  </si>
  <si>
    <t>offshore_sea</t>
  </si>
  <si>
    <t>Offshore sea fishing</t>
  </si>
  <si>
    <t>الصيد البحري المفتوح</t>
  </si>
  <si>
    <t>freshwater</t>
  </si>
  <si>
    <t>Freshwater fishing [in lakes, reservoirs, ponds, rivers, or wetlands]</t>
  </si>
  <si>
    <t>صيد الأسماك في المياه العذبة [على سبيل المثال البحيرات والبرك والأنهار]</t>
  </si>
  <si>
    <t>aquaculture</t>
  </si>
  <si>
    <t>Aquaculture</t>
  </si>
  <si>
    <t>تربية الأحياء المائية</t>
  </si>
  <si>
    <t>fishproddiff</t>
  </si>
  <si>
    <t>find_fish</t>
  </si>
  <si>
    <t>Fish is more difficult to find than in previous years in the same season [fishing]</t>
  </si>
  <si>
    <t>يصعب العثور على الأسماك مقارنة بالسنوات السابقة في نفس الموسم</t>
  </si>
  <si>
    <t>pests</t>
  </si>
  <si>
    <t>Fish pests and diseases [aquaculture]</t>
  </si>
  <si>
    <t>الآفات و الامراض السمكية ( تربية الاحياء السمكية)</t>
  </si>
  <si>
    <t>access_area</t>
  </si>
  <si>
    <t>Access to fishing or aquaculture area [e.g. due to weather conditions]</t>
  </si>
  <si>
    <t>الوصول الي الاسماك أو مناطق تربية الاحياء المائية ( بسبب الطقس أو مشاكل امنية علي سبيل المثال)</t>
  </si>
  <si>
    <t>fuel</t>
  </si>
  <si>
    <t>Access to fuel [prices higher or not available]</t>
  </si>
  <si>
    <t>الحصول على الوقود [أسعار أعلى أو غير متوفرة]</t>
  </si>
  <si>
    <t>input_access</t>
  </si>
  <si>
    <t>Access to other fishing or culture inputs [prices higher or not available]</t>
  </si>
  <si>
    <t>الوصول إلى مواد الصيد و- أو غيرها من المدخلات [أسعار أعلى أو غير متوفرة]</t>
  </si>
  <si>
    <t>labour</t>
  </si>
  <si>
    <t>Access to labour or crew labour [prices higher or not available]</t>
  </si>
  <si>
    <t>الوصول إلى العمالة أو طاقم العمل [أسعار أعلى أو غير متوفرة]</t>
  </si>
  <si>
    <t>infrastructure</t>
  </si>
  <si>
    <t>Damage or destruction of infrastructure [ponds, cages, ports, landing sites]</t>
  </si>
  <si>
    <t>إتلاف أو تدمير البنية التحتية [الأحواض والأقفاص والموانئ ومواقع الإنزال]</t>
  </si>
  <si>
    <t>damage_equip</t>
  </si>
  <si>
    <t>Damage or destruction of boats or gears</t>
  </si>
  <si>
    <t>إتلاف أو تدمير القوارب و المعدات</t>
  </si>
  <si>
    <t>fishinput</t>
  </si>
  <si>
    <t>bait_feed</t>
  </si>
  <si>
    <t>Feed or bait</t>
  </si>
  <si>
    <t>العلف أو الطعم</t>
  </si>
  <si>
    <t>fingerling</t>
  </si>
  <si>
    <t>Fingerling</t>
  </si>
  <si>
    <t>الاسماك اليافعة ( صغار الاسماك )</t>
  </si>
  <si>
    <t>gear</t>
  </si>
  <si>
    <t>Fishing gear [e.g. rods, hooks, nets]</t>
  </si>
  <si>
    <t>معدات الصيد [الشبك ، الخطاف ، القضبان علي سبيل المثال]</t>
  </si>
  <si>
    <t>ice</t>
  </si>
  <si>
    <t>Ice</t>
  </si>
  <si>
    <t>الجليد (الثلج)</t>
  </si>
  <si>
    <t>Fuel</t>
  </si>
  <si>
    <t>الوقود</t>
  </si>
  <si>
    <t>boatrepairs</t>
  </si>
  <si>
    <t>Equipment repairs [including boats] or spare parts</t>
  </si>
  <si>
    <t>اصلاح المعدات بما فيها القوارب و قطع الغيار</t>
  </si>
  <si>
    <t>Labour</t>
  </si>
  <si>
    <t>العمالة</t>
  </si>
  <si>
    <t>fishsales</t>
  </si>
  <si>
    <t>Fresh product [any kind, including invertebrates]</t>
  </si>
  <si>
    <t>المنتج الطازج [أي نوع، بما في ذلك اللافقاريات]</t>
  </si>
  <si>
    <t>Preserved product [including dry, smoked, fermented, salted]</t>
  </si>
  <si>
    <t>المنتج المحفوظ [بما في ذلك الجاف، المدخن، المخمر، المملح]</t>
  </si>
  <si>
    <t>Frozen product</t>
  </si>
  <si>
    <t>المنتج المجمد</t>
  </si>
  <si>
    <t>Canned product</t>
  </si>
  <si>
    <t>المنتج المعلب</t>
  </si>
  <si>
    <t>fishsalesdif</t>
  </si>
  <si>
    <t>Deterioration and losses due to storage difficulties or delays or inability to physically access markets</t>
  </si>
  <si>
    <t>الأضرار والخسائر الناتجة عن صعوبات في التخزين أو التأخير أو عدم القدرة على الوصول  إلى الأسواق</t>
  </si>
  <si>
    <t>Lack of demand from usual buyers/traders</t>
  </si>
  <si>
    <t>قلة الطلب من التجار أو المشترين المعتادين</t>
  </si>
  <si>
    <t xml:space="preserve">Payment delays from traders/buyers </t>
  </si>
  <si>
    <t xml:space="preserve">تأخر المدفوعات من التجار و المشترين </t>
  </si>
  <si>
    <t>low_prices</t>
  </si>
  <si>
    <t>Difficulties processing product [lack of access to processing inputs / equipment / etc]</t>
  </si>
  <si>
    <t>صعوبات في معالجة المنتج [تعثر الوصول إلى مدخلات المعالجة / المعدات / إلخ]</t>
  </si>
  <si>
    <t>Market flooded with product</t>
  </si>
  <si>
    <t xml:space="preserve">آخر </t>
  </si>
  <si>
    <t>frequency</t>
  </si>
  <si>
    <t>Rarely (1-2 times in the past 30 days)</t>
  </si>
  <si>
    <t>نادرًا (مرة إلى مرتين في الثلاثين يومًا الماضية)</t>
  </si>
  <si>
    <t>Sometimes (3-10 times in the past 30 days)</t>
  </si>
  <si>
    <t>في بعض الأحيان (3-10 مرات في الثلاثين يومًا الماضية)</t>
  </si>
  <si>
    <t>Often (more than 10 times in the last 30 days)</t>
  </si>
  <si>
    <t>في كثير من الأحيان (أكثر من 10 مرات في آخر 30 يومًا)</t>
  </si>
  <si>
    <t xml:space="preserve">DON'T KNOW </t>
  </si>
  <si>
    <t>coping</t>
  </si>
  <si>
    <t>No - because it wasn’t necessary</t>
  </si>
  <si>
    <t>لا - لأنه لم يكن ذلك ضرورياً</t>
  </si>
  <si>
    <t>No - because you already sold those assets or did this activity within the last 12 months and you cannot continue to do it</t>
  </si>
  <si>
    <t>لا - لأننا بعنا تلك الأصول من قبل أو لجأنا إلى هذه الإستراتيجية خلال الـ 12 شهرًا الماضية ولا يمكننا الاستمرار في القيام بذلك</t>
  </si>
  <si>
    <t>Not applicable</t>
  </si>
  <si>
    <t>لا ينطبق</t>
  </si>
  <si>
    <t>cereals</t>
  </si>
  <si>
    <t>Cereals [sorghum / millet / corn / wheat / rice / spaghetti / bread or insert any other locally available grain]</t>
  </si>
  <si>
    <t>الحبوب [الذرة الرفيعة / الدخن / الذرة / القمح / الأرز / السباغيتي / الخبز أو أدخل أي حبوب أخرى متوفرة محليًا]</t>
  </si>
  <si>
    <t>rootstubers</t>
  </si>
  <si>
    <t>Roots and tubers [white sweet potato / potato / yam / cassava or other tubers]</t>
  </si>
  <si>
    <t>الجذور والدرنات [البطاطا الحلوة البيضاء / البطاطا / اليام / الكسافا أو درنات أخرى]</t>
  </si>
  <si>
    <t>vegetables</t>
  </si>
  <si>
    <t>Vegetables [all]</t>
  </si>
  <si>
    <t>الخضار [الكل]</t>
  </si>
  <si>
    <t>fruits</t>
  </si>
  <si>
    <t>Fruit [all]</t>
  </si>
  <si>
    <t>الفواكه [الكل]</t>
  </si>
  <si>
    <t>meat</t>
  </si>
  <si>
    <t>Meat, poultry and offal [beef / pork / lamb /goat / rabbit / wild game / chicken / duck or other birds / liver / kidney / heart / or other organ meats]</t>
  </si>
  <si>
    <t>اللحوم / الدواجن ومخلفاتها [لحم البقر / لحم الخنزير / لحم الغنم / لحم الماعز / الأرانب / الطرائد البرية / الدجاج / البط / الكبد / الكلى / القلب / أو غيرها من لحوم الأعضاء]</t>
  </si>
  <si>
    <t>eggs</t>
  </si>
  <si>
    <t>fish</t>
  </si>
  <si>
    <t>Fish or shellfish [fresh or dried fish / other seafood]</t>
  </si>
  <si>
    <t>الأسماك أو المحار [الأسماك الطازجة أو المجففة/ المحار]</t>
  </si>
  <si>
    <t>legumes</t>
  </si>
  <si>
    <t>Legumes, nuts and seeds [beans / peas / peanut / lentils / almond / and/or other nuts]</t>
  </si>
  <si>
    <t>البقوليات والمكسرات [الفول / الفاصوليا / البازلاء / الفول السوداني / العدس / اللوز / المكسرات الأخرى]</t>
  </si>
  <si>
    <t>milkdairy</t>
  </si>
  <si>
    <t>Milk and other dairy products [fresh milk / sour / yogurt / cheese / other dairy products]</t>
  </si>
  <si>
    <t>الحليب ومنتجات الألبان الأخرى [حليب طازج / لبن رائب / زبادي / جبن / منتجات ألبان أخرى]</t>
  </si>
  <si>
    <t>oils</t>
  </si>
  <si>
    <t>Oil/fat / butter [cooking / butter / margarine / fat/oil / other oil]</t>
  </si>
  <si>
    <t>الزيوت والدهون [ الزبدة / المارجرين / الدهون / الزيت / الزيوت الأخرى]</t>
  </si>
  <si>
    <t>sugar</t>
  </si>
  <si>
    <t>Sugar or sugary products [honey / jam / donuts / candy / biscuits / pastries / cakes and other sweet products]</t>
  </si>
  <si>
    <t>السكر أو المنتجات السكرية [عسل / مربى / دوناتس / حلوى / شوكولاتة / بسكويت / حلو / كيك ومنتجات حلوة أخرى]</t>
  </si>
  <si>
    <t>condiments</t>
  </si>
  <si>
    <t>Condiments [cocoa /salt / garlic / spices / yeast or baking powder / tomato or tomato sauce / meat or fish as a condiment] / coffee / tea</t>
  </si>
  <si>
    <t>التوابل [الكاكاو / الملح / الثوم / البهارات / الخميرة / مسحوق الخبز (بكنج باودر) / الطماطم أو صلصة الطماطم / اللحوم أو الأسماك كتوابل] والقهوة / الشاي</t>
  </si>
  <si>
    <t>needs</t>
  </si>
  <si>
    <t>food</t>
  </si>
  <si>
    <t>Food</t>
  </si>
  <si>
    <t>الطعام</t>
  </si>
  <si>
    <t>cash</t>
  </si>
  <si>
    <t>Cash</t>
  </si>
  <si>
    <t xml:space="preserve">المساعدة النقدية </t>
  </si>
  <si>
    <t>vouchers_fair</t>
  </si>
  <si>
    <t>Vouchers or input trade fairs</t>
  </si>
  <si>
    <t xml:space="preserve">قسائم المشتريات </t>
  </si>
  <si>
    <t>crop_inputs</t>
  </si>
  <si>
    <t>Inputs for crop and/or vegetable production [e.g. seeds, fertilizer, tools]</t>
  </si>
  <si>
    <t xml:space="preserve">مدخلات انتاج المحاصيل و الخضروات [على سبيل المثال البذور و الاسمدة و المعدات] </t>
  </si>
  <si>
    <t>crop_infrastructure</t>
  </si>
  <si>
    <t>Infrastructure for crop and/or vegetable production [e.g. irrigation, canal rehabilitation, pumps]</t>
  </si>
  <si>
    <t>البنية التحتية لانتاج المحاصيل و الخضروات [على سبيل المثال الري، اعادة تأهيل قنوات الري و المضخات]</t>
  </si>
  <si>
    <t>crop_knowledge</t>
  </si>
  <si>
    <t>Training &amp; technical knowledge/advice for crop production</t>
  </si>
  <si>
    <t xml:space="preserve">التدريبات المهنية و المعرفة / النصائح التقنية لإنتاج المحاصيل </t>
  </si>
  <si>
    <t>Livestock feed [fodder or supplementary feed]</t>
  </si>
  <si>
    <t>أعلاف الحيوانات [علف أو علف تكميلي]</t>
  </si>
  <si>
    <t>ls_vet_service</t>
  </si>
  <si>
    <t>Veterinary services [e.g. vaccination, dips, deworming]</t>
  </si>
  <si>
    <t>الخدمات البيطرية [على سبيل المثال التطعيم والتخلص من الديدان]</t>
  </si>
  <si>
    <t>ls_infrastructure</t>
  </si>
  <si>
    <t>Infrastructure for livestock [e.g. water points, transhumance corridors, shelter, health points]</t>
  </si>
  <si>
    <t>البنية التحتية لانتاج الماشية [على سبيل المثال نقاط المياه ، ممرات التنقل الرعوي ، المأوى ، النقاط الصحية]</t>
  </si>
  <si>
    <t>ls_knowledge</t>
  </si>
  <si>
    <t>Training &amp; technical knowledge/advice for livestock production</t>
  </si>
  <si>
    <t xml:space="preserve">التدريبات المهنية و المعرفة / النصائح التقنية لانتاج الماشية </t>
  </si>
  <si>
    <t>fish_inputs</t>
  </si>
  <si>
    <t>Inputs for fishing or aquaculture production</t>
  </si>
  <si>
    <t xml:space="preserve"> المدخلات لانتاج الاسماك و تربية الاحياء المائية</t>
  </si>
  <si>
    <t>fish_infrastructure</t>
  </si>
  <si>
    <t>Infrastructure for fisheries or aquaculture production [e.g. rehabilitation of port; repair of ponds]</t>
  </si>
  <si>
    <t>البنية التحتية لانتاج مصايد الاسماك و تربية الاحياء المائية  [اعادة تأهيل الموانيء و اصلاح البرك علي سبيل المثال]</t>
  </si>
  <si>
    <t>fish_knowledge</t>
  </si>
  <si>
    <t>Training &amp; technical knowledge/advice for fisheries or aquaculture production</t>
  </si>
  <si>
    <t>التدريبات المهنية و المعرفة / النصائح التقنية لانتاج مصايد الاسماك و تربية الاحياء المائية</t>
  </si>
  <si>
    <t>env_infra_rehab</t>
  </si>
  <si>
    <t>Environmental or infrastructure rehabilitation [community-wide]</t>
  </si>
  <si>
    <t xml:space="preserve">اعادة ترميم البنية التحتية و البيئية ( علي نطاق مجتمعي ) </t>
  </si>
  <si>
    <t>cold_storage</t>
  </si>
  <si>
    <t>Cold storage</t>
  </si>
  <si>
    <t>التخزين البارد</t>
  </si>
  <si>
    <t>marketing_supp</t>
  </si>
  <si>
    <t>Marketing or sales support [e.g. public procurement]</t>
  </si>
  <si>
    <t>دعم المبيعات أو التسويق [المشتريات العامة علي سبيل المثال]</t>
  </si>
  <si>
    <t>needreceived</t>
  </si>
  <si>
    <t>الغذاء</t>
  </si>
  <si>
    <t xml:space="preserve">Cash </t>
  </si>
  <si>
    <t xml:space="preserve">مساعدة نقدية </t>
  </si>
  <si>
    <t>Vouchers/input trade fairs</t>
  </si>
  <si>
    <t>قسائم المشتريات</t>
  </si>
  <si>
    <t>crop_assist</t>
  </si>
  <si>
    <t>Crop and/or vegetable production assistance</t>
  </si>
  <si>
    <t>مساعدة لانتاج المحاصيل و الخضروات</t>
  </si>
  <si>
    <t>ls_assist</t>
  </si>
  <si>
    <t>Livestock assistance</t>
  </si>
  <si>
    <t xml:space="preserve">مساعدة لانتاج الماشية </t>
  </si>
  <si>
    <t>fish_assist</t>
  </si>
  <si>
    <t>Fisheries and/or aquaculture assistance</t>
  </si>
  <si>
    <t xml:space="preserve">مساعدة لانتاج مصايد الاسماك و تربية الاحياء المائية </t>
  </si>
  <si>
    <t>rehabilitation</t>
  </si>
  <si>
    <t xml:space="preserve">اعادة تأهيل البنية التحتية و البيئية علي نطاق مجتمعي </t>
  </si>
  <si>
    <t>sales_support</t>
  </si>
  <si>
    <t>دعم المبيعات أو التسويق [المشتريات العامة على سبيل المثال]</t>
  </si>
  <si>
    <t>No assistance received</t>
  </si>
  <si>
    <t>لم تتلق المساعدة</t>
  </si>
  <si>
    <t>assist_quality</t>
  </si>
  <si>
    <t>No - not received on time</t>
  </si>
  <si>
    <t>لا - لم يتم استلامها في الوقت المحدد</t>
  </si>
  <si>
    <t>No - did not meet my needs</t>
  </si>
  <si>
    <t>لا - لم تلبي احتياجاتي</t>
  </si>
  <si>
    <t>No - quantity was not sufficient</t>
  </si>
  <si>
    <t>لا - الكمية لم تكن كافية</t>
  </si>
  <si>
    <t>No - there was a problem with the provider</t>
  </si>
  <si>
    <t>لا - حدثت مشكلة مع المزود</t>
  </si>
  <si>
    <t>No - there was a malfunction of the in-kind assistance provided [e.g. poor quality tools]</t>
  </si>
  <si>
    <t>لا - حدث خلل في المساعدة العينية المقدمة [على سبيل المثال أدوات ذات جودة رديئة]</t>
  </si>
  <si>
    <t>provider</t>
  </si>
  <si>
    <t>fao</t>
  </si>
  <si>
    <t>FAO</t>
  </si>
  <si>
    <t xml:space="preserve">منطمة الاغذية و الزراعة للأمم المتحدة </t>
  </si>
  <si>
    <t>wfp</t>
  </si>
  <si>
    <t>WFP</t>
  </si>
  <si>
    <t>برنامج الغذاء العالمي</t>
  </si>
  <si>
    <t>otherun</t>
  </si>
  <si>
    <t>Other UN agencies</t>
  </si>
  <si>
    <t>منظمات أخرى تابعة للامم المتحدة</t>
  </si>
  <si>
    <t>Government</t>
  </si>
  <si>
    <t>جهات حكومية</t>
  </si>
  <si>
    <t>Non-governmental/local organization</t>
  </si>
  <si>
    <t xml:space="preserve">منظمة محلية / غير حكومية </t>
  </si>
  <si>
    <t>week</t>
  </si>
  <si>
    <t>mon</t>
  </si>
  <si>
    <t>Monday</t>
  </si>
  <si>
    <t>الاثنين</t>
  </si>
  <si>
    <t>tues</t>
  </si>
  <si>
    <t>Tuesday</t>
  </si>
  <si>
    <t>الثلاثاء</t>
  </si>
  <si>
    <t>wed</t>
  </si>
  <si>
    <t>Wednesday</t>
  </si>
  <si>
    <t>الأربعاء</t>
  </si>
  <si>
    <t>thurs</t>
  </si>
  <si>
    <t>Thursday</t>
  </si>
  <si>
    <t>الخميس</t>
  </si>
  <si>
    <t>fri</t>
  </si>
  <si>
    <t>Friday</t>
  </si>
  <si>
    <t>الجمعة</t>
  </si>
  <si>
    <t>sat</t>
  </si>
  <si>
    <t>Saturday</t>
  </si>
  <si>
    <t>السبت</t>
  </si>
  <si>
    <t>sun</t>
  </si>
  <si>
    <t>Sunday</t>
  </si>
  <si>
    <t>الأحد</t>
  </si>
  <si>
    <t>morn</t>
  </si>
  <si>
    <t>Mornings</t>
  </si>
  <si>
    <t>الصباح</t>
  </si>
  <si>
    <t>aft</t>
  </si>
  <si>
    <t>Afternoons</t>
  </si>
  <si>
    <t>بعد الظهر</t>
  </si>
  <si>
    <t>eve</t>
  </si>
  <si>
    <t>Evenings</t>
  </si>
  <si>
    <t>المساء</t>
  </si>
  <si>
    <t>version</t>
  </si>
  <si>
    <t>default_language</t>
  </si>
  <si>
    <t>allow_choice_duplicates</t>
  </si>
  <si>
    <t>style</t>
  </si>
  <si>
    <t>vM6cWXyHNhR3djPbARkHWi</t>
  </si>
  <si>
    <t>Arabic (ar)</t>
  </si>
  <si>
    <t>theme-grid no-text-transform</t>
  </si>
  <si>
    <t xml:space="preserve">Select top 10 crops </t>
  </si>
  <si>
    <t>Dataset code</t>
  </si>
  <si>
    <t>Label (EN)</t>
  </si>
  <si>
    <t>Label (AR)</t>
  </si>
  <si>
    <t>1.1</t>
  </si>
  <si>
    <t>Rice</t>
  </si>
  <si>
    <t>الرز</t>
  </si>
  <si>
    <t>1.2</t>
  </si>
  <si>
    <t>Wheat</t>
  </si>
  <si>
    <t>القمح</t>
  </si>
  <si>
    <t>1.3</t>
  </si>
  <si>
    <t>Millet</t>
  </si>
  <si>
    <t>الدخن</t>
  </si>
  <si>
    <t>1.4</t>
  </si>
  <si>
    <t>Sorghum</t>
  </si>
  <si>
    <t>الذرة الرفيعة</t>
  </si>
  <si>
    <t>1.5</t>
  </si>
  <si>
    <t>Maize</t>
  </si>
  <si>
    <t>الذرة</t>
  </si>
  <si>
    <t>1.6</t>
  </si>
  <si>
    <t>Barley</t>
  </si>
  <si>
    <t>الشعير</t>
  </si>
  <si>
    <t>1.99</t>
  </si>
  <si>
    <t>Other Cereal</t>
  </si>
  <si>
    <t>الحبوب الأخرى</t>
  </si>
  <si>
    <t>2.1</t>
  </si>
  <si>
    <t>Cassava</t>
  </si>
  <si>
    <t>الكسافا</t>
  </si>
  <si>
    <t>2.2</t>
  </si>
  <si>
    <t>Potatoe</t>
  </si>
  <si>
    <t>البطاطا</t>
  </si>
  <si>
    <t>2.3</t>
  </si>
  <si>
    <t>Sweet Potatoes</t>
  </si>
  <si>
    <t>البطاطا الحلوة</t>
  </si>
  <si>
    <t>2.4</t>
  </si>
  <si>
    <t>Yams</t>
  </si>
  <si>
    <t>اليام</t>
  </si>
  <si>
    <t>2.5</t>
  </si>
  <si>
    <t>Carrots</t>
  </si>
  <si>
    <t>الجزر</t>
  </si>
  <si>
    <t>2.6</t>
  </si>
  <si>
    <t>Cocoyam</t>
  </si>
  <si>
    <t>القلقاس</t>
  </si>
  <si>
    <t>2.99</t>
  </si>
  <si>
    <t>Other tubers</t>
  </si>
  <si>
    <t>الدرنات الأخرى</t>
  </si>
  <si>
    <t>3.1</t>
  </si>
  <si>
    <t>Beans</t>
  </si>
  <si>
    <t>الفاصوليا</t>
  </si>
  <si>
    <t>3.2</t>
  </si>
  <si>
    <t>Lentils</t>
  </si>
  <si>
    <t>العدس</t>
  </si>
  <si>
    <t>3.3</t>
  </si>
  <si>
    <t>Peas</t>
  </si>
  <si>
    <t>البازيلاء</t>
  </si>
  <si>
    <t>3.4</t>
  </si>
  <si>
    <t>Soybeans</t>
  </si>
  <si>
    <t>فول الصويا</t>
  </si>
  <si>
    <t>3.5</t>
  </si>
  <si>
    <t>Chickpeas</t>
  </si>
  <si>
    <t>الحمص</t>
  </si>
  <si>
    <t>3.6</t>
  </si>
  <si>
    <t>Fava beans</t>
  </si>
  <si>
    <t>الفول</t>
  </si>
  <si>
    <t>3.7</t>
  </si>
  <si>
    <t>Broad beans</t>
  </si>
  <si>
    <t>الفاصوليا العريضة</t>
  </si>
  <si>
    <t>3.99</t>
  </si>
  <si>
    <t>Other pulses</t>
  </si>
  <si>
    <t>البقول الاخرى</t>
  </si>
  <si>
    <t>4.1</t>
  </si>
  <si>
    <t>Cabbage</t>
  </si>
  <si>
    <t>الملفوف</t>
  </si>
  <si>
    <t>4.2</t>
  </si>
  <si>
    <t>Lettuce</t>
  </si>
  <si>
    <t>الخس</t>
  </si>
  <si>
    <t>4.3</t>
  </si>
  <si>
    <t>Spinach-Amaranth</t>
  </si>
  <si>
    <t>السبانخ - القطيفة</t>
  </si>
  <si>
    <t>4.4</t>
  </si>
  <si>
    <t>Cassava leaves</t>
  </si>
  <si>
    <t>أوراق الكسافا</t>
  </si>
  <si>
    <t>4.5</t>
  </si>
  <si>
    <t>Potatoe leaves</t>
  </si>
  <si>
    <t>أوراق البطاطا</t>
  </si>
  <si>
    <t>4.6</t>
  </si>
  <si>
    <t>Moringa</t>
  </si>
  <si>
    <t>المورينجا</t>
  </si>
  <si>
    <t>4.7</t>
  </si>
  <si>
    <t>Sorrel Hibiscus / Rosselle</t>
  </si>
  <si>
    <t>الكركديه</t>
  </si>
  <si>
    <t>4.9</t>
  </si>
  <si>
    <t>Green salad herbs (thyme, parsley, mint, rocca, other)</t>
  </si>
  <si>
    <t>أعشاب السلطة الخضراء [زعتر ، بقدونس ، نعناع ، جرجير ، أنواع أخرى]</t>
  </si>
  <si>
    <t>4.101</t>
  </si>
  <si>
    <t>Cauliflower</t>
  </si>
  <si>
    <t>القرنبيط</t>
  </si>
  <si>
    <t>4.99</t>
  </si>
  <si>
    <t>Other leafy vegetables</t>
  </si>
  <si>
    <t>الخضار الورقية الأخرى</t>
  </si>
  <si>
    <t>5.1</t>
  </si>
  <si>
    <t>Tomatoes</t>
  </si>
  <si>
    <t>الطماطم</t>
  </si>
  <si>
    <t>5.2</t>
  </si>
  <si>
    <t>Cucumber</t>
  </si>
  <si>
    <t>الخيار</t>
  </si>
  <si>
    <t>5.3</t>
  </si>
  <si>
    <t>Pumpkin</t>
  </si>
  <si>
    <t>اليقطين</t>
  </si>
  <si>
    <t>5.4</t>
  </si>
  <si>
    <t>Eggplant/aubergine</t>
  </si>
  <si>
    <t>الباذنجان</t>
  </si>
  <si>
    <t>5.5</t>
  </si>
  <si>
    <t>Zucchini</t>
  </si>
  <si>
    <t>الكوسة</t>
  </si>
  <si>
    <t>5.6</t>
  </si>
  <si>
    <t>Okra</t>
  </si>
  <si>
    <t>البامية</t>
  </si>
  <si>
    <t>5.7</t>
  </si>
  <si>
    <t>Bell pepper</t>
  </si>
  <si>
    <t>الفلفل حلو</t>
  </si>
  <si>
    <t>5.8</t>
  </si>
  <si>
    <t>Onions</t>
  </si>
  <si>
    <t>بصل</t>
  </si>
  <si>
    <t>5.9</t>
  </si>
  <si>
    <t>Haricot</t>
  </si>
  <si>
    <t>اللوبياء</t>
  </si>
  <si>
    <t>5.101</t>
  </si>
  <si>
    <t>Green peas</t>
  </si>
  <si>
    <t>البازلاء الخضراء</t>
  </si>
  <si>
    <t>5.11</t>
  </si>
  <si>
    <t>Fava beans green</t>
  </si>
  <si>
    <t>الفول الأخضر</t>
  </si>
  <si>
    <t>5.99</t>
  </si>
  <si>
    <t>Other non leafy vegs</t>
  </si>
  <si>
    <t>الخضار غير الورقية الأخرى</t>
  </si>
  <si>
    <t>6.1</t>
  </si>
  <si>
    <t>Orange</t>
  </si>
  <si>
    <t>البرتقال</t>
  </si>
  <si>
    <t>6.2</t>
  </si>
  <si>
    <t>Lemon</t>
  </si>
  <si>
    <t>الليمون</t>
  </si>
  <si>
    <t>6.3</t>
  </si>
  <si>
    <t>Grapefruit</t>
  </si>
  <si>
    <t>الجريب فروت</t>
  </si>
  <si>
    <t>6.4</t>
  </si>
  <si>
    <t>Mandarins/clementines</t>
  </si>
  <si>
    <t>اليوسفي / الكليمنتين</t>
  </si>
  <si>
    <t>6.99</t>
  </si>
  <si>
    <t>Other citrus fruit</t>
  </si>
  <si>
    <t>الحمضيات الأخرى</t>
  </si>
  <si>
    <t>7.1</t>
  </si>
  <si>
    <t>Sweet Banana</t>
  </si>
  <si>
    <t>الموز</t>
  </si>
  <si>
    <t>7.2</t>
  </si>
  <si>
    <t>Plantains</t>
  </si>
  <si>
    <t>موز الجنة</t>
  </si>
  <si>
    <t>7.3</t>
  </si>
  <si>
    <t>Papaya</t>
  </si>
  <si>
    <t>البابايا</t>
  </si>
  <si>
    <t>7.4</t>
  </si>
  <si>
    <t>Mango</t>
  </si>
  <si>
    <t>المانجو</t>
  </si>
  <si>
    <t>7.5</t>
  </si>
  <si>
    <t>Guava</t>
  </si>
  <si>
    <t>الجوافة</t>
  </si>
  <si>
    <t>7.6</t>
  </si>
  <si>
    <t>Pineapple</t>
  </si>
  <si>
    <t>الأناناس</t>
  </si>
  <si>
    <t>7.7</t>
  </si>
  <si>
    <t>Avocado</t>
  </si>
  <si>
    <t>الأفوكادو</t>
  </si>
  <si>
    <t>7.8</t>
  </si>
  <si>
    <t>Water Melon</t>
  </si>
  <si>
    <t>البطيخ الأحمر</t>
  </si>
  <si>
    <t>7.9</t>
  </si>
  <si>
    <t>Dates</t>
  </si>
  <si>
    <t>التمر</t>
  </si>
  <si>
    <t>7.101</t>
  </si>
  <si>
    <t>Figs</t>
  </si>
  <si>
    <t>التين</t>
  </si>
  <si>
    <t>7.11</t>
  </si>
  <si>
    <t>Grapes</t>
  </si>
  <si>
    <t>العنب</t>
  </si>
  <si>
    <t>7.12</t>
  </si>
  <si>
    <t>Olives</t>
  </si>
  <si>
    <t>الزيتون</t>
  </si>
  <si>
    <t>7.13</t>
  </si>
  <si>
    <t>Apple</t>
  </si>
  <si>
    <t>التفاح</t>
  </si>
  <si>
    <t>7.14</t>
  </si>
  <si>
    <t>Apricot</t>
  </si>
  <si>
    <t>المشمش</t>
  </si>
  <si>
    <t>7.15</t>
  </si>
  <si>
    <t>Cherries</t>
  </si>
  <si>
    <t>الكرز</t>
  </si>
  <si>
    <t>7.16</t>
  </si>
  <si>
    <t>Peach/nectarine</t>
  </si>
  <si>
    <t>الدراق / النكتارين</t>
  </si>
  <si>
    <t>7.17</t>
  </si>
  <si>
    <t>Strawberries</t>
  </si>
  <si>
    <t>الفراولة</t>
  </si>
  <si>
    <t>7.18</t>
  </si>
  <si>
    <t>Melon (Cantaloupe)</t>
  </si>
  <si>
    <t>الشمام</t>
  </si>
  <si>
    <t>7.99</t>
  </si>
  <si>
    <t>Other fruit</t>
  </si>
  <si>
    <t>الفواكه الأخرى</t>
  </si>
  <si>
    <t>8.1</t>
  </si>
  <si>
    <t>Coconuts</t>
  </si>
  <si>
    <t>جوز الهند</t>
  </si>
  <si>
    <t>8.2</t>
  </si>
  <si>
    <t>Groundnut/peanut</t>
  </si>
  <si>
    <t>الفول السوداني</t>
  </si>
  <si>
    <t>8.3</t>
  </si>
  <si>
    <t>Cashew Nut</t>
  </si>
  <si>
    <t>الكاجو</t>
  </si>
  <si>
    <t>8.4</t>
  </si>
  <si>
    <t>Kola Nut</t>
  </si>
  <si>
    <t>جوز الكولا</t>
  </si>
  <si>
    <t>8.5</t>
  </si>
  <si>
    <t>Sesame</t>
  </si>
  <si>
    <t>السمسم</t>
  </si>
  <si>
    <t>8.6</t>
  </si>
  <si>
    <t>Bambara nut</t>
  </si>
  <si>
    <t>جوز البامبارا</t>
  </si>
  <si>
    <t>8.7</t>
  </si>
  <si>
    <t>Almond</t>
  </si>
  <si>
    <t>اللوز</t>
  </si>
  <si>
    <t>8.8</t>
  </si>
  <si>
    <t>Walnut</t>
  </si>
  <si>
    <t>الجوز</t>
  </si>
  <si>
    <t>8.99</t>
  </si>
  <si>
    <t>Other nuts</t>
  </si>
  <si>
    <t>المكسرات الأخرى</t>
  </si>
  <si>
    <t>9.1</t>
  </si>
  <si>
    <t>Cocoa</t>
  </si>
  <si>
    <t>الكاكاو</t>
  </si>
  <si>
    <t>9.2</t>
  </si>
  <si>
    <t>Coffee</t>
  </si>
  <si>
    <t>القهوة</t>
  </si>
  <si>
    <t>9.3</t>
  </si>
  <si>
    <t>Tea</t>
  </si>
  <si>
    <t>الشاي</t>
  </si>
  <si>
    <t>9.4</t>
  </si>
  <si>
    <t>Sugarcane</t>
  </si>
  <si>
    <t>قصب السكر</t>
  </si>
  <si>
    <t>9.5</t>
  </si>
  <si>
    <t>Sunflower</t>
  </si>
  <si>
    <t>دوار الشمس</t>
  </si>
  <si>
    <t>9.99</t>
  </si>
  <si>
    <t>Other food cash crop</t>
  </si>
  <si>
    <t xml:space="preserve">المحاصيل الغذائية النقدية الأخرى </t>
  </si>
  <si>
    <t>10.1</t>
  </si>
  <si>
    <t>Cotton</t>
  </si>
  <si>
    <t>القطن</t>
  </si>
  <si>
    <t>10.2</t>
  </si>
  <si>
    <t>Rubber</t>
  </si>
  <si>
    <t>المطاط</t>
  </si>
  <si>
    <t>10.3</t>
  </si>
  <si>
    <t>Jute</t>
  </si>
  <si>
    <t>الجوت</t>
  </si>
  <si>
    <t>10.4</t>
  </si>
  <si>
    <t>Fodder</t>
  </si>
  <si>
    <t>العلف</t>
  </si>
  <si>
    <t>10.5</t>
  </si>
  <si>
    <t>Tobacco</t>
  </si>
  <si>
    <t>التبغ</t>
  </si>
  <si>
    <t>10.6</t>
  </si>
  <si>
    <t>Qat</t>
  </si>
  <si>
    <t>القات</t>
  </si>
  <si>
    <t>10.99</t>
  </si>
  <si>
    <t>Other non-food cash crop</t>
  </si>
  <si>
    <t xml:space="preserve"> المحاصيل النقدية غير الغذائية الأخرى </t>
  </si>
  <si>
    <t xml:space="preserve">Original </t>
  </si>
  <si>
    <t>Replacement (AR)</t>
  </si>
  <si>
    <t>Replacement (EN)</t>
  </si>
  <si>
    <t>Comment (AR)</t>
  </si>
  <si>
    <t>Comment (EN)</t>
  </si>
  <si>
    <t>Exemple (AR)</t>
  </si>
  <si>
    <t>Example(EN)</t>
  </si>
  <si>
    <r>
      <t xml:space="preserve">FOR </t>
    </r>
    <r>
      <rPr>
        <b/>
        <sz val="12"/>
        <color theme="1"/>
        <rFont val="Calibri"/>
        <family val="2"/>
        <scheme val="minor"/>
      </rPr>
      <t xml:space="preserve">CORE QUESTIONS    </t>
    </r>
    <r>
      <rPr>
        <b/>
        <sz val="12"/>
        <color theme="0"/>
        <rFont val="Calibri"/>
        <family val="2"/>
        <scheme val="minor"/>
      </rPr>
      <t>.</t>
    </r>
    <r>
      <rPr>
        <sz val="12"/>
        <color theme="1"/>
        <rFont val="Calibri"/>
        <family val="2"/>
        <scheme val="minor"/>
      </rPr>
      <t xml:space="preserve">
(</t>
    </r>
    <r>
      <rPr>
        <i/>
        <sz val="12"/>
        <color theme="1"/>
        <rFont val="Calibri"/>
        <family val="2"/>
        <scheme val="minor"/>
      </rPr>
      <t xml:space="preserve">Mandatory to fill out)    </t>
    </r>
    <r>
      <rPr>
        <i/>
        <sz val="12"/>
        <color theme="0"/>
        <rFont val="Calibri"/>
        <family val="2"/>
        <scheme val="minor"/>
      </rPr>
      <t>.</t>
    </r>
  </si>
  <si>
    <t>phone number</t>
  </si>
  <si>
    <r>
      <t>اكتب رقم هاتف من بلدك بالتنسيق المعتاد ، على سبيل المثال ******٧٧  [من فضلك استخدم بالضبط عدد الأحرف الموجودة في رقم الهاتف].</t>
    </r>
    <r>
      <rPr>
        <b/>
        <sz val="11"/>
        <color rgb="FF000000"/>
        <rFont val="Calibri"/>
        <family val="2"/>
        <scheme val="minor"/>
      </rPr>
      <t xml:space="preserve"> يرجى إدخال الأرقام في الأبجدية اللاتينية (...3, 2, 1). </t>
    </r>
  </si>
  <si>
    <r>
      <t xml:space="preserve">Type a phone number from your country in typical format, e.g. 77******* [please use exactly the number of characters that are found in a phone number]. </t>
    </r>
    <r>
      <rPr>
        <b/>
        <sz val="11"/>
        <rFont val="Calibri"/>
        <family val="2"/>
      </rPr>
      <t>Only digits in Latin numbers should be inputted.</t>
    </r>
  </si>
  <si>
    <t>070******</t>
  </si>
  <si>
    <t>age</t>
  </si>
  <si>
    <r>
      <t xml:space="preserve">الحد الأدنى لسن المجيب (يفضل أن يكون عمره 18 عامًا على الأقل). </t>
    </r>
    <r>
      <rPr>
        <b/>
        <sz val="11"/>
        <color rgb="FF000000"/>
        <rFont val="Calibri"/>
        <family val="2"/>
      </rPr>
      <t xml:space="preserve"> يرجى إدخال الأرقام في الأبجدية اللاتينية (...3, 2, 1). </t>
    </r>
  </si>
  <si>
    <r>
      <t xml:space="preserve">Minimum age of respondent (recommend 18 years old). </t>
    </r>
    <r>
      <rPr>
        <b/>
        <sz val="11"/>
        <color rgb="FF000000"/>
        <rFont val="Calibri"/>
        <family val="2"/>
      </rPr>
      <t>Only digits in Latin numbers should be inputted.</t>
    </r>
  </si>
  <si>
    <t>ADMIN1</t>
  </si>
  <si>
    <r>
      <t xml:space="preserve">التقسيم الأول للبلاد ، بعد المستوى الوطني ؛ منطقة؛ محافظة؛ ولاية ؛ إلخ. </t>
    </r>
    <r>
      <rPr>
        <b/>
        <sz val="11"/>
        <color rgb="FF000000"/>
        <rFont val="Calibri"/>
        <family val="2"/>
      </rPr>
      <t>يجب إدخال كلمة واحدة فقط - لا تقم بتضمين مسافات.</t>
    </r>
  </si>
  <si>
    <r>
      <t xml:space="preserve">The first subdivision of the country, after national level; region; province; governorate; etc. </t>
    </r>
    <r>
      <rPr>
        <b/>
        <sz val="11"/>
        <color rgb="FF000000"/>
        <rFont val="Calibri"/>
        <family val="2"/>
      </rPr>
      <t>Only one word should be inputted - Do not include spaces.</t>
    </r>
  </si>
  <si>
    <t>منطقة</t>
  </si>
  <si>
    <t>region</t>
  </si>
  <si>
    <t>ADMIN2</t>
  </si>
  <si>
    <r>
      <t>التقسيم الثاني للبلاد ؛ قضاء؛ بلدية؛ إلخ.</t>
    </r>
    <r>
      <rPr>
        <b/>
        <sz val="11"/>
        <color rgb="FF000000"/>
        <rFont val="Calibri"/>
        <family val="2"/>
      </rPr>
      <t xml:space="preserve"> يجب إدخال كلمة واحدة فقط - لا تقم بتضمين مسافات.</t>
    </r>
  </si>
  <si>
    <r>
      <t xml:space="preserve">The second subdivision of the country; district; municipality; LGA; etc. </t>
    </r>
    <r>
      <rPr>
        <b/>
        <sz val="11"/>
        <color rgb="FF000000"/>
        <rFont val="Calibri"/>
        <family val="2"/>
      </rPr>
      <t>Only one word should be inputted - Do not include spaces.</t>
    </r>
  </si>
  <si>
    <t>قضاء</t>
  </si>
  <si>
    <t>district</t>
  </si>
  <si>
    <t>reference year</t>
  </si>
  <si>
    <t>سوف تحتاج أسئلة المقارنة إلى سنة مرجعية. حدد ما إذا كنت تريد استخدام "العام الماضي" أو "العام العادي" كخط أساس. يجب أن يشير "العام العادي" إلى متوسط ​​عام من السنوات الخمس الماضية - تأكد من تدريب جامعي البيانات وفقًا لذلك.</t>
  </si>
  <si>
    <t xml:space="preserve">Comparison questions will need need a reference year. Select whether you want to use "last year" or "a normal year" as a baseline. A "normal year" should refers to an average year from the past 5 years - make sure to train the enumerators accordingly. </t>
  </si>
  <si>
    <t>العام العادي</t>
  </si>
  <si>
    <t>a normal year</t>
  </si>
  <si>
    <t>season</t>
  </si>
  <si>
    <t>قم بتسمية موسم (مواسم) المحاصيل ذات الأهمية إذا كان هناك عدة مواسم محصولية في البلد (على سبيل المثال ، Meher و Belg في إثيوبيا ، موسم الأمطار / محاصيل الركود بسبب الفيضانات / موسم الجفاف المروي في منطقة الساحل). يمكنك الرجوع إلى "الموسم الماضي" أو "الموسم الجاري".</t>
  </si>
  <si>
    <t>Name the crop season(s) of interest if there are several cropping seasons in the country (e.g. Meher and Belg in Ethiopia, rainy season / flood-recession cropping / irrigated dry season in the Sahel). You can refer to the “last season” or “ongoing season".</t>
  </si>
  <si>
    <t>موسم الأمطار</t>
  </si>
  <si>
    <t>wet season</t>
  </si>
  <si>
    <t>season phase</t>
  </si>
  <si>
    <r>
      <t xml:space="preserve">حدد مرحلة الموسم </t>
    </r>
    <r>
      <rPr>
        <b/>
        <sz val="11"/>
        <rFont val="Calibri"/>
        <family val="2"/>
      </rPr>
      <t>في وقت جمع البيانات</t>
    </r>
    <r>
      <rPr>
        <sz val="11"/>
        <rFont val="Calibri"/>
        <family val="2"/>
      </rPr>
      <t>. إذا لم يتم الحصاد من الموسم بعد ، فإن السؤال عن حصاد المحاصيل (crp_harv_change) سيتضمن كلمة "متوقع" (حيث يوجد # متوقع أو لا شيء #). إذا تم الحصاد ، لن يتم إدخال "متوقع" في السؤال .</t>
    </r>
  </si>
  <si>
    <r>
      <t xml:space="preserve">Indicate the phase of the season </t>
    </r>
    <r>
      <rPr>
        <b/>
        <sz val="11"/>
        <rFont val="Calibri"/>
        <family val="2"/>
      </rPr>
      <t>at the time of data collection</t>
    </r>
    <r>
      <rPr>
        <sz val="11"/>
        <rFont val="Calibri"/>
        <family val="2"/>
      </rPr>
      <t>. If the harvest from the season has not yet occurred, the question on crop harvest (crp_harv_change) will include the word “expected” (where</t>
    </r>
    <r>
      <rPr>
        <i/>
        <sz val="11"/>
        <rFont val="Calibri"/>
        <family val="2"/>
      </rPr>
      <t xml:space="preserve"> #expected or nothing#</t>
    </r>
    <r>
      <rPr>
        <sz val="11"/>
        <rFont val="Calibri"/>
        <family val="2"/>
      </rPr>
      <t xml:space="preserve"> is located). If the harvest has occured, "expected" will not be inserted in the question.</t>
    </r>
  </si>
  <si>
    <t>الحصاد</t>
  </si>
  <si>
    <t>Harvesting</t>
  </si>
  <si>
    <t>local measurement unit</t>
  </si>
  <si>
    <r>
      <t xml:space="preserve">حدد وحدة القياس المحلية لمساحة الأرض ، بخلاف الفدان والهكتار والمتر المربع والقدم المربع. إذا لم تكن هناك حاجة إلى وحدة قياس أخرى ، </t>
    </r>
    <r>
      <rPr>
        <b/>
        <sz val="11"/>
        <rFont val="Calibri"/>
        <family val="2"/>
      </rPr>
      <t>احتفظ بهذه الخلية فارغة.</t>
    </r>
  </si>
  <si>
    <r>
      <t xml:space="preserve">Specify the local measurement unit for land size, other than </t>
    </r>
    <r>
      <rPr>
        <i/>
        <sz val="11"/>
        <rFont val="Calibri"/>
        <family val="2"/>
      </rPr>
      <t xml:space="preserve">acres, hectares, square meters </t>
    </r>
    <r>
      <rPr>
        <sz val="11"/>
        <rFont val="Calibri"/>
        <family val="2"/>
      </rPr>
      <t xml:space="preserve">and </t>
    </r>
    <r>
      <rPr>
        <i/>
        <sz val="11"/>
        <rFont val="Calibri"/>
        <family val="2"/>
      </rPr>
      <t xml:space="preserve">square feet. </t>
    </r>
    <r>
      <rPr>
        <sz val="11"/>
        <rFont val="Calibri"/>
        <family val="2"/>
      </rPr>
      <t>If no other unit of measurement is needed,</t>
    </r>
    <r>
      <rPr>
        <b/>
        <sz val="11"/>
        <rFont val="Calibri"/>
        <family val="2"/>
      </rPr>
      <t xml:space="preserve"> keep this cell blank. </t>
    </r>
  </si>
  <si>
    <t>جريب</t>
  </si>
  <si>
    <t>Jeribs</t>
  </si>
  <si>
    <t>local measurement unit conversion</t>
  </si>
  <si>
    <r>
      <t xml:space="preserve">قم بتضمين تحويل وحدة القياس المحلية إلى هكتار. بمعنى آخر ، إلى كم هو عدد وحدات القياس المحلية في هكتار واحد. </t>
    </r>
    <r>
      <rPr>
        <b/>
        <sz val="11"/>
        <rFont val="Calibri"/>
        <family val="2"/>
      </rPr>
      <t xml:space="preserve">يرجى إدخال الأرقام في الأبجدية اللاتينية (...3, 2, 1). </t>
    </r>
  </si>
  <si>
    <r>
      <t xml:space="preserve">Include the conversion of the </t>
    </r>
    <r>
      <rPr>
        <i/>
        <sz val="11"/>
        <rFont val="Calibri"/>
        <family val="2"/>
      </rPr>
      <t>local measurement unit</t>
    </r>
    <r>
      <rPr>
        <sz val="11"/>
        <rFont val="Calibri"/>
        <family val="2"/>
      </rPr>
      <t xml:space="preserve"> to hectares. In other words, how many local measurement units are in 1 ha. </t>
    </r>
    <r>
      <rPr>
        <b/>
        <sz val="11"/>
        <rFont val="Calibri"/>
        <family val="2"/>
      </rPr>
      <t>Only digits in Latin numbers should be inputted.</t>
    </r>
  </si>
  <si>
    <r>
      <t xml:space="preserve">FOR </t>
    </r>
    <r>
      <rPr>
        <b/>
        <sz val="12"/>
        <color theme="1"/>
        <rFont val="Calibri"/>
        <family val="2"/>
        <scheme val="minor"/>
      </rPr>
      <t xml:space="preserve">OPTIONAL QUESTIONS    </t>
    </r>
    <r>
      <rPr>
        <b/>
        <sz val="12"/>
        <color theme="0"/>
        <rFont val="Calibri"/>
        <family val="2"/>
        <scheme val="minor"/>
      </rPr>
      <t>.</t>
    </r>
    <r>
      <rPr>
        <i/>
        <sz val="12"/>
        <color theme="1"/>
        <rFont val="Calibri"/>
        <family val="2"/>
        <scheme val="minor"/>
      </rPr>
      <t xml:space="preserve">
(Fill out if applicable)    </t>
    </r>
    <r>
      <rPr>
        <i/>
        <sz val="12"/>
        <color theme="0"/>
        <rFont val="Calibri"/>
        <family val="2"/>
        <scheme val="minor"/>
      </rPr>
      <t>.</t>
    </r>
  </si>
  <si>
    <t>currency</t>
  </si>
  <si>
    <t>اسم العملة الرئيسية المستخدمة وطنيا ؛ دولار أمريكي؛ نيرة؛ الريال؛ بيزو؛ إلخ.</t>
  </si>
  <si>
    <t xml:space="preserve">The name of the main currency used nationally; USD; Naira; Rial; Pesos; etc. </t>
  </si>
  <si>
    <t>نيرة</t>
  </si>
  <si>
    <t>Naira</t>
  </si>
  <si>
    <t>MIN AMOUNT</t>
  </si>
  <si>
    <r>
      <t xml:space="preserve">يجب تعيين الحد الأدنى لمبلغ مصدر الدخل على 0 أو أي قيمة أقل منها لا يمكن إجراء معاملة. على سبيل المثال ، يمكن أن تكون أصغر عملة / ورقة نقدية في عملة ما هي 1000 ، وفي هذه الحالة يمكنك تعيين الحد الأدنى عند 1000. يجب أن يكون هذا المبلغ بنفس العملة المحددة في الصف أعلاه. </t>
    </r>
    <r>
      <rPr>
        <b/>
        <sz val="11"/>
        <rFont val="Calibri"/>
        <family val="2"/>
      </rPr>
      <t xml:space="preserve">يرجى إدخال الأرقام في الأبجدية اللاتينية (...3, 2, 1). </t>
    </r>
  </si>
  <si>
    <r>
      <t xml:space="preserve">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t>
    </r>
    <r>
      <rPr>
        <b/>
        <sz val="11"/>
        <rFont val="Calibri"/>
        <family val="2"/>
      </rPr>
      <t>Only digits in Latin numbers should be inputted.</t>
    </r>
  </si>
  <si>
    <t>THRESHOLD</t>
  </si>
  <si>
    <r>
      <t>يجب حساب قيمة العتبة للراتب لتحديد القيم المتطرفة (الاستجابات التي تبدو مرتفعة بشكل مثير للريبة). باستخدام المسوح التمثيلية السابقة لهذه الفئة من السكان ، فإن التقدير الجيد هو المتوسط ​​زائد ثلاثة انحرافات معيارية ، والذي يجب أن يعطي قيمة العتبة لقيم الدخل الأعلى بنسبة 3 أو 4٪. يجب أن يكون هذا المبلغ بنفس العملة المحددة أعلاه.</t>
    </r>
    <r>
      <rPr>
        <b/>
        <sz val="11"/>
        <rFont val="Calibri"/>
        <family val="2"/>
      </rPr>
      <t xml:space="preserve"> يرجى إدخال الأرقام في الأبجدية اللاتينية (...3, 2, 1). </t>
    </r>
  </si>
  <si>
    <r>
      <t xml:space="preserve">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t>
    </r>
    <r>
      <rPr>
        <b/>
        <sz val="11"/>
        <rFont val="Calibri"/>
        <family val="2"/>
      </rPr>
      <t>Only digits in Latin numbers should be inputted.</t>
    </r>
  </si>
  <si>
    <t>local vegetables</t>
  </si>
  <si>
    <t>أدخل بعض الخضروات المحلية الشائعة [لاستخدامها كأمثلة في مؤشر درجة استهلاك الغذاء].</t>
  </si>
  <si>
    <t>Input some common local vegetables [to be used as examples in the food consumption score indicator].</t>
  </si>
  <si>
    <t>باذنجان ، كوسة ، قرنبيط</t>
  </si>
  <si>
    <t>eggplants, zucchini, cauliflower</t>
  </si>
  <si>
    <t>local fruits</t>
  </si>
  <si>
    <t>أدخل بعض الفاكهة المحلية الشائعة [لاستخدامها كأمثلة في مؤشر درجة استهلاك الغذاء].</t>
  </si>
  <si>
    <t>Input some common local fruits [to be used as examples in the food consumption score indicator].</t>
  </si>
  <si>
    <t>التفاح والموز والبرتقال</t>
  </si>
  <si>
    <t>apples, bananas, oranges</t>
  </si>
  <si>
    <r>
      <t xml:space="preserve">FILL OUT FOR QUESTIONNAIRE DURATION ESTIMATION    </t>
    </r>
    <r>
      <rPr>
        <sz val="12"/>
        <color theme="0"/>
        <rFont val="Calibri"/>
        <family val="2"/>
        <scheme val="minor"/>
      </rPr>
      <t>.</t>
    </r>
  </si>
  <si>
    <t>Expected percentage of respondents cultivating crops</t>
  </si>
  <si>
    <t xml:space="preserve">إذا كان المسح تمثيليًا وليس له حصص نسبية ، فاكتب نسبة الأسر الريفية التي تزرع محاصيل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منتج محصول ، فسيكون 100 / 110 = 91٪ (الحد الأقصى الذي يجب أن تكتبه هو 100٪). </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</si>
  <si>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</si>
  <si>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Expected percentage of respondents raising livestock</t>
  </si>
  <si>
    <t xml:space="preserve">إذا كان المسح تمثيليًا وليس له حصص نسبية ، فاكتب نسبة الأسر الريفية التي تربي الماشية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مربي الماشية ، فسيكون 100 / 110 = 91٪ (الحد الأقصى الذي يجب أن تكتبه هو 100٪). </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</si>
  <si>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</si>
  <si>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Expected percentage of respondents involved in fishery</t>
  </si>
  <si>
    <t xml:space="preserve">إذا كان المسح تمثيليًا وليس له حصص نسبية ، فاكتب نسبة الأسر الريفية العاملة في مصايد الأسماك أو تربية الأحياء المائية على المستوى الوطني. وإلا إذا كنت تستخدم الحصص النسبية ، فاحسب نسبة الحصة إلى حجم العينة على المستوى الذي يتم فيه تنفيذ الحصة. (لذلك إذا لم تحدد حصة ، وكنت تتوقع أن يكون لديك نسبة تمثيلية من الصيادين ، فاكتب فقط النسبة المئوية للصيادين من السكان الذين تستهدفهم ، في المثال على اليمين ، 5٪). </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</si>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</sst>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52">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rgb="FFFF0000"/>
      <name val="Calibri"/>
      <family val="2"/>
      <scheme val="minor"/>
    </font>
    <font>
      <b/>
      <sz val="11"/>
      <color theme="1"/>
      <name val="Calibri"/>
      <family val="2"/>
      <scheme val="minor"/>
    </font>
    <font>
      <sz val="11"/>
      <color theme="1"/>
      <name val="Calibri"/>
      <family val="2"/>
      <scheme val="minor"/>
    </font>
    <font>
      <sz val="11"/>
      <name val="Calibri"/>
      <family val="2"/>
      <scheme val="minor"/>
    </font>
    <font>
      <sz val="11"/>
      <color theme="0" tint="-0.34998626667073579"/>
      <name val="Calibri"/>
      <family val="2"/>
      <scheme val="minor"/>
    </font>
    <font>
      <sz val="11"/>
      <color rgb="FF000000"/>
      <name val="Calibri"/>
      <family val="2"/>
      <scheme val="minor"/>
    </font>
    <font>
      <sz val="11"/>
      <color rgb="FF7030A0"/>
      <name val="Calibri"/>
      <family val="2"/>
      <scheme val="minor"/>
    </font>
    <font>
      <sz val="11"/>
      <color rgb="FFA6A6A6"/>
      <name val="Calibri"/>
      <family val="2"/>
      <scheme val="minor"/>
    </font>
    <font>
      <sz val="10"/>
      <color rgb="FF000000"/>
      <name val="Arial"/>
      <family val="2"/>
    </font>
    <font>
      <sz val="11"/>
      <color rgb="FF0070C0"/>
      <name val="Calibri"/>
      <family val="2"/>
      <scheme val="minor"/>
    </font>
    <font>
      <sz val="11"/>
      <color rgb="FF000000"/>
      <name val="Calibri"/>
      <family val="2"/>
    </font>
    <font>
      <sz val="11"/>
      <name val="Calibri"/>
      <family val="2"/>
    </font>
    <font>
      <b/>
      <sz val="11"/>
      <color rgb="FF000000"/>
      <name val="Calibri"/>
      <family val="2"/>
    </font>
    <font>
      <b/>
      <sz val="12"/>
      <color theme="0"/>
      <name val="Calibri"/>
      <family val="2"/>
      <scheme val="minor"/>
    </font>
    <font>
      <b/>
      <sz val="12"/>
      <name val="Calibri"/>
      <family val="2"/>
      <scheme val="minor"/>
    </font>
    <font>
      <b/>
      <sz val="11"/>
      <name val="Calibri"/>
      <family val="2"/>
      <scheme val="minor"/>
    </font>
    <font>
      <b/>
      <sz val="11"/>
      <color theme="0" tint="-0.34998626667073579"/>
      <name val="Calibri"/>
      <family val="2"/>
      <scheme val="minor"/>
    </font>
    <font>
      <i/>
      <sz val="11"/>
      <color rgb="FF000000"/>
      <name val="Calibri"/>
      <family val="2"/>
    </font>
    <font>
      <i/>
      <sz val="11"/>
      <name val="Calibri"/>
      <family val="2"/>
    </font>
    <font>
      <b/>
      <sz val="11"/>
      <name val="Calibri"/>
      <family val="2"/>
    </font>
    <font>
      <b/>
      <sz val="11"/>
      <color rgb="FF7030A0"/>
      <name val="Calibri"/>
      <family val="2"/>
      <scheme val="minor"/>
    </font>
    <font>
      <u/>
      <sz val="11"/>
      <color theme="1"/>
      <name val="Calibri"/>
      <family val="2"/>
      <scheme val="minor"/>
    </font>
    <font>
      <u/>
      <sz val="11"/>
      <name val="Calibri"/>
      <family val="2"/>
      <scheme val="minor"/>
    </font>
    <font>
      <sz val="11"/>
      <color rgb="FF00B050"/>
      <name val="Calibri"/>
      <family val="2"/>
      <scheme val="minor"/>
    </font>
    <font>
      <b/>
      <sz val="12"/>
      <color theme="1"/>
      <name val="Calibri"/>
      <family val="2"/>
      <scheme val="minor"/>
    </font>
    <font>
      <i/>
      <sz val="12"/>
      <color theme="1"/>
      <name val="Calibri"/>
      <family val="2"/>
      <scheme val="minor"/>
    </font>
    <font>
      <i/>
      <sz val="12"/>
      <color theme="0"/>
      <name val="Calibri"/>
      <family val="2"/>
      <scheme val="minor"/>
    </font>
    <font>
      <sz val="12"/>
      <color theme="0"/>
      <name val="Calibri"/>
      <family val="2"/>
      <scheme val="minor"/>
    </font>
    <font>
      <sz val="12"/>
      <color rgb="FF000000"/>
      <name val="Calibri"/>
      <family val="2"/>
      <scheme val="minor"/>
    </font>
    <font>
      <i/>
      <sz val="10.5"/>
      <name val="Calibri"/>
      <family val="2"/>
    </font>
    <font>
      <sz val="11"/>
      <color theme="6" tint="-0.499984740745262"/>
      <name val="Calibri"/>
      <family val="2"/>
      <scheme val="minor"/>
    </font>
    <font>
      <b/>
      <sz val="11"/>
      <color theme="6" tint="-0.499984740745262"/>
      <name val="Calibri"/>
      <family val="2"/>
      <scheme val="minor"/>
    </font>
    <font>
      <b/>
      <sz val="11"/>
      <color rgb="FF7030A0"/>
      <name val="Calibri (Body)"/>
    </font>
    <font>
      <sz val="11"/>
      <name val="Calibri (Body)"/>
    </font>
    <font>
      <sz val="8"/>
      <name val="Calibri"/>
      <family val="2"/>
      <scheme val="minor"/>
    </font>
    <font>
      <sz val="11"/>
      <color theme="0" tint="-0.34998626667073579"/>
      <name val="Calibri (Body)"/>
    </font>
    <font>
      <b/>
      <sz val="11"/>
      <color rgb="FFC00000"/>
      <name val="Calibri (Body)"/>
    </font>
    <font>
      <i/>
      <sz val="11"/>
      <color theme="0" tint="-0.34998626667073579"/>
      <name val="Calibri"/>
      <family val="2"/>
    </font>
    <font>
      <i/>
      <sz val="11"/>
      <color theme="0" tint="-0.34998626667073579"/>
      <name val="Calibri (Body)"/>
    </font>
    <font>
      <b/>
      <sz val="11"/>
      <color rgb="FFC00000"/>
      <name val="Calibri"/>
      <family val="2"/>
      <scheme val="minor"/>
    </font>
    <font>
      <b/>
      <sz val="11"/>
      <color rgb="FF7030A0"/>
      <name val="Calibri"/>
      <family val="2"/>
    </font>
    <font>
      <b/>
      <sz val="11"/>
      <color rgb="FF000000"/>
      <name val="Calibri"/>
      <family val="2"/>
      <scheme val="minor"/>
    </font>
    <font>
      <sz val="11"/>
      <color theme="1"/>
      <name val="Calibri"/>
      <family val="2"/>
    </font>
  </fonts>
  <fills count="8">
    <fill>
      <patternFill patternType="none"/>
    </fill>
    <fill>
      <patternFill patternType="gray125"/>
    </fill>
    <fill>
      <patternFill patternType="solid">
        <fgColor theme="5" tint="0.79998168889431442"/>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s>
  <borders count="61">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thin">
        <color indexed="64"/>
      </left>
      <right/>
      <top style="medium">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style="thin">
        <color theme="1"/>
      </left>
      <right style="thin">
        <color indexed="64"/>
      </right>
      <top style="medium">
        <color indexed="64"/>
      </top>
      <bottom style="thin">
        <color indexed="64"/>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medium">
        <color indexed="64"/>
      </top>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theme="1"/>
      </left>
      <right style="thin">
        <color indexed="64"/>
      </right>
      <top/>
      <bottom style="medium">
        <color indexed="64"/>
      </bottom>
      <diagonal/>
    </border>
    <border>
      <left style="thin">
        <color theme="1"/>
      </left>
      <right style="thin">
        <color theme="1"/>
      </right>
      <top style="thin">
        <color auto="1"/>
      </top>
      <bottom style="thin">
        <color auto="1"/>
      </bottom>
      <diagonal/>
    </border>
    <border>
      <left style="thin">
        <color theme="1"/>
      </left>
      <right style="thin">
        <color indexed="64"/>
      </right>
      <top style="thin">
        <color auto="1"/>
      </top>
      <bottom style="medium">
        <color indexed="64"/>
      </bottom>
      <diagonal/>
    </border>
    <border>
      <left style="thin">
        <color theme="1"/>
      </left>
      <right style="thin">
        <color indexed="64"/>
      </right>
      <top style="thin">
        <color auto="1"/>
      </top>
      <bottom style="thin">
        <color auto="1"/>
      </bottom>
      <diagonal/>
    </border>
    <border>
      <left style="medium">
        <color indexed="64"/>
      </left>
      <right style="thin">
        <color auto="1"/>
      </right>
      <top style="thin">
        <color auto="1"/>
      </top>
      <bottom style="thin">
        <color rgb="FF000000"/>
      </bottom>
      <diagonal/>
    </border>
    <border>
      <left style="medium">
        <color indexed="64"/>
      </left>
      <right style="thin">
        <color rgb="FF000000"/>
      </right>
      <top/>
      <bottom style="medium">
        <color indexed="64"/>
      </bottom>
      <diagonal/>
    </border>
  </borders>
  <cellStyleXfs count="18">
    <xf numFmtId="0" fontId="0" fillId="0" borderId="0"/>
    <xf numFmtId="0" fontId="8" fillId="0" borderId="0"/>
    <xf numFmtId="0" fontId="11" fillId="0" borderId="0"/>
    <xf numFmtId="0" fontId="17" fillId="0" borderId="0"/>
    <xf numFmtId="0" fontId="7" fillId="0" borderId="0"/>
    <xf numFmtId="0" fontId="6" fillId="0" borderId="0"/>
    <xf numFmtId="0" fontId="22" fillId="4" borderId="14" applyNumberFormat="0" applyAlignment="0" applyProtection="0"/>
    <xf numFmtId="9" fontId="11" fillId="0" borderId="0" applyFont="0" applyFill="0" applyBorder="0" applyAlignment="0" applyProtection="0"/>
    <xf numFmtId="0" fontId="5" fillId="0" borderId="0"/>
    <xf numFmtId="0" fontId="5" fillId="0" borderId="0"/>
    <xf numFmtId="0" fontId="5" fillId="0" borderId="0"/>
    <xf numFmtId="0" fontId="4" fillId="0" borderId="0"/>
    <xf numFmtId="0" fontId="11" fillId="0" borderId="0"/>
    <xf numFmtId="0" fontId="4" fillId="0" borderId="0"/>
    <xf numFmtId="0" fontId="11" fillId="0" borderId="0"/>
    <xf numFmtId="0" fontId="3" fillId="0" borderId="0"/>
    <xf numFmtId="0" fontId="11" fillId="0" borderId="0"/>
    <xf numFmtId="0" fontId="2" fillId="0" borderId="0"/>
  </cellStyleXfs>
  <cellXfs count="338">
    <xf numFmtId="0" fontId="0" fillId="0" borderId="0" xfId="0"/>
    <xf numFmtId="0" fontId="10" fillId="2" borderId="0" xfId="0" applyFont="1" applyFill="1" applyProtection="1">
      <protection locked="0"/>
    </xf>
    <xf numFmtId="0" fontId="10" fillId="0" borderId="0" xfId="0" applyFont="1" applyProtection="1">
      <protection locked="0"/>
    </xf>
    <xf numFmtId="0" fontId="0" fillId="0" borderId="0" xfId="0" applyProtection="1">
      <protection locked="0"/>
    </xf>
    <xf numFmtId="0" fontId="0" fillId="2" borderId="0" xfId="0" applyFill="1" applyProtection="1">
      <protection locked="0"/>
    </xf>
    <xf numFmtId="0" fontId="12" fillId="2" borderId="0" xfId="0" applyFont="1" applyFill="1" applyProtection="1">
      <protection locked="0"/>
    </xf>
    <xf numFmtId="0" fontId="10" fillId="0" borderId="0" xfId="0" applyFont="1"/>
    <xf numFmtId="0" fontId="15" fillId="2" borderId="0" xfId="0" applyFont="1" applyFill="1" applyProtection="1">
      <protection locked="0"/>
    </xf>
    <xf numFmtId="0" fontId="9" fillId="2" borderId="0" xfId="0" applyFont="1" applyFill="1" applyProtection="1">
      <protection locked="0"/>
    </xf>
    <xf numFmtId="0" fontId="23" fillId="2" borderId="7" xfId="6" applyFont="1" applyFill="1" applyBorder="1" applyAlignment="1" applyProtection="1">
      <alignment horizontal="center" vertical="center"/>
      <protection locked="0"/>
    </xf>
    <xf numFmtId="0" fontId="14" fillId="0" borderId="0" xfId="0" applyFont="1" applyProtection="1">
      <protection locked="0"/>
    </xf>
    <xf numFmtId="0" fontId="15" fillId="0" borderId="0" xfId="0" applyFont="1" applyProtection="1">
      <protection locked="0"/>
    </xf>
    <xf numFmtId="0" fontId="9" fillId="0" borderId="0" xfId="0" applyFont="1" applyProtection="1">
      <protection locked="0"/>
    </xf>
    <xf numFmtId="0" fontId="13" fillId="0" borderId="0" xfId="0" applyFont="1" applyProtection="1">
      <protection locked="0"/>
    </xf>
    <xf numFmtId="0" fontId="12" fillId="0" borderId="0" xfId="0" applyFont="1" applyProtection="1">
      <protection locked="0"/>
    </xf>
    <xf numFmtId="0" fontId="13" fillId="2" borderId="0" xfId="0" applyFont="1" applyFill="1" applyProtection="1">
      <protection locked="0"/>
    </xf>
    <xf numFmtId="0" fontId="5" fillId="0" borderId="2" xfId="10" applyBorder="1"/>
    <xf numFmtId="0" fontId="5" fillId="0" borderId="13" xfId="10" applyBorder="1"/>
    <xf numFmtId="0" fontId="5" fillId="0" borderId="6" xfId="10" applyBorder="1"/>
    <xf numFmtId="0" fontId="5" fillId="0" borderId="23" xfId="10" applyBorder="1"/>
    <xf numFmtId="0" fontId="20" fillId="0" borderId="29" xfId="10" applyFont="1" applyBorder="1" applyAlignment="1">
      <alignment horizontal="center" vertical="center" wrapText="1"/>
    </xf>
    <xf numFmtId="0" fontId="20" fillId="0" borderId="36" xfId="10" applyFont="1" applyBorder="1" applyAlignment="1">
      <alignment vertical="center" wrapText="1"/>
    </xf>
    <xf numFmtId="0" fontId="20" fillId="0" borderId="19" xfId="10" applyFont="1" applyBorder="1" applyAlignment="1">
      <alignment vertical="center" wrapText="1"/>
    </xf>
    <xf numFmtId="0" fontId="5" fillId="0" borderId="3" xfId="10" applyBorder="1"/>
    <xf numFmtId="0" fontId="5" fillId="3" borderId="9" xfId="10" applyFill="1" applyBorder="1" applyAlignment="1" applyProtection="1">
      <alignment horizontal="center" vertical="center"/>
      <protection locked="0"/>
    </xf>
    <xf numFmtId="0" fontId="5" fillId="3" borderId="7" xfId="10" applyFill="1" applyBorder="1" applyAlignment="1" applyProtection="1">
      <alignment horizontal="center" vertical="center"/>
      <protection locked="0"/>
    </xf>
    <xf numFmtId="0" fontId="5" fillId="3" borderId="4" xfId="10" applyFill="1" applyBorder="1" applyAlignment="1" applyProtection="1">
      <alignment horizontal="center" vertical="center"/>
      <protection locked="0"/>
    </xf>
    <xf numFmtId="0" fontId="19" fillId="0" borderId="10" xfId="5" applyFont="1" applyBorder="1" applyAlignment="1">
      <alignment horizontal="left" vertical="center"/>
    </xf>
    <xf numFmtId="0" fontId="19" fillId="0" borderId="39" xfId="10" applyFont="1" applyBorder="1" applyAlignment="1">
      <alignment horizontal="left" vertical="center"/>
    </xf>
    <xf numFmtId="0" fontId="19" fillId="0" borderId="38" xfId="10" applyFont="1" applyBorder="1" applyAlignment="1">
      <alignment horizontal="left" vertical="center"/>
    </xf>
    <xf numFmtId="0" fontId="19" fillId="0" borderId="10" xfId="10" applyFont="1" applyBorder="1" applyAlignment="1">
      <alignment horizontal="left" vertical="center"/>
    </xf>
    <xf numFmtId="0" fontId="26" fillId="0" borderId="8" xfId="10" applyFont="1" applyBorder="1" applyAlignment="1">
      <alignment horizontal="center" vertical="center" wrapText="1"/>
    </xf>
    <xf numFmtId="0" fontId="26" fillId="0" borderId="5" xfId="10" applyFont="1" applyBorder="1" applyAlignment="1">
      <alignment horizontal="center" vertical="center" wrapText="1"/>
    </xf>
    <xf numFmtId="0" fontId="24" fillId="0" borderId="40" xfId="0" applyFont="1" applyBorder="1" applyAlignment="1" applyProtection="1">
      <alignment horizontal="center" vertical="center" wrapText="1"/>
      <protection locked="0"/>
    </xf>
    <xf numFmtId="0" fontId="5" fillId="0" borderId="41" xfId="10" applyBorder="1"/>
    <xf numFmtId="0" fontId="5" fillId="0" borderId="13" xfId="10" applyBorder="1" applyAlignment="1">
      <alignment vertical="center"/>
    </xf>
    <xf numFmtId="0" fontId="21" fillId="0" borderId="26" xfId="10" applyFont="1" applyBorder="1" applyAlignment="1">
      <alignment horizontal="center" vertical="center"/>
    </xf>
    <xf numFmtId="0" fontId="5" fillId="0" borderId="3" xfId="10" applyBorder="1" applyAlignment="1">
      <alignment vertical="center"/>
    </xf>
    <xf numFmtId="0" fontId="5" fillId="0" borderId="2" xfId="10" applyBorder="1" applyAlignment="1">
      <alignment vertical="center"/>
    </xf>
    <xf numFmtId="0" fontId="0" fillId="0" borderId="0" xfId="0" applyAlignment="1">
      <alignment vertical="center" wrapText="1"/>
    </xf>
    <xf numFmtId="0" fontId="0" fillId="0" borderId="0" xfId="0" applyAlignment="1">
      <alignment vertical="top" wrapText="1"/>
    </xf>
    <xf numFmtId="0" fontId="0" fillId="0" borderId="0" xfId="0" applyAlignment="1" applyProtection="1">
      <alignment vertical="top"/>
      <protection locked="0"/>
    </xf>
    <xf numFmtId="0" fontId="0" fillId="0" borderId="0" xfId="0" applyAlignment="1" applyProtection="1">
      <alignment vertical="top" wrapText="1"/>
      <protection locked="0"/>
    </xf>
    <xf numFmtId="0" fontId="12" fillId="0" borderId="0" xfId="0" applyFont="1" applyAlignment="1" applyProtection="1">
      <alignment vertical="top" wrapText="1"/>
      <protection locked="0"/>
    </xf>
    <xf numFmtId="0" fontId="19" fillId="0" borderId="15" xfId="5" applyFont="1" applyBorder="1" applyAlignment="1">
      <alignment horizontal="left" vertical="center" wrapText="1"/>
    </xf>
    <xf numFmtId="0" fontId="26" fillId="0" borderId="15" xfId="10" applyFont="1" applyBorder="1" applyAlignment="1">
      <alignment horizontal="center" vertical="center" wrapText="1"/>
    </xf>
    <xf numFmtId="0" fontId="38" fillId="0" borderId="16" xfId="10" applyFont="1" applyBorder="1" applyAlignment="1">
      <alignment vertical="center" wrapText="1"/>
    </xf>
    <xf numFmtId="0" fontId="38" fillId="0" borderId="7" xfId="10" applyFont="1" applyBorder="1" applyAlignment="1">
      <alignment vertical="center" wrapText="1"/>
    </xf>
    <xf numFmtId="0" fontId="38" fillId="0" borderId="4" xfId="10" applyFont="1" applyBorder="1" applyAlignment="1">
      <alignment vertical="center" wrapText="1"/>
    </xf>
    <xf numFmtId="0" fontId="5" fillId="5" borderId="6" xfId="10" applyFill="1" applyBorder="1"/>
    <xf numFmtId="0" fontId="5" fillId="5" borderId="34" xfId="10" applyFill="1" applyBorder="1" applyAlignment="1">
      <alignment wrapText="1"/>
    </xf>
    <xf numFmtId="0" fontId="19" fillId="5" borderId="35" xfId="10" applyFont="1" applyFill="1" applyBorder="1" applyAlignment="1">
      <alignment vertical="center"/>
    </xf>
    <xf numFmtId="0" fontId="20" fillId="5" borderId="36" xfId="10" applyFont="1" applyFill="1" applyBorder="1" applyAlignment="1">
      <alignment vertical="center" wrapText="1"/>
    </xf>
    <xf numFmtId="0" fontId="20" fillId="5" borderId="37" xfId="10" applyFont="1" applyFill="1" applyBorder="1" applyAlignment="1">
      <alignment horizontal="center" vertical="center" wrapText="1"/>
    </xf>
    <xf numFmtId="0" fontId="5" fillId="5" borderId="23" xfId="10" applyFill="1" applyBorder="1"/>
    <xf numFmtId="0" fontId="5" fillId="5" borderId="2" xfId="10" applyFill="1" applyBorder="1"/>
    <xf numFmtId="0" fontId="19" fillId="0" borderId="8" xfId="10" applyFont="1" applyBorder="1" applyAlignment="1">
      <alignment horizontal="left" vertical="center" wrapText="1"/>
    </xf>
    <xf numFmtId="0" fontId="5" fillId="0" borderId="6" xfId="10" applyBorder="1" applyAlignment="1">
      <alignment vertical="center"/>
    </xf>
    <xf numFmtId="0" fontId="5" fillId="0" borderId="25" xfId="10" applyBorder="1" applyAlignment="1">
      <alignment vertical="center"/>
    </xf>
    <xf numFmtId="0" fontId="21" fillId="0" borderId="12" xfId="10" applyFont="1" applyBorder="1" applyAlignment="1">
      <alignment horizontal="center" vertical="center" wrapText="1"/>
    </xf>
    <xf numFmtId="0" fontId="21" fillId="0" borderId="11" xfId="10" applyFont="1" applyBorder="1" applyAlignment="1">
      <alignment horizontal="center" vertical="center"/>
    </xf>
    <xf numFmtId="0" fontId="21" fillId="0" borderId="18" xfId="10" applyFont="1" applyBorder="1" applyAlignment="1">
      <alignment horizontal="center" vertical="center"/>
    </xf>
    <xf numFmtId="0" fontId="5" fillId="0" borderId="23" xfId="10" applyBorder="1" applyAlignment="1">
      <alignment vertical="center"/>
    </xf>
    <xf numFmtId="0" fontId="10" fillId="0" borderId="0" xfId="0" applyFont="1" applyAlignment="1">
      <alignment vertical="top"/>
    </xf>
    <xf numFmtId="0" fontId="10" fillId="2" borderId="0" xfId="0" applyFont="1" applyFill="1" applyAlignment="1" applyProtection="1">
      <alignment vertical="top" wrapText="1"/>
      <protection locked="0"/>
    </xf>
    <xf numFmtId="0" fontId="10" fillId="2" borderId="0" xfId="0" applyFont="1" applyFill="1" applyAlignment="1" applyProtection="1">
      <alignment vertical="top"/>
      <protection locked="0"/>
    </xf>
    <xf numFmtId="0" fontId="10" fillId="0" borderId="0" xfId="0" applyFont="1" applyAlignment="1" applyProtection="1">
      <alignment vertical="top"/>
      <protection locked="0"/>
    </xf>
    <xf numFmtId="0" fontId="24" fillId="0" borderId="0" xfId="0" applyFont="1" applyAlignment="1" applyProtection="1">
      <alignment vertical="top"/>
      <protection locked="0"/>
    </xf>
    <xf numFmtId="0" fontId="0" fillId="0" borderId="0" xfId="0" applyAlignment="1">
      <alignment vertical="top"/>
    </xf>
    <xf numFmtId="0" fontId="12" fillId="0" borderId="0" xfId="0" applyFont="1" applyAlignment="1" applyProtection="1">
      <alignment vertical="top"/>
      <protection locked="0"/>
    </xf>
    <xf numFmtId="0" fontId="13" fillId="0" borderId="0" xfId="0" applyFont="1" applyAlignment="1" applyProtection="1">
      <alignment vertical="top"/>
      <protection locked="0"/>
    </xf>
    <xf numFmtId="0" fontId="13" fillId="0" borderId="0" xfId="0" applyFont="1" applyAlignment="1" applyProtection="1">
      <alignment vertical="top" wrapText="1"/>
      <protection locked="0"/>
    </xf>
    <xf numFmtId="0" fontId="13" fillId="2" borderId="0" xfId="0" applyFont="1" applyFill="1" applyAlignment="1" applyProtection="1">
      <alignment vertical="top" wrapText="1"/>
      <protection locked="0"/>
    </xf>
    <xf numFmtId="0" fontId="12" fillId="0" borderId="0" xfId="0" applyFont="1" applyAlignment="1">
      <alignment vertical="top"/>
    </xf>
    <xf numFmtId="0" fontId="12" fillId="0" borderId="0" xfId="0" applyFont="1" applyAlignment="1">
      <alignment vertical="top" wrapText="1"/>
    </xf>
    <xf numFmtId="0" fontId="24" fillId="0" borderId="0" xfId="0" applyFont="1" applyAlignment="1">
      <alignment vertical="top"/>
    </xf>
    <xf numFmtId="0" fontId="13" fillId="2" borderId="0" xfId="0" applyFont="1" applyFill="1" applyAlignment="1" applyProtection="1">
      <alignment vertical="top"/>
      <protection locked="0"/>
    </xf>
    <xf numFmtId="0" fontId="13" fillId="0" borderId="1" xfId="0" applyFont="1" applyBorder="1" applyAlignment="1" applyProtection="1">
      <alignment vertical="top"/>
      <protection locked="0"/>
    </xf>
    <xf numFmtId="0" fontId="13" fillId="0" borderId="1" xfId="0" applyFont="1" applyBorder="1" applyAlignment="1" applyProtection="1">
      <alignment vertical="top" wrapText="1"/>
      <protection locked="0"/>
    </xf>
    <xf numFmtId="0" fontId="13" fillId="2" borderId="1" xfId="0" applyFont="1" applyFill="1" applyBorder="1" applyAlignment="1" applyProtection="1">
      <alignment vertical="top" wrapText="1"/>
      <protection locked="0"/>
    </xf>
    <xf numFmtId="0" fontId="13" fillId="2" borderId="1" xfId="0" applyFont="1" applyFill="1" applyBorder="1" applyAlignment="1" applyProtection="1">
      <alignment vertical="top"/>
      <protection locked="0"/>
    </xf>
    <xf numFmtId="0" fontId="0" fillId="2" borderId="0" xfId="0" applyFill="1" applyAlignment="1" applyProtection="1">
      <alignment vertical="top" wrapText="1"/>
      <protection locked="0"/>
    </xf>
    <xf numFmtId="0" fontId="0" fillId="2" borderId="0" xfId="0" applyFill="1" applyAlignment="1" applyProtection="1">
      <alignment vertical="top"/>
      <protection locked="0"/>
    </xf>
    <xf numFmtId="0" fontId="12" fillId="0" borderId="1" xfId="0" applyFont="1" applyBorder="1" applyAlignment="1" applyProtection="1">
      <alignment vertical="top"/>
      <protection locked="0"/>
    </xf>
    <xf numFmtId="0" fontId="12" fillId="0" borderId="1" xfId="0" applyFont="1" applyBorder="1" applyAlignment="1" applyProtection="1">
      <alignment vertical="top" wrapText="1"/>
      <protection locked="0"/>
    </xf>
    <xf numFmtId="0" fontId="12" fillId="2" borderId="1" xfId="0" applyFont="1" applyFill="1" applyBorder="1" applyAlignment="1" applyProtection="1">
      <alignment vertical="top" wrapText="1"/>
      <protection locked="0"/>
    </xf>
    <xf numFmtId="0" fontId="12" fillId="2" borderId="1" xfId="0" applyFont="1" applyFill="1" applyBorder="1" applyAlignment="1" applyProtection="1">
      <alignment vertical="top"/>
      <protection locked="0"/>
    </xf>
    <xf numFmtId="0" fontId="10" fillId="0" borderId="0" xfId="0" applyFont="1" applyAlignment="1">
      <alignment vertical="top" wrapText="1"/>
    </xf>
    <xf numFmtId="0" fontId="10" fillId="0" borderId="0" xfId="0" applyFont="1" applyAlignment="1" applyProtection="1">
      <alignment vertical="top" wrapText="1"/>
      <protection locked="0"/>
    </xf>
    <xf numFmtId="0" fontId="32" fillId="0" borderId="0" xfId="0" applyFont="1" applyAlignment="1" applyProtection="1">
      <alignment vertical="top"/>
      <protection locked="0"/>
    </xf>
    <xf numFmtId="0" fontId="12" fillId="0" borderId="1" xfId="0" applyFont="1" applyBorder="1" applyAlignment="1">
      <alignment vertical="top"/>
    </xf>
    <xf numFmtId="0" fontId="12" fillId="0" borderId="1" xfId="0" applyFont="1" applyBorder="1" applyAlignment="1">
      <alignment vertical="top" wrapText="1"/>
    </xf>
    <xf numFmtId="0" fontId="12" fillId="2" borderId="0" xfId="0" applyFont="1" applyFill="1" applyAlignment="1" applyProtection="1">
      <alignment vertical="top" wrapText="1"/>
      <protection locked="0"/>
    </xf>
    <xf numFmtId="0" fontId="14" fillId="0" borderId="0" xfId="0" applyFont="1" applyAlignment="1" applyProtection="1">
      <alignment vertical="top"/>
      <protection locked="0"/>
    </xf>
    <xf numFmtId="0" fontId="12" fillId="2" borderId="0" xfId="0" applyFont="1" applyFill="1" applyAlignment="1" applyProtection="1">
      <alignment vertical="top"/>
      <protection locked="0"/>
    </xf>
    <xf numFmtId="0" fontId="0" fillId="0" borderId="1" xfId="0" applyBorder="1" applyAlignment="1">
      <alignment vertical="top"/>
    </xf>
    <xf numFmtId="0" fontId="0" fillId="0" borderId="1" xfId="0" applyBorder="1" applyAlignment="1">
      <alignment vertical="top" wrapText="1"/>
    </xf>
    <xf numFmtId="0" fontId="24" fillId="0" borderId="0" xfId="0" applyFont="1" applyAlignment="1">
      <alignment vertical="top" wrapText="1"/>
    </xf>
    <xf numFmtId="0" fontId="16" fillId="2" borderId="0" xfId="0" applyFont="1" applyFill="1" applyAlignment="1" applyProtection="1">
      <alignment vertical="top"/>
      <protection locked="0"/>
    </xf>
    <xf numFmtId="0" fontId="14" fillId="2" borderId="0" xfId="0" applyFont="1" applyFill="1" applyAlignment="1" applyProtection="1">
      <alignment vertical="top"/>
      <protection locked="0"/>
    </xf>
    <xf numFmtId="0" fontId="14" fillId="0" borderId="0" xfId="0" applyFont="1" applyAlignment="1">
      <alignment vertical="top"/>
    </xf>
    <xf numFmtId="165" fontId="12" fillId="0" borderId="0" xfId="0" applyNumberFormat="1" applyFont="1" applyAlignment="1" applyProtection="1">
      <alignment vertical="top"/>
      <protection locked="0"/>
    </xf>
    <xf numFmtId="9" fontId="12" fillId="0" borderId="0" xfId="0" applyNumberFormat="1" applyFont="1" applyAlignment="1" applyProtection="1">
      <alignment vertical="top"/>
      <protection locked="0"/>
    </xf>
    <xf numFmtId="0" fontId="18" fillId="2" borderId="0" xfId="0" applyFont="1" applyFill="1" applyAlignment="1" applyProtection="1">
      <alignment vertical="top" wrapText="1"/>
      <protection locked="0"/>
    </xf>
    <xf numFmtId="0" fontId="18" fillId="2" borderId="0" xfId="0" applyFont="1" applyFill="1" applyAlignment="1" applyProtection="1">
      <alignment vertical="top"/>
      <protection locked="0"/>
    </xf>
    <xf numFmtId="0" fontId="0" fillId="2" borderId="1" xfId="0" applyFill="1" applyBorder="1" applyAlignment="1" applyProtection="1">
      <alignment vertical="top" wrapText="1"/>
      <protection locked="0"/>
    </xf>
    <xf numFmtId="0" fontId="0" fillId="2" borderId="1" xfId="0" applyFill="1" applyBorder="1" applyAlignment="1" applyProtection="1">
      <alignment vertical="top"/>
      <protection locked="0"/>
    </xf>
    <xf numFmtId="0" fontId="10" fillId="0" borderId="0" xfId="0" applyFont="1" applyAlignment="1">
      <alignment horizontal="center" vertical="center"/>
    </xf>
    <xf numFmtId="0" fontId="10" fillId="0" borderId="0" xfId="0" applyFont="1" applyAlignment="1">
      <alignment horizontal="center" vertical="center" wrapText="1"/>
    </xf>
    <xf numFmtId="0" fontId="10" fillId="2" borderId="0" xfId="0" applyFont="1" applyFill="1" applyAlignment="1" applyProtection="1">
      <alignment horizontal="center" vertical="center" wrapText="1"/>
      <protection locked="0"/>
    </xf>
    <xf numFmtId="0" fontId="10" fillId="2" borderId="0" xfId="0" applyFont="1" applyFill="1" applyAlignment="1" applyProtection="1">
      <alignment horizontal="center" vertical="center"/>
      <protection locked="0"/>
    </xf>
    <xf numFmtId="0" fontId="10" fillId="0" borderId="0" xfId="0" applyFont="1" applyAlignment="1" applyProtection="1">
      <alignment horizontal="center" vertical="center"/>
      <protection locked="0"/>
    </xf>
    <xf numFmtId="0" fontId="24" fillId="0" borderId="0" xfId="0" applyFont="1" applyAlignment="1" applyProtection="1">
      <alignment horizontal="center" vertical="center"/>
      <protection locked="0"/>
    </xf>
    <xf numFmtId="0" fontId="0" fillId="0" borderId="0" xfId="0" applyAlignment="1">
      <alignment vertical="center"/>
    </xf>
    <xf numFmtId="0" fontId="13" fillId="0" borderId="0" xfId="0" applyFont="1" applyAlignment="1" applyProtection="1">
      <alignment vertical="center"/>
      <protection locked="0"/>
    </xf>
    <xf numFmtId="0" fontId="12" fillId="0" borderId="0" xfId="0" applyFont="1" applyAlignment="1">
      <alignment vertical="center"/>
    </xf>
    <xf numFmtId="0" fontId="13" fillId="0" borderId="1" xfId="0" applyFont="1" applyBorder="1" applyAlignment="1" applyProtection="1">
      <alignment vertical="center"/>
      <protection locked="0"/>
    </xf>
    <xf numFmtId="0" fontId="12" fillId="0" borderId="1" xfId="0" applyFont="1" applyBorder="1" applyAlignment="1" applyProtection="1">
      <alignment vertical="center"/>
      <protection locked="0"/>
    </xf>
    <xf numFmtId="0" fontId="10" fillId="0" borderId="0" xfId="0" applyFont="1" applyAlignment="1">
      <alignment vertical="center"/>
    </xf>
    <xf numFmtId="0" fontId="10" fillId="0" borderId="0" xfId="0" applyFont="1" applyAlignment="1" applyProtection="1">
      <alignment vertical="center"/>
      <protection locked="0"/>
    </xf>
    <xf numFmtId="0" fontId="0" fillId="0" borderId="0" xfId="0" applyAlignment="1" applyProtection="1">
      <alignment vertical="center"/>
      <protection locked="0"/>
    </xf>
    <xf numFmtId="0" fontId="32" fillId="0" borderId="0" xfId="0" applyFont="1" applyAlignment="1" applyProtection="1">
      <alignment vertical="center"/>
      <protection locked="0"/>
    </xf>
    <xf numFmtId="0" fontId="32" fillId="0" borderId="0" xfId="0" applyFont="1" applyAlignment="1">
      <alignment vertical="center"/>
    </xf>
    <xf numFmtId="0" fontId="13" fillId="0" borderId="0" xfId="0" applyFont="1" applyAlignment="1">
      <alignment vertical="center"/>
    </xf>
    <xf numFmtId="0" fontId="12" fillId="0" borderId="1" xfId="0" applyFont="1" applyBorder="1" applyAlignment="1">
      <alignment vertical="center"/>
    </xf>
    <xf numFmtId="0" fontId="12" fillId="0" borderId="0" xfId="0" applyFont="1" applyAlignment="1" applyProtection="1">
      <alignment vertical="center"/>
      <protection locked="0"/>
    </xf>
    <xf numFmtId="0" fontId="0" fillId="0" borderId="1" xfId="0" applyBorder="1" applyAlignment="1">
      <alignment vertical="center"/>
    </xf>
    <xf numFmtId="0" fontId="24" fillId="0" borderId="0" xfId="0" applyFont="1" applyAlignment="1">
      <alignment vertical="center"/>
    </xf>
    <xf numFmtId="0" fontId="16" fillId="0" borderId="0" xfId="0" applyFont="1" applyAlignment="1" applyProtection="1">
      <alignment vertical="center"/>
      <protection locked="0"/>
    </xf>
    <xf numFmtId="0" fontId="13" fillId="0" borderId="0" xfId="0" applyFont="1" applyAlignment="1" applyProtection="1">
      <alignment vertical="center" wrapText="1"/>
      <protection locked="0"/>
    </xf>
    <xf numFmtId="0" fontId="9" fillId="0" borderId="0" xfId="0" applyFont="1" applyAlignment="1">
      <alignment vertical="center"/>
    </xf>
    <xf numFmtId="0" fontId="19" fillId="0" borderId="5" xfId="10" applyFont="1" applyBorder="1" applyAlignment="1">
      <alignment horizontal="left" vertical="center" wrapText="1"/>
    </xf>
    <xf numFmtId="0" fontId="19" fillId="0" borderId="8" xfId="10" applyFont="1" applyBorder="1" applyAlignment="1">
      <alignment horizontal="left" vertical="center"/>
    </xf>
    <xf numFmtId="0" fontId="20" fillId="0" borderId="19" xfId="5" applyFont="1" applyBorder="1" applyAlignment="1">
      <alignment vertical="center" wrapText="1"/>
    </xf>
    <xf numFmtId="0" fontId="5" fillId="5" borderId="24" xfId="10" applyFill="1" applyBorder="1" applyAlignment="1">
      <alignment horizontal="center" vertical="center"/>
    </xf>
    <xf numFmtId="0" fontId="20" fillId="0" borderId="22" xfId="10" applyFont="1" applyBorder="1" applyAlignment="1">
      <alignment horizontal="center" vertical="center" wrapText="1"/>
    </xf>
    <xf numFmtId="0" fontId="0" fillId="0" borderId="2" xfId="0" applyBorder="1"/>
    <xf numFmtId="0" fontId="12" fillId="0" borderId="13" xfId="0" applyFont="1" applyBorder="1" applyAlignment="1">
      <alignment horizontal="center" vertical="center"/>
    </xf>
    <xf numFmtId="0" fontId="0" fillId="0" borderId="13" xfId="0" applyBorder="1" applyAlignment="1">
      <alignment vertical="center"/>
    </xf>
    <xf numFmtId="0" fontId="0" fillId="0" borderId="13" xfId="0" applyBorder="1" applyAlignment="1">
      <alignment wrapText="1"/>
    </xf>
    <xf numFmtId="0" fontId="0" fillId="0" borderId="6" xfId="0" applyBorder="1"/>
    <xf numFmtId="0" fontId="10" fillId="0" borderId="7" xfId="0" applyFont="1" applyBorder="1" applyAlignment="1">
      <alignment horizontal="center" vertical="center" wrapText="1"/>
    </xf>
    <xf numFmtId="0" fontId="24" fillId="0" borderId="7" xfId="0" applyFont="1" applyBorder="1" applyAlignment="1">
      <alignment horizontal="center" vertical="center"/>
    </xf>
    <xf numFmtId="0" fontId="24" fillId="0" borderId="7" xfId="0" applyFont="1" applyBorder="1" applyAlignment="1">
      <alignment horizontal="center" vertical="center" wrapText="1"/>
    </xf>
    <xf numFmtId="0" fontId="12" fillId="0" borderId="7" xfId="0" applyFont="1" applyBorder="1" applyAlignment="1">
      <alignment horizontal="center" vertical="center"/>
    </xf>
    <xf numFmtId="0" fontId="12" fillId="0" borderId="7" xfId="0" applyFont="1" applyBorder="1" applyAlignment="1">
      <alignment wrapText="1"/>
    </xf>
    <xf numFmtId="0" fontId="24" fillId="0" borderId="7" xfId="0" applyFont="1" applyBorder="1" applyAlignment="1">
      <alignment wrapText="1"/>
    </xf>
    <xf numFmtId="0" fontId="12" fillId="0" borderId="3" xfId="0" applyFont="1" applyBorder="1" applyAlignment="1">
      <alignment horizontal="center" vertical="center"/>
    </xf>
    <xf numFmtId="0" fontId="0" fillId="0" borderId="3" xfId="0" applyBorder="1" applyAlignment="1">
      <alignment vertical="center"/>
    </xf>
    <xf numFmtId="0" fontId="0" fillId="0" borderId="3" xfId="0" applyBorder="1" applyAlignment="1">
      <alignment wrapText="1"/>
    </xf>
    <xf numFmtId="0" fontId="12" fillId="0" borderId="2" xfId="0" applyFont="1" applyBorder="1" applyAlignment="1">
      <alignment horizontal="center" vertical="center"/>
    </xf>
    <xf numFmtId="0" fontId="0" fillId="0" borderId="2" xfId="0" applyBorder="1" applyAlignment="1">
      <alignment vertical="center"/>
    </xf>
    <xf numFmtId="0" fontId="0" fillId="0" borderId="2" xfId="0" applyBorder="1" applyAlignment="1">
      <alignment wrapText="1"/>
    </xf>
    <xf numFmtId="0" fontId="39" fillId="0" borderId="0" xfId="0" applyFont="1" applyAlignment="1">
      <alignment vertical="center"/>
    </xf>
    <xf numFmtId="0" fontId="39" fillId="0" borderId="0" xfId="0" applyFont="1" applyAlignment="1">
      <alignment vertical="top"/>
    </xf>
    <xf numFmtId="0" fontId="39" fillId="0" borderId="0" xfId="0" applyFont="1" applyAlignment="1">
      <alignment vertical="top" wrapText="1"/>
    </xf>
    <xf numFmtId="0" fontId="39" fillId="0" borderId="0" xfId="0" applyFont="1" applyAlignment="1" applyProtection="1">
      <alignment vertical="top"/>
      <protection locked="0"/>
    </xf>
    <xf numFmtId="0" fontId="39" fillId="2" borderId="0" xfId="0" applyFont="1" applyFill="1" applyAlignment="1" applyProtection="1">
      <alignment vertical="top" wrapText="1"/>
      <protection locked="0"/>
    </xf>
    <xf numFmtId="0" fontId="39" fillId="2" borderId="0" xfId="0" applyFont="1" applyFill="1" applyAlignment="1" applyProtection="1">
      <alignment vertical="top"/>
      <protection locked="0"/>
    </xf>
    <xf numFmtId="0" fontId="25" fillId="0" borderId="0" xfId="0" applyFont="1" applyAlignment="1" applyProtection="1">
      <alignment vertical="top" wrapText="1"/>
      <protection locked="0"/>
    </xf>
    <xf numFmtId="9" fontId="13" fillId="0" borderId="0" xfId="0" applyNumberFormat="1" applyFont="1" applyAlignment="1" applyProtection="1">
      <alignment vertical="top"/>
      <protection locked="0"/>
    </xf>
    <xf numFmtId="0" fontId="18" fillId="0" borderId="0" xfId="0" applyFont="1" applyAlignment="1" applyProtection="1">
      <alignment vertical="top"/>
      <protection locked="0"/>
    </xf>
    <xf numFmtId="0" fontId="18" fillId="0" borderId="0" xfId="0" applyFont="1" applyAlignment="1" applyProtection="1">
      <alignment vertical="center"/>
      <protection locked="0"/>
    </xf>
    <xf numFmtId="9" fontId="12" fillId="0" borderId="0" xfId="7" applyFont="1" applyFill="1" applyAlignment="1" applyProtection="1">
      <alignment vertical="top"/>
      <protection locked="0"/>
    </xf>
    <xf numFmtId="164" fontId="12" fillId="0" borderId="0" xfId="0" applyNumberFormat="1" applyFont="1" applyAlignment="1" applyProtection="1">
      <alignment vertical="top"/>
      <protection locked="0"/>
    </xf>
    <xf numFmtId="164" fontId="12" fillId="0" borderId="0" xfId="0" applyNumberFormat="1" applyFont="1" applyAlignment="1" applyProtection="1">
      <alignment vertical="top" wrapText="1"/>
      <protection locked="0"/>
    </xf>
    <xf numFmtId="9" fontId="12" fillId="0" borderId="0" xfId="7" applyFont="1" applyFill="1" applyAlignment="1" applyProtection="1">
      <alignment vertical="top" wrapText="1"/>
      <protection locked="0"/>
    </xf>
    <xf numFmtId="9" fontId="12" fillId="0" borderId="0" xfId="7" applyFont="1" applyFill="1" applyBorder="1" applyAlignment="1" applyProtection="1">
      <alignment vertical="top"/>
      <protection locked="0"/>
    </xf>
    <xf numFmtId="164" fontId="13" fillId="0" borderId="0" xfId="0" applyNumberFormat="1" applyFont="1" applyAlignment="1" applyProtection="1">
      <alignment vertical="top"/>
      <protection locked="0"/>
    </xf>
    <xf numFmtId="9" fontId="13" fillId="0" borderId="0" xfId="7" applyFont="1" applyFill="1" applyBorder="1" applyAlignment="1" applyProtection="1">
      <alignment vertical="top"/>
      <protection locked="0"/>
    </xf>
    <xf numFmtId="9" fontId="24" fillId="0" borderId="17" xfId="7" applyFont="1" applyFill="1" applyBorder="1" applyAlignment="1" applyProtection="1">
      <alignment vertical="top"/>
      <protection locked="0"/>
    </xf>
    <xf numFmtId="0" fontId="24" fillId="0" borderId="18" xfId="0" applyFont="1" applyBorder="1" applyAlignment="1" applyProtection="1">
      <alignment vertical="top"/>
      <protection locked="0"/>
    </xf>
    <xf numFmtId="0" fontId="24" fillId="2" borderId="0" xfId="0" applyFont="1" applyFill="1" applyAlignment="1" applyProtection="1">
      <alignment vertical="top" wrapText="1"/>
      <protection locked="0"/>
    </xf>
    <xf numFmtId="0" fontId="24" fillId="2" borderId="0" xfId="0" applyFont="1" applyFill="1" applyAlignment="1" applyProtection="1">
      <alignment vertical="top"/>
      <protection locked="0"/>
    </xf>
    <xf numFmtId="49" fontId="39" fillId="0" borderId="0" xfId="0" applyNumberFormat="1" applyFont="1" applyAlignment="1">
      <alignment horizontal="left" vertical="top" wrapText="1"/>
    </xf>
    <xf numFmtId="165" fontId="5" fillId="2" borderId="16" xfId="10" applyNumberFormat="1" applyFill="1" applyBorder="1" applyAlignment="1">
      <alignment horizontal="center" vertical="center"/>
    </xf>
    <xf numFmtId="165" fontId="5" fillId="2" borderId="7" xfId="10" applyNumberFormat="1" applyFill="1" applyBorder="1" applyAlignment="1">
      <alignment horizontal="center" vertical="center"/>
    </xf>
    <xf numFmtId="165" fontId="5" fillId="2" borderId="4" xfId="10" applyNumberFormat="1" applyFill="1" applyBorder="1" applyAlignment="1">
      <alignment horizontal="center" vertical="center"/>
    </xf>
    <xf numFmtId="1" fontId="37" fillId="2" borderId="7" xfId="5" applyNumberFormat="1" applyFont="1" applyFill="1" applyBorder="1" applyAlignment="1" applyProtection="1">
      <alignment horizontal="center" vertical="center"/>
      <protection locked="0"/>
    </xf>
    <xf numFmtId="0" fontId="20" fillId="0" borderId="16" xfId="5" applyFont="1" applyBorder="1" applyAlignment="1">
      <alignment vertical="center" wrapText="1"/>
    </xf>
    <xf numFmtId="0" fontId="19" fillId="0" borderId="9" xfId="5" applyFont="1" applyBorder="1" applyAlignment="1">
      <alignment vertical="center" wrapText="1"/>
    </xf>
    <xf numFmtId="0" fontId="19" fillId="0" borderId="7" xfId="5" applyFont="1" applyBorder="1" applyAlignment="1">
      <alignment vertical="center" wrapText="1"/>
    </xf>
    <xf numFmtId="0" fontId="0" fillId="3" borderId="0" xfId="0" applyFill="1" applyAlignment="1" applyProtection="1">
      <alignment vertical="top" wrapText="1"/>
      <protection locked="0"/>
    </xf>
    <xf numFmtId="0" fontId="0" fillId="3" borderId="0" xfId="0" applyFill="1" applyAlignment="1" applyProtection="1">
      <alignment vertical="top"/>
      <protection locked="0"/>
    </xf>
    <xf numFmtId="0" fontId="23" fillId="0" borderId="7" xfId="6" applyFont="1" applyFill="1" applyBorder="1" applyAlignment="1" applyProtection="1">
      <alignment horizontal="center" vertical="center"/>
    </xf>
    <xf numFmtId="0" fontId="12" fillId="0" borderId="0" xfId="0" applyFont="1" applyAlignment="1" applyProtection="1">
      <alignment horizontal="right" vertical="top"/>
      <protection locked="0"/>
    </xf>
    <xf numFmtId="164" fontId="12" fillId="0" borderId="0" xfId="0" applyNumberFormat="1" applyFont="1" applyAlignment="1" applyProtection="1">
      <alignment horizontal="right" vertical="top"/>
      <protection locked="0"/>
    </xf>
    <xf numFmtId="164" fontId="12" fillId="0" borderId="0" xfId="0" applyNumberFormat="1" applyFont="1" applyAlignment="1">
      <alignment horizontal="right" vertical="top"/>
    </xf>
    <xf numFmtId="0" fontId="24" fillId="0" borderId="17" xfId="0" applyFont="1" applyBorder="1" applyAlignment="1" applyProtection="1">
      <alignment horizontal="right" vertical="top"/>
      <protection locked="0"/>
    </xf>
    <xf numFmtId="164" fontId="12" fillId="0" borderId="0" xfId="0" applyNumberFormat="1" applyFont="1" applyAlignment="1" applyProtection="1">
      <alignment horizontal="right" vertical="top" wrapText="1"/>
      <protection locked="0"/>
    </xf>
    <xf numFmtId="164" fontId="13" fillId="0" borderId="0" xfId="0" applyNumberFormat="1" applyFont="1" applyAlignment="1" applyProtection="1">
      <alignment horizontal="right" vertical="top"/>
      <protection locked="0"/>
    </xf>
    <xf numFmtId="0" fontId="10" fillId="0" borderId="34" xfId="0" applyFont="1" applyBorder="1" applyAlignment="1" applyProtection="1">
      <alignment horizontal="center" vertical="center" wrapText="1"/>
      <protection locked="0"/>
    </xf>
    <xf numFmtId="0" fontId="24" fillId="6" borderId="12" xfId="0" applyFont="1" applyFill="1" applyBorder="1" applyAlignment="1" applyProtection="1">
      <alignment horizontal="center" vertical="center" wrapText="1"/>
      <protection locked="0"/>
    </xf>
    <xf numFmtId="9" fontId="24" fillId="6" borderId="11" xfId="7" applyFont="1" applyFill="1" applyBorder="1" applyAlignment="1" applyProtection="1">
      <alignment horizontal="center" vertical="center" wrapText="1"/>
      <protection locked="0"/>
    </xf>
    <xf numFmtId="0" fontId="24" fillId="6" borderId="11" xfId="0" applyFont="1" applyFill="1" applyBorder="1" applyAlignment="1" applyProtection="1">
      <alignment horizontal="center" vertical="center" wrapText="1"/>
      <protection locked="0"/>
    </xf>
    <xf numFmtId="0" fontId="23" fillId="0" borderId="20" xfId="0" applyFont="1" applyBorder="1" applyProtection="1">
      <protection locked="0"/>
    </xf>
    <xf numFmtId="0" fontId="0" fillId="0" borderId="17" xfId="0" applyBorder="1" applyAlignment="1" applyProtection="1">
      <alignment vertical="top"/>
      <protection locked="0"/>
    </xf>
    <xf numFmtId="0" fontId="6" fillId="0" borderId="6" xfId="5" applyBorder="1"/>
    <xf numFmtId="0" fontId="19" fillId="0" borderId="8" xfId="5" applyFont="1" applyBorder="1" applyAlignment="1">
      <alignment vertical="center"/>
    </xf>
    <xf numFmtId="0" fontId="19" fillId="0" borderId="19" xfId="5" applyFont="1" applyBorder="1" applyAlignment="1">
      <alignment horizontal="left" vertical="center" wrapText="1"/>
    </xf>
    <xf numFmtId="0" fontId="6" fillId="0" borderId="23" xfId="5" applyBorder="1"/>
    <xf numFmtId="0" fontId="6" fillId="0" borderId="2" xfId="5" applyBorder="1"/>
    <xf numFmtId="9" fontId="13" fillId="0" borderId="0" xfId="7" applyFont="1" applyFill="1" applyAlignment="1" applyProtection="1">
      <alignment vertical="top"/>
      <protection locked="0"/>
    </xf>
    <xf numFmtId="0" fontId="13" fillId="3" borderId="0" xfId="0" applyFont="1" applyFill="1" applyProtection="1">
      <protection locked="0"/>
    </xf>
    <xf numFmtId="0" fontId="25" fillId="2" borderId="0" xfId="0" applyFont="1" applyFill="1" applyProtection="1">
      <protection locked="0"/>
    </xf>
    <xf numFmtId="0" fontId="25" fillId="0" borderId="0" xfId="0" applyFont="1" applyProtection="1">
      <protection locked="0"/>
    </xf>
    <xf numFmtId="0" fontId="0" fillId="3" borderId="0" xfId="0" applyFill="1" applyProtection="1">
      <protection locked="0"/>
    </xf>
    <xf numFmtId="0" fontId="20" fillId="0" borderId="29" xfId="5" applyFont="1" applyBorder="1" applyAlignment="1">
      <alignment horizontal="center" vertical="center" wrapText="1"/>
    </xf>
    <xf numFmtId="164" fontId="12" fillId="7" borderId="0" xfId="0" applyNumberFormat="1" applyFont="1" applyFill="1" applyAlignment="1" applyProtection="1">
      <alignment horizontal="right" vertical="top"/>
      <protection locked="0"/>
    </xf>
    <xf numFmtId="9" fontId="12" fillId="7" borderId="0" xfId="7" applyFont="1" applyFill="1" applyAlignment="1" applyProtection="1">
      <alignment vertical="top"/>
      <protection locked="0"/>
    </xf>
    <xf numFmtId="164" fontId="12" fillId="7" borderId="0" xfId="0" applyNumberFormat="1" applyFont="1" applyFill="1" applyAlignment="1" applyProtection="1">
      <alignment vertical="top"/>
      <protection locked="0"/>
    </xf>
    <xf numFmtId="9" fontId="12" fillId="0" borderId="0" xfId="7" applyFont="1" applyFill="1" applyAlignment="1" applyProtection="1">
      <alignment vertical="top"/>
    </xf>
    <xf numFmtId="164" fontId="12" fillId="0" borderId="0" xfId="0" applyNumberFormat="1" applyFont="1" applyAlignment="1">
      <alignment vertical="top"/>
    </xf>
    <xf numFmtId="0" fontId="12" fillId="0" borderId="0" xfId="0" applyFont="1" applyAlignment="1" applyProtection="1">
      <alignment horizontal="left" vertical="top" wrapText="1"/>
      <protection locked="0"/>
    </xf>
    <xf numFmtId="0" fontId="0" fillId="0" borderId="0" xfId="0" applyAlignment="1" applyProtection="1">
      <alignment horizontal="left" vertical="center" wrapText="1"/>
      <protection locked="0"/>
    </xf>
    <xf numFmtId="0" fontId="12" fillId="0" borderId="0" xfId="2" applyFont="1" applyAlignment="1">
      <alignment vertical="top" wrapText="1"/>
    </xf>
    <xf numFmtId="0" fontId="13" fillId="0" borderId="0" xfId="2" applyFont="1" applyAlignment="1" applyProtection="1">
      <alignment vertical="top" wrapText="1"/>
      <protection locked="0"/>
    </xf>
    <xf numFmtId="0" fontId="12" fillId="0" borderId="0" xfId="2" applyFont="1" applyAlignment="1" applyProtection="1">
      <alignment vertical="top" wrapText="1"/>
      <protection locked="0"/>
    </xf>
    <xf numFmtId="0" fontId="10" fillId="0" borderId="0" xfId="0" applyFont="1" applyAlignment="1">
      <alignment wrapText="1"/>
    </xf>
    <xf numFmtId="0" fontId="12" fillId="0" borderId="0" xfId="0" applyFont="1" applyAlignment="1">
      <alignment horizontal="left" vertical="top"/>
    </xf>
    <xf numFmtId="0" fontId="0" fillId="0" borderId="1" xfId="0" applyBorder="1" applyAlignment="1" applyProtection="1">
      <alignment vertical="top"/>
      <protection locked="0"/>
    </xf>
    <xf numFmtId="0" fontId="0" fillId="0" borderId="0" xfId="2" applyFont="1" applyAlignment="1" applyProtection="1">
      <alignment horizontal="left" vertical="center" wrapText="1"/>
      <protection locked="0"/>
    </xf>
    <xf numFmtId="0" fontId="12" fillId="0" borderId="0" xfId="2" applyFont="1" applyAlignment="1">
      <alignment horizontal="left" vertical="center" wrapText="1"/>
    </xf>
    <xf numFmtId="0" fontId="12" fillId="0" borderId="0" xfId="2" applyFont="1" applyAlignment="1" applyProtection="1">
      <alignment horizontal="left" vertical="center" wrapText="1"/>
      <protection locked="0"/>
    </xf>
    <xf numFmtId="0" fontId="13" fillId="0" borderId="0" xfId="2" applyFont="1" applyAlignment="1" applyProtection="1">
      <alignment vertical="center" wrapText="1"/>
      <protection locked="0"/>
    </xf>
    <xf numFmtId="0" fontId="21" fillId="0" borderId="45" xfId="10" applyFont="1" applyBorder="1" applyAlignment="1">
      <alignment horizontal="center" vertical="center"/>
    </xf>
    <xf numFmtId="0" fontId="5" fillId="5" borderId="46" xfId="10" applyFill="1" applyBorder="1" applyAlignment="1">
      <alignment horizontal="center" vertical="center"/>
    </xf>
    <xf numFmtId="0" fontId="21" fillId="0" borderId="47" xfId="10" applyFont="1" applyBorder="1" applyAlignment="1">
      <alignment horizontal="center" vertical="center"/>
    </xf>
    <xf numFmtId="0" fontId="20" fillId="0" borderId="38" xfId="17" applyFont="1" applyBorder="1" applyAlignment="1">
      <alignment vertical="center" wrapText="1"/>
    </xf>
    <xf numFmtId="0" fontId="20" fillId="5" borderId="49" xfId="10" applyFont="1" applyFill="1" applyBorder="1" applyAlignment="1">
      <alignment vertical="center" wrapText="1"/>
    </xf>
    <xf numFmtId="0" fontId="2" fillId="0" borderId="13" xfId="17" applyBorder="1"/>
    <xf numFmtId="0" fontId="2" fillId="0" borderId="3" xfId="17" applyBorder="1"/>
    <xf numFmtId="0" fontId="2" fillId="0" borderId="2" xfId="17" applyBorder="1"/>
    <xf numFmtId="0" fontId="21" fillId="0" borderId="47" xfId="17" applyFont="1" applyBorder="1" applyAlignment="1">
      <alignment horizontal="center" vertical="center"/>
    </xf>
    <xf numFmtId="0" fontId="11" fillId="0" borderId="53" xfId="17" applyFont="1" applyBorder="1" applyAlignment="1">
      <alignment horizontal="center" vertical="center"/>
    </xf>
    <xf numFmtId="0" fontId="20" fillId="0" borderId="38" xfId="17" applyFont="1" applyBorder="1" applyAlignment="1">
      <alignment horizontal="center" vertical="center" wrapText="1"/>
    </xf>
    <xf numFmtId="2" fontId="20" fillId="0" borderId="49" xfId="17" applyNumberFormat="1" applyFont="1" applyBorder="1" applyAlignment="1">
      <alignment horizontal="center" vertical="center" wrapText="1"/>
    </xf>
    <xf numFmtId="0" fontId="20" fillId="5" borderId="49" xfId="17" applyFont="1" applyFill="1" applyBorder="1" applyAlignment="1">
      <alignment horizontal="center" vertical="center" wrapText="1"/>
    </xf>
    <xf numFmtId="0" fontId="2" fillId="5" borderId="54" xfId="17" applyFill="1" applyBorder="1" applyAlignment="1">
      <alignment horizontal="center" vertical="center"/>
    </xf>
    <xf numFmtId="0" fontId="2" fillId="5" borderId="7" xfId="17" applyFill="1" applyBorder="1" applyAlignment="1">
      <alignment horizontal="center" vertical="center"/>
    </xf>
    <xf numFmtId="0" fontId="2" fillId="3" borderId="7" xfId="17" applyFill="1" applyBorder="1" applyAlignment="1" applyProtection="1">
      <alignment horizontal="center" vertical="center"/>
      <protection locked="0"/>
    </xf>
    <xf numFmtId="4" fontId="2" fillId="5" borderId="4" xfId="17" applyNumberFormat="1" applyFill="1" applyBorder="1" applyAlignment="1">
      <alignment horizontal="center" vertical="center"/>
    </xf>
    <xf numFmtId="165" fontId="20" fillId="0" borderId="51" xfId="7" applyNumberFormat="1" applyFont="1" applyBorder="1" applyAlignment="1" applyProtection="1">
      <alignment horizontal="center" vertical="center" wrapText="1"/>
    </xf>
    <xf numFmtId="165" fontId="20" fillId="0" borderId="42" xfId="7" applyNumberFormat="1" applyFont="1" applyBorder="1" applyAlignment="1" applyProtection="1">
      <alignment horizontal="center" vertical="center" wrapText="1"/>
    </xf>
    <xf numFmtId="165" fontId="20" fillId="0" borderId="52" xfId="7" applyNumberFormat="1" applyFont="1" applyBorder="1" applyAlignment="1" applyProtection="1">
      <alignment horizontal="center" vertical="center" wrapText="1"/>
    </xf>
    <xf numFmtId="165" fontId="20" fillId="0" borderId="21" xfId="7" applyNumberFormat="1" applyFont="1" applyBorder="1" applyAlignment="1" applyProtection="1">
      <alignment horizontal="center" vertical="center" wrapText="1"/>
    </xf>
    <xf numFmtId="165" fontId="20" fillId="0" borderId="50" xfId="7" applyNumberFormat="1" applyFont="1" applyBorder="1" applyAlignment="1" applyProtection="1">
      <alignment horizontal="center" vertical="center" wrapText="1"/>
    </xf>
    <xf numFmtId="165" fontId="20" fillId="0" borderId="22" xfId="7" applyNumberFormat="1" applyFont="1" applyBorder="1" applyAlignment="1" applyProtection="1">
      <alignment horizontal="center" vertical="center" wrapText="1"/>
    </xf>
    <xf numFmtId="0" fontId="46" fillId="0" borderId="33" xfId="10" applyFont="1" applyBorder="1" applyAlignment="1">
      <alignment horizontal="center" vertical="center" wrapText="1"/>
    </xf>
    <xf numFmtId="0" fontId="46" fillId="0" borderId="29" xfId="10" applyFont="1" applyBorder="1" applyAlignment="1">
      <alignment horizontal="center" vertical="center" wrapText="1"/>
    </xf>
    <xf numFmtId="0" fontId="47" fillId="0" borderId="37" xfId="5" applyFont="1" applyBorder="1" applyAlignment="1">
      <alignment horizontal="center" vertical="center" wrapText="1"/>
    </xf>
    <xf numFmtId="0" fontId="47" fillId="0" borderId="29" xfId="10" applyFont="1" applyBorder="1" applyAlignment="1">
      <alignment horizontal="center" vertical="center" wrapText="1"/>
    </xf>
    <xf numFmtId="0" fontId="47" fillId="0" borderId="29" xfId="5" applyFont="1" applyBorder="1" applyAlignment="1">
      <alignment horizontal="center" vertical="center" wrapText="1"/>
    </xf>
    <xf numFmtId="0" fontId="47" fillId="0" borderId="43" xfId="5" applyFont="1" applyBorder="1" applyAlignment="1">
      <alignment horizontal="center" vertical="center"/>
    </xf>
    <xf numFmtId="0" fontId="47" fillId="0" borderId="44" xfId="5" applyFont="1" applyBorder="1" applyAlignment="1">
      <alignment horizontal="center" vertical="center"/>
    </xf>
    <xf numFmtId="0" fontId="47" fillId="0" borderId="33" xfId="10" applyFont="1" applyBorder="1" applyAlignment="1">
      <alignment horizontal="center" vertical="center" wrapText="1"/>
    </xf>
    <xf numFmtId="0" fontId="13" fillId="0" borderId="0" xfId="0" applyFont="1" applyAlignment="1">
      <alignment vertical="top"/>
    </xf>
    <xf numFmtId="0" fontId="20" fillId="0" borderId="19" xfId="5" applyFont="1" applyBorder="1" applyAlignment="1">
      <alignment horizontal="left" vertical="center" wrapText="1"/>
    </xf>
    <xf numFmtId="0" fontId="19" fillId="0" borderId="7" xfId="17" applyFont="1" applyBorder="1" applyAlignment="1">
      <alignment vertical="center" wrapText="1"/>
    </xf>
    <xf numFmtId="0" fontId="20" fillId="0" borderId="7" xfId="17" applyFont="1" applyBorder="1" applyAlignment="1">
      <alignment vertical="center" wrapText="1"/>
    </xf>
    <xf numFmtId="0" fontId="20" fillId="0" borderId="55" xfId="5" applyFont="1" applyBorder="1" applyAlignment="1">
      <alignment vertical="center" wrapText="1"/>
    </xf>
    <xf numFmtId="0" fontId="19" fillId="0" borderId="39" xfId="5" applyFont="1" applyBorder="1" applyAlignment="1">
      <alignment wrapText="1"/>
    </xf>
    <xf numFmtId="0" fontId="20" fillId="0" borderId="38" xfId="5" applyFont="1" applyBorder="1" applyAlignment="1">
      <alignment vertical="center" wrapText="1"/>
    </xf>
    <xf numFmtId="0" fontId="20" fillId="0" borderId="56" xfId="5" applyFont="1" applyBorder="1" applyAlignment="1">
      <alignment vertical="center" wrapText="1"/>
    </xf>
    <xf numFmtId="0" fontId="20" fillId="0" borderId="50" xfId="5" applyFont="1" applyBorder="1" applyAlignment="1">
      <alignment vertical="center" wrapText="1"/>
    </xf>
    <xf numFmtId="0" fontId="20" fillId="0" borderId="31" xfId="5" applyFont="1" applyBorder="1" applyAlignment="1">
      <alignment horizontal="left" vertical="center" wrapText="1"/>
    </xf>
    <xf numFmtId="0" fontId="19" fillId="0" borderId="32" xfId="5" applyFont="1" applyBorder="1" applyAlignment="1">
      <alignment horizontal="left" vertical="center" wrapText="1"/>
    </xf>
    <xf numFmtId="0" fontId="19" fillId="0" borderId="48" xfId="5" applyFont="1" applyBorder="1" applyAlignment="1">
      <alignment horizontal="center" vertical="center" wrapText="1"/>
    </xf>
    <xf numFmtId="0" fontId="20" fillId="0" borderId="58" xfId="5" applyFont="1" applyBorder="1" applyAlignment="1">
      <alignment horizontal="center" vertical="center" wrapText="1"/>
    </xf>
    <xf numFmtId="0" fontId="20" fillId="0" borderId="57" xfId="5" applyFont="1" applyBorder="1" applyAlignment="1">
      <alignment horizontal="center" vertical="center" wrapText="1"/>
    </xf>
    <xf numFmtId="0" fontId="19" fillId="0" borderId="38" xfId="5" applyFont="1" applyBorder="1" applyAlignment="1">
      <alignment horizontal="center" vertical="center" wrapText="1"/>
    </xf>
    <xf numFmtId="0" fontId="20" fillId="0" borderId="38" xfId="5" applyFont="1" applyBorder="1" applyAlignment="1">
      <alignment horizontal="center" vertical="center" wrapText="1"/>
    </xf>
    <xf numFmtId="0" fontId="20" fillId="0" borderId="52" xfId="5" applyFont="1" applyBorder="1" applyAlignment="1">
      <alignment horizontal="center" vertical="center" wrapText="1"/>
    </xf>
    <xf numFmtId="0" fontId="20" fillId="0" borderId="7" xfId="5" applyFont="1" applyBorder="1" applyAlignment="1">
      <alignment horizontal="center" vertical="center" wrapText="1"/>
    </xf>
    <xf numFmtId="0" fontId="19" fillId="0" borderId="39" xfId="5" applyFont="1" applyBorder="1" applyAlignment="1">
      <alignment horizontal="center" vertical="center" wrapText="1"/>
    </xf>
    <xf numFmtId="0" fontId="11" fillId="0" borderId="7" xfId="17" applyFont="1" applyBorder="1" applyAlignment="1">
      <alignment horizontal="center" vertical="center"/>
    </xf>
    <xf numFmtId="0" fontId="12" fillId="0" borderId="7" xfId="0" applyFont="1" applyBorder="1" applyAlignment="1">
      <alignment readingOrder="2"/>
    </xf>
    <xf numFmtId="0" fontId="12" fillId="0" borderId="9" xfId="0" applyFont="1" applyBorder="1" applyAlignment="1">
      <alignment readingOrder="2"/>
    </xf>
    <xf numFmtId="0" fontId="24" fillId="0" borderId="9" xfId="0" applyFont="1" applyBorder="1" applyAlignment="1">
      <alignment readingOrder="2"/>
    </xf>
    <xf numFmtId="0" fontId="0" fillId="0" borderId="0" xfId="0" applyAlignment="1" applyProtection="1">
      <alignment horizontal="right" vertical="center" wrapText="1"/>
      <protection locked="0"/>
    </xf>
    <xf numFmtId="0" fontId="12" fillId="0" borderId="0" xfId="3" applyFont="1" applyAlignment="1">
      <alignment horizontal="right" vertical="top" wrapText="1"/>
    </xf>
    <xf numFmtId="0" fontId="12" fillId="0" borderId="0" xfId="0" applyFont="1" applyAlignment="1">
      <alignment horizontal="right" vertical="top" wrapText="1"/>
    </xf>
    <xf numFmtId="0" fontId="12" fillId="2" borderId="0" xfId="0" applyFont="1" applyFill="1" applyAlignment="1" applyProtection="1">
      <alignment horizontal="right"/>
      <protection locked="0"/>
    </xf>
    <xf numFmtId="0" fontId="20" fillId="0" borderId="51" xfId="5" applyFont="1" applyBorder="1" applyAlignment="1">
      <alignment vertical="center" wrapText="1"/>
    </xf>
    <xf numFmtId="0" fontId="20" fillId="0" borderId="52" xfId="5" applyFont="1" applyBorder="1" applyAlignment="1">
      <alignment vertical="center" wrapText="1"/>
    </xf>
    <xf numFmtId="0" fontId="0" fillId="0" borderId="0" xfId="2" applyFont="1" applyAlignment="1">
      <alignment horizontal="right" vertical="top" wrapText="1"/>
    </xf>
    <xf numFmtId="0" fontId="13" fillId="0" borderId="0" xfId="3" applyFont="1" applyAlignment="1" applyProtection="1">
      <alignment horizontal="right" vertical="top"/>
      <protection locked="0"/>
    </xf>
    <xf numFmtId="0" fontId="13" fillId="0" borderId="0" xfId="0" applyFont="1" applyAlignment="1" applyProtection="1">
      <alignment horizontal="right" vertical="top" wrapText="1"/>
      <protection locked="0"/>
    </xf>
    <xf numFmtId="0" fontId="13" fillId="0" borderId="0" xfId="3" applyFont="1" applyAlignment="1" applyProtection="1">
      <alignment horizontal="right" vertical="top" wrapText="1"/>
      <protection locked="0"/>
    </xf>
    <xf numFmtId="0" fontId="12" fillId="0" borderId="0" xfId="0" applyFont="1" applyAlignment="1" applyProtection="1">
      <alignment horizontal="right" vertical="top" wrapText="1"/>
      <protection locked="0"/>
    </xf>
    <xf numFmtId="0" fontId="13" fillId="0" borderId="0" xfId="2" applyFont="1" applyAlignment="1" applyProtection="1">
      <alignment horizontal="right" vertical="top" wrapText="1"/>
      <protection locked="0"/>
    </xf>
    <xf numFmtId="0" fontId="12" fillId="0" borderId="0" xfId="3" applyFont="1" applyAlignment="1">
      <alignment horizontal="right" vertical="center" wrapText="1"/>
    </xf>
    <xf numFmtId="0" fontId="0" fillId="0" borderId="0" xfId="0" applyAlignment="1">
      <alignment horizontal="right" vertical="top"/>
    </xf>
    <xf numFmtId="0" fontId="13" fillId="0" borderId="0" xfId="0" applyFont="1" applyAlignment="1" applyProtection="1">
      <alignment horizontal="right" vertical="center" wrapText="1"/>
      <protection locked="0"/>
    </xf>
    <xf numFmtId="0" fontId="0" fillId="0" borderId="0" xfId="0" applyAlignment="1" applyProtection="1">
      <alignment horizontal="right" vertical="top"/>
      <protection locked="0"/>
    </xf>
    <xf numFmtId="0" fontId="12" fillId="0" borderId="0" xfId="2" applyFont="1" applyAlignment="1">
      <alignment horizontal="right" vertical="center" wrapText="1"/>
    </xf>
    <xf numFmtId="0" fontId="12" fillId="0" borderId="0" xfId="2" applyFont="1" applyAlignment="1" applyProtection="1">
      <alignment horizontal="right" vertical="center" wrapText="1"/>
      <protection locked="0"/>
    </xf>
    <xf numFmtId="0" fontId="0" fillId="0" borderId="1" xfId="0" applyBorder="1" applyAlignment="1">
      <alignment horizontal="right" vertical="top" wrapText="1"/>
    </xf>
    <xf numFmtId="0" fontId="0" fillId="0" borderId="0" xfId="2" applyFont="1" applyAlignment="1">
      <alignment horizontal="right" vertical="center" wrapText="1"/>
    </xf>
    <xf numFmtId="0" fontId="0" fillId="0" borderId="0" xfId="2" applyFont="1" applyAlignment="1" applyProtection="1">
      <alignment horizontal="right" vertical="center" wrapText="1"/>
      <protection locked="0"/>
    </xf>
    <xf numFmtId="0" fontId="0" fillId="0" borderId="0" xfId="0" applyAlignment="1" applyProtection="1">
      <alignment horizontal="right" vertical="top" wrapText="1"/>
      <protection locked="0"/>
    </xf>
    <xf numFmtId="0" fontId="13" fillId="0" borderId="0" xfId="3" applyFont="1" applyAlignment="1" applyProtection="1">
      <alignment horizontal="right" vertical="center" wrapText="1"/>
      <protection locked="0"/>
    </xf>
    <xf numFmtId="0" fontId="13" fillId="0" borderId="0" xfId="2" applyFont="1" applyAlignment="1" applyProtection="1">
      <alignment horizontal="right" vertical="center" wrapText="1"/>
      <protection locked="0"/>
    </xf>
    <xf numFmtId="49" fontId="39" fillId="0" borderId="0" xfId="0" applyNumberFormat="1" applyFont="1" applyAlignment="1">
      <alignment horizontal="right" vertical="top" wrapText="1"/>
    </xf>
    <xf numFmtId="0" fontId="0" fillId="5" borderId="0" xfId="0" applyFill="1" applyAlignment="1">
      <alignment wrapText="1"/>
    </xf>
    <xf numFmtId="0" fontId="13" fillId="5" borderId="0" xfId="0" applyFont="1" applyFill="1" applyAlignment="1" applyProtection="1">
      <alignment vertical="top" wrapText="1"/>
      <protection locked="0"/>
    </xf>
    <xf numFmtId="0" fontId="2" fillId="2" borderId="7" xfId="17" applyFill="1" applyBorder="1" applyAlignment="1" applyProtection="1">
      <alignment horizontal="center" vertical="center"/>
      <protection locked="0"/>
    </xf>
    <xf numFmtId="0" fontId="12" fillId="0" borderId="0" xfId="0" applyFont="1"/>
    <xf numFmtId="0" fontId="14" fillId="0" borderId="0" xfId="0" applyFont="1"/>
    <xf numFmtId="0" fontId="13" fillId="0" borderId="0" xfId="0" applyFont="1"/>
    <xf numFmtId="0" fontId="29" fillId="0" borderId="0" xfId="0" applyFont="1"/>
    <xf numFmtId="0" fontId="29" fillId="0" borderId="0" xfId="0" applyFont="1" applyAlignment="1">
      <alignment horizontal="right"/>
    </xf>
    <xf numFmtId="0" fontId="19" fillId="0" borderId="59" xfId="5" applyFont="1" applyBorder="1" applyAlignment="1">
      <alignment vertical="center"/>
    </xf>
    <xf numFmtId="0" fontId="19" fillId="0" borderId="60" xfId="5" applyFont="1" applyBorder="1" applyAlignment="1">
      <alignment vertical="center" wrapText="1"/>
    </xf>
    <xf numFmtId="0" fontId="12" fillId="0" borderId="0" xfId="3" applyFont="1" applyAlignment="1" applyProtection="1">
      <alignment horizontal="right" vertical="top" wrapText="1"/>
      <protection locked="0"/>
    </xf>
    <xf numFmtId="0" fontId="14" fillId="0" borderId="0" xfId="0" applyFont="1" applyAlignment="1">
      <alignment wrapText="1"/>
    </xf>
    <xf numFmtId="0" fontId="20" fillId="0" borderId="0" xfId="3" applyFont="1" applyAlignment="1">
      <alignment horizontal="right" vertical="top" wrapText="1"/>
    </xf>
    <xf numFmtId="0" fontId="51" fillId="0" borderId="0" xfId="0" applyFont="1" applyAlignment="1">
      <alignment vertical="top" wrapText="1"/>
    </xf>
    <xf numFmtId="0" fontId="20" fillId="0" borderId="0" xfId="3" applyFont="1" applyAlignment="1">
      <alignment horizontal="right" vertical="center" wrapText="1"/>
    </xf>
    <xf numFmtId="0" fontId="13" fillId="0" borderId="0" xfId="3" applyFont="1" applyAlignment="1">
      <alignment horizontal="right" vertical="top" wrapText="1"/>
    </xf>
    <xf numFmtId="0" fontId="13" fillId="0" borderId="0" xfId="0" applyFont="1" applyAlignment="1">
      <alignment vertical="top" wrapText="1"/>
    </xf>
    <xf numFmtId="0" fontId="19" fillId="0" borderId="0" xfId="3" applyFont="1" applyAlignment="1">
      <alignment horizontal="right" vertical="center" wrapText="1"/>
    </xf>
    <xf numFmtId="0" fontId="19" fillId="0" borderId="0" xfId="2" applyFont="1" applyAlignment="1">
      <alignment vertical="center" wrapText="1"/>
    </xf>
    <xf numFmtId="49" fontId="1" fillId="3" borderId="16" xfId="5" applyNumberFormat="1" applyFont="1" applyFill="1" applyBorder="1" applyAlignment="1" applyProtection="1">
      <alignment horizontal="center" vertical="center"/>
      <protection locked="0"/>
    </xf>
    <xf numFmtId="0" fontId="1" fillId="0" borderId="7" xfId="5" applyFont="1" applyBorder="1" applyAlignment="1">
      <alignment horizontal="center" vertical="center"/>
    </xf>
    <xf numFmtId="0" fontId="1" fillId="0" borderId="2" xfId="10" applyFont="1" applyBorder="1"/>
    <xf numFmtId="0" fontId="1" fillId="3" borderId="7" xfId="5" applyFont="1" applyFill="1" applyBorder="1" applyAlignment="1" applyProtection="1">
      <alignment horizontal="center" vertical="center"/>
      <protection locked="0"/>
    </xf>
    <xf numFmtId="2" fontId="1" fillId="3" borderId="49" xfId="5" applyNumberFormat="1" applyFont="1" applyFill="1" applyBorder="1" applyAlignment="1" applyProtection="1">
      <alignment horizontal="center" vertical="center"/>
      <protection locked="0"/>
    </xf>
    <xf numFmtId="2" fontId="1" fillId="3" borderId="7" xfId="10" applyNumberFormat="1" applyFont="1" applyFill="1" applyBorder="1" applyAlignment="1" applyProtection="1">
      <alignment horizontal="center" vertical="center"/>
      <protection locked="0"/>
    </xf>
    <xf numFmtId="165" fontId="1" fillId="5" borderId="16" xfId="7" applyNumberFormat="1" applyFont="1" applyFill="1" applyBorder="1" applyAlignment="1">
      <alignment horizontal="center" vertical="center"/>
    </xf>
    <xf numFmtId="165" fontId="1" fillId="5" borderId="7" xfId="7" applyNumberFormat="1" applyFont="1" applyFill="1" applyBorder="1" applyAlignment="1">
      <alignment horizontal="center" vertical="center"/>
    </xf>
    <xf numFmtId="165" fontId="1" fillId="5" borderId="4" xfId="7" applyNumberFormat="1" applyFont="1" applyFill="1" applyBorder="1" applyAlignment="1">
      <alignment horizontal="center" vertical="center"/>
    </xf>
    <xf numFmtId="0" fontId="5" fillId="0" borderId="28" xfId="10" applyBorder="1" applyAlignment="1">
      <alignment horizontal="center" vertical="top" textRotation="90" wrapText="1"/>
    </xf>
    <xf numFmtId="0" fontId="5" fillId="0" borderId="30" xfId="10" applyBorder="1" applyAlignment="1">
      <alignment horizontal="center" vertical="top" textRotation="90" wrapText="1"/>
    </xf>
    <xf numFmtId="0" fontId="5" fillId="0" borderId="27" xfId="10" applyBorder="1" applyAlignment="1">
      <alignment horizontal="center" vertical="top" textRotation="90"/>
    </xf>
    <xf numFmtId="0" fontId="5" fillId="0" borderId="28" xfId="10" applyBorder="1" applyAlignment="1">
      <alignment horizontal="center" vertical="top" textRotation="90"/>
    </xf>
    <xf numFmtId="0" fontId="5" fillId="0" borderId="30" xfId="10" applyBorder="1" applyAlignment="1">
      <alignment horizontal="center" vertical="top" textRotation="90"/>
    </xf>
    <xf numFmtId="0" fontId="5" fillId="0" borderId="27" xfId="10" applyBorder="1" applyAlignment="1">
      <alignment horizontal="center" vertical="top" textRotation="90" wrapText="1"/>
    </xf>
  </cellXfs>
  <cellStyles count="18">
    <cellStyle name="Check Cell" xfId="6" builtinId="23"/>
    <cellStyle name="Normal" xfId="0" builtinId="0"/>
    <cellStyle name="Normal 2" xfId="1" xr:uid="{00000000-0005-0000-0000-000002000000}"/>
    <cellStyle name="Normal 2 2" xfId="8" xr:uid="{00000000-0005-0000-0000-000003000000}"/>
    <cellStyle name="Normal 2 2 2" xfId="13" xr:uid="{00000000-0005-0000-0000-000004000000}"/>
    <cellStyle name="Normal 2 2 3" xfId="15" xr:uid="{00000000-0005-0000-0000-000005000000}"/>
    <cellStyle name="Normal 2 3" xfId="11" xr:uid="{00000000-0005-0000-0000-000006000000}"/>
    <cellStyle name="Normal 3" xfId="2" xr:uid="{00000000-0005-0000-0000-000007000000}"/>
    <cellStyle name="Normal 3 2" xfId="12" xr:uid="{00000000-0005-0000-0000-000008000000}"/>
    <cellStyle name="Normal 3 2 2" xfId="16" xr:uid="{00000000-0005-0000-0000-000009000000}"/>
    <cellStyle name="Normal 4" xfId="4" xr:uid="{00000000-0005-0000-0000-00000A000000}"/>
    <cellStyle name="Normal 4 2" xfId="5" xr:uid="{00000000-0005-0000-0000-00000B000000}"/>
    <cellStyle name="Normal 4 2 2" xfId="10" xr:uid="{00000000-0005-0000-0000-00000C000000}"/>
    <cellStyle name="Normal 4 2 2 2" xfId="17" xr:uid="{00000000-0005-0000-0000-00000D000000}"/>
    <cellStyle name="Normal 4 3" xfId="9" xr:uid="{00000000-0005-0000-0000-00000E000000}"/>
    <cellStyle name="Normal 4 4" xfId="14" xr:uid="{00000000-0005-0000-0000-00000F000000}"/>
    <cellStyle name="Normal 5" xfId="3" xr:uid="{00000000-0005-0000-0000-000010000000}"/>
    <cellStyle name="Percent" xfId="7"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25"/>
  <sheetViews>
    <sheetView tabSelected="1" zoomScale="120" zoomScaleNormal="120" workbookViewId="0">
      <pane ySplit="1" topLeftCell="K35" activePane="bottomLeft" state="frozen"/>
      <selection pane="bottomLeft" activeCell="Z1" sqref="Z1:Z1048576"/>
      <selection activeCell="D1" sqref="D1"/>
    </sheetView>
  </sheetViews>
  <sheetFormatPr defaultColWidth="8.85546875" defaultRowHeight="15"/>
  <cols>
    <col min="1" max="1" width="21.140625" style="41" customWidth="1"/>
    <col min="2" max="2" width="25.85546875" style="41" customWidth="1"/>
    <col min="3" max="4" width="66" style="42" customWidth="1"/>
    <col min="5" max="5" width="16.85546875" style="42" customWidth="1"/>
    <col min="6" max="7" width="28" style="41" customWidth="1"/>
    <col min="8" max="8" width="15.42578125" style="41" customWidth="1"/>
    <col min="9" max="10" width="8.85546875" style="120" customWidth="1"/>
    <col min="11" max="11" width="14.7109375" style="120" customWidth="1"/>
    <col min="12" max="16" width="8.85546875" style="120" customWidth="1"/>
    <col min="17" max="20" width="8.85546875" style="41" customWidth="1"/>
    <col min="21" max="21" width="9.42578125" style="41" hidden="1" customWidth="1"/>
    <col min="22" max="22" width="8.85546875" style="41" hidden="1" customWidth="1"/>
    <col min="23" max="23" width="18.140625" style="185" hidden="1" customWidth="1"/>
    <col min="24" max="24" width="18.28515625" style="167" hidden="1" customWidth="1"/>
    <col min="25" max="25" width="14.140625" style="69" customWidth="1"/>
    <col min="26" max="26" width="19.7109375" style="69" hidden="1" customWidth="1"/>
    <col min="27" max="27" width="8.85546875" style="69"/>
    <col min="28" max="16384" width="8.85546875" style="41"/>
  </cols>
  <sheetData>
    <row r="1" spans="1:27" s="111" customFormat="1" ht="33" thickBot="1">
      <c r="A1" s="107" t="s">
        <v>0</v>
      </c>
      <c r="B1" s="107" t="s">
        <v>1</v>
      </c>
      <c r="C1" s="108" t="s">
        <v>2</v>
      </c>
      <c r="D1" s="108" t="s">
        <v>3</v>
      </c>
      <c r="E1" s="109" t="s">
        <v>4</v>
      </c>
      <c r="F1" s="107" t="s">
        <v>5</v>
      </c>
      <c r="G1" s="107" t="s">
        <v>6</v>
      </c>
      <c r="H1" s="110" t="s">
        <v>7</v>
      </c>
      <c r="I1" s="107" t="s">
        <v>8</v>
      </c>
      <c r="J1" s="107" t="s">
        <v>9</v>
      </c>
      <c r="K1" s="107" t="s">
        <v>10</v>
      </c>
      <c r="L1" s="107" t="s">
        <v>11</v>
      </c>
      <c r="M1" s="107" t="s">
        <v>12</v>
      </c>
      <c r="N1" s="107" t="s">
        <v>13</v>
      </c>
      <c r="O1" s="107" t="s">
        <v>14</v>
      </c>
      <c r="P1" s="107" t="s">
        <v>15</v>
      </c>
      <c r="U1" s="191" t="s">
        <v>16</v>
      </c>
      <c r="W1" s="192" t="s">
        <v>17</v>
      </c>
      <c r="X1" s="193" t="s">
        <v>18</v>
      </c>
      <c r="Y1" s="194" t="s">
        <v>19</v>
      </c>
      <c r="Z1" s="33" t="s">
        <v>20</v>
      </c>
      <c r="AA1" s="112"/>
    </row>
    <row r="2" spans="1:27">
      <c r="A2" s="68" t="s">
        <v>21</v>
      </c>
      <c r="B2" s="68" t="s">
        <v>21</v>
      </c>
      <c r="C2" s="40"/>
      <c r="D2" s="40"/>
      <c r="E2" s="81"/>
      <c r="F2" s="68"/>
      <c r="G2" s="68"/>
      <c r="H2" s="82"/>
      <c r="I2" s="113"/>
      <c r="J2" s="113"/>
      <c r="K2" s="113"/>
      <c r="L2" s="113"/>
      <c r="M2" s="113"/>
      <c r="N2" s="113"/>
      <c r="O2" s="113"/>
      <c r="P2" s="113"/>
      <c r="W2" s="186"/>
      <c r="X2" s="163"/>
      <c r="Y2" s="164" t="str">
        <f>IF(W2&lt;&gt;"",W2*X2,"")</f>
        <v/>
      </c>
      <c r="Z2" s="164" t="str">
        <f>IF(AND(W2&lt;&gt;"",U2="yes"),W2*X2,"")</f>
        <v/>
      </c>
    </row>
    <row r="3" spans="1:27">
      <c r="A3" s="68" t="s">
        <v>22</v>
      </c>
      <c r="B3" s="68" t="s">
        <v>22</v>
      </c>
      <c r="C3" s="40"/>
      <c r="D3" s="40"/>
      <c r="E3" s="81"/>
      <c r="F3" s="68"/>
      <c r="G3" s="68"/>
      <c r="H3" s="82"/>
      <c r="I3" s="113"/>
      <c r="J3" s="113"/>
      <c r="K3" s="113"/>
      <c r="L3" s="113"/>
      <c r="M3" s="113"/>
      <c r="N3" s="113"/>
      <c r="O3" s="113"/>
      <c r="P3" s="113"/>
      <c r="W3" s="186"/>
      <c r="X3" s="163"/>
      <c r="Y3" s="164" t="str">
        <f t="shared" ref="Y3:Y67" si="0">IF(W3&lt;&gt;"",W3*X3,"")</f>
        <v/>
      </c>
      <c r="Z3" s="164" t="str">
        <f>IF(AND(W3&lt;&gt;"",U3="yes"),W3*X3,"")</f>
        <v/>
      </c>
    </row>
    <row r="4" spans="1:27">
      <c r="A4" s="68" t="s">
        <v>23</v>
      </c>
      <c r="B4" s="68" t="s">
        <v>23</v>
      </c>
      <c r="C4" s="40"/>
      <c r="D4" s="40"/>
      <c r="E4" s="81"/>
      <c r="F4" s="68"/>
      <c r="G4" s="68"/>
      <c r="H4" s="82"/>
      <c r="I4" s="113"/>
      <c r="J4" s="113"/>
      <c r="K4" s="113"/>
      <c r="L4" s="113"/>
      <c r="M4" s="113"/>
      <c r="N4" s="113"/>
      <c r="O4" s="113"/>
      <c r="P4" s="113"/>
      <c r="W4" s="186"/>
      <c r="X4" s="163"/>
      <c r="Y4" s="164" t="str">
        <f t="shared" si="0"/>
        <v/>
      </c>
      <c r="Z4" s="164" t="str">
        <f>IF(AND(W4&lt;&gt;"",U4="yes"),W4*X4,"")</f>
        <v/>
      </c>
    </row>
    <row r="5" spans="1:27">
      <c r="A5" s="68" t="s">
        <v>24</v>
      </c>
      <c r="B5" s="68" t="s">
        <v>24</v>
      </c>
      <c r="C5" s="40"/>
      <c r="D5" s="40"/>
      <c r="E5" s="81"/>
      <c r="F5" s="68"/>
      <c r="G5" s="68"/>
      <c r="H5" s="82"/>
      <c r="I5" s="113"/>
      <c r="J5" s="113"/>
      <c r="K5" s="113"/>
      <c r="L5" s="113"/>
      <c r="M5" s="113"/>
      <c r="N5" s="113"/>
      <c r="O5" s="113"/>
      <c r="P5" s="113"/>
      <c r="W5" s="186"/>
      <c r="X5" s="163"/>
      <c r="Y5" s="164" t="str">
        <f t="shared" si="0"/>
        <v/>
      </c>
      <c r="Z5" s="164" t="str">
        <f>IF(AND(W5&lt;&gt;"",U5="yes"),W5*X5,"")</f>
        <v/>
      </c>
    </row>
    <row r="6" spans="1:27">
      <c r="A6" s="68" t="s">
        <v>25</v>
      </c>
      <c r="B6" s="68" t="s">
        <v>25</v>
      </c>
      <c r="C6" s="40"/>
      <c r="D6" s="40"/>
      <c r="E6" s="81"/>
      <c r="F6" s="68"/>
      <c r="G6" s="68"/>
      <c r="H6" s="82"/>
      <c r="I6" s="113"/>
      <c r="J6" s="113"/>
      <c r="K6" s="113"/>
      <c r="L6" s="113"/>
      <c r="M6" s="113"/>
      <c r="N6" s="113"/>
      <c r="O6" s="113"/>
      <c r="P6" s="113"/>
      <c r="W6" s="186"/>
      <c r="X6" s="163"/>
      <c r="Y6" s="164"/>
      <c r="Z6" s="164"/>
    </row>
    <row r="7" spans="1:27">
      <c r="A7" s="68" t="s">
        <v>26</v>
      </c>
      <c r="B7" s="68" t="s">
        <v>27</v>
      </c>
      <c r="C7" s="40"/>
      <c r="D7" s="40"/>
      <c r="E7" s="81"/>
      <c r="F7" s="68"/>
      <c r="G7" s="68"/>
      <c r="H7" s="82"/>
      <c r="I7" s="113"/>
      <c r="J7" s="113"/>
      <c r="K7" s="113"/>
      <c r="L7" s="113"/>
      <c r="M7" s="41"/>
      <c r="N7" s="113"/>
      <c r="O7" s="113"/>
      <c r="P7" s="113" t="s">
        <v>28</v>
      </c>
      <c r="W7" s="186"/>
      <c r="X7" s="163"/>
      <c r="Y7" s="164"/>
      <c r="Z7" s="164"/>
    </row>
    <row r="8" spans="1:27">
      <c r="A8" s="68" t="s">
        <v>29</v>
      </c>
      <c r="B8" s="68" t="s">
        <v>29</v>
      </c>
      <c r="C8" s="40"/>
      <c r="D8" s="40"/>
      <c r="E8" s="81"/>
      <c r="F8" s="68"/>
      <c r="G8" s="68"/>
      <c r="H8" s="82"/>
      <c r="I8" s="113"/>
      <c r="J8" s="113"/>
      <c r="K8" s="113"/>
      <c r="L8" s="113"/>
      <c r="M8" s="113" t="s">
        <v>30</v>
      </c>
      <c r="N8" s="113"/>
      <c r="O8" s="113" t="s">
        <v>31</v>
      </c>
      <c r="P8" s="113"/>
      <c r="W8" s="186"/>
      <c r="X8" s="163"/>
      <c r="Y8" s="164"/>
      <c r="Z8" s="164"/>
    </row>
    <row r="9" spans="1:27" s="70" customFormat="1" ht="15.95">
      <c r="A9" s="70" t="s">
        <v>32</v>
      </c>
      <c r="B9" s="70" t="s">
        <v>33</v>
      </c>
      <c r="C9" s="71" t="s">
        <v>34</v>
      </c>
      <c r="D9" s="71" t="s">
        <v>35</v>
      </c>
      <c r="E9" s="72"/>
      <c r="H9" s="76"/>
      <c r="I9" s="114"/>
      <c r="J9" s="114"/>
      <c r="L9" s="114"/>
      <c r="M9" s="114"/>
      <c r="N9" s="114"/>
      <c r="O9" s="114"/>
      <c r="P9" s="114"/>
      <c r="W9" s="190"/>
      <c r="X9" s="202"/>
      <c r="Y9" s="168"/>
      <c r="Z9" s="168"/>
    </row>
    <row r="10" spans="1:27" ht="15.95">
      <c r="A10" s="68" t="s">
        <v>36</v>
      </c>
      <c r="B10" s="68" t="s">
        <v>37</v>
      </c>
      <c r="C10" s="40" t="s">
        <v>38</v>
      </c>
      <c r="D10" s="40" t="s">
        <v>39</v>
      </c>
      <c r="E10" s="81"/>
      <c r="F10" s="68"/>
      <c r="G10" s="68"/>
      <c r="H10" s="82"/>
      <c r="I10" s="113" t="s">
        <v>40</v>
      </c>
      <c r="J10" s="113"/>
      <c r="K10" s="113"/>
      <c r="L10" s="113"/>
      <c r="M10" s="113"/>
      <c r="N10" s="114" t="s">
        <v>41</v>
      </c>
      <c r="O10" s="113"/>
      <c r="P10" s="113"/>
      <c r="U10" s="41" t="s">
        <v>42</v>
      </c>
      <c r="W10" s="186"/>
      <c r="X10" s="163"/>
      <c r="Y10" s="164" t="str">
        <f t="shared" si="0"/>
        <v/>
      </c>
      <c r="Z10" s="164" t="str">
        <f>IF(AND(W10&lt;&gt;"",U10="yes"),W10*X10,"")</f>
        <v/>
      </c>
    </row>
    <row r="11" spans="1:27">
      <c r="A11" s="68" t="s">
        <v>26</v>
      </c>
      <c r="B11" s="68" t="s">
        <v>43</v>
      </c>
      <c r="C11" s="40"/>
      <c r="D11" s="40"/>
      <c r="E11" s="81"/>
      <c r="F11" s="68"/>
      <c r="G11" s="68"/>
      <c r="H11" s="82"/>
      <c r="I11" s="113"/>
      <c r="J11" s="113"/>
      <c r="K11" s="113"/>
      <c r="L11" s="113"/>
      <c r="M11" s="113"/>
      <c r="N11" s="113"/>
      <c r="O11" s="113"/>
      <c r="P11" s="113" t="s">
        <v>44</v>
      </c>
      <c r="U11" s="41" t="s">
        <v>42</v>
      </c>
      <c r="W11" s="186"/>
      <c r="X11" s="163"/>
      <c r="Y11" s="164" t="str">
        <f t="shared" si="0"/>
        <v/>
      </c>
      <c r="Z11" s="164" t="str">
        <f>IF(AND(W11&lt;&gt;"",U11="yes"),W11*X11,"")</f>
        <v/>
      </c>
    </row>
    <row r="12" spans="1:27" s="70" customFormat="1" ht="15.95" thickBot="1">
      <c r="A12" s="77"/>
      <c r="B12" s="77"/>
      <c r="C12" s="78"/>
      <c r="D12" s="78"/>
      <c r="E12" s="79"/>
      <c r="F12" s="77"/>
      <c r="G12" s="77"/>
      <c r="H12" s="80"/>
      <c r="I12" s="116"/>
      <c r="J12" s="116"/>
      <c r="K12" s="116"/>
      <c r="L12" s="116"/>
      <c r="M12" s="116"/>
      <c r="N12" s="116"/>
      <c r="O12" s="116"/>
      <c r="P12" s="116"/>
      <c r="W12" s="186"/>
      <c r="X12" s="163"/>
      <c r="Y12" s="164"/>
      <c r="Z12" s="164"/>
      <c r="AA12" s="69"/>
    </row>
    <row r="13" spans="1:27" ht="225" thickTop="1">
      <c r="A13" s="68" t="s">
        <v>45</v>
      </c>
      <c r="B13" s="68" t="s">
        <v>46</v>
      </c>
      <c r="C13" s="214" t="s">
        <v>47</v>
      </c>
      <c r="D13" s="279" t="s">
        <v>48</v>
      </c>
      <c r="E13" s="81"/>
      <c r="F13" s="68" t="s">
        <v>49</v>
      </c>
      <c r="G13" s="68" t="s">
        <v>50</v>
      </c>
      <c r="H13" s="82"/>
      <c r="I13" s="113" t="s">
        <v>51</v>
      </c>
      <c r="J13" s="113"/>
      <c r="K13" s="113"/>
      <c r="L13" s="113"/>
      <c r="M13" s="113"/>
      <c r="N13" s="113"/>
      <c r="O13" s="113"/>
      <c r="P13" s="113"/>
      <c r="U13" s="41" t="s">
        <v>52</v>
      </c>
      <c r="W13" s="186">
        <v>50.822540283203125</v>
      </c>
      <c r="X13" s="163"/>
      <c r="Y13" s="164">
        <f t="shared" si="0"/>
        <v>0</v>
      </c>
      <c r="Z13" s="164" t="str">
        <f>IF(AND(W13&lt;&gt;"",U13="yes"),W13*X13,"")</f>
        <v/>
      </c>
    </row>
    <row r="14" spans="1:27" ht="15.95">
      <c r="A14" s="68" t="s">
        <v>53</v>
      </c>
      <c r="B14" s="68" t="s">
        <v>54</v>
      </c>
      <c r="C14" s="40" t="s">
        <v>55</v>
      </c>
      <c r="D14" s="40" t="s">
        <v>56</v>
      </c>
      <c r="E14" s="81"/>
      <c r="F14" s="68"/>
      <c r="G14" s="68"/>
      <c r="H14" s="82"/>
      <c r="I14" s="113" t="s">
        <v>51</v>
      </c>
      <c r="J14" s="113"/>
      <c r="K14" s="113"/>
      <c r="L14" s="113"/>
      <c r="M14" s="113"/>
      <c r="N14" s="113"/>
      <c r="O14" s="113"/>
      <c r="P14" s="113"/>
      <c r="U14" s="41" t="s">
        <v>42</v>
      </c>
      <c r="W14" s="186">
        <v>3.5</v>
      </c>
      <c r="X14" s="163">
        <f>1</f>
        <v>1</v>
      </c>
      <c r="Y14" s="164">
        <f t="shared" si="0"/>
        <v>3.5</v>
      </c>
      <c r="Z14" s="164">
        <f>IF(AND(W14&lt;&gt;"",U14="yes"),W14*X14,"")</f>
        <v>3.5</v>
      </c>
    </row>
    <row r="15" spans="1:27" s="70" customFormat="1" ht="15.95">
      <c r="A15" s="73" t="s">
        <v>57</v>
      </c>
      <c r="B15" s="73" t="s">
        <v>58</v>
      </c>
      <c r="C15" s="74" t="s">
        <v>59</v>
      </c>
      <c r="D15" s="69" t="s">
        <v>60</v>
      </c>
      <c r="E15" s="72"/>
      <c r="F15" s="73" t="s">
        <v>61</v>
      </c>
      <c r="G15" s="73" t="s">
        <v>62</v>
      </c>
      <c r="H15" s="76"/>
      <c r="I15" s="113" t="s">
        <v>51</v>
      </c>
      <c r="J15" s="114"/>
      <c r="K15" s="114"/>
      <c r="L15" s="114"/>
      <c r="M15" s="113" t="s">
        <v>63</v>
      </c>
      <c r="N15" s="114"/>
      <c r="O15" s="114"/>
      <c r="P15" s="114"/>
      <c r="W15" s="186">
        <v>0</v>
      </c>
      <c r="X15" s="163">
        <v>1</v>
      </c>
      <c r="Y15" s="164">
        <f t="shared" ref="Y15" si="1">IF(W15&lt;&gt;"",W15*X15,"")</f>
        <v>0</v>
      </c>
      <c r="Z15" s="164"/>
      <c r="AA15" s="69"/>
    </row>
    <row r="16" spans="1:27" s="69" customFormat="1" ht="15.95">
      <c r="A16" s="73" t="s">
        <v>45</v>
      </c>
      <c r="B16" s="73" t="s">
        <v>64</v>
      </c>
      <c r="C16" s="74" t="s">
        <v>65</v>
      </c>
      <c r="D16" s="74" t="s">
        <v>66</v>
      </c>
      <c r="E16" s="92"/>
      <c r="F16" s="73"/>
      <c r="G16" s="73"/>
      <c r="H16" s="94"/>
      <c r="I16" s="115" t="s">
        <v>51</v>
      </c>
      <c r="J16" s="115"/>
      <c r="K16" s="115"/>
      <c r="L16" s="115"/>
      <c r="M16" s="115" t="s">
        <v>67</v>
      </c>
      <c r="N16" s="115"/>
      <c r="O16" s="115"/>
      <c r="P16" s="115"/>
      <c r="U16" s="69" t="s">
        <v>52</v>
      </c>
      <c r="W16" s="186">
        <v>0</v>
      </c>
      <c r="X16" s="163">
        <v>1</v>
      </c>
      <c r="Y16" s="164">
        <f t="shared" si="0"/>
        <v>0</v>
      </c>
      <c r="Z16" s="164" t="str">
        <f t="shared" ref="Z16:Z49" si="2">IF(AND(W16&lt;&gt;"",U16="yes"),W16*X16,"")</f>
        <v/>
      </c>
    </row>
    <row r="17" spans="1:27" s="69" customFormat="1" ht="15.95" thickBot="1">
      <c r="A17" s="83"/>
      <c r="B17" s="83"/>
      <c r="C17" s="84"/>
      <c r="D17" s="84"/>
      <c r="E17" s="85"/>
      <c r="F17" s="83"/>
      <c r="G17" s="83"/>
      <c r="H17" s="86"/>
      <c r="I17" s="117"/>
      <c r="J17" s="117"/>
      <c r="K17" s="117"/>
      <c r="L17" s="117"/>
      <c r="M17" s="117"/>
      <c r="N17" s="117"/>
      <c r="O17" s="117"/>
      <c r="P17" s="117"/>
      <c r="U17" s="69" t="s">
        <v>68</v>
      </c>
      <c r="W17" s="186" t="s">
        <v>68</v>
      </c>
      <c r="X17" s="163"/>
      <c r="Y17" s="164" t="str">
        <f t="shared" si="0"/>
        <v/>
      </c>
      <c r="Z17" s="164" t="str">
        <f t="shared" si="2"/>
        <v/>
      </c>
    </row>
    <row r="18" spans="1:27" s="66" customFormat="1" ht="17.100000000000001" thickTop="1">
      <c r="A18" s="63" t="s">
        <v>69</v>
      </c>
      <c r="B18" s="63" t="s">
        <v>70</v>
      </c>
      <c r="C18" s="87" t="s">
        <v>71</v>
      </c>
      <c r="D18" s="87" t="s">
        <v>72</v>
      </c>
      <c r="E18" s="64"/>
      <c r="F18" s="63"/>
      <c r="G18" s="63"/>
      <c r="H18" s="65"/>
      <c r="I18" s="118" t="s">
        <v>51</v>
      </c>
      <c r="J18" s="118"/>
      <c r="K18" s="118"/>
      <c r="L18" s="118"/>
      <c r="M18" s="118" t="s">
        <v>63</v>
      </c>
      <c r="N18" s="118"/>
      <c r="O18" s="118"/>
      <c r="P18" s="118"/>
      <c r="U18" s="41" t="s">
        <v>42</v>
      </c>
      <c r="W18" s="186"/>
      <c r="X18" s="163"/>
      <c r="Y18" s="164" t="str">
        <f t="shared" si="0"/>
        <v/>
      </c>
      <c r="Z18" s="164" t="str">
        <f t="shared" si="2"/>
        <v/>
      </c>
      <c r="AA18" s="67"/>
    </row>
    <row r="19" spans="1:27" s="70" customFormat="1">
      <c r="C19" s="71"/>
      <c r="D19" s="71"/>
      <c r="E19" s="72"/>
      <c r="H19" s="76"/>
      <c r="I19" s="114"/>
      <c r="J19" s="114"/>
      <c r="K19" s="114"/>
      <c r="L19" s="114"/>
      <c r="M19" s="114"/>
      <c r="N19" s="114"/>
      <c r="O19" s="114"/>
      <c r="P19" s="114"/>
      <c r="U19" s="70" t="s">
        <v>68</v>
      </c>
      <c r="W19" s="186" t="s">
        <v>68</v>
      </c>
      <c r="X19" s="69"/>
      <c r="Y19" s="164" t="str">
        <f t="shared" ref="Y19" si="3">IF(W19&lt;&gt;"",W19*X19,"")</f>
        <v/>
      </c>
      <c r="Z19" s="164" t="str">
        <f t="shared" si="2"/>
        <v/>
      </c>
      <c r="AA19" s="69"/>
    </row>
    <row r="20" spans="1:27" s="70" customFormat="1" ht="15.95">
      <c r="A20" s="73" t="s">
        <v>73</v>
      </c>
      <c r="B20" s="73" t="s">
        <v>74</v>
      </c>
      <c r="C20" s="74" t="s">
        <v>75</v>
      </c>
      <c r="D20" s="74" t="s">
        <v>76</v>
      </c>
      <c r="E20" s="72"/>
      <c r="F20" s="69" t="s">
        <v>77</v>
      </c>
      <c r="G20" s="69" t="s">
        <v>78</v>
      </c>
      <c r="H20" s="76"/>
      <c r="I20" s="115" t="s">
        <v>40</v>
      </c>
      <c r="J20" s="115"/>
      <c r="K20" s="115"/>
      <c r="L20" s="115"/>
      <c r="M20" s="115"/>
      <c r="N20" s="115"/>
      <c r="O20" s="115"/>
      <c r="P20" s="115"/>
      <c r="U20" s="69" t="s">
        <v>42</v>
      </c>
      <c r="W20" s="186">
        <v>10</v>
      </c>
      <c r="X20" s="163">
        <f>1</f>
        <v>1</v>
      </c>
      <c r="Y20" s="164">
        <f t="shared" si="0"/>
        <v>10</v>
      </c>
      <c r="Z20" s="164">
        <f t="shared" si="2"/>
        <v>10</v>
      </c>
      <c r="AA20" s="69"/>
    </row>
    <row r="21" spans="1:27" s="70" customFormat="1" ht="15.95">
      <c r="A21" s="73" t="s">
        <v>73</v>
      </c>
      <c r="B21" s="73" t="s">
        <v>79</v>
      </c>
      <c r="C21" s="74" t="s">
        <v>80</v>
      </c>
      <c r="D21" s="74" t="s">
        <v>81</v>
      </c>
      <c r="E21" s="72"/>
      <c r="F21" s="69" t="s">
        <v>82</v>
      </c>
      <c r="G21" s="69" t="s">
        <v>83</v>
      </c>
      <c r="H21" s="76"/>
      <c r="I21" s="115" t="s">
        <v>40</v>
      </c>
      <c r="J21" s="115"/>
      <c r="K21" s="115"/>
      <c r="L21" s="115"/>
      <c r="M21" s="115"/>
      <c r="N21" s="115"/>
      <c r="O21" s="115"/>
      <c r="P21" s="115"/>
      <c r="U21" s="69" t="s">
        <v>42</v>
      </c>
      <c r="W21" s="186">
        <v>10</v>
      </c>
      <c r="X21" s="163">
        <f>1</f>
        <v>1</v>
      </c>
      <c r="Y21" s="164">
        <f t="shared" si="0"/>
        <v>10</v>
      </c>
      <c r="Z21" s="164">
        <f t="shared" si="2"/>
        <v>10</v>
      </c>
      <c r="AA21" s="69"/>
    </row>
    <row r="22" spans="1:27" s="70" customFormat="1">
      <c r="C22" s="71"/>
      <c r="E22" s="72"/>
      <c r="H22" s="76"/>
      <c r="I22" s="114"/>
      <c r="J22" s="114"/>
      <c r="K22" s="114"/>
      <c r="L22" s="114"/>
      <c r="M22" s="114"/>
      <c r="N22" s="114"/>
      <c r="O22" s="114"/>
      <c r="P22" s="114"/>
      <c r="U22" s="70" t="s">
        <v>68</v>
      </c>
      <c r="W22" s="186" t="s">
        <v>68</v>
      </c>
      <c r="X22" s="163">
        <f>1</f>
        <v>1</v>
      </c>
      <c r="Y22" s="164" t="str">
        <f t="shared" si="0"/>
        <v/>
      </c>
      <c r="Z22" s="164" t="str">
        <f t="shared" si="2"/>
        <v/>
      </c>
      <c r="AA22" s="69"/>
    </row>
    <row r="23" spans="1:27" ht="15.95">
      <c r="A23" s="68" t="s">
        <v>84</v>
      </c>
      <c r="B23" s="68" t="s">
        <v>85</v>
      </c>
      <c r="C23" s="40" t="s">
        <v>86</v>
      </c>
      <c r="D23" s="74" t="s">
        <v>87</v>
      </c>
      <c r="E23" s="92"/>
      <c r="F23" s="73" t="s">
        <v>88</v>
      </c>
      <c r="G23" s="68" t="s">
        <v>89</v>
      </c>
      <c r="H23" s="82"/>
      <c r="I23" s="113" t="s">
        <v>40</v>
      </c>
      <c r="J23" s="113"/>
      <c r="K23" s="113" t="s">
        <v>90</v>
      </c>
      <c r="L23" s="113"/>
      <c r="M23" s="113"/>
      <c r="N23" s="113"/>
      <c r="O23" s="113"/>
      <c r="P23" s="113"/>
      <c r="U23" s="41" t="s">
        <v>42</v>
      </c>
      <c r="W23" s="186">
        <v>13.753072738647461</v>
      </c>
      <c r="X23" s="163">
        <f>1</f>
        <v>1</v>
      </c>
      <c r="Y23" s="164">
        <f t="shared" si="0"/>
        <v>13.753072738647461</v>
      </c>
      <c r="Z23" s="164">
        <f t="shared" si="2"/>
        <v>13.753072738647461</v>
      </c>
    </row>
    <row r="24" spans="1:27">
      <c r="E24" s="81"/>
      <c r="H24" s="82"/>
      <c r="U24" s="41" t="s">
        <v>68</v>
      </c>
      <c r="W24" s="186" t="s">
        <v>68</v>
      </c>
      <c r="X24" s="163">
        <f>1</f>
        <v>1</v>
      </c>
      <c r="Y24" s="164" t="str">
        <f t="shared" si="0"/>
        <v/>
      </c>
      <c r="Z24" s="164" t="str">
        <f t="shared" si="2"/>
        <v/>
      </c>
    </row>
    <row r="25" spans="1:27" s="70" customFormat="1" ht="15.95">
      <c r="A25" s="70" t="s">
        <v>91</v>
      </c>
      <c r="B25" s="70" t="s">
        <v>92</v>
      </c>
      <c r="C25" s="71" t="s">
        <v>93</v>
      </c>
      <c r="D25" s="71" t="s">
        <v>94</v>
      </c>
      <c r="E25" s="72"/>
      <c r="F25" s="70" t="s">
        <v>95</v>
      </c>
      <c r="G25" s="70" t="s">
        <v>96</v>
      </c>
      <c r="H25" s="76"/>
      <c r="I25" s="114" t="s">
        <v>40</v>
      </c>
      <c r="J25" s="114"/>
      <c r="K25" s="114"/>
      <c r="L25" s="114"/>
      <c r="M25" s="114"/>
      <c r="N25" s="114"/>
      <c r="O25" s="114"/>
      <c r="P25" s="114"/>
      <c r="U25" s="70" t="s">
        <v>52</v>
      </c>
      <c r="W25" s="186">
        <v>2.1173560619354248</v>
      </c>
      <c r="X25" s="163">
        <f>1</f>
        <v>1</v>
      </c>
      <c r="Y25" s="164">
        <f t="shared" si="0"/>
        <v>2.1173560619354248</v>
      </c>
      <c r="Z25" s="164" t="str">
        <f t="shared" si="2"/>
        <v/>
      </c>
      <c r="AA25" s="69"/>
    </row>
    <row r="26" spans="1:27" s="70" customFormat="1">
      <c r="C26" s="71"/>
      <c r="D26" s="71"/>
      <c r="E26" s="72"/>
      <c r="H26" s="76"/>
      <c r="I26" s="123"/>
      <c r="J26" s="123"/>
      <c r="K26" s="123"/>
      <c r="L26" s="122"/>
      <c r="M26" s="123"/>
      <c r="N26" s="123"/>
      <c r="O26" s="114"/>
      <c r="P26" s="114"/>
      <c r="U26" s="70" t="s">
        <v>68</v>
      </c>
      <c r="W26" s="186" t="s">
        <v>68</v>
      </c>
      <c r="X26" s="163">
        <f>1</f>
        <v>1</v>
      </c>
      <c r="Y26" s="164" t="str">
        <f t="shared" si="0"/>
        <v/>
      </c>
      <c r="Z26" s="164" t="str">
        <f t="shared" si="2"/>
        <v/>
      </c>
      <c r="AA26" s="69"/>
    </row>
    <row r="27" spans="1:27" s="89" customFormat="1" ht="15.95">
      <c r="A27" s="154" t="s">
        <v>73</v>
      </c>
      <c r="B27" s="154" t="s">
        <v>97</v>
      </c>
      <c r="C27" s="155" t="s">
        <v>98</v>
      </c>
      <c r="D27" s="155" t="s">
        <v>99</v>
      </c>
      <c r="E27" s="157"/>
      <c r="F27" s="156"/>
      <c r="G27" s="156"/>
      <c r="H27" s="158"/>
      <c r="I27" s="153" t="s">
        <v>40</v>
      </c>
      <c r="J27" s="153" t="s">
        <v>100</v>
      </c>
      <c r="K27" s="123" t="s">
        <v>101</v>
      </c>
      <c r="L27" s="153" t="s">
        <v>102</v>
      </c>
      <c r="M27" s="153"/>
      <c r="N27" s="153"/>
      <c r="O27" s="153"/>
      <c r="P27" s="122"/>
      <c r="U27" s="156" t="s">
        <v>103</v>
      </c>
      <c r="W27" s="186">
        <v>10</v>
      </c>
      <c r="X27" s="163">
        <f>1</f>
        <v>1</v>
      </c>
      <c r="Y27" s="164">
        <f t="shared" si="0"/>
        <v>10</v>
      </c>
      <c r="Z27" s="164" t="str">
        <f t="shared" si="2"/>
        <v/>
      </c>
    </row>
    <row r="28" spans="1:27" s="89" customFormat="1" ht="45.75">
      <c r="A28" s="154" t="s">
        <v>104</v>
      </c>
      <c r="B28" s="154" t="s">
        <v>105</v>
      </c>
      <c r="C28" s="155" t="s">
        <v>106</v>
      </c>
      <c r="D28" s="155" t="s">
        <v>107</v>
      </c>
      <c r="E28" s="157"/>
      <c r="F28" s="156"/>
      <c r="G28" s="156"/>
      <c r="H28" s="158"/>
      <c r="I28" s="153" t="s">
        <v>40</v>
      </c>
      <c r="J28" s="153"/>
      <c r="K28" s="122"/>
      <c r="L28" s="153"/>
      <c r="M28" s="153"/>
      <c r="N28" s="153"/>
      <c r="O28" s="153"/>
      <c r="P28" s="122"/>
      <c r="U28" s="156" t="s">
        <v>103</v>
      </c>
      <c r="W28" s="186">
        <v>10</v>
      </c>
      <c r="X28" s="163">
        <f>1</f>
        <v>1</v>
      </c>
      <c r="Y28" s="164">
        <f t="shared" si="0"/>
        <v>10</v>
      </c>
      <c r="Z28" s="164" t="str">
        <f t="shared" si="2"/>
        <v/>
      </c>
    </row>
    <row r="29" spans="1:27" s="89" customFormat="1" ht="15.95">
      <c r="A29" s="154" t="s">
        <v>73</v>
      </c>
      <c r="B29" s="154" t="s">
        <v>108</v>
      </c>
      <c r="C29" s="155" t="s">
        <v>109</v>
      </c>
      <c r="D29" s="155" t="s">
        <v>110</v>
      </c>
      <c r="E29" s="157"/>
      <c r="F29" s="156"/>
      <c r="G29" s="156"/>
      <c r="H29" s="158"/>
      <c r="I29" s="153" t="s">
        <v>40</v>
      </c>
      <c r="J29" s="153" t="s">
        <v>100</v>
      </c>
      <c r="K29" s="123" t="s">
        <v>101</v>
      </c>
      <c r="L29" s="153" t="s">
        <v>102</v>
      </c>
      <c r="M29" s="153" t="s">
        <v>111</v>
      </c>
      <c r="N29" s="153"/>
      <c r="O29" s="153"/>
      <c r="P29" s="122"/>
      <c r="U29" s="156" t="s">
        <v>103</v>
      </c>
      <c r="W29" s="186">
        <v>10</v>
      </c>
      <c r="X29" s="163">
        <f>1</f>
        <v>1</v>
      </c>
      <c r="Y29" s="164">
        <f t="shared" si="0"/>
        <v>10</v>
      </c>
      <c r="Z29" s="164" t="str">
        <f t="shared" si="2"/>
        <v/>
      </c>
    </row>
    <row r="30" spans="1:27" s="89" customFormat="1" ht="15.95">
      <c r="A30" s="154" t="s">
        <v>73</v>
      </c>
      <c r="B30" s="154" t="s">
        <v>112</v>
      </c>
      <c r="C30" s="155" t="s">
        <v>113</v>
      </c>
      <c r="D30" s="155" t="s">
        <v>114</v>
      </c>
      <c r="E30" s="157"/>
      <c r="F30" s="156"/>
      <c r="G30" s="156"/>
      <c r="H30" s="158"/>
      <c r="I30" s="153" t="s">
        <v>40</v>
      </c>
      <c r="J30" s="153"/>
      <c r="K30" s="122"/>
      <c r="L30" s="153"/>
      <c r="M30" s="153" t="s">
        <v>115</v>
      </c>
      <c r="N30" s="153"/>
      <c r="O30" s="153"/>
      <c r="P30" s="122"/>
      <c r="U30" s="156" t="s">
        <v>103</v>
      </c>
      <c r="W30" s="186">
        <v>10</v>
      </c>
      <c r="X30" s="163">
        <f>1</f>
        <v>1</v>
      </c>
      <c r="Y30" s="164">
        <f t="shared" si="0"/>
        <v>10</v>
      </c>
      <c r="Z30" s="164" t="str">
        <f t="shared" si="2"/>
        <v/>
      </c>
    </row>
    <row r="31" spans="1:27" s="89" customFormat="1" ht="45.75">
      <c r="A31" s="154" t="s">
        <v>104</v>
      </c>
      <c r="B31" s="154" t="s">
        <v>116</v>
      </c>
      <c r="C31" s="155" t="s">
        <v>106</v>
      </c>
      <c r="D31" s="155" t="s">
        <v>107</v>
      </c>
      <c r="E31" s="157"/>
      <c r="F31" s="68"/>
      <c r="G31" s="68"/>
      <c r="H31" s="158"/>
      <c r="I31" s="153" t="s">
        <v>40</v>
      </c>
      <c r="J31" s="153"/>
      <c r="K31" s="122"/>
      <c r="L31" s="153"/>
      <c r="M31" s="153" t="s">
        <v>111</v>
      </c>
      <c r="N31" s="153"/>
      <c r="O31" s="153"/>
      <c r="P31" s="122"/>
      <c r="U31" s="156" t="s">
        <v>103</v>
      </c>
      <c r="W31" s="186">
        <v>10</v>
      </c>
      <c r="X31" s="163">
        <f>1</f>
        <v>1</v>
      </c>
      <c r="Y31" s="164">
        <f t="shared" si="0"/>
        <v>10</v>
      </c>
      <c r="Z31" s="164" t="str">
        <f t="shared" si="2"/>
        <v/>
      </c>
    </row>
    <row r="32" spans="1:27" s="89" customFormat="1" ht="15.95">
      <c r="A32" s="154" t="s">
        <v>73</v>
      </c>
      <c r="B32" s="154" t="s">
        <v>117</v>
      </c>
      <c r="C32" s="155" t="s">
        <v>109</v>
      </c>
      <c r="D32" s="155" t="s">
        <v>110</v>
      </c>
      <c r="E32" s="157"/>
      <c r="F32" s="156"/>
      <c r="G32" s="156"/>
      <c r="H32" s="158"/>
      <c r="I32" s="153" t="s">
        <v>40</v>
      </c>
      <c r="J32" s="153" t="s">
        <v>100</v>
      </c>
      <c r="K32" s="123" t="s">
        <v>101</v>
      </c>
      <c r="L32" s="153" t="s">
        <v>102</v>
      </c>
      <c r="M32" s="153" t="s">
        <v>118</v>
      </c>
      <c r="N32" s="153"/>
      <c r="O32" s="153"/>
      <c r="P32" s="122"/>
      <c r="U32" s="156" t="s">
        <v>103</v>
      </c>
      <c r="W32" s="186">
        <v>10</v>
      </c>
      <c r="X32" s="163">
        <f>1</f>
        <v>1</v>
      </c>
      <c r="Y32" s="164">
        <f t="shared" si="0"/>
        <v>10</v>
      </c>
      <c r="Z32" s="164" t="str">
        <f t="shared" si="2"/>
        <v/>
      </c>
    </row>
    <row r="33" spans="1:27" s="89" customFormat="1" ht="15.95">
      <c r="A33" s="154" t="s">
        <v>73</v>
      </c>
      <c r="B33" s="154" t="s">
        <v>119</v>
      </c>
      <c r="C33" s="155" t="s">
        <v>113</v>
      </c>
      <c r="D33" s="155" t="s">
        <v>114</v>
      </c>
      <c r="E33" s="157"/>
      <c r="F33" s="156"/>
      <c r="G33" s="156"/>
      <c r="H33" s="158"/>
      <c r="I33" s="153" t="s">
        <v>40</v>
      </c>
      <c r="J33" s="153"/>
      <c r="K33" s="122"/>
      <c r="L33" s="153"/>
      <c r="M33" s="153" t="s">
        <v>120</v>
      </c>
      <c r="N33" s="153"/>
      <c r="O33" s="153"/>
      <c r="P33" s="122"/>
      <c r="U33" s="156" t="s">
        <v>103</v>
      </c>
      <c r="W33" s="186">
        <v>10</v>
      </c>
      <c r="X33" s="163">
        <f>1</f>
        <v>1</v>
      </c>
      <c r="Y33" s="164">
        <f t="shared" si="0"/>
        <v>10</v>
      </c>
      <c r="Z33" s="164" t="str">
        <f t="shared" si="2"/>
        <v/>
      </c>
    </row>
    <row r="34" spans="1:27" s="70" customFormat="1">
      <c r="C34" s="71"/>
      <c r="D34" s="71"/>
      <c r="E34" s="72"/>
      <c r="H34" s="76"/>
      <c r="I34" s="114"/>
      <c r="J34" s="114"/>
      <c r="K34" s="114"/>
      <c r="L34" s="121"/>
      <c r="M34" s="114"/>
      <c r="N34" s="114"/>
      <c r="O34" s="114"/>
      <c r="P34" s="114"/>
      <c r="U34" s="70" t="s">
        <v>68</v>
      </c>
      <c r="W34" s="186" t="s">
        <v>68</v>
      </c>
      <c r="X34" s="163">
        <f>1</f>
        <v>1</v>
      </c>
      <c r="Y34" s="164" t="str">
        <f t="shared" si="0"/>
        <v/>
      </c>
      <c r="Z34" s="164" t="str">
        <f t="shared" si="2"/>
        <v/>
      </c>
      <c r="AA34" s="69"/>
    </row>
    <row r="35" spans="1:27" ht="15.95">
      <c r="A35" s="68" t="s">
        <v>121</v>
      </c>
      <c r="B35" s="68" t="s">
        <v>122</v>
      </c>
      <c r="C35" s="40" t="s">
        <v>123</v>
      </c>
      <c r="D35" s="280" t="s">
        <v>124</v>
      </c>
      <c r="E35" s="81"/>
      <c r="F35" s="68" t="s">
        <v>125</v>
      </c>
      <c r="G35" s="68" t="s">
        <v>126</v>
      </c>
      <c r="H35" s="82"/>
      <c r="I35" s="113" t="s">
        <v>40</v>
      </c>
      <c r="J35" s="113" t="s">
        <v>127</v>
      </c>
      <c r="K35" s="113"/>
      <c r="L35" s="122"/>
      <c r="M35" s="113"/>
      <c r="N35" s="113"/>
      <c r="O35" s="113"/>
      <c r="P35" s="113"/>
      <c r="U35" s="41" t="s">
        <v>42</v>
      </c>
      <c r="W35" s="186">
        <v>8.8000000000000007</v>
      </c>
      <c r="X35" s="163">
        <f>1</f>
        <v>1</v>
      </c>
      <c r="Y35" s="164">
        <f t="shared" si="0"/>
        <v>8.8000000000000007</v>
      </c>
      <c r="Z35" s="164">
        <f t="shared" si="2"/>
        <v>8.8000000000000007</v>
      </c>
    </row>
    <row r="36" spans="1:27">
      <c r="A36" s="68" t="s">
        <v>26</v>
      </c>
      <c r="B36" s="68" t="s">
        <v>128</v>
      </c>
      <c r="C36" s="40"/>
      <c r="D36" s="68"/>
      <c r="E36" s="81"/>
      <c r="F36" s="68"/>
      <c r="G36" s="68"/>
      <c r="H36" s="82"/>
      <c r="I36" s="113"/>
      <c r="J36" s="113"/>
      <c r="K36" s="113"/>
      <c r="L36" s="113"/>
      <c r="M36" s="113"/>
      <c r="N36" s="113"/>
      <c r="O36" s="113"/>
      <c r="P36" s="113" t="s">
        <v>129</v>
      </c>
      <c r="U36" s="41" t="s">
        <v>42</v>
      </c>
      <c r="W36" s="186"/>
      <c r="X36" s="163">
        <f>1</f>
        <v>1</v>
      </c>
      <c r="Y36" s="164" t="str">
        <f t="shared" si="0"/>
        <v/>
      </c>
      <c r="Z36" s="164" t="str">
        <f t="shared" si="2"/>
        <v/>
      </c>
    </row>
    <row r="37" spans="1:27" ht="15.95">
      <c r="A37" s="68" t="s">
        <v>130</v>
      </c>
      <c r="B37" s="68" t="s">
        <v>131</v>
      </c>
      <c r="C37" s="40" t="s">
        <v>132</v>
      </c>
      <c r="D37" s="281" t="s">
        <v>133</v>
      </c>
      <c r="E37" s="81"/>
      <c r="F37" s="68"/>
      <c r="G37" s="40"/>
      <c r="H37" s="82"/>
      <c r="I37" s="113" t="s">
        <v>40</v>
      </c>
      <c r="J37" s="113" t="s">
        <v>127</v>
      </c>
      <c r="K37" s="113"/>
      <c r="L37" s="113"/>
      <c r="M37" s="113"/>
      <c r="N37" s="113" t="s">
        <v>134</v>
      </c>
      <c r="O37" s="113"/>
      <c r="P37" s="113"/>
      <c r="U37" s="41" t="s">
        <v>42</v>
      </c>
      <c r="W37" s="186">
        <v>10.4</v>
      </c>
      <c r="X37" s="163">
        <f>1</f>
        <v>1</v>
      </c>
      <c r="Y37" s="164">
        <f t="shared" si="0"/>
        <v>10.4</v>
      </c>
      <c r="Z37" s="164">
        <f t="shared" si="2"/>
        <v>10.4</v>
      </c>
    </row>
    <row r="38" spans="1:27">
      <c r="A38" s="68" t="s">
        <v>26</v>
      </c>
      <c r="B38" s="68" t="s">
        <v>135</v>
      </c>
      <c r="C38" s="40"/>
      <c r="D38" s="40"/>
      <c r="E38" s="81"/>
      <c r="F38" s="68"/>
      <c r="G38" s="68"/>
      <c r="H38" s="82"/>
      <c r="I38" s="113"/>
      <c r="J38" s="113"/>
      <c r="K38" s="113"/>
      <c r="L38" s="113"/>
      <c r="M38" s="113"/>
      <c r="N38" s="113"/>
      <c r="O38" s="113"/>
      <c r="P38" s="113" t="s">
        <v>136</v>
      </c>
      <c r="U38" s="41" t="s">
        <v>42</v>
      </c>
      <c r="W38" s="186"/>
      <c r="X38" s="163">
        <f>1</f>
        <v>1</v>
      </c>
      <c r="Y38" s="164" t="str">
        <f t="shared" si="0"/>
        <v/>
      </c>
      <c r="Z38" s="164" t="str">
        <f t="shared" si="2"/>
        <v/>
      </c>
    </row>
    <row r="39" spans="1:27">
      <c r="E39" s="81"/>
      <c r="H39" s="82"/>
      <c r="U39" s="41" t="s">
        <v>68</v>
      </c>
      <c r="W39" s="186" t="s">
        <v>68</v>
      </c>
      <c r="X39" s="163">
        <f>1</f>
        <v>1</v>
      </c>
      <c r="Y39" s="164" t="str">
        <f t="shared" si="0"/>
        <v/>
      </c>
      <c r="Z39" s="164" t="str">
        <f t="shared" si="2"/>
        <v/>
      </c>
    </row>
    <row r="40" spans="1:27" s="42" customFormat="1" ht="128.1">
      <c r="A40" s="40" t="s">
        <v>137</v>
      </c>
      <c r="B40" s="40" t="s">
        <v>138</v>
      </c>
      <c r="C40" s="40" t="s">
        <v>139</v>
      </c>
      <c r="D40" s="280" t="s">
        <v>140</v>
      </c>
      <c r="E40" s="81"/>
      <c r="F40" s="68" t="s">
        <v>141</v>
      </c>
      <c r="G40" s="40" t="s">
        <v>142</v>
      </c>
      <c r="H40" s="81"/>
      <c r="I40" s="39" t="s">
        <v>40</v>
      </c>
      <c r="J40" s="39"/>
      <c r="K40" s="39"/>
      <c r="L40" s="39"/>
      <c r="M40" s="39"/>
      <c r="N40" s="39"/>
      <c r="O40" s="39"/>
      <c r="P40" s="39"/>
      <c r="U40" s="42" t="s">
        <v>42</v>
      </c>
      <c r="W40" s="189">
        <v>31.372377395629883</v>
      </c>
      <c r="X40" s="163">
        <f>1</f>
        <v>1</v>
      </c>
      <c r="Y40" s="165">
        <f t="shared" si="0"/>
        <v>31.372377395629883</v>
      </c>
      <c r="Z40" s="165">
        <f t="shared" si="2"/>
        <v>31.372377395629883</v>
      </c>
      <c r="AA40" s="43"/>
    </row>
    <row r="41" spans="1:27" s="42" customFormat="1" ht="91.5">
      <c r="A41" s="70" t="s">
        <v>143</v>
      </c>
      <c r="B41" s="70" t="s">
        <v>144</v>
      </c>
      <c r="C41" s="71" t="s">
        <v>145</v>
      </c>
      <c r="D41" s="319" t="s">
        <v>146</v>
      </c>
      <c r="E41" s="81"/>
      <c r="F41" s="70" t="s">
        <v>147</v>
      </c>
      <c r="G41" s="320" t="s">
        <v>148</v>
      </c>
      <c r="H41" s="81"/>
      <c r="I41" s="114" t="s">
        <v>40</v>
      </c>
      <c r="J41" s="39"/>
      <c r="K41" s="39"/>
      <c r="L41" s="39"/>
      <c r="M41" s="39"/>
      <c r="N41" s="39"/>
      <c r="O41" s="39"/>
      <c r="P41" s="39"/>
      <c r="U41" s="70" t="s">
        <v>52</v>
      </c>
      <c r="V41" s="70"/>
      <c r="W41" s="186">
        <v>17</v>
      </c>
      <c r="X41" s="163">
        <f>1</f>
        <v>1</v>
      </c>
      <c r="Y41" s="164">
        <f t="shared" si="0"/>
        <v>17</v>
      </c>
      <c r="Z41" s="165"/>
      <c r="AA41" s="43"/>
    </row>
    <row r="42" spans="1:27">
      <c r="E42" s="81"/>
      <c r="H42" s="82"/>
      <c r="U42" s="41" t="s">
        <v>68</v>
      </c>
      <c r="W42" s="186" t="s">
        <v>68</v>
      </c>
      <c r="X42" s="163">
        <f>1</f>
        <v>1</v>
      </c>
      <c r="Y42" s="164" t="str">
        <f t="shared" si="0"/>
        <v/>
      </c>
      <c r="Z42" s="164" t="str">
        <f t="shared" si="2"/>
        <v/>
      </c>
    </row>
    <row r="43" spans="1:27" s="69" customFormat="1" ht="15.95" thickBot="1">
      <c r="A43" s="90" t="s">
        <v>149</v>
      </c>
      <c r="B43" s="90"/>
      <c r="C43" s="91"/>
      <c r="D43" s="91"/>
      <c r="E43" s="85"/>
      <c r="F43" s="90"/>
      <c r="G43" s="90"/>
      <c r="H43" s="86"/>
      <c r="I43" s="124"/>
      <c r="J43" s="124"/>
      <c r="K43" s="124"/>
      <c r="L43" s="124"/>
      <c r="M43" s="124"/>
      <c r="N43" s="124"/>
      <c r="O43" s="124"/>
      <c r="P43" s="124"/>
      <c r="U43" s="69" t="s">
        <v>68</v>
      </c>
      <c r="W43" s="186" t="s">
        <v>68</v>
      </c>
      <c r="X43" s="163"/>
      <c r="Y43" s="164" t="str">
        <f t="shared" si="0"/>
        <v/>
      </c>
      <c r="Z43" s="164" t="str">
        <f t="shared" si="2"/>
        <v/>
      </c>
    </row>
    <row r="44" spans="1:27" s="66" customFormat="1" ht="17.100000000000001" thickTop="1">
      <c r="A44" s="63" t="s">
        <v>69</v>
      </c>
      <c r="B44" s="63" t="s">
        <v>150</v>
      </c>
      <c r="C44" s="87" t="s">
        <v>151</v>
      </c>
      <c r="D44" s="87" t="s">
        <v>152</v>
      </c>
      <c r="E44" s="64"/>
      <c r="F44" s="63"/>
      <c r="G44" s="63"/>
      <c r="H44" s="65"/>
      <c r="I44" s="118" t="s">
        <v>51</v>
      </c>
      <c r="J44" s="118"/>
      <c r="K44" s="118"/>
      <c r="L44" s="118"/>
      <c r="M44" s="118" t="s">
        <v>153</v>
      </c>
      <c r="N44" s="118"/>
      <c r="O44" s="118"/>
      <c r="P44" s="118"/>
      <c r="U44" s="41" t="s">
        <v>42</v>
      </c>
      <c r="W44" s="186"/>
      <c r="X44" s="163"/>
      <c r="Y44" s="164" t="str">
        <f t="shared" si="0"/>
        <v/>
      </c>
      <c r="Z44" s="164" t="str">
        <f t="shared" si="2"/>
        <v/>
      </c>
      <c r="AA44" s="67"/>
    </row>
    <row r="45" spans="1:27">
      <c r="E45" s="81"/>
      <c r="H45" s="82"/>
      <c r="U45" s="41" t="s">
        <v>68</v>
      </c>
      <c r="W45" s="186" t="s">
        <v>68</v>
      </c>
      <c r="X45" s="163">
        <f>1</f>
        <v>1</v>
      </c>
      <c r="Y45" s="164" t="str">
        <f t="shared" si="0"/>
        <v/>
      </c>
      <c r="Z45" s="164" t="str">
        <f t="shared" si="2"/>
        <v/>
      </c>
    </row>
    <row r="46" spans="1:27" ht="15.95">
      <c r="A46" s="68" t="s">
        <v>143</v>
      </c>
      <c r="B46" s="68" t="s">
        <v>154</v>
      </c>
      <c r="C46" s="40" t="s">
        <v>155</v>
      </c>
      <c r="D46" s="40" t="s">
        <v>156</v>
      </c>
      <c r="E46" s="81"/>
      <c r="F46" s="68"/>
      <c r="G46" s="68"/>
      <c r="H46" s="82"/>
      <c r="I46" s="113" t="s">
        <v>40</v>
      </c>
      <c r="J46" s="113"/>
      <c r="K46" s="113"/>
      <c r="L46" s="113"/>
      <c r="M46" s="113"/>
      <c r="N46" s="113"/>
      <c r="O46" s="113"/>
      <c r="P46" s="113"/>
      <c r="U46" s="41" t="s">
        <v>42</v>
      </c>
      <c r="W46" s="208"/>
      <c r="X46" s="209"/>
      <c r="Y46" s="210"/>
      <c r="Z46" s="164"/>
    </row>
    <row r="47" spans="1:27" ht="15.95">
      <c r="A47" s="68" t="s">
        <v>91</v>
      </c>
      <c r="B47" s="68" t="s">
        <v>157</v>
      </c>
      <c r="C47" s="40" t="s">
        <v>158</v>
      </c>
      <c r="D47" s="280" t="s">
        <v>159</v>
      </c>
      <c r="E47" s="81"/>
      <c r="F47" s="68"/>
      <c r="G47" s="68"/>
      <c r="H47" s="82"/>
      <c r="I47" s="113" t="s">
        <v>40</v>
      </c>
      <c r="J47" s="113"/>
      <c r="K47" s="113"/>
      <c r="L47" s="113"/>
      <c r="M47" s="113" t="s">
        <v>160</v>
      </c>
      <c r="N47" s="113"/>
      <c r="O47" s="113"/>
      <c r="P47" s="113"/>
      <c r="U47" s="41" t="s">
        <v>42</v>
      </c>
      <c r="W47" s="186">
        <v>10.085731506347656</v>
      </c>
      <c r="X47" s="163">
        <f>1</f>
        <v>1</v>
      </c>
      <c r="Y47" s="164">
        <f t="shared" si="0"/>
        <v>10.085731506347656</v>
      </c>
      <c r="Z47" s="164">
        <f t="shared" si="2"/>
        <v>10.085731506347656</v>
      </c>
    </row>
    <row r="48" spans="1:27">
      <c r="D48" s="213"/>
      <c r="E48" s="81"/>
      <c r="H48" s="82"/>
      <c r="U48" s="41" t="s">
        <v>68</v>
      </c>
      <c r="W48" s="186" t="s">
        <v>68</v>
      </c>
      <c r="X48" s="163">
        <f>1</f>
        <v>1</v>
      </c>
      <c r="Y48" s="164" t="str">
        <f t="shared" si="0"/>
        <v/>
      </c>
      <c r="Z48" s="164" t="str">
        <f t="shared" si="2"/>
        <v/>
      </c>
    </row>
    <row r="49" spans="1:27" ht="15.95">
      <c r="A49" s="68" t="s">
        <v>161</v>
      </c>
      <c r="B49" s="68" t="s">
        <v>162</v>
      </c>
      <c r="C49" s="40" t="s">
        <v>163</v>
      </c>
      <c r="D49" s="280" t="s">
        <v>164</v>
      </c>
      <c r="E49" s="81"/>
      <c r="F49" s="68"/>
      <c r="G49" s="68"/>
      <c r="H49" s="82"/>
      <c r="I49" s="113" t="s">
        <v>40</v>
      </c>
      <c r="J49" s="113"/>
      <c r="K49" s="113"/>
      <c r="L49" s="113"/>
      <c r="M49" s="113"/>
      <c r="N49" s="113"/>
      <c r="O49" s="113"/>
      <c r="P49" s="113"/>
      <c r="U49" s="41" t="s">
        <v>42</v>
      </c>
      <c r="W49" s="186">
        <v>12.894034385681152</v>
      </c>
      <c r="X49" s="163">
        <f>1</f>
        <v>1</v>
      </c>
      <c r="Y49" s="164">
        <f t="shared" si="0"/>
        <v>12.894034385681152</v>
      </c>
      <c r="Z49" s="164">
        <f t="shared" si="2"/>
        <v>12.894034385681152</v>
      </c>
    </row>
    <row r="50" spans="1:27">
      <c r="E50" s="81"/>
      <c r="H50" s="82"/>
      <c r="U50" s="41" t="s">
        <v>68</v>
      </c>
      <c r="W50" s="186" t="s">
        <v>68</v>
      </c>
      <c r="X50" s="163">
        <f>1</f>
        <v>1</v>
      </c>
      <c r="Y50" s="164" t="str">
        <f t="shared" si="0"/>
        <v/>
      </c>
      <c r="Z50" s="164" t="str">
        <f t="shared" ref="Z50:Z83" si="4">IF(AND(W50&lt;&gt;"",U50="yes"),W50*X50,"")</f>
        <v/>
      </c>
    </row>
    <row r="51" spans="1:27" s="69" customFormat="1" ht="15.95">
      <c r="A51" s="69" t="s">
        <v>165</v>
      </c>
      <c r="B51" s="69" t="s">
        <v>166</v>
      </c>
      <c r="C51" s="43" t="s">
        <v>167</v>
      </c>
      <c r="D51" s="43" t="s">
        <v>168</v>
      </c>
      <c r="E51" s="92"/>
      <c r="F51" s="93"/>
      <c r="G51" s="93"/>
      <c r="H51" s="94"/>
      <c r="I51" s="120" t="s">
        <v>40</v>
      </c>
      <c r="J51" s="125"/>
      <c r="K51" s="125"/>
      <c r="L51" s="125"/>
      <c r="M51" s="125"/>
      <c r="N51" s="125"/>
      <c r="O51" s="125"/>
      <c r="P51" s="125"/>
      <c r="U51" s="69" t="s">
        <v>42</v>
      </c>
      <c r="W51" s="186">
        <v>15.265829086303711</v>
      </c>
      <c r="X51" s="163">
        <f>1</f>
        <v>1</v>
      </c>
      <c r="Y51" s="164">
        <f t="shared" si="0"/>
        <v>15.265829086303711</v>
      </c>
      <c r="Z51" s="164">
        <f t="shared" si="4"/>
        <v>15.265829086303711</v>
      </c>
    </row>
    <row r="52" spans="1:27" s="69" customFormat="1" ht="15.95">
      <c r="A52" s="69" t="s">
        <v>169</v>
      </c>
      <c r="B52" s="69" t="s">
        <v>170</v>
      </c>
      <c r="C52" s="43" t="s">
        <v>171</v>
      </c>
      <c r="D52" s="43" t="s">
        <v>172</v>
      </c>
      <c r="E52" s="92"/>
      <c r="F52" s="93"/>
      <c r="G52" s="93"/>
      <c r="H52" s="94"/>
      <c r="I52" s="120" t="s">
        <v>40</v>
      </c>
      <c r="J52" s="125"/>
      <c r="K52" s="125"/>
      <c r="L52" s="125"/>
      <c r="M52" s="125"/>
      <c r="N52" s="125"/>
      <c r="O52" s="125"/>
      <c r="P52" s="125"/>
      <c r="U52" s="69" t="s">
        <v>42</v>
      </c>
      <c r="W52" s="186">
        <v>15.12371826171875</v>
      </c>
      <c r="X52" s="163">
        <f>1</f>
        <v>1</v>
      </c>
      <c r="Y52" s="164">
        <f t="shared" si="0"/>
        <v>15.12371826171875</v>
      </c>
      <c r="Z52" s="164">
        <f t="shared" si="4"/>
        <v>15.12371826171875</v>
      </c>
    </row>
    <row r="53" spans="1:27" s="69" customFormat="1" ht="15.95">
      <c r="A53" s="69" t="s">
        <v>173</v>
      </c>
      <c r="B53" s="69" t="s">
        <v>174</v>
      </c>
      <c r="C53" s="43" t="s">
        <v>175</v>
      </c>
      <c r="D53" s="43" t="s">
        <v>176</v>
      </c>
      <c r="E53" s="92"/>
      <c r="F53" s="93"/>
      <c r="G53" s="93"/>
      <c r="H53" s="94"/>
      <c r="I53" s="120" t="s">
        <v>40</v>
      </c>
      <c r="J53" s="125"/>
      <c r="K53" s="125"/>
      <c r="L53" s="125"/>
      <c r="M53" s="125"/>
      <c r="N53" s="125"/>
      <c r="O53" s="125"/>
      <c r="P53" s="125"/>
      <c r="U53" s="69" t="s">
        <v>42</v>
      </c>
      <c r="W53" s="186">
        <v>13.760138511657715</v>
      </c>
      <c r="X53" s="163">
        <f>1</f>
        <v>1</v>
      </c>
      <c r="Y53" s="164">
        <f t="shared" si="0"/>
        <v>13.760138511657715</v>
      </c>
      <c r="Z53" s="164">
        <f t="shared" si="4"/>
        <v>13.760138511657715</v>
      </c>
    </row>
    <row r="54" spans="1:27" s="69" customFormat="1">
      <c r="C54" s="43"/>
      <c r="D54" s="43"/>
      <c r="E54" s="92"/>
      <c r="F54" s="93"/>
      <c r="G54" s="93"/>
      <c r="H54" s="94"/>
      <c r="I54" s="125"/>
      <c r="J54" s="125"/>
      <c r="K54" s="125"/>
      <c r="L54" s="125"/>
      <c r="M54" s="125"/>
      <c r="N54" s="125"/>
      <c r="O54" s="125"/>
      <c r="P54" s="125"/>
      <c r="U54" s="69" t="s">
        <v>68</v>
      </c>
      <c r="W54" s="186" t="s">
        <v>68</v>
      </c>
      <c r="X54" s="163">
        <f>1</f>
        <v>1</v>
      </c>
      <c r="Y54" s="164" t="str">
        <f t="shared" si="0"/>
        <v/>
      </c>
      <c r="Z54" s="164" t="str">
        <f t="shared" si="4"/>
        <v/>
      </c>
    </row>
    <row r="55" spans="1:27" s="70" customFormat="1" ht="96">
      <c r="A55" s="70" t="s">
        <v>177</v>
      </c>
      <c r="B55" s="70" t="s">
        <v>178</v>
      </c>
      <c r="C55" s="71" t="s">
        <v>179</v>
      </c>
      <c r="D55" s="70" t="s">
        <v>180</v>
      </c>
      <c r="E55" s="72"/>
      <c r="F55" s="70" t="s">
        <v>181</v>
      </c>
      <c r="G55" s="71" t="s">
        <v>182</v>
      </c>
      <c r="H55" s="76"/>
      <c r="I55" s="114" t="s">
        <v>40</v>
      </c>
      <c r="J55" s="114"/>
      <c r="K55" s="114"/>
      <c r="L55" s="114"/>
      <c r="M55" s="114"/>
      <c r="N55" s="114"/>
      <c r="O55" s="114"/>
      <c r="P55" s="114"/>
      <c r="U55" s="70" t="s">
        <v>52</v>
      </c>
      <c r="W55" s="186">
        <v>30.646188735961914</v>
      </c>
      <c r="X55" s="163">
        <f>1</f>
        <v>1</v>
      </c>
      <c r="Y55" s="164">
        <f t="shared" si="0"/>
        <v>30.646188735961914</v>
      </c>
      <c r="Z55" s="164" t="str">
        <f t="shared" si="4"/>
        <v/>
      </c>
      <c r="AA55" s="69"/>
    </row>
    <row r="56" spans="1:27" s="70" customFormat="1" ht="96">
      <c r="A56" s="70" t="s">
        <v>84</v>
      </c>
      <c r="B56" s="70" t="s">
        <v>183</v>
      </c>
      <c r="C56" s="71" t="s">
        <v>184</v>
      </c>
      <c r="D56" s="71" t="s">
        <v>185</v>
      </c>
      <c r="E56" s="72"/>
      <c r="F56" s="70" t="s">
        <v>186</v>
      </c>
      <c r="G56" s="71" t="s">
        <v>187</v>
      </c>
      <c r="H56" s="76"/>
      <c r="I56" s="114" t="s">
        <v>40</v>
      </c>
      <c r="J56" s="114"/>
      <c r="K56" s="114" t="s">
        <v>188</v>
      </c>
      <c r="L56" s="114"/>
      <c r="M56" s="114"/>
      <c r="N56" s="114"/>
      <c r="O56" s="114"/>
      <c r="P56" s="114"/>
      <c r="U56" s="70" t="s">
        <v>52</v>
      </c>
      <c r="W56" s="186">
        <v>15.211848258972168</v>
      </c>
      <c r="X56" s="163">
        <f>1</f>
        <v>1</v>
      </c>
      <c r="Y56" s="164">
        <f t="shared" si="0"/>
        <v>15.211848258972168</v>
      </c>
      <c r="Z56" s="164" t="str">
        <f t="shared" si="4"/>
        <v/>
      </c>
      <c r="AA56" s="69"/>
    </row>
    <row r="57" spans="1:27" s="70" customFormat="1" ht="15.95">
      <c r="A57" s="70" t="s">
        <v>189</v>
      </c>
      <c r="B57" s="70" t="s">
        <v>190</v>
      </c>
      <c r="C57" s="71" t="s">
        <v>191</v>
      </c>
      <c r="D57" s="71" t="s">
        <v>192</v>
      </c>
      <c r="E57" s="72"/>
      <c r="F57" s="70" t="s">
        <v>193</v>
      </c>
      <c r="G57" s="70" t="s">
        <v>194</v>
      </c>
      <c r="H57" s="76"/>
      <c r="I57" s="114" t="s">
        <v>40</v>
      </c>
      <c r="J57" s="114"/>
      <c r="K57" s="114" t="s">
        <v>195</v>
      </c>
      <c r="L57" s="114"/>
      <c r="M57" s="114"/>
      <c r="N57" s="114"/>
      <c r="O57" s="114"/>
      <c r="P57" s="114"/>
      <c r="U57" s="70" t="s">
        <v>52</v>
      </c>
      <c r="W57" s="186">
        <v>17</v>
      </c>
      <c r="X57" s="163">
        <f>1</f>
        <v>1</v>
      </c>
      <c r="Y57" s="164">
        <f t="shared" si="0"/>
        <v>17</v>
      </c>
      <c r="Z57" s="164" t="str">
        <f t="shared" si="4"/>
        <v/>
      </c>
      <c r="AA57" s="69"/>
    </row>
    <row r="58" spans="1:27" s="70" customFormat="1" ht="15.95">
      <c r="A58" s="70" t="s">
        <v>196</v>
      </c>
      <c r="B58" s="70" t="s">
        <v>197</v>
      </c>
      <c r="C58" s="71" t="s">
        <v>198</v>
      </c>
      <c r="D58" s="71" t="s">
        <v>199</v>
      </c>
      <c r="E58" s="72"/>
      <c r="F58" s="70" t="s">
        <v>193</v>
      </c>
      <c r="G58" s="70" t="s">
        <v>194</v>
      </c>
      <c r="H58" s="76"/>
      <c r="I58" s="114" t="s">
        <v>40</v>
      </c>
      <c r="J58" s="114"/>
      <c r="K58" s="114" t="s">
        <v>195</v>
      </c>
      <c r="L58" s="114"/>
      <c r="M58" s="114"/>
      <c r="N58" s="114"/>
      <c r="O58" s="114"/>
      <c r="P58" s="114"/>
      <c r="U58" s="70" t="s">
        <v>52</v>
      </c>
      <c r="W58" s="186">
        <v>17</v>
      </c>
      <c r="X58" s="163">
        <f>1</f>
        <v>1</v>
      </c>
      <c r="Y58" s="164">
        <f t="shared" si="0"/>
        <v>17</v>
      </c>
      <c r="Z58" s="164" t="str">
        <f t="shared" si="4"/>
        <v/>
      </c>
      <c r="AA58" s="69"/>
    </row>
    <row r="59" spans="1:27" s="70" customFormat="1" ht="15.95">
      <c r="A59" s="70" t="s">
        <v>200</v>
      </c>
      <c r="B59" s="70" t="s">
        <v>201</v>
      </c>
      <c r="C59" s="71" t="s">
        <v>202</v>
      </c>
      <c r="D59" s="71" t="s">
        <v>203</v>
      </c>
      <c r="E59" s="72"/>
      <c r="H59" s="76"/>
      <c r="I59" s="114" t="s">
        <v>40</v>
      </c>
      <c r="J59" s="114"/>
      <c r="K59" s="114"/>
      <c r="L59" s="114"/>
      <c r="M59" s="114"/>
      <c r="N59" s="114"/>
      <c r="O59" s="114"/>
      <c r="P59" s="114"/>
      <c r="U59" s="70" t="s">
        <v>52</v>
      </c>
      <c r="W59" s="186">
        <v>17</v>
      </c>
      <c r="X59" s="163">
        <f>1</f>
        <v>1</v>
      </c>
      <c r="Y59" s="164">
        <f t="shared" si="0"/>
        <v>17</v>
      </c>
      <c r="Z59" s="164" t="str">
        <f t="shared" si="4"/>
        <v/>
      </c>
      <c r="AA59" s="69"/>
    </row>
    <row r="60" spans="1:27" s="70" customFormat="1" ht="15.95">
      <c r="A60" s="70" t="s">
        <v>204</v>
      </c>
      <c r="B60" s="70" t="s">
        <v>205</v>
      </c>
      <c r="C60" s="71" t="s">
        <v>206</v>
      </c>
      <c r="D60" s="71" t="s">
        <v>207</v>
      </c>
      <c r="E60" s="72"/>
      <c r="H60" s="76"/>
      <c r="I60" s="114" t="s">
        <v>40</v>
      </c>
      <c r="J60" s="114"/>
      <c r="K60" s="114"/>
      <c r="L60" s="114"/>
      <c r="M60" s="114"/>
      <c r="N60" s="114"/>
      <c r="O60" s="114"/>
      <c r="P60" s="114"/>
      <c r="U60" s="70" t="s">
        <v>52</v>
      </c>
      <c r="W60" s="186">
        <v>8.2288064956665039</v>
      </c>
      <c r="X60" s="163">
        <f>1</f>
        <v>1</v>
      </c>
      <c r="Y60" s="164">
        <f t="shared" si="0"/>
        <v>8.2288064956665039</v>
      </c>
      <c r="Z60" s="164" t="str">
        <f t="shared" si="4"/>
        <v/>
      </c>
      <c r="AA60" s="69"/>
    </row>
    <row r="61" spans="1:27" s="70" customFormat="1">
      <c r="C61" s="71"/>
      <c r="D61" s="71"/>
      <c r="E61" s="72"/>
      <c r="H61" s="76"/>
      <c r="I61" s="114"/>
      <c r="J61" s="114"/>
      <c r="K61" s="114"/>
      <c r="L61" s="114"/>
      <c r="M61" s="114"/>
      <c r="N61" s="114"/>
      <c r="O61" s="114"/>
      <c r="P61" s="114"/>
      <c r="U61" s="70" t="s">
        <v>68</v>
      </c>
      <c r="W61" s="186" t="s">
        <v>68</v>
      </c>
      <c r="X61" s="163">
        <f>1</f>
        <v>1</v>
      </c>
      <c r="Y61" s="164" t="str">
        <f t="shared" si="0"/>
        <v/>
      </c>
      <c r="Z61" s="164" t="str">
        <f t="shared" si="4"/>
        <v/>
      </c>
      <c r="AA61" s="69"/>
    </row>
    <row r="62" spans="1:27" ht="15.95" thickBot="1">
      <c r="A62" s="95" t="s">
        <v>149</v>
      </c>
      <c r="B62" s="95"/>
      <c r="C62" s="96"/>
      <c r="D62" s="96"/>
      <c r="E62" s="105"/>
      <c r="F62" s="95"/>
      <c r="G62" s="95"/>
      <c r="H62" s="106"/>
      <c r="I62" s="126"/>
      <c r="J62" s="126"/>
      <c r="K62" s="126"/>
      <c r="L62" s="126"/>
      <c r="M62" s="126"/>
      <c r="N62" s="126"/>
      <c r="O62" s="126"/>
      <c r="P62" s="126"/>
      <c r="U62" s="41" t="s">
        <v>68</v>
      </c>
      <c r="W62" s="186" t="s">
        <v>68</v>
      </c>
      <c r="X62" s="163">
        <f>1</f>
        <v>1</v>
      </c>
      <c r="Y62" s="164" t="str">
        <f t="shared" si="0"/>
        <v/>
      </c>
      <c r="Z62" s="164" t="str">
        <f t="shared" si="4"/>
        <v/>
      </c>
    </row>
    <row r="63" spans="1:27" s="66" customFormat="1" ht="17.100000000000001" thickTop="1">
      <c r="A63" s="75" t="s">
        <v>69</v>
      </c>
      <c r="B63" s="75" t="s">
        <v>208</v>
      </c>
      <c r="C63" s="97" t="s">
        <v>209</v>
      </c>
      <c r="D63" s="97" t="s">
        <v>210</v>
      </c>
      <c r="E63" s="172"/>
      <c r="F63" s="75"/>
      <c r="G63" s="75"/>
      <c r="H63" s="173"/>
      <c r="I63" s="127" t="s">
        <v>51</v>
      </c>
      <c r="J63" s="127"/>
      <c r="K63" s="127"/>
      <c r="L63" s="127"/>
      <c r="M63" s="127" t="s">
        <v>153</v>
      </c>
      <c r="N63" s="127"/>
      <c r="O63" s="127"/>
      <c r="P63" s="127"/>
      <c r="U63" s="41" t="s">
        <v>42</v>
      </c>
      <c r="W63" s="186"/>
      <c r="X63" s="163">
        <f>1</f>
        <v>1</v>
      </c>
      <c r="Y63" s="164" t="str">
        <f t="shared" si="0"/>
        <v/>
      </c>
      <c r="Z63" s="164" t="str">
        <f t="shared" si="4"/>
        <v/>
      </c>
      <c r="AA63" s="67"/>
    </row>
    <row r="64" spans="1:27">
      <c r="E64" s="81"/>
      <c r="H64" s="82"/>
      <c r="U64" s="41" t="s">
        <v>68</v>
      </c>
      <c r="W64" s="186" t="s">
        <v>68</v>
      </c>
      <c r="X64" s="163">
        <f>1</f>
        <v>1</v>
      </c>
      <c r="Y64" s="164" t="str">
        <f t="shared" si="0"/>
        <v/>
      </c>
      <c r="Z64" s="164" t="str">
        <f t="shared" si="4"/>
        <v/>
      </c>
    </row>
    <row r="65" spans="1:27" ht="15.95">
      <c r="A65" s="73" t="s">
        <v>211</v>
      </c>
      <c r="B65" s="73" t="s">
        <v>212</v>
      </c>
      <c r="C65" s="74" t="s">
        <v>213</v>
      </c>
      <c r="D65" s="285" t="s">
        <v>214</v>
      </c>
      <c r="E65" s="92"/>
      <c r="F65" s="69" t="s">
        <v>215</v>
      </c>
      <c r="G65" s="41" t="s">
        <v>216</v>
      </c>
      <c r="H65" s="94"/>
      <c r="I65" s="115" t="s">
        <v>40</v>
      </c>
      <c r="J65" s="115" t="s">
        <v>217</v>
      </c>
      <c r="K65" s="115"/>
      <c r="L65" s="115"/>
      <c r="M65" s="115"/>
      <c r="N65" s="115"/>
      <c r="O65" s="115"/>
      <c r="P65" s="115"/>
      <c r="U65" s="41" t="s">
        <v>42</v>
      </c>
      <c r="W65" s="186">
        <v>36.928733825683594</v>
      </c>
      <c r="X65" s="163">
        <f>1</f>
        <v>1</v>
      </c>
      <c r="Y65" s="164">
        <f t="shared" si="0"/>
        <v>36.928733825683594</v>
      </c>
      <c r="Z65" s="164">
        <f t="shared" si="4"/>
        <v>36.928733825683594</v>
      </c>
    </row>
    <row r="66" spans="1:27">
      <c r="A66" s="73" t="s">
        <v>26</v>
      </c>
      <c r="B66" s="73" t="s">
        <v>218</v>
      </c>
      <c r="C66" s="74"/>
      <c r="D66" s="68"/>
      <c r="E66" s="92"/>
      <c r="F66" s="69"/>
      <c r="G66" s="69"/>
      <c r="H66" s="94"/>
      <c r="I66" s="115"/>
      <c r="J66" s="115"/>
      <c r="K66" s="115"/>
      <c r="L66" s="115"/>
      <c r="M66" s="115"/>
      <c r="N66" s="115"/>
      <c r="O66" s="115"/>
      <c r="P66" s="115" t="s">
        <v>219</v>
      </c>
      <c r="U66" s="41" t="s">
        <v>42</v>
      </c>
      <c r="W66" s="186"/>
      <c r="X66" s="163">
        <f>1</f>
        <v>1</v>
      </c>
      <c r="Y66" s="164" t="str">
        <f t="shared" si="0"/>
        <v/>
      </c>
      <c r="Z66" s="164" t="str">
        <f t="shared" si="4"/>
        <v/>
      </c>
    </row>
    <row r="67" spans="1:27">
      <c r="A67" s="73" t="s">
        <v>143</v>
      </c>
      <c r="B67" s="73" t="s">
        <v>220</v>
      </c>
      <c r="C67" s="74" t="s">
        <v>221</v>
      </c>
      <c r="D67" s="215" t="s">
        <v>222</v>
      </c>
      <c r="E67" s="92"/>
      <c r="F67" s="69"/>
      <c r="G67" s="69"/>
      <c r="H67" s="94"/>
      <c r="I67" s="115" t="s">
        <v>40</v>
      </c>
      <c r="J67" s="115"/>
      <c r="K67" s="115"/>
      <c r="L67" s="115"/>
      <c r="M67" s="115" t="s">
        <v>223</v>
      </c>
      <c r="N67" s="115"/>
      <c r="O67" s="115"/>
      <c r="P67" s="115"/>
      <c r="U67" s="41" t="s">
        <v>42</v>
      </c>
      <c r="W67" s="186">
        <v>0</v>
      </c>
      <c r="X67" s="163">
        <f>1</f>
        <v>1</v>
      </c>
      <c r="Y67" s="164">
        <f t="shared" si="0"/>
        <v>0</v>
      </c>
      <c r="Z67" s="164">
        <f t="shared" si="4"/>
        <v>0</v>
      </c>
    </row>
    <row r="68" spans="1:27" ht="30.75">
      <c r="A68" s="73" t="s">
        <v>143</v>
      </c>
      <c r="B68" s="73" t="s">
        <v>224</v>
      </c>
      <c r="C68" s="74" t="s">
        <v>225</v>
      </c>
      <c r="D68" s="215" t="s">
        <v>226</v>
      </c>
      <c r="E68" s="92"/>
      <c r="F68" s="69"/>
      <c r="G68" s="69"/>
      <c r="H68" s="94"/>
      <c r="I68" s="115" t="s">
        <v>40</v>
      </c>
      <c r="J68" s="115"/>
      <c r="K68" s="115"/>
      <c r="L68" s="115"/>
      <c r="M68" s="115" t="s">
        <v>227</v>
      </c>
      <c r="N68" s="115"/>
      <c r="O68" s="115"/>
      <c r="P68" s="115"/>
      <c r="U68" s="41" t="s">
        <v>42</v>
      </c>
      <c r="W68" s="186">
        <v>0</v>
      </c>
      <c r="X68" s="163">
        <f>1</f>
        <v>1</v>
      </c>
      <c r="Y68" s="164">
        <f t="shared" ref="Y68:Y137" si="5">IF(W68&lt;&gt;"",W68*X68,"")</f>
        <v>0</v>
      </c>
      <c r="Z68" s="164">
        <f t="shared" si="4"/>
        <v>0</v>
      </c>
    </row>
    <row r="69" spans="1:27" ht="30.75">
      <c r="A69" s="73" t="s">
        <v>143</v>
      </c>
      <c r="B69" s="73" t="s">
        <v>228</v>
      </c>
      <c r="C69" s="74" t="s">
        <v>229</v>
      </c>
      <c r="D69" s="215" t="s">
        <v>230</v>
      </c>
      <c r="E69" s="92"/>
      <c r="F69" s="69"/>
      <c r="G69" s="69"/>
      <c r="H69" s="94"/>
      <c r="I69" s="115" t="s">
        <v>40</v>
      </c>
      <c r="J69" s="115"/>
      <c r="K69" s="115"/>
      <c r="L69" s="115"/>
      <c r="M69" s="115" t="s">
        <v>231</v>
      </c>
      <c r="N69" s="115"/>
      <c r="O69" s="115"/>
      <c r="P69" s="115"/>
      <c r="U69" s="41" t="s">
        <v>42</v>
      </c>
      <c r="W69" s="186">
        <v>0</v>
      </c>
      <c r="X69" s="163">
        <f>1</f>
        <v>1</v>
      </c>
      <c r="Y69" s="164">
        <f t="shared" si="5"/>
        <v>0</v>
      </c>
      <c r="Z69" s="164">
        <f t="shared" si="4"/>
        <v>0</v>
      </c>
    </row>
    <row r="70" spans="1:27">
      <c r="D70" s="41"/>
      <c r="E70" s="81"/>
      <c r="H70" s="82"/>
      <c r="U70" s="41" t="s">
        <v>68</v>
      </c>
      <c r="W70" s="186" t="s">
        <v>68</v>
      </c>
      <c r="X70" s="163">
        <f>1</f>
        <v>1</v>
      </c>
      <c r="Y70" s="164" t="str">
        <f t="shared" si="5"/>
        <v/>
      </c>
      <c r="Z70" s="164" t="str">
        <f t="shared" si="4"/>
        <v/>
      </c>
    </row>
    <row r="71" spans="1:27" s="70" customFormat="1" ht="32.1">
      <c r="A71" s="70" t="s">
        <v>232</v>
      </c>
      <c r="B71" s="70" t="s">
        <v>233</v>
      </c>
      <c r="C71" s="71" t="s">
        <v>234</v>
      </c>
      <c r="D71" s="314" t="s">
        <v>235</v>
      </c>
      <c r="E71" s="72"/>
      <c r="F71" s="70" t="s">
        <v>236</v>
      </c>
      <c r="G71" s="70" t="s">
        <v>237</v>
      </c>
      <c r="H71" s="76"/>
      <c r="I71" s="114" t="s">
        <v>40</v>
      </c>
      <c r="J71" s="114"/>
      <c r="K71" s="114" t="s">
        <v>238</v>
      </c>
      <c r="L71" s="114"/>
      <c r="M71" s="114" t="s">
        <v>239</v>
      </c>
      <c r="N71" s="114"/>
      <c r="O71" s="114"/>
      <c r="P71" s="114"/>
      <c r="U71" s="70" t="s">
        <v>52</v>
      </c>
      <c r="W71" s="186">
        <v>40.047317504882813</v>
      </c>
      <c r="X71" s="163">
        <f>1</f>
        <v>1</v>
      </c>
      <c r="Y71" s="164">
        <f t="shared" si="5"/>
        <v>40.047317504882813</v>
      </c>
      <c r="Z71" s="164" t="str">
        <f t="shared" si="4"/>
        <v/>
      </c>
      <c r="AA71" s="69"/>
    </row>
    <row r="72" spans="1:27" s="70" customFormat="1">
      <c r="A72" s="70" t="s">
        <v>240</v>
      </c>
      <c r="B72" s="70" t="s">
        <v>241</v>
      </c>
      <c r="C72" s="70" t="s">
        <v>242</v>
      </c>
      <c r="D72" s="286" t="s">
        <v>243</v>
      </c>
      <c r="E72" s="76"/>
      <c r="F72" s="70" t="s">
        <v>244</v>
      </c>
      <c r="G72" s="70" t="s">
        <v>245</v>
      </c>
      <c r="H72" s="76"/>
      <c r="I72" s="114" t="s">
        <v>51</v>
      </c>
      <c r="J72" s="114"/>
      <c r="K72" s="114"/>
      <c r="L72" s="114"/>
      <c r="M72" s="114" t="s">
        <v>246</v>
      </c>
      <c r="N72" s="114"/>
      <c r="O72" s="114"/>
      <c r="P72" s="114"/>
      <c r="U72" s="70" t="s">
        <v>52</v>
      </c>
      <c r="W72" s="186">
        <v>3.6870110034942627</v>
      </c>
      <c r="X72" s="163">
        <f>1</f>
        <v>1</v>
      </c>
      <c r="Y72" s="164">
        <f t="shared" si="5"/>
        <v>3.6870110034942627</v>
      </c>
      <c r="Z72" s="164" t="str">
        <f t="shared" si="4"/>
        <v/>
      </c>
      <c r="AA72" s="69"/>
    </row>
    <row r="73" spans="1:27">
      <c r="D73" s="73"/>
      <c r="E73" s="76"/>
      <c r="G73" s="70"/>
      <c r="H73" s="76"/>
    </row>
    <row r="74" spans="1:27" s="73" customFormat="1">
      <c r="A74" s="73" t="s">
        <v>247</v>
      </c>
      <c r="B74" s="73" t="s">
        <v>248</v>
      </c>
      <c r="C74" s="73" t="s">
        <v>249</v>
      </c>
      <c r="D74" s="73" t="s">
        <v>250</v>
      </c>
      <c r="E74" s="94"/>
      <c r="H74" s="94"/>
      <c r="I74" s="115" t="s">
        <v>40</v>
      </c>
      <c r="J74" s="115"/>
      <c r="K74" s="115"/>
      <c r="L74" s="115"/>
      <c r="M74" s="115" t="s">
        <v>239</v>
      </c>
      <c r="N74" s="115"/>
      <c r="O74" s="115"/>
      <c r="P74" s="115"/>
      <c r="W74" s="187"/>
      <c r="X74" s="211"/>
      <c r="Y74" s="212"/>
      <c r="Z74" s="212"/>
    </row>
    <row r="75" spans="1:27" s="73" customFormat="1">
      <c r="A75" s="73" t="s">
        <v>251</v>
      </c>
      <c r="B75" s="73" t="s">
        <v>252</v>
      </c>
      <c r="C75" s="73" t="s">
        <v>253</v>
      </c>
      <c r="D75" s="73" t="s">
        <v>254</v>
      </c>
      <c r="E75" s="94"/>
      <c r="H75" s="94"/>
      <c r="I75" s="115" t="s">
        <v>40</v>
      </c>
      <c r="J75" s="115"/>
      <c r="K75" s="115"/>
      <c r="L75" s="115"/>
      <c r="M75" s="115" t="s">
        <v>239</v>
      </c>
      <c r="N75" s="115"/>
      <c r="O75" s="115"/>
      <c r="P75" s="115"/>
      <c r="W75" s="187"/>
      <c r="X75" s="211"/>
      <c r="Y75" s="212"/>
      <c r="Z75" s="212"/>
    </row>
    <row r="76" spans="1:27">
      <c r="E76" s="81"/>
      <c r="H76" s="82"/>
      <c r="U76" s="41" t="s">
        <v>68</v>
      </c>
      <c r="W76" s="186" t="s">
        <v>68</v>
      </c>
      <c r="X76" s="163">
        <f>1</f>
        <v>1</v>
      </c>
      <c r="Y76" s="164" t="str">
        <f t="shared" ref="Y76" si="6">IF(W76&lt;&gt;"",W76*X76,"")</f>
        <v/>
      </c>
      <c r="Z76" s="164" t="str">
        <f t="shared" ref="Z76" si="7">IF(AND(W76&lt;&gt;"",U76="yes"),W76*X76,"")</f>
        <v/>
      </c>
    </row>
    <row r="77" spans="1:27" ht="32.1">
      <c r="A77" s="73" t="s">
        <v>255</v>
      </c>
      <c r="B77" s="73" t="s">
        <v>256</v>
      </c>
      <c r="C77" s="74" t="s">
        <v>257</v>
      </c>
      <c r="D77" s="215" t="s">
        <v>258</v>
      </c>
      <c r="E77" s="92"/>
      <c r="F77" s="73"/>
      <c r="G77" s="73"/>
      <c r="H77" s="94"/>
      <c r="I77" s="115" t="s">
        <v>40</v>
      </c>
      <c r="J77" s="115"/>
      <c r="K77" s="115"/>
      <c r="L77" s="115"/>
      <c r="M77" s="115" t="s">
        <v>239</v>
      </c>
      <c r="N77" s="115"/>
      <c r="O77" s="115"/>
      <c r="P77" s="115"/>
      <c r="U77" s="41" t="s">
        <v>42</v>
      </c>
      <c r="W77" s="186">
        <v>27.242166519165039</v>
      </c>
      <c r="X77" s="163">
        <f>1</f>
        <v>1</v>
      </c>
      <c r="Y77" s="164">
        <f t="shared" si="5"/>
        <v>27.242166519165039</v>
      </c>
      <c r="Z77" s="164">
        <f t="shared" si="4"/>
        <v>27.242166519165039</v>
      </c>
    </row>
    <row r="78" spans="1:27">
      <c r="D78" s="217"/>
      <c r="E78" s="81"/>
      <c r="H78" s="82"/>
      <c r="U78" s="41" t="s">
        <v>68</v>
      </c>
      <c r="W78" s="186" t="s">
        <v>68</v>
      </c>
      <c r="X78" s="163">
        <f>1</f>
        <v>1</v>
      </c>
      <c r="Y78" s="164" t="str">
        <f t="shared" si="5"/>
        <v/>
      </c>
      <c r="Z78" s="164" t="str">
        <f t="shared" si="4"/>
        <v/>
      </c>
    </row>
    <row r="79" spans="1:27" ht="32.1">
      <c r="A79" s="73" t="s">
        <v>259</v>
      </c>
      <c r="B79" s="73" t="s">
        <v>260</v>
      </c>
      <c r="C79" s="74" t="s">
        <v>261</v>
      </c>
      <c r="D79" s="280" t="s">
        <v>262</v>
      </c>
      <c r="E79" s="92"/>
      <c r="F79" s="69" t="s">
        <v>263</v>
      </c>
      <c r="G79" s="41" t="s">
        <v>264</v>
      </c>
      <c r="H79" s="94"/>
      <c r="I79" s="115" t="s">
        <v>40</v>
      </c>
      <c r="J79" s="115" t="s">
        <v>217</v>
      </c>
      <c r="K79" s="115"/>
      <c r="L79" s="115"/>
      <c r="M79" s="115" t="s">
        <v>239</v>
      </c>
      <c r="N79" s="115" t="s">
        <v>265</v>
      </c>
      <c r="O79" s="115"/>
      <c r="P79" s="115"/>
      <c r="U79" s="41" t="s">
        <v>42</v>
      </c>
      <c r="W79" s="186">
        <v>25.308004379272461</v>
      </c>
      <c r="X79" s="163">
        <f>1</f>
        <v>1</v>
      </c>
      <c r="Y79" s="164">
        <f t="shared" si="5"/>
        <v>25.308004379272461</v>
      </c>
      <c r="Z79" s="164">
        <f t="shared" si="4"/>
        <v>25.308004379272461</v>
      </c>
    </row>
    <row r="80" spans="1:27">
      <c r="A80" s="73" t="s">
        <v>26</v>
      </c>
      <c r="B80" s="73" t="s">
        <v>266</v>
      </c>
      <c r="C80" s="74"/>
      <c r="D80" s="68"/>
      <c r="E80" s="92"/>
      <c r="F80" s="69"/>
      <c r="G80" s="69"/>
      <c r="H80" s="94"/>
      <c r="I80" s="115"/>
      <c r="J80" s="115"/>
      <c r="K80" s="115"/>
      <c r="L80" s="115"/>
      <c r="M80" s="115"/>
      <c r="N80" s="115"/>
      <c r="O80" s="115"/>
      <c r="P80" s="115" t="s">
        <v>267</v>
      </c>
      <c r="U80" s="41" t="s">
        <v>42</v>
      </c>
      <c r="W80" s="186"/>
      <c r="X80" s="163">
        <f>1</f>
        <v>1</v>
      </c>
      <c r="Y80" s="164" t="str">
        <f t="shared" si="5"/>
        <v/>
      </c>
      <c r="Z80" s="164" t="str">
        <f t="shared" si="4"/>
        <v/>
      </c>
    </row>
    <row r="81" spans="1:27">
      <c r="A81" s="73" t="s">
        <v>143</v>
      </c>
      <c r="B81" s="73" t="s">
        <v>268</v>
      </c>
      <c r="C81" s="74" t="s">
        <v>221</v>
      </c>
      <c r="D81" s="215" t="s">
        <v>222</v>
      </c>
      <c r="E81" s="92"/>
      <c r="F81" s="69"/>
      <c r="G81" s="69"/>
      <c r="H81" s="94"/>
      <c r="I81" s="115" t="s">
        <v>40</v>
      </c>
      <c r="J81" s="115"/>
      <c r="K81" s="115"/>
      <c r="L81" s="115"/>
      <c r="M81" s="115" t="s">
        <v>269</v>
      </c>
      <c r="N81" s="115"/>
      <c r="O81" s="115"/>
      <c r="P81" s="115"/>
      <c r="U81" s="41" t="s">
        <v>42</v>
      </c>
      <c r="W81" s="186">
        <v>0</v>
      </c>
      <c r="X81" s="163">
        <f>1</f>
        <v>1</v>
      </c>
      <c r="Y81" s="164">
        <f t="shared" si="5"/>
        <v>0</v>
      </c>
      <c r="Z81" s="164">
        <f t="shared" si="4"/>
        <v>0</v>
      </c>
    </row>
    <row r="82" spans="1:27" ht="30.75">
      <c r="A82" s="73" t="s">
        <v>143</v>
      </c>
      <c r="B82" s="73" t="s">
        <v>270</v>
      </c>
      <c r="C82" s="74" t="s">
        <v>225</v>
      </c>
      <c r="D82" s="215" t="s">
        <v>226</v>
      </c>
      <c r="E82" s="92"/>
      <c r="F82" s="69"/>
      <c r="G82" s="69"/>
      <c r="H82" s="94"/>
      <c r="I82" s="115" t="s">
        <v>40</v>
      </c>
      <c r="J82" s="115"/>
      <c r="K82" s="115"/>
      <c r="L82" s="115"/>
      <c r="M82" s="115" t="s">
        <v>271</v>
      </c>
      <c r="N82" s="115"/>
      <c r="O82" s="115"/>
      <c r="P82" s="115"/>
      <c r="U82" s="41" t="s">
        <v>42</v>
      </c>
      <c r="W82" s="186">
        <v>0</v>
      </c>
      <c r="X82" s="163">
        <f>1</f>
        <v>1</v>
      </c>
      <c r="Y82" s="164">
        <f t="shared" si="5"/>
        <v>0</v>
      </c>
      <c r="Z82" s="164">
        <f t="shared" si="4"/>
        <v>0</v>
      </c>
    </row>
    <row r="83" spans="1:27" ht="30.75">
      <c r="A83" s="73" t="s">
        <v>143</v>
      </c>
      <c r="B83" s="73" t="s">
        <v>272</v>
      </c>
      <c r="C83" s="74" t="s">
        <v>229</v>
      </c>
      <c r="D83" s="215" t="s">
        <v>230</v>
      </c>
      <c r="E83" s="92"/>
      <c r="F83" s="69"/>
      <c r="G83" s="69"/>
      <c r="H83" s="94"/>
      <c r="I83" s="115" t="s">
        <v>40</v>
      </c>
      <c r="J83" s="115"/>
      <c r="K83" s="115"/>
      <c r="L83" s="115"/>
      <c r="M83" s="115" t="s">
        <v>273</v>
      </c>
      <c r="N83" s="115"/>
      <c r="O83" s="115"/>
      <c r="P83" s="115"/>
      <c r="U83" s="41" t="s">
        <v>42</v>
      </c>
      <c r="W83" s="186">
        <v>0</v>
      </c>
      <c r="X83" s="163">
        <f>1</f>
        <v>1</v>
      </c>
      <c r="Y83" s="164">
        <f t="shared" si="5"/>
        <v>0</v>
      </c>
      <c r="Z83" s="164">
        <f t="shared" si="4"/>
        <v>0</v>
      </c>
    </row>
    <row r="84" spans="1:27">
      <c r="E84" s="81"/>
      <c r="H84" s="82"/>
      <c r="U84" s="41" t="s">
        <v>68</v>
      </c>
      <c r="W84" s="186" t="s">
        <v>68</v>
      </c>
      <c r="X84" s="163">
        <f>1</f>
        <v>1</v>
      </c>
      <c r="Y84" s="164" t="str">
        <f t="shared" si="5"/>
        <v/>
      </c>
      <c r="Z84" s="164" t="str">
        <f t="shared" ref="Z84:Z117" si="8">IF(AND(W84&lt;&gt;"",U84="yes"),W84*X84,"")</f>
        <v/>
      </c>
    </row>
    <row r="85" spans="1:27" s="70" customFormat="1" ht="32.1">
      <c r="A85" s="70" t="s">
        <v>232</v>
      </c>
      <c r="B85" s="70" t="s">
        <v>274</v>
      </c>
      <c r="C85" s="71" t="s">
        <v>275</v>
      </c>
      <c r="D85" s="314" t="s">
        <v>276</v>
      </c>
      <c r="E85" s="72"/>
      <c r="F85" s="70" t="s">
        <v>236</v>
      </c>
      <c r="G85" s="70" t="s">
        <v>237</v>
      </c>
      <c r="H85" s="76"/>
      <c r="I85" s="114" t="s">
        <v>40</v>
      </c>
      <c r="J85" s="114"/>
      <c r="K85" s="114" t="s">
        <v>238</v>
      </c>
      <c r="L85" s="114"/>
      <c r="M85" s="114" t="s">
        <v>277</v>
      </c>
      <c r="N85" s="114"/>
      <c r="O85" s="114"/>
      <c r="P85" s="114"/>
      <c r="U85" s="70" t="s">
        <v>52</v>
      </c>
      <c r="W85" s="186">
        <v>30.828470230102539</v>
      </c>
      <c r="X85" s="163">
        <f>1</f>
        <v>1</v>
      </c>
      <c r="Y85" s="164">
        <f t="shared" si="5"/>
        <v>30.828470230102539</v>
      </c>
      <c r="Z85" s="164" t="str">
        <f t="shared" si="8"/>
        <v/>
      </c>
      <c r="AA85" s="69"/>
    </row>
    <row r="86" spans="1:27" s="70" customFormat="1">
      <c r="A86" s="70" t="s">
        <v>240</v>
      </c>
      <c r="B86" s="70" t="s">
        <v>278</v>
      </c>
      <c r="C86" s="70" t="s">
        <v>242</v>
      </c>
      <c r="D86" s="286" t="s">
        <v>243</v>
      </c>
      <c r="E86" s="72"/>
      <c r="F86" s="70" t="s">
        <v>279</v>
      </c>
      <c r="G86" s="70" t="s">
        <v>280</v>
      </c>
      <c r="H86" s="76"/>
      <c r="I86" s="114" t="s">
        <v>51</v>
      </c>
      <c r="J86" s="114"/>
      <c r="K86" s="114"/>
      <c r="L86" s="114"/>
      <c r="M86" s="114" t="s">
        <v>281</v>
      </c>
      <c r="N86" s="114"/>
      <c r="O86" s="114"/>
      <c r="P86" s="114"/>
      <c r="U86" s="70" t="s">
        <v>52</v>
      </c>
      <c r="W86" s="186">
        <v>2.2941176891326904</v>
      </c>
      <c r="X86" s="163">
        <f>1</f>
        <v>1</v>
      </c>
      <c r="Y86" s="164">
        <f t="shared" si="5"/>
        <v>2.2941176891326904</v>
      </c>
      <c r="Z86" s="164" t="str">
        <f t="shared" si="8"/>
        <v/>
      </c>
      <c r="AA86" s="69"/>
    </row>
    <row r="87" spans="1:27" s="70" customFormat="1">
      <c r="C87" s="71"/>
      <c r="D87" s="71"/>
      <c r="E87" s="72"/>
      <c r="H87" s="76"/>
      <c r="I87" s="114"/>
      <c r="J87" s="114"/>
      <c r="K87" s="114"/>
      <c r="L87" s="114"/>
      <c r="M87" s="114"/>
      <c r="N87" s="114"/>
      <c r="O87" s="114"/>
      <c r="P87" s="114"/>
      <c r="U87" s="70" t="s">
        <v>68</v>
      </c>
      <c r="W87" s="186" t="s">
        <v>68</v>
      </c>
      <c r="X87" s="163">
        <f>1</f>
        <v>1</v>
      </c>
      <c r="Y87" s="164" t="str">
        <f t="shared" ref="Y87" si="9">IF(W87&lt;&gt;"",W87*X87,"")</f>
        <v/>
      </c>
      <c r="Z87" s="164" t="str">
        <f t="shared" ref="Z87" si="10">IF(AND(W87&lt;&gt;"",U87="yes"),W87*X87,"")</f>
        <v/>
      </c>
      <c r="AA87" s="69"/>
    </row>
    <row r="88" spans="1:27" s="70" customFormat="1">
      <c r="A88" s="70" t="s">
        <v>247</v>
      </c>
      <c r="B88" s="70" t="s">
        <v>282</v>
      </c>
      <c r="C88" s="70" t="s">
        <v>249</v>
      </c>
      <c r="D88" s="256" t="s">
        <v>250</v>
      </c>
      <c r="E88" s="76"/>
      <c r="H88" s="76"/>
      <c r="I88" s="114" t="s">
        <v>40</v>
      </c>
      <c r="J88" s="114"/>
      <c r="K88" s="114"/>
      <c r="L88" s="114"/>
      <c r="M88" s="114" t="s">
        <v>277</v>
      </c>
      <c r="N88" s="114"/>
      <c r="O88" s="114"/>
      <c r="P88" s="114"/>
      <c r="W88" s="186"/>
      <c r="X88" s="163"/>
      <c r="Y88" s="164"/>
      <c r="Z88" s="164"/>
      <c r="AA88" s="69"/>
    </row>
    <row r="89" spans="1:27" s="70" customFormat="1">
      <c r="A89" s="70" t="s">
        <v>251</v>
      </c>
      <c r="B89" s="70" t="s">
        <v>283</v>
      </c>
      <c r="C89" s="70" t="s">
        <v>253</v>
      </c>
      <c r="D89" s="256" t="s">
        <v>254</v>
      </c>
      <c r="E89" s="76"/>
      <c r="H89" s="76"/>
      <c r="I89" s="114" t="s">
        <v>40</v>
      </c>
      <c r="J89" s="114"/>
      <c r="K89" s="114"/>
      <c r="L89" s="114"/>
      <c r="M89" s="114" t="s">
        <v>277</v>
      </c>
      <c r="N89" s="114"/>
      <c r="O89" s="114"/>
      <c r="P89" s="114"/>
      <c r="W89" s="186"/>
      <c r="X89" s="163"/>
      <c r="Y89" s="164"/>
      <c r="Z89" s="164"/>
      <c r="AA89" s="69"/>
    </row>
    <row r="90" spans="1:27" s="70" customFormat="1">
      <c r="C90" s="71"/>
      <c r="D90" s="71"/>
      <c r="E90" s="72"/>
      <c r="H90" s="76"/>
      <c r="I90" s="114"/>
      <c r="J90" s="114"/>
      <c r="K90" s="114"/>
      <c r="L90" s="114"/>
      <c r="M90" s="114"/>
      <c r="N90" s="114"/>
      <c r="O90" s="114"/>
      <c r="P90" s="114"/>
      <c r="U90" s="70" t="s">
        <v>68</v>
      </c>
      <c r="W90" s="186" t="s">
        <v>68</v>
      </c>
      <c r="X90" s="163">
        <f>1</f>
        <v>1</v>
      </c>
      <c r="Y90" s="164" t="str">
        <f t="shared" si="5"/>
        <v/>
      </c>
      <c r="Z90" s="164" t="str">
        <f t="shared" si="8"/>
        <v/>
      </c>
      <c r="AA90" s="69"/>
    </row>
    <row r="91" spans="1:27" ht="32.1">
      <c r="A91" s="73" t="s">
        <v>255</v>
      </c>
      <c r="B91" s="73" t="s">
        <v>284</v>
      </c>
      <c r="C91" s="74" t="s">
        <v>285</v>
      </c>
      <c r="D91" s="215" t="s">
        <v>286</v>
      </c>
      <c r="E91" s="92"/>
      <c r="F91" s="73"/>
      <c r="G91" s="73"/>
      <c r="H91" s="94"/>
      <c r="I91" s="115" t="s">
        <v>40</v>
      </c>
      <c r="J91" s="115"/>
      <c r="K91" s="115"/>
      <c r="L91" s="115"/>
      <c r="M91" s="115" t="s">
        <v>277</v>
      </c>
      <c r="N91" s="115"/>
      <c r="O91" s="115"/>
      <c r="P91" s="115"/>
      <c r="U91" s="41" t="s">
        <v>42</v>
      </c>
      <c r="W91" s="186">
        <v>21.193256378173828</v>
      </c>
      <c r="X91" s="163">
        <f>1</f>
        <v>1</v>
      </c>
      <c r="Y91" s="164">
        <f t="shared" si="5"/>
        <v>21.193256378173828</v>
      </c>
      <c r="Z91" s="164">
        <f t="shared" si="8"/>
        <v>21.193256378173828</v>
      </c>
    </row>
    <row r="92" spans="1:27">
      <c r="D92" s="217"/>
      <c r="E92" s="81"/>
      <c r="H92" s="82"/>
      <c r="M92" s="125"/>
      <c r="U92" s="41" t="s">
        <v>68</v>
      </c>
      <c r="W92" s="186" t="s">
        <v>68</v>
      </c>
      <c r="X92" s="163">
        <f>1</f>
        <v>1</v>
      </c>
      <c r="Y92" s="164" t="str">
        <f t="shared" si="5"/>
        <v/>
      </c>
      <c r="Z92" s="164" t="str">
        <f t="shared" si="8"/>
        <v/>
      </c>
    </row>
    <row r="93" spans="1:27" ht="15.95">
      <c r="A93" s="73" t="s">
        <v>287</v>
      </c>
      <c r="B93" s="73" t="s">
        <v>288</v>
      </c>
      <c r="C93" s="73" t="s">
        <v>289</v>
      </c>
      <c r="D93" s="280" t="s">
        <v>290</v>
      </c>
      <c r="E93" s="94"/>
      <c r="F93" s="69" t="s">
        <v>263</v>
      </c>
      <c r="G93" s="69" t="s">
        <v>264</v>
      </c>
      <c r="H93" s="94"/>
      <c r="I93" s="115" t="s">
        <v>40</v>
      </c>
      <c r="J93" s="115" t="s">
        <v>217</v>
      </c>
      <c r="K93" s="115"/>
      <c r="L93" s="115"/>
      <c r="M93" s="115" t="s">
        <v>277</v>
      </c>
      <c r="N93" s="115" t="s">
        <v>291</v>
      </c>
      <c r="O93" s="115"/>
      <c r="P93" s="115"/>
      <c r="U93" s="41" t="s">
        <v>42</v>
      </c>
      <c r="W93" s="186">
        <v>20.229927062988281</v>
      </c>
      <c r="X93" s="163">
        <f>1</f>
        <v>1</v>
      </c>
      <c r="Y93" s="164">
        <f t="shared" si="5"/>
        <v>20.229927062988281</v>
      </c>
      <c r="Z93" s="164">
        <f t="shared" si="8"/>
        <v>20.229927062988281</v>
      </c>
    </row>
    <row r="94" spans="1:27">
      <c r="A94" s="73" t="s">
        <v>26</v>
      </c>
      <c r="B94" s="73" t="s">
        <v>292</v>
      </c>
      <c r="C94" s="74"/>
      <c r="D94" s="68"/>
      <c r="E94" s="92"/>
      <c r="F94" s="69"/>
      <c r="G94" s="69"/>
      <c r="H94" s="94"/>
      <c r="I94" s="115"/>
      <c r="J94" s="115"/>
      <c r="K94" s="115"/>
      <c r="L94" s="115"/>
      <c r="M94" s="115"/>
      <c r="N94" s="115"/>
      <c r="O94" s="115"/>
      <c r="P94" s="115" t="s">
        <v>293</v>
      </c>
      <c r="U94" s="41" t="s">
        <v>42</v>
      </c>
      <c r="W94" s="186"/>
      <c r="X94" s="163">
        <f>1</f>
        <v>1</v>
      </c>
      <c r="Y94" s="164" t="str">
        <f t="shared" si="5"/>
        <v/>
      </c>
      <c r="Z94" s="164" t="str">
        <f t="shared" si="8"/>
        <v/>
      </c>
    </row>
    <row r="95" spans="1:27">
      <c r="A95" s="73" t="s">
        <v>143</v>
      </c>
      <c r="B95" s="73" t="s">
        <v>294</v>
      </c>
      <c r="C95" s="74" t="s">
        <v>221</v>
      </c>
      <c r="D95" s="215" t="s">
        <v>222</v>
      </c>
      <c r="E95" s="92"/>
      <c r="F95" s="69"/>
      <c r="G95" s="69"/>
      <c r="H95" s="94"/>
      <c r="I95" s="115" t="s">
        <v>40</v>
      </c>
      <c r="J95" s="115"/>
      <c r="K95" s="115"/>
      <c r="L95" s="115"/>
      <c r="M95" s="115" t="s">
        <v>295</v>
      </c>
      <c r="N95" s="115"/>
      <c r="O95" s="115"/>
      <c r="P95" s="115"/>
      <c r="U95" s="41" t="s">
        <v>42</v>
      </c>
      <c r="W95" s="186">
        <v>0</v>
      </c>
      <c r="X95" s="163">
        <f>1</f>
        <v>1</v>
      </c>
      <c r="Y95" s="164">
        <f t="shared" si="5"/>
        <v>0</v>
      </c>
      <c r="Z95" s="164">
        <f t="shared" si="8"/>
        <v>0</v>
      </c>
    </row>
    <row r="96" spans="1:27" ht="30.75">
      <c r="A96" s="73" t="s">
        <v>143</v>
      </c>
      <c r="B96" s="73" t="s">
        <v>296</v>
      </c>
      <c r="C96" s="74" t="s">
        <v>225</v>
      </c>
      <c r="D96" s="215" t="s">
        <v>226</v>
      </c>
      <c r="E96" s="92"/>
      <c r="F96" s="69"/>
      <c r="G96" s="69"/>
      <c r="H96" s="94"/>
      <c r="I96" s="115" t="s">
        <v>40</v>
      </c>
      <c r="J96" s="115"/>
      <c r="K96" s="115"/>
      <c r="L96" s="115"/>
      <c r="M96" s="115" t="s">
        <v>297</v>
      </c>
      <c r="N96" s="115"/>
      <c r="O96" s="115"/>
      <c r="P96" s="115"/>
      <c r="U96" s="41" t="s">
        <v>42</v>
      </c>
      <c r="W96" s="186">
        <v>0</v>
      </c>
      <c r="X96" s="163">
        <f>1</f>
        <v>1</v>
      </c>
      <c r="Y96" s="164">
        <f t="shared" si="5"/>
        <v>0</v>
      </c>
      <c r="Z96" s="164">
        <f t="shared" si="8"/>
        <v>0</v>
      </c>
    </row>
    <row r="97" spans="1:27" ht="30.75">
      <c r="A97" s="73" t="s">
        <v>143</v>
      </c>
      <c r="B97" s="73" t="s">
        <v>298</v>
      </c>
      <c r="C97" s="74" t="s">
        <v>229</v>
      </c>
      <c r="D97" s="215" t="s">
        <v>230</v>
      </c>
      <c r="E97" s="92"/>
      <c r="F97" s="69"/>
      <c r="G97" s="69"/>
      <c r="H97" s="94"/>
      <c r="I97" s="115" t="s">
        <v>40</v>
      </c>
      <c r="J97" s="115"/>
      <c r="K97" s="115"/>
      <c r="L97" s="115"/>
      <c r="M97" s="115" t="s">
        <v>299</v>
      </c>
      <c r="N97" s="115"/>
      <c r="O97" s="115"/>
      <c r="P97" s="115"/>
      <c r="U97" s="41" t="s">
        <v>42</v>
      </c>
      <c r="W97" s="186">
        <v>0</v>
      </c>
      <c r="X97" s="163">
        <f>1</f>
        <v>1</v>
      </c>
      <c r="Y97" s="164">
        <f t="shared" si="5"/>
        <v>0</v>
      </c>
      <c r="Z97" s="164">
        <f t="shared" si="8"/>
        <v>0</v>
      </c>
    </row>
    <row r="98" spans="1:27">
      <c r="E98" s="81"/>
      <c r="H98" s="82"/>
      <c r="U98" s="41" t="s">
        <v>68</v>
      </c>
      <c r="W98" s="186" t="s">
        <v>68</v>
      </c>
      <c r="X98" s="163">
        <f>1</f>
        <v>1</v>
      </c>
      <c r="Y98" s="164" t="str">
        <f t="shared" si="5"/>
        <v/>
      </c>
      <c r="Z98" s="164" t="str">
        <f t="shared" si="8"/>
        <v/>
      </c>
    </row>
    <row r="99" spans="1:27" s="70" customFormat="1" ht="32.1">
      <c r="A99" s="70" t="s">
        <v>232</v>
      </c>
      <c r="B99" s="70" t="s">
        <v>300</v>
      </c>
      <c r="C99" s="71" t="s">
        <v>301</v>
      </c>
      <c r="D99" s="314" t="s">
        <v>302</v>
      </c>
      <c r="E99" s="72"/>
      <c r="F99" s="70" t="s">
        <v>236</v>
      </c>
      <c r="G99" s="70" t="s">
        <v>237</v>
      </c>
      <c r="H99" s="76"/>
      <c r="I99" s="114" t="s">
        <v>40</v>
      </c>
      <c r="J99" s="114"/>
      <c r="K99" s="114" t="s">
        <v>238</v>
      </c>
      <c r="L99" s="114"/>
      <c r="M99" s="114" t="s">
        <v>303</v>
      </c>
      <c r="N99" s="114"/>
      <c r="O99" s="114"/>
      <c r="P99" s="114"/>
      <c r="U99" s="70" t="s">
        <v>52</v>
      </c>
      <c r="W99" s="186">
        <v>29.429832458496094</v>
      </c>
      <c r="X99" s="163">
        <f>1</f>
        <v>1</v>
      </c>
      <c r="Y99" s="164">
        <f t="shared" si="5"/>
        <v>29.429832458496094</v>
      </c>
      <c r="Z99" s="164" t="str">
        <f t="shared" si="8"/>
        <v/>
      </c>
      <c r="AA99" s="69"/>
    </row>
    <row r="100" spans="1:27" s="70" customFormat="1">
      <c r="A100" s="70" t="s">
        <v>240</v>
      </c>
      <c r="B100" s="70" t="s">
        <v>304</v>
      </c>
      <c r="C100" s="70" t="s">
        <v>242</v>
      </c>
      <c r="D100" s="286" t="s">
        <v>243</v>
      </c>
      <c r="E100" s="72"/>
      <c r="F100" s="70" t="s">
        <v>279</v>
      </c>
      <c r="G100" s="70" t="s">
        <v>245</v>
      </c>
      <c r="H100" s="98"/>
      <c r="I100" s="114" t="s">
        <v>51</v>
      </c>
      <c r="J100" s="114"/>
      <c r="K100" s="114"/>
      <c r="L100" s="114"/>
      <c r="M100" s="128" t="s">
        <v>305</v>
      </c>
      <c r="N100" s="114"/>
      <c r="O100" s="114"/>
      <c r="P100" s="114"/>
      <c r="U100" s="70" t="s">
        <v>52</v>
      </c>
      <c r="W100" s="186">
        <v>1.5555555820465088</v>
      </c>
      <c r="X100" s="163">
        <f>1</f>
        <v>1</v>
      </c>
      <c r="Y100" s="164">
        <f t="shared" si="5"/>
        <v>1.5555555820465088</v>
      </c>
      <c r="Z100" s="164" t="str">
        <f t="shared" si="8"/>
        <v/>
      </c>
      <c r="AA100" s="69"/>
    </row>
    <row r="101" spans="1:27" s="70" customFormat="1">
      <c r="C101" s="71"/>
      <c r="D101" s="71"/>
      <c r="E101" s="72"/>
      <c r="H101" s="76"/>
      <c r="I101" s="114"/>
      <c r="J101" s="114"/>
      <c r="K101" s="114"/>
      <c r="L101" s="114"/>
      <c r="M101" s="114"/>
      <c r="N101" s="114"/>
      <c r="O101" s="114"/>
      <c r="P101" s="114"/>
      <c r="U101" s="70" t="s">
        <v>68</v>
      </c>
      <c r="W101" s="186" t="s">
        <v>68</v>
      </c>
      <c r="X101" s="163">
        <f>1</f>
        <v>1</v>
      </c>
      <c r="Y101" s="164" t="str">
        <f t="shared" si="5"/>
        <v/>
      </c>
      <c r="Z101" s="164" t="str">
        <f t="shared" si="8"/>
        <v/>
      </c>
      <c r="AA101" s="69"/>
    </row>
    <row r="102" spans="1:27" s="70" customFormat="1">
      <c r="A102" s="70" t="s">
        <v>247</v>
      </c>
      <c r="B102" s="70" t="s">
        <v>306</v>
      </c>
      <c r="C102" s="70" t="s">
        <v>249</v>
      </c>
      <c r="D102" s="256" t="s">
        <v>250</v>
      </c>
      <c r="E102" s="76"/>
      <c r="H102" s="76"/>
      <c r="I102" s="114" t="s">
        <v>40</v>
      </c>
      <c r="J102" s="114"/>
      <c r="K102" s="114"/>
      <c r="L102" s="114"/>
      <c r="M102" s="114" t="s">
        <v>303</v>
      </c>
      <c r="N102" s="114"/>
      <c r="O102" s="114"/>
      <c r="P102" s="114"/>
      <c r="W102" s="186"/>
      <c r="X102" s="163"/>
      <c r="Y102" s="164"/>
      <c r="Z102" s="164"/>
      <c r="AA102" s="69"/>
    </row>
    <row r="103" spans="1:27" s="70" customFormat="1">
      <c r="A103" s="70" t="s">
        <v>251</v>
      </c>
      <c r="B103" s="70" t="s">
        <v>307</v>
      </c>
      <c r="C103" s="70" t="s">
        <v>253</v>
      </c>
      <c r="D103" s="256" t="s">
        <v>254</v>
      </c>
      <c r="E103" s="76"/>
      <c r="H103" s="76"/>
      <c r="I103" s="114" t="s">
        <v>40</v>
      </c>
      <c r="J103" s="114"/>
      <c r="K103" s="114"/>
      <c r="L103" s="114"/>
      <c r="M103" s="114" t="s">
        <v>303</v>
      </c>
      <c r="N103" s="114"/>
      <c r="O103" s="114"/>
      <c r="P103" s="114"/>
      <c r="W103" s="186"/>
      <c r="X103" s="163"/>
      <c r="Y103" s="164"/>
      <c r="Z103" s="164"/>
      <c r="AA103" s="69"/>
    </row>
    <row r="104" spans="1:27" s="70" customFormat="1">
      <c r="C104" s="71"/>
      <c r="D104" s="71"/>
      <c r="E104" s="72"/>
      <c r="H104" s="98"/>
      <c r="I104" s="114"/>
      <c r="J104" s="114"/>
      <c r="K104" s="114"/>
      <c r="L104" s="114"/>
      <c r="M104" s="128"/>
      <c r="N104" s="114"/>
      <c r="O104" s="114"/>
      <c r="P104" s="114"/>
      <c r="U104" s="70" t="s">
        <v>68</v>
      </c>
      <c r="W104" s="186" t="s">
        <v>68</v>
      </c>
      <c r="X104" s="163">
        <f>1</f>
        <v>1</v>
      </c>
      <c r="Y104" s="164" t="str">
        <f t="shared" si="5"/>
        <v/>
      </c>
      <c r="Z104" s="164" t="str">
        <f t="shared" si="8"/>
        <v/>
      </c>
      <c r="AA104" s="69"/>
    </row>
    <row r="105" spans="1:27" ht="32.1">
      <c r="A105" s="73" t="s">
        <v>255</v>
      </c>
      <c r="B105" s="73" t="s">
        <v>308</v>
      </c>
      <c r="C105" s="74" t="s">
        <v>309</v>
      </c>
      <c r="D105" s="215" t="s">
        <v>310</v>
      </c>
      <c r="E105" s="92"/>
      <c r="F105" s="73"/>
      <c r="G105" s="73"/>
      <c r="H105" s="94"/>
      <c r="I105" s="115" t="s">
        <v>40</v>
      </c>
      <c r="J105" s="115"/>
      <c r="K105" s="115"/>
      <c r="L105" s="115"/>
      <c r="M105" s="115" t="s">
        <v>303</v>
      </c>
      <c r="N105" s="115"/>
      <c r="O105" s="115"/>
      <c r="P105" s="115"/>
      <c r="U105" s="41" t="s">
        <v>42</v>
      </c>
      <c r="W105" s="186">
        <v>16.348396301269531</v>
      </c>
      <c r="X105" s="163">
        <f>1</f>
        <v>1</v>
      </c>
      <c r="Y105" s="164">
        <f t="shared" si="5"/>
        <v>16.348396301269531</v>
      </c>
      <c r="Z105" s="164">
        <f t="shared" si="8"/>
        <v>16.348396301269531</v>
      </c>
    </row>
    <row r="106" spans="1:27" s="70" customFormat="1">
      <c r="C106" s="71"/>
      <c r="D106" s="71"/>
      <c r="E106" s="72"/>
      <c r="H106" s="76"/>
      <c r="I106" s="114"/>
      <c r="J106" s="114"/>
      <c r="K106" s="114"/>
      <c r="L106" s="114"/>
      <c r="M106" s="114"/>
      <c r="N106" s="114"/>
      <c r="O106" s="114"/>
      <c r="P106" s="114"/>
      <c r="U106" s="70" t="s">
        <v>68</v>
      </c>
      <c r="W106" s="186" t="s">
        <v>68</v>
      </c>
      <c r="X106" s="163">
        <f>1</f>
        <v>1</v>
      </c>
      <c r="Y106" s="164" t="str">
        <f t="shared" si="5"/>
        <v/>
      </c>
      <c r="Z106" s="164" t="str">
        <f t="shared" si="8"/>
        <v/>
      </c>
      <c r="AA106" s="69"/>
    </row>
    <row r="107" spans="1:27" ht="48">
      <c r="A107" s="73" t="s">
        <v>311</v>
      </c>
      <c r="B107" s="73" t="s">
        <v>312</v>
      </c>
      <c r="C107" s="74" t="s">
        <v>313</v>
      </c>
      <c r="D107" s="215" t="s">
        <v>314</v>
      </c>
      <c r="E107" s="92"/>
      <c r="F107" s="73" t="s">
        <v>315</v>
      </c>
      <c r="G107" s="73" t="s">
        <v>316</v>
      </c>
      <c r="H107" s="94"/>
      <c r="I107" s="115" t="s">
        <v>40</v>
      </c>
      <c r="J107" s="115"/>
      <c r="K107" s="115" t="s">
        <v>317</v>
      </c>
      <c r="L107" s="115"/>
      <c r="M107" s="115"/>
      <c r="N107" s="115"/>
      <c r="O107" s="115"/>
      <c r="P107" s="115"/>
      <c r="U107" s="41" t="s">
        <v>42</v>
      </c>
      <c r="W107" s="186">
        <v>46.247528076171875</v>
      </c>
      <c r="X107" s="163">
        <f>1</f>
        <v>1</v>
      </c>
      <c r="Y107" s="164">
        <f t="shared" si="5"/>
        <v>46.247528076171875</v>
      </c>
      <c r="Z107" s="164">
        <f t="shared" si="8"/>
        <v>46.247528076171875</v>
      </c>
    </row>
    <row r="108" spans="1:27">
      <c r="D108" s="41"/>
      <c r="E108" s="81"/>
      <c r="H108" s="82"/>
      <c r="U108" s="41" t="s">
        <v>68</v>
      </c>
      <c r="W108" s="186" t="s">
        <v>68</v>
      </c>
      <c r="X108" s="163">
        <f>1</f>
        <v>1</v>
      </c>
      <c r="Y108" s="164" t="str">
        <f t="shared" si="5"/>
        <v/>
      </c>
      <c r="Z108" s="164" t="str">
        <f t="shared" si="8"/>
        <v/>
      </c>
    </row>
    <row r="109" spans="1:27" s="70" customFormat="1" ht="48">
      <c r="A109" s="70" t="s">
        <v>73</v>
      </c>
      <c r="B109" s="70" t="s">
        <v>318</v>
      </c>
      <c r="C109" s="71" t="s">
        <v>319</v>
      </c>
      <c r="D109" s="71" t="s">
        <v>320</v>
      </c>
      <c r="E109" s="72"/>
      <c r="F109" s="70" t="s">
        <v>321</v>
      </c>
      <c r="G109" s="70" t="s">
        <v>322</v>
      </c>
      <c r="H109" s="76"/>
      <c r="I109" s="114" t="s">
        <v>51</v>
      </c>
      <c r="J109" s="114"/>
      <c r="K109" s="120"/>
      <c r="L109" s="114"/>
      <c r="M109" s="114" t="s">
        <v>323</v>
      </c>
      <c r="N109" s="114"/>
      <c r="O109" s="114"/>
      <c r="P109" s="114"/>
      <c r="U109" s="70" t="s">
        <v>52</v>
      </c>
      <c r="W109" s="186">
        <v>26.118782043457031</v>
      </c>
      <c r="X109" s="163">
        <f>1</f>
        <v>1</v>
      </c>
      <c r="Y109" s="164">
        <f t="shared" si="5"/>
        <v>26.118782043457031</v>
      </c>
      <c r="Z109" s="164" t="str">
        <f t="shared" si="8"/>
        <v/>
      </c>
      <c r="AA109" s="69"/>
    </row>
    <row r="110" spans="1:27">
      <c r="D110" s="41"/>
      <c r="E110" s="81"/>
      <c r="H110" s="82"/>
      <c r="M110" s="125"/>
      <c r="U110" s="41" t="s">
        <v>68</v>
      </c>
      <c r="W110" s="186" t="s">
        <v>68</v>
      </c>
      <c r="X110" s="163">
        <f>1</f>
        <v>1</v>
      </c>
      <c r="Y110" s="164" t="str">
        <f t="shared" si="5"/>
        <v/>
      </c>
      <c r="Z110" s="164" t="str">
        <f t="shared" si="8"/>
        <v/>
      </c>
    </row>
    <row r="111" spans="1:27" s="70" customFormat="1" ht="32.1">
      <c r="A111" s="70" t="s">
        <v>324</v>
      </c>
      <c r="B111" s="70" t="s">
        <v>325</v>
      </c>
      <c r="C111" s="71" t="s">
        <v>326</v>
      </c>
      <c r="D111" s="287" t="s">
        <v>327</v>
      </c>
      <c r="E111" s="72"/>
      <c r="F111" s="70" t="s">
        <v>328</v>
      </c>
      <c r="G111" s="70" t="s">
        <v>329</v>
      </c>
      <c r="H111" s="76"/>
      <c r="I111" s="114" t="s">
        <v>40</v>
      </c>
      <c r="J111" s="114"/>
      <c r="K111" s="114" t="s">
        <v>195</v>
      </c>
      <c r="L111" s="114"/>
      <c r="M111" s="114"/>
      <c r="N111" s="114"/>
      <c r="O111" s="114"/>
      <c r="P111" s="114"/>
      <c r="U111" s="70" t="s">
        <v>52</v>
      </c>
      <c r="W111" s="190">
        <v>56.471023559570313</v>
      </c>
      <c r="X111" s="202">
        <f>1</f>
        <v>1</v>
      </c>
      <c r="Y111" s="168">
        <f t="shared" si="5"/>
        <v>56.471023559570313</v>
      </c>
      <c r="Z111" s="168" t="str">
        <f t="shared" si="8"/>
        <v/>
      </c>
    </row>
    <row r="112" spans="1:27" s="70" customFormat="1" ht="15.95">
      <c r="A112" s="70" t="s">
        <v>73</v>
      </c>
      <c r="B112" s="70" t="s">
        <v>330</v>
      </c>
      <c r="C112" s="71" t="s">
        <v>331</v>
      </c>
      <c r="D112" s="71" t="s">
        <v>332</v>
      </c>
      <c r="E112" s="72"/>
      <c r="F112" s="70" t="s">
        <v>333</v>
      </c>
      <c r="G112" s="70" t="s">
        <v>334</v>
      </c>
      <c r="H112" s="76"/>
      <c r="I112" s="114" t="s">
        <v>40</v>
      </c>
      <c r="J112" s="114"/>
      <c r="K112" s="114"/>
      <c r="L112" s="114"/>
      <c r="M112" s="114" t="s">
        <v>335</v>
      </c>
      <c r="N112" s="114"/>
      <c r="O112" s="114"/>
      <c r="P112" s="114"/>
      <c r="U112" s="70" t="s">
        <v>52</v>
      </c>
      <c r="W112" s="190"/>
      <c r="X112" s="202">
        <f>1</f>
        <v>1</v>
      </c>
      <c r="Y112" s="168" t="str">
        <f t="shared" si="5"/>
        <v/>
      </c>
      <c r="Z112" s="168" t="str">
        <f t="shared" si="8"/>
        <v/>
      </c>
    </row>
    <row r="113" spans="1:27" s="70" customFormat="1">
      <c r="C113" s="71"/>
      <c r="D113" s="71"/>
      <c r="E113" s="72"/>
      <c r="H113" s="76"/>
      <c r="I113" s="114"/>
      <c r="J113" s="114"/>
      <c r="K113" s="120"/>
      <c r="L113" s="114"/>
      <c r="M113" s="114"/>
      <c r="N113" s="114"/>
      <c r="O113" s="114"/>
      <c r="P113" s="114"/>
      <c r="U113" s="70" t="s">
        <v>68</v>
      </c>
      <c r="W113" s="186" t="s">
        <v>68</v>
      </c>
      <c r="X113" s="163">
        <f>1</f>
        <v>1</v>
      </c>
      <c r="Y113" s="164" t="str">
        <f t="shared" si="5"/>
        <v/>
      </c>
      <c r="Z113" s="164" t="str">
        <f t="shared" si="8"/>
        <v/>
      </c>
      <c r="AA113" s="69"/>
    </row>
    <row r="114" spans="1:27" ht="15.95" thickBot="1">
      <c r="A114" s="90" t="s">
        <v>149</v>
      </c>
      <c r="B114" s="90"/>
      <c r="C114" s="91"/>
      <c r="D114" s="91"/>
      <c r="E114" s="85"/>
      <c r="F114" s="90"/>
      <c r="G114" s="90"/>
      <c r="H114" s="86"/>
      <c r="I114" s="124"/>
      <c r="J114" s="124"/>
      <c r="K114" s="124"/>
      <c r="L114" s="124"/>
      <c r="M114" s="124"/>
      <c r="N114" s="124"/>
      <c r="O114" s="124"/>
      <c r="P114" s="124"/>
      <c r="U114" s="41" t="s">
        <v>68</v>
      </c>
      <c r="W114" s="186" t="s">
        <v>68</v>
      </c>
      <c r="X114" s="69"/>
      <c r="Y114" s="164" t="str">
        <f t="shared" si="5"/>
        <v/>
      </c>
      <c r="Z114" s="164" t="str">
        <f t="shared" si="8"/>
        <v/>
      </c>
    </row>
    <row r="115" spans="1:27" s="66" customFormat="1" ht="17.100000000000001" thickTop="1">
      <c r="A115" s="63" t="s">
        <v>69</v>
      </c>
      <c r="B115" s="63" t="s">
        <v>336</v>
      </c>
      <c r="C115" s="87" t="s">
        <v>337</v>
      </c>
      <c r="D115" s="218" t="s">
        <v>338</v>
      </c>
      <c r="E115" s="64"/>
      <c r="F115" s="63"/>
      <c r="G115" s="63"/>
      <c r="H115" s="65"/>
      <c r="I115" s="118" t="s">
        <v>51</v>
      </c>
      <c r="J115" s="118"/>
      <c r="K115" s="118"/>
      <c r="L115" s="118"/>
      <c r="M115" s="118" t="s">
        <v>339</v>
      </c>
      <c r="N115" s="118"/>
      <c r="O115" s="118"/>
      <c r="P115" s="118"/>
      <c r="U115" s="41" t="s">
        <v>42</v>
      </c>
      <c r="W115" s="186"/>
      <c r="X115" s="67"/>
      <c r="Y115" s="164" t="str">
        <f t="shared" si="5"/>
        <v/>
      </c>
      <c r="Z115" s="164" t="str">
        <f t="shared" si="8"/>
        <v/>
      </c>
      <c r="AA115" s="67"/>
    </row>
    <row r="116" spans="1:27" s="42" customFormat="1" ht="63.95" customHeight="1">
      <c r="A116" s="40" t="s">
        <v>45</v>
      </c>
      <c r="B116" s="40" t="s">
        <v>340</v>
      </c>
      <c r="C116" s="40" t="s">
        <v>341</v>
      </c>
      <c r="D116" s="215" t="s">
        <v>342</v>
      </c>
      <c r="E116" s="81"/>
      <c r="F116" s="40"/>
      <c r="G116" s="40"/>
      <c r="H116" s="81"/>
      <c r="I116" s="39"/>
      <c r="J116" s="39"/>
      <c r="K116" s="39"/>
      <c r="L116" s="39"/>
      <c r="M116" s="39"/>
      <c r="N116" s="39"/>
      <c r="O116" s="39"/>
      <c r="P116" s="39"/>
      <c r="U116" s="42" t="s">
        <v>42</v>
      </c>
      <c r="W116" s="189">
        <v>7.5</v>
      </c>
      <c r="X116" s="166">
        <f>'Additional information'!$D$18</f>
        <v>0.91</v>
      </c>
      <c r="Y116" s="165">
        <f t="shared" si="5"/>
        <v>6.8250000000000002</v>
      </c>
      <c r="Z116" s="165">
        <f t="shared" si="8"/>
        <v>6.8250000000000002</v>
      </c>
      <c r="AA116" s="43"/>
    </row>
    <row r="117" spans="1:27">
      <c r="D117" s="217"/>
      <c r="E117" s="81"/>
      <c r="H117" s="82"/>
      <c r="U117" s="41" t="s">
        <v>68</v>
      </c>
      <c r="W117" s="186" t="s">
        <v>68</v>
      </c>
      <c r="X117" s="163">
        <f>'Additional information'!$D$18</f>
        <v>0.91</v>
      </c>
      <c r="Y117" s="164" t="str">
        <f t="shared" si="5"/>
        <v/>
      </c>
      <c r="Z117" s="164" t="str">
        <f t="shared" si="8"/>
        <v/>
      </c>
    </row>
    <row r="118" spans="1:27" s="69" customFormat="1" ht="15.95">
      <c r="A118" s="73" t="s">
        <v>232</v>
      </c>
      <c r="B118" s="73" t="s">
        <v>343</v>
      </c>
      <c r="C118" s="74" t="s">
        <v>344</v>
      </c>
      <c r="D118" s="280" t="s">
        <v>345</v>
      </c>
      <c r="E118" s="92"/>
      <c r="F118" s="73" t="s">
        <v>346</v>
      </c>
      <c r="G118" s="73" t="s">
        <v>347</v>
      </c>
      <c r="H118" s="94"/>
      <c r="I118" s="115" t="s">
        <v>40</v>
      </c>
      <c r="J118" s="115"/>
      <c r="K118" s="115" t="s">
        <v>348</v>
      </c>
      <c r="L118" s="115"/>
      <c r="M118" s="115"/>
      <c r="N118" s="115"/>
      <c r="O118" s="115"/>
      <c r="P118" s="115"/>
      <c r="U118" s="69" t="s">
        <v>42</v>
      </c>
      <c r="W118" s="186">
        <v>17</v>
      </c>
      <c r="X118" s="163">
        <f>'Additional information'!$D$18</f>
        <v>0.91</v>
      </c>
      <c r="Y118" s="164">
        <f t="shared" si="5"/>
        <v>15.47</v>
      </c>
      <c r="Z118" s="164">
        <f t="shared" ref="Z118:Z148" si="11">IF(AND(W118&lt;&gt;"",U118="yes"),W118*X118,"")</f>
        <v>15.47</v>
      </c>
    </row>
    <row r="119" spans="1:27" s="69" customFormat="1" ht="15.95">
      <c r="A119" s="73" t="s">
        <v>349</v>
      </c>
      <c r="B119" s="73" t="s">
        <v>350</v>
      </c>
      <c r="C119" s="74" t="s">
        <v>351</v>
      </c>
      <c r="D119" s="215" t="s">
        <v>352</v>
      </c>
      <c r="E119" s="92"/>
      <c r="F119" s="73" t="s">
        <v>353</v>
      </c>
      <c r="G119" s="219" t="s">
        <v>354</v>
      </c>
      <c r="H119" s="94"/>
      <c r="I119" s="115" t="s">
        <v>40</v>
      </c>
      <c r="J119" s="115"/>
      <c r="K119" s="115"/>
      <c r="L119" s="115"/>
      <c r="M119" s="115" t="s">
        <v>355</v>
      </c>
      <c r="N119" s="115"/>
      <c r="O119" s="115"/>
      <c r="P119" s="115"/>
      <c r="U119" s="69" t="s">
        <v>42</v>
      </c>
      <c r="W119" s="186">
        <v>0</v>
      </c>
      <c r="X119" s="163">
        <f>'Additional information'!$D$18</f>
        <v>0.91</v>
      </c>
      <c r="Y119" s="164">
        <f t="shared" si="5"/>
        <v>0</v>
      </c>
      <c r="Z119" s="164">
        <f t="shared" si="11"/>
        <v>0</v>
      </c>
    </row>
    <row r="120" spans="1:27" s="66" customFormat="1">
      <c r="C120" s="88"/>
      <c r="E120" s="64"/>
      <c r="H120" s="65"/>
      <c r="I120" s="119"/>
      <c r="J120" s="119"/>
      <c r="K120" s="119"/>
      <c r="L120" s="119"/>
      <c r="M120" s="119"/>
      <c r="N120" s="119"/>
      <c r="O120" s="119"/>
      <c r="P120" s="119"/>
      <c r="U120" s="41" t="s">
        <v>68</v>
      </c>
      <c r="W120" s="186" t="s">
        <v>68</v>
      </c>
      <c r="X120" s="163">
        <f>'Additional information'!$D$18</f>
        <v>0.91</v>
      </c>
      <c r="Y120" s="164" t="str">
        <f t="shared" si="5"/>
        <v/>
      </c>
      <c r="Z120" s="164" t="str">
        <f t="shared" si="11"/>
        <v/>
      </c>
      <c r="AA120" s="67"/>
    </row>
    <row r="121" spans="1:27" ht="32.1">
      <c r="A121" s="68" t="s">
        <v>356</v>
      </c>
      <c r="B121" s="68" t="s">
        <v>357</v>
      </c>
      <c r="C121" s="40" t="s">
        <v>358</v>
      </c>
      <c r="D121" s="280" t="s">
        <v>359</v>
      </c>
      <c r="E121" s="81"/>
      <c r="F121" s="68" t="s">
        <v>360</v>
      </c>
      <c r="G121" s="40" t="s">
        <v>361</v>
      </c>
      <c r="H121" s="82"/>
      <c r="I121" s="113" t="s">
        <v>40</v>
      </c>
      <c r="J121" s="113" t="s">
        <v>127</v>
      </c>
      <c r="K121" s="113"/>
      <c r="L121" s="113"/>
      <c r="M121" s="113"/>
      <c r="N121" s="113"/>
      <c r="O121" s="113"/>
      <c r="P121" s="113"/>
      <c r="U121" s="41" t="s">
        <v>42</v>
      </c>
      <c r="W121" s="186">
        <v>27.057552337646484</v>
      </c>
      <c r="X121" s="163">
        <f>'Additional information'!$D$18</f>
        <v>0.91</v>
      </c>
      <c r="Y121" s="164">
        <f t="shared" si="5"/>
        <v>24.622372627258301</v>
      </c>
      <c r="Z121" s="164">
        <f t="shared" si="11"/>
        <v>24.622372627258301</v>
      </c>
    </row>
    <row r="122" spans="1:27">
      <c r="A122" s="68" t="s">
        <v>26</v>
      </c>
      <c r="B122" s="68" t="s">
        <v>362</v>
      </c>
      <c r="C122" s="40"/>
      <c r="D122" s="68"/>
      <c r="E122" s="81"/>
      <c r="H122" s="82"/>
      <c r="I122" s="113"/>
      <c r="J122" s="113"/>
      <c r="K122" s="113"/>
      <c r="L122" s="113"/>
      <c r="M122" s="113"/>
      <c r="N122" s="113"/>
      <c r="O122" s="113"/>
      <c r="P122" s="113" t="s">
        <v>363</v>
      </c>
      <c r="U122" s="41" t="s">
        <v>42</v>
      </c>
      <c r="W122" s="186"/>
      <c r="X122" s="163">
        <f>'Additional information'!$D$18</f>
        <v>0.91</v>
      </c>
      <c r="Y122" s="164" t="str">
        <f t="shared" si="5"/>
        <v/>
      </c>
      <c r="Z122" s="164" t="str">
        <f t="shared" si="11"/>
        <v/>
      </c>
    </row>
    <row r="123" spans="1:27" ht="15.95">
      <c r="A123" s="68" t="s">
        <v>364</v>
      </c>
      <c r="B123" s="68" t="s">
        <v>365</v>
      </c>
      <c r="C123" s="40" t="s">
        <v>366</v>
      </c>
      <c r="D123" s="215" t="s">
        <v>367</v>
      </c>
      <c r="E123" s="81"/>
      <c r="H123" s="82"/>
      <c r="I123" s="113" t="s">
        <v>40</v>
      </c>
      <c r="J123" s="113"/>
      <c r="K123" s="113"/>
      <c r="L123" s="113"/>
      <c r="M123" s="113" t="s">
        <v>368</v>
      </c>
      <c r="N123" s="113"/>
      <c r="O123" s="113"/>
      <c r="P123" s="113"/>
      <c r="U123" s="41" t="s">
        <v>42</v>
      </c>
      <c r="W123" s="186">
        <v>0</v>
      </c>
      <c r="X123" s="163">
        <f>'Additional information'!$D$18</f>
        <v>0.91</v>
      </c>
      <c r="Y123" s="164">
        <f t="shared" si="5"/>
        <v>0</v>
      </c>
      <c r="Z123" s="164">
        <f t="shared" si="11"/>
        <v>0</v>
      </c>
    </row>
    <row r="124" spans="1:27" s="69" customFormat="1">
      <c r="C124" s="43"/>
      <c r="D124" s="217"/>
      <c r="E124" s="92"/>
      <c r="H124" s="94"/>
      <c r="I124" s="125"/>
      <c r="J124" s="125"/>
      <c r="K124" s="125"/>
      <c r="L124" s="125"/>
      <c r="M124" s="125"/>
      <c r="N124" s="125"/>
      <c r="O124" s="125"/>
      <c r="P124" s="125"/>
      <c r="U124" s="69" t="s">
        <v>68</v>
      </c>
      <c r="W124" s="186" t="s">
        <v>68</v>
      </c>
      <c r="X124" s="163">
        <f>'Additional information'!$D$18</f>
        <v>0.91</v>
      </c>
      <c r="Y124" s="164" t="str">
        <f t="shared" si="5"/>
        <v/>
      </c>
      <c r="Z124" s="164" t="str">
        <f t="shared" si="11"/>
        <v/>
      </c>
    </row>
    <row r="125" spans="1:27" ht="31.7" customHeight="1">
      <c r="A125" s="68" t="s">
        <v>369</v>
      </c>
      <c r="B125" s="68" t="s">
        <v>370</v>
      </c>
      <c r="C125" s="68" t="s">
        <v>371</v>
      </c>
      <c r="D125" s="280" t="s">
        <v>372</v>
      </c>
      <c r="E125" s="82"/>
      <c r="H125" s="82"/>
      <c r="I125" s="113" t="s">
        <v>40</v>
      </c>
      <c r="J125" s="113"/>
      <c r="K125" s="113"/>
      <c r="L125" s="113"/>
      <c r="M125" s="113" t="s">
        <v>373</v>
      </c>
      <c r="N125" s="113"/>
      <c r="O125" s="113"/>
      <c r="P125" s="113"/>
      <c r="U125" s="41" t="s">
        <v>42</v>
      </c>
      <c r="W125" s="186">
        <v>15.95429515838623</v>
      </c>
      <c r="X125" s="163">
        <f>'Additional information'!$D$18</f>
        <v>0.91</v>
      </c>
      <c r="Y125" s="164">
        <f t="shared" si="5"/>
        <v>14.51840859413147</v>
      </c>
      <c r="Z125" s="164">
        <f t="shared" si="11"/>
        <v>14.51840859413147</v>
      </c>
    </row>
    <row r="126" spans="1:27" ht="15.75" customHeight="1">
      <c r="A126" s="68" t="s">
        <v>73</v>
      </c>
      <c r="B126" s="68" t="s">
        <v>374</v>
      </c>
      <c r="C126" s="74" t="s">
        <v>331</v>
      </c>
      <c r="D126" s="43" t="s">
        <v>332</v>
      </c>
      <c r="E126" s="92"/>
      <c r="F126" s="69" t="s">
        <v>333</v>
      </c>
      <c r="G126" s="69" t="s">
        <v>334</v>
      </c>
      <c r="H126" s="82"/>
      <c r="I126" s="113" t="s">
        <v>40</v>
      </c>
      <c r="J126" s="113"/>
      <c r="K126" s="113"/>
      <c r="L126" s="113"/>
      <c r="M126" s="113" t="s">
        <v>375</v>
      </c>
      <c r="N126" s="113"/>
      <c r="O126" s="113"/>
      <c r="P126" s="113"/>
      <c r="U126" s="41" t="s">
        <v>42</v>
      </c>
      <c r="W126" s="186"/>
      <c r="X126" s="163">
        <f>'Additional information'!$D$18</f>
        <v>0.91</v>
      </c>
      <c r="Y126" s="164" t="str">
        <f t="shared" si="5"/>
        <v/>
      </c>
      <c r="Z126" s="164" t="str">
        <f t="shared" si="11"/>
        <v/>
      </c>
    </row>
    <row r="127" spans="1:27" s="70" customFormat="1" ht="15.75" customHeight="1">
      <c r="C127" s="71"/>
      <c r="E127" s="72"/>
      <c r="H127" s="76"/>
      <c r="I127" s="114"/>
      <c r="J127" s="114"/>
      <c r="K127" s="114"/>
      <c r="L127" s="114"/>
      <c r="M127" s="114"/>
      <c r="N127" s="114"/>
      <c r="O127" s="114"/>
      <c r="P127" s="114"/>
      <c r="U127" s="70" t="s">
        <v>68</v>
      </c>
      <c r="W127" s="186" t="s">
        <v>68</v>
      </c>
      <c r="X127" s="163">
        <f>'Additional information'!$D$18</f>
        <v>0.91</v>
      </c>
      <c r="Y127" s="164" t="str">
        <f t="shared" si="5"/>
        <v/>
      </c>
      <c r="Z127" s="164" t="str">
        <f t="shared" si="11"/>
        <v/>
      </c>
      <c r="AA127" s="69"/>
    </row>
    <row r="128" spans="1:27" s="70" customFormat="1" ht="15.75" customHeight="1">
      <c r="A128" s="70" t="s">
        <v>376</v>
      </c>
      <c r="B128" s="70" t="s">
        <v>377</v>
      </c>
      <c r="C128" s="71" t="s">
        <v>378</v>
      </c>
      <c r="D128" s="70" t="s">
        <v>379</v>
      </c>
      <c r="E128" s="72"/>
      <c r="H128" s="76"/>
      <c r="I128" s="114"/>
      <c r="J128" s="114"/>
      <c r="K128" s="114"/>
      <c r="L128" s="114"/>
      <c r="M128" s="114" t="s">
        <v>380</v>
      </c>
      <c r="N128" s="114"/>
      <c r="O128" s="114"/>
      <c r="P128" s="114"/>
      <c r="W128" s="186"/>
      <c r="X128" s="163"/>
      <c r="Y128" s="164"/>
      <c r="Z128" s="164"/>
      <c r="AA128" s="69"/>
    </row>
    <row r="129" spans="1:27" s="70" customFormat="1" ht="15.75" customHeight="1">
      <c r="A129" s="70" t="s">
        <v>143</v>
      </c>
      <c r="B129" s="70" t="s">
        <v>381</v>
      </c>
      <c r="C129" s="71" t="s">
        <v>382</v>
      </c>
      <c r="D129" s="70" t="s">
        <v>383</v>
      </c>
      <c r="E129" s="72"/>
      <c r="H129" s="76"/>
      <c r="I129" s="114"/>
      <c r="J129" s="114"/>
      <c r="K129" s="114"/>
      <c r="L129" s="114"/>
      <c r="M129" s="114" t="s">
        <v>380</v>
      </c>
      <c r="N129" s="114"/>
      <c r="O129" s="114"/>
      <c r="P129" s="114"/>
      <c r="W129" s="186"/>
      <c r="X129" s="163"/>
      <c r="Y129" s="164"/>
      <c r="Z129" s="164"/>
      <c r="AA129" s="69"/>
    </row>
    <row r="130" spans="1:27" s="70" customFormat="1" ht="15.95">
      <c r="A130" s="70" t="s">
        <v>384</v>
      </c>
      <c r="B130" s="70" t="s">
        <v>385</v>
      </c>
      <c r="C130" s="71" t="s">
        <v>386</v>
      </c>
      <c r="D130" s="288" t="s">
        <v>387</v>
      </c>
      <c r="E130" s="72"/>
      <c r="F130" s="70" t="s">
        <v>328</v>
      </c>
      <c r="G130" s="70" t="s">
        <v>329</v>
      </c>
      <c r="H130" s="76"/>
      <c r="I130" s="114" t="s">
        <v>40</v>
      </c>
      <c r="J130" s="114"/>
      <c r="K130" s="114" t="s">
        <v>388</v>
      </c>
      <c r="L130" s="114"/>
      <c r="M130" s="114" t="s">
        <v>373</v>
      </c>
      <c r="N130" s="114"/>
      <c r="O130" s="114"/>
      <c r="P130" s="114"/>
      <c r="U130" s="70" t="s">
        <v>52</v>
      </c>
      <c r="W130" s="186">
        <v>17.928909301757813</v>
      </c>
      <c r="X130" s="163">
        <f>'Additional information'!$D$18</f>
        <v>0.91</v>
      </c>
      <c r="Y130" s="164">
        <f t="shared" si="5"/>
        <v>16.315307464599609</v>
      </c>
      <c r="Z130" s="164" t="str">
        <f t="shared" si="11"/>
        <v/>
      </c>
      <c r="AA130" s="69"/>
    </row>
    <row r="131" spans="1:27" s="70" customFormat="1">
      <c r="C131" s="71"/>
      <c r="E131" s="72"/>
      <c r="G131" s="41"/>
      <c r="H131" s="76"/>
      <c r="I131" s="114"/>
      <c r="J131" s="114"/>
      <c r="K131" s="114"/>
      <c r="L131" s="114"/>
      <c r="M131" s="114"/>
      <c r="N131" s="114"/>
      <c r="O131" s="114"/>
      <c r="P131" s="114"/>
      <c r="U131" s="70" t="s">
        <v>68</v>
      </c>
      <c r="W131" s="186" t="s">
        <v>68</v>
      </c>
      <c r="X131" s="163">
        <f>'Additional information'!$D$18</f>
        <v>0.91</v>
      </c>
      <c r="Y131" s="164" t="str">
        <f t="shared" si="5"/>
        <v/>
      </c>
      <c r="Z131" s="164" t="str">
        <f t="shared" si="11"/>
        <v/>
      </c>
      <c r="AA131" s="69"/>
    </row>
    <row r="132" spans="1:27" ht="32.1">
      <c r="A132" s="68" t="s">
        <v>255</v>
      </c>
      <c r="B132" s="68" t="s">
        <v>389</v>
      </c>
      <c r="C132" s="40" t="s">
        <v>390</v>
      </c>
      <c r="D132" s="280" t="s">
        <v>391</v>
      </c>
      <c r="E132" s="81"/>
      <c r="F132" s="68"/>
      <c r="H132" s="82"/>
      <c r="I132" s="113" t="s">
        <v>40</v>
      </c>
      <c r="J132" s="113"/>
      <c r="K132" s="113"/>
      <c r="L132" s="113"/>
      <c r="M132" s="115" t="s">
        <v>373</v>
      </c>
      <c r="N132" s="113"/>
      <c r="O132" s="113"/>
      <c r="P132" s="113"/>
      <c r="U132" s="41" t="s">
        <v>42</v>
      </c>
      <c r="W132" s="186">
        <v>25.436874389648438</v>
      </c>
      <c r="X132" s="163">
        <f>'Additional information'!$D$18</f>
        <v>0.91</v>
      </c>
      <c r="Y132" s="164">
        <f t="shared" si="5"/>
        <v>23.147555694580078</v>
      </c>
      <c r="Z132" s="164">
        <f t="shared" si="11"/>
        <v>23.147555694580078</v>
      </c>
    </row>
    <row r="133" spans="1:27">
      <c r="D133" s="217"/>
      <c r="E133" s="81"/>
      <c r="H133" s="82"/>
      <c r="M133" s="125"/>
      <c r="U133" s="41" t="s">
        <v>68</v>
      </c>
      <c r="W133" s="186" t="s">
        <v>68</v>
      </c>
      <c r="X133" s="163">
        <f>'Additional information'!$D$18</f>
        <v>0.91</v>
      </c>
      <c r="Y133" s="164" t="str">
        <f t="shared" si="5"/>
        <v/>
      </c>
      <c r="Z133" s="164" t="str">
        <f t="shared" si="11"/>
        <v/>
      </c>
    </row>
    <row r="134" spans="1:27" ht="32.1">
      <c r="A134" s="68" t="s">
        <v>255</v>
      </c>
      <c r="B134" s="68" t="s">
        <v>392</v>
      </c>
      <c r="C134" s="40" t="s">
        <v>393</v>
      </c>
      <c r="D134" s="316" t="s">
        <v>394</v>
      </c>
      <c r="E134" s="81"/>
      <c r="G134" s="70"/>
      <c r="H134" s="82"/>
      <c r="I134" s="113" t="s">
        <v>40</v>
      </c>
      <c r="J134" s="113"/>
      <c r="K134" s="113"/>
      <c r="L134" s="113"/>
      <c r="M134" s="115" t="s">
        <v>373</v>
      </c>
      <c r="N134" s="113"/>
      <c r="O134" s="113"/>
      <c r="P134" s="113"/>
      <c r="U134" s="41" t="s">
        <v>42</v>
      </c>
      <c r="W134" s="186">
        <v>19.364946365356445</v>
      </c>
      <c r="X134" s="163">
        <f>'Additional information'!$D$18</f>
        <v>0.91</v>
      </c>
      <c r="Y134" s="164">
        <f t="shared" si="5"/>
        <v>17.622101192474364</v>
      </c>
      <c r="Z134" s="164">
        <f t="shared" si="11"/>
        <v>17.622101192474364</v>
      </c>
    </row>
    <row r="135" spans="1:27" s="70" customFormat="1" ht="15.95">
      <c r="A135" s="70" t="s">
        <v>232</v>
      </c>
      <c r="B135" s="70" t="s">
        <v>395</v>
      </c>
      <c r="C135" s="71" t="s">
        <v>396</v>
      </c>
      <c r="D135" s="289" t="s">
        <v>397</v>
      </c>
      <c r="E135" s="72"/>
      <c r="F135" s="70" t="s">
        <v>398</v>
      </c>
      <c r="G135" s="70" t="s">
        <v>399</v>
      </c>
      <c r="H135" s="76"/>
      <c r="I135" s="114" t="s">
        <v>40</v>
      </c>
      <c r="J135" s="125"/>
      <c r="K135" s="128" t="s">
        <v>348</v>
      </c>
      <c r="L135" s="114"/>
      <c r="M135" s="114" t="s">
        <v>373</v>
      </c>
      <c r="N135" s="114"/>
      <c r="O135" s="114"/>
      <c r="P135" s="114"/>
      <c r="U135" s="70" t="s">
        <v>52</v>
      </c>
      <c r="W135" s="186">
        <v>17</v>
      </c>
      <c r="X135" s="163">
        <f>'Additional information'!$D$18</f>
        <v>0.91</v>
      </c>
      <c r="Y135" s="164">
        <f t="shared" si="5"/>
        <v>15.47</v>
      </c>
      <c r="Z135" s="164" t="str">
        <f t="shared" si="11"/>
        <v/>
      </c>
      <c r="AA135" s="69"/>
    </row>
    <row r="136" spans="1:27" s="70" customFormat="1" ht="15.95">
      <c r="A136" s="70" t="s">
        <v>400</v>
      </c>
      <c r="B136" s="70" t="s">
        <v>401</v>
      </c>
      <c r="C136" s="71" t="s">
        <v>402</v>
      </c>
      <c r="D136" s="287" t="s">
        <v>403</v>
      </c>
      <c r="E136" s="72"/>
      <c r="H136" s="76"/>
      <c r="I136" s="114" t="s">
        <v>40</v>
      </c>
      <c r="J136" s="125"/>
      <c r="K136" s="114"/>
      <c r="L136" s="114"/>
      <c r="M136" s="114" t="s">
        <v>404</v>
      </c>
      <c r="N136" s="114"/>
      <c r="O136" s="114"/>
      <c r="P136" s="114"/>
      <c r="U136" s="70" t="s">
        <v>52</v>
      </c>
      <c r="W136" s="186">
        <v>17</v>
      </c>
      <c r="X136" s="163">
        <f>'Additional information'!$D$18</f>
        <v>0.91</v>
      </c>
      <c r="Y136" s="164">
        <f t="shared" si="5"/>
        <v>15.47</v>
      </c>
      <c r="Z136" s="164" t="str">
        <f t="shared" si="11"/>
        <v/>
      </c>
      <c r="AA136" s="69"/>
    </row>
    <row r="137" spans="1:27" s="70" customFormat="1">
      <c r="A137" s="70" t="s">
        <v>26</v>
      </c>
      <c r="B137" s="70" t="s">
        <v>405</v>
      </c>
      <c r="C137" s="71"/>
      <c r="E137" s="72"/>
      <c r="H137" s="76"/>
      <c r="I137" s="114"/>
      <c r="J137" s="114"/>
      <c r="K137" s="114"/>
      <c r="L137" s="114"/>
      <c r="M137" s="114"/>
      <c r="N137" s="114"/>
      <c r="O137" s="114"/>
      <c r="P137" s="114" t="s">
        <v>406</v>
      </c>
      <c r="U137" s="70" t="s">
        <v>52</v>
      </c>
      <c r="W137" s="186"/>
      <c r="X137" s="163">
        <f>'Additional information'!$D$18</f>
        <v>0.91</v>
      </c>
      <c r="Y137" s="164" t="str">
        <f t="shared" si="5"/>
        <v/>
      </c>
      <c r="Z137" s="164" t="str">
        <f t="shared" si="11"/>
        <v/>
      </c>
      <c r="AA137" s="69"/>
    </row>
    <row r="138" spans="1:27" s="70" customFormat="1" ht="15.95">
      <c r="A138" s="70" t="s">
        <v>232</v>
      </c>
      <c r="B138" s="70" t="s">
        <v>407</v>
      </c>
      <c r="C138" s="71" t="s">
        <v>408</v>
      </c>
      <c r="D138" s="287" t="s">
        <v>409</v>
      </c>
      <c r="E138" s="72"/>
      <c r="F138" s="70" t="s">
        <v>410</v>
      </c>
      <c r="G138" s="70" t="s">
        <v>411</v>
      </c>
      <c r="H138" s="76"/>
      <c r="I138" s="114" t="s">
        <v>40</v>
      </c>
      <c r="J138" s="125"/>
      <c r="K138" s="114"/>
      <c r="L138" s="114"/>
      <c r="M138" s="114" t="s">
        <v>412</v>
      </c>
      <c r="N138" s="114"/>
      <c r="O138" s="114"/>
      <c r="P138" s="114"/>
      <c r="U138" s="70" t="s">
        <v>52</v>
      </c>
      <c r="W138" s="186">
        <v>17</v>
      </c>
      <c r="X138" s="163">
        <f>'Additional information'!$D$18</f>
        <v>0.91</v>
      </c>
      <c r="Y138" s="164">
        <f t="shared" ref="Y138:Y205" si="12">IF(W138&lt;&gt;"",W138*X138,"")</f>
        <v>15.47</v>
      </c>
      <c r="Z138" s="164" t="str">
        <f t="shared" si="11"/>
        <v/>
      </c>
      <c r="AA138" s="69"/>
    </row>
    <row r="139" spans="1:27" s="70" customFormat="1" ht="32.1">
      <c r="A139" s="70" t="s">
        <v>84</v>
      </c>
      <c r="B139" s="70" t="s">
        <v>413</v>
      </c>
      <c r="C139" s="71" t="s">
        <v>414</v>
      </c>
      <c r="D139" s="216" t="s">
        <v>415</v>
      </c>
      <c r="E139" s="72"/>
      <c r="F139" s="70" t="s">
        <v>410</v>
      </c>
      <c r="G139" s="70" t="s">
        <v>416</v>
      </c>
      <c r="H139" s="76"/>
      <c r="I139" s="114" t="s">
        <v>40</v>
      </c>
      <c r="J139" s="125"/>
      <c r="K139" s="128" t="s">
        <v>348</v>
      </c>
      <c r="L139" s="114"/>
      <c r="M139" s="114" t="s">
        <v>417</v>
      </c>
      <c r="N139" s="114"/>
      <c r="O139" s="114"/>
      <c r="P139" s="114"/>
      <c r="U139" s="70" t="s">
        <v>52</v>
      </c>
      <c r="W139" s="186">
        <v>17</v>
      </c>
      <c r="X139" s="163">
        <f>'Additional information'!$D$18</f>
        <v>0.91</v>
      </c>
      <c r="Y139" s="164">
        <f t="shared" si="12"/>
        <v>15.47</v>
      </c>
      <c r="Z139" s="164" t="str">
        <f t="shared" si="11"/>
        <v/>
      </c>
      <c r="AA139" s="69"/>
    </row>
    <row r="140" spans="1:27" s="70" customFormat="1">
      <c r="C140" s="71"/>
      <c r="E140" s="72"/>
      <c r="G140" s="41"/>
      <c r="H140" s="76"/>
      <c r="I140" s="114"/>
      <c r="J140" s="114"/>
      <c r="K140" s="114"/>
      <c r="L140" s="114"/>
      <c r="M140" s="114"/>
      <c r="N140" s="114"/>
      <c r="O140" s="114"/>
      <c r="P140" s="114"/>
      <c r="U140" s="70" t="s">
        <v>68</v>
      </c>
      <c r="W140" s="186" t="s">
        <v>68</v>
      </c>
      <c r="X140" s="163">
        <f>'Additional information'!$D$18</f>
        <v>0.91</v>
      </c>
      <c r="Y140" s="164" t="str">
        <f t="shared" si="12"/>
        <v/>
      </c>
      <c r="Z140" s="164" t="str">
        <f t="shared" si="11"/>
        <v/>
      </c>
      <c r="AA140" s="69"/>
    </row>
    <row r="141" spans="1:27" ht="32.1">
      <c r="A141" s="68" t="s">
        <v>143</v>
      </c>
      <c r="B141" s="68" t="s">
        <v>418</v>
      </c>
      <c r="C141" s="40" t="s">
        <v>419</v>
      </c>
      <c r="D141" s="316" t="s">
        <v>420</v>
      </c>
      <c r="E141" s="81"/>
      <c r="H141" s="82"/>
      <c r="I141" s="113" t="s">
        <v>40</v>
      </c>
      <c r="J141" s="113"/>
      <c r="K141" s="113"/>
      <c r="L141" s="113"/>
      <c r="M141" s="115" t="s">
        <v>421</v>
      </c>
      <c r="N141" s="113"/>
      <c r="O141" s="113"/>
      <c r="P141" s="113"/>
      <c r="U141" s="41" t="s">
        <v>42</v>
      </c>
      <c r="W141" s="186">
        <v>13.458864212036133</v>
      </c>
      <c r="X141" s="163">
        <f>'Additional information'!$D$18</f>
        <v>0.91</v>
      </c>
      <c r="Y141" s="164">
        <f t="shared" si="12"/>
        <v>12.247566432952881</v>
      </c>
      <c r="Z141" s="164">
        <f t="shared" si="11"/>
        <v>12.247566432952881</v>
      </c>
    </row>
    <row r="142" spans="1:27" ht="15.95">
      <c r="A142" s="68" t="s">
        <v>422</v>
      </c>
      <c r="B142" s="68" t="s">
        <v>423</v>
      </c>
      <c r="C142" s="40" t="s">
        <v>424</v>
      </c>
      <c r="D142" s="280" t="s">
        <v>425</v>
      </c>
      <c r="E142" s="81"/>
      <c r="F142" s="41" t="s">
        <v>426</v>
      </c>
      <c r="G142" s="41" t="s">
        <v>427</v>
      </c>
      <c r="H142" s="82"/>
      <c r="I142" s="113" t="s">
        <v>40</v>
      </c>
      <c r="J142" s="113"/>
      <c r="K142" s="115" t="s">
        <v>388</v>
      </c>
      <c r="L142" s="113"/>
      <c r="M142" s="115" t="s">
        <v>428</v>
      </c>
      <c r="N142" s="113"/>
      <c r="O142" s="113"/>
      <c r="P142" s="113"/>
      <c r="U142" s="41" t="s">
        <v>42</v>
      </c>
      <c r="W142" s="186">
        <v>37.523288726806641</v>
      </c>
      <c r="X142" s="163">
        <f>'Additional information'!$D$18</f>
        <v>0.91</v>
      </c>
      <c r="Y142" s="164">
        <f t="shared" si="12"/>
        <v>34.146192741394046</v>
      </c>
      <c r="Z142" s="164">
        <f t="shared" si="11"/>
        <v>34.146192741394046</v>
      </c>
    </row>
    <row r="143" spans="1:27">
      <c r="D143" s="41"/>
      <c r="E143" s="81"/>
      <c r="G143" s="70"/>
      <c r="H143" s="82"/>
      <c r="M143" s="125"/>
      <c r="U143" s="41" t="s">
        <v>68</v>
      </c>
      <c r="W143" s="186" t="s">
        <v>68</v>
      </c>
      <c r="X143" s="163">
        <f>'Additional information'!$D$18</f>
        <v>0.91</v>
      </c>
      <c r="Y143" s="164" t="str">
        <f t="shared" si="12"/>
        <v/>
      </c>
      <c r="Z143" s="164" t="str">
        <f t="shared" si="11"/>
        <v/>
      </c>
    </row>
    <row r="144" spans="1:27" s="70" customFormat="1" ht="32.1">
      <c r="A144" s="70" t="s">
        <v>429</v>
      </c>
      <c r="B144" s="70" t="s">
        <v>430</v>
      </c>
      <c r="C144" s="71" t="s">
        <v>431</v>
      </c>
      <c r="D144" s="290" t="s">
        <v>432</v>
      </c>
      <c r="E144" s="72"/>
      <c r="H144" s="76"/>
      <c r="I144" s="114" t="s">
        <v>40</v>
      </c>
      <c r="J144" s="114"/>
      <c r="K144" s="114"/>
      <c r="L144" s="114"/>
      <c r="M144" s="114" t="s">
        <v>433</v>
      </c>
      <c r="N144" s="114"/>
      <c r="O144" s="114"/>
      <c r="P144" s="114"/>
      <c r="U144" s="70" t="s">
        <v>52</v>
      </c>
      <c r="W144" s="186">
        <v>17</v>
      </c>
      <c r="X144" s="163">
        <f>'Additional information'!$D$18</f>
        <v>0.91</v>
      </c>
      <c r="Y144" s="164">
        <f t="shared" si="12"/>
        <v>15.47</v>
      </c>
      <c r="Z144" s="164" t="str">
        <f t="shared" si="11"/>
        <v/>
      </c>
      <c r="AA144" s="69"/>
    </row>
    <row r="145" spans="1:27" s="70" customFormat="1" ht="15.95">
      <c r="A145" s="70" t="s">
        <v>434</v>
      </c>
      <c r="B145" s="70" t="s">
        <v>435</v>
      </c>
      <c r="C145" s="71" t="s">
        <v>436</v>
      </c>
      <c r="D145" s="287" t="s">
        <v>437</v>
      </c>
      <c r="E145" s="72"/>
      <c r="F145" s="70" t="s">
        <v>438</v>
      </c>
      <c r="G145" s="70" t="s">
        <v>439</v>
      </c>
      <c r="H145" s="76"/>
      <c r="I145" s="114" t="s">
        <v>40</v>
      </c>
      <c r="J145" s="114" t="s">
        <v>127</v>
      </c>
      <c r="K145" s="114" t="s">
        <v>440</v>
      </c>
      <c r="L145" s="114"/>
      <c r="M145" s="114" t="s">
        <v>433</v>
      </c>
      <c r="N145" s="114" t="s">
        <v>441</v>
      </c>
      <c r="O145" s="120"/>
      <c r="P145" s="120"/>
      <c r="Q145" s="41"/>
      <c r="U145" s="70" t="s">
        <v>52</v>
      </c>
      <c r="W145" s="186">
        <v>17</v>
      </c>
      <c r="X145" s="163">
        <f>'Additional information'!$D$18</f>
        <v>0.91</v>
      </c>
      <c r="Y145" s="164">
        <f t="shared" si="12"/>
        <v>15.47</v>
      </c>
      <c r="Z145" s="164" t="str">
        <f t="shared" si="11"/>
        <v/>
      </c>
      <c r="AA145" s="69"/>
    </row>
    <row r="146" spans="1:27">
      <c r="E146" s="81"/>
      <c r="H146" s="82"/>
      <c r="M146" s="125"/>
      <c r="W146" s="186" t="s">
        <v>68</v>
      </c>
      <c r="X146" s="163">
        <f>'Additional information'!$D$18</f>
        <v>0.91</v>
      </c>
      <c r="Y146" s="164" t="str">
        <f t="shared" si="12"/>
        <v/>
      </c>
      <c r="Z146" s="164" t="str">
        <f t="shared" si="11"/>
        <v/>
      </c>
    </row>
    <row r="147" spans="1:27" ht="15.95" thickBot="1">
      <c r="A147" s="95" t="s">
        <v>149</v>
      </c>
      <c r="B147" s="95"/>
      <c r="C147" s="96"/>
      <c r="D147" s="96"/>
      <c r="E147" s="105"/>
      <c r="F147" s="220"/>
      <c r="G147" s="220"/>
      <c r="H147" s="106"/>
      <c r="I147" s="126"/>
      <c r="J147" s="126"/>
      <c r="K147" s="126"/>
      <c r="L147" s="126"/>
      <c r="M147" s="126"/>
      <c r="N147" s="126"/>
      <c r="O147" s="126"/>
      <c r="P147" s="126"/>
      <c r="W147" s="186" t="s">
        <v>68</v>
      </c>
      <c r="Y147" s="164" t="str">
        <f t="shared" si="12"/>
        <v/>
      </c>
      <c r="Z147" s="164" t="str">
        <f t="shared" si="11"/>
        <v/>
      </c>
    </row>
    <row r="148" spans="1:27" s="66" customFormat="1" ht="17.100000000000001" thickTop="1">
      <c r="A148" s="63" t="s">
        <v>69</v>
      </c>
      <c r="B148" s="63" t="s">
        <v>442</v>
      </c>
      <c r="C148" s="87" t="s">
        <v>443</v>
      </c>
      <c r="D148" s="218" t="s">
        <v>444</v>
      </c>
      <c r="E148" s="64"/>
      <c r="F148" s="63"/>
      <c r="G148" s="63"/>
      <c r="H148" s="65"/>
      <c r="I148" s="118" t="s">
        <v>51</v>
      </c>
      <c r="J148" s="118"/>
      <c r="K148" s="118"/>
      <c r="L148" s="118"/>
      <c r="M148" s="118" t="s">
        <v>445</v>
      </c>
      <c r="N148" s="118"/>
      <c r="O148" s="118"/>
      <c r="P148" s="118"/>
      <c r="U148" s="41" t="s">
        <v>42</v>
      </c>
      <c r="W148" s="186"/>
      <c r="X148" s="163"/>
      <c r="Y148" s="164" t="str">
        <f t="shared" si="12"/>
        <v/>
      </c>
      <c r="Z148" s="164" t="str">
        <f t="shared" si="11"/>
        <v/>
      </c>
      <c r="AA148" s="67"/>
    </row>
    <row r="149" spans="1:27" ht="15.95">
      <c r="A149" s="68" t="s">
        <v>143</v>
      </c>
      <c r="B149" s="68" t="s">
        <v>446</v>
      </c>
      <c r="C149" s="74" t="s">
        <v>447</v>
      </c>
      <c r="D149" s="40" t="s">
        <v>448</v>
      </c>
      <c r="E149" s="81"/>
      <c r="H149" s="82"/>
      <c r="I149" s="115" t="s">
        <v>40</v>
      </c>
      <c r="K149" s="115"/>
      <c r="L149" s="115"/>
      <c r="M149" s="115"/>
      <c r="N149" s="73"/>
      <c r="O149" s="115"/>
      <c r="P149" s="115"/>
      <c r="U149" s="41" t="s">
        <v>42</v>
      </c>
      <c r="W149" s="186">
        <v>13.55</v>
      </c>
      <c r="X149" s="163">
        <f>'Additional information'!$D$18</f>
        <v>0.91</v>
      </c>
      <c r="Y149" s="164">
        <f t="shared" si="12"/>
        <v>12.330500000000001</v>
      </c>
      <c r="Z149" s="164"/>
    </row>
    <row r="150" spans="1:27" ht="15.95">
      <c r="A150" s="68" t="s">
        <v>449</v>
      </c>
      <c r="B150" s="68" t="s">
        <v>450</v>
      </c>
      <c r="C150" s="40" t="s">
        <v>451</v>
      </c>
      <c r="D150" s="40" t="s">
        <v>452</v>
      </c>
      <c r="E150" s="81"/>
      <c r="H150" s="82"/>
      <c r="I150" s="115" t="s">
        <v>40</v>
      </c>
      <c r="J150" s="113" t="s">
        <v>127</v>
      </c>
      <c r="K150" s="115"/>
      <c r="L150" s="115"/>
      <c r="M150" s="115" t="s">
        <v>453</v>
      </c>
      <c r="N150" s="115" t="s">
        <v>441</v>
      </c>
      <c r="O150" s="115"/>
      <c r="P150" s="115"/>
      <c r="U150" s="41" t="s">
        <v>42</v>
      </c>
      <c r="W150" s="186">
        <v>13.55</v>
      </c>
      <c r="X150" s="163">
        <f>'Additional information'!$D$18</f>
        <v>0.91</v>
      </c>
      <c r="Y150" s="164">
        <f t="shared" si="12"/>
        <v>12.330500000000001</v>
      </c>
      <c r="Z150" s="164"/>
    </row>
    <row r="151" spans="1:27">
      <c r="A151" s="68" t="s">
        <v>26</v>
      </c>
      <c r="B151" s="68" t="s">
        <v>454</v>
      </c>
      <c r="C151" s="40"/>
      <c r="D151" s="40"/>
      <c r="E151" s="81"/>
      <c r="H151" s="82"/>
      <c r="I151" s="115"/>
      <c r="J151" s="115"/>
      <c r="K151" s="115"/>
      <c r="L151" s="115"/>
      <c r="M151" s="115"/>
      <c r="N151" s="115"/>
      <c r="O151" s="115"/>
      <c r="P151" s="115" t="s">
        <v>455</v>
      </c>
      <c r="U151" s="41" t="s">
        <v>42</v>
      </c>
      <c r="W151" s="186"/>
      <c r="X151" s="163">
        <f>'Additional information'!$D$18</f>
        <v>0.91</v>
      </c>
      <c r="Y151" s="164"/>
      <c r="Z151" s="164"/>
    </row>
    <row r="152" spans="1:27">
      <c r="A152" s="68" t="s">
        <v>26</v>
      </c>
      <c r="B152" s="68" t="s">
        <v>456</v>
      </c>
      <c r="C152" s="40"/>
      <c r="D152" s="40"/>
      <c r="E152" s="81"/>
      <c r="H152" s="82"/>
      <c r="I152" s="115"/>
      <c r="J152" s="115"/>
      <c r="K152" s="115"/>
      <c r="L152" s="115"/>
      <c r="M152" s="115"/>
      <c r="N152" s="115"/>
      <c r="O152" s="115"/>
      <c r="P152" s="115" t="s">
        <v>457</v>
      </c>
      <c r="U152" s="41" t="s">
        <v>42</v>
      </c>
      <c r="W152" s="186"/>
      <c r="X152" s="163">
        <f>'Additional information'!$D$18</f>
        <v>0.91</v>
      </c>
      <c r="Y152" s="164"/>
      <c r="Z152" s="164"/>
    </row>
    <row r="153" spans="1:27">
      <c r="E153" s="81"/>
      <c r="H153" s="82"/>
      <c r="W153" s="186"/>
      <c r="X153" s="163">
        <f>'Additional information'!$D$18</f>
        <v>0.91</v>
      </c>
      <c r="Y153" s="164"/>
      <c r="Z153" s="164"/>
    </row>
    <row r="154" spans="1:27" ht="32.1">
      <c r="A154" s="68" t="s">
        <v>143</v>
      </c>
      <c r="B154" s="68" t="s">
        <v>458</v>
      </c>
      <c r="C154" s="40" t="s">
        <v>459</v>
      </c>
      <c r="D154" s="291" t="s">
        <v>460</v>
      </c>
      <c r="E154" s="81"/>
      <c r="F154" s="93"/>
      <c r="G154" s="93"/>
      <c r="H154" s="99"/>
      <c r="I154" s="113" t="s">
        <v>40</v>
      </c>
      <c r="J154" s="113"/>
      <c r="K154" s="113"/>
      <c r="L154" s="113"/>
      <c r="M154" s="113"/>
      <c r="N154" s="113"/>
      <c r="O154" s="113"/>
      <c r="P154" s="113"/>
      <c r="U154" s="41" t="s">
        <v>42</v>
      </c>
      <c r="W154" s="186">
        <v>12.681487083435059</v>
      </c>
      <c r="X154" s="163">
        <f>'Additional information'!$D$18</f>
        <v>0.91</v>
      </c>
      <c r="Y154" s="164">
        <f t="shared" si="12"/>
        <v>11.540153245925904</v>
      </c>
      <c r="Z154" s="164">
        <f t="shared" ref="Z154:Z185" si="13">IF(AND(W154&lt;&gt;"",U154="yes"),W154*X154,"")</f>
        <v>11.540153245925904</v>
      </c>
    </row>
    <row r="155" spans="1:27" ht="32.1">
      <c r="A155" s="68" t="s">
        <v>461</v>
      </c>
      <c r="B155" s="68" t="s">
        <v>462</v>
      </c>
      <c r="C155" s="74" t="s">
        <v>463</v>
      </c>
      <c r="D155" s="291" t="s">
        <v>464</v>
      </c>
      <c r="E155" s="92"/>
      <c r="F155" s="41" t="s">
        <v>426</v>
      </c>
      <c r="G155" s="41" t="s">
        <v>427</v>
      </c>
      <c r="H155" s="82"/>
      <c r="I155" s="113" t="s">
        <v>40</v>
      </c>
      <c r="J155" s="113"/>
      <c r="K155" s="115" t="s">
        <v>465</v>
      </c>
      <c r="L155" s="113"/>
      <c r="M155" s="115" t="s">
        <v>466</v>
      </c>
      <c r="N155" s="113"/>
      <c r="O155" s="113"/>
      <c r="P155" s="113"/>
      <c r="U155" s="41" t="s">
        <v>42</v>
      </c>
      <c r="W155" s="186">
        <v>22.613609313964844</v>
      </c>
      <c r="X155" s="163">
        <f>'Additional information'!$D$18</f>
        <v>0.91</v>
      </c>
      <c r="Y155" s="164">
        <f t="shared" si="12"/>
        <v>20.57838447570801</v>
      </c>
      <c r="Z155" s="164">
        <f t="shared" si="13"/>
        <v>20.57838447570801</v>
      </c>
    </row>
    <row r="156" spans="1:27">
      <c r="D156" s="221"/>
      <c r="E156" s="81"/>
      <c r="H156" s="82"/>
      <c r="M156" s="125"/>
      <c r="U156" s="41" t="s">
        <v>68</v>
      </c>
      <c r="W156" s="186" t="s">
        <v>68</v>
      </c>
      <c r="X156" s="163">
        <f>'Additional information'!$D$18</f>
        <v>0.91</v>
      </c>
      <c r="Y156" s="164" t="str">
        <f t="shared" si="12"/>
        <v/>
      </c>
      <c r="Z156" s="164" t="str">
        <f t="shared" si="13"/>
        <v/>
      </c>
    </row>
    <row r="157" spans="1:27" ht="32.1">
      <c r="A157" s="68" t="s">
        <v>255</v>
      </c>
      <c r="B157" s="68" t="s">
        <v>467</v>
      </c>
      <c r="C157" s="74" t="s">
        <v>468</v>
      </c>
      <c r="D157" s="291" t="s">
        <v>469</v>
      </c>
      <c r="E157" s="92"/>
      <c r="F157" s="100" t="s">
        <v>470</v>
      </c>
      <c r="G157" s="100" t="s">
        <v>471</v>
      </c>
      <c r="H157" s="99"/>
      <c r="I157" s="113" t="s">
        <v>40</v>
      </c>
      <c r="J157" s="113"/>
      <c r="K157" s="113"/>
      <c r="L157" s="113"/>
      <c r="M157" s="115"/>
      <c r="N157" s="113"/>
      <c r="O157" s="113"/>
      <c r="P157" s="113"/>
      <c r="U157" s="41" t="s">
        <v>42</v>
      </c>
      <c r="W157" s="186">
        <v>21.701908111572266</v>
      </c>
      <c r="X157" s="163">
        <f>'Additional information'!$D$18</f>
        <v>0.91</v>
      </c>
      <c r="Y157" s="164">
        <f t="shared" si="12"/>
        <v>19.748736381530762</v>
      </c>
      <c r="Z157" s="164">
        <f t="shared" si="13"/>
        <v>19.748736381530762</v>
      </c>
    </row>
    <row r="158" spans="1:27">
      <c r="C158" s="43"/>
      <c r="D158" s="43"/>
      <c r="E158" s="92"/>
      <c r="F158" s="93"/>
      <c r="G158" s="93"/>
      <c r="H158" s="99"/>
      <c r="M158" s="125"/>
      <c r="U158" s="41" t="s">
        <v>68</v>
      </c>
      <c r="W158" s="186" t="s">
        <v>68</v>
      </c>
      <c r="X158" s="163">
        <f>'Additional information'!$D$18</f>
        <v>0.91</v>
      </c>
      <c r="Y158" s="164" t="str">
        <f t="shared" si="12"/>
        <v/>
      </c>
      <c r="Z158" s="164" t="str">
        <f t="shared" si="13"/>
        <v/>
      </c>
    </row>
    <row r="159" spans="1:27" ht="15.95" thickBot="1">
      <c r="A159" s="95" t="s">
        <v>149</v>
      </c>
      <c r="B159" s="95"/>
      <c r="C159" s="96"/>
      <c r="D159" s="96"/>
      <c r="E159" s="105"/>
      <c r="F159" s="95"/>
      <c r="G159" s="95"/>
      <c r="H159" s="106"/>
      <c r="I159" s="126"/>
      <c r="J159" s="126"/>
      <c r="K159" s="126"/>
      <c r="L159" s="126"/>
      <c r="M159" s="126"/>
      <c r="N159" s="126"/>
      <c r="O159" s="126"/>
      <c r="P159" s="126"/>
      <c r="W159" s="186" t="s">
        <v>68</v>
      </c>
      <c r="Y159" s="164" t="str">
        <f t="shared" si="12"/>
        <v/>
      </c>
      <c r="Z159" s="164" t="str">
        <f t="shared" si="13"/>
        <v/>
      </c>
    </row>
    <row r="160" spans="1:27" s="66" customFormat="1" ht="17.100000000000001" thickTop="1">
      <c r="A160" s="63" t="s">
        <v>69</v>
      </c>
      <c r="B160" s="63" t="s">
        <v>472</v>
      </c>
      <c r="C160" s="87" t="s">
        <v>473</v>
      </c>
      <c r="D160" s="218" t="s">
        <v>474</v>
      </c>
      <c r="E160" s="64"/>
      <c r="F160" s="63"/>
      <c r="G160" s="63"/>
      <c r="H160" s="65"/>
      <c r="I160" s="118" t="s">
        <v>51</v>
      </c>
      <c r="J160" s="118"/>
      <c r="K160" s="118"/>
      <c r="L160" s="118"/>
      <c r="M160" s="118" t="s">
        <v>475</v>
      </c>
      <c r="N160" s="118"/>
      <c r="O160" s="118"/>
      <c r="P160" s="118"/>
      <c r="U160" s="41" t="s">
        <v>42</v>
      </c>
      <c r="W160" s="186"/>
      <c r="X160" s="67"/>
      <c r="Y160" s="164" t="str">
        <f t="shared" si="12"/>
        <v/>
      </c>
      <c r="Z160" s="164" t="str">
        <f t="shared" si="13"/>
        <v/>
      </c>
      <c r="AA160" s="67"/>
    </row>
    <row r="161" spans="1:27" ht="32.1">
      <c r="A161" s="68" t="s">
        <v>45</v>
      </c>
      <c r="B161" s="68" t="s">
        <v>476</v>
      </c>
      <c r="C161" s="40" t="s">
        <v>477</v>
      </c>
      <c r="D161" s="39" t="s">
        <v>478</v>
      </c>
      <c r="E161" s="81"/>
      <c r="F161" s="68"/>
      <c r="G161" s="68"/>
      <c r="H161" s="82"/>
      <c r="I161" s="113"/>
      <c r="J161" s="113"/>
      <c r="K161" s="113"/>
      <c r="L161" s="113"/>
      <c r="M161" s="113"/>
      <c r="N161" s="113"/>
      <c r="O161" s="113"/>
      <c r="P161" s="113"/>
      <c r="U161" s="41" t="s">
        <v>42</v>
      </c>
      <c r="W161" s="186">
        <v>7.5</v>
      </c>
      <c r="X161" s="101">
        <f>'Additional information'!$D$19</f>
        <v>0.91</v>
      </c>
      <c r="Y161" s="164">
        <f t="shared" si="12"/>
        <v>6.8250000000000002</v>
      </c>
      <c r="Z161" s="164">
        <f t="shared" si="13"/>
        <v>6.8250000000000002</v>
      </c>
    </row>
    <row r="162" spans="1:27" s="66" customFormat="1">
      <c r="C162" s="88"/>
      <c r="D162" s="221"/>
      <c r="E162" s="64"/>
      <c r="H162" s="65"/>
      <c r="I162" s="119"/>
      <c r="J162" s="119"/>
      <c r="K162" s="119"/>
      <c r="L162" s="119"/>
      <c r="M162" s="119"/>
      <c r="N162" s="119"/>
      <c r="O162" s="119"/>
      <c r="P162" s="119"/>
      <c r="U162" s="41" t="s">
        <v>68</v>
      </c>
      <c r="W162" s="186" t="s">
        <v>68</v>
      </c>
      <c r="X162" s="101">
        <f>'Additional information'!$D$19</f>
        <v>0.91</v>
      </c>
      <c r="Y162" s="164" t="str">
        <f t="shared" si="12"/>
        <v/>
      </c>
      <c r="Z162" s="164" t="str">
        <f t="shared" si="13"/>
        <v/>
      </c>
      <c r="AA162" s="67"/>
    </row>
    <row r="163" spans="1:27" ht="76.5">
      <c r="A163" s="68" t="s">
        <v>479</v>
      </c>
      <c r="B163" s="68" t="s">
        <v>480</v>
      </c>
      <c r="C163" s="40" t="s">
        <v>481</v>
      </c>
      <c r="D163" s="291" t="s">
        <v>482</v>
      </c>
      <c r="E163" s="81"/>
      <c r="F163" s="41" t="s">
        <v>483</v>
      </c>
      <c r="G163" s="42" t="s">
        <v>484</v>
      </c>
      <c r="H163" s="82"/>
      <c r="I163" s="113" t="s">
        <v>40</v>
      </c>
      <c r="J163" s="113" t="s">
        <v>217</v>
      </c>
      <c r="K163" s="113"/>
      <c r="L163" s="113"/>
      <c r="M163" s="113"/>
      <c r="N163" s="113"/>
      <c r="O163" s="113"/>
      <c r="P163" s="113"/>
      <c r="U163" s="41" t="s">
        <v>42</v>
      </c>
      <c r="W163" s="186">
        <v>20.294422149658203</v>
      </c>
      <c r="X163" s="101">
        <f>'Additional information'!$D$19</f>
        <v>0.91</v>
      </c>
      <c r="Y163" s="164">
        <f t="shared" si="12"/>
        <v>18.467924156188964</v>
      </c>
      <c r="Z163" s="164">
        <f t="shared" si="13"/>
        <v>18.467924156188964</v>
      </c>
    </row>
    <row r="164" spans="1:27">
      <c r="A164" s="68" t="s">
        <v>26</v>
      </c>
      <c r="B164" s="68" t="s">
        <v>485</v>
      </c>
      <c r="C164" s="40"/>
      <c r="D164" s="222"/>
      <c r="E164" s="81"/>
      <c r="H164" s="82"/>
      <c r="I164" s="113"/>
      <c r="J164" s="113"/>
      <c r="K164" s="113"/>
      <c r="L164" s="113"/>
      <c r="M164" s="113"/>
      <c r="N164" s="113"/>
      <c r="O164" s="113"/>
      <c r="P164" s="113" t="s">
        <v>486</v>
      </c>
      <c r="U164" s="41" t="s">
        <v>42</v>
      </c>
      <c r="W164" s="186"/>
      <c r="X164" s="101">
        <f>'Additional information'!$D$19</f>
        <v>0.91</v>
      </c>
      <c r="Y164" s="164" t="str">
        <f t="shared" si="12"/>
        <v/>
      </c>
      <c r="Z164" s="164" t="str">
        <f t="shared" si="13"/>
        <v/>
      </c>
    </row>
    <row r="165" spans="1:27">
      <c r="D165" s="41"/>
      <c r="E165" s="81"/>
      <c r="H165" s="82"/>
      <c r="M165" s="125"/>
      <c r="U165" s="41" t="s">
        <v>68</v>
      </c>
      <c r="W165" s="186" t="s">
        <v>68</v>
      </c>
      <c r="X165" s="101">
        <f>'Additional information'!$D$19</f>
        <v>0.91</v>
      </c>
      <c r="Y165" s="164" t="str">
        <f t="shared" si="12"/>
        <v/>
      </c>
      <c r="Z165" s="164" t="str">
        <f t="shared" si="13"/>
        <v/>
      </c>
    </row>
    <row r="166" spans="1:27" ht="15.95">
      <c r="A166" s="68" t="s">
        <v>84</v>
      </c>
      <c r="B166" s="68" t="s">
        <v>487</v>
      </c>
      <c r="C166" s="40" t="s">
        <v>488</v>
      </c>
      <c r="D166" s="291" t="s">
        <v>489</v>
      </c>
      <c r="E166" s="81"/>
      <c r="F166" s="68" t="s">
        <v>490</v>
      </c>
      <c r="G166" s="68" t="s">
        <v>491</v>
      </c>
      <c r="H166" s="82"/>
      <c r="I166" s="113" t="s">
        <v>40</v>
      </c>
      <c r="J166" s="113"/>
      <c r="K166" s="113" t="s">
        <v>492</v>
      </c>
      <c r="L166" s="113"/>
      <c r="M166" s="113" t="s">
        <v>493</v>
      </c>
      <c r="N166" s="113"/>
      <c r="O166" s="113"/>
      <c r="P166" s="113"/>
      <c r="U166" s="41" t="s">
        <v>42</v>
      </c>
      <c r="W166" s="186">
        <v>18.539077758789063</v>
      </c>
      <c r="X166" s="101">
        <f>'Additional information'!$D$19</f>
        <v>0.91</v>
      </c>
      <c r="Y166" s="164">
        <f t="shared" si="12"/>
        <v>16.870560760498048</v>
      </c>
      <c r="Z166" s="164">
        <f t="shared" si="13"/>
        <v>16.870560760498048</v>
      </c>
    </row>
    <row r="167" spans="1:27" ht="15.95">
      <c r="A167" s="68" t="s">
        <v>84</v>
      </c>
      <c r="B167" s="68" t="s">
        <v>494</v>
      </c>
      <c r="C167" s="40" t="s">
        <v>495</v>
      </c>
      <c r="D167" s="291" t="s">
        <v>496</v>
      </c>
      <c r="E167" s="81"/>
      <c r="F167" s="68" t="s">
        <v>490</v>
      </c>
      <c r="G167" s="68" t="s">
        <v>491</v>
      </c>
      <c r="H167" s="82"/>
      <c r="I167" s="113" t="s">
        <v>40</v>
      </c>
      <c r="J167" s="113"/>
      <c r="K167" s="113" t="s">
        <v>492</v>
      </c>
      <c r="L167" s="113"/>
      <c r="M167" s="113" t="s">
        <v>493</v>
      </c>
      <c r="N167" s="113"/>
      <c r="O167" s="113"/>
      <c r="P167" s="113"/>
      <c r="U167" s="41" t="s">
        <v>42</v>
      </c>
      <c r="W167" s="186">
        <v>8.9158916473388672</v>
      </c>
      <c r="X167" s="101">
        <f>'Additional information'!$D$19</f>
        <v>0.91</v>
      </c>
      <c r="Y167" s="164">
        <f t="shared" si="12"/>
        <v>8.1134613990783695</v>
      </c>
      <c r="Z167" s="164">
        <f t="shared" si="13"/>
        <v>8.1134613990783695</v>
      </c>
    </row>
    <row r="168" spans="1:27" ht="15.95">
      <c r="A168" s="68" t="s">
        <v>26</v>
      </c>
      <c r="B168" s="68" t="s">
        <v>497</v>
      </c>
      <c r="C168" s="40" t="s">
        <v>498</v>
      </c>
      <c r="D168" s="292" t="s">
        <v>499</v>
      </c>
      <c r="E168" s="81"/>
      <c r="F168" s="68"/>
      <c r="G168" s="68"/>
      <c r="H168" s="82"/>
      <c r="I168" s="113" t="s">
        <v>40</v>
      </c>
      <c r="J168" s="113"/>
      <c r="K168" s="113"/>
      <c r="L168" s="113"/>
      <c r="M168" s="113" t="s">
        <v>500</v>
      </c>
      <c r="N168" s="113"/>
      <c r="O168" s="113"/>
      <c r="P168" s="113" t="s">
        <v>501</v>
      </c>
      <c r="U168" s="41" t="s">
        <v>42</v>
      </c>
      <c r="W168" s="186"/>
      <c r="X168" s="101">
        <f>'Additional information'!$D$19</f>
        <v>0.91</v>
      </c>
      <c r="Y168" s="164" t="str">
        <f t="shared" si="12"/>
        <v/>
      </c>
      <c r="Z168" s="164" t="str">
        <f t="shared" si="13"/>
        <v/>
      </c>
    </row>
    <row r="169" spans="1:27">
      <c r="D169" s="41"/>
      <c r="E169" s="81"/>
      <c r="H169" s="82"/>
      <c r="U169" s="41" t="s">
        <v>68</v>
      </c>
      <c r="W169" s="186" t="s">
        <v>68</v>
      </c>
      <c r="X169" s="101">
        <f>'Additional information'!$D$19</f>
        <v>0.91</v>
      </c>
      <c r="Y169" s="164" t="str">
        <f t="shared" si="12"/>
        <v/>
      </c>
      <c r="Z169" s="164" t="str">
        <f t="shared" si="13"/>
        <v/>
      </c>
    </row>
    <row r="170" spans="1:27" ht="15.95">
      <c r="A170" s="68" t="s">
        <v>502</v>
      </c>
      <c r="B170" s="68" t="s">
        <v>503</v>
      </c>
      <c r="C170" s="40" t="s">
        <v>504</v>
      </c>
      <c r="D170" s="291" t="s">
        <v>505</v>
      </c>
      <c r="E170" s="81"/>
      <c r="F170" s="41" t="s">
        <v>328</v>
      </c>
      <c r="G170" s="41" t="s">
        <v>329</v>
      </c>
      <c r="H170" s="82"/>
      <c r="I170" s="113" t="s">
        <v>40</v>
      </c>
      <c r="J170" s="113"/>
      <c r="K170" s="113" t="s">
        <v>506</v>
      </c>
      <c r="L170" s="113"/>
      <c r="M170" s="113" t="s">
        <v>493</v>
      </c>
      <c r="N170" s="113"/>
      <c r="O170" s="113"/>
      <c r="P170" s="113"/>
      <c r="U170" s="41" t="s">
        <v>42</v>
      </c>
      <c r="W170" s="186">
        <v>25.81001091003418</v>
      </c>
      <c r="X170" s="101">
        <f>'Additional information'!$D$19</f>
        <v>0.91</v>
      </c>
      <c r="Y170" s="164">
        <f t="shared" si="12"/>
        <v>23.487109928131105</v>
      </c>
      <c r="Z170" s="164">
        <f t="shared" si="13"/>
        <v>23.487109928131105</v>
      </c>
    </row>
    <row r="171" spans="1:27">
      <c r="D171" s="41"/>
      <c r="E171" s="81"/>
      <c r="H171" s="82"/>
      <c r="M171" s="125"/>
      <c r="U171" s="41" t="s">
        <v>68</v>
      </c>
      <c r="W171" s="186" t="s">
        <v>68</v>
      </c>
      <c r="X171" s="101">
        <f>'Additional information'!$D$19</f>
        <v>0.91</v>
      </c>
      <c r="Y171" s="164" t="str">
        <f t="shared" si="12"/>
        <v/>
      </c>
      <c r="Z171" s="164" t="str">
        <f t="shared" si="13"/>
        <v/>
      </c>
    </row>
    <row r="172" spans="1:27" s="70" customFormat="1" ht="15.95">
      <c r="A172" s="70" t="s">
        <v>507</v>
      </c>
      <c r="B172" s="70" t="s">
        <v>508</v>
      </c>
      <c r="C172" s="71" t="s">
        <v>509</v>
      </c>
      <c r="D172" s="293" t="s">
        <v>510</v>
      </c>
      <c r="E172" s="72"/>
      <c r="F172" s="70" t="s">
        <v>328</v>
      </c>
      <c r="G172" s="41" t="s">
        <v>329</v>
      </c>
      <c r="H172" s="76"/>
      <c r="I172" s="114" t="s">
        <v>40</v>
      </c>
      <c r="J172" s="114"/>
      <c r="K172" s="114" t="s">
        <v>465</v>
      </c>
      <c r="L172" s="114"/>
      <c r="M172" s="114"/>
      <c r="N172" s="114"/>
      <c r="O172" s="114"/>
      <c r="P172" s="114"/>
      <c r="U172" s="70" t="s">
        <v>52</v>
      </c>
      <c r="W172" s="186">
        <v>19.553197860717773</v>
      </c>
      <c r="X172" s="101">
        <f>'Additional information'!$D$19</f>
        <v>0.91</v>
      </c>
      <c r="Y172" s="164">
        <f t="shared" si="12"/>
        <v>17.793410053253176</v>
      </c>
      <c r="Z172" s="164" t="str">
        <f t="shared" si="13"/>
        <v/>
      </c>
      <c r="AA172" s="69"/>
    </row>
    <row r="173" spans="1:27" s="70" customFormat="1">
      <c r="C173" s="71"/>
      <c r="E173" s="72"/>
      <c r="H173" s="76"/>
      <c r="I173" s="114"/>
      <c r="J173" s="114"/>
      <c r="K173" s="114"/>
      <c r="L173" s="114"/>
      <c r="M173" s="114"/>
      <c r="N173" s="114"/>
      <c r="O173" s="114"/>
      <c r="P173" s="114"/>
      <c r="U173" s="70" t="s">
        <v>68</v>
      </c>
      <c r="W173" s="186" t="s">
        <v>68</v>
      </c>
      <c r="X173" s="101">
        <f>'Additional information'!$D$19</f>
        <v>0.91</v>
      </c>
      <c r="Y173" s="164" t="str">
        <f t="shared" si="12"/>
        <v/>
      </c>
      <c r="Z173" s="164" t="str">
        <f t="shared" si="13"/>
        <v/>
      </c>
      <c r="AA173" s="69"/>
    </row>
    <row r="174" spans="1:27" ht="32.1">
      <c r="A174" s="68" t="s">
        <v>143</v>
      </c>
      <c r="B174" s="68" t="s">
        <v>511</v>
      </c>
      <c r="C174" s="40" t="s">
        <v>512</v>
      </c>
      <c r="D174" s="291" t="s">
        <v>513</v>
      </c>
      <c r="E174" s="81"/>
      <c r="H174" s="82"/>
      <c r="I174" s="113" t="s">
        <v>40</v>
      </c>
      <c r="J174" s="113"/>
      <c r="K174" s="113"/>
      <c r="L174" s="113"/>
      <c r="M174" s="115"/>
      <c r="N174" s="113"/>
      <c r="O174" s="113"/>
      <c r="P174" s="113"/>
      <c r="U174" s="41" t="s">
        <v>42</v>
      </c>
      <c r="W174" s="186">
        <v>13.613316535949707</v>
      </c>
      <c r="X174" s="101">
        <f>'Additional information'!$D$19</f>
        <v>0.91</v>
      </c>
      <c r="Y174" s="164">
        <f t="shared" si="12"/>
        <v>12.388118047714233</v>
      </c>
      <c r="Z174" s="164">
        <f t="shared" si="13"/>
        <v>12.388118047714233</v>
      </c>
    </row>
    <row r="175" spans="1:27" ht="32.1">
      <c r="A175" s="68" t="s">
        <v>514</v>
      </c>
      <c r="B175" s="68" t="s">
        <v>515</v>
      </c>
      <c r="C175" s="40" t="s">
        <v>516</v>
      </c>
      <c r="D175" s="291" t="s">
        <v>517</v>
      </c>
      <c r="E175" s="81"/>
      <c r="F175" s="41" t="s">
        <v>426</v>
      </c>
      <c r="G175" s="41" t="s">
        <v>427</v>
      </c>
      <c r="H175" s="82"/>
      <c r="I175" s="113" t="s">
        <v>40</v>
      </c>
      <c r="J175" s="113"/>
      <c r="K175" s="115" t="s">
        <v>465</v>
      </c>
      <c r="L175" s="113"/>
      <c r="M175" s="115" t="s">
        <v>518</v>
      </c>
      <c r="N175" s="113"/>
      <c r="O175" s="113"/>
      <c r="P175" s="113"/>
      <c r="U175" s="41" t="s">
        <v>42</v>
      </c>
      <c r="W175" s="186">
        <v>27.754648208618164</v>
      </c>
      <c r="X175" s="101">
        <f>'Additional information'!$D$19</f>
        <v>0.91</v>
      </c>
      <c r="Y175" s="164">
        <f t="shared" si="12"/>
        <v>25.25672986984253</v>
      </c>
      <c r="Z175" s="164">
        <f t="shared" si="13"/>
        <v>25.25672986984253</v>
      </c>
    </row>
    <row r="176" spans="1:27">
      <c r="D176" s="294"/>
      <c r="E176" s="81"/>
      <c r="H176" s="82"/>
      <c r="M176" s="125"/>
      <c r="U176" s="41" t="s">
        <v>68</v>
      </c>
      <c r="W176" s="186" t="s">
        <v>68</v>
      </c>
      <c r="X176" s="101">
        <f>'Additional information'!$D$19</f>
        <v>0.91</v>
      </c>
      <c r="Y176" s="164" t="str">
        <f t="shared" si="12"/>
        <v/>
      </c>
      <c r="Z176" s="164" t="str">
        <f t="shared" si="13"/>
        <v/>
      </c>
    </row>
    <row r="177" spans="1:27" s="70" customFormat="1" ht="15.95">
      <c r="A177" s="70" t="s">
        <v>519</v>
      </c>
      <c r="B177" s="70" t="s">
        <v>520</v>
      </c>
      <c r="C177" s="71" t="s">
        <v>521</v>
      </c>
      <c r="D177" s="293" t="s">
        <v>522</v>
      </c>
      <c r="E177" s="72"/>
      <c r="F177" s="70" t="s">
        <v>523</v>
      </c>
      <c r="G177" s="70" t="s">
        <v>524</v>
      </c>
      <c r="H177" s="76"/>
      <c r="I177" s="114" t="s">
        <v>40</v>
      </c>
      <c r="J177" s="114" t="s">
        <v>217</v>
      </c>
      <c r="K177" s="114" t="s">
        <v>525</v>
      </c>
      <c r="L177" s="114"/>
      <c r="M177" s="114" t="s">
        <v>526</v>
      </c>
      <c r="N177" s="114" t="s">
        <v>527</v>
      </c>
      <c r="O177" s="120"/>
      <c r="P177" s="120"/>
      <c r="Q177" s="41"/>
      <c r="U177" s="70" t="s">
        <v>52</v>
      </c>
      <c r="W177" s="186">
        <v>17</v>
      </c>
      <c r="X177" s="101">
        <f>'Additional information'!$D$19</f>
        <v>0.91</v>
      </c>
      <c r="Y177" s="164">
        <f t="shared" si="12"/>
        <v>15.47</v>
      </c>
      <c r="Z177" s="164" t="str">
        <f t="shared" si="13"/>
        <v/>
      </c>
      <c r="AA177" s="69"/>
    </row>
    <row r="178" spans="1:27">
      <c r="E178" s="81"/>
      <c r="H178" s="82"/>
      <c r="M178" s="125"/>
      <c r="U178" s="41" t="s">
        <v>68</v>
      </c>
      <c r="W178" s="186" t="s">
        <v>68</v>
      </c>
      <c r="X178" s="101">
        <f>'Additional information'!$D$19</f>
        <v>0.91</v>
      </c>
      <c r="Y178" s="164" t="str">
        <f t="shared" si="12"/>
        <v/>
      </c>
      <c r="Z178" s="164" t="str">
        <f t="shared" si="13"/>
        <v/>
      </c>
    </row>
    <row r="179" spans="1:27" ht="15.95" thickBot="1">
      <c r="A179" s="95" t="s">
        <v>149</v>
      </c>
      <c r="B179" s="95"/>
      <c r="C179" s="96"/>
      <c r="D179" s="96"/>
      <c r="E179" s="105"/>
      <c r="F179" s="95"/>
      <c r="G179" s="95"/>
      <c r="H179" s="106"/>
      <c r="I179" s="126"/>
      <c r="J179" s="126"/>
      <c r="K179" s="126"/>
      <c r="L179" s="126"/>
      <c r="M179" s="126"/>
      <c r="N179" s="126"/>
      <c r="O179" s="126"/>
      <c r="P179" s="126"/>
      <c r="W179" s="186" t="s">
        <v>68</v>
      </c>
      <c r="X179" s="163"/>
      <c r="Y179" s="164" t="str">
        <f t="shared" si="12"/>
        <v/>
      </c>
      <c r="Z179" s="164" t="str">
        <f t="shared" si="13"/>
        <v/>
      </c>
    </row>
    <row r="180" spans="1:27" s="66" customFormat="1" ht="17.100000000000001" thickTop="1">
      <c r="A180" s="63" t="s">
        <v>69</v>
      </c>
      <c r="B180" s="63" t="s">
        <v>528</v>
      </c>
      <c r="C180" s="87" t="s">
        <v>529</v>
      </c>
      <c r="D180" s="218" t="s">
        <v>530</v>
      </c>
      <c r="E180" s="64"/>
      <c r="F180" s="63"/>
      <c r="G180" s="63"/>
      <c r="H180" s="65"/>
      <c r="I180" s="118" t="s">
        <v>51</v>
      </c>
      <c r="J180" s="118"/>
      <c r="K180" s="118"/>
      <c r="L180" s="118"/>
      <c r="M180" s="118" t="s">
        <v>531</v>
      </c>
      <c r="N180" s="118"/>
      <c r="O180" s="118"/>
      <c r="P180" s="118"/>
      <c r="U180" s="41" t="s">
        <v>42</v>
      </c>
      <c r="W180" s="186"/>
      <c r="X180" s="163"/>
      <c r="Y180" s="164" t="str">
        <f t="shared" si="12"/>
        <v/>
      </c>
      <c r="Z180" s="164" t="str">
        <f t="shared" si="13"/>
        <v/>
      </c>
      <c r="AA180" s="67"/>
    </row>
    <row r="181" spans="1:27" s="66" customFormat="1">
      <c r="C181" s="88"/>
      <c r="D181" s="88"/>
      <c r="E181" s="64"/>
      <c r="H181" s="65"/>
      <c r="I181" s="119"/>
      <c r="J181" s="119"/>
      <c r="K181" s="119"/>
      <c r="L181" s="119"/>
      <c r="M181" s="119"/>
      <c r="N181" s="119"/>
      <c r="O181" s="119"/>
      <c r="P181" s="119"/>
      <c r="U181" s="41" t="s">
        <v>68</v>
      </c>
      <c r="W181" s="186" t="s">
        <v>68</v>
      </c>
      <c r="X181" s="101">
        <f>'Additional information'!$D$19</f>
        <v>0.91</v>
      </c>
      <c r="Y181" s="164" t="str">
        <f t="shared" si="12"/>
        <v/>
      </c>
      <c r="Z181" s="164" t="str">
        <f t="shared" si="13"/>
        <v/>
      </c>
      <c r="AA181" s="67"/>
    </row>
    <row r="182" spans="1:27" s="66" customFormat="1" ht="32.1">
      <c r="A182" s="68" t="s">
        <v>532</v>
      </c>
      <c r="B182" s="68" t="s">
        <v>533</v>
      </c>
      <c r="C182" s="40" t="s">
        <v>534</v>
      </c>
      <c r="D182" s="291" t="s">
        <v>535</v>
      </c>
      <c r="E182" s="81"/>
      <c r="F182" s="100"/>
      <c r="G182" s="100"/>
      <c r="H182" s="82"/>
      <c r="I182" s="113" t="s">
        <v>40</v>
      </c>
      <c r="J182" s="113" t="s">
        <v>217</v>
      </c>
      <c r="K182" s="118"/>
      <c r="L182" s="118"/>
      <c r="M182" s="118"/>
      <c r="N182" s="118"/>
      <c r="O182" s="118"/>
      <c r="P182" s="118"/>
      <c r="U182" s="41" t="s">
        <v>42</v>
      </c>
      <c r="W182" s="186">
        <v>13.999390602111816</v>
      </c>
      <c r="X182" s="101">
        <f>'Additional information'!$D$19</f>
        <v>0.91</v>
      </c>
      <c r="Y182" s="164">
        <f t="shared" si="12"/>
        <v>12.739445447921753</v>
      </c>
      <c r="Z182" s="164">
        <f t="shared" si="13"/>
        <v>12.739445447921753</v>
      </c>
      <c r="AA182" s="67"/>
    </row>
    <row r="183" spans="1:27">
      <c r="A183" s="68" t="s">
        <v>26</v>
      </c>
      <c r="B183" s="68" t="s">
        <v>536</v>
      </c>
      <c r="C183" s="40"/>
      <c r="D183" s="295"/>
      <c r="E183" s="81"/>
      <c r="H183" s="82"/>
      <c r="I183" s="113"/>
      <c r="J183" s="113"/>
      <c r="K183" s="113"/>
      <c r="L183" s="113"/>
      <c r="M183" s="113"/>
      <c r="N183" s="113"/>
      <c r="O183" s="113"/>
      <c r="P183" s="113" t="s">
        <v>537</v>
      </c>
      <c r="U183" s="41" t="s">
        <v>42</v>
      </c>
      <c r="W183" s="186"/>
      <c r="X183" s="101">
        <f>'Additional information'!$D$19</f>
        <v>0.91</v>
      </c>
      <c r="Y183" s="164" t="str">
        <f t="shared" si="12"/>
        <v/>
      </c>
      <c r="Z183" s="164" t="str">
        <f t="shared" si="13"/>
        <v/>
      </c>
    </row>
    <row r="184" spans="1:27">
      <c r="D184" s="294"/>
      <c r="E184" s="81"/>
      <c r="H184" s="82"/>
      <c r="U184" s="41" t="s">
        <v>68</v>
      </c>
      <c r="W184" s="186" t="s">
        <v>68</v>
      </c>
      <c r="X184" s="101">
        <f>'Additional information'!$D$19</f>
        <v>0.91</v>
      </c>
      <c r="Y184" s="164" t="str">
        <f t="shared" si="12"/>
        <v/>
      </c>
      <c r="Z184" s="164" t="str">
        <f t="shared" si="13"/>
        <v/>
      </c>
    </row>
    <row r="185" spans="1:27" ht="32.1">
      <c r="A185" s="68" t="s">
        <v>143</v>
      </c>
      <c r="B185" s="68" t="s">
        <v>538</v>
      </c>
      <c r="C185" s="40" t="s">
        <v>539</v>
      </c>
      <c r="D185" s="291" t="s">
        <v>540</v>
      </c>
      <c r="E185" s="81"/>
      <c r="H185" s="82"/>
      <c r="I185" s="113" t="s">
        <v>40</v>
      </c>
      <c r="J185" s="113"/>
      <c r="K185" s="113"/>
      <c r="L185" s="113"/>
      <c r="M185" s="113"/>
      <c r="N185" s="113"/>
      <c r="O185" s="113"/>
      <c r="P185" s="113"/>
      <c r="U185" s="41" t="s">
        <v>42</v>
      </c>
      <c r="W185" s="186">
        <v>10.25279426574707</v>
      </c>
      <c r="X185" s="101">
        <f>'Additional information'!$D$19</f>
        <v>0.91</v>
      </c>
      <c r="Y185" s="164">
        <f t="shared" si="12"/>
        <v>9.3300427818298335</v>
      </c>
      <c r="Z185" s="164">
        <f t="shared" si="13"/>
        <v>9.3300427818298335</v>
      </c>
    </row>
    <row r="186" spans="1:27" ht="32.1">
      <c r="A186" s="68" t="s">
        <v>541</v>
      </c>
      <c r="B186" s="68" t="s">
        <v>542</v>
      </c>
      <c r="C186" s="40" t="s">
        <v>543</v>
      </c>
      <c r="D186" s="291" t="s">
        <v>544</v>
      </c>
      <c r="E186" s="81"/>
      <c r="F186" s="41" t="s">
        <v>426</v>
      </c>
      <c r="G186" s="41" t="s">
        <v>427</v>
      </c>
      <c r="H186" s="82"/>
      <c r="I186" s="113" t="s">
        <v>40</v>
      </c>
      <c r="J186" s="113"/>
      <c r="K186" s="115" t="s">
        <v>465</v>
      </c>
      <c r="L186" s="115"/>
      <c r="M186" s="115" t="s">
        <v>545</v>
      </c>
      <c r="N186" s="113"/>
      <c r="O186" s="113"/>
      <c r="P186" s="113"/>
      <c r="U186" s="41" t="s">
        <v>42</v>
      </c>
      <c r="W186" s="186">
        <v>24.194343566894531</v>
      </c>
      <c r="X186" s="101">
        <f>'Additional information'!$D$19</f>
        <v>0.91</v>
      </c>
      <c r="Y186" s="164">
        <f t="shared" si="12"/>
        <v>22.016852645874025</v>
      </c>
      <c r="Z186" s="164">
        <f t="shared" ref="Z186:Z217" si="14">IF(AND(W186&lt;&gt;"",U186="yes"),W186*X186,"")</f>
        <v>22.016852645874025</v>
      </c>
    </row>
    <row r="187" spans="1:27">
      <c r="D187" s="296"/>
      <c r="E187" s="81"/>
      <c r="H187" s="82"/>
      <c r="M187" s="125"/>
      <c r="U187" s="41" t="s">
        <v>68</v>
      </c>
      <c r="W187" s="186" t="s">
        <v>68</v>
      </c>
      <c r="X187" s="101">
        <f>'Additional information'!$D$19</f>
        <v>0.91</v>
      </c>
      <c r="Y187" s="164" t="str">
        <f t="shared" si="12"/>
        <v/>
      </c>
      <c r="Z187" s="164" t="str">
        <f t="shared" si="14"/>
        <v/>
      </c>
    </row>
    <row r="188" spans="1:27" ht="32.1">
      <c r="A188" s="68" t="s">
        <v>255</v>
      </c>
      <c r="B188" s="68" t="s">
        <v>546</v>
      </c>
      <c r="C188" s="74" t="s">
        <v>547</v>
      </c>
      <c r="D188" s="318" t="s">
        <v>548</v>
      </c>
      <c r="E188" s="81"/>
      <c r="F188" s="68" t="s">
        <v>470</v>
      </c>
      <c r="G188" s="100" t="s">
        <v>549</v>
      </c>
      <c r="H188" s="82"/>
      <c r="I188" s="113" t="s">
        <v>40</v>
      </c>
      <c r="J188" s="113"/>
      <c r="K188" s="113"/>
      <c r="L188" s="113"/>
      <c r="M188" s="115"/>
      <c r="N188" s="113"/>
      <c r="O188" s="113"/>
      <c r="P188" s="113"/>
      <c r="U188" s="41" t="s">
        <v>42</v>
      </c>
      <c r="W188" s="186">
        <v>19.321737289428711</v>
      </c>
      <c r="X188" s="101">
        <f>'Additional information'!$D$19</f>
        <v>0.91</v>
      </c>
      <c r="Y188" s="164">
        <f t="shared" si="12"/>
        <v>17.582780933380128</v>
      </c>
      <c r="Z188" s="164">
        <f t="shared" si="14"/>
        <v>17.582780933380128</v>
      </c>
    </row>
    <row r="189" spans="1:27">
      <c r="C189" s="43"/>
      <c r="D189" s="289"/>
      <c r="E189" s="81"/>
      <c r="H189" s="82"/>
      <c r="M189" s="125"/>
      <c r="U189" s="41" t="s">
        <v>68</v>
      </c>
      <c r="W189" s="186" t="s">
        <v>68</v>
      </c>
      <c r="X189" s="101">
        <f>'Additional information'!$D$19</f>
        <v>0.91</v>
      </c>
      <c r="Y189" s="164" t="str">
        <f t="shared" si="12"/>
        <v/>
      </c>
      <c r="Z189" s="164" t="str">
        <f t="shared" si="14"/>
        <v/>
      </c>
    </row>
    <row r="190" spans="1:27" ht="15.95" thickBot="1">
      <c r="A190" s="95" t="s">
        <v>149</v>
      </c>
      <c r="B190" s="95"/>
      <c r="C190" s="96"/>
      <c r="D190" s="297"/>
      <c r="E190" s="105"/>
      <c r="F190" s="95"/>
      <c r="G190" s="95"/>
      <c r="H190" s="106"/>
      <c r="I190" s="126"/>
      <c r="J190" s="126"/>
      <c r="K190" s="126"/>
      <c r="L190" s="126"/>
      <c r="M190" s="126"/>
      <c r="N190" s="126"/>
      <c r="O190" s="126"/>
      <c r="P190" s="126"/>
      <c r="W190" s="186" t="s">
        <v>68</v>
      </c>
      <c r="Y190" s="164" t="str">
        <f t="shared" si="12"/>
        <v/>
      </c>
      <c r="Z190" s="164" t="str">
        <f t="shared" si="14"/>
        <v/>
      </c>
    </row>
    <row r="191" spans="1:27" s="66" customFormat="1" ht="17.100000000000001" thickTop="1">
      <c r="A191" s="63" t="s">
        <v>69</v>
      </c>
      <c r="B191" s="63" t="s">
        <v>550</v>
      </c>
      <c r="C191" s="87" t="s">
        <v>551</v>
      </c>
      <c r="D191" s="218" t="s">
        <v>552</v>
      </c>
      <c r="E191" s="64"/>
      <c r="F191" s="63"/>
      <c r="G191" s="63"/>
      <c r="H191" s="65"/>
      <c r="I191" s="118" t="s">
        <v>51</v>
      </c>
      <c r="J191" s="118"/>
      <c r="K191" s="118"/>
      <c r="L191" s="118"/>
      <c r="M191" s="119" t="s">
        <v>553</v>
      </c>
      <c r="N191" s="118"/>
      <c r="O191" s="118"/>
      <c r="P191" s="118"/>
      <c r="U191" s="41" t="s">
        <v>42</v>
      </c>
      <c r="W191" s="186"/>
      <c r="X191" s="67"/>
      <c r="Y191" s="164" t="str">
        <f t="shared" si="12"/>
        <v/>
      </c>
      <c r="Z191" s="164" t="str">
        <f t="shared" si="14"/>
        <v/>
      </c>
      <c r="AA191" s="67"/>
    </row>
    <row r="192" spans="1:27" s="69" customFormat="1" ht="45.75">
      <c r="A192" s="73" t="s">
        <v>45</v>
      </c>
      <c r="B192" s="73" t="s">
        <v>554</v>
      </c>
      <c r="C192" s="74" t="s">
        <v>555</v>
      </c>
      <c r="D192" s="298" t="s">
        <v>556</v>
      </c>
      <c r="E192" s="92"/>
      <c r="H192" s="94"/>
      <c r="I192" s="115"/>
      <c r="J192" s="115"/>
      <c r="K192" s="115"/>
      <c r="L192" s="115"/>
      <c r="M192" s="115"/>
      <c r="N192" s="115"/>
      <c r="O192" s="115"/>
      <c r="P192" s="115"/>
      <c r="U192" s="69" t="s">
        <v>42</v>
      </c>
      <c r="W192" s="186">
        <v>7.5</v>
      </c>
      <c r="X192" s="101">
        <f>'Additional information'!$D$20</f>
        <v>0.05</v>
      </c>
      <c r="Y192" s="164">
        <f t="shared" si="12"/>
        <v>0.375</v>
      </c>
      <c r="Z192" s="164">
        <f t="shared" si="14"/>
        <v>0.375</v>
      </c>
    </row>
    <row r="193" spans="1:27" s="66" customFormat="1">
      <c r="C193" s="88"/>
      <c r="D193" s="223"/>
      <c r="E193" s="64"/>
      <c r="H193" s="65"/>
      <c r="I193" s="119"/>
      <c r="J193" s="119"/>
      <c r="K193" s="119"/>
      <c r="L193" s="119"/>
      <c r="M193" s="119"/>
      <c r="N193" s="119"/>
      <c r="O193" s="119"/>
      <c r="P193" s="119"/>
      <c r="U193" s="41" t="s">
        <v>68</v>
      </c>
      <c r="W193" s="186" t="s">
        <v>68</v>
      </c>
      <c r="X193" s="101">
        <f>'Additional information'!$D$20</f>
        <v>0.05</v>
      </c>
      <c r="Y193" s="164" t="str">
        <f t="shared" si="12"/>
        <v/>
      </c>
      <c r="Z193" s="164" t="str">
        <f t="shared" si="14"/>
        <v/>
      </c>
      <c r="AA193" s="67"/>
    </row>
    <row r="194" spans="1:27" ht="15.95">
      <c r="A194" s="68" t="s">
        <v>557</v>
      </c>
      <c r="B194" s="68" t="s">
        <v>558</v>
      </c>
      <c r="C194" s="40" t="s">
        <v>559</v>
      </c>
      <c r="D194" s="291" t="s">
        <v>560</v>
      </c>
      <c r="E194" s="81"/>
      <c r="F194" s="41" t="s">
        <v>561</v>
      </c>
      <c r="G194" s="41" t="s">
        <v>329</v>
      </c>
      <c r="H194" s="82"/>
      <c r="I194" s="113" t="s">
        <v>40</v>
      </c>
      <c r="J194" s="113"/>
      <c r="K194" s="113" t="s">
        <v>465</v>
      </c>
      <c r="L194" s="113"/>
      <c r="M194" s="113"/>
      <c r="N194" s="113"/>
      <c r="O194" s="113"/>
      <c r="P194" s="113"/>
      <c r="U194" s="41" t="s">
        <v>42</v>
      </c>
      <c r="W194" s="186">
        <v>19.090116500854492</v>
      </c>
      <c r="X194" s="101">
        <f>'Additional information'!$D$20</f>
        <v>0.05</v>
      </c>
      <c r="Y194" s="164">
        <f t="shared" si="12"/>
        <v>0.95450582504272463</v>
      </c>
      <c r="Z194" s="164">
        <f t="shared" si="14"/>
        <v>0.95450582504272463</v>
      </c>
    </row>
    <row r="195" spans="1:27">
      <c r="D195" s="299"/>
      <c r="E195" s="81"/>
      <c r="H195" s="82"/>
      <c r="U195" s="41" t="s">
        <v>68</v>
      </c>
      <c r="W195" s="186" t="s">
        <v>68</v>
      </c>
      <c r="X195" s="101">
        <f>'Additional information'!$D$20</f>
        <v>0.05</v>
      </c>
      <c r="Y195" s="164" t="str">
        <f t="shared" si="12"/>
        <v/>
      </c>
      <c r="Z195" s="164" t="str">
        <f t="shared" si="14"/>
        <v/>
      </c>
    </row>
    <row r="196" spans="1:27" ht="30.75">
      <c r="A196" s="68" t="s">
        <v>255</v>
      </c>
      <c r="B196" s="68" t="s">
        <v>562</v>
      </c>
      <c r="C196" s="40" t="s">
        <v>563</v>
      </c>
      <c r="D196" s="291" t="s">
        <v>564</v>
      </c>
      <c r="E196" s="81"/>
      <c r="H196" s="82"/>
      <c r="I196" s="113" t="s">
        <v>40</v>
      </c>
      <c r="J196" s="113"/>
      <c r="K196" s="113"/>
      <c r="L196" s="113"/>
      <c r="M196" s="113"/>
      <c r="N196" s="113"/>
      <c r="O196" s="113"/>
      <c r="P196" s="113"/>
      <c r="U196" s="41" t="s">
        <v>42</v>
      </c>
      <c r="W196" s="186">
        <v>17.656976699829102</v>
      </c>
      <c r="X196" s="101">
        <f>'Additional information'!$D$20</f>
        <v>0.05</v>
      </c>
      <c r="Y196" s="164">
        <f t="shared" si="12"/>
        <v>0.88284883499145517</v>
      </c>
      <c r="Z196" s="164">
        <f t="shared" si="14"/>
        <v>0.88284883499145517</v>
      </c>
    </row>
    <row r="197" spans="1:27">
      <c r="D197" s="296"/>
      <c r="E197" s="81"/>
      <c r="H197" s="82"/>
      <c r="U197" s="41" t="s">
        <v>68</v>
      </c>
      <c r="W197" s="186" t="s">
        <v>68</v>
      </c>
      <c r="X197" s="101">
        <f>'Additional information'!$D$20</f>
        <v>0.05</v>
      </c>
      <c r="Y197" s="164" t="str">
        <f t="shared" si="12"/>
        <v/>
      </c>
      <c r="Z197" s="164" t="str">
        <f t="shared" si="14"/>
        <v/>
      </c>
    </row>
    <row r="198" spans="1:27" ht="30.75">
      <c r="A198" s="68" t="s">
        <v>143</v>
      </c>
      <c r="B198" s="68" t="s">
        <v>565</v>
      </c>
      <c r="C198" s="40" t="s">
        <v>566</v>
      </c>
      <c r="D198" s="291" t="s">
        <v>567</v>
      </c>
      <c r="E198" s="81"/>
      <c r="H198" s="82"/>
      <c r="I198" s="113" t="s">
        <v>40</v>
      </c>
      <c r="J198" s="113"/>
      <c r="K198" s="113"/>
      <c r="L198" s="113"/>
      <c r="M198" s="113"/>
      <c r="N198" s="113"/>
      <c r="O198" s="113"/>
      <c r="P198" s="113"/>
      <c r="U198" s="41" t="s">
        <v>42</v>
      </c>
      <c r="W198" s="187">
        <v>8.7647056579589844</v>
      </c>
      <c r="X198" s="101">
        <f>'Additional information'!$D$20</f>
        <v>0.05</v>
      </c>
      <c r="Y198" s="164">
        <f t="shared" si="12"/>
        <v>0.43823528289794922</v>
      </c>
      <c r="Z198" s="164">
        <f t="shared" si="14"/>
        <v>0.43823528289794922</v>
      </c>
    </row>
    <row r="199" spans="1:27" ht="30.75">
      <c r="A199" s="68" t="s">
        <v>568</v>
      </c>
      <c r="B199" s="68" t="s">
        <v>569</v>
      </c>
      <c r="C199" s="40" t="s">
        <v>570</v>
      </c>
      <c r="D199" s="291" t="s">
        <v>571</v>
      </c>
      <c r="E199" s="81"/>
      <c r="F199" s="41" t="s">
        <v>426</v>
      </c>
      <c r="G199" s="41" t="s">
        <v>427</v>
      </c>
      <c r="H199" s="82"/>
      <c r="I199" s="113"/>
      <c r="J199" s="113"/>
      <c r="K199" s="115" t="s">
        <v>465</v>
      </c>
      <c r="L199" s="113"/>
      <c r="M199" s="115" t="s">
        <v>572</v>
      </c>
      <c r="N199" s="113"/>
      <c r="O199" s="113"/>
      <c r="P199" s="113"/>
      <c r="U199" s="41" t="s">
        <v>42</v>
      </c>
      <c r="W199" s="187">
        <v>27.953845977783203</v>
      </c>
      <c r="X199" s="101">
        <f>'Additional information'!$D$20</f>
        <v>0.05</v>
      </c>
      <c r="Y199" s="164">
        <f t="shared" si="12"/>
        <v>1.3976922988891602</v>
      </c>
      <c r="Z199" s="164">
        <f t="shared" si="14"/>
        <v>1.3976922988891602</v>
      </c>
    </row>
    <row r="200" spans="1:27" ht="15.95">
      <c r="A200" s="68" t="s">
        <v>73</v>
      </c>
      <c r="B200" s="68" t="s">
        <v>573</v>
      </c>
      <c r="C200" s="74" t="s">
        <v>331</v>
      </c>
      <c r="D200" s="43" t="s">
        <v>332</v>
      </c>
      <c r="E200" s="92"/>
      <c r="F200" s="69" t="s">
        <v>333</v>
      </c>
      <c r="G200" s="69" t="s">
        <v>334</v>
      </c>
      <c r="H200" s="82"/>
      <c r="I200" s="113" t="s">
        <v>40</v>
      </c>
      <c r="J200" s="113"/>
      <c r="K200" s="113"/>
      <c r="L200" s="113"/>
      <c r="M200" s="113" t="s">
        <v>574</v>
      </c>
      <c r="N200" s="113"/>
      <c r="O200" s="113"/>
      <c r="P200" s="113"/>
      <c r="U200" s="41" t="s">
        <v>42</v>
      </c>
      <c r="W200" s="186"/>
      <c r="X200" s="101">
        <f>'Additional information'!$D$20</f>
        <v>0.05</v>
      </c>
      <c r="Y200" s="164" t="str">
        <f t="shared" si="12"/>
        <v/>
      </c>
      <c r="Z200" s="164" t="str">
        <f t="shared" si="14"/>
        <v/>
      </c>
    </row>
    <row r="201" spans="1:27">
      <c r="D201" s="300"/>
      <c r="E201" s="81"/>
      <c r="H201" s="82"/>
      <c r="U201" s="41" t="s">
        <v>68</v>
      </c>
      <c r="W201" s="186" t="s">
        <v>68</v>
      </c>
      <c r="X201" s="101">
        <f>'Additional information'!$D$20</f>
        <v>0.05</v>
      </c>
      <c r="Y201" s="164" t="str">
        <f t="shared" si="12"/>
        <v/>
      </c>
      <c r="Z201" s="164" t="str">
        <f t="shared" si="14"/>
        <v/>
      </c>
    </row>
    <row r="202" spans="1:27" s="70" customFormat="1" ht="32.1">
      <c r="A202" s="70" t="s">
        <v>575</v>
      </c>
      <c r="B202" s="70" t="s">
        <v>576</v>
      </c>
      <c r="C202" s="71" t="s">
        <v>577</v>
      </c>
      <c r="D202" s="287" t="s">
        <v>578</v>
      </c>
      <c r="E202" s="72"/>
      <c r="F202" s="70" t="s">
        <v>561</v>
      </c>
      <c r="G202" s="70" t="s">
        <v>329</v>
      </c>
      <c r="H202" s="76"/>
      <c r="I202" s="114" t="s">
        <v>40</v>
      </c>
      <c r="J202" s="114"/>
      <c r="K202" s="114" t="s">
        <v>465</v>
      </c>
      <c r="L202" s="114"/>
      <c r="M202" s="114" t="s">
        <v>579</v>
      </c>
      <c r="N202" s="114"/>
      <c r="O202" s="114"/>
      <c r="P202" s="114"/>
      <c r="U202" s="70" t="s">
        <v>52</v>
      </c>
      <c r="W202" s="186">
        <v>21.25</v>
      </c>
      <c r="X202" s="101">
        <f>'Additional information'!$D$20</f>
        <v>0.05</v>
      </c>
      <c r="Y202" s="164">
        <f t="shared" si="12"/>
        <v>1.0625</v>
      </c>
      <c r="Z202" s="164" t="str">
        <f t="shared" si="14"/>
        <v/>
      </c>
      <c r="AA202" s="69"/>
    </row>
    <row r="203" spans="1:27" s="70" customFormat="1" ht="15.95">
      <c r="A203" s="70" t="s">
        <v>73</v>
      </c>
      <c r="B203" s="70" t="s">
        <v>580</v>
      </c>
      <c r="C203" s="71" t="s">
        <v>331</v>
      </c>
      <c r="D203" s="71" t="s">
        <v>332</v>
      </c>
      <c r="E203" s="72"/>
      <c r="F203" s="70" t="s">
        <v>333</v>
      </c>
      <c r="G203" s="70" t="s">
        <v>334</v>
      </c>
      <c r="H203" s="76"/>
      <c r="I203" s="114" t="s">
        <v>40</v>
      </c>
      <c r="J203" s="114"/>
      <c r="K203" s="114"/>
      <c r="L203" s="114"/>
      <c r="M203" s="114" t="s">
        <v>581</v>
      </c>
      <c r="N203" s="114"/>
      <c r="O203" s="114"/>
      <c r="P203" s="114"/>
      <c r="U203" s="70" t="s">
        <v>52</v>
      </c>
      <c r="W203" s="186"/>
      <c r="X203" s="101">
        <f>'Additional information'!$D$20</f>
        <v>0.05</v>
      </c>
      <c r="Y203" s="164" t="str">
        <f t="shared" si="12"/>
        <v/>
      </c>
      <c r="Z203" s="164" t="str">
        <f t="shared" si="14"/>
        <v/>
      </c>
      <c r="AA203" s="69"/>
    </row>
    <row r="204" spans="1:27" s="70" customFormat="1">
      <c r="C204" s="71"/>
      <c r="D204" s="287"/>
      <c r="E204" s="72"/>
      <c r="H204" s="76"/>
      <c r="I204" s="114"/>
      <c r="J204" s="114"/>
      <c r="K204" s="114"/>
      <c r="L204" s="114"/>
      <c r="M204" s="114"/>
      <c r="N204" s="114"/>
      <c r="O204" s="114"/>
      <c r="P204" s="114"/>
      <c r="U204" s="70" t="s">
        <v>68</v>
      </c>
      <c r="W204" s="186" t="s">
        <v>68</v>
      </c>
      <c r="X204" s="101">
        <f>'Additional information'!$D$20</f>
        <v>0.05</v>
      </c>
      <c r="Y204" s="164" t="str">
        <f t="shared" si="12"/>
        <v/>
      </c>
      <c r="Z204" s="164" t="str">
        <f t="shared" si="14"/>
        <v/>
      </c>
      <c r="AA204" s="69"/>
    </row>
    <row r="205" spans="1:27" ht="15.95" thickBot="1">
      <c r="A205" s="90" t="s">
        <v>149</v>
      </c>
      <c r="B205" s="90"/>
      <c r="C205" s="91"/>
      <c r="D205" s="91"/>
      <c r="E205" s="85"/>
      <c r="F205" s="90"/>
      <c r="G205" s="90"/>
      <c r="H205" s="86"/>
      <c r="I205" s="124"/>
      <c r="J205" s="124"/>
      <c r="K205" s="124"/>
      <c r="L205" s="124"/>
      <c r="M205" s="124"/>
      <c r="N205" s="124"/>
      <c r="O205" s="124"/>
      <c r="P205" s="124"/>
      <c r="W205" s="186" t="s">
        <v>68</v>
      </c>
      <c r="Y205" s="164" t="str">
        <f t="shared" si="12"/>
        <v/>
      </c>
      <c r="Z205" s="164" t="str">
        <f t="shared" si="14"/>
        <v/>
      </c>
    </row>
    <row r="206" spans="1:27" s="66" customFormat="1" ht="17.100000000000001" thickTop="1">
      <c r="A206" s="63" t="s">
        <v>69</v>
      </c>
      <c r="B206" s="63" t="s">
        <v>582</v>
      </c>
      <c r="C206" s="87" t="s">
        <v>583</v>
      </c>
      <c r="D206" s="218" t="s">
        <v>584</v>
      </c>
      <c r="E206" s="64"/>
      <c r="F206" s="63"/>
      <c r="G206" s="63"/>
      <c r="H206" s="65"/>
      <c r="I206" s="118" t="s">
        <v>51</v>
      </c>
      <c r="J206" s="118"/>
      <c r="K206" s="118"/>
      <c r="L206" s="118"/>
      <c r="M206" s="118" t="s">
        <v>585</v>
      </c>
      <c r="N206" s="118"/>
      <c r="O206" s="118"/>
      <c r="P206" s="118"/>
      <c r="U206" s="41" t="s">
        <v>42</v>
      </c>
      <c r="W206" s="186"/>
      <c r="X206" s="67"/>
      <c r="Y206" s="164" t="str">
        <f t="shared" ref="Y206:Y269" si="15">IF(W206&lt;&gt;"",W206*X206,"")</f>
        <v/>
      </c>
      <c r="Z206" s="164" t="str">
        <f t="shared" si="14"/>
        <v/>
      </c>
      <c r="AA206" s="67"/>
    </row>
    <row r="207" spans="1:27" s="66" customFormat="1">
      <c r="C207" s="88"/>
      <c r="D207" s="88"/>
      <c r="E207" s="64"/>
      <c r="H207" s="65"/>
      <c r="I207" s="119"/>
      <c r="J207" s="119"/>
      <c r="K207" s="119"/>
      <c r="L207" s="119"/>
      <c r="M207" s="119"/>
      <c r="N207" s="119"/>
      <c r="O207" s="119"/>
      <c r="P207" s="119"/>
      <c r="U207" s="41" t="s">
        <v>68</v>
      </c>
      <c r="W207" s="186" t="s">
        <v>68</v>
      </c>
      <c r="X207" s="101">
        <f>'Additional information'!$D$20</f>
        <v>0.05</v>
      </c>
      <c r="Y207" s="164" t="str">
        <f t="shared" si="15"/>
        <v/>
      </c>
      <c r="Z207" s="164" t="str">
        <f t="shared" si="14"/>
        <v/>
      </c>
      <c r="AA207" s="67"/>
    </row>
    <row r="208" spans="1:27" s="66" customFormat="1" ht="30.75">
      <c r="A208" s="68" t="s">
        <v>586</v>
      </c>
      <c r="B208" s="68" t="s">
        <v>587</v>
      </c>
      <c r="C208" s="40" t="s">
        <v>588</v>
      </c>
      <c r="D208" s="40" t="s">
        <v>589</v>
      </c>
      <c r="E208" s="81"/>
      <c r="F208" s="68"/>
      <c r="G208" s="68"/>
      <c r="H208" s="82"/>
      <c r="I208" s="113" t="s">
        <v>40</v>
      </c>
      <c r="J208" s="118"/>
      <c r="K208" s="118"/>
      <c r="L208" s="118"/>
      <c r="M208" s="118"/>
      <c r="N208" s="118"/>
      <c r="O208" s="118"/>
      <c r="P208" s="118"/>
      <c r="U208" s="41" t="s">
        <v>42</v>
      </c>
      <c r="W208" s="186">
        <v>14.384955406188965</v>
      </c>
      <c r="X208" s="101">
        <f>'Additional information'!$D$20</f>
        <v>0.05</v>
      </c>
      <c r="Y208" s="164">
        <f t="shared" si="15"/>
        <v>0.71924777030944831</v>
      </c>
      <c r="Z208" s="164">
        <f t="shared" si="14"/>
        <v>0.71924777030944831</v>
      </c>
      <c r="AA208" s="67"/>
    </row>
    <row r="209" spans="1:27">
      <c r="A209" s="68" t="s">
        <v>26</v>
      </c>
      <c r="B209" s="68" t="s">
        <v>590</v>
      </c>
      <c r="C209" s="40"/>
      <c r="D209" s="40"/>
      <c r="E209" s="81"/>
      <c r="F209" s="68"/>
      <c r="G209" s="68"/>
      <c r="H209" s="82"/>
      <c r="I209" s="113"/>
      <c r="J209" s="113"/>
      <c r="K209" s="113"/>
      <c r="L209" s="113"/>
      <c r="M209" s="113"/>
      <c r="N209" s="113"/>
      <c r="O209" s="113"/>
      <c r="P209" s="113" t="s">
        <v>591</v>
      </c>
      <c r="U209" s="41" t="s">
        <v>42</v>
      </c>
      <c r="W209" s="186"/>
      <c r="X209" s="101">
        <f>'Additional information'!$D$20</f>
        <v>0.05</v>
      </c>
      <c r="Y209" s="164" t="str">
        <f t="shared" si="15"/>
        <v/>
      </c>
      <c r="Z209" s="164" t="str">
        <f t="shared" si="14"/>
        <v/>
      </c>
    </row>
    <row r="210" spans="1:27" ht="15.95">
      <c r="A210" s="68" t="s">
        <v>73</v>
      </c>
      <c r="B210" s="68" t="s">
        <v>592</v>
      </c>
      <c r="C210" s="74" t="s">
        <v>331</v>
      </c>
      <c r="D210" s="43" t="s">
        <v>332</v>
      </c>
      <c r="E210" s="92"/>
      <c r="F210" s="69" t="s">
        <v>333</v>
      </c>
      <c r="G210" s="69" t="s">
        <v>334</v>
      </c>
      <c r="H210" s="82"/>
      <c r="I210" s="113" t="s">
        <v>40</v>
      </c>
      <c r="J210" s="113"/>
      <c r="K210" s="113"/>
      <c r="L210" s="113"/>
      <c r="M210" s="115" t="s">
        <v>593</v>
      </c>
      <c r="N210" s="113"/>
      <c r="O210" s="113"/>
      <c r="P210" s="113"/>
      <c r="U210" s="41" t="s">
        <v>42</v>
      </c>
      <c r="W210" s="186"/>
      <c r="X210" s="101">
        <f>'Additional information'!$D$20</f>
        <v>0.05</v>
      </c>
      <c r="Y210" s="164" t="str">
        <f t="shared" si="15"/>
        <v/>
      </c>
      <c r="Z210" s="164" t="str">
        <f t="shared" si="14"/>
        <v/>
      </c>
    </row>
    <row r="211" spans="1:27">
      <c r="D211" s="41"/>
      <c r="E211" s="81"/>
      <c r="H211" s="82"/>
      <c r="M211" s="125"/>
      <c r="U211" s="41" t="s">
        <v>68</v>
      </c>
      <c r="W211" s="186" t="s">
        <v>68</v>
      </c>
      <c r="X211" s="101">
        <f>'Additional information'!$D$20</f>
        <v>0.05</v>
      </c>
      <c r="Y211" s="164" t="str">
        <f t="shared" si="15"/>
        <v/>
      </c>
      <c r="Z211" s="164" t="str">
        <f t="shared" si="14"/>
        <v/>
      </c>
    </row>
    <row r="212" spans="1:27" ht="32.1">
      <c r="A212" s="68" t="s">
        <v>143</v>
      </c>
      <c r="B212" s="68" t="s">
        <v>594</v>
      </c>
      <c r="C212" s="40" t="s">
        <v>595</v>
      </c>
      <c r="D212" s="40" t="s">
        <v>596</v>
      </c>
      <c r="E212" s="81"/>
      <c r="F212" s="68"/>
      <c r="G212" s="68"/>
      <c r="H212" s="82"/>
      <c r="I212" s="113" t="s">
        <v>40</v>
      </c>
      <c r="J212" s="113"/>
      <c r="K212" s="113"/>
      <c r="L212" s="113"/>
      <c r="M212" s="113"/>
      <c r="N212" s="113"/>
      <c r="O212" s="113"/>
      <c r="P212" s="113"/>
      <c r="U212" s="41" t="s">
        <v>42</v>
      </c>
      <c r="W212" s="186">
        <v>9.4380531311035156</v>
      </c>
      <c r="X212" s="101">
        <f>'Additional information'!$D$20</f>
        <v>0.05</v>
      </c>
      <c r="Y212" s="164">
        <f t="shared" si="15"/>
        <v>0.47190265655517583</v>
      </c>
      <c r="Z212" s="164">
        <f t="shared" si="14"/>
        <v>0.47190265655517583</v>
      </c>
    </row>
    <row r="213" spans="1:27" ht="32.1">
      <c r="A213" s="68" t="s">
        <v>597</v>
      </c>
      <c r="B213" s="68" t="s">
        <v>598</v>
      </c>
      <c r="C213" s="40" t="s">
        <v>599</v>
      </c>
      <c r="D213" s="40" t="s">
        <v>600</v>
      </c>
      <c r="E213" s="81"/>
      <c r="F213" s="68" t="s">
        <v>328</v>
      </c>
      <c r="G213" s="41" t="s">
        <v>329</v>
      </c>
      <c r="H213" s="82"/>
      <c r="I213" s="113" t="s">
        <v>40</v>
      </c>
      <c r="J213" s="113"/>
      <c r="K213" s="115" t="s">
        <v>465</v>
      </c>
      <c r="L213" s="113"/>
      <c r="M213" s="115" t="s">
        <v>601</v>
      </c>
      <c r="N213" s="113"/>
      <c r="O213" s="113"/>
      <c r="P213" s="113"/>
      <c r="U213" s="41" t="s">
        <v>42</v>
      </c>
      <c r="W213" s="186">
        <v>27.766990661621094</v>
      </c>
      <c r="X213" s="101">
        <f>'Additional information'!$D$20</f>
        <v>0.05</v>
      </c>
      <c r="Y213" s="164">
        <f t="shared" si="15"/>
        <v>1.3883495330810547</v>
      </c>
      <c r="Z213" s="164">
        <f t="shared" si="14"/>
        <v>1.3883495330810547</v>
      </c>
    </row>
    <row r="214" spans="1:27" ht="15.95">
      <c r="A214" s="68" t="s">
        <v>73</v>
      </c>
      <c r="B214" s="68" t="s">
        <v>602</v>
      </c>
      <c r="C214" s="74" t="s">
        <v>331</v>
      </c>
      <c r="D214" s="43" t="s">
        <v>332</v>
      </c>
      <c r="E214" s="92"/>
      <c r="F214" s="69" t="s">
        <v>333</v>
      </c>
      <c r="G214" s="69" t="s">
        <v>334</v>
      </c>
      <c r="H214" s="82"/>
      <c r="I214" s="113" t="s">
        <v>40</v>
      </c>
      <c r="J214" s="113"/>
      <c r="K214" s="113"/>
      <c r="L214" s="113"/>
      <c r="M214" s="115" t="s">
        <v>603</v>
      </c>
      <c r="N214" s="113"/>
      <c r="O214" s="113"/>
      <c r="P214" s="113"/>
      <c r="U214" s="41" t="s">
        <v>42</v>
      </c>
      <c r="W214" s="186"/>
      <c r="X214" s="101">
        <f>'Additional information'!$D$20</f>
        <v>0.05</v>
      </c>
      <c r="Y214" s="164" t="str">
        <f t="shared" si="15"/>
        <v/>
      </c>
      <c r="Z214" s="164" t="str">
        <f t="shared" si="14"/>
        <v/>
      </c>
    </row>
    <row r="215" spans="1:27">
      <c r="E215" s="81"/>
      <c r="H215" s="82"/>
      <c r="M215" s="125"/>
      <c r="U215" s="41" t="s">
        <v>68</v>
      </c>
      <c r="W215" s="186" t="s">
        <v>68</v>
      </c>
      <c r="X215" s="101">
        <f>'Additional information'!$D$20</f>
        <v>0.05</v>
      </c>
      <c r="Y215" s="164" t="str">
        <f t="shared" si="15"/>
        <v/>
      </c>
      <c r="Z215" s="164" t="str">
        <f t="shared" si="14"/>
        <v/>
      </c>
    </row>
    <row r="216" spans="1:27" ht="32.1">
      <c r="A216" s="68" t="s">
        <v>255</v>
      </c>
      <c r="B216" s="68" t="s">
        <v>604</v>
      </c>
      <c r="C216" s="74" t="s">
        <v>605</v>
      </c>
      <c r="D216" s="317" t="s">
        <v>606</v>
      </c>
      <c r="E216" s="81"/>
      <c r="F216" s="68" t="s">
        <v>470</v>
      </c>
      <c r="G216" s="100" t="s">
        <v>549</v>
      </c>
      <c r="H216" s="82"/>
      <c r="I216" s="113" t="s">
        <v>40</v>
      </c>
      <c r="J216" s="113"/>
      <c r="K216" s="113"/>
      <c r="L216" s="113"/>
      <c r="M216" s="115"/>
      <c r="N216" s="113"/>
      <c r="O216" s="113"/>
      <c r="P216" s="113"/>
      <c r="U216" s="41" t="s">
        <v>42</v>
      </c>
      <c r="W216" s="186">
        <v>13.705752372741699</v>
      </c>
      <c r="X216" s="101">
        <f>'Additional information'!$D$20</f>
        <v>0.05</v>
      </c>
      <c r="Y216" s="164">
        <f t="shared" si="15"/>
        <v>0.68528761863708498</v>
      </c>
      <c r="Z216" s="164">
        <f t="shared" si="14"/>
        <v>0.68528761863708498</v>
      </c>
    </row>
    <row r="217" spans="1:27">
      <c r="C217" s="43"/>
      <c r="D217" s="43"/>
      <c r="E217" s="81"/>
      <c r="H217" s="82"/>
      <c r="M217" s="125"/>
      <c r="U217" s="41" t="s">
        <v>68</v>
      </c>
      <c r="W217" s="186" t="s">
        <v>68</v>
      </c>
      <c r="X217" s="101">
        <f>'Additional information'!$D$20</f>
        <v>0.05</v>
      </c>
      <c r="Y217" s="164" t="str">
        <f t="shared" si="15"/>
        <v/>
      </c>
      <c r="Z217" s="164" t="str">
        <f t="shared" si="14"/>
        <v/>
      </c>
    </row>
    <row r="218" spans="1:27" ht="15.95" thickBot="1">
      <c r="A218" s="95" t="s">
        <v>149</v>
      </c>
      <c r="B218" s="95"/>
      <c r="C218" s="96"/>
      <c r="D218" s="96"/>
      <c r="E218" s="105"/>
      <c r="F218" s="95"/>
      <c r="G218" s="95"/>
      <c r="H218" s="106"/>
      <c r="I218" s="126"/>
      <c r="J218" s="126"/>
      <c r="K218" s="126"/>
      <c r="L218" s="126"/>
      <c r="M218" s="126"/>
      <c r="N218" s="126"/>
      <c r="O218" s="126"/>
      <c r="P218" s="126"/>
      <c r="W218" s="186" t="s">
        <v>68</v>
      </c>
      <c r="Y218" s="164" t="str">
        <f t="shared" si="15"/>
        <v/>
      </c>
      <c r="Z218" s="164" t="str">
        <f t="shared" ref="Z218:Z249" si="16">IF(AND(W218&lt;&gt;"",U218="yes"),W218*X218,"")</f>
        <v/>
      </c>
    </row>
    <row r="219" spans="1:27" s="66" customFormat="1" ht="17.100000000000001" thickTop="1">
      <c r="A219" s="63" t="s">
        <v>69</v>
      </c>
      <c r="B219" s="63" t="s">
        <v>607</v>
      </c>
      <c r="C219" s="87" t="s">
        <v>608</v>
      </c>
      <c r="D219" s="218" t="s">
        <v>609</v>
      </c>
      <c r="E219" s="64"/>
      <c r="F219" s="63"/>
      <c r="G219" s="63"/>
      <c r="H219" s="65"/>
      <c r="I219" s="118" t="s">
        <v>51</v>
      </c>
      <c r="J219" s="118"/>
      <c r="K219" s="118"/>
      <c r="L219" s="118"/>
      <c r="M219" s="118" t="s">
        <v>153</v>
      </c>
      <c r="N219" s="118"/>
      <c r="O219" s="118"/>
      <c r="P219" s="118"/>
      <c r="U219" s="41" t="s">
        <v>42</v>
      </c>
      <c r="W219" s="186"/>
      <c r="X219" s="67"/>
      <c r="Y219" s="164" t="str">
        <f t="shared" si="15"/>
        <v/>
      </c>
      <c r="Z219" s="164" t="str">
        <f t="shared" si="16"/>
        <v/>
      </c>
      <c r="AA219" s="67"/>
    </row>
    <row r="220" spans="1:27">
      <c r="C220" s="43"/>
      <c r="D220" s="43"/>
      <c r="E220" s="81"/>
      <c r="H220" s="82"/>
      <c r="M220" s="125"/>
      <c r="U220" s="41" t="s">
        <v>68</v>
      </c>
      <c r="W220" s="186" t="s">
        <v>68</v>
      </c>
      <c r="X220" s="101">
        <v>1</v>
      </c>
      <c r="Y220" s="164" t="str">
        <f t="shared" si="15"/>
        <v/>
      </c>
      <c r="Z220" s="164" t="str">
        <f t="shared" si="16"/>
        <v/>
      </c>
    </row>
    <row r="221" spans="1:27" s="66" customFormat="1" ht="48">
      <c r="A221" s="68" t="s">
        <v>45</v>
      </c>
      <c r="B221" s="68" t="s">
        <v>610</v>
      </c>
      <c r="C221" s="40" t="s">
        <v>611</v>
      </c>
      <c r="D221" s="295" t="s">
        <v>612</v>
      </c>
      <c r="E221" s="64"/>
      <c r="H221" s="65"/>
      <c r="I221" s="118"/>
      <c r="J221" s="118"/>
      <c r="K221" s="118"/>
      <c r="L221" s="118"/>
      <c r="M221" s="118"/>
      <c r="N221" s="118"/>
      <c r="O221" s="118"/>
      <c r="P221" s="118"/>
      <c r="U221" s="41" t="s">
        <v>52</v>
      </c>
      <c r="W221" s="186"/>
      <c r="X221" s="102">
        <v>1</v>
      </c>
      <c r="Y221" s="164" t="str">
        <f t="shared" si="15"/>
        <v/>
      </c>
      <c r="Z221" s="164" t="str">
        <f t="shared" si="16"/>
        <v/>
      </c>
      <c r="AA221" s="67"/>
    </row>
    <row r="222" spans="1:27">
      <c r="C222" s="43"/>
      <c r="D222" s="43"/>
      <c r="E222" s="81"/>
      <c r="H222" s="82"/>
      <c r="M222" s="125"/>
      <c r="W222" s="186" t="s">
        <v>68</v>
      </c>
      <c r="X222" s="101">
        <v>1</v>
      </c>
      <c r="Y222" s="164" t="str">
        <f t="shared" si="15"/>
        <v/>
      </c>
      <c r="Z222" s="164" t="str">
        <f t="shared" si="16"/>
        <v/>
      </c>
    </row>
    <row r="223" spans="1:27" s="66" customFormat="1" ht="15.95">
      <c r="A223" s="68" t="s">
        <v>69</v>
      </c>
      <c r="B223" s="68" t="s">
        <v>613</v>
      </c>
      <c r="C223" s="87" t="s">
        <v>614</v>
      </c>
      <c r="D223" s="6"/>
      <c r="E223" s="64"/>
      <c r="F223" s="63"/>
      <c r="G223" s="63"/>
      <c r="H223" s="65"/>
      <c r="I223" s="118"/>
      <c r="J223" s="118"/>
      <c r="K223" s="118"/>
      <c r="L223" s="118"/>
      <c r="M223" s="118"/>
      <c r="N223" s="118"/>
      <c r="O223" s="118"/>
      <c r="P223" s="118"/>
      <c r="U223" s="41"/>
      <c r="W223" s="186"/>
      <c r="X223" s="102">
        <v>1</v>
      </c>
      <c r="Y223" s="164" t="str">
        <f t="shared" si="15"/>
        <v/>
      </c>
      <c r="Z223" s="164" t="str">
        <f t="shared" si="16"/>
        <v/>
      </c>
      <c r="AA223" s="67"/>
    </row>
    <row r="224" spans="1:27" ht="32.1">
      <c r="A224" s="68" t="s">
        <v>45</v>
      </c>
      <c r="B224" s="68" t="s">
        <v>615</v>
      </c>
      <c r="C224" s="40" t="s">
        <v>616</v>
      </c>
      <c r="D224" s="40" t="s">
        <v>617</v>
      </c>
      <c r="E224" s="81"/>
      <c r="F224" s="68"/>
      <c r="G224" s="68"/>
      <c r="H224" s="82"/>
      <c r="I224" s="113" t="s">
        <v>51</v>
      </c>
      <c r="J224" s="113"/>
      <c r="K224" s="113"/>
      <c r="L224" s="113"/>
      <c r="M224" s="113"/>
      <c r="N224" s="113"/>
      <c r="O224" s="113"/>
      <c r="P224" s="113"/>
      <c r="U224" s="41" t="s">
        <v>42</v>
      </c>
      <c r="W224" s="186">
        <v>12.77690315246582</v>
      </c>
      <c r="X224" s="102">
        <v>1</v>
      </c>
      <c r="Y224" s="164">
        <f t="shared" si="15"/>
        <v>12.77690315246582</v>
      </c>
      <c r="Z224" s="164">
        <f t="shared" si="16"/>
        <v>12.77690315246582</v>
      </c>
    </row>
    <row r="225" spans="1:27" ht="48">
      <c r="A225" s="68" t="s">
        <v>143</v>
      </c>
      <c r="B225" s="68" t="s">
        <v>618</v>
      </c>
      <c r="C225" s="40" t="s">
        <v>619</v>
      </c>
      <c r="D225" s="321" t="s">
        <v>620</v>
      </c>
      <c r="E225" s="81"/>
      <c r="F225" s="68"/>
      <c r="G225" s="68"/>
      <c r="H225" s="82"/>
      <c r="I225" s="113" t="s">
        <v>40</v>
      </c>
      <c r="J225" s="113"/>
      <c r="K225" s="113"/>
      <c r="L225" s="113"/>
      <c r="M225" s="113"/>
      <c r="N225" s="113"/>
      <c r="O225" s="113"/>
      <c r="P225" s="113"/>
      <c r="U225" s="41" t="s">
        <v>42</v>
      </c>
      <c r="W225" s="186">
        <v>21.398605346679688</v>
      </c>
      <c r="X225" s="102">
        <v>1</v>
      </c>
      <c r="Y225" s="164">
        <f t="shared" si="15"/>
        <v>21.398605346679688</v>
      </c>
      <c r="Z225" s="164">
        <f t="shared" si="16"/>
        <v>21.398605346679688</v>
      </c>
    </row>
    <row r="226" spans="1:27" ht="48">
      <c r="A226" s="68" t="s">
        <v>143</v>
      </c>
      <c r="B226" s="68" t="s">
        <v>621</v>
      </c>
      <c r="C226" s="40" t="s">
        <v>622</v>
      </c>
      <c r="D226" s="321" t="s">
        <v>623</v>
      </c>
      <c r="E226" s="81"/>
      <c r="F226" s="68"/>
      <c r="G226" s="68"/>
      <c r="H226" s="82"/>
      <c r="I226" s="113" t="s">
        <v>40</v>
      </c>
      <c r="J226" s="113"/>
      <c r="K226" s="113"/>
      <c r="L226" s="113"/>
      <c r="M226" s="113"/>
      <c r="N226" s="113"/>
      <c r="O226" s="113"/>
      <c r="P226" s="113"/>
      <c r="U226" s="41" t="s">
        <v>42</v>
      </c>
      <c r="W226" s="186">
        <v>14.980740547180176</v>
      </c>
      <c r="X226" s="102">
        <v>1</v>
      </c>
      <c r="Y226" s="164">
        <f t="shared" si="15"/>
        <v>14.980740547180176</v>
      </c>
      <c r="Z226" s="164">
        <f t="shared" si="16"/>
        <v>14.980740547180176</v>
      </c>
    </row>
    <row r="227" spans="1:27" ht="32.1">
      <c r="A227" s="68" t="s">
        <v>143</v>
      </c>
      <c r="B227" s="68" t="s">
        <v>624</v>
      </c>
      <c r="C227" s="40" t="s">
        <v>625</v>
      </c>
      <c r="D227" s="321" t="s">
        <v>626</v>
      </c>
      <c r="E227" s="81"/>
      <c r="F227" s="68"/>
      <c r="G227" s="68"/>
      <c r="H227" s="82"/>
      <c r="I227" s="113" t="s">
        <v>40</v>
      </c>
      <c r="J227" s="113"/>
      <c r="K227" s="113"/>
      <c r="L227" s="113"/>
      <c r="M227" s="113"/>
      <c r="N227" s="113"/>
      <c r="O227" s="113"/>
      <c r="P227" s="113"/>
      <c r="U227" s="41" t="s">
        <v>42</v>
      </c>
      <c r="W227" s="186">
        <v>13.723021507263184</v>
      </c>
      <c r="X227" s="102">
        <v>1</v>
      </c>
      <c r="Y227" s="164">
        <f t="shared" si="15"/>
        <v>13.723021507263184</v>
      </c>
      <c r="Z227" s="164">
        <f t="shared" si="16"/>
        <v>13.723021507263184</v>
      </c>
    </row>
    <row r="228" spans="1:27" ht="32.1">
      <c r="A228" s="68" t="s">
        <v>143</v>
      </c>
      <c r="B228" s="68" t="s">
        <v>627</v>
      </c>
      <c r="C228" s="40" t="s">
        <v>628</v>
      </c>
      <c r="D228" s="321" t="s">
        <v>629</v>
      </c>
      <c r="E228" s="81"/>
      <c r="F228" s="68"/>
      <c r="G228" s="68"/>
      <c r="H228" s="82"/>
      <c r="I228" s="113" t="s">
        <v>40</v>
      </c>
      <c r="J228" s="113"/>
      <c r="K228" s="113"/>
      <c r="L228" s="113"/>
      <c r="M228" s="113"/>
      <c r="N228" s="113"/>
      <c r="O228" s="113"/>
      <c r="P228" s="113"/>
      <c r="U228" s="41" t="s">
        <v>42</v>
      </c>
      <c r="W228" s="186">
        <v>13.062200546264648</v>
      </c>
      <c r="X228" s="102">
        <v>1</v>
      </c>
      <c r="Y228" s="164">
        <f t="shared" si="15"/>
        <v>13.062200546264648</v>
      </c>
      <c r="Z228" s="164">
        <f t="shared" si="16"/>
        <v>13.062200546264648</v>
      </c>
    </row>
    <row r="229" spans="1:27" ht="48">
      <c r="A229" s="68" t="s">
        <v>143</v>
      </c>
      <c r="B229" s="68" t="s">
        <v>630</v>
      </c>
      <c r="C229" s="40" t="s">
        <v>631</v>
      </c>
      <c r="D229" s="321" t="s">
        <v>632</v>
      </c>
      <c r="E229" s="81"/>
      <c r="F229" s="68"/>
      <c r="G229" s="68"/>
      <c r="H229" s="82"/>
      <c r="I229" s="113" t="s">
        <v>40</v>
      </c>
      <c r="J229" s="113"/>
      <c r="K229" s="113"/>
      <c r="L229" s="113"/>
      <c r="M229" s="113"/>
      <c r="N229" s="113"/>
      <c r="O229" s="113"/>
      <c r="P229" s="113"/>
      <c r="U229" s="41" t="s">
        <v>42</v>
      </c>
      <c r="W229" s="186">
        <v>13.09532356262207</v>
      </c>
      <c r="X229" s="102">
        <v>1</v>
      </c>
      <c r="Y229" s="164">
        <f t="shared" si="15"/>
        <v>13.09532356262207</v>
      </c>
      <c r="Z229" s="164">
        <f t="shared" si="16"/>
        <v>13.09532356262207</v>
      </c>
    </row>
    <row r="230" spans="1:27" ht="32.1">
      <c r="A230" s="68" t="s">
        <v>143</v>
      </c>
      <c r="B230" s="68" t="s">
        <v>633</v>
      </c>
      <c r="C230" s="40" t="s">
        <v>634</v>
      </c>
      <c r="D230" s="322" t="s">
        <v>635</v>
      </c>
      <c r="E230" s="81"/>
      <c r="F230" s="68"/>
      <c r="G230" s="68"/>
      <c r="H230" s="82"/>
      <c r="I230" s="113" t="s">
        <v>40</v>
      </c>
      <c r="J230" s="113"/>
      <c r="K230" s="113"/>
      <c r="L230" s="113"/>
      <c r="M230" s="113"/>
      <c r="N230" s="113"/>
      <c r="O230" s="113"/>
      <c r="P230" s="113"/>
      <c r="U230" s="41" t="s">
        <v>42</v>
      </c>
      <c r="W230" s="186">
        <v>16.101019184652277</v>
      </c>
      <c r="X230" s="102">
        <v>1</v>
      </c>
      <c r="Y230" s="164">
        <f t="shared" si="15"/>
        <v>16.101019184652277</v>
      </c>
      <c r="Z230" s="164">
        <f t="shared" si="16"/>
        <v>16.101019184652277</v>
      </c>
    </row>
    <row r="231" spans="1:27" s="69" customFormat="1" ht="15.95">
      <c r="A231" s="73" t="s">
        <v>636</v>
      </c>
      <c r="B231" s="73" t="s">
        <v>637</v>
      </c>
      <c r="C231" s="74" t="s">
        <v>638</v>
      </c>
      <c r="D231" s="291" t="s">
        <v>639</v>
      </c>
      <c r="E231" s="92"/>
      <c r="F231" s="73"/>
      <c r="G231" s="73"/>
      <c r="H231" s="94"/>
      <c r="I231" s="115" t="s">
        <v>40</v>
      </c>
      <c r="J231" s="115"/>
      <c r="K231" s="115"/>
      <c r="L231" s="115"/>
      <c r="M231" s="115" t="s">
        <v>640</v>
      </c>
      <c r="N231" s="115"/>
      <c r="O231" s="115"/>
      <c r="P231" s="115"/>
      <c r="U231" s="69" t="s">
        <v>42</v>
      </c>
      <c r="W231" s="186">
        <v>11.765043258666992</v>
      </c>
      <c r="X231" s="102">
        <v>1</v>
      </c>
      <c r="Y231" s="164">
        <f t="shared" si="15"/>
        <v>11.765043258666992</v>
      </c>
      <c r="Z231" s="164">
        <f t="shared" si="16"/>
        <v>11.765043258666992</v>
      </c>
    </row>
    <row r="232" spans="1:27" s="69" customFormat="1" ht="32.1">
      <c r="A232" s="73" t="s">
        <v>143</v>
      </c>
      <c r="B232" s="73" t="s">
        <v>641</v>
      </c>
      <c r="C232" s="74" t="s">
        <v>642</v>
      </c>
      <c r="D232" s="322" t="s">
        <v>643</v>
      </c>
      <c r="E232" s="92"/>
      <c r="F232" s="73"/>
      <c r="G232" s="73"/>
      <c r="H232" s="94"/>
      <c r="I232" s="115" t="s">
        <v>40</v>
      </c>
      <c r="J232" s="115"/>
      <c r="K232" s="115"/>
      <c r="L232" s="115"/>
      <c r="M232" s="115"/>
      <c r="N232" s="115"/>
      <c r="O232" s="115"/>
      <c r="P232" s="115"/>
      <c r="U232" s="69" t="s">
        <v>42</v>
      </c>
      <c r="W232" s="186">
        <v>12.432478904724121</v>
      </c>
      <c r="X232" s="102">
        <v>1</v>
      </c>
      <c r="Y232" s="164">
        <f t="shared" si="15"/>
        <v>12.432478904724121</v>
      </c>
      <c r="Z232" s="164">
        <f t="shared" si="16"/>
        <v>12.432478904724121</v>
      </c>
    </row>
    <row r="233" spans="1:27" s="69" customFormat="1" ht="15.95">
      <c r="A233" s="73" t="s">
        <v>636</v>
      </c>
      <c r="B233" s="73" t="s">
        <v>644</v>
      </c>
      <c r="C233" s="74" t="s">
        <v>638</v>
      </c>
      <c r="D233" s="291" t="s">
        <v>639</v>
      </c>
      <c r="E233" s="92"/>
      <c r="F233" s="73"/>
      <c r="G233" s="73"/>
      <c r="H233" s="94"/>
      <c r="I233" s="115" t="s">
        <v>40</v>
      </c>
      <c r="J233" s="115"/>
      <c r="K233" s="115"/>
      <c r="L233" s="115"/>
      <c r="M233" s="115" t="s">
        <v>645</v>
      </c>
      <c r="N233" s="115"/>
      <c r="O233" s="115"/>
      <c r="P233" s="115"/>
      <c r="U233" s="69" t="s">
        <v>42</v>
      </c>
      <c r="W233" s="186">
        <v>8.9801836013793945</v>
      </c>
      <c r="X233" s="102">
        <v>1</v>
      </c>
      <c r="Y233" s="164">
        <f t="shared" si="15"/>
        <v>8.9801836013793945</v>
      </c>
      <c r="Z233" s="164">
        <f t="shared" si="16"/>
        <v>8.9801836013793945</v>
      </c>
    </row>
    <row r="234" spans="1:27" s="69" customFormat="1" ht="32.1">
      <c r="A234" s="73" t="s">
        <v>143</v>
      </c>
      <c r="B234" s="73" t="s">
        <v>646</v>
      </c>
      <c r="C234" s="74" t="s">
        <v>647</v>
      </c>
      <c r="D234" s="322" t="s">
        <v>648</v>
      </c>
      <c r="E234" s="92"/>
      <c r="F234" s="73"/>
      <c r="G234" s="73"/>
      <c r="H234" s="94"/>
      <c r="I234" s="115" t="s">
        <v>40</v>
      </c>
      <c r="J234" s="115"/>
      <c r="K234" s="115"/>
      <c r="L234" s="115"/>
      <c r="M234" s="115"/>
      <c r="N234" s="115"/>
      <c r="O234" s="115"/>
      <c r="P234" s="115"/>
      <c r="U234" s="69" t="s">
        <v>42</v>
      </c>
      <c r="W234" s="186">
        <v>11.089328765869141</v>
      </c>
      <c r="X234" s="102">
        <v>1</v>
      </c>
      <c r="Y234" s="164">
        <f t="shared" si="15"/>
        <v>11.089328765869141</v>
      </c>
      <c r="Z234" s="164">
        <f t="shared" si="16"/>
        <v>11.089328765869141</v>
      </c>
    </row>
    <row r="235" spans="1:27" s="69" customFormat="1" ht="15.95">
      <c r="A235" s="73" t="s">
        <v>636</v>
      </c>
      <c r="B235" s="73" t="s">
        <v>649</v>
      </c>
      <c r="C235" s="74" t="s">
        <v>638</v>
      </c>
      <c r="D235" s="291" t="s">
        <v>639</v>
      </c>
      <c r="E235" s="92"/>
      <c r="F235" s="73"/>
      <c r="G235" s="73"/>
      <c r="H235" s="94"/>
      <c r="I235" s="115" t="s">
        <v>40</v>
      </c>
      <c r="J235" s="115"/>
      <c r="K235" s="115"/>
      <c r="L235" s="115"/>
      <c r="M235" s="115" t="s">
        <v>650</v>
      </c>
      <c r="N235" s="115"/>
      <c r="O235" s="115"/>
      <c r="P235" s="115"/>
      <c r="U235" s="69" t="s">
        <v>42</v>
      </c>
      <c r="W235" s="186">
        <v>8.0683355331420898</v>
      </c>
      <c r="X235" s="102">
        <v>1</v>
      </c>
      <c r="Y235" s="164">
        <f t="shared" si="15"/>
        <v>8.0683355331420898</v>
      </c>
      <c r="Z235" s="164">
        <f t="shared" si="16"/>
        <v>8.0683355331420898</v>
      </c>
    </row>
    <row r="236" spans="1:27">
      <c r="A236" s="73" t="s">
        <v>149</v>
      </c>
      <c r="B236" s="73"/>
      <c r="C236" s="40"/>
      <c r="D236" s="40"/>
      <c r="E236" s="81"/>
      <c r="F236" s="68"/>
      <c r="G236" s="68"/>
      <c r="H236" s="82"/>
      <c r="I236" s="113"/>
      <c r="J236" s="113"/>
      <c r="K236" s="113"/>
      <c r="L236" s="113"/>
      <c r="M236" s="113"/>
      <c r="N236" s="113"/>
      <c r="O236" s="113"/>
      <c r="P236" s="113"/>
      <c r="U236" s="41" t="s">
        <v>68</v>
      </c>
      <c r="W236" s="186" t="s">
        <v>68</v>
      </c>
      <c r="X236" s="102">
        <v>1</v>
      </c>
      <c r="Y236" s="164" t="str">
        <f t="shared" si="15"/>
        <v/>
      </c>
      <c r="Z236" s="164" t="str">
        <f t="shared" si="16"/>
        <v/>
      </c>
    </row>
    <row r="237" spans="1:27">
      <c r="A237" s="69"/>
      <c r="B237" s="69"/>
      <c r="E237" s="81"/>
      <c r="H237" s="82"/>
      <c r="U237" s="41" t="s">
        <v>68</v>
      </c>
      <c r="W237" s="186" t="s">
        <v>68</v>
      </c>
      <c r="X237" s="102">
        <v>1</v>
      </c>
      <c r="Y237" s="164" t="str">
        <f t="shared" si="15"/>
        <v/>
      </c>
      <c r="Z237" s="164" t="str">
        <f t="shared" si="16"/>
        <v/>
      </c>
    </row>
    <row r="238" spans="1:27" s="70" customFormat="1" ht="15.95">
      <c r="A238" s="70" t="s">
        <v>69</v>
      </c>
      <c r="B238" s="70" t="s">
        <v>651</v>
      </c>
      <c r="C238" s="159" t="s">
        <v>652</v>
      </c>
      <c r="D238" s="159"/>
      <c r="E238" s="72"/>
      <c r="H238" s="76"/>
      <c r="I238" s="114"/>
      <c r="J238" s="114" t="s">
        <v>653</v>
      </c>
      <c r="K238" s="114"/>
      <c r="L238" s="114"/>
      <c r="M238" s="114"/>
      <c r="N238" s="114"/>
      <c r="O238" s="114"/>
      <c r="P238" s="114"/>
      <c r="W238" s="190"/>
      <c r="X238" s="160">
        <v>1</v>
      </c>
      <c r="Y238" s="168" t="str">
        <f t="shared" si="15"/>
        <v/>
      </c>
      <c r="Z238" s="168" t="str">
        <f t="shared" si="16"/>
        <v/>
      </c>
    </row>
    <row r="239" spans="1:27" s="70" customFormat="1" ht="63.95">
      <c r="A239" s="70" t="s">
        <v>45</v>
      </c>
      <c r="B239" s="70" t="s">
        <v>654</v>
      </c>
      <c r="C239" s="71" t="s">
        <v>655</v>
      </c>
      <c r="D239" s="301" t="s">
        <v>656</v>
      </c>
      <c r="E239" s="72"/>
      <c r="H239" s="76"/>
      <c r="I239" s="114"/>
      <c r="J239" s="114"/>
      <c r="K239" s="114"/>
      <c r="L239" s="114"/>
      <c r="M239" s="114"/>
      <c r="N239" s="114"/>
      <c r="O239" s="114"/>
      <c r="P239" s="114"/>
      <c r="U239" s="70" t="s">
        <v>52</v>
      </c>
      <c r="W239" s="190">
        <v>5.7112536430358887</v>
      </c>
      <c r="X239" s="160">
        <v>1</v>
      </c>
      <c r="Y239" s="168">
        <f t="shared" si="15"/>
        <v>5.7112536430358887</v>
      </c>
      <c r="Z239" s="168" t="str">
        <f t="shared" si="16"/>
        <v/>
      </c>
    </row>
    <row r="240" spans="1:27" s="161" customFormat="1" ht="15.95">
      <c r="A240" s="70" t="s">
        <v>657</v>
      </c>
      <c r="B240" s="70" t="s">
        <v>658</v>
      </c>
      <c r="C240" s="71" t="s">
        <v>659</v>
      </c>
      <c r="D240" s="287" t="s">
        <v>660</v>
      </c>
      <c r="E240" s="103"/>
      <c r="H240" s="104"/>
      <c r="I240" s="114" t="s">
        <v>40</v>
      </c>
      <c r="J240" s="114" t="s">
        <v>217</v>
      </c>
      <c r="K240" s="162"/>
      <c r="L240" s="162"/>
      <c r="M240" s="162"/>
      <c r="N240" s="162"/>
      <c r="O240" s="162"/>
      <c r="P240" s="162"/>
      <c r="U240" s="70" t="s">
        <v>52</v>
      </c>
      <c r="W240" s="186">
        <v>19.851530075073242</v>
      </c>
      <c r="X240" s="102">
        <v>1</v>
      </c>
      <c r="Y240" s="164">
        <f t="shared" si="15"/>
        <v>19.851530075073242</v>
      </c>
      <c r="Z240" s="164" t="str">
        <f t="shared" si="16"/>
        <v/>
      </c>
      <c r="AA240" s="69"/>
    </row>
    <row r="241" spans="1:27" s="161" customFormat="1" ht="15.95">
      <c r="A241" s="70" t="s">
        <v>657</v>
      </c>
      <c r="B241" s="70" t="s">
        <v>661</v>
      </c>
      <c r="C241" s="71" t="s">
        <v>662</v>
      </c>
      <c r="D241" s="71" t="s">
        <v>663</v>
      </c>
      <c r="E241" s="103"/>
      <c r="H241" s="104"/>
      <c r="I241" s="114" t="s">
        <v>40</v>
      </c>
      <c r="J241" s="114" t="s">
        <v>217</v>
      </c>
      <c r="K241" s="162"/>
      <c r="L241" s="162"/>
      <c r="M241" s="162"/>
      <c r="N241" s="162"/>
      <c r="O241" s="162"/>
      <c r="P241" s="162"/>
      <c r="U241" s="70" t="s">
        <v>52</v>
      </c>
      <c r="W241" s="186">
        <v>15.436671257019043</v>
      </c>
      <c r="X241" s="102">
        <v>1</v>
      </c>
      <c r="Y241" s="164">
        <f t="shared" si="15"/>
        <v>15.436671257019043</v>
      </c>
      <c r="Z241" s="164" t="str">
        <f t="shared" si="16"/>
        <v/>
      </c>
      <c r="AA241" s="69"/>
    </row>
    <row r="242" spans="1:27" s="161" customFormat="1" ht="15.95">
      <c r="A242" s="70" t="s">
        <v>657</v>
      </c>
      <c r="B242" s="70" t="s">
        <v>664</v>
      </c>
      <c r="C242" s="71" t="s">
        <v>665</v>
      </c>
      <c r="D242" s="71" t="s">
        <v>666</v>
      </c>
      <c r="E242" s="103"/>
      <c r="H242" s="104"/>
      <c r="I242" s="114" t="s">
        <v>40</v>
      </c>
      <c r="J242" s="114" t="s">
        <v>217</v>
      </c>
      <c r="K242" s="162"/>
      <c r="L242" s="162"/>
      <c r="M242" s="162"/>
      <c r="N242" s="162"/>
      <c r="O242" s="162"/>
      <c r="P242" s="162"/>
      <c r="U242" s="70" t="s">
        <v>52</v>
      </c>
      <c r="W242" s="186">
        <v>13.399938583374023</v>
      </c>
      <c r="X242" s="102">
        <v>1</v>
      </c>
      <c r="Y242" s="164">
        <f t="shared" si="15"/>
        <v>13.399938583374023</v>
      </c>
      <c r="Z242" s="164" t="str">
        <f t="shared" si="16"/>
        <v/>
      </c>
      <c r="AA242" s="69"/>
    </row>
    <row r="243" spans="1:27" s="161" customFormat="1" ht="15.95">
      <c r="A243" s="70" t="s">
        <v>657</v>
      </c>
      <c r="B243" s="70" t="s">
        <v>667</v>
      </c>
      <c r="C243" s="71" t="s">
        <v>668</v>
      </c>
      <c r="D243" s="71" t="s">
        <v>669</v>
      </c>
      <c r="E243" s="103"/>
      <c r="H243" s="104"/>
      <c r="I243" s="114" t="s">
        <v>40</v>
      </c>
      <c r="J243" s="114" t="s">
        <v>217</v>
      </c>
      <c r="K243" s="162"/>
      <c r="L243" s="162"/>
      <c r="M243" s="162"/>
      <c r="N243" s="162"/>
      <c r="O243" s="162"/>
      <c r="P243" s="162"/>
      <c r="U243" s="70" t="s">
        <v>52</v>
      </c>
      <c r="W243" s="186">
        <v>14.625933647155762</v>
      </c>
      <c r="X243" s="102">
        <v>1</v>
      </c>
      <c r="Y243" s="164">
        <f t="shared" si="15"/>
        <v>14.625933647155762</v>
      </c>
      <c r="Z243" s="164" t="str">
        <f t="shared" si="16"/>
        <v/>
      </c>
      <c r="AA243" s="69"/>
    </row>
    <row r="244" spans="1:27" s="161" customFormat="1" ht="15.95">
      <c r="A244" s="70" t="s">
        <v>657</v>
      </c>
      <c r="B244" s="70" t="s">
        <v>670</v>
      </c>
      <c r="C244" s="71" t="s">
        <v>671</v>
      </c>
      <c r="D244" s="302" t="s">
        <v>672</v>
      </c>
      <c r="E244" s="103"/>
      <c r="H244" s="104"/>
      <c r="I244" s="114" t="s">
        <v>40</v>
      </c>
      <c r="J244" s="114" t="s">
        <v>217</v>
      </c>
      <c r="K244" s="162"/>
      <c r="L244" s="162"/>
      <c r="M244" s="162"/>
      <c r="N244" s="162"/>
      <c r="O244" s="162"/>
      <c r="P244" s="162"/>
      <c r="U244" s="70" t="s">
        <v>52</v>
      </c>
      <c r="W244" s="186">
        <v>11.787801742553711</v>
      </c>
      <c r="X244" s="102">
        <v>1</v>
      </c>
      <c r="Y244" s="164">
        <f t="shared" si="15"/>
        <v>11.787801742553711</v>
      </c>
      <c r="Z244" s="164" t="str">
        <f t="shared" si="16"/>
        <v/>
      </c>
      <c r="AA244" s="69"/>
    </row>
    <row r="245" spans="1:27" s="161" customFormat="1" ht="15.95">
      <c r="A245" s="70" t="s">
        <v>657</v>
      </c>
      <c r="B245" s="70" t="s">
        <v>673</v>
      </c>
      <c r="C245" s="71" t="s">
        <v>674</v>
      </c>
      <c r="D245" s="302" t="s">
        <v>675</v>
      </c>
      <c r="E245" s="103"/>
      <c r="H245" s="104"/>
      <c r="I245" s="114" t="s">
        <v>40</v>
      </c>
      <c r="J245" s="114" t="s">
        <v>217</v>
      </c>
      <c r="K245" s="162"/>
      <c r="L245" s="162"/>
      <c r="M245" s="162"/>
      <c r="N245" s="162"/>
      <c r="O245" s="162"/>
      <c r="P245" s="162"/>
      <c r="U245" s="70" t="s">
        <v>52</v>
      </c>
      <c r="W245" s="186">
        <v>12.408086776733398</v>
      </c>
      <c r="X245" s="102">
        <v>1</v>
      </c>
      <c r="Y245" s="164">
        <f t="shared" si="15"/>
        <v>12.408086776733398</v>
      </c>
      <c r="Z245" s="164" t="str">
        <f t="shared" si="16"/>
        <v/>
      </c>
      <c r="AA245" s="69"/>
    </row>
    <row r="246" spans="1:27" s="161" customFormat="1" ht="15.95">
      <c r="A246" s="70" t="s">
        <v>657</v>
      </c>
      <c r="B246" s="70" t="s">
        <v>676</v>
      </c>
      <c r="C246" s="71" t="s">
        <v>677</v>
      </c>
      <c r="D246" s="71" t="s">
        <v>678</v>
      </c>
      <c r="E246" s="103"/>
      <c r="H246" s="104"/>
      <c r="I246" s="114" t="s">
        <v>40</v>
      </c>
      <c r="J246" s="114" t="s">
        <v>217</v>
      </c>
      <c r="K246" s="162"/>
      <c r="L246" s="162"/>
      <c r="M246" s="162"/>
      <c r="N246" s="162"/>
      <c r="O246" s="162"/>
      <c r="P246" s="162"/>
      <c r="U246" s="70" t="s">
        <v>52</v>
      </c>
      <c r="W246" s="186">
        <v>9.2894678115844727</v>
      </c>
      <c r="X246" s="102">
        <v>1</v>
      </c>
      <c r="Y246" s="164">
        <f t="shared" si="15"/>
        <v>9.2894678115844727</v>
      </c>
      <c r="Z246" s="164" t="str">
        <f t="shared" si="16"/>
        <v/>
      </c>
      <c r="AA246" s="69"/>
    </row>
    <row r="247" spans="1:27" s="161" customFormat="1" ht="15.95">
      <c r="A247" s="70" t="s">
        <v>657</v>
      </c>
      <c r="B247" s="70" t="s">
        <v>679</v>
      </c>
      <c r="C247" s="71" t="s">
        <v>680</v>
      </c>
      <c r="D247" s="71" t="s">
        <v>681</v>
      </c>
      <c r="E247" s="103"/>
      <c r="H247" s="104"/>
      <c r="I247" s="114" t="s">
        <v>40</v>
      </c>
      <c r="J247" s="114" t="s">
        <v>217</v>
      </c>
      <c r="K247" s="162"/>
      <c r="L247" s="162"/>
      <c r="M247" s="162"/>
      <c r="N247" s="162"/>
      <c r="O247" s="162"/>
      <c r="P247" s="162"/>
      <c r="U247" s="70" t="s">
        <v>52</v>
      </c>
      <c r="W247" s="186">
        <v>12</v>
      </c>
      <c r="X247" s="102">
        <v>1</v>
      </c>
      <c r="Y247" s="164">
        <f t="shared" si="15"/>
        <v>12</v>
      </c>
      <c r="Z247" s="164" t="str">
        <f t="shared" si="16"/>
        <v/>
      </c>
      <c r="AA247" s="69"/>
    </row>
    <row r="248" spans="1:27" s="161" customFormat="1" ht="32.1">
      <c r="A248" s="70" t="s">
        <v>657</v>
      </c>
      <c r="B248" s="70" t="s">
        <v>682</v>
      </c>
      <c r="C248" s="71" t="s">
        <v>683</v>
      </c>
      <c r="D248" s="71" t="s">
        <v>684</v>
      </c>
      <c r="E248" s="103"/>
      <c r="H248" s="104"/>
      <c r="I248" s="114" t="s">
        <v>40</v>
      </c>
      <c r="J248" s="114" t="s">
        <v>217</v>
      </c>
      <c r="K248" s="162"/>
      <c r="L248" s="162"/>
      <c r="M248" s="162"/>
      <c r="N248" s="162"/>
      <c r="O248" s="162"/>
      <c r="P248" s="162"/>
      <c r="U248" s="70" t="s">
        <v>52</v>
      </c>
      <c r="W248" s="186">
        <v>14.410958904109588</v>
      </c>
      <c r="X248" s="102">
        <v>1</v>
      </c>
      <c r="Y248" s="164">
        <f t="shared" si="15"/>
        <v>14.410958904109588</v>
      </c>
      <c r="Z248" s="164" t="str">
        <f t="shared" si="16"/>
        <v/>
      </c>
      <c r="AA248" s="69"/>
    </row>
    <row r="249" spans="1:27" s="161" customFormat="1" ht="15.95">
      <c r="A249" s="70" t="s">
        <v>657</v>
      </c>
      <c r="B249" s="70" t="s">
        <v>685</v>
      </c>
      <c r="C249" s="71" t="s">
        <v>686</v>
      </c>
      <c r="D249" s="71" t="s">
        <v>687</v>
      </c>
      <c r="E249" s="103"/>
      <c r="H249" s="104"/>
      <c r="I249" s="114" t="s">
        <v>40</v>
      </c>
      <c r="J249" s="114" t="s">
        <v>217</v>
      </c>
      <c r="K249" s="162"/>
      <c r="L249" s="162"/>
      <c r="M249" s="162"/>
      <c r="N249" s="162"/>
      <c r="O249" s="162"/>
      <c r="P249" s="162"/>
      <c r="U249" s="70" t="s">
        <v>52</v>
      </c>
      <c r="W249" s="186">
        <v>15.408385276794434</v>
      </c>
      <c r="X249" s="102">
        <v>1</v>
      </c>
      <c r="Y249" s="164">
        <f t="shared" si="15"/>
        <v>15.408385276794434</v>
      </c>
      <c r="Z249" s="164" t="str">
        <f t="shared" si="16"/>
        <v/>
      </c>
      <c r="AA249" s="69"/>
    </row>
    <row r="250" spans="1:27" s="161" customFormat="1" ht="15.95">
      <c r="A250" s="70" t="s">
        <v>657</v>
      </c>
      <c r="B250" s="70" t="s">
        <v>688</v>
      </c>
      <c r="C250" s="71" t="s">
        <v>689</v>
      </c>
      <c r="D250" s="71" t="s">
        <v>690</v>
      </c>
      <c r="E250" s="103"/>
      <c r="H250" s="104"/>
      <c r="I250" s="114" t="s">
        <v>40</v>
      </c>
      <c r="J250" s="114" t="s">
        <v>217</v>
      </c>
      <c r="K250" s="162"/>
      <c r="L250" s="162"/>
      <c r="M250" s="162"/>
      <c r="N250" s="162"/>
      <c r="O250" s="162"/>
      <c r="P250" s="162"/>
      <c r="U250" s="70" t="s">
        <v>52</v>
      </c>
      <c r="W250" s="186">
        <v>15.543986320495605</v>
      </c>
      <c r="X250" s="102">
        <v>1</v>
      </c>
      <c r="Y250" s="164">
        <f t="shared" si="15"/>
        <v>15.543986320495605</v>
      </c>
      <c r="Z250" s="164" t="str">
        <f t="shared" ref="Z250:Z281" si="17">IF(AND(W250&lt;&gt;"",U250="yes"),W250*X250,"")</f>
        <v/>
      </c>
      <c r="AA250" s="69"/>
    </row>
    <row r="251" spans="1:27" s="161" customFormat="1" ht="15.95">
      <c r="A251" s="70" t="s">
        <v>657</v>
      </c>
      <c r="B251" s="70" t="s">
        <v>691</v>
      </c>
      <c r="C251" s="71" t="s">
        <v>692</v>
      </c>
      <c r="D251" s="71" t="s">
        <v>693</v>
      </c>
      <c r="E251" s="103"/>
      <c r="H251" s="104"/>
      <c r="I251" s="114" t="s">
        <v>40</v>
      </c>
      <c r="J251" s="114" t="s">
        <v>217</v>
      </c>
      <c r="K251" s="162"/>
      <c r="L251" s="162"/>
      <c r="M251" s="162"/>
      <c r="N251" s="162"/>
      <c r="O251" s="162"/>
      <c r="P251" s="162"/>
      <c r="U251" s="70" t="s">
        <v>52</v>
      </c>
      <c r="W251" s="186">
        <v>12</v>
      </c>
      <c r="X251" s="102">
        <v>1</v>
      </c>
      <c r="Y251" s="164">
        <f t="shared" si="15"/>
        <v>12</v>
      </c>
      <c r="Z251" s="164" t="str">
        <f t="shared" si="17"/>
        <v/>
      </c>
      <c r="AA251" s="69"/>
    </row>
    <row r="252" spans="1:27" s="161" customFormat="1" ht="15.95">
      <c r="A252" s="70" t="s">
        <v>657</v>
      </c>
      <c r="B252" s="70" t="s">
        <v>694</v>
      </c>
      <c r="C252" s="71" t="s">
        <v>695</v>
      </c>
      <c r="D252" s="71" t="s">
        <v>696</v>
      </c>
      <c r="E252" s="103"/>
      <c r="H252" s="104"/>
      <c r="I252" s="114" t="s">
        <v>40</v>
      </c>
      <c r="J252" s="114" t="s">
        <v>217</v>
      </c>
      <c r="K252" s="162"/>
      <c r="L252" s="162"/>
      <c r="M252" s="162"/>
      <c r="N252" s="162"/>
      <c r="O252" s="162"/>
      <c r="P252" s="162"/>
      <c r="U252" s="70" t="s">
        <v>52</v>
      </c>
      <c r="W252" s="186">
        <v>12.996181488037109</v>
      </c>
      <c r="X252" s="102">
        <v>1</v>
      </c>
      <c r="Y252" s="164">
        <f t="shared" si="15"/>
        <v>12.996181488037109</v>
      </c>
      <c r="Z252" s="164" t="str">
        <f t="shared" si="17"/>
        <v/>
      </c>
      <c r="AA252" s="69"/>
    </row>
    <row r="253" spans="1:27" s="161" customFormat="1" ht="32.1">
      <c r="A253" s="70" t="s">
        <v>657</v>
      </c>
      <c r="B253" s="70" t="s">
        <v>697</v>
      </c>
      <c r="C253" s="71" t="s">
        <v>698</v>
      </c>
      <c r="D253" s="71" t="s">
        <v>699</v>
      </c>
      <c r="E253" s="103"/>
      <c r="H253" s="104"/>
      <c r="I253" s="114" t="s">
        <v>40</v>
      </c>
      <c r="J253" s="114" t="s">
        <v>217</v>
      </c>
      <c r="K253" s="162"/>
      <c r="L253" s="162"/>
      <c r="M253" s="162"/>
      <c r="N253" s="162"/>
      <c r="O253" s="162"/>
      <c r="P253" s="162"/>
      <c r="U253" s="70" t="s">
        <v>52</v>
      </c>
      <c r="W253" s="186">
        <v>14.752389907836914</v>
      </c>
      <c r="X253" s="102">
        <v>1</v>
      </c>
      <c r="Y253" s="164">
        <f t="shared" si="15"/>
        <v>14.752389907836914</v>
      </c>
      <c r="Z253" s="164" t="str">
        <f t="shared" si="17"/>
        <v/>
      </c>
      <c r="AA253" s="69"/>
    </row>
    <row r="254" spans="1:27" s="161" customFormat="1" ht="15.95">
      <c r="A254" s="70" t="s">
        <v>657</v>
      </c>
      <c r="B254" s="70" t="s">
        <v>700</v>
      </c>
      <c r="C254" s="71" t="s">
        <v>701</v>
      </c>
      <c r="D254" s="71" t="s">
        <v>702</v>
      </c>
      <c r="E254" s="103"/>
      <c r="H254" s="104"/>
      <c r="I254" s="114" t="s">
        <v>40</v>
      </c>
      <c r="J254" s="114" t="s">
        <v>217</v>
      </c>
      <c r="K254" s="162"/>
      <c r="L254" s="162"/>
      <c r="M254" s="162"/>
      <c r="N254" s="162"/>
      <c r="O254" s="162"/>
      <c r="P254" s="162"/>
      <c r="U254" s="70" t="s">
        <v>52</v>
      </c>
      <c r="W254" s="186">
        <v>10.668112754821777</v>
      </c>
      <c r="X254" s="102">
        <v>1</v>
      </c>
      <c r="Y254" s="164">
        <f t="shared" si="15"/>
        <v>10.668112754821777</v>
      </c>
      <c r="Z254" s="164" t="str">
        <f t="shared" si="17"/>
        <v/>
      </c>
      <c r="AA254" s="69"/>
    </row>
    <row r="255" spans="1:27" s="161" customFormat="1" ht="15.95">
      <c r="A255" s="70" t="s">
        <v>657</v>
      </c>
      <c r="B255" s="70" t="s">
        <v>703</v>
      </c>
      <c r="C255" s="71" t="s">
        <v>704</v>
      </c>
      <c r="D255" s="71" t="s">
        <v>705</v>
      </c>
      <c r="E255" s="103"/>
      <c r="H255" s="104"/>
      <c r="I255" s="114" t="s">
        <v>40</v>
      </c>
      <c r="J255" s="114" t="s">
        <v>217</v>
      </c>
      <c r="K255" s="162"/>
      <c r="L255" s="162"/>
      <c r="M255" s="162"/>
      <c r="N255" s="162"/>
      <c r="O255" s="162"/>
      <c r="P255" s="162"/>
      <c r="U255" s="70" t="s">
        <v>52</v>
      </c>
      <c r="W255" s="186">
        <v>9.716710090637207</v>
      </c>
      <c r="X255" s="102">
        <v>1</v>
      </c>
      <c r="Y255" s="164">
        <f t="shared" si="15"/>
        <v>9.716710090637207</v>
      </c>
      <c r="Z255" s="164" t="str">
        <f t="shared" si="17"/>
        <v/>
      </c>
      <c r="AA255" s="69"/>
    </row>
    <row r="256" spans="1:27" s="161" customFormat="1" ht="15.95">
      <c r="A256" s="70" t="s">
        <v>657</v>
      </c>
      <c r="B256" s="70" t="s">
        <v>706</v>
      </c>
      <c r="C256" s="71" t="s">
        <v>707</v>
      </c>
      <c r="D256" s="71" t="s">
        <v>708</v>
      </c>
      <c r="E256" s="103"/>
      <c r="H256" s="104"/>
      <c r="I256" s="114" t="s">
        <v>40</v>
      </c>
      <c r="J256" s="114" t="s">
        <v>217</v>
      </c>
      <c r="K256" s="162"/>
      <c r="L256" s="162"/>
      <c r="M256" s="162"/>
      <c r="N256" s="162"/>
      <c r="O256" s="162"/>
      <c r="P256" s="162"/>
      <c r="U256" s="70" t="s">
        <v>52</v>
      </c>
      <c r="W256" s="186">
        <v>10.953365325927734</v>
      </c>
      <c r="X256" s="102">
        <v>1</v>
      </c>
      <c r="Y256" s="164">
        <f t="shared" si="15"/>
        <v>10.953365325927734</v>
      </c>
      <c r="Z256" s="164" t="str">
        <f t="shared" si="17"/>
        <v/>
      </c>
      <c r="AA256" s="69"/>
    </row>
    <row r="257" spans="1:27" s="161" customFormat="1" ht="15.95">
      <c r="A257" s="70" t="s">
        <v>657</v>
      </c>
      <c r="B257" s="70" t="s">
        <v>709</v>
      </c>
      <c r="C257" s="71" t="s">
        <v>710</v>
      </c>
      <c r="D257" s="71" t="s">
        <v>711</v>
      </c>
      <c r="E257" s="103"/>
      <c r="H257" s="104"/>
      <c r="I257" s="114" t="s">
        <v>40</v>
      </c>
      <c r="J257" s="114" t="s">
        <v>217</v>
      </c>
      <c r="K257" s="162"/>
      <c r="L257" s="162"/>
      <c r="M257" s="162"/>
      <c r="N257" s="162"/>
      <c r="O257" s="162"/>
      <c r="P257" s="162"/>
      <c r="U257" s="70" t="s">
        <v>52</v>
      </c>
      <c r="W257" s="186">
        <v>10.114131927490234</v>
      </c>
      <c r="X257" s="102">
        <v>1</v>
      </c>
      <c r="Y257" s="164">
        <f t="shared" si="15"/>
        <v>10.114131927490234</v>
      </c>
      <c r="Z257" s="164" t="str">
        <f t="shared" si="17"/>
        <v/>
      </c>
      <c r="AA257" s="69"/>
    </row>
    <row r="258" spans="1:27" s="161" customFormat="1" ht="15.95">
      <c r="A258" s="70" t="s">
        <v>657</v>
      </c>
      <c r="B258" s="70" t="s">
        <v>712</v>
      </c>
      <c r="C258" s="71" t="s">
        <v>713</v>
      </c>
      <c r="D258" s="71" t="s">
        <v>714</v>
      </c>
      <c r="E258" s="103"/>
      <c r="H258" s="104"/>
      <c r="I258" s="114" t="s">
        <v>40</v>
      </c>
      <c r="J258" s="114" t="s">
        <v>217</v>
      </c>
      <c r="K258" s="162"/>
      <c r="L258" s="162"/>
      <c r="M258" s="162"/>
      <c r="N258" s="162"/>
      <c r="O258" s="162"/>
      <c r="P258" s="162"/>
      <c r="U258" s="70" t="s">
        <v>52</v>
      </c>
      <c r="W258" s="186">
        <v>10.867705345153809</v>
      </c>
      <c r="X258" s="102">
        <v>1</v>
      </c>
      <c r="Y258" s="164">
        <f t="shared" si="15"/>
        <v>10.867705345153809</v>
      </c>
      <c r="Z258" s="164" t="str">
        <f t="shared" si="17"/>
        <v/>
      </c>
      <c r="AA258" s="69"/>
    </row>
    <row r="259" spans="1:27">
      <c r="A259" s="70" t="s">
        <v>149</v>
      </c>
      <c r="B259" s="70"/>
      <c r="C259" s="71"/>
      <c r="D259" s="71"/>
      <c r="E259" s="81"/>
      <c r="H259" s="82"/>
      <c r="I259" s="114"/>
      <c r="U259" s="41" t="s">
        <v>68</v>
      </c>
      <c r="W259" s="186" t="s">
        <v>68</v>
      </c>
      <c r="X259" s="102">
        <v>1</v>
      </c>
      <c r="Y259" s="164" t="str">
        <f t="shared" si="15"/>
        <v/>
      </c>
      <c r="Z259" s="164" t="str">
        <f t="shared" si="17"/>
        <v/>
      </c>
    </row>
    <row r="260" spans="1:27">
      <c r="A260" s="69"/>
      <c r="B260" s="69"/>
      <c r="E260" s="81"/>
      <c r="H260" s="82"/>
      <c r="U260" s="41" t="s">
        <v>68</v>
      </c>
      <c r="W260" s="186" t="s">
        <v>68</v>
      </c>
      <c r="X260" s="102">
        <v>1</v>
      </c>
      <c r="Y260" s="164" t="str">
        <f t="shared" si="15"/>
        <v/>
      </c>
      <c r="Z260" s="164" t="str">
        <f t="shared" si="17"/>
        <v/>
      </c>
    </row>
    <row r="261" spans="1:27" ht="15.95">
      <c r="A261" s="73" t="s">
        <v>69</v>
      </c>
      <c r="B261" s="73" t="s">
        <v>715</v>
      </c>
      <c r="C261" s="87" t="s">
        <v>716</v>
      </c>
      <c r="D261" s="87"/>
      <c r="E261" s="81"/>
      <c r="F261" s="68"/>
      <c r="G261" s="68"/>
      <c r="H261" s="82"/>
      <c r="I261" s="113"/>
      <c r="J261" s="113"/>
      <c r="K261" s="113"/>
      <c r="L261" s="113"/>
      <c r="M261" s="113"/>
      <c r="N261" s="113"/>
      <c r="O261" s="113"/>
      <c r="P261" s="113"/>
      <c r="W261" s="186"/>
      <c r="X261" s="102">
        <v>1</v>
      </c>
      <c r="Y261" s="164" t="str">
        <f t="shared" si="15"/>
        <v/>
      </c>
      <c r="Z261" s="164" t="str">
        <f t="shared" si="17"/>
        <v/>
      </c>
    </row>
    <row r="262" spans="1:27" ht="32.1">
      <c r="A262" s="68" t="s">
        <v>45</v>
      </c>
      <c r="B262" s="68" t="s">
        <v>717</v>
      </c>
      <c r="C262" s="40" t="s">
        <v>718</v>
      </c>
      <c r="D262" s="40" t="s">
        <v>719</v>
      </c>
      <c r="E262" s="81"/>
      <c r="F262" s="68"/>
      <c r="G262" s="68"/>
      <c r="H262" s="82"/>
      <c r="I262" s="113" t="s">
        <v>51</v>
      </c>
      <c r="J262" s="113"/>
      <c r="K262" s="113"/>
      <c r="L262" s="113"/>
      <c r="M262" s="113"/>
      <c r="N262" s="113"/>
      <c r="O262" s="113"/>
      <c r="P262" s="113"/>
      <c r="U262" s="41" t="s">
        <v>42</v>
      </c>
      <c r="W262" s="186"/>
      <c r="X262" s="102">
        <v>1</v>
      </c>
      <c r="Y262" s="164" t="str">
        <f t="shared" si="15"/>
        <v/>
      </c>
      <c r="Z262" s="164" t="str">
        <f t="shared" si="17"/>
        <v/>
      </c>
    </row>
    <row r="263" spans="1:27" ht="48">
      <c r="A263" s="68" t="s">
        <v>720</v>
      </c>
      <c r="B263" s="68" t="s">
        <v>721</v>
      </c>
      <c r="C263" s="40" t="s">
        <v>722</v>
      </c>
      <c r="D263" s="40" t="s">
        <v>723</v>
      </c>
      <c r="E263" s="81"/>
      <c r="F263" s="68" t="s">
        <v>724</v>
      </c>
      <c r="G263" s="68" t="s">
        <v>725</v>
      </c>
      <c r="H263" s="82"/>
      <c r="I263" s="113" t="s">
        <v>40</v>
      </c>
      <c r="J263" s="113"/>
      <c r="K263" s="113"/>
      <c r="L263" s="113"/>
      <c r="M263" s="113"/>
      <c r="N263" s="113"/>
      <c r="O263" s="113"/>
      <c r="P263" s="113"/>
      <c r="U263" s="41" t="s">
        <v>42</v>
      </c>
      <c r="W263" s="186">
        <v>72.295135498046875</v>
      </c>
      <c r="X263" s="102">
        <v>1</v>
      </c>
      <c r="Y263" s="164">
        <f t="shared" si="15"/>
        <v>72.295135498046875</v>
      </c>
      <c r="Z263" s="164">
        <f t="shared" si="17"/>
        <v>72.295135498046875</v>
      </c>
    </row>
    <row r="264" spans="1:27" ht="48">
      <c r="A264" s="68" t="s">
        <v>45</v>
      </c>
      <c r="B264" s="68" t="s">
        <v>726</v>
      </c>
      <c r="C264" s="40" t="s">
        <v>727</v>
      </c>
      <c r="D264" s="40" t="s">
        <v>728</v>
      </c>
      <c r="E264" s="81"/>
      <c r="F264" s="68"/>
      <c r="G264" s="68"/>
      <c r="H264" s="82"/>
      <c r="I264" s="113" t="s">
        <v>51</v>
      </c>
      <c r="J264" s="113"/>
      <c r="K264" s="113"/>
      <c r="L264" s="113"/>
      <c r="M264" s="113"/>
      <c r="N264" s="113"/>
      <c r="O264" s="113"/>
      <c r="P264" s="113"/>
      <c r="U264" s="41" t="s">
        <v>42</v>
      </c>
      <c r="W264" s="186">
        <v>3.7052218914031982</v>
      </c>
      <c r="X264" s="102">
        <v>1</v>
      </c>
      <c r="Y264" s="164">
        <f t="shared" si="15"/>
        <v>3.7052218914031982</v>
      </c>
      <c r="Z264" s="164">
        <f t="shared" si="17"/>
        <v>3.7052218914031982</v>
      </c>
    </row>
    <row r="265" spans="1:27" ht="15.95" customHeight="1">
      <c r="A265" s="68" t="s">
        <v>149</v>
      </c>
      <c r="B265" s="68"/>
      <c r="C265" s="40"/>
      <c r="D265" s="40"/>
      <c r="E265" s="81"/>
      <c r="F265" s="68"/>
      <c r="G265" s="68"/>
      <c r="H265" s="82"/>
      <c r="I265" s="113"/>
      <c r="J265" s="113"/>
      <c r="K265" s="113"/>
      <c r="L265" s="113"/>
      <c r="M265" s="113"/>
      <c r="N265" s="113"/>
      <c r="O265" s="113"/>
      <c r="P265" s="113"/>
      <c r="W265" s="186" t="s">
        <v>68</v>
      </c>
      <c r="X265" s="102">
        <v>1</v>
      </c>
      <c r="Y265" s="164" t="str">
        <f t="shared" si="15"/>
        <v/>
      </c>
      <c r="Z265" s="164" t="str">
        <f t="shared" si="17"/>
        <v/>
      </c>
    </row>
    <row r="266" spans="1:27">
      <c r="A266" s="69"/>
      <c r="B266" s="69"/>
      <c r="E266" s="81"/>
      <c r="H266" s="82"/>
      <c r="U266" s="41" t="s">
        <v>68</v>
      </c>
      <c r="W266" s="186" t="s">
        <v>68</v>
      </c>
      <c r="X266" s="102">
        <v>1</v>
      </c>
      <c r="Y266" s="164" t="str">
        <f t="shared" si="15"/>
        <v/>
      </c>
      <c r="Z266" s="164" t="str">
        <f t="shared" si="17"/>
        <v/>
      </c>
    </row>
    <row r="267" spans="1:27" s="70" customFormat="1" ht="15.95">
      <c r="A267" s="70" t="s">
        <v>69</v>
      </c>
      <c r="B267" s="70" t="s">
        <v>729</v>
      </c>
      <c r="C267" s="159" t="s">
        <v>730</v>
      </c>
      <c r="D267" s="159"/>
      <c r="E267" s="72"/>
      <c r="H267" s="76"/>
      <c r="I267" s="114"/>
      <c r="J267" s="114"/>
      <c r="K267" s="114"/>
      <c r="L267" s="114"/>
      <c r="M267" s="114"/>
      <c r="N267" s="114"/>
      <c r="O267" s="114"/>
      <c r="P267" s="114"/>
      <c r="U267" s="70" t="s">
        <v>52</v>
      </c>
      <c r="W267" s="186"/>
      <c r="X267" s="102">
        <v>1</v>
      </c>
      <c r="Y267" s="164" t="str">
        <f t="shared" si="15"/>
        <v/>
      </c>
      <c r="Z267" s="164" t="str">
        <f t="shared" si="17"/>
        <v/>
      </c>
    </row>
    <row r="268" spans="1:27" s="71" customFormat="1" ht="32.1">
      <c r="A268" s="71" t="s">
        <v>45</v>
      </c>
      <c r="B268" s="71" t="s">
        <v>731</v>
      </c>
      <c r="C268" s="71" t="s">
        <v>732</v>
      </c>
      <c r="D268" s="224" t="s">
        <v>733</v>
      </c>
      <c r="E268" s="72"/>
      <c r="H268" s="72"/>
      <c r="I268" s="114" t="s">
        <v>51</v>
      </c>
      <c r="J268" s="129"/>
      <c r="K268" s="129"/>
      <c r="L268" s="114"/>
      <c r="M268" s="129"/>
      <c r="N268" s="129"/>
      <c r="O268" s="129"/>
      <c r="P268" s="129"/>
      <c r="U268" s="71" t="s">
        <v>52</v>
      </c>
      <c r="W268" s="186">
        <v>0</v>
      </c>
      <c r="X268" s="102">
        <v>1</v>
      </c>
      <c r="Y268" s="164">
        <f t="shared" si="15"/>
        <v>0</v>
      </c>
      <c r="Z268" s="164" t="str">
        <f t="shared" si="17"/>
        <v/>
      </c>
    </row>
    <row r="269" spans="1:27" s="71" customFormat="1" ht="48">
      <c r="A269" s="71" t="s">
        <v>84</v>
      </c>
      <c r="B269" s="71" t="s">
        <v>734</v>
      </c>
      <c r="C269" s="71" t="s">
        <v>735</v>
      </c>
      <c r="D269" s="224" t="s">
        <v>736</v>
      </c>
      <c r="E269" s="72"/>
      <c r="F269" s="70" t="s">
        <v>737</v>
      </c>
      <c r="G269" s="70" t="s">
        <v>738</v>
      </c>
      <c r="H269" s="72"/>
      <c r="I269" s="114" t="s">
        <v>40</v>
      </c>
      <c r="J269" s="129"/>
      <c r="K269" s="129" t="s">
        <v>739</v>
      </c>
      <c r="L269" s="114" t="s">
        <v>740</v>
      </c>
      <c r="M269" s="129"/>
      <c r="N269" s="129"/>
      <c r="O269" s="129"/>
      <c r="P269" s="129"/>
      <c r="U269" s="71" t="s">
        <v>52</v>
      </c>
      <c r="W269" s="186">
        <v>17</v>
      </c>
      <c r="X269" s="102">
        <v>1</v>
      </c>
      <c r="Y269" s="164">
        <f t="shared" si="15"/>
        <v>17</v>
      </c>
      <c r="Z269" s="164" t="str">
        <f t="shared" si="17"/>
        <v/>
      </c>
    </row>
    <row r="270" spans="1:27" s="71" customFormat="1" ht="48">
      <c r="A270" s="71" t="s">
        <v>84</v>
      </c>
      <c r="B270" s="71" t="s">
        <v>741</v>
      </c>
      <c r="C270" s="71" t="s">
        <v>742</v>
      </c>
      <c r="D270" s="224" t="s">
        <v>743</v>
      </c>
      <c r="E270" s="72"/>
      <c r="F270" s="70" t="s">
        <v>737</v>
      </c>
      <c r="G270" s="70" t="s">
        <v>738</v>
      </c>
      <c r="H270" s="72"/>
      <c r="I270" s="114" t="s">
        <v>40</v>
      </c>
      <c r="J270" s="129"/>
      <c r="K270" s="129" t="s">
        <v>739</v>
      </c>
      <c r="L270" s="114" t="s">
        <v>740</v>
      </c>
      <c r="M270" s="129"/>
      <c r="N270" s="129"/>
      <c r="O270" s="129"/>
      <c r="P270" s="129"/>
      <c r="U270" s="71" t="s">
        <v>52</v>
      </c>
      <c r="W270" s="186">
        <v>17</v>
      </c>
      <c r="X270" s="102">
        <v>1</v>
      </c>
      <c r="Y270" s="164">
        <f t="shared" ref="Y270:Y314" si="18">IF(W270&lt;&gt;"",W270*X270,"")</f>
        <v>17</v>
      </c>
      <c r="Z270" s="164" t="str">
        <f t="shared" si="17"/>
        <v/>
      </c>
    </row>
    <row r="271" spans="1:27" s="71" customFormat="1" ht="32.1">
      <c r="A271" s="71" t="s">
        <v>84</v>
      </c>
      <c r="B271" s="71" t="s">
        <v>744</v>
      </c>
      <c r="C271" s="71" t="s">
        <v>745</v>
      </c>
      <c r="D271" s="224" t="s">
        <v>746</v>
      </c>
      <c r="E271" s="72"/>
      <c r="F271" s="70" t="s">
        <v>737</v>
      </c>
      <c r="G271" s="70" t="s">
        <v>738</v>
      </c>
      <c r="H271" s="72"/>
      <c r="I271" s="114" t="s">
        <v>40</v>
      </c>
      <c r="J271" s="129"/>
      <c r="K271" s="129" t="s">
        <v>739</v>
      </c>
      <c r="L271" s="114" t="s">
        <v>740</v>
      </c>
      <c r="M271" s="129"/>
      <c r="N271" s="129"/>
      <c r="O271" s="129"/>
      <c r="P271" s="129"/>
      <c r="U271" s="71" t="s">
        <v>52</v>
      </c>
      <c r="W271" s="186">
        <v>17</v>
      </c>
      <c r="X271" s="102">
        <v>1</v>
      </c>
      <c r="Y271" s="164">
        <f t="shared" si="18"/>
        <v>17</v>
      </c>
      <c r="Z271" s="164" t="str">
        <f t="shared" si="17"/>
        <v/>
      </c>
    </row>
    <row r="272" spans="1:27" s="71" customFormat="1" ht="32.1">
      <c r="A272" s="71" t="s">
        <v>84</v>
      </c>
      <c r="B272" s="71" t="s">
        <v>747</v>
      </c>
      <c r="C272" s="71" t="s">
        <v>748</v>
      </c>
      <c r="D272" s="224" t="s">
        <v>749</v>
      </c>
      <c r="E272" s="72"/>
      <c r="F272" s="70" t="s">
        <v>737</v>
      </c>
      <c r="G272" s="70" t="s">
        <v>738</v>
      </c>
      <c r="H272" s="72"/>
      <c r="I272" s="114" t="s">
        <v>40</v>
      </c>
      <c r="J272" s="129"/>
      <c r="K272" s="129" t="s">
        <v>739</v>
      </c>
      <c r="L272" s="114" t="s">
        <v>740</v>
      </c>
      <c r="M272" s="129"/>
      <c r="N272" s="129"/>
      <c r="O272" s="129"/>
      <c r="P272" s="129"/>
      <c r="U272" s="71" t="s">
        <v>52</v>
      </c>
      <c r="W272" s="186">
        <v>17</v>
      </c>
      <c r="X272" s="102">
        <v>1</v>
      </c>
      <c r="Y272" s="164">
        <f t="shared" si="18"/>
        <v>17</v>
      </c>
      <c r="Z272" s="164" t="str">
        <f t="shared" si="17"/>
        <v/>
      </c>
    </row>
    <row r="273" spans="1:27" s="71" customFormat="1" ht="48">
      <c r="A273" s="71" t="s">
        <v>84</v>
      </c>
      <c r="B273" s="71" t="s">
        <v>750</v>
      </c>
      <c r="C273" s="71" t="s">
        <v>751</v>
      </c>
      <c r="D273" s="224" t="s">
        <v>752</v>
      </c>
      <c r="E273" s="72"/>
      <c r="F273" s="70" t="s">
        <v>737</v>
      </c>
      <c r="G273" s="70" t="s">
        <v>738</v>
      </c>
      <c r="H273" s="72"/>
      <c r="I273" s="114" t="s">
        <v>40</v>
      </c>
      <c r="J273" s="129"/>
      <c r="K273" s="129" t="s">
        <v>739</v>
      </c>
      <c r="L273" s="114" t="s">
        <v>740</v>
      </c>
      <c r="M273" s="129"/>
      <c r="N273" s="129"/>
      <c r="O273" s="129"/>
      <c r="P273" s="129"/>
      <c r="U273" s="71" t="s">
        <v>52</v>
      </c>
      <c r="W273" s="186">
        <v>17</v>
      </c>
      <c r="X273" s="102">
        <v>1</v>
      </c>
      <c r="Y273" s="164">
        <f t="shared" si="18"/>
        <v>17</v>
      </c>
      <c r="Z273" s="164" t="str">
        <f t="shared" si="17"/>
        <v/>
      </c>
    </row>
    <row r="274" spans="1:27" s="71" customFormat="1" ht="48">
      <c r="A274" s="71" t="s">
        <v>84</v>
      </c>
      <c r="B274" s="71" t="s">
        <v>753</v>
      </c>
      <c r="C274" s="71" t="s">
        <v>754</v>
      </c>
      <c r="D274" s="224" t="s">
        <v>755</v>
      </c>
      <c r="E274" s="72"/>
      <c r="F274" s="70" t="s">
        <v>737</v>
      </c>
      <c r="G274" s="70" t="s">
        <v>738</v>
      </c>
      <c r="H274" s="72"/>
      <c r="I274" s="114" t="s">
        <v>40</v>
      </c>
      <c r="J274" s="129"/>
      <c r="K274" s="129" t="s">
        <v>739</v>
      </c>
      <c r="L274" s="114" t="s">
        <v>740</v>
      </c>
      <c r="M274" s="129"/>
      <c r="N274" s="129"/>
      <c r="O274" s="129"/>
      <c r="P274" s="129"/>
      <c r="U274" s="71" t="s">
        <v>52</v>
      </c>
      <c r="W274" s="186">
        <v>17</v>
      </c>
      <c r="X274" s="102">
        <v>1</v>
      </c>
      <c r="Y274" s="164">
        <f t="shared" si="18"/>
        <v>17</v>
      </c>
      <c r="Z274" s="164" t="str">
        <f t="shared" si="17"/>
        <v/>
      </c>
    </row>
    <row r="275" spans="1:27" s="71" customFormat="1" ht="48">
      <c r="A275" s="71" t="s">
        <v>84</v>
      </c>
      <c r="B275" s="71" t="s">
        <v>756</v>
      </c>
      <c r="C275" s="71" t="s">
        <v>757</v>
      </c>
      <c r="D275" s="224" t="s">
        <v>758</v>
      </c>
      <c r="E275" s="72"/>
      <c r="F275" s="70" t="s">
        <v>737</v>
      </c>
      <c r="G275" s="70" t="s">
        <v>738</v>
      </c>
      <c r="H275" s="72"/>
      <c r="I275" s="114" t="s">
        <v>40</v>
      </c>
      <c r="J275" s="129"/>
      <c r="K275" s="129" t="s">
        <v>739</v>
      </c>
      <c r="L275" s="114" t="s">
        <v>740</v>
      </c>
      <c r="M275" s="129"/>
      <c r="N275" s="129"/>
      <c r="O275" s="129"/>
      <c r="P275" s="129"/>
      <c r="U275" s="71" t="s">
        <v>52</v>
      </c>
      <c r="W275" s="186">
        <v>17</v>
      </c>
      <c r="X275" s="102">
        <v>1</v>
      </c>
      <c r="Y275" s="164">
        <f t="shared" si="18"/>
        <v>17</v>
      </c>
      <c r="Z275" s="164" t="str">
        <f t="shared" si="17"/>
        <v/>
      </c>
    </row>
    <row r="276" spans="1:27" s="71" customFormat="1" ht="48">
      <c r="A276" s="71" t="s">
        <v>84</v>
      </c>
      <c r="B276" s="71" t="s">
        <v>759</v>
      </c>
      <c r="C276" s="71" t="s">
        <v>760</v>
      </c>
      <c r="D276" s="224" t="s">
        <v>761</v>
      </c>
      <c r="E276" s="72"/>
      <c r="F276" s="70" t="s">
        <v>737</v>
      </c>
      <c r="G276" s="70" t="s">
        <v>738</v>
      </c>
      <c r="H276" s="72"/>
      <c r="I276" s="114" t="s">
        <v>40</v>
      </c>
      <c r="J276" s="129"/>
      <c r="K276" s="129" t="s">
        <v>739</v>
      </c>
      <c r="L276" s="114" t="s">
        <v>740</v>
      </c>
      <c r="M276" s="129"/>
      <c r="N276" s="129"/>
      <c r="O276" s="129"/>
      <c r="P276" s="129"/>
      <c r="U276" s="71" t="s">
        <v>52</v>
      </c>
      <c r="W276" s="186">
        <v>17</v>
      </c>
      <c r="X276" s="102">
        <v>1</v>
      </c>
      <c r="Y276" s="164">
        <f t="shared" si="18"/>
        <v>17</v>
      </c>
      <c r="Z276" s="164" t="str">
        <f t="shared" si="17"/>
        <v/>
      </c>
    </row>
    <row r="277" spans="1:27" s="71" customFormat="1" ht="48">
      <c r="A277" s="71" t="s">
        <v>84</v>
      </c>
      <c r="B277" s="71" t="s">
        <v>762</v>
      </c>
      <c r="C277" s="71" t="s">
        <v>763</v>
      </c>
      <c r="D277" s="224" t="s">
        <v>764</v>
      </c>
      <c r="E277" s="72"/>
      <c r="F277" s="70" t="s">
        <v>737</v>
      </c>
      <c r="G277" s="70" t="s">
        <v>738</v>
      </c>
      <c r="H277" s="72"/>
      <c r="I277" s="114" t="s">
        <v>40</v>
      </c>
      <c r="J277" s="129"/>
      <c r="K277" s="129" t="s">
        <v>739</v>
      </c>
      <c r="L277" s="114" t="s">
        <v>740</v>
      </c>
      <c r="M277" s="129"/>
      <c r="N277" s="129"/>
      <c r="O277" s="129"/>
      <c r="P277" s="129"/>
      <c r="U277" s="71" t="s">
        <v>52</v>
      </c>
      <c r="W277" s="186">
        <v>17</v>
      </c>
      <c r="X277" s="102">
        <v>1</v>
      </c>
      <c r="Y277" s="164">
        <f t="shared" si="18"/>
        <v>17</v>
      </c>
      <c r="Z277" s="164" t="str">
        <f t="shared" si="17"/>
        <v/>
      </c>
    </row>
    <row r="278" spans="1:27" s="70" customFormat="1">
      <c r="A278" s="70" t="s">
        <v>149</v>
      </c>
      <c r="C278" s="71"/>
      <c r="D278" s="71"/>
      <c r="E278" s="72"/>
      <c r="H278" s="76"/>
      <c r="I278" s="114"/>
      <c r="J278" s="114"/>
      <c r="K278" s="114"/>
      <c r="L278" s="114"/>
      <c r="M278" s="114"/>
      <c r="N278" s="114"/>
      <c r="O278" s="114"/>
      <c r="P278" s="114"/>
      <c r="U278" s="70" t="s">
        <v>68</v>
      </c>
      <c r="W278" s="186">
        <v>17</v>
      </c>
      <c r="X278" s="102">
        <v>1</v>
      </c>
      <c r="Y278" s="164">
        <f t="shared" si="18"/>
        <v>17</v>
      </c>
      <c r="Z278" s="164" t="str">
        <f t="shared" si="17"/>
        <v/>
      </c>
      <c r="AA278" s="69"/>
    </row>
    <row r="279" spans="1:27" s="70" customFormat="1">
      <c r="C279" s="71"/>
      <c r="D279" s="71"/>
      <c r="E279" s="72"/>
      <c r="H279" s="76"/>
      <c r="I279" s="114"/>
      <c r="J279" s="114"/>
      <c r="K279" s="114"/>
      <c r="L279" s="114"/>
      <c r="M279" s="114"/>
      <c r="N279" s="114"/>
      <c r="O279" s="114"/>
      <c r="P279" s="114"/>
      <c r="U279" s="70" t="s">
        <v>68</v>
      </c>
      <c r="W279" s="186">
        <v>17</v>
      </c>
      <c r="X279" s="102">
        <v>1</v>
      </c>
      <c r="Y279" s="164">
        <f t="shared" si="18"/>
        <v>17</v>
      </c>
      <c r="Z279" s="164" t="str">
        <f t="shared" si="17"/>
        <v/>
      </c>
      <c r="AA279" s="69"/>
    </row>
    <row r="280" spans="1:27" s="70" customFormat="1" ht="15.95">
      <c r="A280" s="70" t="s">
        <v>69</v>
      </c>
      <c r="B280" s="70" t="s">
        <v>765</v>
      </c>
      <c r="C280" s="159" t="s">
        <v>766</v>
      </c>
      <c r="D280" s="159"/>
      <c r="E280" s="72"/>
      <c r="H280" s="76"/>
      <c r="I280" s="114"/>
      <c r="J280" s="114"/>
      <c r="K280" s="114"/>
      <c r="L280" s="114"/>
      <c r="M280" s="114"/>
      <c r="N280" s="114"/>
      <c r="O280" s="114"/>
      <c r="P280" s="114"/>
      <c r="U280" s="70" t="s">
        <v>52</v>
      </c>
      <c r="W280" s="186"/>
      <c r="X280" s="102">
        <v>1</v>
      </c>
      <c r="Y280" s="164" t="str">
        <f t="shared" si="18"/>
        <v/>
      </c>
      <c r="Z280" s="164" t="str">
        <f t="shared" si="17"/>
        <v/>
      </c>
    </row>
    <row r="281" spans="1:27" s="70" customFormat="1" ht="48">
      <c r="A281" s="70" t="s">
        <v>45</v>
      </c>
      <c r="B281" s="70" t="s">
        <v>767</v>
      </c>
      <c r="C281" s="71" t="s">
        <v>768</v>
      </c>
      <c r="D281" s="224" t="s">
        <v>769</v>
      </c>
      <c r="E281" s="72"/>
      <c r="H281" s="76"/>
      <c r="I281" s="114" t="s">
        <v>51</v>
      </c>
      <c r="J281" s="114"/>
      <c r="K281" s="114"/>
      <c r="L281" s="114"/>
      <c r="M281" s="114"/>
      <c r="N281" s="114"/>
      <c r="O281" s="114"/>
      <c r="P281" s="114"/>
      <c r="U281" s="70" t="s">
        <v>52</v>
      </c>
      <c r="W281" s="186">
        <v>17</v>
      </c>
      <c r="X281" s="102">
        <v>1</v>
      </c>
      <c r="Y281" s="164">
        <f t="shared" si="18"/>
        <v>17</v>
      </c>
      <c r="Z281" s="164" t="str">
        <f t="shared" si="17"/>
        <v/>
      </c>
    </row>
    <row r="282" spans="1:27" s="70" customFormat="1" ht="32.1">
      <c r="A282" s="70" t="s">
        <v>84</v>
      </c>
      <c r="B282" s="70" t="s">
        <v>770</v>
      </c>
      <c r="C282" s="71" t="s">
        <v>771</v>
      </c>
      <c r="D282" s="224" t="s">
        <v>772</v>
      </c>
      <c r="E282" s="72"/>
      <c r="F282" s="70" t="s">
        <v>773</v>
      </c>
      <c r="G282" s="70" t="s">
        <v>774</v>
      </c>
      <c r="H282" s="76"/>
      <c r="I282" s="114" t="s">
        <v>40</v>
      </c>
      <c r="J282" s="114"/>
      <c r="K282" s="114" t="s">
        <v>739</v>
      </c>
      <c r="L282" s="114" t="s">
        <v>740</v>
      </c>
      <c r="M282" s="114"/>
      <c r="N282" s="114"/>
      <c r="O282" s="114"/>
      <c r="P282" s="114"/>
      <c r="U282" s="70" t="s">
        <v>52</v>
      </c>
      <c r="W282" s="186">
        <v>17</v>
      </c>
      <c r="X282" s="102">
        <v>1</v>
      </c>
      <c r="Y282" s="164">
        <f t="shared" si="18"/>
        <v>17</v>
      </c>
      <c r="Z282" s="164" t="str">
        <f t="shared" ref="Z282:Z314" si="19">IF(AND(W282&lt;&gt;"",U282="yes"),W282*X282,"")</f>
        <v/>
      </c>
    </row>
    <row r="283" spans="1:27" s="70" customFormat="1" ht="32.1">
      <c r="A283" s="70" t="s">
        <v>84</v>
      </c>
      <c r="B283" s="70" t="s">
        <v>775</v>
      </c>
      <c r="C283" s="71" t="s">
        <v>776</v>
      </c>
      <c r="D283" s="224" t="s">
        <v>777</v>
      </c>
      <c r="E283" s="72"/>
      <c r="F283" s="70" t="s">
        <v>773</v>
      </c>
      <c r="G283" s="70" t="s">
        <v>774</v>
      </c>
      <c r="H283" s="76"/>
      <c r="I283" s="114" t="s">
        <v>40</v>
      </c>
      <c r="J283" s="114"/>
      <c r="K283" s="114" t="s">
        <v>739</v>
      </c>
      <c r="L283" s="114" t="s">
        <v>740</v>
      </c>
      <c r="M283" s="114"/>
      <c r="N283" s="114"/>
      <c r="O283" s="114"/>
      <c r="P283" s="114"/>
      <c r="U283" s="70" t="s">
        <v>52</v>
      </c>
      <c r="W283" s="186">
        <v>17</v>
      </c>
      <c r="X283" s="102">
        <v>1</v>
      </c>
      <c r="Y283" s="164">
        <f t="shared" si="18"/>
        <v>17</v>
      </c>
      <c r="Z283" s="164" t="str">
        <f t="shared" si="19"/>
        <v/>
      </c>
    </row>
    <row r="284" spans="1:27" s="70" customFormat="1" ht="32.1">
      <c r="A284" s="70" t="s">
        <v>84</v>
      </c>
      <c r="B284" s="70" t="s">
        <v>778</v>
      </c>
      <c r="C284" s="71" t="s">
        <v>779</v>
      </c>
      <c r="D284" s="224" t="s">
        <v>780</v>
      </c>
      <c r="E284" s="72"/>
      <c r="F284" s="70" t="s">
        <v>773</v>
      </c>
      <c r="G284" s="70" t="s">
        <v>774</v>
      </c>
      <c r="H284" s="76"/>
      <c r="I284" s="114" t="s">
        <v>40</v>
      </c>
      <c r="J284" s="114"/>
      <c r="K284" s="114" t="s">
        <v>739</v>
      </c>
      <c r="L284" s="114" t="s">
        <v>740</v>
      </c>
      <c r="M284" s="114"/>
      <c r="N284" s="114"/>
      <c r="O284" s="114"/>
      <c r="P284" s="114"/>
      <c r="U284" s="70" t="s">
        <v>52</v>
      </c>
      <c r="W284" s="186">
        <v>17</v>
      </c>
      <c r="X284" s="102">
        <v>1</v>
      </c>
      <c r="Y284" s="164">
        <f t="shared" si="18"/>
        <v>17</v>
      </c>
      <c r="Z284" s="164" t="str">
        <f t="shared" si="19"/>
        <v/>
      </c>
    </row>
    <row r="285" spans="1:27" s="70" customFormat="1" ht="32.1">
      <c r="A285" s="70" t="s">
        <v>84</v>
      </c>
      <c r="B285" s="70" t="s">
        <v>781</v>
      </c>
      <c r="C285" s="71" t="s">
        <v>782</v>
      </c>
      <c r="D285" s="224" t="s">
        <v>783</v>
      </c>
      <c r="E285" s="72"/>
      <c r="F285" s="70" t="s">
        <v>773</v>
      </c>
      <c r="G285" s="70" t="s">
        <v>774</v>
      </c>
      <c r="H285" s="76"/>
      <c r="I285" s="114" t="s">
        <v>40</v>
      </c>
      <c r="J285" s="114"/>
      <c r="K285" s="114" t="s">
        <v>739</v>
      </c>
      <c r="L285" s="114" t="s">
        <v>740</v>
      </c>
      <c r="M285" s="114"/>
      <c r="N285" s="114"/>
      <c r="O285" s="114"/>
      <c r="P285" s="114"/>
      <c r="U285" s="70" t="s">
        <v>52</v>
      </c>
      <c r="W285" s="186">
        <v>17</v>
      </c>
      <c r="X285" s="102">
        <v>1</v>
      </c>
      <c r="Y285" s="164">
        <f t="shared" si="18"/>
        <v>17</v>
      </c>
      <c r="Z285" s="164" t="str">
        <f t="shared" si="19"/>
        <v/>
      </c>
    </row>
    <row r="286" spans="1:27" s="70" customFormat="1" ht="32.1">
      <c r="A286" s="70" t="s">
        <v>84</v>
      </c>
      <c r="B286" s="70" t="s">
        <v>784</v>
      </c>
      <c r="C286" s="71" t="s">
        <v>785</v>
      </c>
      <c r="D286" s="302" t="s">
        <v>786</v>
      </c>
      <c r="E286" s="72"/>
      <c r="F286" s="70" t="s">
        <v>773</v>
      </c>
      <c r="G286" s="70" t="s">
        <v>774</v>
      </c>
      <c r="H286" s="76"/>
      <c r="I286" s="114" t="s">
        <v>40</v>
      </c>
      <c r="J286" s="114"/>
      <c r="K286" s="114" t="s">
        <v>739</v>
      </c>
      <c r="L286" s="114" t="s">
        <v>740</v>
      </c>
      <c r="M286" s="114"/>
      <c r="N286" s="114"/>
      <c r="O286" s="114"/>
      <c r="P286" s="114"/>
      <c r="U286" s="70" t="s">
        <v>52</v>
      </c>
      <c r="W286" s="186">
        <v>17</v>
      </c>
      <c r="X286" s="102">
        <v>1</v>
      </c>
      <c r="Y286" s="164">
        <f t="shared" si="18"/>
        <v>17</v>
      </c>
      <c r="Z286" s="164" t="str">
        <f t="shared" si="19"/>
        <v/>
      </c>
    </row>
    <row r="287" spans="1:27" s="70" customFormat="1">
      <c r="A287" s="70" t="s">
        <v>149</v>
      </c>
      <c r="C287" s="71"/>
      <c r="D287" s="71"/>
      <c r="E287" s="72"/>
      <c r="H287" s="76"/>
      <c r="I287" s="114"/>
      <c r="J287" s="114"/>
      <c r="K287" s="114"/>
      <c r="L287" s="114"/>
      <c r="M287" s="114"/>
      <c r="N287" s="114"/>
      <c r="O287" s="114"/>
      <c r="P287" s="114"/>
      <c r="U287" s="70" t="s">
        <v>68</v>
      </c>
      <c r="W287" s="186" t="s">
        <v>68</v>
      </c>
      <c r="X287" s="102">
        <v>1</v>
      </c>
      <c r="Y287" s="164" t="str">
        <f t="shared" si="18"/>
        <v/>
      </c>
      <c r="Z287" s="164" t="str">
        <f t="shared" si="19"/>
        <v/>
      </c>
    </row>
    <row r="288" spans="1:27" s="70" customFormat="1">
      <c r="C288" s="71"/>
      <c r="D288" s="71"/>
      <c r="E288" s="72"/>
      <c r="H288" s="76"/>
      <c r="I288" s="114"/>
      <c r="J288" s="114"/>
      <c r="K288" s="114"/>
      <c r="L288" s="114"/>
      <c r="M288" s="114"/>
      <c r="N288" s="114"/>
      <c r="O288" s="114"/>
      <c r="P288" s="114"/>
      <c r="U288" s="70" t="s">
        <v>68</v>
      </c>
      <c r="W288" s="186" t="s">
        <v>68</v>
      </c>
      <c r="X288" s="102">
        <v>1</v>
      </c>
      <c r="Y288" s="164" t="str">
        <f t="shared" si="18"/>
        <v/>
      </c>
      <c r="Z288" s="164" t="str">
        <f t="shared" si="19"/>
        <v/>
      </c>
    </row>
    <row r="289" spans="1:27" ht="15.95" thickBot="1">
      <c r="A289" s="95" t="s">
        <v>149</v>
      </c>
      <c r="B289" s="95"/>
      <c r="C289" s="96"/>
      <c r="D289" s="96"/>
      <c r="E289" s="105"/>
      <c r="F289" s="95"/>
      <c r="G289" s="95"/>
      <c r="H289" s="106"/>
      <c r="I289" s="126"/>
      <c r="J289" s="126"/>
      <c r="K289" s="126"/>
      <c r="L289" s="126"/>
      <c r="M289" s="126"/>
      <c r="N289" s="126"/>
      <c r="O289" s="126"/>
      <c r="P289" s="126"/>
      <c r="W289" s="186"/>
      <c r="Y289" s="164" t="str">
        <f t="shared" si="18"/>
        <v/>
      </c>
      <c r="Z289" s="164" t="str">
        <f t="shared" si="19"/>
        <v/>
      </c>
    </row>
    <row r="290" spans="1:27" s="66" customFormat="1" ht="15" customHeight="1" thickTop="1">
      <c r="A290" s="63" t="s">
        <v>69</v>
      </c>
      <c r="B290" s="63" t="s">
        <v>787</v>
      </c>
      <c r="C290" s="87" t="s">
        <v>788</v>
      </c>
      <c r="D290" s="87" t="s">
        <v>789</v>
      </c>
      <c r="E290" s="64"/>
      <c r="F290" s="63"/>
      <c r="G290" s="63"/>
      <c r="H290" s="65"/>
      <c r="I290" s="118" t="s">
        <v>51</v>
      </c>
      <c r="J290" s="118"/>
      <c r="K290" s="118"/>
      <c r="L290" s="118"/>
      <c r="M290" s="118" t="s">
        <v>790</v>
      </c>
      <c r="N290" s="118"/>
      <c r="O290" s="118"/>
      <c r="P290" s="118"/>
      <c r="U290" s="41" t="s">
        <v>42</v>
      </c>
      <c r="W290" s="186"/>
      <c r="X290" s="67"/>
      <c r="Y290" s="164" t="str">
        <f t="shared" si="18"/>
        <v/>
      </c>
      <c r="Z290" s="164" t="str">
        <f t="shared" si="19"/>
        <v/>
      </c>
      <c r="AA290" s="67"/>
    </row>
    <row r="291" spans="1:27" s="66" customFormat="1" ht="15" customHeight="1">
      <c r="C291" s="88"/>
      <c r="D291" s="88"/>
      <c r="E291" s="64"/>
      <c r="H291" s="65"/>
      <c r="I291" s="119"/>
      <c r="J291" s="119"/>
      <c r="K291" s="119"/>
      <c r="L291" s="119"/>
      <c r="M291" s="119"/>
      <c r="N291" s="119"/>
      <c r="O291" s="119"/>
      <c r="P291" s="119"/>
      <c r="U291" s="41" t="s">
        <v>68</v>
      </c>
      <c r="W291" s="186" t="s">
        <v>68</v>
      </c>
      <c r="X291" s="102">
        <v>1</v>
      </c>
      <c r="Y291" s="164" t="str">
        <f t="shared" si="18"/>
        <v/>
      </c>
      <c r="Z291" s="164" t="str">
        <f t="shared" si="19"/>
        <v/>
      </c>
      <c r="AA291" s="67"/>
    </row>
    <row r="292" spans="1:27" ht="32.1">
      <c r="A292" s="68" t="s">
        <v>143</v>
      </c>
      <c r="B292" s="68" t="s">
        <v>791</v>
      </c>
      <c r="C292" s="40" t="s">
        <v>792</v>
      </c>
      <c r="D292" s="74" t="s">
        <v>793</v>
      </c>
      <c r="E292" s="81"/>
      <c r="F292" s="68"/>
      <c r="G292" s="68"/>
      <c r="H292" s="82"/>
      <c r="I292" s="113" t="s">
        <v>40</v>
      </c>
      <c r="J292" s="113"/>
      <c r="K292" s="113"/>
      <c r="L292" s="113"/>
      <c r="M292" s="113"/>
      <c r="N292" s="113"/>
      <c r="O292" s="113"/>
      <c r="P292" s="113"/>
      <c r="U292" s="41" t="s">
        <v>42</v>
      </c>
      <c r="W292" s="186">
        <v>19.828245162963867</v>
      </c>
      <c r="X292" s="102">
        <v>1</v>
      </c>
      <c r="Y292" s="164">
        <f t="shared" si="18"/>
        <v>19.828245162963867</v>
      </c>
      <c r="Z292" s="164">
        <f t="shared" si="19"/>
        <v>19.828245162963867</v>
      </c>
    </row>
    <row r="293" spans="1:27" ht="48">
      <c r="A293" s="68" t="s">
        <v>794</v>
      </c>
      <c r="B293" s="68" t="s">
        <v>795</v>
      </c>
      <c r="C293" s="40" t="s">
        <v>796</v>
      </c>
      <c r="D293" s="74" t="s">
        <v>797</v>
      </c>
      <c r="E293" s="81"/>
      <c r="F293" s="68" t="s">
        <v>798</v>
      </c>
      <c r="G293" s="73" t="s">
        <v>799</v>
      </c>
      <c r="H293" s="82"/>
      <c r="I293" s="113" t="s">
        <v>40</v>
      </c>
      <c r="J293" s="113"/>
      <c r="K293" s="115" t="s">
        <v>465</v>
      </c>
      <c r="L293" s="113"/>
      <c r="M293" s="113" t="s">
        <v>800</v>
      </c>
      <c r="N293" s="113"/>
      <c r="O293" s="113"/>
      <c r="P293" s="113"/>
      <c r="U293" s="41" t="s">
        <v>42</v>
      </c>
      <c r="W293" s="186">
        <v>49.529693603515625</v>
      </c>
      <c r="X293" s="102">
        <v>1</v>
      </c>
      <c r="Y293" s="164">
        <f t="shared" si="18"/>
        <v>49.529693603515625</v>
      </c>
      <c r="Z293" s="164">
        <f t="shared" si="19"/>
        <v>49.529693603515625</v>
      </c>
    </row>
    <row r="294" spans="1:27" ht="15.95">
      <c r="A294" s="68" t="s">
        <v>73</v>
      </c>
      <c r="B294" s="68" t="s">
        <v>801</v>
      </c>
      <c r="C294" s="74" t="s">
        <v>331</v>
      </c>
      <c r="D294" s="43" t="s">
        <v>332</v>
      </c>
      <c r="E294" s="92"/>
      <c r="F294" s="69" t="s">
        <v>333</v>
      </c>
      <c r="G294" s="69" t="s">
        <v>334</v>
      </c>
      <c r="H294" s="82"/>
      <c r="I294" s="113" t="s">
        <v>40</v>
      </c>
      <c r="J294" s="113"/>
      <c r="K294" s="113"/>
      <c r="L294" s="113"/>
      <c r="M294" s="113" t="s">
        <v>802</v>
      </c>
      <c r="N294" s="113"/>
      <c r="O294" s="113"/>
      <c r="P294" s="113"/>
      <c r="U294" s="41" t="s">
        <v>42</v>
      </c>
      <c r="W294" s="186"/>
      <c r="X294" s="102">
        <v>1</v>
      </c>
      <c r="Y294" s="164" t="str">
        <f t="shared" si="18"/>
        <v/>
      </c>
      <c r="Z294" s="164" t="str">
        <f t="shared" si="19"/>
        <v/>
      </c>
    </row>
    <row r="295" spans="1:27">
      <c r="D295" s="43"/>
      <c r="E295" s="81"/>
      <c r="G295" s="69"/>
      <c r="H295" s="82"/>
      <c r="U295" s="41" t="s">
        <v>68</v>
      </c>
      <c r="W295" s="186" t="s">
        <v>68</v>
      </c>
      <c r="X295" s="102">
        <v>1</v>
      </c>
      <c r="Y295" s="164" t="str">
        <f t="shared" si="18"/>
        <v/>
      </c>
      <c r="Z295" s="164" t="str">
        <f t="shared" si="19"/>
        <v/>
      </c>
    </row>
    <row r="296" spans="1:27" s="69" customFormat="1" ht="32.1">
      <c r="A296" s="73" t="s">
        <v>803</v>
      </c>
      <c r="B296" s="73" t="s">
        <v>804</v>
      </c>
      <c r="C296" s="74" t="s">
        <v>805</v>
      </c>
      <c r="D296" s="74" t="s">
        <v>806</v>
      </c>
      <c r="E296" s="92"/>
      <c r="F296" s="73" t="s">
        <v>807</v>
      </c>
      <c r="G296" s="73" t="s">
        <v>808</v>
      </c>
      <c r="H296" s="94"/>
      <c r="I296" s="115" t="s">
        <v>40</v>
      </c>
      <c r="J296" s="115"/>
      <c r="K296" s="115" t="s">
        <v>809</v>
      </c>
      <c r="L296" s="115"/>
      <c r="M296" s="115"/>
      <c r="N296" s="115"/>
      <c r="O296" s="115"/>
      <c r="P296" s="115"/>
      <c r="U296" s="69" t="s">
        <v>52</v>
      </c>
      <c r="W296" s="186">
        <v>22.029750823974609</v>
      </c>
      <c r="X296" s="102">
        <v>1</v>
      </c>
      <c r="Y296" s="164">
        <f t="shared" si="18"/>
        <v>22.029750823974609</v>
      </c>
      <c r="Z296" s="164" t="str">
        <f t="shared" si="19"/>
        <v/>
      </c>
    </row>
    <row r="297" spans="1:27" s="69" customFormat="1" ht="15.95">
      <c r="A297" s="73" t="s">
        <v>73</v>
      </c>
      <c r="B297" s="73" t="s">
        <v>810</v>
      </c>
      <c r="C297" s="74" t="s">
        <v>331</v>
      </c>
      <c r="D297" s="43" t="s">
        <v>332</v>
      </c>
      <c r="E297" s="92"/>
      <c r="F297" s="73" t="s">
        <v>333</v>
      </c>
      <c r="G297" s="69" t="s">
        <v>334</v>
      </c>
      <c r="H297" s="94"/>
      <c r="I297" s="115" t="s">
        <v>40</v>
      </c>
      <c r="J297" s="115"/>
      <c r="K297" s="115"/>
      <c r="L297" s="115"/>
      <c r="M297" s="115" t="s">
        <v>811</v>
      </c>
      <c r="N297" s="115"/>
      <c r="O297" s="115"/>
      <c r="P297" s="115"/>
      <c r="U297" s="69" t="s">
        <v>52</v>
      </c>
      <c r="W297" s="186"/>
      <c r="X297" s="102">
        <v>1</v>
      </c>
      <c r="Y297" s="164" t="str">
        <f t="shared" si="18"/>
        <v/>
      </c>
      <c r="Z297" s="164" t="str">
        <f t="shared" si="19"/>
        <v/>
      </c>
    </row>
    <row r="298" spans="1:27" s="69" customFormat="1" ht="15.95">
      <c r="A298" s="73" t="s">
        <v>812</v>
      </c>
      <c r="B298" s="73" t="s">
        <v>813</v>
      </c>
      <c r="C298" s="74" t="s">
        <v>814</v>
      </c>
      <c r="D298" s="74" t="s">
        <v>815</v>
      </c>
      <c r="E298" s="92"/>
      <c r="F298" s="73" t="s">
        <v>816</v>
      </c>
      <c r="G298" s="73" t="s">
        <v>817</v>
      </c>
      <c r="H298" s="94"/>
      <c r="I298" s="115" t="s">
        <v>40</v>
      </c>
      <c r="J298" s="115"/>
      <c r="K298" s="115"/>
      <c r="L298" s="115"/>
      <c r="M298" s="115" t="s">
        <v>818</v>
      </c>
      <c r="N298" s="115"/>
      <c r="O298" s="115"/>
      <c r="P298" s="115"/>
      <c r="U298" s="69" t="s">
        <v>52</v>
      </c>
      <c r="W298" s="186">
        <v>17</v>
      </c>
      <c r="X298" s="102">
        <v>1</v>
      </c>
      <c r="Y298" s="164">
        <f t="shared" si="18"/>
        <v>17</v>
      </c>
      <c r="Z298" s="164" t="str">
        <f t="shared" si="19"/>
        <v/>
      </c>
    </row>
    <row r="299" spans="1:27" s="70" customFormat="1">
      <c r="C299" s="71"/>
      <c r="D299" s="71"/>
      <c r="E299" s="72"/>
      <c r="H299" s="76"/>
      <c r="I299" s="114"/>
      <c r="J299" s="114"/>
      <c r="K299" s="114"/>
      <c r="L299" s="114"/>
      <c r="M299" s="114"/>
      <c r="N299" s="114"/>
      <c r="O299" s="114"/>
      <c r="P299" s="114"/>
      <c r="R299" s="41"/>
      <c r="U299" s="70" t="s">
        <v>68</v>
      </c>
      <c r="W299" s="186" t="s">
        <v>68</v>
      </c>
      <c r="X299" s="102">
        <v>1</v>
      </c>
      <c r="Y299" s="164" t="str">
        <f t="shared" si="18"/>
        <v/>
      </c>
      <c r="Z299" s="164" t="str">
        <f t="shared" si="19"/>
        <v/>
      </c>
      <c r="AA299" s="69"/>
    </row>
    <row r="300" spans="1:27" s="70" customFormat="1" ht="15.95">
      <c r="A300" s="70" t="s">
        <v>819</v>
      </c>
      <c r="B300" s="70" t="s">
        <v>820</v>
      </c>
      <c r="C300" s="71" t="s">
        <v>821</v>
      </c>
      <c r="D300" s="71" t="s">
        <v>822</v>
      </c>
      <c r="E300" s="72"/>
      <c r="F300" s="70" t="s">
        <v>823</v>
      </c>
      <c r="G300" s="70" t="s">
        <v>329</v>
      </c>
      <c r="H300" s="76"/>
      <c r="I300" s="114" t="s">
        <v>40</v>
      </c>
      <c r="J300" s="114"/>
      <c r="K300" s="125" t="s">
        <v>465</v>
      </c>
      <c r="L300" s="114"/>
      <c r="M300" s="125" t="s">
        <v>818</v>
      </c>
      <c r="N300" s="114"/>
      <c r="O300" s="114"/>
      <c r="P300" s="114"/>
      <c r="R300" s="41"/>
      <c r="W300" s="186"/>
      <c r="X300" s="102"/>
      <c r="Y300" s="164"/>
      <c r="Z300" s="164"/>
      <c r="AA300" s="69"/>
    </row>
    <row r="301" spans="1:27" s="70" customFormat="1">
      <c r="C301" s="71"/>
      <c r="D301" s="71"/>
      <c r="E301" s="72"/>
      <c r="H301" s="76"/>
      <c r="I301" s="114"/>
      <c r="J301" s="114"/>
      <c r="K301" s="114"/>
      <c r="L301" s="114"/>
      <c r="M301" s="114"/>
      <c r="N301" s="114"/>
      <c r="O301" s="114"/>
      <c r="P301" s="114"/>
      <c r="R301" s="41"/>
      <c r="W301" s="186"/>
      <c r="X301" s="102"/>
      <c r="Y301" s="164"/>
      <c r="Z301" s="164"/>
      <c r="AA301" s="69"/>
    </row>
    <row r="302" spans="1:27" ht="15.95" thickBot="1">
      <c r="A302" s="95" t="s">
        <v>149</v>
      </c>
      <c r="B302" s="95"/>
      <c r="C302" s="96"/>
      <c r="D302" s="96"/>
      <c r="E302" s="105"/>
      <c r="F302" s="95"/>
      <c r="G302" s="95"/>
      <c r="H302" s="106"/>
      <c r="I302" s="126"/>
      <c r="J302" s="126"/>
      <c r="K302" s="126"/>
      <c r="L302" s="126"/>
      <c r="M302" s="126"/>
      <c r="N302" s="126"/>
      <c r="O302" s="126"/>
      <c r="P302" s="126"/>
      <c r="U302" s="41" t="s">
        <v>68</v>
      </c>
      <c r="W302" s="186" t="s">
        <v>68</v>
      </c>
      <c r="Y302" s="164" t="str">
        <f t="shared" si="18"/>
        <v/>
      </c>
      <c r="Z302" s="164" t="str">
        <f t="shared" si="19"/>
        <v/>
      </c>
    </row>
    <row r="303" spans="1:27" s="66" customFormat="1" ht="17.100000000000001" thickTop="1">
      <c r="A303" s="63" t="s">
        <v>69</v>
      </c>
      <c r="B303" s="63" t="s">
        <v>824</v>
      </c>
      <c r="C303" s="87" t="s">
        <v>825</v>
      </c>
      <c r="D303" s="87" t="s">
        <v>826</v>
      </c>
      <c r="E303" s="64"/>
      <c r="F303" s="63"/>
      <c r="G303" s="63"/>
      <c r="H303" s="65"/>
      <c r="I303" s="118" t="s">
        <v>51</v>
      </c>
      <c r="J303" s="118"/>
      <c r="K303" s="118"/>
      <c r="L303" s="118"/>
      <c r="M303" s="118" t="s">
        <v>153</v>
      </c>
      <c r="N303" s="118"/>
      <c r="O303" s="118"/>
      <c r="P303" s="118"/>
      <c r="U303" s="41" t="s">
        <v>42</v>
      </c>
      <c r="W303" s="186"/>
      <c r="X303" s="167"/>
      <c r="Y303" s="164" t="str">
        <f t="shared" si="18"/>
        <v/>
      </c>
      <c r="Z303" s="164" t="str">
        <f t="shared" si="19"/>
        <v/>
      </c>
      <c r="AA303" s="67"/>
    </row>
    <row r="304" spans="1:27" s="66" customFormat="1">
      <c r="C304" s="88"/>
      <c r="D304" s="88"/>
      <c r="E304" s="64"/>
      <c r="H304" s="65"/>
      <c r="I304" s="119"/>
      <c r="J304" s="119"/>
      <c r="K304" s="119"/>
      <c r="L304" s="119"/>
      <c r="M304" s="119"/>
      <c r="N304" s="119"/>
      <c r="O304" s="119"/>
      <c r="P304" s="119"/>
      <c r="U304" s="41" t="s">
        <v>68</v>
      </c>
      <c r="W304" s="186" t="s">
        <v>68</v>
      </c>
      <c r="X304" s="102">
        <v>1</v>
      </c>
      <c r="Y304" s="164" t="str">
        <f t="shared" si="18"/>
        <v/>
      </c>
      <c r="Z304" s="164" t="str">
        <f t="shared" si="19"/>
        <v/>
      </c>
      <c r="AA304" s="67"/>
    </row>
    <row r="305" spans="1:27" ht="32.1">
      <c r="A305" s="68" t="s">
        <v>53</v>
      </c>
      <c r="B305" s="68" t="s">
        <v>827</v>
      </c>
      <c r="C305" s="40" t="s">
        <v>828</v>
      </c>
      <c r="D305" s="291" t="s">
        <v>829</v>
      </c>
      <c r="E305" s="81"/>
      <c r="F305" s="68"/>
      <c r="G305" s="68"/>
      <c r="H305" s="82"/>
      <c r="I305" s="113" t="s">
        <v>40</v>
      </c>
      <c r="J305" s="113"/>
      <c r="K305" s="113"/>
      <c r="L305" s="113"/>
      <c r="M305" s="113"/>
      <c r="N305" s="113"/>
      <c r="O305" s="113"/>
      <c r="P305" s="113"/>
      <c r="U305" s="41" t="s">
        <v>42</v>
      </c>
      <c r="W305" s="186">
        <v>36.783046722412109</v>
      </c>
      <c r="X305" s="102">
        <v>1</v>
      </c>
      <c r="Y305" s="164">
        <f t="shared" si="18"/>
        <v>36.783046722412109</v>
      </c>
      <c r="Z305" s="164">
        <f t="shared" si="19"/>
        <v>36.783046722412109</v>
      </c>
    </row>
    <row r="306" spans="1:27">
      <c r="D306" s="300"/>
      <c r="E306" s="81"/>
      <c r="H306" s="82"/>
      <c r="U306" s="41" t="s">
        <v>68</v>
      </c>
      <c r="W306" s="186" t="s">
        <v>68</v>
      </c>
      <c r="X306" s="102">
        <v>1</v>
      </c>
      <c r="Y306" s="164" t="str">
        <f t="shared" si="18"/>
        <v/>
      </c>
      <c r="Z306" s="164" t="str">
        <f t="shared" si="19"/>
        <v/>
      </c>
    </row>
    <row r="307" spans="1:27" s="70" customFormat="1" ht="15.95">
      <c r="A307" s="154" t="s">
        <v>830</v>
      </c>
      <c r="B307" s="154" t="s">
        <v>831</v>
      </c>
      <c r="C307" s="174" t="s">
        <v>832</v>
      </c>
      <c r="D307" s="303" t="s">
        <v>833</v>
      </c>
      <c r="E307" s="157"/>
      <c r="F307" s="154" t="s">
        <v>834</v>
      </c>
      <c r="G307" s="154" t="s">
        <v>329</v>
      </c>
      <c r="H307" s="158"/>
      <c r="I307" s="153" t="s">
        <v>40</v>
      </c>
      <c r="J307" s="153"/>
      <c r="K307" s="130"/>
      <c r="L307" s="153"/>
      <c r="M307" s="153" t="s">
        <v>835</v>
      </c>
      <c r="N307" s="123"/>
      <c r="O307" s="123"/>
      <c r="P307" s="123"/>
      <c r="U307" s="156" t="s">
        <v>103</v>
      </c>
      <c r="W307" s="186">
        <v>10</v>
      </c>
      <c r="X307" s="102">
        <v>1</v>
      </c>
      <c r="Y307" s="164">
        <f t="shared" si="18"/>
        <v>10</v>
      </c>
      <c r="Z307" s="164" t="str">
        <f t="shared" si="19"/>
        <v/>
      </c>
      <c r="AA307" s="69"/>
    </row>
    <row r="308" spans="1:27" s="70" customFormat="1" ht="15.95">
      <c r="A308" s="154" t="s">
        <v>836</v>
      </c>
      <c r="B308" s="154" t="s">
        <v>837</v>
      </c>
      <c r="C308" s="174" t="s">
        <v>838</v>
      </c>
      <c r="D308" s="303" t="s">
        <v>839</v>
      </c>
      <c r="E308" s="157"/>
      <c r="F308" s="154" t="s">
        <v>834</v>
      </c>
      <c r="G308" s="154" t="s">
        <v>329</v>
      </c>
      <c r="H308" s="158"/>
      <c r="I308" s="153" t="s">
        <v>40</v>
      </c>
      <c r="J308" s="153"/>
      <c r="K308" s="130"/>
      <c r="L308" s="153"/>
      <c r="M308" s="153" t="s">
        <v>835</v>
      </c>
      <c r="N308" s="123"/>
      <c r="O308" s="123"/>
      <c r="P308" s="123"/>
      <c r="U308" s="156" t="s">
        <v>103</v>
      </c>
      <c r="W308" s="186">
        <v>10</v>
      </c>
      <c r="X308" s="102">
        <v>1</v>
      </c>
      <c r="Y308" s="164">
        <f t="shared" si="18"/>
        <v>10</v>
      </c>
      <c r="Z308" s="164" t="str">
        <f t="shared" si="19"/>
        <v/>
      </c>
      <c r="AA308" s="69"/>
    </row>
    <row r="309" spans="1:27" s="70" customFormat="1">
      <c r="C309" s="71"/>
      <c r="D309" s="287"/>
      <c r="E309" s="72"/>
      <c r="H309" s="76"/>
      <c r="I309" s="114"/>
      <c r="J309" s="114"/>
      <c r="K309" s="114"/>
      <c r="L309" s="114"/>
      <c r="M309" s="114"/>
      <c r="N309" s="114"/>
      <c r="O309" s="114"/>
      <c r="P309" s="114"/>
      <c r="U309" s="70" t="s">
        <v>68</v>
      </c>
      <c r="W309" s="186" t="s">
        <v>68</v>
      </c>
      <c r="X309" s="102">
        <v>1</v>
      </c>
      <c r="Y309" s="164" t="str">
        <f t="shared" si="18"/>
        <v/>
      </c>
      <c r="Z309" s="164" t="str">
        <f t="shared" si="19"/>
        <v/>
      </c>
      <c r="AA309" s="69"/>
    </row>
    <row r="310" spans="1:27" ht="15.95">
      <c r="A310" s="68" t="s">
        <v>840</v>
      </c>
      <c r="B310" s="68" t="s">
        <v>841</v>
      </c>
      <c r="C310" s="40" t="s">
        <v>842</v>
      </c>
      <c r="D310" s="298" t="s">
        <v>843</v>
      </c>
      <c r="E310" s="81"/>
      <c r="F310" s="68"/>
      <c r="G310" s="68"/>
      <c r="H310" s="82"/>
      <c r="I310" s="113" t="s">
        <v>40</v>
      </c>
      <c r="J310" s="113"/>
      <c r="K310" s="113"/>
      <c r="L310" s="113"/>
      <c r="M310" s="113"/>
      <c r="N310" s="113"/>
      <c r="O310" s="113"/>
      <c r="P310" s="113"/>
      <c r="U310" s="41" t="s">
        <v>42</v>
      </c>
      <c r="W310" s="186">
        <v>3</v>
      </c>
      <c r="X310" s="102">
        <v>1</v>
      </c>
      <c r="Y310" s="164">
        <f t="shared" si="18"/>
        <v>3</v>
      </c>
      <c r="Z310" s="164">
        <f t="shared" si="19"/>
        <v>3</v>
      </c>
    </row>
    <row r="311" spans="1:27">
      <c r="D311" s="294"/>
      <c r="E311" s="81"/>
      <c r="H311" s="82"/>
      <c r="U311" s="41" t="s">
        <v>68</v>
      </c>
      <c r="W311" s="186" t="s">
        <v>68</v>
      </c>
      <c r="X311" s="102">
        <v>1</v>
      </c>
      <c r="Y311" s="164" t="str">
        <f t="shared" si="18"/>
        <v/>
      </c>
      <c r="Z311" s="164" t="str">
        <f t="shared" si="19"/>
        <v/>
      </c>
    </row>
    <row r="312" spans="1:27" ht="15.95">
      <c r="A312" s="68" t="s">
        <v>45</v>
      </c>
      <c r="B312" s="68" t="s">
        <v>844</v>
      </c>
      <c r="C312" s="40" t="s">
        <v>845</v>
      </c>
      <c r="D312" s="295" t="s">
        <v>846</v>
      </c>
      <c r="E312" s="81"/>
      <c r="F312" s="68"/>
      <c r="G312" s="68"/>
      <c r="H312" s="82"/>
      <c r="I312" s="113" t="s">
        <v>51</v>
      </c>
      <c r="J312" s="113"/>
      <c r="K312" s="113"/>
      <c r="L312" s="113"/>
      <c r="M312" s="113"/>
      <c r="N312" s="113"/>
      <c r="O312" s="113"/>
      <c r="P312" s="113"/>
      <c r="U312" s="41" t="s">
        <v>52</v>
      </c>
      <c r="W312" s="186">
        <v>0</v>
      </c>
      <c r="X312" s="102">
        <v>1</v>
      </c>
      <c r="Y312" s="164">
        <f t="shared" si="18"/>
        <v>0</v>
      </c>
      <c r="Z312" s="164" t="str">
        <f t="shared" si="19"/>
        <v/>
      </c>
    </row>
    <row r="313" spans="1:27">
      <c r="E313" s="81"/>
      <c r="H313" s="82"/>
      <c r="W313" s="186" t="s">
        <v>68</v>
      </c>
      <c r="X313" s="102">
        <v>1</v>
      </c>
      <c r="Y313" s="164" t="str">
        <f t="shared" si="18"/>
        <v/>
      </c>
      <c r="Z313" s="164" t="str">
        <f t="shared" si="19"/>
        <v/>
      </c>
    </row>
    <row r="314" spans="1:27" ht="15.95" thickBot="1">
      <c r="A314" s="95" t="s">
        <v>149</v>
      </c>
      <c r="B314" s="95"/>
      <c r="C314" s="96"/>
      <c r="D314" s="96"/>
      <c r="E314" s="105"/>
      <c r="F314" s="95"/>
      <c r="G314" s="95"/>
      <c r="H314" s="106"/>
      <c r="I314" s="126"/>
      <c r="J314" s="126"/>
      <c r="K314" s="126"/>
      <c r="L314" s="126"/>
      <c r="M314" s="126"/>
      <c r="N314" s="126"/>
      <c r="O314" s="126"/>
      <c r="P314" s="126"/>
      <c r="W314" s="186" t="s">
        <v>68</v>
      </c>
      <c r="Y314" s="164" t="str">
        <f t="shared" si="18"/>
        <v/>
      </c>
      <c r="Z314" s="164" t="str">
        <f t="shared" si="19"/>
        <v/>
      </c>
    </row>
    <row r="315" spans="1:27" s="70" customFormat="1" ht="15.95" thickTop="1">
      <c r="C315" s="71"/>
      <c r="D315" s="71"/>
      <c r="E315" s="71"/>
      <c r="I315" s="114"/>
      <c r="J315" s="114"/>
      <c r="K315" s="114"/>
      <c r="L315" s="114"/>
      <c r="M315" s="114"/>
      <c r="N315" s="114"/>
      <c r="O315" s="114"/>
      <c r="P315" s="114"/>
      <c r="W315" s="186"/>
      <c r="X315" s="169"/>
      <c r="Y315" s="168"/>
    </row>
    <row r="316" spans="1:27" ht="15.95">
      <c r="A316" s="68" t="s">
        <v>847</v>
      </c>
      <c r="B316" s="68" t="s">
        <v>848</v>
      </c>
      <c r="C316" s="40" t="s">
        <v>849</v>
      </c>
      <c r="D316" s="304" t="s">
        <v>850</v>
      </c>
      <c r="F316" s="68"/>
      <c r="G316" s="68"/>
      <c r="I316" s="113" t="s">
        <v>40</v>
      </c>
      <c r="J316" s="113"/>
      <c r="K316" s="113"/>
      <c r="L316" s="113"/>
      <c r="M316" s="113" t="s">
        <v>63</v>
      </c>
      <c r="N316" s="113"/>
      <c r="O316" s="113"/>
      <c r="P316" s="113"/>
      <c r="U316" s="41" t="s">
        <v>52</v>
      </c>
      <c r="W316" s="186"/>
      <c r="Y316" s="164"/>
    </row>
    <row r="317" spans="1:27" ht="32.1">
      <c r="A317" s="68" t="s">
        <v>57</v>
      </c>
      <c r="B317" s="68" t="s">
        <v>851</v>
      </c>
      <c r="C317" s="40" t="s">
        <v>852</v>
      </c>
      <c r="D317" s="304" t="s">
        <v>853</v>
      </c>
      <c r="E317" s="182"/>
      <c r="F317" s="68"/>
      <c r="G317" s="68"/>
      <c r="H317" s="183"/>
      <c r="I317" s="113" t="s">
        <v>854</v>
      </c>
      <c r="J317" s="113"/>
      <c r="K317" s="113"/>
      <c r="L317" s="113"/>
      <c r="M317" s="113" t="s">
        <v>855</v>
      </c>
      <c r="N317" s="113"/>
      <c r="O317" s="113"/>
      <c r="P317" s="113"/>
      <c r="W317" s="186"/>
      <c r="Y317" s="164"/>
    </row>
    <row r="318" spans="1:27" s="70" customFormat="1" ht="15.95">
      <c r="A318" s="70" t="s">
        <v>73</v>
      </c>
      <c r="B318" s="70" t="s">
        <v>856</v>
      </c>
      <c r="C318" s="71" t="s">
        <v>857</v>
      </c>
      <c r="D318" s="305" t="s">
        <v>858</v>
      </c>
      <c r="E318" s="72"/>
      <c r="F318" s="70" t="s">
        <v>859</v>
      </c>
      <c r="G318" s="70" t="s">
        <v>860</v>
      </c>
      <c r="H318" s="76"/>
      <c r="I318" s="114" t="s">
        <v>51</v>
      </c>
      <c r="J318" s="114"/>
      <c r="K318" s="114"/>
      <c r="L318" s="114"/>
      <c r="M318" s="114"/>
      <c r="N318" s="114"/>
      <c r="O318" s="114"/>
      <c r="P318" s="114"/>
      <c r="U318" s="70" t="s">
        <v>52</v>
      </c>
      <c r="W318" s="186"/>
      <c r="X318" s="102"/>
      <c r="Y318" s="164"/>
      <c r="Z318" s="164" t="str">
        <f>IF(AND(W318&lt;&gt;"",U318="yes"),W318*X318,"")</f>
        <v/>
      </c>
    </row>
    <row r="319" spans="1:27">
      <c r="A319" s="68" t="s">
        <v>26</v>
      </c>
      <c r="B319" s="68" t="s">
        <v>861</v>
      </c>
      <c r="C319" s="40"/>
      <c r="D319" s="40"/>
      <c r="F319" s="68"/>
      <c r="G319" s="68"/>
      <c r="I319" s="113" t="s">
        <v>51</v>
      </c>
      <c r="J319" s="113"/>
      <c r="K319" s="113"/>
      <c r="L319" s="113"/>
      <c r="M319" s="113"/>
      <c r="N319" s="113"/>
      <c r="O319" s="113"/>
      <c r="P319" s="113" t="s">
        <v>862</v>
      </c>
      <c r="U319" s="41" t="s">
        <v>52</v>
      </c>
      <c r="W319" s="186"/>
    </row>
    <row r="320" spans="1:27">
      <c r="W320" s="186"/>
    </row>
    <row r="324" spans="19:26" ht="15.95" thickBot="1"/>
    <row r="325" spans="19:26" ht="17.100000000000001" thickBot="1">
      <c r="S325" s="195" t="s">
        <v>863</v>
      </c>
      <c r="T325" s="196"/>
      <c r="U325" s="196"/>
      <c r="V325" s="196"/>
      <c r="W325" s="188"/>
      <c r="X325" s="170"/>
      <c r="Y325" s="171">
        <f>(SUM(Y4:Y312)/60)</f>
        <v>37.077598287302678</v>
      </c>
      <c r="Z325" s="171">
        <f>(SUM(Z4:Z50)+AVERAGE(Z51:Z53)+SUM(Z54:Z312))/60</f>
        <v>17.374864741472127</v>
      </c>
    </row>
  </sheetData>
  <sheetProtection algorithmName="SHA-512" hashValue="H1heWjm3LhlWpRTjCc2/9h+K12Ia7xwOxQ8ycHHUMR7W6slSclVd5oGlNWR/crIwRqfJSIZgUqNvUiSS80w0LA==" saltValue="kRryHmRrjMAMjqdI/nTgNg==" spinCount="100000" sheet="1" formatCells="0" formatColumns="0" formatRows="0" insertColumns="0" insertRows="0" deleteColumns="0" deleteRows="0"/>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64"/>
  <sheetViews>
    <sheetView zoomScale="110" zoomScaleNormal="110" workbookViewId="0">
      <pane ySplit="1" topLeftCell="A543" activePane="bottomLeft" state="frozen"/>
      <selection pane="bottomLeft" activeCell="A550" sqref="A550:XFD557"/>
    </sheetView>
  </sheetViews>
  <sheetFormatPr defaultColWidth="8.85546875" defaultRowHeight="15"/>
  <cols>
    <col min="1" max="1" width="13.85546875" style="3" bestFit="1" customWidth="1"/>
    <col min="2" max="2" width="30" style="3" customWidth="1"/>
    <col min="3" max="4" width="27.140625" style="3" customWidth="1"/>
    <col min="5" max="5" width="20" style="3" customWidth="1"/>
    <col min="6" max="6" width="16.140625" style="3" customWidth="1"/>
    <col min="7" max="16384" width="8.85546875" style="3"/>
  </cols>
  <sheetData>
    <row r="1" spans="1:6">
      <c r="A1" s="2" t="s">
        <v>864</v>
      </c>
      <c r="B1" s="2" t="s">
        <v>1</v>
      </c>
      <c r="C1" s="2" t="s">
        <v>2</v>
      </c>
      <c r="D1" s="2" t="s">
        <v>3</v>
      </c>
      <c r="E1" s="1" t="s">
        <v>4</v>
      </c>
      <c r="F1" s="6" t="s">
        <v>865</v>
      </c>
    </row>
    <row r="2" spans="1:6" s="13" customFormat="1">
      <c r="A2" s="13" t="s">
        <v>866</v>
      </c>
      <c r="B2" s="203">
        <v>1</v>
      </c>
      <c r="C2" s="203" t="s">
        <v>867</v>
      </c>
      <c r="D2" s="15" t="s">
        <v>868</v>
      </c>
      <c r="E2" s="204"/>
      <c r="F2" s="205"/>
    </row>
    <row r="3" spans="1:6" s="13" customFormat="1">
      <c r="A3" s="13" t="s">
        <v>866</v>
      </c>
      <c r="B3" s="203">
        <v>2</v>
      </c>
      <c r="C3" s="203" t="s">
        <v>869</v>
      </c>
      <c r="D3" s="15" t="s">
        <v>870</v>
      </c>
      <c r="E3" s="204"/>
      <c r="F3" s="205"/>
    </row>
    <row r="4" spans="1:6" s="13" customFormat="1">
      <c r="A4" s="13" t="s">
        <v>866</v>
      </c>
      <c r="B4" s="203">
        <v>3</v>
      </c>
      <c r="C4" s="203" t="s">
        <v>871</v>
      </c>
      <c r="D4" s="15" t="s">
        <v>872</v>
      </c>
      <c r="E4" s="204"/>
      <c r="F4" s="205"/>
    </row>
    <row r="5" spans="1:6" s="13" customFormat="1">
      <c r="A5" s="13" t="s">
        <v>866</v>
      </c>
      <c r="B5" s="203">
        <v>4</v>
      </c>
      <c r="C5" s="203" t="s">
        <v>873</v>
      </c>
      <c r="D5" s="15" t="s">
        <v>874</v>
      </c>
      <c r="E5" s="204"/>
      <c r="F5" s="205"/>
    </row>
    <row r="6" spans="1:6">
      <c r="A6" s="2"/>
      <c r="B6" s="2"/>
      <c r="C6" s="2"/>
      <c r="D6" s="2"/>
      <c r="E6" s="1"/>
      <c r="F6" s="2"/>
    </row>
    <row r="7" spans="1:6">
      <c r="A7" t="s">
        <v>37</v>
      </c>
      <c r="B7" s="3">
        <v>1</v>
      </c>
      <c r="C7" s="5" t="s">
        <v>875</v>
      </c>
      <c r="D7" s="5" t="s">
        <v>876</v>
      </c>
      <c r="E7" s="4"/>
      <c r="F7" s="206"/>
    </row>
    <row r="8" spans="1:6">
      <c r="A8" t="s">
        <v>37</v>
      </c>
      <c r="B8" s="3">
        <v>2</v>
      </c>
      <c r="C8" s="5" t="s">
        <v>877</v>
      </c>
      <c r="D8" s="5" t="s">
        <v>878</v>
      </c>
      <c r="E8" s="4"/>
      <c r="F8" s="206"/>
    </row>
    <row r="9" spans="1:6">
      <c r="A9" t="s">
        <v>37</v>
      </c>
      <c r="B9" s="3">
        <v>3</v>
      </c>
      <c r="C9" s="5" t="s">
        <v>879</v>
      </c>
      <c r="D9" s="5" t="s">
        <v>880</v>
      </c>
      <c r="E9" s="4"/>
      <c r="F9" s="206"/>
    </row>
    <row r="10" spans="1:6">
      <c r="E10" s="4"/>
    </row>
    <row r="11" spans="1:6">
      <c r="A11" t="s">
        <v>881</v>
      </c>
      <c r="B11">
        <v>1</v>
      </c>
      <c r="C11" t="s">
        <v>882</v>
      </c>
      <c r="D11" s="307" t="s">
        <v>883</v>
      </c>
      <c r="E11" s="4"/>
    </row>
    <row r="12" spans="1:6">
      <c r="A12" t="s">
        <v>881</v>
      </c>
      <c r="B12">
        <v>2</v>
      </c>
      <c r="C12" t="s">
        <v>884</v>
      </c>
      <c r="D12" s="307" t="s">
        <v>885</v>
      </c>
      <c r="E12" s="4"/>
    </row>
    <row r="13" spans="1:6">
      <c r="A13" t="s">
        <v>881</v>
      </c>
      <c r="B13" s="308">
        <v>3</v>
      </c>
      <c r="C13" t="s">
        <v>886</v>
      </c>
      <c r="D13" s="307" t="s">
        <v>887</v>
      </c>
      <c r="E13" s="4"/>
    </row>
    <row r="14" spans="1:6">
      <c r="A14" t="s">
        <v>881</v>
      </c>
      <c r="B14" s="308">
        <v>4</v>
      </c>
      <c r="C14" t="s">
        <v>888</v>
      </c>
      <c r="D14" s="307" t="s">
        <v>889</v>
      </c>
      <c r="E14" s="4"/>
    </row>
    <row r="15" spans="1:6">
      <c r="E15" s="4"/>
    </row>
    <row r="16" spans="1:6">
      <c r="A16" t="s">
        <v>890</v>
      </c>
      <c r="B16" t="s">
        <v>890</v>
      </c>
      <c r="C16" t="s">
        <v>890</v>
      </c>
      <c r="D16" s="307" t="s">
        <v>891</v>
      </c>
      <c r="E16" s="4"/>
    </row>
    <row r="17" spans="1:5">
      <c r="E17" s="4"/>
    </row>
    <row r="18" spans="1:5">
      <c r="A18" t="s">
        <v>892</v>
      </c>
      <c r="B18">
        <v>1</v>
      </c>
      <c r="C18" t="s">
        <v>882</v>
      </c>
      <c r="D18" s="307" t="s">
        <v>883</v>
      </c>
      <c r="E18" s="4"/>
    </row>
    <row r="19" spans="1:5">
      <c r="A19" t="s">
        <v>892</v>
      </c>
      <c r="B19">
        <v>2</v>
      </c>
      <c r="C19" t="s">
        <v>884</v>
      </c>
      <c r="D19" s="307" t="s">
        <v>885</v>
      </c>
      <c r="E19" s="4"/>
    </row>
    <row r="20" spans="1:5">
      <c r="E20" s="4"/>
    </row>
    <row r="21" spans="1:5" s="11" customFormat="1">
      <c r="A21" s="14" t="s">
        <v>893</v>
      </c>
      <c r="B21" s="14" t="s">
        <v>894</v>
      </c>
      <c r="C21" s="14" t="s">
        <v>895</v>
      </c>
      <c r="D21" s="14" t="s">
        <v>896</v>
      </c>
      <c r="E21" s="7"/>
    </row>
    <row r="22" spans="1:5" s="11" customFormat="1">
      <c r="A22" s="307" t="s">
        <v>893</v>
      </c>
      <c r="B22" s="307" t="s">
        <v>897</v>
      </c>
      <c r="C22" s="307" t="s">
        <v>898</v>
      </c>
      <c r="D22" s="307" t="s">
        <v>899</v>
      </c>
      <c r="E22" s="7"/>
    </row>
    <row r="23" spans="1:5" s="11" customFormat="1">
      <c r="A23" s="14" t="s">
        <v>893</v>
      </c>
      <c r="B23" s="5" t="s">
        <v>900</v>
      </c>
      <c r="C23" s="5" t="s">
        <v>900</v>
      </c>
      <c r="D23" s="282" t="s">
        <v>900</v>
      </c>
      <c r="E23" s="7"/>
    </row>
    <row r="24" spans="1:5">
      <c r="E24" s="4"/>
    </row>
    <row r="25" spans="1:5">
      <c r="A25" t="s">
        <v>901</v>
      </c>
      <c r="B25">
        <v>1</v>
      </c>
      <c r="C25" t="s">
        <v>902</v>
      </c>
      <c r="D25" t="s">
        <v>903</v>
      </c>
      <c r="E25" s="4"/>
    </row>
    <row r="26" spans="1:5">
      <c r="A26" t="s">
        <v>901</v>
      </c>
      <c r="B26">
        <v>2</v>
      </c>
      <c r="C26" t="s">
        <v>904</v>
      </c>
      <c r="D26" t="s">
        <v>905</v>
      </c>
      <c r="E26" s="4"/>
    </row>
    <row r="27" spans="1:5">
      <c r="A27" t="s">
        <v>901</v>
      </c>
      <c r="B27" s="308">
        <v>3</v>
      </c>
      <c r="C27" s="307" t="s">
        <v>886</v>
      </c>
      <c r="D27" s="307" t="s">
        <v>887</v>
      </c>
      <c r="E27" s="4"/>
    </row>
    <row r="28" spans="1:5">
      <c r="A28" t="s">
        <v>901</v>
      </c>
      <c r="B28" s="308">
        <v>4</v>
      </c>
      <c r="C28" s="307" t="s">
        <v>888</v>
      </c>
      <c r="D28" s="307" t="s">
        <v>889</v>
      </c>
      <c r="E28" s="4"/>
    </row>
    <row r="29" spans="1:5">
      <c r="C29" s="14"/>
      <c r="D29" s="14"/>
      <c r="E29" s="4"/>
    </row>
    <row r="30" spans="1:5">
      <c r="A30" t="s">
        <v>906</v>
      </c>
      <c r="B30">
        <v>1</v>
      </c>
      <c r="C30" s="307" t="s">
        <v>907</v>
      </c>
      <c r="D30" s="307" t="s">
        <v>908</v>
      </c>
      <c r="E30" s="4"/>
    </row>
    <row r="31" spans="1:5">
      <c r="A31" t="s">
        <v>906</v>
      </c>
      <c r="B31">
        <v>2</v>
      </c>
      <c r="C31" s="3" t="s">
        <v>909</v>
      </c>
      <c r="D31" s="307" t="s">
        <v>910</v>
      </c>
      <c r="E31" s="4"/>
    </row>
    <row r="32" spans="1:5">
      <c r="A32" t="s">
        <v>906</v>
      </c>
      <c r="B32">
        <v>3</v>
      </c>
      <c r="C32" s="307" t="s">
        <v>911</v>
      </c>
      <c r="D32" s="307" t="s">
        <v>912</v>
      </c>
      <c r="E32" s="4"/>
    </row>
    <row r="33" spans="1:5">
      <c r="A33" t="s">
        <v>906</v>
      </c>
      <c r="B33">
        <v>4</v>
      </c>
      <c r="C33" s="307" t="s">
        <v>913</v>
      </c>
      <c r="D33" s="307" t="s">
        <v>885</v>
      </c>
      <c r="E33" s="4"/>
    </row>
    <row r="34" spans="1:5">
      <c r="C34" s="14"/>
      <c r="E34" s="4"/>
    </row>
    <row r="35" spans="1:5">
      <c r="A35" t="s">
        <v>914</v>
      </c>
      <c r="B35">
        <v>1</v>
      </c>
      <c r="C35" t="s">
        <v>915</v>
      </c>
      <c r="D35" s="307" t="s">
        <v>916</v>
      </c>
      <c r="E35" s="4"/>
    </row>
    <row r="36" spans="1:5">
      <c r="A36" t="s">
        <v>914</v>
      </c>
      <c r="B36">
        <v>2</v>
      </c>
      <c r="C36" t="s">
        <v>917</v>
      </c>
      <c r="D36" t="s">
        <v>918</v>
      </c>
      <c r="E36" s="4"/>
    </row>
    <row r="37" spans="1:5">
      <c r="A37" t="s">
        <v>914</v>
      </c>
      <c r="B37">
        <v>3</v>
      </c>
      <c r="C37" t="s">
        <v>919</v>
      </c>
      <c r="D37" t="s">
        <v>920</v>
      </c>
      <c r="E37" s="4"/>
    </row>
    <row r="38" spans="1:5">
      <c r="A38" t="s">
        <v>914</v>
      </c>
      <c r="B38">
        <v>4</v>
      </c>
      <c r="C38" t="s">
        <v>884</v>
      </c>
      <c r="D38" t="s">
        <v>885</v>
      </c>
      <c r="E38" s="4"/>
    </row>
    <row r="39" spans="1:5">
      <c r="A39" t="s">
        <v>914</v>
      </c>
      <c r="B39" s="308">
        <v>5</v>
      </c>
      <c r="C39" s="307" t="s">
        <v>886</v>
      </c>
      <c r="D39" s="307" t="s">
        <v>887</v>
      </c>
      <c r="E39" s="4"/>
    </row>
    <row r="40" spans="1:5">
      <c r="A40" t="s">
        <v>914</v>
      </c>
      <c r="B40" s="308">
        <v>6</v>
      </c>
      <c r="C40" t="s">
        <v>888</v>
      </c>
      <c r="D40" s="307" t="s">
        <v>889</v>
      </c>
      <c r="E40" s="4"/>
    </row>
    <row r="41" spans="1:5">
      <c r="E41" s="4"/>
    </row>
    <row r="42" spans="1:5">
      <c r="A42" t="s">
        <v>921</v>
      </c>
      <c r="B42">
        <v>1</v>
      </c>
      <c r="C42" s="307" t="s">
        <v>922</v>
      </c>
      <c r="D42" s="307" t="s">
        <v>923</v>
      </c>
      <c r="E42" s="4"/>
    </row>
    <row r="43" spans="1:5">
      <c r="A43" t="s">
        <v>921</v>
      </c>
      <c r="B43">
        <v>2</v>
      </c>
      <c r="C43" s="307" t="s">
        <v>924</v>
      </c>
      <c r="D43" s="307" t="s">
        <v>925</v>
      </c>
      <c r="E43" s="4"/>
    </row>
    <row r="44" spans="1:5">
      <c r="A44" t="s">
        <v>921</v>
      </c>
      <c r="B44">
        <v>3</v>
      </c>
      <c r="C44" s="307" t="s">
        <v>926</v>
      </c>
      <c r="D44" s="307" t="s">
        <v>927</v>
      </c>
      <c r="E44" s="4"/>
    </row>
    <row r="45" spans="1:5">
      <c r="A45" t="s">
        <v>921</v>
      </c>
      <c r="B45">
        <v>4</v>
      </c>
      <c r="C45" s="307" t="s">
        <v>928</v>
      </c>
      <c r="D45" s="307" t="s">
        <v>929</v>
      </c>
      <c r="E45" s="4"/>
    </row>
    <row r="46" spans="1:5">
      <c r="A46" t="s">
        <v>921</v>
      </c>
      <c r="B46">
        <v>5</v>
      </c>
      <c r="C46" s="307" t="s">
        <v>930</v>
      </c>
      <c r="D46" s="307" t="s">
        <v>931</v>
      </c>
      <c r="E46" s="4"/>
    </row>
    <row r="47" spans="1:5">
      <c r="A47" t="s">
        <v>921</v>
      </c>
      <c r="B47" s="308">
        <v>6</v>
      </c>
      <c r="C47" t="s">
        <v>886</v>
      </c>
      <c r="D47" s="307" t="s">
        <v>887</v>
      </c>
      <c r="E47" s="4"/>
    </row>
    <row r="48" spans="1:5">
      <c r="A48" t="s">
        <v>921</v>
      </c>
      <c r="B48" s="308">
        <v>7</v>
      </c>
      <c r="C48" t="s">
        <v>888</v>
      </c>
      <c r="D48" s="307" t="s">
        <v>889</v>
      </c>
      <c r="E48" s="4"/>
    </row>
    <row r="49" spans="1:5">
      <c r="B49" s="10"/>
      <c r="E49" s="4"/>
    </row>
    <row r="50" spans="1:5">
      <c r="A50" t="s">
        <v>932</v>
      </c>
      <c r="B50" s="308">
        <v>1</v>
      </c>
      <c r="C50" t="s">
        <v>933</v>
      </c>
      <c r="D50" t="s">
        <v>934</v>
      </c>
      <c r="E50" s="4"/>
    </row>
    <row r="51" spans="1:5">
      <c r="A51" t="s">
        <v>932</v>
      </c>
      <c r="B51" s="308">
        <v>2</v>
      </c>
      <c r="C51" t="s">
        <v>935</v>
      </c>
      <c r="D51" t="s">
        <v>936</v>
      </c>
      <c r="E51" s="4"/>
    </row>
    <row r="52" spans="1:5">
      <c r="A52" t="s">
        <v>932</v>
      </c>
      <c r="B52" s="308">
        <v>3</v>
      </c>
      <c r="C52" t="s">
        <v>937</v>
      </c>
      <c r="D52" t="s">
        <v>938</v>
      </c>
      <c r="E52" s="4"/>
    </row>
    <row r="53" spans="1:5">
      <c r="A53" t="s">
        <v>932</v>
      </c>
      <c r="B53" s="308">
        <v>4</v>
      </c>
      <c r="C53" t="s">
        <v>939</v>
      </c>
      <c r="D53" t="s">
        <v>940</v>
      </c>
      <c r="E53" s="4"/>
    </row>
    <row r="54" spans="1:5">
      <c r="A54" t="s">
        <v>932</v>
      </c>
      <c r="B54" s="308">
        <v>5</v>
      </c>
      <c r="C54" t="s">
        <v>941</v>
      </c>
      <c r="D54" t="s">
        <v>942</v>
      </c>
      <c r="E54" s="4"/>
    </row>
    <row r="55" spans="1:5">
      <c r="A55" t="s">
        <v>932</v>
      </c>
      <c r="B55" s="308">
        <v>6</v>
      </c>
      <c r="C55" t="s">
        <v>943</v>
      </c>
      <c r="D55" t="s">
        <v>944</v>
      </c>
      <c r="E55" s="4"/>
    </row>
    <row r="56" spans="1:5">
      <c r="A56" t="s">
        <v>932</v>
      </c>
      <c r="B56" s="308">
        <v>7</v>
      </c>
      <c r="C56" t="s">
        <v>945</v>
      </c>
      <c r="D56" t="s">
        <v>946</v>
      </c>
      <c r="E56" s="4"/>
    </row>
    <row r="57" spans="1:5">
      <c r="A57" t="s">
        <v>932</v>
      </c>
      <c r="B57" s="308">
        <v>8</v>
      </c>
      <c r="C57" t="s">
        <v>947</v>
      </c>
      <c r="D57" t="s">
        <v>948</v>
      </c>
      <c r="E57" s="4"/>
    </row>
    <row r="58" spans="1:5">
      <c r="A58" t="s">
        <v>932</v>
      </c>
      <c r="B58" s="308">
        <v>9</v>
      </c>
      <c r="C58" t="s">
        <v>949</v>
      </c>
      <c r="D58" t="s">
        <v>950</v>
      </c>
      <c r="E58" s="4"/>
    </row>
    <row r="59" spans="1:5">
      <c r="A59" t="s">
        <v>932</v>
      </c>
      <c r="B59" s="308">
        <v>10</v>
      </c>
      <c r="C59" t="s">
        <v>951</v>
      </c>
      <c r="D59" t="s">
        <v>952</v>
      </c>
      <c r="E59" s="4"/>
    </row>
    <row r="60" spans="1:5">
      <c r="A60" t="s">
        <v>932</v>
      </c>
      <c r="B60" s="308">
        <v>11</v>
      </c>
      <c r="C60" t="s">
        <v>886</v>
      </c>
      <c r="D60" s="307" t="s">
        <v>887</v>
      </c>
      <c r="E60" s="4"/>
    </row>
    <row r="61" spans="1:5">
      <c r="A61" t="s">
        <v>932</v>
      </c>
      <c r="B61" s="308">
        <v>12</v>
      </c>
      <c r="C61" t="s">
        <v>888</v>
      </c>
      <c r="D61" s="307" t="s">
        <v>889</v>
      </c>
      <c r="E61" s="4"/>
    </row>
    <row r="62" spans="1:5">
      <c r="B62" s="10"/>
      <c r="E62" s="4"/>
    </row>
    <row r="63" spans="1:5">
      <c r="A63" t="s">
        <v>953</v>
      </c>
      <c r="B63" s="308">
        <v>1</v>
      </c>
      <c r="C63" t="s">
        <v>954</v>
      </c>
      <c r="D63" t="s">
        <v>955</v>
      </c>
      <c r="E63" s="4"/>
    </row>
    <row r="64" spans="1:5">
      <c r="A64" t="s">
        <v>953</v>
      </c>
      <c r="B64" s="308">
        <v>2</v>
      </c>
      <c r="C64" t="s">
        <v>956</v>
      </c>
      <c r="D64" t="s">
        <v>957</v>
      </c>
      <c r="E64" s="4"/>
    </row>
    <row r="65" spans="1:5">
      <c r="A65" t="s">
        <v>953</v>
      </c>
      <c r="B65" s="308">
        <v>3</v>
      </c>
      <c r="C65" t="s">
        <v>958</v>
      </c>
      <c r="D65" t="s">
        <v>959</v>
      </c>
      <c r="E65" s="4"/>
    </row>
    <row r="66" spans="1:5">
      <c r="A66" t="s">
        <v>953</v>
      </c>
      <c r="B66" s="308">
        <v>4</v>
      </c>
      <c r="C66" t="s">
        <v>960</v>
      </c>
      <c r="D66" t="s">
        <v>961</v>
      </c>
      <c r="E66" s="4"/>
    </row>
    <row r="67" spans="1:5">
      <c r="A67" t="s">
        <v>953</v>
      </c>
      <c r="B67" s="308">
        <v>5</v>
      </c>
      <c r="C67" t="s">
        <v>962</v>
      </c>
      <c r="D67" t="s">
        <v>963</v>
      </c>
      <c r="E67" s="4"/>
    </row>
    <row r="68" spans="1:5">
      <c r="A68" t="s">
        <v>953</v>
      </c>
      <c r="B68" s="308">
        <v>6</v>
      </c>
      <c r="C68" t="s">
        <v>886</v>
      </c>
      <c r="D68" s="307" t="s">
        <v>887</v>
      </c>
      <c r="E68" s="4"/>
    </row>
    <row r="69" spans="1:5">
      <c r="A69" t="s">
        <v>953</v>
      </c>
      <c r="B69" s="308">
        <v>7</v>
      </c>
      <c r="C69" t="s">
        <v>888</v>
      </c>
      <c r="D69" s="307" t="s">
        <v>889</v>
      </c>
      <c r="E69" s="4"/>
    </row>
    <row r="70" spans="1:5">
      <c r="B70" s="10"/>
      <c r="E70" s="4"/>
    </row>
    <row r="71" spans="1:5">
      <c r="A71" t="s">
        <v>964</v>
      </c>
      <c r="B71" s="308">
        <v>1</v>
      </c>
      <c r="C71" t="s">
        <v>965</v>
      </c>
      <c r="D71" t="s">
        <v>966</v>
      </c>
      <c r="E71" s="4"/>
    </row>
    <row r="72" spans="1:5">
      <c r="A72" t="s">
        <v>964</v>
      </c>
      <c r="B72" s="308">
        <v>2</v>
      </c>
      <c r="C72" t="s">
        <v>967</v>
      </c>
      <c r="D72" t="s">
        <v>968</v>
      </c>
      <c r="E72" s="4"/>
    </row>
    <row r="73" spans="1:5">
      <c r="A73" t="s">
        <v>964</v>
      </c>
      <c r="B73" s="308">
        <v>3</v>
      </c>
      <c r="C73" t="s">
        <v>969</v>
      </c>
      <c r="D73" t="s">
        <v>970</v>
      </c>
      <c r="E73" s="4"/>
    </row>
    <row r="74" spans="1:5">
      <c r="A74" t="s">
        <v>964</v>
      </c>
      <c r="B74" s="308">
        <v>4</v>
      </c>
      <c r="C74" t="s">
        <v>971</v>
      </c>
      <c r="D74" t="s">
        <v>972</v>
      </c>
      <c r="E74" s="4"/>
    </row>
    <row r="75" spans="1:5">
      <c r="A75" t="s">
        <v>964</v>
      </c>
      <c r="B75" s="308">
        <v>5</v>
      </c>
      <c r="C75" t="s">
        <v>973</v>
      </c>
      <c r="D75" t="s">
        <v>974</v>
      </c>
      <c r="E75" s="4"/>
    </row>
    <row r="76" spans="1:5">
      <c r="A76" t="s">
        <v>964</v>
      </c>
      <c r="B76" s="308">
        <v>6</v>
      </c>
      <c r="C76" t="s">
        <v>975</v>
      </c>
      <c r="D76" t="s">
        <v>976</v>
      </c>
      <c r="E76" s="4"/>
    </row>
    <row r="77" spans="1:5">
      <c r="A77" t="s">
        <v>964</v>
      </c>
      <c r="B77" s="308">
        <v>7</v>
      </c>
      <c r="C77" t="s">
        <v>886</v>
      </c>
      <c r="D77" s="307" t="s">
        <v>887</v>
      </c>
      <c r="E77" s="4"/>
    </row>
    <row r="78" spans="1:5">
      <c r="A78" t="s">
        <v>964</v>
      </c>
      <c r="B78" s="308">
        <v>8</v>
      </c>
      <c r="C78" t="s">
        <v>888</v>
      </c>
      <c r="D78" s="307" t="s">
        <v>889</v>
      </c>
      <c r="E78" s="4"/>
    </row>
    <row r="79" spans="1:5">
      <c r="E79" s="4"/>
    </row>
    <row r="80" spans="1:5">
      <c r="A80" s="309" t="s">
        <v>977</v>
      </c>
      <c r="B80" s="309">
        <v>1</v>
      </c>
      <c r="C80" s="309" t="s">
        <v>978</v>
      </c>
      <c r="D80" s="309" t="s">
        <v>979</v>
      </c>
      <c r="E80" s="4"/>
    </row>
    <row r="81" spans="1:5">
      <c r="A81" s="309" t="s">
        <v>977</v>
      </c>
      <c r="B81" s="309">
        <v>2</v>
      </c>
      <c r="C81" s="309" t="s">
        <v>980</v>
      </c>
      <c r="D81" s="309" t="s">
        <v>981</v>
      </c>
      <c r="E81" s="4"/>
    </row>
    <row r="82" spans="1:5">
      <c r="A82" s="309" t="s">
        <v>977</v>
      </c>
      <c r="B82" s="309">
        <v>3</v>
      </c>
      <c r="C82" s="309" t="s">
        <v>982</v>
      </c>
      <c r="D82" s="309" t="s">
        <v>983</v>
      </c>
      <c r="E82" s="4"/>
    </row>
    <row r="83" spans="1:5">
      <c r="A83" s="309" t="s">
        <v>977</v>
      </c>
      <c r="B83" s="309">
        <v>4</v>
      </c>
      <c r="C83" s="309" t="s">
        <v>984</v>
      </c>
      <c r="D83" s="309" t="s">
        <v>985</v>
      </c>
      <c r="E83" s="4"/>
    </row>
    <row r="84" spans="1:5">
      <c r="A84" s="309" t="s">
        <v>977</v>
      </c>
      <c r="B84" s="309">
        <v>5</v>
      </c>
      <c r="C84" s="309" t="s">
        <v>986</v>
      </c>
      <c r="D84" s="309" t="s">
        <v>987</v>
      </c>
      <c r="E84" s="4"/>
    </row>
    <row r="85" spans="1:5">
      <c r="A85" s="309" t="s">
        <v>977</v>
      </c>
      <c r="B85" s="309">
        <v>6</v>
      </c>
      <c r="C85" s="309" t="s">
        <v>886</v>
      </c>
      <c r="D85" s="309" t="s">
        <v>887</v>
      </c>
      <c r="E85" s="4"/>
    </row>
    <row r="86" spans="1:5">
      <c r="A86" s="309" t="s">
        <v>977</v>
      </c>
      <c r="B86" s="309">
        <v>7</v>
      </c>
      <c r="C86" s="309" t="s">
        <v>888</v>
      </c>
      <c r="D86" s="309" t="s">
        <v>889</v>
      </c>
      <c r="E86" s="4"/>
    </row>
    <row r="87" spans="1:5">
      <c r="A87" s="13"/>
      <c r="B87" s="13"/>
      <c r="C87" s="13"/>
      <c r="D87" s="13"/>
      <c r="E87" s="4"/>
    </row>
    <row r="88" spans="1:5">
      <c r="A88" s="309" t="s">
        <v>988</v>
      </c>
      <c r="B88" s="309" t="s">
        <v>989</v>
      </c>
      <c r="C88" s="309" t="s">
        <v>990</v>
      </c>
      <c r="D88" s="309" t="s">
        <v>991</v>
      </c>
      <c r="E88" s="4"/>
    </row>
    <row r="89" spans="1:5">
      <c r="A89" s="309" t="s">
        <v>988</v>
      </c>
      <c r="B89" s="309" t="s">
        <v>992</v>
      </c>
      <c r="C89" s="309" t="s">
        <v>993</v>
      </c>
      <c r="D89" s="309" t="s">
        <v>994</v>
      </c>
      <c r="E89" s="4"/>
    </row>
    <row r="90" spans="1:5">
      <c r="A90" s="309" t="s">
        <v>988</v>
      </c>
      <c r="B90" s="309" t="s">
        <v>995</v>
      </c>
      <c r="C90" s="309" t="s">
        <v>996</v>
      </c>
      <c r="D90" s="309" t="s">
        <v>997</v>
      </c>
      <c r="E90" s="4"/>
    </row>
    <row r="91" spans="1:5">
      <c r="A91" s="309" t="s">
        <v>988</v>
      </c>
      <c r="B91" s="309" t="s">
        <v>998</v>
      </c>
      <c r="C91" s="309" t="s">
        <v>999</v>
      </c>
      <c r="D91" s="309" t="s">
        <v>1000</v>
      </c>
      <c r="E91" s="4"/>
    </row>
    <row r="92" spans="1:5">
      <c r="A92" s="309" t="s">
        <v>988</v>
      </c>
      <c r="B92" s="309" t="s">
        <v>1001</v>
      </c>
      <c r="C92" s="309" t="s">
        <v>1002</v>
      </c>
      <c r="D92" s="309" t="s">
        <v>1003</v>
      </c>
      <c r="E92" s="4"/>
    </row>
    <row r="93" spans="1:5">
      <c r="A93" s="309" t="s">
        <v>988</v>
      </c>
      <c r="B93" s="309" t="s">
        <v>1004</v>
      </c>
      <c r="C93" s="309" t="s">
        <v>1005</v>
      </c>
      <c r="D93" s="309" t="s">
        <v>1006</v>
      </c>
      <c r="E93" s="4"/>
    </row>
    <row r="94" spans="1:5">
      <c r="A94" s="309" t="s">
        <v>988</v>
      </c>
      <c r="B94" s="309" t="s">
        <v>1007</v>
      </c>
      <c r="C94" s="309" t="s">
        <v>1008</v>
      </c>
      <c r="D94" s="309" t="s">
        <v>1009</v>
      </c>
      <c r="E94" s="4"/>
    </row>
    <row r="95" spans="1:5">
      <c r="A95" s="309" t="s">
        <v>988</v>
      </c>
      <c r="B95" s="309" t="s">
        <v>1010</v>
      </c>
      <c r="C95" s="309" t="s">
        <v>886</v>
      </c>
      <c r="D95" s="309" t="s">
        <v>887</v>
      </c>
      <c r="E95" s="4"/>
    </row>
    <row r="96" spans="1:5">
      <c r="A96" s="309" t="s">
        <v>988</v>
      </c>
      <c r="B96" s="309" t="s">
        <v>1011</v>
      </c>
      <c r="C96" s="309" t="s">
        <v>888</v>
      </c>
      <c r="D96" s="309" t="s">
        <v>889</v>
      </c>
      <c r="E96" s="4"/>
    </row>
    <row r="97" spans="1:5">
      <c r="A97" s="13"/>
      <c r="B97" s="13"/>
      <c r="C97" s="13"/>
      <c r="D97" s="13"/>
      <c r="E97" s="4"/>
    </row>
    <row r="98" spans="1:5">
      <c r="A98" s="309" t="s">
        <v>1012</v>
      </c>
      <c r="B98" s="309" t="s">
        <v>1013</v>
      </c>
      <c r="C98" s="309" t="s">
        <v>1014</v>
      </c>
      <c r="D98" s="309" t="s">
        <v>1015</v>
      </c>
      <c r="E98" s="4"/>
    </row>
    <row r="99" spans="1:5">
      <c r="A99" s="309" t="s">
        <v>1012</v>
      </c>
      <c r="B99" s="309" t="s">
        <v>1016</v>
      </c>
      <c r="C99" s="309" t="s">
        <v>1017</v>
      </c>
      <c r="D99" s="309" t="s">
        <v>1018</v>
      </c>
      <c r="E99" s="4"/>
    </row>
    <row r="100" spans="1:5">
      <c r="A100" s="309" t="s">
        <v>1012</v>
      </c>
      <c r="B100" s="309" t="s">
        <v>1019</v>
      </c>
      <c r="C100" s="309" t="s">
        <v>1020</v>
      </c>
      <c r="D100" s="309" t="s">
        <v>1021</v>
      </c>
      <c r="E100" s="4"/>
    </row>
    <row r="101" spans="1:5">
      <c r="A101" s="309" t="s">
        <v>1012</v>
      </c>
      <c r="B101" s="309" t="s">
        <v>1022</v>
      </c>
      <c r="C101" s="309" t="s">
        <v>1023</v>
      </c>
      <c r="D101" s="309" t="s">
        <v>1024</v>
      </c>
      <c r="E101" s="4"/>
    </row>
    <row r="102" spans="1:5">
      <c r="A102" s="309" t="s">
        <v>1012</v>
      </c>
      <c r="B102" s="309" t="s">
        <v>1025</v>
      </c>
      <c r="C102" s="309" t="s">
        <v>1026</v>
      </c>
      <c r="D102" s="309" t="s">
        <v>1027</v>
      </c>
      <c r="E102" s="4"/>
    </row>
    <row r="103" spans="1:5">
      <c r="A103" s="309" t="s">
        <v>1012</v>
      </c>
      <c r="B103" s="309" t="s">
        <v>1028</v>
      </c>
      <c r="C103" s="309" t="s">
        <v>1029</v>
      </c>
      <c r="D103" s="309" t="s">
        <v>1030</v>
      </c>
      <c r="E103" s="4"/>
    </row>
    <row r="104" spans="1:5">
      <c r="A104" s="309" t="s">
        <v>1012</v>
      </c>
      <c r="B104" s="309" t="s">
        <v>1031</v>
      </c>
      <c r="C104" s="309" t="s">
        <v>1032</v>
      </c>
      <c r="D104" s="309" t="s">
        <v>1033</v>
      </c>
      <c r="E104" s="4"/>
    </row>
    <row r="105" spans="1:5">
      <c r="A105" s="309" t="s">
        <v>1012</v>
      </c>
      <c r="B105" s="309" t="s">
        <v>1004</v>
      </c>
      <c r="C105" s="309" t="s">
        <v>1034</v>
      </c>
      <c r="D105" s="309" t="s">
        <v>1035</v>
      </c>
      <c r="E105" s="4"/>
    </row>
    <row r="106" spans="1:5">
      <c r="A106" s="309" t="s">
        <v>1012</v>
      </c>
      <c r="B106" s="309" t="s">
        <v>1007</v>
      </c>
      <c r="C106" s="309" t="s">
        <v>1036</v>
      </c>
      <c r="D106" s="309" t="s">
        <v>1037</v>
      </c>
      <c r="E106" s="4"/>
    </row>
    <row r="107" spans="1:5">
      <c r="A107" s="309" t="s">
        <v>1012</v>
      </c>
      <c r="B107" s="309" t="s">
        <v>1010</v>
      </c>
      <c r="C107" s="309" t="s">
        <v>886</v>
      </c>
      <c r="D107" s="309" t="s">
        <v>887</v>
      </c>
      <c r="E107" s="4"/>
    </row>
    <row r="108" spans="1:5">
      <c r="A108" s="309" t="s">
        <v>1012</v>
      </c>
      <c r="B108" s="309" t="s">
        <v>1011</v>
      </c>
      <c r="C108" s="309" t="s">
        <v>888</v>
      </c>
      <c r="D108" s="309" t="s">
        <v>889</v>
      </c>
      <c r="E108" s="4"/>
    </row>
    <row r="109" spans="1:5">
      <c r="A109" s="13"/>
      <c r="B109" s="13"/>
      <c r="C109" s="13"/>
      <c r="D109" s="13"/>
      <c r="E109" s="4"/>
    </row>
    <row r="110" spans="1:5">
      <c r="A110" s="309" t="s">
        <v>1038</v>
      </c>
      <c r="B110" s="309">
        <v>1</v>
      </c>
      <c r="C110" s="309" t="s">
        <v>1039</v>
      </c>
      <c r="D110" s="309" t="s">
        <v>1040</v>
      </c>
      <c r="E110" s="4"/>
    </row>
    <row r="111" spans="1:5">
      <c r="A111" s="309" t="s">
        <v>1038</v>
      </c>
      <c r="B111" s="309">
        <v>2</v>
      </c>
      <c r="C111" s="309" t="s">
        <v>1041</v>
      </c>
      <c r="D111" s="309" t="s">
        <v>1042</v>
      </c>
      <c r="E111" s="4"/>
    </row>
    <row r="112" spans="1:5">
      <c r="A112" s="309" t="s">
        <v>1038</v>
      </c>
      <c r="B112" s="309">
        <v>3</v>
      </c>
      <c r="C112" s="309" t="s">
        <v>1043</v>
      </c>
      <c r="D112" s="309" t="s">
        <v>1044</v>
      </c>
      <c r="E112" s="4"/>
    </row>
    <row r="113" spans="1:5">
      <c r="A113" s="309" t="s">
        <v>1038</v>
      </c>
      <c r="B113" s="309">
        <v>4</v>
      </c>
      <c r="C113" s="309" t="s">
        <v>1045</v>
      </c>
      <c r="D113" s="309" t="s">
        <v>1046</v>
      </c>
      <c r="E113" s="4"/>
    </row>
    <row r="114" spans="1:5">
      <c r="A114" s="309" t="s">
        <v>1038</v>
      </c>
      <c r="B114" s="309">
        <v>5</v>
      </c>
      <c r="C114" s="309" t="s">
        <v>1047</v>
      </c>
      <c r="D114" s="309" t="s">
        <v>1048</v>
      </c>
      <c r="E114" s="4"/>
    </row>
    <row r="115" spans="1:5">
      <c r="A115" s="309" t="s">
        <v>1038</v>
      </c>
      <c r="B115" s="309">
        <v>6</v>
      </c>
      <c r="C115" s="309" t="s">
        <v>1049</v>
      </c>
      <c r="D115" s="309" t="s">
        <v>887</v>
      </c>
      <c r="E115" s="4"/>
    </row>
    <row r="116" spans="1:5">
      <c r="A116" s="309" t="s">
        <v>1038</v>
      </c>
      <c r="B116" s="309">
        <v>7</v>
      </c>
      <c r="C116" s="309" t="s">
        <v>1050</v>
      </c>
      <c r="D116" s="309" t="s">
        <v>889</v>
      </c>
      <c r="E116" s="4"/>
    </row>
    <row r="117" spans="1:5">
      <c r="A117" s="13"/>
      <c r="B117" s="13"/>
      <c r="C117" s="13"/>
      <c r="D117" s="13"/>
      <c r="E117" s="4"/>
    </row>
    <row r="118" spans="1:5">
      <c r="A118" s="309" t="s">
        <v>1051</v>
      </c>
      <c r="B118" s="309">
        <v>1</v>
      </c>
      <c r="C118" s="309" t="s">
        <v>1052</v>
      </c>
      <c r="D118" s="309" t="s">
        <v>1053</v>
      </c>
      <c r="E118" s="4"/>
    </row>
    <row r="119" spans="1:5">
      <c r="A119" s="309" t="s">
        <v>1051</v>
      </c>
      <c r="B119" s="309">
        <v>2</v>
      </c>
      <c r="C119" s="309" t="s">
        <v>1054</v>
      </c>
      <c r="D119" s="309" t="s">
        <v>1055</v>
      </c>
      <c r="E119" s="4"/>
    </row>
    <row r="120" spans="1:5">
      <c r="A120" s="309" t="s">
        <v>1051</v>
      </c>
      <c r="B120" s="309">
        <v>3</v>
      </c>
      <c r="C120" s="309" t="s">
        <v>1056</v>
      </c>
      <c r="D120" s="309" t="s">
        <v>1057</v>
      </c>
      <c r="E120" s="4"/>
    </row>
    <row r="121" spans="1:5">
      <c r="A121" s="309" t="s">
        <v>1051</v>
      </c>
      <c r="B121" s="309">
        <v>4</v>
      </c>
      <c r="C121" s="309" t="s">
        <v>1058</v>
      </c>
      <c r="D121" s="309" t="s">
        <v>1059</v>
      </c>
      <c r="E121" s="4"/>
    </row>
    <row r="122" spans="1:5">
      <c r="A122" s="309" t="s">
        <v>1051</v>
      </c>
      <c r="B122" s="309">
        <v>5</v>
      </c>
      <c r="C122" s="309" t="s">
        <v>886</v>
      </c>
      <c r="D122" s="309" t="s">
        <v>887</v>
      </c>
      <c r="E122" s="4"/>
    </row>
    <row r="123" spans="1:5">
      <c r="A123" s="309" t="s">
        <v>1051</v>
      </c>
      <c r="B123" s="309">
        <v>6</v>
      </c>
      <c r="C123" s="309" t="s">
        <v>888</v>
      </c>
      <c r="D123" s="309" t="s">
        <v>889</v>
      </c>
      <c r="E123" s="4"/>
    </row>
    <row r="124" spans="1:5">
      <c r="A124" s="13"/>
      <c r="B124" s="13"/>
      <c r="C124" s="13"/>
      <c r="E124" s="4"/>
    </row>
    <row r="125" spans="1:5">
      <c r="A125" t="s">
        <v>1060</v>
      </c>
      <c r="B125">
        <v>1</v>
      </c>
      <c r="C125" t="s">
        <v>1061</v>
      </c>
      <c r="D125" t="s">
        <v>1062</v>
      </c>
      <c r="E125" s="4"/>
    </row>
    <row r="126" spans="1:5">
      <c r="A126" t="s">
        <v>1060</v>
      </c>
      <c r="B126">
        <v>2</v>
      </c>
      <c r="C126" t="s">
        <v>1063</v>
      </c>
      <c r="D126" t="s">
        <v>1064</v>
      </c>
      <c r="E126" s="4"/>
    </row>
    <row r="127" spans="1:5">
      <c r="A127" t="s">
        <v>1060</v>
      </c>
      <c r="B127">
        <v>3</v>
      </c>
      <c r="C127" t="s">
        <v>1065</v>
      </c>
      <c r="D127" t="s">
        <v>1066</v>
      </c>
      <c r="E127" s="4"/>
    </row>
    <row r="128" spans="1:5">
      <c r="A128" t="s">
        <v>1060</v>
      </c>
      <c r="B128">
        <v>4</v>
      </c>
      <c r="C128" t="s">
        <v>1067</v>
      </c>
      <c r="D128" t="s">
        <v>1068</v>
      </c>
      <c r="E128" s="4"/>
    </row>
    <row r="129" spans="1:5">
      <c r="A129" t="s">
        <v>1060</v>
      </c>
      <c r="B129">
        <v>5</v>
      </c>
      <c r="C129" t="s">
        <v>1069</v>
      </c>
      <c r="D129" t="s">
        <v>1070</v>
      </c>
      <c r="E129" s="4"/>
    </row>
    <row r="130" spans="1:5">
      <c r="A130" t="s">
        <v>1060</v>
      </c>
      <c r="B130">
        <v>6</v>
      </c>
      <c r="C130" t="s">
        <v>1071</v>
      </c>
      <c r="D130" t="s">
        <v>1072</v>
      </c>
      <c r="E130" s="4"/>
    </row>
    <row r="131" spans="1:5">
      <c r="A131" t="s">
        <v>1060</v>
      </c>
      <c r="B131">
        <v>7</v>
      </c>
      <c r="C131" t="s">
        <v>1073</v>
      </c>
      <c r="D131" t="s">
        <v>1074</v>
      </c>
      <c r="E131" s="4"/>
    </row>
    <row r="132" spans="1:5">
      <c r="A132" t="s">
        <v>1060</v>
      </c>
      <c r="B132">
        <v>8</v>
      </c>
      <c r="C132" t="s">
        <v>1075</v>
      </c>
      <c r="D132" t="s">
        <v>1076</v>
      </c>
      <c r="E132" s="4"/>
    </row>
    <row r="133" spans="1:5">
      <c r="A133" t="s">
        <v>1060</v>
      </c>
      <c r="B133">
        <v>9</v>
      </c>
      <c r="C133" t="s">
        <v>1077</v>
      </c>
      <c r="D133" t="s">
        <v>1078</v>
      </c>
      <c r="E133" s="4"/>
    </row>
    <row r="134" spans="1:5">
      <c r="A134" t="s">
        <v>1060</v>
      </c>
      <c r="B134">
        <v>10</v>
      </c>
      <c r="C134" t="s">
        <v>1079</v>
      </c>
      <c r="D134" t="s">
        <v>1080</v>
      </c>
      <c r="E134" s="4"/>
    </row>
    <row r="135" spans="1:5">
      <c r="A135" t="s">
        <v>1060</v>
      </c>
      <c r="B135">
        <v>11</v>
      </c>
      <c r="C135" t="s">
        <v>1081</v>
      </c>
      <c r="D135" t="s">
        <v>1082</v>
      </c>
      <c r="E135" s="4"/>
    </row>
    <row r="136" spans="1:5">
      <c r="A136" t="s">
        <v>1060</v>
      </c>
      <c r="B136">
        <v>12</v>
      </c>
      <c r="C136" t="s">
        <v>1083</v>
      </c>
      <c r="D136" t="s">
        <v>1084</v>
      </c>
      <c r="E136" s="4"/>
    </row>
    <row r="137" spans="1:5">
      <c r="A137" t="s">
        <v>1060</v>
      </c>
      <c r="B137">
        <v>13</v>
      </c>
      <c r="C137" t="s">
        <v>1085</v>
      </c>
      <c r="D137" t="s">
        <v>1086</v>
      </c>
      <c r="E137" s="4"/>
    </row>
    <row r="138" spans="1:5">
      <c r="A138" t="s">
        <v>1060</v>
      </c>
      <c r="B138">
        <v>14</v>
      </c>
      <c r="C138" t="s">
        <v>1087</v>
      </c>
      <c r="D138" t="s">
        <v>1088</v>
      </c>
      <c r="E138" s="4"/>
    </row>
    <row r="139" spans="1:5">
      <c r="A139" t="s">
        <v>1060</v>
      </c>
      <c r="B139">
        <v>15</v>
      </c>
      <c r="C139" t="s">
        <v>1089</v>
      </c>
      <c r="D139" t="s">
        <v>1090</v>
      </c>
      <c r="E139" s="4"/>
    </row>
    <row r="140" spans="1:5">
      <c r="A140" t="s">
        <v>1060</v>
      </c>
      <c r="B140">
        <v>16</v>
      </c>
      <c r="C140" t="s">
        <v>1091</v>
      </c>
      <c r="D140" t="s">
        <v>1092</v>
      </c>
      <c r="E140" s="4"/>
    </row>
    <row r="141" spans="1:5">
      <c r="A141" t="s">
        <v>1060</v>
      </c>
      <c r="B141">
        <v>17</v>
      </c>
      <c r="C141" t="s">
        <v>1093</v>
      </c>
      <c r="D141" t="s">
        <v>1094</v>
      </c>
      <c r="E141" s="4"/>
    </row>
    <row r="142" spans="1:5">
      <c r="A142" t="s">
        <v>1060</v>
      </c>
      <c r="B142">
        <v>18</v>
      </c>
      <c r="C142" t="s">
        <v>1095</v>
      </c>
      <c r="D142" t="s">
        <v>1096</v>
      </c>
      <c r="E142" s="4"/>
    </row>
    <row r="143" spans="1:5">
      <c r="A143" t="s">
        <v>1060</v>
      </c>
      <c r="B143">
        <v>19</v>
      </c>
      <c r="C143" t="s">
        <v>1097</v>
      </c>
      <c r="D143" t="s">
        <v>1098</v>
      </c>
      <c r="E143" s="4"/>
    </row>
    <row r="144" spans="1:5">
      <c r="A144" t="s">
        <v>1060</v>
      </c>
      <c r="B144">
        <v>20</v>
      </c>
      <c r="C144" t="s">
        <v>888</v>
      </c>
      <c r="D144" t="s">
        <v>889</v>
      </c>
      <c r="E144" s="4"/>
    </row>
    <row r="145" spans="1:5">
      <c r="E145" s="4"/>
    </row>
    <row r="146" spans="1:5">
      <c r="A146" t="s">
        <v>1099</v>
      </c>
      <c r="B146">
        <v>1</v>
      </c>
      <c r="C146" t="s">
        <v>902</v>
      </c>
      <c r="D146" t="s">
        <v>903</v>
      </c>
      <c r="E146" s="4"/>
    </row>
    <row r="147" spans="1:5">
      <c r="A147" t="s">
        <v>1099</v>
      </c>
      <c r="B147">
        <v>2</v>
      </c>
      <c r="C147" t="s">
        <v>904</v>
      </c>
      <c r="D147" t="s">
        <v>905</v>
      </c>
      <c r="E147" s="4"/>
    </row>
    <row r="148" spans="1:5">
      <c r="A148" t="s">
        <v>1099</v>
      </c>
      <c r="B148">
        <v>3</v>
      </c>
      <c r="C148" t="s">
        <v>1100</v>
      </c>
      <c r="D148" t="s">
        <v>1101</v>
      </c>
      <c r="E148" s="4"/>
    </row>
    <row r="149" spans="1:5">
      <c r="A149" t="s">
        <v>1099</v>
      </c>
      <c r="B149">
        <v>4</v>
      </c>
      <c r="C149" t="s">
        <v>886</v>
      </c>
      <c r="D149" s="307" t="s">
        <v>887</v>
      </c>
      <c r="E149" s="4"/>
    </row>
    <row r="150" spans="1:5">
      <c r="A150" t="s">
        <v>1099</v>
      </c>
      <c r="B150">
        <v>5</v>
      </c>
      <c r="C150" t="s">
        <v>888</v>
      </c>
      <c r="D150" s="307" t="s">
        <v>889</v>
      </c>
      <c r="E150" s="4"/>
    </row>
    <row r="151" spans="1:5">
      <c r="E151" s="4"/>
    </row>
    <row r="152" spans="1:5">
      <c r="A152" t="s">
        <v>1102</v>
      </c>
      <c r="B152">
        <v>1</v>
      </c>
      <c r="C152" t="s">
        <v>1103</v>
      </c>
      <c r="D152" t="s">
        <v>1104</v>
      </c>
      <c r="E152" s="4"/>
    </row>
    <row r="153" spans="1:5">
      <c r="A153" t="s">
        <v>1102</v>
      </c>
      <c r="B153">
        <v>2</v>
      </c>
      <c r="C153" t="s">
        <v>1105</v>
      </c>
      <c r="D153" t="s">
        <v>1106</v>
      </c>
      <c r="E153" s="4"/>
    </row>
    <row r="154" spans="1:5">
      <c r="A154" t="s">
        <v>1102</v>
      </c>
      <c r="B154">
        <v>3</v>
      </c>
      <c r="C154" t="s">
        <v>1107</v>
      </c>
      <c r="D154" t="s">
        <v>1108</v>
      </c>
      <c r="E154" s="4"/>
    </row>
    <row r="155" spans="1:5">
      <c r="A155" t="s">
        <v>1102</v>
      </c>
      <c r="B155">
        <v>4</v>
      </c>
      <c r="C155" t="s">
        <v>886</v>
      </c>
      <c r="D155" s="307" t="s">
        <v>887</v>
      </c>
      <c r="E155" s="4"/>
    </row>
    <row r="156" spans="1:5">
      <c r="A156" t="s">
        <v>1102</v>
      </c>
      <c r="B156">
        <v>5</v>
      </c>
      <c r="C156" t="s">
        <v>888</v>
      </c>
      <c r="D156" s="307" t="s">
        <v>889</v>
      </c>
      <c r="E156" s="4"/>
    </row>
    <row r="157" spans="1:5">
      <c r="E157" s="4"/>
    </row>
    <row r="158" spans="1:5">
      <c r="A158" t="s">
        <v>1109</v>
      </c>
      <c r="B158">
        <v>1</v>
      </c>
      <c r="C158" t="s">
        <v>1110</v>
      </c>
      <c r="D158" t="s">
        <v>1111</v>
      </c>
      <c r="E158" s="4"/>
    </row>
    <row r="159" spans="1:5">
      <c r="A159" t="s">
        <v>1109</v>
      </c>
      <c r="B159">
        <v>2</v>
      </c>
      <c r="C159" t="s">
        <v>1112</v>
      </c>
      <c r="D159" t="s">
        <v>1113</v>
      </c>
      <c r="E159" s="4"/>
    </row>
    <row r="160" spans="1:5">
      <c r="A160" t="s">
        <v>1109</v>
      </c>
      <c r="B160">
        <v>3</v>
      </c>
      <c r="C160" t="s">
        <v>1114</v>
      </c>
      <c r="D160" t="s">
        <v>1115</v>
      </c>
      <c r="E160" s="4"/>
    </row>
    <row r="161" spans="1:5">
      <c r="A161" t="s">
        <v>1109</v>
      </c>
      <c r="B161">
        <v>4</v>
      </c>
      <c r="C161" t="s">
        <v>1116</v>
      </c>
      <c r="D161" t="s">
        <v>1117</v>
      </c>
      <c r="E161" s="4"/>
    </row>
    <row r="162" spans="1:5">
      <c r="A162" t="s">
        <v>1109</v>
      </c>
      <c r="B162">
        <v>5</v>
      </c>
      <c r="C162" t="s">
        <v>1118</v>
      </c>
      <c r="D162" t="s">
        <v>1119</v>
      </c>
      <c r="E162" s="4"/>
    </row>
    <row r="163" spans="1:5">
      <c r="A163" t="s">
        <v>1109</v>
      </c>
      <c r="B163" s="308">
        <v>6</v>
      </c>
      <c r="C163" t="s">
        <v>886</v>
      </c>
      <c r="D163" t="s">
        <v>887</v>
      </c>
      <c r="E163" s="4"/>
    </row>
    <row r="164" spans="1:5">
      <c r="A164" t="s">
        <v>1109</v>
      </c>
      <c r="B164" s="308">
        <v>7</v>
      </c>
      <c r="C164" t="s">
        <v>888</v>
      </c>
      <c r="D164" t="s">
        <v>889</v>
      </c>
      <c r="E164" s="4"/>
    </row>
    <row r="165" spans="1:5">
      <c r="E165" s="4"/>
    </row>
    <row r="166" spans="1:5" s="14" customFormat="1">
      <c r="A166" s="307" t="s">
        <v>1120</v>
      </c>
      <c r="B166">
        <v>1</v>
      </c>
      <c r="C166" t="s">
        <v>1061</v>
      </c>
      <c r="D166" t="s">
        <v>1062</v>
      </c>
      <c r="E166" s="5"/>
    </row>
    <row r="167" spans="1:5" s="14" customFormat="1">
      <c r="A167" s="307" t="s">
        <v>1120</v>
      </c>
      <c r="B167">
        <v>2</v>
      </c>
      <c r="C167" t="s">
        <v>1063</v>
      </c>
      <c r="D167" t="s">
        <v>1064</v>
      </c>
      <c r="E167" s="5"/>
    </row>
    <row r="168" spans="1:5" s="14" customFormat="1">
      <c r="A168" s="307" t="s">
        <v>1120</v>
      </c>
      <c r="B168">
        <v>3</v>
      </c>
      <c r="C168" t="s">
        <v>1065</v>
      </c>
      <c r="D168" t="s">
        <v>1066</v>
      </c>
      <c r="E168" s="5"/>
    </row>
    <row r="169" spans="1:5" s="14" customFormat="1">
      <c r="A169" s="307" t="s">
        <v>1120</v>
      </c>
      <c r="B169">
        <v>4</v>
      </c>
      <c r="C169" t="s">
        <v>1067</v>
      </c>
      <c r="D169" t="s">
        <v>1068</v>
      </c>
      <c r="E169" s="5"/>
    </row>
    <row r="170" spans="1:5" s="14" customFormat="1">
      <c r="A170" s="307" t="s">
        <v>1120</v>
      </c>
      <c r="B170">
        <v>5</v>
      </c>
      <c r="C170" t="s">
        <v>1069</v>
      </c>
      <c r="D170" t="s">
        <v>1070</v>
      </c>
      <c r="E170" s="5"/>
    </row>
    <row r="171" spans="1:5" s="14" customFormat="1">
      <c r="A171" s="307" t="s">
        <v>1120</v>
      </c>
      <c r="B171">
        <v>6</v>
      </c>
      <c r="C171" t="s">
        <v>1071</v>
      </c>
      <c r="D171" t="s">
        <v>1072</v>
      </c>
      <c r="E171" s="5"/>
    </row>
    <row r="172" spans="1:5" s="14" customFormat="1">
      <c r="A172" s="307" t="s">
        <v>1120</v>
      </c>
      <c r="B172">
        <v>7</v>
      </c>
      <c r="C172" t="s">
        <v>1073</v>
      </c>
      <c r="D172" t="s">
        <v>1074</v>
      </c>
      <c r="E172" s="5"/>
    </row>
    <row r="173" spans="1:5" s="14" customFormat="1">
      <c r="A173" s="307" t="s">
        <v>1120</v>
      </c>
      <c r="B173">
        <v>8</v>
      </c>
      <c r="C173" t="s">
        <v>1075</v>
      </c>
      <c r="D173" t="s">
        <v>1076</v>
      </c>
      <c r="E173" s="5"/>
    </row>
    <row r="174" spans="1:5" s="14" customFormat="1">
      <c r="A174" s="307" t="s">
        <v>1120</v>
      </c>
      <c r="B174">
        <v>9</v>
      </c>
      <c r="C174" t="s">
        <v>1077</v>
      </c>
      <c r="D174" t="s">
        <v>1078</v>
      </c>
      <c r="E174" s="5"/>
    </row>
    <row r="175" spans="1:5" s="14" customFormat="1">
      <c r="A175" s="307" t="s">
        <v>1120</v>
      </c>
      <c r="B175">
        <v>10</v>
      </c>
      <c r="C175" t="s">
        <v>1079</v>
      </c>
      <c r="D175" t="s">
        <v>1080</v>
      </c>
      <c r="E175" s="5"/>
    </row>
    <row r="176" spans="1:5" s="14" customFormat="1">
      <c r="A176" s="307" t="s">
        <v>1120</v>
      </c>
      <c r="B176">
        <v>11</v>
      </c>
      <c r="C176" t="s">
        <v>1081</v>
      </c>
      <c r="D176" t="s">
        <v>1082</v>
      </c>
      <c r="E176" s="5"/>
    </row>
    <row r="177" spans="1:5" s="14" customFormat="1">
      <c r="A177" s="307" t="s">
        <v>1120</v>
      </c>
      <c r="B177">
        <v>12</v>
      </c>
      <c r="C177" t="s">
        <v>1083</v>
      </c>
      <c r="D177" t="s">
        <v>1084</v>
      </c>
      <c r="E177" s="5"/>
    </row>
    <row r="178" spans="1:5" s="14" customFormat="1">
      <c r="A178" s="307" t="s">
        <v>1120</v>
      </c>
      <c r="B178">
        <v>13</v>
      </c>
      <c r="C178" t="s">
        <v>1085</v>
      </c>
      <c r="D178" t="s">
        <v>1086</v>
      </c>
      <c r="E178" s="5"/>
    </row>
    <row r="179" spans="1:5" s="14" customFormat="1">
      <c r="A179" s="307" t="s">
        <v>1120</v>
      </c>
      <c r="B179">
        <v>14</v>
      </c>
      <c r="C179" t="s">
        <v>1087</v>
      </c>
      <c r="D179" t="s">
        <v>1088</v>
      </c>
      <c r="E179" s="5"/>
    </row>
    <row r="180" spans="1:5" s="14" customFormat="1">
      <c r="A180" s="307" t="s">
        <v>1120</v>
      </c>
      <c r="B180" s="307">
        <v>15</v>
      </c>
      <c r="C180" s="307" t="s">
        <v>1089</v>
      </c>
      <c r="D180" t="s">
        <v>1090</v>
      </c>
      <c r="E180" s="5"/>
    </row>
    <row r="181" spans="1:5" s="14" customFormat="1">
      <c r="A181" s="307" t="s">
        <v>1120</v>
      </c>
      <c r="B181" s="307">
        <v>16</v>
      </c>
      <c r="C181" s="307" t="s">
        <v>1091</v>
      </c>
      <c r="D181" t="s">
        <v>1092</v>
      </c>
      <c r="E181" s="5"/>
    </row>
    <row r="182" spans="1:5" s="14" customFormat="1">
      <c r="A182" s="307" t="s">
        <v>1120</v>
      </c>
      <c r="B182" s="307">
        <v>17</v>
      </c>
      <c r="C182" s="307" t="s">
        <v>1093</v>
      </c>
      <c r="D182" t="s">
        <v>1094</v>
      </c>
      <c r="E182" s="5"/>
    </row>
    <row r="183" spans="1:5" s="14" customFormat="1">
      <c r="A183" s="307" t="s">
        <v>1120</v>
      </c>
      <c r="B183" s="307">
        <v>18</v>
      </c>
      <c r="C183" s="307" t="s">
        <v>1121</v>
      </c>
      <c r="D183" t="s">
        <v>1096</v>
      </c>
      <c r="E183" s="5"/>
    </row>
    <row r="184" spans="1:5" s="14" customFormat="1">
      <c r="A184" s="307" t="s">
        <v>1120</v>
      </c>
      <c r="B184" s="307">
        <v>19</v>
      </c>
      <c r="C184" s="307" t="s">
        <v>1122</v>
      </c>
      <c r="D184" s="307" t="s">
        <v>1123</v>
      </c>
      <c r="E184" s="5"/>
    </row>
    <row r="185" spans="1:5" s="14" customFormat="1">
      <c r="A185" s="307" t="s">
        <v>1120</v>
      </c>
      <c r="B185" s="308">
        <v>20</v>
      </c>
      <c r="C185" s="307" t="s">
        <v>886</v>
      </c>
      <c r="D185" t="s">
        <v>887</v>
      </c>
      <c r="E185" s="5"/>
    </row>
    <row r="186" spans="1:5" s="14" customFormat="1">
      <c r="A186" s="307" t="s">
        <v>1120</v>
      </c>
      <c r="B186" s="308">
        <v>21</v>
      </c>
      <c r="C186" s="307" t="s">
        <v>888</v>
      </c>
      <c r="D186" t="s">
        <v>889</v>
      </c>
      <c r="E186" s="5"/>
    </row>
    <row r="187" spans="1:5" s="14" customFormat="1">
      <c r="E187" s="5"/>
    </row>
    <row r="188" spans="1:5" s="14" customFormat="1">
      <c r="A188" s="307" t="s">
        <v>1124</v>
      </c>
      <c r="B188">
        <v>1</v>
      </c>
      <c r="C188" t="s">
        <v>1061</v>
      </c>
      <c r="D188" t="s">
        <v>1062</v>
      </c>
      <c r="E188" s="5"/>
    </row>
    <row r="189" spans="1:5" s="14" customFormat="1">
      <c r="A189" s="307" t="s">
        <v>1124</v>
      </c>
      <c r="B189">
        <v>2</v>
      </c>
      <c r="C189" t="s">
        <v>1063</v>
      </c>
      <c r="D189" t="s">
        <v>1064</v>
      </c>
      <c r="E189" s="5"/>
    </row>
    <row r="190" spans="1:5" s="14" customFormat="1">
      <c r="A190" s="307" t="s">
        <v>1124</v>
      </c>
      <c r="B190">
        <v>3</v>
      </c>
      <c r="C190" t="s">
        <v>1065</v>
      </c>
      <c r="D190" t="s">
        <v>1066</v>
      </c>
      <c r="E190" s="5"/>
    </row>
    <row r="191" spans="1:5" s="14" customFormat="1">
      <c r="A191" s="307" t="s">
        <v>1124</v>
      </c>
      <c r="B191">
        <v>4</v>
      </c>
      <c r="C191" t="s">
        <v>1067</v>
      </c>
      <c r="D191" t="s">
        <v>1068</v>
      </c>
      <c r="E191" s="5"/>
    </row>
    <row r="192" spans="1:5" s="14" customFormat="1">
      <c r="A192" s="307" t="s">
        <v>1124</v>
      </c>
      <c r="B192">
        <v>5</v>
      </c>
      <c r="C192" t="s">
        <v>1069</v>
      </c>
      <c r="D192" t="s">
        <v>1070</v>
      </c>
      <c r="E192" s="5"/>
    </row>
    <row r="193" spans="1:5" s="14" customFormat="1">
      <c r="A193" s="307" t="s">
        <v>1124</v>
      </c>
      <c r="B193">
        <v>6</v>
      </c>
      <c r="C193" t="s">
        <v>1071</v>
      </c>
      <c r="D193" t="s">
        <v>1072</v>
      </c>
      <c r="E193" s="5"/>
    </row>
    <row r="194" spans="1:5" s="14" customFormat="1">
      <c r="A194" s="307" t="s">
        <v>1124</v>
      </c>
      <c r="B194">
        <v>7</v>
      </c>
      <c r="C194" t="s">
        <v>1073</v>
      </c>
      <c r="D194" t="s">
        <v>1074</v>
      </c>
      <c r="E194" s="5"/>
    </row>
    <row r="195" spans="1:5" s="14" customFormat="1">
      <c r="A195" s="307" t="s">
        <v>1124</v>
      </c>
      <c r="B195">
        <v>8</v>
      </c>
      <c r="C195" t="s">
        <v>1075</v>
      </c>
      <c r="D195" t="s">
        <v>1076</v>
      </c>
      <c r="E195" s="5"/>
    </row>
    <row r="196" spans="1:5" s="14" customFormat="1">
      <c r="A196" s="307" t="s">
        <v>1124</v>
      </c>
      <c r="B196">
        <v>9</v>
      </c>
      <c r="C196" t="s">
        <v>1077</v>
      </c>
      <c r="D196" t="s">
        <v>1078</v>
      </c>
      <c r="E196" s="5"/>
    </row>
    <row r="197" spans="1:5" s="14" customFormat="1">
      <c r="A197" s="307" t="s">
        <v>1124</v>
      </c>
      <c r="B197">
        <v>10</v>
      </c>
      <c r="C197" t="s">
        <v>1079</v>
      </c>
      <c r="D197" t="s">
        <v>1080</v>
      </c>
      <c r="E197" s="5"/>
    </row>
    <row r="198" spans="1:5" s="14" customFormat="1">
      <c r="A198" s="307" t="s">
        <v>1124</v>
      </c>
      <c r="B198">
        <v>11</v>
      </c>
      <c r="C198" t="s">
        <v>1081</v>
      </c>
      <c r="D198" t="s">
        <v>1082</v>
      </c>
      <c r="E198" s="5"/>
    </row>
    <row r="199" spans="1:5" s="14" customFormat="1">
      <c r="A199" s="307" t="s">
        <v>1124</v>
      </c>
      <c r="B199">
        <v>12</v>
      </c>
      <c r="C199" t="s">
        <v>1083</v>
      </c>
      <c r="D199" t="s">
        <v>1084</v>
      </c>
      <c r="E199" s="5"/>
    </row>
    <row r="200" spans="1:5" s="14" customFormat="1">
      <c r="A200" s="307" t="s">
        <v>1124</v>
      </c>
      <c r="B200">
        <v>13</v>
      </c>
      <c r="C200" t="s">
        <v>1085</v>
      </c>
      <c r="D200" t="s">
        <v>1086</v>
      </c>
      <c r="E200" s="5"/>
    </row>
    <row r="201" spans="1:5" s="14" customFormat="1">
      <c r="A201" s="307" t="s">
        <v>1124</v>
      </c>
      <c r="B201">
        <v>14</v>
      </c>
      <c r="C201" t="s">
        <v>1087</v>
      </c>
      <c r="D201" t="s">
        <v>1088</v>
      </c>
      <c r="E201" s="5"/>
    </row>
    <row r="202" spans="1:5" s="14" customFormat="1">
      <c r="A202" s="307" t="s">
        <v>1124</v>
      </c>
      <c r="B202" s="307">
        <v>15</v>
      </c>
      <c r="C202" s="307" t="s">
        <v>1089</v>
      </c>
      <c r="D202" t="s">
        <v>1090</v>
      </c>
      <c r="E202" s="5"/>
    </row>
    <row r="203" spans="1:5" s="14" customFormat="1">
      <c r="A203" s="307" t="s">
        <v>1124</v>
      </c>
      <c r="B203" s="307">
        <v>16</v>
      </c>
      <c r="C203" s="307" t="s">
        <v>1091</v>
      </c>
      <c r="D203" t="s">
        <v>1092</v>
      </c>
      <c r="E203" s="5"/>
    </row>
    <row r="204" spans="1:5" s="14" customFormat="1">
      <c r="A204" s="307" t="s">
        <v>1124</v>
      </c>
      <c r="B204" s="307">
        <v>17</v>
      </c>
      <c r="C204" s="307" t="s">
        <v>1093</v>
      </c>
      <c r="D204" t="s">
        <v>1094</v>
      </c>
      <c r="E204" s="5"/>
    </row>
    <row r="205" spans="1:5" s="14" customFormat="1">
      <c r="A205" s="307" t="s">
        <v>1124</v>
      </c>
      <c r="B205" s="307">
        <v>18</v>
      </c>
      <c r="C205" s="307" t="s">
        <v>1125</v>
      </c>
      <c r="D205" t="s">
        <v>1096</v>
      </c>
      <c r="E205" s="5"/>
    </row>
    <row r="206" spans="1:5" s="14" customFormat="1">
      <c r="A206" s="307" t="s">
        <v>1124</v>
      </c>
      <c r="B206" s="307">
        <v>19</v>
      </c>
      <c r="C206" s="307" t="s">
        <v>1126</v>
      </c>
      <c r="D206" s="307" t="s">
        <v>1127</v>
      </c>
      <c r="E206" s="5"/>
    </row>
    <row r="207" spans="1:5" s="14" customFormat="1">
      <c r="A207" s="307" t="s">
        <v>1124</v>
      </c>
      <c r="B207" s="308">
        <v>20</v>
      </c>
      <c r="C207" s="307" t="s">
        <v>886</v>
      </c>
      <c r="D207" t="s">
        <v>887</v>
      </c>
      <c r="E207" s="5"/>
    </row>
    <row r="208" spans="1:5" s="14" customFormat="1">
      <c r="A208" s="307" t="s">
        <v>1124</v>
      </c>
      <c r="B208" s="308">
        <v>21</v>
      </c>
      <c r="C208" s="307" t="s">
        <v>888</v>
      </c>
      <c r="D208" t="s">
        <v>889</v>
      </c>
      <c r="E208" s="5"/>
    </row>
    <row r="209" spans="1:5" s="12" customFormat="1">
      <c r="E209" s="8"/>
    </row>
    <row r="210" spans="1:5">
      <c r="A210" t="s">
        <v>312</v>
      </c>
      <c r="B210" t="s">
        <v>1128</v>
      </c>
      <c r="C210" t="s">
        <v>1129</v>
      </c>
      <c r="D210" t="s">
        <v>1130</v>
      </c>
      <c r="E210" s="4"/>
    </row>
    <row r="211" spans="1:5">
      <c r="A211" t="s">
        <v>312</v>
      </c>
      <c r="B211" t="s">
        <v>1131</v>
      </c>
      <c r="C211" t="s">
        <v>1132</v>
      </c>
      <c r="D211" t="s">
        <v>1133</v>
      </c>
      <c r="E211" s="4"/>
    </row>
    <row r="212" spans="1:5">
      <c r="A212" t="s">
        <v>312</v>
      </c>
      <c r="B212" t="s">
        <v>1134</v>
      </c>
      <c r="C212" t="s">
        <v>1135</v>
      </c>
      <c r="D212" t="s">
        <v>1136</v>
      </c>
      <c r="E212" s="4"/>
    </row>
    <row r="213" spans="1:5">
      <c r="A213" t="s">
        <v>312</v>
      </c>
      <c r="B213" t="s">
        <v>1137</v>
      </c>
      <c r="C213" t="s">
        <v>1138</v>
      </c>
      <c r="D213" t="s">
        <v>1139</v>
      </c>
      <c r="E213" s="4"/>
    </row>
    <row r="214" spans="1:5">
      <c r="A214" t="s">
        <v>312</v>
      </c>
      <c r="B214" t="s">
        <v>1140</v>
      </c>
      <c r="C214" t="s">
        <v>1141</v>
      </c>
      <c r="D214" t="s">
        <v>1142</v>
      </c>
      <c r="E214" s="4"/>
    </row>
    <row r="215" spans="1:5">
      <c r="A215" t="s">
        <v>312</v>
      </c>
      <c r="B215" t="s">
        <v>1143</v>
      </c>
      <c r="C215" t="s">
        <v>1144</v>
      </c>
      <c r="D215" t="s">
        <v>1145</v>
      </c>
      <c r="E215" s="4"/>
    </row>
    <row r="216" spans="1:5">
      <c r="A216" t="s">
        <v>312</v>
      </c>
      <c r="B216" t="s">
        <v>1146</v>
      </c>
      <c r="C216" t="s">
        <v>1147</v>
      </c>
      <c r="D216" t="s">
        <v>1148</v>
      </c>
      <c r="E216" s="4"/>
    </row>
    <row r="217" spans="1:5">
      <c r="A217" t="s">
        <v>312</v>
      </c>
      <c r="B217" t="s">
        <v>1149</v>
      </c>
      <c r="C217" t="s">
        <v>1150</v>
      </c>
      <c r="D217" t="s">
        <v>1151</v>
      </c>
      <c r="E217" s="4"/>
    </row>
    <row r="218" spans="1:5">
      <c r="A218" t="s">
        <v>312</v>
      </c>
      <c r="B218" t="s">
        <v>1152</v>
      </c>
      <c r="C218" t="s">
        <v>1153</v>
      </c>
      <c r="D218" t="s">
        <v>1154</v>
      </c>
      <c r="E218" s="4"/>
    </row>
    <row r="219" spans="1:5">
      <c r="A219" t="s">
        <v>312</v>
      </c>
      <c r="B219" t="s">
        <v>1155</v>
      </c>
      <c r="C219" t="s">
        <v>1156</v>
      </c>
      <c r="D219" t="s">
        <v>1157</v>
      </c>
      <c r="E219" s="4"/>
    </row>
    <row r="220" spans="1:5">
      <c r="A220" t="s">
        <v>312</v>
      </c>
      <c r="B220" t="s">
        <v>1158</v>
      </c>
      <c r="C220" t="s">
        <v>1159</v>
      </c>
      <c r="D220" t="s">
        <v>1160</v>
      </c>
      <c r="E220" s="4"/>
    </row>
    <row r="221" spans="1:5">
      <c r="A221" t="s">
        <v>312</v>
      </c>
      <c r="B221" t="s">
        <v>1161</v>
      </c>
      <c r="C221" t="s">
        <v>1162</v>
      </c>
      <c r="D221" t="s">
        <v>1163</v>
      </c>
      <c r="E221" s="4"/>
    </row>
    <row r="222" spans="1:5">
      <c r="A222" t="s">
        <v>312</v>
      </c>
      <c r="B222" t="s">
        <v>1164</v>
      </c>
      <c r="C222" t="s">
        <v>1165</v>
      </c>
      <c r="D222" t="s">
        <v>1166</v>
      </c>
      <c r="E222" s="4"/>
    </row>
    <row r="223" spans="1:5">
      <c r="A223" t="s">
        <v>312</v>
      </c>
      <c r="B223" t="s">
        <v>1167</v>
      </c>
      <c r="C223" t="s">
        <v>1168</v>
      </c>
      <c r="D223" t="s">
        <v>1169</v>
      </c>
      <c r="E223" s="4"/>
    </row>
    <row r="224" spans="1:5">
      <c r="A224" t="s">
        <v>312</v>
      </c>
      <c r="B224" t="s">
        <v>1170</v>
      </c>
      <c r="C224" t="s">
        <v>1171</v>
      </c>
      <c r="D224" t="s">
        <v>1172</v>
      </c>
      <c r="E224" s="4"/>
    </row>
    <row r="225" spans="1:5">
      <c r="A225" t="s">
        <v>312</v>
      </c>
      <c r="B225" t="s">
        <v>1173</v>
      </c>
      <c r="C225" t="s">
        <v>1174</v>
      </c>
      <c r="D225" t="s">
        <v>1175</v>
      </c>
      <c r="E225" s="4"/>
    </row>
    <row r="226" spans="1:5">
      <c r="A226" t="s">
        <v>312</v>
      </c>
      <c r="B226" t="s">
        <v>1176</v>
      </c>
      <c r="C226" t="s">
        <v>1177</v>
      </c>
      <c r="D226" t="s">
        <v>1178</v>
      </c>
      <c r="E226" s="4"/>
    </row>
    <row r="227" spans="1:5">
      <c r="A227" t="s">
        <v>312</v>
      </c>
      <c r="B227" t="s">
        <v>1179</v>
      </c>
      <c r="C227" t="s">
        <v>1180</v>
      </c>
      <c r="D227" t="s">
        <v>1181</v>
      </c>
      <c r="E227" s="4"/>
    </row>
    <row r="228" spans="1:5">
      <c r="A228" t="s">
        <v>312</v>
      </c>
      <c r="B228" t="s">
        <v>1182</v>
      </c>
      <c r="C228" t="s">
        <v>1183</v>
      </c>
      <c r="D228" t="s">
        <v>1184</v>
      </c>
      <c r="E228" s="4"/>
    </row>
    <row r="229" spans="1:5">
      <c r="A229" t="s">
        <v>312</v>
      </c>
      <c r="B229" t="s">
        <v>1185</v>
      </c>
      <c r="C229" t="s">
        <v>1186</v>
      </c>
      <c r="D229" t="s">
        <v>1187</v>
      </c>
      <c r="E229" s="4"/>
    </row>
    <row r="230" spans="1:5">
      <c r="A230" t="s">
        <v>312</v>
      </c>
      <c r="B230" t="s">
        <v>1188</v>
      </c>
      <c r="C230" t="s">
        <v>1189</v>
      </c>
      <c r="D230" t="s">
        <v>1190</v>
      </c>
      <c r="E230" s="4"/>
    </row>
    <row r="231" spans="1:5">
      <c r="A231" t="s">
        <v>312</v>
      </c>
      <c r="B231" t="s">
        <v>1191</v>
      </c>
      <c r="C231" t="s">
        <v>1192</v>
      </c>
      <c r="D231" t="s">
        <v>1193</v>
      </c>
      <c r="E231" s="4"/>
    </row>
    <row r="232" spans="1:5">
      <c r="A232" t="s">
        <v>312</v>
      </c>
      <c r="B232" t="s">
        <v>1194</v>
      </c>
      <c r="C232" t="s">
        <v>1195</v>
      </c>
      <c r="D232" t="s">
        <v>1196</v>
      </c>
      <c r="E232" s="4"/>
    </row>
    <row r="233" spans="1:5">
      <c r="A233" t="s">
        <v>312</v>
      </c>
      <c r="B233" t="s">
        <v>1197</v>
      </c>
      <c r="C233" t="s">
        <v>1198</v>
      </c>
      <c r="D233" t="s">
        <v>1199</v>
      </c>
      <c r="E233" s="4"/>
    </row>
    <row r="234" spans="1:5">
      <c r="A234" t="s">
        <v>312</v>
      </c>
      <c r="B234" t="s">
        <v>1200</v>
      </c>
      <c r="C234" t="s">
        <v>1201</v>
      </c>
      <c r="D234" t="s">
        <v>1202</v>
      </c>
      <c r="E234" s="4"/>
    </row>
    <row r="235" spans="1:5">
      <c r="A235" t="s">
        <v>312</v>
      </c>
      <c r="B235" t="s">
        <v>1010</v>
      </c>
      <c r="C235" t="s">
        <v>886</v>
      </c>
      <c r="D235" t="s">
        <v>887</v>
      </c>
      <c r="E235" s="4"/>
    </row>
    <row r="236" spans="1:5">
      <c r="A236" t="s">
        <v>312</v>
      </c>
      <c r="B236" t="s">
        <v>1011</v>
      </c>
      <c r="C236" t="s">
        <v>888</v>
      </c>
      <c r="D236" t="s">
        <v>889</v>
      </c>
      <c r="E236" s="4"/>
    </row>
    <row r="237" spans="1:5">
      <c r="E237" s="4"/>
    </row>
    <row r="238" spans="1:5">
      <c r="A238" s="309" t="s">
        <v>1203</v>
      </c>
      <c r="B238" s="309" t="s">
        <v>1204</v>
      </c>
      <c r="C238" s="309" t="s">
        <v>1205</v>
      </c>
      <c r="D238" s="309" t="s">
        <v>1206</v>
      </c>
      <c r="E238" s="4"/>
    </row>
    <row r="239" spans="1:5">
      <c r="A239" s="309" t="s">
        <v>1203</v>
      </c>
      <c r="B239" s="309" t="s">
        <v>1207</v>
      </c>
      <c r="C239" s="309" t="s">
        <v>1208</v>
      </c>
      <c r="D239" s="309" t="s">
        <v>1209</v>
      </c>
      <c r="E239" s="4"/>
    </row>
    <row r="240" spans="1:5">
      <c r="A240" s="309" t="s">
        <v>1203</v>
      </c>
      <c r="B240" s="309" t="s">
        <v>1210</v>
      </c>
      <c r="C240" s="309" t="s">
        <v>1211</v>
      </c>
      <c r="D240" s="309" t="s">
        <v>1212</v>
      </c>
      <c r="E240" s="4"/>
    </row>
    <row r="241" spans="1:5">
      <c r="A241" s="309" t="s">
        <v>1203</v>
      </c>
      <c r="B241" s="309" t="s">
        <v>1213</v>
      </c>
      <c r="C241" s="309" t="s">
        <v>1214</v>
      </c>
      <c r="D241" s="309" t="s">
        <v>1215</v>
      </c>
      <c r="E241" s="4"/>
    </row>
    <row r="242" spans="1:5">
      <c r="A242" s="309" t="s">
        <v>1203</v>
      </c>
      <c r="B242" s="309" t="s">
        <v>1216</v>
      </c>
      <c r="C242" s="309" t="s">
        <v>1217</v>
      </c>
      <c r="D242" s="309" t="s">
        <v>1218</v>
      </c>
      <c r="E242" s="4"/>
    </row>
    <row r="243" spans="1:5">
      <c r="A243" s="309" t="s">
        <v>1203</v>
      </c>
      <c r="B243" s="309" t="s">
        <v>1219</v>
      </c>
      <c r="C243" s="309" t="s">
        <v>1220</v>
      </c>
      <c r="D243" s="309" t="s">
        <v>1221</v>
      </c>
      <c r="E243" s="4"/>
    </row>
    <row r="244" spans="1:5">
      <c r="A244" s="309" t="s">
        <v>1203</v>
      </c>
      <c r="B244" s="309" t="s">
        <v>1222</v>
      </c>
      <c r="C244" s="309" t="s">
        <v>1223</v>
      </c>
      <c r="D244" s="309" t="s">
        <v>1224</v>
      </c>
      <c r="E244" s="4"/>
    </row>
    <row r="245" spans="1:5">
      <c r="A245" s="309" t="s">
        <v>1203</v>
      </c>
      <c r="B245" s="309" t="s">
        <v>1225</v>
      </c>
      <c r="C245" s="309" t="s">
        <v>1226</v>
      </c>
      <c r="D245" s="309" t="s">
        <v>1227</v>
      </c>
      <c r="E245" s="4"/>
    </row>
    <row r="246" spans="1:5">
      <c r="A246" s="309" t="s">
        <v>1203</v>
      </c>
      <c r="B246" s="309" t="s">
        <v>1004</v>
      </c>
      <c r="C246" s="309" t="s">
        <v>1228</v>
      </c>
      <c r="D246" s="309" t="s">
        <v>1229</v>
      </c>
      <c r="E246" s="4"/>
    </row>
    <row r="247" spans="1:5">
      <c r="A247" s="309" t="s">
        <v>1203</v>
      </c>
      <c r="B247" s="309" t="s">
        <v>1007</v>
      </c>
      <c r="C247" s="309" t="s">
        <v>1230</v>
      </c>
      <c r="D247" s="309" t="s">
        <v>1231</v>
      </c>
      <c r="E247" s="4"/>
    </row>
    <row r="248" spans="1:5">
      <c r="A248" s="309" t="s">
        <v>1203</v>
      </c>
      <c r="B248" s="309" t="s">
        <v>1010</v>
      </c>
      <c r="C248" s="309" t="s">
        <v>886</v>
      </c>
      <c r="D248" s="309" t="s">
        <v>887</v>
      </c>
      <c r="E248" s="4"/>
    </row>
    <row r="249" spans="1:5">
      <c r="A249" s="309" t="s">
        <v>1203</v>
      </c>
      <c r="B249" s="309" t="s">
        <v>1011</v>
      </c>
      <c r="C249" s="309" t="s">
        <v>888</v>
      </c>
      <c r="D249" s="309" t="s">
        <v>889</v>
      </c>
      <c r="E249" s="4"/>
    </row>
    <row r="250" spans="1:5">
      <c r="E250" s="4"/>
    </row>
    <row r="251" spans="1:5" s="13" customFormat="1">
      <c r="A251" s="307" t="s">
        <v>1232</v>
      </c>
      <c r="B251" s="307">
        <v>1</v>
      </c>
      <c r="C251" s="307" t="s">
        <v>1233</v>
      </c>
      <c r="D251" s="307" t="s">
        <v>1234</v>
      </c>
      <c r="E251" s="15"/>
    </row>
    <row r="252" spans="1:5" s="13" customFormat="1">
      <c r="A252" s="307" t="s">
        <v>1232</v>
      </c>
      <c r="B252" s="307">
        <v>2</v>
      </c>
      <c r="C252" s="307" t="s">
        <v>1235</v>
      </c>
      <c r="D252" s="307" t="s">
        <v>1236</v>
      </c>
      <c r="E252" s="15"/>
    </row>
    <row r="253" spans="1:5" s="13" customFormat="1">
      <c r="A253" s="307" t="s">
        <v>1232</v>
      </c>
      <c r="B253" s="307">
        <v>3</v>
      </c>
      <c r="C253" s="307" t="s">
        <v>1237</v>
      </c>
      <c r="D253" s="307" t="s">
        <v>1238</v>
      </c>
      <c r="E253" s="15"/>
    </row>
    <row r="254" spans="1:5" s="13" customFormat="1">
      <c r="A254" s="307" t="s">
        <v>1232</v>
      </c>
      <c r="B254" s="307">
        <v>4</v>
      </c>
      <c r="C254" s="307" t="s">
        <v>1239</v>
      </c>
      <c r="D254" s="307" t="s">
        <v>1240</v>
      </c>
      <c r="E254" s="15"/>
    </row>
    <row r="255" spans="1:5" s="13" customFormat="1">
      <c r="A255" s="307" t="s">
        <v>1232</v>
      </c>
      <c r="B255" s="307">
        <v>5</v>
      </c>
      <c r="C255" s="310" t="s">
        <v>1241</v>
      </c>
      <c r="D255" s="311" t="s">
        <v>1242</v>
      </c>
      <c r="E255" s="15"/>
    </row>
    <row r="256" spans="1:5" s="13" customFormat="1">
      <c r="E256" s="15"/>
    </row>
    <row r="257" spans="1:5" s="14" customFormat="1">
      <c r="A257" s="307" t="s">
        <v>1243</v>
      </c>
      <c r="B257" s="307">
        <v>1</v>
      </c>
      <c r="C257" s="307" t="s">
        <v>1244</v>
      </c>
      <c r="D257" s="307" t="s">
        <v>1245</v>
      </c>
      <c r="E257" s="5"/>
    </row>
    <row r="258" spans="1:5" s="14" customFormat="1">
      <c r="A258" s="307" t="s">
        <v>1243</v>
      </c>
      <c r="B258" s="307">
        <v>2</v>
      </c>
      <c r="C258" s="307" t="s">
        <v>1246</v>
      </c>
      <c r="D258" s="307" t="s">
        <v>1247</v>
      </c>
      <c r="E258" s="5"/>
    </row>
    <row r="259" spans="1:5" s="13" customFormat="1">
      <c r="E259" s="15"/>
    </row>
    <row r="260" spans="1:5" s="13" customFormat="1">
      <c r="A260" s="307" t="s">
        <v>1248</v>
      </c>
      <c r="B260" s="307">
        <v>1</v>
      </c>
      <c r="C260" s="307" t="s">
        <v>1249</v>
      </c>
      <c r="D260" s="307" t="s">
        <v>1250</v>
      </c>
      <c r="E260" s="15"/>
    </row>
    <row r="261" spans="1:5" s="13" customFormat="1">
      <c r="A261" s="307" t="s">
        <v>1248</v>
      </c>
      <c r="B261" s="307">
        <v>2</v>
      </c>
      <c r="C261" s="307" t="s">
        <v>1251</v>
      </c>
      <c r="D261" s="307" t="s">
        <v>1252</v>
      </c>
      <c r="E261" s="15"/>
    </row>
    <row r="262" spans="1:5" s="13" customFormat="1">
      <c r="A262" s="307" t="s">
        <v>1248</v>
      </c>
      <c r="B262" s="307">
        <v>3</v>
      </c>
      <c r="C262" s="307" t="s">
        <v>1253</v>
      </c>
      <c r="D262" s="307" t="s">
        <v>1254</v>
      </c>
      <c r="E262" s="15"/>
    </row>
    <row r="263" spans="1:5" s="13" customFormat="1">
      <c r="A263" s="307" t="s">
        <v>1248</v>
      </c>
      <c r="B263" s="307">
        <v>4</v>
      </c>
      <c r="C263" s="307" t="s">
        <v>1255</v>
      </c>
      <c r="D263" s="307" t="s">
        <v>1256</v>
      </c>
      <c r="E263" s="15"/>
    </row>
    <row r="264" spans="1:5" s="13" customFormat="1">
      <c r="A264" s="307" t="s">
        <v>1248</v>
      </c>
      <c r="B264" s="307">
        <v>5</v>
      </c>
      <c r="C264" s="307" t="s">
        <v>1257</v>
      </c>
      <c r="D264" s="307" t="s">
        <v>1258</v>
      </c>
      <c r="E264" s="15"/>
    </row>
    <row r="265" spans="1:5" s="13" customFormat="1">
      <c r="A265" s="307" t="s">
        <v>1248</v>
      </c>
      <c r="B265" s="307">
        <v>6</v>
      </c>
      <c r="C265" s="307" t="s">
        <v>1228</v>
      </c>
      <c r="D265" t="s">
        <v>1229</v>
      </c>
      <c r="E265" s="15"/>
    </row>
    <row r="266" spans="1:5" s="13" customFormat="1">
      <c r="A266" s="307" t="s">
        <v>1248</v>
      </c>
      <c r="B266" s="307">
        <v>7</v>
      </c>
      <c r="C266" s="307" t="s">
        <v>886</v>
      </c>
      <c r="D266" t="s">
        <v>887</v>
      </c>
      <c r="E266" s="15"/>
    </row>
    <row r="267" spans="1:5" s="13" customFormat="1">
      <c r="A267" s="307" t="s">
        <v>1248</v>
      </c>
      <c r="B267" s="307">
        <v>8</v>
      </c>
      <c r="C267" s="307" t="s">
        <v>888</v>
      </c>
      <c r="D267" t="s">
        <v>889</v>
      </c>
      <c r="E267" s="15"/>
    </row>
    <row r="268" spans="1:5">
      <c r="E268" s="4"/>
    </row>
    <row r="269" spans="1:5" s="13" customFormat="1">
      <c r="A269" s="309" t="s">
        <v>1259</v>
      </c>
      <c r="B269" s="309">
        <v>1</v>
      </c>
      <c r="C269" s="309" t="s">
        <v>1260</v>
      </c>
      <c r="D269" t="s">
        <v>1261</v>
      </c>
      <c r="E269" s="15"/>
    </row>
    <row r="270" spans="1:5" s="13" customFormat="1">
      <c r="A270" s="309" t="s">
        <v>1259</v>
      </c>
      <c r="B270" s="309">
        <v>2</v>
      </c>
      <c r="C270" s="309" t="s">
        <v>1262</v>
      </c>
      <c r="D270" t="s">
        <v>1263</v>
      </c>
      <c r="E270" s="15"/>
    </row>
    <row r="271" spans="1:5" s="13" customFormat="1">
      <c r="A271" s="309" t="s">
        <v>1259</v>
      </c>
      <c r="B271" s="309">
        <v>3</v>
      </c>
      <c r="C271" s="309" t="s">
        <v>1264</v>
      </c>
      <c r="D271" t="s">
        <v>1265</v>
      </c>
      <c r="E271" s="15"/>
    </row>
    <row r="272" spans="1:5" s="13" customFormat="1">
      <c r="A272" s="309" t="s">
        <v>1259</v>
      </c>
      <c r="B272" s="309">
        <v>4</v>
      </c>
      <c r="C272" s="309" t="s">
        <v>1266</v>
      </c>
      <c r="D272" t="s">
        <v>1267</v>
      </c>
      <c r="E272" s="15"/>
    </row>
    <row r="273" spans="1:6" s="13" customFormat="1">
      <c r="A273" s="309" t="s">
        <v>1259</v>
      </c>
      <c r="B273" s="309">
        <v>5</v>
      </c>
      <c r="C273" s="309" t="s">
        <v>1268</v>
      </c>
      <c r="D273" t="s">
        <v>1269</v>
      </c>
      <c r="E273" s="15"/>
    </row>
    <row r="274" spans="1:6" s="13" customFormat="1">
      <c r="A274" s="309" t="s">
        <v>1259</v>
      </c>
      <c r="B274" s="309">
        <v>6</v>
      </c>
      <c r="C274" s="309" t="s">
        <v>886</v>
      </c>
      <c r="D274" t="s">
        <v>887</v>
      </c>
      <c r="E274" s="15"/>
    </row>
    <row r="275" spans="1:6" s="13" customFormat="1">
      <c r="A275" s="309" t="s">
        <v>1259</v>
      </c>
      <c r="B275" s="309">
        <v>7</v>
      </c>
      <c r="C275" s="309" t="s">
        <v>888</v>
      </c>
      <c r="D275" t="s">
        <v>889</v>
      </c>
      <c r="E275" s="15"/>
    </row>
    <row r="276" spans="1:6">
      <c r="E276" s="4"/>
      <c r="F276" s="13"/>
    </row>
    <row r="277" spans="1:6" s="13" customFormat="1">
      <c r="A277" s="309" t="s">
        <v>1270</v>
      </c>
      <c r="B277" s="309" t="s">
        <v>1271</v>
      </c>
      <c r="C277" s="309" t="s">
        <v>1272</v>
      </c>
      <c r="D277" s="309" t="s">
        <v>1273</v>
      </c>
      <c r="E277" s="15"/>
    </row>
    <row r="278" spans="1:6" s="13" customFormat="1">
      <c r="A278" s="309" t="s">
        <v>1270</v>
      </c>
      <c r="B278" s="309" t="s">
        <v>1274</v>
      </c>
      <c r="C278" s="309" t="s">
        <v>1275</v>
      </c>
      <c r="D278" s="309" t="s">
        <v>1276</v>
      </c>
      <c r="E278" s="15"/>
    </row>
    <row r="279" spans="1:6" s="13" customFormat="1">
      <c r="A279" s="309" t="s">
        <v>1270</v>
      </c>
      <c r="B279" s="309" t="s">
        <v>1277</v>
      </c>
      <c r="C279" s="309" t="s">
        <v>1278</v>
      </c>
      <c r="D279" s="309" t="s">
        <v>1279</v>
      </c>
      <c r="E279" s="15"/>
    </row>
    <row r="280" spans="1:6" s="13" customFormat="1">
      <c r="A280" s="309" t="s">
        <v>1270</v>
      </c>
      <c r="B280" s="309" t="s">
        <v>1280</v>
      </c>
      <c r="C280" s="309" t="s">
        <v>1281</v>
      </c>
      <c r="D280" s="309" t="s">
        <v>1282</v>
      </c>
      <c r="E280" s="15"/>
    </row>
    <row r="281" spans="1:6" s="13" customFormat="1">
      <c r="A281" s="309" t="s">
        <v>1270</v>
      </c>
      <c r="B281" s="309" t="s">
        <v>1283</v>
      </c>
      <c r="C281" s="309" t="s">
        <v>1284</v>
      </c>
      <c r="D281" s="309" t="s">
        <v>1285</v>
      </c>
      <c r="E281" s="15"/>
    </row>
    <row r="282" spans="1:6" s="13" customFormat="1">
      <c r="A282" s="309" t="s">
        <v>1270</v>
      </c>
      <c r="B282" s="309" t="s">
        <v>1286</v>
      </c>
      <c r="C282" s="309" t="s">
        <v>1287</v>
      </c>
      <c r="D282" s="309" t="s">
        <v>1288</v>
      </c>
      <c r="E282" s="15"/>
    </row>
    <row r="283" spans="1:6" s="13" customFormat="1">
      <c r="A283" s="309" t="s">
        <v>1270</v>
      </c>
      <c r="B283" s="309" t="s">
        <v>1289</v>
      </c>
      <c r="C283" s="309" t="s">
        <v>1290</v>
      </c>
      <c r="D283" s="309" t="s">
        <v>1291</v>
      </c>
      <c r="E283" s="15"/>
    </row>
    <row r="284" spans="1:6" s="13" customFormat="1">
      <c r="A284" s="309" t="s">
        <v>1270</v>
      </c>
      <c r="B284" s="309" t="s">
        <v>1004</v>
      </c>
      <c r="C284" s="309" t="s">
        <v>1292</v>
      </c>
      <c r="D284" s="309" t="s">
        <v>1293</v>
      </c>
      <c r="E284" s="15"/>
    </row>
    <row r="285" spans="1:6" s="13" customFormat="1">
      <c r="A285" s="309" t="s">
        <v>1270</v>
      </c>
      <c r="B285" s="309" t="s">
        <v>1010</v>
      </c>
      <c r="C285" s="309" t="s">
        <v>886</v>
      </c>
      <c r="D285" s="309" t="s">
        <v>887</v>
      </c>
      <c r="E285" s="15"/>
    </row>
    <row r="286" spans="1:6" s="13" customFormat="1">
      <c r="A286" s="309" t="s">
        <v>1270</v>
      </c>
      <c r="B286" s="309" t="s">
        <v>1011</v>
      </c>
      <c r="C286" s="309" t="s">
        <v>888</v>
      </c>
      <c r="D286" s="309" t="s">
        <v>889</v>
      </c>
      <c r="E286" s="15"/>
    </row>
    <row r="287" spans="1:6">
      <c r="E287" s="4"/>
    </row>
    <row r="288" spans="1:6">
      <c r="A288" s="309" t="s">
        <v>1294</v>
      </c>
      <c r="B288" s="309">
        <v>1</v>
      </c>
      <c r="C288" s="309" t="s">
        <v>1295</v>
      </c>
      <c r="D288" s="309" t="s">
        <v>1296</v>
      </c>
      <c r="E288" s="4"/>
    </row>
    <row r="289" spans="1:6">
      <c r="A289" s="309" t="s">
        <v>1294</v>
      </c>
      <c r="B289" s="309">
        <v>2</v>
      </c>
      <c r="C289" s="309" t="s">
        <v>1297</v>
      </c>
      <c r="D289" s="309" t="s">
        <v>1298</v>
      </c>
      <c r="E289" s="4"/>
    </row>
    <row r="290" spans="1:6">
      <c r="A290" s="309" t="s">
        <v>1294</v>
      </c>
      <c r="B290" s="309">
        <v>3</v>
      </c>
      <c r="C290" s="309" t="s">
        <v>1299</v>
      </c>
      <c r="D290" s="309" t="s">
        <v>1300</v>
      </c>
      <c r="E290" s="4"/>
    </row>
    <row r="291" spans="1:6">
      <c r="A291" s="309" t="s">
        <v>1294</v>
      </c>
      <c r="B291" s="309">
        <v>4</v>
      </c>
      <c r="C291" s="309" t="s">
        <v>1301</v>
      </c>
      <c r="D291" s="309" t="s">
        <v>1302</v>
      </c>
      <c r="E291" s="4"/>
    </row>
    <row r="292" spans="1:6">
      <c r="A292" s="309" t="s">
        <v>1294</v>
      </c>
      <c r="B292" s="309">
        <v>5</v>
      </c>
      <c r="C292" s="309" t="s">
        <v>1303</v>
      </c>
      <c r="D292" s="309" t="s">
        <v>1304</v>
      </c>
      <c r="E292" s="4"/>
    </row>
    <row r="293" spans="1:6">
      <c r="A293" s="309" t="s">
        <v>1294</v>
      </c>
      <c r="B293" s="309">
        <v>6</v>
      </c>
      <c r="C293" s="309" t="s">
        <v>1305</v>
      </c>
      <c r="D293" s="309" t="s">
        <v>1306</v>
      </c>
      <c r="E293" s="4"/>
    </row>
    <row r="294" spans="1:6">
      <c r="A294" s="309" t="s">
        <v>1294</v>
      </c>
      <c r="B294" s="309">
        <v>7</v>
      </c>
      <c r="C294" s="309" t="s">
        <v>1307</v>
      </c>
      <c r="D294" s="309" t="s">
        <v>1308</v>
      </c>
      <c r="E294" s="4"/>
    </row>
    <row r="295" spans="1:6">
      <c r="A295" s="309" t="s">
        <v>1294</v>
      </c>
      <c r="B295" s="309">
        <v>8</v>
      </c>
      <c r="C295" s="309" t="s">
        <v>1309</v>
      </c>
      <c r="D295" s="309" t="s">
        <v>1310</v>
      </c>
      <c r="E295" s="4"/>
    </row>
    <row r="296" spans="1:6">
      <c r="A296" s="309" t="s">
        <v>1294</v>
      </c>
      <c r="B296" s="309">
        <v>9</v>
      </c>
      <c r="C296" s="309" t="s">
        <v>1228</v>
      </c>
      <c r="D296" s="309" t="s">
        <v>1229</v>
      </c>
      <c r="E296" s="4"/>
    </row>
    <row r="297" spans="1:6">
      <c r="E297" s="4"/>
    </row>
    <row r="298" spans="1:6">
      <c r="A298" s="307" t="s">
        <v>1311</v>
      </c>
      <c r="B298" s="307" t="s">
        <v>1312</v>
      </c>
      <c r="C298" s="307" t="s">
        <v>1313</v>
      </c>
      <c r="D298" t="s">
        <v>1314</v>
      </c>
      <c r="E298" s="4"/>
      <c r="F298" s="13"/>
    </row>
    <row r="299" spans="1:6">
      <c r="A299" s="307" t="s">
        <v>1311</v>
      </c>
      <c r="B299" s="307" t="s">
        <v>1315</v>
      </c>
      <c r="C299" s="307" t="s">
        <v>1316</v>
      </c>
      <c r="D299" s="307" t="s">
        <v>1317</v>
      </c>
      <c r="E299" s="4"/>
      <c r="F299" s="13"/>
    </row>
    <row r="300" spans="1:6">
      <c r="A300" s="307" t="s">
        <v>1311</v>
      </c>
      <c r="B300" s="307" t="s">
        <v>1318</v>
      </c>
      <c r="C300" s="307" t="s">
        <v>1319</v>
      </c>
      <c r="D300" s="307" t="s">
        <v>1320</v>
      </c>
      <c r="E300" s="4"/>
      <c r="F300" s="13"/>
    </row>
    <row r="301" spans="1:6">
      <c r="A301" s="307" t="s">
        <v>1311</v>
      </c>
      <c r="B301" s="307" t="s">
        <v>1321</v>
      </c>
      <c r="C301" s="307" t="s">
        <v>1322</v>
      </c>
      <c r="D301" t="s">
        <v>1323</v>
      </c>
      <c r="E301" s="4"/>
      <c r="F301" s="13"/>
    </row>
    <row r="302" spans="1:6">
      <c r="A302" s="307" t="s">
        <v>1311</v>
      </c>
      <c r="B302" s="307" t="s">
        <v>1324</v>
      </c>
      <c r="C302" s="307" t="s">
        <v>1325</v>
      </c>
      <c r="D302" t="s">
        <v>1326</v>
      </c>
      <c r="E302" s="4"/>
      <c r="F302" s="13"/>
    </row>
    <row r="303" spans="1:6">
      <c r="A303" s="307" t="s">
        <v>1311</v>
      </c>
      <c r="B303" s="307" t="s">
        <v>1327</v>
      </c>
      <c r="C303" s="307" t="s">
        <v>1328</v>
      </c>
      <c r="D303" t="s">
        <v>1329</v>
      </c>
      <c r="E303" s="4"/>
      <c r="F303" s="13"/>
    </row>
    <row r="304" spans="1:6">
      <c r="A304" s="307" t="s">
        <v>1311</v>
      </c>
      <c r="B304" s="307" t="s">
        <v>1330</v>
      </c>
      <c r="C304" s="307" t="s">
        <v>1331</v>
      </c>
      <c r="D304" t="s">
        <v>1332</v>
      </c>
      <c r="E304" s="4"/>
      <c r="F304" s="13"/>
    </row>
    <row r="305" spans="1:6">
      <c r="A305" s="307" t="s">
        <v>1311</v>
      </c>
      <c r="B305" s="307" t="s">
        <v>1333</v>
      </c>
      <c r="C305" s="307" t="s">
        <v>1334</v>
      </c>
      <c r="D305" t="s">
        <v>1335</v>
      </c>
      <c r="E305" s="4"/>
      <c r="F305" s="13"/>
    </row>
    <row r="306" spans="1:6">
      <c r="A306" s="307" t="s">
        <v>1311</v>
      </c>
      <c r="B306" s="307" t="s">
        <v>1336</v>
      </c>
      <c r="C306" s="307" t="s">
        <v>1337</v>
      </c>
      <c r="D306" t="s">
        <v>1338</v>
      </c>
      <c r="E306" s="4"/>
      <c r="F306" s="13"/>
    </row>
    <row r="307" spans="1:6">
      <c r="A307" s="307" t="s">
        <v>1311</v>
      </c>
      <c r="B307" s="307" t="s">
        <v>1339</v>
      </c>
      <c r="C307" s="307" t="s">
        <v>1340</v>
      </c>
      <c r="D307" t="s">
        <v>1341</v>
      </c>
      <c r="E307" s="4"/>
      <c r="F307" s="13"/>
    </row>
    <row r="308" spans="1:6">
      <c r="A308" s="307" t="s">
        <v>1311</v>
      </c>
      <c r="B308" s="307" t="s">
        <v>1342</v>
      </c>
      <c r="C308" s="307" t="s">
        <v>1343</v>
      </c>
      <c r="D308" t="s">
        <v>1344</v>
      </c>
      <c r="E308" s="4"/>
      <c r="F308" s="13"/>
    </row>
    <row r="309" spans="1:6">
      <c r="A309" s="307" t="s">
        <v>1311</v>
      </c>
      <c r="B309" s="307" t="s">
        <v>1345</v>
      </c>
      <c r="C309" s="307" t="s">
        <v>1346</v>
      </c>
      <c r="D309" t="s">
        <v>1347</v>
      </c>
      <c r="E309" s="4"/>
      <c r="F309" s="13"/>
    </row>
    <row r="310" spans="1:6">
      <c r="A310" s="307" t="s">
        <v>1311</v>
      </c>
      <c r="B310" s="307" t="s">
        <v>1348</v>
      </c>
      <c r="C310" s="307" t="s">
        <v>1349</v>
      </c>
      <c r="D310" t="s">
        <v>1350</v>
      </c>
      <c r="E310" s="4"/>
      <c r="F310" s="13"/>
    </row>
    <row r="311" spans="1:6">
      <c r="A311" s="307" t="s">
        <v>1311</v>
      </c>
      <c r="B311" s="307" t="s">
        <v>1351</v>
      </c>
      <c r="C311" s="307" t="s">
        <v>1352</v>
      </c>
      <c r="D311" t="s">
        <v>1353</v>
      </c>
      <c r="E311" s="4"/>
      <c r="F311" s="13"/>
    </row>
    <row r="312" spans="1:6">
      <c r="A312" s="307" t="s">
        <v>1311</v>
      </c>
      <c r="B312" s="307" t="s">
        <v>1354</v>
      </c>
      <c r="C312" s="307" t="s">
        <v>1355</v>
      </c>
      <c r="D312" t="s">
        <v>1356</v>
      </c>
      <c r="E312" s="4"/>
    </row>
    <row r="313" spans="1:6">
      <c r="A313" s="307" t="s">
        <v>1311</v>
      </c>
      <c r="B313" s="307" t="s">
        <v>1004</v>
      </c>
      <c r="C313" s="307" t="s">
        <v>1292</v>
      </c>
      <c r="D313" t="s">
        <v>1293</v>
      </c>
      <c r="E313" s="4"/>
      <c r="F313" s="13"/>
    </row>
    <row r="314" spans="1:6">
      <c r="A314" s="307" t="s">
        <v>1311</v>
      </c>
      <c r="B314" s="307" t="s">
        <v>1010</v>
      </c>
      <c r="C314" s="307" t="s">
        <v>886</v>
      </c>
      <c r="D314" t="s">
        <v>887</v>
      </c>
      <c r="E314" s="4"/>
    </row>
    <row r="315" spans="1:6">
      <c r="A315" s="307" t="s">
        <v>1311</v>
      </c>
      <c r="B315" s="307" t="s">
        <v>1011</v>
      </c>
      <c r="C315" s="307" t="s">
        <v>888</v>
      </c>
      <c r="D315" t="s">
        <v>889</v>
      </c>
      <c r="E315" s="4"/>
    </row>
    <row r="316" spans="1:6">
      <c r="E316" s="4"/>
    </row>
    <row r="317" spans="1:6" s="13" customFormat="1">
      <c r="A317" s="309" t="s">
        <v>1357</v>
      </c>
      <c r="B317" s="309">
        <v>1</v>
      </c>
      <c r="C317" s="309" t="s">
        <v>1358</v>
      </c>
      <c r="D317" s="309" t="s">
        <v>1359</v>
      </c>
      <c r="E317" s="15"/>
    </row>
    <row r="318" spans="1:6" s="13" customFormat="1">
      <c r="A318" s="309" t="s">
        <v>1357</v>
      </c>
      <c r="B318" s="309">
        <v>2</v>
      </c>
      <c r="C318" s="309" t="s">
        <v>1360</v>
      </c>
      <c r="D318" s="309" t="s">
        <v>1361</v>
      </c>
      <c r="E318" s="15"/>
    </row>
    <row r="319" spans="1:6" s="13" customFormat="1">
      <c r="A319" s="309" t="s">
        <v>1357</v>
      </c>
      <c r="B319" s="309">
        <v>3</v>
      </c>
      <c r="C319" s="309" t="s">
        <v>1362</v>
      </c>
      <c r="D319" s="309" t="s">
        <v>1363</v>
      </c>
      <c r="E319" s="15"/>
    </row>
    <row r="320" spans="1:6" s="13" customFormat="1">
      <c r="A320" s="309" t="s">
        <v>1357</v>
      </c>
      <c r="B320" s="309">
        <v>4</v>
      </c>
      <c r="C320" s="309" t="s">
        <v>1364</v>
      </c>
      <c r="D320" s="309" t="s">
        <v>1365</v>
      </c>
      <c r="E320" s="15"/>
    </row>
    <row r="321" spans="1:6" s="13" customFormat="1">
      <c r="A321" s="309" t="s">
        <v>1357</v>
      </c>
      <c r="B321" s="309">
        <v>5</v>
      </c>
      <c r="C321" s="309" t="s">
        <v>1366</v>
      </c>
      <c r="D321" s="309" t="s">
        <v>1367</v>
      </c>
      <c r="E321" s="15"/>
    </row>
    <row r="322" spans="1:6" s="13" customFormat="1">
      <c r="A322" s="309" t="s">
        <v>1357</v>
      </c>
      <c r="B322" s="309">
        <v>6</v>
      </c>
      <c r="C322" s="309" t="s">
        <v>1368</v>
      </c>
      <c r="D322" s="309" t="s">
        <v>1369</v>
      </c>
      <c r="E322" s="15"/>
    </row>
    <row r="323" spans="1:6" s="13" customFormat="1">
      <c r="A323" s="309" t="s">
        <v>1357</v>
      </c>
      <c r="B323" s="309">
        <v>7</v>
      </c>
      <c r="C323" s="309" t="s">
        <v>886</v>
      </c>
      <c r="D323" s="309" t="s">
        <v>887</v>
      </c>
      <c r="E323" s="15"/>
    </row>
    <row r="324" spans="1:6">
      <c r="A324" s="309" t="s">
        <v>1357</v>
      </c>
      <c r="B324" s="309">
        <v>8</v>
      </c>
      <c r="C324" s="309" t="s">
        <v>888</v>
      </c>
      <c r="D324" s="309" t="s">
        <v>889</v>
      </c>
      <c r="E324" s="15"/>
      <c r="F324" s="13"/>
    </row>
    <row r="325" spans="1:6">
      <c r="E325" s="4"/>
    </row>
    <row r="326" spans="1:6">
      <c r="A326" t="s">
        <v>1370</v>
      </c>
      <c r="B326" t="s">
        <v>1371</v>
      </c>
      <c r="C326" t="s">
        <v>1372</v>
      </c>
      <c r="D326" t="s">
        <v>1373</v>
      </c>
      <c r="E326" s="4"/>
      <c r="F326" s="13"/>
    </row>
    <row r="327" spans="1:6">
      <c r="A327" t="s">
        <v>1370</v>
      </c>
      <c r="B327" t="s">
        <v>1374</v>
      </c>
      <c r="C327" t="s">
        <v>1375</v>
      </c>
      <c r="D327" s="307" t="s">
        <v>1376</v>
      </c>
      <c r="E327" s="4"/>
      <c r="F327" s="13"/>
    </row>
    <row r="328" spans="1:6">
      <c r="A328" t="s">
        <v>1370</v>
      </c>
      <c r="B328" t="s">
        <v>1377</v>
      </c>
      <c r="C328" t="s">
        <v>1378</v>
      </c>
      <c r="D328" s="307" t="s">
        <v>1379</v>
      </c>
      <c r="E328" s="4"/>
      <c r="F328" s="13"/>
    </row>
    <row r="329" spans="1:6">
      <c r="A329" t="s">
        <v>1370</v>
      </c>
      <c r="B329" t="s">
        <v>1380</v>
      </c>
      <c r="C329" t="s">
        <v>1381</v>
      </c>
      <c r="D329" t="s">
        <v>1382</v>
      </c>
      <c r="E329" s="4"/>
      <c r="F329" s="13"/>
    </row>
    <row r="330" spans="1:6">
      <c r="A330" t="s">
        <v>1370</v>
      </c>
      <c r="B330" t="s">
        <v>1383</v>
      </c>
      <c r="C330" t="s">
        <v>1384</v>
      </c>
      <c r="D330" t="s">
        <v>1385</v>
      </c>
      <c r="E330" s="4"/>
      <c r="F330" s="13"/>
    </row>
    <row r="331" spans="1:6">
      <c r="A331" t="s">
        <v>1370</v>
      </c>
      <c r="B331" t="s">
        <v>1386</v>
      </c>
      <c r="C331" t="s">
        <v>1387</v>
      </c>
      <c r="D331" t="s">
        <v>1388</v>
      </c>
      <c r="E331" s="4"/>
      <c r="F331" s="13"/>
    </row>
    <row r="332" spans="1:6">
      <c r="A332" t="s">
        <v>1370</v>
      </c>
      <c r="B332" t="s">
        <v>1389</v>
      </c>
      <c r="C332" t="s">
        <v>1390</v>
      </c>
      <c r="D332" t="s">
        <v>1391</v>
      </c>
      <c r="E332" s="4"/>
      <c r="F332" s="13"/>
    </row>
    <row r="333" spans="1:6">
      <c r="A333" t="s">
        <v>1370</v>
      </c>
      <c r="B333" t="s">
        <v>1004</v>
      </c>
      <c r="C333" t="s">
        <v>1292</v>
      </c>
      <c r="D333" t="s">
        <v>1293</v>
      </c>
      <c r="E333" s="4"/>
      <c r="F333" s="13"/>
    </row>
    <row r="334" spans="1:6">
      <c r="A334" t="s">
        <v>1370</v>
      </c>
      <c r="B334" t="s">
        <v>1010</v>
      </c>
      <c r="C334" t="s">
        <v>886</v>
      </c>
      <c r="D334" t="s">
        <v>887</v>
      </c>
      <c r="E334" s="4"/>
      <c r="F334" s="13"/>
    </row>
    <row r="335" spans="1:6">
      <c r="A335" t="s">
        <v>1370</v>
      </c>
      <c r="B335" t="s">
        <v>1011</v>
      </c>
      <c r="C335" t="s">
        <v>888</v>
      </c>
      <c r="D335" t="s">
        <v>889</v>
      </c>
      <c r="E335" s="4"/>
      <c r="F335" s="13"/>
    </row>
    <row r="336" spans="1:6">
      <c r="E336" s="4"/>
    </row>
    <row r="337" spans="1:6">
      <c r="A337" t="s">
        <v>485</v>
      </c>
      <c r="B337">
        <v>1</v>
      </c>
      <c r="C337" t="s">
        <v>1392</v>
      </c>
      <c r="D337" t="s">
        <v>1393</v>
      </c>
      <c r="E337" s="4"/>
    </row>
    <row r="338" spans="1:6">
      <c r="A338" t="s">
        <v>485</v>
      </c>
      <c r="B338">
        <v>2</v>
      </c>
      <c r="C338" t="s">
        <v>1394</v>
      </c>
      <c r="D338" t="s">
        <v>1395</v>
      </c>
      <c r="E338" s="4"/>
    </row>
    <row r="339" spans="1:6">
      <c r="A339" t="s">
        <v>485</v>
      </c>
      <c r="B339">
        <v>3</v>
      </c>
      <c r="C339" t="s">
        <v>1396</v>
      </c>
      <c r="D339" t="s">
        <v>1397</v>
      </c>
      <c r="E339" s="4"/>
    </row>
    <row r="340" spans="1:6">
      <c r="A340" t="s">
        <v>485</v>
      </c>
      <c r="B340">
        <v>4</v>
      </c>
      <c r="C340" t="s">
        <v>1398</v>
      </c>
      <c r="D340" t="s">
        <v>1399</v>
      </c>
      <c r="E340" s="4"/>
    </row>
    <row r="341" spans="1:6">
      <c r="A341" t="s">
        <v>485</v>
      </c>
      <c r="B341">
        <v>5</v>
      </c>
      <c r="C341" t="s">
        <v>1400</v>
      </c>
      <c r="D341" t="s">
        <v>1401</v>
      </c>
      <c r="E341" s="4"/>
    </row>
    <row r="342" spans="1:6">
      <c r="A342" t="s">
        <v>485</v>
      </c>
      <c r="B342">
        <v>6</v>
      </c>
      <c r="C342" t="s">
        <v>1402</v>
      </c>
      <c r="D342" t="s">
        <v>1403</v>
      </c>
      <c r="E342" s="4"/>
    </row>
    <row r="343" spans="1:6">
      <c r="A343" t="s">
        <v>485</v>
      </c>
      <c r="B343">
        <v>7</v>
      </c>
      <c r="C343" t="s">
        <v>1404</v>
      </c>
      <c r="D343" t="s">
        <v>1405</v>
      </c>
      <c r="E343" s="4"/>
    </row>
    <row r="344" spans="1:6">
      <c r="A344" t="s">
        <v>485</v>
      </c>
      <c r="B344">
        <v>8</v>
      </c>
      <c r="C344" t="s">
        <v>1406</v>
      </c>
      <c r="D344" t="s">
        <v>1407</v>
      </c>
      <c r="E344" s="4"/>
    </row>
    <row r="345" spans="1:6">
      <c r="A345" t="s">
        <v>485</v>
      </c>
      <c r="B345">
        <v>9</v>
      </c>
      <c r="C345" t="s">
        <v>1292</v>
      </c>
      <c r="D345" t="s">
        <v>1293</v>
      </c>
      <c r="E345" s="4"/>
    </row>
    <row r="346" spans="1:6">
      <c r="A346" t="s">
        <v>485</v>
      </c>
      <c r="B346" s="308">
        <v>10</v>
      </c>
      <c r="C346" t="s">
        <v>886</v>
      </c>
      <c r="D346" t="s">
        <v>887</v>
      </c>
      <c r="E346" s="4"/>
    </row>
    <row r="347" spans="1:6">
      <c r="A347" t="s">
        <v>485</v>
      </c>
      <c r="B347" s="308">
        <v>11</v>
      </c>
      <c r="C347" t="s">
        <v>888</v>
      </c>
      <c r="D347" t="s">
        <v>889</v>
      </c>
      <c r="E347" s="4"/>
    </row>
    <row r="348" spans="1:6">
      <c r="E348" s="4"/>
    </row>
    <row r="349" spans="1:6">
      <c r="A349" t="s">
        <v>1408</v>
      </c>
      <c r="B349" t="s">
        <v>1409</v>
      </c>
      <c r="C349" t="s">
        <v>1410</v>
      </c>
      <c r="D349" t="s">
        <v>1411</v>
      </c>
      <c r="E349" s="4"/>
      <c r="F349" s="13"/>
    </row>
    <row r="350" spans="1:6">
      <c r="A350" t="s">
        <v>1408</v>
      </c>
      <c r="B350" t="s">
        <v>1412</v>
      </c>
      <c r="C350" t="s">
        <v>1413</v>
      </c>
      <c r="D350" t="s">
        <v>1414</v>
      </c>
      <c r="E350" s="4"/>
      <c r="F350" s="13"/>
    </row>
    <row r="351" spans="1:6">
      <c r="A351" t="s">
        <v>1408</v>
      </c>
      <c r="B351" t="s">
        <v>1415</v>
      </c>
      <c r="C351" t="s">
        <v>1416</v>
      </c>
      <c r="D351" t="s">
        <v>1417</v>
      </c>
      <c r="E351" s="4"/>
      <c r="F351" s="13"/>
    </row>
    <row r="352" spans="1:6">
      <c r="A352" t="s">
        <v>1408</v>
      </c>
      <c r="B352" t="s">
        <v>1418</v>
      </c>
      <c r="C352" t="s">
        <v>1419</v>
      </c>
      <c r="D352" t="s">
        <v>1420</v>
      </c>
      <c r="E352" s="4"/>
      <c r="F352" s="13"/>
    </row>
    <row r="353" spans="1:6">
      <c r="A353" t="s">
        <v>1408</v>
      </c>
      <c r="B353" t="s">
        <v>1421</v>
      </c>
      <c r="C353" t="s">
        <v>1422</v>
      </c>
      <c r="D353" t="s">
        <v>1423</v>
      </c>
      <c r="E353" s="4"/>
      <c r="F353" s="13"/>
    </row>
    <row r="354" spans="1:6">
      <c r="A354" t="s">
        <v>1408</v>
      </c>
      <c r="B354" t="s">
        <v>1424</v>
      </c>
      <c r="C354" t="s">
        <v>1425</v>
      </c>
      <c r="D354" t="s">
        <v>1426</v>
      </c>
      <c r="E354" s="4"/>
      <c r="F354" s="13"/>
    </row>
    <row r="355" spans="1:6">
      <c r="A355" t="s">
        <v>1408</v>
      </c>
      <c r="B355" t="s">
        <v>1427</v>
      </c>
      <c r="C355" t="s">
        <v>1428</v>
      </c>
      <c r="D355" t="s">
        <v>1429</v>
      </c>
      <c r="E355" s="4"/>
      <c r="F355" s="13"/>
    </row>
    <row r="356" spans="1:6">
      <c r="A356" t="s">
        <v>1408</v>
      </c>
      <c r="B356" t="s">
        <v>1430</v>
      </c>
      <c r="C356" t="s">
        <v>1431</v>
      </c>
      <c r="D356" t="s">
        <v>1432</v>
      </c>
      <c r="E356" s="4"/>
      <c r="F356" s="13"/>
    </row>
    <row r="357" spans="1:6">
      <c r="A357" t="s">
        <v>1408</v>
      </c>
      <c r="B357" t="s">
        <v>1433</v>
      </c>
      <c r="C357" t="s">
        <v>1434</v>
      </c>
      <c r="D357" t="s">
        <v>1435</v>
      </c>
      <c r="E357" s="4"/>
      <c r="F357" s="13"/>
    </row>
    <row r="358" spans="1:6">
      <c r="A358" t="s">
        <v>1408</v>
      </c>
      <c r="B358" t="s">
        <v>1436</v>
      </c>
      <c r="C358" t="s">
        <v>1437</v>
      </c>
      <c r="D358" t="s">
        <v>1438</v>
      </c>
      <c r="E358" s="4"/>
      <c r="F358" s="13"/>
    </row>
    <row r="359" spans="1:6">
      <c r="A359" t="s">
        <v>1408</v>
      </c>
      <c r="B359" t="s">
        <v>1439</v>
      </c>
      <c r="C359" t="s">
        <v>1440</v>
      </c>
      <c r="D359" t="s">
        <v>1441</v>
      </c>
      <c r="E359" s="4"/>
      <c r="F359" s="13"/>
    </row>
    <row r="360" spans="1:6">
      <c r="A360" t="s">
        <v>1408</v>
      </c>
      <c r="B360" t="s">
        <v>1442</v>
      </c>
      <c r="C360" t="s">
        <v>1292</v>
      </c>
      <c r="D360" t="s">
        <v>1293</v>
      </c>
      <c r="E360" s="4"/>
      <c r="F360" s="13"/>
    </row>
    <row r="361" spans="1:6">
      <c r="A361" t="s">
        <v>1408</v>
      </c>
      <c r="B361" t="s">
        <v>1443</v>
      </c>
      <c r="C361" t="s">
        <v>886</v>
      </c>
      <c r="D361" t="s">
        <v>887</v>
      </c>
      <c r="E361" s="4"/>
      <c r="F361" s="13"/>
    </row>
    <row r="362" spans="1:6" ht="14.25" customHeight="1">
      <c r="A362" t="s">
        <v>1408</v>
      </c>
      <c r="B362" t="s">
        <v>1444</v>
      </c>
      <c r="C362" t="s">
        <v>888</v>
      </c>
      <c r="D362" t="s">
        <v>889</v>
      </c>
      <c r="E362" s="4"/>
      <c r="F362" s="13"/>
    </row>
    <row r="363" spans="1:6" ht="14.25" customHeight="1">
      <c r="E363" s="4"/>
      <c r="F363" s="13"/>
    </row>
    <row r="364" spans="1:6" s="13" customFormat="1" ht="14.25" customHeight="1">
      <c r="A364" s="309" t="s">
        <v>1445</v>
      </c>
      <c r="B364" s="309" t="s">
        <v>1446</v>
      </c>
      <c r="C364" s="309" t="s">
        <v>1447</v>
      </c>
      <c r="D364" s="309" t="s">
        <v>1448</v>
      </c>
      <c r="E364" s="15"/>
    </row>
    <row r="365" spans="1:6" s="13" customFormat="1" ht="14.25" customHeight="1">
      <c r="A365" s="309" t="s">
        <v>1445</v>
      </c>
      <c r="B365" s="309" t="s">
        <v>1449</v>
      </c>
      <c r="C365" s="309" t="s">
        <v>1450</v>
      </c>
      <c r="D365" s="309" t="s">
        <v>1451</v>
      </c>
      <c r="E365" s="15"/>
    </row>
    <row r="366" spans="1:6" s="13" customFormat="1" ht="14.25" customHeight="1">
      <c r="A366" s="309" t="s">
        <v>1445</v>
      </c>
      <c r="B366" s="309" t="s">
        <v>1452</v>
      </c>
      <c r="C366" s="309" t="s">
        <v>1453</v>
      </c>
      <c r="D366" s="309" t="s">
        <v>1454</v>
      </c>
      <c r="E366" s="15"/>
    </row>
    <row r="367" spans="1:6" s="13" customFormat="1" ht="14.25" customHeight="1">
      <c r="A367" s="309" t="s">
        <v>1445</v>
      </c>
      <c r="B367" s="309" t="s">
        <v>1455</v>
      </c>
      <c r="C367" s="309" t="s">
        <v>1456</v>
      </c>
      <c r="D367" s="309" t="s">
        <v>1457</v>
      </c>
      <c r="E367" s="15"/>
    </row>
    <row r="368" spans="1:6" s="13" customFormat="1" ht="14.25" customHeight="1">
      <c r="A368" s="309" t="s">
        <v>1445</v>
      </c>
      <c r="B368" s="309" t="s">
        <v>1458</v>
      </c>
      <c r="C368" s="309" t="s">
        <v>1459</v>
      </c>
      <c r="D368" s="309" t="s">
        <v>1460</v>
      </c>
      <c r="E368" s="15"/>
    </row>
    <row r="369" spans="1:6" s="13" customFormat="1" ht="14.25" customHeight="1">
      <c r="A369" s="309" t="s">
        <v>1445</v>
      </c>
      <c r="B369" s="309" t="s">
        <v>1004</v>
      </c>
      <c r="C369" s="309" t="s">
        <v>1461</v>
      </c>
      <c r="D369" s="309" t="s">
        <v>1293</v>
      </c>
      <c r="E369" s="15"/>
    </row>
    <row r="370" spans="1:6" s="13" customFormat="1" ht="14.25" customHeight="1">
      <c r="A370" s="309" t="s">
        <v>1445</v>
      </c>
      <c r="B370" s="309" t="s">
        <v>1010</v>
      </c>
      <c r="C370" s="309" t="s">
        <v>886</v>
      </c>
      <c r="D370" s="309" t="s">
        <v>887</v>
      </c>
      <c r="E370" s="15"/>
    </row>
    <row r="371" spans="1:6" s="13" customFormat="1" ht="14.25" customHeight="1">
      <c r="A371" s="309" t="s">
        <v>1445</v>
      </c>
      <c r="B371" s="309" t="s">
        <v>1011</v>
      </c>
      <c r="C371" s="309" t="s">
        <v>888</v>
      </c>
      <c r="D371" s="309" t="s">
        <v>889</v>
      </c>
      <c r="E371" s="15"/>
    </row>
    <row r="372" spans="1:6" ht="14.25" customHeight="1">
      <c r="E372" s="4"/>
    </row>
    <row r="373" spans="1:6">
      <c r="A373" t="s">
        <v>1462</v>
      </c>
      <c r="B373" t="s">
        <v>1463</v>
      </c>
      <c r="C373" t="s">
        <v>1464</v>
      </c>
      <c r="D373" t="s">
        <v>1465</v>
      </c>
      <c r="E373" s="4"/>
      <c r="F373" s="13"/>
    </row>
    <row r="374" spans="1:6">
      <c r="A374" t="s">
        <v>1462</v>
      </c>
      <c r="B374" t="s">
        <v>1466</v>
      </c>
      <c r="C374" t="s">
        <v>1467</v>
      </c>
      <c r="D374" t="s">
        <v>1468</v>
      </c>
      <c r="E374" s="4"/>
      <c r="F374" s="13"/>
    </row>
    <row r="375" spans="1:6">
      <c r="A375" t="s">
        <v>1462</v>
      </c>
      <c r="B375" t="s">
        <v>1469</v>
      </c>
      <c r="C375" t="s">
        <v>1470</v>
      </c>
      <c r="D375" t="s">
        <v>1471</v>
      </c>
      <c r="E375" s="4"/>
      <c r="F375" s="13"/>
    </row>
    <row r="376" spans="1:6">
      <c r="A376" t="s">
        <v>1462</v>
      </c>
      <c r="B376" t="s">
        <v>1472</v>
      </c>
      <c r="C376" t="s">
        <v>1473</v>
      </c>
      <c r="D376" t="s">
        <v>1474</v>
      </c>
      <c r="E376" s="4"/>
      <c r="F376" s="13"/>
    </row>
    <row r="377" spans="1:6">
      <c r="A377" t="s">
        <v>1462</v>
      </c>
      <c r="B377" t="s">
        <v>1475</v>
      </c>
      <c r="C377" t="s">
        <v>1476</v>
      </c>
      <c r="D377" t="s">
        <v>1477</v>
      </c>
      <c r="E377" s="4"/>
      <c r="F377" s="13"/>
    </row>
    <row r="378" spans="1:6">
      <c r="A378" t="s">
        <v>1462</v>
      </c>
      <c r="B378" t="s">
        <v>1478</v>
      </c>
      <c r="C378" t="s">
        <v>1479</v>
      </c>
      <c r="D378" t="s">
        <v>1480</v>
      </c>
      <c r="E378" s="4"/>
      <c r="F378" s="13"/>
    </row>
    <row r="379" spans="1:6">
      <c r="A379" t="s">
        <v>1462</v>
      </c>
      <c r="B379" t="s">
        <v>1481</v>
      </c>
      <c r="C379" t="s">
        <v>1482</v>
      </c>
      <c r="D379" t="s">
        <v>1483</v>
      </c>
      <c r="E379" s="4"/>
      <c r="F379" s="13"/>
    </row>
    <row r="380" spans="1:6">
      <c r="A380" t="s">
        <v>1462</v>
      </c>
      <c r="B380" t="s">
        <v>1484</v>
      </c>
      <c r="C380" t="s">
        <v>1485</v>
      </c>
      <c r="D380" t="s">
        <v>1486</v>
      </c>
      <c r="E380" s="4"/>
      <c r="F380" s="13"/>
    </row>
    <row r="381" spans="1:6">
      <c r="A381" t="s">
        <v>1462</v>
      </c>
      <c r="B381" t="s">
        <v>1354</v>
      </c>
      <c r="C381" t="s">
        <v>1355</v>
      </c>
      <c r="D381" t="s">
        <v>1487</v>
      </c>
      <c r="E381" s="4"/>
      <c r="F381" s="13"/>
    </row>
    <row r="382" spans="1:6">
      <c r="A382" t="s">
        <v>1462</v>
      </c>
      <c r="B382" t="s">
        <v>1336</v>
      </c>
      <c r="C382" t="s">
        <v>1337</v>
      </c>
      <c r="D382" t="s">
        <v>1488</v>
      </c>
      <c r="E382" s="4"/>
      <c r="F382" s="13"/>
    </row>
    <row r="383" spans="1:6">
      <c r="A383" t="s">
        <v>1462</v>
      </c>
      <c r="B383" t="s">
        <v>1004</v>
      </c>
      <c r="C383" t="s">
        <v>1292</v>
      </c>
      <c r="D383" t="s">
        <v>1293</v>
      </c>
      <c r="E383" s="4"/>
    </row>
    <row r="384" spans="1:6">
      <c r="A384" t="s">
        <v>1462</v>
      </c>
      <c r="B384" t="s">
        <v>1010</v>
      </c>
      <c r="C384" t="s">
        <v>886</v>
      </c>
      <c r="D384" t="s">
        <v>887</v>
      </c>
      <c r="E384" s="4"/>
    </row>
    <row r="385" spans="1:5">
      <c r="A385" t="s">
        <v>1462</v>
      </c>
      <c r="B385" t="s">
        <v>1011</v>
      </c>
      <c r="C385" t="s">
        <v>888</v>
      </c>
      <c r="D385" t="s">
        <v>889</v>
      </c>
      <c r="E385" s="4"/>
    </row>
    <row r="386" spans="1:5">
      <c r="E386" s="4"/>
    </row>
    <row r="387" spans="1:5">
      <c r="A387" s="309" t="s">
        <v>1489</v>
      </c>
      <c r="B387" s="309">
        <v>1</v>
      </c>
      <c r="C387" s="309" t="s">
        <v>1392</v>
      </c>
      <c r="D387" t="s">
        <v>1393</v>
      </c>
      <c r="E387" s="4"/>
    </row>
    <row r="388" spans="1:5">
      <c r="A388" s="309" t="s">
        <v>1489</v>
      </c>
      <c r="B388" s="309">
        <v>2</v>
      </c>
      <c r="C388" s="309" t="s">
        <v>1394</v>
      </c>
      <c r="D388" t="s">
        <v>1395</v>
      </c>
      <c r="E388" s="4"/>
    </row>
    <row r="389" spans="1:5">
      <c r="A389" s="309" t="s">
        <v>1489</v>
      </c>
      <c r="B389" s="309">
        <v>3</v>
      </c>
      <c r="C389" s="309" t="s">
        <v>1396</v>
      </c>
      <c r="D389" t="s">
        <v>1397</v>
      </c>
      <c r="E389" s="4"/>
    </row>
    <row r="390" spans="1:5">
      <c r="A390" s="309" t="s">
        <v>1489</v>
      </c>
      <c r="B390" s="309">
        <v>4</v>
      </c>
      <c r="C390" s="309" t="s">
        <v>1398</v>
      </c>
      <c r="D390" t="s">
        <v>1399</v>
      </c>
      <c r="E390" s="4"/>
    </row>
    <row r="391" spans="1:5">
      <c r="A391" s="309" t="s">
        <v>1489</v>
      </c>
      <c r="B391" s="309">
        <v>5</v>
      </c>
      <c r="C391" s="309" t="s">
        <v>1400</v>
      </c>
      <c r="D391" t="s">
        <v>1401</v>
      </c>
      <c r="E391" s="4"/>
    </row>
    <row r="392" spans="1:5">
      <c r="A392" s="309" t="s">
        <v>1489</v>
      </c>
      <c r="B392" s="309">
        <v>6</v>
      </c>
      <c r="C392" s="309" t="s">
        <v>1402</v>
      </c>
      <c r="D392" t="s">
        <v>1403</v>
      </c>
      <c r="E392" s="4"/>
    </row>
    <row r="393" spans="1:5">
      <c r="A393" s="309" t="s">
        <v>1489</v>
      </c>
      <c r="B393" s="309">
        <v>7</v>
      </c>
      <c r="C393" s="309" t="s">
        <v>1404</v>
      </c>
      <c r="D393" t="s">
        <v>1405</v>
      </c>
      <c r="E393" s="4"/>
    </row>
    <row r="394" spans="1:5">
      <c r="A394" s="309" t="s">
        <v>1489</v>
      </c>
      <c r="B394" s="309">
        <v>8</v>
      </c>
      <c r="C394" s="309" t="s">
        <v>1406</v>
      </c>
      <c r="D394" t="s">
        <v>1407</v>
      </c>
      <c r="E394" s="4"/>
    </row>
    <row r="395" spans="1:5">
      <c r="A395" s="309" t="s">
        <v>1489</v>
      </c>
      <c r="B395" s="309">
        <v>9</v>
      </c>
      <c r="C395" s="309" t="s">
        <v>1292</v>
      </c>
      <c r="D395" t="s">
        <v>1293</v>
      </c>
      <c r="E395" s="4"/>
    </row>
    <row r="396" spans="1:5">
      <c r="A396" s="309" t="s">
        <v>1489</v>
      </c>
      <c r="B396" s="309">
        <v>666</v>
      </c>
      <c r="C396" s="309" t="s">
        <v>1490</v>
      </c>
      <c r="D396" t="s">
        <v>1491</v>
      </c>
      <c r="E396" s="4"/>
    </row>
    <row r="397" spans="1:5">
      <c r="A397" s="309" t="s">
        <v>1489</v>
      </c>
      <c r="B397" s="309">
        <v>10</v>
      </c>
      <c r="C397" s="309" t="s">
        <v>886</v>
      </c>
      <c r="D397" t="s">
        <v>887</v>
      </c>
      <c r="E397" s="4"/>
    </row>
    <row r="398" spans="1:5">
      <c r="A398" s="309" t="s">
        <v>1489</v>
      </c>
      <c r="B398" s="309">
        <v>11</v>
      </c>
      <c r="C398" s="309" t="s">
        <v>888</v>
      </c>
      <c r="D398" t="s">
        <v>889</v>
      </c>
      <c r="E398" s="4"/>
    </row>
    <row r="399" spans="1:5">
      <c r="B399" s="10"/>
      <c r="E399" s="4"/>
    </row>
    <row r="400" spans="1:5">
      <c r="A400" t="s">
        <v>1492</v>
      </c>
      <c r="B400">
        <v>1</v>
      </c>
      <c r="C400" t="s">
        <v>1392</v>
      </c>
      <c r="D400" t="s">
        <v>1493</v>
      </c>
      <c r="E400" s="4"/>
    </row>
    <row r="401" spans="1:6">
      <c r="A401" t="s">
        <v>1492</v>
      </c>
      <c r="B401">
        <v>2</v>
      </c>
      <c r="C401" t="s">
        <v>1394</v>
      </c>
      <c r="D401" t="s">
        <v>1395</v>
      </c>
      <c r="E401" s="4"/>
    </row>
    <row r="402" spans="1:6">
      <c r="A402" t="s">
        <v>1492</v>
      </c>
      <c r="B402">
        <v>3</v>
      </c>
      <c r="C402" t="s">
        <v>1396</v>
      </c>
      <c r="D402" t="s">
        <v>1397</v>
      </c>
      <c r="E402" s="4"/>
    </row>
    <row r="403" spans="1:6">
      <c r="A403" t="s">
        <v>1492</v>
      </c>
      <c r="B403">
        <v>4</v>
      </c>
      <c r="C403" s="307" t="s">
        <v>1398</v>
      </c>
      <c r="D403" s="307" t="s">
        <v>1399</v>
      </c>
      <c r="E403" s="4"/>
    </row>
    <row r="404" spans="1:6">
      <c r="A404" t="s">
        <v>1492</v>
      </c>
      <c r="B404">
        <v>5</v>
      </c>
      <c r="C404" t="s">
        <v>1494</v>
      </c>
      <c r="D404" t="s">
        <v>1401</v>
      </c>
      <c r="E404" s="4"/>
    </row>
    <row r="405" spans="1:6">
      <c r="A405" t="s">
        <v>1492</v>
      </c>
      <c r="B405">
        <v>6</v>
      </c>
      <c r="C405" t="s">
        <v>1402</v>
      </c>
      <c r="D405" t="s">
        <v>1403</v>
      </c>
      <c r="E405" s="4"/>
    </row>
    <row r="406" spans="1:6">
      <c r="A406" t="s">
        <v>1492</v>
      </c>
      <c r="B406">
        <v>7</v>
      </c>
      <c r="C406" t="s">
        <v>1495</v>
      </c>
      <c r="D406" t="s">
        <v>1405</v>
      </c>
      <c r="E406" s="4"/>
    </row>
    <row r="407" spans="1:6">
      <c r="A407" t="s">
        <v>1492</v>
      </c>
      <c r="B407">
        <v>8</v>
      </c>
      <c r="C407" t="s">
        <v>1406</v>
      </c>
      <c r="D407" t="s">
        <v>1407</v>
      </c>
      <c r="E407" s="4"/>
    </row>
    <row r="408" spans="1:6">
      <c r="A408" t="s">
        <v>1492</v>
      </c>
      <c r="B408">
        <v>9</v>
      </c>
      <c r="C408" t="s">
        <v>1496</v>
      </c>
      <c r="D408" t="s">
        <v>1497</v>
      </c>
      <c r="E408" s="4"/>
    </row>
    <row r="409" spans="1:6">
      <c r="A409" t="s">
        <v>1492</v>
      </c>
      <c r="B409">
        <v>10</v>
      </c>
      <c r="C409" t="s">
        <v>1498</v>
      </c>
      <c r="D409" t="s">
        <v>1499</v>
      </c>
      <c r="E409" s="4"/>
    </row>
    <row r="410" spans="1:6">
      <c r="A410" t="s">
        <v>1492</v>
      </c>
      <c r="B410">
        <v>11</v>
      </c>
      <c r="C410" t="s">
        <v>1500</v>
      </c>
      <c r="D410" t="s">
        <v>1501</v>
      </c>
      <c r="E410" s="4"/>
    </row>
    <row r="411" spans="1:6">
      <c r="A411" t="s">
        <v>1492</v>
      </c>
      <c r="B411" s="308">
        <v>12</v>
      </c>
      <c r="C411" t="s">
        <v>886</v>
      </c>
      <c r="D411" t="s">
        <v>887</v>
      </c>
      <c r="E411" s="4"/>
    </row>
    <row r="412" spans="1:6">
      <c r="A412" t="s">
        <v>1492</v>
      </c>
      <c r="B412" s="308">
        <v>13</v>
      </c>
      <c r="C412" t="s">
        <v>888</v>
      </c>
      <c r="D412" t="s">
        <v>889</v>
      </c>
      <c r="E412" s="4"/>
    </row>
    <row r="413" spans="1:6">
      <c r="E413" s="4"/>
    </row>
    <row r="414" spans="1:6" ht="15.95" customHeight="1">
      <c r="A414" t="s">
        <v>1502</v>
      </c>
      <c r="B414" t="s">
        <v>1371</v>
      </c>
      <c r="C414" t="s">
        <v>1372</v>
      </c>
      <c r="D414" t="s">
        <v>1373</v>
      </c>
      <c r="E414" s="4"/>
      <c r="F414" s="13"/>
    </row>
    <row r="415" spans="1:6" ht="15.95" customHeight="1">
      <c r="A415" t="s">
        <v>1502</v>
      </c>
      <c r="B415" t="s">
        <v>1374</v>
      </c>
      <c r="C415" t="s">
        <v>1503</v>
      </c>
      <c r="D415" t="s">
        <v>1504</v>
      </c>
      <c r="E415" s="4"/>
      <c r="F415" s="13"/>
    </row>
    <row r="416" spans="1:6" ht="15.95" customHeight="1">
      <c r="A416" t="s">
        <v>1502</v>
      </c>
      <c r="B416" t="s">
        <v>1377</v>
      </c>
      <c r="C416" t="s">
        <v>1505</v>
      </c>
      <c r="D416" t="s">
        <v>1506</v>
      </c>
      <c r="E416" s="4"/>
      <c r="F416" s="13"/>
    </row>
    <row r="417" spans="1:6" ht="15.95" customHeight="1">
      <c r="A417" t="s">
        <v>1502</v>
      </c>
      <c r="B417" t="s">
        <v>1380</v>
      </c>
      <c r="C417" t="s">
        <v>1381</v>
      </c>
      <c r="D417" t="s">
        <v>1382</v>
      </c>
      <c r="E417" s="4"/>
      <c r="F417" s="13"/>
    </row>
    <row r="418" spans="1:6" ht="15.95" customHeight="1">
      <c r="A418" t="s">
        <v>1502</v>
      </c>
      <c r="B418" t="s">
        <v>1383</v>
      </c>
      <c r="C418" t="s">
        <v>1384</v>
      </c>
      <c r="D418" t="s">
        <v>1507</v>
      </c>
      <c r="E418" s="4"/>
      <c r="F418" s="13"/>
    </row>
    <row r="419" spans="1:6" ht="15.95" customHeight="1">
      <c r="A419" t="s">
        <v>1502</v>
      </c>
      <c r="B419" t="s">
        <v>1508</v>
      </c>
      <c r="C419" t="s">
        <v>1509</v>
      </c>
      <c r="D419" t="s">
        <v>1510</v>
      </c>
      <c r="E419" s="4"/>
      <c r="F419" s="13"/>
    </row>
    <row r="420" spans="1:6" ht="15.95" customHeight="1">
      <c r="A420" t="s">
        <v>1502</v>
      </c>
      <c r="B420" t="s">
        <v>1386</v>
      </c>
      <c r="C420" t="s">
        <v>1511</v>
      </c>
      <c r="D420" t="s">
        <v>1512</v>
      </c>
      <c r="E420" s="4"/>
      <c r="F420" s="13"/>
    </row>
    <row r="421" spans="1:6" ht="15.95" customHeight="1">
      <c r="A421" t="s">
        <v>1502</v>
      </c>
      <c r="B421" t="s">
        <v>1389</v>
      </c>
      <c r="C421" t="s">
        <v>1390</v>
      </c>
      <c r="D421" t="s">
        <v>1391</v>
      </c>
      <c r="E421" s="4"/>
      <c r="F421" s="13"/>
    </row>
    <row r="422" spans="1:6" ht="15.95" customHeight="1">
      <c r="A422" t="s">
        <v>1502</v>
      </c>
      <c r="B422" t="s">
        <v>1004</v>
      </c>
      <c r="C422" t="s">
        <v>1292</v>
      </c>
      <c r="D422" t="s">
        <v>1293</v>
      </c>
      <c r="E422" s="4"/>
    </row>
    <row r="423" spans="1:6" ht="15.95" customHeight="1">
      <c r="A423" t="s">
        <v>1502</v>
      </c>
      <c r="B423" t="s">
        <v>1010</v>
      </c>
      <c r="C423" t="s">
        <v>886</v>
      </c>
      <c r="D423" t="s">
        <v>887</v>
      </c>
      <c r="E423" s="4"/>
    </row>
    <row r="424" spans="1:6" ht="15.95" customHeight="1">
      <c r="A424" t="s">
        <v>1502</v>
      </c>
      <c r="B424" t="s">
        <v>1011</v>
      </c>
      <c r="C424" t="s">
        <v>888</v>
      </c>
      <c r="D424" t="s">
        <v>889</v>
      </c>
      <c r="E424" s="4"/>
    </row>
    <row r="425" spans="1:6" ht="15.95" customHeight="1">
      <c r="E425" s="4"/>
    </row>
    <row r="426" spans="1:6">
      <c r="A426" t="s">
        <v>1513</v>
      </c>
      <c r="B426" t="s">
        <v>1514</v>
      </c>
      <c r="C426" t="s">
        <v>1515</v>
      </c>
      <c r="D426" t="s">
        <v>1516</v>
      </c>
      <c r="E426" s="4"/>
      <c r="F426" s="13"/>
    </row>
    <row r="427" spans="1:6">
      <c r="A427" t="s">
        <v>1513</v>
      </c>
      <c r="B427" t="s">
        <v>1517</v>
      </c>
      <c r="C427" t="s">
        <v>1518</v>
      </c>
      <c r="D427" t="s">
        <v>1519</v>
      </c>
      <c r="E427" s="4"/>
      <c r="F427" s="13"/>
    </row>
    <row r="428" spans="1:6">
      <c r="A428" t="s">
        <v>1513</v>
      </c>
      <c r="B428" t="s">
        <v>1520</v>
      </c>
      <c r="C428" t="s">
        <v>1521</v>
      </c>
      <c r="D428" t="s">
        <v>1522</v>
      </c>
      <c r="E428" s="4"/>
      <c r="F428" s="13"/>
    </row>
    <row r="429" spans="1:6">
      <c r="A429" t="s">
        <v>1513</v>
      </c>
      <c r="B429" t="s">
        <v>1523</v>
      </c>
      <c r="C429" t="s">
        <v>1524</v>
      </c>
      <c r="D429" t="s">
        <v>1525</v>
      </c>
      <c r="E429" s="4"/>
      <c r="F429" s="13"/>
    </row>
    <row r="430" spans="1:6">
      <c r="A430" t="s">
        <v>1513</v>
      </c>
      <c r="B430" t="s">
        <v>1010</v>
      </c>
      <c r="C430" t="s">
        <v>886</v>
      </c>
      <c r="D430" t="s">
        <v>887</v>
      </c>
      <c r="E430" s="4"/>
      <c r="F430" s="13"/>
    </row>
    <row r="431" spans="1:6">
      <c r="A431" t="s">
        <v>1513</v>
      </c>
      <c r="B431" t="s">
        <v>1011</v>
      </c>
      <c r="C431" t="s">
        <v>888</v>
      </c>
      <c r="D431" t="s">
        <v>889</v>
      </c>
      <c r="E431" s="4"/>
      <c r="F431" s="13"/>
    </row>
    <row r="432" spans="1:6">
      <c r="E432" s="4"/>
    </row>
    <row r="433" spans="1:6">
      <c r="A433" t="s">
        <v>1526</v>
      </c>
      <c r="B433" t="s">
        <v>1527</v>
      </c>
      <c r="C433" t="s">
        <v>1528</v>
      </c>
      <c r="D433" t="s">
        <v>1529</v>
      </c>
      <c r="E433" s="4"/>
      <c r="F433" s="13"/>
    </row>
    <row r="434" spans="1:6">
      <c r="A434" t="s">
        <v>1526</v>
      </c>
      <c r="B434" t="s">
        <v>1530</v>
      </c>
      <c r="C434" t="s">
        <v>1531</v>
      </c>
      <c r="D434" t="s">
        <v>1532</v>
      </c>
      <c r="E434" s="4"/>
      <c r="F434" s="13"/>
    </row>
    <row r="435" spans="1:6">
      <c r="A435" t="s">
        <v>1526</v>
      </c>
      <c r="B435" t="s">
        <v>1533</v>
      </c>
      <c r="C435" t="s">
        <v>1534</v>
      </c>
      <c r="D435" t="s">
        <v>1535</v>
      </c>
      <c r="E435" s="4"/>
      <c r="F435" s="13"/>
    </row>
    <row r="436" spans="1:6">
      <c r="A436" t="s">
        <v>1526</v>
      </c>
      <c r="B436" t="s">
        <v>1536</v>
      </c>
      <c r="C436" t="s">
        <v>1537</v>
      </c>
      <c r="D436" t="s">
        <v>1538</v>
      </c>
      <c r="E436" s="4"/>
      <c r="F436" s="13"/>
    </row>
    <row r="437" spans="1:6">
      <c r="A437" t="s">
        <v>1526</v>
      </c>
      <c r="B437" t="s">
        <v>1539</v>
      </c>
      <c r="C437" t="s">
        <v>1540</v>
      </c>
      <c r="D437" t="s">
        <v>1541</v>
      </c>
      <c r="E437" s="4"/>
      <c r="F437" s="13"/>
    </row>
    <row r="438" spans="1:6">
      <c r="A438" t="s">
        <v>1526</v>
      </c>
      <c r="B438" t="s">
        <v>1542</v>
      </c>
      <c r="C438" t="s">
        <v>1543</v>
      </c>
      <c r="D438" t="s">
        <v>1544</v>
      </c>
      <c r="E438" s="4"/>
      <c r="F438" s="13"/>
    </row>
    <row r="439" spans="1:6">
      <c r="A439" t="s">
        <v>1526</v>
      </c>
      <c r="B439" t="s">
        <v>1545</v>
      </c>
      <c r="C439" t="s">
        <v>1546</v>
      </c>
      <c r="D439" t="s">
        <v>1547</v>
      </c>
      <c r="E439" s="4"/>
      <c r="F439" s="13"/>
    </row>
    <row r="440" spans="1:6">
      <c r="A440" t="s">
        <v>1526</v>
      </c>
      <c r="B440" t="s">
        <v>1548</v>
      </c>
      <c r="C440" t="s">
        <v>1549</v>
      </c>
      <c r="D440" t="s">
        <v>1550</v>
      </c>
      <c r="E440" s="4"/>
      <c r="F440" s="13"/>
    </row>
    <row r="441" spans="1:6">
      <c r="A441" t="s">
        <v>1526</v>
      </c>
      <c r="B441" t="s">
        <v>1004</v>
      </c>
      <c r="C441" t="s">
        <v>1228</v>
      </c>
      <c r="D441" t="s">
        <v>1229</v>
      </c>
      <c r="E441" s="4"/>
    </row>
    <row r="442" spans="1:6">
      <c r="A442" t="s">
        <v>1526</v>
      </c>
      <c r="B442" t="s">
        <v>1010</v>
      </c>
      <c r="C442" t="s">
        <v>886</v>
      </c>
      <c r="D442" t="s">
        <v>887</v>
      </c>
      <c r="E442" s="4"/>
    </row>
    <row r="443" spans="1:6">
      <c r="A443" t="s">
        <v>1526</v>
      </c>
      <c r="B443" t="s">
        <v>1011</v>
      </c>
      <c r="C443" t="s">
        <v>888</v>
      </c>
      <c r="D443" t="s">
        <v>889</v>
      </c>
      <c r="E443" s="4"/>
    </row>
    <row r="444" spans="1:6">
      <c r="E444" s="4"/>
    </row>
    <row r="445" spans="1:6" s="13" customFormat="1">
      <c r="A445" s="309" t="s">
        <v>1551</v>
      </c>
      <c r="B445" s="309" t="s">
        <v>1552</v>
      </c>
      <c r="C445" s="309" t="s">
        <v>1553</v>
      </c>
      <c r="D445" s="309" t="s">
        <v>1554</v>
      </c>
      <c r="E445" s="15"/>
    </row>
    <row r="446" spans="1:6" s="13" customFormat="1">
      <c r="A446" s="309" t="s">
        <v>1551</v>
      </c>
      <c r="B446" s="309" t="s">
        <v>1555</v>
      </c>
      <c r="C446" s="309" t="s">
        <v>1556</v>
      </c>
      <c r="D446" s="309" t="s">
        <v>1557</v>
      </c>
      <c r="E446" s="15"/>
    </row>
    <row r="447" spans="1:6" s="13" customFormat="1">
      <c r="A447" s="309" t="s">
        <v>1551</v>
      </c>
      <c r="B447" s="309" t="s">
        <v>1558</v>
      </c>
      <c r="C447" s="309" t="s">
        <v>1559</v>
      </c>
      <c r="D447" s="309" t="s">
        <v>1560</v>
      </c>
      <c r="E447" s="15"/>
    </row>
    <row r="448" spans="1:6" s="13" customFormat="1">
      <c r="A448" s="309" t="s">
        <v>1551</v>
      </c>
      <c r="B448" s="309" t="s">
        <v>1561</v>
      </c>
      <c r="C448" s="309" t="s">
        <v>1562</v>
      </c>
      <c r="D448" s="309" t="s">
        <v>1563</v>
      </c>
      <c r="E448" s="15"/>
    </row>
    <row r="449" spans="1:6" s="13" customFormat="1">
      <c r="A449" s="309" t="s">
        <v>1551</v>
      </c>
      <c r="B449" s="309" t="s">
        <v>1536</v>
      </c>
      <c r="C449" s="309" t="s">
        <v>1564</v>
      </c>
      <c r="D449" s="309" t="s">
        <v>1565</v>
      </c>
      <c r="E449" s="15"/>
    </row>
    <row r="450" spans="1:6" s="13" customFormat="1">
      <c r="A450" s="309" t="s">
        <v>1551</v>
      </c>
      <c r="B450" s="309" t="s">
        <v>1566</v>
      </c>
      <c r="C450" s="309" t="s">
        <v>1567</v>
      </c>
      <c r="D450" s="309" t="s">
        <v>1568</v>
      </c>
      <c r="E450" s="15"/>
    </row>
    <row r="451" spans="1:6" s="13" customFormat="1">
      <c r="A451" s="309" t="s">
        <v>1551</v>
      </c>
      <c r="B451" s="309" t="s">
        <v>1542</v>
      </c>
      <c r="C451" s="309" t="s">
        <v>1569</v>
      </c>
      <c r="D451" s="309" t="s">
        <v>1570</v>
      </c>
      <c r="E451" s="15"/>
    </row>
    <row r="452" spans="1:6" s="13" customFormat="1">
      <c r="A452" s="309" t="s">
        <v>1551</v>
      </c>
      <c r="B452" s="309" t="s">
        <v>1004</v>
      </c>
      <c r="C452" s="309" t="s">
        <v>1228</v>
      </c>
      <c r="D452" s="309" t="s">
        <v>1229</v>
      </c>
      <c r="E452" s="15"/>
    </row>
    <row r="453" spans="1:6" s="13" customFormat="1">
      <c r="A453" s="309" t="s">
        <v>1551</v>
      </c>
      <c r="B453" s="309" t="s">
        <v>1010</v>
      </c>
      <c r="C453" s="309" t="s">
        <v>886</v>
      </c>
      <c r="D453" s="309" t="s">
        <v>887</v>
      </c>
      <c r="E453" s="15"/>
    </row>
    <row r="454" spans="1:6" s="13" customFormat="1">
      <c r="A454" s="309" t="s">
        <v>1551</v>
      </c>
      <c r="B454" s="309" t="s">
        <v>1011</v>
      </c>
      <c r="C454" s="309" t="s">
        <v>888</v>
      </c>
      <c r="D454" s="309" t="s">
        <v>889</v>
      </c>
      <c r="E454" s="15"/>
    </row>
    <row r="455" spans="1:6">
      <c r="E455" s="4"/>
    </row>
    <row r="456" spans="1:6">
      <c r="A456" t="s">
        <v>1571</v>
      </c>
      <c r="B456">
        <v>1</v>
      </c>
      <c r="C456" t="s">
        <v>1572</v>
      </c>
      <c r="D456" t="s">
        <v>1573</v>
      </c>
      <c r="E456" s="4"/>
    </row>
    <row r="457" spans="1:6">
      <c r="A457" t="s">
        <v>1571</v>
      </c>
      <c r="B457">
        <v>2</v>
      </c>
      <c r="C457" t="s">
        <v>1574</v>
      </c>
      <c r="D457" t="s">
        <v>1575</v>
      </c>
      <c r="E457" s="4"/>
    </row>
    <row r="458" spans="1:6">
      <c r="A458" t="s">
        <v>1571</v>
      </c>
      <c r="B458">
        <v>3</v>
      </c>
      <c r="C458" t="s">
        <v>1576</v>
      </c>
      <c r="D458" t="s">
        <v>1577</v>
      </c>
      <c r="E458" s="4"/>
    </row>
    <row r="459" spans="1:6">
      <c r="A459" t="s">
        <v>1571</v>
      </c>
      <c r="B459">
        <v>4</v>
      </c>
      <c r="C459" t="s">
        <v>1578</v>
      </c>
      <c r="D459" t="s">
        <v>1579</v>
      </c>
      <c r="E459" s="4"/>
    </row>
    <row r="460" spans="1:6">
      <c r="A460" t="s">
        <v>1571</v>
      </c>
      <c r="B460">
        <v>5</v>
      </c>
      <c r="C460" t="s">
        <v>1228</v>
      </c>
      <c r="D460" t="s">
        <v>1229</v>
      </c>
      <c r="E460" s="4"/>
    </row>
    <row r="461" spans="1:6">
      <c r="A461" t="s">
        <v>1571</v>
      </c>
      <c r="B461" s="308">
        <v>6</v>
      </c>
      <c r="C461" t="s">
        <v>886</v>
      </c>
      <c r="D461" t="s">
        <v>887</v>
      </c>
      <c r="E461" s="4"/>
    </row>
    <row r="462" spans="1:6">
      <c r="A462" t="s">
        <v>1571</v>
      </c>
      <c r="B462" s="308">
        <v>7</v>
      </c>
      <c r="C462" t="s">
        <v>888</v>
      </c>
      <c r="D462" t="s">
        <v>889</v>
      </c>
      <c r="E462" s="4"/>
    </row>
    <row r="463" spans="1:6">
      <c r="E463" s="4"/>
    </row>
    <row r="464" spans="1:6">
      <c r="A464" t="s">
        <v>1580</v>
      </c>
      <c r="B464" t="s">
        <v>1371</v>
      </c>
      <c r="C464" t="s">
        <v>1372</v>
      </c>
      <c r="D464" t="s">
        <v>1373</v>
      </c>
      <c r="E464" s="4"/>
      <c r="F464" s="13"/>
    </row>
    <row r="465" spans="1:6">
      <c r="A465" t="s">
        <v>1580</v>
      </c>
      <c r="B465" t="s">
        <v>1374</v>
      </c>
      <c r="C465" t="s">
        <v>1581</v>
      </c>
      <c r="D465" t="s">
        <v>1582</v>
      </c>
      <c r="E465" s="4"/>
      <c r="F465" s="13"/>
    </row>
    <row r="466" spans="1:6">
      <c r="A466" t="s">
        <v>1580</v>
      </c>
      <c r="B466" t="s">
        <v>1377</v>
      </c>
      <c r="C466" t="s">
        <v>1583</v>
      </c>
      <c r="D466" t="s">
        <v>1584</v>
      </c>
      <c r="E466" s="4"/>
      <c r="F466" s="13"/>
    </row>
    <row r="467" spans="1:6">
      <c r="A467" t="s">
        <v>1580</v>
      </c>
      <c r="B467" t="s">
        <v>1380</v>
      </c>
      <c r="C467" t="s">
        <v>1585</v>
      </c>
      <c r="D467" t="s">
        <v>1586</v>
      </c>
      <c r="E467" s="4"/>
      <c r="F467" s="13"/>
    </row>
    <row r="468" spans="1:6">
      <c r="A468" t="s">
        <v>1580</v>
      </c>
      <c r="B468" t="s">
        <v>1587</v>
      </c>
      <c r="C468" t="s">
        <v>1384</v>
      </c>
      <c r="D468" t="s">
        <v>1507</v>
      </c>
      <c r="E468" s="4"/>
      <c r="F468" s="13"/>
    </row>
    <row r="469" spans="1:6">
      <c r="A469" t="s">
        <v>1580</v>
      </c>
      <c r="B469" t="s">
        <v>1386</v>
      </c>
      <c r="C469" t="s">
        <v>1588</v>
      </c>
      <c r="D469" t="s">
        <v>1589</v>
      </c>
      <c r="E469" s="4"/>
      <c r="F469" s="13"/>
    </row>
    <row r="470" spans="1:6">
      <c r="A470" t="s">
        <v>1580</v>
      </c>
      <c r="B470" t="s">
        <v>1389</v>
      </c>
      <c r="C470" t="s">
        <v>1590</v>
      </c>
      <c r="D470" t="s">
        <v>1391</v>
      </c>
      <c r="E470" s="4"/>
      <c r="F470" s="13"/>
    </row>
    <row r="471" spans="1:6">
      <c r="A471" t="s">
        <v>1580</v>
      </c>
      <c r="B471" t="s">
        <v>1004</v>
      </c>
      <c r="C471" t="s">
        <v>1292</v>
      </c>
      <c r="D471" t="s">
        <v>1591</v>
      </c>
      <c r="E471" s="4"/>
    </row>
    <row r="472" spans="1:6">
      <c r="A472" t="s">
        <v>1580</v>
      </c>
      <c r="B472" t="s">
        <v>1010</v>
      </c>
      <c r="C472" t="s">
        <v>886</v>
      </c>
      <c r="D472" t="s">
        <v>887</v>
      </c>
      <c r="E472" s="4"/>
    </row>
    <row r="473" spans="1:6">
      <c r="A473" t="s">
        <v>1580</v>
      </c>
      <c r="B473" t="s">
        <v>1011</v>
      </c>
      <c r="C473" t="s">
        <v>888</v>
      </c>
      <c r="D473" t="s">
        <v>889</v>
      </c>
      <c r="E473" s="4"/>
    </row>
    <row r="474" spans="1:6">
      <c r="E474" s="4"/>
    </row>
    <row r="475" spans="1:6">
      <c r="A475" t="s">
        <v>1592</v>
      </c>
      <c r="B475">
        <v>1</v>
      </c>
      <c r="C475" t="s">
        <v>1593</v>
      </c>
      <c r="D475" t="s">
        <v>1594</v>
      </c>
      <c r="E475" s="4"/>
    </row>
    <row r="476" spans="1:6">
      <c r="A476" t="s">
        <v>1592</v>
      </c>
      <c r="B476">
        <v>2</v>
      </c>
      <c r="C476" t="s">
        <v>1595</v>
      </c>
      <c r="D476" t="s">
        <v>1596</v>
      </c>
      <c r="E476" s="4"/>
    </row>
    <row r="477" spans="1:6">
      <c r="A477" t="s">
        <v>1592</v>
      </c>
      <c r="B477">
        <v>3</v>
      </c>
      <c r="C477" t="s">
        <v>1597</v>
      </c>
      <c r="D477" t="s">
        <v>1598</v>
      </c>
      <c r="E477" s="4"/>
    </row>
    <row r="478" spans="1:6">
      <c r="A478" t="s">
        <v>1592</v>
      </c>
      <c r="B478">
        <v>4</v>
      </c>
      <c r="C478" t="s">
        <v>1599</v>
      </c>
      <c r="D478" t="s">
        <v>887</v>
      </c>
      <c r="E478" s="4"/>
    </row>
    <row r="479" spans="1:6">
      <c r="A479" t="s">
        <v>1592</v>
      </c>
      <c r="B479" s="308">
        <v>5</v>
      </c>
      <c r="C479" t="s">
        <v>888</v>
      </c>
      <c r="D479" t="s">
        <v>889</v>
      </c>
      <c r="E479" s="4"/>
    </row>
    <row r="480" spans="1:6">
      <c r="E480" s="4"/>
    </row>
    <row r="481" spans="1:5">
      <c r="A481" t="s">
        <v>1600</v>
      </c>
      <c r="B481">
        <v>1</v>
      </c>
      <c r="C481" t="s">
        <v>882</v>
      </c>
      <c r="D481" t="s">
        <v>883</v>
      </c>
      <c r="E481" s="4"/>
    </row>
    <row r="482" spans="1:5">
      <c r="A482" t="s">
        <v>1600</v>
      </c>
      <c r="B482">
        <v>2</v>
      </c>
      <c r="C482" t="s">
        <v>1601</v>
      </c>
      <c r="D482" t="s">
        <v>1602</v>
      </c>
      <c r="E482" s="4"/>
    </row>
    <row r="483" spans="1:5">
      <c r="A483" t="s">
        <v>1600</v>
      </c>
      <c r="B483">
        <v>3</v>
      </c>
      <c r="C483" t="s">
        <v>1603</v>
      </c>
      <c r="D483" t="s">
        <v>1604</v>
      </c>
      <c r="E483" s="4"/>
    </row>
    <row r="484" spans="1:5">
      <c r="A484" t="s">
        <v>1600</v>
      </c>
      <c r="B484">
        <v>4</v>
      </c>
      <c r="C484" t="s">
        <v>1605</v>
      </c>
      <c r="D484" t="s">
        <v>1606</v>
      </c>
      <c r="E484" s="4"/>
    </row>
    <row r="485" spans="1:5">
      <c r="A485" t="s">
        <v>1600</v>
      </c>
      <c r="B485" s="308">
        <v>5</v>
      </c>
      <c r="C485" t="s">
        <v>886</v>
      </c>
      <c r="D485" t="s">
        <v>887</v>
      </c>
      <c r="E485" s="4"/>
    </row>
    <row r="486" spans="1:5">
      <c r="A486" t="s">
        <v>1600</v>
      </c>
      <c r="B486" s="308">
        <v>6</v>
      </c>
      <c r="C486" t="s">
        <v>888</v>
      </c>
      <c r="D486" t="s">
        <v>889</v>
      </c>
      <c r="E486" s="4"/>
    </row>
    <row r="487" spans="1:5">
      <c r="E487" s="4"/>
    </row>
    <row r="488" spans="1:5">
      <c r="A488" t="s">
        <v>721</v>
      </c>
      <c r="B488" t="s">
        <v>1607</v>
      </c>
      <c r="C488" t="s">
        <v>1608</v>
      </c>
      <c r="D488" t="s">
        <v>1609</v>
      </c>
      <c r="E488" s="4"/>
    </row>
    <row r="489" spans="1:5">
      <c r="A489" t="s">
        <v>721</v>
      </c>
      <c r="B489" t="s">
        <v>1610</v>
      </c>
      <c r="C489" t="s">
        <v>1611</v>
      </c>
      <c r="D489" t="s">
        <v>1612</v>
      </c>
      <c r="E489" s="4"/>
    </row>
    <row r="490" spans="1:5">
      <c r="A490" t="s">
        <v>721</v>
      </c>
      <c r="B490" t="s">
        <v>1613</v>
      </c>
      <c r="C490" t="s">
        <v>1614</v>
      </c>
      <c r="D490" t="s">
        <v>1615</v>
      </c>
      <c r="E490" s="4"/>
    </row>
    <row r="491" spans="1:5">
      <c r="A491" t="s">
        <v>721</v>
      </c>
      <c r="B491" t="s">
        <v>1616</v>
      </c>
      <c r="C491" t="s">
        <v>1617</v>
      </c>
      <c r="D491" t="s">
        <v>1618</v>
      </c>
      <c r="E491" s="4"/>
    </row>
    <row r="492" spans="1:5">
      <c r="A492" t="s">
        <v>721</v>
      </c>
      <c r="B492" t="s">
        <v>1619</v>
      </c>
      <c r="C492" t="s">
        <v>1620</v>
      </c>
      <c r="D492" t="s">
        <v>1621</v>
      </c>
      <c r="E492" s="4"/>
    </row>
    <row r="493" spans="1:5">
      <c r="A493" t="s">
        <v>721</v>
      </c>
      <c r="B493" t="s">
        <v>1622</v>
      </c>
      <c r="C493" t="s">
        <v>1496</v>
      </c>
      <c r="D493" t="s">
        <v>1497</v>
      </c>
      <c r="E493" s="4"/>
    </row>
    <row r="494" spans="1:5">
      <c r="A494" t="s">
        <v>721</v>
      </c>
      <c r="B494" t="s">
        <v>1623</v>
      </c>
      <c r="C494" t="s">
        <v>1624</v>
      </c>
      <c r="D494" t="s">
        <v>1625</v>
      </c>
      <c r="E494" s="4"/>
    </row>
    <row r="495" spans="1:5">
      <c r="A495" t="s">
        <v>721</v>
      </c>
      <c r="B495" t="s">
        <v>1626</v>
      </c>
      <c r="C495" t="s">
        <v>1627</v>
      </c>
      <c r="D495" t="s">
        <v>1628</v>
      </c>
      <c r="E495" s="4"/>
    </row>
    <row r="496" spans="1:5">
      <c r="A496" t="s">
        <v>721</v>
      </c>
      <c r="B496" t="s">
        <v>1629</v>
      </c>
      <c r="C496" t="s">
        <v>1630</v>
      </c>
      <c r="D496" t="s">
        <v>1631</v>
      </c>
      <c r="E496" s="4"/>
    </row>
    <row r="497" spans="1:6">
      <c r="A497" t="s">
        <v>721</v>
      </c>
      <c r="B497" t="s">
        <v>1632</v>
      </c>
      <c r="C497" t="s">
        <v>1633</v>
      </c>
      <c r="D497" t="s">
        <v>1634</v>
      </c>
      <c r="E497" s="4"/>
    </row>
    <row r="498" spans="1:6">
      <c r="A498" t="s">
        <v>721</v>
      </c>
      <c r="B498" t="s">
        <v>1635</v>
      </c>
      <c r="C498" t="s">
        <v>1636</v>
      </c>
      <c r="D498" t="s">
        <v>1637</v>
      </c>
      <c r="E498" s="4"/>
    </row>
    <row r="499" spans="1:6">
      <c r="A499" t="s">
        <v>721</v>
      </c>
      <c r="B499" t="s">
        <v>1638</v>
      </c>
      <c r="C499" t="s">
        <v>1639</v>
      </c>
      <c r="D499" t="s">
        <v>1640</v>
      </c>
      <c r="E499" s="4"/>
    </row>
    <row r="500" spans="1:6">
      <c r="E500" s="4"/>
    </row>
    <row r="501" spans="1:6">
      <c r="A501" t="s">
        <v>1641</v>
      </c>
      <c r="B501" t="s">
        <v>1642</v>
      </c>
      <c r="C501" t="s">
        <v>1643</v>
      </c>
      <c r="D501" t="s">
        <v>1644</v>
      </c>
      <c r="E501" s="4"/>
      <c r="F501" s="13"/>
    </row>
    <row r="502" spans="1:6">
      <c r="A502" t="s">
        <v>1641</v>
      </c>
      <c r="B502" t="s">
        <v>1645</v>
      </c>
      <c r="C502" t="s">
        <v>1646</v>
      </c>
      <c r="D502" t="s">
        <v>1647</v>
      </c>
      <c r="E502" s="4"/>
      <c r="F502" s="13"/>
    </row>
    <row r="503" spans="1:6">
      <c r="A503" t="s">
        <v>1641</v>
      </c>
      <c r="B503" t="s">
        <v>1648</v>
      </c>
      <c r="C503" t="s">
        <v>1649</v>
      </c>
      <c r="D503" t="s">
        <v>1650</v>
      </c>
      <c r="E503" s="4"/>
      <c r="F503" s="13"/>
    </row>
    <row r="504" spans="1:6">
      <c r="A504" t="s">
        <v>1641</v>
      </c>
      <c r="B504" t="s">
        <v>1651</v>
      </c>
      <c r="C504" t="s">
        <v>1652</v>
      </c>
      <c r="D504" t="s">
        <v>1653</v>
      </c>
      <c r="E504" s="4"/>
      <c r="F504" s="13"/>
    </row>
    <row r="505" spans="1:6">
      <c r="A505" t="s">
        <v>1641</v>
      </c>
      <c r="B505" t="s">
        <v>1654</v>
      </c>
      <c r="C505" t="s">
        <v>1655</v>
      </c>
      <c r="D505" t="s">
        <v>1656</v>
      </c>
      <c r="E505" s="4"/>
      <c r="F505" s="13"/>
    </row>
    <row r="506" spans="1:6">
      <c r="A506" t="s">
        <v>1641</v>
      </c>
      <c r="B506" t="s">
        <v>1657</v>
      </c>
      <c r="C506" t="s">
        <v>1658</v>
      </c>
      <c r="D506" t="s">
        <v>1659</v>
      </c>
      <c r="E506" s="4"/>
      <c r="F506" s="13"/>
    </row>
    <row r="507" spans="1:6">
      <c r="A507" t="s">
        <v>1641</v>
      </c>
      <c r="B507" t="s">
        <v>508</v>
      </c>
      <c r="C507" t="s">
        <v>1660</v>
      </c>
      <c r="D507" t="s">
        <v>1661</v>
      </c>
      <c r="E507" s="4"/>
      <c r="F507" s="13"/>
    </row>
    <row r="508" spans="1:6">
      <c r="A508" t="s">
        <v>1641</v>
      </c>
      <c r="B508" t="s">
        <v>1662</v>
      </c>
      <c r="C508" t="s">
        <v>1663</v>
      </c>
      <c r="D508" t="s">
        <v>1664</v>
      </c>
      <c r="E508" s="4"/>
      <c r="F508" s="13"/>
    </row>
    <row r="509" spans="1:6">
      <c r="A509" t="s">
        <v>1641</v>
      </c>
      <c r="B509" t="s">
        <v>1665</v>
      </c>
      <c r="C509" t="s">
        <v>1666</v>
      </c>
      <c r="D509" t="s">
        <v>1667</v>
      </c>
      <c r="E509" s="4"/>
      <c r="F509" s="13"/>
    </row>
    <row r="510" spans="1:6">
      <c r="A510" t="s">
        <v>1641</v>
      </c>
      <c r="B510" t="s">
        <v>1668</v>
      </c>
      <c r="C510" t="s">
        <v>1669</v>
      </c>
      <c r="D510" t="s">
        <v>1670</v>
      </c>
      <c r="E510" s="4"/>
      <c r="F510" s="13"/>
    </row>
    <row r="511" spans="1:6">
      <c r="A511" t="s">
        <v>1641</v>
      </c>
      <c r="B511" t="s">
        <v>1671</v>
      </c>
      <c r="C511" t="s">
        <v>1672</v>
      </c>
      <c r="D511" t="s">
        <v>1673</v>
      </c>
      <c r="E511" s="4"/>
      <c r="F511" s="13"/>
    </row>
    <row r="512" spans="1:6">
      <c r="A512" t="s">
        <v>1641</v>
      </c>
      <c r="B512" t="s">
        <v>1674</v>
      </c>
      <c r="C512" t="s">
        <v>1675</v>
      </c>
      <c r="D512" t="s">
        <v>1676</v>
      </c>
      <c r="E512" s="4"/>
      <c r="F512" s="13"/>
    </row>
    <row r="513" spans="1:6">
      <c r="A513" t="s">
        <v>1641</v>
      </c>
      <c r="B513" t="s">
        <v>1677</v>
      </c>
      <c r="C513" t="s">
        <v>1678</v>
      </c>
      <c r="D513" t="s">
        <v>1679</v>
      </c>
      <c r="E513" s="4"/>
      <c r="F513" s="13"/>
    </row>
    <row r="514" spans="1:6">
      <c r="A514" t="s">
        <v>1641</v>
      </c>
      <c r="B514" t="s">
        <v>1680</v>
      </c>
      <c r="C514" t="s">
        <v>1681</v>
      </c>
      <c r="D514" t="s">
        <v>1682</v>
      </c>
      <c r="E514" s="4"/>
      <c r="F514" s="13"/>
    </row>
    <row r="515" spans="1:6">
      <c r="A515" t="s">
        <v>1641</v>
      </c>
      <c r="B515" t="s">
        <v>1683</v>
      </c>
      <c r="C515" t="s">
        <v>1684</v>
      </c>
      <c r="D515" t="s">
        <v>1685</v>
      </c>
      <c r="E515" s="4"/>
      <c r="F515" s="13"/>
    </row>
    <row r="516" spans="1:6">
      <c r="A516" t="s">
        <v>1641</v>
      </c>
      <c r="B516" t="s">
        <v>1686</v>
      </c>
      <c r="C516" t="s">
        <v>1687</v>
      </c>
      <c r="D516" t="s">
        <v>1688</v>
      </c>
      <c r="E516" s="4"/>
      <c r="F516" s="13"/>
    </row>
    <row r="517" spans="1:6">
      <c r="A517" t="s">
        <v>1641</v>
      </c>
      <c r="B517" t="s">
        <v>1004</v>
      </c>
      <c r="C517" t="s">
        <v>1228</v>
      </c>
      <c r="D517" t="s">
        <v>1229</v>
      </c>
      <c r="E517" s="4"/>
    </row>
    <row r="518" spans="1:6">
      <c r="A518" t="s">
        <v>1641</v>
      </c>
      <c r="B518" t="s">
        <v>1010</v>
      </c>
      <c r="C518" t="s">
        <v>886</v>
      </c>
      <c r="D518" t="s">
        <v>887</v>
      </c>
      <c r="E518" s="4"/>
    </row>
    <row r="519" spans="1:6">
      <c r="A519" t="s">
        <v>1641</v>
      </c>
      <c r="B519" t="s">
        <v>1011</v>
      </c>
      <c r="C519" t="s">
        <v>888</v>
      </c>
      <c r="D519" t="s">
        <v>889</v>
      </c>
      <c r="E519" s="4"/>
    </row>
    <row r="520" spans="1:6">
      <c r="E520" s="4"/>
    </row>
    <row r="521" spans="1:6">
      <c r="A521" t="s">
        <v>1689</v>
      </c>
      <c r="B521" t="s">
        <v>1642</v>
      </c>
      <c r="C521" t="s">
        <v>1643</v>
      </c>
      <c r="D521" t="s">
        <v>1690</v>
      </c>
      <c r="E521" s="4"/>
      <c r="F521" s="13"/>
    </row>
    <row r="522" spans="1:6">
      <c r="A522" t="s">
        <v>1689</v>
      </c>
      <c r="B522" t="s">
        <v>1645</v>
      </c>
      <c r="C522" t="s">
        <v>1691</v>
      </c>
      <c r="D522" t="s">
        <v>1692</v>
      </c>
      <c r="E522" s="4"/>
      <c r="F522" s="13"/>
    </row>
    <row r="523" spans="1:6">
      <c r="A523" t="s">
        <v>1689</v>
      </c>
      <c r="B523" t="s">
        <v>1648</v>
      </c>
      <c r="C523" t="s">
        <v>1693</v>
      </c>
      <c r="D523" t="s">
        <v>1694</v>
      </c>
      <c r="E523" s="4"/>
      <c r="F523" s="13"/>
    </row>
    <row r="524" spans="1:6">
      <c r="A524" t="s">
        <v>1689</v>
      </c>
      <c r="B524" t="s">
        <v>1695</v>
      </c>
      <c r="C524" t="s">
        <v>1696</v>
      </c>
      <c r="D524" t="s">
        <v>1697</v>
      </c>
      <c r="E524" s="4"/>
      <c r="F524" s="13"/>
    </row>
    <row r="525" spans="1:6">
      <c r="A525" t="s">
        <v>1689</v>
      </c>
      <c r="B525" t="s">
        <v>1698</v>
      </c>
      <c r="C525" t="s">
        <v>1699</v>
      </c>
      <c r="D525" t="s">
        <v>1700</v>
      </c>
      <c r="E525" s="4"/>
      <c r="F525" s="13"/>
    </row>
    <row r="526" spans="1:6">
      <c r="A526" t="s">
        <v>1689</v>
      </c>
      <c r="B526" t="s">
        <v>1701</v>
      </c>
      <c r="C526" t="s">
        <v>1702</v>
      </c>
      <c r="D526" t="s">
        <v>1703</v>
      </c>
      <c r="E526" s="4"/>
      <c r="F526" s="13"/>
    </row>
    <row r="527" spans="1:6">
      <c r="A527" t="s">
        <v>1689</v>
      </c>
      <c r="B527" t="s">
        <v>1704</v>
      </c>
      <c r="C527" t="s">
        <v>1681</v>
      </c>
      <c r="D527" t="s">
        <v>1705</v>
      </c>
      <c r="E527" s="4"/>
      <c r="F527" s="13"/>
    </row>
    <row r="528" spans="1:6">
      <c r="A528" t="s">
        <v>1689</v>
      </c>
      <c r="B528" t="s">
        <v>1706</v>
      </c>
      <c r="C528" t="s">
        <v>1687</v>
      </c>
      <c r="D528" t="s">
        <v>1707</v>
      </c>
      <c r="E528" s="4"/>
      <c r="F528" s="13"/>
    </row>
    <row r="529" spans="1:6">
      <c r="A529" t="s">
        <v>1689</v>
      </c>
      <c r="B529" t="s">
        <v>1004</v>
      </c>
      <c r="C529" t="s">
        <v>1228</v>
      </c>
      <c r="D529" t="s">
        <v>1229</v>
      </c>
      <c r="E529" s="4"/>
      <c r="F529" s="13"/>
    </row>
    <row r="530" spans="1:6">
      <c r="A530" t="s">
        <v>1689</v>
      </c>
      <c r="B530" t="s">
        <v>1007</v>
      </c>
      <c r="C530" t="s">
        <v>1708</v>
      </c>
      <c r="D530" t="s">
        <v>1709</v>
      </c>
      <c r="E530" s="4"/>
      <c r="F530" s="13"/>
    </row>
    <row r="531" spans="1:6">
      <c r="A531" t="s">
        <v>1689</v>
      </c>
      <c r="B531" t="s">
        <v>1010</v>
      </c>
      <c r="C531" t="s">
        <v>1599</v>
      </c>
      <c r="D531" t="s">
        <v>887</v>
      </c>
      <c r="E531" s="4"/>
    </row>
    <row r="532" spans="1:6">
      <c r="A532" t="s">
        <v>1689</v>
      </c>
      <c r="B532" t="s">
        <v>1011</v>
      </c>
      <c r="C532" t="s">
        <v>888</v>
      </c>
      <c r="D532" t="s">
        <v>889</v>
      </c>
      <c r="E532" s="4"/>
    </row>
    <row r="533" spans="1:6">
      <c r="E533" s="4"/>
    </row>
    <row r="534" spans="1:6">
      <c r="A534" t="s">
        <v>1710</v>
      </c>
      <c r="B534">
        <v>1</v>
      </c>
      <c r="C534" t="s">
        <v>882</v>
      </c>
      <c r="D534" t="s">
        <v>883</v>
      </c>
      <c r="E534" s="4"/>
      <c r="F534" s="13"/>
    </row>
    <row r="535" spans="1:6">
      <c r="A535" t="s">
        <v>1710</v>
      </c>
      <c r="B535">
        <v>2</v>
      </c>
      <c r="C535" t="s">
        <v>1711</v>
      </c>
      <c r="D535" t="s">
        <v>1712</v>
      </c>
      <c r="E535" s="4"/>
      <c r="F535" s="13"/>
    </row>
    <row r="536" spans="1:6">
      <c r="A536" t="s">
        <v>1710</v>
      </c>
      <c r="B536">
        <v>3</v>
      </c>
      <c r="C536" t="s">
        <v>1713</v>
      </c>
      <c r="D536" t="s">
        <v>1714</v>
      </c>
      <c r="E536" s="4"/>
      <c r="F536" s="13"/>
    </row>
    <row r="537" spans="1:6">
      <c r="A537" t="s">
        <v>1710</v>
      </c>
      <c r="B537">
        <v>4</v>
      </c>
      <c r="C537" t="s">
        <v>1715</v>
      </c>
      <c r="D537" t="s">
        <v>1716</v>
      </c>
      <c r="E537" s="4"/>
      <c r="F537" s="13"/>
    </row>
    <row r="538" spans="1:6">
      <c r="A538" t="s">
        <v>1710</v>
      </c>
      <c r="B538">
        <v>5</v>
      </c>
      <c r="C538" t="s">
        <v>1717</v>
      </c>
      <c r="D538" t="s">
        <v>1718</v>
      </c>
      <c r="E538" s="4"/>
      <c r="F538" s="13"/>
    </row>
    <row r="539" spans="1:6">
      <c r="A539" t="s">
        <v>1710</v>
      </c>
      <c r="B539">
        <v>6</v>
      </c>
      <c r="C539" t="s">
        <v>1719</v>
      </c>
      <c r="D539" t="s">
        <v>1720</v>
      </c>
      <c r="E539" s="4"/>
      <c r="F539" s="13"/>
    </row>
    <row r="540" spans="1:6">
      <c r="A540" t="s">
        <v>1710</v>
      </c>
      <c r="B540">
        <v>7</v>
      </c>
      <c r="C540" t="s">
        <v>886</v>
      </c>
      <c r="D540" t="s">
        <v>887</v>
      </c>
      <c r="E540" s="4"/>
      <c r="F540" s="13"/>
    </row>
    <row r="541" spans="1:6">
      <c r="A541" t="s">
        <v>1710</v>
      </c>
      <c r="B541">
        <v>8</v>
      </c>
      <c r="C541" t="s">
        <v>888</v>
      </c>
      <c r="D541" t="s">
        <v>889</v>
      </c>
      <c r="E541" s="4"/>
      <c r="F541" s="13"/>
    </row>
    <row r="542" spans="1:6">
      <c r="E542" s="4"/>
      <c r="F542" s="13"/>
    </row>
    <row r="543" spans="1:6">
      <c r="A543" t="s">
        <v>1721</v>
      </c>
      <c r="B543" t="s">
        <v>1722</v>
      </c>
      <c r="C543" t="s">
        <v>1723</v>
      </c>
      <c r="D543" t="s">
        <v>1724</v>
      </c>
      <c r="E543" s="4"/>
      <c r="F543" s="13"/>
    </row>
    <row r="544" spans="1:6">
      <c r="A544" t="s">
        <v>1721</v>
      </c>
      <c r="B544" t="s">
        <v>1725</v>
      </c>
      <c r="C544" t="s">
        <v>1726</v>
      </c>
      <c r="D544" t="s">
        <v>1727</v>
      </c>
      <c r="E544" s="4"/>
      <c r="F544" s="13"/>
    </row>
    <row r="545" spans="1:6">
      <c r="A545" t="s">
        <v>1721</v>
      </c>
      <c r="B545" t="s">
        <v>1728</v>
      </c>
      <c r="C545" t="s">
        <v>1729</v>
      </c>
      <c r="D545" t="s">
        <v>1730</v>
      </c>
      <c r="E545" s="4"/>
      <c r="F545" s="13"/>
    </row>
    <row r="546" spans="1:6">
      <c r="A546" t="s">
        <v>1721</v>
      </c>
      <c r="B546" t="s">
        <v>1286</v>
      </c>
      <c r="C546" t="s">
        <v>1731</v>
      </c>
      <c r="D546" t="s">
        <v>1732</v>
      </c>
      <c r="E546" s="4"/>
      <c r="F546" s="13"/>
    </row>
    <row r="547" spans="1:6">
      <c r="A547" t="s">
        <v>1721</v>
      </c>
      <c r="B547" t="s">
        <v>1280</v>
      </c>
      <c r="C547" t="s">
        <v>1733</v>
      </c>
      <c r="D547" t="s">
        <v>1734</v>
      </c>
      <c r="E547" s="4"/>
      <c r="F547" s="13"/>
    </row>
    <row r="548" spans="1:6">
      <c r="A548" t="s">
        <v>1721</v>
      </c>
      <c r="B548" t="s">
        <v>1010</v>
      </c>
      <c r="C548" t="s">
        <v>886</v>
      </c>
      <c r="D548" t="s">
        <v>887</v>
      </c>
      <c r="E548" s="4"/>
      <c r="F548" s="13"/>
    </row>
    <row r="549" spans="1:6">
      <c r="A549" t="s">
        <v>1721</v>
      </c>
      <c r="B549" t="s">
        <v>1011</v>
      </c>
      <c r="C549" t="s">
        <v>888</v>
      </c>
      <c r="D549" t="s">
        <v>889</v>
      </c>
      <c r="E549" s="4"/>
    </row>
    <row r="550" spans="1:6">
      <c r="E550" s="4"/>
    </row>
    <row r="551" spans="1:6">
      <c r="A551" t="s">
        <v>1735</v>
      </c>
      <c r="B551" t="s">
        <v>1736</v>
      </c>
      <c r="C551" t="s">
        <v>1737</v>
      </c>
      <c r="D551" t="s">
        <v>1738</v>
      </c>
      <c r="E551" s="4"/>
    </row>
    <row r="552" spans="1:6">
      <c r="A552" t="s">
        <v>1735</v>
      </c>
      <c r="B552" t="s">
        <v>1739</v>
      </c>
      <c r="C552" t="s">
        <v>1740</v>
      </c>
      <c r="D552" t="s">
        <v>1741</v>
      </c>
      <c r="E552" s="4"/>
    </row>
    <row r="553" spans="1:6">
      <c r="A553" t="s">
        <v>1735</v>
      </c>
      <c r="B553" t="s">
        <v>1742</v>
      </c>
      <c r="C553" t="s">
        <v>1743</v>
      </c>
      <c r="D553" t="s">
        <v>1744</v>
      </c>
      <c r="E553" s="4"/>
    </row>
    <row r="554" spans="1:6">
      <c r="A554" t="s">
        <v>1735</v>
      </c>
      <c r="B554" t="s">
        <v>1745</v>
      </c>
      <c r="C554" t="s">
        <v>1746</v>
      </c>
      <c r="D554" t="s">
        <v>1747</v>
      </c>
      <c r="E554" s="4"/>
    </row>
    <row r="555" spans="1:6">
      <c r="A555" t="s">
        <v>1735</v>
      </c>
      <c r="B555" t="s">
        <v>1748</v>
      </c>
      <c r="C555" t="s">
        <v>1749</v>
      </c>
      <c r="D555" t="s">
        <v>1750</v>
      </c>
      <c r="E555" s="4"/>
    </row>
    <row r="556" spans="1:6">
      <c r="A556" t="s">
        <v>1735</v>
      </c>
      <c r="B556" t="s">
        <v>1751</v>
      </c>
      <c r="C556" t="s">
        <v>1752</v>
      </c>
      <c r="D556" t="s">
        <v>1753</v>
      </c>
      <c r="E556" s="4"/>
    </row>
    <row r="557" spans="1:6">
      <c r="A557" t="s">
        <v>1735</v>
      </c>
      <c r="B557" t="s">
        <v>1754</v>
      </c>
      <c r="C557" t="s">
        <v>1755</v>
      </c>
      <c r="D557" t="s">
        <v>1756</v>
      </c>
      <c r="E557" s="4"/>
    </row>
    <row r="558" spans="1:6">
      <c r="E558" s="4"/>
    </row>
    <row r="559" spans="1:6">
      <c r="A559" t="s">
        <v>847</v>
      </c>
      <c r="B559" t="s">
        <v>1757</v>
      </c>
      <c r="C559" t="s">
        <v>1758</v>
      </c>
      <c r="D559" t="s">
        <v>1759</v>
      </c>
      <c r="E559" s="4"/>
    </row>
    <row r="560" spans="1:6">
      <c r="A560" t="s">
        <v>847</v>
      </c>
      <c r="B560" t="s">
        <v>1760</v>
      </c>
      <c r="C560" t="s">
        <v>1761</v>
      </c>
      <c r="D560" t="s">
        <v>1762</v>
      </c>
      <c r="E560" s="4"/>
    </row>
    <row r="561" spans="1:6">
      <c r="A561" t="s">
        <v>847</v>
      </c>
      <c r="B561" t="s">
        <v>1763</v>
      </c>
      <c r="C561" t="s">
        <v>1764</v>
      </c>
      <c r="D561" t="s">
        <v>1765</v>
      </c>
      <c r="E561" s="4"/>
    </row>
    <row r="562" spans="1:6">
      <c r="E562" s="4"/>
    </row>
    <row r="563" spans="1:6">
      <c r="D563" s="11"/>
    </row>
    <row r="564" spans="1:6">
      <c r="A564" s="11"/>
      <c r="B564" s="11"/>
      <c r="C564" s="11"/>
      <c r="E564" s="7"/>
      <c r="F564" s="11"/>
    </row>
  </sheetData>
  <sheetProtection algorithmName="SHA-512" hashValue="mLjQwIegqhDWpGLuLDfrdTp4vtQOgdkQf2eUPfBSK3wXXBs9dSDdAf7lgVJkGazHttNwPUOq4oRvcMEGPvVN0Q==" saltValue="PFbUZApqY2fGJNhtXhpn3g==" spinCount="100000" sheet="1" formatCells="0" formatColumns="0" formatRows="0" insertColumns="0" insertRows="0" deleteColumns="0" deleteRows="0"/>
  <phoneticPr fontId="43"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election activeCell="B3" sqref="B3"/>
    </sheetView>
  </sheetViews>
  <sheetFormatPr defaultColWidth="8.85546875" defaultRowHeight="15"/>
  <cols>
    <col min="1" max="4" width="28.140625" style="3" customWidth="1"/>
    <col min="5" max="16384" width="8.85546875" style="3"/>
  </cols>
  <sheetData>
    <row r="1" spans="1:4" s="2" customFormat="1">
      <c r="A1" s="6" t="s">
        <v>1766</v>
      </c>
      <c r="B1" s="6" t="s">
        <v>1767</v>
      </c>
      <c r="C1" s="6" t="s">
        <v>1768</v>
      </c>
      <c r="D1" s="6" t="s">
        <v>1769</v>
      </c>
    </row>
    <row r="2" spans="1:4">
      <c r="A2" s="3" t="s">
        <v>1770</v>
      </c>
      <c r="B2" s="4" t="s">
        <v>1771</v>
      </c>
      <c r="C2" t="s">
        <v>42</v>
      </c>
      <c r="D2" s="3" t="s">
        <v>1772</v>
      </c>
    </row>
  </sheetData>
  <sheetProtection algorithmName="SHA-512" hashValue="4zGZOFKtj0cm/SvWCXrhB5fiMv/u61q4GXGviRoahpIDhbiiqxvUjZeb4U5kpGOzrouF90KMwiGUsH1RzOm5qQ==" saltValue="mZgYSjWvoYG9Hsk+mjH7Vg==" spinCount="100000" sheet="1" formatCell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F94"/>
  <sheetViews>
    <sheetView workbookViewId="0">
      <pane ySplit="3" topLeftCell="C72" activePane="bottomLeft" state="frozen"/>
      <selection pane="bottomLeft" activeCell="C72" sqref="C72"/>
    </sheetView>
  </sheetViews>
  <sheetFormatPr defaultColWidth="10.85546875" defaultRowHeight="15"/>
  <cols>
    <col min="1" max="2" width="10.85546875" style="136"/>
    <col min="3" max="3" width="15.140625" style="150" customWidth="1"/>
    <col min="4" max="4" width="10.85546875" style="151"/>
    <col min="5" max="5" width="28.7109375" style="152" customWidth="1"/>
    <col min="6" max="6" width="32" style="152" customWidth="1"/>
    <col min="7" max="16384" width="10.85546875" style="136"/>
  </cols>
  <sheetData>
    <row r="2" spans="2:6">
      <c r="C2" s="137"/>
      <c r="D2" s="138"/>
      <c r="E2" s="139"/>
      <c r="F2" s="139"/>
    </row>
    <row r="3" spans="2:6" ht="32.1">
      <c r="B3" s="140"/>
      <c r="C3" s="141" t="s">
        <v>1773</v>
      </c>
      <c r="D3" s="142" t="s">
        <v>1774</v>
      </c>
      <c r="E3" s="143" t="s">
        <v>1775</v>
      </c>
      <c r="F3" s="143" t="s">
        <v>1776</v>
      </c>
    </row>
    <row r="4" spans="2:6" ht="15.95">
      <c r="B4" s="140"/>
      <c r="C4" s="9"/>
      <c r="D4" s="144" t="s">
        <v>1777</v>
      </c>
      <c r="E4" s="145" t="s">
        <v>1778</v>
      </c>
      <c r="F4" s="276" t="s">
        <v>1779</v>
      </c>
    </row>
    <row r="5" spans="2:6" ht="15.95">
      <c r="B5" s="140"/>
      <c r="C5" s="9"/>
      <c r="D5" s="144" t="s">
        <v>1780</v>
      </c>
      <c r="E5" s="145" t="s">
        <v>1781</v>
      </c>
      <c r="F5" s="277" t="s">
        <v>1782</v>
      </c>
    </row>
    <row r="6" spans="2:6" ht="15.95">
      <c r="B6" s="140"/>
      <c r="C6" s="9"/>
      <c r="D6" s="144" t="s">
        <v>1783</v>
      </c>
      <c r="E6" s="145" t="s">
        <v>1784</v>
      </c>
      <c r="F6" s="277" t="s">
        <v>1785</v>
      </c>
    </row>
    <row r="7" spans="2:6" ht="15.95">
      <c r="B7" s="140"/>
      <c r="C7" s="9"/>
      <c r="D7" s="144" t="s">
        <v>1786</v>
      </c>
      <c r="E7" s="145" t="s">
        <v>1787</v>
      </c>
      <c r="F7" s="277" t="s">
        <v>1788</v>
      </c>
    </row>
    <row r="8" spans="2:6" ht="15.95">
      <c r="B8" s="140"/>
      <c r="C8" s="9"/>
      <c r="D8" s="144" t="s">
        <v>1789</v>
      </c>
      <c r="E8" s="145" t="s">
        <v>1790</v>
      </c>
      <c r="F8" s="277" t="s">
        <v>1791</v>
      </c>
    </row>
    <row r="9" spans="2:6" ht="15.95">
      <c r="B9" s="140"/>
      <c r="C9" s="9"/>
      <c r="D9" s="144" t="s">
        <v>1792</v>
      </c>
      <c r="E9" s="145" t="s">
        <v>1793</v>
      </c>
      <c r="F9" s="277" t="s">
        <v>1794</v>
      </c>
    </row>
    <row r="10" spans="2:6" ht="15.95">
      <c r="B10" s="140"/>
      <c r="C10" s="184"/>
      <c r="D10" s="144" t="s">
        <v>1795</v>
      </c>
      <c r="E10" s="146" t="s">
        <v>1796</v>
      </c>
      <c r="F10" s="278" t="s">
        <v>1797</v>
      </c>
    </row>
    <row r="11" spans="2:6" ht="15.95">
      <c r="B11" s="140"/>
      <c r="C11" s="9"/>
      <c r="D11" s="144" t="s">
        <v>1798</v>
      </c>
      <c r="E11" s="145" t="s">
        <v>1799</v>
      </c>
      <c r="F11" s="277" t="s">
        <v>1800</v>
      </c>
    </row>
    <row r="12" spans="2:6" ht="15.95">
      <c r="B12" s="140"/>
      <c r="C12" s="9"/>
      <c r="D12" s="144" t="s">
        <v>1801</v>
      </c>
      <c r="E12" s="145" t="s">
        <v>1802</v>
      </c>
      <c r="F12" s="277" t="s">
        <v>1803</v>
      </c>
    </row>
    <row r="13" spans="2:6" ht="15.95">
      <c r="B13" s="140"/>
      <c r="C13" s="9"/>
      <c r="D13" s="144" t="s">
        <v>1804</v>
      </c>
      <c r="E13" s="145" t="s">
        <v>1805</v>
      </c>
      <c r="F13" s="277" t="s">
        <v>1806</v>
      </c>
    </row>
    <row r="14" spans="2:6" ht="15.95">
      <c r="B14" s="140"/>
      <c r="C14" s="9"/>
      <c r="D14" s="144" t="s">
        <v>1807</v>
      </c>
      <c r="E14" s="145" t="s">
        <v>1808</v>
      </c>
      <c r="F14" s="277" t="s">
        <v>1809</v>
      </c>
    </row>
    <row r="15" spans="2:6" ht="15.95">
      <c r="B15" s="140"/>
      <c r="C15" s="9"/>
      <c r="D15" s="144" t="s">
        <v>1810</v>
      </c>
      <c r="E15" s="145" t="s">
        <v>1811</v>
      </c>
      <c r="F15" s="277" t="s">
        <v>1812</v>
      </c>
    </row>
    <row r="16" spans="2:6" ht="15.95">
      <c r="B16" s="140"/>
      <c r="C16" s="9"/>
      <c r="D16" s="144" t="s">
        <v>1813</v>
      </c>
      <c r="E16" s="145" t="s">
        <v>1814</v>
      </c>
      <c r="F16" s="277" t="s">
        <v>1815</v>
      </c>
    </row>
    <row r="17" spans="2:6" ht="15.95">
      <c r="B17" s="140"/>
      <c r="C17" s="184"/>
      <c r="D17" s="144" t="s">
        <v>1816</v>
      </c>
      <c r="E17" s="146" t="s">
        <v>1817</v>
      </c>
      <c r="F17" s="278" t="s">
        <v>1818</v>
      </c>
    </row>
    <row r="18" spans="2:6" ht="15.95">
      <c r="B18" s="140"/>
      <c r="C18" s="9"/>
      <c r="D18" s="144" t="s">
        <v>1819</v>
      </c>
      <c r="E18" s="145" t="s">
        <v>1820</v>
      </c>
      <c r="F18" s="277" t="s">
        <v>1821</v>
      </c>
    </row>
    <row r="19" spans="2:6" ht="15.95">
      <c r="B19" s="140"/>
      <c r="C19" s="9"/>
      <c r="D19" s="144" t="s">
        <v>1822</v>
      </c>
      <c r="E19" s="145" t="s">
        <v>1823</v>
      </c>
      <c r="F19" s="277" t="s">
        <v>1824</v>
      </c>
    </row>
    <row r="20" spans="2:6" ht="15.95">
      <c r="B20" s="140"/>
      <c r="C20" s="9"/>
      <c r="D20" s="144" t="s">
        <v>1825</v>
      </c>
      <c r="E20" s="145" t="s">
        <v>1826</v>
      </c>
      <c r="F20" s="277" t="s">
        <v>1827</v>
      </c>
    </row>
    <row r="21" spans="2:6" ht="15.95">
      <c r="B21" s="140"/>
      <c r="C21" s="9"/>
      <c r="D21" s="144" t="s">
        <v>1828</v>
      </c>
      <c r="E21" s="145" t="s">
        <v>1829</v>
      </c>
      <c r="F21" s="277" t="s">
        <v>1830</v>
      </c>
    </row>
    <row r="22" spans="2:6" ht="15.95">
      <c r="B22" s="140"/>
      <c r="C22" s="9"/>
      <c r="D22" s="144" t="s">
        <v>1831</v>
      </c>
      <c r="E22" s="145" t="s">
        <v>1832</v>
      </c>
      <c r="F22" s="277" t="s">
        <v>1833</v>
      </c>
    </row>
    <row r="23" spans="2:6" ht="15.95">
      <c r="B23" s="140"/>
      <c r="C23" s="9"/>
      <c r="D23" s="144" t="s">
        <v>1834</v>
      </c>
      <c r="E23" s="145" t="s">
        <v>1835</v>
      </c>
      <c r="F23" s="277" t="s">
        <v>1836</v>
      </c>
    </row>
    <row r="24" spans="2:6" ht="15.95">
      <c r="B24" s="140"/>
      <c r="C24" s="9"/>
      <c r="D24" s="144" t="s">
        <v>1837</v>
      </c>
      <c r="E24" s="145" t="s">
        <v>1838</v>
      </c>
      <c r="F24" s="277" t="s">
        <v>1839</v>
      </c>
    </row>
    <row r="25" spans="2:6" ht="15.95">
      <c r="B25" s="140"/>
      <c r="C25" s="184"/>
      <c r="D25" s="144" t="s">
        <v>1840</v>
      </c>
      <c r="E25" s="146" t="s">
        <v>1841</v>
      </c>
      <c r="F25" s="278" t="s">
        <v>1842</v>
      </c>
    </row>
    <row r="26" spans="2:6" ht="15.95">
      <c r="B26" s="140"/>
      <c r="C26" s="9"/>
      <c r="D26" s="144" t="s">
        <v>1843</v>
      </c>
      <c r="E26" s="145" t="s">
        <v>1844</v>
      </c>
      <c r="F26" s="277" t="s">
        <v>1845</v>
      </c>
    </row>
    <row r="27" spans="2:6" ht="15.95">
      <c r="B27" s="140"/>
      <c r="C27" s="9"/>
      <c r="D27" s="144" t="s">
        <v>1846</v>
      </c>
      <c r="E27" s="145" t="s">
        <v>1847</v>
      </c>
      <c r="F27" s="277" t="s">
        <v>1848</v>
      </c>
    </row>
    <row r="28" spans="2:6" ht="15.95">
      <c r="B28" s="140"/>
      <c r="C28" s="9"/>
      <c r="D28" s="144" t="s">
        <v>1849</v>
      </c>
      <c r="E28" s="145" t="s">
        <v>1850</v>
      </c>
      <c r="F28" s="277" t="s">
        <v>1851</v>
      </c>
    </row>
    <row r="29" spans="2:6" ht="15.95">
      <c r="B29" s="140"/>
      <c r="C29" s="9"/>
      <c r="D29" s="144" t="s">
        <v>1852</v>
      </c>
      <c r="E29" s="145" t="s">
        <v>1853</v>
      </c>
      <c r="F29" s="277" t="s">
        <v>1854</v>
      </c>
    </row>
    <row r="30" spans="2:6" ht="15.95">
      <c r="B30" s="140"/>
      <c r="C30" s="9"/>
      <c r="D30" s="144" t="s">
        <v>1855</v>
      </c>
      <c r="E30" s="145" t="s">
        <v>1856</v>
      </c>
      <c r="F30" s="277" t="s">
        <v>1857</v>
      </c>
    </row>
    <row r="31" spans="2:6" ht="15.95">
      <c r="B31" s="140"/>
      <c r="C31" s="9"/>
      <c r="D31" s="144" t="s">
        <v>1858</v>
      </c>
      <c r="E31" s="145" t="s">
        <v>1859</v>
      </c>
      <c r="F31" s="277" t="s">
        <v>1860</v>
      </c>
    </row>
    <row r="32" spans="2:6" ht="15.95">
      <c r="B32" s="140"/>
      <c r="C32" s="9"/>
      <c r="D32" s="144" t="s">
        <v>1861</v>
      </c>
      <c r="E32" s="145" t="s">
        <v>1862</v>
      </c>
      <c r="F32" s="277" t="s">
        <v>1863</v>
      </c>
    </row>
    <row r="33" spans="2:6" ht="32.1">
      <c r="B33" s="140"/>
      <c r="C33" s="9"/>
      <c r="D33" s="144" t="s">
        <v>1864</v>
      </c>
      <c r="E33" s="145" t="s">
        <v>1865</v>
      </c>
      <c r="F33" s="277" t="s">
        <v>1866</v>
      </c>
    </row>
    <row r="34" spans="2:6" ht="15.95">
      <c r="B34" s="140"/>
      <c r="C34" s="9"/>
      <c r="D34" s="144" t="s">
        <v>1867</v>
      </c>
      <c r="E34" s="145" t="s">
        <v>1868</v>
      </c>
      <c r="F34" s="277" t="s">
        <v>1869</v>
      </c>
    </row>
    <row r="35" spans="2:6" ht="15.95">
      <c r="B35" s="140"/>
      <c r="C35" s="184"/>
      <c r="D35" s="144" t="s">
        <v>1870</v>
      </c>
      <c r="E35" s="146" t="s">
        <v>1871</v>
      </c>
      <c r="F35" s="278" t="s">
        <v>1872</v>
      </c>
    </row>
    <row r="36" spans="2:6" ht="15.95">
      <c r="B36" s="140"/>
      <c r="C36" s="9"/>
      <c r="D36" s="144" t="s">
        <v>1873</v>
      </c>
      <c r="E36" s="145" t="s">
        <v>1874</v>
      </c>
      <c r="F36" s="277" t="s">
        <v>1875</v>
      </c>
    </row>
    <row r="37" spans="2:6" ht="15.95">
      <c r="B37" s="140"/>
      <c r="C37" s="9"/>
      <c r="D37" s="144" t="s">
        <v>1876</v>
      </c>
      <c r="E37" s="145" t="s">
        <v>1877</v>
      </c>
      <c r="F37" s="277" t="s">
        <v>1878</v>
      </c>
    </row>
    <row r="38" spans="2:6" ht="15.95">
      <c r="B38" s="140"/>
      <c r="C38" s="9"/>
      <c r="D38" s="144" t="s">
        <v>1879</v>
      </c>
      <c r="E38" s="145" t="s">
        <v>1880</v>
      </c>
      <c r="F38" s="277" t="s">
        <v>1881</v>
      </c>
    </row>
    <row r="39" spans="2:6" ht="15.95">
      <c r="B39" s="140"/>
      <c r="C39" s="9"/>
      <c r="D39" s="144" t="s">
        <v>1882</v>
      </c>
      <c r="E39" s="145" t="s">
        <v>1883</v>
      </c>
      <c r="F39" s="277" t="s">
        <v>1884</v>
      </c>
    </row>
    <row r="40" spans="2:6" ht="15.95">
      <c r="B40" s="140"/>
      <c r="C40" s="9"/>
      <c r="D40" s="144" t="s">
        <v>1885</v>
      </c>
      <c r="E40" s="145" t="s">
        <v>1886</v>
      </c>
      <c r="F40" s="277" t="s">
        <v>1887</v>
      </c>
    </row>
    <row r="41" spans="2:6" ht="15.95">
      <c r="B41" s="140"/>
      <c r="C41" s="9"/>
      <c r="D41" s="144" t="s">
        <v>1888</v>
      </c>
      <c r="E41" s="145" t="s">
        <v>1889</v>
      </c>
      <c r="F41" s="277" t="s">
        <v>1890</v>
      </c>
    </row>
    <row r="42" spans="2:6" ht="15.95">
      <c r="B42" s="140"/>
      <c r="C42" s="9"/>
      <c r="D42" s="144" t="s">
        <v>1891</v>
      </c>
      <c r="E42" s="145" t="s">
        <v>1892</v>
      </c>
      <c r="F42" s="277" t="s">
        <v>1893</v>
      </c>
    </row>
    <row r="43" spans="2:6" ht="15.95">
      <c r="B43" s="140"/>
      <c r="C43" s="9"/>
      <c r="D43" s="144" t="s">
        <v>1894</v>
      </c>
      <c r="E43" s="145" t="s">
        <v>1895</v>
      </c>
      <c r="F43" s="277" t="s">
        <v>1896</v>
      </c>
    </row>
    <row r="44" spans="2:6" ht="15.95">
      <c r="B44" s="140"/>
      <c r="C44" s="9"/>
      <c r="D44" s="144" t="s">
        <v>1897</v>
      </c>
      <c r="E44" s="145" t="s">
        <v>1898</v>
      </c>
      <c r="F44" s="277" t="s">
        <v>1899</v>
      </c>
    </row>
    <row r="45" spans="2:6" ht="15.95">
      <c r="B45" s="140"/>
      <c r="C45" s="9"/>
      <c r="D45" s="144" t="s">
        <v>1900</v>
      </c>
      <c r="E45" s="145" t="s">
        <v>1901</v>
      </c>
      <c r="F45" s="277" t="s">
        <v>1902</v>
      </c>
    </row>
    <row r="46" spans="2:6" ht="15.95">
      <c r="B46" s="140"/>
      <c r="C46" s="9"/>
      <c r="D46" s="144" t="s">
        <v>1903</v>
      </c>
      <c r="E46" s="145" t="s">
        <v>1904</v>
      </c>
      <c r="F46" s="277" t="s">
        <v>1905</v>
      </c>
    </row>
    <row r="47" spans="2:6" ht="15.95">
      <c r="B47" s="140"/>
      <c r="C47" s="184"/>
      <c r="D47" s="144" t="s">
        <v>1906</v>
      </c>
      <c r="E47" s="146" t="s">
        <v>1907</v>
      </c>
      <c r="F47" s="278" t="s">
        <v>1908</v>
      </c>
    </row>
    <row r="48" spans="2:6" ht="15.95">
      <c r="B48" s="140"/>
      <c r="C48" s="9"/>
      <c r="D48" s="144" t="s">
        <v>1909</v>
      </c>
      <c r="E48" s="145" t="s">
        <v>1910</v>
      </c>
      <c r="F48" s="277" t="s">
        <v>1911</v>
      </c>
    </row>
    <row r="49" spans="2:6" ht="15.95">
      <c r="B49" s="140"/>
      <c r="C49" s="9"/>
      <c r="D49" s="144" t="s">
        <v>1912</v>
      </c>
      <c r="E49" s="145" t="s">
        <v>1913</v>
      </c>
      <c r="F49" s="277" t="s">
        <v>1914</v>
      </c>
    </row>
    <row r="50" spans="2:6" ht="15.95">
      <c r="B50" s="140"/>
      <c r="C50" s="9"/>
      <c r="D50" s="144" t="s">
        <v>1915</v>
      </c>
      <c r="E50" s="145" t="s">
        <v>1916</v>
      </c>
      <c r="F50" s="277" t="s">
        <v>1917</v>
      </c>
    </row>
    <row r="51" spans="2:6" ht="15.95">
      <c r="B51" s="140"/>
      <c r="C51" s="9"/>
      <c r="D51" s="144" t="s">
        <v>1918</v>
      </c>
      <c r="E51" s="145" t="s">
        <v>1919</v>
      </c>
      <c r="F51" s="277" t="s">
        <v>1920</v>
      </c>
    </row>
    <row r="52" spans="2:6" ht="15.95">
      <c r="B52" s="140"/>
      <c r="C52" s="184"/>
      <c r="D52" s="144" t="s">
        <v>1921</v>
      </c>
      <c r="E52" s="146" t="s">
        <v>1922</v>
      </c>
      <c r="F52" s="278" t="s">
        <v>1923</v>
      </c>
    </row>
    <row r="53" spans="2:6" ht="15.95">
      <c r="B53" s="140"/>
      <c r="C53" s="9"/>
      <c r="D53" s="144" t="s">
        <v>1924</v>
      </c>
      <c r="E53" s="145" t="s">
        <v>1925</v>
      </c>
      <c r="F53" s="277" t="s">
        <v>1926</v>
      </c>
    </row>
    <row r="54" spans="2:6" ht="15.95">
      <c r="B54" s="140"/>
      <c r="C54" s="9"/>
      <c r="D54" s="144" t="s">
        <v>1927</v>
      </c>
      <c r="E54" s="145" t="s">
        <v>1928</v>
      </c>
      <c r="F54" s="277" t="s">
        <v>1929</v>
      </c>
    </row>
    <row r="55" spans="2:6" ht="15.95">
      <c r="B55" s="140"/>
      <c r="C55" s="9"/>
      <c r="D55" s="144" t="s">
        <v>1930</v>
      </c>
      <c r="E55" s="145" t="s">
        <v>1931</v>
      </c>
      <c r="F55" s="277" t="s">
        <v>1932</v>
      </c>
    </row>
    <row r="56" spans="2:6" ht="15.95">
      <c r="B56" s="140"/>
      <c r="C56" s="9"/>
      <c r="D56" s="144" t="s">
        <v>1933</v>
      </c>
      <c r="E56" s="145" t="s">
        <v>1934</v>
      </c>
      <c r="F56" s="277" t="s">
        <v>1935</v>
      </c>
    </row>
    <row r="57" spans="2:6" ht="15.95">
      <c r="B57" s="140"/>
      <c r="C57" s="9"/>
      <c r="D57" s="144" t="s">
        <v>1936</v>
      </c>
      <c r="E57" s="145" t="s">
        <v>1937</v>
      </c>
      <c r="F57" s="277" t="s">
        <v>1938</v>
      </c>
    </row>
    <row r="58" spans="2:6" ht="15.95">
      <c r="B58" s="140"/>
      <c r="C58" s="9"/>
      <c r="D58" s="144" t="s">
        <v>1939</v>
      </c>
      <c r="E58" s="145" t="s">
        <v>1940</v>
      </c>
      <c r="F58" s="277" t="s">
        <v>1941</v>
      </c>
    </row>
    <row r="59" spans="2:6" ht="15.95">
      <c r="B59" s="140"/>
      <c r="C59" s="9"/>
      <c r="D59" s="144" t="s">
        <v>1942</v>
      </c>
      <c r="E59" s="145" t="s">
        <v>1943</v>
      </c>
      <c r="F59" s="277" t="s">
        <v>1944</v>
      </c>
    </row>
    <row r="60" spans="2:6" ht="15.95">
      <c r="B60" s="140"/>
      <c r="C60" s="9"/>
      <c r="D60" s="144" t="s">
        <v>1945</v>
      </c>
      <c r="E60" s="145" t="s">
        <v>1946</v>
      </c>
      <c r="F60" s="277" t="s">
        <v>1947</v>
      </c>
    </row>
    <row r="61" spans="2:6" ht="15.95">
      <c r="B61" s="140"/>
      <c r="C61" s="9"/>
      <c r="D61" s="144" t="s">
        <v>1948</v>
      </c>
      <c r="E61" s="145" t="s">
        <v>1949</v>
      </c>
      <c r="F61" s="277" t="s">
        <v>1950</v>
      </c>
    </row>
    <row r="62" spans="2:6" ht="15.95">
      <c r="B62" s="140"/>
      <c r="C62" s="9"/>
      <c r="D62" s="144" t="s">
        <v>1951</v>
      </c>
      <c r="E62" s="145" t="s">
        <v>1952</v>
      </c>
      <c r="F62" s="277" t="s">
        <v>1953</v>
      </c>
    </row>
    <row r="63" spans="2:6" ht="15.95">
      <c r="B63" s="140"/>
      <c r="C63" s="9"/>
      <c r="D63" s="144" t="s">
        <v>1954</v>
      </c>
      <c r="E63" s="145" t="s">
        <v>1955</v>
      </c>
      <c r="F63" s="277" t="s">
        <v>1956</v>
      </c>
    </row>
    <row r="64" spans="2:6" ht="15.95">
      <c r="B64" s="140"/>
      <c r="C64" s="9"/>
      <c r="D64" s="144" t="s">
        <v>1957</v>
      </c>
      <c r="E64" s="145" t="s">
        <v>1958</v>
      </c>
      <c r="F64" s="277" t="s">
        <v>1959</v>
      </c>
    </row>
    <row r="65" spans="2:6" ht="15.95">
      <c r="B65" s="140"/>
      <c r="C65" s="9"/>
      <c r="D65" s="144" t="s">
        <v>1960</v>
      </c>
      <c r="E65" s="145" t="s">
        <v>1961</v>
      </c>
      <c r="F65" s="277" t="s">
        <v>1962</v>
      </c>
    </row>
    <row r="66" spans="2:6" ht="15.95">
      <c r="B66" s="140"/>
      <c r="C66" s="9"/>
      <c r="D66" s="144" t="s">
        <v>1963</v>
      </c>
      <c r="E66" s="145" t="s">
        <v>1964</v>
      </c>
      <c r="F66" s="277" t="s">
        <v>1965</v>
      </c>
    </row>
    <row r="67" spans="2:6" ht="15.95">
      <c r="B67" s="140"/>
      <c r="C67" s="9"/>
      <c r="D67" s="144" t="s">
        <v>1966</v>
      </c>
      <c r="E67" s="145" t="s">
        <v>1967</v>
      </c>
      <c r="F67" s="277" t="s">
        <v>1968</v>
      </c>
    </row>
    <row r="68" spans="2:6" ht="15.95">
      <c r="B68" s="140"/>
      <c r="C68" s="9"/>
      <c r="D68" s="144" t="s">
        <v>1969</v>
      </c>
      <c r="E68" s="145" t="s">
        <v>1970</v>
      </c>
      <c r="F68" s="277" t="s">
        <v>1971</v>
      </c>
    </row>
    <row r="69" spans="2:6" ht="15.95">
      <c r="B69" s="140"/>
      <c r="C69" s="9"/>
      <c r="D69" s="144" t="s">
        <v>1972</v>
      </c>
      <c r="E69" s="145" t="s">
        <v>1973</v>
      </c>
      <c r="F69" s="277" t="s">
        <v>1974</v>
      </c>
    </row>
    <row r="70" spans="2:6" ht="15.95">
      <c r="B70" s="140"/>
      <c r="C70" s="9"/>
      <c r="D70" s="144" t="s">
        <v>1975</v>
      </c>
      <c r="E70" s="145" t="s">
        <v>1976</v>
      </c>
      <c r="F70" s="277" t="s">
        <v>1977</v>
      </c>
    </row>
    <row r="71" spans="2:6" ht="15.95">
      <c r="B71" s="140"/>
      <c r="C71" s="184"/>
      <c r="D71" s="144" t="s">
        <v>1978</v>
      </c>
      <c r="E71" s="146" t="s">
        <v>1979</v>
      </c>
      <c r="F71" s="278" t="s">
        <v>1980</v>
      </c>
    </row>
    <row r="72" spans="2:6" ht="15.95">
      <c r="B72" s="140"/>
      <c r="C72" s="9"/>
      <c r="D72" s="144" t="s">
        <v>1981</v>
      </c>
      <c r="E72" s="145" t="s">
        <v>1982</v>
      </c>
      <c r="F72" s="277" t="s">
        <v>1983</v>
      </c>
    </row>
    <row r="73" spans="2:6" ht="15.95">
      <c r="B73" s="140"/>
      <c r="C73" s="9"/>
      <c r="D73" s="144" t="s">
        <v>1984</v>
      </c>
      <c r="E73" s="145" t="s">
        <v>1985</v>
      </c>
      <c r="F73" s="277" t="s">
        <v>1986</v>
      </c>
    </row>
    <row r="74" spans="2:6" ht="15.95">
      <c r="B74" s="140"/>
      <c r="C74" s="9"/>
      <c r="D74" s="144" t="s">
        <v>1987</v>
      </c>
      <c r="E74" s="145" t="s">
        <v>1988</v>
      </c>
      <c r="F74" s="277" t="s">
        <v>1989</v>
      </c>
    </row>
    <row r="75" spans="2:6" ht="15.95">
      <c r="B75" s="140"/>
      <c r="C75" s="9"/>
      <c r="D75" s="144" t="s">
        <v>1990</v>
      </c>
      <c r="E75" s="145" t="s">
        <v>1991</v>
      </c>
      <c r="F75" s="277" t="s">
        <v>1992</v>
      </c>
    </row>
    <row r="76" spans="2:6" ht="15.95">
      <c r="B76" s="140"/>
      <c r="C76" s="9"/>
      <c r="D76" s="144" t="s">
        <v>1993</v>
      </c>
      <c r="E76" s="145" t="s">
        <v>1994</v>
      </c>
      <c r="F76" s="277" t="s">
        <v>1995</v>
      </c>
    </row>
    <row r="77" spans="2:6" ht="15.95">
      <c r="B77" s="140"/>
      <c r="C77" s="9"/>
      <c r="D77" s="144" t="s">
        <v>1996</v>
      </c>
      <c r="E77" s="145" t="s">
        <v>1997</v>
      </c>
      <c r="F77" s="277" t="s">
        <v>1998</v>
      </c>
    </row>
    <row r="78" spans="2:6" ht="15.95">
      <c r="B78" s="140"/>
      <c r="C78" s="9"/>
      <c r="D78" s="144" t="s">
        <v>1999</v>
      </c>
      <c r="E78" s="145" t="s">
        <v>2000</v>
      </c>
      <c r="F78" s="277" t="s">
        <v>2001</v>
      </c>
    </row>
    <row r="79" spans="2:6" ht="15.95">
      <c r="B79" s="140"/>
      <c r="C79" s="9"/>
      <c r="D79" s="144" t="s">
        <v>2002</v>
      </c>
      <c r="E79" s="145" t="s">
        <v>2003</v>
      </c>
      <c r="F79" s="277" t="s">
        <v>2004</v>
      </c>
    </row>
    <row r="80" spans="2:6" ht="15.95">
      <c r="B80" s="140"/>
      <c r="C80" s="184"/>
      <c r="D80" s="144" t="s">
        <v>2005</v>
      </c>
      <c r="E80" s="146" t="s">
        <v>2006</v>
      </c>
      <c r="F80" s="278" t="s">
        <v>2007</v>
      </c>
    </row>
    <row r="81" spans="2:6" ht="15.95">
      <c r="B81" s="140"/>
      <c r="C81" s="9"/>
      <c r="D81" s="144" t="s">
        <v>2008</v>
      </c>
      <c r="E81" s="145" t="s">
        <v>2009</v>
      </c>
      <c r="F81" s="277" t="s">
        <v>2010</v>
      </c>
    </row>
    <row r="82" spans="2:6" ht="15.95">
      <c r="B82" s="140"/>
      <c r="C82" s="9"/>
      <c r="D82" s="144" t="s">
        <v>2011</v>
      </c>
      <c r="E82" s="145" t="s">
        <v>2012</v>
      </c>
      <c r="F82" s="277" t="s">
        <v>2013</v>
      </c>
    </row>
    <row r="83" spans="2:6" ht="15.95">
      <c r="B83" s="140"/>
      <c r="C83" s="9"/>
      <c r="D83" s="144" t="s">
        <v>2014</v>
      </c>
      <c r="E83" s="145" t="s">
        <v>2015</v>
      </c>
      <c r="F83" s="277" t="s">
        <v>2016</v>
      </c>
    </row>
    <row r="84" spans="2:6" ht="15.95">
      <c r="B84" s="140"/>
      <c r="C84" s="9"/>
      <c r="D84" s="144" t="s">
        <v>2017</v>
      </c>
      <c r="E84" s="145" t="s">
        <v>2018</v>
      </c>
      <c r="F84" s="277" t="s">
        <v>2019</v>
      </c>
    </row>
    <row r="85" spans="2:6" ht="15.95">
      <c r="B85" s="140"/>
      <c r="C85" s="9"/>
      <c r="D85" s="144" t="s">
        <v>2020</v>
      </c>
      <c r="E85" s="145" t="s">
        <v>2021</v>
      </c>
      <c r="F85" s="277" t="s">
        <v>2022</v>
      </c>
    </row>
    <row r="86" spans="2:6" ht="15.95">
      <c r="B86" s="140"/>
      <c r="C86" s="184"/>
      <c r="D86" s="144" t="s">
        <v>2023</v>
      </c>
      <c r="E86" s="146" t="s">
        <v>2024</v>
      </c>
      <c r="F86" s="278" t="s">
        <v>2025</v>
      </c>
    </row>
    <row r="87" spans="2:6" ht="15.95">
      <c r="B87" s="140"/>
      <c r="C87" s="9"/>
      <c r="D87" s="144" t="s">
        <v>2026</v>
      </c>
      <c r="E87" s="145" t="s">
        <v>2027</v>
      </c>
      <c r="F87" s="277" t="s">
        <v>2028</v>
      </c>
    </row>
    <row r="88" spans="2:6" ht="15.95">
      <c r="B88" s="140"/>
      <c r="C88" s="9"/>
      <c r="D88" s="144" t="s">
        <v>2029</v>
      </c>
      <c r="E88" s="145" t="s">
        <v>2030</v>
      </c>
      <c r="F88" s="277" t="s">
        <v>2031</v>
      </c>
    </row>
    <row r="89" spans="2:6" ht="15.95">
      <c r="B89" s="140"/>
      <c r="C89" s="9"/>
      <c r="D89" s="144" t="s">
        <v>2032</v>
      </c>
      <c r="E89" s="145" t="s">
        <v>2033</v>
      </c>
      <c r="F89" s="277" t="s">
        <v>2034</v>
      </c>
    </row>
    <row r="90" spans="2:6" ht="15.95">
      <c r="B90" s="140"/>
      <c r="C90" s="9"/>
      <c r="D90" s="144" t="s">
        <v>2035</v>
      </c>
      <c r="E90" s="145" t="s">
        <v>2036</v>
      </c>
      <c r="F90" s="277" t="s">
        <v>2037</v>
      </c>
    </row>
    <row r="91" spans="2:6" ht="15.95">
      <c r="B91" s="140"/>
      <c r="C91" s="9"/>
      <c r="D91" s="144" t="s">
        <v>2038</v>
      </c>
      <c r="E91" s="145" t="s">
        <v>2039</v>
      </c>
      <c r="F91" s="277" t="s">
        <v>2040</v>
      </c>
    </row>
    <row r="92" spans="2:6" ht="15.95">
      <c r="B92" s="140"/>
      <c r="C92" s="9"/>
      <c r="D92" s="144" t="s">
        <v>2041</v>
      </c>
      <c r="E92" s="145" t="s">
        <v>2042</v>
      </c>
      <c r="F92" s="277" t="s">
        <v>2043</v>
      </c>
    </row>
    <row r="93" spans="2:6" ht="15.95">
      <c r="B93" s="140"/>
      <c r="C93" s="184"/>
      <c r="D93" s="144" t="s">
        <v>2044</v>
      </c>
      <c r="E93" s="146" t="s">
        <v>2045</v>
      </c>
      <c r="F93" s="278" t="s">
        <v>2046</v>
      </c>
    </row>
    <row r="94" spans="2:6">
      <c r="C94" s="147"/>
      <c r="D94" s="148"/>
      <c r="E94" s="149"/>
      <c r="F94" s="149"/>
    </row>
  </sheetData>
  <sheetProtection algorithmName="SHA-512" hashValue="DhsoVXFoKgp3u9w40eyzKC2ICy8mLjp0aUnx0Z5feFe8yPhiv0dUo3NsWiQlibaDxvMpkk9BydHESVV+7ltAwA==" saltValue="d1mFo4RJk1Kaw1jzzJbU7A==" spinCount="100000" sheet="1" selectLockedCells="1"/>
  <dataValidations count="1">
    <dataValidation type="list" allowBlank="1" showInputMessage="1" showErrorMessage="1" sqref="C87:C92 C81:C85 C72:C79 C53:C70 C48:C51 C36:C46 C26:C34 C18:C24 C4:C9 C11:C16" xr:uid="{00000000-0002-0000-0300-000000000000}">
      <formula1>"x"</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1"/>
  <sheetViews>
    <sheetView zoomScale="80" zoomScaleNormal="80" workbookViewId="0">
      <selection activeCell="E8" sqref="E8"/>
    </sheetView>
  </sheetViews>
  <sheetFormatPr defaultColWidth="10.85546875" defaultRowHeight="15.95"/>
  <cols>
    <col min="1" max="1" width="10.85546875" style="16"/>
    <col min="2" max="2" width="8.85546875" style="16" customWidth="1"/>
    <col min="3" max="3" width="27.7109375" style="16" customWidth="1"/>
    <col min="4" max="5" width="20.85546875" style="16" customWidth="1"/>
    <col min="6" max="7" width="46.42578125" style="38" customWidth="1"/>
    <col min="8" max="8" width="20.85546875" style="232" customWidth="1"/>
    <col min="9" max="9" width="20.85546875" style="16" customWidth="1"/>
    <col min="10" max="16384" width="10.85546875" style="16"/>
  </cols>
  <sheetData>
    <row r="1" spans="1:11" ht="17.100000000000001" thickBot="1">
      <c r="C1" s="17"/>
      <c r="D1" s="17"/>
      <c r="E1" s="17"/>
      <c r="F1" s="35"/>
      <c r="G1" s="35"/>
      <c r="H1" s="230"/>
      <c r="I1" s="17"/>
    </row>
    <row r="2" spans="1:11" s="38" customFormat="1" ht="17.100000000000001" thickBot="1">
      <c r="A2" s="57"/>
      <c r="B2" s="58"/>
      <c r="C2" s="59" t="s">
        <v>2047</v>
      </c>
      <c r="D2" s="60" t="s">
        <v>2048</v>
      </c>
      <c r="E2" s="225" t="s">
        <v>2049</v>
      </c>
      <c r="F2" s="227" t="s">
        <v>2050</v>
      </c>
      <c r="G2" s="36" t="s">
        <v>2051</v>
      </c>
      <c r="H2" s="233" t="s">
        <v>2052</v>
      </c>
      <c r="I2" s="61" t="s">
        <v>2053</v>
      </c>
      <c r="J2" s="62"/>
    </row>
    <row r="3" spans="1:11" ht="62.45" customHeight="1">
      <c r="A3" s="18"/>
      <c r="B3" s="337" t="s">
        <v>2054</v>
      </c>
      <c r="C3" s="44" t="s">
        <v>2055</v>
      </c>
      <c r="D3" s="323"/>
      <c r="E3" s="238" t="str">
        <f>IF(D3="","",D3)</f>
        <v/>
      </c>
      <c r="F3" s="315" t="s">
        <v>2056</v>
      </c>
      <c r="G3" s="179" t="s">
        <v>2057</v>
      </c>
      <c r="H3" s="234" t="s">
        <v>2058</v>
      </c>
      <c r="I3" s="253" t="s">
        <v>2058</v>
      </c>
      <c r="J3" s="19"/>
    </row>
    <row r="4" spans="1:11" ht="31.7" customHeight="1">
      <c r="A4" s="18"/>
      <c r="B4" s="332"/>
      <c r="C4" s="27" t="s">
        <v>2059</v>
      </c>
      <c r="D4" s="178"/>
      <c r="E4" s="239" t="str">
        <f>IF(D4="","",D4)</f>
        <v/>
      </c>
      <c r="F4" s="181" t="s">
        <v>2060</v>
      </c>
      <c r="G4" s="180" t="s">
        <v>2061</v>
      </c>
      <c r="H4" s="275">
        <v>18</v>
      </c>
      <c r="I4" s="254">
        <v>18</v>
      </c>
      <c r="J4" s="19"/>
    </row>
    <row r="5" spans="1:11" ht="43.5" customHeight="1">
      <c r="A5" s="18"/>
      <c r="B5" s="332"/>
      <c r="C5" s="28" t="s">
        <v>2062</v>
      </c>
      <c r="D5" s="25"/>
      <c r="E5" s="306"/>
      <c r="F5" s="258" t="s">
        <v>2063</v>
      </c>
      <c r="G5" s="180" t="s">
        <v>2064</v>
      </c>
      <c r="H5" s="274" t="s">
        <v>2065</v>
      </c>
      <c r="I5" s="255" t="s">
        <v>2066</v>
      </c>
      <c r="J5" s="19"/>
    </row>
    <row r="6" spans="1:11" ht="48">
      <c r="A6" s="18"/>
      <c r="B6" s="332"/>
      <c r="C6" s="29" t="s">
        <v>2067</v>
      </c>
      <c r="D6" s="25"/>
      <c r="E6" s="306"/>
      <c r="F6" s="258" t="s">
        <v>2068</v>
      </c>
      <c r="G6" s="181" t="s">
        <v>2069</v>
      </c>
      <c r="H6" s="270" t="s">
        <v>2070</v>
      </c>
      <c r="I6" s="251" t="s">
        <v>2071</v>
      </c>
      <c r="J6" s="19"/>
    </row>
    <row r="7" spans="1:11" s="201" customFormat="1" ht="80.099999999999994">
      <c r="A7" s="197"/>
      <c r="B7" s="332"/>
      <c r="C7" s="198" t="s">
        <v>2072</v>
      </c>
      <c r="D7" s="240"/>
      <c r="E7" s="324" t="str">
        <f>IF(F7="العام الماضي","last year",IF(F7="العام العادي","a normal year",""))</f>
        <v/>
      </c>
      <c r="F7" s="258" t="s">
        <v>2073</v>
      </c>
      <c r="G7" s="199" t="s">
        <v>2074</v>
      </c>
      <c r="H7" s="270" t="s">
        <v>2075</v>
      </c>
      <c r="I7" s="252" t="s">
        <v>2076</v>
      </c>
      <c r="J7" s="200"/>
    </row>
    <row r="8" spans="1:11" ht="80.099999999999994">
      <c r="A8" s="18"/>
      <c r="B8" s="332"/>
      <c r="C8" s="29" t="s">
        <v>2077</v>
      </c>
      <c r="D8" s="25"/>
      <c r="E8" s="25"/>
      <c r="F8" s="259" t="s">
        <v>2078</v>
      </c>
      <c r="G8" s="257" t="s">
        <v>2079</v>
      </c>
      <c r="H8" s="271" t="s">
        <v>2080</v>
      </c>
      <c r="I8" s="20" t="s">
        <v>2081</v>
      </c>
      <c r="J8" s="19"/>
      <c r="K8" s="325"/>
    </row>
    <row r="9" spans="1:11" ht="96">
      <c r="A9" s="18"/>
      <c r="B9" s="332"/>
      <c r="C9" s="29" t="s">
        <v>2082</v>
      </c>
      <c r="D9" s="240"/>
      <c r="E9" s="324" t="str">
        <f>IF(D9="ليس في الموسم بعد","Not yet in season",IF(D9="إعداد الأرض","Land preparation",IF(D9="الزرع","Planting",IF(D9="النمو المبكر","Early growing",IF(D9="النمو","Growing",IF(D9="النضوج","Maturing",IF(D9="الحصاد","Harvesting",IF(D9="انتهى مؤخرا","Recently Finished",""))))))))</f>
        <v/>
      </c>
      <c r="F9" s="228" t="s">
        <v>2083</v>
      </c>
      <c r="G9" s="257" t="s">
        <v>2084</v>
      </c>
      <c r="H9" s="272" t="s">
        <v>2085</v>
      </c>
      <c r="I9" s="251" t="s">
        <v>2086</v>
      </c>
      <c r="J9" s="19"/>
    </row>
    <row r="10" spans="1:11" s="201" customFormat="1" ht="57.95" customHeight="1">
      <c r="A10" s="197"/>
      <c r="B10" s="332"/>
      <c r="C10" s="312" t="s">
        <v>2087</v>
      </c>
      <c r="D10" s="326"/>
      <c r="E10" s="326"/>
      <c r="F10" s="228" t="s">
        <v>2088</v>
      </c>
      <c r="G10" s="22" t="s">
        <v>2089</v>
      </c>
      <c r="H10" s="273" t="s">
        <v>2090</v>
      </c>
      <c r="I10" s="207" t="s">
        <v>2091</v>
      </c>
      <c r="J10" s="200"/>
    </row>
    <row r="11" spans="1:11" s="201" customFormat="1" ht="63" customHeight="1" thickBot="1">
      <c r="A11" s="197"/>
      <c r="B11" s="333"/>
      <c r="C11" s="313" t="s">
        <v>2092</v>
      </c>
      <c r="D11" s="327"/>
      <c r="E11" s="241" t="str">
        <f>IF(D11&lt;&gt;"",D11,"")</f>
        <v/>
      </c>
      <c r="F11" s="260" t="s">
        <v>2093</v>
      </c>
      <c r="G11" s="21" t="s">
        <v>2094</v>
      </c>
      <c r="H11" s="236">
        <v>0.2</v>
      </c>
      <c r="I11" s="250">
        <v>0.2</v>
      </c>
      <c r="J11" s="200"/>
    </row>
    <row r="12" spans="1:11" ht="32.1">
      <c r="A12" s="18"/>
      <c r="B12" s="332" t="s">
        <v>2095</v>
      </c>
      <c r="C12" s="30" t="s">
        <v>2096</v>
      </c>
      <c r="D12" s="24"/>
      <c r="E12" s="306" t="str">
        <f t="shared" ref="E12:E14" si="0">IF(D12="","",D12)</f>
        <v/>
      </c>
      <c r="F12" s="261" t="s">
        <v>2097</v>
      </c>
      <c r="G12" s="266" t="s">
        <v>2098</v>
      </c>
      <c r="H12" s="267" t="s">
        <v>2099</v>
      </c>
      <c r="I12" s="248" t="s">
        <v>2100</v>
      </c>
      <c r="J12" s="19"/>
    </row>
    <row r="13" spans="1:11" ht="111.95">
      <c r="A13" s="18"/>
      <c r="B13" s="332"/>
      <c r="C13" s="132" t="s">
        <v>2101</v>
      </c>
      <c r="D13" s="328"/>
      <c r="E13" s="239" t="str">
        <f t="shared" si="0"/>
        <v/>
      </c>
      <c r="F13" s="262" t="s">
        <v>2102</v>
      </c>
      <c r="G13" s="133" t="s">
        <v>2103</v>
      </c>
      <c r="H13" s="235">
        <v>5</v>
      </c>
      <c r="I13" s="249">
        <v>5</v>
      </c>
      <c r="J13" s="34"/>
      <c r="K13" s="54"/>
    </row>
    <row r="14" spans="1:11" ht="126.95" customHeight="1">
      <c r="A14" s="18"/>
      <c r="B14" s="332"/>
      <c r="C14" s="132" t="s">
        <v>2104</v>
      </c>
      <c r="D14" s="328"/>
      <c r="E14" s="239" t="str">
        <f t="shared" si="0"/>
        <v/>
      </c>
      <c r="F14" s="263" t="s">
        <v>2105</v>
      </c>
      <c r="G14" s="22" t="s">
        <v>2106</v>
      </c>
      <c r="H14" s="235">
        <v>1200000</v>
      </c>
      <c r="I14" s="249">
        <v>1200000</v>
      </c>
      <c r="J14" s="19"/>
    </row>
    <row r="15" spans="1:11" ht="32.1">
      <c r="A15" s="18"/>
      <c r="B15" s="332"/>
      <c r="C15" s="56" t="s">
        <v>2107</v>
      </c>
      <c r="D15" s="25"/>
      <c r="E15" s="25"/>
      <c r="F15" s="262" t="s">
        <v>2108</v>
      </c>
      <c r="G15" s="257" t="s">
        <v>2109</v>
      </c>
      <c r="H15" s="268" t="s">
        <v>2110</v>
      </c>
      <c r="I15" s="20" t="s">
        <v>2111</v>
      </c>
      <c r="J15" s="19"/>
    </row>
    <row r="16" spans="1:11" ht="33" thickBot="1">
      <c r="A16" s="18"/>
      <c r="B16" s="333"/>
      <c r="C16" s="131" t="s">
        <v>2112</v>
      </c>
      <c r="D16" s="26"/>
      <c r="E16" s="26"/>
      <c r="F16" s="264" t="s">
        <v>2113</v>
      </c>
      <c r="G16" s="265" t="s">
        <v>2114</v>
      </c>
      <c r="H16" s="269" t="s">
        <v>2115</v>
      </c>
      <c r="I16" s="135" t="s">
        <v>2116</v>
      </c>
      <c r="J16" s="19"/>
    </row>
    <row r="17" spans="1:10" s="55" customFormat="1" ht="5.45" customHeight="1" thickBot="1">
      <c r="A17" s="49"/>
      <c r="B17" s="50"/>
      <c r="C17" s="51"/>
      <c r="D17" s="134"/>
      <c r="E17" s="226"/>
      <c r="F17" s="229"/>
      <c r="G17" s="52"/>
      <c r="H17" s="237"/>
      <c r="I17" s="53"/>
      <c r="J17" s="54"/>
    </row>
    <row r="18" spans="1:10" ht="159.94999999999999">
      <c r="A18" s="18"/>
      <c r="B18" s="334" t="s">
        <v>2117</v>
      </c>
      <c r="C18" s="45" t="s">
        <v>2118</v>
      </c>
      <c r="D18" s="175">
        <v>0.91</v>
      </c>
      <c r="E18" s="329">
        <f t="shared" ref="E18:E20" si="1">IF(D18="","",D18)</f>
        <v>0.91</v>
      </c>
      <c r="F18" s="283" t="s">
        <v>2119</v>
      </c>
      <c r="G18" s="46" t="s">
        <v>2120</v>
      </c>
      <c r="H18" s="242">
        <v>0.91</v>
      </c>
      <c r="I18" s="243">
        <v>0.91</v>
      </c>
      <c r="J18" s="19"/>
    </row>
    <row r="19" spans="1:10" ht="159.94999999999999">
      <c r="A19" s="18"/>
      <c r="B19" s="335"/>
      <c r="C19" s="31" t="s">
        <v>2121</v>
      </c>
      <c r="D19" s="176">
        <v>0.91</v>
      </c>
      <c r="E19" s="330">
        <f t="shared" si="1"/>
        <v>0.91</v>
      </c>
      <c r="F19" s="284" t="s">
        <v>2122</v>
      </c>
      <c r="G19" s="47" t="s">
        <v>2123</v>
      </c>
      <c r="H19" s="244">
        <v>0.91</v>
      </c>
      <c r="I19" s="245">
        <v>0.91</v>
      </c>
      <c r="J19" s="19"/>
    </row>
    <row r="20" spans="1:10" ht="141" customHeight="1" thickBot="1">
      <c r="A20" s="18"/>
      <c r="B20" s="336"/>
      <c r="C20" s="32" t="s">
        <v>2124</v>
      </c>
      <c r="D20" s="177">
        <v>0.05</v>
      </c>
      <c r="E20" s="331">
        <f t="shared" si="1"/>
        <v>0.05</v>
      </c>
      <c r="F20" s="264" t="s">
        <v>2125</v>
      </c>
      <c r="G20" s="48" t="s">
        <v>2126</v>
      </c>
      <c r="H20" s="246">
        <v>0.05</v>
      </c>
      <c r="I20" s="247">
        <v>0.05</v>
      </c>
      <c r="J20" s="19"/>
    </row>
    <row r="21" spans="1:10">
      <c r="B21" s="23"/>
      <c r="C21" s="23"/>
      <c r="D21" s="23"/>
      <c r="E21" s="23"/>
      <c r="F21" s="37"/>
      <c r="G21" s="37"/>
      <c r="H21" s="231"/>
      <c r="I21" s="23"/>
    </row>
  </sheetData>
  <sheetProtection algorithmName="SHA-512" hashValue="M3hY3rS+Bvn70ZjWedFLWKUXznTX+JPMR9EwAGmwDupJg8D14ZM0kCskvEtkipl4dXEH4vaypFqpjPbPs+grmA==" saltValue="a384uNbR1JWYL8Wfo0pQbQ==" spinCount="100000" sheet="1" objects="1" scenarios="1"/>
  <mergeCells count="3">
    <mergeCell ref="B12:B16"/>
    <mergeCell ref="B18:B20"/>
    <mergeCell ref="B3:B11"/>
  </mergeCells>
  <dataValidations count="2">
    <dataValidation type="list" allowBlank="1" showInputMessage="1" showErrorMessage="1" sqref="D7" xr:uid="{00000000-0002-0000-0400-000000000000}">
      <formula1>"العام العادي,  العام الماضي"</formula1>
    </dataValidation>
    <dataValidation type="list" allowBlank="1" showInputMessage="1" showErrorMessage="1" sqref="D9" xr:uid="{00000000-0002-0000-0400-000001000000}">
      <formula1>"ليس في الموسم بعد,إعداد الأرض,الزرع,النمو المبكر,النمو,النضوج,الحصاد,انتهى مؤخرا"</formula1>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A0901C00BE8754680E1F02E394963D6" ma:contentTypeVersion="17" ma:contentTypeDescription="Create a new document." ma:contentTypeScope="" ma:versionID="e834fd20126ffe2b58d25949f2765302">
  <xsd:schema xmlns:xsd="http://www.w3.org/2001/XMLSchema" xmlns:xs="http://www.w3.org/2001/XMLSchema" xmlns:p="http://schemas.microsoft.com/office/2006/metadata/properties" xmlns:ns2="651ac188-b77a-445d-b0b3-bedb0cff8e72" xmlns:ns3="4efa6d18-7e22-4963-b4bf-16e1a76dd523" targetNamespace="http://schemas.microsoft.com/office/2006/metadata/properties" ma:root="true" ma:fieldsID="017c4b12c19156d916786a21d718731a" ns2:_="" ns3:_="">
    <xsd:import namespace="651ac188-b77a-445d-b0b3-bedb0cff8e72"/>
    <xsd:import namespace="4efa6d18-7e22-4963-b4bf-16e1a76dd52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1ac188-b77a-445d-b0b3-bedb0cff8e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40eee1e-ad38-437e-be40-fc9f033adc9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fa6d18-7e22-4963-b4bf-16e1a76dd52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7d7dcf17-34ce-4834-a227-7b447e9c0ccd}" ma:internalName="TaxCatchAll" ma:showField="CatchAllData" ma:web="4efa6d18-7e22-4963-b4bf-16e1a76dd5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51ac188-b77a-445d-b0b3-bedb0cff8e72">
      <Terms xmlns="http://schemas.microsoft.com/office/infopath/2007/PartnerControls"/>
    </lcf76f155ced4ddcb4097134ff3c332f>
    <TaxCatchAll xmlns="4efa6d18-7e22-4963-b4bf-16e1a76dd52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DA942A4-794E-4ED4-AD3A-47542FDD5CBD}"/>
</file>

<file path=customXml/itemProps2.xml><?xml version="1.0" encoding="utf-8"?>
<ds:datastoreItem xmlns:ds="http://schemas.openxmlformats.org/officeDocument/2006/customXml" ds:itemID="{5515B646-3C0A-4AE4-895D-12A144F3453E}"/>
</file>

<file path=customXml/itemProps3.xml><?xml version="1.0" encoding="utf-8"?>
<ds:datastoreItem xmlns:ds="http://schemas.openxmlformats.org/officeDocument/2006/customXml" ds:itemID="{083E29E9-50F6-4C85-836A-A023FCCA698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Lecland, Ines (OER)</dc:creator>
  <cp:keywords/>
  <dc:description/>
  <cp:lastModifiedBy>Stepanyan, Seda (OER)</cp:lastModifiedBy>
  <cp:revision/>
  <dcterms:created xsi:type="dcterms:W3CDTF">2021-01-05T14:16:30Z</dcterms:created>
  <dcterms:modified xsi:type="dcterms:W3CDTF">2023-08-07T11:54:30Z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0x010100AA0901C00BE8754680E1F02E394963D6</vt:lpwstr>
  </property>
  <property fmtid="{D5CDD505-2E9C-101B-9397-08002B2CF9AE}" pid="3" name="MediaServiceImageTags">
    <vt:lpwstr/>
  </property>
</Properties>
</file>