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4"/>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Questionnaire Templates/"/>
    </mc:Choice>
  </mc:AlternateContent>
  <xr:revisionPtr revIDLastSave="0" documentId="13_ncr:1_{56394353-B822-0043-8131-3EE7B0588100}" xr6:coauthVersionLast="47" xr6:coauthVersionMax="47" xr10:uidLastSave="{00000000-0000-0000-0000-000000000000}"/>
  <bookViews>
    <workbookView xWindow="0" yWindow="0" windowWidth="16680" windowHeight="21000" xr2:uid="{00000000-000D-0000-FFFF-FFFF00000000}"/>
  </bookViews>
  <sheets>
    <sheet name="survey" sheetId="4" r:id="rId1"/>
    <sheet name="choices" sheetId="10" r:id="rId2"/>
    <sheet name="settings" sheetId="3" r:id="rId3"/>
    <sheet name="Crop list" sheetId="9" r:id="rId4"/>
    <sheet name="Additional information" sheetId="11" r:id="rId5"/>
  </sheets>
  <definedNames>
    <definedName name="_xlnm._FilterDatabase" localSheetId="1" hidden="1">choices!#REF!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49" i="4" l="1"/>
  <c r="X41" i="4"/>
  <c r="Y41" i="4" s="1"/>
  <c r="E20" i="11"/>
  <c r="E19" i="11"/>
  <c r="E18" i="11"/>
  <c r="E14" i="11"/>
  <c r="E13" i="11"/>
  <c r="E12" i="11"/>
  <c r="E11" i="11"/>
  <c r="E9" i="11"/>
  <c r="E7" i="11"/>
  <c r="E6" i="11"/>
  <c r="E5" i="11"/>
  <c r="E4" i="11"/>
  <c r="E3" i="11"/>
  <c r="Z101" i="4" l="1"/>
  <c r="Y101" i="4"/>
  <c r="X101" i="4"/>
  <c r="Z87" i="4"/>
  <c r="Y87" i="4"/>
  <c r="X87" i="4"/>
  <c r="Z76" i="4"/>
  <c r="Y76" i="4"/>
  <c r="X76" i="4"/>
  <c r="X152" i="4" l="1"/>
  <c r="X154" i="4"/>
  <c r="X153" i="4"/>
  <c r="X113" i="4"/>
  <c r="X112" i="4"/>
  <c r="X111" i="4"/>
  <c r="X110" i="4"/>
  <c r="X109" i="4"/>
  <c r="X108" i="4"/>
  <c r="X107" i="4"/>
  <c r="X106" i="4"/>
  <c r="X105" i="4"/>
  <c r="X104" i="4"/>
  <c r="X100" i="4"/>
  <c r="X99" i="4"/>
  <c r="X98" i="4"/>
  <c r="X97" i="4"/>
  <c r="X96" i="4"/>
  <c r="X95" i="4"/>
  <c r="X94" i="4"/>
  <c r="X93" i="4"/>
  <c r="X92" i="4"/>
  <c r="X91" i="4"/>
  <c r="X90" i="4"/>
  <c r="X86" i="4"/>
  <c r="X85" i="4"/>
  <c r="X84" i="4"/>
  <c r="X83" i="4"/>
  <c r="X82" i="4"/>
  <c r="X81" i="4"/>
  <c r="X80" i="4"/>
  <c r="X79" i="4"/>
  <c r="X78" i="4"/>
  <c r="X77" i="4"/>
  <c r="X72" i="4"/>
  <c r="X71" i="4"/>
  <c r="X70" i="4"/>
  <c r="X69" i="4"/>
  <c r="X68" i="4"/>
  <c r="X67" i="4"/>
  <c r="X66" i="4"/>
  <c r="X65" i="4"/>
  <c r="X64" i="4"/>
  <c r="X63" i="4"/>
  <c r="X62" i="4"/>
  <c r="X61" i="4"/>
  <c r="X60" i="4"/>
  <c r="X59" i="4"/>
  <c r="X58" i="4"/>
  <c r="X57" i="4"/>
  <c r="X56" i="4"/>
  <c r="X55" i="4"/>
  <c r="X54" i="4"/>
  <c r="X53" i="4"/>
  <c r="X52" i="4"/>
  <c r="X51" i="4"/>
  <c r="X50" i="4"/>
  <c r="X49" i="4"/>
  <c r="X48" i="4"/>
  <c r="X47" i="4"/>
  <c r="X45" i="4"/>
  <c r="X42" i="4"/>
  <c r="X40" i="4"/>
  <c r="X39" i="4"/>
  <c r="X38" i="4"/>
  <c r="X37" i="4"/>
  <c r="X36" i="4"/>
  <c r="X35" i="4"/>
  <c r="X34" i="4"/>
  <c r="X33" i="4"/>
  <c r="X32" i="4"/>
  <c r="X31" i="4"/>
  <c r="X30" i="4"/>
  <c r="X29" i="4"/>
  <c r="X28" i="4"/>
  <c r="X27" i="4"/>
  <c r="X26" i="4"/>
  <c r="X25" i="4"/>
  <c r="X24" i="4"/>
  <c r="X23" i="4"/>
  <c r="X22" i="4"/>
  <c r="X21" i="4"/>
  <c r="X20" i="4"/>
  <c r="Z19" i="4"/>
  <c r="Y19" i="4"/>
  <c r="Y15" i="4"/>
  <c r="X14" i="4"/>
  <c r="X151" i="4" l="1"/>
  <c r="Y151" i="4" s="1"/>
  <c r="X150" i="4"/>
  <c r="Y150" i="4" s="1"/>
  <c r="X135" i="4"/>
  <c r="Y135" i="4" s="1"/>
  <c r="Z135" i="4"/>
  <c r="X136" i="4"/>
  <c r="Y136" i="4" s="1"/>
  <c r="Z136" i="4"/>
  <c r="X137" i="4"/>
  <c r="Y137" i="4"/>
  <c r="Z137" i="4"/>
  <c r="X138" i="4"/>
  <c r="Y138" i="4" s="1"/>
  <c r="Z138" i="4"/>
  <c r="X139" i="4"/>
  <c r="Y139" i="4" s="1"/>
  <c r="Z139" i="4"/>
  <c r="Y52" i="4"/>
  <c r="Z319" i="4"/>
  <c r="Z315" i="4"/>
  <c r="Y315" i="4"/>
  <c r="Z314" i="4"/>
  <c r="Y314" i="4"/>
  <c r="Z313" i="4"/>
  <c r="Y313" i="4"/>
  <c r="Z312" i="4"/>
  <c r="Y312" i="4"/>
  <c r="Z311" i="4"/>
  <c r="Y311" i="4"/>
  <c r="Z310" i="4"/>
  <c r="Y310" i="4"/>
  <c r="Z309" i="4"/>
  <c r="Y309" i="4"/>
  <c r="Z308" i="4"/>
  <c r="Y308" i="4"/>
  <c r="Z307" i="4"/>
  <c r="Y307" i="4"/>
  <c r="Z306" i="4"/>
  <c r="Y306" i="4"/>
  <c r="Z305" i="4"/>
  <c r="Y305" i="4"/>
  <c r="Z304" i="4"/>
  <c r="Y304" i="4"/>
  <c r="Z303" i="4"/>
  <c r="Y303" i="4"/>
  <c r="Z300" i="4"/>
  <c r="Y300" i="4"/>
  <c r="Z299" i="4"/>
  <c r="Y299" i="4"/>
  <c r="Z298" i="4"/>
  <c r="Y298" i="4"/>
  <c r="Z297" i="4"/>
  <c r="Y297" i="4"/>
  <c r="Z296" i="4"/>
  <c r="Y296" i="4"/>
  <c r="Z295" i="4"/>
  <c r="Y295" i="4"/>
  <c r="Z294" i="4"/>
  <c r="Y294" i="4"/>
  <c r="Z293" i="4"/>
  <c r="Y293" i="4"/>
  <c r="Z292" i="4"/>
  <c r="Y292" i="4"/>
  <c r="Z291" i="4"/>
  <c r="Y291" i="4"/>
  <c r="Z290" i="4"/>
  <c r="Y290" i="4"/>
  <c r="Z289" i="4"/>
  <c r="Y289" i="4"/>
  <c r="Z288" i="4"/>
  <c r="Y288" i="4"/>
  <c r="Z287" i="4"/>
  <c r="Y287" i="4"/>
  <c r="Z286" i="4"/>
  <c r="Y286" i="4"/>
  <c r="Z285" i="4"/>
  <c r="Y285" i="4"/>
  <c r="Z284" i="4"/>
  <c r="Y284" i="4"/>
  <c r="Z283" i="4"/>
  <c r="Y283" i="4"/>
  <c r="Z282" i="4"/>
  <c r="Y282" i="4"/>
  <c r="Z281" i="4"/>
  <c r="Y281" i="4"/>
  <c r="Z280" i="4"/>
  <c r="Y280" i="4"/>
  <c r="Z279" i="4"/>
  <c r="Y279" i="4"/>
  <c r="Z278" i="4"/>
  <c r="Y278" i="4"/>
  <c r="Z277" i="4"/>
  <c r="Y277" i="4"/>
  <c r="Z276" i="4"/>
  <c r="Y276" i="4"/>
  <c r="Z275" i="4"/>
  <c r="Y275" i="4"/>
  <c r="Z274" i="4"/>
  <c r="Y274" i="4"/>
  <c r="Z273" i="4"/>
  <c r="Y273" i="4"/>
  <c r="Z272" i="4"/>
  <c r="Y272" i="4"/>
  <c r="Z271" i="4"/>
  <c r="Y271" i="4"/>
  <c r="Z270" i="4"/>
  <c r="Y270" i="4"/>
  <c r="Z269" i="4"/>
  <c r="Y269" i="4"/>
  <c r="Z268" i="4"/>
  <c r="Y268" i="4"/>
  <c r="Z267" i="4"/>
  <c r="Y267" i="4"/>
  <c r="Z266" i="4"/>
  <c r="Y266" i="4"/>
  <c r="Z265" i="4"/>
  <c r="Y265" i="4"/>
  <c r="Z264" i="4"/>
  <c r="Y264" i="4"/>
  <c r="Z263" i="4"/>
  <c r="Y263" i="4"/>
  <c r="Z262" i="4"/>
  <c r="Y262" i="4"/>
  <c r="Z261" i="4"/>
  <c r="Y261" i="4"/>
  <c r="Z260" i="4"/>
  <c r="Y260" i="4"/>
  <c r="Z259" i="4"/>
  <c r="Y259" i="4"/>
  <c r="Z258" i="4"/>
  <c r="Y258" i="4"/>
  <c r="Z257" i="4"/>
  <c r="Y257" i="4"/>
  <c r="Z256" i="4"/>
  <c r="Y256" i="4"/>
  <c r="Z255" i="4"/>
  <c r="Y255" i="4"/>
  <c r="Z254" i="4"/>
  <c r="Y254" i="4"/>
  <c r="Z253" i="4"/>
  <c r="Y253" i="4"/>
  <c r="Z252" i="4"/>
  <c r="Y252" i="4"/>
  <c r="Z251" i="4"/>
  <c r="Y251" i="4"/>
  <c r="Z250" i="4"/>
  <c r="Y250" i="4"/>
  <c r="Z249" i="4"/>
  <c r="Y249" i="4"/>
  <c r="Z248" i="4"/>
  <c r="Y248" i="4"/>
  <c r="Z247" i="4"/>
  <c r="Y247" i="4"/>
  <c r="Z246" i="4"/>
  <c r="Y246" i="4"/>
  <c r="Z245" i="4"/>
  <c r="Y245" i="4"/>
  <c r="Z244" i="4"/>
  <c r="Y244" i="4"/>
  <c r="Z243" i="4"/>
  <c r="Y243" i="4"/>
  <c r="Z242" i="4"/>
  <c r="Y242" i="4"/>
  <c r="Z241" i="4"/>
  <c r="Y241" i="4"/>
  <c r="Z240" i="4"/>
  <c r="Y240" i="4"/>
  <c r="Z239" i="4"/>
  <c r="Y239" i="4"/>
  <c r="Z238" i="4"/>
  <c r="Y238" i="4"/>
  <c r="Z237" i="4"/>
  <c r="Y237" i="4"/>
  <c r="Z236" i="4"/>
  <c r="Y236" i="4"/>
  <c r="Z235" i="4"/>
  <c r="Y235" i="4"/>
  <c r="Z234" i="4"/>
  <c r="Y234" i="4"/>
  <c r="Z233" i="4"/>
  <c r="Y233" i="4"/>
  <c r="Z232" i="4"/>
  <c r="Y232" i="4"/>
  <c r="Z231" i="4"/>
  <c r="Y231" i="4"/>
  <c r="Z230" i="4"/>
  <c r="Y230" i="4"/>
  <c r="Z229" i="4"/>
  <c r="Y229" i="4"/>
  <c r="Z228" i="4"/>
  <c r="Y228" i="4"/>
  <c r="Z227" i="4"/>
  <c r="Y227" i="4"/>
  <c r="Z226" i="4"/>
  <c r="Y226" i="4"/>
  <c r="Z225" i="4"/>
  <c r="Y225" i="4"/>
  <c r="Z224" i="4"/>
  <c r="Y224" i="4"/>
  <c r="Z223" i="4"/>
  <c r="Y223" i="4"/>
  <c r="Z222" i="4"/>
  <c r="Y222" i="4"/>
  <c r="Z221" i="4"/>
  <c r="Y221" i="4"/>
  <c r="Z220" i="4"/>
  <c r="Y220" i="4"/>
  <c r="Z219" i="4"/>
  <c r="Y219" i="4"/>
  <c r="Z218" i="4"/>
  <c r="Y218" i="4"/>
  <c r="X218" i="4"/>
  <c r="X217" i="4"/>
  <c r="Z217" i="4" s="1"/>
  <c r="Z216" i="4"/>
  <c r="Y216" i="4"/>
  <c r="X216" i="4"/>
  <c r="Z215" i="4"/>
  <c r="Y215" i="4"/>
  <c r="X215" i="4"/>
  <c r="X214" i="4"/>
  <c r="Z214" i="4" s="1"/>
  <c r="X213" i="4"/>
  <c r="Z213" i="4" s="1"/>
  <c r="Z212" i="4"/>
  <c r="Y212" i="4"/>
  <c r="X212" i="4"/>
  <c r="Z211" i="4"/>
  <c r="Y211" i="4"/>
  <c r="X211" i="4"/>
  <c r="Z210" i="4"/>
  <c r="Y210" i="4"/>
  <c r="X210" i="4"/>
  <c r="X209" i="4"/>
  <c r="Z209" i="4" s="1"/>
  <c r="Z208" i="4"/>
  <c r="Y208" i="4"/>
  <c r="X208" i="4"/>
  <c r="Z207" i="4"/>
  <c r="Y207" i="4"/>
  <c r="Z206" i="4"/>
  <c r="Y206" i="4"/>
  <c r="Z205" i="4"/>
  <c r="Y205" i="4"/>
  <c r="X205" i="4"/>
  <c r="Z204" i="4"/>
  <c r="Y204" i="4"/>
  <c r="X204" i="4"/>
  <c r="Z203" i="4"/>
  <c r="X203" i="4"/>
  <c r="Y203" i="4" s="1"/>
  <c r="Z202" i="4"/>
  <c r="Y202" i="4"/>
  <c r="X202" i="4"/>
  <c r="Z201" i="4"/>
  <c r="Y201" i="4"/>
  <c r="X201" i="4"/>
  <c r="X200" i="4"/>
  <c r="Z200" i="4" s="1"/>
  <c r="X199" i="4"/>
  <c r="Y199" i="4" s="1"/>
  <c r="Z198" i="4"/>
  <c r="Y198" i="4"/>
  <c r="X198" i="4"/>
  <c r="X197" i="4"/>
  <c r="Y197" i="4" s="1"/>
  <c r="Z196" i="4"/>
  <c r="Y196" i="4"/>
  <c r="X196" i="4"/>
  <c r="X195" i="4"/>
  <c r="Z195" i="4" s="1"/>
  <c r="Z194" i="4"/>
  <c r="Y194" i="4"/>
  <c r="X194" i="4"/>
  <c r="X193" i="4"/>
  <c r="Z193" i="4" s="1"/>
  <c r="Z192" i="4"/>
  <c r="Y192" i="4"/>
  <c r="Z191" i="4"/>
  <c r="Y191" i="4"/>
  <c r="Z190" i="4"/>
  <c r="Y190" i="4"/>
  <c r="X190" i="4"/>
  <c r="X189" i="4"/>
  <c r="Z189" i="4" s="1"/>
  <c r="Z188" i="4"/>
  <c r="Y188" i="4"/>
  <c r="X188" i="4"/>
  <c r="X187" i="4"/>
  <c r="Y187" i="4" s="1"/>
  <c r="X186" i="4"/>
  <c r="Z186" i="4" s="1"/>
  <c r="Z185" i="4"/>
  <c r="Y185" i="4"/>
  <c r="X185" i="4"/>
  <c r="Z184" i="4"/>
  <c r="Y184" i="4"/>
  <c r="X184" i="4"/>
  <c r="X183" i="4"/>
  <c r="Z183" i="4" s="1"/>
  <c r="Z182" i="4"/>
  <c r="Y182" i="4"/>
  <c r="X182" i="4"/>
  <c r="Z181" i="4"/>
  <c r="Y181" i="4"/>
  <c r="Z180" i="4"/>
  <c r="Y180" i="4"/>
  <c r="Z179" i="4"/>
  <c r="Y179" i="4"/>
  <c r="X179" i="4"/>
  <c r="Z178" i="4"/>
  <c r="X178" i="4"/>
  <c r="Y178" i="4" s="1"/>
  <c r="Z177" i="4"/>
  <c r="Y177" i="4"/>
  <c r="X177" i="4"/>
  <c r="X176" i="4"/>
  <c r="Z176" i="4" s="1"/>
  <c r="X175" i="4"/>
  <c r="Z175" i="4" s="1"/>
  <c r="Z174" i="4"/>
  <c r="Y174" i="4"/>
  <c r="X174" i="4"/>
  <c r="Z173" i="4"/>
  <c r="X173" i="4"/>
  <c r="Y173" i="4" s="1"/>
  <c r="Z172" i="4"/>
  <c r="Y172" i="4"/>
  <c r="X172" i="4"/>
  <c r="X171" i="4"/>
  <c r="Z171" i="4" s="1"/>
  <c r="Z170" i="4"/>
  <c r="Y170" i="4"/>
  <c r="X170" i="4"/>
  <c r="Z169" i="4"/>
  <c r="Y169" i="4"/>
  <c r="X169" i="4"/>
  <c r="X168" i="4"/>
  <c r="Z168" i="4" s="1"/>
  <c r="X167" i="4"/>
  <c r="Y167" i="4" s="1"/>
  <c r="Z166" i="4"/>
  <c r="Y166" i="4"/>
  <c r="X166" i="4"/>
  <c r="Z165" i="4"/>
  <c r="Y165" i="4"/>
  <c r="X165" i="4"/>
  <c r="X164" i="4"/>
  <c r="Y164" i="4" s="1"/>
  <c r="Z163" i="4"/>
  <c r="Y163" i="4"/>
  <c r="X163" i="4"/>
  <c r="X162" i="4"/>
  <c r="Y162" i="4" s="1"/>
  <c r="Z161" i="4"/>
  <c r="Y161" i="4"/>
  <c r="Z160" i="4"/>
  <c r="Y160" i="4"/>
  <c r="Z159" i="4"/>
  <c r="Y159" i="4"/>
  <c r="X159" i="4"/>
  <c r="X158" i="4"/>
  <c r="Z158" i="4" s="1"/>
  <c r="Z157" i="4"/>
  <c r="Y157" i="4"/>
  <c r="X157" i="4"/>
  <c r="X156" i="4"/>
  <c r="Y156" i="4" s="1"/>
  <c r="X155" i="4"/>
  <c r="Y155" i="4" s="1"/>
  <c r="Z148" i="4"/>
  <c r="Y148" i="4"/>
  <c r="Z147" i="4"/>
  <c r="Y147" i="4"/>
  <c r="Z146" i="4"/>
  <c r="Y146" i="4"/>
  <c r="X146" i="4"/>
  <c r="Z145" i="4"/>
  <c r="X145" i="4"/>
  <c r="Y145" i="4" s="1"/>
  <c r="Z144" i="4"/>
  <c r="X144" i="4"/>
  <c r="Y144" i="4" s="1"/>
  <c r="Z143" i="4"/>
  <c r="Y143" i="4"/>
  <c r="X143" i="4"/>
  <c r="X142" i="4"/>
  <c r="Z142" i="4" s="1"/>
  <c r="X141" i="4"/>
  <c r="Z141" i="4" s="1"/>
  <c r="Z140" i="4"/>
  <c r="Y140" i="4"/>
  <c r="X140" i="4"/>
  <c r="X134" i="4"/>
  <c r="Y134" i="4" s="1"/>
  <c r="Z133" i="4"/>
  <c r="Y133" i="4"/>
  <c r="X133" i="4"/>
  <c r="X132" i="4"/>
  <c r="Z132" i="4" s="1"/>
  <c r="Z131" i="4"/>
  <c r="Y131" i="4"/>
  <c r="X131" i="4"/>
  <c r="Z130" i="4"/>
  <c r="X130" i="4"/>
  <c r="Y130" i="4" s="1"/>
  <c r="Z127" i="4"/>
  <c r="Y127" i="4"/>
  <c r="X127" i="4"/>
  <c r="Z126" i="4"/>
  <c r="Y126" i="4"/>
  <c r="X126" i="4"/>
  <c r="X125" i="4"/>
  <c r="Y125" i="4" s="1"/>
  <c r="Z124" i="4"/>
  <c r="Y124" i="4"/>
  <c r="X124" i="4"/>
  <c r="X123" i="4"/>
  <c r="Y123" i="4" s="1"/>
  <c r="Z122" i="4"/>
  <c r="Y122" i="4"/>
  <c r="X122" i="4"/>
  <c r="X121" i="4"/>
  <c r="Z121" i="4" s="1"/>
  <c r="Z120" i="4"/>
  <c r="Y120" i="4"/>
  <c r="X120" i="4"/>
  <c r="X119" i="4"/>
  <c r="Z119" i="4" s="1"/>
  <c r="X118" i="4"/>
  <c r="Z118" i="4" s="1"/>
  <c r="Z117" i="4"/>
  <c r="Y117" i="4"/>
  <c r="X117" i="4"/>
  <c r="X116" i="4"/>
  <c r="Z116" i="4" s="1"/>
  <c r="Z115" i="4"/>
  <c r="Y115" i="4"/>
  <c r="Z114" i="4"/>
  <c r="Y114" i="4"/>
  <c r="Z113" i="4"/>
  <c r="Y113" i="4"/>
  <c r="Z112" i="4"/>
  <c r="Y112" i="4"/>
  <c r="Y111" i="4"/>
  <c r="Z110" i="4"/>
  <c r="Y110" i="4"/>
  <c r="Z109" i="4"/>
  <c r="Y109" i="4"/>
  <c r="Z108" i="4"/>
  <c r="Y108" i="4"/>
  <c r="Z107" i="4"/>
  <c r="Z106" i="4"/>
  <c r="Y106" i="4"/>
  <c r="Y105" i="4"/>
  <c r="Z104" i="4"/>
  <c r="Y104" i="4"/>
  <c r="Z100" i="4"/>
  <c r="Y100" i="4"/>
  <c r="Z99" i="4"/>
  <c r="Y99" i="4"/>
  <c r="Z98" i="4"/>
  <c r="Y98" i="4"/>
  <c r="Y97" i="4"/>
  <c r="Y96" i="4"/>
  <c r="Y95" i="4"/>
  <c r="Z94" i="4"/>
  <c r="Y94" i="4"/>
  <c r="Z93" i="4"/>
  <c r="Z92" i="4"/>
  <c r="Y92" i="4"/>
  <c r="Z91" i="4"/>
  <c r="Z90" i="4"/>
  <c r="Y90" i="4"/>
  <c r="Z86" i="4"/>
  <c r="Y86" i="4"/>
  <c r="Z85" i="4"/>
  <c r="Y85" i="4"/>
  <c r="Z84" i="4"/>
  <c r="Y84" i="4"/>
  <c r="Z83" i="4"/>
  <c r="Z82" i="4"/>
  <c r="Y81" i="4"/>
  <c r="Z80" i="4"/>
  <c r="Y80" i="4"/>
  <c r="Y79" i="4"/>
  <c r="Z78" i="4"/>
  <c r="Y78" i="4"/>
  <c r="Y77" i="4"/>
  <c r="Z72" i="4"/>
  <c r="Y72" i="4"/>
  <c r="Z71" i="4"/>
  <c r="Y71" i="4"/>
  <c r="Z70" i="4"/>
  <c r="Y70" i="4"/>
  <c r="Z69" i="4"/>
  <c r="Y68" i="4"/>
  <c r="Y67" i="4"/>
  <c r="Z66" i="4"/>
  <c r="Y66" i="4"/>
  <c r="Y65" i="4"/>
  <c r="Z64" i="4"/>
  <c r="Y64" i="4"/>
  <c r="Z63" i="4"/>
  <c r="Y63" i="4"/>
  <c r="Z62" i="4"/>
  <c r="Y62" i="4"/>
  <c r="Z61" i="4"/>
  <c r="Y61" i="4"/>
  <c r="Z60" i="4"/>
  <c r="Y60" i="4"/>
  <c r="Z59" i="4"/>
  <c r="Y59" i="4"/>
  <c r="Z58" i="4"/>
  <c r="Y58" i="4"/>
  <c r="Z57" i="4"/>
  <c r="Y57" i="4"/>
  <c r="Z56" i="4"/>
  <c r="Y56" i="4"/>
  <c r="Z55" i="4"/>
  <c r="Y55" i="4"/>
  <c r="Z54" i="4"/>
  <c r="Y54" i="4"/>
  <c r="Z53" i="4"/>
  <c r="Z51" i="4"/>
  <c r="Z50" i="4"/>
  <c r="Y50" i="4"/>
  <c r="Y49" i="4"/>
  <c r="Z48" i="4"/>
  <c r="Y48" i="4"/>
  <c r="Z47" i="4"/>
  <c r="Z45" i="4"/>
  <c r="Y45" i="4"/>
  <c r="Z44" i="4"/>
  <c r="Y44" i="4"/>
  <c r="Z43" i="4"/>
  <c r="Y43" i="4"/>
  <c r="Z42" i="4"/>
  <c r="Y42" i="4"/>
  <c r="Y40" i="4"/>
  <c r="Z39" i="4"/>
  <c r="Y39" i="4"/>
  <c r="Z38" i="4"/>
  <c r="Y38" i="4"/>
  <c r="Z37" i="4"/>
  <c r="Z36" i="4"/>
  <c r="Y36" i="4"/>
  <c r="Z35" i="4"/>
  <c r="Z34" i="4"/>
  <c r="Y34" i="4"/>
  <c r="Z33" i="4"/>
  <c r="Y33" i="4"/>
  <c r="Z32" i="4"/>
  <c r="Y32" i="4"/>
  <c r="Z31" i="4"/>
  <c r="Y31" i="4"/>
  <c r="Z30" i="4"/>
  <c r="Y30" i="4"/>
  <c r="Z29" i="4"/>
  <c r="Y29" i="4"/>
  <c r="Z28" i="4"/>
  <c r="Y28" i="4"/>
  <c r="Z27" i="4"/>
  <c r="Y27" i="4"/>
  <c r="Z26" i="4"/>
  <c r="Y26" i="4"/>
  <c r="Y25" i="4"/>
  <c r="Z25" i="4"/>
  <c r="Z24" i="4"/>
  <c r="Y24" i="4"/>
  <c r="Z23" i="4"/>
  <c r="Z22" i="4"/>
  <c r="Y22" i="4"/>
  <c r="Y21" i="4"/>
  <c r="Z20" i="4"/>
  <c r="Z18" i="4"/>
  <c r="Y18" i="4"/>
  <c r="Z17" i="4"/>
  <c r="Y17" i="4"/>
  <c r="Z16" i="4"/>
  <c r="Y16" i="4"/>
  <c r="Z14" i="4"/>
  <c r="Y14" i="4"/>
  <c r="Z13" i="4"/>
  <c r="Y13" i="4"/>
  <c r="Z11" i="4"/>
  <c r="Y11" i="4"/>
  <c r="Z10" i="4"/>
  <c r="Y10" i="4"/>
  <c r="Z5" i="4"/>
  <c r="Y5" i="4"/>
  <c r="Z4" i="4"/>
  <c r="Y4" i="4"/>
  <c r="Z3" i="4"/>
  <c r="Y3" i="4"/>
  <c r="Z2" i="4"/>
  <c r="Y2" i="4"/>
  <c r="Z96" i="4"/>
  <c r="Z111" i="4"/>
  <c r="Z105" i="4"/>
  <c r="Z67" i="4"/>
  <c r="Z197" i="4"/>
  <c r="Y200" i="4"/>
  <c r="Y91" i="4"/>
  <c r="Z95" i="4"/>
  <c r="Y142" i="4" l="1"/>
  <c r="Y168" i="4"/>
  <c r="Y213" i="4"/>
  <c r="Z156" i="4"/>
  <c r="Y217" i="4"/>
  <c r="Y175" i="4"/>
  <c r="Y141" i="4"/>
  <c r="Y193" i="4"/>
  <c r="Y171" i="4"/>
  <c r="Y186" i="4"/>
  <c r="Z162" i="4"/>
  <c r="Y158" i="4"/>
  <c r="Y51" i="4"/>
  <c r="Y35" i="4"/>
  <c r="Z81" i="4"/>
  <c r="Z65" i="4"/>
  <c r="Z164" i="4"/>
  <c r="Z167" i="4"/>
  <c r="Y53" i="4"/>
  <c r="Y83" i="4"/>
  <c r="Y47" i="4"/>
  <c r="Y23" i="4"/>
  <c r="Y37" i="4"/>
  <c r="Y82" i="4"/>
  <c r="Z187" i="4"/>
  <c r="Y189" i="4"/>
  <c r="Y121" i="4"/>
  <c r="Z155" i="4"/>
  <c r="Y132" i="4"/>
  <c r="Y69" i="4"/>
  <c r="Z52" i="4"/>
  <c r="Z21" i="4"/>
  <c r="Z123" i="4"/>
  <c r="Y93" i="4"/>
  <c r="Y107" i="4"/>
  <c r="Z77" i="4"/>
  <c r="Z49" i="4"/>
  <c r="Y209" i="4"/>
  <c r="Z125" i="4"/>
  <c r="Z199" i="4"/>
  <c r="Y214" i="4"/>
  <c r="Y176" i="4"/>
  <c r="Z134" i="4"/>
  <c r="Y183" i="4"/>
  <c r="Y116" i="4"/>
  <c r="Y119" i="4"/>
  <c r="Y195" i="4"/>
  <c r="Y20" i="4"/>
  <c r="Z40" i="4"/>
  <c r="Z68" i="4"/>
  <c r="Z79" i="4"/>
  <c r="Z97" i="4"/>
  <c r="Y118" i="4"/>
  <c r="Y326" i="4" l="1"/>
  <c r="Z326" i="4"/>
</calcChain>
</file>

<file path=xl/sharedStrings.xml><?xml version="1.0" encoding="utf-8"?>
<sst xmlns="http://schemas.openxmlformats.org/spreadsheetml/2006/main" count="3955" uniqueCount="2118">
  <si>
    <t>type</t>
  </si>
  <si>
    <t>name</t>
  </si>
  <si>
    <t>label::English (en)</t>
  </si>
  <si>
    <t>label::French (fr)</t>
  </si>
  <si>
    <t>label::</t>
  </si>
  <si>
    <t>hint::English (en)</t>
  </si>
  <si>
    <t>hint::French (fr)</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</si>
  <si>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</si>
  <si>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</si>
  <si>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</si>
  <si>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</si>
  <si>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</si>
  <si>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</si>
  <si>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</si>
  <si>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</si>
  <si>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</si>
  <si>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</si>
  <si>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</si>
  <si>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</si>
  <si>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</si>
  <si>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</si>
  <si>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</si>
  <si>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</si>
  <si>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</si>
  <si>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</si>
  <si>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</si>
  <si>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</si>
  <si>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</si>
  <si>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</si>
  <si>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</si>
  <si>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</si>
  <si>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</si>
  <si>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</si>
  <si>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</si>
  <si>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</si>
  <si>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Numéro ou code de l'équipe d'enquêteurs</t>
  </si>
  <si>
    <t>select_one enumerator</t>
  </si>
  <si>
    <t>enumerator</t>
  </si>
  <si>
    <t>Name of enumerator</t>
  </si>
  <si>
    <t>Nom de l'énquêteur</t>
  </si>
  <si>
    <t>true</t>
  </si>
  <si>
    <t>my_filter_admin=${enum_team}</t>
  </si>
  <si>
    <t>yes</t>
  </si>
  <si>
    <t>enumerator_</t>
  </si>
  <si>
    <t>jr:choice-name(${enumerator},'${enumerator}')</t>
  </si>
  <si>
    <t>note</t>
  </si>
  <si>
    <t>introduction</t>
  </si>
  <si>
    <r>
      <t xml:space="preserve">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t>
    </r>
    <r>
      <rPr>
        <b/>
        <sz val="11"/>
        <color rgb="FFC00000"/>
        <rFont val="Calibri (Body)"/>
      </rPr>
      <t>20 / 30 minutes</t>
    </r>
    <r>
      <rPr>
        <sz val="11"/>
        <color theme="1"/>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r>
  </si>
  <si>
    <r>
      <t xml:space="preserve">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t>
    </r>
    <r>
      <rPr>
        <b/>
        <sz val="11"/>
        <color rgb="FFC00000"/>
        <rFont val="Calibri"/>
        <family val="2"/>
        <scheme val="minor"/>
      </rPr>
      <t>20 / 30 minutes</t>
    </r>
    <r>
      <rPr>
        <sz val="11"/>
        <rFont val="Calibri"/>
        <family val="2"/>
        <scheme val="minor"/>
      </rPr>
      <t>.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r>
  </si>
  <si>
    <t>[INSTRUCTIONS: ADDRESS QUESTIONS FROM RESPONDENT, IF ANY.]</t>
  </si>
  <si>
    <t>[OPÉRATEUR/OPÉRATRICE: LE CAS ÉCHÉANT, RÉPONDRE AUX QUESTIONS DE LA PERSONNE INTERROGÉE.]</t>
  </si>
  <si>
    <t>false</t>
  </si>
  <si>
    <t>no</t>
  </si>
  <si>
    <t>select_one yesno</t>
  </si>
  <si>
    <t>resp_agree</t>
  </si>
  <si>
    <t>Are you interested in participating in this survey?</t>
  </si>
  <si>
    <t>Souhaitez-vous participer à cette enquête?</t>
  </si>
  <si>
    <t>geopoint</t>
  </si>
  <si>
    <t>gps_1</t>
  </si>
  <si>
    <t xml:space="preserve">GPS INSTRUCTION: Take a GPS measurement. </t>
  </si>
  <si>
    <t>INSTRUCTION : Récupérer les coordonnées GPS.</t>
  </si>
  <si>
    <t>NOTE: It might take a few minutes for the tablet to register the GPS. Wait for it to load. If it takes longer than 3 minutes, skip to the next question. You can take the GPS reading at the end of the interview.</t>
  </si>
  <si>
    <t xml:space="preserve">REMARQUE : L'enregistrement des coordonnées peut prendre quelques temps - il faudra peut-être patienter quelques minutes. Si cela prend plus de 3 minutes, passez à la question suivante. Vous pouvez récupérer les coordonnées GPS à la fin de l'entretien. </t>
  </si>
  <si>
    <t>${resp_agree} = '1'</t>
  </si>
  <si>
    <t>Refusal</t>
  </si>
  <si>
    <t>Thank you for your time, you will be removed from today's survey.</t>
  </si>
  <si>
    <t>Merci pour votre temps. Vous serez écarté de l'enquête d'aujourd'hui.</t>
  </si>
  <si>
    <t>${resp_agree} = '2'</t>
  </si>
  <si>
    <t/>
  </si>
  <si>
    <t>begin_group</t>
  </si>
  <si>
    <t>eligibility</t>
  </si>
  <si>
    <t>ELIGIBILITY CRITERIA</t>
  </si>
  <si>
    <t>CRITÈRES D'ÉLIGIBILITÉ</t>
  </si>
  <si>
    <t>text</t>
  </si>
  <si>
    <t>resp_firstname</t>
  </si>
  <si>
    <t>What is your first name?</t>
  </si>
  <si>
    <t>Quel est votre prénom?</t>
  </si>
  <si>
    <t>[INSTRUCTIONS: RECORD THE RESPONDENT'S FIRST NAME. ENTER 999 FOR REFUSED]</t>
  </si>
  <si>
    <t>[INSTRUCTIONS : SAISIR LE PRÉNOM DE LA PERSONNE INTÉRROGÉE. SAISIR 999 POUR REFUSÉ.]</t>
  </si>
  <si>
    <t>resp_lastname</t>
  </si>
  <si>
    <t>What is your last name?</t>
  </si>
  <si>
    <t>Quel est votre nom de famille?</t>
  </si>
  <si>
    <t>[INSTRUCTIONS: RECORD THE RESPONDENT'S LAST NAME. ENTER 999 FOR REFUSED]</t>
  </si>
  <si>
    <t>integer</t>
  </si>
  <si>
    <t>resp_age</t>
  </si>
  <si>
    <t>How old are you?</t>
  </si>
  <si>
    <t>Quel âge avez-vous (en années)?</t>
  </si>
  <si>
    <t>[INSTRUCTIONS: RECORD AGE IN NUMBER OF YEARS. ROUND UP TO NEAREST WHOLE NUMBER. IF THE RESPONDENT GIVES BIRTH YEAR, REPEAT THE QUESTION. ENTER 888 FOR DON'T KNOW.]</t>
  </si>
  <si>
    <t>[INSTRUCTIONS :  SAISIR L'ÂGE EN ANNÉES. ARRONDIR AU NOMBRE ENTIER LE PLUS PROCHE. SI LE RÉPONDANT DONNE SON ANNÉE DE NAISSANCE, RÉPÉTER LA QUESTION. SAISIR 888 POUR JE NE SAIS PAS.]</t>
  </si>
  <si>
    <r>
      <t xml:space="preserve">(. &gt;= </t>
    </r>
    <r>
      <rPr>
        <b/>
        <sz val="11"/>
        <color rgb="FF7030A0"/>
        <rFont val="Calibri"/>
        <family val="2"/>
        <scheme val="minor"/>
      </rPr>
      <t>#age#</t>
    </r>
    <r>
      <rPr>
        <sz val="11"/>
        <color theme="1"/>
        <rFont val="Calibri"/>
        <family val="2"/>
        <scheme val="minor"/>
      </rPr>
      <t xml:space="preserve"> and . &lt;= 100) or . = 888</t>
    </r>
  </si>
  <si>
    <t>select_one gender</t>
  </si>
  <si>
    <t>resp_gender</t>
  </si>
  <si>
    <t>What is the gender of the respondent?</t>
  </si>
  <si>
    <t xml:space="preserve">Quel est le sexe du répondant?  </t>
  </si>
  <si>
    <t>[INSTRUCTIONS: DO NOT ASK THIS QUESTION OUT LOUD. SELECT THE GENDER OF THE RESPONDENT.]</t>
  </si>
  <si>
    <t>[OPÉRATEUR/OPÉRATRICE: NE PAS POSER CETTE QUESTION À VOIX HAUTE. INDIQUER LE SEXE DU RÉPONDANT.]</t>
  </si>
  <si>
    <t>phone_number_personal</t>
  </si>
  <si>
    <t>What is your phone number?</t>
  </si>
  <si>
    <t>Quel est votre numéro de téléphone ?</t>
  </si>
  <si>
    <t>numbers</t>
  </si>
  <si>
    <r>
      <rPr>
        <sz val="11"/>
        <color theme="6" tint="-0.499984740745262"/>
        <rFont val="Calibri"/>
        <family val="2"/>
        <scheme val="minor"/>
      </rPr>
      <t>regex(.,’^[0-9]{</t>
    </r>
    <r>
      <rPr>
        <b/>
        <sz val="11"/>
        <color rgb="FF7030A0"/>
        <rFont val="Calibri"/>
        <family val="2"/>
        <scheme val="minor"/>
      </rPr>
      <t>#number of digits#</t>
    </r>
    <r>
      <rPr>
        <sz val="11"/>
        <color theme="6" tint="-0.499984740745262"/>
        <rFont val="Calibri"/>
        <family val="2"/>
        <scheme val="minor"/>
      </rPr>
      <t>}$’)</t>
    </r>
  </si>
  <si>
    <t>Please enter the telephone number in the correct format, e.g. #phone number#</t>
  </si>
  <si>
    <t>yes - panel</t>
  </si>
  <si>
    <t>select_one contact_info</t>
  </si>
  <si>
    <t>contact_2</t>
  </si>
  <si>
    <t>Can you give me an additional phone number belonging to you, another household member or a close relation living outside of the household at which you can be reached?</t>
  </si>
  <si>
    <t>Pouvez-vous me donner un numéro de téléphone supplémentaire, le vôtre, celui d'un autre membre du ménage ou d’un proche vivant en dehors du ménage, auquel vous pouvez être joint?</t>
  </si>
  <si>
    <t>phone_number_2</t>
  </si>
  <si>
    <t>What is the additional phone number?</t>
  </si>
  <si>
    <t>Quel est cet autre numéro de téléphone ?</t>
  </si>
  <si>
    <t xml:space="preserve">${contact_2} = '1' or ${contact_2} = '2' or ${contact_2} = '3' </t>
  </si>
  <si>
    <t>contact_2_name</t>
  </si>
  <si>
    <t>What is the name of the contact?</t>
  </si>
  <si>
    <t>Quel est le nom du contact associé à ce numéro de téléphone ?</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</si>
  <si>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</si>
  <si>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</si>
  <si>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</si>
  <si>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</si>
  <si>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</si>
  <si>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</si>
  <si>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</si>
  <si>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</si>
  <si>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r>
      <t>Currently, in which</t>
    </r>
    <r>
      <rPr>
        <b/>
        <sz val="11"/>
        <color rgb="FF7030A0"/>
        <rFont val="Calibri"/>
        <family val="2"/>
        <scheme val="minor"/>
      </rPr>
      <t xml:space="preserve"> #ADMIN1#</t>
    </r>
    <r>
      <rPr>
        <sz val="11"/>
        <color theme="1"/>
        <rFont val="Calibri"/>
        <family val="2"/>
        <scheme val="minor"/>
      </rPr>
      <t xml:space="preserve"> does your household reside?</t>
    </r>
  </si>
  <si>
    <r>
      <t xml:space="preserve">Actuellement, dans quel </t>
    </r>
    <r>
      <rPr>
        <b/>
        <sz val="11"/>
        <color rgb="FF7030A0"/>
        <rFont val="Calibri (Body)"/>
      </rPr>
      <t>#AD</t>
    </r>
    <r>
      <rPr>
        <b/>
        <sz val="11"/>
        <color rgb="FF7030A0"/>
        <rFont val="Calibri"/>
        <family val="2"/>
        <scheme val="minor"/>
      </rPr>
      <t>MIN1#</t>
    </r>
    <r>
      <rPr>
        <sz val="11"/>
        <rFont val="Calibri"/>
        <family val="2"/>
        <scheme val="minor"/>
      </rPr>
      <t xml:space="preserve"> votre ménage vit-il ?</t>
    </r>
  </si>
  <si>
    <t>[HINT: HOUSEHOLD CONSISTS OF ALL MEMBERS LIVING TOGETHER, SHARING RESOURCES &amp; EATING FROM THE SAME POT.]</t>
  </si>
  <si>
    <t>[NOTE : LE MÉNAGE EST COMPOSÉ DE TOUTES LES PERSONNES VIVANT ENSEMBLE, PARTAGEANT LEURS RESSOURCES ET MANGEANT DANS UNE MARMITE COMMUNE.]</t>
  </si>
  <si>
    <t>autocomplete</t>
  </si>
  <si>
    <t>adm1_name</t>
  </si>
  <si>
    <t>jr:choice-name(${adm1_pcode},'${adm1_pcode}')</t>
  </si>
  <si>
    <t>select_one admin2</t>
  </si>
  <si>
    <t xml:space="preserve">adm2_pcode </t>
  </si>
  <si>
    <r>
      <t xml:space="preserve">Currently, in which </t>
    </r>
    <r>
      <rPr>
        <b/>
        <sz val="11"/>
        <color rgb="FF7030A0"/>
        <rFont val="Calibri"/>
        <family val="2"/>
        <scheme val="minor"/>
      </rPr>
      <t xml:space="preserve">#ADMIN2# </t>
    </r>
    <r>
      <rPr>
        <sz val="11"/>
        <color theme="1"/>
        <rFont val="Calibri"/>
        <family val="2"/>
        <scheme val="minor"/>
      </rPr>
      <t>does your household reside?</t>
    </r>
  </si>
  <si>
    <r>
      <t xml:space="preserve">Actuellement, dans quel </t>
    </r>
    <r>
      <rPr>
        <sz val="11"/>
        <color rgb="FF7030A0"/>
        <rFont val="Calibri (Body)"/>
      </rPr>
      <t>#</t>
    </r>
    <r>
      <rPr>
        <b/>
        <sz val="11"/>
        <color rgb="FF7030A0"/>
        <rFont val="Calibri (Body)"/>
      </rPr>
      <t>A</t>
    </r>
    <r>
      <rPr>
        <b/>
        <sz val="11"/>
        <color rgb="FF7030A0"/>
        <rFont val="Calibri"/>
        <family val="2"/>
        <scheme val="minor"/>
      </rPr>
      <t>DMIN2#</t>
    </r>
    <r>
      <rPr>
        <sz val="11"/>
        <rFont val="Calibri"/>
        <family val="2"/>
        <scheme val="minor"/>
      </rPr>
      <t xml:space="preserve"> votre ménage vit-il ?</t>
    </r>
  </si>
  <si>
    <t>my_filter_admin=${adm1_pcode}</t>
  </si>
  <si>
    <t>adm2_name</t>
  </si>
  <si>
    <t>jr:choice-name(${adm2_pcode},'${adm2_pcode}')</t>
  </si>
  <si>
    <t>select_one agricactivity</t>
  </si>
  <si>
    <t>hh_agricactivity</t>
  </si>
  <si>
    <t>Has anybody in your household produced crops or livestock for household consumption or for sale in the past 12 months, including household members currently away for transhumance?</t>
  </si>
  <si>
    <t>Est-ce que quelqu'un dans votre ménage a produit des cultures ou du bétail pour la consommation du ménage ou pour la vente au cours des 12 derniers mois, y compris des membres du ménage actuellement partis pour la transhumance ?</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</si>
  <si>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</si>
  <si>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</si>
  <si>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select_one yes_no</t>
  </si>
  <si>
    <t>hh_fish</t>
  </si>
  <si>
    <t xml:space="preserve">Has anybody in your household been engaged in aquatic production [fish catch or aquaculture farming] for household consumption or for sales in the past 12 months? </t>
  </si>
  <si>
    <t>Quelqu'un dans votre ménage a-t-il été impliqué dans la production aquatique [prise de poisson ou aquaculture] pour la consommation du ménage ou pour la vente au cours des 12 derniers mois?</t>
  </si>
  <si>
    <t>[HINT FOR PROBING: It should not include sports fishing. It should be about production of aquatic products [fish catch or aquaculture farming] for household consumption or sales.]</t>
  </si>
  <si>
    <t>[CONSEIL LORS DU SONDAGE : cette question et réponse ne devraient pas inclure la pêche sportive. Il s'agit plutôt de la production de produits aquatiques [prise de poisson ou aquaculture] pour la consommation ou la vente des ménages.]</t>
  </si>
  <si>
    <t>end_group</t>
  </si>
  <si>
    <t>generalInfo</t>
  </si>
  <si>
    <t>GENERAL INFORMATION</t>
  </si>
  <si>
    <t>INFORMATIONS GÉNÉRALES</t>
  </si>
  <si>
    <t>${resp_agree} = '1' and ${hh_agricactivity} != '5' and ${hh_agricactivity} != '6'</t>
  </si>
  <si>
    <t>resp_id</t>
  </si>
  <si>
    <t>Are you the head of household?</t>
  </si>
  <si>
    <t>Êtes-vous le chef de ménage ?</t>
  </si>
  <si>
    <t>hh_gender</t>
  </si>
  <si>
    <t xml:space="preserve">Is the head of your household male or female? </t>
  </si>
  <si>
    <t>Le chef de votre ménage est-il un homme ou une femme ?</t>
  </si>
  <si>
    <t>${resp_id} != '1'</t>
  </si>
  <si>
    <t>select_one edu</t>
  </si>
  <si>
    <t>hh_education</t>
  </si>
  <si>
    <t xml:space="preserve">What is the educational level attained by the head of household? </t>
  </si>
  <si>
    <t>Quel est le niveau d'éducation du chef de votre ménage ?</t>
  </si>
  <si>
    <t>select_one water</t>
  </si>
  <si>
    <t>hh_wealth_water</t>
  </si>
  <si>
    <t>Where does the water that you drink at home come from?</t>
  </si>
  <si>
    <t>Où procurez-vous habituellement l'eau que vous buvez dans votre foyer ?</t>
  </si>
  <si>
    <t>select_one toilet</t>
  </si>
  <si>
    <t>hh_wealth_toilet</t>
  </si>
  <si>
    <t>Where do household members typically go to use the toilet?</t>
  </si>
  <si>
    <t>Quel genre de toilettes les membres de votre ménage utilisent-ils?</t>
  </si>
  <si>
    <t>select_one light</t>
  </si>
  <si>
    <t>hh_wealth_light</t>
  </si>
  <si>
    <t>What is the main source of light in your dwelling?</t>
  </si>
  <si>
    <t>Quelle est la principale source de lumière de votre logement ?</t>
  </si>
  <si>
    <t>select_one residence</t>
  </si>
  <si>
    <t>hh_residencetype</t>
  </si>
  <si>
    <t>Which in the following types of residence best describes your residence?</t>
  </si>
  <si>
    <t>Parmi les propositions suivantes, laquelle décrit le mieux votre résidence ?</t>
  </si>
  <si>
    <t>[INSTRUCTIONS: READ OUT THE OPTIONS.]
[HINT: IF RESPONDENT IS ONLY AWAY FROM THE HOUSEHOLD FOR SHORT SEASONAL WORK (&lt;6 MONTHS) OR TRANSHUMANCE, MAKE SURE TO REFER TO THEIR HOUSEHOLD BACK WHERE THEY TYPICALLY ARE LOCATED.]</t>
  </si>
  <si>
    <t>[OPÉRATEUR/OPÉRATRICE: LIRE LES OPTIONS, RÉPONSE UNIQUE].
[CONSEIL: SI LA PERSONNE INTERROGÉE N'EST ÉLOIGNÉE DU FOYER QUE POUR UN TRAVAIL SAISONNIER DE COURTE DURÉE (&lt;6 MOIS) OU POUR LA TRANSHUMANCE,  FAIRE RÉFÉRENCE AU FOYER DE RETOUR OÙ ELLE VIT HABITUELLEMENT].</t>
  </si>
  <si>
    <t>hh_size</t>
  </si>
  <si>
    <t>How many people are part of the household?</t>
  </si>
  <si>
    <t>De combien de personnes est composé votre ménage ?</t>
  </si>
  <si>
    <t>[INSTRUCTIONS: RECORD NUMBER OF MEMBERS IN HOUSEHOLD. ENTER 888 FOR DON'T KNOW &amp; 999 FOR REFUSED.]
[HINT: TO BE A PART OF THE SAME HOUSEHOLD, MEMBERS MUST LIVE UNDER THE SAME ROOF, SHARE THE SAME RESOURCES &amp; EAT FROM THE SAME POT.]</t>
  </si>
  <si>
    <t>[OPÉRATEUR/OPÉRATRICE: ENREGISTRER LE NOMBRE DE MEMBRES DU MÉNAGE. ENTRER 888 POUR «NE SAIT PAS» ET 999 POUR «REFUSÉ».]
[CONSEIL: POUR FAIRE PARTIE D'UN MÊME MÉNAGE, LES MEMBRES DOIVENT VIVRE ENSEMBLE, METTRE EN COMMUN LEURS RESSOURCES ET PARTAGER LEURS REPAS.]</t>
  </si>
  <si>
    <t xml:space="preserve">(. &gt;= 1 and . &lt;= 50) or . = 888 or . = 999 </t>
  </si>
  <si>
    <t>select_multiple asset_prod</t>
  </si>
  <si>
    <t>hh_asset_prod</t>
  </si>
  <si>
    <t xml:space="preserve">Does your household own any of the following productive assets? </t>
  </si>
  <si>
    <t>Votre ménage possède-t-il l'un des actifs productifs suivants ?</t>
  </si>
  <si>
    <t>[INSTRUCTIONS: MULTIPLE RESPONSES POSSIBLE. READ ANSWER OPTIONS OUT LOUD.]</t>
  </si>
  <si>
    <t>[OPÉRATEUR / OPÉRATRICE : PLUSIEURS RÉPONSES POSSIBLES. LIRE LES OPTIONS DE RÉPONSE À HAUTE VOIX.]</t>
  </si>
  <si>
    <t>if(selected(.,'none') or selected(.,'dk') or selected(.,'ref'), count-selected(.) = 1, count-selected(.) &gt;= 1)</t>
  </si>
  <si>
    <t>select_multiple asset_transp</t>
  </si>
  <si>
    <t>hh_asset_transp</t>
  </si>
  <si>
    <t xml:space="preserve">Do you or any member of household own any of the following transportation assets? </t>
  </si>
  <si>
    <t>Est-ce que vous ou un membre de votre ménage possède un des véhicules suivants ?</t>
  </si>
  <si>
    <t>select_one maritalstat</t>
  </si>
  <si>
    <t>hh_maritalstat</t>
  </si>
  <si>
    <t xml:space="preserve">What is the head of household’s current marital status? </t>
  </si>
  <si>
    <t>Quel est le status marital actuel du chef de ménage ?</t>
  </si>
  <si>
    <t>select_one agegroup</t>
  </si>
  <si>
    <t>hh_age</t>
  </si>
  <si>
    <t xml:space="preserve">How old is the head of household? </t>
  </si>
  <si>
    <t>Quel âge a le chef de famille ?</t>
  </si>
  <si>
    <t>Income_Shocks_group</t>
  </si>
  <si>
    <t>INCOME SOURCES, LIVELIHOODS AND SHOCKS</t>
  </si>
  <si>
    <t>SOURCES DE REVENUS, MOYENS DE SUBSISTANCE ET CHOCS</t>
  </si>
  <si>
    <t>select_one incomesource1</t>
  </si>
  <si>
    <t>income_main</t>
  </si>
  <si>
    <t>What was your household's main source of income in the past 3 months?</t>
  </si>
  <si>
    <t>Quelle était la principale source de revenu de votre ménage au cours des trois derniers mois ?</t>
  </si>
  <si>
    <t>[INSTRUCTIONS: REFUSED OPTIONS SHOULD BE AVOIDED AS MUCH AS POSSIBLE.]</t>
  </si>
  <si>
    <t>[INSTRUCTIONS :  L'OPTION «REFUSÉ» DOIT ÊTRE, AUTANT QUE POSSIBLE, ÉVITÉE.]</t>
  </si>
  <si>
    <t>minimal</t>
  </si>
  <si>
    <t>incomemain</t>
  </si>
  <si>
    <t>jr:choice-name(${income_main},'${income_main}')</t>
  </si>
  <si>
    <t>income_main_crop_check</t>
  </si>
  <si>
    <t>Are the crops sold also produced by you or anyone in your household?</t>
  </si>
  <si>
    <t>Les cultures vendues sont-elles également produites par vous ou quelqu'un de votre ménage?</t>
  </si>
  <si>
    <t xml:space="preserve">${income_main} = '1' or ${income_main} = '2' or ${income_main} = '3' </t>
  </si>
  <si>
    <t>income_main_ls_check</t>
  </si>
  <si>
    <t>Are the livestock or livestock products sold also produced by you or anyone in your household?</t>
  </si>
  <si>
    <t>Le bétail ou les produits du bétail vendus sont-ils également produits par vous ou quelqu'un de votre ménage?</t>
  </si>
  <si>
    <t>${income_main} = '4'</t>
  </si>
  <si>
    <t>income_main_fish_check</t>
  </si>
  <si>
    <t>Are the fish or aquatic products sold also captured/harvested by you or anyone in your household?</t>
  </si>
  <si>
    <t>Le poisson ou les produits aquatiques vendus sont-ils également capturés/récoltés par vous ou un membre de votre ménage?</t>
  </si>
  <si>
    <t>${income_main} = '6'</t>
  </si>
  <si>
    <t>decimal</t>
  </si>
  <si>
    <t>income_main_amount</t>
  </si>
  <si>
    <r>
      <t xml:space="preserve">How much was earned (in </t>
    </r>
    <r>
      <rPr>
        <b/>
        <sz val="11"/>
        <color rgb="FF7030A0"/>
        <rFont val="Calibri"/>
        <family val="2"/>
        <scheme val="minor"/>
      </rPr>
      <t>#currency#</t>
    </r>
    <r>
      <rPr>
        <sz val="11"/>
        <color theme="0" tint="-0.34998626667073579"/>
        <rFont val="Calibri"/>
        <family val="2"/>
        <scheme val="minor"/>
      </rPr>
      <t>) from your main income source, ${incomemain}, in the past 3 months ?</t>
    </r>
  </si>
  <si>
    <r>
      <rPr>
        <sz val="11"/>
        <color theme="0" tint="-0.34998626667073579"/>
        <rFont val="Calibri"/>
        <family val="2"/>
        <scheme val="minor"/>
      </rPr>
      <t>Quelle somme (en</t>
    </r>
    <r>
      <rPr>
        <sz val="11"/>
        <rFont val="Calibri"/>
        <family val="2"/>
        <scheme val="minor"/>
      </rPr>
      <t xml:space="preserve"> </t>
    </r>
    <r>
      <rPr>
        <b/>
        <sz val="11"/>
        <color rgb="FF7030A0"/>
        <rFont val="Calibri"/>
        <family val="2"/>
        <scheme val="minor"/>
      </rPr>
      <t>#currency#</t>
    </r>
    <r>
      <rPr>
        <sz val="11"/>
        <color theme="0" tint="-0.34998626667073579"/>
        <rFont val="Calibri"/>
        <family val="2"/>
        <scheme val="minor"/>
      </rPr>
      <t xml:space="preserve"> a rapporté votre principale source de revenu, ${incomemain}, au cours des trois derniers mois ?</t>
    </r>
  </si>
  <si>
    <t>[INSTRUCTIONS: MAKE SURE THE INFORMATION IS RECORDED IN THE CORRECT CURRENCY. ENTER 888 FOR DON'T KNOW AND 999 FOR REFUSED.]</t>
  </si>
  <si>
    <t>[INSTRUCTIONS : VÉRIFIER QUE LE MONTANT EST ENREGISTRÉ DANS LA BONNE DEVISE. SAISIR 888 POUR «NE SAIT PAS» ET 999 POUR «REFUSÉ».]</t>
  </si>
  <si>
    <r>
      <t xml:space="preserve">. &gt; </t>
    </r>
    <r>
      <rPr>
        <b/>
        <sz val="11"/>
        <color rgb="FF7030A0"/>
        <rFont val="Calibri"/>
        <family val="2"/>
        <scheme val="minor"/>
      </rPr>
      <t>#MIN AMOUNT#</t>
    </r>
    <r>
      <rPr>
        <sz val="11"/>
        <color theme="0" tint="-0.34998626667073579"/>
        <rFont val="Calibri"/>
        <family val="2"/>
        <scheme val="minor"/>
      </rPr>
      <t xml:space="preserve"> or . = 888 or . = 999</t>
    </r>
  </si>
  <si>
    <t>${income_main} != '19' and ${income_main} != '20'</t>
  </si>
  <si>
    <t>select_one continue</t>
  </si>
  <si>
    <t>income_main_amount_conf</t>
  </si>
  <si>
    <t>Can you confirm the amount of income you just stated is correct?</t>
  </si>
  <si>
    <t>Pouvez-vous confirmer que le montant que vous venez de déclarer est correct ?</t>
  </si>
  <si>
    <r>
      <t xml:space="preserve">[INSTRUCTIONS: IF THE RESPONDENT CONFIRMS THAT THE INCOME AMOUNT EARNED FROM THIS INCOME SOURCE OVER THE PAST 3 MONTH IS INDEED OVER </t>
    </r>
    <r>
      <rPr>
        <b/>
        <sz val="11"/>
        <color rgb="FF7030A0"/>
        <rFont val="Calibri (Body)"/>
      </rPr>
      <t>#THRESHOLD#</t>
    </r>
    <r>
      <rPr>
        <sz val="11"/>
        <color theme="0" tint="-0.34998626667073579"/>
        <rFont val="Calibri"/>
        <family val="2"/>
        <scheme val="minor"/>
      </rPr>
      <t>, CLICK ON CONTINUE. OTHERWISE, GO BACK AND CHANGE THE AMOUNT ENTERED.]</t>
    </r>
  </si>
  <si>
    <r>
      <t xml:space="preserve">[INSTRUCTIONS :  SI LE RÉPONDANT CONFIRME QUE LE MONTANT ISSU DE CETTE SOURCE DE REVENU AU COURS DES TROIS DERNIERS MOIS EST BIEN SUPÉRIEUR AU </t>
    </r>
    <r>
      <rPr>
        <b/>
        <sz val="11"/>
        <color rgb="FF7030A0"/>
        <rFont val="Calibri (Body)"/>
      </rPr>
      <t>#THRESHOLD#</t>
    </r>
    <r>
      <rPr>
        <sz val="11"/>
        <color theme="0" tint="-0.34998626667073579"/>
        <rFont val="Calibri"/>
        <family val="2"/>
        <scheme val="minor"/>
      </rPr>
      <t>, CLIQUER SUR CONTINUER. SINON, REVENIR EN ARRIÈRE ET MODIFIER LE MONTANT SAISI.]</t>
    </r>
  </si>
  <si>
    <r>
      <t xml:space="preserve">${income_main_amount} &gt; </t>
    </r>
    <r>
      <rPr>
        <b/>
        <sz val="11"/>
        <color rgb="FF7030A0"/>
        <rFont val="Calibri"/>
        <family val="2"/>
        <scheme val="minor"/>
      </rPr>
      <t>#THRESHOLD#</t>
    </r>
    <r>
      <rPr>
        <sz val="11"/>
        <color theme="0" tint="-0.34998626667073579"/>
        <rFont val="Calibri"/>
        <family val="2"/>
        <scheme val="minor"/>
      </rPr>
      <t xml:space="preserve"> and (${income_main} != '19' and ${income_main} != '20') </t>
    </r>
  </si>
  <si>
    <t>select_one gender_inc_1</t>
  </si>
  <si>
    <t>income_main_gender</t>
  </si>
  <si>
    <t xml:space="preserve">What is the gender of the household member(s) generating income from this source? </t>
  </si>
  <si>
    <t xml:space="preserve">Quel est le sexe du ou des membres qui génèrent des revenus de cette source ? </t>
  </si>
  <si>
    <t>select_one gender_inc_2</t>
  </si>
  <si>
    <t>income_main_control</t>
  </si>
  <si>
    <t xml:space="preserve">Who controls the revenue that is earned from this source? </t>
  </si>
  <si>
    <t xml:space="preserve">Qui contrôle les revenus qui proviennent de cette source? </t>
  </si>
  <si>
    <t>select_one change</t>
  </si>
  <si>
    <t>income_main_comp</t>
  </si>
  <si>
    <r>
      <t xml:space="preserve">Has your household's income from ${incomemain} changed in the last 3 months compared to the same period of </t>
    </r>
    <r>
      <rPr>
        <b/>
        <sz val="11"/>
        <color rgb="FF7030A0"/>
        <rFont val="Calibri (Body)"/>
      </rPr>
      <t>#reference year#</t>
    </r>
    <r>
      <rPr>
        <sz val="11"/>
        <rFont val="Calibri (Body)"/>
      </rPr>
      <t>?</t>
    </r>
  </si>
  <si>
    <r>
      <t xml:space="preserve">Le revenu de votre ménage provenant de ${incomemain} a-t-il changé au cours des trois derniers mois par rapport à la même periode de </t>
    </r>
    <r>
      <rPr>
        <b/>
        <sz val="11"/>
        <color rgb="FF7030A0"/>
        <rFont val="Calibri (Body)"/>
      </rPr>
      <t xml:space="preserve">#reference year FR# </t>
    </r>
    <r>
      <rPr>
        <sz val="11"/>
        <rFont val="Calibri"/>
        <family val="2"/>
        <scheme val="minor"/>
      </rPr>
      <t>?</t>
    </r>
  </si>
  <si>
    <t>select_one incomesource2</t>
  </si>
  <si>
    <t>income_sec</t>
  </si>
  <si>
    <t>What was your household's second most important source of income in the past 3 months?</t>
  </si>
  <si>
    <t>Quelle était la deuxième source principale de revenu de votre ménage au cours des trois derniers mois ?</t>
  </si>
  <si>
    <t>[INSTRUCTIONS: DON'T KNOW AND REFUSED OPTIONS SHOULD BE AVOIDED AS MUCH AS POSSIBLE.]</t>
  </si>
  <si>
    <t>[INSTRUCTIONS :  LES OPTIONS «NE SAIT PAS» ET «REFUSÉ» DOIVENT ÊTRE ÉVITÉES AUTANT QUE POSSIBLE].</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</si>
  <si>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</si>
  <si>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</si>
  <si>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</si>
  <si>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</si>
  <si>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</si>
  <si>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</si>
  <si>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</si>
  <si>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</si>
  <si>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${income_sec} = '6'</t>
  </si>
  <si>
    <t>income_sec_amount</t>
  </si>
  <si>
    <r>
      <t xml:space="preserve">How much was earned (in </t>
    </r>
    <r>
      <rPr>
        <b/>
        <sz val="11"/>
        <color rgb="FF7030A0"/>
        <rFont val="Calibri"/>
        <family val="2"/>
        <scheme val="minor"/>
      </rPr>
      <t>#currency#</t>
    </r>
    <r>
      <rPr>
        <sz val="11"/>
        <color theme="0" tint="-0.34998626667073579"/>
        <rFont val="Calibri"/>
        <family val="2"/>
        <scheme val="minor"/>
      </rPr>
      <t>) from your second main income source, ${incomesec}, in the past 3 months ?</t>
    </r>
  </si>
  <si>
    <r>
      <rPr>
        <sz val="11"/>
        <color theme="0" tint="-0.34998626667073579"/>
        <rFont val="Calibri"/>
        <family val="2"/>
        <scheme val="minor"/>
      </rPr>
      <t xml:space="preserve">Quelle somme (en </t>
    </r>
    <r>
      <rPr>
        <b/>
        <sz val="11"/>
        <color rgb="FF7030A0"/>
        <rFont val="Calibri"/>
        <family val="2"/>
        <scheme val="minor"/>
      </rPr>
      <t>#currency#</t>
    </r>
    <r>
      <rPr>
        <sz val="11"/>
        <color theme="0" tint="-0.34998626667073579"/>
        <rFont val="Calibri"/>
        <family val="2"/>
        <scheme val="minor"/>
      </rPr>
      <t>) a rapporté votre deuxième source de revenu, ${incomesec}, au cours des trois derniers mois ?</t>
    </r>
  </si>
  <si>
    <t>[INSTRUCTIONS :  VÉRIFIER QUE LE MONTANT EST ENREGISTRÉ DANS LA BONNE DEVISE. SAISIR 888 POUR «NE SAIT PAS» ET 999 POUR «REFUSÉ».]</t>
  </si>
  <si>
    <t xml:space="preserve">${income_main} != '19' and ${income_main} != '20' and ${income_sec} != '19' and ${income_sec} != '20' and ${income_sec} != '21' </t>
  </si>
  <si>
    <t>income_sec_amount_conf</t>
  </si>
  <si>
    <t>[INSTRUCTIONS: IF THE RESPONDENT CONFIRMS THAT THE INCOME AMOUNT EARNED FROM THIS INCOME SOURCE OVER THE PAST 3 MONTH IS INDEED OVER #THRESHOLD#, CLICK ON CONTINUE. OTHERWISE, GO BACK AND CHANGE THE AMOUNT ENTERED.]</t>
  </si>
  <si>
    <r>
      <t xml:space="preserve">${income_sec_amount} &gt; </t>
    </r>
    <r>
      <rPr>
        <b/>
        <sz val="11"/>
        <color rgb="FF7030A0"/>
        <rFont val="Calibri"/>
        <family val="2"/>
        <scheme val="minor"/>
      </rPr>
      <t>#THRESHOLD#</t>
    </r>
    <r>
      <rPr>
        <sz val="11"/>
        <color theme="0" tint="-0.34998626667073579"/>
        <rFont val="Calibri"/>
        <family val="2"/>
        <scheme val="minor"/>
      </rPr>
      <t xml:space="preserve"> and (${income_main} != '19' and ${income_main} != '20' and ${income_sec} != '19' and ${income_sec} != '20' and ${income_sec} != '21')</t>
    </r>
  </si>
  <si>
    <t>income_sec_gender</t>
  </si>
  <si>
    <t>income_sec_control</t>
  </si>
  <si>
    <t>income_sec_comp</t>
  </si>
  <si>
    <r>
      <t xml:space="preserve">Has your household's income from ${incomesec} changed in the last 3 months compared to the same period of </t>
    </r>
    <r>
      <rPr>
        <b/>
        <sz val="11"/>
        <color rgb="FF7030A0"/>
        <rFont val="Calibri (Body)"/>
      </rPr>
      <t>#reference year#</t>
    </r>
    <r>
      <rPr>
        <sz val="11"/>
        <rFont val="Calibri"/>
        <family val="2"/>
        <scheme val="minor"/>
      </rPr>
      <t>?</t>
    </r>
  </si>
  <si>
    <r>
      <t xml:space="preserve">Le revenu de votre ménage provenant de ${incomesec} a-t-il changé au cours des trois derniers mois par rapport à la même période de </t>
    </r>
    <r>
      <rPr>
        <b/>
        <sz val="11"/>
        <color rgb="FF7030A0"/>
        <rFont val="Calibri (Body)"/>
      </rPr>
      <t xml:space="preserve">#reference year FR# </t>
    </r>
    <r>
      <rPr>
        <sz val="11"/>
        <rFont val="Calibri"/>
        <family val="2"/>
        <scheme val="minor"/>
      </rPr>
      <t>?</t>
    </r>
  </si>
  <si>
    <t>select_one incomesource3</t>
  </si>
  <si>
    <t>income_third</t>
  </si>
  <si>
    <t>What was your household's third most important source of income in the past 3 months?</t>
  </si>
  <si>
    <t>Quelle était la troisième source principale de revenu de votre ménage au cours des trois derniers mois ?</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</si>
  <si>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</si>
  <si>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</si>
  <si>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</si>
  <si>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</si>
  <si>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</si>
  <si>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</si>
  <si>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</si>
  <si>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</si>
  <si>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</si>
  <si>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income_third_amount</t>
  </si>
  <si>
    <r>
      <t xml:space="preserve">How much was earned (in </t>
    </r>
    <r>
      <rPr>
        <b/>
        <sz val="11"/>
        <color rgb="FF7030A0"/>
        <rFont val="Calibri"/>
        <family val="2"/>
        <scheme val="minor"/>
      </rPr>
      <t>#currency#</t>
    </r>
    <r>
      <rPr>
        <sz val="11"/>
        <color theme="0" tint="-0.34998626667073579"/>
        <rFont val="Calibri"/>
        <family val="2"/>
        <scheme val="minor"/>
      </rPr>
      <t>) from your third main income source, ${incomethird}, in the past 3 months ?</t>
    </r>
  </si>
  <si>
    <r>
      <rPr>
        <sz val="11"/>
        <color theme="0" tint="-0.34998626667073579"/>
        <rFont val="Calibri"/>
        <family val="2"/>
        <scheme val="minor"/>
      </rPr>
      <t xml:space="preserve">Quelle somme (en </t>
    </r>
    <r>
      <rPr>
        <b/>
        <sz val="11"/>
        <color rgb="FF7030A0"/>
        <rFont val="Calibri"/>
        <family val="2"/>
        <scheme val="minor"/>
      </rPr>
      <t>#currency#</t>
    </r>
    <r>
      <rPr>
        <sz val="11"/>
        <color theme="0" tint="-0.34998626667073579"/>
        <rFont val="Calibri"/>
        <family val="2"/>
        <scheme val="minor"/>
      </rPr>
      <t>) a rapporté votre troisième source de revenu, ${incomethird}, au cours des trois derniers mois ?</t>
    </r>
  </si>
  <si>
    <t xml:space="preserve">${income_main} != '19' and ${income_main} != '20' and ${income_sec} != '19' and ${income_sec} != '20' and ${income_sec} != '21' and ${income_third} != '19' and ${income_third} != '20' and ${income_third} != '21' </t>
  </si>
  <si>
    <t>income_third_amount_conf</t>
  </si>
  <si>
    <r>
      <t xml:space="preserve">${income_third_amount} &gt; </t>
    </r>
    <r>
      <rPr>
        <b/>
        <sz val="11"/>
        <color rgb="FF7030A0"/>
        <rFont val="Calibri"/>
        <family val="2"/>
        <scheme val="minor"/>
      </rPr>
      <t>#THRESHOLD#</t>
    </r>
    <r>
      <rPr>
        <sz val="11"/>
        <color rgb="FFA6A6A6"/>
        <rFont val="Calibri"/>
        <family val="2"/>
        <scheme val="minor"/>
      </rPr>
      <t xml:space="preserve"> and (${income_main} != '19' and ${income_main} != '20' and ${income_sec} != '19' and ${income_sec} != '20' and ${income_sec} != '21' and ${income_third} != '19' and ${income_third} != '20' and ${income_third} != '21' )</t>
    </r>
  </si>
  <si>
    <t>income_third_gender</t>
  </si>
  <si>
    <t>income_third_control</t>
  </si>
  <si>
    <t>income_third_comp</t>
  </si>
  <si>
    <r>
      <t xml:space="preserve">Has your household's income from ${incomethird} changed in the last 3 months compared to the same period of </t>
    </r>
    <r>
      <rPr>
        <b/>
        <sz val="11"/>
        <color rgb="FF7030A0"/>
        <rFont val="Calibri (Body)"/>
      </rPr>
      <t>#reference year#</t>
    </r>
    <r>
      <rPr>
        <sz val="11"/>
        <rFont val="Calibri"/>
        <family val="2"/>
        <scheme val="minor"/>
      </rPr>
      <t>?</t>
    </r>
  </si>
  <si>
    <r>
      <t xml:space="preserve">Le revenu de votre ménage provenant de ${incomethird} a-t-il changé au cours des trois derniers mois par rapport à la même période de </t>
    </r>
    <r>
      <rPr>
        <b/>
        <sz val="11"/>
        <color rgb="FF7030A0"/>
        <rFont val="Calibri (Body)"/>
      </rPr>
      <t xml:space="preserve">#reference year FR# </t>
    </r>
    <r>
      <rPr>
        <sz val="11"/>
        <rFont val="Calibri"/>
        <family val="2"/>
        <scheme val="minor"/>
      </rPr>
      <t>?</t>
    </r>
  </si>
  <si>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</si>
  <si>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</si>
  <si>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</si>
  <si>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</si>
  <si>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[INSTRUCTIONS: SELECT RELEVANT SHOCKS EXPERIENCED BY THE HOUSEHOLD. MULTIPLE RESPONSES POSSIBLE. REFER TO ECONOMIC SHOCKS, CROP AND LIVESTOCK SHOCKS, INTRA-HOUSEHOLD SHOCK, NATURAL HAZARDS AND HUMAN-INDUCED HAZARDS.]</t>
  </si>
  <si>
    <t>[INSTRUCTIONS :  SÉLECTIONNER LES CHOCS PERTINENTS SUBIS PAR LE MÉNAGE. PLUSIEURS RÉPONSES POSSIBLES. SE RÉFÉRER AUX CHOCS ÉCONOMIQUES, AUX CHOCS TOUCHANT LES RÉCOLTES ET LE BÉTAIL, AUX CHOCS INTRA-MÉNAGE, AUX RISQUES NATURELS ET AUX RISQUES D'ORIGINE HUMAINE.]</t>
  </si>
  <si>
    <t>if(selected(.,'noshock') or selected(.,'dk') or selected(.,'ref'), count-selected(.) = 1, count-selected(.) &gt;= 1)</t>
  </si>
  <si>
    <t>hh_explanation</t>
  </si>
  <si>
    <r>
      <t xml:space="preserve">If the household was affected by a major recent shock </t>
    </r>
    <r>
      <rPr>
        <sz val="11"/>
        <color theme="0" tint="-0.34998626667073579"/>
        <rFont val="Calibri (Body)"/>
      </rPr>
      <t>as indicated in</t>
    </r>
    <r>
      <rPr>
        <sz val="11"/>
        <color theme="0" tint="-0.34998626667073579"/>
        <rFont val="Calibri"/>
        <family val="2"/>
        <scheme val="minor"/>
      </rPr>
      <t xml:space="preserve"> this assessment </t>
    </r>
    <r>
      <rPr>
        <sz val="11"/>
        <color theme="0" tint="-0.34998626667073579"/>
        <rFont val="Calibri (Body)"/>
      </rPr>
      <t>[</t>
    </r>
    <r>
      <rPr>
        <sz val="11"/>
        <color theme="0" tint="-0.34998626667073579"/>
        <rFont val="Calibri"/>
        <family val="2"/>
        <scheme val="minor"/>
      </rPr>
      <t>for example, an earthquake</t>
    </r>
    <r>
      <rPr>
        <sz val="11"/>
        <color theme="0" tint="-0.34998626667073579"/>
        <rFont val="Calibri (Body)"/>
      </rPr>
      <t>]</t>
    </r>
    <r>
      <rPr>
        <sz val="11"/>
        <color theme="0" tint="-0.34998626667073579"/>
        <rFont val="Calibri"/>
        <family val="2"/>
        <scheme val="minor"/>
      </rPr>
      <t>, what</t>
    </r>
    <r>
      <rPr>
        <sz val="11"/>
        <color theme="0" tint="-0.34998626667073579"/>
        <rFont val="Calibri (Body)"/>
      </rPr>
      <t xml:space="preserve"> </t>
    </r>
    <r>
      <rPr>
        <sz val="11"/>
        <color theme="0" tint="-0.34998626667073579"/>
        <rFont val="Calibri"/>
        <family val="2"/>
        <scheme val="minor"/>
      </rPr>
      <t xml:space="preserve">are the </t>
    </r>
    <r>
      <rPr>
        <sz val="11"/>
        <color theme="0" tint="-0.34998626667073579"/>
        <rFont val="Calibri (Body)"/>
      </rPr>
      <t>[expected]</t>
    </r>
    <r>
      <rPr>
        <sz val="11"/>
        <color theme="0" tint="-0.34998626667073579"/>
        <rFont val="Calibri"/>
        <family val="2"/>
        <scheme val="minor"/>
      </rPr>
      <t xml:space="preserve"> consequences for your household, in your own words?</t>
    </r>
  </si>
  <si>
    <t>Si votre ménage a récemment été concerné par un choc majeur mentionné dans cette évaluation [par exemple, un tremblement de terre], quelles en sont, selon vous et dans vos propres mots, les conséquences [déjà ressenties ou attendues] pour votre ménage?</t>
  </si>
  <si>
    <t>[INSTRUCTIONS: RECORD IN FEW WORDS THE MAIN CONSEQUENCE OF THE RECENT SHOCKS. ENTER 888 FOR DON'T KNOW AND 999 FOR REFUSED.]</t>
  </si>
  <si>
    <t>[INSTRUCTIONS :  SAISIR EN QUELQUES MOTS LA PRINCIPALE CONSÉQUENCE DES RÉCENTS CHOCS. SAISIR 888 POUR «NE SAIT PAS» ET 999 POUR «REFUSÉ»].</t>
  </si>
  <si>
    <t>${shock} != 'noshock' and ${shock} != 'dk' and ${shock} != 'ref'</t>
  </si>
  <si>
    <t>select_multiple covidmeasures</t>
  </si>
  <si>
    <t>covid</t>
  </si>
  <si>
    <t>Have you or anyone in your household been affected by movement restrictions or social distancing measures aimed at containing COVID-19 in the last 3 months?</t>
  </si>
  <si>
    <t>Au cours des trois derniers mois, avez-vous, ou un membre de votre ménage, été touché par des restrictions de mouvement ou des mesures de distanciation sociale visant à contenir la covid-19 ?</t>
  </si>
  <si>
    <t>[INSTRUCTIONS: MULTIPLE RESPONSES POSSIBLE.]</t>
  </si>
  <si>
    <t>[INSTRUCTIONS :  PLUSIEURS RÉPONSES POSSIBLES.]</t>
  </si>
  <si>
    <t>covid_otherspecify</t>
  </si>
  <si>
    <t>If other, specify.</t>
  </si>
  <si>
    <t>Si autre, précisez.</t>
  </si>
  <si>
    <t>[INSTRUCTIONS: RECORD THE OPEN RESPONSE GIVEN IN FEW WORDS. ENTER 888 FOR DON'T KNOW AND 999 FOR REFUSED]</t>
  </si>
  <si>
    <t>[INSTRUCTIONS :  DÉCRIVEZ LA RÉPONSE DONNÉE PAR LE RÉPONDANT EN QUELQUES MOTS. ENTREZ 888 POUR NE SAIT PAS ET 999 POUR REFUS.]</t>
  </si>
  <si>
    <t>selected(${covid}, 'other')</t>
  </si>
  <si>
    <t>CropProduction_group</t>
  </si>
  <si>
    <t>CROP PRODUCTION</t>
  </si>
  <si>
    <t>PRODUCTION DE CULTURES</t>
  </si>
  <si>
    <t>${resp_agree} = '1' and (${hh_agricactivity}='1' or ${hh_agricactivity} = '3' or ${income_main_crop_check}='1' or ${income_sec_crop_check}='1' or ${income_third_crop_check}='1')</t>
  </si>
  <si>
    <t>crp_intro</t>
  </si>
  <si>
    <r>
      <t xml:space="preserve">We will now ask you some questions about crop production which apply to you and anyone in your household that is involved in crop production or sales. All questions refer to the crops grown during </t>
    </r>
    <r>
      <rPr>
        <b/>
        <sz val="11"/>
        <color rgb="FF7030A0"/>
        <rFont val="Calibri"/>
        <family val="2"/>
        <scheme val="minor"/>
      </rPr>
      <t>#season#</t>
    </r>
    <r>
      <rPr>
        <sz val="11"/>
        <color theme="1"/>
        <rFont val="Calibri"/>
        <family val="2"/>
        <scheme val="minor"/>
      </rPr>
      <t>.</t>
    </r>
  </si>
  <si>
    <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t>
    </r>
    <r>
      <rPr>
        <b/>
        <sz val="11"/>
        <color rgb="FF7030A0"/>
        <rFont val="Calibri"/>
        <family val="2"/>
        <scheme val="minor"/>
      </rPr>
      <t>#season FR#</t>
    </r>
    <r>
      <rPr>
        <sz val="11"/>
        <rFont val="Calibri"/>
        <family val="2"/>
        <scheme val="minor"/>
      </rPr>
      <t xml:space="preserve">. </t>
    </r>
  </si>
  <si>
    <t>crp_landsize_num</t>
  </si>
  <si>
    <t>What is the total size of the land you can cultivate?</t>
  </si>
  <si>
    <t>Quelle superficie totale pouvez-vous cultiver ?</t>
  </si>
  <si>
    <t>[INSTRUCTIONS: RECORD THE TOTAL LAND SIZE PROVIDED BY THE RESPONDENT. WRITE 888 FOR DON'T KNOW AND 999 FOR REFUSED. MEASUREMENT UNIT WILL BE SPECIFIED IN THE FOLLOWING QUESTION.]</t>
  </si>
  <si>
    <t>[INSTRUCTIONS :  SAISIR LA TAILLE TOTALE DU TERRAIN ANNONCÉE PAR LE RÉPONDANT. ENTRER 888 POUR «NE SAIT PAS» ET 999 POUR «REFUSÉ» . L'UNITÉ DE MESURE SERA PRÉCISÉE À LA QUESTION SUIVANTE].</t>
  </si>
  <si>
    <t>. &gt;= 0</t>
  </si>
  <si>
    <t>select_one landsize_unit</t>
  </si>
  <si>
    <t>crp_landsize_unit</t>
  </si>
  <si>
    <t xml:space="preserve">Unit of measurement for land size: </t>
  </si>
  <si>
    <t>Unité de mesure des terrains cultivés:</t>
  </si>
  <si>
    <t>[INSTRUCTIONS: DO NOT READ QUESTION. SELECT UNIT OF MEASUREMENT IN WHICH LAND SIZE WAS PROVIDED.]</t>
  </si>
  <si>
    <t xml:space="preserve">[INSTRUCTIONS :  NE PAS LIRE LA QUESTION. SÉLECTIONNEZ L'UNITÉ DE MESURE UTILISÉE POUR LA SUPERFICIE TOTALE.] </t>
  </si>
  <si>
    <t>${crp_landsize_num} != 888 and ${crp_landsize_num} != 999</t>
  </si>
  <si>
    <t>select_one crop</t>
  </si>
  <si>
    <t>crp_main</t>
  </si>
  <si>
    <r>
      <t>What is the main crop that your household grows for food or income generation in</t>
    </r>
    <r>
      <rPr>
        <b/>
        <sz val="11"/>
        <color rgb="FF7030A0"/>
        <rFont val="Calibri"/>
        <family val="2"/>
        <scheme val="minor"/>
      </rPr>
      <t xml:space="preserve"> #season#</t>
    </r>
    <r>
      <rPr>
        <sz val="11"/>
        <color theme="1"/>
        <rFont val="Calibri"/>
        <family val="2"/>
        <scheme val="minor"/>
      </rPr>
      <t>, if any?</t>
    </r>
  </si>
  <si>
    <r>
      <t xml:space="preserve">Quelle est la principale culture pratiquée par votre ménage pour se nourrir ou générer des revenus pendant la </t>
    </r>
    <r>
      <rPr>
        <b/>
        <sz val="11"/>
        <color rgb="FF7030A0"/>
        <rFont val="Calibri"/>
        <family val="2"/>
        <scheme val="minor"/>
      </rPr>
      <t>#season FR#</t>
    </r>
    <r>
      <rPr>
        <sz val="11"/>
        <rFont val="Calibri"/>
        <family val="2"/>
        <scheme val="minor"/>
      </rPr>
      <t>, si applicable ?</t>
    </r>
  </si>
  <si>
    <t>[INSTRUCTIONS: "NO CROP PRODUCTION" APPEARS AT THE END OF THE LIST OF OPTIONS.]</t>
  </si>
  <si>
    <t>[INSTRUCTIONS :  L'OPTION « AUCUNE PRODUCTION VÉGÉTALE » SE TROUVE À LA FIN DE LA LISTE.]</t>
  </si>
  <si>
    <t>crpmain</t>
  </si>
  <si>
    <t>jr:choice-name(${crp_main},'${crp_main}')</t>
  </si>
  <si>
    <t>select_one cropcheck</t>
  </si>
  <si>
    <t>crp_main_check</t>
  </si>
  <si>
    <r>
      <t xml:space="preserve">Why did you not produce any crops in </t>
    </r>
    <r>
      <rPr>
        <b/>
        <sz val="11"/>
        <color rgb="FF7030A0"/>
        <rFont val="Calibri"/>
        <family val="2"/>
        <scheme val="minor"/>
      </rPr>
      <t>#season#</t>
    </r>
    <r>
      <rPr>
        <sz val="11"/>
        <rFont val="Calibri"/>
        <family val="2"/>
        <scheme val="minor"/>
      </rPr>
      <t>?</t>
    </r>
  </si>
  <si>
    <r>
      <t xml:space="preserve">Pourquoi n'avez-vous pas produit de cultures pendant la </t>
    </r>
    <r>
      <rPr>
        <b/>
        <sz val="11"/>
        <color rgb="FF7030A0"/>
        <rFont val="Calibri"/>
        <family val="2"/>
        <scheme val="minor"/>
      </rPr>
      <t>#season FR# ?</t>
    </r>
  </si>
  <si>
    <t>${crp_main}='777'</t>
  </si>
  <si>
    <t>select_one irrigation</t>
  </si>
  <si>
    <t>crp_irrig_source</t>
  </si>
  <si>
    <t xml:space="preserve">Where do you normally and mainly obtain water for the production of ${crpmain}? </t>
  </si>
  <si>
    <t>Quel est normalement votre principale source d'eau pour la production de ${crpmain} ?</t>
  </si>
  <si>
    <t>${crp_main} != '777' and ${crp_main} != '888' and ${crp_main} != '999'</t>
  </si>
  <si>
    <t>crp_irrig_source_otherspecify</t>
  </si>
  <si>
    <t>${crp_irrig_source}='6' and (${crp_main} != '777' and ${crp_main} != '888' and ${crp_main} != '999')</t>
  </si>
  <si>
    <t>select_one irrigpump</t>
  </si>
  <si>
    <t>crp_irrig_system</t>
  </si>
  <si>
    <t>Do you [your community] use a pump for your own [the communal] irrigation system?</t>
  </si>
  <si>
    <t>Utilisez-vous [ou votre communauté] une pompe pour votre propre système d'irrigation ?</t>
  </si>
  <si>
    <t>not(${crp_irrig_source}='7' or ${crp_irrig_source}='8') and (${crp_main} != '777' and ${crp_main} != '888' and ${crp_main} != '999')</t>
  </si>
  <si>
    <t>crp_irrig_pay</t>
  </si>
  <si>
    <t xml:space="preserve">Do you have to pay for water rights [e.g. water rights, communal infrastructure maintenance, gas for communal pump, etc.]? </t>
  </si>
  <si>
    <t>Devez-vous payer pour avoir accès à l'eau [par exemple, droits à l'eau, entretien des infrastructures communes, gaz pour la pompe commune, etc.] ?</t>
  </si>
  <si>
    <t xml:space="preserve">select_multiple seedsupply </t>
  </si>
  <si>
    <t>crp_seed</t>
  </si>
  <si>
    <t xml:space="preserve">Who do you normally procure your seeds from? </t>
  </si>
  <si>
    <t>Où vous procurez-vous habituellement vos semences ?</t>
  </si>
  <si>
    <t>if(selected(., 'ref') or selected(., 'dk'), count-selected(.) = 1, count-selected(.) &gt;= 1)</t>
  </si>
  <si>
    <t>crp_area_change</t>
  </si>
  <si>
    <r>
      <t>How did the ***</t>
    </r>
    <r>
      <rPr>
        <u/>
        <sz val="11"/>
        <color theme="1"/>
        <rFont val="Calibri"/>
        <family val="2"/>
        <scheme val="minor"/>
      </rPr>
      <t>area planted</t>
    </r>
    <r>
      <rPr>
        <sz val="11"/>
        <color theme="1"/>
        <rFont val="Calibri"/>
        <family val="2"/>
        <scheme val="minor"/>
      </rPr>
      <t xml:space="preserve">*** for ${crpmain} from </t>
    </r>
    <r>
      <rPr>
        <b/>
        <sz val="11"/>
        <color rgb="FF7030A0"/>
        <rFont val="Calibri"/>
        <family val="2"/>
        <scheme val="minor"/>
      </rPr>
      <t xml:space="preserve">#season# </t>
    </r>
    <r>
      <rPr>
        <sz val="11"/>
        <color theme="1"/>
        <rFont val="Calibri"/>
        <family val="2"/>
        <scheme val="minor"/>
      </rPr>
      <t xml:space="preserve">compare to </t>
    </r>
    <r>
      <rPr>
        <b/>
        <sz val="11"/>
        <color rgb="FF7030A0"/>
        <rFont val="Calibri (Body)"/>
      </rPr>
      <t>#reference year#</t>
    </r>
    <r>
      <rPr>
        <sz val="11"/>
        <color theme="1"/>
        <rFont val="Calibri"/>
        <family val="2"/>
        <scheme val="minor"/>
      </rPr>
      <t>?</t>
    </r>
  </si>
  <si>
    <r>
      <t>Comment estimez-vous la **</t>
    </r>
    <r>
      <rPr>
        <u/>
        <sz val="11"/>
        <rFont val="Calibri"/>
        <family val="2"/>
        <scheme val="minor"/>
      </rPr>
      <t>superficie plantée</t>
    </r>
    <r>
      <rPr>
        <sz val="11"/>
        <rFont val="Calibri"/>
        <family val="2"/>
        <scheme val="minor"/>
      </rPr>
      <t xml:space="preserve">** </t>
    </r>
    <r>
      <rPr>
        <sz val="11"/>
        <color theme="1"/>
        <rFont val="Calibri"/>
        <family val="2"/>
        <scheme val="minor"/>
      </rPr>
      <t>d</t>
    </r>
    <r>
      <rPr>
        <sz val="11"/>
        <rFont val="Calibri"/>
        <family val="2"/>
        <scheme val="minor"/>
      </rPr>
      <t xml:space="preserve">e  ${crpmain} pour la </t>
    </r>
    <r>
      <rPr>
        <b/>
        <sz val="11"/>
        <color rgb="FF7030A0"/>
        <rFont val="Calibri"/>
        <family val="2"/>
        <scheme val="minor"/>
      </rPr>
      <t xml:space="preserve">#season FR# </t>
    </r>
    <r>
      <rPr>
        <sz val="11"/>
        <rFont val="Calibri"/>
        <family val="2"/>
        <scheme val="minor"/>
      </rPr>
      <t xml:space="preserve">par rapport à </t>
    </r>
    <r>
      <rPr>
        <b/>
        <sz val="11"/>
        <color rgb="FF7030A0"/>
        <rFont val="Calibri (Body)"/>
      </rPr>
      <t>#reference year FR#</t>
    </r>
    <r>
      <rPr>
        <sz val="11"/>
        <rFont val="Calibri"/>
        <family val="2"/>
        <scheme val="minor"/>
      </rPr>
      <t xml:space="preserve"> ?</t>
    </r>
  </si>
  <si>
    <t>crp_harv_change</t>
  </si>
  <si>
    <r>
      <t xml:space="preserve">How does the </t>
    </r>
    <r>
      <rPr>
        <b/>
        <sz val="11"/>
        <color rgb="FF7030A0"/>
        <rFont val="Calibri"/>
        <family val="2"/>
        <scheme val="minor"/>
      </rPr>
      <t>#expected or nothing#</t>
    </r>
    <r>
      <rPr>
        <sz val="11"/>
        <color theme="1"/>
        <rFont val="Calibri"/>
        <family val="2"/>
        <scheme val="minor"/>
      </rPr>
      <t xml:space="preserve"> ***</t>
    </r>
    <r>
      <rPr>
        <u/>
        <sz val="11"/>
        <color theme="1"/>
        <rFont val="Calibri"/>
        <family val="2"/>
        <scheme val="minor"/>
      </rPr>
      <t>harvest</t>
    </r>
    <r>
      <rPr>
        <sz val="11"/>
        <color theme="1"/>
        <rFont val="Calibri"/>
        <family val="2"/>
        <scheme val="minor"/>
      </rPr>
      <t xml:space="preserve">*** of ${crpmain} in the </t>
    </r>
    <r>
      <rPr>
        <b/>
        <sz val="11"/>
        <color rgb="FF7030A0"/>
        <rFont val="Calibri"/>
        <family val="2"/>
        <scheme val="minor"/>
      </rPr>
      <t>#season#</t>
    </r>
    <r>
      <rPr>
        <sz val="11"/>
        <color theme="1"/>
        <rFont val="Calibri"/>
        <family val="2"/>
        <scheme val="minor"/>
      </rPr>
      <t xml:space="preserve"> compare to </t>
    </r>
    <r>
      <rPr>
        <b/>
        <sz val="11"/>
        <color rgb="FF7030A0"/>
        <rFont val="Calibri (Body)"/>
      </rPr>
      <t>#reference year#</t>
    </r>
    <r>
      <rPr>
        <sz val="11"/>
        <color theme="1"/>
        <rFont val="Calibri"/>
        <family val="2"/>
        <scheme val="minor"/>
      </rPr>
      <t xml:space="preserve">? </t>
    </r>
  </si>
  <si>
    <r>
      <t>Comment estimez-vous la **</t>
    </r>
    <r>
      <rPr>
        <u/>
        <sz val="11"/>
        <rFont val="Calibri"/>
        <family val="2"/>
        <scheme val="minor"/>
      </rPr>
      <t>récolte</t>
    </r>
    <r>
      <rPr>
        <sz val="11"/>
        <rFont val="Calibri"/>
        <family val="2"/>
        <scheme val="minor"/>
      </rPr>
      <t>**</t>
    </r>
    <r>
      <rPr>
        <b/>
        <sz val="11"/>
        <color rgb="FF7030A0"/>
        <rFont val="Calibri"/>
        <family val="2"/>
        <scheme val="minor"/>
      </rPr>
      <t xml:space="preserve"> #expected or nothing FR# </t>
    </r>
    <r>
      <rPr>
        <sz val="11"/>
        <rFont val="Calibri"/>
        <family val="2"/>
        <scheme val="minor"/>
      </rPr>
      <t xml:space="preserve">de ${crpmain} pour la </t>
    </r>
    <r>
      <rPr>
        <b/>
        <sz val="11"/>
        <color rgb="FF7030A0"/>
        <rFont val="Calibri"/>
        <family val="2"/>
        <scheme val="minor"/>
      </rPr>
      <t>#season FR#</t>
    </r>
    <r>
      <rPr>
        <sz val="11"/>
        <rFont val="Calibri"/>
        <family val="2"/>
        <scheme val="minor"/>
      </rPr>
      <t xml:space="preserve"> par rapport à </t>
    </r>
    <r>
      <rPr>
        <b/>
        <sz val="11"/>
        <color rgb="FF7030A0"/>
        <rFont val="Calibri (Body)"/>
      </rPr>
      <t>#reference year FR#</t>
    </r>
    <r>
      <rPr>
        <sz val="11"/>
        <rFont val="Calibri"/>
        <family val="2"/>
        <scheme val="minor"/>
      </rPr>
      <t xml:space="preserve"> ?</t>
    </r>
  </si>
  <si>
    <t>crp_harv_vol</t>
  </si>
  <si>
    <r>
      <t xml:space="preserve">How much (threshed) ${crpmain} did you harvest this </t>
    </r>
    <r>
      <rPr>
        <b/>
        <sz val="11"/>
        <color rgb="FF7030A0"/>
        <rFont val="Calibri"/>
        <family val="2"/>
        <scheme val="minor"/>
      </rPr>
      <t>#season#</t>
    </r>
    <r>
      <rPr>
        <sz val="11"/>
        <color theme="0" tint="-0.34998626667073579"/>
        <rFont val="Calibri"/>
        <family val="2"/>
        <scheme val="minor"/>
      </rPr>
      <t>?</t>
    </r>
  </si>
  <si>
    <r>
      <rPr>
        <sz val="11"/>
        <color theme="0" tint="-0.34998626667073579"/>
        <rFont val="Calibri"/>
        <family val="2"/>
        <scheme val="minor"/>
      </rPr>
      <t xml:space="preserve">Quelle quantité (battue) de ${crpmain} avez-vous récoltée cette </t>
    </r>
    <r>
      <rPr>
        <b/>
        <sz val="11"/>
        <color rgb="FF7030A0"/>
        <rFont val="Calibri"/>
        <family val="2"/>
        <scheme val="minor"/>
      </rPr>
      <t xml:space="preserve">#season FR# </t>
    </r>
    <r>
      <rPr>
        <sz val="11"/>
        <color theme="0" tint="-0.34998626667073579"/>
        <rFont val="Calibri"/>
        <family val="2"/>
        <scheme val="minor"/>
      </rPr>
      <t>?</t>
    </r>
  </si>
  <si>
    <t>[INSTRUCTIONS: RECORD THE RESPONSE GIVEN. UNIT OF MEASUREMENT TO BE SPECIFIED IN NEXT QUESTION. ENTER 888 FOR DON'T KNOW &amp; 999 FOR REFUSED, TO BE USED RARELY - PROBE!]</t>
  </si>
  <si>
    <t>[INSTRUCTIONS :  ENREGISTRER LA RÉPONSE DONNÉE. L'UNITÉ DE MESURE DOIT ÊTRE SPÉCIFIÉE À LA QUESTION SUIVANTE. SAISIR 888 POUR «NE SAIT PAS» ET 999 POUR «REFUSÉ», À UTILISER LE MOINS POSSIBLE - DEMANDER DES PRÉCISIONS!]</t>
  </si>
  <si>
    <t>select_one harv_unit</t>
  </si>
  <si>
    <t>crp_harv_unit</t>
  </si>
  <si>
    <t>Unit of measurement for harvested ${crpmain}:</t>
  </si>
  <si>
    <t xml:space="preserve">Unité de mesure pour la/le ${crpmain} récolté(e) : </t>
  </si>
  <si>
    <t>${crp_harv_vol} != '888' and ${crp_harv_vol} != '999'</t>
  </si>
  <si>
    <t>crp_harvunit</t>
  </si>
  <si>
    <t>jr:choice-name(${crp_harv_unit},'${crp_harv_unit}')</t>
  </si>
  <si>
    <t>crp_harv_unit_kg</t>
  </si>
  <si>
    <t>How many kilograms [kgs] in each unit?</t>
  </si>
  <si>
    <t>Combien de kilogrammes [kg] chaque unité contient-elle ?</t>
  </si>
  <si>
    <t>[INSTRUCTIONS: RECORD THE RESPONSE GIVEN. ENTER 888 FOR DON'T KNOW &amp; 999 FOR REFUSED, TO BE USED RARELY - PROBE!]</t>
  </si>
  <si>
    <t>[INSTRUCTIONS :   SAISIR LA QUANTITÉ ANNONCÉE. SAISIR 888 POUR «NE SAIT PAS» ET 999 POUR «REFUSÉ».]</t>
  </si>
  <si>
    <t>(${crp_harv_vol} != '888' and ${crp_harv_vol} != '999') and (${crp_harv_unit}='5' or ${crp_harv_unit}='6' or ${crp_harv_unit}='7' or ${crp_harv_unit}='8' or ${crp_harv_unit}='9')</t>
  </si>
  <si>
    <t>crp_harv_lastyr</t>
  </si>
  <si>
    <t>How many ${crp_harvunit} of (threshed) ${crpmain} did you harvest last year during the same season?</t>
  </si>
  <si>
    <t>Combien de ${crp_harvunit} de ${crpmain} (battu) avez-vous récolté l'année dernière au cours de la même saison ?</t>
  </si>
  <si>
    <t>[INSTRUCTIONS :  SAISIR LA RÉPONSE DONNÉE. ENTRER 888 POUR «NE SAIT PAS» ET 999 POUR «REFUSÉ», À UTILISER LE MOINS POSSIBLE - DEMANDER DES PRÉCISIONS!]</t>
  </si>
  <si>
    <t>${crp_harv_vol} != '888' and ${crp_harv_vol} != '999' and (${crp_main} != '777' and ${crp_main} != '888' and ${crp_main} != '999')</t>
  </si>
  <si>
    <t>crp_proddif</t>
  </si>
  <si>
    <r>
      <t>Has your household faced any significant difficulty ***</t>
    </r>
    <r>
      <rPr>
        <u/>
        <sz val="11"/>
        <color theme="1"/>
        <rFont val="Calibri"/>
        <family val="2"/>
        <scheme val="minor"/>
      </rPr>
      <t>in terms of crop production</t>
    </r>
    <r>
      <rPr>
        <sz val="11"/>
        <color theme="1"/>
        <rFont val="Calibri"/>
        <family val="2"/>
        <scheme val="minor"/>
      </rPr>
      <t xml:space="preserve">*** in </t>
    </r>
    <r>
      <rPr>
        <b/>
        <sz val="11"/>
        <color rgb="FF7030A0"/>
        <rFont val="Calibri"/>
        <family val="2"/>
        <scheme val="minor"/>
      </rPr>
      <t>#season#</t>
    </r>
    <r>
      <rPr>
        <sz val="11"/>
        <color theme="1"/>
        <rFont val="Calibri"/>
        <family val="2"/>
        <scheme val="minor"/>
      </rPr>
      <t>?</t>
    </r>
  </si>
  <si>
    <r>
      <t>Votre ménage a-t-il rencontré des difficultés importantes en matière de **production végétale** au cours de</t>
    </r>
    <r>
      <rPr>
        <b/>
        <sz val="11"/>
        <color rgb="FF7030A0"/>
        <rFont val="Calibri"/>
        <family val="2"/>
        <scheme val="minor"/>
      </rPr>
      <t xml:space="preserve"> #season FR# </t>
    </r>
    <r>
      <rPr>
        <sz val="11"/>
        <rFont val="Calibri"/>
        <family val="2"/>
        <scheme val="minor"/>
      </rPr>
      <t>?</t>
    </r>
  </si>
  <si>
    <t>${crp_main} != '888' and ${crp_main} != '999' and ${crp_main_check} != 1</t>
  </si>
  <si>
    <t>select_multiple cropproddiff</t>
  </si>
  <si>
    <t>crp_proddif_</t>
  </si>
  <si>
    <r>
      <t xml:space="preserve">Which difficulties has your household faced with crop production in </t>
    </r>
    <r>
      <rPr>
        <b/>
        <sz val="11"/>
        <color rgb="FF7030A0"/>
        <rFont val="Calibri"/>
        <family val="2"/>
        <scheme val="minor"/>
      </rPr>
      <t>#season#</t>
    </r>
    <r>
      <rPr>
        <sz val="11"/>
        <color theme="1"/>
        <rFont val="Calibri"/>
        <family val="2"/>
        <scheme val="minor"/>
      </rPr>
      <t>?</t>
    </r>
  </si>
  <si>
    <r>
      <t xml:space="preserve">Quelles difficultés votre ménage a-t-il rencontrées dans la production végétale au cours de </t>
    </r>
    <r>
      <rPr>
        <b/>
        <sz val="11"/>
        <color rgb="FF7030A0"/>
        <rFont val="Calibri"/>
        <family val="2"/>
        <scheme val="minor"/>
      </rPr>
      <t xml:space="preserve">#season FR# </t>
    </r>
    <r>
      <rPr>
        <sz val="11"/>
        <rFont val="Calibri"/>
        <family val="2"/>
        <scheme val="minor"/>
      </rPr>
      <t>?</t>
    </r>
  </si>
  <si>
    <t>[INSTRUCTIONS: MULTIPLE RESPONSES POSSIBLE. SELECT OPTION(S) THAT BEST FIT THE INFORMATION PROVIDED BY THE RESPONDENTS.]</t>
  </si>
  <si>
    <t>[INSTRUCTIONS :  PLUSIEURS RÉPONSES POSSIBLES. SÉLECTIONNER LES OPTIONS QUI CORRESPONDENT LE MIEUX AUX INFORMATIONS PROPOSÉES PAR LE RÉPONDANT.]</t>
  </si>
  <si>
    <t>${crp_proddif} = '1' and (${crp_main} != '888' and ${crp_main} != '999' and ${crp_main_check} != 1)</t>
  </si>
  <si>
    <t>select_one storage</t>
  </si>
  <si>
    <t>crp_storage</t>
  </si>
  <si>
    <t>Last year, what proportion of your ${crpmain} stock did you lose [to pests, rotting, mould, etc.] after the harvest?</t>
  </si>
  <si>
    <t>L'année dernière, quelle part du stock de votre ${crpmain} avez-vous perdue (en raison des parasites, de la pourriture, de la moisissure, etc.) après la récolte ?</t>
  </si>
  <si>
    <t>${crp_main} != '888' and ${crp_main} != '999' and ${crp_main} != '777'</t>
  </si>
  <si>
    <t>select_multiple crop2</t>
  </si>
  <si>
    <t>crp_all</t>
  </si>
  <si>
    <t>Do you cultivate any other crops aside from ${crpmain}, and if so which ones?</t>
  </si>
  <si>
    <t>Pratiquez-vous d'autres cultures en dehors de ${crpmain}, et si oui, lesquelles ?</t>
  </si>
  <si>
    <t>[INSTRUCTIONS: "No other crops" APPEARS AT THE END OF THE LIST OF OPTIONS. SELECT ALL CROPS LISTED BY THE RESPONDENT.]</t>
  </si>
  <si>
    <t>[INSTRUCTIONS :  "Pas d'autre culture" FIGURE DANS LES DERNIÈRES OPTIONS DE RÉPONSE. SÉLECTIONNER TOUTES LES CULTURES LISTÉES PAR LE RÉPONDANT.]</t>
  </si>
  <si>
    <t>if(selected(., '888') or selected(., '999') or selected(.,'666'), count-selected(.) = 1, count-selected(.) &gt;= 1)</t>
  </si>
  <si>
    <t>not(selected(${crp_main}, name))</t>
  </si>
  <si>
    <t>CropSales_group</t>
  </si>
  <si>
    <t>CROP MARKETING</t>
  </si>
  <si>
    <t>VENTES DES RÉCOLTES</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</si>
  <si>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</si>
  <si>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</si>
  <si>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</si>
  <si>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 xml:space="preserve">Est-ce que le/la ${crpmain} est la principale récolte que vous avez vendue au cours des *3 derniers mois* ? </t>
  </si>
  <si>
    <t>select_one crop3</t>
  </si>
  <si>
    <t>crp_sales_main_2</t>
  </si>
  <si>
    <t>What was the main crop that you sold over the *last 3 months*?</t>
  </si>
  <si>
    <t>Quelle principale récolte avez-vous vendue au cours des *3 derniers mois* ?</t>
  </si>
  <si>
    <t>${crp_sales_main_1}='2'</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</si>
  <si>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</si>
  <si>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</si>
  <si>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</si>
  <si>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</si>
  <si>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</si>
  <si>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</si>
  <si>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Au cours des trois derniers mois, votre ménage a-t-il rencontré d'importantes difficultés pour **vendre** ses récoltes de ${crp_sales_main} ?</t>
  </si>
  <si>
    <t>select_multiple cropsalesdiff</t>
  </si>
  <si>
    <t>crp_saledif</t>
  </si>
  <si>
    <t xml:space="preserve">Which difficulties has your household faced in the last 3 months selling your ${crp_sales_main}? </t>
  </si>
  <si>
    <t>Quelles difficultés votre ménage a-t-il rencontrées au cours des trois derniers mois pour vendre ses cultures principales, ${crp_sales_main} ?</t>
  </si>
  <si>
    <t>[INSTRUCTIONS : PLUSIEURS RÉPONSES POSSIBLES. SÉLECTIONNER LA OU LES OPTIONS QUI CORRESPONDENT LE MIEUX AUX INFORMATIONS PROPOSÉES PAR LE RÉPONDANT.]</t>
  </si>
  <si>
    <t>if(selected(., 'dk') or selected(., 'ref'), count-selected(.) = 1, count-selected(.) &gt;= 1)</t>
  </si>
  <si>
    <t xml:space="preserve">${crp_salesdif} = '1' </t>
  </si>
  <si>
    <t>crp_salesprice</t>
  </si>
  <si>
    <r>
      <t xml:space="preserve">How does the current price of your household's ${crp_sales_main} compare to the average price in the same period of </t>
    </r>
    <r>
      <rPr>
        <b/>
        <sz val="11"/>
        <color rgb="FF7030A0"/>
        <rFont val="Calibri (Body)"/>
      </rPr>
      <t>#reference year#</t>
    </r>
    <r>
      <rPr>
        <sz val="11"/>
        <rFont val="Calibri"/>
        <family val="2"/>
        <scheme val="minor"/>
      </rPr>
      <t>?</t>
    </r>
  </si>
  <si>
    <r>
      <t xml:space="preserve">Comment évaluez-vous le prix actuel de ${crp_sales_main} par rapport au prix moyen de la même periode de </t>
    </r>
    <r>
      <rPr>
        <b/>
        <sz val="11"/>
        <color rgb="FF7030A0"/>
        <rFont val="Calibri (Body)"/>
      </rPr>
      <t>#reference year FR#</t>
    </r>
    <r>
      <rPr>
        <sz val="11"/>
        <rFont val="Calibri"/>
        <family val="2"/>
        <scheme val="minor"/>
      </rPr>
      <t xml:space="preserve"> ?</t>
    </r>
  </si>
  <si>
    <t>[INSTRUCTIONS: INSIST ON THE MAIN PRODUCT MENTIONED.]</t>
  </si>
  <si>
    <t>[INSTRUCTIONS : INSISTER SUR LA PRINCIPALE CULTURE MENTIONNÉE AUPARAVANT.]</t>
  </si>
  <si>
    <t>Livestock_group</t>
  </si>
  <si>
    <t>LIVESTOCK PRODUCTION</t>
  </si>
  <si>
    <t>PRODUCTION DE BÉTAIL</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</si>
  <si>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</si>
  <si>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</si>
  <si>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</si>
  <si>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Nous allons maintenant vous poser quelques questions sur la production animale. Ces questions  s'appliquent à vous et à toute personne de votre ménage impliquée dans la production ou la vente de bétail.</t>
  </si>
  <si>
    <t>select_one lsmain</t>
  </si>
  <si>
    <t>ls_main</t>
  </si>
  <si>
    <t>What was the main animal raised by your household for food or income generation in the last 12 months?</t>
  </si>
  <si>
    <t>Quel  animal votre ménage a-t-il principalement élevé pour se nourrir ou générer des revenus au cours des 12 derniers mois ?</t>
  </si>
  <si>
    <t>[INSTRUCTIONS: ASK ABOUT THE MOST IMPORTANT ANIMAL ONLY.] [HINT: DON'T FORGET TO PROBE ABOUT TRANSHUMANCE - MOVING LIVESTOCK FROM ONE GRAZING GROUND TO ANOTHER.]</t>
  </si>
  <si>
    <t>[INSTRUCTIONS : NE RETENIR QUE L'ANIMAL PRINCIPAL.]
[CONSEIL: N'OUBLIEZ PAS DE POSER DES QUESTIONS SUR LA TRANSHUMANCE - LE DÉPLACEMENT DU BÉTAIL D'UN PÂTURAGE À UN AUTRE.]</t>
  </si>
  <si>
    <t>lsmain</t>
  </si>
  <si>
    <t>jr:choice-name(${ls_main},'${ls_main}')</t>
  </si>
  <si>
    <t>ls_num_lastyr</t>
  </si>
  <si>
    <t>How many ${lsmain} did you have at the same time last year?</t>
  </si>
  <si>
    <t>Combien de ${lsmain} possédiez-vous à la même period il y a un an ?</t>
  </si>
  <si>
    <t>[INSTRUCTIONS: RECORD THE NUMBER OF ANIMALS. ENTER 888 FOR DON'T KNOW AND 999 FOR REFUSED.]</t>
  </si>
  <si>
    <t>[INSTRUCTIONS :  SAISIR LE NOMBRE D'ANIMAUX. ENTREZ 888 POUR «NE SAIT PAS» ET 999 POUR «REFUSÉ».]</t>
  </si>
  <si>
    <t xml:space="preserve">. &gt;= 0 </t>
  </si>
  <si>
    <t>${ls_main} != '10' or ${ls_main} != '11'</t>
  </si>
  <si>
    <t>ls_num_now</t>
  </si>
  <si>
    <t>How many ${lsmain} do you have now?</t>
  </si>
  <si>
    <t>Combien de ${lsmain} avez-vous maintenant ?</t>
  </si>
  <si>
    <t>ls_num_diff</t>
  </si>
  <si>
    <t xml:space="preserve">Change in ${lsmain}: </t>
  </si>
  <si>
    <t xml:space="preserve">Différence de ${lsmain}: </t>
  </si>
  <si>
    <t>(${ls_main} != '10' or ${ls_main} != '11') and (${ls_num_lastyr} != '888' and ${ls_num_lastyr} != '999' and ${ls_num_now} != '888' and ${ls_num_now} != '999')</t>
  </si>
  <si>
    <t>${ls_num_now} - ${ls_num_lastyr}</t>
  </si>
  <si>
    <t>select_multiple lsnum</t>
  </si>
  <si>
    <t>ls_num</t>
  </si>
  <si>
    <t>Why did the number of livestock change?</t>
  </si>
  <si>
    <t>Pourquoi le nombre d’animaux que vous possédez a-t-il varié ?</t>
  </si>
  <si>
    <t xml:space="preserve">[INSTRUCTIONS :  PLUSIEURS RÉPONSES POSSIBLES.] </t>
  </si>
  <si>
    <t>if(selected(., 'inc_dec_dk') or selected(., 'inc_dec_ref'), count-selected(.) = 1, count-selected(.) &gt;= 1)</t>
  </si>
  <si>
    <t>select_multiple lsfood</t>
  </si>
  <si>
    <t>ls_feed</t>
  </si>
  <si>
    <t xml:space="preserve">Where do you usually access feed for your ${lsmain}? </t>
  </si>
  <si>
    <t>Où vous procurez-vous habituellement l'alimentation pour votre ${lsmain} ?</t>
  </si>
  <si>
    <t>ls_proddif</t>
  </si>
  <si>
    <t>Has your household faced any significant difficulty with livestock production over the last 3 months?</t>
  </si>
  <si>
    <t>Votre ménage a-t-il rencontré d'importantes difficultés en matière d'élevage au cours des trois derniers mois ?</t>
  </si>
  <si>
    <t>select_multiple lsproddiff</t>
  </si>
  <si>
    <t>ls_proddif_</t>
  </si>
  <si>
    <t>Which difficulties has your household faced with livestock production in the last 3 months?</t>
  </si>
  <si>
    <t>Quelles difficultés votre ménage a-t-il rencontrées en matière d'élevage au cours des trois derniers mois ?</t>
  </si>
  <si>
    <t>[INSTRUCTIONS : PLUSIEURS RÉPONSES POSSIBLES. SÉLECTIONNER LA OU LES OPTIONS QUI CORRESPONDENT LE MIEUX AUX INFORMATIONS PROPOSÉES PAR LES RÉPONDANTS]</t>
  </si>
  <si>
    <t>${ls_proddif}='1'</t>
  </si>
  <si>
    <t>select_multiple lsmain2</t>
  </si>
  <si>
    <t>ls_all</t>
  </si>
  <si>
    <t>Do you own any other livestock aside from ${lsmain}, and if so which ones?</t>
  </si>
  <si>
    <t>Possédez-vous d'autres animaux d'élevage en dehors de ${lsmain}, et si oui, lesquels ?</t>
  </si>
  <si>
    <t>[INSTRUCTIONS: "No other livestock" APPEARS AT THE END OF THE LIST OF OPTIONS. SELECT ALL LIVESTOCK LISTED BY THE RESPONDENT.]</t>
  </si>
  <si>
    <t>[INSTRUCTIONS :  "Pas d'autre bétail" FIGURE DANS LES DERNIÈRES OPTIONS DE RÉPONSE. SAISIR TOUS LES ANIMAUX ÉNUMÉRÉS PAR LE RÉPONDANT.]</t>
  </si>
  <si>
    <t>if(selected(., '10') or selected(., '11') or selected(.,'666'), count-selected(.) = 1, count-selected(.) &gt;= 1)</t>
  </si>
  <si>
    <t>${ls_main} != '10' and ${ls_main} != '11'</t>
  </si>
  <si>
    <t>not(selected(${ls_main}, name))</t>
  </si>
  <si>
    <t>LivestockSales_group</t>
  </si>
  <si>
    <t xml:space="preserve">LIVESTOCK &amp; LIVESTOCK PRODUCT MARKETING </t>
  </si>
  <si>
    <t>VENTE DE BÉTAIL ET DE PRODUITS D'ÉLEVAGE</t>
  </si>
  <si>
    <t>${resp_agree} = '1' and (${income_main}='4' or ${income_sec}='4' or ${income_third}='4')</t>
  </si>
  <si>
    <t>select_one salesmain</t>
  </si>
  <si>
    <t>ls_salesmain</t>
  </si>
  <si>
    <t>What was the main livestock or livestock product sold by the household in the last 3 months?</t>
  </si>
  <si>
    <t>Quel était le principal animal ou produit animal vendu par votre ménage au cours des trois derniers mois ?</t>
  </si>
  <si>
    <t>lssalesmain</t>
  </si>
  <si>
    <t>jr:choice-name(${ls_salesmain},'${ls_salesmain}')</t>
  </si>
  <si>
    <t>ls_salesdif</t>
  </si>
  <si>
    <t>Has your household faced any significant difficulty in the last 3 months selling your ${lssalesmain}?</t>
  </si>
  <si>
    <t>Votre ménage a-t-il rencontré d'importantes difficultés pour vendre ses ${ls_salesmain} au cours des trois derniers mois ?</t>
  </si>
  <si>
    <t>select_multiple lssalesdif</t>
  </si>
  <si>
    <t>ls_salesdif_</t>
  </si>
  <si>
    <t>What difficulties has your household faced in the last 3 months selling your ${lssalesmain}?</t>
  </si>
  <si>
    <t>Quelles difficultés votre ménage a-t-il rencontrées au cours des trois derniers mois pour vendre ${lssalesmain} ?</t>
  </si>
  <si>
    <t>[INSTRUCTIONS : PLUSIEURS RÉPONSES POSSIBLES. SÉLECTIONNER LA OU LES OPTIONS QUI CORRESPONDENT LE MIEUX AUX INFORMATIONS FOURNIES PAR LES PERSONNES INTERROGÉES.]</t>
  </si>
  <si>
    <t xml:space="preserve">${ls_salesdif} = '1' </t>
  </si>
  <si>
    <t>ls_salesprice</t>
  </si>
  <si>
    <r>
      <t xml:space="preserve">How does the current price of your household's ${lssalesmain} compare to the average price in the same period of </t>
    </r>
    <r>
      <rPr>
        <b/>
        <sz val="11"/>
        <color rgb="FF7030A0"/>
        <rFont val="Calibri (Body)"/>
      </rPr>
      <t>#reference year#</t>
    </r>
    <r>
      <rPr>
        <sz val="11"/>
        <rFont val="Calibri"/>
        <family val="2"/>
        <scheme val="minor"/>
      </rPr>
      <t>?</t>
    </r>
  </si>
  <si>
    <r>
      <t xml:space="preserve">Comment évaluez-vous le prix actuel de ${lssalesmain} par rapport au prix moyen sur la même période de </t>
    </r>
    <r>
      <rPr>
        <b/>
        <sz val="11"/>
        <color rgb="FF7030A0"/>
        <rFont val="Calibri (Body)"/>
      </rPr>
      <t>#reference year FR#</t>
    </r>
    <r>
      <rPr>
        <sz val="11"/>
        <rFont val="Calibri"/>
        <family val="2"/>
        <scheme val="minor"/>
      </rPr>
      <t xml:space="preserve"> ?</t>
    </r>
  </si>
  <si>
    <t>[INSTRUCTIONS : INSISTER SUR LE PRINCIPAL PRODUIT MENTIONNÉ AUPARAVANT.]</t>
  </si>
  <si>
    <t>Fishing_group</t>
  </si>
  <si>
    <t>FISHING / AQUACULTURE PRODUCTION</t>
  </si>
  <si>
    <t>PRODUCTION PISCICOLE / AQUACOLE</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</si>
  <si>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</si>
  <si>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</si>
  <si>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</si>
  <si>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Nous allons maintenant vous poser quelques questions sur la pêche et la production aquacole. Ces questions s'appliquent à vous et à toute personne de votre foyer impliquée dans la capture, l'élevage ou la récolte de poissons et de produits aquatiques.</t>
  </si>
  <si>
    <t>select_multiple fishactivity</t>
  </si>
  <si>
    <t>fish_main</t>
  </si>
  <si>
    <t>What type of fishing activity does your household generally practice?</t>
  </si>
  <si>
    <t>Quel type de pêche votre ménage pratique-t-il généralement ?</t>
  </si>
  <si>
    <t>[INSTRUCTIONS: MUTIPLE RESPONSES POSSIBLE.]</t>
  </si>
  <si>
    <t>fish_change</t>
  </si>
  <si>
    <t>How does your fish catch [farmed] in the last 3 months [last harvest] compare to the same period [harvest] last year?</t>
  </si>
  <si>
    <t>Comment évaluez-vous votre prise de poisson [d'élevage] au cours des 3 derniers mois [dernière récolte] par rapport à la même période [récolte] l'année dernière?</t>
  </si>
  <si>
    <t>fish_proddif</t>
  </si>
  <si>
    <t>Has your household faced any significant difficulty with fish catch / harvest / farming in the last 3 months?</t>
  </si>
  <si>
    <t>Votre ménage a-t-il rencontré d’importantes difficultés avec la pêche / la récolte / l'élevage au cours des 3 derniers mois?</t>
  </si>
  <si>
    <t>select_multiple fishproddiff</t>
  </si>
  <si>
    <t>fish_proddif_</t>
  </si>
  <si>
    <t>Which difficulties has your household faced with fish catch / harvest / farming in the last 3 months?</t>
  </si>
  <si>
    <t>Quelles difficultés votre ménage a-t-il rencontrées dans la capture/récolte/élevage de poisson au cours des trois derniers mois?</t>
  </si>
  <si>
    <t>[INSTRUCTIONS :  PLUSIEURS RÉPONSES POSSIBLES. SÉLECTIONNER LA OU LES OPTIONS QUI CORRESPONDENT LE MIEUX AUX INFORMATIONS PROPOSÉES PAR LES RÉPONDANTS].</t>
  </si>
  <si>
    <t>${fish_proddif}='1'</t>
  </si>
  <si>
    <t>fish_proddif_otherspecify</t>
  </si>
  <si>
    <t>${fish_proddif} = '1' and selected(${fish_proddif_}, 'other')</t>
  </si>
  <si>
    <t>select_multiple fishinput</t>
  </si>
  <si>
    <t>fish_inputdif</t>
  </si>
  <si>
    <t>Which fishing [culture] input material has your household had difficulties accessing in the last 3 months?</t>
  </si>
  <si>
    <t>Quel matériel de pêche [pour la culture] votre ménage a-t-il eu des difficultés à se procurer au cours des trois derniers mois ?</t>
  </si>
  <si>
    <t>${fish_proddif} = '1' and selected(${fish_proddif_}, 'input_access')</t>
  </si>
  <si>
    <t>fish_inputdif_otherspecify</t>
  </si>
  <si>
    <t>${fish_inputdif} = 'other'</t>
  </si>
  <si>
    <t>FishSales_group</t>
  </si>
  <si>
    <t xml:space="preserve">FISHING / AQUACULTURE MARKETING </t>
  </si>
  <si>
    <t>VENTES DE POISSON</t>
  </si>
  <si>
    <t>${resp_agree} = '1' and (${income_main}='6' or ${income_sec}='6' or ${income_third}='6')</t>
  </si>
  <si>
    <t>select_one fishsales</t>
  </si>
  <si>
    <t>fish_salesmain</t>
  </si>
  <si>
    <t>What was the main fish or aquatic product sold by your household in the last 3 months?</t>
  </si>
  <si>
    <t>Quel était le principal produit piscicole ou aquatique vendu par votre ménage au cours des 3 derniers mois?</t>
  </si>
  <si>
    <t>fishsalesmain</t>
  </si>
  <si>
    <t>jr:choice-name(${fish_salesmain},'${fish_salesmain}')</t>
  </si>
  <si>
    <t>fish_salesmain_otherspecify</t>
  </si>
  <si>
    <t>[INSTRUCTIONS : DÉCRIVEZ LA RÉPONSE DONNÉE PAR LE RÉPONDANT EN QUELQUES MOTS. ENTREZ 888 POUR NE SAIT PAS ET 999 POUR REFUS.]</t>
  </si>
  <si>
    <t>selected(${fish_salesmain} , '5')</t>
  </si>
  <si>
    <t>fish_salesdif</t>
  </si>
  <si>
    <t>Has your household faced any significant difficulty marketing / selling your ${fishsalesmain} in the last 3 months?</t>
  </si>
  <si>
    <t>Votre ménage a-t-il rencontré d'importantes difficultés pour commercialiser ou vendre ses ${fishsalesmain} au cours des trois derniers mois ?</t>
  </si>
  <si>
    <t>select_multiple fishsalesdif</t>
  </si>
  <si>
    <t>fish_saledif</t>
  </si>
  <si>
    <t>What difficulties has your household faced in the last 3 months selling your ${fishsalesmain}?</t>
  </si>
  <si>
    <t>Quelles difficultés votre ménage a-t-il rencontrées au cours des trois derniers mois pour vendre ses ${fishsalesmain} ?</t>
  </si>
  <si>
    <t>[INSTRUCTIONS :  PLUSIEURS RÉPONSES POSSIBLES. SÉLECTIONNEZ LA OU LES OPTIONS QUI CORRESPONDENT LE MIEUX AUX INFORMATIONS FOURNIES PAR LES PERSONNES INTERROGÉES.]</t>
  </si>
  <si>
    <t xml:space="preserve">${fish_salesdif} = '1' </t>
  </si>
  <si>
    <t>fish_salesdif_otherspecify</t>
  </si>
  <si>
    <t>selected(${fish_saledif}, 'other')</t>
  </si>
  <si>
    <t>fish_salesprice</t>
  </si>
  <si>
    <r>
      <t xml:space="preserve">How does the current price of your household's ${fishsalesmain} compare to the average price in the same period/harvest of </t>
    </r>
    <r>
      <rPr>
        <b/>
        <sz val="11"/>
        <color rgb="FF7030A0"/>
        <rFont val="Calibri (Body)"/>
      </rPr>
      <t>#reference year#</t>
    </r>
    <r>
      <rPr>
        <sz val="11"/>
        <rFont val="Calibri"/>
        <family val="2"/>
        <scheme val="minor"/>
      </rPr>
      <t xml:space="preserve">? </t>
    </r>
  </si>
  <si>
    <r>
      <t xml:space="preserve">Comment évaluez-vous le prix actuel de vos ${fishsalesmain} vendus par votre ménage par rapport au prix moyen sur la même période [récolte] de </t>
    </r>
    <r>
      <rPr>
        <b/>
        <sz val="11"/>
        <color rgb="FF7030A0"/>
        <rFont val="Calibri (Body)"/>
      </rPr>
      <t>#reference year FR#</t>
    </r>
    <r>
      <rPr>
        <sz val="11"/>
        <color theme="1"/>
        <rFont val="Calibri"/>
        <family val="2"/>
        <scheme val="minor"/>
      </rPr>
      <t xml:space="preserve"> ? </t>
    </r>
  </si>
  <si>
    <t>FSI</t>
  </si>
  <si>
    <t>FOOD SECURITY INDICATORS</t>
  </si>
  <si>
    <t>INDICATEURS DE SÉCURITÉ ALIMENTAIRE</t>
  </si>
  <si>
    <t>intro_foodsec</t>
  </si>
  <si>
    <t>Now I would like to ask you some questions about food consumption, food utilization and coping mechanisms. Make sure to refer to the correct time period for each set of questions.</t>
  </si>
  <si>
    <t>Je vais maintenant vous poser quelques questions sur votre consommation de nourriture, l'utilisation de la nourriture et les mécanismes d'adaptation. Attention: il faut vous référer à la bonne période pour chaque série de questions.</t>
  </si>
  <si>
    <t>grp_fies</t>
  </si>
  <si>
    <t>FIES</t>
  </si>
  <si>
    <t>fies_intro</t>
  </si>
  <si>
    <t xml:space="preserve">The first set of questions refers to experiences faced by your or any of your household members over the past 30 days. </t>
  </si>
  <si>
    <t xml:space="preserve">La première série de questions concerne les expériences auxquelles vous ou les membres de votre foyer avez été confrontés au cours des 30 derniers jours. </t>
  </si>
  <si>
    <t>fies_worried</t>
  </si>
  <si>
    <r>
      <t>During the *last 30 days*, was there a time when you or others in your household were **</t>
    </r>
    <r>
      <rPr>
        <u/>
        <sz val="11"/>
        <color theme="1"/>
        <rFont val="Calibri"/>
        <family val="2"/>
        <scheme val="minor"/>
      </rPr>
      <t>worried about not having enough food to eat</t>
    </r>
    <r>
      <rPr>
        <sz val="11"/>
        <color theme="1"/>
        <rFont val="Calibri"/>
        <family val="2"/>
        <scheme val="minor"/>
      </rPr>
      <t>** because of lack of money or other resources?</t>
    </r>
  </si>
  <si>
    <r>
      <t>Au cours de ces *30 derniers jours*, vous ou un autre membre de votre ménage avez-vous été **</t>
    </r>
    <r>
      <rPr>
        <u/>
        <sz val="11"/>
        <rFont val="Calibri"/>
        <family val="2"/>
        <scheme val="minor"/>
      </rPr>
      <t>inquiet(e)s de ne pas avoir suffisamment de nourriture</t>
    </r>
    <r>
      <rPr>
        <sz val="11"/>
        <rFont val="Calibri"/>
        <family val="2"/>
        <scheme val="minor"/>
      </rPr>
      <t>** par manque d’argent ou d’autres ressources ?</t>
    </r>
  </si>
  <si>
    <t>fies_healthy</t>
  </si>
  <si>
    <r>
      <t>During the *last 30 days*, was there a time when you or others in your household were **</t>
    </r>
    <r>
      <rPr>
        <u/>
        <sz val="11"/>
        <color theme="1"/>
        <rFont val="Calibri"/>
        <family val="2"/>
        <scheme val="minor"/>
      </rPr>
      <t>unable to eat healthy and nutritious food</t>
    </r>
    <r>
      <rPr>
        <sz val="11"/>
        <color theme="1"/>
        <rFont val="Calibri"/>
        <family val="2"/>
        <scheme val="minor"/>
      </rPr>
      <t>** because of lack of money or other resources?</t>
    </r>
  </si>
  <si>
    <r>
      <t>Au cours des *30 derniers jours*, vous ou un autre membre de votre ménage n'avez-vous **</t>
    </r>
    <r>
      <rPr>
        <u/>
        <sz val="11"/>
        <rFont val="Calibri"/>
        <family val="2"/>
        <scheme val="minor"/>
      </rPr>
      <t>pas pu manger une nourriture saine et nutritive</t>
    </r>
    <r>
      <rPr>
        <sz val="11"/>
        <rFont val="Calibri"/>
        <family val="2"/>
        <scheme val="minor"/>
      </rPr>
      <t>** par manque d’argent ou d’autres ressources ?</t>
    </r>
  </si>
  <si>
    <t>fies_fewfoods</t>
  </si>
  <si>
    <r>
      <t>During the *last 30 days*, was there a time when you or others in your household **</t>
    </r>
    <r>
      <rPr>
        <u/>
        <sz val="11"/>
        <color theme="1"/>
        <rFont val="Calibri"/>
        <family val="2"/>
        <scheme val="minor"/>
      </rPr>
      <t>ate only a few kinds of foods</t>
    </r>
    <r>
      <rPr>
        <sz val="11"/>
        <color theme="1"/>
        <rFont val="Calibri"/>
        <family val="2"/>
        <scheme val="minor"/>
      </rPr>
      <t>** because of lack of money or other resources?</t>
    </r>
  </si>
  <si>
    <r>
      <t>Au cours des *30 derniers jours*, vous ou un autre membre de votre ménage avez-vous **</t>
    </r>
    <r>
      <rPr>
        <u/>
        <sz val="11"/>
        <rFont val="Calibri"/>
        <family val="2"/>
        <scheme val="minor"/>
      </rPr>
      <t>mangé une nourriture peu variée</t>
    </r>
    <r>
      <rPr>
        <sz val="11"/>
        <rFont val="Calibri"/>
        <family val="2"/>
        <scheme val="minor"/>
      </rPr>
      <t>** par manque d’argent ou d’autres ressources ?</t>
    </r>
  </si>
  <si>
    <t>fies_skipped</t>
  </si>
  <si>
    <r>
      <t>During the *last 30 days*, was there a time when you or others in your household **</t>
    </r>
    <r>
      <rPr>
        <u/>
        <sz val="11"/>
        <color theme="1"/>
        <rFont val="Calibri"/>
        <family val="2"/>
        <scheme val="minor"/>
      </rPr>
      <t>had to skip a meal</t>
    </r>
    <r>
      <rPr>
        <sz val="11"/>
        <color theme="1"/>
        <rFont val="Calibri"/>
        <family val="2"/>
        <scheme val="minor"/>
      </rPr>
      <t>** because of lack of money or other resources to get food?</t>
    </r>
  </si>
  <si>
    <r>
      <t>Au cours des *30 derniers jours*, vous ou un autre membre de votre ménage avez-vous **</t>
    </r>
    <r>
      <rPr>
        <u/>
        <sz val="11"/>
        <rFont val="Calibri"/>
        <family val="2"/>
        <scheme val="minor"/>
      </rPr>
      <t>dû sauter un repas</t>
    </r>
    <r>
      <rPr>
        <sz val="11"/>
        <rFont val="Calibri"/>
        <family val="2"/>
        <scheme val="minor"/>
      </rPr>
      <t>** parce que vous n’aviez pas assez d’argent ou d’autres ressources pour vous procurer à manger ?</t>
    </r>
  </si>
  <si>
    <t>fies_ateless</t>
  </si>
  <si>
    <r>
      <t>During the *last 30 days*, was there a time when you or others in your household **</t>
    </r>
    <r>
      <rPr>
        <u/>
        <sz val="11"/>
        <color theme="1"/>
        <rFont val="Calibri"/>
        <family val="2"/>
        <scheme val="minor"/>
      </rPr>
      <t>ate less than you thought you should</t>
    </r>
    <r>
      <rPr>
        <sz val="11"/>
        <color theme="1"/>
        <rFont val="Calibri"/>
        <family val="2"/>
        <scheme val="minor"/>
      </rPr>
      <t>** because of lack of money or other resources?</t>
    </r>
  </si>
  <si>
    <r>
      <t>Au cours des *30 derniers jours*, y-a-t-il eu des moments lors desquels vous ou d'autre membre de votre ménage avez **</t>
    </r>
    <r>
      <rPr>
        <u/>
        <sz val="11"/>
        <rFont val="Calibri"/>
        <family val="2"/>
        <scheme val="minor"/>
      </rPr>
      <t>mangé moins que ce que vous pensiez que vous auriez dû manger</t>
    </r>
    <r>
      <rPr>
        <sz val="11"/>
        <rFont val="Calibri"/>
        <family val="2"/>
        <scheme val="minor"/>
      </rPr>
      <t>** à cause d'un manque d'argent ou d'autres ressources ?</t>
    </r>
  </si>
  <si>
    <t>fies_ranout</t>
  </si>
  <si>
    <r>
      <t>In the *past 30 days*, was there ever **</t>
    </r>
    <r>
      <rPr>
        <u/>
        <sz val="11"/>
        <color theme="1"/>
        <rFont val="Calibri"/>
        <family val="2"/>
        <scheme val="minor"/>
      </rPr>
      <t>no food to eat of any kind</t>
    </r>
    <r>
      <rPr>
        <sz val="11"/>
        <color theme="1"/>
        <rFont val="Calibri"/>
        <family val="2"/>
        <scheme val="minor"/>
      </rPr>
      <t>** in your house because of lack of resources to get food?</t>
    </r>
  </si>
  <si>
    <r>
      <t>Au cours des *30 derniers jours*, n'y avait-il **</t>
    </r>
    <r>
      <rPr>
        <u/>
        <sz val="11"/>
        <rFont val="Calibri"/>
        <family val="2"/>
        <scheme val="minor"/>
      </rPr>
      <t>aucun aliment à manger</t>
    </r>
    <r>
      <rPr>
        <sz val="11"/>
        <rFont val="Calibri"/>
        <family val="2"/>
        <scheme val="minor"/>
      </rPr>
      <t>**, de quelque nature que ce soit, dans votre foyer, en raison du manque de ressources pour se procurer de la nourriture ?</t>
    </r>
  </si>
  <si>
    <t>select_one frequency</t>
  </si>
  <si>
    <t>fies_ranout_hhs</t>
  </si>
  <si>
    <t xml:space="preserve">How often did this happen? </t>
  </si>
  <si>
    <t>Combien de fois cela s'est-il produit ?</t>
  </si>
  <si>
    <t>${fies_ranout} = '1'</t>
  </si>
  <si>
    <t>fies_hungry</t>
  </si>
  <si>
    <r>
      <t>In the *past 30 days*, did you or any household member ever **</t>
    </r>
    <r>
      <rPr>
        <u/>
        <sz val="11"/>
        <rFont val="Calibri"/>
        <family val="2"/>
        <scheme val="minor"/>
      </rPr>
      <t>go to sleep at night hungry</t>
    </r>
    <r>
      <rPr>
        <sz val="11"/>
        <rFont val="Calibri"/>
        <family val="2"/>
        <scheme val="minor"/>
      </rPr>
      <t>**because there was not enough food?</t>
    </r>
  </si>
  <si>
    <r>
      <t>Au cours des *30 derniers jours*, êtiez-vous ou tout membre de votre ménage **</t>
    </r>
    <r>
      <rPr>
        <u/>
        <sz val="11"/>
        <rFont val="Calibri"/>
        <family val="2"/>
        <scheme val="minor"/>
      </rPr>
      <t>obligé de dormir affamé le soir</t>
    </r>
    <r>
      <rPr>
        <sz val="11"/>
        <rFont val="Calibri"/>
        <family val="2"/>
        <scheme val="minor"/>
      </rPr>
      <t>** parce qu'il n'y avait pas assez de nourriture ?</t>
    </r>
  </si>
  <si>
    <t>fies_hungry_hhs</t>
  </si>
  <si>
    <t>${fies_hungry} = '1'</t>
  </si>
  <si>
    <t>fies_whlday</t>
  </si>
  <si>
    <r>
      <t>In the *past 30 days*, did you or any household member ever **</t>
    </r>
    <r>
      <rPr>
        <u/>
        <sz val="11"/>
        <rFont val="Calibri"/>
        <family val="2"/>
        <scheme val="minor"/>
      </rPr>
      <t>go a whole day and night without eating anything at all</t>
    </r>
    <r>
      <rPr>
        <sz val="11"/>
        <rFont val="Calibri"/>
        <family val="2"/>
        <scheme val="minor"/>
      </rPr>
      <t>** because there was not enough food?</t>
    </r>
  </si>
  <si>
    <r>
      <t>Au cours des *30 derniers jours*, avez-vous ou tout membre de votre ménage passé **</t>
    </r>
    <r>
      <rPr>
        <u/>
        <sz val="11"/>
        <rFont val="Calibri"/>
        <family val="2"/>
        <scheme val="minor"/>
      </rPr>
      <t>un jour et une nuit entière sans rien manger</t>
    </r>
    <r>
      <rPr>
        <sz val="11"/>
        <rFont val="Calibri"/>
        <family val="2"/>
        <scheme val="minor"/>
      </rPr>
      <t>** parce qu'il n'y avait pas assez de nourriture ?</t>
    </r>
  </si>
  <si>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</si>
  <si>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</si>
  <si>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</si>
  <si>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</si>
  <si>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</si>
  <si>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</si>
  <si>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</si>
  <si>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</si>
  <si>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select_one coping</t>
  </si>
  <si>
    <t>cs_stress_hh_assets</t>
  </si>
  <si>
    <t>**Sell household assets/goods** (radio, furniture, television, jewelry etc.)</t>
  </si>
  <si>
    <t>**Vendre des actifs/biens ménagers** (radio, meubles, télévision, bijoux, etc.)</t>
  </si>
  <si>
    <t>cs_stress_spent_savings</t>
  </si>
  <si>
    <t>**Spend savings**</t>
  </si>
  <si>
    <t>**Dépenser les économies**</t>
  </si>
  <si>
    <t>cs_stress_sold_more_animals</t>
  </si>
  <si>
    <t>**Sell more animals (non-reproductive) than usual**</t>
  </si>
  <si>
    <t>**Vendre plus d'animaux (non producteurs) que d'habitude**</t>
  </si>
  <si>
    <t>cs_stress_eat_elsewhere</t>
  </si>
  <si>
    <t>**Send household members to eat elsewhere**</t>
  </si>
  <si>
    <t>**Envoyer certains membres du ménage manger ailleurs**</t>
  </si>
  <si>
    <t>cs_stress_borrowed_or_helped</t>
  </si>
  <si>
    <t>**Borrow food or relied on help from friends or relatives **</t>
  </si>
  <si>
    <t>**Emprunter de la nourriture ou compter sur l'aide d'amis ou de parents **</t>
  </si>
  <si>
    <t>cs_stress_credit</t>
  </si>
  <si>
    <t>**Purchase food on credit or borrowed food**</t>
  </si>
  <si>
    <t>**Acheter de la nourriture à crédit ou emprunter de la nourriture**</t>
  </si>
  <si>
    <t>cs_stress_borrowed_money</t>
  </si>
  <si>
    <t>**Borrow money**</t>
  </si>
  <si>
    <t>**Emprunter de l'argent**</t>
  </si>
  <si>
    <t>cs_stress_changed_school</t>
  </si>
  <si>
    <t>**Move children to less expensive schools**</t>
  </si>
  <si>
    <t>**Transférer les enfants dans une école moins chère**</t>
  </si>
  <si>
    <t>cs_crisis_sold_prod_assets</t>
  </si>
  <si>
    <t>**Sell productive assets or means of transport** (sewing machine, wheelbarrow, bicycle, car, etc.)</t>
  </si>
  <si>
    <t>**Vendre des actifs productifs ou des véhicules** (machine à coudre, charrette vélo, voiture, etc.)</t>
  </si>
  <si>
    <t>cs_crisis_no_school</t>
  </si>
  <si>
    <t>**Withdraw children from school**</t>
  </si>
  <si>
    <t>**Retirer les enfants de l'école**</t>
  </si>
  <si>
    <t>cs_crisis_reduced_health_exp</t>
  </si>
  <si>
    <t>**Reduce expenses on health** (including drugs)</t>
  </si>
  <si>
    <r>
      <t>**Réduire les dépenses de santé** (dont les médicaments)</t>
    </r>
    <r>
      <rPr>
        <b/>
        <sz val="11"/>
        <color rgb="FFFF0000"/>
        <rFont val="Calibri"/>
        <family val="2"/>
        <scheme val="minor"/>
      </rPr>
      <t xml:space="preserve"> </t>
    </r>
  </si>
  <si>
    <t>cs_crisis_harv_immature_crops</t>
  </si>
  <si>
    <t>**Harvest immature crops** (e.g. green maize) **to eat**</t>
  </si>
  <si>
    <t>**Récolter des cultures immatures** (par exemple, le maïs vert) pour les manger</t>
  </si>
  <si>
    <t>cs_crisis_consume_seed_stocks</t>
  </si>
  <si>
    <t>**Consume seed stocks that were to be saved for the next planting season**</t>
  </si>
  <si>
    <t>**Consommer les stocks de semence qui devaient être gardés pour la prochaine campagne de semis**</t>
  </si>
  <si>
    <t>cs_crisis_decrease_input_exp</t>
  </si>
  <si>
    <t>**Decrease expenditures on fertilizer, pesticide, fodder, animal feed, veterinary care, etc.**</t>
  </si>
  <si>
    <t>**Diminuer les dépenses d'engrais, pesticides, fourrages,aliments pour animaux, soins vétérinaires, etc.**</t>
  </si>
  <si>
    <t>cs_emergency_sold_house</t>
  </si>
  <si>
    <t>**Sell a house or land**</t>
  </si>
  <si>
    <t>**Vendre sa maison ou ses terres**</t>
  </si>
  <si>
    <t>cs_emergency_begged</t>
  </si>
  <si>
    <t>**Beg**</t>
  </si>
  <si>
    <t>**Mendier**</t>
  </si>
  <si>
    <t>cs_emergency_illegal</t>
  </si>
  <si>
    <t>**Engage in illegal or degrading income activities** (theft, prostitution)</t>
  </si>
  <si>
    <t>**S'engager dans des activités illégales ou dégradantes** (vol, prostitution) pour obtenir un revenu</t>
  </si>
  <si>
    <t>cs_emergency_sold_last_female</t>
  </si>
  <si>
    <t>**Sell your last female animals**</t>
  </si>
  <si>
    <t>**Vendre votre dernières femelles animales**</t>
  </si>
  <si>
    <t>cs_emergency_hh_migration</t>
  </si>
  <si>
    <t>**Migrate with the entire household**</t>
  </si>
  <si>
    <t>**Migration de l'entièreté du ménage**</t>
  </si>
  <si>
    <t>grp_hdds</t>
  </si>
  <si>
    <t>HDDS</t>
  </si>
  <si>
    <t>SDAM</t>
  </si>
  <si>
    <t>hdds_intro</t>
  </si>
  <si>
    <t>Now I would like to ask you about a set of questions on food consumption, referring to the *24 hours of yesterday*.</t>
  </si>
  <si>
    <t xml:space="preserve">Je voudrais maintenant vous poser une série de questions sur votre consommation alimentaire, avec comme référence les *24 dernières heures de la journée d'hier*. </t>
  </si>
  <si>
    <t>select_multiple hdds</t>
  </si>
  <si>
    <t>hdds</t>
  </si>
  <si>
    <t>Please describe the foods (meals and snacks) that you or any household member ate or drank at home yesterday (in the *24 hours of yesterday*: breakfast, lunch, dinner and snacks).</t>
  </si>
  <si>
    <t>Veuillez décrire les aliments [repas et collations] que vous ou tout membre du ménage avez consommés ou bus à la maison au cours de la journée d’hier [dans les *24 dernières heures*: petit-déjeuner, déjeuner, dîner et collations].</t>
  </si>
  <si>
    <t>[INSTRUCTIONS: SELECT ALL FOOD GROUPS CONSUMED IN THE 24 HOURS OF YESTERDAY AS THE RESPONDENT ANSWERS. MULTIPLE RESPONSES POSSIBLE.]</t>
  </si>
  <si>
    <t>[INSTRUCTIONS :  SÉLECTIONNER TOUS LES GROUPES D'ALIMENTS CONSOMMÉS AU COURS DES 24 HEURES DE LA JOURNÉE PASSÉE DANS LES RÉPONSES DE LA PERSONNE INTERROGÉE. PLUSIEURS RÉPONSES POSSIBLES.]</t>
  </si>
  <si>
    <t>hdds_confirmation</t>
  </si>
  <si>
    <t>[INSTRUCTIONS: Remember to probe for snacks, special foods given to children or pregnant women, ingredients in mixed dishes. At the end, probe for any food groups not specified.]</t>
  </si>
  <si>
    <t>[INSTRUCTIONS : N'oubliez pas de demander des informations sur les collations, les aliments spéciaux donnés aux enfants ou aux femmes enceintes, les ingrédients contenus dans les plats composés. À la fin, renseignez-vous sur les groupes d'aliments non consommés.]</t>
  </si>
  <si>
    <t>grp_fcs</t>
  </si>
  <si>
    <t>FCS</t>
  </si>
  <si>
    <t>SCA</t>
  </si>
  <si>
    <t>fcs_intro</t>
  </si>
  <si>
    <t>Now I would like to ask you about the foods and drinks your household ate or drank in  *the last 7 days* during the day and at night [breakfast, lunch, dinner, snacks].</t>
  </si>
  <si>
    <t>Je voudrais maintenant vous interroger sur les aliments et les boissons consommés dans votre ménage au cours des *7 derniers jours* pendant la journée et la nuit [petit-déjeuner, déjeuner, dîner, collations].</t>
  </si>
  <si>
    <t>fcs_staple_days</t>
  </si>
  <si>
    <t>How many days over *the last 7 days*, did members of your household eat **starches, roots and tubers** such as rice, maize, pasta, bread, sorghum, millet, potato, yam, cassava, white sweet potato?</t>
  </si>
  <si>
    <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les membres de votre foyer ont-ils mangé des **féculents, racines et tubercules** tels que du riz, du maïs, des pâtes, du pain, du sorgho, du mil, des pommes de terre, des ignames, du manioc, des patates douces blanches ?</t>
    </r>
  </si>
  <si>
    <t>[INSTRUCTIONS: RECORD NUMBER OF DAYS 0 - 7. IF CONSUMED ONLY IN SMALL QUANTITY, DO NOT INCLUDE.]</t>
  </si>
  <si>
    <t>[INSTRUCTIONS :  SAISIR LE NOMBRE DE JOURS DE 0 À 7. SI CONSOMMÉ UNIQUEMENT EN PETITE QUANTITÉ, NE PAS INCLURE.]</t>
  </si>
  <si>
    <t>.&gt;= 0 and .&lt;=7</t>
  </si>
  <si>
    <t>The answer must be between 0 and 7 days</t>
  </si>
  <si>
    <t>fcs_pulses_days</t>
  </si>
  <si>
    <t>How many days over *the last 7 days*, did members of your household eat** pulses and nuts such as beans, lentils, cowpeas, soybean, pigeon peas and peanuts or other nuts**?</t>
  </si>
  <si>
    <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les membres de votre foyer ont-ils mangé des **légumineuses et des fruits à coque** tels que des haricots, des lentilles, du niébé, du soja, des pois cajan, des cacahuètes ou d'autres fruits à coque ?</t>
    </r>
  </si>
  <si>
    <t>fcs_vegetables_days</t>
  </si>
  <si>
    <r>
      <t>How many days over *the last 7 days*, did members of your household eat **vegetables or leaves** such as</t>
    </r>
    <r>
      <rPr>
        <b/>
        <sz val="11"/>
        <color rgb="FF7030A0"/>
        <rFont val="Calibri"/>
        <family val="2"/>
        <scheme val="minor"/>
      </rPr>
      <t xml:space="preserve"> #local vegetables#</t>
    </r>
    <r>
      <rPr>
        <sz val="11"/>
        <color theme="0" tint="-0.34998626667073579"/>
        <rFont val="Calibri"/>
        <family val="2"/>
        <scheme val="minor"/>
      </rPr>
      <t xml:space="preserve"> and/or other leaves/vegetables?</t>
    </r>
  </si>
  <si>
    <r>
      <rPr>
        <sz val="11"/>
        <color theme="0" tint="-0.34998626667073579"/>
        <rFont val="Calibri"/>
        <family val="2"/>
        <scheme val="minor"/>
      </rP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xml:space="preserve">*, les membres de votre foyer ont-ils mangé des **légumes ou des feuilles** tels que des </t>
    </r>
    <r>
      <rPr>
        <b/>
        <sz val="11"/>
        <color rgb="FF7030A0"/>
        <rFont val="Calibri"/>
        <family val="2"/>
        <scheme val="minor"/>
      </rPr>
      <t>#légumes locaux#</t>
    </r>
    <r>
      <rPr>
        <sz val="11"/>
        <color theme="1"/>
        <rFont val="Calibri"/>
        <family val="2"/>
        <scheme val="minor"/>
      </rPr>
      <t xml:space="preserve"> </t>
    </r>
    <r>
      <rPr>
        <sz val="11"/>
        <color theme="0" tint="-0.34998626667073579"/>
        <rFont val="Calibri"/>
        <family val="2"/>
        <scheme val="minor"/>
      </rPr>
      <t>et/ou d'autres feuilles/légumes ?</t>
    </r>
  </si>
  <si>
    <t>fcs_fruit_days</t>
  </si>
  <si>
    <r>
      <t xml:space="preserve">How many days over *the last 7 days*, did members of your household eat **fruit** such as </t>
    </r>
    <r>
      <rPr>
        <sz val="11"/>
        <color rgb="FF7030A0"/>
        <rFont val="Calibri"/>
        <family val="2"/>
        <scheme val="minor"/>
      </rPr>
      <t>#</t>
    </r>
    <r>
      <rPr>
        <b/>
        <sz val="11"/>
        <color rgb="FF7030A0"/>
        <rFont val="Calibri"/>
        <family val="2"/>
        <scheme val="minor"/>
      </rPr>
      <t>local fruits#</t>
    </r>
    <r>
      <rPr>
        <sz val="11"/>
        <color theme="0" tint="-0.34998626667073579"/>
        <rFont val="Calibri"/>
        <family val="2"/>
        <scheme val="minor"/>
      </rPr>
      <t xml:space="preserve"> and/or other fruits?</t>
    </r>
  </si>
  <si>
    <r>
      <rPr>
        <sz val="11"/>
        <color theme="0" tint="-0.34998626667073579"/>
        <rFont val="Calibri"/>
        <family val="2"/>
        <scheme val="minor"/>
      </rP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les membres de votre foyer ont-ils mangé des **fruits** tels que des</t>
    </r>
    <r>
      <rPr>
        <sz val="11"/>
        <color theme="1"/>
        <rFont val="Calibri"/>
        <family val="2"/>
        <scheme val="minor"/>
      </rPr>
      <t xml:space="preserve"> </t>
    </r>
    <r>
      <rPr>
        <b/>
        <sz val="11"/>
        <color rgb="FF7030A0"/>
        <rFont val="Calibri"/>
        <family val="2"/>
        <scheme val="minor"/>
      </rPr>
      <t>#fruits locaux#</t>
    </r>
    <r>
      <rPr>
        <sz val="11"/>
        <color theme="1"/>
        <rFont val="Calibri"/>
        <family val="2"/>
        <scheme val="minor"/>
      </rPr>
      <t xml:space="preserve"> </t>
    </r>
    <r>
      <rPr>
        <sz val="11"/>
        <color theme="0" tint="-0.34998626667073579"/>
        <rFont val="Calibri"/>
        <family val="2"/>
        <scheme val="minor"/>
      </rPr>
      <t>et/ou d'autres fruits ?</t>
    </r>
  </si>
  <si>
    <t>fcs_meat_fish_days</t>
  </si>
  <si>
    <t>How many days over *the last 7 days*, did members of your household eat **meat, eggs or fish** [any type of meat or fish including insects, birds, bush meat, seafood, or organs]?</t>
  </si>
  <si>
    <r>
      <t>Combien de fois (en nombre de jours) au cours des *</t>
    </r>
    <r>
      <rPr>
        <b/>
        <sz val="11"/>
        <color theme="0" tint="-0.34998626667073579"/>
        <rFont val="Calibri"/>
        <family val="2"/>
        <scheme val="minor"/>
      </rPr>
      <t>7 derniers jour</t>
    </r>
    <r>
      <rPr>
        <sz val="11"/>
        <color theme="0" tint="-0.34998626667073579"/>
        <rFont val="Calibri"/>
        <family val="2"/>
        <scheme val="minor"/>
      </rPr>
      <t>s</t>
    </r>
    <r>
      <rPr>
        <b/>
        <sz val="11"/>
        <color theme="0" tint="-0.34998626667073579"/>
        <rFont val="Calibri"/>
        <family val="2"/>
        <scheme val="minor"/>
      </rPr>
      <t>*</t>
    </r>
    <r>
      <rPr>
        <sz val="11"/>
        <color theme="0" tint="-0.34998626667073579"/>
        <rFont val="Calibri"/>
        <family val="2"/>
        <scheme val="minor"/>
      </rPr>
      <t>, les membres de votre foyer ont-ils mangé de** la viande, des œufs ou du poisson** [tout type de viande ou  poisson, y compris des insectes, oiseaux, viande de brousse, fruits de mer ou abats]?</t>
    </r>
  </si>
  <si>
    <t>fcs_dairy_days</t>
  </si>
  <si>
    <t>How many days over *the last 7 days*, did members of your household consume fresh milk, sour milk, yogurt, cheese or other **dairy products** [excluding margarine/butter or small amounts of milk for tea/ coffee]?</t>
  </si>
  <si>
    <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les membres de votre foyer ont-ils consommé du lait frais, du lait aigre, du yaourt, du fromage ou d'autres **produits laitiers** [à l'exception de la margarine/du beurre ou de petites quantités de lait pour le thé/café] ?</t>
    </r>
  </si>
  <si>
    <t>fcs_sugar_days</t>
  </si>
  <si>
    <t>How many days over *the last 7 days*, did members of your household consume **sugar or sweets** such as sugar, honey, jam, cakes, candy, cookies, pastries, cakes and other sweets and sugary drinks?</t>
  </si>
  <si>
    <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les membres de votre foyer ont-ils consommé du **sucre ou des produits sucrés** tels que du sucre, du miel, de la confiture, des gâteaux, des bonbons, des biscuits, des pâtisseries et d'autres sucreries et des boissons sucrées ?</t>
    </r>
  </si>
  <si>
    <t>fcs_oil_days</t>
  </si>
  <si>
    <t>How many days over *the last 7 days*, did members of your household eat **oil/fat/butter** such as vegetable oil, palm oil, groundnut oil, margarine, other fats / oil?</t>
  </si>
  <si>
    <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les membres de votre foyer ont-ils consommé de **l'huile/de la graisse/du beurre** tels que des huiles végétales, de l'huile de palme, de l'huile d'arachide, de la margarine, d'autres graisses/huiles ?</t>
    </r>
  </si>
  <si>
    <t>fcs_condiments_days</t>
  </si>
  <si>
    <t>How many days over *the last 7 days*, did members of your household eat **spices or condiments** such as tea, coffee, cocoa, salt, garlic, spices, yeast, meat fish as a condiment or small amounts of milk for tea or coffee?</t>
  </si>
  <si>
    <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les membres de votre foyer ont-ils consommé **des épices ou des condiments** tels que du thé, du café, du cacao, du sel, de l'ail, des épices, de la levure, de la viande, du poisson comme condiment ou de petites quantités de lait pour le thé ou le café ?</t>
    </r>
  </si>
  <si>
    <t>grp_rcsi</t>
  </si>
  <si>
    <t>rCSI</t>
  </si>
  <si>
    <t>rcsi_intro</t>
  </si>
  <si>
    <t>Now I will ask you about the number of days, in *the last 7 days*, during which the household has done some of the actions that I will mention to cope with the lack of food or money to buy food.</t>
  </si>
  <si>
    <t>Je vais maintenant vous demander combien de fois (en nombre de jours), au cours des *7 derniers jours*, votre ménage a du recourir à certaines mesures pour faire face au manque de nourriture ou d'argent pour acheter de la nourriture.</t>
  </si>
  <si>
    <t>rcsi_less_preferred_foods</t>
  </si>
  <si>
    <t xml:space="preserve">In *the past 7 days*, how many days did your household **rely on less preferred or less expensive food** due to lack of food/money?  </t>
  </si>
  <si>
    <r>
      <t>Au cours des *</t>
    </r>
    <r>
      <rPr>
        <b/>
        <sz val="11"/>
        <color theme="0" tint="-0.34998626667073579"/>
        <rFont val="Calibri"/>
        <family val="2"/>
        <scheme val="minor"/>
      </rPr>
      <t>7 derniers jours</t>
    </r>
    <r>
      <rPr>
        <sz val="11"/>
        <color theme="0" tint="-0.34998626667073579"/>
        <rFont val="Calibri"/>
        <family val="2"/>
        <scheme val="minor"/>
      </rPr>
      <t>*, combien de fois (en nombre de jours) votre ménage s'est-il **rabattu sur des aliments qu'il aime moins ou moins chers** par manque de nourriture/argent ?</t>
    </r>
  </si>
  <si>
    <t>[INSTRUCTIONS: RECORD NUMBER OF DAYS 0 - 7]</t>
  </si>
  <si>
    <t>[INSTRUCTIONS :  SAISIR LE NOMBRE DE JOURS DE 0 À 7]</t>
  </si>
  <si>
    <t>rcsi_borrowed_food</t>
  </si>
  <si>
    <t xml:space="preserve">In the *past 7 days*, how many days did your household **borrow food, or rely on help from a friend or relative** due to lack of food or money to buy food? </t>
  </si>
  <si>
    <r>
      <t>Au cours des *</t>
    </r>
    <r>
      <rPr>
        <b/>
        <sz val="11"/>
        <color theme="0" tint="-0.34998626667073579"/>
        <rFont val="Calibri"/>
        <family val="2"/>
        <scheme val="minor"/>
      </rPr>
      <t>7 derniers jours</t>
    </r>
    <r>
      <rPr>
        <sz val="11"/>
        <color theme="0" tint="-0.34998626667073579"/>
        <rFont val="Calibri"/>
        <family val="2"/>
        <scheme val="minor"/>
      </rPr>
      <t>*, combien de fois (en nombre de jours) votre ménage a-t-il **emprunté de la nourriture ou demandé l'aide d'un ami ou d'un parent** en raison du manque de nourriture ou d'argent pour acheter de la nourriture ?</t>
    </r>
  </si>
  <si>
    <t>rcsi_reduce_number_meals</t>
  </si>
  <si>
    <t>In the past 7 days, how many days did your household **reduce the number of meals eaten in a day** due to lack of food or money to buy food?</t>
  </si>
  <si>
    <r>
      <t>Au cours des *</t>
    </r>
    <r>
      <rPr>
        <b/>
        <sz val="11"/>
        <color theme="0" tint="-0.34998626667073579"/>
        <rFont val="Calibri"/>
        <family val="2"/>
        <scheme val="minor"/>
      </rPr>
      <t>7 derniers jours</t>
    </r>
    <r>
      <rPr>
        <sz val="11"/>
        <color theme="0" tint="-0.34998626667073579"/>
        <rFont val="Calibri"/>
        <family val="2"/>
        <scheme val="minor"/>
      </rPr>
      <t>*, combien de fois (en nombre de jours) votre ménage a-t-il **réduit le nombre de repas pris dans une journée** par manque de nourriture ou d'argent pour acheter de la nourriture ?</t>
    </r>
  </si>
  <si>
    <t>rcsi_limit_portions</t>
  </si>
  <si>
    <t xml:space="preserve">In the *past 7 days*, how many days did your household **limit portion sizes at mealtime** due to lack of food or money to buy food? </t>
  </si>
  <si>
    <r>
      <t>Au cours des *</t>
    </r>
    <r>
      <rPr>
        <b/>
        <sz val="11"/>
        <color theme="0" tint="-0.34998626667073579"/>
        <rFont val="Calibri"/>
        <family val="2"/>
        <scheme val="minor"/>
      </rPr>
      <t>7 derniers jours</t>
    </r>
    <r>
      <rPr>
        <sz val="11"/>
        <color theme="0" tint="-0.34998626667073579"/>
        <rFont val="Calibri"/>
        <family val="2"/>
        <scheme val="minor"/>
      </rPr>
      <t>*, combien de fois (en nombre de jours) votre ménage a-t-il **limité la taille des portions consommées pour le repas** en raison du manque de nourriture ou d'argent pour acheter de la nourriture ?</t>
    </r>
  </si>
  <si>
    <t>rcsi_restrict_adult_consumpt</t>
  </si>
  <si>
    <t>In the *past 7 days*, how many days did your household **restrict consumption by adults so children could eat**, due to lack of food or money to buy food?</t>
  </si>
  <si>
    <r>
      <t>Au cours des</t>
    </r>
    <r>
      <rPr>
        <b/>
        <sz val="11"/>
        <color theme="0" tint="-0.34998626667073579"/>
        <rFont val="Calibri"/>
        <family val="2"/>
        <scheme val="minor"/>
      </rPr>
      <t xml:space="preserve"> *7 derniers jours</t>
    </r>
    <r>
      <rPr>
        <sz val="11"/>
        <color theme="0" tint="-0.34998626667073579"/>
        <rFont val="Calibri"/>
        <family val="2"/>
        <scheme val="minor"/>
      </rPr>
      <t>*, combien de fois (en nombre de jours) votre ménage a-t-il **limité les quantités consommées par les adultes pour que les enfants puissent manger**, par manque de nourriture ou d'argent pour acheter de la nourriture ?</t>
    </r>
  </si>
  <si>
    <t>Assisstance_group</t>
  </si>
  <si>
    <t>NEEDS ASSISTANCE</t>
  </si>
  <si>
    <t>BESOIN D'ASSISTANCE</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</si>
  <si>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</si>
  <si>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</si>
  <si>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</si>
  <si>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 xml:space="preserve">Votre ménage aura-t-il besoin d'aide pour soutenir son activité agricole [cultures, élevage et pêche/aquaculture] au cours des 3 à 6 prochains mois ? </t>
  </si>
  <si>
    <t>select_multiple needs</t>
  </si>
  <si>
    <t>need_</t>
  </si>
  <si>
    <t>What are your household's greatest needs for assistance for your household's agricultural activities [including crop, livestock or fisheries/aquaculture production activities] over the next 3 to 6 months?</t>
  </si>
  <si>
    <t>Quels sont les principaux besoins d'assistance de votre ménage pour soutenir son activité agricole [cultures, élevage ou pêche/aquaculture] au cours des 3 à 6 prochains mois ?</t>
  </si>
  <si>
    <t>[INSTRUCTIONS: MULTIPLE RESPONSE. DO NOT READ THE OPTIONS.]</t>
  </si>
  <si>
    <t>[INSTRUCTIONS :  PLUSIEURS RÉPONSES POSSILES. NE PAS LIRE LES OPTIONS.]</t>
  </si>
  <si>
    <t>${need} = 1</t>
  </si>
  <si>
    <t>need_otherspecify</t>
  </si>
  <si>
    <t>selected(${need_}, 'other')</t>
  </si>
  <si>
    <t>select_multiple needreceived</t>
  </si>
  <si>
    <t>need_received</t>
  </si>
  <si>
    <t>Has your household received any assistance in the last 3 months, and if so, which kind?</t>
  </si>
  <si>
    <t>Votre ménage a-t-il reçu une aide au cours des 3 derniers mois, et si oui, de quel type ?</t>
  </si>
  <si>
    <t>[INSTRUCTIONS: READ OUT ANSWER OPTIONS. MULTIPLE RESPONSES POSSIBLE.]</t>
  </si>
  <si>
    <t>[INSTRUCTIONS :  PLUSIEURS RÉPONSES POSSIBLES. LIRE A VOIX HAUTE LES OPTIONS.]</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</si>
  <si>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</si>
  <si>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</si>
  <si>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</si>
  <si>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</si>
  <si>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</si>
  <si>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</si>
  <si>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Avez-vous été satisfait de la qualité de l'assistance reçue?</t>
  </si>
  <si>
    <t>[INSTRUCTIONS: QUALITY OF ASSISTANCE IN TERMS OF SUFFICIENT ASSISTANCE FOR PRODUCTION OR SALES DIFFICULTY TO BE OVERCOME.]</t>
  </si>
  <si>
    <t>[INSTRUCTIONS : QUALITÉ DE L'ASSISTANCE EN TERMES D'AIDE SUFFISANTE POUR SURMONTER LES DIFFICULTÉS DE PRODUCTION OU DE VENTE.]</t>
  </si>
  <si>
    <t>${need_received} != 'dk' and ${need_received} != 'ref' and ${need_received} != 'none'</t>
  </si>
  <si>
    <t>select_multiple provider</t>
  </si>
  <si>
    <t>assistance</t>
  </si>
  <si>
    <t>Who provided your household with this assistance?</t>
  </si>
  <si>
    <t xml:space="preserve">Qui a fourni cette aide à votre ménage ? </t>
  </si>
  <si>
    <t>[INSTRUCTIONS: MULTIPLE RESPONSES.]</t>
  </si>
  <si>
    <t>closing</t>
  </si>
  <si>
    <t>CLOSING</t>
  </si>
  <si>
    <t>FINALISATION DE L'ENTRETIEN</t>
  </si>
  <si>
    <t>callback</t>
  </si>
  <si>
    <t>Your answers will help us to understand and respond to your community needs. May we call you in a few months?</t>
  </si>
  <si>
    <t>Vos réponses nous aideront à comprendre les besoins de votre communauté et à y répondre. Pouvons-nous vous appeler dans quelques mois ?</t>
  </si>
  <si>
    <t>select_multiple week</t>
  </si>
  <si>
    <t>future_int_day</t>
  </si>
  <si>
    <r>
      <t xml:space="preserve">For future interviews, in which </t>
    </r>
    <r>
      <rPr>
        <b/>
        <sz val="11"/>
        <color theme="6" tint="-0.499984740745262"/>
        <rFont val="Calibri"/>
        <family val="2"/>
        <scheme val="minor"/>
      </rPr>
      <t>day(s)</t>
    </r>
    <r>
      <rPr>
        <sz val="11"/>
        <color theme="6" tint="-0.499984740745262"/>
        <rFont val="Calibri"/>
        <family val="2"/>
        <scheme val="minor"/>
      </rPr>
      <t xml:space="preserve"> can I call you?</t>
    </r>
  </si>
  <si>
    <t>Pour les prochains entretiens, quel(s) jour(s) puis-je vous appeler ?</t>
  </si>
  <si>
    <t>[INSTRUCTIONS: MULTIPLE ANSWERS POSSIBLE.]</t>
  </si>
  <si>
    <t>${callback} = '1'</t>
  </si>
  <si>
    <t>select_multiple time</t>
  </si>
  <si>
    <t>future_int_time</t>
  </si>
  <si>
    <r>
      <t xml:space="preserve">For future interviews, at what </t>
    </r>
    <r>
      <rPr>
        <b/>
        <sz val="11"/>
        <color theme="6" tint="-0.499984740745262"/>
        <rFont val="Calibri"/>
        <family val="2"/>
        <scheme val="minor"/>
      </rPr>
      <t>time(s)</t>
    </r>
    <r>
      <rPr>
        <sz val="11"/>
        <color theme="6" tint="-0.499984740745262"/>
        <rFont val="Calibri"/>
        <family val="2"/>
        <scheme val="minor"/>
      </rPr>
      <t xml:space="preserve"> can I call you?</t>
    </r>
  </si>
  <si>
    <t>Pour les prochains entretiens, à quel(s) moment(s) de la journée puis-je vous appeler ?</t>
  </si>
  <si>
    <t>select_one language</t>
  </si>
  <si>
    <t>language2</t>
  </si>
  <si>
    <t xml:space="preserve">Select the language that was mostly used to complete the interview. </t>
  </si>
  <si>
    <t>Sélectionner la langue qui a été principalement utilisée pour réaliser l'entretien.</t>
  </si>
  <si>
    <t>closeout</t>
  </si>
  <si>
    <r>
      <t>Thank you for your time. The interview has come to an end.</t>
    </r>
    <r>
      <rPr>
        <sz val="11"/>
        <color rgb="FF7030A0"/>
        <rFont val="Calibri"/>
        <family val="2"/>
        <scheme val="minor"/>
      </rPr>
      <t xml:space="preserve"> </t>
    </r>
  </si>
  <si>
    <t xml:space="preserve">Merci de nous avoir accordé votre temps. L'entretien est terminé. </t>
  </si>
  <si>
    <t>time</t>
  </si>
  <si>
    <t>Interview_End_Time</t>
  </si>
  <si>
    <t>Interview End Time</t>
  </si>
  <si>
    <t>Heure de la fin de l'interview</t>
  </si>
  <si>
    <t>gps_2</t>
  </si>
  <si>
    <t>GPS INSTRUCTION: You didn't take a measurement earlier. Now walk around the household or go near the main road and try to take a GPS measurement.</t>
  </si>
  <si>
    <t>INSTRUCTION GPS : Vous n'avez pas encore enregistré les coordonnées GPS. Déplacez-vous autour de la maison ou allez proche de la route principale et essayez de récupérer les coordonnées GPS de nouveau.</t>
  </si>
  <si>
    <t xml:space="preserve">false </t>
  </si>
  <si>
    <t>${resp_agree} = '1' and ${gps_1} = ''</t>
  </si>
  <si>
    <t>enum_notes</t>
  </si>
  <si>
    <t>Enter any notes or feedback from this survey:</t>
  </si>
  <si>
    <t>Saisissez toutes les notes ou commentaires de cet entretien :</t>
  </si>
  <si>
    <t xml:space="preserve">Leave empty if there are no comments. </t>
  </si>
  <si>
    <t xml:space="preserve">Laissez vide s'il n'y a pas de commentaires. </t>
  </si>
  <si>
    <t>__version__</t>
  </si>
  <si>
    <t>'vfVbKi5bfYAnEzqoBsXTzQ'</t>
  </si>
  <si>
    <t xml:space="preserve">AVERAGE ESTIMATED DURATION </t>
  </si>
  <si>
    <t>list_name</t>
  </si>
  <si>
    <t>my_filter_admin</t>
  </si>
  <si>
    <t>enumteam</t>
  </si>
  <si>
    <t>Enumerator team 1</t>
  </si>
  <si>
    <t>Équipe d'enquêteurs 1</t>
  </si>
  <si>
    <t>Enumerator team 2</t>
  </si>
  <si>
    <t>Équipe d'enquêteurs 2</t>
  </si>
  <si>
    <t>Enumerator team 3</t>
  </si>
  <si>
    <t>Équipe d'enquêteurs 3</t>
  </si>
  <si>
    <t>Enumerator team 4</t>
  </si>
  <si>
    <t>Équipe d'enquêteurs 4</t>
  </si>
  <si>
    <t>enumerator name 1</t>
  </si>
  <si>
    <t xml:space="preserve">Nom énumérateur 1 </t>
  </si>
  <si>
    <t>enumerator name 2</t>
  </si>
  <si>
    <t xml:space="preserve">Nom énumérateur 2 </t>
  </si>
  <si>
    <t>enumerator name 3</t>
  </si>
  <si>
    <t>Nom énumérateur 3</t>
  </si>
  <si>
    <t>yes_no</t>
  </si>
  <si>
    <t>Yes</t>
  </si>
  <si>
    <t>Oui</t>
  </si>
  <si>
    <t>No</t>
  </si>
  <si>
    <t>Non</t>
  </si>
  <si>
    <t>DON'T KNOW</t>
  </si>
  <si>
    <t>NE SAIT PAS</t>
  </si>
  <si>
    <t>REFUSED</t>
  </si>
  <si>
    <t>REFUSÉ</t>
  </si>
  <si>
    <t>continue</t>
  </si>
  <si>
    <t>continuez</t>
  </si>
  <si>
    <t>yesno</t>
  </si>
  <si>
    <t>language</t>
  </si>
  <si>
    <t>en</t>
  </si>
  <si>
    <t>English</t>
  </si>
  <si>
    <t>fr</t>
  </si>
  <si>
    <t>French</t>
  </si>
  <si>
    <t>Français</t>
  </si>
  <si>
    <t>…</t>
  </si>
  <si>
    <t>gender</t>
  </si>
  <si>
    <t>Male</t>
  </si>
  <si>
    <t>Homme</t>
  </si>
  <si>
    <t>Female</t>
  </si>
  <si>
    <t>Femme</t>
  </si>
  <si>
    <t>contact_info</t>
  </si>
  <si>
    <t>YES - mine</t>
  </si>
  <si>
    <t>Oui - le mien</t>
  </si>
  <si>
    <t>YES - other household member</t>
  </si>
  <si>
    <t>Oui - un autre membre du ménage</t>
  </si>
  <si>
    <t>YES - friend or relative [non household member]</t>
  </si>
  <si>
    <t>Oui - celui d'un ami ou d'un parent [non membre du ménage]</t>
  </si>
  <si>
    <t>NO</t>
  </si>
  <si>
    <t>agricactivity</t>
  </si>
  <si>
    <t xml:space="preserve">Yes - crop production </t>
  </si>
  <si>
    <t xml:space="preserve">Oui - production végétale </t>
  </si>
  <si>
    <t>Yes - livestock production</t>
  </si>
  <si>
    <t>Oui - production animale</t>
  </si>
  <si>
    <t xml:space="preserve">Yes - both crop and livestock production </t>
  </si>
  <si>
    <t xml:space="preserve">Oui - production végétale et animale </t>
  </si>
  <si>
    <t>edu</t>
  </si>
  <si>
    <t>None or did not complete primary school</t>
  </si>
  <si>
    <t>Aucun ou n'a pas terminé l'école primaire</t>
  </si>
  <si>
    <t>Completed primary school</t>
  </si>
  <si>
    <t>A terminé l'école primaire</t>
  </si>
  <si>
    <t>Completed secondary school</t>
  </si>
  <si>
    <t>A terminé l'école secondaire</t>
  </si>
  <si>
    <t>Completed higher education [University / College] degree</t>
  </si>
  <si>
    <t>Diplôme de l'enseignement supérieur [Université]</t>
  </si>
  <si>
    <t>Religious or informal education only</t>
  </si>
  <si>
    <t>Enseignement religieux ou informel uniquement</t>
  </si>
  <si>
    <t>water</t>
  </si>
  <si>
    <t>Private tap from piped water</t>
  </si>
  <si>
    <t>Robinet privé avec eau courante</t>
  </si>
  <si>
    <t>Public tap</t>
  </si>
  <si>
    <t>Robinet public</t>
  </si>
  <si>
    <t>Protected well</t>
  </si>
  <si>
    <t>Puits protégé</t>
  </si>
  <si>
    <t>Bottled water</t>
  </si>
  <si>
    <t>Eau en bouteille</t>
  </si>
  <si>
    <t>Other safe source</t>
  </si>
  <si>
    <t>Autre source sûre</t>
  </si>
  <si>
    <t>River</t>
  </si>
  <si>
    <t>Rivière</t>
  </si>
  <si>
    <t>Unprotected well</t>
  </si>
  <si>
    <t>Puits non protégé</t>
  </si>
  <si>
    <t>Spring water</t>
  </si>
  <si>
    <t>Eau de source</t>
  </si>
  <si>
    <t>Surface water [e.g. canal, ponds, dams]</t>
  </si>
  <si>
    <t>Eaux de surface (par ex. canaux, étangs, barrages)</t>
  </si>
  <si>
    <t>Other unsafe source</t>
  </si>
  <si>
    <t>toilet</t>
  </si>
  <si>
    <t>Flush latrine/toilet with water</t>
  </si>
  <si>
    <t>Latrines à chasse d'eau [toilettes avec eau]</t>
  </si>
  <si>
    <t>Traditional pit latrine [no water]</t>
  </si>
  <si>
    <t>Latrines traditionnelles à fosse [sans eau]</t>
  </si>
  <si>
    <t>Open pit [hole in the ground for excrement without water, roof or wall]</t>
  </si>
  <si>
    <t>Fosse ouverte [trou dans le sol pour les excréments, sans eau, toit ni mur]</t>
  </si>
  <si>
    <t>Communal latrine [with or without water]</t>
  </si>
  <si>
    <t>Latrines communautaires [avec ou sans eau]</t>
  </si>
  <si>
    <t>None – bush</t>
  </si>
  <si>
    <t>Aucune – brousse</t>
  </si>
  <si>
    <t>light</t>
  </si>
  <si>
    <t>Electricity [from generator or electrical grid]</t>
  </si>
  <si>
    <t>Électricité [à partir d'un générateur, du réseau électrique]</t>
  </si>
  <si>
    <t>Candle</t>
  </si>
  <si>
    <t>Bougie</t>
  </si>
  <si>
    <t>Petrol lamp</t>
  </si>
  <si>
    <t>Lampe à pétrole</t>
  </si>
  <si>
    <t>Lamp with batteries</t>
  </si>
  <si>
    <t>Lampe à piles</t>
  </si>
  <si>
    <t>Solar panel</t>
  </si>
  <si>
    <t>Panneaux solaires</t>
  </si>
  <si>
    <t>Other [no electric supply to the house]</t>
  </si>
  <si>
    <t>Autre [pas d'alimentation électrique dans la maison]</t>
  </si>
  <si>
    <t>residence</t>
  </si>
  <si>
    <t>Permanent Resident - you have been living in your village / town for longer than two years and this is what you consider your habitual residence</t>
  </si>
  <si>
    <t>Résident permanent - vous vivez dans votre village/ville depuis plus de deux ans et vous le/la considérez comme votre résidence habituelle</t>
  </si>
  <si>
    <t>Recent migrant not forcefully displaced - you have been living in your current place of residence for less than two years and you moved there voluntarily for work / family or other reasons that are not related to conflict or natural disaster</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</si>
  <si>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</si>
  <si>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Returnee - you have only come back to this residence in the last two years after having been forced to move to another location having fled conflict or natural disaster [if return was over 2 years ago the respondent is considered a permanent resident]</t>
  </si>
  <si>
    <t>Personne rapatriée - vous êtes revenu dans ce lieu de résidence au cours des deux dernières années après avoir été contraint de vous déplacer pour fuir un conflit ou une catastrophe naturelle [si le retour a eu lieu il y a plus de deux ans, le répondant est considéré comme un résident permanent]</t>
  </si>
  <si>
    <t xml:space="preserve">Internally displaced person [IDP] - you were forced to flee your village or town because of conflict or natural disaster and you are now an internally displaced person in your current place of residence </t>
  </si>
  <si>
    <t>Personne déplacée à l'intérieur de son pays - vous avez été forcé de fuir votre village ou votre ville en raison d'un conflit ou d'une catastrophe naturelle et vous êtes une personne déplacée à l'intérieur de son propre pays dans votre lieu de résidence actuel</t>
  </si>
  <si>
    <t>Refugee - you were forced to flee your country because of conflict or natural disaster and you are now a refugee in your current place of residence</t>
  </si>
  <si>
    <t>Réfugié - vous avez été forcé de fuir votre pays en raison d'un conflit ou d'une catastrophe naturelle et vous êtes un réfugié dans votre lieu de résidence actuel</t>
  </si>
  <si>
    <t>asset_prod</t>
  </si>
  <si>
    <t>process</t>
  </si>
  <si>
    <t>Processing assets (e.g. grinding/crushing machine, mill, oil press, fish tanks)</t>
  </si>
  <si>
    <t>Actifs de transformation [par ex. broyeur, moulin, presse à huile, aquarium]</t>
  </si>
  <si>
    <t>farmmach</t>
  </si>
  <si>
    <t>Farm or fishing machinery (e.g. tractor, plough, sickle, boats, engines)</t>
  </si>
  <si>
    <t>Machine agricole ou de pêche [par ex. tracteur, charrue, faucille, bateaux, moteurs]</t>
  </si>
  <si>
    <t>sewing</t>
  </si>
  <si>
    <t>Sewing machine or weaving tool</t>
  </si>
  <si>
    <t>Machine à coudre ou métier à tisser</t>
  </si>
  <si>
    <t>taxi</t>
  </si>
  <si>
    <t>Taxi</t>
  </si>
  <si>
    <t>truck</t>
  </si>
  <si>
    <t>Truck</t>
  </si>
  <si>
    <t>Camion</t>
  </si>
  <si>
    <t>other</t>
  </si>
  <si>
    <t>Other productive machines or assets</t>
  </si>
  <si>
    <t>Autres machines ou actifs productifs</t>
  </si>
  <si>
    <t>none</t>
  </si>
  <si>
    <t>No productive machines or assets</t>
  </si>
  <si>
    <t>Aucune machine ou actif productif</t>
  </si>
  <si>
    <t>dk</t>
  </si>
  <si>
    <t>ref</t>
  </si>
  <si>
    <t>asset_transp</t>
  </si>
  <si>
    <t>bici</t>
  </si>
  <si>
    <t>Bicycle</t>
  </si>
  <si>
    <t>Bicyclette</t>
  </si>
  <si>
    <t>cart</t>
  </si>
  <si>
    <t>Cart (animal drawn)</t>
  </si>
  <si>
    <t>Chariot [tiré par un animal]</t>
  </si>
  <si>
    <t>boatmotor</t>
  </si>
  <si>
    <t>Boat with an engine [inboard or outboard]</t>
  </si>
  <si>
    <t>Bateau avec moteur [in-bord ou hors-bord]</t>
  </si>
  <si>
    <t>boatnomotor</t>
  </si>
  <si>
    <t>Unmotorized boat [e.g. canoe]</t>
  </si>
  <si>
    <t>Bateau non motorisé [par ex. canoë]</t>
  </si>
  <si>
    <t>motorbike</t>
  </si>
  <si>
    <t>Motorbike / scooter / auto rickshaw</t>
  </si>
  <si>
    <t>Moto/scooter/pousse-pousse</t>
  </si>
  <si>
    <t>car</t>
  </si>
  <si>
    <t>Car</t>
  </si>
  <si>
    <t>Voiture</t>
  </si>
  <si>
    <t>van</t>
  </si>
  <si>
    <t>Van or small truck</t>
  </si>
  <si>
    <t>Fourgonnette ou petit camion</t>
  </si>
  <si>
    <t>Other motor vehicle</t>
  </si>
  <si>
    <t>Autre véhicule motorisé</t>
  </si>
  <si>
    <t>None of the above</t>
  </si>
  <si>
    <t>Aucun des véhicules proposés</t>
  </si>
  <si>
    <t xml:space="preserve">  </t>
  </si>
  <si>
    <t>maritalstat</t>
  </si>
  <si>
    <t xml:space="preserve">Single / never married </t>
  </si>
  <si>
    <t xml:space="preserve">Célibataire / jamais marié </t>
  </si>
  <si>
    <t>Married</t>
  </si>
  <si>
    <t>Marié(e)</t>
  </si>
  <si>
    <t>Separated</t>
  </si>
  <si>
    <t>Séparé(e)</t>
  </si>
  <si>
    <t>Divorced</t>
  </si>
  <si>
    <t>Divorcé(e)</t>
  </si>
  <si>
    <t>Widowed</t>
  </si>
  <si>
    <t>Veuf ou veuve</t>
  </si>
  <si>
    <t>DON’T KNOW</t>
  </si>
  <si>
    <t xml:space="preserve">REFUSED </t>
  </si>
  <si>
    <t>agegroup</t>
  </si>
  <si>
    <t>Under 18</t>
  </si>
  <si>
    <t>Moins de 18 ans</t>
  </si>
  <si>
    <t>18 to 40</t>
  </si>
  <si>
    <t xml:space="preserve">18 à 40 ans </t>
  </si>
  <si>
    <t>41 to 65</t>
  </si>
  <si>
    <t>41 à 65 ans</t>
  </si>
  <si>
    <t>Over 65</t>
  </si>
  <si>
    <t>Plus de 65 ans</t>
  </si>
  <si>
    <t>incomesource1</t>
  </si>
  <si>
    <t>Production and sale of staple crops</t>
  </si>
  <si>
    <t>Production et vente de cultures vivrières</t>
  </si>
  <si>
    <t xml:space="preserve">Production and sale of vegetables or fruit </t>
  </si>
  <si>
    <t xml:space="preserve">Production et vente de légumes ou de fruits </t>
  </si>
  <si>
    <t>Production and sale of cashcrops</t>
  </si>
  <si>
    <t>Production et vente de cultures de rente</t>
  </si>
  <si>
    <t xml:space="preserve">Production and sale of livestock or livestock products </t>
  </si>
  <si>
    <t>Production et vente de bétail ou de produits animaux</t>
  </si>
  <si>
    <t>Production and sale of honey and bee products</t>
  </si>
  <si>
    <t>Production et vente de miel ou de produits apicoles</t>
  </si>
  <si>
    <t>Production and sale of fish or aquatic products</t>
  </si>
  <si>
    <t>Production et vente de poisson ou de produits aquatiques</t>
  </si>
  <si>
    <t>Collection and sale of natural resources (including forestry or bush products)</t>
  </si>
  <si>
    <t>Collecte et vente de produits forestiers ou de brousse</t>
  </si>
  <si>
    <t>Agricultural trade EXCLUDING producers (formal or informal)</t>
  </si>
  <si>
    <t>Commerce agricole EXCLUANT les producteurs [formel ou informel]</t>
  </si>
  <si>
    <t xml:space="preserve">Daily wage on farms and other casual employment in agricultural sector </t>
  </si>
  <si>
    <t>Salaire journalier dans une exploitation et autres emplois occasionnels dans le secteur agricole</t>
  </si>
  <si>
    <t xml:space="preserve">Stable employment in agricultural sector </t>
  </si>
  <si>
    <t xml:space="preserve">Emploi stable dans le secteur agricole </t>
  </si>
  <si>
    <t>Non-agricultural self-employed or liberal profession, doctor, architect, lawyer, including restaurant</t>
  </si>
  <si>
    <t>Indépendant non-agricole ou profession libérale / médecin / architecte / avocat / y compris restaurant</t>
  </si>
  <si>
    <t>Off-farm daily wages and other non-agricultural casual employment</t>
  </si>
  <si>
    <t>Salaire journalier hors exploitation et autres emplois occasionnels non agricoles</t>
  </si>
  <si>
    <t>Stable employment in non-agricultural sector</t>
  </si>
  <si>
    <t>Emploi stable dans le secteur non-agricole</t>
  </si>
  <si>
    <t xml:space="preserve">Public employment </t>
  </si>
  <si>
    <t xml:space="preserve">Emploi public </t>
  </si>
  <si>
    <t>Income not derived from work / Charity</t>
  </si>
  <si>
    <t>Revenu non tiré du travail / Charité</t>
  </si>
  <si>
    <t>Income not derived from work / Welfare transfer, pension, humanitarian aid</t>
  </si>
  <si>
    <t>Revenu non tiré du travail / Transferts sociaux, pension, aide humanitaire</t>
  </si>
  <si>
    <t>Income not derived from work / Remittances</t>
  </si>
  <si>
    <t>Revenu non tiré du travail / Envois de fonds des migrants</t>
  </si>
  <si>
    <t xml:space="preserve">Income not derived from work / Income from other rents                                                                                                                                              </t>
  </si>
  <si>
    <t>Revenu non tiré du travail / Revenu d'autres loyers</t>
  </si>
  <si>
    <t>No income source in the last 3 months and used exclusively savings / debts</t>
  </si>
  <si>
    <t>Aucune source de revenus au cours des trois derniers mois et recours exclusif à l'épargne / création de dettes</t>
  </si>
  <si>
    <t>gender_inc_1</t>
  </si>
  <si>
    <t>Joint (both male &amp; female)</t>
  </si>
  <si>
    <t>Mixte [homme et femme]</t>
  </si>
  <si>
    <t>gender_inc_2</t>
  </si>
  <si>
    <t>Male household member(s)</t>
  </si>
  <si>
    <t>Membre(s) masculin(s) du ménage</t>
  </si>
  <si>
    <t>Female household member(s)</t>
  </si>
  <si>
    <t>Membre(s) feminin(s) du ménage</t>
  </si>
  <si>
    <t>Joint household members (both female &amp; male)</t>
  </si>
  <si>
    <t>Membres du ménages conjointement (femme et homme)</t>
  </si>
  <si>
    <t>change</t>
  </si>
  <si>
    <t>A lot more [increased by more than 50%]</t>
  </si>
  <si>
    <t>Très supérieur [augmentation de plus de 50%]</t>
  </si>
  <si>
    <t>Slightly more</t>
  </si>
  <si>
    <t>Supérieur</t>
  </si>
  <si>
    <t>Same</t>
  </si>
  <si>
    <t>Identique</t>
  </si>
  <si>
    <t>Slightly less</t>
  </si>
  <si>
    <t>Inférieur</t>
  </si>
  <si>
    <t xml:space="preserve">A lot less [less than half as much] </t>
  </si>
  <si>
    <t>Très inférieur [moins de la moitié]</t>
  </si>
  <si>
    <t>incomesource2</t>
  </si>
  <si>
    <t>Production et vente de légumes ou de fruits</t>
  </si>
  <si>
    <t>Production et vente de bétail ou de produits du bétail</t>
  </si>
  <si>
    <t>Collecte et vente de ressources naturelles (y compris les produits forestiers ou de la brousse)</t>
  </si>
  <si>
    <t>Emploi stable dans le secteur agricole</t>
  </si>
  <si>
    <t>Indépendant non-agricole ou profession libérale, médecin, architecte, avocat, y compris restaurant</t>
  </si>
  <si>
    <t>Salaire journalier et autres emplois occasionnels non‑agricoles</t>
  </si>
  <si>
    <t>Emploi public</t>
  </si>
  <si>
    <t>Revenu non tiré du travail / Envoi de fonds des migrants</t>
  </si>
  <si>
    <t>Income not derived from work / Income from other rents</t>
  </si>
  <si>
    <t>No second most important source of income</t>
  </si>
  <si>
    <t xml:space="preserve">Pas de seconde source de revenu </t>
  </si>
  <si>
    <t>incomesource3</t>
  </si>
  <si>
    <t xml:space="preserve">Income not derived from work / Income from other rents                                </t>
  </si>
  <si>
    <t>No third most important source of income</t>
  </si>
  <si>
    <t>noshock</t>
  </si>
  <si>
    <t>No shock</t>
  </si>
  <si>
    <t>Aucun choc</t>
  </si>
  <si>
    <t>sicknessordeathofhh</t>
  </si>
  <si>
    <t>Sickness or accident or death of household member[s] [sickness of breadwinner / unusually high medical expenditure / funeral expenses / death of breadwinner]</t>
  </si>
  <si>
    <t>Maladie, accident ou décès d'un ou plusieurs membres du ménage [maladie du soutien de famille / dépenses médicales anormalement élevées / frais funéraires / décès du soutien de famille]</t>
  </si>
  <si>
    <t>lostemplorwork</t>
  </si>
  <si>
    <t>Lost employment or working opportunities [not due to illness/accident]</t>
  </si>
  <si>
    <t>Perte d'emploi ou d'opportunités de travail [non due à la maladie ou à un accident]</t>
  </si>
  <si>
    <t>otherintrahhshock</t>
  </si>
  <si>
    <t>Other intra-household shock</t>
  </si>
  <si>
    <t>Autre choc interne au ménage</t>
  </si>
  <si>
    <t>higherfoodprices</t>
  </si>
  <si>
    <t>Unusually high food prices</t>
  </si>
  <si>
    <t>Prix des denrées alimentaires anormalement élevés</t>
  </si>
  <si>
    <t>higherfuelprices</t>
  </si>
  <si>
    <t>Unusually high fuel prices or transport prices</t>
  </si>
  <si>
    <t>Prix des carburants ou des transports anormalement élevés</t>
  </si>
  <si>
    <t>mvtrestrict</t>
  </si>
  <si>
    <t>Population movement restrictions [e.g. due to epidemic or infrastructure damage]</t>
  </si>
  <si>
    <t>Restrictions de mouvements de population [par exemple, en raison d'une épidémie ou de dommages causés aux infrastructures]</t>
  </si>
  <si>
    <t>othereconomicshock</t>
  </si>
  <si>
    <t xml:space="preserve">Other economic shock </t>
  </si>
  <si>
    <t xml:space="preserve">Autre choc économique </t>
  </si>
  <si>
    <t>pestoutbreak</t>
  </si>
  <si>
    <t>Pest outbreak</t>
  </si>
  <si>
    <t>Invasion d'organismes nuisibles</t>
  </si>
  <si>
    <t>plantdisease</t>
  </si>
  <si>
    <t>Plant disease</t>
  </si>
  <si>
    <t>Maladie des plantes</t>
  </si>
  <si>
    <t>animaldisease</t>
  </si>
  <si>
    <t>Animal disease [affecting many animals] or death</t>
  </si>
  <si>
    <t>Maladie animale [touchant de nombreux animaux] ou mort d'animaux</t>
  </si>
  <si>
    <t>napasture</t>
  </si>
  <si>
    <t>Lack of physical access to pasture</t>
  </si>
  <si>
    <t>Accès difficile aux pâturages</t>
  </si>
  <si>
    <t>othercropandlivests</t>
  </si>
  <si>
    <t>Other crop and livestock shock</t>
  </si>
  <si>
    <t>Autre choc touchant les cultures et le bétail</t>
  </si>
  <si>
    <t>coldtemporhail</t>
  </si>
  <si>
    <t>Cold temperatures or hail</t>
  </si>
  <si>
    <t>Températures froides / grêle</t>
  </si>
  <si>
    <t>flood</t>
  </si>
  <si>
    <t>Flood / riverbank erosion</t>
  </si>
  <si>
    <t>Inondations / érosion des berges</t>
  </si>
  <si>
    <t>hurricane</t>
  </si>
  <si>
    <t>Hurricane / cyclone / tornado</t>
  </si>
  <si>
    <t>Ouragan / cyclone / tornade</t>
  </si>
  <si>
    <t>drought</t>
  </si>
  <si>
    <t>Drought / heat stress</t>
  </si>
  <si>
    <t>Sécheresse / stress dû à la chaleur</t>
  </si>
  <si>
    <t>earthquake</t>
  </si>
  <si>
    <t>Earthquake</t>
  </si>
  <si>
    <t>Tremblement de terre</t>
  </si>
  <si>
    <t>landslides</t>
  </si>
  <si>
    <t>Landslides</t>
  </si>
  <si>
    <t>Glissement de terrain</t>
  </si>
  <si>
    <t>firenatural</t>
  </si>
  <si>
    <t>Fire from natural disaster</t>
  </si>
  <si>
    <t>Incendie dû à une catastrophe naturelle</t>
  </si>
  <si>
    <t>othernathazard</t>
  </si>
  <si>
    <t>Other natural hazard</t>
  </si>
  <si>
    <t>Autre risque naturel</t>
  </si>
  <si>
    <t>violenceinsecconf</t>
  </si>
  <si>
    <t>Violence and insecurity / conflict</t>
  </si>
  <si>
    <t>Violence et insécurité / conflit</t>
  </si>
  <si>
    <t>theftofprodassets</t>
  </si>
  <si>
    <t>Theft of production assets [land / livestock / tools / etc]</t>
  </si>
  <si>
    <t>Vol d'actifs de production [terres/ bétail/ outils/ etc.]</t>
  </si>
  <si>
    <t>firemanmade</t>
  </si>
  <si>
    <t>Fire from man-made disaster</t>
  </si>
  <si>
    <t>Incendie dû à une catastrophe d'origine humaine</t>
  </si>
  <si>
    <t>othermanmadehazard</t>
  </si>
  <si>
    <t>Other human-induced hazard</t>
  </si>
  <si>
    <t>Autre risque d'origine humaine</t>
  </si>
  <si>
    <t>covidmeasures</t>
  </si>
  <si>
    <t>goodstransp</t>
  </si>
  <si>
    <t>Movement restrictions [sometimes producing product scarcity or price hikes]</t>
  </si>
  <si>
    <t>Restrictions de mouvement [entraînant parfois une raréfaction des produits ou une forte hausse des prix]</t>
  </si>
  <si>
    <t>marketclosed</t>
  </si>
  <si>
    <t>Closure of food markets or other businesses</t>
  </si>
  <si>
    <t>Fermeture des marchés alimentaires ou d'autres commerces</t>
  </si>
  <si>
    <t>borderclosed</t>
  </si>
  <si>
    <t>Closure of international borders [affecting the purchase of imported inputs or the sale of goods for export or transhumance]</t>
  </si>
  <si>
    <t>Fermeture des frontières internationales [ayant un impact sur l'achat d'intrants importés, la vente de marchandises exportées ou la transhumance]</t>
  </si>
  <si>
    <t>stayhome</t>
  </si>
  <si>
    <t>Stay at home order</t>
  </si>
  <si>
    <t>Ordre de confinement</t>
  </si>
  <si>
    <t>gatherings</t>
  </si>
  <si>
    <t>Ban on gatherings</t>
  </si>
  <si>
    <t>Interdiction des rassemblements</t>
  </si>
  <si>
    <t>processclosed</t>
  </si>
  <si>
    <t>Closure of food processors [slaughterhouse / dairy cooperatives / etc] or restaurants</t>
  </si>
  <si>
    <t>Fermeture des lieux de transformation des aliments (abattoirs, coopératives laitières, etc.) ou des restaurants</t>
  </si>
  <si>
    <t>curfew</t>
  </si>
  <si>
    <t>Curfews</t>
  </si>
  <si>
    <t>Couvre-feux</t>
  </si>
  <si>
    <t>school</t>
  </si>
  <si>
    <t>Closure of schools</t>
  </si>
  <si>
    <t>Fermeture d'écoles</t>
  </si>
  <si>
    <t>Other [specify]</t>
  </si>
  <si>
    <t>Autre [préciser]</t>
  </si>
  <si>
    <t>Not affected by restrictions</t>
  </si>
  <si>
    <t>Non touché par les restrictions</t>
  </si>
  <si>
    <t>landsize_unit</t>
  </si>
  <si>
    <t>Acres</t>
  </si>
  <si>
    <t>Hectares</t>
  </si>
  <si>
    <t>Square meters</t>
  </si>
  <si>
    <t>Mètres carrés</t>
  </si>
  <si>
    <t>Square feet</t>
  </si>
  <si>
    <t>Pieds carrés</t>
  </si>
  <si>
    <t>#local measurement units#</t>
  </si>
  <si>
    <t>#local measurement units FR#</t>
  </si>
  <si>
    <t>cropcheck</t>
  </si>
  <si>
    <t xml:space="preserve">Don’t usually produce during this season </t>
  </si>
  <si>
    <t xml:space="preserve">Ne produit habituellement pas pendant cette saison </t>
  </si>
  <si>
    <t>Wasn't able to produce (e.g. due to difficulties)</t>
  </si>
  <si>
    <t>N'a pas été en mesure de produire (en raison de difficultés, par exemple)</t>
  </si>
  <si>
    <t>irrigation</t>
  </si>
  <si>
    <t>Rainfed</t>
  </si>
  <si>
    <t>Pluie</t>
  </si>
  <si>
    <t>Groundwater</t>
  </si>
  <si>
    <t>Eaux souterraines</t>
  </si>
  <si>
    <t>Natural surface water [river, lake, stream, pond, etc.]</t>
  </si>
  <si>
    <t>Eaux de surface naturelles [rivière / lac / ruisseau / étang / etc.]</t>
  </si>
  <si>
    <t>Constructed water point [canal, dam, etc.]</t>
  </si>
  <si>
    <t xml:space="preserve">Point d'eau artificiel [canal / barrage /etc.] </t>
  </si>
  <si>
    <t>Public water supply system [e.g. tap water]</t>
  </si>
  <si>
    <t>Système public d'approvisionnement en eau [par ex. eau du robinet]</t>
  </si>
  <si>
    <t>irrigpump</t>
  </si>
  <si>
    <t>No, everything works on gravity</t>
  </si>
  <si>
    <t>Non, tout fonctionne par gravité</t>
  </si>
  <si>
    <t>Yes, there is a communal diesel/gas pump</t>
  </si>
  <si>
    <t>Oui, une pompe commune diesel/gaz</t>
  </si>
  <si>
    <t>Yes, there is a communal manual pump</t>
  </si>
  <si>
    <t>Oui, une pompe manuelle commune</t>
  </si>
  <si>
    <t>Yes, there is a manual pump in my field</t>
  </si>
  <si>
    <t xml:space="preserve"> Oui, une pompe manuelle située dans mon champ</t>
  </si>
  <si>
    <t>Yes, there is a diesel pump in my field</t>
  </si>
  <si>
    <t>Oui, une pompe diesel située dans mon champ</t>
  </si>
  <si>
    <t>seedsupply</t>
  </si>
  <si>
    <t>ownprod</t>
  </si>
  <si>
    <t>Own production</t>
  </si>
  <si>
    <t>Propre production</t>
  </si>
  <si>
    <t>market</t>
  </si>
  <si>
    <t>Local market or agro-input shop / dealer</t>
  </si>
  <si>
    <t>Marché local ou magasin / négociant d'intrants agricoles</t>
  </si>
  <si>
    <t>company</t>
  </si>
  <si>
    <t>Private seed company</t>
  </si>
  <si>
    <t>Entreprises privées de semences</t>
  </si>
  <si>
    <t>ngo</t>
  </si>
  <si>
    <t>NGOs</t>
  </si>
  <si>
    <t>ONG</t>
  </si>
  <si>
    <t>organized_community</t>
  </si>
  <si>
    <t>Community seed banks / farmer networks / farmers' association / etc.</t>
  </si>
  <si>
    <t>Banques de semences communautaires / réseaux de cultivateurs / associations de cultivateurs / etc.</t>
  </si>
  <si>
    <t>gov</t>
  </si>
  <si>
    <t>Government [e.g. MoA]</t>
  </si>
  <si>
    <t>Gouvernement [par ex., ministère de l'Agriculture]</t>
  </si>
  <si>
    <t>relatives_friends</t>
  </si>
  <si>
    <t>Relatives or friends</t>
  </si>
  <si>
    <t xml:space="preserve">Famille ou amis </t>
  </si>
  <si>
    <t>Other</t>
  </si>
  <si>
    <t>Autre</t>
  </si>
  <si>
    <t>harv_unit</t>
  </si>
  <si>
    <t>Kilograms [kgs]</t>
  </si>
  <si>
    <t>Kilogrammes [kg]</t>
  </si>
  <si>
    <t>Tonnes</t>
  </si>
  <si>
    <t>Ounces</t>
  </si>
  <si>
    <t>Onces</t>
  </si>
  <si>
    <t>Pounds</t>
  </si>
  <si>
    <t>Livres</t>
  </si>
  <si>
    <t>Bags</t>
  </si>
  <si>
    <t>Sacs</t>
  </si>
  <si>
    <t>Boxes</t>
  </si>
  <si>
    <t>Boîtes</t>
  </si>
  <si>
    <t>Bundles</t>
  </si>
  <si>
    <t>Fagots</t>
  </si>
  <si>
    <t>Packets</t>
  </si>
  <si>
    <t>Paquets</t>
  </si>
  <si>
    <t>cropproddiff</t>
  </si>
  <si>
    <t>plant_disease</t>
  </si>
  <si>
    <t xml:space="preserve">Plant disease </t>
  </si>
  <si>
    <t>pest_outbreak</t>
  </si>
  <si>
    <t>Pest outbreak [including birds]</t>
  </si>
  <si>
    <t>Invasion d'organismes nuisibles [dont oiseaux]</t>
  </si>
  <si>
    <t>animal_grazing</t>
  </si>
  <si>
    <t>Uncontrolled animal grazing</t>
  </si>
  <si>
    <t>Pâturage incontrôlé d'animaux</t>
  </si>
  <si>
    <t>access_plot</t>
  </si>
  <si>
    <t>Access to plot</t>
  </si>
  <si>
    <t>Accès à la parcelle</t>
  </si>
  <si>
    <t>access_fertilize</t>
  </si>
  <si>
    <t>Access to fertilizer [not available on markets or prices too high]</t>
  </si>
  <si>
    <t>Accès aux engrais [non disponibles sur les marchés ou prix trop élevés]</t>
  </si>
  <si>
    <t>seed_quality</t>
  </si>
  <si>
    <t>Access to quality seeds</t>
  </si>
  <si>
    <t>Accès à des semences de qualité</t>
  </si>
  <si>
    <t>seed_quantity</t>
  </si>
  <si>
    <t>Access to enough seeds [not available on markets or prices too high]</t>
  </si>
  <si>
    <t>Accès à des semences en quantité suffisante [non disponibles sur les marchés ou prix trop élevés]</t>
  </si>
  <si>
    <t>access_pesticide</t>
  </si>
  <si>
    <t>Access to pesticides</t>
  </si>
  <si>
    <t>Accès aux pesticides</t>
  </si>
  <si>
    <t>access_labour</t>
  </si>
  <si>
    <t>Access to manpower labour</t>
  </si>
  <si>
    <t>Accès à la main-d'œuvre</t>
  </si>
  <si>
    <t>access_machinery</t>
  </si>
  <si>
    <t>Access to machinery, tools or animals for ploughing</t>
  </si>
  <si>
    <t>Accès aux machines, outils ou animaux pour labourer</t>
  </si>
  <si>
    <t>access_fuel</t>
  </si>
  <si>
    <t>Access to fuel or electricity to power agricultural equipment</t>
  </si>
  <si>
    <t>Accès au carburant ou à l'électricité pour alimenter les équipements agricoles</t>
  </si>
  <si>
    <t>soil_erosion</t>
  </si>
  <si>
    <t>Soil erosion</t>
  </si>
  <si>
    <t>Érosion des sols</t>
  </si>
  <si>
    <t>lack_irrigation</t>
  </si>
  <si>
    <t xml:space="preserve">Not enough irrigation or rainfall water </t>
  </si>
  <si>
    <t>Eau d'irrigation ou pluie insuffisante</t>
  </si>
  <si>
    <t>excess_water</t>
  </si>
  <si>
    <t>Too much irrigation or water</t>
  </si>
  <si>
    <t>Eau d'irrigation ou pluie trop abondante</t>
  </si>
  <si>
    <t>access_credit</t>
  </si>
  <si>
    <t>Access to credit</t>
  </si>
  <si>
    <t>Accès au crédit</t>
  </si>
  <si>
    <t>storage</t>
  </si>
  <si>
    <t>None</t>
  </si>
  <si>
    <t>Aucune</t>
  </si>
  <si>
    <t>A little</t>
  </si>
  <si>
    <t>Une petite part</t>
  </si>
  <si>
    <t>An important part of it, but less than half</t>
  </si>
  <si>
    <t>Une part importante, mais moins de la moitié</t>
  </si>
  <si>
    <t>Most of it [half or more]</t>
  </si>
  <si>
    <t>Une grande part [la moitié ou plus]</t>
  </si>
  <si>
    <t>Almost everything</t>
  </si>
  <si>
    <t>La presque totalité</t>
  </si>
  <si>
    <t>Everything</t>
  </si>
  <si>
    <t>La totalité</t>
  </si>
  <si>
    <t>cropsalesdiff</t>
  </si>
  <si>
    <t>marketing_cost</t>
  </si>
  <si>
    <t>High transportation or other marketing costs</t>
  </si>
  <si>
    <t>Coûts de transport ou autres coûts de commercialisation élevés</t>
  </si>
  <si>
    <t>damage_losses</t>
  </si>
  <si>
    <t>Damages and losses due to storage difficulties and/or difficulty accessing the market [e.g. insecurity, poor infrastructure, etc.]</t>
  </si>
  <si>
    <t>Dommages et pertes dus à des difficultés de stockage et/ou d'accès au marché [par exemple, insécurité, mauvaises infrastructures, etc.]</t>
  </si>
  <si>
    <t>low_demand</t>
  </si>
  <si>
    <t xml:space="preserve">Lack of demand from usual traders or buyers </t>
  </si>
  <si>
    <t>Baisse de la demande des commerçants ou clients habituels</t>
  </si>
  <si>
    <t>pay_delay</t>
  </si>
  <si>
    <t>Payment delays from traders / buyers</t>
  </si>
  <si>
    <t>Retards de paiement de la part des négociants/acheteurs</t>
  </si>
  <si>
    <t>low_price</t>
  </si>
  <si>
    <t>Low selling prices [e.g. compared to input prices / inflation]</t>
  </si>
  <si>
    <t xml:space="preserve">Faible prix de vente [par exemple, par rapport aux prix des intrants / inflation] </t>
  </si>
  <si>
    <t>processing</t>
  </si>
  <si>
    <t>Difficulty processing product [lack of processing inputs / equipment / etc]</t>
  </si>
  <si>
    <t>Difficulté de transformation de la production [manque d'intrants / d'équipements de transformation / etc.]</t>
  </si>
  <si>
    <t>competition</t>
  </si>
  <si>
    <t>Market flooded with products</t>
  </si>
  <si>
    <t>Marchés saturés</t>
  </si>
  <si>
    <t>Cattle [cow / beef / veal / yak / buffalo]</t>
  </si>
  <si>
    <t>Bovins [vache / bœuf / veau / yak / buffle]</t>
  </si>
  <si>
    <t>Goat</t>
  </si>
  <si>
    <t>Chèvres</t>
  </si>
  <si>
    <t>Sheep</t>
  </si>
  <si>
    <t>Moutons</t>
  </si>
  <si>
    <t>Swine [swine / boar / hog / etc]</t>
  </si>
  <si>
    <t>Porcins [cochon / sanglier / porc / etc.]</t>
  </si>
  <si>
    <t>Equine [donkey / horse / etc]</t>
  </si>
  <si>
    <t>Équidés [âne / cheval / etc]</t>
  </si>
  <si>
    <t>Small domesticated mammals [rabbits / minks / guinea pigs / etc]</t>
  </si>
  <si>
    <t>Petits mammifères domestiques [lapins / visons / cochons d'Inde / etc.]</t>
  </si>
  <si>
    <t>Poultry [chicken / guineafowl / duck / quail / turkey / etc]</t>
  </si>
  <si>
    <t>Volaille [poulets / pintades / canards / cailles / dindes / etc.]</t>
  </si>
  <si>
    <t>Camelids</t>
  </si>
  <si>
    <t>Camélidés</t>
  </si>
  <si>
    <t>lsnum</t>
  </si>
  <si>
    <t>no_change</t>
  </si>
  <si>
    <t>No significant change in livestock number</t>
  </si>
  <si>
    <t>Pas de changement significatif du nombre de têtes de bétail</t>
  </si>
  <si>
    <t>inc_less_sales</t>
  </si>
  <si>
    <t>Did not sell as many</t>
  </si>
  <si>
    <t>Diminution des ventes</t>
  </si>
  <si>
    <t>inc_more_birth</t>
  </si>
  <si>
    <t>Many more were born</t>
  </si>
  <si>
    <t>Davantage de naissances</t>
  </si>
  <si>
    <t>inc_more_acquired</t>
  </si>
  <si>
    <t>Purchased or bartered more animals this year</t>
  </si>
  <si>
    <t>Davantage d'animaux achetés ou troqués cette année</t>
  </si>
  <si>
    <t>inc_received_free</t>
  </si>
  <si>
    <t>Received animals for free [restocking, gift]</t>
  </si>
  <si>
    <t>Animaux reçus gratuitement [réapprovisionnement / cadeau]</t>
  </si>
  <si>
    <t>dec_poor_health</t>
  </si>
  <si>
    <t>Animal death due to malnutrition, drought, lack of feed</t>
  </si>
  <si>
    <t xml:space="preserve">Mort d'animaux due à la malnutrition, à la sécheresse, au manque de nourriture </t>
  </si>
  <si>
    <t>dec_death</t>
  </si>
  <si>
    <t>Animal death due to other factors [e.g. diseases, parasites, injury]</t>
  </si>
  <si>
    <t>Mort d'animaux due à d'autres facteurs [par ex. maladies, parasites, blessures]</t>
  </si>
  <si>
    <t>dec_sales_good_price</t>
  </si>
  <si>
    <t>Sold more than usual because of good prices</t>
  </si>
  <si>
    <t>Davantage de ventes en raison de bons prix</t>
  </si>
  <si>
    <t>dec_sales_distress</t>
  </si>
  <si>
    <t>Sold more than usual because of distress sales [unable to feed animal, need money urgently for household basic needs even if sales were unsustainable]</t>
  </si>
  <si>
    <t>Davantage de ventes en raison de ventes de détresse [incapacité à nourrir l'animal / besoin urgent d'argent pour les besoins de base du ménage même si les ventes ne sont pas durables]</t>
  </si>
  <si>
    <t>dec_escape_stolen</t>
  </si>
  <si>
    <t>Animal escaped or was lost or stolen</t>
  </si>
  <si>
    <t>Animaux échappés, perdus ou volés</t>
  </si>
  <si>
    <t>dec_consumed</t>
  </si>
  <si>
    <t>Killed or gave away more animals than usual for household consumption or celebrations [marriage, funerals, etc]</t>
  </si>
  <si>
    <t>Davantage d'animaux abattus ou donnés pour la consommation du ménage ou pour des cérémonies [mariage / funérailles / etc.]</t>
  </si>
  <si>
    <t>inc_dec_other</t>
  </si>
  <si>
    <t>inc_dec_dk</t>
  </si>
  <si>
    <t>inc_dec_ref</t>
  </si>
  <si>
    <t>lsfood</t>
  </si>
  <si>
    <t>open_pasture</t>
  </si>
  <si>
    <t>Open pasture</t>
  </si>
  <si>
    <t>Pâturages ouverts</t>
  </si>
  <si>
    <t>common_pasture</t>
  </si>
  <si>
    <t>Community-managed pasture land</t>
  </si>
  <si>
    <t>Pâturages gérés par la communauté</t>
  </si>
  <si>
    <t>self_produced</t>
  </si>
  <si>
    <t>Owned or rented field or self-produced fodder</t>
  </si>
  <si>
    <t>Champ possédé ou loué, ou fourrage auto-produit</t>
  </si>
  <si>
    <t>purchased</t>
  </si>
  <si>
    <t>Purchase feed or fodder at the market</t>
  </si>
  <si>
    <t>Achat d'aliments/fourrage sur les marchés</t>
  </si>
  <si>
    <t>free_dist</t>
  </si>
  <si>
    <t>Free distribution</t>
  </si>
  <si>
    <t xml:space="preserve">Distributions gratuites </t>
  </si>
  <si>
    <t xml:space="preserve">Other </t>
  </si>
  <si>
    <t>lsproddiff</t>
  </si>
  <si>
    <t>feed_purchase</t>
  </si>
  <si>
    <t>Difficulty to purchase feed [prices or access to market]</t>
  </si>
  <si>
    <t>Difficulté à acheter des aliments pour animaux [prix ou accès au marché]</t>
  </si>
  <si>
    <t>access_pasture</t>
  </si>
  <si>
    <t>Access to pasture</t>
  </si>
  <si>
    <t>Accès aux pâturages</t>
  </si>
  <si>
    <t>access_water</t>
  </si>
  <si>
    <t>Access to water</t>
  </si>
  <si>
    <t>Accès à l'eau</t>
  </si>
  <si>
    <t>vet_serv</t>
  </si>
  <si>
    <t>Access to veterinary services [vaccinations, treatments, spraying, advisory etc]</t>
  </si>
  <si>
    <t>Accès aux services vétérinaires [vaccins / traitements / pulvérisations / conseils / etc.]</t>
  </si>
  <si>
    <t>vet_input</t>
  </si>
  <si>
    <t>Access to veterinary inputs [medicine for animals / tools for animal health / etc]</t>
  </si>
  <si>
    <t>Accès aux intrants vétérinaires [médicaments pour animaux / outils pour la santé animale / etc.]</t>
  </si>
  <si>
    <t>diseases</t>
  </si>
  <si>
    <t>Livestock diseases or injury</t>
  </si>
  <si>
    <t>Maladies ou blessures du bétail</t>
  </si>
  <si>
    <t>theft</t>
  </si>
  <si>
    <t>Livestock theft</t>
  </si>
  <si>
    <t>Vol de bétail</t>
  </si>
  <si>
    <t>access_market</t>
  </si>
  <si>
    <t>Access to livestock market to buy young animals</t>
  </si>
  <si>
    <t>Accès aux marchés de bétail pour acheter de jeunes animaux</t>
  </si>
  <si>
    <t>lsmain2</t>
  </si>
  <si>
    <t>No other livestock</t>
  </si>
  <si>
    <t>Pas d'autre bétail</t>
  </si>
  <si>
    <t>salesmain</t>
  </si>
  <si>
    <t>Equine [donkey / horse / etc.]</t>
  </si>
  <si>
    <t>Poultry [chicken / guineafowl / duck / quail / turkey / etc.]</t>
  </si>
  <si>
    <t>Eggs</t>
  </si>
  <si>
    <t>Œufs</t>
  </si>
  <si>
    <t>Milk or dairy products</t>
  </si>
  <si>
    <t>Lait ou produits laitiers</t>
  </si>
  <si>
    <t>Skin or leather or wool</t>
  </si>
  <si>
    <t>Peau, cuir ou laine</t>
  </si>
  <si>
    <t>lssalesdif</t>
  </si>
  <si>
    <t xml:space="preserve">Damage and losses during transportation or difficulty accessing the market </t>
  </si>
  <si>
    <t>Dommages et pertes pendant le transport ou difficulté d'accès au marché</t>
  </si>
  <si>
    <t>Lack of demand from usual traders or buyers</t>
  </si>
  <si>
    <t>Faibles prix de vente [par exemple, par rapport aux prix des intrants / inflation]</t>
  </si>
  <si>
    <t>slaughterhouse</t>
  </si>
  <si>
    <t>Closure of slaughterhouses or difficulties accessing slaughterhouses</t>
  </si>
  <si>
    <t>Fermeture des abattoirs ou difficultés d'accès aux abattoirs</t>
  </si>
  <si>
    <t>Difficulties processing product other than closure of slaughterhouse [lack of access to processing inputs / equipment / etc]</t>
  </si>
  <si>
    <t>Difficultés de transformation du produit autres que la fermeture des abattoirs [manque d'accès aux intrants de transformation / aux équipements / etc.]</t>
  </si>
  <si>
    <t>fishactivity</t>
  </si>
  <si>
    <t>coastal</t>
  </si>
  <si>
    <t>Near coastal, delta, lagoon fishing</t>
  </si>
  <si>
    <t>Pêche côtière, dans les deltas ou les lagunes</t>
  </si>
  <si>
    <t>offshore_sea</t>
  </si>
  <si>
    <t>Offshore sea fishing</t>
  </si>
  <si>
    <t>Pêche en haute mer</t>
  </si>
  <si>
    <t>freshwater</t>
  </si>
  <si>
    <t>Freshwater fishing [in lakes, reservoirs, ponds, rivers, or wetlands]</t>
  </si>
  <si>
    <t>Pêche en eau douce [lacs, réservoirs, étangs, rivières ou zones humides]</t>
  </si>
  <si>
    <t>aquaculture</t>
  </si>
  <si>
    <t>Aquaculture</t>
  </si>
  <si>
    <t>fishproddiff</t>
  </si>
  <si>
    <t>find_fish</t>
  </si>
  <si>
    <t>Fish is more difficult to find than in previous years in the same season [fishing]</t>
  </si>
  <si>
    <t>Le poisson est plus difficile à trouver que les années précédentes à la même saison [pêche]</t>
  </si>
  <si>
    <t>pests</t>
  </si>
  <si>
    <t>Fish pests and diseases [aquaculture]</t>
  </si>
  <si>
    <t>Parasites et maladies des poissons [aquaculture]</t>
  </si>
  <si>
    <t>access_area</t>
  </si>
  <si>
    <t>Access to fishing or aquaculture area [e.g. due to weather conditions]</t>
  </si>
  <si>
    <t>Accès aux zones de pêche ou d'aquaculture [par exemple, en raison des conditions météorologiques ou sécuritaires].</t>
  </si>
  <si>
    <t>fuel</t>
  </si>
  <si>
    <t>Access to fuel [prices higher or not available]</t>
  </si>
  <si>
    <t>Accès au carburant [trop cher ou non disponible]</t>
  </si>
  <si>
    <t>input_access</t>
  </si>
  <si>
    <t>Access to other fishing or culture inputs [prices higher or not available]</t>
  </si>
  <si>
    <t>Accès à d'autres intrants de pêche ou de culture [trop chers ou non disponibles]</t>
  </si>
  <si>
    <t>labour</t>
  </si>
  <si>
    <t>Access to labour or crew labour [prices higher or not available]</t>
  </si>
  <si>
    <t>Accès à la main-d'œuvre ou aux équipages [trop chers ou non disponibles]</t>
  </si>
  <si>
    <t>infrastructure</t>
  </si>
  <si>
    <t>Damage or destruction of infrastructure [ponds, cages, ports, landing sites]</t>
  </si>
  <si>
    <t>Dommages ou destruction des infrastructures [étangs, cages, ports, sites de débarquement]</t>
  </si>
  <si>
    <t>damage_equip</t>
  </si>
  <si>
    <t>Damage or destruction of boats or gears</t>
  </si>
  <si>
    <t>Dommages ou destruction des bateaux ou du matériel de pêche</t>
  </si>
  <si>
    <t>Autre [spécifiez]</t>
  </si>
  <si>
    <t>fishinput</t>
  </si>
  <si>
    <t>bait_feed</t>
  </si>
  <si>
    <t>Feed or bait</t>
  </si>
  <si>
    <t>Aliments ou appâts</t>
  </si>
  <si>
    <t>fingerling</t>
  </si>
  <si>
    <t>Fingerling</t>
  </si>
  <si>
    <t>Alevins</t>
  </si>
  <si>
    <t>gear</t>
  </si>
  <si>
    <t>Fishing gear [e.g. rods, hooks, nets]</t>
  </si>
  <si>
    <t>Matériel de pêche [par exemple, cannes à pêche, hameçons, filets]</t>
  </si>
  <si>
    <t>ice</t>
  </si>
  <si>
    <t>Ice</t>
  </si>
  <si>
    <t>Glace</t>
  </si>
  <si>
    <t>Fuel</t>
  </si>
  <si>
    <t>Carburant</t>
  </si>
  <si>
    <t>boatrepairs</t>
  </si>
  <si>
    <t>Equipment repairs [including boats] or spare parts</t>
  </si>
  <si>
    <t>Réparation de l'équipement [y compris bateaux] ou pièces de rechange</t>
  </si>
  <si>
    <t>Labour</t>
  </si>
  <si>
    <t>Main d'oeuvre</t>
  </si>
  <si>
    <t>fishsales</t>
  </si>
  <si>
    <t>Fresh product [any kind, including invertebrates]</t>
  </si>
  <si>
    <t>Produit frais [toutes sortes, y compris invertébrés]</t>
  </si>
  <si>
    <t>Preserved product [including dry, smoked, fermented, salted]</t>
  </si>
  <si>
    <t>Produit conservé [y compris poisson séché, fumé, fermenté, salé]</t>
  </si>
  <si>
    <t>Frozen product</t>
  </si>
  <si>
    <t>Produit congelé</t>
  </si>
  <si>
    <t>Canned product</t>
  </si>
  <si>
    <t>Produit en conserve</t>
  </si>
  <si>
    <t>fishsalesdif</t>
  </si>
  <si>
    <t>Deterioration and losses due to storage difficulties or delays or inability to physically access markets</t>
  </si>
  <si>
    <t>Dommages et pertes dues à des difficultés ou des retards de stockage ou à l'impossibilité d'accéder physiquement aux marchés</t>
  </si>
  <si>
    <t>Lack of demand from usual buyers/traders</t>
  </si>
  <si>
    <t>Baisse de la demande des commerçants/clients habituels</t>
  </si>
  <si>
    <t xml:space="preserve">Payment delays from traders/buyers </t>
  </si>
  <si>
    <t>low_prices</t>
  </si>
  <si>
    <t>Difficulties processing product [lack of access to processing inputs / equipment / etc]</t>
  </si>
  <si>
    <t>Difficultés de transformation du produit [manque d'accès aux intrants de transformation / équipements / etc.]</t>
  </si>
  <si>
    <t>Market flooded with product</t>
  </si>
  <si>
    <t>frequency</t>
  </si>
  <si>
    <t>Rarely (1-2 times in the past 30 days)</t>
  </si>
  <si>
    <t>Rarement [1 ou 2 fois au cours des 30 derniers jours]</t>
  </si>
  <si>
    <t>Sometimes (3-10 times in the past 30 days)</t>
  </si>
  <si>
    <t>Parfois [entre 3 et 10 fois au cours des 30 derniers jours]</t>
  </si>
  <si>
    <t>Often (more than 10 times in the last 30 days)</t>
  </si>
  <si>
    <t>Souvent [plus de 10 fois au cours des 30 derniers jours]</t>
  </si>
  <si>
    <t xml:space="preserve">DON'T KNOW </t>
  </si>
  <si>
    <t>coping</t>
  </si>
  <si>
    <t>No - because it wasn’t necessary</t>
  </si>
  <si>
    <t>Non - parce que ce n'était pas nécessaire</t>
  </si>
  <si>
    <t>No - because you already sold those assets or did this activity within the last 12 months and you cannot continue to do it</t>
  </si>
  <si>
    <t>Non - parce que vous avez déjà vendu ces biens ou réalisé cette activité au cours des 12 derniers mois et que vous ne pouvez pas continuer à le faire</t>
  </si>
  <si>
    <t>Not applicable</t>
  </si>
  <si>
    <t>Non applicable</t>
  </si>
  <si>
    <t>cereals</t>
  </si>
  <si>
    <t>Cereals [sorghum / millet / corn / wheat / rice / spaghetti / bread or insert any other locally available grain]</t>
  </si>
  <si>
    <t>Céréales [sorgho / millet / maïs / blé / riz / spaghettis / pain ou toute autre céréale disponible localement]</t>
  </si>
  <si>
    <t>rootstubers</t>
  </si>
  <si>
    <t>Roots and tubers [white sweet potato / potato / yam / cassava or other tubers]</t>
  </si>
  <si>
    <t>Racines et tubercules [patate douce blanche / pomme de terre / igname / manioc ou autres tubercules]</t>
  </si>
  <si>
    <t>vegetables</t>
  </si>
  <si>
    <t>Vegetables [all]</t>
  </si>
  <si>
    <t>Légumes [tous]</t>
  </si>
  <si>
    <t>fruits</t>
  </si>
  <si>
    <t>Fruit [all]</t>
  </si>
  <si>
    <t>Fruits [tous]</t>
  </si>
  <si>
    <t>meat</t>
  </si>
  <si>
    <t>Meat, poultry and offal [beef / pork / lamb /goat / rabbit / wild game / chicken / duck or other birds / liver / kidney / heart / or other organ meats]</t>
  </si>
  <si>
    <t>Viande/ volaille et abats [bœuf / porc / agneau / chèvre/ lapin / gibier / poulet / canard / foie / rein / cœur ou autres abats]</t>
  </si>
  <si>
    <t>eggs</t>
  </si>
  <si>
    <t>fish</t>
  </si>
  <si>
    <t>Fish or shellfish [fresh or dried fish / other seafood]</t>
  </si>
  <si>
    <t>Poissons ou crustacés [poissons frais ou séchés / crustacés]</t>
  </si>
  <si>
    <t>legumes</t>
  </si>
  <si>
    <t>Legumes, nuts and seeds [beans / peas / peanut / lentils / almond / and/or other nuts]</t>
  </si>
  <si>
    <t>Légumineuses, fruits à coque et graines [haricots / pois / arachides / lentilles / amandes et/ou autres fruits à coque]</t>
  </si>
  <si>
    <t>milkdairy</t>
  </si>
  <si>
    <t>Milk and other dairy products [fresh milk / sour / yogurt / cheese / other dairy products]</t>
  </si>
  <si>
    <t>Lait et autres produits laitiers [lait frais / lait caillé / yaourt / fromage / autres produits laitiers]</t>
  </si>
  <si>
    <t>oils</t>
  </si>
  <si>
    <t>Oil/fat / butter [cooking / butter / margarine / fat/oil / other oil]</t>
  </si>
  <si>
    <t>Huiles et graisses [cuisson / beurre / margarine / graisse / huile / autres huiles]</t>
  </si>
  <si>
    <t>sugar</t>
  </si>
  <si>
    <t>Sugar or sugary products [honey / jam / donuts / candy / biscuits / pastries / cakes and other sweet products]</t>
  </si>
  <si>
    <t>Sucre ou produits sucrés [miel / confiture / beignets / bonbons / chocolat / biscuits / pâtisseries / gâteaux et autres produits sucrés]</t>
  </si>
  <si>
    <t>condiments</t>
  </si>
  <si>
    <t>Condiments [cocoa /salt / garlic / spices / yeast or baking powder / tomato or tomato sauce / meat or fish as a condiment] / coffee / tea</t>
  </si>
  <si>
    <t>Condiments [cacao / sel / ail / épices / levure / levure chimique / tomate ou sauce tomate / viande ou poisson comme condiment] et café / thé</t>
  </si>
  <si>
    <t>needs</t>
  </si>
  <si>
    <t>food</t>
  </si>
  <si>
    <t>Food</t>
  </si>
  <si>
    <t>Nourriture</t>
  </si>
  <si>
    <t>cash</t>
  </si>
  <si>
    <t>Cash</t>
  </si>
  <si>
    <t>Argent liquide</t>
  </si>
  <si>
    <t>vouchers_fair</t>
  </si>
  <si>
    <t>Vouchers or input trade fairs</t>
  </si>
  <si>
    <t>Bons d'achat ou foire aux intrants</t>
  </si>
  <si>
    <t>crop_inputs</t>
  </si>
  <si>
    <t>Inputs for crop and/or vegetable production [e.g. seeds, fertilizer, tools]</t>
  </si>
  <si>
    <t>Intrants pour la production végétale et/ou de légumes [par exemple, semences, engrais, outils]</t>
  </si>
  <si>
    <t>crop_infrastructure</t>
  </si>
  <si>
    <t>Infrastructure for crop and/or vegetable production [e.g. irrigation, canal rehabilitation, pumps]</t>
  </si>
  <si>
    <t>Infrastructures pour la production végétale et/ou de légumes [par exemple, irrigation, réhabilitation de canaux, pompes]</t>
  </si>
  <si>
    <t>crop_knowledge</t>
  </si>
  <si>
    <t>Training &amp; technical knowledge/advice for crop production</t>
  </si>
  <si>
    <t>Formations et conseils techniques pour la production végétale</t>
  </si>
  <si>
    <t>Livestock feed [fodder or supplementary feed]</t>
  </si>
  <si>
    <t>Aliments pour le bétail [fourrage ou aliments complémentaires]</t>
  </si>
  <si>
    <t>ls_vet_service</t>
  </si>
  <si>
    <t>Veterinary services [e.g. vaccination, dips, deworming]</t>
  </si>
  <si>
    <t>Services vétérinaires [par exemple, vaccination, bain antiparasitaire, vermifuges]</t>
  </si>
  <si>
    <t>ls_infrastructure</t>
  </si>
  <si>
    <t>Infrastructure for livestock [e.g. water points, transhumance corridors, shelter, health points]</t>
  </si>
  <si>
    <t>Infrastructures pour le bétail [par exemple, points d'eau, couloirs de transhumance, abris, points santé]</t>
  </si>
  <si>
    <t>ls_knowledge</t>
  </si>
  <si>
    <t>Training &amp; technical knowledge/advice for livestock production</t>
  </si>
  <si>
    <t>Formations et conseils techniques pour la production animale</t>
  </si>
  <si>
    <t>fish_inputs</t>
  </si>
  <si>
    <t>Inputs for fishing or aquaculture production</t>
  </si>
  <si>
    <t>Intrants pour la production de poissons ou l'aquaculture</t>
  </si>
  <si>
    <t>fish_infrastructure</t>
  </si>
  <si>
    <t>Infrastructure for fisheries or aquaculture production [e.g. rehabilitation of port; repair of ponds]</t>
  </si>
  <si>
    <t>Infrastructures pour la pêche ou l'aquaculture [par exemple, réhabilitation du port, réaménagement des étangs]</t>
  </si>
  <si>
    <t>fish_knowledge</t>
  </si>
  <si>
    <t>Training &amp; technical knowledge/advice for fisheries or aquaculture production</t>
  </si>
  <si>
    <t>Formations et conseils techniques pour la pêche ou l'aquaculture</t>
  </si>
  <si>
    <t>env_infra_rehab</t>
  </si>
  <si>
    <t>Environmental or infrastructure rehabilitation [community-wide]</t>
  </si>
  <si>
    <t>Réhabilitation de l'environnement ou des infrastructures [à l'échelle de la communauté]</t>
  </si>
  <si>
    <t>cold_storage</t>
  </si>
  <si>
    <t>Cold storage</t>
  </si>
  <si>
    <t>Stockage réfrigéré</t>
  </si>
  <si>
    <t>marketing_supp</t>
  </si>
  <si>
    <t>Marketing or sales support [e.g. public procurement]</t>
  </si>
  <si>
    <t>Soutien à la commercialisation ou aux ventes [par exemple, passation de marchés publics]</t>
  </si>
  <si>
    <t>needreceived</t>
  </si>
  <si>
    <t xml:space="preserve">Cash </t>
  </si>
  <si>
    <t xml:space="preserve">Argent liquide </t>
  </si>
  <si>
    <t>Vouchers/input trade fairs</t>
  </si>
  <si>
    <t>Bons d'achat/foires aux intrants</t>
  </si>
  <si>
    <t>crop_assist</t>
  </si>
  <si>
    <t>Crop and/or vegetable production assistance</t>
  </si>
  <si>
    <t>Soutien à la production végétale et/ou de légumes</t>
  </si>
  <si>
    <t>ls_assist</t>
  </si>
  <si>
    <t>Livestock assistance</t>
  </si>
  <si>
    <t>Soutien à l'élevage</t>
  </si>
  <si>
    <t>fish_assist</t>
  </si>
  <si>
    <t>Fisheries and/or aquaculture assistance</t>
  </si>
  <si>
    <t>Soutien à la pêche et/ou à l'aquaculture</t>
  </si>
  <si>
    <t>rehabilitation</t>
  </si>
  <si>
    <t>sales_support</t>
  </si>
  <si>
    <t>Soutien à la commercialisation ou à la vente [par exemple, passation de marchés publics]</t>
  </si>
  <si>
    <t>No assistance received</t>
  </si>
  <si>
    <t>Aucune aide reçue</t>
  </si>
  <si>
    <t>assist_quality</t>
  </si>
  <si>
    <t>No - not received on time</t>
  </si>
  <si>
    <t>Non - pas reçue à temps</t>
  </si>
  <si>
    <t>No - did not meet my needs</t>
  </si>
  <si>
    <t>Non - n'a pas répondu à mes besoins</t>
  </si>
  <si>
    <t>No - quantity was not sufficient</t>
  </si>
  <si>
    <t>Non - la quantité n'était pas suffisante</t>
  </si>
  <si>
    <t>No - there was a problem with the provider</t>
  </si>
  <si>
    <t>Non - il y avait un problème avec le fournisseur</t>
  </si>
  <si>
    <t>No - there was a malfunction of the in-kind assistance provided [e.g. poor quality tools]</t>
  </si>
  <si>
    <t>Non - il y a eu un dysfonctionnement de l'aide en nature fournie [par exemple, des outils de mauvaise qualité]</t>
  </si>
  <si>
    <t>provider</t>
  </si>
  <si>
    <t>fao</t>
  </si>
  <si>
    <t>FAO</t>
  </si>
  <si>
    <t>wfp</t>
  </si>
  <si>
    <t>WFP</t>
  </si>
  <si>
    <t>PAM</t>
  </si>
  <si>
    <t>otherun</t>
  </si>
  <si>
    <t>Other UN agencies</t>
  </si>
  <si>
    <t>Autres agences des Nations Unies</t>
  </si>
  <si>
    <t>Government</t>
  </si>
  <si>
    <t>Gouvernment</t>
  </si>
  <si>
    <t>Non-governmental/local organization</t>
  </si>
  <si>
    <t>Organisation non-gouvernmentale/locale</t>
  </si>
  <si>
    <t>week</t>
  </si>
  <si>
    <t>mon</t>
  </si>
  <si>
    <t>Monday</t>
  </si>
  <si>
    <t>Lundi</t>
  </si>
  <si>
    <t>tues</t>
  </si>
  <si>
    <t>Tuesday</t>
  </si>
  <si>
    <t>Mardi</t>
  </si>
  <si>
    <t>wed</t>
  </si>
  <si>
    <t>Wednesday</t>
  </si>
  <si>
    <t>Mercredi</t>
  </si>
  <si>
    <t>thurs</t>
  </si>
  <si>
    <t>Thursday</t>
  </si>
  <si>
    <t>Jeudi</t>
  </si>
  <si>
    <t>fri</t>
  </si>
  <si>
    <t>Friday</t>
  </si>
  <si>
    <t>Vendredi</t>
  </si>
  <si>
    <t>sat</t>
  </si>
  <si>
    <t>Saturday</t>
  </si>
  <si>
    <t>Samedi</t>
  </si>
  <si>
    <t>sun</t>
  </si>
  <si>
    <t>Sunday</t>
  </si>
  <si>
    <t>Dimanche</t>
  </si>
  <si>
    <t>morn</t>
  </si>
  <si>
    <t>Mornings</t>
  </si>
  <si>
    <t>Le matin</t>
  </si>
  <si>
    <t>aft</t>
  </si>
  <si>
    <t>Afternoons</t>
  </si>
  <si>
    <t>L'après-midi</t>
  </si>
  <si>
    <t>eve</t>
  </si>
  <si>
    <t>Evenings</t>
  </si>
  <si>
    <t>Le soir</t>
  </si>
  <si>
    <t>version</t>
  </si>
  <si>
    <t>default_language</t>
  </si>
  <si>
    <t>allow_choice_duplicates</t>
  </si>
  <si>
    <t>style</t>
  </si>
  <si>
    <t>vM6cWXyHNhR3djPbARkHWi</t>
  </si>
  <si>
    <t>French (fr)</t>
  </si>
  <si>
    <t>theme-grid no-text-transform</t>
  </si>
  <si>
    <t xml:space="preserve">Select top 10 crops </t>
  </si>
  <si>
    <t>Dataset code</t>
  </si>
  <si>
    <t>Label (EN)</t>
  </si>
  <si>
    <t>Label (FR)</t>
  </si>
  <si>
    <t>1.1</t>
  </si>
  <si>
    <t>Rice</t>
  </si>
  <si>
    <t>Riz</t>
  </si>
  <si>
    <t>1.2</t>
  </si>
  <si>
    <t>Wheat</t>
  </si>
  <si>
    <t>Blé</t>
  </si>
  <si>
    <t>1.3</t>
  </si>
  <si>
    <t>Millet</t>
  </si>
  <si>
    <t>Mil</t>
  </si>
  <si>
    <t>1.4</t>
  </si>
  <si>
    <t>Sorghum</t>
  </si>
  <si>
    <t>Sorgho</t>
  </si>
  <si>
    <t>1.5</t>
  </si>
  <si>
    <t>Maize</t>
  </si>
  <si>
    <t>Maïs</t>
  </si>
  <si>
    <t>1.6</t>
  </si>
  <si>
    <t>Barley</t>
  </si>
  <si>
    <t>Orge</t>
  </si>
  <si>
    <t>1.99</t>
  </si>
  <si>
    <t>Other Cereal</t>
  </si>
  <si>
    <t>Autres céréales</t>
  </si>
  <si>
    <t>2.1</t>
  </si>
  <si>
    <t>Cassava</t>
  </si>
  <si>
    <t>Manioc</t>
  </si>
  <si>
    <t>2.2</t>
  </si>
  <si>
    <t>Potatoe</t>
  </si>
  <si>
    <t>Pommes de terre</t>
  </si>
  <si>
    <t>2.3</t>
  </si>
  <si>
    <t>Sweet Potatoes</t>
  </si>
  <si>
    <t>Patates douces</t>
  </si>
  <si>
    <t>2.4</t>
  </si>
  <si>
    <t>Yams</t>
  </si>
  <si>
    <t>Ignames</t>
  </si>
  <si>
    <t>2.5</t>
  </si>
  <si>
    <t>Carrots</t>
  </si>
  <si>
    <t>Carottes</t>
  </si>
  <si>
    <t>2.6</t>
  </si>
  <si>
    <t>Cocoyam</t>
  </si>
  <si>
    <t>Chou caraïbe</t>
  </si>
  <si>
    <t>2.99</t>
  </si>
  <si>
    <t>Other tubers</t>
  </si>
  <si>
    <t>Autres tubercules</t>
  </si>
  <si>
    <t>3.1</t>
  </si>
  <si>
    <t>Beans</t>
  </si>
  <si>
    <t>Haricots</t>
  </si>
  <si>
    <t>3.2</t>
  </si>
  <si>
    <t>Lentils</t>
  </si>
  <si>
    <t>Lentilles</t>
  </si>
  <si>
    <t>3.3</t>
  </si>
  <si>
    <t>Peas</t>
  </si>
  <si>
    <t>Pois</t>
  </si>
  <si>
    <t>3.4</t>
  </si>
  <si>
    <t>Soybeans</t>
  </si>
  <si>
    <t>Soja</t>
  </si>
  <si>
    <t>3.5</t>
  </si>
  <si>
    <t>Chickpeas</t>
  </si>
  <si>
    <t>Pois chiches</t>
  </si>
  <si>
    <t>3.6</t>
  </si>
  <si>
    <t>Fava beans</t>
  </si>
  <si>
    <t>Fève</t>
  </si>
  <si>
    <t>3.7</t>
  </si>
  <si>
    <t>Broad beans</t>
  </si>
  <si>
    <t>Fève large</t>
  </si>
  <si>
    <t>3.99</t>
  </si>
  <si>
    <t>Other pulses</t>
  </si>
  <si>
    <t>Autres légumineuses</t>
  </si>
  <si>
    <t>4.1</t>
  </si>
  <si>
    <t>Cabbage</t>
  </si>
  <si>
    <t>Choux</t>
  </si>
  <si>
    <t>4.2</t>
  </si>
  <si>
    <t>Lettuce</t>
  </si>
  <si>
    <t>Laitue</t>
  </si>
  <si>
    <t>4.3</t>
  </si>
  <si>
    <t>Spinach-Amaranth</t>
  </si>
  <si>
    <t>Epinards-Amaranthe</t>
  </si>
  <si>
    <t>4.4</t>
  </si>
  <si>
    <t>Cassava leaves</t>
  </si>
  <si>
    <t>Feuilles de manioc</t>
  </si>
  <si>
    <t>4.5</t>
  </si>
  <si>
    <t>Potatoe leaves</t>
  </si>
  <si>
    <t>Feuilles de pomme de terre</t>
  </si>
  <si>
    <t>4.6</t>
  </si>
  <si>
    <t>Moringa</t>
  </si>
  <si>
    <t>4.7</t>
  </si>
  <si>
    <t>Sorrel Hibiscus / Rosselle</t>
  </si>
  <si>
    <t>Oseille Hibiscus / Rosselle</t>
  </si>
  <si>
    <t>4.9</t>
  </si>
  <si>
    <t>Green salad herbs (thyme, parsley, mint, rocca, other)</t>
  </si>
  <si>
    <t>Herbes aromatiques (thym, persil, menthe, rocca, autres)</t>
  </si>
  <si>
    <t>4.101</t>
  </si>
  <si>
    <t>Cauliflower</t>
  </si>
  <si>
    <t>Choux-fleur</t>
  </si>
  <si>
    <t>4.99</t>
  </si>
  <si>
    <t>Other leafy vegetables</t>
  </si>
  <si>
    <t>Autres légumes à feuilles</t>
  </si>
  <si>
    <t>5.1</t>
  </si>
  <si>
    <t>Tomatoes</t>
  </si>
  <si>
    <t>Tomates</t>
  </si>
  <si>
    <t>5.2</t>
  </si>
  <si>
    <t>Cucumber</t>
  </si>
  <si>
    <t>Concombre</t>
  </si>
  <si>
    <t>5.3</t>
  </si>
  <si>
    <t>Pumpkin</t>
  </si>
  <si>
    <t>Citrouille</t>
  </si>
  <si>
    <t>5.4</t>
  </si>
  <si>
    <t>Eggplant/aubergine</t>
  </si>
  <si>
    <t>Aubergines/aubergines</t>
  </si>
  <si>
    <t>5.5</t>
  </si>
  <si>
    <t>Zucchini</t>
  </si>
  <si>
    <t>Courgettes</t>
  </si>
  <si>
    <t>5.6</t>
  </si>
  <si>
    <t>Okra</t>
  </si>
  <si>
    <t>5.7</t>
  </si>
  <si>
    <t>Bell pepper</t>
  </si>
  <si>
    <t>Poivron</t>
  </si>
  <si>
    <t>5.8</t>
  </si>
  <si>
    <t>Onions</t>
  </si>
  <si>
    <t>Oignons</t>
  </si>
  <si>
    <t>5.9</t>
  </si>
  <si>
    <t>Haricot</t>
  </si>
  <si>
    <t xml:space="preserve">Haricot </t>
  </si>
  <si>
    <t>5.101</t>
  </si>
  <si>
    <t>Green peas</t>
  </si>
  <si>
    <t>Petit pois</t>
  </si>
  <si>
    <t>5.11</t>
  </si>
  <si>
    <t>Fava beans green</t>
  </si>
  <si>
    <t>Pois fève</t>
  </si>
  <si>
    <t>5.99</t>
  </si>
  <si>
    <t>Other non leafy vegs</t>
  </si>
  <si>
    <t>Autres légumes non feuillus</t>
  </si>
  <si>
    <t>6.1</t>
  </si>
  <si>
    <t>Orange</t>
  </si>
  <si>
    <t>6.2</t>
  </si>
  <si>
    <t>Lemon</t>
  </si>
  <si>
    <t>Citron</t>
  </si>
  <si>
    <t>6.3</t>
  </si>
  <si>
    <t>Grapefruit</t>
  </si>
  <si>
    <t>Pamplemousse</t>
  </si>
  <si>
    <t>6.4</t>
  </si>
  <si>
    <t>Mandarins/clementines</t>
  </si>
  <si>
    <t>Tangerine/clémentine</t>
  </si>
  <si>
    <t>6.99</t>
  </si>
  <si>
    <t>Other citrus fruit</t>
  </si>
  <si>
    <t>Autres agrumes</t>
  </si>
  <si>
    <t>7.1</t>
  </si>
  <si>
    <t>Sweet Banana</t>
  </si>
  <si>
    <t>Banane douce</t>
  </si>
  <si>
    <t>7.2</t>
  </si>
  <si>
    <t>Plantains</t>
  </si>
  <si>
    <t>Banane plantain</t>
  </si>
  <si>
    <t>7.3</t>
  </si>
  <si>
    <t>Papaya</t>
  </si>
  <si>
    <t>Papaye</t>
  </si>
  <si>
    <t>7.4</t>
  </si>
  <si>
    <t>Mango</t>
  </si>
  <si>
    <t>Mangue</t>
  </si>
  <si>
    <t>7.5</t>
  </si>
  <si>
    <t>Guava</t>
  </si>
  <si>
    <t>Goyave</t>
  </si>
  <si>
    <t>7.6</t>
  </si>
  <si>
    <t>Pineapple</t>
  </si>
  <si>
    <t>Ananas</t>
  </si>
  <si>
    <t>7.7</t>
  </si>
  <si>
    <t>Avocado</t>
  </si>
  <si>
    <t>Avocat</t>
  </si>
  <si>
    <t>7.8</t>
  </si>
  <si>
    <t>Water Melon</t>
  </si>
  <si>
    <t>Pastèques</t>
  </si>
  <si>
    <t>7.9</t>
  </si>
  <si>
    <t>Dates</t>
  </si>
  <si>
    <t>Dattes</t>
  </si>
  <si>
    <t>7.101</t>
  </si>
  <si>
    <t>Figs</t>
  </si>
  <si>
    <t>Figues</t>
  </si>
  <si>
    <t>7.11</t>
  </si>
  <si>
    <t>Grapes</t>
  </si>
  <si>
    <t>Raisins</t>
  </si>
  <si>
    <t>7.12</t>
  </si>
  <si>
    <t>Olives</t>
  </si>
  <si>
    <t>7.13</t>
  </si>
  <si>
    <t>Apple</t>
  </si>
  <si>
    <t>Pomme</t>
  </si>
  <si>
    <t>7.14</t>
  </si>
  <si>
    <t>Apricot</t>
  </si>
  <si>
    <t>Abricot</t>
  </si>
  <si>
    <t>7.15</t>
  </si>
  <si>
    <t>Cherries</t>
  </si>
  <si>
    <t>Cerises</t>
  </si>
  <si>
    <t>7.16</t>
  </si>
  <si>
    <t>Peach/nectarine</t>
  </si>
  <si>
    <t>Pêche/nectarine</t>
  </si>
  <si>
    <t>7.17</t>
  </si>
  <si>
    <t>Strawberries</t>
  </si>
  <si>
    <t>Fraises</t>
  </si>
  <si>
    <t>7.18</t>
  </si>
  <si>
    <t>Melon (Cantaloupe)</t>
  </si>
  <si>
    <t>Melon</t>
  </si>
  <si>
    <t>7.99</t>
  </si>
  <si>
    <t>Other fruit</t>
  </si>
  <si>
    <t>Autres fruits</t>
  </si>
  <si>
    <t>8.1</t>
  </si>
  <si>
    <t>Coconuts</t>
  </si>
  <si>
    <t>Noix de coco</t>
  </si>
  <si>
    <t>8.2</t>
  </si>
  <si>
    <t>Groundnut/peanut</t>
  </si>
  <si>
    <t>Arachide / cacahuète</t>
  </si>
  <si>
    <t>8.3</t>
  </si>
  <si>
    <t>Cashew Nut</t>
  </si>
  <si>
    <t>Noix de cajou</t>
  </si>
  <si>
    <t>8.4</t>
  </si>
  <si>
    <t>Kola Nut</t>
  </si>
  <si>
    <t>Noix de kola</t>
  </si>
  <si>
    <t>8.5</t>
  </si>
  <si>
    <t>Sesame</t>
  </si>
  <si>
    <t>Sésame</t>
  </si>
  <si>
    <t>8.6</t>
  </si>
  <si>
    <t>Bambara nut</t>
  </si>
  <si>
    <t>Noix de bambara</t>
  </si>
  <si>
    <t>8.7</t>
  </si>
  <si>
    <t>Almond</t>
  </si>
  <si>
    <t>Amande</t>
  </si>
  <si>
    <t>8.8</t>
  </si>
  <si>
    <t>Walnut</t>
  </si>
  <si>
    <t>Noix</t>
  </si>
  <si>
    <t>8.99</t>
  </si>
  <si>
    <t>Other nuts</t>
  </si>
  <si>
    <t>Autres fruits à coque</t>
  </si>
  <si>
    <t>9.1</t>
  </si>
  <si>
    <t>Cocoa</t>
  </si>
  <si>
    <t>Cacao</t>
  </si>
  <si>
    <t>9.2</t>
  </si>
  <si>
    <t>Coffee</t>
  </si>
  <si>
    <t>Café</t>
  </si>
  <si>
    <t>9.3</t>
  </si>
  <si>
    <t>Tea</t>
  </si>
  <si>
    <t>Thé</t>
  </si>
  <si>
    <t>9.4</t>
  </si>
  <si>
    <t>Sugarcane</t>
  </si>
  <si>
    <t>Canne à sucre</t>
  </si>
  <si>
    <t>9.5</t>
  </si>
  <si>
    <t>Sunflower</t>
  </si>
  <si>
    <t>Tournesol</t>
  </si>
  <si>
    <t>9.99</t>
  </si>
  <si>
    <t>Other food cash crop</t>
  </si>
  <si>
    <t>Autres cultures vivrières de rente</t>
  </si>
  <si>
    <t>10.1</t>
  </si>
  <si>
    <t>Cotton</t>
  </si>
  <si>
    <t>Coton</t>
  </si>
  <si>
    <t>10.2</t>
  </si>
  <si>
    <t>Rubber</t>
  </si>
  <si>
    <t>Caoutchouc</t>
  </si>
  <si>
    <t>10.3</t>
  </si>
  <si>
    <t>Jute</t>
  </si>
  <si>
    <t>10.4</t>
  </si>
  <si>
    <t>Fodder</t>
  </si>
  <si>
    <t>Fourrage</t>
  </si>
  <si>
    <t>10.5</t>
  </si>
  <si>
    <t>Tobacco</t>
  </si>
  <si>
    <t>Tabac</t>
  </si>
  <si>
    <t>10.6</t>
  </si>
  <si>
    <t>Qat</t>
  </si>
  <si>
    <t>10.99</t>
  </si>
  <si>
    <t>Other non-food cash crop</t>
  </si>
  <si>
    <t>Autre culture de rente non alimentaire</t>
  </si>
  <si>
    <t xml:space="preserve">Original </t>
  </si>
  <si>
    <t>Replacement (FR)</t>
  </si>
  <si>
    <t>Replacement (EN)</t>
  </si>
  <si>
    <t>Comment (FR)</t>
  </si>
  <si>
    <t>Comment (EN)</t>
  </si>
  <si>
    <t>Exemple (FR)</t>
  </si>
  <si>
    <t>Example(EN)</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</si>
  <si>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</si>
  <si>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phone number</t>
  </si>
  <si>
    <t>Tapez un numéro de téléphone dans le format typique du pays, par exemple 77******* [veuillez écrire le nombre exact de chiffres qu'il y a dans un numéro de téléphone].</t>
  </si>
  <si>
    <t>Type a phone number from your country in typical format, e.g. 77******* [please use exactly the number of characters that are found in a phone number].</t>
  </si>
  <si>
    <t>070******</t>
  </si>
  <si>
    <t>age</t>
  </si>
  <si>
    <t>Âge minimum du répondant (nous recommandons 18 ans)</t>
  </si>
  <si>
    <t>Minimum age of respondent (recommend 18 years old)</t>
  </si>
  <si>
    <t>ADMIN1</t>
  </si>
  <si>
    <t>La première subdivision du pays, après le niveau national ; par exemple, région ; province ; gouvernorat ; etc. Un seul mot doit être saisi - Ne pas inclure d'espaces.</t>
  </si>
  <si>
    <r>
      <t xml:space="preserve">The first subdivision of the country, after national level; region; province; governorate; etc. </t>
    </r>
    <r>
      <rPr>
        <b/>
        <sz val="11"/>
        <color rgb="FF000000"/>
        <rFont val="Calibri"/>
        <family val="2"/>
      </rPr>
      <t>Only one word should be inputted - Do not include spaces.</t>
    </r>
  </si>
  <si>
    <t>region</t>
  </si>
  <si>
    <t>ADMIN2</t>
  </si>
  <si>
    <t>La deuxième subdivision du pays ; par exemple, district, municipalité, LGA, etc. Un seul mot doit être saisi - Ne pas inclure d'espaces.</t>
  </si>
  <si>
    <r>
      <t xml:space="preserve">The second subdivision of the country; district; municipality; LGA; etc. </t>
    </r>
    <r>
      <rPr>
        <b/>
        <sz val="11"/>
        <color rgb="FF000000"/>
        <rFont val="Calibri"/>
        <family val="2"/>
      </rPr>
      <t>Only one word should be inputted - Do not include spaces.</t>
    </r>
  </si>
  <si>
    <t>district</t>
  </si>
  <si>
    <t>reference year</t>
  </si>
  <si>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</si>
  <si>
    <t xml:space="preserve">Comparison questions will need need a reference year. Select whether you want to use "last year" or "a normal year" as a baseline. A "normal year" should refers to an average year from the past 5 years - make sure to train the enumerators accordingly. </t>
  </si>
  <si>
    <t>une année normale</t>
  </si>
  <si>
    <t>a normal year</t>
  </si>
  <si>
    <t>season</t>
  </si>
  <si>
    <t>Nommez la ou les saisons culturales concernée(s) en ANGLAIS s'il y en a plusieurs dans le pays (par exemple, Meher et Belg en Ethiopie, saison des pluies / cultures de décrue / saison sèche irriguée au Sahel). Vous pouvez vous référer à la "dernière saison" ou "saison actuelle".</t>
  </si>
  <si>
    <t>Name the crop season(s) of interest if there are several cropping seasons in the country (e.g. Meher and Belg in Ethiopia, rainy season / flood-recession cropping / irrigated dry season in the Sahel). You can refer to the “last season” or “ongoing season".</t>
  </si>
  <si>
    <t>saison des pluies</t>
  </si>
  <si>
    <t>wet season</t>
  </si>
  <si>
    <t>season phase</t>
  </si>
  <si>
    <r>
      <t xml:space="preserve">Indiquez le stade de la saison culturale </t>
    </r>
    <r>
      <rPr>
        <b/>
        <sz val="11"/>
        <rFont val="Calibri"/>
        <family val="2"/>
      </rPr>
      <t>au moment de la collecte des données</t>
    </r>
    <r>
      <rPr>
        <sz val="11"/>
        <rFont val="Calibri"/>
        <family val="2"/>
      </rPr>
      <t xml:space="preserve">. Si la récolte de la saison n'a pas encore eu lieu, la question sur la récolte des cultures (crp_harv_change) inclura le mot "attendue" (là où se trouve </t>
    </r>
    <r>
      <rPr>
        <i/>
        <sz val="11"/>
        <rFont val="Calibri"/>
        <family val="2"/>
      </rPr>
      <t>#attendue ou rien#</t>
    </r>
    <r>
      <rPr>
        <sz val="11"/>
        <rFont val="Calibri"/>
        <family val="2"/>
      </rPr>
      <t xml:space="preserve">). Si la récolte a eu lieu, "attendue" ne sera pas inséré dans la question. </t>
    </r>
  </si>
  <si>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</si>
  <si>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Récolte</t>
  </si>
  <si>
    <t>Harvesting</t>
  </si>
  <si>
    <t>local measurement unit</t>
  </si>
  <si>
    <r>
      <t>Indiquez l'unité utilisée localement pour mesurer la taille des terrains, autre que les acres, les hectares, les mètres carrés et les pieds carrés. Si aucune autre unité de mesure n'est nécessaire,</t>
    </r>
    <r>
      <rPr>
        <b/>
        <sz val="11"/>
        <rFont val="Calibri"/>
        <family val="2"/>
      </rPr>
      <t xml:space="preserve"> garder cette cellule vide. </t>
    </r>
  </si>
  <si>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</si>
  <si>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Jeribs</t>
  </si>
  <si>
    <t>local measurement unit conversion</t>
  </si>
  <si>
    <t xml:space="preserve">Indiquez la conversion de l'unité de mesure locale en hectares. En d'autres termes, indiquez combien d'unités de mesure locales y a-t-il dans 1 ha. </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</si>
  <si>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</si>
  <si>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</si>
  <si>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</si>
  <si>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Nom de la principale devise utilisée au niveau national; par exemple, USD; Naira; Rial; Pesos; etc. </t>
  </si>
  <si>
    <t xml:space="preserve">The name of the main currency used nationally; USD; Naira; Rial; Pesos; etc. </t>
  </si>
  <si>
    <t>Naira</t>
  </si>
  <si>
    <t>MIN AMOUNT</t>
  </si>
  <si>
    <r>
      <t xml:space="preserve">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t>
    </r>
    <r>
      <rPr>
        <b/>
        <sz val="11"/>
        <rFont val="Calibri"/>
        <family val="2"/>
      </rPr>
      <t>Seuls des chiffres doivent être saisis</t>
    </r>
    <r>
      <rPr>
        <sz val="11"/>
        <rFont val="Calibri"/>
        <family val="2"/>
      </rPr>
      <t>.</t>
    </r>
  </si>
  <si>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</si>
  <si>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t>THRESHOLD</t>
  </si>
  <si>
    <r>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t>
    </r>
    <r>
      <rPr>
        <b/>
        <sz val="11"/>
        <rFont val="Calibri"/>
        <family val="2"/>
      </rPr>
      <t xml:space="preserve"> Seuls des chiffres doivent être saisis.</t>
    </r>
  </si>
  <si>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</si>
  <si>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t>local vegetables</t>
  </si>
  <si>
    <t>Saisissez quelques légumes locaux courants [à utiliser comme exemples dans l'indicateur de score de consommation alimentaire].</t>
  </si>
  <si>
    <t>Input some common local vegetables [to be used as examples in the food consumption score indicator].</t>
  </si>
  <si>
    <t>aubergines, courgettes, choux-fleurs</t>
  </si>
  <si>
    <t>eggplants, zucchini, cauliflower</t>
  </si>
  <si>
    <t>local fruits</t>
  </si>
  <si>
    <t>Indiquez quelques fruits locaux courants [à utiliser comme exemples dans l'indicateur de score de consommation alimentaire].</t>
  </si>
  <si>
    <t>Input some common local fruits [to be used as examples in the food consumption score indicator].</t>
  </si>
  <si>
    <t>pommes, bananes, oranges</t>
  </si>
  <si>
    <t>apples, bananas, oranges</t>
  </si>
  <si>
    <r>
      <t xml:space="preserve">FILL OUT FOR QUESTIONNAIRE DURATION ESTIMATION    </t>
    </r>
    <r>
      <rPr>
        <sz val="12"/>
        <color theme="0"/>
        <rFont val="Calibri"/>
        <family val="2"/>
        <scheme val="minor"/>
      </rPr>
      <t>.</t>
    </r>
  </si>
  <si>
    <t>Expected percentage of respondents cultivating crops</t>
  </si>
  <si>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</si>
  <si>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</si>
  <si>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</si>
  <si>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</si>
  <si>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</si>
  <si>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</si>
  <si>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</si>
  <si>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</si>
  <si>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 xml:space="preserve">Pas de troisième source de revenu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</si>
</sst>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3"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i/>
      <sz val="11"/>
      <name val="Calibri"/>
      <family val="2"/>
    </font>
    <font>
      <b/>
      <sz val="11"/>
      <name val="Calibri"/>
      <family val="2"/>
    </font>
    <font>
      <b/>
      <sz val="11"/>
      <color rgb="FF7030A0"/>
      <name val="Calibri"/>
      <family val="2"/>
      <scheme val="minor"/>
    </font>
    <font>
      <u/>
      <sz val="11"/>
      <color theme="1"/>
      <name val="Calibri"/>
      <family val="2"/>
      <scheme val="minor"/>
    </font>
    <font>
      <u/>
      <sz val="11"/>
      <name val="Calibri"/>
      <family val="2"/>
      <scheme val="minor"/>
    </font>
    <font>
      <b/>
      <sz val="11"/>
      <color rgb="FFC00000"/>
      <name val="Calibri"/>
      <family val="2"/>
      <scheme val="minor"/>
    </font>
    <font>
      <sz val="11"/>
      <color rgb="FF00B050"/>
      <name val="Calibri"/>
      <family val="2"/>
      <scheme val="minor"/>
    </font>
    <font>
      <b/>
      <sz val="12"/>
      <color theme="1"/>
      <name val="Calibri"/>
      <family val="2"/>
      <scheme val="minor"/>
    </font>
    <font>
      <i/>
      <sz val="12"/>
      <color theme="1"/>
      <name val="Calibri"/>
      <family val="2"/>
      <scheme val="minor"/>
    </font>
    <font>
      <i/>
      <sz val="12"/>
      <color theme="0"/>
      <name val="Calibri"/>
      <family val="2"/>
      <scheme val="minor"/>
    </font>
    <font>
      <sz val="12"/>
      <color theme="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b/>
      <sz val="11"/>
      <color theme="6" tint="-0.499984740745262"/>
      <name val="Calibri"/>
      <family val="2"/>
      <scheme val="minor"/>
    </font>
    <font>
      <b/>
      <sz val="11"/>
      <color rgb="FF7030A0"/>
      <name val="Calibri (Body)"/>
    </font>
    <font>
      <sz val="11"/>
      <name val="Calibri (Body)"/>
    </font>
    <font>
      <sz val="8"/>
      <name val="Calibri"/>
      <family val="2"/>
      <scheme val="minor"/>
    </font>
    <font>
      <sz val="11"/>
      <color theme="0" tint="-0.34998626667073579"/>
      <name val="Calibri (Body)"/>
    </font>
    <font>
      <sz val="11"/>
      <color rgb="FF7030A0"/>
      <name val="Calibri (Body)"/>
    </font>
    <font>
      <b/>
      <sz val="11"/>
      <color rgb="FFC00000"/>
      <name val="Calibri (Body)"/>
    </font>
    <font>
      <b/>
      <sz val="11"/>
      <color rgb="FFFF0000"/>
      <name val="Calibri"/>
      <family val="2"/>
      <scheme val="minor"/>
    </font>
    <font>
      <i/>
      <sz val="11"/>
      <color theme="0" tint="-0.34998626667073579"/>
      <name val="Calibri"/>
      <family val="2"/>
    </font>
    <font>
      <i/>
      <sz val="11"/>
      <color theme="0" tint="-0.34998626667073579"/>
      <name val="Calibri (Body)"/>
    </font>
    <font>
      <sz val="11"/>
      <color rgb="FFA6A6A6"/>
      <name val="Calibri"/>
      <family val="2"/>
    </font>
  </fonts>
  <fills count="8">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60">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right style="thin">
        <color theme="1"/>
      </right>
      <top/>
      <bottom style="thin">
        <color indexed="64"/>
      </bottom>
      <diagonal/>
    </border>
    <border>
      <left/>
      <right style="thin">
        <color theme="1"/>
      </right>
      <top style="thin">
        <color auto="1"/>
      </top>
      <bottom style="thin">
        <color auto="1"/>
      </bottom>
      <diagonal/>
    </border>
    <border>
      <left style="thin">
        <color indexed="64"/>
      </left>
      <right style="thin">
        <color indexed="64"/>
      </right>
      <top style="medium">
        <color indexed="64"/>
      </top>
      <bottom/>
      <diagonal/>
    </border>
  </borders>
  <cellStyleXfs count="18">
    <xf numFmtId="0" fontId="0" fillId="0" borderId="0"/>
    <xf numFmtId="0" fontId="9" fillId="0" borderId="0"/>
    <xf numFmtId="0" fontId="12" fillId="0" borderId="0"/>
    <xf numFmtId="0" fontId="18" fillId="0" borderId="0"/>
    <xf numFmtId="0" fontId="8" fillId="0" borderId="0"/>
    <xf numFmtId="0" fontId="7" fillId="0" borderId="0"/>
    <xf numFmtId="0" fontId="23" fillId="4" borderId="14" applyNumberFormat="0" applyAlignment="0" applyProtection="0"/>
    <xf numFmtId="9" fontId="12" fillId="0" borderId="0" applyFont="0" applyFill="0" applyBorder="0" applyAlignment="0" applyProtection="0"/>
    <xf numFmtId="0" fontId="6" fillId="0" borderId="0"/>
    <xf numFmtId="0" fontId="6" fillId="0" borderId="0"/>
    <xf numFmtId="0" fontId="6" fillId="0" borderId="0"/>
    <xf numFmtId="0" fontId="5" fillId="0" borderId="0"/>
    <xf numFmtId="0" fontId="12" fillId="0" borderId="0"/>
    <xf numFmtId="0" fontId="5" fillId="0" borderId="0"/>
    <xf numFmtId="0" fontId="12" fillId="0" borderId="0"/>
    <xf numFmtId="0" fontId="4" fillId="0" borderId="0"/>
    <xf numFmtId="0" fontId="12" fillId="0" borderId="0"/>
    <xf numFmtId="0" fontId="3" fillId="0" borderId="0"/>
  </cellStyleXfs>
  <cellXfs count="312">
    <xf numFmtId="0" fontId="0" fillId="0" borderId="0" xfId="0"/>
    <xf numFmtId="0" fontId="11" fillId="2" borderId="0" xfId="0" applyFont="1" applyFill="1" applyProtection="1">
      <protection locked="0"/>
    </xf>
    <xf numFmtId="0" fontId="11" fillId="0" borderId="0" xfId="0" applyFont="1" applyProtection="1">
      <protection locked="0"/>
    </xf>
    <xf numFmtId="0" fontId="0" fillId="0" borderId="0" xfId="0" applyProtection="1">
      <protection locked="0"/>
    </xf>
    <xf numFmtId="0" fontId="0" fillId="2" borderId="0" xfId="0" applyFill="1" applyProtection="1">
      <protection locked="0"/>
    </xf>
    <xf numFmtId="0" fontId="13" fillId="2" borderId="0" xfId="0" applyFont="1" applyFill="1" applyProtection="1">
      <protection locked="0"/>
    </xf>
    <xf numFmtId="0" fontId="11" fillId="0" borderId="0" xfId="0" applyFont="1"/>
    <xf numFmtId="0" fontId="16" fillId="2" borderId="0" xfId="0" applyFont="1" applyFill="1" applyProtection="1">
      <protection locked="0"/>
    </xf>
    <xf numFmtId="0" fontId="10" fillId="2" borderId="0" xfId="0" applyFont="1" applyFill="1" applyProtection="1">
      <protection locked="0"/>
    </xf>
    <xf numFmtId="0" fontId="24" fillId="2" borderId="7" xfId="6" applyFont="1" applyFill="1" applyBorder="1" applyAlignment="1" applyProtection="1">
      <alignment horizontal="center" vertical="center"/>
      <protection locked="0"/>
    </xf>
    <xf numFmtId="0" fontId="15" fillId="0" borderId="0" xfId="0" applyFont="1" applyProtection="1">
      <protection locked="0"/>
    </xf>
    <xf numFmtId="0" fontId="16" fillId="0" borderId="0" xfId="0" applyFont="1" applyProtection="1">
      <protection locked="0"/>
    </xf>
    <xf numFmtId="0" fontId="10" fillId="0" borderId="0" xfId="0" applyFont="1" applyProtection="1">
      <protection locked="0"/>
    </xf>
    <xf numFmtId="0" fontId="14" fillId="0" borderId="0" xfId="0" applyFont="1"/>
    <xf numFmtId="0" fontId="14" fillId="0" borderId="0" xfId="0" applyFont="1" applyProtection="1">
      <protection locked="0"/>
    </xf>
    <xf numFmtId="0" fontId="13" fillId="0" borderId="0" xfId="0" applyFont="1" applyProtection="1">
      <protection locked="0"/>
    </xf>
    <xf numFmtId="0" fontId="14" fillId="2" borderId="0" xfId="0" applyFont="1" applyFill="1" applyProtection="1">
      <protection locked="0"/>
    </xf>
    <xf numFmtId="0" fontId="13" fillId="0" borderId="0" xfId="0" applyFont="1"/>
    <xf numFmtId="0" fontId="15" fillId="0" borderId="0" xfId="0" applyFont="1"/>
    <xf numFmtId="0" fontId="6" fillId="0" borderId="2" xfId="10" applyBorder="1"/>
    <xf numFmtId="0" fontId="6" fillId="0" borderId="13" xfId="10" applyBorder="1"/>
    <xf numFmtId="0" fontId="6" fillId="0" borderId="6" xfId="10" applyBorder="1"/>
    <xf numFmtId="0" fontId="6" fillId="0" borderId="23" xfId="10" applyBorder="1"/>
    <xf numFmtId="0" fontId="21" fillId="0" borderId="29" xfId="10" applyFont="1" applyBorder="1" applyAlignment="1">
      <alignment horizontal="center" vertical="center" wrapText="1"/>
    </xf>
    <xf numFmtId="0" fontId="21" fillId="0" borderId="36" xfId="10" applyFont="1" applyBorder="1" applyAlignment="1">
      <alignment vertical="center" wrapText="1"/>
    </xf>
    <xf numFmtId="0" fontId="21" fillId="0" borderId="19" xfId="10" applyFont="1" applyBorder="1" applyAlignment="1">
      <alignment vertical="center" wrapText="1"/>
    </xf>
    <xf numFmtId="0" fontId="21" fillId="0" borderId="31" xfId="10" applyFont="1" applyBorder="1" applyAlignment="1">
      <alignment vertical="center" wrapText="1"/>
    </xf>
    <xf numFmtId="0" fontId="6" fillId="0" borderId="3" xfId="10" applyBorder="1"/>
    <xf numFmtId="0" fontId="6" fillId="3" borderId="9" xfId="10" applyFill="1" applyBorder="1" applyAlignment="1" applyProtection="1">
      <alignment horizontal="center" vertical="center"/>
      <protection locked="0"/>
    </xf>
    <xf numFmtId="0" fontId="6" fillId="3" borderId="7" xfId="10" applyFill="1" applyBorder="1" applyAlignment="1" applyProtection="1">
      <alignment horizontal="center" vertical="center"/>
      <protection locked="0"/>
    </xf>
    <xf numFmtId="0" fontId="6" fillId="3" borderId="4" xfId="10" applyFill="1" applyBorder="1" applyAlignment="1" applyProtection="1">
      <alignment horizontal="center" vertical="center"/>
      <protection locked="0"/>
    </xf>
    <xf numFmtId="0" fontId="20" fillId="0" borderId="10" xfId="5" applyFont="1" applyBorder="1" applyAlignment="1">
      <alignment horizontal="left" vertical="center"/>
    </xf>
    <xf numFmtId="0" fontId="20" fillId="0" borderId="39" xfId="10" applyFont="1" applyBorder="1" applyAlignment="1">
      <alignment horizontal="left" vertical="center"/>
    </xf>
    <xf numFmtId="0" fontId="20" fillId="0" borderId="38" xfId="10" applyFont="1" applyBorder="1" applyAlignment="1">
      <alignment horizontal="left" vertical="center"/>
    </xf>
    <xf numFmtId="0" fontId="20" fillId="0" borderId="10" xfId="10" applyFont="1" applyBorder="1" applyAlignment="1">
      <alignment horizontal="left" vertical="center"/>
    </xf>
    <xf numFmtId="0" fontId="27" fillId="0" borderId="8" xfId="10" applyFont="1" applyBorder="1" applyAlignment="1">
      <alignment horizontal="center" vertical="center" wrapText="1"/>
    </xf>
    <xf numFmtId="0" fontId="27" fillId="0" borderId="5" xfId="10" applyFont="1" applyBorder="1" applyAlignment="1">
      <alignment horizontal="center" vertical="center" wrapText="1"/>
    </xf>
    <xf numFmtId="0" fontId="25" fillId="0" borderId="40" xfId="0" applyFont="1" applyBorder="1" applyAlignment="1" applyProtection="1">
      <alignment horizontal="center" vertical="center" wrapText="1"/>
      <protection locked="0"/>
    </xf>
    <xf numFmtId="0" fontId="6" fillId="0" borderId="41" xfId="10" applyBorder="1"/>
    <xf numFmtId="0" fontId="6" fillId="0" borderId="13" xfId="10" applyBorder="1" applyAlignment="1">
      <alignment vertical="center"/>
    </xf>
    <xf numFmtId="0" fontId="22" fillId="0" borderId="26" xfId="10" applyFont="1" applyBorder="1" applyAlignment="1">
      <alignment horizontal="center" vertical="center"/>
    </xf>
    <xf numFmtId="0" fontId="20" fillId="0" borderId="32" xfId="10" applyFont="1" applyBorder="1" applyAlignment="1">
      <alignment vertical="center" wrapText="1"/>
    </xf>
    <xf numFmtId="0" fontId="6" fillId="0" borderId="3" xfId="10" applyBorder="1" applyAlignment="1">
      <alignment vertical="center"/>
    </xf>
    <xf numFmtId="0" fontId="6" fillId="0" borderId="2" xfId="10"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3" fillId="0" borderId="0" xfId="0" applyFont="1" applyAlignment="1" applyProtection="1">
      <alignment vertical="top" wrapText="1"/>
      <protection locked="0"/>
    </xf>
    <xf numFmtId="0" fontId="20" fillId="0" borderId="15" xfId="5" applyFont="1" applyBorder="1" applyAlignment="1">
      <alignment horizontal="left" vertical="center" wrapText="1"/>
    </xf>
    <xf numFmtId="0" fontId="27" fillId="0" borderId="15" xfId="10" applyFont="1" applyBorder="1" applyAlignment="1">
      <alignment horizontal="center" vertical="center" wrapText="1"/>
    </xf>
    <xf numFmtId="0" fontId="40" fillId="0" borderId="16" xfId="10" applyFont="1" applyBorder="1" applyAlignment="1">
      <alignment vertical="center" wrapText="1"/>
    </xf>
    <xf numFmtId="0" fontId="40" fillId="0" borderId="7" xfId="10" applyFont="1" applyBorder="1" applyAlignment="1">
      <alignment vertical="center" wrapText="1"/>
    </xf>
    <xf numFmtId="0" fontId="40" fillId="0" borderId="4" xfId="10" applyFont="1" applyBorder="1" applyAlignment="1">
      <alignment vertical="center" wrapText="1"/>
    </xf>
    <xf numFmtId="0" fontId="6" fillId="5" borderId="6" xfId="10" applyFill="1" applyBorder="1"/>
    <xf numFmtId="0" fontId="6" fillId="5" borderId="34" xfId="10" applyFill="1" applyBorder="1" applyAlignment="1">
      <alignment wrapText="1"/>
    </xf>
    <xf numFmtId="0" fontId="20" fillId="5" borderId="35" xfId="10" applyFont="1" applyFill="1" applyBorder="1" applyAlignment="1">
      <alignment vertical="center"/>
    </xf>
    <xf numFmtId="0" fontId="21" fillId="5" borderId="36" xfId="10" applyFont="1" applyFill="1" applyBorder="1" applyAlignment="1">
      <alignment vertical="center" wrapText="1"/>
    </xf>
    <xf numFmtId="0" fontId="21" fillId="5" borderId="37" xfId="10" applyFont="1" applyFill="1" applyBorder="1" applyAlignment="1">
      <alignment horizontal="center" vertical="center" wrapText="1"/>
    </xf>
    <xf numFmtId="0" fontId="6" fillId="5" borderId="23" xfId="10" applyFill="1" applyBorder="1"/>
    <xf numFmtId="0" fontId="6" fillId="5" borderId="2" xfId="10" applyFill="1" applyBorder="1"/>
    <xf numFmtId="0" fontId="20" fillId="0" borderId="8" xfId="10" applyFont="1" applyBorder="1" applyAlignment="1">
      <alignment horizontal="left" vertical="center" wrapText="1"/>
    </xf>
    <xf numFmtId="0" fontId="6" fillId="0" borderId="6" xfId="10" applyBorder="1" applyAlignment="1">
      <alignment vertical="center"/>
    </xf>
    <xf numFmtId="0" fontId="6" fillId="0" borderId="25" xfId="10" applyBorder="1" applyAlignment="1">
      <alignment vertical="center"/>
    </xf>
    <xf numFmtId="0" fontId="22" fillId="0" borderId="12" xfId="10" applyFont="1" applyBorder="1" applyAlignment="1">
      <alignment horizontal="center" vertical="center" wrapText="1"/>
    </xf>
    <xf numFmtId="0" fontId="22" fillId="0" borderId="11" xfId="10" applyFont="1" applyBorder="1" applyAlignment="1">
      <alignment horizontal="center" vertical="center"/>
    </xf>
    <xf numFmtId="0" fontId="22" fillId="0" borderId="18" xfId="10" applyFont="1" applyBorder="1" applyAlignment="1">
      <alignment horizontal="center" vertical="center"/>
    </xf>
    <xf numFmtId="0" fontId="6" fillId="0" borderId="23" xfId="10" applyBorder="1" applyAlignment="1">
      <alignment vertical="center"/>
    </xf>
    <xf numFmtId="0" fontId="11" fillId="0" borderId="0" xfId="0" applyFont="1" applyAlignment="1">
      <alignment vertical="top"/>
    </xf>
    <xf numFmtId="0" fontId="11" fillId="2" borderId="0" xfId="0" applyFont="1" applyFill="1" applyAlignment="1" applyProtection="1">
      <alignment vertical="top" wrapText="1"/>
      <protection locked="0"/>
    </xf>
    <xf numFmtId="0" fontId="11" fillId="2" borderId="0" xfId="0" applyFont="1" applyFill="1" applyAlignment="1" applyProtection="1">
      <alignment vertical="top"/>
      <protection locked="0"/>
    </xf>
    <xf numFmtId="0" fontId="11" fillId="0" borderId="0" xfId="0" applyFont="1" applyAlignment="1" applyProtection="1">
      <alignment vertical="top"/>
      <protection locked="0"/>
    </xf>
    <xf numFmtId="0" fontId="25" fillId="0" borderId="0" xfId="0" applyFont="1" applyAlignment="1" applyProtection="1">
      <alignment vertical="top"/>
      <protection locked="0"/>
    </xf>
    <xf numFmtId="0" fontId="0" fillId="0" borderId="0" xfId="0" applyAlignment="1">
      <alignment vertical="top"/>
    </xf>
    <xf numFmtId="0" fontId="13" fillId="0" borderId="0" xfId="0" applyFont="1" applyAlignment="1" applyProtection="1">
      <alignment vertical="top"/>
      <protection locked="0"/>
    </xf>
    <xf numFmtId="0" fontId="14" fillId="0" borderId="0" xfId="0" applyFont="1" applyAlignment="1" applyProtection="1">
      <alignment vertical="top"/>
      <protection locked="0"/>
    </xf>
    <xf numFmtId="0" fontId="14" fillId="0" borderId="0" xfId="0" applyFont="1" applyAlignment="1" applyProtection="1">
      <alignment vertical="top" wrapText="1"/>
      <protection locked="0"/>
    </xf>
    <xf numFmtId="0" fontId="14" fillId="2" borderId="0" xfId="0" applyFont="1" applyFill="1" applyAlignment="1" applyProtection="1">
      <alignment vertical="top" wrapText="1"/>
      <protection locked="0"/>
    </xf>
    <xf numFmtId="0" fontId="13" fillId="0" borderId="0" xfId="0" applyFont="1" applyAlignment="1">
      <alignment vertical="top"/>
    </xf>
    <xf numFmtId="0" fontId="13" fillId="0" borderId="0" xfId="0" applyFont="1" applyAlignment="1">
      <alignment vertical="top" wrapText="1"/>
    </xf>
    <xf numFmtId="0" fontId="25" fillId="0" borderId="0" xfId="0" applyFont="1" applyAlignment="1">
      <alignment vertical="top"/>
    </xf>
    <xf numFmtId="0" fontId="14" fillId="2" borderId="0" xfId="0" applyFont="1" applyFill="1" applyAlignment="1" applyProtection="1">
      <alignment vertical="top"/>
      <protection locked="0"/>
    </xf>
    <xf numFmtId="0" fontId="14" fillId="0" borderId="1" xfId="0" applyFont="1" applyBorder="1" applyAlignment="1" applyProtection="1">
      <alignment vertical="top"/>
      <protection locked="0"/>
    </xf>
    <xf numFmtId="0" fontId="14" fillId="0" borderId="1" xfId="0" applyFont="1" applyBorder="1" applyAlignment="1" applyProtection="1">
      <alignment vertical="top" wrapText="1"/>
      <protection locked="0"/>
    </xf>
    <xf numFmtId="0" fontId="14" fillId="2" borderId="1" xfId="0" applyFont="1" applyFill="1" applyBorder="1" applyAlignment="1" applyProtection="1">
      <alignment vertical="top" wrapText="1"/>
      <protection locked="0"/>
    </xf>
    <xf numFmtId="0" fontId="14"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3" fillId="0" borderId="1" xfId="0" applyFont="1" applyBorder="1" applyAlignment="1" applyProtection="1">
      <alignment vertical="top"/>
      <protection locked="0"/>
    </xf>
    <xf numFmtId="0" fontId="13" fillId="0" borderId="1" xfId="0" applyFont="1" applyBorder="1" applyAlignment="1" applyProtection="1">
      <alignment vertical="top" wrapText="1"/>
      <protection locked="0"/>
    </xf>
    <xf numFmtId="0" fontId="13" fillId="2" borderId="1" xfId="0" applyFont="1" applyFill="1" applyBorder="1" applyAlignment="1" applyProtection="1">
      <alignment vertical="top" wrapText="1"/>
      <protection locked="0"/>
    </xf>
    <xf numFmtId="0" fontId="13" fillId="2" borderId="1" xfId="0" applyFont="1" applyFill="1" applyBorder="1" applyAlignment="1" applyProtection="1">
      <alignment vertical="top"/>
      <protection locked="0"/>
    </xf>
    <xf numFmtId="0" fontId="11" fillId="0" borderId="0" xfId="0" applyFont="1" applyAlignment="1">
      <alignment vertical="top" wrapText="1"/>
    </xf>
    <xf numFmtId="0" fontId="11" fillId="0" borderId="0" xfId="0" applyFont="1" applyAlignment="1" applyProtection="1">
      <alignment vertical="top" wrapText="1"/>
      <protection locked="0"/>
    </xf>
    <xf numFmtId="0" fontId="34" fillId="0" borderId="0" xfId="0" applyFont="1" applyAlignment="1" applyProtection="1">
      <alignment vertical="top"/>
      <protection locked="0"/>
    </xf>
    <xf numFmtId="0" fontId="13" fillId="0" borderId="1" xfId="0" applyFont="1" applyBorder="1" applyAlignment="1">
      <alignment vertical="top"/>
    </xf>
    <xf numFmtId="0" fontId="13" fillId="0" borderId="1" xfId="0" applyFont="1" applyBorder="1" applyAlignment="1">
      <alignment vertical="top" wrapText="1"/>
    </xf>
    <xf numFmtId="0" fontId="13" fillId="2" borderId="0" xfId="0" applyFont="1" applyFill="1" applyAlignment="1" applyProtection="1">
      <alignment vertical="top" wrapText="1"/>
      <protection locked="0"/>
    </xf>
    <xf numFmtId="0" fontId="15" fillId="0" borderId="0" xfId="0" applyFont="1" applyAlignment="1" applyProtection="1">
      <alignment vertical="top"/>
      <protection locked="0"/>
    </xf>
    <xf numFmtId="0" fontId="13"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5" fillId="0" borderId="0" xfId="0" applyFont="1" applyAlignment="1">
      <alignment vertical="top" wrapText="1"/>
    </xf>
    <xf numFmtId="0" fontId="17" fillId="2" borderId="0" xfId="0" applyFont="1" applyFill="1" applyAlignment="1" applyProtection="1">
      <alignment vertical="top"/>
      <protection locked="0"/>
    </xf>
    <xf numFmtId="0" fontId="15" fillId="2" borderId="0" xfId="0" applyFont="1" applyFill="1" applyAlignment="1" applyProtection="1">
      <alignment vertical="top"/>
      <protection locked="0"/>
    </xf>
    <xf numFmtId="0" fontId="15" fillId="0" borderId="0" xfId="0" applyFont="1" applyAlignment="1">
      <alignment vertical="top"/>
    </xf>
    <xf numFmtId="165" fontId="13" fillId="0" borderId="0" xfId="0" applyNumberFormat="1" applyFont="1" applyAlignment="1" applyProtection="1">
      <alignment vertical="top"/>
      <protection locked="0"/>
    </xf>
    <xf numFmtId="9" fontId="13" fillId="0" borderId="0" xfId="0" applyNumberFormat="1" applyFont="1" applyAlignment="1" applyProtection="1">
      <alignment vertical="top"/>
      <protection locked="0"/>
    </xf>
    <xf numFmtId="0" fontId="19" fillId="2" borderId="0" xfId="0" applyFont="1" applyFill="1" applyAlignment="1" applyProtection="1">
      <alignment vertical="top" wrapText="1"/>
      <protection locked="0"/>
    </xf>
    <xf numFmtId="0" fontId="19" fillId="2" borderId="0" xfId="0" applyFont="1" applyFill="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11" fillId="0" borderId="0" xfId="0" applyFont="1" applyAlignment="1">
      <alignment horizontal="center" vertical="center"/>
    </xf>
    <xf numFmtId="0" fontId="11" fillId="0" borderId="0" xfId="0" applyFont="1" applyAlignment="1">
      <alignment horizontal="center" vertical="center" wrapText="1"/>
    </xf>
    <xf numFmtId="0" fontId="11" fillId="2" borderId="0" xfId="0" applyFont="1" applyFill="1" applyAlignment="1" applyProtection="1">
      <alignment horizontal="center" vertical="center" wrapText="1"/>
      <protection locked="0"/>
    </xf>
    <xf numFmtId="0" fontId="11" fillId="2" borderId="0" xfId="0" applyFont="1" applyFill="1" applyAlignment="1" applyProtection="1">
      <alignment horizontal="center" vertical="center"/>
      <protection locked="0"/>
    </xf>
    <xf numFmtId="0" fontId="11" fillId="0" borderId="0" xfId="0" applyFont="1" applyAlignment="1" applyProtection="1">
      <alignment horizontal="center" vertical="center"/>
      <protection locked="0"/>
    </xf>
    <xf numFmtId="0" fontId="25" fillId="0" borderId="0" xfId="0" applyFont="1" applyAlignment="1" applyProtection="1">
      <alignment horizontal="center" vertical="center"/>
      <protection locked="0"/>
    </xf>
    <xf numFmtId="0" fontId="0" fillId="0" borderId="0" xfId="0" applyAlignment="1">
      <alignment vertical="center"/>
    </xf>
    <xf numFmtId="0" fontId="14" fillId="0" borderId="0" xfId="0" applyFont="1" applyAlignment="1" applyProtection="1">
      <alignment vertical="center"/>
      <protection locked="0"/>
    </xf>
    <xf numFmtId="0" fontId="13" fillId="0" borderId="0" xfId="0" applyFont="1" applyAlignment="1">
      <alignment vertical="center"/>
    </xf>
    <xf numFmtId="0" fontId="14" fillId="0" borderId="1" xfId="0" applyFont="1" applyBorder="1" applyAlignment="1" applyProtection="1">
      <alignment vertical="center"/>
      <protection locked="0"/>
    </xf>
    <xf numFmtId="0" fontId="13" fillId="0" borderId="1" xfId="0" applyFont="1" applyBorder="1" applyAlignment="1" applyProtection="1">
      <alignment vertical="center"/>
      <protection locked="0"/>
    </xf>
    <xf numFmtId="0" fontId="11" fillId="0" borderId="0" xfId="0" applyFont="1" applyAlignment="1">
      <alignment vertical="center"/>
    </xf>
    <xf numFmtId="0" fontId="11" fillId="0" borderId="0" xfId="0" applyFont="1" applyAlignment="1" applyProtection="1">
      <alignment vertical="center"/>
      <protection locked="0"/>
    </xf>
    <xf numFmtId="0" fontId="0" fillId="0" borderId="0" xfId="0" applyAlignment="1" applyProtection="1">
      <alignment vertical="center"/>
      <protection locked="0"/>
    </xf>
    <xf numFmtId="0" fontId="34" fillId="0" borderId="0" xfId="0" applyFont="1" applyAlignment="1" applyProtection="1">
      <alignment vertical="center"/>
      <protection locked="0"/>
    </xf>
    <xf numFmtId="0" fontId="34" fillId="0" borderId="0" xfId="0" applyFont="1" applyAlignment="1">
      <alignment vertical="center"/>
    </xf>
    <xf numFmtId="0" fontId="14" fillId="0" borderId="0" xfId="0" applyFont="1" applyAlignment="1">
      <alignment vertical="center"/>
    </xf>
    <xf numFmtId="0" fontId="13" fillId="0" borderId="1" xfId="0" applyFont="1" applyBorder="1" applyAlignment="1">
      <alignment vertical="center"/>
    </xf>
    <xf numFmtId="0" fontId="13" fillId="0" borderId="0" xfId="0" applyFont="1" applyAlignment="1" applyProtection="1">
      <alignment vertical="center"/>
      <protection locked="0"/>
    </xf>
    <xf numFmtId="0" fontId="0" fillId="0" borderId="1" xfId="0" applyBorder="1" applyAlignment="1">
      <alignment vertical="center"/>
    </xf>
    <xf numFmtId="0" fontId="25" fillId="0" borderId="0" xfId="0" applyFont="1" applyAlignment="1">
      <alignment vertical="center"/>
    </xf>
    <xf numFmtId="0" fontId="17" fillId="0" borderId="0" xfId="0" applyFont="1" applyAlignment="1" applyProtection="1">
      <alignment vertical="center"/>
      <protection locked="0"/>
    </xf>
    <xf numFmtId="0" fontId="14" fillId="0" borderId="0" xfId="0" applyFont="1" applyAlignment="1" applyProtection="1">
      <alignment vertical="center" wrapText="1"/>
      <protection locked="0"/>
    </xf>
    <xf numFmtId="0" fontId="10" fillId="0" borderId="0" xfId="0" applyFont="1" applyAlignment="1">
      <alignment vertical="center"/>
    </xf>
    <xf numFmtId="0" fontId="20" fillId="0" borderId="5" xfId="10" applyFont="1" applyBorder="1" applyAlignment="1">
      <alignment horizontal="left" vertical="center" wrapText="1"/>
    </xf>
    <xf numFmtId="0" fontId="20" fillId="0" borderId="8" xfId="10" applyFont="1" applyBorder="1" applyAlignment="1">
      <alignment horizontal="left" vertical="center"/>
    </xf>
    <xf numFmtId="0" fontId="21" fillId="0" borderId="19" xfId="5" applyFont="1" applyBorder="1" applyAlignment="1">
      <alignment vertical="center" wrapText="1"/>
    </xf>
    <xf numFmtId="0" fontId="6" fillId="5" borderId="24" xfId="10" applyFill="1" applyBorder="1" applyAlignment="1">
      <alignment horizontal="center" vertical="center"/>
    </xf>
    <xf numFmtId="0" fontId="21" fillId="0" borderId="22" xfId="10" applyFont="1" applyBorder="1" applyAlignment="1">
      <alignment horizontal="center" vertical="center" wrapText="1"/>
    </xf>
    <xf numFmtId="0" fontId="0" fillId="0" borderId="2" xfId="0" applyBorder="1"/>
    <xf numFmtId="0" fontId="13"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11" fillId="0" borderId="7" xfId="0" applyFont="1" applyBorder="1" applyAlignment="1">
      <alignment horizontal="center" vertical="center" wrapText="1"/>
    </xf>
    <xf numFmtId="0" fontId="25" fillId="0" borderId="7" xfId="0" applyFont="1" applyBorder="1" applyAlignment="1">
      <alignment horizontal="center" vertical="center"/>
    </xf>
    <xf numFmtId="0" fontId="25" fillId="0" borderId="7" xfId="0" applyFont="1" applyBorder="1" applyAlignment="1">
      <alignment horizontal="center" vertical="center" wrapText="1"/>
    </xf>
    <xf numFmtId="0" fontId="13" fillId="0" borderId="7" xfId="0" applyFont="1" applyBorder="1" applyAlignment="1">
      <alignment horizontal="center" vertical="center"/>
    </xf>
    <xf numFmtId="0" fontId="13" fillId="0" borderId="7" xfId="0" applyFont="1" applyBorder="1" applyAlignment="1">
      <alignment wrapText="1"/>
    </xf>
    <xf numFmtId="0" fontId="25" fillId="0" borderId="7" xfId="0" applyFont="1" applyBorder="1" applyAlignment="1">
      <alignment wrapText="1"/>
    </xf>
    <xf numFmtId="0" fontId="13"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3"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41" fillId="0" borderId="0" xfId="0" applyFont="1" applyAlignment="1">
      <alignment vertical="center"/>
    </xf>
    <xf numFmtId="0" fontId="41" fillId="0" borderId="0" xfId="0" applyFont="1" applyAlignment="1">
      <alignment vertical="top"/>
    </xf>
    <xf numFmtId="0" fontId="41" fillId="0" borderId="0" xfId="0" applyFont="1" applyAlignment="1">
      <alignment vertical="top" wrapText="1"/>
    </xf>
    <xf numFmtId="0" fontId="41" fillId="0" borderId="0" xfId="0" applyFont="1" applyAlignment="1" applyProtection="1">
      <alignment vertical="top"/>
      <protection locked="0"/>
    </xf>
    <xf numFmtId="0" fontId="41" fillId="2" borderId="0" xfId="0" applyFont="1" applyFill="1" applyAlignment="1" applyProtection="1">
      <alignment vertical="top" wrapText="1"/>
      <protection locked="0"/>
    </xf>
    <xf numFmtId="0" fontId="41" fillId="2" borderId="0" xfId="0" applyFont="1" applyFill="1" applyAlignment="1" applyProtection="1">
      <alignment vertical="top"/>
      <protection locked="0"/>
    </xf>
    <xf numFmtId="0" fontId="26" fillId="0" borderId="0" xfId="0" applyFont="1" applyAlignment="1" applyProtection="1">
      <alignment vertical="top" wrapText="1"/>
      <protection locked="0"/>
    </xf>
    <xf numFmtId="9" fontId="14" fillId="0" borderId="0" xfId="0" applyNumberFormat="1" applyFont="1" applyAlignment="1" applyProtection="1">
      <alignment vertical="top"/>
      <protection locked="0"/>
    </xf>
    <xf numFmtId="0" fontId="19" fillId="0" borderId="0" xfId="0" applyFont="1" applyAlignment="1" applyProtection="1">
      <alignment vertical="top"/>
      <protection locked="0"/>
    </xf>
    <xf numFmtId="0" fontId="19" fillId="0" borderId="0" xfId="0" applyFont="1" applyAlignment="1" applyProtection="1">
      <alignment vertical="center"/>
      <protection locked="0"/>
    </xf>
    <xf numFmtId="9" fontId="13" fillId="0" borderId="0" xfId="7" applyFont="1" applyFill="1" applyAlignment="1" applyProtection="1">
      <alignment vertical="top"/>
      <protection locked="0"/>
    </xf>
    <xf numFmtId="164" fontId="13" fillId="0" borderId="0" xfId="0" applyNumberFormat="1" applyFont="1" applyAlignment="1" applyProtection="1">
      <alignment vertical="top"/>
      <protection locked="0"/>
    </xf>
    <xf numFmtId="164" fontId="13" fillId="0" borderId="0" xfId="0" applyNumberFormat="1" applyFont="1" applyAlignment="1" applyProtection="1">
      <alignment vertical="top" wrapText="1"/>
      <protection locked="0"/>
    </xf>
    <xf numFmtId="9" fontId="13" fillId="0" borderId="0" xfId="7" applyFont="1" applyFill="1" applyAlignment="1" applyProtection="1">
      <alignment vertical="top" wrapText="1"/>
      <protection locked="0"/>
    </xf>
    <xf numFmtId="9" fontId="13" fillId="0" borderId="0" xfId="7" applyFont="1" applyFill="1" applyBorder="1" applyAlignment="1" applyProtection="1">
      <alignment vertical="top"/>
      <protection locked="0"/>
    </xf>
    <xf numFmtId="164" fontId="14" fillId="0" borderId="0" xfId="0" applyNumberFormat="1" applyFont="1" applyAlignment="1" applyProtection="1">
      <alignment vertical="top"/>
      <protection locked="0"/>
    </xf>
    <xf numFmtId="9" fontId="14" fillId="0" borderId="0" xfId="7" applyFont="1" applyFill="1" applyBorder="1" applyAlignment="1" applyProtection="1">
      <alignment vertical="top"/>
      <protection locked="0"/>
    </xf>
    <xf numFmtId="9" fontId="25" fillId="0" borderId="17" xfId="7" applyFont="1" applyFill="1" applyBorder="1" applyAlignment="1" applyProtection="1">
      <alignment vertical="top"/>
      <protection locked="0"/>
    </xf>
    <xf numFmtId="0" fontId="25" fillId="0" borderId="18" xfId="0" applyFont="1" applyBorder="1" applyAlignment="1" applyProtection="1">
      <alignment vertical="top"/>
      <protection locked="0"/>
    </xf>
    <xf numFmtId="0" fontId="25" fillId="2" borderId="0" xfId="0" applyFont="1" applyFill="1" applyAlignment="1" applyProtection="1">
      <alignment vertical="top" wrapText="1"/>
      <protection locked="0"/>
    </xf>
    <xf numFmtId="0" fontId="25" fillId="2" borderId="0" xfId="0" applyFont="1" applyFill="1" applyAlignment="1" applyProtection="1">
      <alignment vertical="top"/>
      <protection locked="0"/>
    </xf>
    <xf numFmtId="49" fontId="41" fillId="0" borderId="0" xfId="0" applyNumberFormat="1" applyFont="1" applyAlignment="1">
      <alignment horizontal="left" vertical="top" wrapText="1"/>
    </xf>
    <xf numFmtId="1" fontId="39" fillId="2" borderId="7" xfId="5" applyNumberFormat="1" applyFont="1" applyFill="1" applyBorder="1" applyAlignment="1" applyProtection="1">
      <alignment horizontal="center" vertical="center"/>
      <protection locked="0"/>
    </xf>
    <xf numFmtId="0" fontId="30" fillId="0" borderId="0" xfId="0" applyFont="1" applyProtection="1">
      <protection locked="0"/>
    </xf>
    <xf numFmtId="0" fontId="21" fillId="0" borderId="16" xfId="5" applyFont="1" applyBorder="1" applyAlignment="1">
      <alignment vertical="center" wrapText="1"/>
    </xf>
    <xf numFmtId="0" fontId="20" fillId="0" borderId="9" xfId="5" applyFont="1" applyBorder="1" applyAlignment="1">
      <alignment vertical="center" wrapText="1"/>
    </xf>
    <xf numFmtId="0" fontId="20" fillId="0" borderId="7" xfId="5" applyFont="1" applyBorder="1" applyAlignment="1">
      <alignment vertical="center" wrapText="1"/>
    </xf>
    <xf numFmtId="0" fontId="21" fillId="0" borderId="7" xfId="10" applyFont="1" applyBorder="1" applyAlignment="1">
      <alignment vertical="center"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24" fillId="0" borderId="7" xfId="6" applyFont="1" applyFill="1" applyBorder="1" applyAlignment="1" applyProtection="1">
      <alignment horizontal="center" vertical="center"/>
    </xf>
    <xf numFmtId="0" fontId="13" fillId="0" borderId="0" xfId="0" applyFont="1" applyAlignment="1" applyProtection="1">
      <alignment horizontal="right" vertical="top"/>
      <protection locked="0"/>
    </xf>
    <xf numFmtId="164" fontId="13" fillId="0" borderId="0" xfId="0" applyNumberFormat="1" applyFont="1" applyAlignment="1" applyProtection="1">
      <alignment horizontal="right" vertical="top"/>
      <protection locked="0"/>
    </xf>
    <xf numFmtId="164" fontId="13" fillId="0" borderId="0" xfId="0" applyNumberFormat="1" applyFont="1" applyAlignment="1">
      <alignment horizontal="right" vertical="top"/>
    </xf>
    <xf numFmtId="0" fontId="25" fillId="0" borderId="17" xfId="0" applyFont="1" applyBorder="1" applyAlignment="1" applyProtection="1">
      <alignment horizontal="right" vertical="top"/>
      <protection locked="0"/>
    </xf>
    <xf numFmtId="164" fontId="13" fillId="0" borderId="0" xfId="0" applyNumberFormat="1" applyFont="1" applyAlignment="1" applyProtection="1">
      <alignment horizontal="right" vertical="top" wrapText="1"/>
      <protection locked="0"/>
    </xf>
    <xf numFmtId="164" fontId="14" fillId="0" borderId="0" xfId="0" applyNumberFormat="1" applyFont="1" applyAlignment="1" applyProtection="1">
      <alignment horizontal="right" vertical="top"/>
      <protection locked="0"/>
    </xf>
    <xf numFmtId="0" fontId="11" fillId="0" borderId="34" xfId="0" applyFont="1" applyBorder="1" applyAlignment="1" applyProtection="1">
      <alignment horizontal="center" vertical="center" wrapText="1"/>
      <protection locked="0"/>
    </xf>
    <xf numFmtId="0" fontId="25" fillId="6" borderId="12" xfId="0" applyFont="1" applyFill="1" applyBorder="1" applyAlignment="1" applyProtection="1">
      <alignment horizontal="center" vertical="center" wrapText="1"/>
      <protection locked="0"/>
    </xf>
    <xf numFmtId="9" fontId="25" fillId="6" borderId="11" xfId="7" applyFont="1" applyFill="1" applyBorder="1" applyAlignment="1" applyProtection="1">
      <alignment horizontal="center" vertical="center" wrapText="1"/>
      <protection locked="0"/>
    </xf>
    <xf numFmtId="0" fontId="25" fillId="6" borderId="11" xfId="0" applyFont="1" applyFill="1" applyBorder="1" applyAlignment="1" applyProtection="1">
      <alignment horizontal="center" vertical="center" wrapText="1"/>
      <protection locked="0"/>
    </xf>
    <xf numFmtId="0" fontId="24" fillId="0" borderId="20" xfId="0" applyFont="1" applyBorder="1" applyProtection="1">
      <protection locked="0"/>
    </xf>
    <xf numFmtId="0" fontId="0" fillId="0" borderId="17" xfId="0" applyBorder="1" applyAlignment="1" applyProtection="1">
      <alignment vertical="top"/>
      <protection locked="0"/>
    </xf>
    <xf numFmtId="0" fontId="7" fillId="0" borderId="6" xfId="5" applyBorder="1"/>
    <xf numFmtId="0" fontId="20" fillId="0" borderId="8" xfId="5" applyFont="1" applyBorder="1" applyAlignment="1">
      <alignment vertical="center"/>
    </xf>
    <xf numFmtId="0" fontId="20" fillId="0" borderId="19" xfId="5" applyFont="1" applyBorder="1" applyAlignment="1">
      <alignment horizontal="left" vertical="center" wrapText="1"/>
    </xf>
    <xf numFmtId="0" fontId="7" fillId="0" borderId="23" xfId="5" applyBorder="1"/>
    <xf numFmtId="0" fontId="7" fillId="0" borderId="2" xfId="5" applyBorder="1"/>
    <xf numFmtId="9" fontId="14" fillId="0" borderId="0" xfId="7" applyFont="1" applyFill="1" applyAlignment="1" applyProtection="1">
      <alignment vertical="top"/>
      <protection locked="0"/>
    </xf>
    <xf numFmtId="0" fontId="14" fillId="3" borderId="0" xfId="0" applyFont="1" applyFill="1" applyProtection="1">
      <protection locked="0"/>
    </xf>
    <xf numFmtId="0" fontId="26" fillId="2" borderId="0" xfId="0" applyFont="1" applyFill="1" applyProtection="1">
      <protection locked="0"/>
    </xf>
    <xf numFmtId="0" fontId="26" fillId="0" borderId="0" xfId="0" applyFont="1" applyProtection="1">
      <protection locked="0"/>
    </xf>
    <xf numFmtId="0" fontId="0" fillId="3" borderId="0" xfId="0" applyFill="1" applyProtection="1">
      <protection locked="0"/>
    </xf>
    <xf numFmtId="0" fontId="21" fillId="0" borderId="29" xfId="5" applyFont="1" applyBorder="1" applyAlignment="1">
      <alignment horizontal="center" vertical="center" wrapText="1"/>
    </xf>
    <xf numFmtId="0" fontId="20" fillId="0" borderId="45" xfId="5" applyFont="1" applyBorder="1" applyAlignment="1">
      <alignment vertical="center"/>
    </xf>
    <xf numFmtId="0" fontId="20" fillId="0" borderId="35" xfId="5" applyFont="1" applyBorder="1" applyAlignment="1">
      <alignment vertical="center"/>
    </xf>
    <xf numFmtId="164" fontId="13" fillId="7" borderId="0" xfId="0" applyNumberFormat="1" applyFont="1" applyFill="1" applyAlignment="1" applyProtection="1">
      <alignment horizontal="right" vertical="top"/>
      <protection locked="0"/>
    </xf>
    <xf numFmtId="9" fontId="13" fillId="7" borderId="0" xfId="7" applyFont="1" applyFill="1" applyAlignment="1" applyProtection="1">
      <alignment vertical="top"/>
      <protection locked="0"/>
    </xf>
    <xf numFmtId="164" fontId="13" fillId="7" borderId="0" xfId="0" applyNumberFormat="1" applyFont="1" applyFill="1" applyAlignment="1" applyProtection="1">
      <alignment vertical="top"/>
      <protection locked="0"/>
    </xf>
    <xf numFmtId="9" fontId="13" fillId="0" borderId="0" xfId="7" applyFont="1" applyFill="1" applyAlignment="1" applyProtection="1">
      <alignment vertical="top"/>
    </xf>
    <xf numFmtId="164" fontId="13" fillId="0" borderId="0" xfId="0" applyNumberFormat="1" applyFont="1" applyAlignment="1">
      <alignment vertical="top"/>
    </xf>
    <xf numFmtId="0" fontId="13" fillId="0" borderId="0" xfId="3" applyFont="1" applyAlignment="1">
      <alignment horizontal="left" vertical="top" wrapText="1"/>
    </xf>
    <xf numFmtId="0" fontId="13" fillId="0" borderId="0" xfId="0" applyFont="1" applyAlignment="1">
      <alignment horizontal="left" vertical="top" wrapText="1"/>
    </xf>
    <xf numFmtId="0" fontId="13" fillId="0" borderId="0" xfId="0" applyFont="1" applyAlignment="1" applyProtection="1">
      <alignment horizontal="left" vertical="top" wrapText="1"/>
      <protection locked="0"/>
    </xf>
    <xf numFmtId="0" fontId="0" fillId="0" borderId="0" xfId="0" applyAlignment="1" applyProtection="1">
      <alignment horizontal="left" vertical="center" wrapText="1"/>
      <protection locked="0"/>
    </xf>
    <xf numFmtId="0" fontId="0" fillId="0" borderId="0" xfId="2" applyFont="1" applyAlignment="1">
      <alignment horizontal="left" vertical="top" wrapText="1"/>
    </xf>
    <xf numFmtId="0" fontId="13" fillId="0" borderId="0" xfId="2" applyFont="1" applyAlignment="1">
      <alignment vertical="top" wrapText="1"/>
    </xf>
    <xf numFmtId="0" fontId="14" fillId="0" borderId="0" xfId="2" applyFont="1" applyAlignment="1" applyProtection="1">
      <alignment vertical="top" wrapText="1"/>
      <protection locked="0"/>
    </xf>
    <xf numFmtId="0" fontId="13" fillId="0" borderId="0" xfId="3" applyFont="1" applyAlignment="1" applyProtection="1">
      <alignment horizontal="left" vertical="top" wrapText="1"/>
      <protection locked="0"/>
    </xf>
    <xf numFmtId="0" fontId="14" fillId="0" borderId="0" xfId="3" applyFont="1" applyAlignment="1" applyProtection="1">
      <alignment horizontal="left" vertical="top"/>
      <protection locked="0"/>
    </xf>
    <xf numFmtId="0" fontId="13" fillId="0" borderId="0" xfId="2" applyFont="1" applyAlignment="1" applyProtection="1">
      <alignment vertical="top" wrapText="1"/>
      <protection locked="0"/>
    </xf>
    <xf numFmtId="0" fontId="14" fillId="0" borderId="0" xfId="0" applyFont="1" applyAlignment="1" applyProtection="1">
      <alignment horizontal="left" vertical="top" wrapText="1"/>
      <protection locked="0"/>
    </xf>
    <xf numFmtId="0" fontId="11" fillId="0" borderId="0" xfId="0" applyFont="1" applyAlignment="1">
      <alignment wrapText="1"/>
    </xf>
    <xf numFmtId="0" fontId="14" fillId="0" borderId="0" xfId="2" applyFont="1" applyAlignment="1" applyProtection="1">
      <alignment horizontal="left" vertical="top" wrapText="1"/>
      <protection locked="0"/>
    </xf>
    <xf numFmtId="0" fontId="14" fillId="0" borderId="0" xfId="3" applyFont="1" applyAlignment="1" applyProtection="1">
      <alignment horizontal="left" vertical="top" wrapText="1"/>
      <protection locked="0"/>
    </xf>
    <xf numFmtId="0" fontId="13" fillId="0" borderId="0" xfId="0" applyFont="1" applyAlignment="1">
      <alignment horizontal="left" vertical="top"/>
    </xf>
    <xf numFmtId="0" fontId="0" fillId="0" borderId="1" xfId="0" applyBorder="1" applyAlignment="1" applyProtection="1">
      <alignment vertical="top"/>
      <protection locked="0"/>
    </xf>
    <xf numFmtId="0" fontId="13" fillId="0" borderId="0" xfId="3" applyFont="1" applyAlignment="1">
      <alignment horizontal="left" vertical="center" wrapText="1"/>
    </xf>
    <xf numFmtId="0" fontId="0" fillId="0" borderId="0" xfId="2" applyFont="1" applyAlignment="1" applyProtection="1">
      <alignment horizontal="left" vertical="center" wrapText="1"/>
      <protection locked="0"/>
    </xf>
    <xf numFmtId="0" fontId="13" fillId="0" borderId="0" xfId="2" applyFont="1" applyAlignment="1">
      <alignment horizontal="left" vertical="center" wrapText="1"/>
    </xf>
    <xf numFmtId="0" fontId="14" fillId="0" borderId="0" xfId="0" applyFont="1" applyAlignment="1" applyProtection="1">
      <alignment horizontal="left" vertical="center" wrapText="1"/>
      <protection locked="0"/>
    </xf>
    <xf numFmtId="0" fontId="13" fillId="0" borderId="0" xfId="2" applyFont="1" applyAlignment="1">
      <alignment vertical="center" wrapText="1"/>
    </xf>
    <xf numFmtId="0" fontId="13" fillId="0" borderId="0" xfId="2" applyFont="1" applyAlignment="1" applyProtection="1">
      <alignment horizontal="left" vertical="center" wrapText="1"/>
      <protection locked="0"/>
    </xf>
    <xf numFmtId="0" fontId="0" fillId="0" borderId="0" xfId="2" applyFont="1" applyAlignment="1">
      <alignment horizontal="left" vertical="center" wrapText="1"/>
    </xf>
    <xf numFmtId="0" fontId="14" fillId="0" borderId="0" xfId="3" applyFont="1" applyAlignment="1" applyProtection="1">
      <alignment horizontal="left" vertical="center" wrapText="1"/>
      <protection locked="0"/>
    </xf>
    <xf numFmtId="0" fontId="14" fillId="0" borderId="0" xfId="2" applyFont="1" applyAlignment="1" applyProtection="1">
      <alignment horizontal="left" vertical="center" wrapText="1"/>
      <protection locked="0"/>
    </xf>
    <xf numFmtId="0" fontId="14" fillId="0" borderId="0" xfId="2" applyFont="1" applyAlignment="1" applyProtection="1">
      <alignment vertical="center" wrapText="1"/>
      <protection locked="0"/>
    </xf>
    <xf numFmtId="0" fontId="0" fillId="0" borderId="0" xfId="2" applyFont="1" applyAlignment="1" applyProtection="1">
      <alignment vertical="center" wrapText="1"/>
      <protection locked="0"/>
    </xf>
    <xf numFmtId="0" fontId="0" fillId="0" borderId="0" xfId="0" applyAlignment="1">
      <alignment wrapText="1"/>
    </xf>
    <xf numFmtId="0" fontId="22" fillId="0" borderId="46" xfId="10" applyFont="1" applyBorder="1" applyAlignment="1">
      <alignment horizontal="center" vertical="center"/>
    </xf>
    <xf numFmtId="0" fontId="6" fillId="5" borderId="48" xfId="10" applyFill="1" applyBorder="1" applyAlignment="1">
      <alignment horizontal="center" vertical="center"/>
    </xf>
    <xf numFmtId="0" fontId="22" fillId="0" borderId="49" xfId="10" applyFont="1" applyBorder="1" applyAlignment="1">
      <alignment horizontal="center" vertical="center"/>
    </xf>
    <xf numFmtId="0" fontId="21" fillId="0" borderId="50" xfId="5" applyFont="1" applyBorder="1" applyAlignment="1">
      <alignment vertical="center" wrapText="1"/>
    </xf>
    <xf numFmtId="0" fontId="21" fillId="0" borderId="38" xfId="17" applyFont="1" applyBorder="1" applyAlignment="1">
      <alignment vertical="center" wrapText="1"/>
    </xf>
    <xf numFmtId="0" fontId="21" fillId="0" borderId="51" xfId="17" applyFont="1" applyBorder="1" applyAlignment="1">
      <alignment vertical="center" wrapText="1"/>
    </xf>
    <xf numFmtId="0" fontId="21" fillId="0" borderId="38" xfId="10" applyFont="1" applyBorder="1" applyAlignment="1">
      <alignment vertical="center" wrapText="1"/>
    </xf>
    <xf numFmtId="0" fontId="21" fillId="0" borderId="52" xfId="10" applyFont="1" applyBorder="1" applyAlignment="1">
      <alignment vertical="center" wrapText="1"/>
    </xf>
    <xf numFmtId="0" fontId="21" fillId="5" borderId="51" xfId="10" applyFont="1" applyFill="1" applyBorder="1" applyAlignment="1">
      <alignment vertical="center" wrapText="1"/>
    </xf>
    <xf numFmtId="0" fontId="40" fillId="0" borderId="53" xfId="10" applyFont="1" applyBorder="1" applyAlignment="1">
      <alignment vertical="center" wrapText="1"/>
    </xf>
    <xf numFmtId="0" fontId="40" fillId="0" borderId="54" xfId="10" applyFont="1" applyBorder="1" applyAlignment="1">
      <alignment vertical="center" wrapText="1"/>
    </xf>
    <xf numFmtId="0" fontId="40" fillId="0" borderId="52" xfId="10" applyFont="1" applyBorder="1" applyAlignment="1">
      <alignment vertical="center" wrapText="1"/>
    </xf>
    <xf numFmtId="0" fontId="3" fillId="0" borderId="13" xfId="17" applyBorder="1"/>
    <xf numFmtId="0" fontId="3" fillId="0" borderId="3" xfId="17" applyBorder="1"/>
    <xf numFmtId="0" fontId="3" fillId="0" borderId="2" xfId="17" applyBorder="1"/>
    <xf numFmtId="0" fontId="22" fillId="0" borderId="49" xfId="17" applyFont="1" applyBorder="1" applyAlignment="1">
      <alignment horizontal="center" vertical="center"/>
    </xf>
    <xf numFmtId="0" fontId="12" fillId="0" borderId="55" xfId="17" applyFont="1" applyBorder="1" applyAlignment="1">
      <alignment horizontal="center" vertical="center"/>
    </xf>
    <xf numFmtId="0" fontId="12" fillId="0" borderId="56" xfId="17" applyFont="1" applyBorder="1" applyAlignment="1">
      <alignment horizontal="center" vertical="center"/>
    </xf>
    <xf numFmtId="0" fontId="20" fillId="0" borderId="39" xfId="17" applyFont="1" applyBorder="1" applyAlignment="1">
      <alignment horizontal="center" vertical="center" wrapText="1"/>
    </xf>
    <xf numFmtId="0" fontId="20" fillId="0" borderId="38" xfId="17" applyFont="1" applyBorder="1" applyAlignment="1">
      <alignment horizontal="center" vertical="center" wrapText="1"/>
    </xf>
    <xf numFmtId="0" fontId="21" fillId="0" borderId="38" xfId="17" applyFont="1" applyBorder="1" applyAlignment="1">
      <alignment horizontal="center" vertical="center" wrapText="1"/>
    </xf>
    <xf numFmtId="2" fontId="21" fillId="0" borderId="51" xfId="17" applyNumberFormat="1" applyFont="1" applyBorder="1" applyAlignment="1">
      <alignment horizontal="center" vertical="center" wrapText="1"/>
    </xf>
    <xf numFmtId="0" fontId="21" fillId="0" borderId="52" xfId="17" applyFont="1" applyBorder="1" applyAlignment="1">
      <alignment horizontal="center" vertical="center" wrapText="1"/>
    </xf>
    <xf numFmtId="0" fontId="21" fillId="5" borderId="51" xfId="17" applyFont="1" applyFill="1" applyBorder="1" applyAlignment="1">
      <alignment horizontal="center" vertical="center" wrapText="1"/>
    </xf>
    <xf numFmtId="0" fontId="20" fillId="0" borderId="57" xfId="5" applyFont="1" applyBorder="1" applyAlignment="1">
      <alignment vertical="center" wrapText="1"/>
    </xf>
    <xf numFmtId="0" fontId="21" fillId="0" borderId="58" xfId="5" applyFont="1" applyBorder="1" applyAlignment="1">
      <alignment vertical="center" wrapText="1"/>
    </xf>
    <xf numFmtId="0" fontId="3" fillId="5" borderId="59" xfId="17" applyFill="1" applyBorder="1" applyAlignment="1">
      <alignment horizontal="center" vertical="center"/>
    </xf>
    <xf numFmtId="0" fontId="3" fillId="5" borderId="7" xfId="17" applyFill="1" applyBorder="1" applyAlignment="1">
      <alignment horizontal="center" vertical="center"/>
    </xf>
    <xf numFmtId="0" fontId="3" fillId="0" borderId="7" xfId="17" applyBorder="1" applyAlignment="1">
      <alignment horizontal="center" vertical="center"/>
    </xf>
    <xf numFmtId="0" fontId="3" fillId="3" borderId="7" xfId="17" applyFill="1" applyBorder="1" applyAlignment="1" applyProtection="1">
      <alignment horizontal="center" vertical="center"/>
      <protection locked="0"/>
    </xf>
    <xf numFmtId="0" fontId="3" fillId="2" borderId="47" xfId="17" applyFill="1" applyBorder="1" applyAlignment="1" applyProtection="1">
      <alignment horizontal="center" vertical="center"/>
      <protection locked="0"/>
    </xf>
    <xf numFmtId="4" fontId="3" fillId="5" borderId="4" xfId="17" applyNumberFormat="1" applyFill="1" applyBorder="1" applyAlignment="1">
      <alignment horizontal="center" vertical="center"/>
    </xf>
    <xf numFmtId="165" fontId="21" fillId="0" borderId="53" xfId="7" applyNumberFormat="1" applyFont="1" applyBorder="1" applyAlignment="1" applyProtection="1">
      <alignment horizontal="center" vertical="center" wrapText="1"/>
    </xf>
    <xf numFmtId="165" fontId="21" fillId="0" borderId="42" xfId="7" applyNumberFormat="1" applyFont="1" applyBorder="1" applyAlignment="1" applyProtection="1">
      <alignment horizontal="center" vertical="center" wrapText="1"/>
    </xf>
    <xf numFmtId="165" fontId="21" fillId="0" borderId="54" xfId="7" applyNumberFormat="1" applyFont="1" applyBorder="1" applyAlignment="1" applyProtection="1">
      <alignment horizontal="center" vertical="center" wrapText="1"/>
    </xf>
    <xf numFmtId="165" fontId="21" fillId="0" borderId="21" xfId="7" applyNumberFormat="1" applyFont="1" applyBorder="1" applyAlignment="1" applyProtection="1">
      <alignment horizontal="center" vertical="center" wrapText="1"/>
    </xf>
    <xf numFmtId="165" fontId="21" fillId="0" borderId="52" xfId="7" applyNumberFormat="1" applyFont="1" applyBorder="1" applyAlignment="1" applyProtection="1">
      <alignment horizontal="center" vertical="center" wrapText="1"/>
    </xf>
    <xf numFmtId="165" fontId="21" fillId="0" borderId="22" xfId="7" applyNumberFormat="1" applyFont="1" applyBorder="1" applyAlignment="1" applyProtection="1">
      <alignment horizontal="center" vertical="center" wrapText="1"/>
    </xf>
    <xf numFmtId="0" fontId="50" fillId="0" borderId="33" xfId="10" applyFont="1" applyBorder="1" applyAlignment="1">
      <alignment horizontal="center" vertical="center" wrapText="1"/>
    </xf>
    <xf numFmtId="0" fontId="50" fillId="0" borderId="29" xfId="10" applyFont="1" applyBorder="1" applyAlignment="1">
      <alignment horizontal="center" vertical="center" wrapText="1"/>
    </xf>
    <xf numFmtId="0" fontId="51" fillId="0" borderId="37" xfId="5" applyFont="1" applyBorder="1" applyAlignment="1">
      <alignment horizontal="center" vertical="center" wrapText="1"/>
    </xf>
    <xf numFmtId="0" fontId="51" fillId="0" borderId="29" xfId="10" applyFont="1" applyBorder="1" applyAlignment="1">
      <alignment horizontal="center" vertical="center" wrapText="1"/>
    </xf>
    <xf numFmtId="0" fontId="51" fillId="0" borderId="29" xfId="5" applyFont="1" applyBorder="1" applyAlignment="1">
      <alignment horizontal="center" vertical="center" wrapText="1"/>
    </xf>
    <xf numFmtId="0" fontId="51" fillId="0" borderId="43" xfId="5" applyFont="1" applyBorder="1" applyAlignment="1">
      <alignment horizontal="center" vertical="center"/>
    </xf>
    <xf numFmtId="0" fontId="51" fillId="0" borderId="44" xfId="5" applyFont="1" applyBorder="1" applyAlignment="1">
      <alignment horizontal="center" vertical="center"/>
    </xf>
    <xf numFmtId="0" fontId="51" fillId="0" borderId="33" xfId="10" applyFont="1" applyBorder="1" applyAlignment="1">
      <alignment horizontal="center" vertical="center" wrapText="1"/>
    </xf>
    <xf numFmtId="0" fontId="15" fillId="0" borderId="0" xfId="0" applyFont="1" applyAlignment="1">
      <alignment vertical="center"/>
    </xf>
    <xf numFmtId="0" fontId="0" fillId="0" borderId="0" xfId="0" applyAlignment="1" applyProtection="1">
      <alignment wrapText="1"/>
      <protection locked="0"/>
    </xf>
    <xf numFmtId="0" fontId="52" fillId="0" borderId="0" xfId="3" applyFont="1" applyAlignment="1" applyProtection="1">
      <alignment horizontal="left" vertical="top" wrapText="1"/>
      <protection locked="0"/>
    </xf>
    <xf numFmtId="0" fontId="52" fillId="0" borderId="0" xfId="0" applyFont="1" applyAlignment="1" applyProtection="1">
      <alignment vertical="top"/>
      <protection locked="0"/>
    </xf>
    <xf numFmtId="49" fontId="2" fillId="3" borderId="16" xfId="5" applyNumberFormat="1" applyFont="1" applyFill="1" applyBorder="1" applyAlignment="1" applyProtection="1">
      <alignment horizontal="center" vertical="center"/>
      <protection locked="0"/>
    </xf>
    <xf numFmtId="0" fontId="2" fillId="0" borderId="2" xfId="10" applyFont="1" applyBorder="1"/>
    <xf numFmtId="0" fontId="2" fillId="3" borderId="7" xfId="5" applyFont="1" applyFill="1" applyBorder="1" applyAlignment="1" applyProtection="1">
      <alignment horizontal="center" vertical="center"/>
      <protection locked="0"/>
    </xf>
    <xf numFmtId="2" fontId="2" fillId="3" borderId="24" xfId="5" applyNumberFormat="1" applyFont="1" applyFill="1" applyBorder="1" applyAlignment="1" applyProtection="1">
      <alignment horizontal="center" vertical="center"/>
      <protection locked="0"/>
    </xf>
    <xf numFmtId="2" fontId="2" fillId="3" borderId="7" xfId="10" applyNumberFormat="1" applyFont="1" applyFill="1" applyBorder="1" applyAlignment="1" applyProtection="1">
      <alignment horizontal="center" vertical="center"/>
      <protection locked="0"/>
    </xf>
    <xf numFmtId="165" fontId="2" fillId="5" borderId="7" xfId="7" applyNumberFormat="1" applyFont="1" applyFill="1" applyBorder="1" applyAlignment="1">
      <alignment horizontal="center" vertical="center"/>
    </xf>
    <xf numFmtId="165" fontId="6" fillId="2" borderId="16" xfId="10" applyNumberFormat="1" applyFill="1" applyBorder="1" applyAlignment="1" applyProtection="1">
      <alignment horizontal="center" vertical="center"/>
      <protection locked="0"/>
    </xf>
    <xf numFmtId="165" fontId="6" fillId="2" borderId="7" xfId="10" applyNumberFormat="1" applyFill="1" applyBorder="1" applyAlignment="1" applyProtection="1">
      <alignment horizontal="center" vertical="center"/>
      <protection locked="0"/>
    </xf>
    <xf numFmtId="165" fontId="6" fillId="2" borderId="4" xfId="10" applyNumberFormat="1" applyFill="1" applyBorder="1" applyAlignment="1" applyProtection="1">
      <alignment horizontal="center" vertical="center"/>
      <protection locked="0"/>
    </xf>
    <xf numFmtId="0" fontId="6" fillId="0" borderId="28" xfId="10" applyBorder="1" applyAlignment="1">
      <alignment horizontal="center" vertical="top" textRotation="90" wrapText="1"/>
    </xf>
    <xf numFmtId="0" fontId="6" fillId="0" borderId="30" xfId="10" applyBorder="1" applyAlignment="1">
      <alignment horizontal="center" vertical="top" textRotation="90" wrapText="1"/>
    </xf>
    <xf numFmtId="0" fontId="6" fillId="0" borderId="27" xfId="10" applyBorder="1" applyAlignment="1">
      <alignment horizontal="center" vertical="top" textRotation="90"/>
    </xf>
    <xf numFmtId="0" fontId="6" fillId="0" borderId="28" xfId="10" applyBorder="1" applyAlignment="1">
      <alignment horizontal="center" vertical="top" textRotation="90"/>
    </xf>
    <xf numFmtId="0" fontId="6" fillId="0" borderId="30" xfId="10" applyBorder="1" applyAlignment="1">
      <alignment horizontal="center" vertical="top" textRotation="90"/>
    </xf>
    <xf numFmtId="0" fontId="6" fillId="0" borderId="27" xfId="10" applyBorder="1" applyAlignment="1">
      <alignment horizontal="center" vertical="top" textRotation="90" wrapText="1"/>
    </xf>
  </cellXfs>
  <cellStyles count="18">
    <cellStyle name="Check Cell" xfId="6" builtinId="23"/>
    <cellStyle name="Normal" xfId="0" builtinId="0"/>
    <cellStyle name="Normal 2" xfId="1" xr:uid="{00000000-0005-0000-0000-000002000000}"/>
    <cellStyle name="Normal 2 2" xfId="8" xr:uid="{00000000-0005-0000-0000-000003000000}"/>
    <cellStyle name="Normal 2 2 2" xfId="13" xr:uid="{00000000-0005-0000-0000-000004000000}"/>
    <cellStyle name="Normal 2 2 3" xfId="15" xr:uid="{6F7AC48C-8BC0-E048-96B6-34CF2814C2E1}"/>
    <cellStyle name="Normal 2 3" xfId="11" xr:uid="{00000000-0005-0000-0000-000005000000}"/>
    <cellStyle name="Normal 3" xfId="2" xr:uid="{00000000-0005-0000-0000-000006000000}"/>
    <cellStyle name="Normal 3 2" xfId="12" xr:uid="{00000000-0005-0000-0000-000007000000}"/>
    <cellStyle name="Normal 3 2 2" xfId="16" xr:uid="{AA3FA7FB-5FD5-7841-97F4-47C6B41A3222}"/>
    <cellStyle name="Normal 4" xfId="4" xr:uid="{00000000-0005-0000-0000-000008000000}"/>
    <cellStyle name="Normal 4 2" xfId="5" xr:uid="{00000000-0005-0000-0000-000009000000}"/>
    <cellStyle name="Normal 4 2 2" xfId="10" xr:uid="{00000000-0005-0000-0000-00000A000000}"/>
    <cellStyle name="Normal 4 2 2 2" xfId="17" xr:uid="{DD8DDCD2-5352-E845-9236-8EBEEA2D3DE5}"/>
    <cellStyle name="Normal 4 3" xfId="9" xr:uid="{00000000-0005-0000-0000-00000B000000}"/>
    <cellStyle name="Normal 4 4" xfId="14" xr:uid="{00000000-0005-0000-0000-00000C000000}"/>
    <cellStyle name="Normal 5" xfId="3" xr:uid="{00000000-0005-0000-0000-00000D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26"/>
  <sheetViews>
    <sheetView tabSelected="1" zoomScaleNormal="100" workbookViewId="0">
      <pane ySplit="1" topLeftCell="A2" activePane="bottomLeft" state="frozen"/>
      <selection pane="bottomLeft" activeCell="C11" sqref="C11"/>
    </sheetView>
  </sheetViews>
  <sheetFormatPr baseColWidth="10" defaultColWidth="8.83203125" defaultRowHeight="15" x14ac:dyDescent="0.2"/>
  <cols>
    <col min="1" max="1" width="21.1640625" style="46" customWidth="1"/>
    <col min="2" max="2" width="25.83203125" style="46" customWidth="1"/>
    <col min="3" max="4" width="66" style="47" customWidth="1"/>
    <col min="5" max="5" width="16.83203125" style="47" customWidth="1"/>
    <col min="6" max="7" width="28" style="46" customWidth="1"/>
    <col min="8" max="8" width="15.5" style="46" customWidth="1"/>
    <col min="9" max="9" width="8.83203125" style="125" customWidth="1"/>
    <col min="10" max="10" width="13.83203125" style="125" customWidth="1"/>
    <col min="11" max="11" width="29.1640625" style="125" customWidth="1"/>
    <col min="12" max="12" width="72.6640625" style="125" customWidth="1"/>
    <col min="13" max="16" width="8.83203125" style="125" customWidth="1"/>
    <col min="17" max="19" width="8.83203125" style="46" customWidth="1"/>
    <col min="20" max="20" width="8.83203125" style="46" hidden="1" customWidth="1"/>
    <col min="21" max="21" width="9.5" style="46" hidden="1" customWidth="1"/>
    <col min="22" max="22" width="8.83203125" style="46" hidden="1" customWidth="1"/>
    <col min="23" max="23" width="18.1640625" style="189" hidden="1" customWidth="1"/>
    <col min="24" max="24" width="18.33203125" style="172" hidden="1" customWidth="1"/>
    <col min="25" max="25" width="14.1640625" style="74" customWidth="1"/>
    <col min="26" max="26" width="19.6640625" style="74" hidden="1" customWidth="1"/>
    <col min="27" max="27" width="8.83203125" style="74"/>
    <col min="28" max="16384" width="8.83203125" style="46"/>
  </cols>
  <sheetData>
    <row r="1" spans="1:27" s="116" customFormat="1" ht="33" thickBot="1" x14ac:dyDescent="0.25">
      <c r="A1" s="112" t="s">
        <v>0</v>
      </c>
      <c r="B1" s="112" t="s">
        <v>1</v>
      </c>
      <c r="C1" s="113" t="s">
        <v>2</v>
      </c>
      <c r="D1" s="113" t="s">
        <v>3</v>
      </c>
      <c r="E1" s="114" t="s">
        <v>4</v>
      </c>
      <c r="F1" s="112" t="s">
        <v>5</v>
      </c>
      <c r="G1" s="112" t="s">
        <v>6</v>
      </c>
      <c r="H1" s="115" t="s">
        <v>7</v>
      </c>
      <c r="I1" s="112" t="s">
        <v>8</v>
      </c>
      <c r="J1" s="112" t="s">
        <v>9</v>
      </c>
      <c r="K1" s="112" t="s">
        <v>10</v>
      </c>
      <c r="L1" s="112" t="s">
        <v>11</v>
      </c>
      <c r="M1" s="112" t="s">
        <v>12</v>
      </c>
      <c r="N1" s="112" t="s">
        <v>13</v>
      </c>
      <c r="O1" s="112" t="s">
        <v>14</v>
      </c>
      <c r="P1" s="112" t="s">
        <v>15</v>
      </c>
      <c r="U1" s="195" t="s">
        <v>16</v>
      </c>
      <c r="W1" s="196" t="s">
        <v>17</v>
      </c>
      <c r="X1" s="197" t="s">
        <v>18</v>
      </c>
      <c r="Y1" s="198" t="s">
        <v>19</v>
      </c>
      <c r="Z1" s="37" t="s">
        <v>20</v>
      </c>
      <c r="AA1" s="117"/>
    </row>
    <row r="2" spans="1:27" x14ac:dyDescent="0.2">
      <c r="A2" s="73" t="s">
        <v>21</v>
      </c>
      <c r="B2" s="73" t="s">
        <v>21</v>
      </c>
      <c r="C2" s="45"/>
      <c r="D2" s="45"/>
      <c r="E2" s="86"/>
      <c r="F2" s="73"/>
      <c r="G2" s="73"/>
      <c r="H2" s="87"/>
      <c r="I2" s="118"/>
      <c r="J2" s="118"/>
      <c r="K2" s="118"/>
      <c r="L2" s="118"/>
      <c r="M2" s="118"/>
      <c r="N2" s="118"/>
      <c r="O2" s="118"/>
      <c r="P2" s="118"/>
      <c r="W2" s="190"/>
      <c r="X2" s="168"/>
      <c r="Y2" s="169" t="str">
        <f>IF(W2&lt;&gt;"",W2*X2,"")</f>
        <v/>
      </c>
      <c r="Z2" s="169" t="str">
        <f>IF(AND(W2&lt;&gt;"",U2="yes"),W2*X2,"")</f>
        <v/>
      </c>
    </row>
    <row r="3" spans="1:27" x14ac:dyDescent="0.2">
      <c r="A3" s="73" t="s">
        <v>22</v>
      </c>
      <c r="B3" s="73" t="s">
        <v>22</v>
      </c>
      <c r="C3" s="45"/>
      <c r="D3" s="45"/>
      <c r="E3" s="86"/>
      <c r="F3" s="73"/>
      <c r="G3" s="73"/>
      <c r="H3" s="87"/>
      <c r="I3" s="118"/>
      <c r="J3" s="118"/>
      <c r="K3" s="118"/>
      <c r="L3" s="118"/>
      <c r="M3" s="118"/>
      <c r="N3" s="118"/>
      <c r="O3" s="118"/>
      <c r="P3" s="118"/>
      <c r="W3" s="190"/>
      <c r="X3" s="168"/>
      <c r="Y3" s="169" t="str">
        <f t="shared" ref="Y3:Y67" si="0">IF(W3&lt;&gt;"",W3*X3,"")</f>
        <v/>
      </c>
      <c r="Z3" s="169" t="str">
        <f>IF(AND(W3&lt;&gt;"",U3="yes"),W3*X3,"")</f>
        <v/>
      </c>
    </row>
    <row r="4" spans="1:27" x14ac:dyDescent="0.2">
      <c r="A4" s="73" t="s">
        <v>23</v>
      </c>
      <c r="B4" s="73" t="s">
        <v>23</v>
      </c>
      <c r="C4" s="45"/>
      <c r="D4" s="45"/>
      <c r="E4" s="86"/>
      <c r="F4" s="73"/>
      <c r="G4" s="73"/>
      <c r="H4" s="87"/>
      <c r="I4" s="118"/>
      <c r="J4" s="118"/>
      <c r="K4" s="118"/>
      <c r="L4" s="118"/>
      <c r="M4" s="118"/>
      <c r="N4" s="118"/>
      <c r="O4" s="118"/>
      <c r="P4" s="118"/>
      <c r="W4" s="190"/>
      <c r="X4" s="168"/>
      <c r="Y4" s="169" t="str">
        <f t="shared" si="0"/>
        <v/>
      </c>
      <c r="Z4" s="169" t="str">
        <f>IF(AND(W4&lt;&gt;"",U4="yes"),W4*X4,"")</f>
        <v/>
      </c>
    </row>
    <row r="5" spans="1:27" x14ac:dyDescent="0.2">
      <c r="A5" s="73" t="s">
        <v>24</v>
      </c>
      <c r="B5" s="73" t="s">
        <v>24</v>
      </c>
      <c r="C5" s="45"/>
      <c r="D5" s="45"/>
      <c r="E5" s="86"/>
      <c r="F5" s="73"/>
      <c r="G5" s="73"/>
      <c r="H5" s="87"/>
      <c r="I5" s="118"/>
      <c r="J5" s="118"/>
      <c r="K5" s="118"/>
      <c r="L5" s="118"/>
      <c r="M5" s="118"/>
      <c r="N5" s="118"/>
      <c r="O5" s="118"/>
      <c r="P5" s="118"/>
      <c r="W5" s="190"/>
      <c r="X5" s="168"/>
      <c r="Y5" s="169" t="str">
        <f t="shared" si="0"/>
        <v/>
      </c>
      <c r="Z5" s="169" t="str">
        <f>IF(AND(W5&lt;&gt;"",U5="yes"),W5*X5,"")</f>
        <v/>
      </c>
    </row>
    <row r="6" spans="1:27" x14ac:dyDescent="0.2">
      <c r="A6" s="73" t="s">
        <v>25</v>
      </c>
      <c r="B6" s="73" t="s">
        <v>25</v>
      </c>
      <c r="C6" s="45"/>
      <c r="D6" s="45"/>
      <c r="E6" s="86"/>
      <c r="F6" s="73"/>
      <c r="G6" s="73"/>
      <c r="H6" s="87"/>
      <c r="I6" s="118"/>
      <c r="J6" s="118"/>
      <c r="K6" s="118"/>
      <c r="L6" s="118"/>
      <c r="M6" s="118"/>
      <c r="N6" s="118"/>
      <c r="O6" s="118"/>
      <c r="P6" s="118"/>
      <c r="W6" s="190"/>
      <c r="X6" s="168"/>
      <c r="Y6" s="169"/>
      <c r="Z6" s="169"/>
    </row>
    <row r="7" spans="1:27" x14ac:dyDescent="0.2">
      <c r="A7" s="73" t="s">
        <v>26</v>
      </c>
      <c r="B7" s="73" t="s">
        <v>27</v>
      </c>
      <c r="C7" s="45"/>
      <c r="D7" s="45"/>
      <c r="E7" s="86"/>
      <c r="F7" s="73"/>
      <c r="G7" s="73"/>
      <c r="H7" s="87"/>
      <c r="I7" s="118"/>
      <c r="J7" s="118"/>
      <c r="K7" s="118"/>
      <c r="L7" s="118"/>
      <c r="M7" s="46"/>
      <c r="N7" s="118"/>
      <c r="O7" s="118"/>
      <c r="P7" s="118" t="s">
        <v>28</v>
      </c>
      <c r="W7" s="190"/>
      <c r="X7" s="168"/>
      <c r="Y7" s="169"/>
      <c r="Z7" s="169"/>
    </row>
    <row r="8" spans="1:27" x14ac:dyDescent="0.2">
      <c r="A8" s="73" t="s">
        <v>29</v>
      </c>
      <c r="B8" s="73" t="s">
        <v>29</v>
      </c>
      <c r="C8" s="45"/>
      <c r="D8" s="45"/>
      <c r="E8" s="86"/>
      <c r="F8" s="73"/>
      <c r="G8" s="73"/>
      <c r="H8" s="87"/>
      <c r="I8" s="118"/>
      <c r="J8" s="118"/>
      <c r="K8" s="118"/>
      <c r="L8" s="118"/>
      <c r="M8" s="118" t="s">
        <v>30</v>
      </c>
      <c r="N8" s="118"/>
      <c r="O8" s="118" t="s">
        <v>31</v>
      </c>
      <c r="P8" s="118"/>
      <c r="W8" s="190"/>
      <c r="X8" s="168"/>
      <c r="Y8" s="169"/>
      <c r="Z8" s="169"/>
    </row>
    <row r="9" spans="1:27" s="75" customFormat="1" ht="16" x14ac:dyDescent="0.2">
      <c r="A9" s="75" t="s">
        <v>32</v>
      </c>
      <c r="B9" s="75" t="s">
        <v>33</v>
      </c>
      <c r="C9" s="76" t="s">
        <v>34</v>
      </c>
      <c r="D9" s="76" t="s">
        <v>35</v>
      </c>
      <c r="E9" s="77"/>
      <c r="H9" s="81"/>
      <c r="I9" s="119"/>
      <c r="J9" s="119"/>
      <c r="L9" s="119"/>
      <c r="M9" s="119"/>
      <c r="N9" s="119"/>
      <c r="O9" s="119"/>
      <c r="P9" s="119"/>
      <c r="W9" s="194"/>
      <c r="X9" s="206"/>
      <c r="Y9" s="173"/>
      <c r="Z9" s="173"/>
    </row>
    <row r="10" spans="1:27" ht="16" x14ac:dyDescent="0.2">
      <c r="A10" s="73" t="s">
        <v>36</v>
      </c>
      <c r="B10" s="73" t="s">
        <v>37</v>
      </c>
      <c r="C10" s="45" t="s">
        <v>38</v>
      </c>
      <c r="D10" s="45" t="s">
        <v>39</v>
      </c>
      <c r="E10" s="86"/>
      <c r="F10" s="73"/>
      <c r="G10" s="73"/>
      <c r="H10" s="87"/>
      <c r="I10" s="118" t="s">
        <v>40</v>
      </c>
      <c r="J10" s="118"/>
      <c r="K10" s="118"/>
      <c r="L10" s="118"/>
      <c r="M10" s="118"/>
      <c r="N10" s="119" t="s">
        <v>41</v>
      </c>
      <c r="O10" s="118"/>
      <c r="P10" s="118"/>
      <c r="U10" s="46" t="s">
        <v>42</v>
      </c>
      <c r="W10" s="190"/>
      <c r="X10" s="168"/>
      <c r="Y10" s="169" t="str">
        <f t="shared" si="0"/>
        <v/>
      </c>
      <c r="Z10" s="169" t="str">
        <f>IF(AND(W10&lt;&gt;"",U10="yes"),W10*X10,"")</f>
        <v/>
      </c>
    </row>
    <row r="11" spans="1:27" x14ac:dyDescent="0.2">
      <c r="A11" s="73" t="s">
        <v>26</v>
      </c>
      <c r="B11" s="73" t="s">
        <v>43</v>
      </c>
      <c r="C11" s="45"/>
      <c r="D11" s="45"/>
      <c r="E11" s="86"/>
      <c r="F11" s="73"/>
      <c r="G11" s="73"/>
      <c r="H11" s="87"/>
      <c r="I11" s="118"/>
      <c r="J11" s="118"/>
      <c r="K11" s="118"/>
      <c r="L11" s="118"/>
      <c r="M11" s="118"/>
      <c r="N11" s="118"/>
      <c r="O11" s="118"/>
      <c r="P11" s="118" t="s">
        <v>44</v>
      </c>
      <c r="U11" s="46" t="s">
        <v>42</v>
      </c>
      <c r="W11" s="190"/>
      <c r="X11" s="168"/>
      <c r="Y11" s="169" t="str">
        <f t="shared" si="0"/>
        <v/>
      </c>
      <c r="Z11" s="169" t="str">
        <f>IF(AND(W11&lt;&gt;"",U11="yes"),W11*X11,"")</f>
        <v/>
      </c>
    </row>
    <row r="12" spans="1:27" s="75" customFormat="1" ht="16" thickBot="1" x14ac:dyDescent="0.25">
      <c r="A12" s="82"/>
      <c r="B12" s="82"/>
      <c r="C12" s="83"/>
      <c r="D12" s="83"/>
      <c r="E12" s="84"/>
      <c r="F12" s="82"/>
      <c r="G12" s="82"/>
      <c r="H12" s="85"/>
      <c r="I12" s="121"/>
      <c r="J12" s="121"/>
      <c r="K12" s="121"/>
      <c r="L12" s="121"/>
      <c r="M12" s="121"/>
      <c r="N12" s="121"/>
      <c r="O12" s="121"/>
      <c r="P12" s="121"/>
      <c r="W12" s="190"/>
      <c r="X12" s="168"/>
      <c r="Y12" s="169"/>
      <c r="Z12" s="169"/>
      <c r="AA12" s="74"/>
    </row>
    <row r="13" spans="1:27" ht="257" thickTop="1" x14ac:dyDescent="0.2">
      <c r="A13" s="73" t="s">
        <v>45</v>
      </c>
      <c r="B13" s="73" t="s">
        <v>46</v>
      </c>
      <c r="C13" s="222" t="s">
        <v>47</v>
      </c>
      <c r="D13" s="222" t="s">
        <v>48</v>
      </c>
      <c r="E13" s="86"/>
      <c r="F13" s="73" t="s">
        <v>49</v>
      </c>
      <c r="G13" s="73" t="s">
        <v>50</v>
      </c>
      <c r="H13" s="87"/>
      <c r="I13" s="118" t="s">
        <v>51</v>
      </c>
      <c r="J13" s="118"/>
      <c r="K13" s="118"/>
      <c r="L13" s="118"/>
      <c r="M13" s="118"/>
      <c r="N13" s="118"/>
      <c r="O13" s="118"/>
      <c r="P13" s="118"/>
      <c r="U13" s="46" t="s">
        <v>52</v>
      </c>
      <c r="W13" s="190">
        <v>50.822540283203125</v>
      </c>
      <c r="X13" s="168"/>
      <c r="Y13" s="169">
        <f t="shared" si="0"/>
        <v>0</v>
      </c>
      <c r="Z13" s="169" t="str">
        <f>IF(AND(W13&lt;&gt;"",U13="yes"),W13*X13,"")</f>
        <v/>
      </c>
    </row>
    <row r="14" spans="1:27" ht="16" x14ac:dyDescent="0.2">
      <c r="A14" s="73" t="s">
        <v>53</v>
      </c>
      <c r="B14" s="73" t="s">
        <v>54</v>
      </c>
      <c r="C14" s="45" t="s">
        <v>55</v>
      </c>
      <c r="D14" s="45" t="s">
        <v>56</v>
      </c>
      <c r="E14" s="86"/>
      <c r="F14" s="73"/>
      <c r="G14" s="73"/>
      <c r="H14" s="87"/>
      <c r="I14" s="118" t="s">
        <v>51</v>
      </c>
      <c r="J14" s="118"/>
      <c r="K14" s="118"/>
      <c r="L14" s="118"/>
      <c r="M14" s="118"/>
      <c r="N14" s="118"/>
      <c r="O14" s="118"/>
      <c r="P14" s="118"/>
      <c r="U14" s="46" t="s">
        <v>42</v>
      </c>
      <c r="W14" s="190">
        <v>3.5</v>
      </c>
      <c r="X14" s="168">
        <f>1</f>
        <v>1</v>
      </c>
      <c r="Y14" s="169">
        <f t="shared" si="0"/>
        <v>3.5</v>
      </c>
      <c r="Z14" s="169">
        <f>IF(AND(W14&lt;&gt;"",U14="yes"),W14*X14,"")</f>
        <v>3.5</v>
      </c>
    </row>
    <row r="15" spans="1:27" s="75" customFormat="1" ht="16" x14ac:dyDescent="0.2">
      <c r="A15" s="74" t="s">
        <v>57</v>
      </c>
      <c r="B15" s="74" t="s">
        <v>58</v>
      </c>
      <c r="C15" s="48" t="s">
        <v>59</v>
      </c>
      <c r="D15" s="47" t="s">
        <v>60</v>
      </c>
      <c r="E15" s="77"/>
      <c r="F15" s="74" t="s">
        <v>61</v>
      </c>
      <c r="G15" s="74" t="s">
        <v>62</v>
      </c>
      <c r="H15" s="81"/>
      <c r="I15" s="125" t="s">
        <v>51</v>
      </c>
      <c r="J15" s="119"/>
      <c r="K15" s="119"/>
      <c r="L15" s="119"/>
      <c r="M15" s="125" t="s">
        <v>63</v>
      </c>
      <c r="N15" s="119"/>
      <c r="O15" s="119"/>
      <c r="P15" s="119"/>
      <c r="W15" s="190">
        <v>0</v>
      </c>
      <c r="X15" s="168">
        <v>1</v>
      </c>
      <c r="Y15" s="169">
        <f t="shared" ref="Y15" si="1">IF(W15&lt;&gt;"",W15*X15,"")</f>
        <v>0</v>
      </c>
      <c r="Z15" s="169"/>
      <c r="AA15" s="74"/>
    </row>
    <row r="16" spans="1:27" s="74" customFormat="1" ht="16" x14ac:dyDescent="0.2">
      <c r="A16" s="78" t="s">
        <v>45</v>
      </c>
      <c r="B16" s="78" t="s">
        <v>64</v>
      </c>
      <c r="C16" s="79" t="s">
        <v>65</v>
      </c>
      <c r="D16" s="79" t="s">
        <v>66</v>
      </c>
      <c r="E16" s="97"/>
      <c r="F16" s="78"/>
      <c r="G16" s="78"/>
      <c r="H16" s="99"/>
      <c r="I16" s="120" t="s">
        <v>51</v>
      </c>
      <c r="J16" s="120"/>
      <c r="K16" s="120"/>
      <c r="L16" s="120"/>
      <c r="M16" s="120" t="s">
        <v>67</v>
      </c>
      <c r="N16" s="120"/>
      <c r="O16" s="120"/>
      <c r="P16" s="120"/>
      <c r="U16" s="74" t="s">
        <v>52</v>
      </c>
      <c r="W16" s="190">
        <v>0</v>
      </c>
      <c r="X16" s="168">
        <v>1</v>
      </c>
      <c r="Y16" s="169">
        <f t="shared" si="0"/>
        <v>0</v>
      </c>
      <c r="Z16" s="169" t="str">
        <f t="shared" ref="Z16:Z49" si="2">IF(AND(W16&lt;&gt;"",U16="yes"),W16*X16,"")</f>
        <v/>
      </c>
    </row>
    <row r="17" spans="1:27" s="74" customFormat="1" ht="16" thickBot="1" x14ac:dyDescent="0.25">
      <c r="A17" s="88"/>
      <c r="B17" s="88"/>
      <c r="C17" s="89"/>
      <c r="D17" s="89"/>
      <c r="E17" s="90"/>
      <c r="F17" s="88"/>
      <c r="G17" s="88"/>
      <c r="H17" s="91"/>
      <c r="I17" s="122"/>
      <c r="J17" s="122"/>
      <c r="K17" s="122"/>
      <c r="L17" s="122"/>
      <c r="M17" s="122"/>
      <c r="N17" s="122"/>
      <c r="O17" s="122"/>
      <c r="P17" s="122"/>
      <c r="U17" s="74" t="s">
        <v>68</v>
      </c>
      <c r="W17" s="190" t="s">
        <v>68</v>
      </c>
      <c r="X17" s="168"/>
      <c r="Y17" s="169" t="str">
        <f t="shared" si="0"/>
        <v/>
      </c>
      <c r="Z17" s="169" t="str">
        <f t="shared" si="2"/>
        <v/>
      </c>
    </row>
    <row r="18" spans="1:27" s="71" customFormat="1" ht="17" thickTop="1" x14ac:dyDescent="0.2">
      <c r="A18" s="68" t="s">
        <v>69</v>
      </c>
      <c r="B18" s="68" t="s">
        <v>70</v>
      </c>
      <c r="C18" s="92" t="s">
        <v>71</v>
      </c>
      <c r="D18" s="92" t="s">
        <v>72</v>
      </c>
      <c r="E18" s="69"/>
      <c r="F18" s="68"/>
      <c r="G18" s="68"/>
      <c r="H18" s="70"/>
      <c r="I18" s="123" t="s">
        <v>51</v>
      </c>
      <c r="J18" s="123"/>
      <c r="K18" s="123"/>
      <c r="L18" s="123"/>
      <c r="M18" s="123" t="s">
        <v>63</v>
      </c>
      <c r="N18" s="123"/>
      <c r="O18" s="123"/>
      <c r="P18" s="123"/>
      <c r="U18" s="46" t="s">
        <v>42</v>
      </c>
      <c r="W18" s="190"/>
      <c r="X18" s="168"/>
      <c r="Y18" s="169" t="str">
        <f t="shared" si="0"/>
        <v/>
      </c>
      <c r="Z18" s="169" t="str">
        <f t="shared" si="2"/>
        <v/>
      </c>
      <c r="AA18" s="72"/>
    </row>
    <row r="19" spans="1:27" s="75" customFormat="1" x14ac:dyDescent="0.2">
      <c r="C19" s="76"/>
      <c r="D19" s="76"/>
      <c r="E19" s="77"/>
      <c r="H19" s="81"/>
      <c r="I19" s="119"/>
      <c r="J19" s="119"/>
      <c r="K19" s="119"/>
      <c r="L19" s="119"/>
      <c r="M19" s="119"/>
      <c r="N19" s="119"/>
      <c r="O19" s="119"/>
      <c r="P19" s="119"/>
      <c r="U19" s="75" t="s">
        <v>68</v>
      </c>
      <c r="W19" s="190" t="s">
        <v>68</v>
      </c>
      <c r="X19" s="74"/>
      <c r="Y19" s="169" t="str">
        <f t="shared" ref="Y19" si="3">IF(W19&lt;&gt;"",W19*X19,"")</f>
        <v/>
      </c>
      <c r="Z19" s="169" t="str">
        <f t="shared" si="2"/>
        <v/>
      </c>
      <c r="AA19" s="74"/>
    </row>
    <row r="20" spans="1:27" s="75" customFormat="1" ht="16" x14ac:dyDescent="0.2">
      <c r="A20" s="78" t="s">
        <v>73</v>
      </c>
      <c r="B20" s="78" t="s">
        <v>74</v>
      </c>
      <c r="C20" s="79" t="s">
        <v>75</v>
      </c>
      <c r="D20" s="79" t="s">
        <v>76</v>
      </c>
      <c r="E20" s="77"/>
      <c r="F20" s="74" t="s">
        <v>77</v>
      </c>
      <c r="G20" s="74" t="s">
        <v>78</v>
      </c>
      <c r="H20" s="81"/>
      <c r="I20" s="120" t="s">
        <v>40</v>
      </c>
      <c r="J20" s="120"/>
      <c r="K20" s="120"/>
      <c r="L20" s="120"/>
      <c r="M20" s="120"/>
      <c r="N20" s="120"/>
      <c r="O20" s="120"/>
      <c r="P20" s="120"/>
      <c r="U20" s="74" t="s">
        <v>42</v>
      </c>
      <c r="W20" s="190">
        <v>10</v>
      </c>
      <c r="X20" s="168">
        <f>1</f>
        <v>1</v>
      </c>
      <c r="Y20" s="169">
        <f t="shared" si="0"/>
        <v>10</v>
      </c>
      <c r="Z20" s="169">
        <f t="shared" si="2"/>
        <v>10</v>
      </c>
      <c r="AA20" s="74"/>
    </row>
    <row r="21" spans="1:27" s="75" customFormat="1" ht="16" x14ac:dyDescent="0.2">
      <c r="A21" s="78" t="s">
        <v>73</v>
      </c>
      <c r="B21" s="78" t="s">
        <v>79</v>
      </c>
      <c r="C21" s="79" t="s">
        <v>80</v>
      </c>
      <c r="D21" s="79" t="s">
        <v>81</v>
      </c>
      <c r="E21" s="77"/>
      <c r="F21" s="74" t="s">
        <v>82</v>
      </c>
      <c r="G21" s="74" t="s">
        <v>78</v>
      </c>
      <c r="H21" s="81"/>
      <c r="I21" s="120" t="s">
        <v>40</v>
      </c>
      <c r="J21" s="120"/>
      <c r="K21" s="120"/>
      <c r="L21" s="120"/>
      <c r="M21" s="120"/>
      <c r="N21" s="120"/>
      <c r="O21" s="120"/>
      <c r="P21" s="120"/>
      <c r="U21" s="74" t="s">
        <v>42</v>
      </c>
      <c r="W21" s="190">
        <v>10</v>
      </c>
      <c r="X21" s="168">
        <f>1</f>
        <v>1</v>
      </c>
      <c r="Y21" s="169">
        <f t="shared" si="0"/>
        <v>10</v>
      </c>
      <c r="Z21" s="169">
        <f t="shared" si="2"/>
        <v>10</v>
      </c>
      <c r="AA21" s="74"/>
    </row>
    <row r="22" spans="1:27" s="75" customFormat="1" x14ac:dyDescent="0.2">
      <c r="C22" s="76"/>
      <c r="E22" s="77"/>
      <c r="H22" s="81"/>
      <c r="I22" s="119"/>
      <c r="J22" s="119"/>
      <c r="K22" s="119"/>
      <c r="L22" s="119"/>
      <c r="M22" s="119"/>
      <c r="N22" s="119"/>
      <c r="O22" s="119"/>
      <c r="P22" s="119"/>
      <c r="U22" s="75" t="s">
        <v>68</v>
      </c>
      <c r="W22" s="190" t="s">
        <v>68</v>
      </c>
      <c r="X22" s="168">
        <f>1</f>
        <v>1</v>
      </c>
      <c r="Y22" s="169" t="str">
        <f t="shared" si="0"/>
        <v/>
      </c>
      <c r="Z22" s="169" t="str">
        <f t="shared" si="2"/>
        <v/>
      </c>
      <c r="AA22" s="74"/>
    </row>
    <row r="23" spans="1:27" ht="16" x14ac:dyDescent="0.2">
      <c r="A23" s="73" t="s">
        <v>83</v>
      </c>
      <c r="B23" s="73" t="s">
        <v>84</v>
      </c>
      <c r="C23" s="45" t="s">
        <v>85</v>
      </c>
      <c r="D23" s="79" t="s">
        <v>86</v>
      </c>
      <c r="E23" s="97"/>
      <c r="F23" s="78" t="s">
        <v>87</v>
      </c>
      <c r="G23" s="73" t="s">
        <v>88</v>
      </c>
      <c r="H23" s="87"/>
      <c r="I23" s="118" t="s">
        <v>40</v>
      </c>
      <c r="J23" s="118"/>
      <c r="K23" s="118" t="s">
        <v>89</v>
      </c>
      <c r="L23" s="118"/>
      <c r="M23" s="118"/>
      <c r="N23" s="118"/>
      <c r="O23" s="118"/>
      <c r="P23" s="118"/>
      <c r="U23" s="46" t="s">
        <v>42</v>
      </c>
      <c r="W23" s="190">
        <v>13.753072738647461</v>
      </c>
      <c r="X23" s="168">
        <f>1</f>
        <v>1</v>
      </c>
      <c r="Y23" s="169">
        <f t="shared" si="0"/>
        <v>13.753072738647461</v>
      </c>
      <c r="Z23" s="169">
        <f t="shared" si="2"/>
        <v>13.753072738647461</v>
      </c>
    </row>
    <row r="24" spans="1:27" x14ac:dyDescent="0.2">
      <c r="E24" s="86"/>
      <c r="H24" s="87"/>
      <c r="U24" s="46" t="s">
        <v>68</v>
      </c>
      <c r="W24" s="190" t="s">
        <v>68</v>
      </c>
      <c r="X24" s="168">
        <f>1</f>
        <v>1</v>
      </c>
      <c r="Y24" s="169" t="str">
        <f t="shared" si="0"/>
        <v/>
      </c>
      <c r="Z24" s="169" t="str">
        <f t="shared" si="2"/>
        <v/>
      </c>
    </row>
    <row r="25" spans="1:27" s="74" customFormat="1" ht="16" x14ac:dyDescent="0.2">
      <c r="A25" s="78" t="s">
        <v>90</v>
      </c>
      <c r="B25" s="78" t="s">
        <v>91</v>
      </c>
      <c r="C25" s="79" t="s">
        <v>92</v>
      </c>
      <c r="D25" s="79" t="s">
        <v>93</v>
      </c>
      <c r="E25" s="97"/>
      <c r="F25" s="74" t="s">
        <v>94</v>
      </c>
      <c r="G25" s="74" t="s">
        <v>95</v>
      </c>
      <c r="H25" s="99"/>
      <c r="I25" s="130" t="s">
        <v>40</v>
      </c>
      <c r="J25" s="130"/>
      <c r="K25" s="130"/>
      <c r="L25" s="130"/>
      <c r="M25" s="130"/>
      <c r="N25" s="130"/>
      <c r="O25" s="130"/>
      <c r="P25" s="130"/>
      <c r="U25" s="74" t="s">
        <v>42</v>
      </c>
      <c r="W25" s="190">
        <v>2.1173560619354248</v>
      </c>
      <c r="X25" s="168">
        <f>1</f>
        <v>1</v>
      </c>
      <c r="Y25" s="169">
        <f t="shared" si="0"/>
        <v>2.1173560619354248</v>
      </c>
      <c r="Z25" s="169">
        <f t="shared" si="2"/>
        <v>2.1173560619354248</v>
      </c>
    </row>
    <row r="26" spans="1:27" s="75" customFormat="1" x14ac:dyDescent="0.2">
      <c r="C26" s="76"/>
      <c r="D26" s="76"/>
      <c r="E26" s="77"/>
      <c r="H26" s="81"/>
      <c r="I26" s="119"/>
      <c r="J26" s="119"/>
      <c r="K26" s="119"/>
      <c r="L26" s="126"/>
      <c r="M26" s="119"/>
      <c r="N26" s="119"/>
      <c r="O26" s="119"/>
      <c r="P26" s="119"/>
      <c r="U26" s="75" t="s">
        <v>68</v>
      </c>
      <c r="W26" s="190" t="s">
        <v>68</v>
      </c>
      <c r="X26" s="168">
        <f>1</f>
        <v>1</v>
      </c>
      <c r="Y26" s="169" t="str">
        <f t="shared" si="0"/>
        <v/>
      </c>
      <c r="Z26" s="169" t="str">
        <f t="shared" si="2"/>
        <v/>
      </c>
      <c r="AA26" s="74"/>
    </row>
    <row r="27" spans="1:27" s="94" customFormat="1" ht="16" x14ac:dyDescent="0.2">
      <c r="A27" s="159" t="s">
        <v>73</v>
      </c>
      <c r="B27" s="159" t="s">
        <v>96</v>
      </c>
      <c r="C27" s="160" t="s">
        <v>97</v>
      </c>
      <c r="D27" s="160" t="s">
        <v>98</v>
      </c>
      <c r="E27" s="162"/>
      <c r="F27" s="161"/>
      <c r="G27" s="161"/>
      <c r="H27" s="163"/>
      <c r="I27" s="158" t="s">
        <v>40</v>
      </c>
      <c r="J27" s="158" t="s">
        <v>99</v>
      </c>
      <c r="K27" s="128" t="s">
        <v>100</v>
      </c>
      <c r="L27" s="158" t="s">
        <v>101</v>
      </c>
      <c r="M27" s="158"/>
      <c r="N27" s="158"/>
      <c r="O27" s="158"/>
      <c r="P27" s="127"/>
      <c r="U27" s="161" t="s">
        <v>102</v>
      </c>
      <c r="W27" s="190">
        <v>10</v>
      </c>
      <c r="X27" s="168">
        <f>1</f>
        <v>1</v>
      </c>
      <c r="Y27" s="169">
        <f t="shared" si="0"/>
        <v>10</v>
      </c>
      <c r="Z27" s="169" t="str">
        <f t="shared" si="2"/>
        <v/>
      </c>
    </row>
    <row r="28" spans="1:27" s="94" customFormat="1" ht="48" x14ac:dyDescent="0.2">
      <c r="A28" s="159" t="s">
        <v>103</v>
      </c>
      <c r="B28" s="159" t="s">
        <v>104</v>
      </c>
      <c r="C28" s="160" t="s">
        <v>105</v>
      </c>
      <c r="D28" s="160" t="s">
        <v>106</v>
      </c>
      <c r="E28" s="162"/>
      <c r="F28" s="161"/>
      <c r="G28" s="161"/>
      <c r="H28" s="163"/>
      <c r="I28" s="158" t="s">
        <v>40</v>
      </c>
      <c r="J28" s="158"/>
      <c r="K28" s="127"/>
      <c r="L28" s="158"/>
      <c r="M28" s="158"/>
      <c r="N28" s="158"/>
      <c r="O28" s="158"/>
      <c r="P28" s="127"/>
      <c r="U28" s="161" t="s">
        <v>102</v>
      </c>
      <c r="W28" s="190">
        <v>10</v>
      </c>
      <c r="X28" s="168">
        <f>1</f>
        <v>1</v>
      </c>
      <c r="Y28" s="169">
        <f t="shared" si="0"/>
        <v>10</v>
      </c>
      <c r="Z28" s="169" t="str">
        <f t="shared" si="2"/>
        <v/>
      </c>
    </row>
    <row r="29" spans="1:27" s="94" customFormat="1" ht="16" x14ac:dyDescent="0.2">
      <c r="A29" s="159" t="s">
        <v>73</v>
      </c>
      <c r="B29" s="159" t="s">
        <v>107</v>
      </c>
      <c r="C29" s="160" t="s">
        <v>108</v>
      </c>
      <c r="D29" s="160" t="s">
        <v>109</v>
      </c>
      <c r="E29" s="162"/>
      <c r="F29" s="161"/>
      <c r="G29" s="161"/>
      <c r="H29" s="163"/>
      <c r="I29" s="158" t="s">
        <v>40</v>
      </c>
      <c r="J29" s="158" t="s">
        <v>99</v>
      </c>
      <c r="K29" s="128" t="s">
        <v>100</v>
      </c>
      <c r="L29" s="158" t="s">
        <v>101</v>
      </c>
      <c r="M29" s="158" t="s">
        <v>110</v>
      </c>
      <c r="N29" s="158"/>
      <c r="O29" s="158"/>
      <c r="P29" s="127"/>
      <c r="U29" s="161" t="s">
        <v>102</v>
      </c>
      <c r="W29" s="190">
        <v>10</v>
      </c>
      <c r="X29" s="168">
        <f>1</f>
        <v>1</v>
      </c>
      <c r="Y29" s="169">
        <f t="shared" si="0"/>
        <v>10</v>
      </c>
      <c r="Z29" s="169" t="str">
        <f t="shared" si="2"/>
        <v/>
      </c>
    </row>
    <row r="30" spans="1:27" s="94" customFormat="1" ht="16" x14ac:dyDescent="0.2">
      <c r="A30" s="159" t="s">
        <v>73</v>
      </c>
      <c r="B30" s="159" t="s">
        <v>111</v>
      </c>
      <c r="C30" s="160" t="s">
        <v>112</v>
      </c>
      <c r="D30" s="160" t="s">
        <v>113</v>
      </c>
      <c r="E30" s="162"/>
      <c r="F30" s="161"/>
      <c r="G30" s="161"/>
      <c r="H30" s="163"/>
      <c r="I30" s="158" t="s">
        <v>40</v>
      </c>
      <c r="J30" s="158"/>
      <c r="K30" s="127"/>
      <c r="L30" s="158"/>
      <c r="M30" s="158" t="s">
        <v>114</v>
      </c>
      <c r="N30" s="158"/>
      <c r="O30" s="158"/>
      <c r="P30" s="127"/>
      <c r="U30" s="161" t="s">
        <v>102</v>
      </c>
      <c r="W30" s="190">
        <v>10</v>
      </c>
      <c r="X30" s="168">
        <f>1</f>
        <v>1</v>
      </c>
      <c r="Y30" s="169">
        <f t="shared" si="0"/>
        <v>10</v>
      </c>
      <c r="Z30" s="169" t="str">
        <f t="shared" si="2"/>
        <v/>
      </c>
    </row>
    <row r="31" spans="1:27" s="94" customFormat="1" ht="48" x14ac:dyDescent="0.2">
      <c r="A31" s="159" t="s">
        <v>103</v>
      </c>
      <c r="B31" s="159" t="s">
        <v>115</v>
      </c>
      <c r="C31" s="160" t="s">
        <v>105</v>
      </c>
      <c r="D31" s="160" t="s">
        <v>106</v>
      </c>
      <c r="E31" s="162"/>
      <c r="F31" s="73"/>
      <c r="G31" s="73"/>
      <c r="H31" s="163"/>
      <c r="I31" s="158" t="s">
        <v>40</v>
      </c>
      <c r="J31" s="158"/>
      <c r="K31" s="127"/>
      <c r="L31" s="158"/>
      <c r="M31" s="158" t="s">
        <v>110</v>
      </c>
      <c r="N31" s="158"/>
      <c r="O31" s="158"/>
      <c r="P31" s="127"/>
      <c r="U31" s="161" t="s">
        <v>102</v>
      </c>
      <c r="W31" s="190">
        <v>10</v>
      </c>
      <c r="X31" s="168">
        <f>1</f>
        <v>1</v>
      </c>
      <c r="Y31" s="169">
        <f t="shared" si="0"/>
        <v>10</v>
      </c>
      <c r="Z31" s="169" t="str">
        <f t="shared" si="2"/>
        <v/>
      </c>
    </row>
    <row r="32" spans="1:27" s="94" customFormat="1" ht="16" x14ac:dyDescent="0.2">
      <c r="A32" s="159" t="s">
        <v>73</v>
      </c>
      <c r="B32" s="159" t="s">
        <v>116</v>
      </c>
      <c r="C32" s="160" t="s">
        <v>108</v>
      </c>
      <c r="D32" s="160" t="s">
        <v>109</v>
      </c>
      <c r="E32" s="162"/>
      <c r="F32" s="161"/>
      <c r="G32" s="161"/>
      <c r="H32" s="163"/>
      <c r="I32" s="158" t="s">
        <v>40</v>
      </c>
      <c r="J32" s="158" t="s">
        <v>99</v>
      </c>
      <c r="K32" s="128" t="s">
        <v>100</v>
      </c>
      <c r="L32" s="158" t="s">
        <v>101</v>
      </c>
      <c r="M32" s="158" t="s">
        <v>117</v>
      </c>
      <c r="N32" s="158"/>
      <c r="O32" s="158"/>
      <c r="P32" s="127"/>
      <c r="U32" s="161" t="s">
        <v>102</v>
      </c>
      <c r="W32" s="190">
        <v>10</v>
      </c>
      <c r="X32" s="168">
        <f>1</f>
        <v>1</v>
      </c>
      <c r="Y32" s="169">
        <f t="shared" si="0"/>
        <v>10</v>
      </c>
      <c r="Z32" s="169" t="str">
        <f t="shared" si="2"/>
        <v/>
      </c>
    </row>
    <row r="33" spans="1:27" s="94" customFormat="1" ht="16" x14ac:dyDescent="0.2">
      <c r="A33" s="159" t="s">
        <v>73</v>
      </c>
      <c r="B33" s="159" t="s">
        <v>118</v>
      </c>
      <c r="C33" s="160" t="s">
        <v>112</v>
      </c>
      <c r="D33" s="160" t="s">
        <v>113</v>
      </c>
      <c r="E33" s="162"/>
      <c r="F33" s="161"/>
      <c r="G33" s="161"/>
      <c r="H33" s="163"/>
      <c r="I33" s="158" t="s">
        <v>40</v>
      </c>
      <c r="J33" s="158"/>
      <c r="K33" s="127"/>
      <c r="L33" s="158"/>
      <c r="M33" s="158" t="s">
        <v>119</v>
      </c>
      <c r="N33" s="158"/>
      <c r="O33" s="158"/>
      <c r="P33" s="127"/>
      <c r="U33" s="161" t="s">
        <v>102</v>
      </c>
      <c r="W33" s="190">
        <v>10</v>
      </c>
      <c r="X33" s="168">
        <f>1</f>
        <v>1</v>
      </c>
      <c r="Y33" s="169">
        <f t="shared" si="0"/>
        <v>10</v>
      </c>
      <c r="Z33" s="169" t="str">
        <f t="shared" si="2"/>
        <v/>
      </c>
    </row>
    <row r="34" spans="1:27" s="75" customFormat="1" x14ac:dyDescent="0.2">
      <c r="C34" s="76"/>
      <c r="D34" s="76"/>
      <c r="E34" s="77"/>
      <c r="H34" s="81"/>
      <c r="I34" s="119"/>
      <c r="J34" s="119"/>
      <c r="K34" s="119"/>
      <c r="L34" s="126"/>
      <c r="M34" s="119"/>
      <c r="N34" s="119"/>
      <c r="O34" s="119"/>
      <c r="P34" s="119"/>
      <c r="U34" s="75" t="s">
        <v>68</v>
      </c>
      <c r="W34" s="190" t="s">
        <v>68</v>
      </c>
      <c r="X34" s="168">
        <f>1</f>
        <v>1</v>
      </c>
      <c r="Y34" s="169" t="str">
        <f t="shared" si="0"/>
        <v/>
      </c>
      <c r="Z34" s="169" t="str">
        <f t="shared" si="2"/>
        <v/>
      </c>
      <c r="AA34" s="74"/>
    </row>
    <row r="35" spans="1:27" ht="16" x14ac:dyDescent="0.2">
      <c r="A35" s="73" t="s">
        <v>120</v>
      </c>
      <c r="B35" s="73" t="s">
        <v>121</v>
      </c>
      <c r="C35" s="45" t="s">
        <v>122</v>
      </c>
      <c r="D35" s="219" t="s">
        <v>123</v>
      </c>
      <c r="E35" s="86"/>
      <c r="F35" s="73" t="s">
        <v>124</v>
      </c>
      <c r="G35" s="73" t="s">
        <v>125</v>
      </c>
      <c r="H35" s="87"/>
      <c r="I35" s="118" t="s">
        <v>40</v>
      </c>
      <c r="J35" s="118" t="s">
        <v>126</v>
      </c>
      <c r="K35" s="118"/>
      <c r="L35" s="127"/>
      <c r="M35" s="118"/>
      <c r="N35" s="118"/>
      <c r="O35" s="118"/>
      <c r="P35" s="118"/>
      <c r="U35" s="46" t="s">
        <v>42</v>
      </c>
      <c r="W35" s="190">
        <v>8.8000000000000007</v>
      </c>
      <c r="X35" s="168">
        <f>1</f>
        <v>1</v>
      </c>
      <c r="Y35" s="169">
        <f t="shared" si="0"/>
        <v>8.8000000000000007</v>
      </c>
      <c r="Z35" s="169">
        <f t="shared" si="2"/>
        <v>8.8000000000000007</v>
      </c>
    </row>
    <row r="36" spans="1:27" x14ac:dyDescent="0.2">
      <c r="A36" s="73" t="s">
        <v>26</v>
      </c>
      <c r="B36" s="73" t="s">
        <v>127</v>
      </c>
      <c r="C36" s="45"/>
      <c r="D36" s="73"/>
      <c r="E36" s="86"/>
      <c r="F36" s="73"/>
      <c r="G36" s="73"/>
      <c r="H36" s="87"/>
      <c r="I36" s="118"/>
      <c r="J36" s="118"/>
      <c r="K36" s="118"/>
      <c r="L36" s="118"/>
      <c r="M36" s="118"/>
      <c r="N36" s="118"/>
      <c r="O36" s="118"/>
      <c r="P36" s="118" t="s">
        <v>128</v>
      </c>
      <c r="U36" s="46" t="s">
        <v>42</v>
      </c>
      <c r="W36" s="190"/>
      <c r="X36" s="168">
        <f>1</f>
        <v>1</v>
      </c>
      <c r="Y36" s="169" t="str">
        <f t="shared" si="0"/>
        <v/>
      </c>
      <c r="Z36" s="169" t="str">
        <f t="shared" si="2"/>
        <v/>
      </c>
    </row>
    <row r="37" spans="1:27" ht="16" x14ac:dyDescent="0.2">
      <c r="A37" s="73" t="s">
        <v>129</v>
      </c>
      <c r="B37" s="73" t="s">
        <v>130</v>
      </c>
      <c r="C37" s="45" t="s">
        <v>131</v>
      </c>
      <c r="D37" s="220" t="s">
        <v>132</v>
      </c>
      <c r="E37" s="86"/>
      <c r="F37" s="73"/>
      <c r="G37" s="45"/>
      <c r="H37" s="87"/>
      <c r="I37" s="118" t="s">
        <v>40</v>
      </c>
      <c r="J37" s="118" t="s">
        <v>126</v>
      </c>
      <c r="K37" s="118"/>
      <c r="L37" s="118"/>
      <c r="M37" s="118"/>
      <c r="N37" s="118" t="s">
        <v>133</v>
      </c>
      <c r="O37" s="118"/>
      <c r="P37" s="118"/>
      <c r="U37" s="46" t="s">
        <v>42</v>
      </c>
      <c r="W37" s="190">
        <v>10.4</v>
      </c>
      <c r="X37" s="168">
        <f>1</f>
        <v>1</v>
      </c>
      <c r="Y37" s="169">
        <f t="shared" si="0"/>
        <v>10.4</v>
      </c>
      <c r="Z37" s="169">
        <f t="shared" si="2"/>
        <v>10.4</v>
      </c>
    </row>
    <row r="38" spans="1:27" x14ac:dyDescent="0.2">
      <c r="A38" s="73" t="s">
        <v>26</v>
      </c>
      <c r="B38" s="73" t="s">
        <v>134</v>
      </c>
      <c r="C38" s="45"/>
      <c r="D38" s="45"/>
      <c r="E38" s="86"/>
      <c r="F38" s="73"/>
      <c r="G38" s="73"/>
      <c r="H38" s="87"/>
      <c r="I38" s="118"/>
      <c r="J38" s="118"/>
      <c r="K38" s="118"/>
      <c r="L38" s="118"/>
      <c r="M38" s="118"/>
      <c r="N38" s="118"/>
      <c r="O38" s="118"/>
      <c r="P38" s="118" t="s">
        <v>135</v>
      </c>
      <c r="U38" s="46" t="s">
        <v>42</v>
      </c>
      <c r="W38" s="190"/>
      <c r="X38" s="168">
        <f>1</f>
        <v>1</v>
      </c>
      <c r="Y38" s="169" t="str">
        <f t="shared" si="0"/>
        <v/>
      </c>
      <c r="Z38" s="169" t="str">
        <f t="shared" si="2"/>
        <v/>
      </c>
    </row>
    <row r="39" spans="1:27" x14ac:dyDescent="0.2">
      <c r="E39" s="86"/>
      <c r="H39" s="87"/>
      <c r="U39" s="46" t="s">
        <v>68</v>
      </c>
      <c r="W39" s="190" t="s">
        <v>68</v>
      </c>
      <c r="X39" s="168">
        <f>1</f>
        <v>1</v>
      </c>
      <c r="Y39" s="169" t="str">
        <f t="shared" si="0"/>
        <v/>
      </c>
      <c r="Z39" s="169" t="str">
        <f t="shared" si="2"/>
        <v/>
      </c>
    </row>
    <row r="40" spans="1:27" s="47" customFormat="1" ht="48" x14ac:dyDescent="0.2">
      <c r="A40" s="45" t="s">
        <v>136</v>
      </c>
      <c r="B40" s="45" t="s">
        <v>137</v>
      </c>
      <c r="C40" s="45" t="s">
        <v>138</v>
      </c>
      <c r="D40" s="219" t="s">
        <v>139</v>
      </c>
      <c r="E40" s="86"/>
      <c r="F40" s="73" t="s">
        <v>140</v>
      </c>
      <c r="G40" s="73" t="s">
        <v>141</v>
      </c>
      <c r="H40" s="86"/>
      <c r="I40" s="44" t="s">
        <v>40</v>
      </c>
      <c r="J40" s="44"/>
      <c r="K40" s="44"/>
      <c r="L40" s="44"/>
      <c r="M40" s="44"/>
      <c r="N40" s="44"/>
      <c r="O40" s="44"/>
      <c r="P40" s="44"/>
      <c r="U40" s="47" t="s">
        <v>42</v>
      </c>
      <c r="W40" s="193">
        <v>31.372377395629883</v>
      </c>
      <c r="X40" s="168">
        <f>1</f>
        <v>1</v>
      </c>
      <c r="Y40" s="170">
        <f t="shared" si="0"/>
        <v>31.372377395629883</v>
      </c>
      <c r="Z40" s="170">
        <f t="shared" si="2"/>
        <v>31.372377395629883</v>
      </c>
      <c r="AA40" s="48"/>
    </row>
    <row r="41" spans="1:27" s="47" customFormat="1" ht="48" x14ac:dyDescent="0.2">
      <c r="A41" s="75" t="s">
        <v>142</v>
      </c>
      <c r="B41" s="75" t="s">
        <v>143</v>
      </c>
      <c r="C41" s="76" t="s">
        <v>144</v>
      </c>
      <c r="D41" s="295" t="s">
        <v>145</v>
      </c>
      <c r="E41" s="86"/>
      <c r="F41" s="75" t="s">
        <v>146</v>
      </c>
      <c r="G41" s="296" t="s">
        <v>147</v>
      </c>
      <c r="H41" s="86"/>
      <c r="I41" s="119" t="s">
        <v>40</v>
      </c>
      <c r="J41" s="119"/>
      <c r="K41" s="119"/>
      <c r="L41" s="119"/>
      <c r="M41" s="119"/>
      <c r="N41" s="119"/>
      <c r="O41" s="119"/>
      <c r="P41" s="119"/>
      <c r="Q41" s="75"/>
      <c r="R41" s="75"/>
      <c r="S41" s="75"/>
      <c r="T41" s="75"/>
      <c r="U41" s="75" t="s">
        <v>52</v>
      </c>
      <c r="V41" s="75"/>
      <c r="W41" s="190">
        <v>17</v>
      </c>
      <c r="X41" s="168">
        <f>1</f>
        <v>1</v>
      </c>
      <c r="Y41" s="169">
        <f t="shared" si="0"/>
        <v>17</v>
      </c>
      <c r="Z41" s="170"/>
      <c r="AA41" s="48"/>
    </row>
    <row r="42" spans="1:27" x14ac:dyDescent="0.2">
      <c r="E42" s="86"/>
      <c r="H42" s="87"/>
      <c r="U42" s="46" t="s">
        <v>68</v>
      </c>
      <c r="W42" s="190" t="s">
        <v>68</v>
      </c>
      <c r="X42" s="168">
        <f>1</f>
        <v>1</v>
      </c>
      <c r="Y42" s="169" t="str">
        <f t="shared" si="0"/>
        <v/>
      </c>
      <c r="Z42" s="169" t="str">
        <f t="shared" si="2"/>
        <v/>
      </c>
    </row>
    <row r="43" spans="1:27" s="74" customFormat="1" ht="16" thickBot="1" x14ac:dyDescent="0.25">
      <c r="A43" s="95" t="s">
        <v>148</v>
      </c>
      <c r="B43" s="95"/>
      <c r="C43" s="96"/>
      <c r="D43" s="96"/>
      <c r="E43" s="90"/>
      <c r="F43" s="95"/>
      <c r="G43" s="95"/>
      <c r="H43" s="91"/>
      <c r="I43" s="129"/>
      <c r="J43" s="129"/>
      <c r="K43" s="129"/>
      <c r="L43" s="129"/>
      <c r="M43" s="129"/>
      <c r="N43" s="129"/>
      <c r="O43" s="129"/>
      <c r="P43" s="129"/>
      <c r="U43" s="74" t="s">
        <v>68</v>
      </c>
      <c r="W43" s="190" t="s">
        <v>68</v>
      </c>
      <c r="X43" s="168"/>
      <c r="Y43" s="169" t="str">
        <f t="shared" si="0"/>
        <v/>
      </c>
      <c r="Z43" s="169" t="str">
        <f t="shared" si="2"/>
        <v/>
      </c>
    </row>
    <row r="44" spans="1:27" s="71" customFormat="1" ht="17" thickTop="1" x14ac:dyDescent="0.2">
      <c r="A44" s="68" t="s">
        <v>69</v>
      </c>
      <c r="B44" s="68" t="s">
        <v>149</v>
      </c>
      <c r="C44" s="92" t="s">
        <v>150</v>
      </c>
      <c r="D44" s="92" t="s">
        <v>151</v>
      </c>
      <c r="E44" s="69"/>
      <c r="F44" s="68"/>
      <c r="G44" s="68"/>
      <c r="H44" s="70"/>
      <c r="I44" s="123" t="s">
        <v>51</v>
      </c>
      <c r="J44" s="123"/>
      <c r="K44" s="123"/>
      <c r="L44" s="123"/>
      <c r="M44" s="123" t="s">
        <v>152</v>
      </c>
      <c r="N44" s="123"/>
      <c r="O44" s="123"/>
      <c r="P44" s="123"/>
      <c r="U44" s="46" t="s">
        <v>42</v>
      </c>
      <c r="W44" s="190"/>
      <c r="X44" s="168"/>
      <c r="Y44" s="169" t="str">
        <f t="shared" si="0"/>
        <v/>
      </c>
      <c r="Z44" s="169" t="str">
        <f t="shared" si="2"/>
        <v/>
      </c>
      <c r="AA44" s="72"/>
    </row>
    <row r="45" spans="1:27" x14ac:dyDescent="0.2">
      <c r="E45" s="86"/>
      <c r="H45" s="87"/>
      <c r="U45" s="46" t="s">
        <v>68</v>
      </c>
      <c r="W45" s="190" t="s">
        <v>68</v>
      </c>
      <c r="X45" s="168">
        <f>1</f>
        <v>1</v>
      </c>
      <c r="Y45" s="169" t="str">
        <f t="shared" si="0"/>
        <v/>
      </c>
      <c r="Z45" s="169" t="str">
        <f t="shared" si="2"/>
        <v/>
      </c>
    </row>
    <row r="46" spans="1:27" ht="16" x14ac:dyDescent="0.2">
      <c r="A46" s="73" t="s">
        <v>142</v>
      </c>
      <c r="B46" s="73" t="s">
        <v>153</v>
      </c>
      <c r="C46" s="45" t="s">
        <v>154</v>
      </c>
      <c r="D46" s="45" t="s">
        <v>155</v>
      </c>
      <c r="E46" s="86"/>
      <c r="F46" s="73"/>
      <c r="G46" s="73"/>
      <c r="H46" s="87"/>
      <c r="I46" s="118" t="s">
        <v>40</v>
      </c>
      <c r="J46" s="118"/>
      <c r="K46" s="118"/>
      <c r="L46" s="118"/>
      <c r="M46" s="118"/>
      <c r="N46" s="118"/>
      <c r="O46" s="118"/>
      <c r="P46" s="118"/>
      <c r="U46" s="46" t="s">
        <v>42</v>
      </c>
      <c r="W46" s="214"/>
      <c r="X46" s="215"/>
      <c r="Y46" s="216"/>
      <c r="Z46" s="169"/>
    </row>
    <row r="47" spans="1:27" ht="16" x14ac:dyDescent="0.2">
      <c r="A47" s="73" t="s">
        <v>90</v>
      </c>
      <c r="B47" s="73" t="s">
        <v>156</v>
      </c>
      <c r="C47" s="45" t="s">
        <v>157</v>
      </c>
      <c r="D47" s="219" t="s">
        <v>158</v>
      </c>
      <c r="E47" s="86"/>
      <c r="F47" s="73"/>
      <c r="G47" s="73"/>
      <c r="H47" s="87"/>
      <c r="I47" s="118" t="s">
        <v>40</v>
      </c>
      <c r="J47" s="118"/>
      <c r="K47" s="118"/>
      <c r="L47" s="118"/>
      <c r="M47" s="118" t="s">
        <v>159</v>
      </c>
      <c r="N47" s="118"/>
      <c r="O47" s="118"/>
      <c r="P47" s="118"/>
      <c r="U47" s="46" t="s">
        <v>42</v>
      </c>
      <c r="W47" s="190">
        <v>10.085731506347656</v>
      </c>
      <c r="X47" s="168">
        <f>1</f>
        <v>1</v>
      </c>
      <c r="Y47" s="169">
        <f t="shared" si="0"/>
        <v>10.085731506347656</v>
      </c>
      <c r="Z47" s="169">
        <f t="shared" si="2"/>
        <v>10.085731506347656</v>
      </c>
    </row>
    <row r="48" spans="1:27" x14ac:dyDescent="0.2">
      <c r="D48" s="221"/>
      <c r="E48" s="86"/>
      <c r="H48" s="87"/>
      <c r="U48" s="46" t="s">
        <v>68</v>
      </c>
      <c r="W48" s="190" t="s">
        <v>68</v>
      </c>
      <c r="X48" s="168">
        <f>1</f>
        <v>1</v>
      </c>
      <c r="Y48" s="169" t="str">
        <f t="shared" si="0"/>
        <v/>
      </c>
      <c r="Z48" s="169" t="str">
        <f t="shared" si="2"/>
        <v/>
      </c>
    </row>
    <row r="49" spans="1:27" ht="16" x14ac:dyDescent="0.2">
      <c r="A49" s="73" t="s">
        <v>160</v>
      </c>
      <c r="B49" s="73" t="s">
        <v>161</v>
      </c>
      <c r="C49" s="45" t="s">
        <v>162</v>
      </c>
      <c r="D49" s="219" t="s">
        <v>163</v>
      </c>
      <c r="E49" s="86"/>
      <c r="F49" s="73"/>
      <c r="G49" s="73"/>
      <c r="H49" s="87"/>
      <c r="I49" s="118" t="s">
        <v>40</v>
      </c>
      <c r="J49" s="118"/>
      <c r="K49" s="118"/>
      <c r="L49" s="118"/>
      <c r="M49" s="118"/>
      <c r="N49" s="118"/>
      <c r="O49" s="118"/>
      <c r="P49" s="118"/>
      <c r="U49" s="46" t="s">
        <v>42</v>
      </c>
      <c r="W49" s="190">
        <v>12.894034385681152</v>
      </c>
      <c r="X49" s="168">
        <f>1</f>
        <v>1</v>
      </c>
      <c r="Y49" s="169">
        <f t="shared" si="0"/>
        <v>12.894034385681152</v>
      </c>
      <c r="Z49" s="169">
        <f t="shared" si="2"/>
        <v>12.894034385681152</v>
      </c>
    </row>
    <row r="50" spans="1:27" x14ac:dyDescent="0.2">
      <c r="E50" s="86"/>
      <c r="H50" s="87"/>
      <c r="U50" s="46" t="s">
        <v>68</v>
      </c>
      <c r="W50" s="190" t="s">
        <v>68</v>
      </c>
      <c r="X50" s="168">
        <f>1</f>
        <v>1</v>
      </c>
      <c r="Y50" s="169" t="str">
        <f t="shared" si="0"/>
        <v/>
      </c>
      <c r="Z50" s="169" t="str">
        <f t="shared" ref="Z50:Z83" si="4">IF(AND(W50&lt;&gt;"",U50="yes"),W50*X50,"")</f>
        <v/>
      </c>
    </row>
    <row r="51" spans="1:27" s="74" customFormat="1" ht="16" x14ac:dyDescent="0.2">
      <c r="A51" s="74" t="s">
        <v>164</v>
      </c>
      <c r="B51" s="74" t="s">
        <v>165</v>
      </c>
      <c r="C51" s="48" t="s">
        <v>166</v>
      </c>
      <c r="D51" s="48" t="s">
        <v>167</v>
      </c>
      <c r="E51" s="97"/>
      <c r="F51" s="98"/>
      <c r="G51" s="98"/>
      <c r="H51" s="99"/>
      <c r="I51" s="125" t="s">
        <v>40</v>
      </c>
      <c r="J51" s="130"/>
      <c r="K51" s="130"/>
      <c r="L51" s="130"/>
      <c r="M51" s="130"/>
      <c r="N51" s="130"/>
      <c r="O51" s="130"/>
      <c r="P51" s="130"/>
      <c r="U51" s="74" t="s">
        <v>42</v>
      </c>
      <c r="W51" s="190">
        <v>15.265829086303711</v>
      </c>
      <c r="X51" s="168">
        <f>1</f>
        <v>1</v>
      </c>
      <c r="Y51" s="169">
        <f t="shared" si="0"/>
        <v>15.265829086303711</v>
      </c>
      <c r="Z51" s="169">
        <f t="shared" si="4"/>
        <v>15.265829086303711</v>
      </c>
    </row>
    <row r="52" spans="1:27" s="74" customFormat="1" ht="16" x14ac:dyDescent="0.2">
      <c r="A52" s="74" t="s">
        <v>168</v>
      </c>
      <c r="B52" s="74" t="s">
        <v>169</v>
      </c>
      <c r="C52" s="48" t="s">
        <v>170</v>
      </c>
      <c r="D52" s="48" t="s">
        <v>171</v>
      </c>
      <c r="E52" s="97"/>
      <c r="F52" s="98"/>
      <c r="G52" s="98"/>
      <c r="H52" s="99"/>
      <c r="I52" s="125" t="s">
        <v>40</v>
      </c>
      <c r="J52" s="130"/>
      <c r="K52" s="130"/>
      <c r="L52" s="130"/>
      <c r="M52" s="130"/>
      <c r="N52" s="130"/>
      <c r="O52" s="130"/>
      <c r="P52" s="130"/>
      <c r="U52" s="74" t="s">
        <v>42</v>
      </c>
      <c r="W52" s="190">
        <v>15.12371826171875</v>
      </c>
      <c r="X52" s="168">
        <f>1</f>
        <v>1</v>
      </c>
      <c r="Y52" s="169">
        <f t="shared" si="0"/>
        <v>15.12371826171875</v>
      </c>
      <c r="Z52" s="169">
        <f t="shared" si="4"/>
        <v>15.12371826171875</v>
      </c>
    </row>
    <row r="53" spans="1:27" s="74" customFormat="1" ht="16" x14ac:dyDescent="0.2">
      <c r="A53" s="74" t="s">
        <v>172</v>
      </c>
      <c r="B53" s="74" t="s">
        <v>173</v>
      </c>
      <c r="C53" s="48" t="s">
        <v>174</v>
      </c>
      <c r="D53" s="48" t="s">
        <v>175</v>
      </c>
      <c r="E53" s="97"/>
      <c r="F53" s="98"/>
      <c r="G53" s="98"/>
      <c r="H53" s="99"/>
      <c r="I53" s="125" t="s">
        <v>40</v>
      </c>
      <c r="J53" s="130"/>
      <c r="K53" s="130"/>
      <c r="L53" s="130"/>
      <c r="M53" s="130"/>
      <c r="N53" s="130"/>
      <c r="O53" s="130"/>
      <c r="P53" s="130"/>
      <c r="U53" s="74" t="s">
        <v>42</v>
      </c>
      <c r="W53" s="190">
        <v>13.760138511657715</v>
      </c>
      <c r="X53" s="168">
        <f>1</f>
        <v>1</v>
      </c>
      <c r="Y53" s="169">
        <f t="shared" si="0"/>
        <v>13.760138511657715</v>
      </c>
      <c r="Z53" s="169">
        <f t="shared" si="4"/>
        <v>13.760138511657715</v>
      </c>
    </row>
    <row r="54" spans="1:27" s="74" customFormat="1" x14ac:dyDescent="0.2">
      <c r="C54" s="48"/>
      <c r="D54" s="48"/>
      <c r="E54" s="97"/>
      <c r="F54" s="98"/>
      <c r="G54" s="98"/>
      <c r="H54" s="99"/>
      <c r="I54" s="130"/>
      <c r="J54" s="130"/>
      <c r="K54" s="130"/>
      <c r="L54" s="130"/>
      <c r="M54" s="130"/>
      <c r="N54" s="130"/>
      <c r="O54" s="130"/>
      <c r="P54" s="130"/>
      <c r="U54" s="74" t="s">
        <v>68</v>
      </c>
      <c r="W54" s="190" t="s">
        <v>68</v>
      </c>
      <c r="X54" s="168">
        <f>1</f>
        <v>1</v>
      </c>
      <c r="Y54" s="169" t="str">
        <f t="shared" si="0"/>
        <v/>
      </c>
      <c r="Z54" s="169" t="str">
        <f t="shared" si="4"/>
        <v/>
      </c>
    </row>
    <row r="55" spans="1:27" s="75" customFormat="1" ht="16" x14ac:dyDescent="0.2">
      <c r="A55" s="75" t="s">
        <v>176</v>
      </c>
      <c r="B55" s="75" t="s">
        <v>177</v>
      </c>
      <c r="C55" s="76" t="s">
        <v>178</v>
      </c>
      <c r="D55" s="75" t="s">
        <v>179</v>
      </c>
      <c r="E55" s="77"/>
      <c r="F55" s="75" t="s">
        <v>180</v>
      </c>
      <c r="G55" s="75" t="s">
        <v>181</v>
      </c>
      <c r="H55" s="81"/>
      <c r="I55" s="119" t="s">
        <v>40</v>
      </c>
      <c r="J55" s="119"/>
      <c r="K55" s="119"/>
      <c r="L55" s="119"/>
      <c r="M55" s="119"/>
      <c r="N55" s="119"/>
      <c r="O55" s="119"/>
      <c r="P55" s="119"/>
      <c r="U55" s="75" t="s">
        <v>52</v>
      </c>
      <c r="W55" s="190">
        <v>30.646188735961914</v>
      </c>
      <c r="X55" s="168">
        <f>1</f>
        <v>1</v>
      </c>
      <c r="Y55" s="169">
        <f t="shared" si="0"/>
        <v>30.646188735961914</v>
      </c>
      <c r="Z55" s="169" t="str">
        <f t="shared" si="4"/>
        <v/>
      </c>
      <c r="AA55" s="74"/>
    </row>
    <row r="56" spans="1:27" s="75" customFormat="1" ht="16" x14ac:dyDescent="0.2">
      <c r="A56" s="75" t="s">
        <v>83</v>
      </c>
      <c r="B56" s="75" t="s">
        <v>182</v>
      </c>
      <c r="C56" s="76" t="s">
        <v>183</v>
      </c>
      <c r="D56" s="76" t="s">
        <v>184</v>
      </c>
      <c r="E56" s="77"/>
      <c r="F56" s="75" t="s">
        <v>185</v>
      </c>
      <c r="G56" s="75" t="s">
        <v>186</v>
      </c>
      <c r="H56" s="81"/>
      <c r="I56" s="119" t="s">
        <v>40</v>
      </c>
      <c r="J56" s="119"/>
      <c r="K56" s="119" t="s">
        <v>187</v>
      </c>
      <c r="L56" s="119"/>
      <c r="M56" s="119"/>
      <c r="N56" s="119"/>
      <c r="O56" s="119"/>
      <c r="P56" s="119"/>
      <c r="U56" s="75" t="s">
        <v>52</v>
      </c>
      <c r="W56" s="190">
        <v>15.211848258972168</v>
      </c>
      <c r="X56" s="168">
        <f>1</f>
        <v>1</v>
      </c>
      <c r="Y56" s="169">
        <f t="shared" si="0"/>
        <v>15.211848258972168</v>
      </c>
      <c r="Z56" s="169" t="str">
        <f t="shared" si="4"/>
        <v/>
      </c>
      <c r="AA56" s="74"/>
    </row>
    <row r="57" spans="1:27" s="75" customFormat="1" ht="16" x14ac:dyDescent="0.2">
      <c r="A57" s="75" t="s">
        <v>188</v>
      </c>
      <c r="B57" s="75" t="s">
        <v>189</v>
      </c>
      <c r="C57" s="76" t="s">
        <v>190</v>
      </c>
      <c r="D57" s="76" t="s">
        <v>191</v>
      </c>
      <c r="E57" s="77"/>
      <c r="F57" s="75" t="s">
        <v>192</v>
      </c>
      <c r="G57" s="75" t="s">
        <v>193</v>
      </c>
      <c r="H57" s="81"/>
      <c r="I57" s="119" t="s">
        <v>40</v>
      </c>
      <c r="J57" s="119"/>
      <c r="K57" s="119" t="s">
        <v>194</v>
      </c>
      <c r="L57" s="119"/>
      <c r="M57" s="119"/>
      <c r="N57" s="119"/>
      <c r="O57" s="119"/>
      <c r="P57" s="119"/>
      <c r="U57" s="75" t="s">
        <v>52</v>
      </c>
      <c r="W57" s="190">
        <v>17</v>
      </c>
      <c r="X57" s="168">
        <f>1</f>
        <v>1</v>
      </c>
      <c r="Y57" s="169">
        <f t="shared" si="0"/>
        <v>17</v>
      </c>
      <c r="Z57" s="169" t="str">
        <f t="shared" si="4"/>
        <v/>
      </c>
      <c r="AA57" s="74"/>
    </row>
    <row r="58" spans="1:27" s="75" customFormat="1" ht="16" x14ac:dyDescent="0.2">
      <c r="A58" s="75" t="s">
        <v>195</v>
      </c>
      <c r="B58" s="75" t="s">
        <v>196</v>
      </c>
      <c r="C58" s="76" t="s">
        <v>197</v>
      </c>
      <c r="D58" s="76" t="s">
        <v>198</v>
      </c>
      <c r="E58" s="77"/>
      <c r="F58" s="75" t="s">
        <v>192</v>
      </c>
      <c r="G58" s="75" t="s">
        <v>193</v>
      </c>
      <c r="H58" s="81"/>
      <c r="I58" s="119" t="s">
        <v>40</v>
      </c>
      <c r="J58" s="119"/>
      <c r="K58" s="119" t="s">
        <v>194</v>
      </c>
      <c r="L58" s="119"/>
      <c r="M58" s="119"/>
      <c r="N58" s="119"/>
      <c r="O58" s="119"/>
      <c r="P58" s="119"/>
      <c r="U58" s="75" t="s">
        <v>52</v>
      </c>
      <c r="W58" s="190">
        <v>17</v>
      </c>
      <c r="X58" s="168">
        <f>1</f>
        <v>1</v>
      </c>
      <c r="Y58" s="169">
        <f t="shared" si="0"/>
        <v>17</v>
      </c>
      <c r="Z58" s="169" t="str">
        <f t="shared" si="4"/>
        <v/>
      </c>
      <c r="AA58" s="74"/>
    </row>
    <row r="59" spans="1:27" s="75" customFormat="1" ht="16" x14ac:dyDescent="0.2">
      <c r="A59" s="75" t="s">
        <v>199</v>
      </c>
      <c r="B59" s="75" t="s">
        <v>200</v>
      </c>
      <c r="C59" s="76" t="s">
        <v>201</v>
      </c>
      <c r="D59" s="76" t="s">
        <v>202</v>
      </c>
      <c r="E59" s="77"/>
      <c r="H59" s="81"/>
      <c r="I59" s="119" t="s">
        <v>40</v>
      </c>
      <c r="J59" s="119"/>
      <c r="K59" s="119"/>
      <c r="L59" s="119"/>
      <c r="M59" s="119"/>
      <c r="N59" s="119"/>
      <c r="O59" s="119"/>
      <c r="P59" s="119"/>
      <c r="U59" s="75" t="s">
        <v>52</v>
      </c>
      <c r="W59" s="190">
        <v>17</v>
      </c>
      <c r="X59" s="168">
        <f>1</f>
        <v>1</v>
      </c>
      <c r="Y59" s="169">
        <f t="shared" si="0"/>
        <v>17</v>
      </c>
      <c r="Z59" s="169" t="str">
        <f t="shared" si="4"/>
        <v/>
      </c>
      <c r="AA59" s="74"/>
    </row>
    <row r="60" spans="1:27" s="75" customFormat="1" ht="16" x14ac:dyDescent="0.2">
      <c r="A60" s="75" t="s">
        <v>203</v>
      </c>
      <c r="B60" s="75" t="s">
        <v>204</v>
      </c>
      <c r="C60" s="76" t="s">
        <v>205</v>
      </c>
      <c r="D60" s="76" t="s">
        <v>206</v>
      </c>
      <c r="E60" s="77"/>
      <c r="H60" s="81"/>
      <c r="I60" s="119" t="s">
        <v>40</v>
      </c>
      <c r="J60" s="119"/>
      <c r="K60" s="119"/>
      <c r="L60" s="119"/>
      <c r="M60" s="119"/>
      <c r="N60" s="119"/>
      <c r="O60" s="119"/>
      <c r="P60" s="119"/>
      <c r="U60" s="75" t="s">
        <v>52</v>
      </c>
      <c r="W60" s="190">
        <v>8.2288064956665039</v>
      </c>
      <c r="X60" s="168">
        <f>1</f>
        <v>1</v>
      </c>
      <c r="Y60" s="169">
        <f t="shared" si="0"/>
        <v>8.2288064956665039</v>
      </c>
      <c r="Z60" s="169" t="str">
        <f t="shared" si="4"/>
        <v/>
      </c>
      <c r="AA60" s="74"/>
    </row>
    <row r="61" spans="1:27" s="75" customFormat="1" x14ac:dyDescent="0.2">
      <c r="C61" s="76"/>
      <c r="D61" s="76"/>
      <c r="E61" s="77"/>
      <c r="H61" s="81"/>
      <c r="I61" s="119"/>
      <c r="J61" s="119"/>
      <c r="K61" s="119"/>
      <c r="L61" s="119"/>
      <c r="M61" s="119"/>
      <c r="N61" s="119"/>
      <c r="O61" s="119"/>
      <c r="P61" s="119"/>
      <c r="U61" s="75" t="s">
        <v>68</v>
      </c>
      <c r="W61" s="190" t="s">
        <v>68</v>
      </c>
      <c r="X61" s="168">
        <f>1</f>
        <v>1</v>
      </c>
      <c r="Y61" s="169" t="str">
        <f t="shared" si="0"/>
        <v/>
      </c>
      <c r="Z61" s="169" t="str">
        <f t="shared" si="4"/>
        <v/>
      </c>
      <c r="AA61" s="74"/>
    </row>
    <row r="62" spans="1:27" ht="16" thickBot="1" x14ac:dyDescent="0.25">
      <c r="A62" s="100" t="s">
        <v>148</v>
      </c>
      <c r="B62" s="100"/>
      <c r="C62" s="101"/>
      <c r="D62" s="101"/>
      <c r="E62" s="110"/>
      <c r="F62" s="100"/>
      <c r="G62" s="100"/>
      <c r="H62" s="111"/>
      <c r="I62" s="131"/>
      <c r="J62" s="131"/>
      <c r="K62" s="131"/>
      <c r="L62" s="131"/>
      <c r="M62" s="131"/>
      <c r="N62" s="131"/>
      <c r="O62" s="131"/>
      <c r="P62" s="131"/>
      <c r="U62" s="46" t="s">
        <v>68</v>
      </c>
      <c r="W62" s="190" t="s">
        <v>68</v>
      </c>
      <c r="X62" s="168">
        <f>1</f>
        <v>1</v>
      </c>
      <c r="Y62" s="169" t="str">
        <f t="shared" si="0"/>
        <v/>
      </c>
      <c r="Z62" s="169" t="str">
        <f t="shared" si="4"/>
        <v/>
      </c>
    </row>
    <row r="63" spans="1:27" s="71" customFormat="1" ht="17" thickTop="1" x14ac:dyDescent="0.2">
      <c r="A63" s="80" t="s">
        <v>69</v>
      </c>
      <c r="B63" s="80" t="s">
        <v>207</v>
      </c>
      <c r="C63" s="102" t="s">
        <v>208</v>
      </c>
      <c r="D63" s="102" t="s">
        <v>209</v>
      </c>
      <c r="E63" s="177"/>
      <c r="F63" s="80"/>
      <c r="G63" s="80"/>
      <c r="H63" s="178"/>
      <c r="I63" s="132" t="s">
        <v>51</v>
      </c>
      <c r="J63" s="132"/>
      <c r="K63" s="132"/>
      <c r="L63" s="132"/>
      <c r="M63" s="132" t="s">
        <v>152</v>
      </c>
      <c r="N63" s="132"/>
      <c r="O63" s="132"/>
      <c r="P63" s="132"/>
      <c r="U63" s="46" t="s">
        <v>42</v>
      </c>
      <c r="W63" s="190"/>
      <c r="X63" s="168">
        <f>1</f>
        <v>1</v>
      </c>
      <c r="Y63" s="169" t="str">
        <f t="shared" si="0"/>
        <v/>
      </c>
      <c r="Z63" s="169" t="str">
        <f t="shared" si="4"/>
        <v/>
      </c>
      <c r="AA63" s="72"/>
    </row>
    <row r="64" spans="1:27" x14ac:dyDescent="0.2">
      <c r="E64" s="86"/>
      <c r="H64" s="87"/>
      <c r="U64" s="46" t="s">
        <v>68</v>
      </c>
      <c r="W64" s="190" t="s">
        <v>68</v>
      </c>
      <c r="X64" s="168">
        <f>1</f>
        <v>1</v>
      </c>
      <c r="Y64" s="169" t="str">
        <f t="shared" si="0"/>
        <v/>
      </c>
      <c r="Z64" s="169" t="str">
        <f t="shared" si="4"/>
        <v/>
      </c>
    </row>
    <row r="65" spans="1:27" ht="32" x14ac:dyDescent="0.2">
      <c r="A65" s="78" t="s">
        <v>210</v>
      </c>
      <c r="B65" s="78" t="s">
        <v>211</v>
      </c>
      <c r="C65" s="79" t="s">
        <v>212</v>
      </c>
      <c r="D65" s="223" t="s">
        <v>213</v>
      </c>
      <c r="E65" s="97"/>
      <c r="F65" s="74" t="s">
        <v>214</v>
      </c>
      <c r="G65" s="46" t="s">
        <v>215</v>
      </c>
      <c r="H65" s="99"/>
      <c r="I65" s="120" t="s">
        <v>40</v>
      </c>
      <c r="J65" s="120" t="s">
        <v>216</v>
      </c>
      <c r="K65" s="120"/>
      <c r="L65" s="120"/>
      <c r="M65" s="120"/>
      <c r="N65" s="120"/>
      <c r="O65" s="120"/>
      <c r="P65" s="120"/>
      <c r="U65" s="46" t="s">
        <v>42</v>
      </c>
      <c r="W65" s="190">
        <v>36.928733825683594</v>
      </c>
      <c r="X65" s="168">
        <f>1</f>
        <v>1</v>
      </c>
      <c r="Y65" s="169">
        <f t="shared" si="0"/>
        <v>36.928733825683594</v>
      </c>
      <c r="Z65" s="169">
        <f t="shared" si="4"/>
        <v>36.928733825683594</v>
      </c>
    </row>
    <row r="66" spans="1:27" x14ac:dyDescent="0.2">
      <c r="A66" s="78" t="s">
        <v>26</v>
      </c>
      <c r="B66" s="78" t="s">
        <v>217</v>
      </c>
      <c r="C66" s="79"/>
      <c r="D66" s="73"/>
      <c r="E66" s="97"/>
      <c r="F66" s="74"/>
      <c r="G66" s="74"/>
      <c r="H66" s="99"/>
      <c r="I66" s="120"/>
      <c r="J66" s="120"/>
      <c r="K66" s="120"/>
      <c r="L66" s="120"/>
      <c r="M66" s="120"/>
      <c r="N66" s="120"/>
      <c r="O66" s="120"/>
      <c r="P66" s="120" t="s">
        <v>218</v>
      </c>
      <c r="U66" s="46" t="s">
        <v>42</v>
      </c>
      <c r="W66" s="190"/>
      <c r="X66" s="168">
        <f>1</f>
        <v>1</v>
      </c>
      <c r="Y66" s="169" t="str">
        <f t="shared" si="0"/>
        <v/>
      </c>
      <c r="Z66" s="169" t="str">
        <f t="shared" si="4"/>
        <v/>
      </c>
    </row>
    <row r="67" spans="1:27" ht="32" x14ac:dyDescent="0.2">
      <c r="A67" s="78" t="s">
        <v>142</v>
      </c>
      <c r="B67" s="78" t="s">
        <v>219</v>
      </c>
      <c r="C67" s="79" t="s">
        <v>220</v>
      </c>
      <c r="D67" s="224" t="s">
        <v>221</v>
      </c>
      <c r="E67" s="97"/>
      <c r="F67" s="74"/>
      <c r="G67" s="74"/>
      <c r="H67" s="99"/>
      <c r="I67" s="120" t="s">
        <v>40</v>
      </c>
      <c r="J67" s="120"/>
      <c r="K67" s="120"/>
      <c r="L67" s="120"/>
      <c r="M67" s="120" t="s">
        <v>222</v>
      </c>
      <c r="N67" s="120"/>
      <c r="O67" s="120"/>
      <c r="P67" s="120"/>
      <c r="U67" s="46" t="s">
        <v>42</v>
      </c>
      <c r="W67" s="190">
        <v>0</v>
      </c>
      <c r="X67" s="168">
        <f>1</f>
        <v>1</v>
      </c>
      <c r="Y67" s="169">
        <f t="shared" si="0"/>
        <v>0</v>
      </c>
      <c r="Z67" s="169">
        <f t="shared" si="4"/>
        <v>0</v>
      </c>
    </row>
    <row r="68" spans="1:27" ht="32" x14ac:dyDescent="0.2">
      <c r="A68" s="78" t="s">
        <v>142</v>
      </c>
      <c r="B68" s="78" t="s">
        <v>223</v>
      </c>
      <c r="C68" s="79" t="s">
        <v>224</v>
      </c>
      <c r="D68" s="224" t="s">
        <v>225</v>
      </c>
      <c r="E68" s="97"/>
      <c r="F68" s="74"/>
      <c r="G68" s="74"/>
      <c r="H68" s="99"/>
      <c r="I68" s="120" t="s">
        <v>40</v>
      </c>
      <c r="J68" s="120"/>
      <c r="K68" s="120"/>
      <c r="L68" s="120"/>
      <c r="M68" s="120" t="s">
        <v>226</v>
      </c>
      <c r="N68" s="120"/>
      <c r="O68" s="120"/>
      <c r="P68" s="120"/>
      <c r="U68" s="46" t="s">
        <v>42</v>
      </c>
      <c r="W68" s="190">
        <v>0</v>
      </c>
      <c r="X68" s="168">
        <f>1</f>
        <v>1</v>
      </c>
      <c r="Y68" s="169">
        <f t="shared" ref="Y68:Y137" si="5">IF(W68&lt;&gt;"",W68*X68,"")</f>
        <v>0</v>
      </c>
      <c r="Z68" s="169">
        <f t="shared" si="4"/>
        <v>0</v>
      </c>
    </row>
    <row r="69" spans="1:27" ht="32" x14ac:dyDescent="0.2">
      <c r="A69" s="78" t="s">
        <v>142</v>
      </c>
      <c r="B69" s="78" t="s">
        <v>227</v>
      </c>
      <c r="C69" s="79" t="s">
        <v>228</v>
      </c>
      <c r="D69" s="224" t="s">
        <v>229</v>
      </c>
      <c r="E69" s="97"/>
      <c r="F69" s="74"/>
      <c r="G69" s="74"/>
      <c r="H69" s="99"/>
      <c r="I69" s="120" t="s">
        <v>40</v>
      </c>
      <c r="J69" s="120"/>
      <c r="K69" s="120"/>
      <c r="L69" s="120"/>
      <c r="M69" s="120" t="s">
        <v>230</v>
      </c>
      <c r="N69" s="120"/>
      <c r="O69" s="120"/>
      <c r="P69" s="120"/>
      <c r="U69" s="46" t="s">
        <v>42</v>
      </c>
      <c r="W69" s="190">
        <v>0</v>
      </c>
      <c r="X69" s="168">
        <f>1</f>
        <v>1</v>
      </c>
      <c r="Y69" s="169">
        <f t="shared" si="5"/>
        <v>0</v>
      </c>
      <c r="Z69" s="169">
        <f t="shared" si="4"/>
        <v>0</v>
      </c>
    </row>
    <row r="70" spans="1:27" x14ac:dyDescent="0.2">
      <c r="D70" s="46"/>
      <c r="E70" s="86"/>
      <c r="H70" s="87"/>
      <c r="U70" s="46" t="s">
        <v>68</v>
      </c>
      <c r="W70" s="190" t="s">
        <v>68</v>
      </c>
      <c r="X70" s="168">
        <f>1</f>
        <v>1</v>
      </c>
      <c r="Y70" s="169" t="str">
        <f t="shared" si="5"/>
        <v/>
      </c>
      <c r="Z70" s="169" t="str">
        <f t="shared" si="4"/>
        <v/>
      </c>
    </row>
    <row r="71" spans="1:27" s="75" customFormat="1" ht="32" x14ac:dyDescent="0.2">
      <c r="A71" s="75" t="s">
        <v>231</v>
      </c>
      <c r="B71" s="75" t="s">
        <v>232</v>
      </c>
      <c r="C71" s="76" t="s">
        <v>233</v>
      </c>
      <c r="D71" s="226" t="s">
        <v>234</v>
      </c>
      <c r="E71" s="77"/>
      <c r="F71" s="75" t="s">
        <v>235</v>
      </c>
      <c r="G71" s="75" t="s">
        <v>236</v>
      </c>
      <c r="H71" s="81"/>
      <c r="I71" s="119" t="s">
        <v>40</v>
      </c>
      <c r="J71" s="119"/>
      <c r="K71" s="119" t="s">
        <v>237</v>
      </c>
      <c r="L71" s="119"/>
      <c r="M71" s="119" t="s">
        <v>238</v>
      </c>
      <c r="N71" s="119"/>
      <c r="O71" s="119"/>
      <c r="P71" s="119"/>
      <c r="U71" s="75" t="s">
        <v>52</v>
      </c>
      <c r="W71" s="190">
        <v>40.047317504882812</v>
      </c>
      <c r="X71" s="168">
        <f>1</f>
        <v>1</v>
      </c>
      <c r="Y71" s="169">
        <f t="shared" si="5"/>
        <v>40.047317504882812</v>
      </c>
      <c r="Z71" s="169" t="str">
        <f t="shared" si="4"/>
        <v/>
      </c>
      <c r="AA71" s="74"/>
    </row>
    <row r="72" spans="1:27" s="75" customFormat="1" x14ac:dyDescent="0.2">
      <c r="A72" s="75" t="s">
        <v>239</v>
      </c>
      <c r="B72" s="75" t="s">
        <v>240</v>
      </c>
      <c r="C72" s="75" t="s">
        <v>241</v>
      </c>
      <c r="D72" s="227" t="s">
        <v>242</v>
      </c>
      <c r="E72" s="81"/>
      <c r="F72" s="75" t="s">
        <v>243</v>
      </c>
      <c r="G72" s="75" t="s">
        <v>244</v>
      </c>
      <c r="H72" s="81"/>
      <c r="I72" s="119" t="s">
        <v>51</v>
      </c>
      <c r="J72" s="119"/>
      <c r="K72" s="119"/>
      <c r="L72" s="119"/>
      <c r="M72" s="119" t="s">
        <v>245</v>
      </c>
      <c r="N72" s="119"/>
      <c r="O72" s="119"/>
      <c r="P72" s="119"/>
      <c r="U72" s="75" t="s">
        <v>52</v>
      </c>
      <c r="W72" s="190">
        <v>3.6870110034942627</v>
      </c>
      <c r="X72" s="168">
        <f>1</f>
        <v>1</v>
      </c>
      <c r="Y72" s="169">
        <f t="shared" si="5"/>
        <v>3.6870110034942627</v>
      </c>
      <c r="Z72" s="169" t="str">
        <f t="shared" si="4"/>
        <v/>
      </c>
      <c r="AA72" s="74"/>
    </row>
    <row r="73" spans="1:27" x14ac:dyDescent="0.2">
      <c r="D73" s="74"/>
      <c r="E73" s="81"/>
      <c r="G73" s="75"/>
      <c r="H73" s="81"/>
    </row>
    <row r="74" spans="1:27" s="78" customFormat="1" x14ac:dyDescent="0.2">
      <c r="A74" s="78" t="s">
        <v>246</v>
      </c>
      <c r="B74" s="78" t="s">
        <v>247</v>
      </c>
      <c r="C74" s="78" t="s">
        <v>248</v>
      </c>
      <c r="D74" s="78" t="s">
        <v>249</v>
      </c>
      <c r="E74" s="99"/>
      <c r="H74" s="99"/>
      <c r="I74" s="120" t="s">
        <v>40</v>
      </c>
      <c r="J74" s="120"/>
      <c r="K74" s="120"/>
      <c r="L74" s="120"/>
      <c r="M74" s="120" t="s">
        <v>238</v>
      </c>
      <c r="N74" s="120"/>
      <c r="O74" s="120"/>
      <c r="P74" s="120"/>
      <c r="U74" s="78" t="s">
        <v>42</v>
      </c>
      <c r="W74" s="191"/>
      <c r="X74" s="217"/>
      <c r="Y74" s="218"/>
      <c r="Z74" s="218"/>
    </row>
    <row r="75" spans="1:27" s="78" customFormat="1" x14ac:dyDescent="0.2">
      <c r="A75" s="78" t="s">
        <v>250</v>
      </c>
      <c r="B75" s="78" t="s">
        <v>251</v>
      </c>
      <c r="C75" s="78" t="s">
        <v>252</v>
      </c>
      <c r="D75" s="78" t="s">
        <v>253</v>
      </c>
      <c r="E75" s="99"/>
      <c r="H75" s="99"/>
      <c r="I75" s="120" t="s">
        <v>40</v>
      </c>
      <c r="J75" s="120"/>
      <c r="K75" s="120"/>
      <c r="L75" s="120"/>
      <c r="M75" s="120" t="s">
        <v>238</v>
      </c>
      <c r="N75" s="120"/>
      <c r="O75" s="120"/>
      <c r="P75" s="120"/>
      <c r="U75" s="78" t="s">
        <v>42</v>
      </c>
      <c r="W75" s="191"/>
      <c r="X75" s="217"/>
      <c r="Y75" s="218"/>
      <c r="Z75" s="218"/>
    </row>
    <row r="76" spans="1:27" x14ac:dyDescent="0.2">
      <c r="E76" s="86"/>
      <c r="H76" s="87"/>
      <c r="U76" s="46" t="s">
        <v>68</v>
      </c>
      <c r="W76" s="190" t="s">
        <v>68</v>
      </c>
      <c r="X76" s="168">
        <f>1</f>
        <v>1</v>
      </c>
      <c r="Y76" s="169" t="str">
        <f t="shared" ref="Y76" si="6">IF(W76&lt;&gt;"",W76*X76,"")</f>
        <v/>
      </c>
      <c r="Z76" s="169" t="str">
        <f t="shared" ref="Z76" si="7">IF(AND(W76&lt;&gt;"",U76="yes"),W76*X76,"")</f>
        <v/>
      </c>
    </row>
    <row r="77" spans="1:27" ht="32" x14ac:dyDescent="0.2">
      <c r="A77" s="78" t="s">
        <v>254</v>
      </c>
      <c r="B77" s="78" t="s">
        <v>255</v>
      </c>
      <c r="C77" s="79" t="s">
        <v>256</v>
      </c>
      <c r="D77" s="224" t="s">
        <v>257</v>
      </c>
      <c r="E77" s="97"/>
      <c r="F77" s="78"/>
      <c r="G77" s="78"/>
      <c r="H77" s="99"/>
      <c r="I77" s="120" t="s">
        <v>40</v>
      </c>
      <c r="J77" s="120"/>
      <c r="K77" s="120"/>
      <c r="L77" s="120"/>
      <c r="M77" s="120" t="s">
        <v>238</v>
      </c>
      <c r="N77" s="120"/>
      <c r="O77" s="120"/>
      <c r="P77" s="120"/>
      <c r="U77" s="46" t="s">
        <v>42</v>
      </c>
      <c r="W77" s="190">
        <v>27.242166519165039</v>
      </c>
      <c r="X77" s="168">
        <f>1</f>
        <v>1</v>
      </c>
      <c r="Y77" s="169">
        <f t="shared" si="5"/>
        <v>27.242166519165039</v>
      </c>
      <c r="Z77" s="169">
        <f t="shared" si="4"/>
        <v>27.242166519165039</v>
      </c>
    </row>
    <row r="78" spans="1:27" x14ac:dyDescent="0.2">
      <c r="D78" s="228"/>
      <c r="E78" s="86"/>
      <c r="H78" s="87"/>
      <c r="U78" s="46" t="s">
        <v>68</v>
      </c>
      <c r="W78" s="190" t="s">
        <v>68</v>
      </c>
      <c r="X78" s="168">
        <f>1</f>
        <v>1</v>
      </c>
      <c r="Y78" s="169" t="str">
        <f t="shared" si="5"/>
        <v/>
      </c>
      <c r="Z78" s="169" t="str">
        <f t="shared" si="4"/>
        <v/>
      </c>
    </row>
    <row r="79" spans="1:27" ht="32" x14ac:dyDescent="0.2">
      <c r="A79" s="78" t="s">
        <v>258</v>
      </c>
      <c r="B79" s="78" t="s">
        <v>259</v>
      </c>
      <c r="C79" s="79" t="s">
        <v>260</v>
      </c>
      <c r="D79" s="219" t="s">
        <v>261</v>
      </c>
      <c r="E79" s="97"/>
      <c r="F79" s="74" t="s">
        <v>262</v>
      </c>
      <c r="G79" s="74" t="s">
        <v>263</v>
      </c>
      <c r="H79" s="99"/>
      <c r="I79" s="120" t="s">
        <v>40</v>
      </c>
      <c r="J79" s="120" t="s">
        <v>216</v>
      </c>
      <c r="K79" s="120"/>
      <c r="L79" s="120"/>
      <c r="M79" s="120" t="s">
        <v>238</v>
      </c>
      <c r="N79" s="120" t="s">
        <v>264</v>
      </c>
      <c r="O79" s="120"/>
      <c r="P79" s="120"/>
      <c r="U79" s="46" t="s">
        <v>42</v>
      </c>
      <c r="W79" s="190">
        <v>25.308004379272461</v>
      </c>
      <c r="X79" s="168">
        <f>1</f>
        <v>1</v>
      </c>
      <c r="Y79" s="169">
        <f t="shared" si="5"/>
        <v>25.308004379272461</v>
      </c>
      <c r="Z79" s="169">
        <f t="shared" si="4"/>
        <v>25.308004379272461</v>
      </c>
    </row>
    <row r="80" spans="1:27" x14ac:dyDescent="0.2">
      <c r="A80" s="78" t="s">
        <v>26</v>
      </c>
      <c r="B80" s="78" t="s">
        <v>265</v>
      </c>
      <c r="C80" s="79"/>
      <c r="D80" s="73"/>
      <c r="E80" s="97"/>
      <c r="F80" s="74"/>
      <c r="G80" s="74"/>
      <c r="H80" s="99"/>
      <c r="I80" s="120"/>
      <c r="J80" s="120"/>
      <c r="K80" s="120"/>
      <c r="L80" s="120"/>
      <c r="M80" s="120"/>
      <c r="N80" s="120"/>
      <c r="O80" s="120"/>
      <c r="P80" s="120" t="s">
        <v>266</v>
      </c>
      <c r="U80" s="46" t="s">
        <v>42</v>
      </c>
      <c r="W80" s="190"/>
      <c r="X80" s="168">
        <f>1</f>
        <v>1</v>
      </c>
      <c r="Y80" s="169" t="str">
        <f t="shared" si="5"/>
        <v/>
      </c>
      <c r="Z80" s="169" t="str">
        <f t="shared" si="4"/>
        <v/>
      </c>
    </row>
    <row r="81" spans="1:27" ht="32" x14ac:dyDescent="0.2">
      <c r="A81" s="78" t="s">
        <v>142</v>
      </c>
      <c r="B81" s="78" t="s">
        <v>267</v>
      </c>
      <c r="C81" s="79" t="s">
        <v>220</v>
      </c>
      <c r="D81" s="224" t="s">
        <v>221</v>
      </c>
      <c r="E81" s="97"/>
      <c r="F81" s="74"/>
      <c r="G81" s="74"/>
      <c r="H81" s="99"/>
      <c r="I81" s="120" t="s">
        <v>40</v>
      </c>
      <c r="J81" s="120"/>
      <c r="K81" s="120"/>
      <c r="L81" s="120"/>
      <c r="M81" s="120" t="s">
        <v>268</v>
      </c>
      <c r="N81" s="120"/>
      <c r="O81" s="120"/>
      <c r="P81" s="120"/>
      <c r="U81" s="46" t="s">
        <v>42</v>
      </c>
      <c r="W81" s="190">
        <v>0</v>
      </c>
      <c r="X81" s="168">
        <f>1</f>
        <v>1</v>
      </c>
      <c r="Y81" s="169">
        <f t="shared" si="5"/>
        <v>0</v>
      </c>
      <c r="Z81" s="169">
        <f t="shared" si="4"/>
        <v>0</v>
      </c>
    </row>
    <row r="82" spans="1:27" ht="32" x14ac:dyDescent="0.2">
      <c r="A82" s="78" t="s">
        <v>142</v>
      </c>
      <c r="B82" s="78" t="s">
        <v>269</v>
      </c>
      <c r="C82" s="79" t="s">
        <v>224</v>
      </c>
      <c r="D82" s="224" t="s">
        <v>225</v>
      </c>
      <c r="E82" s="97"/>
      <c r="F82" s="74"/>
      <c r="G82" s="74"/>
      <c r="H82" s="99"/>
      <c r="I82" s="120" t="s">
        <v>40</v>
      </c>
      <c r="J82" s="120"/>
      <c r="K82" s="120"/>
      <c r="L82" s="120"/>
      <c r="M82" s="120" t="s">
        <v>270</v>
      </c>
      <c r="N82" s="120"/>
      <c r="O82" s="120"/>
      <c r="P82" s="120"/>
      <c r="U82" s="46" t="s">
        <v>42</v>
      </c>
      <c r="W82" s="190">
        <v>0</v>
      </c>
      <c r="X82" s="168">
        <f>1</f>
        <v>1</v>
      </c>
      <c r="Y82" s="169">
        <f t="shared" si="5"/>
        <v>0</v>
      </c>
      <c r="Z82" s="169">
        <f t="shared" si="4"/>
        <v>0</v>
      </c>
    </row>
    <row r="83" spans="1:27" ht="32" x14ac:dyDescent="0.2">
      <c r="A83" s="78" t="s">
        <v>142</v>
      </c>
      <c r="B83" s="78" t="s">
        <v>271</v>
      </c>
      <c r="C83" s="79" t="s">
        <v>228</v>
      </c>
      <c r="D83" s="224" t="s">
        <v>229</v>
      </c>
      <c r="E83" s="97"/>
      <c r="F83" s="74"/>
      <c r="G83" s="74"/>
      <c r="H83" s="99"/>
      <c r="I83" s="120" t="s">
        <v>40</v>
      </c>
      <c r="J83" s="120"/>
      <c r="K83" s="120"/>
      <c r="L83" s="120"/>
      <c r="M83" s="120" t="s">
        <v>272</v>
      </c>
      <c r="N83" s="120"/>
      <c r="O83" s="120"/>
      <c r="P83" s="120"/>
      <c r="U83" s="46" t="s">
        <v>42</v>
      </c>
      <c r="W83" s="190">
        <v>0</v>
      </c>
      <c r="X83" s="168">
        <f>1</f>
        <v>1</v>
      </c>
      <c r="Y83" s="169">
        <f t="shared" si="5"/>
        <v>0</v>
      </c>
      <c r="Z83" s="169">
        <f t="shared" si="4"/>
        <v>0</v>
      </c>
    </row>
    <row r="84" spans="1:27" x14ac:dyDescent="0.2">
      <c r="E84" s="86"/>
      <c r="H84" s="87"/>
      <c r="U84" s="46" t="s">
        <v>68</v>
      </c>
      <c r="W84" s="190" t="s">
        <v>68</v>
      </c>
      <c r="X84" s="168">
        <f>1</f>
        <v>1</v>
      </c>
      <c r="Y84" s="169" t="str">
        <f t="shared" si="5"/>
        <v/>
      </c>
      <c r="Z84" s="169" t="str">
        <f t="shared" ref="Z84:Z117" si="8">IF(AND(W84&lt;&gt;"",U84="yes"),W84*X84,"")</f>
        <v/>
      </c>
    </row>
    <row r="85" spans="1:27" s="75" customFormat="1" ht="32" x14ac:dyDescent="0.2">
      <c r="A85" s="75" t="s">
        <v>231</v>
      </c>
      <c r="B85" s="75" t="s">
        <v>273</v>
      </c>
      <c r="C85" s="76" t="s">
        <v>274</v>
      </c>
      <c r="D85" s="226" t="s">
        <v>275</v>
      </c>
      <c r="E85" s="77"/>
      <c r="F85" s="75" t="s">
        <v>235</v>
      </c>
      <c r="G85" s="75" t="s">
        <v>276</v>
      </c>
      <c r="H85" s="81"/>
      <c r="I85" s="119" t="s">
        <v>40</v>
      </c>
      <c r="J85" s="119"/>
      <c r="K85" s="119" t="s">
        <v>237</v>
      </c>
      <c r="L85" s="119"/>
      <c r="M85" s="119" t="s">
        <v>277</v>
      </c>
      <c r="N85" s="119"/>
      <c r="O85" s="119"/>
      <c r="P85" s="119"/>
      <c r="U85" s="75" t="s">
        <v>52</v>
      </c>
      <c r="W85" s="190">
        <v>30.828470230102539</v>
      </c>
      <c r="X85" s="168">
        <f>1</f>
        <v>1</v>
      </c>
      <c r="Y85" s="169">
        <f t="shared" si="5"/>
        <v>30.828470230102539</v>
      </c>
      <c r="Z85" s="169" t="str">
        <f t="shared" si="8"/>
        <v/>
      </c>
      <c r="AA85" s="74"/>
    </row>
    <row r="86" spans="1:27" s="75" customFormat="1" x14ac:dyDescent="0.2">
      <c r="A86" s="75" t="s">
        <v>239</v>
      </c>
      <c r="B86" s="75" t="s">
        <v>278</v>
      </c>
      <c r="C86" s="75" t="s">
        <v>241</v>
      </c>
      <c r="D86" s="227" t="s">
        <v>242</v>
      </c>
      <c r="E86" s="77"/>
      <c r="F86" s="75" t="s">
        <v>279</v>
      </c>
      <c r="G86" s="75" t="s">
        <v>244</v>
      </c>
      <c r="H86" s="81"/>
      <c r="I86" s="119" t="s">
        <v>51</v>
      </c>
      <c r="J86" s="119"/>
      <c r="K86" s="119"/>
      <c r="L86" s="119"/>
      <c r="M86" s="119" t="s">
        <v>280</v>
      </c>
      <c r="N86" s="119"/>
      <c r="O86" s="119"/>
      <c r="P86" s="119"/>
      <c r="U86" s="75" t="s">
        <v>52</v>
      </c>
      <c r="W86" s="190">
        <v>2.2941176891326904</v>
      </c>
      <c r="X86" s="168">
        <f>1</f>
        <v>1</v>
      </c>
      <c r="Y86" s="169">
        <f t="shared" si="5"/>
        <v>2.2941176891326904</v>
      </c>
      <c r="Z86" s="169" t="str">
        <f t="shared" si="8"/>
        <v/>
      </c>
      <c r="AA86" s="74"/>
    </row>
    <row r="87" spans="1:27" s="75" customFormat="1" x14ac:dyDescent="0.2">
      <c r="C87" s="76"/>
      <c r="D87" s="76"/>
      <c r="E87" s="77"/>
      <c r="H87" s="81"/>
      <c r="I87" s="119"/>
      <c r="J87" s="119"/>
      <c r="K87" s="119"/>
      <c r="L87" s="119"/>
      <c r="M87" s="119"/>
      <c r="N87" s="119"/>
      <c r="O87" s="119"/>
      <c r="P87" s="119"/>
      <c r="U87" s="75" t="s">
        <v>68</v>
      </c>
      <c r="W87" s="190" t="s">
        <v>68</v>
      </c>
      <c r="X87" s="168">
        <f>1</f>
        <v>1</v>
      </c>
      <c r="Y87" s="169" t="str">
        <f t="shared" ref="Y87" si="9">IF(W87&lt;&gt;"",W87*X87,"")</f>
        <v/>
      </c>
      <c r="Z87" s="169" t="str">
        <f t="shared" ref="Z87" si="10">IF(AND(W87&lt;&gt;"",U87="yes"),W87*X87,"")</f>
        <v/>
      </c>
      <c r="AA87" s="74"/>
    </row>
    <row r="88" spans="1:27" s="75" customFormat="1" x14ac:dyDescent="0.2">
      <c r="A88" s="75" t="s">
        <v>246</v>
      </c>
      <c r="B88" s="75" t="s">
        <v>281</v>
      </c>
      <c r="C88" s="75" t="s">
        <v>248</v>
      </c>
      <c r="D88" s="75" t="s">
        <v>249</v>
      </c>
      <c r="E88" s="81"/>
      <c r="H88" s="81"/>
      <c r="I88" s="119" t="s">
        <v>40</v>
      </c>
      <c r="J88" s="119"/>
      <c r="K88" s="119"/>
      <c r="L88" s="119"/>
      <c r="M88" s="119" t="s">
        <v>277</v>
      </c>
      <c r="N88" s="119"/>
      <c r="O88" s="119"/>
      <c r="P88" s="119"/>
      <c r="U88" s="75" t="s">
        <v>52</v>
      </c>
      <c r="W88" s="190"/>
      <c r="X88" s="168"/>
      <c r="Y88" s="169"/>
      <c r="Z88" s="169"/>
      <c r="AA88" s="74"/>
    </row>
    <row r="89" spans="1:27" s="75" customFormat="1" x14ac:dyDescent="0.2">
      <c r="A89" s="75" t="s">
        <v>250</v>
      </c>
      <c r="B89" s="75" t="s">
        <v>282</v>
      </c>
      <c r="C89" s="75" t="s">
        <v>252</v>
      </c>
      <c r="D89" s="75" t="s">
        <v>253</v>
      </c>
      <c r="E89" s="81"/>
      <c r="H89" s="81"/>
      <c r="I89" s="119" t="s">
        <v>40</v>
      </c>
      <c r="J89" s="119"/>
      <c r="K89" s="119"/>
      <c r="L89" s="119"/>
      <c r="M89" s="119" t="s">
        <v>277</v>
      </c>
      <c r="N89" s="119"/>
      <c r="O89" s="119"/>
      <c r="P89" s="119"/>
      <c r="U89" s="75" t="s">
        <v>52</v>
      </c>
      <c r="W89" s="190"/>
      <c r="X89" s="168"/>
      <c r="Y89" s="169"/>
      <c r="Z89" s="169"/>
      <c r="AA89" s="74"/>
    </row>
    <row r="90" spans="1:27" s="75" customFormat="1" x14ac:dyDescent="0.2">
      <c r="C90" s="76"/>
      <c r="D90" s="76"/>
      <c r="E90" s="77"/>
      <c r="H90" s="81"/>
      <c r="I90" s="119"/>
      <c r="J90" s="119"/>
      <c r="K90" s="119"/>
      <c r="L90" s="119"/>
      <c r="M90" s="119"/>
      <c r="N90" s="119"/>
      <c r="O90" s="119"/>
      <c r="P90" s="119"/>
      <c r="U90" s="75" t="s">
        <v>68</v>
      </c>
      <c r="W90" s="190" t="s">
        <v>68</v>
      </c>
      <c r="X90" s="168">
        <f>1</f>
        <v>1</v>
      </c>
      <c r="Y90" s="169" t="str">
        <f t="shared" si="5"/>
        <v/>
      </c>
      <c r="Z90" s="169" t="str">
        <f t="shared" si="8"/>
        <v/>
      </c>
      <c r="AA90" s="74"/>
    </row>
    <row r="91" spans="1:27" ht="32" x14ac:dyDescent="0.2">
      <c r="A91" s="78" t="s">
        <v>254</v>
      </c>
      <c r="B91" s="78" t="s">
        <v>283</v>
      </c>
      <c r="C91" s="79" t="s">
        <v>284</v>
      </c>
      <c r="D91" s="224" t="s">
        <v>285</v>
      </c>
      <c r="E91" s="97"/>
      <c r="F91" s="78"/>
      <c r="G91" s="78"/>
      <c r="H91" s="99"/>
      <c r="I91" s="120" t="s">
        <v>40</v>
      </c>
      <c r="J91" s="120"/>
      <c r="K91" s="120"/>
      <c r="L91" s="120"/>
      <c r="M91" s="120" t="s">
        <v>277</v>
      </c>
      <c r="N91" s="120"/>
      <c r="O91" s="120"/>
      <c r="P91" s="120"/>
      <c r="U91" s="46" t="s">
        <v>42</v>
      </c>
      <c r="W91" s="190">
        <v>21.193256378173828</v>
      </c>
      <c r="X91" s="168">
        <f>1</f>
        <v>1</v>
      </c>
      <c r="Y91" s="169">
        <f t="shared" si="5"/>
        <v>21.193256378173828</v>
      </c>
      <c r="Z91" s="169">
        <f t="shared" si="8"/>
        <v>21.193256378173828</v>
      </c>
    </row>
    <row r="92" spans="1:27" x14ac:dyDescent="0.2">
      <c r="D92" s="228"/>
      <c r="E92" s="86"/>
      <c r="H92" s="87"/>
      <c r="M92" s="130"/>
      <c r="U92" s="46" t="s">
        <v>68</v>
      </c>
      <c r="W92" s="190" t="s">
        <v>68</v>
      </c>
      <c r="X92" s="168">
        <f>1</f>
        <v>1</v>
      </c>
      <c r="Y92" s="169" t="str">
        <f t="shared" si="5"/>
        <v/>
      </c>
      <c r="Z92" s="169" t="str">
        <f t="shared" si="8"/>
        <v/>
      </c>
    </row>
    <row r="93" spans="1:27" ht="32" x14ac:dyDescent="0.2">
      <c r="A93" s="78" t="s">
        <v>286</v>
      </c>
      <c r="B93" s="78" t="s">
        <v>287</v>
      </c>
      <c r="C93" s="78" t="s">
        <v>288</v>
      </c>
      <c r="D93" s="219" t="s">
        <v>289</v>
      </c>
      <c r="E93" s="99"/>
      <c r="F93" s="74" t="s">
        <v>262</v>
      </c>
      <c r="G93" s="74" t="s">
        <v>263</v>
      </c>
      <c r="H93" s="99"/>
      <c r="I93" s="120" t="s">
        <v>40</v>
      </c>
      <c r="J93" s="120" t="s">
        <v>216</v>
      </c>
      <c r="K93" s="120"/>
      <c r="L93" s="120"/>
      <c r="M93" s="120" t="s">
        <v>277</v>
      </c>
      <c r="N93" s="120" t="s">
        <v>290</v>
      </c>
      <c r="O93" s="120"/>
      <c r="P93" s="120"/>
      <c r="U93" s="46" t="s">
        <v>42</v>
      </c>
      <c r="W93" s="190">
        <v>20.229927062988281</v>
      </c>
      <c r="X93" s="168">
        <f>1</f>
        <v>1</v>
      </c>
      <c r="Y93" s="169">
        <f t="shared" si="5"/>
        <v>20.229927062988281</v>
      </c>
      <c r="Z93" s="169">
        <f t="shared" si="8"/>
        <v>20.229927062988281</v>
      </c>
    </row>
    <row r="94" spans="1:27" x14ac:dyDescent="0.2">
      <c r="A94" s="78" t="s">
        <v>26</v>
      </c>
      <c r="B94" s="78" t="s">
        <v>291</v>
      </c>
      <c r="C94" s="79"/>
      <c r="D94" s="73"/>
      <c r="E94" s="97"/>
      <c r="F94" s="74"/>
      <c r="G94" s="74"/>
      <c r="H94" s="99"/>
      <c r="I94" s="120"/>
      <c r="J94" s="120"/>
      <c r="K94" s="120"/>
      <c r="L94" s="120"/>
      <c r="M94" s="120"/>
      <c r="N94" s="120"/>
      <c r="O94" s="120"/>
      <c r="P94" s="120" t="s">
        <v>292</v>
      </c>
      <c r="U94" s="46" t="s">
        <v>42</v>
      </c>
      <c r="W94" s="190"/>
      <c r="X94" s="168">
        <f>1</f>
        <v>1</v>
      </c>
      <c r="Y94" s="169" t="str">
        <f t="shared" si="5"/>
        <v/>
      </c>
      <c r="Z94" s="169" t="str">
        <f t="shared" si="8"/>
        <v/>
      </c>
    </row>
    <row r="95" spans="1:27" ht="32" x14ac:dyDescent="0.2">
      <c r="A95" s="78" t="s">
        <v>142</v>
      </c>
      <c r="B95" s="78" t="s">
        <v>293</v>
      </c>
      <c r="C95" s="79" t="s">
        <v>220</v>
      </c>
      <c r="D95" s="224" t="s">
        <v>221</v>
      </c>
      <c r="E95" s="97"/>
      <c r="F95" s="74"/>
      <c r="G95" s="74"/>
      <c r="H95" s="99"/>
      <c r="I95" s="120" t="s">
        <v>40</v>
      </c>
      <c r="J95" s="120"/>
      <c r="K95" s="120"/>
      <c r="L95" s="120"/>
      <c r="M95" s="120" t="s">
        <v>294</v>
      </c>
      <c r="N95" s="120"/>
      <c r="O95" s="120"/>
      <c r="P95" s="120"/>
      <c r="U95" s="46" t="s">
        <v>42</v>
      </c>
      <c r="W95" s="190">
        <v>0</v>
      </c>
      <c r="X95" s="168">
        <f>1</f>
        <v>1</v>
      </c>
      <c r="Y95" s="169">
        <f t="shared" si="5"/>
        <v>0</v>
      </c>
      <c r="Z95" s="169">
        <f t="shared" si="8"/>
        <v>0</v>
      </c>
    </row>
    <row r="96" spans="1:27" ht="32" x14ac:dyDescent="0.2">
      <c r="A96" s="78" t="s">
        <v>142</v>
      </c>
      <c r="B96" s="78" t="s">
        <v>295</v>
      </c>
      <c r="C96" s="79" t="s">
        <v>224</v>
      </c>
      <c r="D96" s="224" t="s">
        <v>225</v>
      </c>
      <c r="E96" s="97"/>
      <c r="F96" s="74"/>
      <c r="G96" s="74"/>
      <c r="H96" s="99"/>
      <c r="I96" s="120" t="s">
        <v>40</v>
      </c>
      <c r="J96" s="120"/>
      <c r="K96" s="120"/>
      <c r="L96" s="120"/>
      <c r="M96" s="120" t="s">
        <v>296</v>
      </c>
      <c r="N96" s="120"/>
      <c r="O96" s="120"/>
      <c r="P96" s="120"/>
      <c r="U96" s="46" t="s">
        <v>42</v>
      </c>
      <c r="W96" s="190">
        <v>0</v>
      </c>
      <c r="X96" s="168">
        <f>1</f>
        <v>1</v>
      </c>
      <c r="Y96" s="169">
        <f t="shared" si="5"/>
        <v>0</v>
      </c>
      <c r="Z96" s="169">
        <f t="shared" si="8"/>
        <v>0</v>
      </c>
    </row>
    <row r="97" spans="1:27" ht="32" x14ac:dyDescent="0.2">
      <c r="A97" s="78" t="s">
        <v>142</v>
      </c>
      <c r="B97" s="78" t="s">
        <v>297</v>
      </c>
      <c r="C97" s="79" t="s">
        <v>228</v>
      </c>
      <c r="D97" s="224" t="s">
        <v>229</v>
      </c>
      <c r="E97" s="97"/>
      <c r="F97" s="74"/>
      <c r="G97" s="74"/>
      <c r="H97" s="99"/>
      <c r="I97" s="120" t="s">
        <v>40</v>
      </c>
      <c r="J97" s="120"/>
      <c r="K97" s="120"/>
      <c r="L97" s="120"/>
      <c r="M97" s="120" t="s">
        <v>298</v>
      </c>
      <c r="N97" s="120"/>
      <c r="O97" s="120"/>
      <c r="P97" s="120"/>
      <c r="U97" s="46" t="s">
        <v>42</v>
      </c>
      <c r="W97" s="190">
        <v>0</v>
      </c>
      <c r="X97" s="168">
        <f>1</f>
        <v>1</v>
      </c>
      <c r="Y97" s="169">
        <f t="shared" si="5"/>
        <v>0</v>
      </c>
      <c r="Z97" s="169">
        <f t="shared" si="8"/>
        <v>0</v>
      </c>
    </row>
    <row r="98" spans="1:27" x14ac:dyDescent="0.2">
      <c r="E98" s="86"/>
      <c r="H98" s="87"/>
      <c r="U98" s="46" t="s">
        <v>68</v>
      </c>
      <c r="W98" s="190" t="s">
        <v>68</v>
      </c>
      <c r="X98" s="168">
        <f>1</f>
        <v>1</v>
      </c>
      <c r="Y98" s="169" t="str">
        <f t="shared" si="5"/>
        <v/>
      </c>
      <c r="Z98" s="169" t="str">
        <f t="shared" si="8"/>
        <v/>
      </c>
    </row>
    <row r="99" spans="1:27" s="75" customFormat="1" ht="32" x14ac:dyDescent="0.2">
      <c r="A99" s="75" t="s">
        <v>231</v>
      </c>
      <c r="B99" s="75" t="s">
        <v>299</v>
      </c>
      <c r="C99" s="76" t="s">
        <v>300</v>
      </c>
      <c r="D99" s="226" t="s">
        <v>301</v>
      </c>
      <c r="E99" s="77"/>
      <c r="F99" s="75" t="s">
        <v>235</v>
      </c>
      <c r="G99" s="75" t="s">
        <v>276</v>
      </c>
      <c r="H99" s="81"/>
      <c r="I99" s="119" t="s">
        <v>40</v>
      </c>
      <c r="J99" s="119"/>
      <c r="K99" s="119" t="s">
        <v>237</v>
      </c>
      <c r="L99" s="119"/>
      <c r="M99" s="119" t="s">
        <v>302</v>
      </c>
      <c r="N99" s="119"/>
      <c r="O99" s="119"/>
      <c r="P99" s="119"/>
      <c r="U99" s="75" t="s">
        <v>52</v>
      </c>
      <c r="W99" s="190">
        <v>29.429832458496094</v>
      </c>
      <c r="X99" s="168">
        <f>1</f>
        <v>1</v>
      </c>
      <c r="Y99" s="169">
        <f t="shared" si="5"/>
        <v>29.429832458496094</v>
      </c>
      <c r="Z99" s="169" t="str">
        <f t="shared" si="8"/>
        <v/>
      </c>
      <c r="AA99" s="74"/>
    </row>
    <row r="100" spans="1:27" s="75" customFormat="1" x14ac:dyDescent="0.2">
      <c r="A100" s="75" t="s">
        <v>239</v>
      </c>
      <c r="B100" s="75" t="s">
        <v>303</v>
      </c>
      <c r="C100" s="75" t="s">
        <v>241</v>
      </c>
      <c r="D100" s="227" t="s">
        <v>242</v>
      </c>
      <c r="E100" s="77"/>
      <c r="F100" s="75" t="s">
        <v>279</v>
      </c>
      <c r="G100" s="75" t="s">
        <v>244</v>
      </c>
      <c r="H100" s="103"/>
      <c r="I100" s="119" t="s">
        <v>51</v>
      </c>
      <c r="J100" s="119"/>
      <c r="K100" s="119"/>
      <c r="L100" s="119"/>
      <c r="M100" s="133" t="s">
        <v>304</v>
      </c>
      <c r="N100" s="119"/>
      <c r="O100" s="119"/>
      <c r="P100" s="119"/>
      <c r="U100" s="75" t="s">
        <v>52</v>
      </c>
      <c r="W100" s="190">
        <v>1.5555555820465088</v>
      </c>
      <c r="X100" s="168">
        <f>1</f>
        <v>1</v>
      </c>
      <c r="Y100" s="169">
        <f t="shared" si="5"/>
        <v>1.5555555820465088</v>
      </c>
      <c r="Z100" s="169" t="str">
        <f t="shared" si="8"/>
        <v/>
      </c>
      <c r="AA100" s="74"/>
    </row>
    <row r="101" spans="1:27" s="75" customFormat="1" x14ac:dyDescent="0.2">
      <c r="C101" s="76"/>
      <c r="D101" s="76"/>
      <c r="E101" s="77"/>
      <c r="H101" s="81"/>
      <c r="I101" s="119"/>
      <c r="J101" s="119"/>
      <c r="K101" s="119"/>
      <c r="L101" s="119"/>
      <c r="M101" s="119"/>
      <c r="N101" s="119"/>
      <c r="O101" s="119"/>
      <c r="P101" s="119"/>
      <c r="U101" s="75" t="s">
        <v>68</v>
      </c>
      <c r="W101" s="190" t="s">
        <v>68</v>
      </c>
      <c r="X101" s="168">
        <f>1</f>
        <v>1</v>
      </c>
      <c r="Y101" s="169" t="str">
        <f t="shared" si="5"/>
        <v/>
      </c>
      <c r="Z101" s="169" t="str">
        <f t="shared" si="8"/>
        <v/>
      </c>
      <c r="AA101" s="74"/>
    </row>
    <row r="102" spans="1:27" s="75" customFormat="1" x14ac:dyDescent="0.2">
      <c r="A102" s="75" t="s">
        <v>246</v>
      </c>
      <c r="B102" s="75" t="s">
        <v>305</v>
      </c>
      <c r="C102" s="75" t="s">
        <v>248</v>
      </c>
      <c r="D102" s="75" t="s">
        <v>249</v>
      </c>
      <c r="E102" s="81"/>
      <c r="H102" s="81"/>
      <c r="I102" s="119" t="s">
        <v>40</v>
      </c>
      <c r="J102" s="119"/>
      <c r="K102" s="119"/>
      <c r="L102" s="119"/>
      <c r="M102" s="119" t="s">
        <v>302</v>
      </c>
      <c r="N102" s="119"/>
      <c r="O102" s="119"/>
      <c r="P102" s="119"/>
      <c r="U102" s="75" t="s">
        <v>52</v>
      </c>
      <c r="W102" s="190"/>
      <c r="X102" s="168"/>
      <c r="Y102" s="169"/>
      <c r="Z102" s="169"/>
      <c r="AA102" s="74"/>
    </row>
    <row r="103" spans="1:27" s="75" customFormat="1" x14ac:dyDescent="0.2">
      <c r="A103" s="75" t="s">
        <v>250</v>
      </c>
      <c r="B103" s="75" t="s">
        <v>306</v>
      </c>
      <c r="C103" s="75" t="s">
        <v>252</v>
      </c>
      <c r="D103" s="75" t="s">
        <v>253</v>
      </c>
      <c r="E103" s="81"/>
      <c r="H103" s="81"/>
      <c r="I103" s="119" t="s">
        <v>40</v>
      </c>
      <c r="J103" s="119"/>
      <c r="K103" s="119"/>
      <c r="L103" s="119"/>
      <c r="M103" s="119" t="s">
        <v>302</v>
      </c>
      <c r="N103" s="119"/>
      <c r="O103" s="119"/>
      <c r="P103" s="119"/>
      <c r="U103" s="75" t="s">
        <v>52</v>
      </c>
      <c r="W103" s="190"/>
      <c r="X103" s="168"/>
      <c r="Y103" s="169"/>
      <c r="Z103" s="169"/>
      <c r="AA103" s="74"/>
    </row>
    <row r="104" spans="1:27" s="75" customFormat="1" x14ac:dyDescent="0.2">
      <c r="C104" s="76"/>
      <c r="D104" s="76"/>
      <c r="E104" s="77"/>
      <c r="H104" s="103"/>
      <c r="I104" s="119"/>
      <c r="J104" s="119"/>
      <c r="K104" s="119"/>
      <c r="L104" s="119"/>
      <c r="M104" s="133"/>
      <c r="N104" s="119"/>
      <c r="O104" s="119"/>
      <c r="P104" s="119"/>
      <c r="U104" s="75" t="s">
        <v>68</v>
      </c>
      <c r="W104" s="190" t="s">
        <v>68</v>
      </c>
      <c r="X104" s="168">
        <f>1</f>
        <v>1</v>
      </c>
      <c r="Y104" s="169" t="str">
        <f t="shared" si="5"/>
        <v/>
      </c>
      <c r="Z104" s="169" t="str">
        <f t="shared" si="8"/>
        <v/>
      </c>
      <c r="AA104" s="74"/>
    </row>
    <row r="105" spans="1:27" ht="32" x14ac:dyDescent="0.2">
      <c r="A105" s="78" t="s">
        <v>254</v>
      </c>
      <c r="B105" s="78" t="s">
        <v>307</v>
      </c>
      <c r="C105" s="79" t="s">
        <v>308</v>
      </c>
      <c r="D105" s="224" t="s">
        <v>309</v>
      </c>
      <c r="E105" s="97"/>
      <c r="F105" s="78"/>
      <c r="G105" s="78"/>
      <c r="H105" s="99"/>
      <c r="I105" s="120" t="s">
        <v>40</v>
      </c>
      <c r="J105" s="120"/>
      <c r="K105" s="120"/>
      <c r="L105" s="120"/>
      <c r="M105" s="120" t="s">
        <v>302</v>
      </c>
      <c r="N105" s="120"/>
      <c r="O105" s="120"/>
      <c r="P105" s="120"/>
      <c r="U105" s="46" t="s">
        <v>42</v>
      </c>
      <c r="W105" s="190">
        <v>16.348396301269531</v>
      </c>
      <c r="X105" s="168">
        <f>1</f>
        <v>1</v>
      </c>
      <c r="Y105" s="169">
        <f t="shared" si="5"/>
        <v>16.348396301269531</v>
      </c>
      <c r="Z105" s="169">
        <f t="shared" si="8"/>
        <v>16.348396301269531</v>
      </c>
    </row>
    <row r="106" spans="1:27" s="75" customFormat="1" x14ac:dyDescent="0.2">
      <c r="C106" s="76"/>
      <c r="D106" s="76"/>
      <c r="E106" s="77"/>
      <c r="H106" s="81"/>
      <c r="I106" s="119"/>
      <c r="J106" s="119"/>
      <c r="K106" s="119"/>
      <c r="L106" s="119"/>
      <c r="M106" s="119"/>
      <c r="N106" s="119"/>
      <c r="O106" s="119"/>
      <c r="P106" s="119"/>
      <c r="U106" s="75" t="s">
        <v>68</v>
      </c>
      <c r="W106" s="190" t="s">
        <v>68</v>
      </c>
      <c r="X106" s="168">
        <f>1</f>
        <v>1</v>
      </c>
      <c r="Y106" s="169" t="str">
        <f t="shared" si="5"/>
        <v/>
      </c>
      <c r="Z106" s="169" t="str">
        <f t="shared" si="8"/>
        <v/>
      </c>
      <c r="AA106" s="74"/>
    </row>
    <row r="107" spans="1:27" ht="64" x14ac:dyDescent="0.2">
      <c r="A107" s="78" t="s">
        <v>310</v>
      </c>
      <c r="B107" s="78" t="s">
        <v>311</v>
      </c>
      <c r="C107" s="79" t="s">
        <v>312</v>
      </c>
      <c r="D107" s="224" t="s">
        <v>313</v>
      </c>
      <c r="E107" s="97"/>
      <c r="F107" s="78" t="s">
        <v>314</v>
      </c>
      <c r="G107" s="78" t="s">
        <v>315</v>
      </c>
      <c r="H107" s="99"/>
      <c r="I107" s="120" t="s">
        <v>40</v>
      </c>
      <c r="J107" s="120"/>
      <c r="K107" s="120" t="s">
        <v>316</v>
      </c>
      <c r="L107" s="120"/>
      <c r="M107" s="120"/>
      <c r="N107" s="120"/>
      <c r="O107" s="120"/>
      <c r="P107" s="120"/>
      <c r="U107" s="46" t="s">
        <v>42</v>
      </c>
      <c r="W107" s="190">
        <v>46.247528076171875</v>
      </c>
      <c r="X107" s="168">
        <f>1</f>
        <v>1</v>
      </c>
      <c r="Y107" s="169">
        <f t="shared" si="5"/>
        <v>46.247528076171875</v>
      </c>
      <c r="Z107" s="169">
        <f t="shared" si="8"/>
        <v>46.247528076171875</v>
      </c>
    </row>
    <row r="108" spans="1:27" x14ac:dyDescent="0.2">
      <c r="D108" s="46"/>
      <c r="E108" s="86"/>
      <c r="H108" s="87"/>
      <c r="U108" s="46" t="s">
        <v>68</v>
      </c>
      <c r="W108" s="190" t="s">
        <v>68</v>
      </c>
      <c r="X108" s="168">
        <f>1</f>
        <v>1</v>
      </c>
      <c r="Y108" s="169" t="str">
        <f t="shared" si="5"/>
        <v/>
      </c>
      <c r="Z108" s="169" t="str">
        <f t="shared" si="8"/>
        <v/>
      </c>
    </row>
    <row r="109" spans="1:27" s="75" customFormat="1" ht="64" x14ac:dyDescent="0.2">
      <c r="A109" s="75" t="s">
        <v>73</v>
      </c>
      <c r="B109" s="75" t="s">
        <v>317</v>
      </c>
      <c r="C109" s="76" t="s">
        <v>318</v>
      </c>
      <c r="D109" s="76" t="s">
        <v>319</v>
      </c>
      <c r="E109" s="77"/>
      <c r="F109" s="75" t="s">
        <v>320</v>
      </c>
      <c r="G109" s="75" t="s">
        <v>321</v>
      </c>
      <c r="H109" s="81"/>
      <c r="I109" s="119" t="s">
        <v>51</v>
      </c>
      <c r="J109" s="119"/>
      <c r="K109" s="125"/>
      <c r="L109" s="119"/>
      <c r="M109" s="119" t="s">
        <v>322</v>
      </c>
      <c r="N109" s="119"/>
      <c r="O109" s="119"/>
      <c r="P109" s="119"/>
      <c r="U109" s="75" t="s">
        <v>52</v>
      </c>
      <c r="W109" s="190">
        <v>26.118782043457031</v>
      </c>
      <c r="X109" s="168">
        <f>1</f>
        <v>1</v>
      </c>
      <c r="Y109" s="169">
        <f t="shared" si="5"/>
        <v>26.118782043457031</v>
      </c>
      <c r="Z109" s="169" t="str">
        <f t="shared" si="8"/>
        <v/>
      </c>
      <c r="AA109" s="74"/>
    </row>
    <row r="110" spans="1:27" x14ac:dyDescent="0.2">
      <c r="D110" s="46"/>
      <c r="E110" s="86"/>
      <c r="H110" s="87"/>
      <c r="M110" s="130"/>
      <c r="U110" s="46" t="s">
        <v>68</v>
      </c>
      <c r="W110" s="190" t="s">
        <v>68</v>
      </c>
      <c r="X110" s="168">
        <f>1</f>
        <v>1</v>
      </c>
      <c r="Y110" s="169" t="str">
        <f t="shared" si="5"/>
        <v/>
      </c>
      <c r="Z110" s="169" t="str">
        <f t="shared" si="8"/>
        <v/>
      </c>
    </row>
    <row r="111" spans="1:27" s="75" customFormat="1" ht="48" x14ac:dyDescent="0.2">
      <c r="A111" s="75" t="s">
        <v>323</v>
      </c>
      <c r="B111" s="75" t="s">
        <v>324</v>
      </c>
      <c r="C111" s="76" t="s">
        <v>325</v>
      </c>
      <c r="D111" s="229" t="s">
        <v>326</v>
      </c>
      <c r="E111" s="77"/>
      <c r="F111" s="75" t="s">
        <v>327</v>
      </c>
      <c r="G111" s="75" t="s">
        <v>328</v>
      </c>
      <c r="H111" s="81"/>
      <c r="I111" s="119" t="s">
        <v>40</v>
      </c>
      <c r="J111" s="119"/>
      <c r="K111" s="119" t="s">
        <v>194</v>
      </c>
      <c r="L111" s="119"/>
      <c r="M111" s="119"/>
      <c r="N111" s="119"/>
      <c r="O111" s="119"/>
      <c r="P111" s="119"/>
      <c r="U111" s="75" t="s">
        <v>52</v>
      </c>
      <c r="W111" s="194">
        <v>56.471023559570312</v>
      </c>
      <c r="X111" s="206">
        <f>1</f>
        <v>1</v>
      </c>
      <c r="Y111" s="173">
        <f t="shared" si="5"/>
        <v>56.471023559570312</v>
      </c>
      <c r="Z111" s="173" t="str">
        <f t="shared" si="8"/>
        <v/>
      </c>
    </row>
    <row r="112" spans="1:27" s="75" customFormat="1" ht="16" x14ac:dyDescent="0.2">
      <c r="A112" s="75" t="s">
        <v>73</v>
      </c>
      <c r="B112" s="75" t="s">
        <v>329</v>
      </c>
      <c r="C112" s="76" t="s">
        <v>330</v>
      </c>
      <c r="D112" s="76" t="s">
        <v>331</v>
      </c>
      <c r="E112" s="77"/>
      <c r="F112" s="75" t="s">
        <v>332</v>
      </c>
      <c r="G112" s="75" t="s">
        <v>333</v>
      </c>
      <c r="H112" s="81"/>
      <c r="I112" s="119" t="s">
        <v>40</v>
      </c>
      <c r="J112" s="119"/>
      <c r="K112" s="119"/>
      <c r="L112" s="119"/>
      <c r="M112" s="119" t="s">
        <v>334</v>
      </c>
      <c r="N112" s="119"/>
      <c r="O112" s="119"/>
      <c r="P112" s="119"/>
      <c r="U112" s="75" t="s">
        <v>52</v>
      </c>
      <c r="W112" s="194"/>
      <c r="X112" s="206">
        <f>1</f>
        <v>1</v>
      </c>
      <c r="Y112" s="173" t="str">
        <f t="shared" si="5"/>
        <v/>
      </c>
      <c r="Z112" s="173" t="str">
        <f t="shared" si="8"/>
        <v/>
      </c>
    </row>
    <row r="113" spans="1:27" s="75" customFormat="1" x14ac:dyDescent="0.2">
      <c r="C113" s="76"/>
      <c r="D113" s="76"/>
      <c r="E113" s="77"/>
      <c r="H113" s="81"/>
      <c r="I113" s="119"/>
      <c r="J113" s="119"/>
      <c r="K113" s="125"/>
      <c r="L113" s="119"/>
      <c r="M113" s="119"/>
      <c r="N113" s="119"/>
      <c r="O113" s="119"/>
      <c r="P113" s="119"/>
      <c r="U113" s="75" t="s">
        <v>68</v>
      </c>
      <c r="W113" s="190" t="s">
        <v>68</v>
      </c>
      <c r="X113" s="168">
        <f>1</f>
        <v>1</v>
      </c>
      <c r="Y113" s="169" t="str">
        <f t="shared" si="5"/>
        <v/>
      </c>
      <c r="Z113" s="169" t="str">
        <f t="shared" si="8"/>
        <v/>
      </c>
      <c r="AA113" s="74"/>
    </row>
    <row r="114" spans="1:27" ht="16" thickBot="1" x14ac:dyDescent="0.25">
      <c r="A114" s="95" t="s">
        <v>148</v>
      </c>
      <c r="B114" s="95"/>
      <c r="C114" s="96"/>
      <c r="D114" s="96"/>
      <c r="E114" s="90"/>
      <c r="F114" s="95"/>
      <c r="G114" s="95"/>
      <c r="H114" s="91"/>
      <c r="I114" s="129"/>
      <c r="J114" s="129"/>
      <c r="K114" s="129"/>
      <c r="L114" s="129"/>
      <c r="M114" s="129"/>
      <c r="N114" s="129"/>
      <c r="O114" s="129"/>
      <c r="P114" s="129"/>
      <c r="U114" s="46" t="s">
        <v>68</v>
      </c>
      <c r="W114" s="190" t="s">
        <v>68</v>
      </c>
      <c r="X114" s="74"/>
      <c r="Y114" s="169" t="str">
        <f t="shared" si="5"/>
        <v/>
      </c>
      <c r="Z114" s="169" t="str">
        <f t="shared" si="8"/>
        <v/>
      </c>
    </row>
    <row r="115" spans="1:27" s="71" customFormat="1" ht="17" thickTop="1" x14ac:dyDescent="0.2">
      <c r="A115" s="68" t="s">
        <v>69</v>
      </c>
      <c r="B115" s="68" t="s">
        <v>335</v>
      </c>
      <c r="C115" s="92" t="s">
        <v>336</v>
      </c>
      <c r="D115" s="230" t="s">
        <v>337</v>
      </c>
      <c r="E115" s="69"/>
      <c r="F115" s="68"/>
      <c r="G115" s="68"/>
      <c r="H115" s="70"/>
      <c r="I115" s="123" t="s">
        <v>51</v>
      </c>
      <c r="J115" s="123"/>
      <c r="K115" s="123"/>
      <c r="L115" s="123"/>
      <c r="M115" s="123" t="s">
        <v>338</v>
      </c>
      <c r="N115" s="123"/>
      <c r="O115" s="123"/>
      <c r="P115" s="123"/>
      <c r="U115" s="46" t="s">
        <v>42</v>
      </c>
      <c r="W115" s="190"/>
      <c r="X115" s="72"/>
      <c r="Y115" s="169" t="str">
        <f t="shared" si="5"/>
        <v/>
      </c>
      <c r="Z115" s="169" t="str">
        <f t="shared" si="8"/>
        <v/>
      </c>
      <c r="AA115" s="72"/>
    </row>
    <row r="116" spans="1:27" s="47" customFormat="1" ht="64" customHeight="1" x14ac:dyDescent="0.2">
      <c r="A116" s="45" t="s">
        <v>45</v>
      </c>
      <c r="B116" s="45" t="s">
        <v>339</v>
      </c>
      <c r="C116" s="45" t="s">
        <v>340</v>
      </c>
      <c r="D116" s="224" t="s">
        <v>341</v>
      </c>
      <c r="E116" s="86"/>
      <c r="F116" s="45"/>
      <c r="G116" s="45"/>
      <c r="H116" s="86"/>
      <c r="I116" s="44"/>
      <c r="J116" s="44"/>
      <c r="K116" s="44"/>
      <c r="L116" s="44"/>
      <c r="M116" s="44"/>
      <c r="N116" s="44"/>
      <c r="O116" s="44"/>
      <c r="P116" s="44"/>
      <c r="U116" s="47" t="s">
        <v>42</v>
      </c>
      <c r="W116" s="193">
        <v>7.5</v>
      </c>
      <c r="X116" s="171">
        <f>'Additional information'!$D$18</f>
        <v>0.91</v>
      </c>
      <c r="Y116" s="170">
        <f t="shared" si="5"/>
        <v>6.8250000000000002</v>
      </c>
      <c r="Z116" s="170">
        <f t="shared" si="8"/>
        <v>6.8250000000000002</v>
      </c>
      <c r="AA116" s="48"/>
    </row>
    <row r="117" spans="1:27" x14ac:dyDescent="0.2">
      <c r="D117" s="228"/>
      <c r="E117" s="86"/>
      <c r="H117" s="87"/>
      <c r="U117" s="46" t="s">
        <v>68</v>
      </c>
      <c r="W117" s="190" t="s">
        <v>68</v>
      </c>
      <c r="X117" s="168">
        <f>'Additional information'!$D$18</f>
        <v>0.91</v>
      </c>
      <c r="Y117" s="169" t="str">
        <f t="shared" si="5"/>
        <v/>
      </c>
      <c r="Z117" s="169" t="str">
        <f t="shared" si="8"/>
        <v/>
      </c>
    </row>
    <row r="118" spans="1:27" s="74" customFormat="1" ht="16" x14ac:dyDescent="0.2">
      <c r="A118" s="78" t="s">
        <v>231</v>
      </c>
      <c r="B118" s="78" t="s">
        <v>342</v>
      </c>
      <c r="C118" s="79" t="s">
        <v>343</v>
      </c>
      <c r="D118" s="219" t="s">
        <v>344</v>
      </c>
      <c r="E118" s="97"/>
      <c r="F118" s="78" t="s">
        <v>345</v>
      </c>
      <c r="G118" s="78" t="s">
        <v>346</v>
      </c>
      <c r="H118" s="99"/>
      <c r="I118" s="120" t="s">
        <v>40</v>
      </c>
      <c r="J118" s="120"/>
      <c r="K118" s="120" t="s">
        <v>347</v>
      </c>
      <c r="L118" s="120"/>
      <c r="M118" s="120"/>
      <c r="N118" s="120"/>
      <c r="O118" s="120"/>
      <c r="P118" s="120"/>
      <c r="U118" s="74" t="s">
        <v>42</v>
      </c>
      <c r="W118" s="190">
        <v>17</v>
      </c>
      <c r="X118" s="168">
        <f>'Additional information'!$D$18</f>
        <v>0.91</v>
      </c>
      <c r="Y118" s="169">
        <f t="shared" si="5"/>
        <v>15.47</v>
      </c>
      <c r="Z118" s="169">
        <f t="shared" ref="Z118:Z148" si="11">IF(AND(W118&lt;&gt;"",U118="yes"),W118*X118,"")</f>
        <v>15.47</v>
      </c>
    </row>
    <row r="119" spans="1:27" s="74" customFormat="1" ht="16" x14ac:dyDescent="0.2">
      <c r="A119" s="78" t="s">
        <v>348</v>
      </c>
      <c r="B119" s="78" t="s">
        <v>349</v>
      </c>
      <c r="C119" s="79" t="s">
        <v>350</v>
      </c>
      <c r="D119" s="224" t="s">
        <v>351</v>
      </c>
      <c r="E119" s="97"/>
      <c r="F119" s="78" t="s">
        <v>352</v>
      </c>
      <c r="G119" s="233" t="s">
        <v>353</v>
      </c>
      <c r="H119" s="99"/>
      <c r="I119" s="120" t="s">
        <v>40</v>
      </c>
      <c r="J119" s="120"/>
      <c r="K119" s="120"/>
      <c r="L119" s="120"/>
      <c r="M119" s="120" t="s">
        <v>354</v>
      </c>
      <c r="N119" s="120"/>
      <c r="O119" s="120"/>
      <c r="P119" s="120"/>
      <c r="U119" s="74" t="s">
        <v>42</v>
      </c>
      <c r="W119" s="190">
        <v>0</v>
      </c>
      <c r="X119" s="168">
        <f>'Additional information'!$D$18</f>
        <v>0.91</v>
      </c>
      <c r="Y119" s="169">
        <f t="shared" si="5"/>
        <v>0</v>
      </c>
      <c r="Z119" s="169">
        <f t="shared" si="11"/>
        <v>0</v>
      </c>
    </row>
    <row r="120" spans="1:27" s="71" customFormat="1" x14ac:dyDescent="0.2">
      <c r="C120" s="93"/>
      <c r="E120" s="69"/>
      <c r="H120" s="70"/>
      <c r="I120" s="124"/>
      <c r="J120" s="124"/>
      <c r="K120" s="124"/>
      <c r="L120" s="124"/>
      <c r="M120" s="124"/>
      <c r="N120" s="124"/>
      <c r="O120" s="124"/>
      <c r="P120" s="124"/>
      <c r="U120" s="46" t="s">
        <v>68</v>
      </c>
      <c r="W120" s="190" t="s">
        <v>68</v>
      </c>
      <c r="X120" s="168">
        <f>'Additional information'!$D$18</f>
        <v>0.91</v>
      </c>
      <c r="Y120" s="169" t="str">
        <f t="shared" si="5"/>
        <v/>
      </c>
      <c r="Z120" s="169" t="str">
        <f t="shared" si="11"/>
        <v/>
      </c>
      <c r="AA120" s="72"/>
    </row>
    <row r="121" spans="1:27" ht="32" x14ac:dyDescent="0.2">
      <c r="A121" s="73" t="s">
        <v>355</v>
      </c>
      <c r="B121" s="73" t="s">
        <v>356</v>
      </c>
      <c r="C121" s="45" t="s">
        <v>357</v>
      </c>
      <c r="D121" s="219" t="s">
        <v>358</v>
      </c>
      <c r="E121" s="86"/>
      <c r="F121" s="73" t="s">
        <v>359</v>
      </c>
      <c r="G121" s="73" t="s">
        <v>360</v>
      </c>
      <c r="H121" s="87"/>
      <c r="I121" s="118" t="s">
        <v>40</v>
      </c>
      <c r="J121" s="118" t="s">
        <v>126</v>
      </c>
      <c r="K121" s="118"/>
      <c r="L121" s="118"/>
      <c r="M121" s="118"/>
      <c r="N121" s="118"/>
      <c r="O121" s="118"/>
      <c r="P121" s="118"/>
      <c r="U121" s="46" t="s">
        <v>42</v>
      </c>
      <c r="W121" s="190">
        <v>27.057552337646484</v>
      </c>
      <c r="X121" s="168">
        <f>'Additional information'!$D$18</f>
        <v>0.91</v>
      </c>
      <c r="Y121" s="169">
        <f t="shared" si="5"/>
        <v>24.622372627258301</v>
      </c>
      <c r="Z121" s="169">
        <f t="shared" si="11"/>
        <v>24.622372627258301</v>
      </c>
    </row>
    <row r="122" spans="1:27" x14ac:dyDescent="0.2">
      <c r="A122" s="73" t="s">
        <v>26</v>
      </c>
      <c r="B122" s="73" t="s">
        <v>361</v>
      </c>
      <c r="C122" s="45"/>
      <c r="D122" s="73"/>
      <c r="E122" s="86"/>
      <c r="H122" s="87"/>
      <c r="I122" s="118"/>
      <c r="J122" s="118"/>
      <c r="K122" s="118"/>
      <c r="L122" s="118"/>
      <c r="M122" s="118"/>
      <c r="N122" s="118"/>
      <c r="O122" s="118"/>
      <c r="P122" s="118" t="s">
        <v>362</v>
      </c>
      <c r="U122" s="46" t="s">
        <v>42</v>
      </c>
      <c r="W122" s="190"/>
      <c r="X122" s="168">
        <f>'Additional information'!$D$18</f>
        <v>0.91</v>
      </c>
      <c r="Y122" s="169" t="str">
        <f t="shared" si="5"/>
        <v/>
      </c>
      <c r="Z122" s="169" t="str">
        <f t="shared" si="11"/>
        <v/>
      </c>
    </row>
    <row r="123" spans="1:27" ht="16" x14ac:dyDescent="0.2">
      <c r="A123" s="73" t="s">
        <v>363</v>
      </c>
      <c r="B123" s="73" t="s">
        <v>364</v>
      </c>
      <c r="C123" s="45" t="s">
        <v>365</v>
      </c>
      <c r="D123" s="224" t="s">
        <v>366</v>
      </c>
      <c r="E123" s="86"/>
      <c r="H123" s="87"/>
      <c r="I123" s="118" t="s">
        <v>40</v>
      </c>
      <c r="J123" s="118"/>
      <c r="K123" s="118"/>
      <c r="L123" s="118"/>
      <c r="M123" s="118" t="s">
        <v>367</v>
      </c>
      <c r="N123" s="118"/>
      <c r="O123" s="118"/>
      <c r="P123" s="118"/>
      <c r="U123" s="46" t="s">
        <v>42</v>
      </c>
      <c r="W123" s="190">
        <v>0</v>
      </c>
      <c r="X123" s="168">
        <f>'Additional information'!$D$18</f>
        <v>0.91</v>
      </c>
      <c r="Y123" s="169">
        <f t="shared" si="5"/>
        <v>0</v>
      </c>
      <c r="Z123" s="169">
        <f t="shared" si="11"/>
        <v>0</v>
      </c>
    </row>
    <row r="124" spans="1:27" s="74" customFormat="1" x14ac:dyDescent="0.2">
      <c r="C124" s="48"/>
      <c r="D124" s="228"/>
      <c r="E124" s="97"/>
      <c r="H124" s="99"/>
      <c r="I124" s="130"/>
      <c r="J124" s="130"/>
      <c r="K124" s="130"/>
      <c r="L124" s="130"/>
      <c r="M124" s="130"/>
      <c r="N124" s="130"/>
      <c r="O124" s="130"/>
      <c r="P124" s="130"/>
      <c r="U124" s="74" t="s">
        <v>68</v>
      </c>
      <c r="W124" s="190" t="s">
        <v>68</v>
      </c>
      <c r="X124" s="168">
        <f>'Additional information'!$D$18</f>
        <v>0.91</v>
      </c>
      <c r="Y124" s="169" t="str">
        <f t="shared" si="5"/>
        <v/>
      </c>
      <c r="Z124" s="169" t="str">
        <f t="shared" si="11"/>
        <v/>
      </c>
    </row>
    <row r="125" spans="1:27" ht="31.75" customHeight="1" x14ac:dyDescent="0.2">
      <c r="A125" s="73" t="s">
        <v>368</v>
      </c>
      <c r="B125" s="73" t="s">
        <v>369</v>
      </c>
      <c r="C125" s="73" t="s">
        <v>370</v>
      </c>
      <c r="D125" s="219" t="s">
        <v>371</v>
      </c>
      <c r="E125" s="87"/>
      <c r="H125" s="87"/>
      <c r="I125" s="118" t="s">
        <v>40</v>
      </c>
      <c r="J125" s="118"/>
      <c r="K125" s="118"/>
      <c r="L125" s="118"/>
      <c r="M125" s="118" t="s">
        <v>372</v>
      </c>
      <c r="N125" s="118"/>
      <c r="O125" s="118"/>
      <c r="P125" s="118"/>
      <c r="U125" s="46" t="s">
        <v>42</v>
      </c>
      <c r="W125" s="190">
        <v>15.95429515838623</v>
      </c>
      <c r="X125" s="168">
        <f>'Additional information'!$D$18</f>
        <v>0.91</v>
      </c>
      <c r="Y125" s="169">
        <f t="shared" si="5"/>
        <v>14.51840859413147</v>
      </c>
      <c r="Z125" s="169">
        <f t="shared" si="11"/>
        <v>14.51840859413147</v>
      </c>
    </row>
    <row r="126" spans="1:27" ht="15.75" customHeight="1" x14ac:dyDescent="0.2">
      <c r="A126" s="73" t="s">
        <v>73</v>
      </c>
      <c r="B126" s="73" t="s">
        <v>373</v>
      </c>
      <c r="C126" s="79" t="s">
        <v>330</v>
      </c>
      <c r="D126" s="45" t="s">
        <v>331</v>
      </c>
      <c r="E126" s="97"/>
      <c r="F126" s="74" t="s">
        <v>332</v>
      </c>
      <c r="G126" s="74" t="s">
        <v>333</v>
      </c>
      <c r="H126" s="87"/>
      <c r="I126" s="118" t="s">
        <v>40</v>
      </c>
      <c r="J126" s="118"/>
      <c r="K126" s="118"/>
      <c r="L126" s="118"/>
      <c r="M126" s="118" t="s">
        <v>374</v>
      </c>
      <c r="N126" s="118"/>
      <c r="O126" s="118"/>
      <c r="P126" s="118"/>
      <c r="U126" s="46" t="s">
        <v>42</v>
      </c>
      <c r="W126" s="190"/>
      <c r="X126" s="168">
        <f>'Additional information'!$D$18</f>
        <v>0.91</v>
      </c>
      <c r="Y126" s="169" t="str">
        <f t="shared" si="5"/>
        <v/>
      </c>
      <c r="Z126" s="169" t="str">
        <f t="shared" si="11"/>
        <v/>
      </c>
    </row>
    <row r="127" spans="1:27" s="75" customFormat="1" ht="15.75" customHeight="1" x14ac:dyDescent="0.2">
      <c r="C127" s="76"/>
      <c r="E127" s="77"/>
      <c r="H127" s="81"/>
      <c r="I127" s="119"/>
      <c r="J127" s="119"/>
      <c r="K127" s="119"/>
      <c r="L127" s="119"/>
      <c r="M127" s="119"/>
      <c r="N127" s="119"/>
      <c r="O127" s="119"/>
      <c r="P127" s="119"/>
      <c r="U127" s="75" t="s">
        <v>68</v>
      </c>
      <c r="W127" s="190" t="s">
        <v>68</v>
      </c>
      <c r="X127" s="168">
        <f>'Additional information'!$D$18</f>
        <v>0.91</v>
      </c>
      <c r="Y127" s="169" t="str">
        <f t="shared" si="5"/>
        <v/>
      </c>
      <c r="Z127" s="169" t="str">
        <f t="shared" si="11"/>
        <v/>
      </c>
      <c r="AA127" s="74"/>
    </row>
    <row r="128" spans="1:27" s="75" customFormat="1" ht="15.75" customHeight="1" x14ac:dyDescent="0.2">
      <c r="A128" s="75" t="s">
        <v>375</v>
      </c>
      <c r="B128" s="75" t="s">
        <v>376</v>
      </c>
      <c r="C128" s="76" t="s">
        <v>377</v>
      </c>
      <c r="D128" s="75" t="s">
        <v>378</v>
      </c>
      <c r="E128" s="77"/>
      <c r="H128" s="81"/>
      <c r="I128" s="119"/>
      <c r="J128" s="119"/>
      <c r="K128" s="119"/>
      <c r="L128" s="119"/>
      <c r="M128" s="119" t="s">
        <v>379</v>
      </c>
      <c r="N128" s="119"/>
      <c r="O128" s="119"/>
      <c r="P128" s="119"/>
      <c r="U128" s="75" t="s">
        <v>52</v>
      </c>
      <c r="W128" s="190"/>
      <c r="X128" s="168"/>
      <c r="Y128" s="169"/>
      <c r="Z128" s="169"/>
      <c r="AA128" s="74"/>
    </row>
    <row r="129" spans="1:27" s="75" customFormat="1" ht="15.75" customHeight="1" x14ac:dyDescent="0.2">
      <c r="A129" s="75" t="s">
        <v>142</v>
      </c>
      <c r="B129" s="75" t="s">
        <v>380</v>
      </c>
      <c r="C129" s="76" t="s">
        <v>381</v>
      </c>
      <c r="D129" s="75" t="s">
        <v>382</v>
      </c>
      <c r="E129" s="77"/>
      <c r="H129" s="81"/>
      <c r="I129" s="119"/>
      <c r="J129" s="119"/>
      <c r="K129" s="119"/>
      <c r="L129" s="119"/>
      <c r="M129" s="119" t="s">
        <v>379</v>
      </c>
      <c r="N129" s="119"/>
      <c r="O129" s="119"/>
      <c r="P129" s="119"/>
      <c r="U129" s="75" t="s">
        <v>52</v>
      </c>
      <c r="W129" s="190"/>
      <c r="X129" s="168"/>
      <c r="Y129" s="169"/>
      <c r="Z129" s="169"/>
      <c r="AA129" s="74"/>
    </row>
    <row r="130" spans="1:27" s="75" customFormat="1" ht="16" x14ac:dyDescent="0.2">
      <c r="A130" s="75" t="s">
        <v>383</v>
      </c>
      <c r="B130" s="75" t="s">
        <v>384</v>
      </c>
      <c r="C130" s="76" t="s">
        <v>385</v>
      </c>
      <c r="D130" s="232" t="s">
        <v>386</v>
      </c>
      <c r="E130" s="77"/>
      <c r="F130" s="75" t="s">
        <v>327</v>
      </c>
      <c r="G130" s="75" t="s">
        <v>328</v>
      </c>
      <c r="H130" s="81"/>
      <c r="I130" s="119" t="s">
        <v>40</v>
      </c>
      <c r="J130" s="119"/>
      <c r="K130" s="119" t="s">
        <v>387</v>
      </c>
      <c r="L130" s="119"/>
      <c r="M130" s="119" t="s">
        <v>372</v>
      </c>
      <c r="N130" s="119"/>
      <c r="O130" s="119"/>
      <c r="P130" s="119"/>
      <c r="U130" s="75" t="s">
        <v>52</v>
      </c>
      <c r="W130" s="190">
        <v>17.928909301757812</v>
      </c>
      <c r="X130" s="168">
        <f>'Additional information'!$D$18</f>
        <v>0.91</v>
      </c>
      <c r="Y130" s="169">
        <f t="shared" si="5"/>
        <v>16.315307464599609</v>
      </c>
      <c r="Z130" s="169" t="str">
        <f t="shared" si="11"/>
        <v/>
      </c>
      <c r="AA130" s="74"/>
    </row>
    <row r="131" spans="1:27" s="75" customFormat="1" x14ac:dyDescent="0.2">
      <c r="C131" s="76"/>
      <c r="E131" s="77"/>
      <c r="G131" s="46"/>
      <c r="H131" s="81"/>
      <c r="I131" s="119"/>
      <c r="J131" s="119"/>
      <c r="K131" s="119"/>
      <c r="L131" s="119"/>
      <c r="M131" s="119"/>
      <c r="N131" s="119"/>
      <c r="O131" s="119"/>
      <c r="P131" s="119"/>
      <c r="U131" s="75" t="s">
        <v>68</v>
      </c>
      <c r="W131" s="190" t="s">
        <v>68</v>
      </c>
      <c r="X131" s="168">
        <f>'Additional information'!$D$18</f>
        <v>0.91</v>
      </c>
      <c r="Y131" s="169" t="str">
        <f t="shared" si="5"/>
        <v/>
      </c>
      <c r="Z131" s="169" t="str">
        <f t="shared" si="11"/>
        <v/>
      </c>
      <c r="AA131" s="74"/>
    </row>
    <row r="132" spans="1:27" ht="32" x14ac:dyDescent="0.2">
      <c r="A132" s="73" t="s">
        <v>254</v>
      </c>
      <c r="B132" s="73" t="s">
        <v>388</v>
      </c>
      <c r="C132" s="45" t="s">
        <v>389</v>
      </c>
      <c r="D132" s="219" t="s">
        <v>390</v>
      </c>
      <c r="E132" s="86"/>
      <c r="F132" s="73"/>
      <c r="G132" s="73"/>
      <c r="H132" s="87"/>
      <c r="I132" s="118" t="s">
        <v>40</v>
      </c>
      <c r="J132" s="118"/>
      <c r="K132" s="118"/>
      <c r="L132" s="118"/>
      <c r="M132" s="120" t="s">
        <v>372</v>
      </c>
      <c r="N132" s="118"/>
      <c r="O132" s="118"/>
      <c r="P132" s="118"/>
      <c r="U132" s="46" t="s">
        <v>42</v>
      </c>
      <c r="W132" s="190">
        <v>25.436874389648438</v>
      </c>
      <c r="X132" s="168">
        <f>'Additional information'!$D$18</f>
        <v>0.91</v>
      </c>
      <c r="Y132" s="169">
        <f t="shared" si="5"/>
        <v>23.147555694580078</v>
      </c>
      <c r="Z132" s="169">
        <f t="shared" si="11"/>
        <v>23.147555694580078</v>
      </c>
    </row>
    <row r="133" spans="1:27" x14ac:dyDescent="0.2">
      <c r="D133" s="228"/>
      <c r="E133" s="86"/>
      <c r="H133" s="87"/>
      <c r="M133" s="130"/>
      <c r="U133" s="46" t="s">
        <v>68</v>
      </c>
      <c r="W133" s="190" t="s">
        <v>68</v>
      </c>
      <c r="X133" s="168">
        <f>'Additional information'!$D$18</f>
        <v>0.91</v>
      </c>
      <c r="Y133" s="169" t="str">
        <f t="shared" si="5"/>
        <v/>
      </c>
      <c r="Z133" s="169" t="str">
        <f t="shared" si="11"/>
        <v/>
      </c>
    </row>
    <row r="134" spans="1:27" ht="32" x14ac:dyDescent="0.2">
      <c r="A134" s="73" t="s">
        <v>254</v>
      </c>
      <c r="B134" s="73" t="s">
        <v>391</v>
      </c>
      <c r="C134" s="45" t="s">
        <v>392</v>
      </c>
      <c r="D134" s="219" t="s">
        <v>393</v>
      </c>
      <c r="E134" s="86"/>
      <c r="G134" s="75"/>
      <c r="H134" s="87"/>
      <c r="I134" s="118" t="s">
        <v>40</v>
      </c>
      <c r="J134" s="118"/>
      <c r="K134" s="118"/>
      <c r="L134" s="118"/>
      <c r="M134" s="120" t="s">
        <v>372</v>
      </c>
      <c r="N134" s="118"/>
      <c r="O134" s="118"/>
      <c r="P134" s="118"/>
      <c r="U134" s="46" t="s">
        <v>42</v>
      </c>
      <c r="W134" s="190">
        <v>19.364946365356445</v>
      </c>
      <c r="X134" s="168">
        <f>'Additional information'!$D$18</f>
        <v>0.91</v>
      </c>
      <c r="Y134" s="169">
        <f t="shared" si="5"/>
        <v>17.622101192474364</v>
      </c>
      <c r="Z134" s="169">
        <f t="shared" si="11"/>
        <v>17.622101192474364</v>
      </c>
    </row>
    <row r="135" spans="1:27" s="75" customFormat="1" ht="16" x14ac:dyDescent="0.2">
      <c r="A135" s="75" t="s">
        <v>231</v>
      </c>
      <c r="B135" s="75" t="s">
        <v>394</v>
      </c>
      <c r="C135" s="76" t="s">
        <v>395</v>
      </c>
      <c r="D135" s="221" t="s">
        <v>396</v>
      </c>
      <c r="E135" s="77"/>
      <c r="F135" s="75" t="s">
        <v>397</v>
      </c>
      <c r="G135" s="75" t="s">
        <v>398</v>
      </c>
      <c r="H135" s="81"/>
      <c r="I135" s="119" t="s">
        <v>40</v>
      </c>
      <c r="J135" s="130"/>
      <c r="K135" s="133" t="s">
        <v>347</v>
      </c>
      <c r="L135" s="119"/>
      <c r="M135" s="119" t="s">
        <v>372</v>
      </c>
      <c r="N135" s="119"/>
      <c r="O135" s="119"/>
      <c r="P135" s="119"/>
      <c r="U135" s="75" t="s">
        <v>52</v>
      </c>
      <c r="W135" s="190">
        <v>17</v>
      </c>
      <c r="X135" s="168">
        <f>'Additional information'!$D$18</f>
        <v>0.91</v>
      </c>
      <c r="Y135" s="169">
        <f t="shared" si="5"/>
        <v>15.47</v>
      </c>
      <c r="Z135" s="169" t="str">
        <f t="shared" si="11"/>
        <v/>
      </c>
      <c r="AA135" s="74"/>
    </row>
    <row r="136" spans="1:27" s="75" customFormat="1" ht="16" x14ac:dyDescent="0.2">
      <c r="A136" s="75" t="s">
        <v>399</v>
      </c>
      <c r="B136" s="75" t="s">
        <v>400</v>
      </c>
      <c r="C136" s="76" t="s">
        <v>401</v>
      </c>
      <c r="D136" s="229" t="s">
        <v>402</v>
      </c>
      <c r="E136" s="77"/>
      <c r="H136" s="81"/>
      <c r="I136" s="119" t="s">
        <v>40</v>
      </c>
      <c r="J136" s="130"/>
      <c r="K136" s="119"/>
      <c r="L136" s="119"/>
      <c r="M136" s="119" t="s">
        <v>403</v>
      </c>
      <c r="N136" s="119"/>
      <c r="O136" s="119"/>
      <c r="P136" s="119"/>
      <c r="U136" s="75" t="s">
        <v>52</v>
      </c>
      <c r="W136" s="190">
        <v>17</v>
      </c>
      <c r="X136" s="168">
        <f>'Additional information'!$D$18</f>
        <v>0.91</v>
      </c>
      <c r="Y136" s="169">
        <f t="shared" si="5"/>
        <v>15.47</v>
      </c>
      <c r="Z136" s="169" t="str">
        <f t="shared" si="11"/>
        <v/>
      </c>
      <c r="AA136" s="74"/>
    </row>
    <row r="137" spans="1:27" s="75" customFormat="1" x14ac:dyDescent="0.2">
      <c r="A137" s="75" t="s">
        <v>26</v>
      </c>
      <c r="B137" s="75" t="s">
        <v>404</v>
      </c>
      <c r="C137" s="76"/>
      <c r="E137" s="77"/>
      <c r="H137" s="81"/>
      <c r="I137" s="119"/>
      <c r="J137" s="119"/>
      <c r="K137" s="119"/>
      <c r="L137" s="119"/>
      <c r="M137" s="119"/>
      <c r="N137" s="119"/>
      <c r="O137" s="119"/>
      <c r="P137" s="119" t="s">
        <v>405</v>
      </c>
      <c r="U137" s="75" t="s">
        <v>52</v>
      </c>
      <c r="W137" s="190"/>
      <c r="X137" s="168">
        <f>'Additional information'!$D$18</f>
        <v>0.91</v>
      </c>
      <c r="Y137" s="169" t="str">
        <f t="shared" si="5"/>
        <v/>
      </c>
      <c r="Z137" s="169" t="str">
        <f t="shared" si="11"/>
        <v/>
      </c>
      <c r="AA137" s="74"/>
    </row>
    <row r="138" spans="1:27" s="75" customFormat="1" ht="16" x14ac:dyDescent="0.2">
      <c r="A138" s="75" t="s">
        <v>231</v>
      </c>
      <c r="B138" s="75" t="s">
        <v>406</v>
      </c>
      <c r="C138" s="76" t="s">
        <v>407</v>
      </c>
      <c r="D138" s="229" t="s">
        <v>408</v>
      </c>
      <c r="E138" s="77"/>
      <c r="F138" s="75" t="s">
        <v>409</v>
      </c>
      <c r="G138" s="75" t="s">
        <v>410</v>
      </c>
      <c r="H138" s="81"/>
      <c r="I138" s="119" t="s">
        <v>40</v>
      </c>
      <c r="J138" s="130"/>
      <c r="K138" s="119"/>
      <c r="L138" s="119"/>
      <c r="M138" s="119" t="s">
        <v>411</v>
      </c>
      <c r="N138" s="119"/>
      <c r="O138" s="119"/>
      <c r="P138" s="119"/>
      <c r="U138" s="75" t="s">
        <v>52</v>
      </c>
      <c r="W138" s="190">
        <v>17</v>
      </c>
      <c r="X138" s="168">
        <f>'Additional information'!$D$18</f>
        <v>0.91</v>
      </c>
      <c r="Y138" s="169">
        <f t="shared" ref="Y138:Y206" si="12">IF(W138&lt;&gt;"",W138*X138,"")</f>
        <v>15.47</v>
      </c>
      <c r="Z138" s="169" t="str">
        <f t="shared" si="11"/>
        <v/>
      </c>
      <c r="AA138" s="74"/>
    </row>
    <row r="139" spans="1:27" s="75" customFormat="1" ht="32" x14ac:dyDescent="0.2">
      <c r="A139" s="75" t="s">
        <v>83</v>
      </c>
      <c r="B139" s="75" t="s">
        <v>412</v>
      </c>
      <c r="C139" s="76" t="s">
        <v>413</v>
      </c>
      <c r="D139" s="225" t="s">
        <v>414</v>
      </c>
      <c r="E139" s="77"/>
      <c r="F139" s="75" t="s">
        <v>409</v>
      </c>
      <c r="G139" s="75" t="s">
        <v>415</v>
      </c>
      <c r="H139" s="81"/>
      <c r="I139" s="119" t="s">
        <v>40</v>
      </c>
      <c r="J139" s="130"/>
      <c r="K139" s="133" t="s">
        <v>347</v>
      </c>
      <c r="L139" s="119"/>
      <c r="M139" s="119" t="s">
        <v>416</v>
      </c>
      <c r="N139" s="119"/>
      <c r="O139" s="119"/>
      <c r="P139" s="119"/>
      <c r="U139" s="75" t="s">
        <v>52</v>
      </c>
      <c r="W139" s="190">
        <v>17</v>
      </c>
      <c r="X139" s="168">
        <f>'Additional information'!$D$18</f>
        <v>0.91</v>
      </c>
      <c r="Y139" s="169">
        <f t="shared" si="12"/>
        <v>15.47</v>
      </c>
      <c r="Z139" s="169" t="str">
        <f t="shared" si="11"/>
        <v/>
      </c>
      <c r="AA139" s="74"/>
    </row>
    <row r="140" spans="1:27" s="75" customFormat="1" x14ac:dyDescent="0.2">
      <c r="C140" s="76"/>
      <c r="E140" s="77"/>
      <c r="G140" s="46"/>
      <c r="H140" s="81"/>
      <c r="I140" s="119"/>
      <c r="J140" s="119"/>
      <c r="K140" s="119"/>
      <c r="L140" s="119"/>
      <c r="M140" s="119"/>
      <c r="N140" s="119"/>
      <c r="O140" s="119"/>
      <c r="P140" s="119"/>
      <c r="U140" s="75" t="s">
        <v>68</v>
      </c>
      <c r="W140" s="190" t="s">
        <v>68</v>
      </c>
      <c r="X140" s="168">
        <f>'Additional information'!$D$18</f>
        <v>0.91</v>
      </c>
      <c r="Y140" s="169" t="str">
        <f t="shared" si="12"/>
        <v/>
      </c>
      <c r="Z140" s="169" t="str">
        <f t="shared" si="11"/>
        <v/>
      </c>
      <c r="AA140" s="74"/>
    </row>
    <row r="141" spans="1:27" ht="32" x14ac:dyDescent="0.2">
      <c r="A141" s="73" t="s">
        <v>142</v>
      </c>
      <c r="B141" s="73" t="s">
        <v>417</v>
      </c>
      <c r="C141" s="45" t="s">
        <v>418</v>
      </c>
      <c r="D141" s="219" t="s">
        <v>419</v>
      </c>
      <c r="E141" s="86"/>
      <c r="H141" s="87"/>
      <c r="I141" s="118" t="s">
        <v>40</v>
      </c>
      <c r="J141" s="118"/>
      <c r="K141" s="118"/>
      <c r="L141" s="118"/>
      <c r="M141" s="120" t="s">
        <v>420</v>
      </c>
      <c r="N141" s="118"/>
      <c r="O141" s="118"/>
      <c r="P141" s="118"/>
      <c r="U141" s="46" t="s">
        <v>42</v>
      </c>
      <c r="W141" s="190">
        <v>13.458864212036133</v>
      </c>
      <c r="X141" s="168">
        <f>'Additional information'!$D$18</f>
        <v>0.91</v>
      </c>
      <c r="Y141" s="169">
        <f t="shared" si="12"/>
        <v>12.247566432952881</v>
      </c>
      <c r="Z141" s="169">
        <f t="shared" si="11"/>
        <v>12.247566432952881</v>
      </c>
    </row>
    <row r="142" spans="1:27" ht="32" x14ac:dyDescent="0.2">
      <c r="A142" s="73" t="s">
        <v>421</v>
      </c>
      <c r="B142" s="73" t="s">
        <v>422</v>
      </c>
      <c r="C142" s="45" t="s">
        <v>423</v>
      </c>
      <c r="D142" s="219" t="s">
        <v>424</v>
      </c>
      <c r="E142" s="86"/>
      <c r="F142" s="46" t="s">
        <v>425</v>
      </c>
      <c r="G142" s="46" t="s">
        <v>426</v>
      </c>
      <c r="H142" s="87"/>
      <c r="I142" s="118" t="s">
        <v>40</v>
      </c>
      <c r="J142" s="118"/>
      <c r="K142" s="120" t="s">
        <v>387</v>
      </c>
      <c r="L142" s="118"/>
      <c r="M142" s="120" t="s">
        <v>427</v>
      </c>
      <c r="N142" s="118"/>
      <c r="O142" s="118"/>
      <c r="P142" s="118"/>
      <c r="U142" s="46" t="s">
        <v>42</v>
      </c>
      <c r="W142" s="190">
        <v>37.523288726806641</v>
      </c>
      <c r="X142" s="168">
        <f>'Additional information'!$D$18</f>
        <v>0.91</v>
      </c>
      <c r="Y142" s="169">
        <f t="shared" si="12"/>
        <v>34.146192741394046</v>
      </c>
      <c r="Z142" s="169">
        <f t="shared" si="11"/>
        <v>34.146192741394046</v>
      </c>
    </row>
    <row r="143" spans="1:27" x14ac:dyDescent="0.2">
      <c r="D143" s="46"/>
      <c r="E143" s="86"/>
      <c r="G143" s="75"/>
      <c r="H143" s="87"/>
      <c r="M143" s="130"/>
      <c r="U143" s="46" t="s">
        <v>68</v>
      </c>
      <c r="W143" s="190" t="s">
        <v>68</v>
      </c>
      <c r="X143" s="168">
        <f>'Additional information'!$D$18</f>
        <v>0.91</v>
      </c>
      <c r="Y143" s="169" t="str">
        <f t="shared" si="12"/>
        <v/>
      </c>
      <c r="Z143" s="169" t="str">
        <f t="shared" si="11"/>
        <v/>
      </c>
    </row>
    <row r="144" spans="1:27" s="75" customFormat="1" ht="32" x14ac:dyDescent="0.2">
      <c r="A144" s="75" t="s">
        <v>428</v>
      </c>
      <c r="B144" s="75" t="s">
        <v>429</v>
      </c>
      <c r="C144" s="76" t="s">
        <v>430</v>
      </c>
      <c r="D144" s="231" t="s">
        <v>431</v>
      </c>
      <c r="E144" s="77"/>
      <c r="H144" s="81"/>
      <c r="I144" s="119" t="s">
        <v>40</v>
      </c>
      <c r="J144" s="119"/>
      <c r="K144" s="119"/>
      <c r="L144" s="119"/>
      <c r="M144" s="119" t="s">
        <v>432</v>
      </c>
      <c r="N144" s="119"/>
      <c r="O144" s="119"/>
      <c r="P144" s="119"/>
      <c r="U144" s="75" t="s">
        <v>52</v>
      </c>
      <c r="W144" s="190">
        <v>17</v>
      </c>
      <c r="X144" s="168">
        <f>'Additional information'!$D$18</f>
        <v>0.91</v>
      </c>
      <c r="Y144" s="169">
        <f t="shared" si="12"/>
        <v>15.47</v>
      </c>
      <c r="Z144" s="169" t="str">
        <f t="shared" si="11"/>
        <v/>
      </c>
      <c r="AA144" s="74"/>
    </row>
    <row r="145" spans="1:27" s="75" customFormat="1" ht="16" x14ac:dyDescent="0.2">
      <c r="A145" s="75" t="s">
        <v>433</v>
      </c>
      <c r="B145" s="75" t="s">
        <v>434</v>
      </c>
      <c r="C145" s="76" t="s">
        <v>435</v>
      </c>
      <c r="D145" s="229" t="s">
        <v>436</v>
      </c>
      <c r="E145" s="77"/>
      <c r="F145" s="75" t="s">
        <v>437</v>
      </c>
      <c r="G145" s="75" t="s">
        <v>438</v>
      </c>
      <c r="H145" s="81"/>
      <c r="I145" s="119" t="s">
        <v>40</v>
      </c>
      <c r="J145" s="119" t="s">
        <v>126</v>
      </c>
      <c r="K145" s="119" t="s">
        <v>439</v>
      </c>
      <c r="L145" s="119"/>
      <c r="M145" s="119" t="s">
        <v>432</v>
      </c>
      <c r="N145" s="119" t="s">
        <v>440</v>
      </c>
      <c r="O145" s="125"/>
      <c r="P145" s="125"/>
      <c r="Q145" s="46"/>
      <c r="U145" s="75" t="s">
        <v>52</v>
      </c>
      <c r="W145" s="190">
        <v>17</v>
      </c>
      <c r="X145" s="168">
        <f>'Additional information'!$D$18</f>
        <v>0.91</v>
      </c>
      <c r="Y145" s="169">
        <f t="shared" si="12"/>
        <v>15.47</v>
      </c>
      <c r="Z145" s="169" t="str">
        <f t="shared" si="11"/>
        <v/>
      </c>
      <c r="AA145" s="74"/>
    </row>
    <row r="146" spans="1:27" x14ac:dyDescent="0.2">
      <c r="E146" s="86"/>
      <c r="H146" s="87"/>
      <c r="M146" s="130"/>
      <c r="W146" s="190" t="s">
        <v>68</v>
      </c>
      <c r="X146" s="168">
        <f>'Additional information'!$D$18</f>
        <v>0.91</v>
      </c>
      <c r="Y146" s="169" t="str">
        <f t="shared" si="12"/>
        <v/>
      </c>
      <c r="Z146" s="169" t="str">
        <f t="shared" si="11"/>
        <v/>
      </c>
    </row>
    <row r="147" spans="1:27" ht="16" thickBot="1" x14ac:dyDescent="0.25">
      <c r="A147" s="100" t="s">
        <v>148</v>
      </c>
      <c r="B147" s="100"/>
      <c r="C147" s="101"/>
      <c r="D147" s="101"/>
      <c r="E147" s="110"/>
      <c r="F147" s="234"/>
      <c r="G147" s="234"/>
      <c r="H147" s="111"/>
      <c r="I147" s="131"/>
      <c r="J147" s="131"/>
      <c r="K147" s="131"/>
      <c r="L147" s="131"/>
      <c r="M147" s="131"/>
      <c r="N147" s="131"/>
      <c r="O147" s="131"/>
      <c r="P147" s="131"/>
      <c r="W147" s="190" t="s">
        <v>68</v>
      </c>
      <c r="Y147" s="169" t="str">
        <f t="shared" si="12"/>
        <v/>
      </c>
      <c r="Z147" s="169" t="str">
        <f t="shared" si="11"/>
        <v/>
      </c>
    </row>
    <row r="148" spans="1:27" s="71" customFormat="1" ht="17" thickTop="1" x14ac:dyDescent="0.2">
      <c r="A148" s="68" t="s">
        <v>69</v>
      </c>
      <c r="B148" s="68" t="s">
        <v>441</v>
      </c>
      <c r="C148" s="92" t="s">
        <v>442</v>
      </c>
      <c r="D148" s="230" t="s">
        <v>443</v>
      </c>
      <c r="E148" s="69"/>
      <c r="F148" s="68"/>
      <c r="G148" s="68"/>
      <c r="H148" s="70"/>
      <c r="I148" s="123" t="s">
        <v>51</v>
      </c>
      <c r="J148" s="123"/>
      <c r="K148" s="123"/>
      <c r="L148" s="123"/>
      <c r="M148" s="123" t="s">
        <v>444</v>
      </c>
      <c r="N148" s="123"/>
      <c r="O148" s="123"/>
      <c r="P148" s="123"/>
      <c r="U148" s="46" t="s">
        <v>42</v>
      </c>
      <c r="W148" s="190"/>
      <c r="X148" s="168"/>
      <c r="Y148" s="169" t="str">
        <f t="shared" si="12"/>
        <v/>
      </c>
      <c r="Z148" s="169" t="str">
        <f t="shared" si="11"/>
        <v/>
      </c>
      <c r="AA148" s="72"/>
    </row>
    <row r="149" spans="1:27" x14ac:dyDescent="0.2">
      <c r="E149" s="86"/>
      <c r="H149" s="87"/>
      <c r="W149" s="190"/>
      <c r="X149" s="168">
        <f>'Additional information'!$D$18</f>
        <v>0.91</v>
      </c>
      <c r="Y149" s="169"/>
      <c r="Z149" s="169"/>
    </row>
    <row r="150" spans="1:27" ht="32" x14ac:dyDescent="0.2">
      <c r="A150" s="73" t="s">
        <v>142</v>
      </c>
      <c r="B150" s="73" t="s">
        <v>445</v>
      </c>
      <c r="C150" s="79" t="s">
        <v>446</v>
      </c>
      <c r="D150" s="45" t="s">
        <v>447</v>
      </c>
      <c r="E150" s="86"/>
      <c r="H150" s="87"/>
      <c r="I150" s="120" t="s">
        <v>40</v>
      </c>
      <c r="K150" s="120"/>
      <c r="L150" s="120"/>
      <c r="M150" s="120"/>
      <c r="N150" s="78"/>
      <c r="O150" s="120"/>
      <c r="P150" s="120"/>
      <c r="U150" s="46" t="s">
        <v>42</v>
      </c>
      <c r="W150" s="190">
        <v>13.55</v>
      </c>
      <c r="X150" s="168">
        <f>'Additional information'!$D$18</f>
        <v>0.91</v>
      </c>
      <c r="Y150" s="169">
        <f t="shared" si="12"/>
        <v>12.330500000000001</v>
      </c>
      <c r="Z150" s="169"/>
    </row>
    <row r="151" spans="1:27" ht="16" x14ac:dyDescent="0.2">
      <c r="A151" s="73" t="s">
        <v>448</v>
      </c>
      <c r="B151" s="73" t="s">
        <v>449</v>
      </c>
      <c r="C151" s="45" t="s">
        <v>450</v>
      </c>
      <c r="D151" s="45" t="s">
        <v>451</v>
      </c>
      <c r="E151" s="86"/>
      <c r="H151" s="87"/>
      <c r="I151" s="120" t="s">
        <v>40</v>
      </c>
      <c r="J151" s="293" t="s">
        <v>126</v>
      </c>
      <c r="K151" s="120"/>
      <c r="L151" s="120"/>
      <c r="M151" s="120" t="s">
        <v>452</v>
      </c>
      <c r="N151" s="120" t="s">
        <v>440</v>
      </c>
      <c r="O151" s="120"/>
      <c r="P151" s="120"/>
      <c r="U151" s="46" t="s">
        <v>42</v>
      </c>
      <c r="W151" s="190">
        <v>13.55</v>
      </c>
      <c r="X151" s="168">
        <f>'Additional information'!$D$18</f>
        <v>0.91</v>
      </c>
      <c r="Y151" s="169">
        <f t="shared" si="12"/>
        <v>12.330500000000001</v>
      </c>
      <c r="Z151" s="169"/>
    </row>
    <row r="152" spans="1:27" x14ac:dyDescent="0.2">
      <c r="A152" s="73" t="s">
        <v>26</v>
      </c>
      <c r="B152" s="73" t="s">
        <v>453</v>
      </c>
      <c r="C152" s="45"/>
      <c r="D152" s="45"/>
      <c r="E152" s="86"/>
      <c r="H152" s="87"/>
      <c r="I152" s="120"/>
      <c r="J152" s="120"/>
      <c r="K152" s="120"/>
      <c r="L152" s="120"/>
      <c r="M152" s="120"/>
      <c r="N152" s="120"/>
      <c r="O152" s="120"/>
      <c r="P152" s="120" t="s">
        <v>454</v>
      </c>
      <c r="U152" s="46" t="s">
        <v>42</v>
      </c>
      <c r="W152" s="190"/>
      <c r="X152" s="168">
        <f>'Additional information'!$D$18</f>
        <v>0.91</v>
      </c>
      <c r="Y152" s="169"/>
      <c r="Z152" s="169"/>
    </row>
    <row r="153" spans="1:27" x14ac:dyDescent="0.2">
      <c r="A153" s="73" t="s">
        <v>26</v>
      </c>
      <c r="B153" s="73" t="s">
        <v>455</v>
      </c>
      <c r="C153" s="45"/>
      <c r="D153" s="45"/>
      <c r="E153" s="86"/>
      <c r="H153" s="87"/>
      <c r="I153" s="120"/>
      <c r="J153" s="120"/>
      <c r="K153" s="120"/>
      <c r="L153" s="120"/>
      <c r="M153" s="120"/>
      <c r="N153" s="120"/>
      <c r="O153" s="120"/>
      <c r="P153" s="120" t="s">
        <v>456</v>
      </c>
      <c r="U153" s="46" t="s">
        <v>42</v>
      </c>
      <c r="W153" s="190"/>
      <c r="X153" s="168">
        <f>'Additional information'!$D$18</f>
        <v>0.91</v>
      </c>
      <c r="Y153" s="169"/>
      <c r="Z153" s="169"/>
    </row>
    <row r="154" spans="1:27" x14ac:dyDescent="0.2">
      <c r="E154" s="86"/>
      <c r="H154" s="87"/>
      <c r="W154" s="190"/>
      <c r="X154" s="168">
        <f>'Additional information'!$D$18</f>
        <v>0.91</v>
      </c>
      <c r="Y154" s="169"/>
      <c r="Z154" s="169"/>
    </row>
    <row r="155" spans="1:27" ht="32" x14ac:dyDescent="0.2">
      <c r="A155" s="73" t="s">
        <v>142</v>
      </c>
      <c r="B155" s="73" t="s">
        <v>457</v>
      </c>
      <c r="C155" s="45" t="s">
        <v>458</v>
      </c>
      <c r="D155" s="235" t="s">
        <v>459</v>
      </c>
      <c r="E155" s="86"/>
      <c r="F155" s="98"/>
      <c r="G155" s="98"/>
      <c r="H155" s="104"/>
      <c r="I155" s="118" t="s">
        <v>40</v>
      </c>
      <c r="J155" s="118"/>
      <c r="K155" s="118"/>
      <c r="L155" s="118"/>
      <c r="M155" s="118"/>
      <c r="N155" s="118"/>
      <c r="O155" s="118"/>
      <c r="P155" s="118"/>
      <c r="U155" s="46" t="s">
        <v>42</v>
      </c>
      <c r="W155" s="190">
        <v>12.681487083435059</v>
      </c>
      <c r="X155" s="168">
        <f>'Additional information'!$D$18</f>
        <v>0.91</v>
      </c>
      <c r="Y155" s="169">
        <f t="shared" si="12"/>
        <v>11.540153245925904</v>
      </c>
      <c r="Z155" s="169">
        <f t="shared" ref="Z155:Z186" si="13">IF(AND(W155&lt;&gt;"",U155="yes"),W155*X155,"")</f>
        <v>11.540153245925904</v>
      </c>
    </row>
    <row r="156" spans="1:27" ht="32" x14ac:dyDescent="0.2">
      <c r="A156" s="73" t="s">
        <v>460</v>
      </c>
      <c r="B156" s="73" t="s">
        <v>461</v>
      </c>
      <c r="C156" s="79" t="s">
        <v>462</v>
      </c>
      <c r="D156" s="235" t="s">
        <v>463</v>
      </c>
      <c r="E156" s="97"/>
      <c r="F156" s="46" t="s">
        <v>425</v>
      </c>
      <c r="G156" s="46" t="s">
        <v>464</v>
      </c>
      <c r="H156" s="87"/>
      <c r="I156" s="118" t="s">
        <v>40</v>
      </c>
      <c r="J156" s="118"/>
      <c r="K156" s="120" t="s">
        <v>465</v>
      </c>
      <c r="L156" s="118"/>
      <c r="M156" s="120" t="s">
        <v>466</v>
      </c>
      <c r="N156" s="118"/>
      <c r="O156" s="118"/>
      <c r="P156" s="118"/>
      <c r="U156" s="46" t="s">
        <v>42</v>
      </c>
      <c r="W156" s="190">
        <v>22.613609313964844</v>
      </c>
      <c r="X156" s="168">
        <f>'Additional information'!$D$18</f>
        <v>0.91</v>
      </c>
      <c r="Y156" s="169">
        <f t="shared" si="12"/>
        <v>20.57838447570801</v>
      </c>
      <c r="Z156" s="169">
        <f t="shared" si="13"/>
        <v>20.57838447570801</v>
      </c>
    </row>
    <row r="157" spans="1:27" x14ac:dyDescent="0.2">
      <c r="D157" s="236"/>
      <c r="E157" s="86"/>
      <c r="H157" s="87"/>
      <c r="M157" s="130"/>
      <c r="U157" s="46" t="s">
        <v>68</v>
      </c>
      <c r="W157" s="190" t="s">
        <v>68</v>
      </c>
      <c r="X157" s="168">
        <f>'Additional information'!$D$18</f>
        <v>0.91</v>
      </c>
      <c r="Y157" s="169" t="str">
        <f t="shared" si="12"/>
        <v/>
      </c>
      <c r="Z157" s="169" t="str">
        <f t="shared" si="13"/>
        <v/>
      </c>
    </row>
    <row r="158" spans="1:27" ht="32" x14ac:dyDescent="0.2">
      <c r="A158" s="73" t="s">
        <v>254</v>
      </c>
      <c r="B158" s="73" t="s">
        <v>467</v>
      </c>
      <c r="C158" s="79" t="s">
        <v>468</v>
      </c>
      <c r="D158" s="235" t="s">
        <v>469</v>
      </c>
      <c r="E158" s="97"/>
      <c r="F158" s="105" t="s">
        <v>470</v>
      </c>
      <c r="G158" s="105" t="s">
        <v>471</v>
      </c>
      <c r="H158" s="104"/>
      <c r="I158" s="118" t="s">
        <v>40</v>
      </c>
      <c r="J158" s="118"/>
      <c r="K158" s="118"/>
      <c r="L158" s="118"/>
      <c r="M158" s="120"/>
      <c r="N158" s="118"/>
      <c r="O158" s="118"/>
      <c r="P158" s="118"/>
      <c r="U158" s="46" t="s">
        <v>42</v>
      </c>
      <c r="W158" s="190">
        <v>21.701908111572266</v>
      </c>
      <c r="X158" s="168">
        <f>'Additional information'!$D$18</f>
        <v>0.91</v>
      </c>
      <c r="Y158" s="169">
        <f t="shared" si="12"/>
        <v>19.748736381530762</v>
      </c>
      <c r="Z158" s="169">
        <f t="shared" si="13"/>
        <v>19.748736381530762</v>
      </c>
    </row>
    <row r="159" spans="1:27" x14ac:dyDescent="0.2">
      <c r="C159" s="48"/>
      <c r="D159" s="48"/>
      <c r="E159" s="97"/>
      <c r="F159" s="98"/>
      <c r="G159" s="98"/>
      <c r="H159" s="104"/>
      <c r="M159" s="130"/>
      <c r="U159" s="46" t="s">
        <v>68</v>
      </c>
      <c r="W159" s="190" t="s">
        <v>68</v>
      </c>
      <c r="X159" s="168">
        <f>'Additional information'!$D$18</f>
        <v>0.91</v>
      </c>
      <c r="Y159" s="169" t="str">
        <f t="shared" si="12"/>
        <v/>
      </c>
      <c r="Z159" s="169" t="str">
        <f t="shared" si="13"/>
        <v/>
      </c>
    </row>
    <row r="160" spans="1:27" ht="16" thickBot="1" x14ac:dyDescent="0.25">
      <c r="A160" s="100" t="s">
        <v>148</v>
      </c>
      <c r="B160" s="100"/>
      <c r="C160" s="101"/>
      <c r="D160" s="101"/>
      <c r="E160" s="110"/>
      <c r="F160" s="100"/>
      <c r="G160" s="100"/>
      <c r="H160" s="111"/>
      <c r="I160" s="131"/>
      <c r="J160" s="131"/>
      <c r="K160" s="131"/>
      <c r="L160" s="131"/>
      <c r="M160" s="131"/>
      <c r="N160" s="131"/>
      <c r="O160" s="131"/>
      <c r="P160" s="131"/>
      <c r="W160" s="190" t="s">
        <v>68</v>
      </c>
      <c r="Y160" s="169" t="str">
        <f t="shared" si="12"/>
        <v/>
      </c>
      <c r="Z160" s="169" t="str">
        <f t="shared" si="13"/>
        <v/>
      </c>
    </row>
    <row r="161" spans="1:27" s="71" customFormat="1" ht="17" thickTop="1" x14ac:dyDescent="0.2">
      <c r="A161" s="68" t="s">
        <v>69</v>
      </c>
      <c r="B161" s="68" t="s">
        <v>472</v>
      </c>
      <c r="C161" s="92" t="s">
        <v>473</v>
      </c>
      <c r="D161" s="230" t="s">
        <v>474</v>
      </c>
      <c r="E161" s="69"/>
      <c r="F161" s="68"/>
      <c r="G161" s="68"/>
      <c r="H161" s="70"/>
      <c r="I161" s="123" t="s">
        <v>51</v>
      </c>
      <c r="J161" s="123"/>
      <c r="K161" s="123"/>
      <c r="L161" s="123"/>
      <c r="M161" s="123" t="s">
        <v>475</v>
      </c>
      <c r="N161" s="123"/>
      <c r="O161" s="123"/>
      <c r="P161" s="123"/>
      <c r="U161" s="46" t="s">
        <v>42</v>
      </c>
      <c r="W161" s="190"/>
      <c r="X161" s="72"/>
      <c r="Y161" s="169" t="str">
        <f t="shared" si="12"/>
        <v/>
      </c>
      <c r="Z161" s="169" t="str">
        <f t="shared" si="13"/>
        <v/>
      </c>
      <c r="AA161" s="72"/>
    </row>
    <row r="162" spans="1:27" ht="48" x14ac:dyDescent="0.2">
      <c r="A162" s="73" t="s">
        <v>45</v>
      </c>
      <c r="B162" s="73" t="s">
        <v>476</v>
      </c>
      <c r="C162" s="45" t="s">
        <v>477</v>
      </c>
      <c r="D162" s="44" t="s">
        <v>478</v>
      </c>
      <c r="E162" s="86"/>
      <c r="F162" s="73"/>
      <c r="G162" s="73"/>
      <c r="H162" s="87"/>
      <c r="I162" s="118"/>
      <c r="J162" s="118"/>
      <c r="K162" s="118"/>
      <c r="L162" s="118"/>
      <c r="M162" s="118"/>
      <c r="N162" s="118"/>
      <c r="O162" s="118"/>
      <c r="P162" s="118"/>
      <c r="U162" s="46" t="s">
        <v>42</v>
      </c>
      <c r="W162" s="190">
        <v>7.5</v>
      </c>
      <c r="X162" s="106">
        <f>'Additional information'!$D$19</f>
        <v>0.91</v>
      </c>
      <c r="Y162" s="169">
        <f t="shared" si="12"/>
        <v>6.8250000000000002</v>
      </c>
      <c r="Z162" s="169">
        <f t="shared" si="13"/>
        <v>6.8250000000000002</v>
      </c>
    </row>
    <row r="163" spans="1:27" s="71" customFormat="1" x14ac:dyDescent="0.2">
      <c r="C163" s="93"/>
      <c r="D163" s="236"/>
      <c r="E163" s="69"/>
      <c r="H163" s="70"/>
      <c r="I163" s="124"/>
      <c r="J163" s="124"/>
      <c r="K163" s="124"/>
      <c r="L163" s="124"/>
      <c r="M163" s="124"/>
      <c r="N163" s="124"/>
      <c r="O163" s="124"/>
      <c r="P163" s="124"/>
      <c r="U163" s="46" t="s">
        <v>68</v>
      </c>
      <c r="W163" s="190" t="s">
        <v>68</v>
      </c>
      <c r="X163" s="106">
        <f>'Additional information'!$D$19</f>
        <v>0.91</v>
      </c>
      <c r="Y163" s="169" t="str">
        <f t="shared" si="12"/>
        <v/>
      </c>
      <c r="Z163" s="169" t="str">
        <f t="shared" si="13"/>
        <v/>
      </c>
      <c r="AA163" s="72"/>
    </row>
    <row r="164" spans="1:27" ht="32" x14ac:dyDescent="0.2">
      <c r="A164" s="73" t="s">
        <v>479</v>
      </c>
      <c r="B164" s="73" t="s">
        <v>480</v>
      </c>
      <c r="C164" s="45" t="s">
        <v>481</v>
      </c>
      <c r="D164" s="235" t="s">
        <v>482</v>
      </c>
      <c r="E164" s="86"/>
      <c r="F164" s="46" t="s">
        <v>483</v>
      </c>
      <c r="G164" s="46" t="s">
        <v>484</v>
      </c>
      <c r="H164" s="87"/>
      <c r="I164" s="118" t="s">
        <v>40</v>
      </c>
      <c r="J164" s="118" t="s">
        <v>216</v>
      </c>
      <c r="K164" s="118"/>
      <c r="L164" s="118"/>
      <c r="M164" s="118"/>
      <c r="N164" s="118"/>
      <c r="O164" s="118"/>
      <c r="P164" s="118"/>
      <c r="U164" s="46" t="s">
        <v>42</v>
      </c>
      <c r="W164" s="190">
        <v>20.294422149658203</v>
      </c>
      <c r="X164" s="106">
        <f>'Additional information'!$D$19</f>
        <v>0.91</v>
      </c>
      <c r="Y164" s="169">
        <f t="shared" si="12"/>
        <v>18.467924156188964</v>
      </c>
      <c r="Z164" s="169">
        <f t="shared" si="13"/>
        <v>18.467924156188964</v>
      </c>
    </row>
    <row r="165" spans="1:27" x14ac:dyDescent="0.2">
      <c r="A165" s="73" t="s">
        <v>26</v>
      </c>
      <c r="B165" s="73" t="s">
        <v>485</v>
      </c>
      <c r="C165" s="45"/>
      <c r="D165" s="237"/>
      <c r="E165" s="86"/>
      <c r="H165" s="87"/>
      <c r="I165" s="118"/>
      <c r="J165" s="118"/>
      <c r="K165" s="118"/>
      <c r="L165" s="118"/>
      <c r="M165" s="118"/>
      <c r="N165" s="118"/>
      <c r="O165" s="118"/>
      <c r="P165" s="118" t="s">
        <v>486</v>
      </c>
      <c r="U165" s="46" t="s">
        <v>42</v>
      </c>
      <c r="W165" s="190"/>
      <c r="X165" s="106">
        <f>'Additional information'!$D$19</f>
        <v>0.91</v>
      </c>
      <c r="Y165" s="169" t="str">
        <f t="shared" si="12"/>
        <v/>
      </c>
      <c r="Z165" s="169" t="str">
        <f t="shared" si="13"/>
        <v/>
      </c>
    </row>
    <row r="166" spans="1:27" x14ac:dyDescent="0.2">
      <c r="D166" s="46"/>
      <c r="E166" s="86"/>
      <c r="H166" s="87"/>
      <c r="M166" s="130"/>
      <c r="U166" s="46" t="s">
        <v>68</v>
      </c>
      <c r="W166" s="190" t="s">
        <v>68</v>
      </c>
      <c r="X166" s="106">
        <f>'Additional information'!$D$19</f>
        <v>0.91</v>
      </c>
      <c r="Y166" s="169" t="str">
        <f t="shared" si="12"/>
        <v/>
      </c>
      <c r="Z166" s="169" t="str">
        <f t="shared" si="13"/>
        <v/>
      </c>
    </row>
    <row r="167" spans="1:27" ht="16" x14ac:dyDescent="0.2">
      <c r="A167" s="73" t="s">
        <v>83</v>
      </c>
      <c r="B167" s="73" t="s">
        <v>487</v>
      </c>
      <c r="C167" s="45" t="s">
        <v>488</v>
      </c>
      <c r="D167" s="235" t="s">
        <v>489</v>
      </c>
      <c r="E167" s="86"/>
      <c r="F167" s="73" t="s">
        <v>490</v>
      </c>
      <c r="G167" s="73" t="s">
        <v>491</v>
      </c>
      <c r="H167" s="87"/>
      <c r="I167" s="118" t="s">
        <v>40</v>
      </c>
      <c r="J167" s="118"/>
      <c r="K167" s="118" t="s">
        <v>492</v>
      </c>
      <c r="L167" s="118"/>
      <c r="M167" s="118" t="s">
        <v>493</v>
      </c>
      <c r="N167" s="118"/>
      <c r="O167" s="118"/>
      <c r="P167" s="118"/>
      <c r="U167" s="46" t="s">
        <v>42</v>
      </c>
      <c r="W167" s="190">
        <v>18.539077758789062</v>
      </c>
      <c r="X167" s="106">
        <f>'Additional information'!$D$19</f>
        <v>0.91</v>
      </c>
      <c r="Y167" s="169">
        <f t="shared" si="12"/>
        <v>16.870560760498048</v>
      </c>
      <c r="Z167" s="169">
        <f t="shared" si="13"/>
        <v>16.870560760498048</v>
      </c>
    </row>
    <row r="168" spans="1:27" ht="16" x14ac:dyDescent="0.2">
      <c r="A168" s="73" t="s">
        <v>83</v>
      </c>
      <c r="B168" s="73" t="s">
        <v>494</v>
      </c>
      <c r="C168" s="45" t="s">
        <v>495</v>
      </c>
      <c r="D168" s="235" t="s">
        <v>496</v>
      </c>
      <c r="E168" s="86"/>
      <c r="F168" s="73" t="s">
        <v>490</v>
      </c>
      <c r="G168" s="73" t="s">
        <v>491</v>
      </c>
      <c r="H168" s="87"/>
      <c r="I168" s="118" t="s">
        <v>40</v>
      </c>
      <c r="J168" s="118"/>
      <c r="K168" s="118" t="s">
        <v>492</v>
      </c>
      <c r="L168" s="118"/>
      <c r="M168" s="118" t="s">
        <v>493</v>
      </c>
      <c r="N168" s="118"/>
      <c r="O168" s="118"/>
      <c r="P168" s="118"/>
      <c r="U168" s="46" t="s">
        <v>42</v>
      </c>
      <c r="W168" s="190">
        <v>8.9158916473388672</v>
      </c>
      <c r="X168" s="106">
        <f>'Additional information'!$D$19</f>
        <v>0.91</v>
      </c>
      <c r="Y168" s="169">
        <f t="shared" si="12"/>
        <v>8.1134613990783695</v>
      </c>
      <c r="Z168" s="169">
        <f t="shared" si="13"/>
        <v>8.1134613990783695</v>
      </c>
    </row>
    <row r="169" spans="1:27" ht="16" x14ac:dyDescent="0.2">
      <c r="A169" s="73" t="s">
        <v>26</v>
      </c>
      <c r="B169" s="73" t="s">
        <v>497</v>
      </c>
      <c r="C169" s="45" t="s">
        <v>498</v>
      </c>
      <c r="D169" s="73" t="s">
        <v>499</v>
      </c>
      <c r="E169" s="86"/>
      <c r="F169" s="73"/>
      <c r="G169" s="73"/>
      <c r="H169" s="87"/>
      <c r="I169" s="118" t="s">
        <v>40</v>
      </c>
      <c r="J169" s="118"/>
      <c r="K169" s="118"/>
      <c r="L169" s="118"/>
      <c r="M169" s="118" t="s">
        <v>500</v>
      </c>
      <c r="N169" s="118"/>
      <c r="O169" s="118"/>
      <c r="P169" s="118" t="s">
        <v>501</v>
      </c>
      <c r="U169" s="46" t="s">
        <v>42</v>
      </c>
      <c r="W169" s="190"/>
      <c r="X169" s="106">
        <f>'Additional information'!$D$19</f>
        <v>0.91</v>
      </c>
      <c r="Y169" s="169" t="str">
        <f t="shared" si="12"/>
        <v/>
      </c>
      <c r="Z169" s="169" t="str">
        <f t="shared" si="13"/>
        <v/>
      </c>
    </row>
    <row r="170" spans="1:27" x14ac:dyDescent="0.2">
      <c r="D170" s="46"/>
      <c r="E170" s="86"/>
      <c r="H170" s="87"/>
      <c r="U170" s="46" t="s">
        <v>68</v>
      </c>
      <c r="W170" s="190" t="s">
        <v>68</v>
      </c>
      <c r="X170" s="106">
        <f>'Additional information'!$D$19</f>
        <v>0.91</v>
      </c>
      <c r="Y170" s="169" t="str">
        <f t="shared" si="12"/>
        <v/>
      </c>
      <c r="Z170" s="169" t="str">
        <f t="shared" si="13"/>
        <v/>
      </c>
    </row>
    <row r="171" spans="1:27" ht="16" x14ac:dyDescent="0.2">
      <c r="A171" s="73" t="s">
        <v>502</v>
      </c>
      <c r="B171" s="73" t="s">
        <v>503</v>
      </c>
      <c r="C171" s="45" t="s">
        <v>504</v>
      </c>
      <c r="D171" s="235" t="s">
        <v>505</v>
      </c>
      <c r="E171" s="86"/>
      <c r="F171" s="46" t="s">
        <v>327</v>
      </c>
      <c r="G171" s="46" t="s">
        <v>506</v>
      </c>
      <c r="H171" s="87"/>
      <c r="I171" s="118" t="s">
        <v>40</v>
      </c>
      <c r="J171" s="118"/>
      <c r="K171" s="118" t="s">
        <v>507</v>
      </c>
      <c r="L171" s="118"/>
      <c r="M171" s="118" t="s">
        <v>493</v>
      </c>
      <c r="N171" s="118"/>
      <c r="O171" s="118"/>
      <c r="P171" s="118"/>
      <c r="U171" s="46" t="s">
        <v>42</v>
      </c>
      <c r="W171" s="190">
        <v>25.81001091003418</v>
      </c>
      <c r="X171" s="106">
        <f>'Additional information'!$D$19</f>
        <v>0.91</v>
      </c>
      <c r="Y171" s="169">
        <f t="shared" si="12"/>
        <v>23.487109928131105</v>
      </c>
      <c r="Z171" s="169">
        <f t="shared" si="13"/>
        <v>23.487109928131105</v>
      </c>
    </row>
    <row r="172" spans="1:27" x14ac:dyDescent="0.2">
      <c r="D172" s="46"/>
      <c r="E172" s="86"/>
      <c r="H172" s="87"/>
      <c r="M172" s="130"/>
      <c r="U172" s="46" t="s">
        <v>68</v>
      </c>
      <c r="W172" s="190" t="s">
        <v>68</v>
      </c>
      <c r="X172" s="106">
        <f>'Additional information'!$D$19</f>
        <v>0.91</v>
      </c>
      <c r="Y172" s="169" t="str">
        <f t="shared" si="12"/>
        <v/>
      </c>
      <c r="Z172" s="169" t="str">
        <f t="shared" si="13"/>
        <v/>
      </c>
    </row>
    <row r="173" spans="1:27" s="75" customFormat="1" ht="16" x14ac:dyDescent="0.2">
      <c r="A173" s="75" t="s">
        <v>508</v>
      </c>
      <c r="B173" s="75" t="s">
        <v>509</v>
      </c>
      <c r="C173" s="76" t="s">
        <v>510</v>
      </c>
      <c r="D173" s="238" t="s">
        <v>511</v>
      </c>
      <c r="E173" s="77"/>
      <c r="F173" s="75" t="s">
        <v>327</v>
      </c>
      <c r="G173" s="75" t="s">
        <v>506</v>
      </c>
      <c r="H173" s="81"/>
      <c r="I173" s="119" t="s">
        <v>40</v>
      </c>
      <c r="J173" s="119"/>
      <c r="K173" s="119" t="s">
        <v>465</v>
      </c>
      <c r="L173" s="119"/>
      <c r="M173" s="119"/>
      <c r="N173" s="119"/>
      <c r="O173" s="119"/>
      <c r="P173" s="119"/>
      <c r="U173" s="75" t="s">
        <v>52</v>
      </c>
      <c r="W173" s="190">
        <v>19.553197860717773</v>
      </c>
      <c r="X173" s="106">
        <f>'Additional information'!$D$19</f>
        <v>0.91</v>
      </c>
      <c r="Y173" s="169">
        <f t="shared" si="12"/>
        <v>17.793410053253176</v>
      </c>
      <c r="Z173" s="169" t="str">
        <f t="shared" si="13"/>
        <v/>
      </c>
      <c r="AA173" s="74"/>
    </row>
    <row r="174" spans="1:27" s="75" customFormat="1" x14ac:dyDescent="0.2">
      <c r="C174" s="76"/>
      <c r="E174" s="77"/>
      <c r="H174" s="81"/>
      <c r="I174" s="119"/>
      <c r="J174" s="119"/>
      <c r="K174" s="119"/>
      <c r="L174" s="119"/>
      <c r="M174" s="119"/>
      <c r="N174" s="119"/>
      <c r="O174" s="119"/>
      <c r="P174" s="119"/>
      <c r="U174" s="75" t="s">
        <v>68</v>
      </c>
      <c r="W174" s="190" t="s">
        <v>68</v>
      </c>
      <c r="X174" s="106">
        <f>'Additional information'!$D$19</f>
        <v>0.91</v>
      </c>
      <c r="Y174" s="169" t="str">
        <f t="shared" si="12"/>
        <v/>
      </c>
      <c r="Z174" s="169" t="str">
        <f t="shared" si="13"/>
        <v/>
      </c>
      <c r="AA174" s="74"/>
    </row>
    <row r="175" spans="1:27" ht="32" x14ac:dyDescent="0.2">
      <c r="A175" s="73" t="s">
        <v>142</v>
      </c>
      <c r="B175" s="73" t="s">
        <v>512</v>
      </c>
      <c r="C175" s="45" t="s">
        <v>513</v>
      </c>
      <c r="D175" s="235" t="s">
        <v>514</v>
      </c>
      <c r="E175" s="86"/>
      <c r="H175" s="87"/>
      <c r="I175" s="118" t="s">
        <v>40</v>
      </c>
      <c r="J175" s="118"/>
      <c r="K175" s="118"/>
      <c r="L175" s="118"/>
      <c r="M175" s="120"/>
      <c r="N175" s="118"/>
      <c r="O175" s="118"/>
      <c r="P175" s="118"/>
      <c r="U175" s="46" t="s">
        <v>42</v>
      </c>
      <c r="W175" s="190">
        <v>13.613316535949707</v>
      </c>
      <c r="X175" s="106">
        <f>'Additional information'!$D$19</f>
        <v>0.91</v>
      </c>
      <c r="Y175" s="169">
        <f t="shared" si="12"/>
        <v>12.388118047714233</v>
      </c>
      <c r="Z175" s="169">
        <f t="shared" si="13"/>
        <v>12.388118047714233</v>
      </c>
    </row>
    <row r="176" spans="1:27" ht="32" x14ac:dyDescent="0.2">
      <c r="A176" s="73" t="s">
        <v>515</v>
      </c>
      <c r="B176" s="73" t="s">
        <v>516</v>
      </c>
      <c r="C176" s="45" t="s">
        <v>517</v>
      </c>
      <c r="D176" s="235" t="s">
        <v>518</v>
      </c>
      <c r="E176" s="86"/>
      <c r="F176" s="46" t="s">
        <v>425</v>
      </c>
      <c r="G176" s="46" t="s">
        <v>519</v>
      </c>
      <c r="H176" s="87"/>
      <c r="I176" s="118" t="s">
        <v>40</v>
      </c>
      <c r="J176" s="118"/>
      <c r="K176" s="120" t="s">
        <v>465</v>
      </c>
      <c r="L176" s="118"/>
      <c r="M176" s="120" t="s">
        <v>520</v>
      </c>
      <c r="N176" s="118"/>
      <c r="O176" s="118"/>
      <c r="P176" s="118"/>
      <c r="U176" s="46" t="s">
        <v>42</v>
      </c>
      <c r="W176" s="190">
        <v>27.754648208618164</v>
      </c>
      <c r="X176" s="106">
        <f>'Additional information'!$D$19</f>
        <v>0.91</v>
      </c>
      <c r="Y176" s="169">
        <f t="shared" si="12"/>
        <v>25.25672986984253</v>
      </c>
      <c r="Z176" s="169">
        <f t="shared" si="13"/>
        <v>25.25672986984253</v>
      </c>
    </row>
    <row r="177" spans="1:27" x14ac:dyDescent="0.2">
      <c r="D177" s="46"/>
      <c r="E177" s="86"/>
      <c r="H177" s="87"/>
      <c r="M177" s="130"/>
      <c r="U177" s="46" t="s">
        <v>68</v>
      </c>
      <c r="W177" s="190" t="s">
        <v>68</v>
      </c>
      <c r="X177" s="106">
        <f>'Additional information'!$D$19</f>
        <v>0.91</v>
      </c>
      <c r="Y177" s="169" t="str">
        <f t="shared" si="12"/>
        <v/>
      </c>
      <c r="Z177" s="169" t="str">
        <f t="shared" si="13"/>
        <v/>
      </c>
    </row>
    <row r="178" spans="1:27" s="75" customFormat="1" ht="16" x14ac:dyDescent="0.2">
      <c r="A178" s="75" t="s">
        <v>521</v>
      </c>
      <c r="B178" s="75" t="s">
        <v>522</v>
      </c>
      <c r="C178" s="76" t="s">
        <v>523</v>
      </c>
      <c r="D178" s="238" t="s">
        <v>524</v>
      </c>
      <c r="E178" s="77"/>
      <c r="F178" s="75" t="s">
        <v>525</v>
      </c>
      <c r="G178" s="75" t="s">
        <v>526</v>
      </c>
      <c r="H178" s="81"/>
      <c r="I178" s="119" t="s">
        <v>40</v>
      </c>
      <c r="J178" s="119" t="s">
        <v>216</v>
      </c>
      <c r="K178" s="119" t="s">
        <v>527</v>
      </c>
      <c r="L178" s="119"/>
      <c r="M178" s="119" t="s">
        <v>528</v>
      </c>
      <c r="N178" s="119" t="s">
        <v>529</v>
      </c>
      <c r="O178" s="125"/>
      <c r="P178" s="125"/>
      <c r="Q178" s="46"/>
      <c r="U178" s="75" t="s">
        <v>52</v>
      </c>
      <c r="W178" s="190">
        <v>17</v>
      </c>
      <c r="X178" s="106">
        <f>'Additional information'!$D$19</f>
        <v>0.91</v>
      </c>
      <c r="Y178" s="169">
        <f t="shared" si="12"/>
        <v>15.47</v>
      </c>
      <c r="Z178" s="169" t="str">
        <f t="shared" si="13"/>
        <v/>
      </c>
      <c r="AA178" s="74"/>
    </row>
    <row r="179" spans="1:27" x14ac:dyDescent="0.2">
      <c r="E179" s="86"/>
      <c r="H179" s="87"/>
      <c r="M179" s="130"/>
      <c r="U179" s="46" t="s">
        <v>68</v>
      </c>
      <c r="W179" s="190" t="s">
        <v>68</v>
      </c>
      <c r="X179" s="106">
        <f>'Additional information'!$D$19</f>
        <v>0.91</v>
      </c>
      <c r="Y179" s="169" t="str">
        <f t="shared" si="12"/>
        <v/>
      </c>
      <c r="Z179" s="169" t="str">
        <f t="shared" si="13"/>
        <v/>
      </c>
    </row>
    <row r="180" spans="1:27" ht="16" thickBot="1" x14ac:dyDescent="0.25">
      <c r="A180" s="100" t="s">
        <v>148</v>
      </c>
      <c r="B180" s="100"/>
      <c r="C180" s="101"/>
      <c r="D180" s="101"/>
      <c r="E180" s="110"/>
      <c r="F180" s="100"/>
      <c r="G180" s="100"/>
      <c r="H180" s="111"/>
      <c r="I180" s="131"/>
      <c r="J180" s="131"/>
      <c r="K180" s="131"/>
      <c r="L180" s="131"/>
      <c r="M180" s="131"/>
      <c r="N180" s="131"/>
      <c r="O180" s="131"/>
      <c r="P180" s="131"/>
      <c r="W180" s="190" t="s">
        <v>68</v>
      </c>
      <c r="X180" s="168"/>
      <c r="Y180" s="169" t="str">
        <f t="shared" si="12"/>
        <v/>
      </c>
      <c r="Z180" s="169" t="str">
        <f t="shared" si="13"/>
        <v/>
      </c>
    </row>
    <row r="181" spans="1:27" s="71" customFormat="1" ht="17" thickTop="1" x14ac:dyDescent="0.2">
      <c r="A181" s="68" t="s">
        <v>69</v>
      </c>
      <c r="B181" s="68" t="s">
        <v>530</v>
      </c>
      <c r="C181" s="92" t="s">
        <v>531</v>
      </c>
      <c r="D181" s="230" t="s">
        <v>532</v>
      </c>
      <c r="E181" s="69"/>
      <c r="F181" s="68"/>
      <c r="G181" s="68"/>
      <c r="H181" s="70"/>
      <c r="I181" s="123" t="s">
        <v>51</v>
      </c>
      <c r="J181" s="123"/>
      <c r="K181" s="123"/>
      <c r="L181" s="123"/>
      <c r="M181" s="123" t="s">
        <v>533</v>
      </c>
      <c r="N181" s="123"/>
      <c r="O181" s="123"/>
      <c r="P181" s="123"/>
      <c r="U181" s="46" t="s">
        <v>42</v>
      </c>
      <c r="W181" s="190"/>
      <c r="X181" s="168"/>
      <c r="Y181" s="169" t="str">
        <f t="shared" si="12"/>
        <v/>
      </c>
      <c r="Z181" s="169" t="str">
        <f t="shared" si="13"/>
        <v/>
      </c>
      <c r="AA181" s="72"/>
    </row>
    <row r="182" spans="1:27" s="71" customFormat="1" x14ac:dyDescent="0.2">
      <c r="C182" s="93"/>
      <c r="D182" s="93"/>
      <c r="E182" s="69"/>
      <c r="H182" s="70"/>
      <c r="I182" s="124"/>
      <c r="J182" s="124"/>
      <c r="K182" s="124"/>
      <c r="L182" s="124"/>
      <c r="M182" s="124"/>
      <c r="N182" s="124"/>
      <c r="O182" s="124"/>
      <c r="P182" s="124"/>
      <c r="U182" s="46" t="s">
        <v>68</v>
      </c>
      <c r="W182" s="190" t="s">
        <v>68</v>
      </c>
      <c r="X182" s="106">
        <f>'Additional information'!$D$19</f>
        <v>0.91</v>
      </c>
      <c r="Y182" s="169" t="str">
        <f t="shared" si="12"/>
        <v/>
      </c>
      <c r="Z182" s="169" t="str">
        <f t="shared" si="13"/>
        <v/>
      </c>
      <c r="AA182" s="72"/>
    </row>
    <row r="183" spans="1:27" s="71" customFormat="1" ht="32" x14ac:dyDescent="0.2">
      <c r="A183" s="73" t="s">
        <v>534</v>
      </c>
      <c r="B183" s="73" t="s">
        <v>535</v>
      </c>
      <c r="C183" s="45" t="s">
        <v>536</v>
      </c>
      <c r="D183" s="235" t="s">
        <v>537</v>
      </c>
      <c r="E183" s="86"/>
      <c r="F183" s="105"/>
      <c r="G183" s="105"/>
      <c r="H183" s="87"/>
      <c r="I183" s="118" t="s">
        <v>40</v>
      </c>
      <c r="J183" s="118" t="s">
        <v>216</v>
      </c>
      <c r="K183" s="123"/>
      <c r="L183" s="123"/>
      <c r="M183" s="123"/>
      <c r="N183" s="123"/>
      <c r="O183" s="123"/>
      <c r="P183" s="123"/>
      <c r="U183" s="46" t="s">
        <v>42</v>
      </c>
      <c r="W183" s="190">
        <v>13.999390602111816</v>
      </c>
      <c r="X183" s="106">
        <f>'Additional information'!$D$19</f>
        <v>0.91</v>
      </c>
      <c r="Y183" s="169">
        <f t="shared" si="12"/>
        <v>12.739445447921753</v>
      </c>
      <c r="Z183" s="169">
        <f t="shared" si="13"/>
        <v>12.739445447921753</v>
      </c>
      <c r="AA183" s="72"/>
    </row>
    <row r="184" spans="1:27" x14ac:dyDescent="0.2">
      <c r="A184" s="73" t="s">
        <v>26</v>
      </c>
      <c r="B184" s="73" t="s">
        <v>538</v>
      </c>
      <c r="C184" s="45"/>
      <c r="D184" s="239"/>
      <c r="E184" s="86"/>
      <c r="H184" s="87"/>
      <c r="I184" s="118"/>
      <c r="J184" s="118"/>
      <c r="K184" s="118"/>
      <c r="L184" s="118"/>
      <c r="M184" s="118"/>
      <c r="N184" s="118"/>
      <c r="O184" s="118"/>
      <c r="P184" s="118" t="s">
        <v>539</v>
      </c>
      <c r="U184" s="46" t="s">
        <v>42</v>
      </c>
      <c r="W184" s="190"/>
      <c r="X184" s="106">
        <f>'Additional information'!$D$19</f>
        <v>0.91</v>
      </c>
      <c r="Y184" s="169" t="str">
        <f t="shared" si="12"/>
        <v/>
      </c>
      <c r="Z184" s="169" t="str">
        <f t="shared" si="13"/>
        <v/>
      </c>
    </row>
    <row r="185" spans="1:27" x14ac:dyDescent="0.2">
      <c r="D185" s="46"/>
      <c r="E185" s="86"/>
      <c r="H185" s="87"/>
      <c r="U185" s="46" t="s">
        <v>68</v>
      </c>
      <c r="W185" s="190" t="s">
        <v>68</v>
      </c>
      <c r="X185" s="106">
        <f>'Additional information'!$D$19</f>
        <v>0.91</v>
      </c>
      <c r="Y185" s="169" t="str">
        <f t="shared" si="12"/>
        <v/>
      </c>
      <c r="Z185" s="169" t="str">
        <f t="shared" si="13"/>
        <v/>
      </c>
    </row>
    <row r="186" spans="1:27" ht="32" x14ac:dyDescent="0.2">
      <c r="A186" s="73" t="s">
        <v>142</v>
      </c>
      <c r="B186" s="73" t="s">
        <v>540</v>
      </c>
      <c r="C186" s="45" t="s">
        <v>541</v>
      </c>
      <c r="D186" s="235" t="s">
        <v>542</v>
      </c>
      <c r="E186" s="86"/>
      <c r="H186" s="87"/>
      <c r="I186" s="118" t="s">
        <v>40</v>
      </c>
      <c r="J186" s="118"/>
      <c r="K186" s="118"/>
      <c r="L186" s="118"/>
      <c r="M186" s="118"/>
      <c r="N186" s="118"/>
      <c r="O186" s="118"/>
      <c r="P186" s="118"/>
      <c r="U186" s="46" t="s">
        <v>42</v>
      </c>
      <c r="W186" s="190">
        <v>10.25279426574707</v>
      </c>
      <c r="X186" s="106">
        <f>'Additional information'!$D$19</f>
        <v>0.91</v>
      </c>
      <c r="Y186" s="169">
        <f t="shared" si="12"/>
        <v>9.3300427818298335</v>
      </c>
      <c r="Z186" s="169">
        <f t="shared" si="13"/>
        <v>9.3300427818298335</v>
      </c>
    </row>
    <row r="187" spans="1:27" ht="32" x14ac:dyDescent="0.2">
      <c r="A187" s="73" t="s">
        <v>543</v>
      </c>
      <c r="B187" s="73" t="s">
        <v>544</v>
      </c>
      <c r="C187" s="45" t="s">
        <v>545</v>
      </c>
      <c r="D187" s="235" t="s">
        <v>546</v>
      </c>
      <c r="E187" s="86"/>
      <c r="F187" s="46" t="s">
        <v>425</v>
      </c>
      <c r="G187" s="46" t="s">
        <v>547</v>
      </c>
      <c r="H187" s="87"/>
      <c r="I187" s="118" t="s">
        <v>40</v>
      </c>
      <c r="J187" s="118"/>
      <c r="K187" s="120" t="s">
        <v>465</v>
      </c>
      <c r="L187" s="120"/>
      <c r="M187" s="120" t="s">
        <v>548</v>
      </c>
      <c r="N187" s="118"/>
      <c r="O187" s="118"/>
      <c r="P187" s="118"/>
      <c r="U187" s="46" t="s">
        <v>42</v>
      </c>
      <c r="W187" s="190">
        <v>24.194343566894531</v>
      </c>
      <c r="X187" s="106">
        <f>'Additional information'!$D$19</f>
        <v>0.91</v>
      </c>
      <c r="Y187" s="169">
        <f t="shared" si="12"/>
        <v>22.016852645874025</v>
      </c>
      <c r="Z187" s="169">
        <f t="shared" ref="Z187:Z218" si="14">IF(AND(W187&lt;&gt;"",U187="yes"),W187*X187,"")</f>
        <v>22.016852645874025</v>
      </c>
    </row>
    <row r="188" spans="1:27" x14ac:dyDescent="0.2">
      <c r="D188" s="240"/>
      <c r="E188" s="86"/>
      <c r="H188" s="87"/>
      <c r="M188" s="130"/>
      <c r="U188" s="46" t="s">
        <v>68</v>
      </c>
      <c r="W188" s="190" t="s">
        <v>68</v>
      </c>
      <c r="X188" s="106">
        <f>'Additional information'!$D$19</f>
        <v>0.91</v>
      </c>
      <c r="Y188" s="169" t="str">
        <f t="shared" si="12"/>
        <v/>
      </c>
      <c r="Z188" s="169" t="str">
        <f t="shared" si="14"/>
        <v/>
      </c>
    </row>
    <row r="189" spans="1:27" ht="32" x14ac:dyDescent="0.2">
      <c r="A189" s="73" t="s">
        <v>254</v>
      </c>
      <c r="B189" s="73" t="s">
        <v>549</v>
      </c>
      <c r="C189" s="79" t="s">
        <v>550</v>
      </c>
      <c r="D189" s="235" t="s">
        <v>551</v>
      </c>
      <c r="E189" s="86"/>
      <c r="F189" s="73" t="s">
        <v>470</v>
      </c>
      <c r="G189" s="105" t="s">
        <v>552</v>
      </c>
      <c r="H189" s="87"/>
      <c r="I189" s="118" t="s">
        <v>40</v>
      </c>
      <c r="J189" s="118"/>
      <c r="K189" s="118"/>
      <c r="L189" s="118"/>
      <c r="M189" s="120"/>
      <c r="N189" s="118"/>
      <c r="O189" s="118"/>
      <c r="P189" s="118"/>
      <c r="U189" s="46" t="s">
        <v>42</v>
      </c>
      <c r="W189" s="190">
        <v>19.321737289428711</v>
      </c>
      <c r="X189" s="106">
        <f>'Additional information'!$D$19</f>
        <v>0.91</v>
      </c>
      <c r="Y189" s="169">
        <f t="shared" si="12"/>
        <v>17.582780933380128</v>
      </c>
      <c r="Z189" s="169">
        <f t="shared" si="14"/>
        <v>17.582780933380128</v>
      </c>
    </row>
    <row r="190" spans="1:27" x14ac:dyDescent="0.2">
      <c r="C190" s="48"/>
      <c r="D190" s="48"/>
      <c r="E190" s="86"/>
      <c r="H190" s="87"/>
      <c r="M190" s="130"/>
      <c r="U190" s="46" t="s">
        <v>68</v>
      </c>
      <c r="W190" s="190" t="s">
        <v>68</v>
      </c>
      <c r="X190" s="106">
        <f>'Additional information'!$D$19</f>
        <v>0.91</v>
      </c>
      <c r="Y190" s="169" t="str">
        <f t="shared" si="12"/>
        <v/>
      </c>
      <c r="Z190" s="169" t="str">
        <f t="shared" si="14"/>
        <v/>
      </c>
    </row>
    <row r="191" spans="1:27" ht="16" thickBot="1" x14ac:dyDescent="0.25">
      <c r="A191" s="100" t="s">
        <v>148</v>
      </c>
      <c r="B191" s="100"/>
      <c r="C191" s="101"/>
      <c r="D191" s="101"/>
      <c r="E191" s="110"/>
      <c r="F191" s="100"/>
      <c r="G191" s="100"/>
      <c r="H191" s="111"/>
      <c r="I191" s="131"/>
      <c r="J191" s="131"/>
      <c r="K191" s="131"/>
      <c r="L191" s="131"/>
      <c r="M191" s="131"/>
      <c r="N191" s="131"/>
      <c r="O191" s="131"/>
      <c r="P191" s="131"/>
      <c r="W191" s="190" t="s">
        <v>68</v>
      </c>
      <c r="Y191" s="169" t="str">
        <f t="shared" si="12"/>
        <v/>
      </c>
      <c r="Z191" s="169" t="str">
        <f t="shared" si="14"/>
        <v/>
      </c>
    </row>
    <row r="192" spans="1:27" s="71" customFormat="1" ht="16" x14ac:dyDescent="0.2">
      <c r="A192" s="68" t="s">
        <v>69</v>
      </c>
      <c r="B192" s="68" t="s">
        <v>553</v>
      </c>
      <c r="C192" s="92" t="s">
        <v>554</v>
      </c>
      <c r="D192" s="230" t="s">
        <v>555</v>
      </c>
      <c r="E192" s="69"/>
      <c r="F192" s="68"/>
      <c r="G192" s="68"/>
      <c r="H192" s="70"/>
      <c r="I192" s="123" t="s">
        <v>51</v>
      </c>
      <c r="J192" s="123"/>
      <c r="K192" s="123"/>
      <c r="L192" s="123"/>
      <c r="M192" s="123" t="s">
        <v>556</v>
      </c>
      <c r="N192" s="123"/>
      <c r="O192" s="123"/>
      <c r="P192" s="123"/>
      <c r="U192" s="46" t="s">
        <v>42</v>
      </c>
      <c r="W192" s="190"/>
      <c r="X192" s="72"/>
      <c r="Y192" s="169" t="str">
        <f t="shared" si="12"/>
        <v/>
      </c>
      <c r="Z192" s="169" t="str">
        <f t="shared" si="14"/>
        <v/>
      </c>
      <c r="AA192" s="72"/>
    </row>
    <row r="193" spans="1:27" s="74" customFormat="1" ht="64" x14ac:dyDescent="0.2">
      <c r="A193" s="78" t="s">
        <v>45</v>
      </c>
      <c r="B193" s="78" t="s">
        <v>557</v>
      </c>
      <c r="C193" s="79" t="s">
        <v>558</v>
      </c>
      <c r="D193" s="241" t="s">
        <v>559</v>
      </c>
      <c r="E193" s="97"/>
      <c r="H193" s="99"/>
      <c r="I193" s="120"/>
      <c r="J193" s="120"/>
      <c r="K193" s="120"/>
      <c r="L193" s="120"/>
      <c r="M193" s="120"/>
      <c r="N193" s="120"/>
      <c r="O193" s="120"/>
      <c r="P193" s="120"/>
      <c r="U193" s="74" t="s">
        <v>42</v>
      </c>
      <c r="W193" s="190">
        <v>7.5</v>
      </c>
      <c r="X193" s="106">
        <f>'Additional information'!$D$20</f>
        <v>0.05</v>
      </c>
      <c r="Y193" s="169">
        <f t="shared" si="12"/>
        <v>0.375</v>
      </c>
      <c r="Z193" s="169">
        <f t="shared" si="14"/>
        <v>0.375</v>
      </c>
    </row>
    <row r="194" spans="1:27" s="71" customFormat="1" x14ac:dyDescent="0.2">
      <c r="C194" s="93"/>
      <c r="D194" s="240"/>
      <c r="E194" s="69"/>
      <c r="H194" s="70"/>
      <c r="I194" s="124"/>
      <c r="J194" s="124"/>
      <c r="K194" s="124"/>
      <c r="L194" s="124"/>
      <c r="M194" s="124"/>
      <c r="N194" s="124"/>
      <c r="O194" s="124"/>
      <c r="P194" s="124"/>
      <c r="U194" s="46" t="s">
        <v>68</v>
      </c>
      <c r="W194" s="190" t="s">
        <v>68</v>
      </c>
      <c r="X194" s="106">
        <f>'Additional information'!$D$20</f>
        <v>0.05</v>
      </c>
      <c r="Y194" s="169" t="str">
        <f t="shared" si="12"/>
        <v/>
      </c>
      <c r="Z194" s="169" t="str">
        <f t="shared" si="14"/>
        <v/>
      </c>
      <c r="AA194" s="72"/>
    </row>
    <row r="195" spans="1:27" ht="16" x14ac:dyDescent="0.2">
      <c r="A195" s="73" t="s">
        <v>560</v>
      </c>
      <c r="B195" s="73" t="s">
        <v>561</v>
      </c>
      <c r="C195" s="45" t="s">
        <v>562</v>
      </c>
      <c r="D195" s="235" t="s">
        <v>563</v>
      </c>
      <c r="E195" s="86"/>
      <c r="F195" s="46" t="s">
        <v>564</v>
      </c>
      <c r="G195" s="46" t="s">
        <v>506</v>
      </c>
      <c r="H195" s="87"/>
      <c r="I195" s="118" t="s">
        <v>40</v>
      </c>
      <c r="J195" s="118"/>
      <c r="K195" s="118" t="s">
        <v>465</v>
      </c>
      <c r="L195" s="118"/>
      <c r="M195" s="118"/>
      <c r="N195" s="118"/>
      <c r="O195" s="118"/>
      <c r="P195" s="118"/>
      <c r="U195" s="46" t="s">
        <v>42</v>
      </c>
      <c r="W195" s="190">
        <v>19.090116500854492</v>
      </c>
      <c r="X195" s="106">
        <f>'Additional information'!$D$20</f>
        <v>0.05</v>
      </c>
      <c r="Y195" s="169">
        <f t="shared" si="12"/>
        <v>0.95450582504272463</v>
      </c>
      <c r="Z195" s="169">
        <f t="shared" si="14"/>
        <v>0.95450582504272463</v>
      </c>
    </row>
    <row r="196" spans="1:27" x14ac:dyDescent="0.2">
      <c r="D196" s="236"/>
      <c r="E196" s="86"/>
      <c r="H196" s="87"/>
      <c r="U196" s="46" t="s">
        <v>68</v>
      </c>
      <c r="W196" s="190" t="s">
        <v>68</v>
      </c>
      <c r="X196" s="106">
        <f>'Additional information'!$D$20</f>
        <v>0.05</v>
      </c>
      <c r="Y196" s="169" t="str">
        <f t="shared" si="12"/>
        <v/>
      </c>
      <c r="Z196" s="169" t="str">
        <f t="shared" si="14"/>
        <v/>
      </c>
    </row>
    <row r="197" spans="1:27" ht="32" x14ac:dyDescent="0.2">
      <c r="A197" s="73" t="s">
        <v>254</v>
      </c>
      <c r="B197" s="73" t="s">
        <v>565</v>
      </c>
      <c r="C197" s="45" t="s">
        <v>566</v>
      </c>
      <c r="D197" s="235" t="s">
        <v>567</v>
      </c>
      <c r="E197" s="86"/>
      <c r="H197" s="87"/>
      <c r="I197" s="118" t="s">
        <v>40</v>
      </c>
      <c r="J197" s="118"/>
      <c r="K197" s="118"/>
      <c r="L197" s="118"/>
      <c r="M197" s="118"/>
      <c r="N197" s="118"/>
      <c r="O197" s="118"/>
      <c r="P197" s="118"/>
      <c r="U197" s="46" t="s">
        <v>42</v>
      </c>
      <c r="W197" s="190">
        <v>17.656976699829102</v>
      </c>
      <c r="X197" s="106">
        <f>'Additional information'!$D$20</f>
        <v>0.05</v>
      </c>
      <c r="Y197" s="169">
        <f t="shared" si="12"/>
        <v>0.88284883499145517</v>
      </c>
      <c r="Z197" s="169">
        <f t="shared" si="14"/>
        <v>0.88284883499145517</v>
      </c>
    </row>
    <row r="198" spans="1:27" x14ac:dyDescent="0.2">
      <c r="D198" s="240"/>
      <c r="E198" s="86"/>
      <c r="H198" s="87"/>
      <c r="U198" s="46" t="s">
        <v>68</v>
      </c>
      <c r="W198" s="190" t="s">
        <v>68</v>
      </c>
      <c r="X198" s="106">
        <f>'Additional information'!$D$20</f>
        <v>0.05</v>
      </c>
      <c r="Y198" s="169" t="str">
        <f t="shared" si="12"/>
        <v/>
      </c>
      <c r="Z198" s="169" t="str">
        <f t="shared" si="14"/>
        <v/>
      </c>
    </row>
    <row r="199" spans="1:27" ht="32" x14ac:dyDescent="0.2">
      <c r="A199" s="73" t="s">
        <v>142</v>
      </c>
      <c r="B199" s="73" t="s">
        <v>568</v>
      </c>
      <c r="C199" s="45" t="s">
        <v>569</v>
      </c>
      <c r="D199" s="235" t="s">
        <v>570</v>
      </c>
      <c r="E199" s="86"/>
      <c r="H199" s="87"/>
      <c r="I199" s="118" t="s">
        <v>40</v>
      </c>
      <c r="J199" s="118"/>
      <c r="K199" s="118"/>
      <c r="L199" s="118"/>
      <c r="M199" s="118"/>
      <c r="N199" s="118"/>
      <c r="O199" s="118"/>
      <c r="P199" s="118"/>
      <c r="U199" s="46" t="s">
        <v>42</v>
      </c>
      <c r="W199" s="191">
        <v>8.7647056579589844</v>
      </c>
      <c r="X199" s="106">
        <f>'Additional information'!$D$20</f>
        <v>0.05</v>
      </c>
      <c r="Y199" s="169">
        <f t="shared" si="12"/>
        <v>0.43823528289794922</v>
      </c>
      <c r="Z199" s="169">
        <f t="shared" si="14"/>
        <v>0.43823528289794922</v>
      </c>
    </row>
    <row r="200" spans="1:27" ht="32" x14ac:dyDescent="0.2">
      <c r="A200" s="73" t="s">
        <v>571</v>
      </c>
      <c r="B200" s="73" t="s">
        <v>572</v>
      </c>
      <c r="C200" s="45" t="s">
        <v>573</v>
      </c>
      <c r="D200" s="235" t="s">
        <v>574</v>
      </c>
      <c r="E200" s="86"/>
      <c r="F200" s="46" t="s">
        <v>425</v>
      </c>
      <c r="G200" s="46" t="s">
        <v>575</v>
      </c>
      <c r="H200" s="87"/>
      <c r="I200" s="118"/>
      <c r="J200" s="118"/>
      <c r="K200" s="120" t="s">
        <v>465</v>
      </c>
      <c r="L200" s="118"/>
      <c r="M200" s="120" t="s">
        <v>576</v>
      </c>
      <c r="N200" s="118"/>
      <c r="O200" s="118"/>
      <c r="P200" s="118"/>
      <c r="U200" s="46" t="s">
        <v>42</v>
      </c>
      <c r="W200" s="191">
        <v>27.953845977783203</v>
      </c>
      <c r="X200" s="106">
        <f>'Additional information'!$D$20</f>
        <v>0.05</v>
      </c>
      <c r="Y200" s="169">
        <f t="shared" si="12"/>
        <v>1.3976922988891602</v>
      </c>
      <c r="Z200" s="169">
        <f t="shared" si="14"/>
        <v>1.3976922988891602</v>
      </c>
    </row>
    <row r="201" spans="1:27" ht="16" x14ac:dyDescent="0.2">
      <c r="A201" s="73" t="s">
        <v>73</v>
      </c>
      <c r="B201" s="73" t="s">
        <v>577</v>
      </c>
      <c r="C201" s="79" t="s">
        <v>330</v>
      </c>
      <c r="D201" s="45" t="s">
        <v>331</v>
      </c>
      <c r="E201" s="97"/>
      <c r="F201" s="74" t="s">
        <v>332</v>
      </c>
      <c r="G201" s="74" t="s">
        <v>333</v>
      </c>
      <c r="H201" s="87"/>
      <c r="I201" s="118" t="s">
        <v>40</v>
      </c>
      <c r="J201" s="118"/>
      <c r="K201" s="118"/>
      <c r="L201" s="118"/>
      <c r="M201" s="118" t="s">
        <v>578</v>
      </c>
      <c r="N201" s="118"/>
      <c r="O201" s="118"/>
      <c r="P201" s="118"/>
      <c r="U201" s="46" t="s">
        <v>42</v>
      </c>
      <c r="W201" s="190"/>
      <c r="X201" s="106">
        <f>'Additional information'!$D$20</f>
        <v>0.05</v>
      </c>
      <c r="Y201" s="169" t="str">
        <f t="shared" si="12"/>
        <v/>
      </c>
      <c r="Z201" s="169" t="str">
        <f t="shared" si="14"/>
        <v/>
      </c>
    </row>
    <row r="202" spans="1:27" x14ac:dyDescent="0.2">
      <c r="E202" s="86"/>
      <c r="H202" s="87"/>
      <c r="U202" s="46" t="s">
        <v>68</v>
      </c>
      <c r="W202" s="190" t="s">
        <v>68</v>
      </c>
      <c r="X202" s="106">
        <f>'Additional information'!$D$20</f>
        <v>0.05</v>
      </c>
      <c r="Y202" s="169" t="str">
        <f t="shared" si="12"/>
        <v/>
      </c>
      <c r="Z202" s="169" t="str">
        <f t="shared" si="14"/>
        <v/>
      </c>
    </row>
    <row r="203" spans="1:27" s="75" customFormat="1" ht="32" x14ac:dyDescent="0.2">
      <c r="A203" s="75" t="s">
        <v>579</v>
      </c>
      <c r="B203" s="75" t="s">
        <v>580</v>
      </c>
      <c r="C203" s="76" t="s">
        <v>581</v>
      </c>
      <c r="D203" s="76" t="s">
        <v>582</v>
      </c>
      <c r="E203" s="77"/>
      <c r="F203" s="75" t="s">
        <v>564</v>
      </c>
      <c r="G203" s="75" t="s">
        <v>328</v>
      </c>
      <c r="H203" s="81"/>
      <c r="I203" s="119" t="s">
        <v>40</v>
      </c>
      <c r="J203" s="119"/>
      <c r="K203" s="119" t="s">
        <v>465</v>
      </c>
      <c r="L203" s="119"/>
      <c r="M203" s="119" t="s">
        <v>583</v>
      </c>
      <c r="N203" s="119"/>
      <c r="O203" s="119"/>
      <c r="P203" s="119"/>
      <c r="U203" s="75" t="s">
        <v>52</v>
      </c>
      <c r="W203" s="190">
        <v>21.25</v>
      </c>
      <c r="X203" s="106">
        <f>'Additional information'!$D$20</f>
        <v>0.05</v>
      </c>
      <c r="Y203" s="169">
        <f t="shared" si="12"/>
        <v>1.0625</v>
      </c>
      <c r="Z203" s="169" t="str">
        <f t="shared" si="14"/>
        <v/>
      </c>
      <c r="AA203" s="74"/>
    </row>
    <row r="204" spans="1:27" s="75" customFormat="1" ht="16" x14ac:dyDescent="0.2">
      <c r="A204" s="75" t="s">
        <v>73</v>
      </c>
      <c r="B204" s="75" t="s">
        <v>584</v>
      </c>
      <c r="C204" s="76" t="s">
        <v>330</v>
      </c>
      <c r="D204" s="76" t="s">
        <v>331</v>
      </c>
      <c r="E204" s="77"/>
      <c r="F204" s="75" t="s">
        <v>332</v>
      </c>
      <c r="G204" s="75" t="s">
        <v>333</v>
      </c>
      <c r="H204" s="81"/>
      <c r="I204" s="119" t="s">
        <v>40</v>
      </c>
      <c r="J204" s="119"/>
      <c r="K204" s="119"/>
      <c r="L204" s="119"/>
      <c r="M204" s="119" t="s">
        <v>585</v>
      </c>
      <c r="N204" s="119"/>
      <c r="O204" s="119"/>
      <c r="P204" s="119"/>
      <c r="U204" s="75" t="s">
        <v>52</v>
      </c>
      <c r="W204" s="190"/>
      <c r="X204" s="106">
        <f>'Additional information'!$D$20</f>
        <v>0.05</v>
      </c>
      <c r="Y204" s="169" t="str">
        <f t="shared" si="12"/>
        <v/>
      </c>
      <c r="Z204" s="169" t="str">
        <f t="shared" si="14"/>
        <v/>
      </c>
      <c r="AA204" s="74"/>
    </row>
    <row r="205" spans="1:27" s="75" customFormat="1" x14ac:dyDescent="0.2">
      <c r="C205" s="76"/>
      <c r="D205" s="76"/>
      <c r="E205" s="77"/>
      <c r="H205" s="81"/>
      <c r="I205" s="119"/>
      <c r="J205" s="119"/>
      <c r="K205" s="119"/>
      <c r="L205" s="119"/>
      <c r="M205" s="119"/>
      <c r="N205" s="119"/>
      <c r="O205" s="119"/>
      <c r="P205" s="119"/>
      <c r="U205" s="75" t="s">
        <v>68</v>
      </c>
      <c r="W205" s="190" t="s">
        <v>68</v>
      </c>
      <c r="X205" s="106">
        <f>'Additional information'!$D$20</f>
        <v>0.05</v>
      </c>
      <c r="Y205" s="169" t="str">
        <f t="shared" si="12"/>
        <v/>
      </c>
      <c r="Z205" s="169" t="str">
        <f t="shared" si="14"/>
        <v/>
      </c>
      <c r="AA205" s="74"/>
    </row>
    <row r="206" spans="1:27" ht="16" thickBot="1" x14ac:dyDescent="0.25">
      <c r="A206" s="95" t="s">
        <v>148</v>
      </c>
      <c r="B206" s="95"/>
      <c r="C206" s="96"/>
      <c r="D206" s="96"/>
      <c r="E206" s="90"/>
      <c r="F206" s="95"/>
      <c r="G206" s="95"/>
      <c r="H206" s="91"/>
      <c r="I206" s="129"/>
      <c r="J206" s="129"/>
      <c r="K206" s="129"/>
      <c r="L206" s="129"/>
      <c r="M206" s="129"/>
      <c r="N206" s="129"/>
      <c r="O206" s="129"/>
      <c r="P206" s="129"/>
      <c r="W206" s="190" t="s">
        <v>68</v>
      </c>
      <c r="Y206" s="169" t="str">
        <f t="shared" si="12"/>
        <v/>
      </c>
      <c r="Z206" s="169" t="str">
        <f t="shared" si="14"/>
        <v/>
      </c>
    </row>
    <row r="207" spans="1:27" s="71" customFormat="1" ht="17" thickTop="1" x14ac:dyDescent="0.2">
      <c r="A207" s="68" t="s">
        <v>69</v>
      </c>
      <c r="B207" s="68" t="s">
        <v>586</v>
      </c>
      <c r="C207" s="92" t="s">
        <v>587</v>
      </c>
      <c r="D207" s="230" t="s">
        <v>588</v>
      </c>
      <c r="E207" s="69"/>
      <c r="F207" s="68"/>
      <c r="G207" s="68"/>
      <c r="H207" s="70"/>
      <c r="I207" s="123" t="s">
        <v>51</v>
      </c>
      <c r="J207" s="123"/>
      <c r="K207" s="123"/>
      <c r="L207" s="123"/>
      <c r="M207" s="123" t="s">
        <v>589</v>
      </c>
      <c r="N207" s="123"/>
      <c r="O207" s="123"/>
      <c r="P207" s="123"/>
      <c r="U207" s="46" t="s">
        <v>42</v>
      </c>
      <c r="W207" s="190"/>
      <c r="X207" s="72"/>
      <c r="Y207" s="169" t="str">
        <f t="shared" ref="Y207:Y270" si="15">IF(W207&lt;&gt;"",W207*X207,"")</f>
        <v/>
      </c>
      <c r="Z207" s="169" t="str">
        <f t="shared" si="14"/>
        <v/>
      </c>
      <c r="AA207" s="72"/>
    </row>
    <row r="208" spans="1:27" s="71" customFormat="1" x14ac:dyDescent="0.2">
      <c r="C208" s="93"/>
      <c r="D208" s="93"/>
      <c r="E208" s="69"/>
      <c r="H208" s="70"/>
      <c r="I208" s="124"/>
      <c r="J208" s="124"/>
      <c r="K208" s="124"/>
      <c r="L208" s="124"/>
      <c r="M208" s="124"/>
      <c r="N208" s="124"/>
      <c r="O208" s="124"/>
      <c r="P208" s="124"/>
      <c r="U208" s="46" t="s">
        <v>68</v>
      </c>
      <c r="W208" s="190" t="s">
        <v>68</v>
      </c>
      <c r="X208" s="106">
        <f>'Additional information'!$D$20</f>
        <v>0.05</v>
      </c>
      <c r="Y208" s="169" t="str">
        <f t="shared" si="15"/>
        <v/>
      </c>
      <c r="Z208" s="169" t="str">
        <f t="shared" si="14"/>
        <v/>
      </c>
      <c r="AA208" s="72"/>
    </row>
    <row r="209" spans="1:27" s="71" customFormat="1" ht="32" x14ac:dyDescent="0.2">
      <c r="A209" s="73" t="s">
        <v>590</v>
      </c>
      <c r="B209" s="73" t="s">
        <v>591</v>
      </c>
      <c r="C209" s="45" t="s">
        <v>592</v>
      </c>
      <c r="D209" s="45" t="s">
        <v>593</v>
      </c>
      <c r="E209" s="86"/>
      <c r="F209" s="73"/>
      <c r="G209" s="73"/>
      <c r="H209" s="87"/>
      <c r="I209" s="118" t="s">
        <v>40</v>
      </c>
      <c r="J209" s="123"/>
      <c r="K209" s="123"/>
      <c r="L209" s="123"/>
      <c r="M209" s="123"/>
      <c r="N209" s="123"/>
      <c r="O209" s="123"/>
      <c r="P209" s="123"/>
      <c r="U209" s="46" t="s">
        <v>42</v>
      </c>
      <c r="W209" s="190">
        <v>14.384955406188965</v>
      </c>
      <c r="X209" s="106">
        <f>'Additional information'!$D$20</f>
        <v>0.05</v>
      </c>
      <c r="Y209" s="169">
        <f t="shared" si="15"/>
        <v>0.71924777030944831</v>
      </c>
      <c r="Z209" s="169">
        <f t="shared" si="14"/>
        <v>0.71924777030944831</v>
      </c>
      <c r="AA209" s="72"/>
    </row>
    <row r="210" spans="1:27" x14ac:dyDescent="0.2">
      <c r="A210" s="73" t="s">
        <v>26</v>
      </c>
      <c r="B210" s="73" t="s">
        <v>594</v>
      </c>
      <c r="C210" s="45"/>
      <c r="D210" s="45"/>
      <c r="E210" s="86"/>
      <c r="F210" s="73"/>
      <c r="G210" s="73"/>
      <c r="H210" s="87"/>
      <c r="I210" s="118"/>
      <c r="J210" s="118"/>
      <c r="K210" s="118"/>
      <c r="L210" s="118"/>
      <c r="M210" s="118"/>
      <c r="N210" s="118"/>
      <c r="O210" s="118"/>
      <c r="P210" s="118" t="s">
        <v>595</v>
      </c>
      <c r="U210" s="46" t="s">
        <v>42</v>
      </c>
      <c r="W210" s="190"/>
      <c r="X210" s="106">
        <f>'Additional information'!$D$20</f>
        <v>0.05</v>
      </c>
      <c r="Y210" s="169" t="str">
        <f t="shared" si="15"/>
        <v/>
      </c>
      <c r="Z210" s="169" t="str">
        <f t="shared" si="14"/>
        <v/>
      </c>
    </row>
    <row r="211" spans="1:27" ht="16" x14ac:dyDescent="0.2">
      <c r="A211" s="73" t="s">
        <v>73</v>
      </c>
      <c r="B211" s="73" t="s">
        <v>596</v>
      </c>
      <c r="C211" s="79" t="s">
        <v>330</v>
      </c>
      <c r="D211" s="45" t="s">
        <v>331</v>
      </c>
      <c r="E211" s="97"/>
      <c r="F211" s="74" t="s">
        <v>332</v>
      </c>
      <c r="G211" s="74" t="s">
        <v>597</v>
      </c>
      <c r="H211" s="87"/>
      <c r="I211" s="118" t="s">
        <v>40</v>
      </c>
      <c r="J211" s="118"/>
      <c r="K211" s="118"/>
      <c r="L211" s="118"/>
      <c r="M211" s="120" t="s">
        <v>598</v>
      </c>
      <c r="N211" s="118"/>
      <c r="O211" s="118"/>
      <c r="P211" s="118"/>
      <c r="U211" s="46" t="s">
        <v>42</v>
      </c>
      <c r="W211" s="190"/>
      <c r="X211" s="106">
        <f>'Additional information'!$D$20</f>
        <v>0.05</v>
      </c>
      <c r="Y211" s="169" t="str">
        <f t="shared" si="15"/>
        <v/>
      </c>
      <c r="Z211" s="169" t="str">
        <f t="shared" si="14"/>
        <v/>
      </c>
    </row>
    <row r="212" spans="1:27" x14ac:dyDescent="0.2">
      <c r="D212" s="46"/>
      <c r="E212" s="86"/>
      <c r="H212" s="87"/>
      <c r="M212" s="130"/>
      <c r="U212" s="46" t="s">
        <v>68</v>
      </c>
      <c r="W212" s="190" t="s">
        <v>68</v>
      </c>
      <c r="X212" s="106">
        <f>'Additional information'!$D$20</f>
        <v>0.05</v>
      </c>
      <c r="Y212" s="169" t="str">
        <f t="shared" si="15"/>
        <v/>
      </c>
      <c r="Z212" s="169" t="str">
        <f t="shared" si="14"/>
        <v/>
      </c>
    </row>
    <row r="213" spans="1:27" ht="32" x14ac:dyDescent="0.2">
      <c r="A213" s="73" t="s">
        <v>142</v>
      </c>
      <c r="B213" s="73" t="s">
        <v>599</v>
      </c>
      <c r="C213" s="45" t="s">
        <v>600</v>
      </c>
      <c r="D213" s="45" t="s">
        <v>601</v>
      </c>
      <c r="E213" s="86"/>
      <c r="F213" s="73"/>
      <c r="G213" s="73"/>
      <c r="H213" s="87"/>
      <c r="I213" s="118" t="s">
        <v>40</v>
      </c>
      <c r="J213" s="118"/>
      <c r="K213" s="118"/>
      <c r="L213" s="118"/>
      <c r="M213" s="118"/>
      <c r="N213" s="118"/>
      <c r="O213" s="118"/>
      <c r="P213" s="118"/>
      <c r="U213" s="46" t="s">
        <v>42</v>
      </c>
      <c r="W213" s="190">
        <v>9.4380531311035156</v>
      </c>
      <c r="X213" s="106">
        <f>'Additional information'!$D$20</f>
        <v>0.05</v>
      </c>
      <c r="Y213" s="169">
        <f t="shared" si="15"/>
        <v>0.47190265655517583</v>
      </c>
      <c r="Z213" s="169">
        <f t="shared" si="14"/>
        <v>0.47190265655517583</v>
      </c>
    </row>
    <row r="214" spans="1:27" ht="32" x14ac:dyDescent="0.2">
      <c r="A214" s="73" t="s">
        <v>602</v>
      </c>
      <c r="B214" s="73" t="s">
        <v>603</v>
      </c>
      <c r="C214" s="45" t="s">
        <v>604</v>
      </c>
      <c r="D214" s="45" t="s">
        <v>605</v>
      </c>
      <c r="E214" s="86"/>
      <c r="F214" s="73" t="s">
        <v>327</v>
      </c>
      <c r="G214" s="73" t="s">
        <v>606</v>
      </c>
      <c r="H214" s="87"/>
      <c r="I214" s="118" t="s">
        <v>40</v>
      </c>
      <c r="J214" s="118"/>
      <c r="K214" s="120" t="s">
        <v>465</v>
      </c>
      <c r="L214" s="118"/>
      <c r="M214" s="120" t="s">
        <v>607</v>
      </c>
      <c r="N214" s="118"/>
      <c r="O214" s="118"/>
      <c r="P214" s="118"/>
      <c r="U214" s="46" t="s">
        <v>42</v>
      </c>
      <c r="W214" s="190">
        <v>27.766990661621094</v>
      </c>
      <c r="X214" s="106">
        <f>'Additional information'!$D$20</f>
        <v>0.05</v>
      </c>
      <c r="Y214" s="169">
        <f t="shared" si="15"/>
        <v>1.3883495330810547</v>
      </c>
      <c r="Z214" s="169">
        <f t="shared" si="14"/>
        <v>1.3883495330810547</v>
      </c>
    </row>
    <row r="215" spans="1:27" ht="16" x14ac:dyDescent="0.2">
      <c r="A215" s="73" t="s">
        <v>73</v>
      </c>
      <c r="B215" s="73" t="s">
        <v>608</v>
      </c>
      <c r="C215" s="79" t="s">
        <v>330</v>
      </c>
      <c r="D215" s="45" t="s">
        <v>331</v>
      </c>
      <c r="E215" s="97"/>
      <c r="F215" s="74" t="s">
        <v>332</v>
      </c>
      <c r="G215" s="74" t="s">
        <v>333</v>
      </c>
      <c r="H215" s="87"/>
      <c r="I215" s="118" t="s">
        <v>40</v>
      </c>
      <c r="J215" s="118"/>
      <c r="K215" s="118"/>
      <c r="L215" s="118"/>
      <c r="M215" s="120" t="s">
        <v>609</v>
      </c>
      <c r="N215" s="118"/>
      <c r="O215" s="118"/>
      <c r="P215" s="118"/>
      <c r="U215" s="46" t="s">
        <v>42</v>
      </c>
      <c r="W215" s="190"/>
      <c r="X215" s="106">
        <f>'Additional information'!$D$20</f>
        <v>0.05</v>
      </c>
      <c r="Y215" s="169" t="str">
        <f t="shared" si="15"/>
        <v/>
      </c>
      <c r="Z215" s="169" t="str">
        <f t="shared" si="14"/>
        <v/>
      </c>
    </row>
    <row r="216" spans="1:27" x14ac:dyDescent="0.2">
      <c r="E216" s="86"/>
      <c r="H216" s="87"/>
      <c r="M216" s="130"/>
      <c r="U216" s="46" t="s">
        <v>68</v>
      </c>
      <c r="W216" s="190" t="s">
        <v>68</v>
      </c>
      <c r="X216" s="106">
        <f>'Additional information'!$D$20</f>
        <v>0.05</v>
      </c>
      <c r="Y216" s="169" t="str">
        <f t="shared" si="15"/>
        <v/>
      </c>
      <c r="Z216" s="169" t="str">
        <f t="shared" si="14"/>
        <v/>
      </c>
    </row>
    <row r="217" spans="1:27" ht="48" x14ac:dyDescent="0.2">
      <c r="A217" s="73" t="s">
        <v>254</v>
      </c>
      <c r="B217" s="73" t="s">
        <v>610</v>
      </c>
      <c r="C217" s="79" t="s">
        <v>611</v>
      </c>
      <c r="D217" s="45" t="s">
        <v>612</v>
      </c>
      <c r="E217" s="86"/>
      <c r="F217" s="73" t="s">
        <v>470</v>
      </c>
      <c r="G217" s="73" t="s">
        <v>552</v>
      </c>
      <c r="H217" s="87"/>
      <c r="I217" s="118" t="s">
        <v>40</v>
      </c>
      <c r="J217" s="118"/>
      <c r="K217" s="118"/>
      <c r="L217" s="118"/>
      <c r="M217" s="120"/>
      <c r="N217" s="118"/>
      <c r="O217" s="118"/>
      <c r="P217" s="118"/>
      <c r="U217" s="46" t="s">
        <v>42</v>
      </c>
      <c r="W217" s="190">
        <v>13.705752372741699</v>
      </c>
      <c r="X217" s="106">
        <f>'Additional information'!$D$20</f>
        <v>0.05</v>
      </c>
      <c r="Y217" s="169">
        <f t="shared" si="15"/>
        <v>0.68528761863708498</v>
      </c>
      <c r="Z217" s="169">
        <f t="shared" si="14"/>
        <v>0.68528761863708498</v>
      </c>
    </row>
    <row r="218" spans="1:27" x14ac:dyDescent="0.2">
      <c r="C218" s="48"/>
      <c r="D218" s="48"/>
      <c r="E218" s="86"/>
      <c r="H218" s="87"/>
      <c r="M218" s="130"/>
      <c r="U218" s="46" t="s">
        <v>68</v>
      </c>
      <c r="W218" s="190" t="s">
        <v>68</v>
      </c>
      <c r="X218" s="106">
        <f>'Additional information'!$D$20</f>
        <v>0.05</v>
      </c>
      <c r="Y218" s="169" t="str">
        <f t="shared" si="15"/>
        <v/>
      </c>
      <c r="Z218" s="169" t="str">
        <f t="shared" si="14"/>
        <v/>
      </c>
    </row>
    <row r="219" spans="1:27" ht="16" thickBot="1" x14ac:dyDescent="0.25">
      <c r="A219" s="100" t="s">
        <v>148</v>
      </c>
      <c r="B219" s="100"/>
      <c r="C219" s="101"/>
      <c r="D219" s="101"/>
      <c r="E219" s="110"/>
      <c r="F219" s="100"/>
      <c r="G219" s="100"/>
      <c r="H219" s="111"/>
      <c r="I219" s="131"/>
      <c r="J219" s="131"/>
      <c r="K219" s="131"/>
      <c r="L219" s="131"/>
      <c r="M219" s="131"/>
      <c r="N219" s="131"/>
      <c r="O219" s="131"/>
      <c r="P219" s="131"/>
      <c r="W219" s="190" t="s">
        <v>68</v>
      </c>
      <c r="Y219" s="169" t="str">
        <f t="shared" si="15"/>
        <v/>
      </c>
      <c r="Z219" s="169" t="str">
        <f t="shared" ref="Z219:Z250" si="16">IF(AND(W219&lt;&gt;"",U219="yes"),W219*X219,"")</f>
        <v/>
      </c>
    </row>
    <row r="220" spans="1:27" s="71" customFormat="1" ht="17" thickTop="1" x14ac:dyDescent="0.2">
      <c r="A220" s="68" t="s">
        <v>69</v>
      </c>
      <c r="B220" s="68" t="s">
        <v>613</v>
      </c>
      <c r="C220" s="92" t="s">
        <v>614</v>
      </c>
      <c r="D220" s="230" t="s">
        <v>615</v>
      </c>
      <c r="E220" s="69"/>
      <c r="F220" s="68"/>
      <c r="G220" s="68"/>
      <c r="H220" s="70"/>
      <c r="I220" s="123" t="s">
        <v>51</v>
      </c>
      <c r="J220" s="123"/>
      <c r="K220" s="123"/>
      <c r="L220" s="123"/>
      <c r="M220" s="123" t="s">
        <v>152</v>
      </c>
      <c r="N220" s="123"/>
      <c r="O220" s="123"/>
      <c r="P220" s="123"/>
      <c r="U220" s="46" t="s">
        <v>42</v>
      </c>
      <c r="W220" s="190"/>
      <c r="X220" s="72"/>
      <c r="Y220" s="169" t="str">
        <f t="shared" si="15"/>
        <v/>
      </c>
      <c r="Z220" s="169" t="str">
        <f t="shared" si="16"/>
        <v/>
      </c>
      <c r="AA220" s="72"/>
    </row>
    <row r="221" spans="1:27" x14ac:dyDescent="0.2">
      <c r="C221" s="48"/>
      <c r="D221" s="48"/>
      <c r="E221" s="86"/>
      <c r="H221" s="87"/>
      <c r="M221" s="130"/>
      <c r="U221" s="46" t="s">
        <v>68</v>
      </c>
      <c r="W221" s="190" t="s">
        <v>68</v>
      </c>
      <c r="X221" s="106">
        <v>1</v>
      </c>
      <c r="Y221" s="169" t="str">
        <f t="shared" si="15"/>
        <v/>
      </c>
      <c r="Z221" s="169" t="str">
        <f t="shared" si="16"/>
        <v/>
      </c>
    </row>
    <row r="222" spans="1:27" s="71" customFormat="1" ht="48" x14ac:dyDescent="0.2">
      <c r="A222" s="73" t="s">
        <v>45</v>
      </c>
      <c r="B222" s="73" t="s">
        <v>616</v>
      </c>
      <c r="C222" s="45" t="s">
        <v>617</v>
      </c>
      <c r="D222" s="237" t="s">
        <v>618</v>
      </c>
      <c r="E222" s="69"/>
      <c r="H222" s="70"/>
      <c r="I222" s="123"/>
      <c r="J222" s="123"/>
      <c r="K222" s="123"/>
      <c r="L222" s="123"/>
      <c r="M222" s="123"/>
      <c r="N222" s="123"/>
      <c r="O222" s="123"/>
      <c r="P222" s="123"/>
      <c r="U222" s="46" t="s">
        <v>52</v>
      </c>
      <c r="W222" s="190"/>
      <c r="X222" s="107">
        <v>1</v>
      </c>
      <c r="Y222" s="169" t="str">
        <f t="shared" si="15"/>
        <v/>
      </c>
      <c r="Z222" s="169" t="str">
        <f t="shared" si="16"/>
        <v/>
      </c>
      <c r="AA222" s="72"/>
    </row>
    <row r="223" spans="1:27" x14ac:dyDescent="0.2">
      <c r="C223" s="48"/>
      <c r="D223" s="48"/>
      <c r="E223" s="86"/>
      <c r="H223" s="87"/>
      <c r="M223" s="130"/>
      <c r="W223" s="190" t="s">
        <v>68</v>
      </c>
      <c r="X223" s="106">
        <v>1</v>
      </c>
      <c r="Y223" s="169" t="str">
        <f t="shared" si="15"/>
        <v/>
      </c>
      <c r="Z223" s="169" t="str">
        <f t="shared" si="16"/>
        <v/>
      </c>
    </row>
    <row r="224" spans="1:27" s="71" customFormat="1" ht="16" x14ac:dyDescent="0.2">
      <c r="A224" s="73" t="s">
        <v>69</v>
      </c>
      <c r="B224" s="73" t="s">
        <v>619</v>
      </c>
      <c r="C224" s="92" t="s">
        <v>620</v>
      </c>
      <c r="D224" s="6" t="s">
        <v>620</v>
      </c>
      <c r="E224" s="69"/>
      <c r="F224" s="68"/>
      <c r="G224" s="68"/>
      <c r="H224" s="70"/>
      <c r="I224" s="123"/>
      <c r="J224" s="123"/>
      <c r="K224" s="123"/>
      <c r="L224" s="123"/>
      <c r="M224" s="123"/>
      <c r="N224" s="123"/>
      <c r="O224" s="123"/>
      <c r="P224" s="123"/>
      <c r="U224" s="46"/>
      <c r="W224" s="190"/>
      <c r="X224" s="107">
        <v>1</v>
      </c>
      <c r="Y224" s="169" t="str">
        <f t="shared" si="15"/>
        <v/>
      </c>
      <c r="Z224" s="169" t="str">
        <f t="shared" si="16"/>
        <v/>
      </c>
      <c r="AA224" s="72"/>
    </row>
    <row r="225" spans="1:26" ht="32" x14ac:dyDescent="0.2">
      <c r="A225" s="73" t="s">
        <v>45</v>
      </c>
      <c r="B225" s="73" t="s">
        <v>621</v>
      </c>
      <c r="C225" s="45" t="s">
        <v>622</v>
      </c>
      <c r="D225" s="45" t="s">
        <v>623</v>
      </c>
      <c r="E225" s="86"/>
      <c r="F225" s="73"/>
      <c r="G225" s="73"/>
      <c r="H225" s="87"/>
      <c r="I225" s="118" t="s">
        <v>51</v>
      </c>
      <c r="J225" s="118"/>
      <c r="K225" s="118"/>
      <c r="L225" s="118"/>
      <c r="M225" s="118"/>
      <c r="N225" s="118"/>
      <c r="O225" s="118"/>
      <c r="P225" s="118"/>
      <c r="U225" s="46" t="s">
        <v>42</v>
      </c>
      <c r="W225" s="190">
        <v>12.77690315246582</v>
      </c>
      <c r="X225" s="107">
        <v>1</v>
      </c>
      <c r="Y225" s="169">
        <f t="shared" si="15"/>
        <v>12.77690315246582</v>
      </c>
      <c r="Z225" s="169">
        <f t="shared" si="16"/>
        <v>12.77690315246582</v>
      </c>
    </row>
    <row r="226" spans="1:26" ht="48" x14ac:dyDescent="0.2">
      <c r="A226" s="73" t="s">
        <v>142</v>
      </c>
      <c r="B226" s="73" t="s">
        <v>624</v>
      </c>
      <c r="C226" s="45" t="s">
        <v>625</v>
      </c>
      <c r="D226" s="235" t="s">
        <v>626</v>
      </c>
      <c r="E226" s="86"/>
      <c r="F226" s="73"/>
      <c r="G226" s="73"/>
      <c r="H226" s="87"/>
      <c r="I226" s="118" t="s">
        <v>40</v>
      </c>
      <c r="J226" s="118"/>
      <c r="K226" s="118"/>
      <c r="L226" s="118"/>
      <c r="M226" s="118"/>
      <c r="N226" s="118"/>
      <c r="O226" s="118"/>
      <c r="P226" s="118"/>
      <c r="U226" s="46" t="s">
        <v>42</v>
      </c>
      <c r="W226" s="190">
        <v>21.398605346679688</v>
      </c>
      <c r="X226" s="107">
        <v>1</v>
      </c>
      <c r="Y226" s="169">
        <f t="shared" si="15"/>
        <v>21.398605346679688</v>
      </c>
      <c r="Z226" s="169">
        <f t="shared" si="16"/>
        <v>21.398605346679688</v>
      </c>
    </row>
    <row r="227" spans="1:26" ht="48" x14ac:dyDescent="0.2">
      <c r="A227" s="73" t="s">
        <v>142</v>
      </c>
      <c r="B227" s="73" t="s">
        <v>627</v>
      </c>
      <c r="C227" s="45" t="s">
        <v>628</v>
      </c>
      <c r="D227" s="235" t="s">
        <v>629</v>
      </c>
      <c r="E227" s="86"/>
      <c r="F227" s="73"/>
      <c r="G227" s="73"/>
      <c r="H227" s="87"/>
      <c r="I227" s="118" t="s">
        <v>40</v>
      </c>
      <c r="J227" s="118"/>
      <c r="K227" s="118"/>
      <c r="L227" s="118"/>
      <c r="M227" s="118"/>
      <c r="N227" s="118"/>
      <c r="O227" s="118"/>
      <c r="P227" s="118"/>
      <c r="U227" s="46" t="s">
        <v>42</v>
      </c>
      <c r="W227" s="190">
        <v>14.980740547180176</v>
      </c>
      <c r="X227" s="107">
        <v>1</v>
      </c>
      <c r="Y227" s="169">
        <f t="shared" si="15"/>
        <v>14.980740547180176</v>
      </c>
      <c r="Z227" s="169">
        <f t="shared" si="16"/>
        <v>14.980740547180176</v>
      </c>
    </row>
    <row r="228" spans="1:26" ht="48" x14ac:dyDescent="0.2">
      <c r="A228" s="73" t="s">
        <v>142</v>
      </c>
      <c r="B228" s="73" t="s">
        <v>630</v>
      </c>
      <c r="C228" s="45" t="s">
        <v>631</v>
      </c>
      <c r="D228" s="235" t="s">
        <v>632</v>
      </c>
      <c r="E228" s="86"/>
      <c r="F228" s="73"/>
      <c r="G228" s="73"/>
      <c r="H228" s="87"/>
      <c r="I228" s="118" t="s">
        <v>40</v>
      </c>
      <c r="J228" s="118"/>
      <c r="K228" s="118"/>
      <c r="L228" s="118"/>
      <c r="M228" s="118"/>
      <c r="N228" s="118"/>
      <c r="O228" s="118"/>
      <c r="P228" s="118"/>
      <c r="U228" s="46" t="s">
        <v>42</v>
      </c>
      <c r="W228" s="190">
        <v>13.723021507263184</v>
      </c>
      <c r="X228" s="107">
        <v>1</v>
      </c>
      <c r="Y228" s="169">
        <f t="shared" si="15"/>
        <v>13.723021507263184</v>
      </c>
      <c r="Z228" s="169">
        <f t="shared" si="16"/>
        <v>13.723021507263184</v>
      </c>
    </row>
    <row r="229" spans="1:26" ht="48" x14ac:dyDescent="0.2">
      <c r="A229" s="73" t="s">
        <v>142</v>
      </c>
      <c r="B229" s="73" t="s">
        <v>633</v>
      </c>
      <c r="C229" s="45" t="s">
        <v>634</v>
      </c>
      <c r="D229" s="235" t="s">
        <v>635</v>
      </c>
      <c r="E229" s="86"/>
      <c r="F229" s="73"/>
      <c r="G229" s="73"/>
      <c r="H229" s="87"/>
      <c r="I229" s="118" t="s">
        <v>40</v>
      </c>
      <c r="J229" s="118"/>
      <c r="K229" s="118"/>
      <c r="L229" s="118"/>
      <c r="M229" s="118"/>
      <c r="N229" s="118"/>
      <c r="O229" s="118"/>
      <c r="P229" s="118"/>
      <c r="U229" s="46" t="s">
        <v>42</v>
      </c>
      <c r="W229" s="190">
        <v>13.062200546264648</v>
      </c>
      <c r="X229" s="107">
        <v>1</v>
      </c>
      <c r="Y229" s="169">
        <f t="shared" si="15"/>
        <v>13.062200546264648</v>
      </c>
      <c r="Z229" s="169">
        <f t="shared" si="16"/>
        <v>13.062200546264648</v>
      </c>
    </row>
    <row r="230" spans="1:26" ht="48" x14ac:dyDescent="0.2">
      <c r="A230" s="73" t="s">
        <v>142</v>
      </c>
      <c r="B230" s="73" t="s">
        <v>636</v>
      </c>
      <c r="C230" s="45" t="s">
        <v>637</v>
      </c>
      <c r="D230" s="235" t="s">
        <v>638</v>
      </c>
      <c r="E230" s="86"/>
      <c r="F230" s="73"/>
      <c r="G230" s="73"/>
      <c r="H230" s="87"/>
      <c r="I230" s="118" t="s">
        <v>40</v>
      </c>
      <c r="J230" s="118"/>
      <c r="K230" s="118"/>
      <c r="L230" s="118"/>
      <c r="M230" s="118"/>
      <c r="N230" s="118"/>
      <c r="O230" s="118"/>
      <c r="P230" s="118"/>
      <c r="U230" s="46" t="s">
        <v>42</v>
      </c>
      <c r="W230" s="190">
        <v>13.09532356262207</v>
      </c>
      <c r="X230" s="107">
        <v>1</v>
      </c>
      <c r="Y230" s="169">
        <f t="shared" si="15"/>
        <v>13.09532356262207</v>
      </c>
      <c r="Z230" s="169">
        <f t="shared" si="16"/>
        <v>13.09532356262207</v>
      </c>
    </row>
    <row r="231" spans="1:26" ht="48" x14ac:dyDescent="0.2">
      <c r="A231" s="73" t="s">
        <v>142</v>
      </c>
      <c r="B231" s="73" t="s">
        <v>639</v>
      </c>
      <c r="C231" s="45" t="s">
        <v>640</v>
      </c>
      <c r="D231" s="239" t="s">
        <v>641</v>
      </c>
      <c r="E231" s="86"/>
      <c r="F231" s="73"/>
      <c r="G231" s="73"/>
      <c r="H231" s="87"/>
      <c r="I231" s="118" t="s">
        <v>40</v>
      </c>
      <c r="J231" s="118"/>
      <c r="K231" s="118"/>
      <c r="L231" s="118"/>
      <c r="M231" s="118"/>
      <c r="N231" s="118"/>
      <c r="O231" s="118"/>
      <c r="P231" s="118"/>
      <c r="U231" s="46" t="s">
        <v>42</v>
      </c>
      <c r="W231" s="190">
        <v>16.101019184652277</v>
      </c>
      <c r="X231" s="107">
        <v>1</v>
      </c>
      <c r="Y231" s="169">
        <f t="shared" si="15"/>
        <v>16.101019184652277</v>
      </c>
      <c r="Z231" s="169">
        <f t="shared" si="16"/>
        <v>16.101019184652277</v>
      </c>
    </row>
    <row r="232" spans="1:26" s="74" customFormat="1" ht="16" x14ac:dyDescent="0.2">
      <c r="A232" s="78" t="s">
        <v>642</v>
      </c>
      <c r="B232" s="78" t="s">
        <v>643</v>
      </c>
      <c r="C232" s="79" t="s">
        <v>644</v>
      </c>
      <c r="D232" s="235" t="s">
        <v>645</v>
      </c>
      <c r="E232" s="97"/>
      <c r="F232" s="78"/>
      <c r="G232" s="78"/>
      <c r="H232" s="99"/>
      <c r="I232" s="120" t="s">
        <v>40</v>
      </c>
      <c r="J232" s="120"/>
      <c r="K232" s="120"/>
      <c r="L232" s="120"/>
      <c r="M232" s="120" t="s">
        <v>646</v>
      </c>
      <c r="N232" s="120"/>
      <c r="O232" s="120"/>
      <c r="P232" s="120"/>
      <c r="U232" s="74" t="s">
        <v>42</v>
      </c>
      <c r="W232" s="190">
        <v>11.765043258666992</v>
      </c>
      <c r="X232" s="107">
        <v>1</v>
      </c>
      <c r="Y232" s="169">
        <f t="shared" si="15"/>
        <v>11.765043258666992</v>
      </c>
      <c r="Z232" s="169">
        <f t="shared" si="16"/>
        <v>11.765043258666992</v>
      </c>
    </row>
    <row r="233" spans="1:26" s="74" customFormat="1" ht="32" x14ac:dyDescent="0.2">
      <c r="A233" s="78" t="s">
        <v>142</v>
      </c>
      <c r="B233" s="78" t="s">
        <v>647</v>
      </c>
      <c r="C233" s="79" t="s">
        <v>648</v>
      </c>
      <c r="D233" s="239" t="s">
        <v>649</v>
      </c>
      <c r="E233" s="97"/>
      <c r="F233" s="78"/>
      <c r="G233" s="78"/>
      <c r="H233" s="99"/>
      <c r="I233" s="120" t="s">
        <v>40</v>
      </c>
      <c r="J233" s="120"/>
      <c r="K233" s="120"/>
      <c r="L233" s="120"/>
      <c r="M233" s="120"/>
      <c r="N233" s="120"/>
      <c r="O233" s="120"/>
      <c r="P233" s="120"/>
      <c r="U233" s="74" t="s">
        <v>42</v>
      </c>
      <c r="W233" s="190">
        <v>12.432478904724121</v>
      </c>
      <c r="X233" s="107">
        <v>1</v>
      </c>
      <c r="Y233" s="169">
        <f t="shared" si="15"/>
        <v>12.432478904724121</v>
      </c>
      <c r="Z233" s="169">
        <f t="shared" si="16"/>
        <v>12.432478904724121</v>
      </c>
    </row>
    <row r="234" spans="1:26" s="74" customFormat="1" ht="16" x14ac:dyDescent="0.2">
      <c r="A234" s="78" t="s">
        <v>642</v>
      </c>
      <c r="B234" s="78" t="s">
        <v>650</v>
      </c>
      <c r="C234" s="79" t="s">
        <v>644</v>
      </c>
      <c r="D234" s="235" t="s">
        <v>645</v>
      </c>
      <c r="E234" s="97"/>
      <c r="F234" s="78"/>
      <c r="G234" s="78"/>
      <c r="H234" s="99"/>
      <c r="I234" s="120" t="s">
        <v>40</v>
      </c>
      <c r="J234" s="120"/>
      <c r="K234" s="120"/>
      <c r="L234" s="120"/>
      <c r="M234" s="120" t="s">
        <v>651</v>
      </c>
      <c r="N234" s="120"/>
      <c r="O234" s="120"/>
      <c r="P234" s="120"/>
      <c r="U234" s="74" t="s">
        <v>42</v>
      </c>
      <c r="W234" s="190">
        <v>8.9801836013793945</v>
      </c>
      <c r="X234" s="107">
        <v>1</v>
      </c>
      <c r="Y234" s="169">
        <f t="shared" si="15"/>
        <v>8.9801836013793945</v>
      </c>
      <c r="Z234" s="169">
        <f t="shared" si="16"/>
        <v>8.9801836013793945</v>
      </c>
    </row>
    <row r="235" spans="1:26" s="74" customFormat="1" ht="48" x14ac:dyDescent="0.2">
      <c r="A235" s="78" t="s">
        <v>142</v>
      </c>
      <c r="B235" s="78" t="s">
        <v>652</v>
      </c>
      <c r="C235" s="79" t="s">
        <v>653</v>
      </c>
      <c r="D235" s="239" t="s">
        <v>654</v>
      </c>
      <c r="E235" s="97"/>
      <c r="F235" s="78"/>
      <c r="G235" s="78"/>
      <c r="H235" s="99"/>
      <c r="I235" s="120" t="s">
        <v>40</v>
      </c>
      <c r="J235" s="120"/>
      <c r="K235" s="120"/>
      <c r="L235" s="120"/>
      <c r="M235" s="120"/>
      <c r="N235" s="120"/>
      <c r="O235" s="120"/>
      <c r="P235" s="120"/>
      <c r="U235" s="74" t="s">
        <v>42</v>
      </c>
      <c r="W235" s="190">
        <v>11.089328765869141</v>
      </c>
      <c r="X235" s="107">
        <v>1</v>
      </c>
      <c r="Y235" s="169">
        <f t="shared" si="15"/>
        <v>11.089328765869141</v>
      </c>
      <c r="Z235" s="169">
        <f t="shared" si="16"/>
        <v>11.089328765869141</v>
      </c>
    </row>
    <row r="236" spans="1:26" s="74" customFormat="1" ht="16" x14ac:dyDescent="0.2">
      <c r="A236" s="78" t="s">
        <v>642</v>
      </c>
      <c r="B236" s="78" t="s">
        <v>655</v>
      </c>
      <c r="C236" s="79" t="s">
        <v>644</v>
      </c>
      <c r="D236" s="235" t="s">
        <v>645</v>
      </c>
      <c r="E236" s="97"/>
      <c r="F236" s="78"/>
      <c r="G236" s="78"/>
      <c r="H236" s="99"/>
      <c r="I236" s="120" t="s">
        <v>40</v>
      </c>
      <c r="J236" s="120"/>
      <c r="K236" s="120"/>
      <c r="L236" s="120"/>
      <c r="M236" s="120" t="s">
        <v>656</v>
      </c>
      <c r="N236" s="120"/>
      <c r="O236" s="120"/>
      <c r="P236" s="120"/>
      <c r="U236" s="74" t="s">
        <v>42</v>
      </c>
      <c r="W236" s="190">
        <v>8.0683355331420898</v>
      </c>
      <c r="X236" s="107">
        <v>1</v>
      </c>
      <c r="Y236" s="169">
        <f t="shared" si="15"/>
        <v>8.0683355331420898</v>
      </c>
      <c r="Z236" s="169">
        <f t="shared" si="16"/>
        <v>8.0683355331420898</v>
      </c>
    </row>
    <row r="237" spans="1:26" x14ac:dyDescent="0.2">
      <c r="A237" s="78" t="s">
        <v>148</v>
      </c>
      <c r="B237" s="78"/>
      <c r="C237" s="45"/>
      <c r="D237" s="45"/>
      <c r="E237" s="86"/>
      <c r="F237" s="73"/>
      <c r="G237" s="73"/>
      <c r="H237" s="87"/>
      <c r="I237" s="118"/>
      <c r="J237" s="118"/>
      <c r="K237" s="118"/>
      <c r="L237" s="118"/>
      <c r="M237" s="118"/>
      <c r="N237" s="118"/>
      <c r="O237" s="118"/>
      <c r="P237" s="118"/>
      <c r="U237" s="46" t="s">
        <v>68</v>
      </c>
      <c r="W237" s="190" t="s">
        <v>68</v>
      </c>
      <c r="X237" s="107">
        <v>1</v>
      </c>
      <c r="Y237" s="169" t="str">
        <f t="shared" si="15"/>
        <v/>
      </c>
      <c r="Z237" s="169" t="str">
        <f t="shared" si="16"/>
        <v/>
      </c>
    </row>
    <row r="238" spans="1:26" x14ac:dyDescent="0.2">
      <c r="A238" s="74"/>
      <c r="B238" s="74"/>
      <c r="E238" s="86"/>
      <c r="H238" s="87"/>
      <c r="U238" s="46" t="s">
        <v>68</v>
      </c>
      <c r="W238" s="190" t="s">
        <v>68</v>
      </c>
      <c r="X238" s="107">
        <v>1</v>
      </c>
      <c r="Y238" s="169" t="str">
        <f t="shared" si="15"/>
        <v/>
      </c>
      <c r="Z238" s="169" t="str">
        <f t="shared" si="16"/>
        <v/>
      </c>
    </row>
    <row r="239" spans="1:26" s="75" customFormat="1" ht="16" x14ac:dyDescent="0.2">
      <c r="A239" s="75" t="s">
        <v>69</v>
      </c>
      <c r="B239" s="75" t="s">
        <v>657</v>
      </c>
      <c r="C239" s="164" t="s">
        <v>658</v>
      </c>
      <c r="D239" s="164" t="s">
        <v>658</v>
      </c>
      <c r="E239" s="77"/>
      <c r="H239" s="81"/>
      <c r="I239" s="119"/>
      <c r="J239" s="119" t="s">
        <v>659</v>
      </c>
      <c r="K239" s="119"/>
      <c r="L239" s="119"/>
      <c r="M239" s="119"/>
      <c r="N239" s="119"/>
      <c r="O239" s="119"/>
      <c r="P239" s="119"/>
      <c r="W239" s="194"/>
      <c r="X239" s="165">
        <v>1</v>
      </c>
      <c r="Y239" s="173" t="str">
        <f t="shared" si="15"/>
        <v/>
      </c>
      <c r="Z239" s="173" t="str">
        <f t="shared" si="16"/>
        <v/>
      </c>
    </row>
    <row r="240" spans="1:26" s="75" customFormat="1" ht="80" x14ac:dyDescent="0.2">
      <c r="A240" s="75" t="s">
        <v>45</v>
      </c>
      <c r="B240" s="75" t="s">
        <v>660</v>
      </c>
      <c r="C240" s="76" t="s">
        <v>661</v>
      </c>
      <c r="D240" s="242" t="s">
        <v>662</v>
      </c>
      <c r="E240" s="77"/>
      <c r="H240" s="81"/>
      <c r="I240" s="119"/>
      <c r="J240" s="119"/>
      <c r="K240" s="119"/>
      <c r="L240" s="119"/>
      <c r="M240" s="119"/>
      <c r="N240" s="119"/>
      <c r="O240" s="119"/>
      <c r="P240" s="119"/>
      <c r="U240" s="75" t="s">
        <v>52</v>
      </c>
      <c r="W240" s="194">
        <v>5.7112536430358887</v>
      </c>
      <c r="X240" s="165">
        <v>1</v>
      </c>
      <c r="Y240" s="173">
        <f t="shared" si="15"/>
        <v>5.7112536430358887</v>
      </c>
      <c r="Z240" s="173" t="str">
        <f t="shared" si="16"/>
        <v/>
      </c>
    </row>
    <row r="241" spans="1:27" s="166" customFormat="1" ht="16" x14ac:dyDescent="0.2">
      <c r="A241" s="75" t="s">
        <v>663</v>
      </c>
      <c r="B241" s="75" t="s">
        <v>664</v>
      </c>
      <c r="C241" s="76" t="s">
        <v>665</v>
      </c>
      <c r="D241" s="76" t="s">
        <v>666</v>
      </c>
      <c r="E241" s="108"/>
      <c r="H241" s="109"/>
      <c r="I241" s="119" t="s">
        <v>40</v>
      </c>
      <c r="J241" s="119" t="s">
        <v>216</v>
      </c>
      <c r="K241" s="167"/>
      <c r="L241" s="167"/>
      <c r="M241" s="167"/>
      <c r="N241" s="167"/>
      <c r="O241" s="167"/>
      <c r="P241" s="167"/>
      <c r="U241" s="75" t="s">
        <v>52</v>
      </c>
      <c r="W241" s="190">
        <v>19.851530075073242</v>
      </c>
      <c r="X241" s="107">
        <v>1</v>
      </c>
      <c r="Y241" s="169">
        <f t="shared" si="15"/>
        <v>19.851530075073242</v>
      </c>
      <c r="Z241" s="169" t="str">
        <f t="shared" si="16"/>
        <v/>
      </c>
      <c r="AA241" s="74"/>
    </row>
    <row r="242" spans="1:27" s="166" customFormat="1" ht="16" x14ac:dyDescent="0.2">
      <c r="A242" s="75" t="s">
        <v>663</v>
      </c>
      <c r="B242" s="75" t="s">
        <v>667</v>
      </c>
      <c r="C242" s="76" t="s">
        <v>668</v>
      </c>
      <c r="D242" s="76" t="s">
        <v>669</v>
      </c>
      <c r="E242" s="108"/>
      <c r="H242" s="109"/>
      <c r="I242" s="119" t="s">
        <v>40</v>
      </c>
      <c r="J242" s="119" t="s">
        <v>216</v>
      </c>
      <c r="K242" s="167"/>
      <c r="L242" s="167"/>
      <c r="M242" s="167"/>
      <c r="N242" s="167"/>
      <c r="O242" s="167"/>
      <c r="P242" s="167"/>
      <c r="U242" s="75" t="s">
        <v>52</v>
      </c>
      <c r="W242" s="190">
        <v>15.436671257019043</v>
      </c>
      <c r="X242" s="107">
        <v>1</v>
      </c>
      <c r="Y242" s="169">
        <f t="shared" si="15"/>
        <v>15.436671257019043</v>
      </c>
      <c r="Z242" s="169" t="str">
        <f t="shared" si="16"/>
        <v/>
      </c>
      <c r="AA242" s="74"/>
    </row>
    <row r="243" spans="1:27" s="166" customFormat="1" ht="16" x14ac:dyDescent="0.2">
      <c r="A243" s="75" t="s">
        <v>663</v>
      </c>
      <c r="B243" s="75" t="s">
        <v>670</v>
      </c>
      <c r="C243" s="76" t="s">
        <v>671</v>
      </c>
      <c r="D243" s="76" t="s">
        <v>672</v>
      </c>
      <c r="E243" s="108"/>
      <c r="H243" s="109"/>
      <c r="I243" s="119" t="s">
        <v>40</v>
      </c>
      <c r="J243" s="119" t="s">
        <v>216</v>
      </c>
      <c r="K243" s="167"/>
      <c r="L243" s="167"/>
      <c r="M243" s="167"/>
      <c r="N243" s="167"/>
      <c r="O243" s="167"/>
      <c r="P243" s="167"/>
      <c r="U243" s="75" t="s">
        <v>52</v>
      </c>
      <c r="W243" s="190">
        <v>13.399938583374023</v>
      </c>
      <c r="X243" s="107">
        <v>1</v>
      </c>
      <c r="Y243" s="169">
        <f t="shared" si="15"/>
        <v>13.399938583374023</v>
      </c>
      <c r="Z243" s="169" t="str">
        <f t="shared" si="16"/>
        <v/>
      </c>
      <c r="AA243" s="74"/>
    </row>
    <row r="244" spans="1:27" s="166" customFormat="1" ht="16" x14ac:dyDescent="0.2">
      <c r="A244" s="75" t="s">
        <v>663</v>
      </c>
      <c r="B244" s="75" t="s">
        <v>673</v>
      </c>
      <c r="C244" s="76" t="s">
        <v>674</v>
      </c>
      <c r="D244" s="76" t="s">
        <v>675</v>
      </c>
      <c r="E244" s="108"/>
      <c r="H244" s="109"/>
      <c r="I244" s="119" t="s">
        <v>40</v>
      </c>
      <c r="J244" s="119" t="s">
        <v>216</v>
      </c>
      <c r="K244" s="167"/>
      <c r="L244" s="167"/>
      <c r="M244" s="167"/>
      <c r="N244" s="167"/>
      <c r="O244" s="167"/>
      <c r="P244" s="167"/>
      <c r="U244" s="75" t="s">
        <v>52</v>
      </c>
      <c r="W244" s="190">
        <v>14.625933647155762</v>
      </c>
      <c r="X244" s="107">
        <v>1</v>
      </c>
      <c r="Y244" s="169">
        <f t="shared" si="15"/>
        <v>14.625933647155762</v>
      </c>
      <c r="Z244" s="169" t="str">
        <f t="shared" si="16"/>
        <v/>
      </c>
      <c r="AA244" s="74"/>
    </row>
    <row r="245" spans="1:27" s="166" customFormat="1" ht="16" x14ac:dyDescent="0.2">
      <c r="A245" s="75" t="s">
        <v>663</v>
      </c>
      <c r="B245" s="75" t="s">
        <v>676</v>
      </c>
      <c r="C245" s="76" t="s">
        <v>677</v>
      </c>
      <c r="D245" s="243" t="s">
        <v>678</v>
      </c>
      <c r="E245" s="108"/>
      <c r="H245" s="109"/>
      <c r="I245" s="119" t="s">
        <v>40</v>
      </c>
      <c r="J245" s="119" t="s">
        <v>216</v>
      </c>
      <c r="K245" s="167"/>
      <c r="L245" s="167"/>
      <c r="M245" s="167"/>
      <c r="N245" s="167"/>
      <c r="O245" s="167"/>
      <c r="P245" s="167"/>
      <c r="U245" s="75" t="s">
        <v>52</v>
      </c>
      <c r="W245" s="190">
        <v>11.787801742553711</v>
      </c>
      <c r="X245" s="107">
        <v>1</v>
      </c>
      <c r="Y245" s="169">
        <f t="shared" si="15"/>
        <v>11.787801742553711</v>
      </c>
      <c r="Z245" s="169" t="str">
        <f t="shared" si="16"/>
        <v/>
      </c>
      <c r="AA245" s="74"/>
    </row>
    <row r="246" spans="1:27" s="166" customFormat="1" ht="16" x14ac:dyDescent="0.2">
      <c r="A246" s="75" t="s">
        <v>663</v>
      </c>
      <c r="B246" s="75" t="s">
        <v>679</v>
      </c>
      <c r="C246" s="76" t="s">
        <v>680</v>
      </c>
      <c r="D246" s="76" t="s">
        <v>681</v>
      </c>
      <c r="E246" s="108"/>
      <c r="H246" s="109"/>
      <c r="I246" s="119" t="s">
        <v>40</v>
      </c>
      <c r="J246" s="119" t="s">
        <v>216</v>
      </c>
      <c r="K246" s="167"/>
      <c r="L246" s="167"/>
      <c r="M246" s="167"/>
      <c r="N246" s="167"/>
      <c r="O246" s="167"/>
      <c r="P246" s="167"/>
      <c r="U246" s="75" t="s">
        <v>52</v>
      </c>
      <c r="W246" s="190">
        <v>12.408086776733398</v>
      </c>
      <c r="X246" s="107">
        <v>1</v>
      </c>
      <c r="Y246" s="169">
        <f t="shared" si="15"/>
        <v>12.408086776733398</v>
      </c>
      <c r="Z246" s="169" t="str">
        <f t="shared" si="16"/>
        <v/>
      </c>
      <c r="AA246" s="74"/>
    </row>
    <row r="247" spans="1:27" s="166" customFormat="1" ht="16" x14ac:dyDescent="0.2">
      <c r="A247" s="75" t="s">
        <v>663</v>
      </c>
      <c r="B247" s="75" t="s">
        <v>682</v>
      </c>
      <c r="C247" s="76" t="s">
        <v>683</v>
      </c>
      <c r="D247" s="76" t="s">
        <v>684</v>
      </c>
      <c r="E247" s="108"/>
      <c r="H247" s="109"/>
      <c r="I247" s="119" t="s">
        <v>40</v>
      </c>
      <c r="J247" s="119" t="s">
        <v>216</v>
      </c>
      <c r="K247" s="167"/>
      <c r="L247" s="167"/>
      <c r="M247" s="167"/>
      <c r="N247" s="167"/>
      <c r="O247" s="167"/>
      <c r="P247" s="167"/>
      <c r="U247" s="75" t="s">
        <v>52</v>
      </c>
      <c r="W247" s="190">
        <v>9.2894678115844727</v>
      </c>
      <c r="X247" s="107">
        <v>1</v>
      </c>
      <c r="Y247" s="169">
        <f t="shared" si="15"/>
        <v>9.2894678115844727</v>
      </c>
      <c r="Z247" s="169" t="str">
        <f t="shared" si="16"/>
        <v/>
      </c>
      <c r="AA247" s="74"/>
    </row>
    <row r="248" spans="1:27" s="166" customFormat="1" ht="16" x14ac:dyDescent="0.2">
      <c r="A248" s="75" t="s">
        <v>663</v>
      </c>
      <c r="B248" s="75" t="s">
        <v>685</v>
      </c>
      <c r="C248" s="76" t="s">
        <v>686</v>
      </c>
      <c r="D248" s="76" t="s">
        <v>687</v>
      </c>
      <c r="E248" s="108"/>
      <c r="H248" s="109"/>
      <c r="I248" s="119" t="s">
        <v>40</v>
      </c>
      <c r="J248" s="119" t="s">
        <v>216</v>
      </c>
      <c r="K248" s="167"/>
      <c r="L248" s="167"/>
      <c r="M248" s="167"/>
      <c r="N248" s="167"/>
      <c r="O248" s="167"/>
      <c r="P248" s="167"/>
      <c r="U248" s="75" t="s">
        <v>52</v>
      </c>
      <c r="W248" s="190">
        <v>12</v>
      </c>
      <c r="X248" s="107">
        <v>1</v>
      </c>
      <c r="Y248" s="169">
        <f t="shared" si="15"/>
        <v>12</v>
      </c>
      <c r="Z248" s="169" t="str">
        <f t="shared" si="16"/>
        <v/>
      </c>
      <c r="AA248" s="74"/>
    </row>
    <row r="249" spans="1:27" s="166" customFormat="1" ht="32" x14ac:dyDescent="0.2">
      <c r="A249" s="75" t="s">
        <v>663</v>
      </c>
      <c r="B249" s="75" t="s">
        <v>688</v>
      </c>
      <c r="C249" s="76" t="s">
        <v>689</v>
      </c>
      <c r="D249" s="76" t="s">
        <v>690</v>
      </c>
      <c r="E249" s="108"/>
      <c r="H249" s="109"/>
      <c r="I249" s="119" t="s">
        <v>40</v>
      </c>
      <c r="J249" s="119" t="s">
        <v>216</v>
      </c>
      <c r="K249" s="167"/>
      <c r="L249" s="167"/>
      <c r="M249" s="167"/>
      <c r="N249" s="167"/>
      <c r="O249" s="167"/>
      <c r="P249" s="167"/>
      <c r="U249" s="75" t="s">
        <v>52</v>
      </c>
      <c r="W249" s="190">
        <v>14.410958904109588</v>
      </c>
      <c r="X249" s="107">
        <v>1</v>
      </c>
      <c r="Y249" s="169">
        <f t="shared" si="15"/>
        <v>14.410958904109588</v>
      </c>
      <c r="Z249" s="169" t="str">
        <f t="shared" si="16"/>
        <v/>
      </c>
      <c r="AA249" s="74"/>
    </row>
    <row r="250" spans="1:27" s="166" customFormat="1" ht="16" x14ac:dyDescent="0.2">
      <c r="A250" s="75" t="s">
        <v>663</v>
      </c>
      <c r="B250" s="75" t="s">
        <v>691</v>
      </c>
      <c r="C250" s="76" t="s">
        <v>692</v>
      </c>
      <c r="D250" s="76" t="s">
        <v>693</v>
      </c>
      <c r="E250" s="108"/>
      <c r="H250" s="109"/>
      <c r="I250" s="119" t="s">
        <v>40</v>
      </c>
      <c r="J250" s="119" t="s">
        <v>216</v>
      </c>
      <c r="K250" s="167"/>
      <c r="L250" s="167"/>
      <c r="M250" s="167"/>
      <c r="N250" s="167"/>
      <c r="O250" s="167"/>
      <c r="P250" s="167"/>
      <c r="U250" s="75" t="s">
        <v>52</v>
      </c>
      <c r="W250" s="190">
        <v>15.408385276794434</v>
      </c>
      <c r="X250" s="107">
        <v>1</v>
      </c>
      <c r="Y250" s="169">
        <f t="shared" si="15"/>
        <v>15.408385276794434</v>
      </c>
      <c r="Z250" s="169" t="str">
        <f t="shared" si="16"/>
        <v/>
      </c>
      <c r="AA250" s="74"/>
    </row>
    <row r="251" spans="1:27" s="166" customFormat="1" ht="16" x14ac:dyDescent="0.2">
      <c r="A251" s="75" t="s">
        <v>663</v>
      </c>
      <c r="B251" s="75" t="s">
        <v>694</v>
      </c>
      <c r="C251" s="76" t="s">
        <v>695</v>
      </c>
      <c r="D251" s="76" t="s">
        <v>696</v>
      </c>
      <c r="E251" s="108"/>
      <c r="H251" s="109"/>
      <c r="I251" s="119" t="s">
        <v>40</v>
      </c>
      <c r="J251" s="119" t="s">
        <v>216</v>
      </c>
      <c r="K251" s="167"/>
      <c r="L251" s="167"/>
      <c r="M251" s="167"/>
      <c r="N251" s="167"/>
      <c r="O251" s="167"/>
      <c r="P251" s="167"/>
      <c r="U251" s="75" t="s">
        <v>52</v>
      </c>
      <c r="W251" s="190">
        <v>15.543986320495605</v>
      </c>
      <c r="X251" s="107">
        <v>1</v>
      </c>
      <c r="Y251" s="169">
        <f t="shared" si="15"/>
        <v>15.543986320495605</v>
      </c>
      <c r="Z251" s="169" t="str">
        <f t="shared" ref="Z251:Z282" si="17">IF(AND(W251&lt;&gt;"",U251="yes"),W251*X251,"")</f>
        <v/>
      </c>
      <c r="AA251" s="74"/>
    </row>
    <row r="252" spans="1:27" s="166" customFormat="1" ht="16" x14ac:dyDescent="0.2">
      <c r="A252" s="75" t="s">
        <v>663</v>
      </c>
      <c r="B252" s="75" t="s">
        <v>697</v>
      </c>
      <c r="C252" s="76" t="s">
        <v>698</v>
      </c>
      <c r="D252" s="76" t="s">
        <v>699</v>
      </c>
      <c r="E252" s="108"/>
      <c r="H252" s="109"/>
      <c r="I252" s="119" t="s">
        <v>40</v>
      </c>
      <c r="J252" s="119" t="s">
        <v>216</v>
      </c>
      <c r="K252" s="167"/>
      <c r="L252" s="167"/>
      <c r="M252" s="167"/>
      <c r="N252" s="167"/>
      <c r="O252" s="167"/>
      <c r="P252" s="167"/>
      <c r="U252" s="75" t="s">
        <v>52</v>
      </c>
      <c r="W252" s="190">
        <v>12</v>
      </c>
      <c r="X252" s="107">
        <v>1</v>
      </c>
      <c r="Y252" s="169">
        <f t="shared" si="15"/>
        <v>12</v>
      </c>
      <c r="Z252" s="169" t="str">
        <f t="shared" si="17"/>
        <v/>
      </c>
      <c r="AA252" s="74"/>
    </row>
    <row r="253" spans="1:27" s="166" customFormat="1" ht="32" x14ac:dyDescent="0.2">
      <c r="A253" s="75" t="s">
        <v>663</v>
      </c>
      <c r="B253" s="75" t="s">
        <v>700</v>
      </c>
      <c r="C253" s="76" t="s">
        <v>701</v>
      </c>
      <c r="D253" s="76" t="s">
        <v>702</v>
      </c>
      <c r="E253" s="108"/>
      <c r="H253" s="109"/>
      <c r="I253" s="119" t="s">
        <v>40</v>
      </c>
      <c r="J253" s="119" t="s">
        <v>216</v>
      </c>
      <c r="K253" s="167"/>
      <c r="L253" s="167"/>
      <c r="M253" s="167"/>
      <c r="N253" s="167"/>
      <c r="O253" s="167"/>
      <c r="P253" s="167"/>
      <c r="U253" s="75" t="s">
        <v>52</v>
      </c>
      <c r="W253" s="190">
        <v>12.996181488037109</v>
      </c>
      <c r="X253" s="107">
        <v>1</v>
      </c>
      <c r="Y253" s="169">
        <f t="shared" si="15"/>
        <v>12.996181488037109</v>
      </c>
      <c r="Z253" s="169" t="str">
        <f t="shared" si="17"/>
        <v/>
      </c>
      <c r="AA253" s="74"/>
    </row>
    <row r="254" spans="1:27" s="166" customFormat="1" ht="32" x14ac:dyDescent="0.2">
      <c r="A254" s="75" t="s">
        <v>663</v>
      </c>
      <c r="B254" s="75" t="s">
        <v>703</v>
      </c>
      <c r="C254" s="76" t="s">
        <v>704</v>
      </c>
      <c r="D254" s="76" t="s">
        <v>705</v>
      </c>
      <c r="E254" s="108"/>
      <c r="H254" s="109"/>
      <c r="I254" s="119" t="s">
        <v>40</v>
      </c>
      <c r="J254" s="119" t="s">
        <v>216</v>
      </c>
      <c r="K254" s="167"/>
      <c r="L254" s="167"/>
      <c r="M254" s="167"/>
      <c r="N254" s="167"/>
      <c r="O254" s="167"/>
      <c r="P254" s="167"/>
      <c r="U254" s="75" t="s">
        <v>52</v>
      </c>
      <c r="W254" s="190">
        <v>14.752389907836914</v>
      </c>
      <c r="X254" s="107">
        <v>1</v>
      </c>
      <c r="Y254" s="169">
        <f t="shared" si="15"/>
        <v>14.752389907836914</v>
      </c>
      <c r="Z254" s="169" t="str">
        <f t="shared" si="17"/>
        <v/>
      </c>
      <c r="AA254" s="74"/>
    </row>
    <row r="255" spans="1:27" s="166" customFormat="1" ht="16" x14ac:dyDescent="0.2">
      <c r="A255" s="75" t="s">
        <v>663</v>
      </c>
      <c r="B255" s="75" t="s">
        <v>706</v>
      </c>
      <c r="C255" s="76" t="s">
        <v>707</v>
      </c>
      <c r="D255" s="76" t="s">
        <v>708</v>
      </c>
      <c r="E255" s="108"/>
      <c r="H255" s="109"/>
      <c r="I255" s="119" t="s">
        <v>40</v>
      </c>
      <c r="J255" s="119" t="s">
        <v>216</v>
      </c>
      <c r="K255" s="167"/>
      <c r="L255" s="167"/>
      <c r="M255" s="167"/>
      <c r="N255" s="167"/>
      <c r="O255" s="167"/>
      <c r="P255" s="167"/>
      <c r="U255" s="75" t="s">
        <v>52</v>
      </c>
      <c r="W255" s="190">
        <v>10.668112754821777</v>
      </c>
      <c r="X255" s="107">
        <v>1</v>
      </c>
      <c r="Y255" s="169">
        <f t="shared" si="15"/>
        <v>10.668112754821777</v>
      </c>
      <c r="Z255" s="169" t="str">
        <f t="shared" si="17"/>
        <v/>
      </c>
      <c r="AA255" s="74"/>
    </row>
    <row r="256" spans="1:27" s="166" customFormat="1" ht="16" x14ac:dyDescent="0.2">
      <c r="A256" s="75" t="s">
        <v>663</v>
      </c>
      <c r="B256" s="75" t="s">
        <v>709</v>
      </c>
      <c r="C256" s="76" t="s">
        <v>710</v>
      </c>
      <c r="D256" s="76" t="s">
        <v>711</v>
      </c>
      <c r="E256" s="108"/>
      <c r="H256" s="109"/>
      <c r="I256" s="119" t="s">
        <v>40</v>
      </c>
      <c r="J256" s="119" t="s">
        <v>216</v>
      </c>
      <c r="K256" s="167"/>
      <c r="L256" s="167"/>
      <c r="M256" s="167"/>
      <c r="N256" s="167"/>
      <c r="O256" s="167"/>
      <c r="P256" s="167"/>
      <c r="U256" s="75" t="s">
        <v>52</v>
      </c>
      <c r="W256" s="190">
        <v>9.716710090637207</v>
      </c>
      <c r="X256" s="107">
        <v>1</v>
      </c>
      <c r="Y256" s="169">
        <f t="shared" si="15"/>
        <v>9.716710090637207</v>
      </c>
      <c r="Z256" s="169" t="str">
        <f t="shared" si="17"/>
        <v/>
      </c>
      <c r="AA256" s="74"/>
    </row>
    <row r="257" spans="1:27" s="166" customFormat="1" ht="32" x14ac:dyDescent="0.2">
      <c r="A257" s="75" t="s">
        <v>663</v>
      </c>
      <c r="B257" s="75" t="s">
        <v>712</v>
      </c>
      <c r="C257" s="76" t="s">
        <v>713</v>
      </c>
      <c r="D257" s="76" t="s">
        <v>714</v>
      </c>
      <c r="E257" s="108"/>
      <c r="H257" s="109"/>
      <c r="I257" s="119" t="s">
        <v>40</v>
      </c>
      <c r="J257" s="119" t="s">
        <v>216</v>
      </c>
      <c r="K257" s="167"/>
      <c r="L257" s="167"/>
      <c r="M257" s="167"/>
      <c r="N257" s="167"/>
      <c r="O257" s="167"/>
      <c r="P257" s="167"/>
      <c r="U257" s="75" t="s">
        <v>52</v>
      </c>
      <c r="W257" s="190">
        <v>10.953365325927734</v>
      </c>
      <c r="X257" s="107">
        <v>1</v>
      </c>
      <c r="Y257" s="169">
        <f t="shared" si="15"/>
        <v>10.953365325927734</v>
      </c>
      <c r="Z257" s="169" t="str">
        <f t="shared" si="17"/>
        <v/>
      </c>
      <c r="AA257" s="74"/>
    </row>
    <row r="258" spans="1:27" s="166" customFormat="1" ht="16" x14ac:dyDescent="0.2">
      <c r="A258" s="75" t="s">
        <v>663</v>
      </c>
      <c r="B258" s="75" t="s">
        <v>715</v>
      </c>
      <c r="C258" s="76" t="s">
        <v>716</v>
      </c>
      <c r="D258" s="76" t="s">
        <v>717</v>
      </c>
      <c r="E258" s="108"/>
      <c r="H258" s="109"/>
      <c r="I258" s="119" t="s">
        <v>40</v>
      </c>
      <c r="J258" s="119" t="s">
        <v>216</v>
      </c>
      <c r="K258" s="167"/>
      <c r="L258" s="167"/>
      <c r="M258" s="167"/>
      <c r="N258" s="167"/>
      <c r="O258" s="167"/>
      <c r="P258" s="167"/>
      <c r="U258" s="75" t="s">
        <v>52</v>
      </c>
      <c r="W258" s="190">
        <v>10.114131927490234</v>
      </c>
      <c r="X258" s="107">
        <v>1</v>
      </c>
      <c r="Y258" s="169">
        <f t="shared" si="15"/>
        <v>10.114131927490234</v>
      </c>
      <c r="Z258" s="169" t="str">
        <f t="shared" si="17"/>
        <v/>
      </c>
      <c r="AA258" s="74"/>
    </row>
    <row r="259" spans="1:27" s="166" customFormat="1" ht="16" x14ac:dyDescent="0.2">
      <c r="A259" s="75" t="s">
        <v>663</v>
      </c>
      <c r="B259" s="75" t="s">
        <v>718</v>
      </c>
      <c r="C259" s="76" t="s">
        <v>719</v>
      </c>
      <c r="D259" s="76" t="s">
        <v>720</v>
      </c>
      <c r="E259" s="108"/>
      <c r="H259" s="109"/>
      <c r="I259" s="119" t="s">
        <v>40</v>
      </c>
      <c r="J259" s="119" t="s">
        <v>216</v>
      </c>
      <c r="K259" s="167"/>
      <c r="L259" s="167"/>
      <c r="M259" s="167"/>
      <c r="N259" s="167"/>
      <c r="O259" s="167"/>
      <c r="P259" s="167"/>
      <c r="U259" s="75" t="s">
        <v>52</v>
      </c>
      <c r="W259" s="190">
        <v>10.867705345153809</v>
      </c>
      <c r="X259" s="107">
        <v>1</v>
      </c>
      <c r="Y259" s="169">
        <f t="shared" si="15"/>
        <v>10.867705345153809</v>
      </c>
      <c r="Z259" s="169" t="str">
        <f t="shared" si="17"/>
        <v/>
      </c>
      <c r="AA259" s="74"/>
    </row>
    <row r="260" spans="1:27" x14ac:dyDescent="0.2">
      <c r="A260" s="75" t="s">
        <v>148</v>
      </c>
      <c r="B260" s="75"/>
      <c r="C260" s="76"/>
      <c r="D260" s="76"/>
      <c r="E260" s="86"/>
      <c r="H260" s="87"/>
      <c r="I260" s="119"/>
      <c r="U260" s="46" t="s">
        <v>68</v>
      </c>
      <c r="W260" s="190" t="s">
        <v>68</v>
      </c>
      <c r="X260" s="107">
        <v>1</v>
      </c>
      <c r="Y260" s="169" t="str">
        <f t="shared" si="15"/>
        <v/>
      </c>
      <c r="Z260" s="169" t="str">
        <f t="shared" si="17"/>
        <v/>
      </c>
    </row>
    <row r="261" spans="1:27" x14ac:dyDescent="0.2">
      <c r="A261" s="74"/>
      <c r="B261" s="74"/>
      <c r="E261" s="86"/>
      <c r="H261" s="87"/>
      <c r="U261" s="46" t="s">
        <v>68</v>
      </c>
      <c r="W261" s="190" t="s">
        <v>68</v>
      </c>
      <c r="X261" s="107">
        <v>1</v>
      </c>
      <c r="Y261" s="169" t="str">
        <f t="shared" si="15"/>
        <v/>
      </c>
      <c r="Z261" s="169" t="str">
        <f t="shared" si="17"/>
        <v/>
      </c>
    </row>
    <row r="262" spans="1:27" ht="16" x14ac:dyDescent="0.2">
      <c r="A262" s="78" t="s">
        <v>69</v>
      </c>
      <c r="B262" s="78" t="s">
        <v>721</v>
      </c>
      <c r="C262" s="92" t="s">
        <v>722</v>
      </c>
      <c r="D262" s="92" t="s">
        <v>723</v>
      </c>
      <c r="E262" s="86"/>
      <c r="F262" s="73"/>
      <c r="G262" s="73"/>
      <c r="H262" s="87"/>
      <c r="I262" s="118"/>
      <c r="J262" s="118"/>
      <c r="K262" s="118"/>
      <c r="L262" s="118"/>
      <c r="M262" s="118"/>
      <c r="N262" s="118"/>
      <c r="O262" s="118"/>
      <c r="P262" s="118"/>
      <c r="W262" s="190"/>
      <c r="X262" s="107">
        <v>1</v>
      </c>
      <c r="Y262" s="169" t="str">
        <f t="shared" si="15"/>
        <v/>
      </c>
      <c r="Z262" s="169" t="str">
        <f t="shared" si="17"/>
        <v/>
      </c>
    </row>
    <row r="263" spans="1:27" ht="32" x14ac:dyDescent="0.2">
      <c r="A263" s="73" t="s">
        <v>45</v>
      </c>
      <c r="B263" s="73" t="s">
        <v>724</v>
      </c>
      <c r="C263" s="45" t="s">
        <v>725</v>
      </c>
      <c r="D263" s="45" t="s">
        <v>726</v>
      </c>
      <c r="E263" s="86"/>
      <c r="F263" s="73"/>
      <c r="G263" s="73"/>
      <c r="H263" s="87"/>
      <c r="I263" s="118" t="s">
        <v>51</v>
      </c>
      <c r="J263" s="118"/>
      <c r="K263" s="118"/>
      <c r="L263" s="118"/>
      <c r="M263" s="118"/>
      <c r="N263" s="118"/>
      <c r="O263" s="118"/>
      <c r="P263" s="118"/>
      <c r="U263" s="46" t="s">
        <v>42</v>
      </c>
      <c r="W263" s="190"/>
      <c r="X263" s="107">
        <v>1</v>
      </c>
      <c r="Y263" s="169" t="str">
        <f t="shared" si="15"/>
        <v/>
      </c>
      <c r="Z263" s="169" t="str">
        <f t="shared" si="17"/>
        <v/>
      </c>
    </row>
    <row r="264" spans="1:27" ht="48" x14ac:dyDescent="0.2">
      <c r="A264" s="73" t="s">
        <v>727</v>
      </c>
      <c r="B264" s="73" t="s">
        <v>728</v>
      </c>
      <c r="C264" s="45" t="s">
        <v>729</v>
      </c>
      <c r="D264" s="45" t="s">
        <v>730</v>
      </c>
      <c r="E264" s="86"/>
      <c r="F264" s="73" t="s">
        <v>731</v>
      </c>
      <c r="G264" s="73" t="s">
        <v>732</v>
      </c>
      <c r="H264" s="87"/>
      <c r="I264" s="118" t="s">
        <v>40</v>
      </c>
      <c r="J264" s="118"/>
      <c r="K264" s="118"/>
      <c r="L264" s="118"/>
      <c r="M264" s="118"/>
      <c r="N264" s="118"/>
      <c r="O264" s="118"/>
      <c r="P264" s="118"/>
      <c r="U264" s="46" t="s">
        <v>42</v>
      </c>
      <c r="W264" s="190">
        <v>72.295135498046875</v>
      </c>
      <c r="X264" s="107">
        <v>1</v>
      </c>
      <c r="Y264" s="169">
        <f t="shared" si="15"/>
        <v>72.295135498046875</v>
      </c>
      <c r="Z264" s="169">
        <f t="shared" si="17"/>
        <v>72.295135498046875</v>
      </c>
    </row>
    <row r="265" spans="1:27" ht="64" x14ac:dyDescent="0.2">
      <c r="A265" s="73" t="s">
        <v>45</v>
      </c>
      <c r="B265" s="73" t="s">
        <v>733</v>
      </c>
      <c r="C265" s="45" t="s">
        <v>734</v>
      </c>
      <c r="D265" s="45" t="s">
        <v>735</v>
      </c>
      <c r="E265" s="86"/>
      <c r="F265" s="73"/>
      <c r="G265" s="73"/>
      <c r="H265" s="87"/>
      <c r="I265" s="118" t="s">
        <v>51</v>
      </c>
      <c r="J265" s="118"/>
      <c r="K265" s="118"/>
      <c r="L265" s="118"/>
      <c r="M265" s="118"/>
      <c r="N265" s="118"/>
      <c r="O265" s="118"/>
      <c r="P265" s="118"/>
      <c r="U265" s="46" t="s">
        <v>42</v>
      </c>
      <c r="W265" s="190">
        <v>3.7052218914031982</v>
      </c>
      <c r="X265" s="107">
        <v>1</v>
      </c>
      <c r="Y265" s="169">
        <f t="shared" si="15"/>
        <v>3.7052218914031982</v>
      </c>
      <c r="Z265" s="169">
        <f t="shared" si="17"/>
        <v>3.7052218914031982</v>
      </c>
    </row>
    <row r="266" spans="1:27" ht="16" customHeight="1" x14ac:dyDescent="0.2">
      <c r="A266" s="73" t="s">
        <v>148</v>
      </c>
      <c r="B266" s="73"/>
      <c r="C266" s="45"/>
      <c r="D266" s="45"/>
      <c r="E266" s="86"/>
      <c r="F266" s="73"/>
      <c r="G266" s="73"/>
      <c r="H266" s="87"/>
      <c r="I266" s="118"/>
      <c r="J266" s="118"/>
      <c r="K266" s="118"/>
      <c r="L266" s="118"/>
      <c r="M266" s="118"/>
      <c r="N266" s="118"/>
      <c r="O266" s="118"/>
      <c r="P266" s="118"/>
      <c r="W266" s="190" t="s">
        <v>68</v>
      </c>
      <c r="X266" s="107">
        <v>1</v>
      </c>
      <c r="Y266" s="169" t="str">
        <f t="shared" si="15"/>
        <v/>
      </c>
      <c r="Z266" s="169" t="str">
        <f t="shared" si="17"/>
        <v/>
      </c>
    </row>
    <row r="267" spans="1:27" x14ac:dyDescent="0.2">
      <c r="A267" s="74"/>
      <c r="B267" s="74"/>
      <c r="E267" s="86"/>
      <c r="H267" s="87"/>
      <c r="U267" s="46" t="s">
        <v>68</v>
      </c>
      <c r="W267" s="190" t="s">
        <v>68</v>
      </c>
      <c r="X267" s="107">
        <v>1</v>
      </c>
      <c r="Y267" s="169" t="str">
        <f t="shared" si="15"/>
        <v/>
      </c>
      <c r="Z267" s="169" t="str">
        <f t="shared" si="17"/>
        <v/>
      </c>
    </row>
    <row r="268" spans="1:27" s="75" customFormat="1" ht="16" x14ac:dyDescent="0.2">
      <c r="A268" s="75" t="s">
        <v>69</v>
      </c>
      <c r="B268" s="75" t="s">
        <v>736</v>
      </c>
      <c r="C268" s="164" t="s">
        <v>737</v>
      </c>
      <c r="D268" s="164" t="s">
        <v>738</v>
      </c>
      <c r="E268" s="77"/>
      <c r="H268" s="81"/>
      <c r="I268" s="119"/>
      <c r="J268" s="119"/>
      <c r="K268" s="119"/>
      <c r="L268" s="119"/>
      <c r="M268" s="119"/>
      <c r="N268" s="119"/>
      <c r="O268" s="119"/>
      <c r="P268" s="119"/>
      <c r="U268" s="75" t="s">
        <v>52</v>
      </c>
      <c r="W268" s="190"/>
      <c r="X268" s="107">
        <v>1</v>
      </c>
      <c r="Y268" s="169" t="str">
        <f t="shared" si="15"/>
        <v/>
      </c>
      <c r="Z268" s="169" t="str">
        <f t="shared" si="17"/>
        <v/>
      </c>
    </row>
    <row r="269" spans="1:27" s="76" customFormat="1" ht="48" x14ac:dyDescent="0.2">
      <c r="A269" s="76" t="s">
        <v>45</v>
      </c>
      <c r="B269" s="76" t="s">
        <v>739</v>
      </c>
      <c r="C269" s="76" t="s">
        <v>740</v>
      </c>
      <c r="D269" s="244" t="s">
        <v>741</v>
      </c>
      <c r="E269" s="77"/>
      <c r="H269" s="77"/>
      <c r="I269" s="119" t="s">
        <v>51</v>
      </c>
      <c r="J269" s="134"/>
      <c r="K269" s="134"/>
      <c r="L269" s="119"/>
      <c r="M269" s="134"/>
      <c r="N269" s="134"/>
      <c r="O269" s="134"/>
      <c r="P269" s="134"/>
      <c r="U269" s="76" t="s">
        <v>52</v>
      </c>
      <c r="W269" s="190">
        <v>0</v>
      </c>
      <c r="X269" s="107">
        <v>1</v>
      </c>
      <c r="Y269" s="169">
        <f t="shared" si="15"/>
        <v>0</v>
      </c>
      <c r="Z269" s="169" t="str">
        <f t="shared" si="17"/>
        <v/>
      </c>
    </row>
    <row r="270" spans="1:27" s="76" customFormat="1" ht="64" x14ac:dyDescent="0.2">
      <c r="A270" s="76" t="s">
        <v>83</v>
      </c>
      <c r="B270" s="76" t="s">
        <v>742</v>
      </c>
      <c r="C270" s="76" t="s">
        <v>743</v>
      </c>
      <c r="D270" s="244" t="s">
        <v>744</v>
      </c>
      <c r="E270" s="77"/>
      <c r="F270" s="75" t="s">
        <v>745</v>
      </c>
      <c r="G270" s="75" t="s">
        <v>746</v>
      </c>
      <c r="H270" s="77"/>
      <c r="I270" s="119" t="s">
        <v>40</v>
      </c>
      <c r="J270" s="134"/>
      <c r="K270" s="134" t="s">
        <v>747</v>
      </c>
      <c r="L270" s="119" t="s">
        <v>748</v>
      </c>
      <c r="M270" s="134"/>
      <c r="N270" s="134"/>
      <c r="O270" s="134"/>
      <c r="P270" s="134"/>
      <c r="U270" s="76" t="s">
        <v>52</v>
      </c>
      <c r="W270" s="190">
        <v>17</v>
      </c>
      <c r="X270" s="107">
        <v>1</v>
      </c>
      <c r="Y270" s="169">
        <f t="shared" si="15"/>
        <v>17</v>
      </c>
      <c r="Z270" s="169" t="str">
        <f t="shared" si="17"/>
        <v/>
      </c>
    </row>
    <row r="271" spans="1:27" s="76" customFormat="1" ht="64" x14ac:dyDescent="0.2">
      <c r="A271" s="76" t="s">
        <v>83</v>
      </c>
      <c r="B271" s="76" t="s">
        <v>749</v>
      </c>
      <c r="C271" s="76" t="s">
        <v>750</v>
      </c>
      <c r="D271" s="244" t="s">
        <v>751</v>
      </c>
      <c r="E271" s="77"/>
      <c r="F271" s="75" t="s">
        <v>745</v>
      </c>
      <c r="G271" s="75" t="s">
        <v>746</v>
      </c>
      <c r="H271" s="77"/>
      <c r="I271" s="119" t="s">
        <v>40</v>
      </c>
      <c r="J271" s="134"/>
      <c r="K271" s="134" t="s">
        <v>747</v>
      </c>
      <c r="L271" s="119" t="s">
        <v>748</v>
      </c>
      <c r="M271" s="134"/>
      <c r="N271" s="134"/>
      <c r="O271" s="134"/>
      <c r="P271" s="134"/>
      <c r="U271" s="76" t="s">
        <v>52</v>
      </c>
      <c r="W271" s="190">
        <v>17</v>
      </c>
      <c r="X271" s="107">
        <v>1</v>
      </c>
      <c r="Y271" s="169">
        <f t="shared" ref="Y271:Y315" si="18">IF(W271&lt;&gt;"",W271*X271,"")</f>
        <v>17</v>
      </c>
      <c r="Z271" s="169" t="str">
        <f t="shared" si="17"/>
        <v/>
      </c>
    </row>
    <row r="272" spans="1:27" s="76" customFormat="1" ht="48" x14ac:dyDescent="0.2">
      <c r="A272" s="76" t="s">
        <v>83</v>
      </c>
      <c r="B272" s="76" t="s">
        <v>752</v>
      </c>
      <c r="C272" s="76" t="s">
        <v>753</v>
      </c>
      <c r="D272" s="245" t="s">
        <v>754</v>
      </c>
      <c r="E272" s="77"/>
      <c r="F272" s="75" t="s">
        <v>745</v>
      </c>
      <c r="G272" s="75" t="s">
        <v>746</v>
      </c>
      <c r="H272" s="77"/>
      <c r="I272" s="119" t="s">
        <v>40</v>
      </c>
      <c r="J272" s="134"/>
      <c r="K272" s="134" t="s">
        <v>747</v>
      </c>
      <c r="L272" s="119" t="s">
        <v>748</v>
      </c>
      <c r="M272" s="134"/>
      <c r="N272" s="134"/>
      <c r="O272" s="134"/>
      <c r="P272" s="134"/>
      <c r="U272" s="76" t="s">
        <v>52</v>
      </c>
      <c r="W272" s="190">
        <v>17</v>
      </c>
      <c r="X272" s="107">
        <v>1</v>
      </c>
      <c r="Y272" s="169">
        <f t="shared" si="18"/>
        <v>17</v>
      </c>
      <c r="Z272" s="169" t="str">
        <f t="shared" si="17"/>
        <v/>
      </c>
    </row>
    <row r="273" spans="1:27" s="76" customFormat="1" ht="48" x14ac:dyDescent="0.2">
      <c r="A273" s="76" t="s">
        <v>83</v>
      </c>
      <c r="B273" s="76" t="s">
        <v>755</v>
      </c>
      <c r="C273" s="76" t="s">
        <v>756</v>
      </c>
      <c r="D273" s="245" t="s">
        <v>757</v>
      </c>
      <c r="E273" s="77"/>
      <c r="F273" s="75" t="s">
        <v>745</v>
      </c>
      <c r="G273" s="75" t="s">
        <v>746</v>
      </c>
      <c r="H273" s="77"/>
      <c r="I273" s="119" t="s">
        <v>40</v>
      </c>
      <c r="J273" s="134"/>
      <c r="K273" s="134" t="s">
        <v>747</v>
      </c>
      <c r="L273" s="119" t="s">
        <v>748</v>
      </c>
      <c r="M273" s="134"/>
      <c r="N273" s="134"/>
      <c r="O273" s="134"/>
      <c r="P273" s="134"/>
      <c r="U273" s="76" t="s">
        <v>52</v>
      </c>
      <c r="W273" s="190">
        <v>17</v>
      </c>
      <c r="X273" s="107">
        <v>1</v>
      </c>
      <c r="Y273" s="169">
        <f t="shared" si="18"/>
        <v>17</v>
      </c>
      <c r="Z273" s="169" t="str">
        <f t="shared" si="17"/>
        <v/>
      </c>
    </row>
    <row r="274" spans="1:27" s="76" customFormat="1" ht="64" x14ac:dyDescent="0.2">
      <c r="A274" s="76" t="s">
        <v>83</v>
      </c>
      <c r="B274" s="76" t="s">
        <v>758</v>
      </c>
      <c r="C274" s="76" t="s">
        <v>759</v>
      </c>
      <c r="D274" s="244" t="s">
        <v>760</v>
      </c>
      <c r="E274" s="77"/>
      <c r="F274" s="75" t="s">
        <v>745</v>
      </c>
      <c r="G274" s="75" t="s">
        <v>746</v>
      </c>
      <c r="H274" s="77"/>
      <c r="I274" s="119" t="s">
        <v>40</v>
      </c>
      <c r="J274" s="134"/>
      <c r="K274" s="134" t="s">
        <v>747</v>
      </c>
      <c r="L274" s="119" t="s">
        <v>748</v>
      </c>
      <c r="M274" s="134"/>
      <c r="N274" s="134"/>
      <c r="O274" s="134"/>
      <c r="P274" s="134"/>
      <c r="U274" s="76" t="s">
        <v>52</v>
      </c>
      <c r="W274" s="190">
        <v>17</v>
      </c>
      <c r="X274" s="107">
        <v>1</v>
      </c>
      <c r="Y274" s="169">
        <f t="shared" si="18"/>
        <v>17</v>
      </c>
      <c r="Z274" s="169" t="str">
        <f t="shared" si="17"/>
        <v/>
      </c>
    </row>
    <row r="275" spans="1:27" s="76" customFormat="1" ht="64" x14ac:dyDescent="0.2">
      <c r="A275" s="76" t="s">
        <v>83</v>
      </c>
      <c r="B275" s="76" t="s">
        <v>761</v>
      </c>
      <c r="C275" s="76" t="s">
        <v>762</v>
      </c>
      <c r="D275" s="244" t="s">
        <v>763</v>
      </c>
      <c r="E275" s="77"/>
      <c r="F275" s="75" t="s">
        <v>745</v>
      </c>
      <c r="G275" s="75" t="s">
        <v>746</v>
      </c>
      <c r="H275" s="77"/>
      <c r="I275" s="119" t="s">
        <v>40</v>
      </c>
      <c r="J275" s="134"/>
      <c r="K275" s="134" t="s">
        <v>747</v>
      </c>
      <c r="L275" s="119" t="s">
        <v>748</v>
      </c>
      <c r="M275" s="134"/>
      <c r="N275" s="134"/>
      <c r="O275" s="134"/>
      <c r="P275" s="134"/>
      <c r="U275" s="76" t="s">
        <v>52</v>
      </c>
      <c r="W275" s="190">
        <v>17</v>
      </c>
      <c r="X275" s="107">
        <v>1</v>
      </c>
      <c r="Y275" s="169">
        <f t="shared" si="18"/>
        <v>17</v>
      </c>
      <c r="Z275" s="169" t="str">
        <f t="shared" si="17"/>
        <v/>
      </c>
    </row>
    <row r="276" spans="1:27" s="76" customFormat="1" ht="64" x14ac:dyDescent="0.2">
      <c r="A276" s="76" t="s">
        <v>83</v>
      </c>
      <c r="B276" s="76" t="s">
        <v>764</v>
      </c>
      <c r="C276" s="76" t="s">
        <v>765</v>
      </c>
      <c r="D276" s="244" t="s">
        <v>766</v>
      </c>
      <c r="E276" s="77"/>
      <c r="F276" s="75" t="s">
        <v>745</v>
      </c>
      <c r="G276" s="75" t="s">
        <v>746</v>
      </c>
      <c r="H276" s="77"/>
      <c r="I276" s="119" t="s">
        <v>40</v>
      </c>
      <c r="J276" s="134"/>
      <c r="K276" s="134" t="s">
        <v>747</v>
      </c>
      <c r="L276" s="119" t="s">
        <v>748</v>
      </c>
      <c r="M276" s="134"/>
      <c r="N276" s="134"/>
      <c r="O276" s="134"/>
      <c r="P276" s="134"/>
      <c r="U276" s="76" t="s">
        <v>52</v>
      </c>
      <c r="W276" s="190">
        <v>17</v>
      </c>
      <c r="X276" s="107">
        <v>1</v>
      </c>
      <c r="Y276" s="169">
        <f t="shared" si="18"/>
        <v>17</v>
      </c>
      <c r="Z276" s="169" t="str">
        <f t="shared" si="17"/>
        <v/>
      </c>
    </row>
    <row r="277" spans="1:27" s="76" customFormat="1" ht="64" x14ac:dyDescent="0.2">
      <c r="A277" s="76" t="s">
        <v>83</v>
      </c>
      <c r="B277" s="76" t="s">
        <v>767</v>
      </c>
      <c r="C277" s="76" t="s">
        <v>768</v>
      </c>
      <c r="D277" s="244" t="s">
        <v>769</v>
      </c>
      <c r="E277" s="77"/>
      <c r="F277" s="75" t="s">
        <v>745</v>
      </c>
      <c r="G277" s="75" t="s">
        <v>746</v>
      </c>
      <c r="H277" s="77"/>
      <c r="I277" s="119" t="s">
        <v>40</v>
      </c>
      <c r="J277" s="134"/>
      <c r="K277" s="134" t="s">
        <v>747</v>
      </c>
      <c r="L277" s="119" t="s">
        <v>748</v>
      </c>
      <c r="M277" s="134"/>
      <c r="N277" s="134"/>
      <c r="O277" s="134"/>
      <c r="P277" s="134"/>
      <c r="U277" s="76" t="s">
        <v>52</v>
      </c>
      <c r="W277" s="190">
        <v>17</v>
      </c>
      <c r="X277" s="107">
        <v>1</v>
      </c>
      <c r="Y277" s="169">
        <f t="shared" si="18"/>
        <v>17</v>
      </c>
      <c r="Z277" s="169" t="str">
        <f t="shared" si="17"/>
        <v/>
      </c>
    </row>
    <row r="278" spans="1:27" s="76" customFormat="1" ht="64" x14ac:dyDescent="0.2">
      <c r="A278" s="76" t="s">
        <v>83</v>
      </c>
      <c r="B278" s="76" t="s">
        <v>770</v>
      </c>
      <c r="C278" s="76" t="s">
        <v>771</v>
      </c>
      <c r="D278" s="244" t="s">
        <v>772</v>
      </c>
      <c r="E278" s="77"/>
      <c r="F278" s="75" t="s">
        <v>745</v>
      </c>
      <c r="G278" s="75" t="s">
        <v>746</v>
      </c>
      <c r="H278" s="77"/>
      <c r="I278" s="119" t="s">
        <v>40</v>
      </c>
      <c r="J278" s="134"/>
      <c r="K278" s="134" t="s">
        <v>747</v>
      </c>
      <c r="L278" s="119" t="s">
        <v>748</v>
      </c>
      <c r="M278" s="134"/>
      <c r="N278" s="134"/>
      <c r="O278" s="134"/>
      <c r="P278" s="134"/>
      <c r="U278" s="76" t="s">
        <v>52</v>
      </c>
      <c r="W278" s="190">
        <v>17</v>
      </c>
      <c r="X278" s="107">
        <v>1</v>
      </c>
      <c r="Y278" s="169">
        <f t="shared" si="18"/>
        <v>17</v>
      </c>
      <c r="Z278" s="169" t="str">
        <f t="shared" si="17"/>
        <v/>
      </c>
    </row>
    <row r="279" spans="1:27" s="75" customFormat="1" x14ac:dyDescent="0.2">
      <c r="A279" s="75" t="s">
        <v>148</v>
      </c>
      <c r="C279" s="76"/>
      <c r="D279" s="76"/>
      <c r="E279" s="77"/>
      <c r="H279" s="81"/>
      <c r="I279" s="119"/>
      <c r="J279" s="119"/>
      <c r="K279" s="119"/>
      <c r="L279" s="119"/>
      <c r="M279" s="119"/>
      <c r="N279" s="119"/>
      <c r="O279" s="119"/>
      <c r="P279" s="119"/>
      <c r="U279" s="75" t="s">
        <v>68</v>
      </c>
      <c r="W279" s="190">
        <v>17</v>
      </c>
      <c r="X279" s="107">
        <v>1</v>
      </c>
      <c r="Y279" s="169">
        <f t="shared" si="18"/>
        <v>17</v>
      </c>
      <c r="Z279" s="169" t="str">
        <f t="shared" si="17"/>
        <v/>
      </c>
      <c r="AA279" s="74"/>
    </row>
    <row r="280" spans="1:27" s="75" customFormat="1" x14ac:dyDescent="0.2">
      <c r="C280" s="76"/>
      <c r="D280" s="76"/>
      <c r="E280" s="77"/>
      <c r="H280" s="81"/>
      <c r="I280" s="119"/>
      <c r="J280" s="119"/>
      <c r="K280" s="119"/>
      <c r="L280" s="119"/>
      <c r="M280" s="119"/>
      <c r="N280" s="119"/>
      <c r="O280" s="119"/>
      <c r="P280" s="119"/>
      <c r="U280" s="75" t="s">
        <v>68</v>
      </c>
      <c r="W280" s="190">
        <v>17</v>
      </c>
      <c r="X280" s="107">
        <v>1</v>
      </c>
      <c r="Y280" s="169">
        <f t="shared" si="18"/>
        <v>17</v>
      </c>
      <c r="Z280" s="169" t="str">
        <f t="shared" si="17"/>
        <v/>
      </c>
      <c r="AA280" s="74"/>
    </row>
    <row r="281" spans="1:27" s="75" customFormat="1" ht="16" x14ac:dyDescent="0.2">
      <c r="A281" s="75" t="s">
        <v>69</v>
      </c>
      <c r="B281" s="75" t="s">
        <v>773</v>
      </c>
      <c r="C281" s="164" t="s">
        <v>774</v>
      </c>
      <c r="D281" s="164" t="s">
        <v>774</v>
      </c>
      <c r="E281" s="77"/>
      <c r="H281" s="81"/>
      <c r="I281" s="119"/>
      <c r="J281" s="119"/>
      <c r="K281" s="119"/>
      <c r="L281" s="119"/>
      <c r="M281" s="119"/>
      <c r="N281" s="119"/>
      <c r="O281" s="119"/>
      <c r="P281" s="119"/>
      <c r="U281" s="75" t="s">
        <v>52</v>
      </c>
      <c r="W281" s="190"/>
      <c r="X281" s="107">
        <v>1</v>
      </c>
      <c r="Y281" s="169" t="str">
        <f t="shared" si="18"/>
        <v/>
      </c>
      <c r="Z281" s="169" t="str">
        <f t="shared" si="17"/>
        <v/>
      </c>
    </row>
    <row r="282" spans="1:27" s="75" customFormat="1" ht="48" x14ac:dyDescent="0.2">
      <c r="A282" s="75" t="s">
        <v>45</v>
      </c>
      <c r="B282" s="75" t="s">
        <v>775</v>
      </c>
      <c r="C282" s="76" t="s">
        <v>776</v>
      </c>
      <c r="D282" s="244" t="s">
        <v>777</v>
      </c>
      <c r="E282" s="77"/>
      <c r="H282" s="81"/>
      <c r="I282" s="119" t="s">
        <v>51</v>
      </c>
      <c r="J282" s="119"/>
      <c r="K282" s="119"/>
      <c r="L282" s="119"/>
      <c r="M282" s="119"/>
      <c r="N282" s="119"/>
      <c r="O282" s="119"/>
      <c r="P282" s="119"/>
      <c r="U282" s="75" t="s">
        <v>52</v>
      </c>
      <c r="W282" s="190">
        <v>17</v>
      </c>
      <c r="X282" s="107">
        <v>1</v>
      </c>
      <c r="Y282" s="169">
        <f t="shared" si="18"/>
        <v>17</v>
      </c>
      <c r="Z282" s="169" t="str">
        <f t="shared" si="17"/>
        <v/>
      </c>
    </row>
    <row r="283" spans="1:27" s="75" customFormat="1" ht="48" x14ac:dyDescent="0.2">
      <c r="A283" s="75" t="s">
        <v>83</v>
      </c>
      <c r="B283" s="75" t="s">
        <v>778</v>
      </c>
      <c r="C283" s="76" t="s">
        <v>779</v>
      </c>
      <c r="D283" s="244" t="s">
        <v>780</v>
      </c>
      <c r="E283" s="77"/>
      <c r="F283" s="75" t="s">
        <v>781</v>
      </c>
      <c r="G283" s="75" t="s">
        <v>782</v>
      </c>
      <c r="H283" s="81"/>
      <c r="I283" s="119" t="s">
        <v>40</v>
      </c>
      <c r="J283" s="119"/>
      <c r="K283" s="119" t="s">
        <v>747</v>
      </c>
      <c r="L283" s="119" t="s">
        <v>748</v>
      </c>
      <c r="M283" s="119"/>
      <c r="N283" s="119"/>
      <c r="O283" s="119"/>
      <c r="P283" s="119"/>
      <c r="U283" s="75" t="s">
        <v>52</v>
      </c>
      <c r="W283" s="190">
        <v>17</v>
      </c>
      <c r="X283" s="107">
        <v>1</v>
      </c>
      <c r="Y283" s="169">
        <f t="shared" si="18"/>
        <v>17</v>
      </c>
      <c r="Z283" s="169" t="str">
        <f t="shared" ref="Z283:Z315" si="19">IF(AND(W283&lt;&gt;"",U283="yes"),W283*X283,"")</f>
        <v/>
      </c>
    </row>
    <row r="284" spans="1:27" s="75" customFormat="1" ht="48" x14ac:dyDescent="0.2">
      <c r="A284" s="75" t="s">
        <v>83</v>
      </c>
      <c r="B284" s="75" t="s">
        <v>783</v>
      </c>
      <c r="C284" s="76" t="s">
        <v>784</v>
      </c>
      <c r="D284" s="244" t="s">
        <v>785</v>
      </c>
      <c r="E284" s="77"/>
      <c r="F284" s="75" t="s">
        <v>781</v>
      </c>
      <c r="G284" s="75" t="s">
        <v>782</v>
      </c>
      <c r="H284" s="81"/>
      <c r="I284" s="119" t="s">
        <v>40</v>
      </c>
      <c r="J284" s="119"/>
      <c r="K284" s="119" t="s">
        <v>747</v>
      </c>
      <c r="L284" s="119" t="s">
        <v>748</v>
      </c>
      <c r="M284" s="119"/>
      <c r="N284" s="119"/>
      <c r="O284" s="119"/>
      <c r="P284" s="119"/>
      <c r="U284" s="75" t="s">
        <v>52</v>
      </c>
      <c r="W284" s="190">
        <v>17</v>
      </c>
      <c r="X284" s="107">
        <v>1</v>
      </c>
      <c r="Y284" s="169">
        <f t="shared" si="18"/>
        <v>17</v>
      </c>
      <c r="Z284" s="169" t="str">
        <f t="shared" si="19"/>
        <v/>
      </c>
    </row>
    <row r="285" spans="1:27" s="75" customFormat="1" ht="48" x14ac:dyDescent="0.2">
      <c r="A285" s="75" t="s">
        <v>83</v>
      </c>
      <c r="B285" s="75" t="s">
        <v>786</v>
      </c>
      <c r="C285" s="76" t="s">
        <v>787</v>
      </c>
      <c r="D285" s="244" t="s">
        <v>788</v>
      </c>
      <c r="E285" s="77"/>
      <c r="F285" s="75" t="s">
        <v>781</v>
      </c>
      <c r="G285" s="75" t="s">
        <v>782</v>
      </c>
      <c r="H285" s="81"/>
      <c r="I285" s="119" t="s">
        <v>40</v>
      </c>
      <c r="J285" s="119"/>
      <c r="K285" s="119" t="s">
        <v>747</v>
      </c>
      <c r="L285" s="119" t="s">
        <v>748</v>
      </c>
      <c r="M285" s="119"/>
      <c r="N285" s="119"/>
      <c r="O285" s="119"/>
      <c r="P285" s="119"/>
      <c r="U285" s="75" t="s">
        <v>52</v>
      </c>
      <c r="W285" s="190">
        <v>17</v>
      </c>
      <c r="X285" s="107">
        <v>1</v>
      </c>
      <c r="Y285" s="169">
        <f t="shared" si="18"/>
        <v>17</v>
      </c>
      <c r="Z285" s="169" t="str">
        <f t="shared" si="19"/>
        <v/>
      </c>
    </row>
    <row r="286" spans="1:27" s="75" customFormat="1" ht="48" x14ac:dyDescent="0.2">
      <c r="A286" s="75" t="s">
        <v>83</v>
      </c>
      <c r="B286" s="75" t="s">
        <v>789</v>
      </c>
      <c r="C286" s="76" t="s">
        <v>790</v>
      </c>
      <c r="D286" s="244" t="s">
        <v>791</v>
      </c>
      <c r="E286" s="77"/>
      <c r="F286" s="75" t="s">
        <v>781</v>
      </c>
      <c r="G286" s="75" t="s">
        <v>782</v>
      </c>
      <c r="H286" s="81"/>
      <c r="I286" s="119" t="s">
        <v>40</v>
      </c>
      <c r="J286" s="119"/>
      <c r="K286" s="119" t="s">
        <v>747</v>
      </c>
      <c r="L286" s="119" t="s">
        <v>748</v>
      </c>
      <c r="M286" s="119"/>
      <c r="N286" s="119"/>
      <c r="O286" s="119"/>
      <c r="P286" s="119"/>
      <c r="U286" s="75" t="s">
        <v>52</v>
      </c>
      <c r="W286" s="190">
        <v>17</v>
      </c>
      <c r="X286" s="107">
        <v>1</v>
      </c>
      <c r="Y286" s="169">
        <f t="shared" si="18"/>
        <v>17</v>
      </c>
      <c r="Z286" s="169" t="str">
        <f t="shared" si="19"/>
        <v/>
      </c>
    </row>
    <row r="287" spans="1:27" s="75" customFormat="1" ht="48" x14ac:dyDescent="0.2">
      <c r="A287" s="75" t="s">
        <v>83</v>
      </c>
      <c r="B287" s="75" t="s">
        <v>792</v>
      </c>
      <c r="C287" s="76" t="s">
        <v>793</v>
      </c>
      <c r="D287" s="243" t="s">
        <v>794</v>
      </c>
      <c r="E287" s="77"/>
      <c r="F287" s="75" t="s">
        <v>781</v>
      </c>
      <c r="G287" s="75" t="s">
        <v>782</v>
      </c>
      <c r="H287" s="81"/>
      <c r="I287" s="119" t="s">
        <v>40</v>
      </c>
      <c r="J287" s="119"/>
      <c r="K287" s="119" t="s">
        <v>747</v>
      </c>
      <c r="L287" s="119" t="s">
        <v>748</v>
      </c>
      <c r="M287" s="119"/>
      <c r="N287" s="119"/>
      <c r="O287" s="119"/>
      <c r="P287" s="119"/>
      <c r="U287" s="75" t="s">
        <v>52</v>
      </c>
      <c r="W287" s="190">
        <v>17</v>
      </c>
      <c r="X287" s="107">
        <v>1</v>
      </c>
      <c r="Y287" s="169">
        <f t="shared" si="18"/>
        <v>17</v>
      </c>
      <c r="Z287" s="169" t="str">
        <f t="shared" si="19"/>
        <v/>
      </c>
    </row>
    <row r="288" spans="1:27" s="75" customFormat="1" x14ac:dyDescent="0.2">
      <c r="A288" s="75" t="s">
        <v>148</v>
      </c>
      <c r="C288" s="76"/>
      <c r="D288" s="76"/>
      <c r="E288" s="77"/>
      <c r="H288" s="81"/>
      <c r="I288" s="119"/>
      <c r="J288" s="119"/>
      <c r="K288" s="119"/>
      <c r="L288" s="119"/>
      <c r="M288" s="119"/>
      <c r="N288" s="119"/>
      <c r="O288" s="119"/>
      <c r="P288" s="119"/>
      <c r="U288" s="75" t="s">
        <v>68</v>
      </c>
      <c r="W288" s="190" t="s">
        <v>68</v>
      </c>
      <c r="X288" s="107">
        <v>1</v>
      </c>
      <c r="Y288" s="169" t="str">
        <f t="shared" si="18"/>
        <v/>
      </c>
      <c r="Z288" s="169" t="str">
        <f t="shared" si="19"/>
        <v/>
      </c>
    </row>
    <row r="289" spans="1:27" s="75" customFormat="1" x14ac:dyDescent="0.2">
      <c r="C289" s="76"/>
      <c r="D289" s="76"/>
      <c r="E289" s="77"/>
      <c r="H289" s="81"/>
      <c r="I289" s="119"/>
      <c r="J289" s="119"/>
      <c r="K289" s="119"/>
      <c r="L289" s="119"/>
      <c r="M289" s="119"/>
      <c r="N289" s="119"/>
      <c r="O289" s="119"/>
      <c r="P289" s="119"/>
      <c r="U289" s="75" t="s">
        <v>68</v>
      </c>
      <c r="W289" s="190" t="s">
        <v>68</v>
      </c>
      <c r="X289" s="107">
        <v>1</v>
      </c>
      <c r="Y289" s="169" t="str">
        <f t="shared" si="18"/>
        <v/>
      </c>
      <c r="Z289" s="169" t="str">
        <f t="shared" si="19"/>
        <v/>
      </c>
    </row>
    <row r="290" spans="1:27" ht="16" thickBot="1" x14ac:dyDescent="0.25">
      <c r="A290" s="100" t="s">
        <v>148</v>
      </c>
      <c r="B290" s="100"/>
      <c r="C290" s="101"/>
      <c r="D290" s="101"/>
      <c r="E290" s="110"/>
      <c r="F290" s="100"/>
      <c r="G290" s="100"/>
      <c r="H290" s="111"/>
      <c r="I290" s="131"/>
      <c r="J290" s="131"/>
      <c r="K290" s="131"/>
      <c r="L290" s="131"/>
      <c r="M290" s="131"/>
      <c r="N290" s="131"/>
      <c r="O290" s="131"/>
      <c r="P290" s="131"/>
      <c r="W290" s="190"/>
      <c r="Y290" s="169" t="str">
        <f t="shared" si="18"/>
        <v/>
      </c>
      <c r="Z290" s="169" t="str">
        <f t="shared" si="19"/>
        <v/>
      </c>
    </row>
    <row r="291" spans="1:27" s="71" customFormat="1" ht="15" customHeight="1" thickTop="1" x14ac:dyDescent="0.2">
      <c r="A291" s="68" t="s">
        <v>69</v>
      </c>
      <c r="B291" s="68" t="s">
        <v>795</v>
      </c>
      <c r="C291" s="92" t="s">
        <v>796</v>
      </c>
      <c r="D291" s="92" t="s">
        <v>797</v>
      </c>
      <c r="E291" s="69"/>
      <c r="F291" s="68"/>
      <c r="G291" s="68"/>
      <c r="H291" s="70"/>
      <c r="I291" s="123" t="s">
        <v>51</v>
      </c>
      <c r="J291" s="123"/>
      <c r="K291" s="123"/>
      <c r="L291" s="123"/>
      <c r="M291" s="123" t="s">
        <v>798</v>
      </c>
      <c r="N291" s="123"/>
      <c r="O291" s="123"/>
      <c r="P291" s="123"/>
      <c r="U291" s="46" t="s">
        <v>42</v>
      </c>
      <c r="W291" s="190"/>
      <c r="X291" s="72"/>
      <c r="Y291" s="169" t="str">
        <f t="shared" si="18"/>
        <v/>
      </c>
      <c r="Z291" s="169" t="str">
        <f t="shared" si="19"/>
        <v/>
      </c>
      <c r="AA291" s="72"/>
    </row>
    <row r="292" spans="1:27" s="71" customFormat="1" ht="15" customHeight="1" x14ac:dyDescent="0.2">
      <c r="C292" s="93"/>
      <c r="D292" s="93"/>
      <c r="E292" s="69"/>
      <c r="H292" s="70"/>
      <c r="I292" s="124"/>
      <c r="J292" s="124"/>
      <c r="K292" s="124"/>
      <c r="L292" s="124"/>
      <c r="M292" s="124"/>
      <c r="N292" s="124"/>
      <c r="O292" s="124"/>
      <c r="P292" s="124"/>
      <c r="U292" s="46" t="s">
        <v>68</v>
      </c>
      <c r="W292" s="190" t="s">
        <v>68</v>
      </c>
      <c r="X292" s="107">
        <v>1</v>
      </c>
      <c r="Y292" s="169" t="str">
        <f t="shared" si="18"/>
        <v/>
      </c>
      <c r="Z292" s="169" t="str">
        <f t="shared" si="19"/>
        <v/>
      </c>
      <c r="AA292" s="72"/>
    </row>
    <row r="293" spans="1:27" ht="32" x14ac:dyDescent="0.2">
      <c r="A293" s="73" t="s">
        <v>142</v>
      </c>
      <c r="B293" s="73" t="s">
        <v>799</v>
      </c>
      <c r="C293" s="45" t="s">
        <v>800</v>
      </c>
      <c r="D293" s="79" t="s">
        <v>801</v>
      </c>
      <c r="E293" s="86"/>
      <c r="F293" s="73"/>
      <c r="G293" s="73"/>
      <c r="H293" s="87"/>
      <c r="I293" s="118" t="s">
        <v>40</v>
      </c>
      <c r="J293" s="118"/>
      <c r="K293" s="118"/>
      <c r="L293" s="118"/>
      <c r="M293" s="118"/>
      <c r="N293" s="118"/>
      <c r="O293" s="118"/>
      <c r="P293" s="118"/>
      <c r="U293" s="46" t="s">
        <v>42</v>
      </c>
      <c r="W293" s="190">
        <v>19.828245162963867</v>
      </c>
      <c r="X293" s="107">
        <v>1</v>
      </c>
      <c r="Y293" s="169">
        <f t="shared" si="18"/>
        <v>19.828245162963867</v>
      </c>
      <c r="Z293" s="169">
        <f t="shared" si="19"/>
        <v>19.828245162963867</v>
      </c>
    </row>
    <row r="294" spans="1:27" ht="48" x14ac:dyDescent="0.2">
      <c r="A294" s="73" t="s">
        <v>802</v>
      </c>
      <c r="B294" s="73" t="s">
        <v>803</v>
      </c>
      <c r="C294" s="45" t="s">
        <v>804</v>
      </c>
      <c r="D294" s="79" t="s">
        <v>805</v>
      </c>
      <c r="E294" s="86"/>
      <c r="F294" s="73" t="s">
        <v>806</v>
      </c>
      <c r="G294" s="78" t="s">
        <v>807</v>
      </c>
      <c r="H294" s="87"/>
      <c r="I294" s="118" t="s">
        <v>40</v>
      </c>
      <c r="J294" s="118"/>
      <c r="K294" s="120" t="s">
        <v>465</v>
      </c>
      <c r="L294" s="118"/>
      <c r="M294" s="118" t="s">
        <v>808</v>
      </c>
      <c r="N294" s="118"/>
      <c r="O294" s="118"/>
      <c r="P294" s="118"/>
      <c r="U294" s="46" t="s">
        <v>42</v>
      </c>
      <c r="W294" s="190">
        <v>49.529693603515625</v>
      </c>
      <c r="X294" s="107">
        <v>1</v>
      </c>
      <c r="Y294" s="169">
        <f t="shared" si="18"/>
        <v>49.529693603515625</v>
      </c>
      <c r="Z294" s="169">
        <f t="shared" si="19"/>
        <v>49.529693603515625</v>
      </c>
    </row>
    <row r="295" spans="1:27" ht="16" x14ac:dyDescent="0.2">
      <c r="A295" s="73" t="s">
        <v>73</v>
      </c>
      <c r="B295" s="73" t="s">
        <v>809</v>
      </c>
      <c r="C295" s="79" t="s">
        <v>330</v>
      </c>
      <c r="D295" s="79" t="s">
        <v>331</v>
      </c>
      <c r="E295" s="97"/>
      <c r="F295" s="74" t="s">
        <v>332</v>
      </c>
      <c r="G295" s="74" t="s">
        <v>333</v>
      </c>
      <c r="H295" s="87"/>
      <c r="I295" s="118" t="s">
        <v>40</v>
      </c>
      <c r="J295" s="118"/>
      <c r="K295" s="118"/>
      <c r="L295" s="118"/>
      <c r="M295" s="118" t="s">
        <v>810</v>
      </c>
      <c r="N295" s="118"/>
      <c r="O295" s="118"/>
      <c r="P295" s="118"/>
      <c r="U295" s="46" t="s">
        <v>42</v>
      </c>
      <c r="W295" s="190"/>
      <c r="X295" s="107">
        <v>1</v>
      </c>
      <c r="Y295" s="169" t="str">
        <f t="shared" si="18"/>
        <v/>
      </c>
      <c r="Z295" s="169" t="str">
        <f t="shared" si="19"/>
        <v/>
      </c>
    </row>
    <row r="296" spans="1:27" x14ac:dyDescent="0.2">
      <c r="D296" s="48"/>
      <c r="E296" s="86"/>
      <c r="G296" s="74"/>
      <c r="H296" s="87"/>
      <c r="U296" s="46" t="s">
        <v>68</v>
      </c>
      <c r="W296" s="190" t="s">
        <v>68</v>
      </c>
      <c r="X296" s="107">
        <v>1</v>
      </c>
      <c r="Y296" s="169" t="str">
        <f t="shared" si="18"/>
        <v/>
      </c>
      <c r="Z296" s="169" t="str">
        <f t="shared" si="19"/>
        <v/>
      </c>
    </row>
    <row r="297" spans="1:27" s="74" customFormat="1" ht="32" x14ac:dyDescent="0.2">
      <c r="A297" s="78" t="s">
        <v>811</v>
      </c>
      <c r="B297" s="78" t="s">
        <v>812</v>
      </c>
      <c r="C297" s="79" t="s">
        <v>813</v>
      </c>
      <c r="D297" s="79" t="s">
        <v>814</v>
      </c>
      <c r="E297" s="97"/>
      <c r="F297" s="78" t="s">
        <v>815</v>
      </c>
      <c r="G297" s="78" t="s">
        <v>816</v>
      </c>
      <c r="H297" s="99"/>
      <c r="I297" s="120" t="s">
        <v>40</v>
      </c>
      <c r="J297" s="120"/>
      <c r="K297" s="120" t="s">
        <v>817</v>
      </c>
      <c r="L297" s="120"/>
      <c r="M297" s="120"/>
      <c r="N297" s="120"/>
      <c r="O297" s="120"/>
      <c r="P297" s="120"/>
      <c r="U297" s="74" t="s">
        <v>42</v>
      </c>
      <c r="W297" s="190">
        <v>22.029750823974609</v>
      </c>
      <c r="X297" s="107">
        <v>1</v>
      </c>
      <c r="Y297" s="169">
        <f t="shared" si="18"/>
        <v>22.029750823974609</v>
      </c>
      <c r="Z297" s="169">
        <f t="shared" si="19"/>
        <v>22.029750823974609</v>
      </c>
    </row>
    <row r="298" spans="1:27" s="74" customFormat="1" ht="16" x14ac:dyDescent="0.2">
      <c r="A298" s="78" t="s">
        <v>73</v>
      </c>
      <c r="B298" s="78" t="s">
        <v>818</v>
      </c>
      <c r="C298" s="79" t="s">
        <v>330</v>
      </c>
      <c r="D298" s="79" t="s">
        <v>331</v>
      </c>
      <c r="E298" s="97"/>
      <c r="F298" s="78" t="s">
        <v>332</v>
      </c>
      <c r="G298" s="78" t="s">
        <v>333</v>
      </c>
      <c r="H298" s="99"/>
      <c r="I298" s="120" t="s">
        <v>40</v>
      </c>
      <c r="J298" s="120"/>
      <c r="K298" s="120"/>
      <c r="L298" s="120"/>
      <c r="M298" s="120" t="s">
        <v>819</v>
      </c>
      <c r="N298" s="120"/>
      <c r="O298" s="120"/>
      <c r="P298" s="120"/>
      <c r="U298" s="74" t="s">
        <v>42</v>
      </c>
      <c r="W298" s="190"/>
      <c r="X298" s="107">
        <v>1</v>
      </c>
      <c r="Y298" s="169" t="str">
        <f t="shared" si="18"/>
        <v/>
      </c>
      <c r="Z298" s="169" t="str">
        <f t="shared" si="19"/>
        <v/>
      </c>
    </row>
    <row r="299" spans="1:27" s="74" customFormat="1" ht="16" x14ac:dyDescent="0.2">
      <c r="A299" s="78" t="s">
        <v>820</v>
      </c>
      <c r="B299" s="78" t="s">
        <v>821</v>
      </c>
      <c r="C299" s="79" t="s">
        <v>822</v>
      </c>
      <c r="D299" s="79" t="s">
        <v>823</v>
      </c>
      <c r="E299" s="97"/>
      <c r="F299" s="78" t="s">
        <v>824</v>
      </c>
      <c r="G299" s="78" t="s">
        <v>825</v>
      </c>
      <c r="H299" s="99"/>
      <c r="I299" s="120" t="s">
        <v>40</v>
      </c>
      <c r="J299" s="120"/>
      <c r="K299" s="120"/>
      <c r="L299" s="120"/>
      <c r="M299" s="120" t="s">
        <v>826</v>
      </c>
      <c r="N299" s="120"/>
      <c r="O299" s="120"/>
      <c r="P299" s="120"/>
      <c r="U299" s="74" t="s">
        <v>42</v>
      </c>
      <c r="W299" s="190">
        <v>17</v>
      </c>
      <c r="X299" s="107">
        <v>1</v>
      </c>
      <c r="Y299" s="169">
        <f t="shared" si="18"/>
        <v>17</v>
      </c>
      <c r="Z299" s="169">
        <f t="shared" si="19"/>
        <v>17</v>
      </c>
    </row>
    <row r="300" spans="1:27" s="75" customFormat="1" x14ac:dyDescent="0.2">
      <c r="C300" s="76"/>
      <c r="D300" s="76"/>
      <c r="E300" s="77"/>
      <c r="H300" s="81"/>
      <c r="I300" s="119"/>
      <c r="J300" s="119"/>
      <c r="K300" s="119"/>
      <c r="L300" s="119"/>
      <c r="M300" s="119"/>
      <c r="N300" s="119"/>
      <c r="O300" s="119"/>
      <c r="P300" s="119"/>
      <c r="R300" s="46"/>
      <c r="U300" s="75" t="s">
        <v>68</v>
      </c>
      <c r="W300" s="190" t="s">
        <v>68</v>
      </c>
      <c r="X300" s="107">
        <v>1</v>
      </c>
      <c r="Y300" s="169" t="str">
        <f t="shared" si="18"/>
        <v/>
      </c>
      <c r="Z300" s="169" t="str">
        <f t="shared" si="19"/>
        <v/>
      </c>
      <c r="AA300" s="74"/>
    </row>
    <row r="301" spans="1:27" s="75" customFormat="1" ht="16" x14ac:dyDescent="0.2">
      <c r="A301" s="75" t="s">
        <v>827</v>
      </c>
      <c r="B301" s="75" t="s">
        <v>828</v>
      </c>
      <c r="C301" s="76" t="s">
        <v>829</v>
      </c>
      <c r="D301" s="76" t="s">
        <v>830</v>
      </c>
      <c r="E301" s="77"/>
      <c r="F301" s="75" t="s">
        <v>831</v>
      </c>
      <c r="G301" s="75" t="s">
        <v>328</v>
      </c>
      <c r="H301" s="81"/>
      <c r="I301" s="119" t="s">
        <v>40</v>
      </c>
      <c r="J301" s="119"/>
      <c r="K301" s="130" t="s">
        <v>465</v>
      </c>
      <c r="L301" s="119"/>
      <c r="M301" s="130" t="s">
        <v>826</v>
      </c>
      <c r="N301" s="119"/>
      <c r="O301" s="119"/>
      <c r="P301" s="119"/>
      <c r="R301" s="46"/>
      <c r="U301" s="75" t="s">
        <v>52</v>
      </c>
      <c r="W301" s="190"/>
      <c r="X301" s="107"/>
      <c r="Y301" s="169"/>
      <c r="Z301" s="169"/>
      <c r="AA301" s="74"/>
    </row>
    <row r="302" spans="1:27" s="75" customFormat="1" x14ac:dyDescent="0.2">
      <c r="C302" s="76"/>
      <c r="D302" s="76"/>
      <c r="E302" s="77"/>
      <c r="H302" s="81"/>
      <c r="I302" s="119"/>
      <c r="J302" s="119"/>
      <c r="K302" s="119"/>
      <c r="L302" s="119"/>
      <c r="M302" s="119"/>
      <c r="N302" s="119"/>
      <c r="O302" s="119"/>
      <c r="P302" s="119"/>
      <c r="R302" s="46"/>
      <c r="W302" s="190"/>
      <c r="X302" s="107"/>
      <c r="Y302" s="169"/>
      <c r="Z302" s="169"/>
      <c r="AA302" s="74"/>
    </row>
    <row r="303" spans="1:27" ht="16" thickBot="1" x14ac:dyDescent="0.25">
      <c r="A303" s="100" t="s">
        <v>148</v>
      </c>
      <c r="B303" s="100"/>
      <c r="C303" s="101"/>
      <c r="D303" s="101"/>
      <c r="E303" s="110"/>
      <c r="F303" s="100"/>
      <c r="G303" s="100"/>
      <c r="H303" s="111"/>
      <c r="I303" s="131"/>
      <c r="J303" s="131"/>
      <c r="K303" s="131"/>
      <c r="L303" s="131"/>
      <c r="M303" s="131"/>
      <c r="N303" s="131"/>
      <c r="O303" s="131"/>
      <c r="P303" s="131"/>
      <c r="U303" s="46" t="s">
        <v>68</v>
      </c>
      <c r="W303" s="190" t="s">
        <v>68</v>
      </c>
      <c r="Y303" s="169" t="str">
        <f t="shared" si="18"/>
        <v/>
      </c>
      <c r="Z303" s="169" t="str">
        <f t="shared" si="19"/>
        <v/>
      </c>
    </row>
    <row r="304" spans="1:27" s="71" customFormat="1" ht="17" thickTop="1" x14ac:dyDescent="0.2">
      <c r="A304" s="68" t="s">
        <v>69</v>
      </c>
      <c r="B304" s="68" t="s">
        <v>832</v>
      </c>
      <c r="C304" s="92" t="s">
        <v>833</v>
      </c>
      <c r="D304" s="92" t="s">
        <v>834</v>
      </c>
      <c r="E304" s="69"/>
      <c r="F304" s="68"/>
      <c r="G304" s="68"/>
      <c r="H304" s="70"/>
      <c r="I304" s="123" t="s">
        <v>51</v>
      </c>
      <c r="J304" s="123"/>
      <c r="K304" s="123"/>
      <c r="L304" s="123"/>
      <c r="M304" s="123" t="s">
        <v>152</v>
      </c>
      <c r="N304" s="123"/>
      <c r="O304" s="123"/>
      <c r="P304" s="123"/>
      <c r="U304" s="46" t="s">
        <v>42</v>
      </c>
      <c r="W304" s="190"/>
      <c r="X304" s="172"/>
      <c r="Y304" s="169" t="str">
        <f t="shared" si="18"/>
        <v/>
      </c>
      <c r="Z304" s="169" t="str">
        <f t="shared" si="19"/>
        <v/>
      </c>
      <c r="AA304" s="72"/>
    </row>
    <row r="305" spans="1:27" s="71" customFormat="1" x14ac:dyDescent="0.2">
      <c r="C305" s="93"/>
      <c r="D305" s="93"/>
      <c r="E305" s="69"/>
      <c r="H305" s="70"/>
      <c r="I305" s="124"/>
      <c r="J305" s="124"/>
      <c r="K305" s="124"/>
      <c r="L305" s="124"/>
      <c r="M305" s="124"/>
      <c r="N305" s="124"/>
      <c r="O305" s="124"/>
      <c r="P305" s="124"/>
      <c r="U305" s="46" t="s">
        <v>68</v>
      </c>
      <c r="W305" s="190" t="s">
        <v>68</v>
      </c>
      <c r="X305" s="107">
        <v>1</v>
      </c>
      <c r="Y305" s="169" t="str">
        <f t="shared" si="18"/>
        <v/>
      </c>
      <c r="Z305" s="169" t="str">
        <f t="shared" si="19"/>
        <v/>
      </c>
      <c r="AA305" s="72"/>
    </row>
    <row r="306" spans="1:27" ht="32" x14ac:dyDescent="0.2">
      <c r="A306" s="73" t="s">
        <v>53</v>
      </c>
      <c r="B306" s="73" t="s">
        <v>835</v>
      </c>
      <c r="C306" s="45" t="s">
        <v>836</v>
      </c>
      <c r="D306" s="235" t="s">
        <v>837</v>
      </c>
      <c r="E306" s="86"/>
      <c r="F306" s="73"/>
      <c r="G306" s="73"/>
      <c r="H306" s="87"/>
      <c r="I306" s="118" t="s">
        <v>40</v>
      </c>
      <c r="J306" s="118"/>
      <c r="K306" s="118"/>
      <c r="L306" s="118"/>
      <c r="M306" s="118"/>
      <c r="N306" s="118"/>
      <c r="O306" s="118"/>
      <c r="P306" s="118"/>
      <c r="U306" s="46" t="s">
        <v>42</v>
      </c>
      <c r="W306" s="190">
        <v>36.783046722412109</v>
      </c>
      <c r="X306" s="107">
        <v>1</v>
      </c>
      <c r="Y306" s="169">
        <f t="shared" si="18"/>
        <v>36.783046722412109</v>
      </c>
      <c r="Z306" s="169">
        <f t="shared" si="19"/>
        <v>36.783046722412109</v>
      </c>
    </row>
    <row r="307" spans="1:27" x14ac:dyDescent="0.2">
      <c r="E307" s="86"/>
      <c r="H307" s="87"/>
      <c r="U307" s="46" t="s">
        <v>68</v>
      </c>
      <c r="W307" s="190" t="s">
        <v>68</v>
      </c>
      <c r="X307" s="107">
        <v>1</v>
      </c>
      <c r="Y307" s="169" t="str">
        <f t="shared" si="18"/>
        <v/>
      </c>
      <c r="Z307" s="169" t="str">
        <f t="shared" si="19"/>
        <v/>
      </c>
    </row>
    <row r="308" spans="1:27" s="75" customFormat="1" ht="16" x14ac:dyDescent="0.2">
      <c r="A308" s="159" t="s">
        <v>838</v>
      </c>
      <c r="B308" s="159" t="s">
        <v>839</v>
      </c>
      <c r="C308" s="179" t="s">
        <v>840</v>
      </c>
      <c r="D308" s="179" t="s">
        <v>841</v>
      </c>
      <c r="E308" s="162"/>
      <c r="F308" s="159" t="s">
        <v>842</v>
      </c>
      <c r="G308" s="159" t="s">
        <v>328</v>
      </c>
      <c r="H308" s="163"/>
      <c r="I308" s="158" t="s">
        <v>40</v>
      </c>
      <c r="J308" s="158"/>
      <c r="K308" s="135"/>
      <c r="L308" s="158"/>
      <c r="M308" s="158" t="s">
        <v>843</v>
      </c>
      <c r="N308" s="128"/>
      <c r="O308" s="128"/>
      <c r="P308" s="128"/>
      <c r="U308" s="161" t="s">
        <v>102</v>
      </c>
      <c r="W308" s="190">
        <v>10</v>
      </c>
      <c r="X308" s="107">
        <v>1</v>
      </c>
      <c r="Y308" s="169">
        <f t="shared" si="18"/>
        <v>10</v>
      </c>
      <c r="Z308" s="169" t="str">
        <f t="shared" si="19"/>
        <v/>
      </c>
      <c r="AA308" s="74"/>
    </row>
    <row r="309" spans="1:27" s="75" customFormat="1" ht="32" x14ac:dyDescent="0.2">
      <c r="A309" s="159" t="s">
        <v>844</v>
      </c>
      <c r="B309" s="159" t="s">
        <v>845</v>
      </c>
      <c r="C309" s="179" t="s">
        <v>846</v>
      </c>
      <c r="D309" s="179" t="s">
        <v>847</v>
      </c>
      <c r="E309" s="162"/>
      <c r="F309" s="159" t="s">
        <v>842</v>
      </c>
      <c r="G309" s="159" t="s">
        <v>328</v>
      </c>
      <c r="H309" s="163"/>
      <c r="I309" s="158" t="s">
        <v>40</v>
      </c>
      <c r="J309" s="158"/>
      <c r="K309" s="135"/>
      <c r="L309" s="158"/>
      <c r="M309" s="158" t="s">
        <v>843</v>
      </c>
      <c r="N309" s="128"/>
      <c r="O309" s="128"/>
      <c r="P309" s="128"/>
      <c r="U309" s="161" t="s">
        <v>102</v>
      </c>
      <c r="W309" s="190">
        <v>10</v>
      </c>
      <c r="X309" s="107">
        <v>1</v>
      </c>
      <c r="Y309" s="169">
        <f t="shared" si="18"/>
        <v>10</v>
      </c>
      <c r="Z309" s="169" t="str">
        <f t="shared" si="19"/>
        <v/>
      </c>
      <c r="AA309" s="74"/>
    </row>
    <row r="310" spans="1:27" s="75" customFormat="1" x14ac:dyDescent="0.2">
      <c r="C310" s="76"/>
      <c r="D310" s="76"/>
      <c r="E310" s="77"/>
      <c r="H310" s="81"/>
      <c r="I310" s="119"/>
      <c r="J310" s="119"/>
      <c r="K310" s="119"/>
      <c r="L310" s="119"/>
      <c r="M310" s="119"/>
      <c r="N310" s="119"/>
      <c r="O310" s="119"/>
      <c r="P310" s="119"/>
      <c r="U310" s="75" t="s">
        <v>68</v>
      </c>
      <c r="W310" s="190" t="s">
        <v>68</v>
      </c>
      <c r="X310" s="107">
        <v>1</v>
      </c>
      <c r="Y310" s="169" t="str">
        <f t="shared" si="18"/>
        <v/>
      </c>
      <c r="Z310" s="169" t="str">
        <f t="shared" si="19"/>
        <v/>
      </c>
      <c r="AA310" s="74"/>
    </row>
    <row r="311" spans="1:27" ht="16" x14ac:dyDescent="0.2">
      <c r="A311" s="73" t="s">
        <v>848</v>
      </c>
      <c r="B311" s="73" t="s">
        <v>849</v>
      </c>
      <c r="C311" s="45" t="s">
        <v>850</v>
      </c>
      <c r="D311" s="241" t="s">
        <v>851</v>
      </c>
      <c r="E311" s="86"/>
      <c r="F311" s="73"/>
      <c r="G311" s="73"/>
      <c r="H311" s="87"/>
      <c r="I311" s="118" t="s">
        <v>40</v>
      </c>
      <c r="J311" s="118"/>
      <c r="K311" s="118"/>
      <c r="L311" s="118"/>
      <c r="M311" s="118"/>
      <c r="N311" s="118"/>
      <c r="O311" s="118"/>
      <c r="P311" s="118"/>
      <c r="U311" s="46" t="s">
        <v>42</v>
      </c>
      <c r="W311" s="190">
        <v>3</v>
      </c>
      <c r="X311" s="107">
        <v>1</v>
      </c>
      <c r="Y311" s="169">
        <f t="shared" si="18"/>
        <v>3</v>
      </c>
      <c r="Z311" s="169">
        <f t="shared" si="19"/>
        <v>3</v>
      </c>
    </row>
    <row r="312" spans="1:27" x14ac:dyDescent="0.2">
      <c r="D312" s="46"/>
      <c r="E312" s="86"/>
      <c r="H312" s="87"/>
      <c r="U312" s="46" t="s">
        <v>68</v>
      </c>
      <c r="W312" s="190" t="s">
        <v>68</v>
      </c>
      <c r="X312" s="107">
        <v>1</v>
      </c>
      <c r="Y312" s="169" t="str">
        <f t="shared" si="18"/>
        <v/>
      </c>
      <c r="Z312" s="169" t="str">
        <f t="shared" si="19"/>
        <v/>
      </c>
    </row>
    <row r="313" spans="1:27" ht="16" x14ac:dyDescent="0.2">
      <c r="A313" s="73" t="s">
        <v>45</v>
      </c>
      <c r="B313" s="73" t="s">
        <v>852</v>
      </c>
      <c r="C313" s="45" t="s">
        <v>853</v>
      </c>
      <c r="D313" s="237" t="s">
        <v>854</v>
      </c>
      <c r="E313" s="86"/>
      <c r="F313" s="73"/>
      <c r="G313" s="73"/>
      <c r="H313" s="87"/>
      <c r="I313" s="118" t="s">
        <v>51</v>
      </c>
      <c r="J313" s="118"/>
      <c r="K313" s="118"/>
      <c r="L313" s="118"/>
      <c r="M313" s="118"/>
      <c r="N313" s="118"/>
      <c r="O313" s="118"/>
      <c r="P313" s="118"/>
      <c r="U313" s="46" t="s">
        <v>52</v>
      </c>
      <c r="W313" s="190">
        <v>0</v>
      </c>
      <c r="X313" s="107">
        <v>1</v>
      </c>
      <c r="Y313" s="169">
        <f t="shared" si="18"/>
        <v>0</v>
      </c>
      <c r="Z313" s="169" t="str">
        <f t="shared" si="19"/>
        <v/>
      </c>
    </row>
    <row r="314" spans="1:27" x14ac:dyDescent="0.2">
      <c r="E314" s="86"/>
      <c r="H314" s="87"/>
      <c r="W314" s="190" t="s">
        <v>68</v>
      </c>
      <c r="X314" s="107">
        <v>1</v>
      </c>
      <c r="Y314" s="169" t="str">
        <f t="shared" si="18"/>
        <v/>
      </c>
      <c r="Z314" s="169" t="str">
        <f t="shared" si="19"/>
        <v/>
      </c>
    </row>
    <row r="315" spans="1:27" ht="16" thickBot="1" x14ac:dyDescent="0.25">
      <c r="A315" s="100" t="s">
        <v>148</v>
      </c>
      <c r="B315" s="100"/>
      <c r="C315" s="101"/>
      <c r="D315" s="101"/>
      <c r="E315" s="110"/>
      <c r="F315" s="100"/>
      <c r="G315" s="100"/>
      <c r="H315" s="111"/>
      <c r="I315" s="131"/>
      <c r="J315" s="131"/>
      <c r="K315" s="131"/>
      <c r="L315" s="131"/>
      <c r="M315" s="131"/>
      <c r="N315" s="131"/>
      <c r="O315" s="131"/>
      <c r="P315" s="131"/>
      <c r="W315" s="190" t="s">
        <v>68</v>
      </c>
      <c r="Y315" s="169" t="str">
        <f t="shared" si="18"/>
        <v/>
      </c>
      <c r="Z315" s="169" t="str">
        <f t="shared" si="19"/>
        <v/>
      </c>
    </row>
    <row r="316" spans="1:27" s="75" customFormat="1" ht="16" thickTop="1" x14ac:dyDescent="0.2">
      <c r="C316" s="76"/>
      <c r="D316" s="76"/>
      <c r="E316" s="76"/>
      <c r="I316" s="119"/>
      <c r="J316" s="119"/>
      <c r="K316" s="119"/>
      <c r="L316" s="119"/>
      <c r="M316" s="119"/>
      <c r="N316" s="119"/>
      <c r="O316" s="119"/>
      <c r="P316" s="119"/>
      <c r="W316" s="190"/>
      <c r="X316" s="174"/>
      <c r="Y316" s="173"/>
    </row>
    <row r="317" spans="1:27" ht="16" x14ac:dyDescent="0.2">
      <c r="A317" s="73" t="s">
        <v>855</v>
      </c>
      <c r="B317" s="73" t="s">
        <v>856</v>
      </c>
      <c r="C317" s="45" t="s">
        <v>857</v>
      </c>
      <c r="D317" s="246" t="s">
        <v>858</v>
      </c>
      <c r="F317" s="73"/>
      <c r="G317" s="73"/>
      <c r="I317" s="118" t="s">
        <v>40</v>
      </c>
      <c r="J317" s="118"/>
      <c r="K317" s="118"/>
      <c r="L317" s="118"/>
      <c r="M317" s="118" t="s">
        <v>63</v>
      </c>
      <c r="N317" s="118"/>
      <c r="O317" s="118"/>
      <c r="P317" s="118"/>
      <c r="U317" s="46" t="s">
        <v>52</v>
      </c>
      <c r="W317" s="190"/>
      <c r="Y317" s="169"/>
    </row>
    <row r="318" spans="1:27" ht="48" x14ac:dyDescent="0.2">
      <c r="A318" s="46" t="s">
        <v>57</v>
      </c>
      <c r="B318" s="46" t="s">
        <v>859</v>
      </c>
      <c r="C318" s="47" t="s">
        <v>860</v>
      </c>
      <c r="D318" s="294" t="s">
        <v>861</v>
      </c>
      <c r="E318" s="186"/>
      <c r="H318" s="187"/>
      <c r="I318" s="125" t="s">
        <v>862</v>
      </c>
      <c r="M318" s="125" t="s">
        <v>863</v>
      </c>
      <c r="W318" s="190"/>
      <c r="Y318" s="169"/>
    </row>
    <row r="319" spans="1:27" s="75" customFormat="1" ht="16" x14ac:dyDescent="0.2">
      <c r="A319" s="75" t="s">
        <v>73</v>
      </c>
      <c r="B319" s="75" t="s">
        <v>864</v>
      </c>
      <c r="C319" s="76" t="s">
        <v>865</v>
      </c>
      <c r="D319" s="76" t="s">
        <v>866</v>
      </c>
      <c r="E319" s="77"/>
      <c r="F319" s="75" t="s">
        <v>867</v>
      </c>
      <c r="G319" s="75" t="s">
        <v>868</v>
      </c>
      <c r="H319" s="81"/>
      <c r="I319" s="119" t="s">
        <v>51</v>
      </c>
      <c r="J319" s="119"/>
      <c r="K319" s="119"/>
      <c r="L319" s="119"/>
      <c r="M319" s="119"/>
      <c r="N319" s="119"/>
      <c r="O319" s="119"/>
      <c r="P319" s="119"/>
      <c r="U319" s="75" t="s">
        <v>52</v>
      </c>
      <c r="W319" s="190"/>
      <c r="X319" s="107"/>
      <c r="Y319" s="169"/>
      <c r="Z319" s="169" t="str">
        <f>IF(AND(W319&lt;&gt;"",U319="yes"),W319*X319,"")</f>
        <v/>
      </c>
    </row>
    <row r="320" spans="1:27" x14ac:dyDescent="0.2">
      <c r="A320" s="73" t="s">
        <v>26</v>
      </c>
      <c r="B320" s="73" t="s">
        <v>869</v>
      </c>
      <c r="C320" s="45"/>
      <c r="D320" s="45"/>
      <c r="F320" s="73"/>
      <c r="G320" s="73"/>
      <c r="I320" s="118" t="s">
        <v>51</v>
      </c>
      <c r="J320" s="118"/>
      <c r="K320" s="118"/>
      <c r="L320" s="118"/>
      <c r="M320" s="118"/>
      <c r="N320" s="118"/>
      <c r="O320" s="118"/>
      <c r="P320" s="118" t="s">
        <v>870</v>
      </c>
      <c r="U320" s="46" t="s">
        <v>52</v>
      </c>
      <c r="W320" s="190"/>
    </row>
    <row r="321" spans="19:26" x14ac:dyDescent="0.2">
      <c r="W321" s="190"/>
    </row>
    <row r="325" spans="19:26" ht="16" thickBot="1" x14ac:dyDescent="0.25"/>
    <row r="326" spans="19:26" ht="17" thickBot="1" x14ac:dyDescent="0.25">
      <c r="S326" s="199" t="s">
        <v>871</v>
      </c>
      <c r="T326" s="200"/>
      <c r="U326" s="200"/>
      <c r="V326" s="200"/>
      <c r="W326" s="192"/>
      <c r="X326" s="175"/>
      <c r="Y326" s="176">
        <f>(SUM(Y4:Y313)/60)</f>
        <v>37.077598287302678</v>
      </c>
      <c r="Z326" s="176">
        <f>(SUM(Z4:Z50)+AVERAGE(Z51:Z53)+SUM(Z54:Z313))/60</f>
        <v>18.060649856237294</v>
      </c>
    </row>
  </sheetData>
  <sheetProtection algorithmName="SHA-512" hashValue="IHPP6UCbgxmre3NYYbFE7VG3ClA0qWNXmzVdkeOZccCp6d05Ib8BMk7ioYu/qmVvPVXkbqbWEWwID97efijssg==" saltValue="zPZfjy/pxZ+SzgCW9FAWhA==" spinCount="100000" sheet="1" formatCells="0" formatColumns="0" formatRows="0" insertColumns="0" insertRows="0" deleteColumns="0" deleteRows="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64"/>
  <sheetViews>
    <sheetView zoomScale="110" zoomScaleNormal="110" workbookViewId="0">
      <pane ySplit="1" topLeftCell="A194" activePane="bottomLeft" state="frozen"/>
      <selection pane="bottomLeft" activeCell="D207" sqref="D207"/>
    </sheetView>
  </sheetViews>
  <sheetFormatPr baseColWidth="10" defaultColWidth="8.83203125" defaultRowHeight="15" x14ac:dyDescent="0.2"/>
  <cols>
    <col min="1" max="1" width="15" style="3" customWidth="1"/>
    <col min="2" max="2" width="30" style="3" customWidth="1"/>
    <col min="3" max="4" width="27.1640625" style="3" customWidth="1"/>
    <col min="5" max="5" width="20" style="3" customWidth="1"/>
    <col min="6" max="6" width="16.1640625" style="3" customWidth="1"/>
    <col min="7" max="16384" width="8.83203125" style="3"/>
  </cols>
  <sheetData>
    <row r="1" spans="1:6" x14ac:dyDescent="0.2">
      <c r="A1" s="6" t="s">
        <v>872</v>
      </c>
      <c r="B1" s="6" t="s">
        <v>1</v>
      </c>
      <c r="C1" s="6" t="s">
        <v>2</v>
      </c>
      <c r="D1" s="6" t="s">
        <v>3</v>
      </c>
      <c r="E1" s="1" t="s">
        <v>4</v>
      </c>
      <c r="F1" s="6" t="s">
        <v>873</v>
      </c>
    </row>
    <row r="2" spans="1:6" s="14" customFormat="1" x14ac:dyDescent="0.2">
      <c r="A2" s="14" t="s">
        <v>874</v>
      </c>
      <c r="B2" s="207">
        <v>1</v>
      </c>
      <c r="C2" s="207" t="s">
        <v>875</v>
      </c>
      <c r="D2" s="16" t="s">
        <v>876</v>
      </c>
      <c r="E2" s="208"/>
      <c r="F2" s="209"/>
    </row>
    <row r="3" spans="1:6" s="14" customFormat="1" x14ac:dyDescent="0.2">
      <c r="A3" s="14" t="s">
        <v>874</v>
      </c>
      <c r="B3" s="207">
        <v>2</v>
      </c>
      <c r="C3" s="207" t="s">
        <v>877</v>
      </c>
      <c r="D3" s="16" t="s">
        <v>878</v>
      </c>
      <c r="E3" s="208"/>
      <c r="F3" s="209"/>
    </row>
    <row r="4" spans="1:6" s="14" customFormat="1" x14ac:dyDescent="0.2">
      <c r="A4" s="14" t="s">
        <v>874</v>
      </c>
      <c r="B4" s="207">
        <v>3</v>
      </c>
      <c r="C4" s="207" t="s">
        <v>879</v>
      </c>
      <c r="D4" s="16" t="s">
        <v>880</v>
      </c>
      <c r="E4" s="208"/>
      <c r="F4" s="209"/>
    </row>
    <row r="5" spans="1:6" s="14" customFormat="1" x14ac:dyDescent="0.2">
      <c r="A5" s="14" t="s">
        <v>874</v>
      </c>
      <c r="B5" s="207">
        <v>4</v>
      </c>
      <c r="C5" s="207" t="s">
        <v>881</v>
      </c>
      <c r="D5" s="16" t="s">
        <v>882</v>
      </c>
      <c r="E5" s="208"/>
      <c r="F5" s="209"/>
    </row>
    <row r="6" spans="1:6" x14ac:dyDescent="0.2">
      <c r="A6" s="2"/>
      <c r="B6" s="2"/>
      <c r="C6" s="2"/>
      <c r="D6" s="2"/>
      <c r="E6" s="1"/>
      <c r="F6" s="2"/>
    </row>
    <row r="7" spans="1:6" x14ac:dyDescent="0.2">
      <c r="A7" t="s">
        <v>37</v>
      </c>
      <c r="B7" s="3">
        <v>1</v>
      </c>
      <c r="C7" s="5" t="s">
        <v>883</v>
      </c>
      <c r="D7" s="5" t="s">
        <v>884</v>
      </c>
      <c r="E7" s="4"/>
      <c r="F7" s="210"/>
    </row>
    <row r="8" spans="1:6" x14ac:dyDescent="0.2">
      <c r="A8" t="s">
        <v>37</v>
      </c>
      <c r="B8" s="3">
        <v>2</v>
      </c>
      <c r="C8" s="5" t="s">
        <v>885</v>
      </c>
      <c r="D8" s="5" t="s">
        <v>886</v>
      </c>
      <c r="E8" s="4"/>
      <c r="F8" s="210"/>
    </row>
    <row r="9" spans="1:6" x14ac:dyDescent="0.2">
      <c r="A9" t="s">
        <v>37</v>
      </c>
      <c r="B9" s="3">
        <v>3</v>
      </c>
      <c r="C9" s="5" t="s">
        <v>887</v>
      </c>
      <c r="D9" s="5" t="s">
        <v>888</v>
      </c>
      <c r="E9" s="4"/>
      <c r="F9" s="210"/>
    </row>
    <row r="10" spans="1:6" x14ac:dyDescent="0.2">
      <c r="E10" s="4"/>
    </row>
    <row r="11" spans="1:6" x14ac:dyDescent="0.2">
      <c r="A11" t="s">
        <v>889</v>
      </c>
      <c r="B11">
        <v>1</v>
      </c>
      <c r="C11" t="s">
        <v>890</v>
      </c>
      <c r="D11" t="s">
        <v>891</v>
      </c>
      <c r="E11" s="4"/>
    </row>
    <row r="12" spans="1:6" x14ac:dyDescent="0.2">
      <c r="A12" t="s">
        <v>889</v>
      </c>
      <c r="B12">
        <v>2</v>
      </c>
      <c r="C12" t="s">
        <v>892</v>
      </c>
      <c r="D12" t="s">
        <v>893</v>
      </c>
      <c r="E12" s="4"/>
    </row>
    <row r="13" spans="1:6" x14ac:dyDescent="0.2">
      <c r="A13" t="s">
        <v>889</v>
      </c>
      <c r="B13" s="18">
        <v>3</v>
      </c>
      <c r="C13" t="s">
        <v>894</v>
      </c>
      <c r="D13" t="s">
        <v>895</v>
      </c>
      <c r="E13" s="4"/>
    </row>
    <row r="14" spans="1:6" x14ac:dyDescent="0.2">
      <c r="A14" t="s">
        <v>889</v>
      </c>
      <c r="B14" s="18">
        <v>4</v>
      </c>
      <c r="C14" t="s">
        <v>896</v>
      </c>
      <c r="D14" t="s">
        <v>897</v>
      </c>
      <c r="E14" s="4"/>
    </row>
    <row r="15" spans="1:6" x14ac:dyDescent="0.2">
      <c r="E15" s="4"/>
    </row>
    <row r="16" spans="1:6" x14ac:dyDescent="0.2">
      <c r="A16" t="s">
        <v>898</v>
      </c>
      <c r="B16" t="s">
        <v>898</v>
      </c>
      <c r="C16" t="s">
        <v>898</v>
      </c>
      <c r="D16" t="s">
        <v>899</v>
      </c>
      <c r="E16" s="4"/>
    </row>
    <row r="17" spans="1:5" x14ac:dyDescent="0.2">
      <c r="E17" s="4"/>
    </row>
    <row r="18" spans="1:5" x14ac:dyDescent="0.2">
      <c r="A18" t="s">
        <v>900</v>
      </c>
      <c r="B18">
        <v>1</v>
      </c>
      <c r="C18" t="s">
        <v>890</v>
      </c>
      <c r="D18" t="s">
        <v>891</v>
      </c>
      <c r="E18" s="4"/>
    </row>
    <row r="19" spans="1:5" x14ac:dyDescent="0.2">
      <c r="A19" t="s">
        <v>900</v>
      </c>
      <c r="B19">
        <v>2</v>
      </c>
      <c r="C19" t="s">
        <v>892</v>
      </c>
      <c r="D19" t="s">
        <v>893</v>
      </c>
      <c r="E19" s="4"/>
    </row>
    <row r="20" spans="1:5" x14ac:dyDescent="0.2">
      <c r="E20" s="4"/>
    </row>
    <row r="21" spans="1:5" s="11" customFormat="1" x14ac:dyDescent="0.2">
      <c r="A21" s="17" t="s">
        <v>901</v>
      </c>
      <c r="B21" s="17" t="s">
        <v>902</v>
      </c>
      <c r="C21" s="17" t="s">
        <v>903</v>
      </c>
      <c r="D21" s="17" t="s">
        <v>903</v>
      </c>
      <c r="E21" s="7"/>
    </row>
    <row r="22" spans="1:5" s="11" customFormat="1" x14ac:dyDescent="0.2">
      <c r="A22" s="17" t="s">
        <v>901</v>
      </c>
      <c r="B22" s="17" t="s">
        <v>904</v>
      </c>
      <c r="C22" s="17" t="s">
        <v>905</v>
      </c>
      <c r="D22" s="17" t="s">
        <v>906</v>
      </c>
      <c r="E22" s="7"/>
    </row>
    <row r="23" spans="1:5" s="11" customFormat="1" x14ac:dyDescent="0.2">
      <c r="A23" s="15" t="s">
        <v>901</v>
      </c>
      <c r="B23" s="5" t="s">
        <v>907</v>
      </c>
      <c r="C23" s="5" t="s">
        <v>907</v>
      </c>
      <c r="D23" s="5" t="s">
        <v>907</v>
      </c>
      <c r="E23" s="7"/>
    </row>
    <row r="24" spans="1:5" x14ac:dyDescent="0.2">
      <c r="E24" s="4"/>
    </row>
    <row r="25" spans="1:5" x14ac:dyDescent="0.2">
      <c r="A25" t="s">
        <v>908</v>
      </c>
      <c r="B25">
        <v>1</v>
      </c>
      <c r="C25" t="s">
        <v>909</v>
      </c>
      <c r="D25" t="s">
        <v>910</v>
      </c>
      <c r="E25" s="4"/>
    </row>
    <row r="26" spans="1:5" x14ac:dyDescent="0.2">
      <c r="A26" t="s">
        <v>908</v>
      </c>
      <c r="B26">
        <v>2</v>
      </c>
      <c r="C26" t="s">
        <v>911</v>
      </c>
      <c r="D26" t="s">
        <v>912</v>
      </c>
      <c r="E26" s="4"/>
    </row>
    <row r="27" spans="1:5" x14ac:dyDescent="0.2">
      <c r="A27" t="s">
        <v>908</v>
      </c>
      <c r="B27" s="18">
        <v>3</v>
      </c>
      <c r="C27" s="17" t="s">
        <v>894</v>
      </c>
      <c r="D27" s="17" t="s">
        <v>895</v>
      </c>
      <c r="E27" s="4"/>
    </row>
    <row r="28" spans="1:5" x14ac:dyDescent="0.2">
      <c r="A28" t="s">
        <v>908</v>
      </c>
      <c r="B28" s="18">
        <v>4</v>
      </c>
      <c r="C28" s="17" t="s">
        <v>896</v>
      </c>
      <c r="D28" s="17" t="s">
        <v>897</v>
      </c>
      <c r="E28" s="4"/>
    </row>
    <row r="29" spans="1:5" x14ac:dyDescent="0.2">
      <c r="C29" s="15"/>
      <c r="D29" s="15"/>
      <c r="E29" s="4"/>
    </row>
    <row r="30" spans="1:5" x14ac:dyDescent="0.2">
      <c r="A30" t="s">
        <v>913</v>
      </c>
      <c r="B30">
        <v>1</v>
      </c>
      <c r="C30" s="17" t="s">
        <v>914</v>
      </c>
      <c r="D30" s="17" t="s">
        <v>915</v>
      </c>
      <c r="E30" s="4"/>
    </row>
    <row r="31" spans="1:5" x14ac:dyDescent="0.2">
      <c r="A31" t="s">
        <v>913</v>
      </c>
      <c r="B31">
        <v>2</v>
      </c>
      <c r="C31" s="3" t="s">
        <v>916</v>
      </c>
      <c r="D31" s="3" t="s">
        <v>917</v>
      </c>
      <c r="E31" s="4"/>
    </row>
    <row r="32" spans="1:5" x14ac:dyDescent="0.2">
      <c r="A32" t="s">
        <v>913</v>
      </c>
      <c r="B32">
        <v>3</v>
      </c>
      <c r="C32" s="17" t="s">
        <v>918</v>
      </c>
      <c r="D32" s="17" t="s">
        <v>919</v>
      </c>
      <c r="E32" s="4"/>
    </row>
    <row r="33" spans="1:5" x14ac:dyDescent="0.2">
      <c r="A33" t="s">
        <v>913</v>
      </c>
      <c r="B33">
        <v>4</v>
      </c>
      <c r="C33" s="17" t="s">
        <v>920</v>
      </c>
      <c r="D33" s="17" t="s">
        <v>893</v>
      </c>
      <c r="E33" s="4"/>
    </row>
    <row r="34" spans="1:5" x14ac:dyDescent="0.2">
      <c r="C34" s="15"/>
      <c r="E34" s="4"/>
    </row>
    <row r="35" spans="1:5" x14ac:dyDescent="0.2">
      <c r="A35" t="s">
        <v>921</v>
      </c>
      <c r="B35">
        <v>1</v>
      </c>
      <c r="C35" t="s">
        <v>922</v>
      </c>
      <c r="D35" s="17" t="s">
        <v>923</v>
      </c>
      <c r="E35" s="4"/>
    </row>
    <row r="36" spans="1:5" x14ac:dyDescent="0.2">
      <c r="A36" t="s">
        <v>921</v>
      </c>
      <c r="B36">
        <v>2</v>
      </c>
      <c r="C36" t="s">
        <v>924</v>
      </c>
      <c r="D36" t="s">
        <v>925</v>
      </c>
      <c r="E36" s="4"/>
    </row>
    <row r="37" spans="1:5" x14ac:dyDescent="0.2">
      <c r="A37" t="s">
        <v>921</v>
      </c>
      <c r="B37">
        <v>3</v>
      </c>
      <c r="C37" t="s">
        <v>926</v>
      </c>
      <c r="D37" t="s">
        <v>927</v>
      </c>
      <c r="E37" s="4"/>
    </row>
    <row r="38" spans="1:5" x14ac:dyDescent="0.2">
      <c r="A38" t="s">
        <v>921</v>
      </c>
      <c r="B38">
        <v>4</v>
      </c>
      <c r="C38" t="s">
        <v>892</v>
      </c>
      <c r="D38" t="s">
        <v>893</v>
      </c>
      <c r="E38" s="4"/>
    </row>
    <row r="39" spans="1:5" x14ac:dyDescent="0.2">
      <c r="A39" t="s">
        <v>921</v>
      </c>
      <c r="B39" s="18">
        <v>5</v>
      </c>
      <c r="C39" s="17" t="s">
        <v>894</v>
      </c>
      <c r="D39" s="17" t="s">
        <v>895</v>
      </c>
      <c r="E39" s="4"/>
    </row>
    <row r="40" spans="1:5" x14ac:dyDescent="0.2">
      <c r="A40" t="s">
        <v>921</v>
      </c>
      <c r="B40" s="18">
        <v>6</v>
      </c>
      <c r="C40" t="s">
        <v>896</v>
      </c>
      <c r="D40" s="17" t="s">
        <v>897</v>
      </c>
      <c r="E40" s="4"/>
    </row>
    <row r="41" spans="1:5" x14ac:dyDescent="0.2">
      <c r="E41" s="4"/>
    </row>
    <row r="42" spans="1:5" x14ac:dyDescent="0.2">
      <c r="A42" t="s">
        <v>928</v>
      </c>
      <c r="B42">
        <v>1</v>
      </c>
      <c r="C42" s="17" t="s">
        <v>929</v>
      </c>
      <c r="D42" s="17" t="s">
        <v>930</v>
      </c>
      <c r="E42" s="4"/>
    </row>
    <row r="43" spans="1:5" x14ac:dyDescent="0.2">
      <c r="A43" t="s">
        <v>928</v>
      </c>
      <c r="B43">
        <v>2</v>
      </c>
      <c r="C43" s="17" t="s">
        <v>931</v>
      </c>
      <c r="D43" s="17" t="s">
        <v>932</v>
      </c>
      <c r="E43" s="4"/>
    </row>
    <row r="44" spans="1:5" x14ac:dyDescent="0.2">
      <c r="A44" t="s">
        <v>928</v>
      </c>
      <c r="B44">
        <v>3</v>
      </c>
      <c r="C44" s="17" t="s">
        <v>933</v>
      </c>
      <c r="D44" s="17" t="s">
        <v>934</v>
      </c>
      <c r="E44" s="4"/>
    </row>
    <row r="45" spans="1:5" x14ac:dyDescent="0.2">
      <c r="A45" t="s">
        <v>928</v>
      </c>
      <c r="B45">
        <v>4</v>
      </c>
      <c r="C45" s="17" t="s">
        <v>935</v>
      </c>
      <c r="D45" s="17" t="s">
        <v>936</v>
      </c>
      <c r="E45" s="4"/>
    </row>
    <row r="46" spans="1:5" x14ac:dyDescent="0.2">
      <c r="A46" t="s">
        <v>928</v>
      </c>
      <c r="B46">
        <v>5</v>
      </c>
      <c r="C46" s="17" t="s">
        <v>937</v>
      </c>
      <c r="D46" s="17" t="s">
        <v>938</v>
      </c>
      <c r="E46" s="4"/>
    </row>
    <row r="47" spans="1:5" x14ac:dyDescent="0.2">
      <c r="A47" t="s">
        <v>928</v>
      </c>
      <c r="B47" s="18">
        <v>6</v>
      </c>
      <c r="C47" t="s">
        <v>894</v>
      </c>
      <c r="D47" s="17" t="s">
        <v>895</v>
      </c>
      <c r="E47" s="4"/>
    </row>
    <row r="48" spans="1:5" x14ac:dyDescent="0.2">
      <c r="A48" t="s">
        <v>928</v>
      </c>
      <c r="B48" s="18">
        <v>7</v>
      </c>
      <c r="C48" t="s">
        <v>896</v>
      </c>
      <c r="D48" s="17" t="s">
        <v>897</v>
      </c>
      <c r="E48" s="4"/>
    </row>
    <row r="49" spans="1:5" x14ac:dyDescent="0.2">
      <c r="B49" s="10"/>
      <c r="E49" s="4"/>
    </row>
    <row r="50" spans="1:5" x14ac:dyDescent="0.2">
      <c r="A50" t="s">
        <v>939</v>
      </c>
      <c r="B50" s="18">
        <v>1</v>
      </c>
      <c r="C50" t="s">
        <v>940</v>
      </c>
      <c r="D50" t="s">
        <v>941</v>
      </c>
      <c r="E50" s="4"/>
    </row>
    <row r="51" spans="1:5" x14ac:dyDescent="0.2">
      <c r="A51" t="s">
        <v>939</v>
      </c>
      <c r="B51" s="18">
        <v>2</v>
      </c>
      <c r="C51" t="s">
        <v>942</v>
      </c>
      <c r="D51" t="s">
        <v>943</v>
      </c>
      <c r="E51" s="4"/>
    </row>
    <row r="52" spans="1:5" x14ac:dyDescent="0.2">
      <c r="A52" t="s">
        <v>939</v>
      </c>
      <c r="B52" s="18">
        <v>3</v>
      </c>
      <c r="C52" t="s">
        <v>944</v>
      </c>
      <c r="D52" t="s">
        <v>945</v>
      </c>
      <c r="E52" s="4"/>
    </row>
    <row r="53" spans="1:5" x14ac:dyDescent="0.2">
      <c r="A53" t="s">
        <v>939</v>
      </c>
      <c r="B53" s="18">
        <v>4</v>
      </c>
      <c r="C53" t="s">
        <v>946</v>
      </c>
      <c r="D53" t="s">
        <v>947</v>
      </c>
      <c r="E53" s="4"/>
    </row>
    <row r="54" spans="1:5" x14ac:dyDescent="0.2">
      <c r="A54" t="s">
        <v>939</v>
      </c>
      <c r="B54" s="18">
        <v>5</v>
      </c>
      <c r="C54" t="s">
        <v>948</v>
      </c>
      <c r="D54" t="s">
        <v>949</v>
      </c>
      <c r="E54" s="4"/>
    </row>
    <row r="55" spans="1:5" x14ac:dyDescent="0.2">
      <c r="A55" t="s">
        <v>939</v>
      </c>
      <c r="B55" s="18">
        <v>6</v>
      </c>
      <c r="C55" t="s">
        <v>950</v>
      </c>
      <c r="D55" t="s">
        <v>951</v>
      </c>
      <c r="E55" s="4"/>
    </row>
    <row r="56" spans="1:5" x14ac:dyDescent="0.2">
      <c r="A56" t="s">
        <v>939</v>
      </c>
      <c r="B56" s="18">
        <v>7</v>
      </c>
      <c r="C56" t="s">
        <v>952</v>
      </c>
      <c r="D56" t="s">
        <v>953</v>
      </c>
      <c r="E56" s="4"/>
    </row>
    <row r="57" spans="1:5" x14ac:dyDescent="0.2">
      <c r="A57" t="s">
        <v>939</v>
      </c>
      <c r="B57" s="18">
        <v>8</v>
      </c>
      <c r="C57" t="s">
        <v>954</v>
      </c>
      <c r="D57" t="s">
        <v>955</v>
      </c>
      <c r="E57" s="4"/>
    </row>
    <row r="58" spans="1:5" x14ac:dyDescent="0.2">
      <c r="A58" t="s">
        <v>939</v>
      </c>
      <c r="B58" s="18">
        <v>9</v>
      </c>
      <c r="C58" t="s">
        <v>956</v>
      </c>
      <c r="D58" t="s">
        <v>957</v>
      </c>
      <c r="E58" s="4"/>
    </row>
    <row r="59" spans="1:5" x14ac:dyDescent="0.2">
      <c r="A59" t="s">
        <v>939</v>
      </c>
      <c r="B59" s="18">
        <v>10</v>
      </c>
      <c r="C59" t="s">
        <v>958</v>
      </c>
      <c r="D59" t="s">
        <v>957</v>
      </c>
      <c r="E59" s="4"/>
    </row>
    <row r="60" spans="1:5" x14ac:dyDescent="0.2">
      <c r="A60" t="s">
        <v>939</v>
      </c>
      <c r="B60" s="18">
        <v>11</v>
      </c>
      <c r="C60" t="s">
        <v>894</v>
      </c>
      <c r="D60" s="17" t="s">
        <v>895</v>
      </c>
      <c r="E60" s="4"/>
    </row>
    <row r="61" spans="1:5" x14ac:dyDescent="0.2">
      <c r="A61" t="s">
        <v>939</v>
      </c>
      <c r="B61" s="18">
        <v>12</v>
      </c>
      <c r="C61" t="s">
        <v>896</v>
      </c>
      <c r="D61" s="17" t="s">
        <v>897</v>
      </c>
      <c r="E61" s="4"/>
    </row>
    <row r="62" spans="1:5" x14ac:dyDescent="0.2">
      <c r="B62" s="10"/>
      <c r="E62" s="4"/>
    </row>
    <row r="63" spans="1:5" x14ac:dyDescent="0.2">
      <c r="A63" t="s">
        <v>959</v>
      </c>
      <c r="B63" s="18">
        <v>1</v>
      </c>
      <c r="C63" t="s">
        <v>960</v>
      </c>
      <c r="D63" t="s">
        <v>961</v>
      </c>
      <c r="E63" s="4"/>
    </row>
    <row r="64" spans="1:5" x14ac:dyDescent="0.2">
      <c r="A64" t="s">
        <v>959</v>
      </c>
      <c r="B64" s="18">
        <v>2</v>
      </c>
      <c r="C64" t="s">
        <v>962</v>
      </c>
      <c r="D64" t="s">
        <v>963</v>
      </c>
      <c r="E64" s="4"/>
    </row>
    <row r="65" spans="1:5" x14ac:dyDescent="0.2">
      <c r="A65" t="s">
        <v>959</v>
      </c>
      <c r="B65" s="18">
        <v>3</v>
      </c>
      <c r="C65" t="s">
        <v>964</v>
      </c>
      <c r="D65" t="s">
        <v>965</v>
      </c>
      <c r="E65" s="4"/>
    </row>
    <row r="66" spans="1:5" x14ac:dyDescent="0.2">
      <c r="A66" t="s">
        <v>959</v>
      </c>
      <c r="B66" s="18">
        <v>4</v>
      </c>
      <c r="C66" t="s">
        <v>966</v>
      </c>
      <c r="D66" t="s">
        <v>967</v>
      </c>
      <c r="E66" s="4"/>
    </row>
    <row r="67" spans="1:5" x14ac:dyDescent="0.2">
      <c r="A67" t="s">
        <v>959</v>
      </c>
      <c r="B67" s="18">
        <v>5</v>
      </c>
      <c r="C67" t="s">
        <v>968</v>
      </c>
      <c r="D67" t="s">
        <v>969</v>
      </c>
      <c r="E67" s="4"/>
    </row>
    <row r="68" spans="1:5" x14ac:dyDescent="0.2">
      <c r="A68" t="s">
        <v>959</v>
      </c>
      <c r="B68" s="18">
        <v>6</v>
      </c>
      <c r="C68" t="s">
        <v>894</v>
      </c>
      <c r="D68" s="17" t="s">
        <v>895</v>
      </c>
      <c r="E68" s="4"/>
    </row>
    <row r="69" spans="1:5" x14ac:dyDescent="0.2">
      <c r="A69" t="s">
        <v>959</v>
      </c>
      <c r="B69" s="18">
        <v>7</v>
      </c>
      <c r="C69" t="s">
        <v>896</v>
      </c>
      <c r="D69" s="17" t="s">
        <v>897</v>
      </c>
      <c r="E69" s="4"/>
    </row>
    <row r="70" spans="1:5" x14ac:dyDescent="0.2">
      <c r="B70" s="10"/>
      <c r="E70" s="4"/>
    </row>
    <row r="71" spans="1:5" x14ac:dyDescent="0.2">
      <c r="A71" t="s">
        <v>970</v>
      </c>
      <c r="B71" s="18">
        <v>1</v>
      </c>
      <c r="C71" t="s">
        <v>971</v>
      </c>
      <c r="D71" t="s">
        <v>972</v>
      </c>
      <c r="E71" s="4"/>
    </row>
    <row r="72" spans="1:5" x14ac:dyDescent="0.2">
      <c r="A72" t="s">
        <v>970</v>
      </c>
      <c r="B72" s="18">
        <v>2</v>
      </c>
      <c r="C72" t="s">
        <v>973</v>
      </c>
      <c r="D72" t="s">
        <v>974</v>
      </c>
      <c r="E72" s="4"/>
    </row>
    <row r="73" spans="1:5" x14ac:dyDescent="0.2">
      <c r="A73" t="s">
        <v>970</v>
      </c>
      <c r="B73" s="18">
        <v>3</v>
      </c>
      <c r="C73" t="s">
        <v>975</v>
      </c>
      <c r="D73" t="s">
        <v>976</v>
      </c>
      <c r="E73" s="4"/>
    </row>
    <row r="74" spans="1:5" x14ac:dyDescent="0.2">
      <c r="A74" t="s">
        <v>970</v>
      </c>
      <c r="B74" s="18">
        <v>4</v>
      </c>
      <c r="C74" t="s">
        <v>977</v>
      </c>
      <c r="D74" t="s">
        <v>978</v>
      </c>
      <c r="E74" s="4"/>
    </row>
    <row r="75" spans="1:5" x14ac:dyDescent="0.2">
      <c r="A75" t="s">
        <v>970</v>
      </c>
      <c r="B75" s="18">
        <v>5</v>
      </c>
      <c r="C75" t="s">
        <v>979</v>
      </c>
      <c r="D75" t="s">
        <v>980</v>
      </c>
      <c r="E75" s="4"/>
    </row>
    <row r="76" spans="1:5" x14ac:dyDescent="0.2">
      <c r="A76" t="s">
        <v>970</v>
      </c>
      <c r="B76" s="18">
        <v>6</v>
      </c>
      <c r="C76" t="s">
        <v>981</v>
      </c>
      <c r="D76" t="s">
        <v>982</v>
      </c>
      <c r="E76" s="4"/>
    </row>
    <row r="77" spans="1:5" x14ac:dyDescent="0.2">
      <c r="A77" t="s">
        <v>970</v>
      </c>
      <c r="B77" s="18">
        <v>7</v>
      </c>
      <c r="C77" t="s">
        <v>894</v>
      </c>
      <c r="D77" s="17" t="s">
        <v>895</v>
      </c>
      <c r="E77" s="4"/>
    </row>
    <row r="78" spans="1:5" x14ac:dyDescent="0.2">
      <c r="A78" t="s">
        <v>970</v>
      </c>
      <c r="B78" s="18">
        <v>8</v>
      </c>
      <c r="C78" t="s">
        <v>896</v>
      </c>
      <c r="D78" s="17" t="s">
        <v>897</v>
      </c>
      <c r="E78" s="4"/>
    </row>
    <row r="79" spans="1:5" x14ac:dyDescent="0.2">
      <c r="E79" s="4"/>
    </row>
    <row r="80" spans="1:5" x14ac:dyDescent="0.2">
      <c r="A80" s="13" t="s">
        <v>983</v>
      </c>
      <c r="B80" s="13">
        <v>1</v>
      </c>
      <c r="C80" s="13" t="s">
        <v>984</v>
      </c>
      <c r="D80" s="13" t="s">
        <v>985</v>
      </c>
      <c r="E80" s="4"/>
    </row>
    <row r="81" spans="1:5" x14ac:dyDescent="0.2">
      <c r="A81" s="13" t="s">
        <v>983</v>
      </c>
      <c r="B81" s="13">
        <v>2</v>
      </c>
      <c r="C81" s="13" t="s">
        <v>986</v>
      </c>
      <c r="D81" s="13" t="s">
        <v>987</v>
      </c>
      <c r="E81" s="4"/>
    </row>
    <row r="82" spans="1:5" x14ac:dyDescent="0.2">
      <c r="A82" s="13" t="s">
        <v>983</v>
      </c>
      <c r="B82" s="13">
        <v>3</v>
      </c>
      <c r="C82" s="13" t="s">
        <v>988</v>
      </c>
      <c r="D82" s="13" t="s">
        <v>989</v>
      </c>
      <c r="E82" s="4"/>
    </row>
    <row r="83" spans="1:5" x14ac:dyDescent="0.2">
      <c r="A83" s="13" t="s">
        <v>983</v>
      </c>
      <c r="B83" s="13">
        <v>4</v>
      </c>
      <c r="C83" s="13" t="s">
        <v>990</v>
      </c>
      <c r="D83" s="13" t="s">
        <v>991</v>
      </c>
      <c r="E83" s="4"/>
    </row>
    <row r="84" spans="1:5" x14ac:dyDescent="0.2">
      <c r="A84" s="13" t="s">
        <v>983</v>
      </c>
      <c r="B84" s="13">
        <v>5</v>
      </c>
      <c r="C84" s="13" t="s">
        <v>992</v>
      </c>
      <c r="D84" s="13" t="s">
        <v>993</v>
      </c>
      <c r="E84" s="4"/>
    </row>
    <row r="85" spans="1:5" x14ac:dyDescent="0.2">
      <c r="A85" s="13" t="s">
        <v>983</v>
      </c>
      <c r="B85" s="13">
        <v>6</v>
      </c>
      <c r="C85" s="13" t="s">
        <v>894</v>
      </c>
      <c r="D85" s="13" t="s">
        <v>895</v>
      </c>
      <c r="E85" s="4"/>
    </row>
    <row r="86" spans="1:5" x14ac:dyDescent="0.2">
      <c r="A86" s="13" t="s">
        <v>983</v>
      </c>
      <c r="B86" s="13">
        <v>7</v>
      </c>
      <c r="C86" s="13" t="s">
        <v>896</v>
      </c>
      <c r="D86" s="13" t="s">
        <v>897</v>
      </c>
      <c r="E86" s="4"/>
    </row>
    <row r="87" spans="1:5" x14ac:dyDescent="0.2">
      <c r="A87" s="14"/>
      <c r="B87" s="14"/>
      <c r="C87" s="14"/>
      <c r="D87" s="14"/>
      <c r="E87" s="4"/>
    </row>
    <row r="88" spans="1:5" x14ac:dyDescent="0.2">
      <c r="A88" s="13" t="s">
        <v>994</v>
      </c>
      <c r="B88" s="14" t="s">
        <v>995</v>
      </c>
      <c r="C88" s="13" t="s">
        <v>996</v>
      </c>
      <c r="D88" s="14" t="s">
        <v>997</v>
      </c>
      <c r="E88" s="4"/>
    </row>
    <row r="89" spans="1:5" x14ac:dyDescent="0.2">
      <c r="A89" s="13" t="s">
        <v>994</v>
      </c>
      <c r="B89" s="13" t="s">
        <v>998</v>
      </c>
      <c r="C89" s="13" t="s">
        <v>999</v>
      </c>
      <c r="D89" s="13" t="s">
        <v>1000</v>
      </c>
      <c r="E89" s="4"/>
    </row>
    <row r="90" spans="1:5" x14ac:dyDescent="0.2">
      <c r="A90" s="13" t="s">
        <v>994</v>
      </c>
      <c r="B90" s="13" t="s">
        <v>1001</v>
      </c>
      <c r="C90" s="13" t="s">
        <v>1002</v>
      </c>
      <c r="D90" s="13" t="s">
        <v>1003</v>
      </c>
      <c r="E90" s="4"/>
    </row>
    <row r="91" spans="1:5" x14ac:dyDescent="0.2">
      <c r="A91" s="13" t="s">
        <v>994</v>
      </c>
      <c r="B91" s="13" t="s">
        <v>1004</v>
      </c>
      <c r="C91" s="13" t="s">
        <v>1005</v>
      </c>
      <c r="D91" s="13" t="s">
        <v>1005</v>
      </c>
      <c r="E91" s="4"/>
    </row>
    <row r="92" spans="1:5" x14ac:dyDescent="0.2">
      <c r="A92" s="13" t="s">
        <v>994</v>
      </c>
      <c r="B92" s="13" t="s">
        <v>1006</v>
      </c>
      <c r="C92" s="13" t="s">
        <v>1007</v>
      </c>
      <c r="D92" s="13" t="s">
        <v>1008</v>
      </c>
      <c r="E92" s="4"/>
    </row>
    <row r="93" spans="1:5" x14ac:dyDescent="0.2">
      <c r="A93" s="13" t="s">
        <v>994</v>
      </c>
      <c r="B93" s="13" t="s">
        <v>1009</v>
      </c>
      <c r="C93" s="13" t="s">
        <v>1010</v>
      </c>
      <c r="D93" s="13" t="s">
        <v>1011</v>
      </c>
      <c r="E93" s="4"/>
    </row>
    <row r="94" spans="1:5" x14ac:dyDescent="0.2">
      <c r="A94" s="13" t="s">
        <v>994</v>
      </c>
      <c r="B94" s="13" t="s">
        <v>1012</v>
      </c>
      <c r="C94" s="13" t="s">
        <v>1013</v>
      </c>
      <c r="D94" s="13" t="s">
        <v>1014</v>
      </c>
      <c r="E94" s="4"/>
    </row>
    <row r="95" spans="1:5" x14ac:dyDescent="0.2">
      <c r="A95" s="13" t="s">
        <v>994</v>
      </c>
      <c r="B95" s="13" t="s">
        <v>1015</v>
      </c>
      <c r="C95" s="13" t="s">
        <v>894</v>
      </c>
      <c r="D95" s="13" t="s">
        <v>895</v>
      </c>
      <c r="E95" s="4"/>
    </row>
    <row r="96" spans="1:5" x14ac:dyDescent="0.2">
      <c r="A96" s="13" t="s">
        <v>994</v>
      </c>
      <c r="B96" s="13" t="s">
        <v>1016</v>
      </c>
      <c r="C96" s="13" t="s">
        <v>896</v>
      </c>
      <c r="D96" s="13" t="s">
        <v>897</v>
      </c>
      <c r="E96" s="4"/>
    </row>
    <row r="97" spans="1:5" x14ac:dyDescent="0.2">
      <c r="A97" s="14"/>
      <c r="B97" s="14"/>
      <c r="C97" s="14"/>
      <c r="D97" s="14"/>
      <c r="E97" s="4"/>
    </row>
    <row r="98" spans="1:5" x14ac:dyDescent="0.2">
      <c r="A98" s="13" t="s">
        <v>1017</v>
      </c>
      <c r="B98" s="13" t="s">
        <v>1018</v>
      </c>
      <c r="C98" s="13" t="s">
        <v>1019</v>
      </c>
      <c r="D98" s="13" t="s">
        <v>1020</v>
      </c>
      <c r="E98" s="4"/>
    </row>
    <row r="99" spans="1:5" x14ac:dyDescent="0.2">
      <c r="A99" s="13" t="s">
        <v>1017</v>
      </c>
      <c r="B99" s="13" t="s">
        <v>1021</v>
      </c>
      <c r="C99" s="13" t="s">
        <v>1022</v>
      </c>
      <c r="D99" s="13" t="s">
        <v>1023</v>
      </c>
      <c r="E99" s="4"/>
    </row>
    <row r="100" spans="1:5" x14ac:dyDescent="0.2">
      <c r="A100" s="13" t="s">
        <v>1017</v>
      </c>
      <c r="B100" s="13" t="s">
        <v>1024</v>
      </c>
      <c r="C100" s="13" t="s">
        <v>1025</v>
      </c>
      <c r="D100" s="13" t="s">
        <v>1026</v>
      </c>
      <c r="E100" s="4"/>
    </row>
    <row r="101" spans="1:5" x14ac:dyDescent="0.2">
      <c r="A101" s="13" t="s">
        <v>1017</v>
      </c>
      <c r="B101" s="13" t="s">
        <v>1027</v>
      </c>
      <c r="C101" s="13" t="s">
        <v>1028</v>
      </c>
      <c r="D101" s="13" t="s">
        <v>1029</v>
      </c>
      <c r="E101" s="4"/>
    </row>
    <row r="102" spans="1:5" x14ac:dyDescent="0.2">
      <c r="A102" s="13" t="s">
        <v>1017</v>
      </c>
      <c r="B102" s="13" t="s">
        <v>1030</v>
      </c>
      <c r="C102" s="13" t="s">
        <v>1031</v>
      </c>
      <c r="D102" s="13" t="s">
        <v>1032</v>
      </c>
      <c r="E102" s="4"/>
    </row>
    <row r="103" spans="1:5" x14ac:dyDescent="0.2">
      <c r="A103" s="13" t="s">
        <v>1017</v>
      </c>
      <c r="B103" s="13" t="s">
        <v>1033</v>
      </c>
      <c r="C103" s="13" t="s">
        <v>1034</v>
      </c>
      <c r="D103" s="13" t="s">
        <v>1035</v>
      </c>
      <c r="E103" s="4"/>
    </row>
    <row r="104" spans="1:5" x14ac:dyDescent="0.2">
      <c r="A104" s="13" t="s">
        <v>1017</v>
      </c>
      <c r="B104" s="13" t="s">
        <v>1036</v>
      </c>
      <c r="C104" s="13" t="s">
        <v>1037</v>
      </c>
      <c r="D104" s="13" t="s">
        <v>1038</v>
      </c>
      <c r="E104" s="4"/>
    </row>
    <row r="105" spans="1:5" x14ac:dyDescent="0.2">
      <c r="A105" s="13" t="s">
        <v>1017</v>
      </c>
      <c r="B105" s="13" t="s">
        <v>1009</v>
      </c>
      <c r="C105" s="13" t="s">
        <v>1039</v>
      </c>
      <c r="D105" s="13" t="s">
        <v>1040</v>
      </c>
      <c r="E105" s="4"/>
    </row>
    <row r="106" spans="1:5" x14ac:dyDescent="0.2">
      <c r="A106" s="13" t="s">
        <v>1017</v>
      </c>
      <c r="B106" s="13" t="s">
        <v>1012</v>
      </c>
      <c r="C106" s="13" t="s">
        <v>1041</v>
      </c>
      <c r="D106" s="13" t="s">
        <v>1042</v>
      </c>
      <c r="E106" s="4"/>
    </row>
    <row r="107" spans="1:5" x14ac:dyDescent="0.2">
      <c r="A107" s="13" t="s">
        <v>1017</v>
      </c>
      <c r="B107" s="13" t="s">
        <v>1015</v>
      </c>
      <c r="C107" s="13" t="s">
        <v>894</v>
      </c>
      <c r="D107" s="13" t="s">
        <v>895</v>
      </c>
      <c r="E107" s="4"/>
    </row>
    <row r="108" spans="1:5" x14ac:dyDescent="0.2">
      <c r="A108" s="13" t="s">
        <v>1017</v>
      </c>
      <c r="B108" s="13" t="s">
        <v>1016</v>
      </c>
      <c r="C108" s="13" t="s">
        <v>896</v>
      </c>
      <c r="D108" s="13" t="s">
        <v>897</v>
      </c>
      <c r="E108" s="4"/>
    </row>
    <row r="109" spans="1:5" x14ac:dyDescent="0.2">
      <c r="A109" s="14"/>
      <c r="B109" s="14"/>
      <c r="C109" s="14"/>
      <c r="D109" s="14" t="s">
        <v>1043</v>
      </c>
      <c r="E109" s="4"/>
    </row>
    <row r="110" spans="1:5" x14ac:dyDescent="0.2">
      <c r="A110" s="13" t="s">
        <v>1044</v>
      </c>
      <c r="B110" s="13">
        <v>1</v>
      </c>
      <c r="C110" s="13" t="s">
        <v>1045</v>
      </c>
      <c r="D110" s="13" t="s">
        <v>1046</v>
      </c>
      <c r="E110" s="4"/>
    </row>
    <row r="111" spans="1:5" x14ac:dyDescent="0.2">
      <c r="A111" s="13" t="s">
        <v>1044</v>
      </c>
      <c r="B111" s="13">
        <v>2</v>
      </c>
      <c r="C111" s="13" t="s">
        <v>1047</v>
      </c>
      <c r="D111" s="13" t="s">
        <v>1048</v>
      </c>
      <c r="E111" s="4"/>
    </row>
    <row r="112" spans="1:5" x14ac:dyDescent="0.2">
      <c r="A112" s="13" t="s">
        <v>1044</v>
      </c>
      <c r="B112" s="13">
        <v>3</v>
      </c>
      <c r="C112" s="13" t="s">
        <v>1049</v>
      </c>
      <c r="D112" s="13" t="s">
        <v>1050</v>
      </c>
      <c r="E112" s="4"/>
    </row>
    <row r="113" spans="1:5" x14ac:dyDescent="0.2">
      <c r="A113" s="13" t="s">
        <v>1044</v>
      </c>
      <c r="B113" s="13">
        <v>4</v>
      </c>
      <c r="C113" s="13" t="s">
        <v>1051</v>
      </c>
      <c r="D113" s="13" t="s">
        <v>1052</v>
      </c>
      <c r="E113" s="4"/>
    </row>
    <row r="114" spans="1:5" x14ac:dyDescent="0.2">
      <c r="A114" s="13" t="s">
        <v>1044</v>
      </c>
      <c r="B114" s="13">
        <v>5</v>
      </c>
      <c r="C114" s="13" t="s">
        <v>1053</v>
      </c>
      <c r="D114" s="13" t="s">
        <v>1054</v>
      </c>
      <c r="E114" s="4"/>
    </row>
    <row r="115" spans="1:5" x14ac:dyDescent="0.2">
      <c r="A115" s="13" t="s">
        <v>1044</v>
      </c>
      <c r="B115" s="13">
        <v>6</v>
      </c>
      <c r="C115" s="13" t="s">
        <v>1055</v>
      </c>
      <c r="D115" s="13" t="s">
        <v>895</v>
      </c>
      <c r="E115" s="4"/>
    </row>
    <row r="116" spans="1:5" x14ac:dyDescent="0.2">
      <c r="A116" s="13" t="s">
        <v>1044</v>
      </c>
      <c r="B116" s="13">
        <v>7</v>
      </c>
      <c r="C116" s="13" t="s">
        <v>1056</v>
      </c>
      <c r="D116" s="13" t="s">
        <v>897</v>
      </c>
      <c r="E116" s="4"/>
    </row>
    <row r="117" spans="1:5" x14ac:dyDescent="0.2">
      <c r="A117" s="14"/>
      <c r="B117" s="14"/>
      <c r="C117" s="14"/>
      <c r="D117" s="14"/>
      <c r="E117" s="4"/>
    </row>
    <row r="118" spans="1:5" x14ac:dyDescent="0.2">
      <c r="A118" s="13" t="s">
        <v>1057</v>
      </c>
      <c r="B118" s="13">
        <v>1</v>
      </c>
      <c r="C118" s="13" t="s">
        <v>1058</v>
      </c>
      <c r="D118" s="13" t="s">
        <v>1059</v>
      </c>
      <c r="E118" s="4"/>
    </row>
    <row r="119" spans="1:5" x14ac:dyDescent="0.2">
      <c r="A119" s="13" t="s">
        <v>1057</v>
      </c>
      <c r="B119" s="13">
        <v>2</v>
      </c>
      <c r="C119" s="13" t="s">
        <v>1060</v>
      </c>
      <c r="D119" s="13" t="s">
        <v>1061</v>
      </c>
      <c r="E119" s="4"/>
    </row>
    <row r="120" spans="1:5" x14ac:dyDescent="0.2">
      <c r="A120" s="13" t="s">
        <v>1057</v>
      </c>
      <c r="B120" s="13">
        <v>3</v>
      </c>
      <c r="C120" s="13" t="s">
        <v>1062</v>
      </c>
      <c r="D120" s="13" t="s">
        <v>1063</v>
      </c>
      <c r="E120" s="4"/>
    </row>
    <row r="121" spans="1:5" x14ac:dyDescent="0.2">
      <c r="A121" s="13" t="s">
        <v>1057</v>
      </c>
      <c r="B121" s="13">
        <v>4</v>
      </c>
      <c r="C121" s="13" t="s">
        <v>1064</v>
      </c>
      <c r="D121" s="13" t="s">
        <v>1065</v>
      </c>
      <c r="E121" s="4"/>
    </row>
    <row r="122" spans="1:5" x14ac:dyDescent="0.2">
      <c r="A122" s="13" t="s">
        <v>1057</v>
      </c>
      <c r="B122" s="13">
        <v>5</v>
      </c>
      <c r="C122" s="13" t="s">
        <v>894</v>
      </c>
      <c r="D122" s="13" t="s">
        <v>895</v>
      </c>
      <c r="E122" s="4"/>
    </row>
    <row r="123" spans="1:5" x14ac:dyDescent="0.2">
      <c r="A123" s="13" t="s">
        <v>1057</v>
      </c>
      <c r="B123" s="13">
        <v>6</v>
      </c>
      <c r="C123" s="13" t="s">
        <v>896</v>
      </c>
      <c r="D123" s="13" t="s">
        <v>897</v>
      </c>
      <c r="E123" s="4"/>
    </row>
    <row r="124" spans="1:5" x14ac:dyDescent="0.2">
      <c r="A124" s="14"/>
      <c r="B124" s="14"/>
      <c r="C124" s="14"/>
      <c r="D124" s="3" t="s">
        <v>897</v>
      </c>
      <c r="E124" s="4"/>
    </row>
    <row r="125" spans="1:5" x14ac:dyDescent="0.2">
      <c r="A125" t="s">
        <v>1066</v>
      </c>
      <c r="B125">
        <v>1</v>
      </c>
      <c r="C125" t="s">
        <v>1067</v>
      </c>
      <c r="D125" t="s">
        <v>1068</v>
      </c>
      <c r="E125" s="4"/>
    </row>
    <row r="126" spans="1:5" x14ac:dyDescent="0.2">
      <c r="A126" t="s">
        <v>1066</v>
      </c>
      <c r="B126">
        <v>2</v>
      </c>
      <c r="C126" t="s">
        <v>1069</v>
      </c>
      <c r="D126" t="s">
        <v>1070</v>
      </c>
      <c r="E126" s="4"/>
    </row>
    <row r="127" spans="1:5" x14ac:dyDescent="0.2">
      <c r="A127" t="s">
        <v>1066</v>
      </c>
      <c r="B127">
        <v>3</v>
      </c>
      <c r="C127" t="s">
        <v>1071</v>
      </c>
      <c r="D127" t="s">
        <v>1072</v>
      </c>
      <c r="E127" s="4"/>
    </row>
    <row r="128" spans="1:5" x14ac:dyDescent="0.2">
      <c r="A128" t="s">
        <v>1066</v>
      </c>
      <c r="B128">
        <v>4</v>
      </c>
      <c r="C128" t="s">
        <v>1073</v>
      </c>
      <c r="D128" t="s">
        <v>1074</v>
      </c>
      <c r="E128" s="4"/>
    </row>
    <row r="129" spans="1:5" x14ac:dyDescent="0.2">
      <c r="A129" t="s">
        <v>1066</v>
      </c>
      <c r="B129">
        <v>5</v>
      </c>
      <c r="C129" t="s">
        <v>1075</v>
      </c>
      <c r="D129" t="s">
        <v>1076</v>
      </c>
      <c r="E129" s="4"/>
    </row>
    <row r="130" spans="1:5" x14ac:dyDescent="0.2">
      <c r="A130" t="s">
        <v>1066</v>
      </c>
      <c r="B130">
        <v>6</v>
      </c>
      <c r="C130" t="s">
        <v>1077</v>
      </c>
      <c r="D130" t="s">
        <v>1078</v>
      </c>
      <c r="E130" s="4"/>
    </row>
    <row r="131" spans="1:5" x14ac:dyDescent="0.2">
      <c r="A131" t="s">
        <v>1066</v>
      </c>
      <c r="B131">
        <v>7</v>
      </c>
      <c r="C131" t="s">
        <v>1079</v>
      </c>
      <c r="D131" t="s">
        <v>1080</v>
      </c>
      <c r="E131" s="4"/>
    </row>
    <row r="132" spans="1:5" x14ac:dyDescent="0.2">
      <c r="A132" t="s">
        <v>1066</v>
      </c>
      <c r="B132">
        <v>8</v>
      </c>
      <c r="C132" t="s">
        <v>1081</v>
      </c>
      <c r="D132" t="s">
        <v>1082</v>
      </c>
      <c r="E132" s="4"/>
    </row>
    <row r="133" spans="1:5" x14ac:dyDescent="0.2">
      <c r="A133" t="s">
        <v>1066</v>
      </c>
      <c r="B133">
        <v>9</v>
      </c>
      <c r="C133" t="s">
        <v>1083</v>
      </c>
      <c r="D133" t="s">
        <v>1084</v>
      </c>
      <c r="E133" s="4"/>
    </row>
    <row r="134" spans="1:5" x14ac:dyDescent="0.2">
      <c r="A134" t="s">
        <v>1066</v>
      </c>
      <c r="B134">
        <v>10</v>
      </c>
      <c r="C134" t="s">
        <v>1085</v>
      </c>
      <c r="D134" t="s">
        <v>1086</v>
      </c>
      <c r="E134" s="4"/>
    </row>
    <row r="135" spans="1:5" x14ac:dyDescent="0.2">
      <c r="A135" t="s">
        <v>1066</v>
      </c>
      <c r="B135">
        <v>11</v>
      </c>
      <c r="C135" t="s">
        <v>1087</v>
      </c>
      <c r="D135" t="s">
        <v>1088</v>
      </c>
      <c r="E135" s="4"/>
    </row>
    <row r="136" spans="1:5" x14ac:dyDescent="0.2">
      <c r="A136" t="s">
        <v>1066</v>
      </c>
      <c r="B136">
        <v>12</v>
      </c>
      <c r="C136" t="s">
        <v>1089</v>
      </c>
      <c r="D136" t="s">
        <v>1090</v>
      </c>
      <c r="E136" s="4"/>
    </row>
    <row r="137" spans="1:5" x14ac:dyDescent="0.2">
      <c r="A137" t="s">
        <v>1066</v>
      </c>
      <c r="B137">
        <v>13</v>
      </c>
      <c r="C137" t="s">
        <v>1091</v>
      </c>
      <c r="D137" t="s">
        <v>1092</v>
      </c>
      <c r="E137" s="4"/>
    </row>
    <row r="138" spans="1:5" x14ac:dyDescent="0.2">
      <c r="A138" t="s">
        <v>1066</v>
      </c>
      <c r="B138">
        <v>14</v>
      </c>
      <c r="C138" t="s">
        <v>1093</v>
      </c>
      <c r="D138" t="s">
        <v>1094</v>
      </c>
      <c r="E138" s="4"/>
    </row>
    <row r="139" spans="1:5" x14ac:dyDescent="0.2">
      <c r="A139" t="s">
        <v>1066</v>
      </c>
      <c r="B139">
        <v>15</v>
      </c>
      <c r="C139" t="s">
        <v>1095</v>
      </c>
      <c r="D139" t="s">
        <v>1096</v>
      </c>
      <c r="E139" s="4"/>
    </row>
    <row r="140" spans="1:5" x14ac:dyDescent="0.2">
      <c r="A140" t="s">
        <v>1066</v>
      </c>
      <c r="B140">
        <v>16</v>
      </c>
      <c r="C140" t="s">
        <v>1097</v>
      </c>
      <c r="D140" t="s">
        <v>1098</v>
      </c>
      <c r="E140" s="4"/>
    </row>
    <row r="141" spans="1:5" x14ac:dyDescent="0.2">
      <c r="A141" t="s">
        <v>1066</v>
      </c>
      <c r="B141">
        <v>17</v>
      </c>
      <c r="C141" t="s">
        <v>1099</v>
      </c>
      <c r="D141" t="s">
        <v>1100</v>
      </c>
      <c r="E141" s="4"/>
    </row>
    <row r="142" spans="1:5" x14ac:dyDescent="0.2">
      <c r="A142" t="s">
        <v>1066</v>
      </c>
      <c r="B142">
        <v>18</v>
      </c>
      <c r="C142" t="s">
        <v>1101</v>
      </c>
      <c r="D142" t="s">
        <v>1102</v>
      </c>
      <c r="E142" s="4"/>
    </row>
    <row r="143" spans="1:5" x14ac:dyDescent="0.2">
      <c r="A143" t="s">
        <v>1066</v>
      </c>
      <c r="B143">
        <v>19</v>
      </c>
      <c r="C143" t="s">
        <v>1103</v>
      </c>
      <c r="D143" t="s">
        <v>1104</v>
      </c>
      <c r="E143" s="4"/>
    </row>
    <row r="144" spans="1:5" x14ac:dyDescent="0.2">
      <c r="A144" t="s">
        <v>1066</v>
      </c>
      <c r="B144">
        <v>20</v>
      </c>
      <c r="C144" t="s">
        <v>896</v>
      </c>
      <c r="D144" t="s">
        <v>897</v>
      </c>
      <c r="E144" s="4"/>
    </row>
    <row r="145" spans="1:5" x14ac:dyDescent="0.2">
      <c r="A145"/>
      <c r="B145"/>
      <c r="C145"/>
      <c r="E145" s="4"/>
    </row>
    <row r="146" spans="1:5" x14ac:dyDescent="0.2">
      <c r="A146" t="s">
        <v>1105</v>
      </c>
      <c r="B146">
        <v>1</v>
      </c>
      <c r="C146" t="s">
        <v>909</v>
      </c>
      <c r="D146" t="s">
        <v>910</v>
      </c>
      <c r="E146" s="4"/>
    </row>
    <row r="147" spans="1:5" x14ac:dyDescent="0.2">
      <c r="A147" t="s">
        <v>1105</v>
      </c>
      <c r="B147">
        <v>2</v>
      </c>
      <c r="C147" t="s">
        <v>911</v>
      </c>
      <c r="D147" t="s">
        <v>912</v>
      </c>
      <c r="E147" s="4"/>
    </row>
    <row r="148" spans="1:5" x14ac:dyDescent="0.2">
      <c r="A148" t="s">
        <v>1105</v>
      </c>
      <c r="B148">
        <v>3</v>
      </c>
      <c r="C148" t="s">
        <v>1106</v>
      </c>
      <c r="D148" t="s">
        <v>1107</v>
      </c>
      <c r="E148" s="4"/>
    </row>
    <row r="149" spans="1:5" x14ac:dyDescent="0.2">
      <c r="A149" t="s">
        <v>1105</v>
      </c>
      <c r="B149">
        <v>4</v>
      </c>
      <c r="C149" t="s">
        <v>894</v>
      </c>
      <c r="D149" t="s">
        <v>895</v>
      </c>
      <c r="E149" s="4"/>
    </row>
    <row r="150" spans="1:5" x14ac:dyDescent="0.2">
      <c r="A150" t="s">
        <v>1105</v>
      </c>
      <c r="B150">
        <v>5</v>
      </c>
      <c r="C150" t="s">
        <v>896</v>
      </c>
      <c r="D150" t="s">
        <v>897</v>
      </c>
      <c r="E150" s="4"/>
    </row>
    <row r="151" spans="1:5" x14ac:dyDescent="0.2">
      <c r="A151"/>
      <c r="B151"/>
      <c r="C151"/>
      <c r="E151" s="4"/>
    </row>
    <row r="152" spans="1:5" x14ac:dyDescent="0.2">
      <c r="A152" t="s">
        <v>1108</v>
      </c>
      <c r="B152">
        <v>1</v>
      </c>
      <c r="C152" t="s">
        <v>1109</v>
      </c>
      <c r="D152" s="3" t="s">
        <v>1110</v>
      </c>
      <c r="E152" s="4"/>
    </row>
    <row r="153" spans="1:5" x14ac:dyDescent="0.2">
      <c r="A153" t="s">
        <v>1108</v>
      </c>
      <c r="B153">
        <v>2</v>
      </c>
      <c r="C153" t="s">
        <v>1111</v>
      </c>
      <c r="D153" s="3" t="s">
        <v>1112</v>
      </c>
      <c r="E153" s="4"/>
    </row>
    <row r="154" spans="1:5" x14ac:dyDescent="0.2">
      <c r="A154" t="s">
        <v>1108</v>
      </c>
      <c r="B154">
        <v>3</v>
      </c>
      <c r="C154" t="s">
        <v>1113</v>
      </c>
      <c r="D154" s="3" t="s">
        <v>1114</v>
      </c>
      <c r="E154" s="4"/>
    </row>
    <row r="155" spans="1:5" x14ac:dyDescent="0.2">
      <c r="A155" t="s">
        <v>1108</v>
      </c>
      <c r="B155">
        <v>4</v>
      </c>
      <c r="C155" t="s">
        <v>894</v>
      </c>
      <c r="D155" t="s">
        <v>895</v>
      </c>
      <c r="E155" s="4"/>
    </row>
    <row r="156" spans="1:5" x14ac:dyDescent="0.2">
      <c r="A156" t="s">
        <v>1108</v>
      </c>
      <c r="B156">
        <v>5</v>
      </c>
      <c r="C156" t="s">
        <v>896</v>
      </c>
      <c r="D156" t="s">
        <v>897</v>
      </c>
      <c r="E156" s="4"/>
    </row>
    <row r="157" spans="1:5" x14ac:dyDescent="0.2">
      <c r="E157" s="4"/>
    </row>
    <row r="158" spans="1:5" x14ac:dyDescent="0.2">
      <c r="A158" t="s">
        <v>1115</v>
      </c>
      <c r="B158">
        <v>1</v>
      </c>
      <c r="C158" t="s">
        <v>1116</v>
      </c>
      <c r="D158" t="s">
        <v>1117</v>
      </c>
      <c r="E158" s="4"/>
    </row>
    <row r="159" spans="1:5" x14ac:dyDescent="0.2">
      <c r="A159" t="s">
        <v>1115</v>
      </c>
      <c r="B159">
        <v>2</v>
      </c>
      <c r="C159" t="s">
        <v>1118</v>
      </c>
      <c r="D159" t="s">
        <v>1119</v>
      </c>
      <c r="E159" s="4"/>
    </row>
    <row r="160" spans="1:5" x14ac:dyDescent="0.2">
      <c r="A160" t="s">
        <v>1115</v>
      </c>
      <c r="B160">
        <v>3</v>
      </c>
      <c r="C160" t="s">
        <v>1120</v>
      </c>
      <c r="D160" t="s">
        <v>1121</v>
      </c>
      <c r="E160" s="4"/>
    </row>
    <row r="161" spans="1:5" x14ac:dyDescent="0.2">
      <c r="A161" t="s">
        <v>1115</v>
      </c>
      <c r="B161">
        <v>4</v>
      </c>
      <c r="C161" t="s">
        <v>1122</v>
      </c>
      <c r="D161" t="s">
        <v>1123</v>
      </c>
      <c r="E161" s="4"/>
    </row>
    <row r="162" spans="1:5" x14ac:dyDescent="0.2">
      <c r="A162" t="s">
        <v>1115</v>
      </c>
      <c r="B162">
        <v>5</v>
      </c>
      <c r="C162" t="s">
        <v>1124</v>
      </c>
      <c r="D162" t="s">
        <v>1125</v>
      </c>
      <c r="E162" s="4"/>
    </row>
    <row r="163" spans="1:5" x14ac:dyDescent="0.2">
      <c r="A163" t="s">
        <v>1115</v>
      </c>
      <c r="B163" s="18">
        <v>6</v>
      </c>
      <c r="C163" t="s">
        <v>894</v>
      </c>
      <c r="D163" t="s">
        <v>895</v>
      </c>
      <c r="E163" s="4"/>
    </row>
    <row r="164" spans="1:5" x14ac:dyDescent="0.2">
      <c r="A164" t="s">
        <v>1115</v>
      </c>
      <c r="B164" s="18">
        <v>7</v>
      </c>
      <c r="C164" t="s">
        <v>896</v>
      </c>
      <c r="D164" t="s">
        <v>897</v>
      </c>
      <c r="E164" s="4"/>
    </row>
    <row r="165" spans="1:5" x14ac:dyDescent="0.2">
      <c r="E165" s="4"/>
    </row>
    <row r="166" spans="1:5" s="15" customFormat="1" x14ac:dyDescent="0.2">
      <c r="A166" s="17" t="s">
        <v>1126</v>
      </c>
      <c r="B166">
        <v>1</v>
      </c>
      <c r="C166" t="s">
        <v>1067</v>
      </c>
      <c r="D166" t="s">
        <v>1068</v>
      </c>
      <c r="E166" s="5"/>
    </row>
    <row r="167" spans="1:5" s="15" customFormat="1" x14ac:dyDescent="0.2">
      <c r="A167" s="17" t="s">
        <v>1126</v>
      </c>
      <c r="B167">
        <v>2</v>
      </c>
      <c r="C167" t="s">
        <v>1069</v>
      </c>
      <c r="D167" t="s">
        <v>1127</v>
      </c>
      <c r="E167" s="5"/>
    </row>
    <row r="168" spans="1:5" s="15" customFormat="1" x14ac:dyDescent="0.2">
      <c r="A168" s="17" t="s">
        <v>1126</v>
      </c>
      <c r="B168">
        <v>3</v>
      </c>
      <c r="C168" t="s">
        <v>1071</v>
      </c>
      <c r="D168" t="s">
        <v>1072</v>
      </c>
      <c r="E168" s="5"/>
    </row>
    <row r="169" spans="1:5" s="15" customFormat="1" x14ac:dyDescent="0.2">
      <c r="A169" s="17" t="s">
        <v>1126</v>
      </c>
      <c r="B169">
        <v>4</v>
      </c>
      <c r="C169" t="s">
        <v>1073</v>
      </c>
      <c r="D169" t="s">
        <v>1128</v>
      </c>
      <c r="E169" s="5"/>
    </row>
    <row r="170" spans="1:5" s="15" customFormat="1" x14ac:dyDescent="0.2">
      <c r="A170" s="17" t="s">
        <v>1126</v>
      </c>
      <c r="B170">
        <v>5</v>
      </c>
      <c r="C170" t="s">
        <v>1075</v>
      </c>
      <c r="D170" t="s">
        <v>1076</v>
      </c>
      <c r="E170" s="5"/>
    </row>
    <row r="171" spans="1:5" s="15" customFormat="1" x14ac:dyDescent="0.2">
      <c r="A171" s="17" t="s">
        <v>1126</v>
      </c>
      <c r="B171">
        <v>6</v>
      </c>
      <c r="C171" t="s">
        <v>1077</v>
      </c>
      <c r="D171" t="s">
        <v>1078</v>
      </c>
      <c r="E171" s="5"/>
    </row>
    <row r="172" spans="1:5" s="15" customFormat="1" x14ac:dyDescent="0.2">
      <c r="A172" s="17" t="s">
        <v>1126</v>
      </c>
      <c r="B172">
        <v>7</v>
      </c>
      <c r="C172" t="s">
        <v>1079</v>
      </c>
      <c r="D172" t="s">
        <v>1129</v>
      </c>
      <c r="E172" s="5"/>
    </row>
    <row r="173" spans="1:5" s="15" customFormat="1" x14ac:dyDescent="0.2">
      <c r="A173" s="17" t="s">
        <v>1126</v>
      </c>
      <c r="B173">
        <v>8</v>
      </c>
      <c r="C173" t="s">
        <v>1081</v>
      </c>
      <c r="D173" t="s">
        <v>1082</v>
      </c>
      <c r="E173" s="5"/>
    </row>
    <row r="174" spans="1:5" s="15" customFormat="1" x14ac:dyDescent="0.2">
      <c r="A174" s="17" t="s">
        <v>1126</v>
      </c>
      <c r="B174">
        <v>9</v>
      </c>
      <c r="C174" t="s">
        <v>1083</v>
      </c>
      <c r="D174" t="s">
        <v>1084</v>
      </c>
      <c r="E174" s="5"/>
    </row>
    <row r="175" spans="1:5" s="15" customFormat="1" x14ac:dyDescent="0.2">
      <c r="A175" s="17" t="s">
        <v>1126</v>
      </c>
      <c r="B175">
        <v>10</v>
      </c>
      <c r="C175" t="s">
        <v>1085</v>
      </c>
      <c r="D175" t="s">
        <v>1130</v>
      </c>
      <c r="E175" s="5"/>
    </row>
    <row r="176" spans="1:5" s="15" customFormat="1" x14ac:dyDescent="0.2">
      <c r="A176" s="17" t="s">
        <v>1126</v>
      </c>
      <c r="B176">
        <v>11</v>
      </c>
      <c r="C176" t="s">
        <v>1087</v>
      </c>
      <c r="D176" t="s">
        <v>1131</v>
      </c>
      <c r="E176" s="5"/>
    </row>
    <row r="177" spans="1:5" s="15" customFormat="1" x14ac:dyDescent="0.2">
      <c r="A177" s="17" t="s">
        <v>1126</v>
      </c>
      <c r="B177">
        <v>12</v>
      </c>
      <c r="C177" t="s">
        <v>1089</v>
      </c>
      <c r="D177" t="s">
        <v>1132</v>
      </c>
      <c r="E177" s="5"/>
    </row>
    <row r="178" spans="1:5" s="15" customFormat="1" x14ac:dyDescent="0.2">
      <c r="A178" s="17" t="s">
        <v>1126</v>
      </c>
      <c r="B178">
        <v>13</v>
      </c>
      <c r="C178" t="s">
        <v>1091</v>
      </c>
      <c r="D178" t="s">
        <v>1092</v>
      </c>
      <c r="E178" s="5"/>
    </row>
    <row r="179" spans="1:5" s="15" customFormat="1" x14ac:dyDescent="0.2">
      <c r="A179" s="17" t="s">
        <v>1126</v>
      </c>
      <c r="B179">
        <v>14</v>
      </c>
      <c r="C179" t="s">
        <v>1093</v>
      </c>
      <c r="D179" t="s">
        <v>1133</v>
      </c>
      <c r="E179" s="5"/>
    </row>
    <row r="180" spans="1:5" s="15" customFormat="1" x14ac:dyDescent="0.2">
      <c r="A180" s="17" t="s">
        <v>1126</v>
      </c>
      <c r="B180" s="17">
        <v>15</v>
      </c>
      <c r="C180" s="17" t="s">
        <v>1095</v>
      </c>
      <c r="D180" t="s">
        <v>1096</v>
      </c>
      <c r="E180" s="5"/>
    </row>
    <row r="181" spans="1:5" s="15" customFormat="1" x14ac:dyDescent="0.2">
      <c r="A181" s="17" t="s">
        <v>1126</v>
      </c>
      <c r="B181" s="17">
        <v>16</v>
      </c>
      <c r="C181" s="17" t="s">
        <v>1097</v>
      </c>
      <c r="D181" t="s">
        <v>1098</v>
      </c>
      <c r="E181" s="5"/>
    </row>
    <row r="182" spans="1:5" s="15" customFormat="1" x14ac:dyDescent="0.2">
      <c r="A182" s="17" t="s">
        <v>1126</v>
      </c>
      <c r="B182" s="17">
        <v>17</v>
      </c>
      <c r="C182" s="17" t="s">
        <v>1099</v>
      </c>
      <c r="D182" t="s">
        <v>1134</v>
      </c>
      <c r="E182" s="5"/>
    </row>
    <row r="183" spans="1:5" s="15" customFormat="1" x14ac:dyDescent="0.2">
      <c r="A183" s="17" t="s">
        <v>1126</v>
      </c>
      <c r="B183" s="17">
        <v>18</v>
      </c>
      <c r="C183" s="17" t="s">
        <v>1135</v>
      </c>
      <c r="D183" t="s">
        <v>1102</v>
      </c>
      <c r="E183" s="5"/>
    </row>
    <row r="184" spans="1:5" s="15" customFormat="1" x14ac:dyDescent="0.2">
      <c r="A184" s="17" t="s">
        <v>1126</v>
      </c>
      <c r="B184" s="17">
        <v>19</v>
      </c>
      <c r="C184" s="17" t="s">
        <v>1136</v>
      </c>
      <c r="D184" s="17" t="s">
        <v>1137</v>
      </c>
      <c r="E184" s="5"/>
    </row>
    <row r="185" spans="1:5" s="15" customFormat="1" x14ac:dyDescent="0.2">
      <c r="A185" s="17" t="s">
        <v>1126</v>
      </c>
      <c r="B185" s="18">
        <v>20</v>
      </c>
      <c r="C185" s="17" t="s">
        <v>894</v>
      </c>
      <c r="D185" t="s">
        <v>895</v>
      </c>
      <c r="E185" s="5"/>
    </row>
    <row r="186" spans="1:5" s="15" customFormat="1" x14ac:dyDescent="0.2">
      <c r="A186" s="17" t="s">
        <v>1126</v>
      </c>
      <c r="B186" s="18">
        <v>21</v>
      </c>
      <c r="C186" s="17" t="s">
        <v>896</v>
      </c>
      <c r="D186" t="s">
        <v>897</v>
      </c>
      <c r="E186" s="5"/>
    </row>
    <row r="187" spans="1:5" s="15" customFormat="1" x14ac:dyDescent="0.2">
      <c r="E187" s="5"/>
    </row>
    <row r="188" spans="1:5" s="15" customFormat="1" x14ac:dyDescent="0.2">
      <c r="A188" s="17" t="s">
        <v>1138</v>
      </c>
      <c r="B188">
        <v>1</v>
      </c>
      <c r="C188" t="s">
        <v>1067</v>
      </c>
      <c r="D188" t="s">
        <v>1068</v>
      </c>
      <c r="E188" s="5"/>
    </row>
    <row r="189" spans="1:5" s="15" customFormat="1" x14ac:dyDescent="0.2">
      <c r="A189" s="17" t="s">
        <v>1138</v>
      </c>
      <c r="B189">
        <v>2</v>
      </c>
      <c r="C189" t="s">
        <v>1069</v>
      </c>
      <c r="D189" t="s">
        <v>1127</v>
      </c>
      <c r="E189" s="5"/>
    </row>
    <row r="190" spans="1:5" s="15" customFormat="1" x14ac:dyDescent="0.2">
      <c r="A190" s="17" t="s">
        <v>1138</v>
      </c>
      <c r="B190">
        <v>3</v>
      </c>
      <c r="C190" t="s">
        <v>1071</v>
      </c>
      <c r="D190" t="s">
        <v>1072</v>
      </c>
      <c r="E190" s="5"/>
    </row>
    <row r="191" spans="1:5" s="15" customFormat="1" x14ac:dyDescent="0.2">
      <c r="A191" s="17" t="s">
        <v>1138</v>
      </c>
      <c r="B191">
        <v>4</v>
      </c>
      <c r="C191" t="s">
        <v>1073</v>
      </c>
      <c r="D191" t="s">
        <v>1128</v>
      </c>
      <c r="E191" s="5"/>
    </row>
    <row r="192" spans="1:5" s="15" customFormat="1" x14ac:dyDescent="0.2">
      <c r="A192" s="17" t="s">
        <v>1138</v>
      </c>
      <c r="B192">
        <v>5</v>
      </c>
      <c r="C192" t="s">
        <v>1075</v>
      </c>
      <c r="D192" t="s">
        <v>1076</v>
      </c>
      <c r="E192" s="5"/>
    </row>
    <row r="193" spans="1:5" s="15" customFormat="1" x14ac:dyDescent="0.2">
      <c r="A193" s="17" t="s">
        <v>1138</v>
      </c>
      <c r="B193">
        <v>6</v>
      </c>
      <c r="C193" t="s">
        <v>1077</v>
      </c>
      <c r="D193" t="s">
        <v>1078</v>
      </c>
      <c r="E193" s="5"/>
    </row>
    <row r="194" spans="1:5" s="15" customFormat="1" x14ac:dyDescent="0.2">
      <c r="A194" s="17" t="s">
        <v>1138</v>
      </c>
      <c r="B194">
        <v>7</v>
      </c>
      <c r="C194" t="s">
        <v>1079</v>
      </c>
      <c r="D194" t="s">
        <v>1129</v>
      </c>
      <c r="E194" s="5"/>
    </row>
    <row r="195" spans="1:5" s="15" customFormat="1" x14ac:dyDescent="0.2">
      <c r="A195" s="17" t="s">
        <v>1138</v>
      </c>
      <c r="B195">
        <v>8</v>
      </c>
      <c r="C195" t="s">
        <v>1081</v>
      </c>
      <c r="D195" t="s">
        <v>1082</v>
      </c>
      <c r="E195" s="5"/>
    </row>
    <row r="196" spans="1:5" s="15" customFormat="1" x14ac:dyDescent="0.2">
      <c r="A196" s="17" t="s">
        <v>1138</v>
      </c>
      <c r="B196">
        <v>9</v>
      </c>
      <c r="C196" t="s">
        <v>1083</v>
      </c>
      <c r="D196" t="s">
        <v>1084</v>
      </c>
      <c r="E196" s="5"/>
    </row>
    <row r="197" spans="1:5" s="15" customFormat="1" x14ac:dyDescent="0.2">
      <c r="A197" s="17" t="s">
        <v>1138</v>
      </c>
      <c r="B197">
        <v>10</v>
      </c>
      <c r="C197" t="s">
        <v>1085</v>
      </c>
      <c r="D197" t="s">
        <v>1130</v>
      </c>
      <c r="E197" s="5"/>
    </row>
    <row r="198" spans="1:5" s="15" customFormat="1" x14ac:dyDescent="0.2">
      <c r="A198" s="17" t="s">
        <v>1138</v>
      </c>
      <c r="B198">
        <v>11</v>
      </c>
      <c r="C198" t="s">
        <v>1087</v>
      </c>
      <c r="D198" t="s">
        <v>1131</v>
      </c>
      <c r="E198" s="5"/>
    </row>
    <row r="199" spans="1:5" s="15" customFormat="1" x14ac:dyDescent="0.2">
      <c r="A199" s="17" t="s">
        <v>1138</v>
      </c>
      <c r="B199">
        <v>12</v>
      </c>
      <c r="C199" t="s">
        <v>1089</v>
      </c>
      <c r="D199" t="s">
        <v>1132</v>
      </c>
      <c r="E199" s="5"/>
    </row>
    <row r="200" spans="1:5" s="15" customFormat="1" x14ac:dyDescent="0.2">
      <c r="A200" s="17" t="s">
        <v>1138</v>
      </c>
      <c r="B200">
        <v>13</v>
      </c>
      <c r="C200" t="s">
        <v>1091</v>
      </c>
      <c r="D200" t="s">
        <v>1092</v>
      </c>
      <c r="E200" s="5"/>
    </row>
    <row r="201" spans="1:5" s="15" customFormat="1" x14ac:dyDescent="0.2">
      <c r="A201" s="17" t="s">
        <v>1138</v>
      </c>
      <c r="B201">
        <v>14</v>
      </c>
      <c r="C201" t="s">
        <v>1093</v>
      </c>
      <c r="D201" t="s">
        <v>1133</v>
      </c>
      <c r="E201" s="5"/>
    </row>
    <row r="202" spans="1:5" s="15" customFormat="1" x14ac:dyDescent="0.2">
      <c r="A202" s="17" t="s">
        <v>1138</v>
      </c>
      <c r="B202" s="17">
        <v>15</v>
      </c>
      <c r="C202" s="17" t="s">
        <v>1095</v>
      </c>
      <c r="D202" t="s">
        <v>1096</v>
      </c>
      <c r="E202" s="5"/>
    </row>
    <row r="203" spans="1:5" s="15" customFormat="1" x14ac:dyDescent="0.2">
      <c r="A203" s="17" t="s">
        <v>1138</v>
      </c>
      <c r="B203" s="17">
        <v>16</v>
      </c>
      <c r="C203" s="17" t="s">
        <v>1097</v>
      </c>
      <c r="D203" t="s">
        <v>1098</v>
      </c>
      <c r="E203" s="5"/>
    </row>
    <row r="204" spans="1:5" s="15" customFormat="1" x14ac:dyDescent="0.2">
      <c r="A204" s="17" t="s">
        <v>1138</v>
      </c>
      <c r="B204" s="17">
        <v>17</v>
      </c>
      <c r="C204" s="17" t="s">
        <v>1099</v>
      </c>
      <c r="D204" t="s">
        <v>1134</v>
      </c>
      <c r="E204" s="5"/>
    </row>
    <row r="205" spans="1:5" s="15" customFormat="1" x14ac:dyDescent="0.2">
      <c r="A205" s="17" t="s">
        <v>1138</v>
      </c>
      <c r="B205" s="17">
        <v>18</v>
      </c>
      <c r="C205" s="17" t="s">
        <v>1139</v>
      </c>
      <c r="D205" t="s">
        <v>1102</v>
      </c>
      <c r="E205" s="5"/>
    </row>
    <row r="206" spans="1:5" s="15" customFormat="1" x14ac:dyDescent="0.2">
      <c r="A206" s="17" t="s">
        <v>1138</v>
      </c>
      <c r="B206" s="17">
        <v>19</v>
      </c>
      <c r="C206" s="17" t="s">
        <v>1140</v>
      </c>
      <c r="D206" s="17" t="s">
        <v>2117</v>
      </c>
      <c r="E206" s="5"/>
    </row>
    <row r="207" spans="1:5" s="15" customFormat="1" x14ac:dyDescent="0.2">
      <c r="A207" s="17" t="s">
        <v>1138</v>
      </c>
      <c r="B207" s="18">
        <v>20</v>
      </c>
      <c r="C207" s="17" t="s">
        <v>894</v>
      </c>
      <c r="D207" t="s">
        <v>895</v>
      </c>
      <c r="E207" s="5"/>
    </row>
    <row r="208" spans="1:5" s="15" customFormat="1" x14ac:dyDescent="0.2">
      <c r="A208" s="17" t="s">
        <v>1138</v>
      </c>
      <c r="B208" s="18">
        <v>21</v>
      </c>
      <c r="C208" s="17" t="s">
        <v>896</v>
      </c>
      <c r="D208" t="s">
        <v>897</v>
      </c>
      <c r="E208" s="5"/>
    </row>
    <row r="209" spans="1:5" s="12" customFormat="1" x14ac:dyDescent="0.2">
      <c r="E209" s="8"/>
    </row>
    <row r="210" spans="1:5" x14ac:dyDescent="0.2">
      <c r="A210" t="s">
        <v>311</v>
      </c>
      <c r="B210" t="s">
        <v>1141</v>
      </c>
      <c r="C210" t="s">
        <v>1142</v>
      </c>
      <c r="D210" t="s">
        <v>1143</v>
      </c>
      <c r="E210" s="4"/>
    </row>
    <row r="211" spans="1:5" x14ac:dyDescent="0.2">
      <c r="A211" t="s">
        <v>311</v>
      </c>
      <c r="B211" t="s">
        <v>1144</v>
      </c>
      <c r="C211" t="s">
        <v>1145</v>
      </c>
      <c r="D211" t="s">
        <v>1146</v>
      </c>
      <c r="E211" s="4"/>
    </row>
    <row r="212" spans="1:5" x14ac:dyDescent="0.2">
      <c r="A212" t="s">
        <v>311</v>
      </c>
      <c r="B212" t="s">
        <v>1147</v>
      </c>
      <c r="C212" t="s">
        <v>1148</v>
      </c>
      <c r="D212" t="s">
        <v>1149</v>
      </c>
      <c r="E212" s="4"/>
    </row>
    <row r="213" spans="1:5" x14ac:dyDescent="0.2">
      <c r="A213" t="s">
        <v>311</v>
      </c>
      <c r="B213" t="s">
        <v>1150</v>
      </c>
      <c r="C213" t="s">
        <v>1151</v>
      </c>
      <c r="D213" t="s">
        <v>1152</v>
      </c>
      <c r="E213" s="4"/>
    </row>
    <row r="214" spans="1:5" x14ac:dyDescent="0.2">
      <c r="A214" t="s">
        <v>311</v>
      </c>
      <c r="B214" t="s">
        <v>1153</v>
      </c>
      <c r="C214" t="s">
        <v>1154</v>
      </c>
      <c r="D214" t="s">
        <v>1155</v>
      </c>
      <c r="E214" s="4"/>
    </row>
    <row r="215" spans="1:5" x14ac:dyDescent="0.2">
      <c r="A215" t="s">
        <v>311</v>
      </c>
      <c r="B215" t="s">
        <v>1156</v>
      </c>
      <c r="C215" t="s">
        <v>1157</v>
      </c>
      <c r="D215" t="s">
        <v>1158</v>
      </c>
      <c r="E215" s="4"/>
    </row>
    <row r="216" spans="1:5" x14ac:dyDescent="0.2">
      <c r="A216" t="s">
        <v>311</v>
      </c>
      <c r="B216" t="s">
        <v>1159</v>
      </c>
      <c r="C216" t="s">
        <v>1160</v>
      </c>
      <c r="D216" t="s">
        <v>1161</v>
      </c>
      <c r="E216" s="4"/>
    </row>
    <row r="217" spans="1:5" x14ac:dyDescent="0.2">
      <c r="A217" t="s">
        <v>311</v>
      </c>
      <c r="B217" t="s">
        <v>1162</v>
      </c>
      <c r="C217" t="s">
        <v>1163</v>
      </c>
      <c r="D217" t="s">
        <v>1164</v>
      </c>
      <c r="E217" s="4"/>
    </row>
    <row r="218" spans="1:5" x14ac:dyDescent="0.2">
      <c r="A218" t="s">
        <v>311</v>
      </c>
      <c r="B218" t="s">
        <v>1165</v>
      </c>
      <c r="C218" t="s">
        <v>1166</v>
      </c>
      <c r="D218" t="s">
        <v>1167</v>
      </c>
      <c r="E218" s="4"/>
    </row>
    <row r="219" spans="1:5" x14ac:dyDescent="0.2">
      <c r="A219" t="s">
        <v>311</v>
      </c>
      <c r="B219" t="s">
        <v>1168</v>
      </c>
      <c r="C219" t="s">
        <v>1169</v>
      </c>
      <c r="D219" t="s">
        <v>1170</v>
      </c>
      <c r="E219" s="4"/>
    </row>
    <row r="220" spans="1:5" x14ac:dyDescent="0.2">
      <c r="A220" t="s">
        <v>311</v>
      </c>
      <c r="B220" t="s">
        <v>1171</v>
      </c>
      <c r="C220" t="s">
        <v>1172</v>
      </c>
      <c r="D220" t="s">
        <v>1173</v>
      </c>
      <c r="E220" s="4"/>
    </row>
    <row r="221" spans="1:5" x14ac:dyDescent="0.2">
      <c r="A221" t="s">
        <v>311</v>
      </c>
      <c r="B221" t="s">
        <v>1174</v>
      </c>
      <c r="C221" t="s">
        <v>1175</v>
      </c>
      <c r="D221" t="s">
        <v>1176</v>
      </c>
      <c r="E221" s="4"/>
    </row>
    <row r="222" spans="1:5" x14ac:dyDescent="0.2">
      <c r="A222" t="s">
        <v>311</v>
      </c>
      <c r="B222" t="s">
        <v>1177</v>
      </c>
      <c r="C222" t="s">
        <v>1178</v>
      </c>
      <c r="D222" t="s">
        <v>1179</v>
      </c>
      <c r="E222" s="4"/>
    </row>
    <row r="223" spans="1:5" x14ac:dyDescent="0.2">
      <c r="A223" t="s">
        <v>311</v>
      </c>
      <c r="B223" t="s">
        <v>1180</v>
      </c>
      <c r="C223" t="s">
        <v>1181</v>
      </c>
      <c r="D223" t="s">
        <v>1182</v>
      </c>
      <c r="E223" s="4"/>
    </row>
    <row r="224" spans="1:5" x14ac:dyDescent="0.2">
      <c r="A224" t="s">
        <v>311</v>
      </c>
      <c r="B224" t="s">
        <v>1183</v>
      </c>
      <c r="C224" t="s">
        <v>1184</v>
      </c>
      <c r="D224" t="s">
        <v>1185</v>
      </c>
      <c r="E224" s="4"/>
    </row>
    <row r="225" spans="1:5" x14ac:dyDescent="0.2">
      <c r="A225" t="s">
        <v>311</v>
      </c>
      <c r="B225" t="s">
        <v>1186</v>
      </c>
      <c r="C225" t="s">
        <v>1187</v>
      </c>
      <c r="D225" t="s">
        <v>1188</v>
      </c>
      <c r="E225" s="4"/>
    </row>
    <row r="226" spans="1:5" x14ac:dyDescent="0.2">
      <c r="A226" t="s">
        <v>311</v>
      </c>
      <c r="B226" t="s">
        <v>1189</v>
      </c>
      <c r="C226" t="s">
        <v>1190</v>
      </c>
      <c r="D226" t="s">
        <v>1191</v>
      </c>
      <c r="E226" s="4"/>
    </row>
    <row r="227" spans="1:5" x14ac:dyDescent="0.2">
      <c r="A227" t="s">
        <v>311</v>
      </c>
      <c r="B227" t="s">
        <v>1192</v>
      </c>
      <c r="C227" t="s">
        <v>1193</v>
      </c>
      <c r="D227" t="s">
        <v>1194</v>
      </c>
      <c r="E227" s="4"/>
    </row>
    <row r="228" spans="1:5" x14ac:dyDescent="0.2">
      <c r="A228" t="s">
        <v>311</v>
      </c>
      <c r="B228" t="s">
        <v>1195</v>
      </c>
      <c r="C228" t="s">
        <v>1196</v>
      </c>
      <c r="D228" t="s">
        <v>1197</v>
      </c>
      <c r="E228" s="4"/>
    </row>
    <row r="229" spans="1:5" x14ac:dyDescent="0.2">
      <c r="A229" t="s">
        <v>311</v>
      </c>
      <c r="B229" t="s">
        <v>1198</v>
      </c>
      <c r="C229" t="s">
        <v>1199</v>
      </c>
      <c r="D229" t="s">
        <v>1200</v>
      </c>
      <c r="E229" s="4"/>
    </row>
    <row r="230" spans="1:5" x14ac:dyDescent="0.2">
      <c r="A230" t="s">
        <v>311</v>
      </c>
      <c r="B230" t="s">
        <v>1201</v>
      </c>
      <c r="C230" t="s">
        <v>1202</v>
      </c>
      <c r="D230" t="s">
        <v>1203</v>
      </c>
      <c r="E230" s="4"/>
    </row>
    <row r="231" spans="1:5" x14ac:dyDescent="0.2">
      <c r="A231" t="s">
        <v>311</v>
      </c>
      <c r="B231" t="s">
        <v>1204</v>
      </c>
      <c r="C231" t="s">
        <v>1205</v>
      </c>
      <c r="D231" t="s">
        <v>1206</v>
      </c>
      <c r="E231" s="4"/>
    </row>
    <row r="232" spans="1:5" x14ac:dyDescent="0.2">
      <c r="A232" t="s">
        <v>311</v>
      </c>
      <c r="B232" t="s">
        <v>1207</v>
      </c>
      <c r="C232" t="s">
        <v>1208</v>
      </c>
      <c r="D232" t="s">
        <v>1209</v>
      </c>
      <c r="E232" s="4"/>
    </row>
    <row r="233" spans="1:5" x14ac:dyDescent="0.2">
      <c r="A233" t="s">
        <v>311</v>
      </c>
      <c r="B233" t="s">
        <v>1210</v>
      </c>
      <c r="C233" t="s">
        <v>1211</v>
      </c>
      <c r="D233" t="s">
        <v>1212</v>
      </c>
      <c r="E233" s="4"/>
    </row>
    <row r="234" spans="1:5" x14ac:dyDescent="0.2">
      <c r="A234" t="s">
        <v>311</v>
      </c>
      <c r="B234" t="s">
        <v>1213</v>
      </c>
      <c r="C234" t="s">
        <v>1214</v>
      </c>
      <c r="D234" t="s">
        <v>1215</v>
      </c>
      <c r="E234" s="4"/>
    </row>
    <row r="235" spans="1:5" x14ac:dyDescent="0.2">
      <c r="A235" t="s">
        <v>311</v>
      </c>
      <c r="B235" t="s">
        <v>1015</v>
      </c>
      <c r="C235" t="s">
        <v>894</v>
      </c>
      <c r="D235" t="s">
        <v>895</v>
      </c>
      <c r="E235" s="4"/>
    </row>
    <row r="236" spans="1:5" x14ac:dyDescent="0.2">
      <c r="A236" t="s">
        <v>311</v>
      </c>
      <c r="B236" t="s">
        <v>1016</v>
      </c>
      <c r="C236" t="s">
        <v>896</v>
      </c>
      <c r="D236" t="s">
        <v>897</v>
      </c>
      <c r="E236" s="4"/>
    </row>
    <row r="237" spans="1:5" x14ac:dyDescent="0.2">
      <c r="E237" s="4"/>
    </row>
    <row r="238" spans="1:5" x14ac:dyDescent="0.2">
      <c r="A238" t="s">
        <v>1216</v>
      </c>
      <c r="B238" t="s">
        <v>1217</v>
      </c>
      <c r="C238" t="s">
        <v>1218</v>
      </c>
      <c r="D238" t="s">
        <v>1219</v>
      </c>
      <c r="E238" s="4"/>
    </row>
    <row r="239" spans="1:5" x14ac:dyDescent="0.2">
      <c r="A239" t="s">
        <v>1216</v>
      </c>
      <c r="B239" t="s">
        <v>1220</v>
      </c>
      <c r="C239" t="s">
        <v>1221</v>
      </c>
      <c r="D239" t="s">
        <v>1222</v>
      </c>
      <c r="E239" s="4"/>
    </row>
    <row r="240" spans="1:5" x14ac:dyDescent="0.2">
      <c r="A240" t="s">
        <v>1216</v>
      </c>
      <c r="B240" t="s">
        <v>1223</v>
      </c>
      <c r="C240" t="s">
        <v>1224</v>
      </c>
      <c r="D240" t="s">
        <v>1225</v>
      </c>
      <c r="E240" s="4"/>
    </row>
    <row r="241" spans="1:5" x14ac:dyDescent="0.2">
      <c r="A241" t="s">
        <v>1216</v>
      </c>
      <c r="B241" t="s">
        <v>1226</v>
      </c>
      <c r="C241" t="s">
        <v>1227</v>
      </c>
      <c r="D241" t="s">
        <v>1228</v>
      </c>
      <c r="E241" s="4"/>
    </row>
    <row r="242" spans="1:5" x14ac:dyDescent="0.2">
      <c r="A242" t="s">
        <v>1216</v>
      </c>
      <c r="B242" t="s">
        <v>1229</v>
      </c>
      <c r="C242" t="s">
        <v>1230</v>
      </c>
      <c r="D242" t="s">
        <v>1231</v>
      </c>
      <c r="E242" s="4"/>
    </row>
    <row r="243" spans="1:5" x14ac:dyDescent="0.2">
      <c r="A243" t="s">
        <v>1216</v>
      </c>
      <c r="B243" t="s">
        <v>1232</v>
      </c>
      <c r="C243" t="s">
        <v>1233</v>
      </c>
      <c r="D243" t="s">
        <v>1234</v>
      </c>
      <c r="E243" s="4"/>
    </row>
    <row r="244" spans="1:5" x14ac:dyDescent="0.2">
      <c r="A244" t="s">
        <v>1216</v>
      </c>
      <c r="B244" t="s">
        <v>1235</v>
      </c>
      <c r="C244" t="s">
        <v>1236</v>
      </c>
      <c r="D244" t="s">
        <v>1237</v>
      </c>
      <c r="E244" s="4"/>
    </row>
    <row r="245" spans="1:5" x14ac:dyDescent="0.2">
      <c r="A245" t="s">
        <v>1216</v>
      </c>
      <c r="B245" t="s">
        <v>1238</v>
      </c>
      <c r="C245" t="s">
        <v>1239</v>
      </c>
      <c r="D245" t="s">
        <v>1240</v>
      </c>
      <c r="E245" s="4"/>
    </row>
    <row r="246" spans="1:5" x14ac:dyDescent="0.2">
      <c r="A246" t="s">
        <v>1216</v>
      </c>
      <c r="B246" t="s">
        <v>1009</v>
      </c>
      <c r="C246" t="s">
        <v>1241</v>
      </c>
      <c r="D246" t="s">
        <v>1242</v>
      </c>
      <c r="E246" s="4"/>
    </row>
    <row r="247" spans="1:5" x14ac:dyDescent="0.2">
      <c r="A247" t="s">
        <v>1216</v>
      </c>
      <c r="B247" t="s">
        <v>1012</v>
      </c>
      <c r="C247" t="s">
        <v>1243</v>
      </c>
      <c r="D247" t="s">
        <v>1244</v>
      </c>
      <c r="E247" s="4"/>
    </row>
    <row r="248" spans="1:5" x14ac:dyDescent="0.2">
      <c r="A248" t="s">
        <v>1216</v>
      </c>
      <c r="B248" t="s">
        <v>1015</v>
      </c>
      <c r="C248" t="s">
        <v>894</v>
      </c>
      <c r="D248" t="s">
        <v>895</v>
      </c>
      <c r="E248" s="4"/>
    </row>
    <row r="249" spans="1:5" x14ac:dyDescent="0.2">
      <c r="A249" t="s">
        <v>1216</v>
      </c>
      <c r="B249" t="s">
        <v>1016</v>
      </c>
      <c r="C249" t="s">
        <v>896</v>
      </c>
      <c r="D249" t="s">
        <v>897</v>
      </c>
      <c r="E249" s="4"/>
    </row>
    <row r="250" spans="1:5" x14ac:dyDescent="0.2">
      <c r="E250" s="4"/>
    </row>
    <row r="251" spans="1:5" s="14" customFormat="1" x14ac:dyDescent="0.2">
      <c r="A251" s="17" t="s">
        <v>1245</v>
      </c>
      <c r="B251" s="17">
        <v>1</v>
      </c>
      <c r="C251" s="17" t="s">
        <v>1246</v>
      </c>
      <c r="D251" s="17" t="s">
        <v>1246</v>
      </c>
      <c r="E251" s="16"/>
    </row>
    <row r="252" spans="1:5" s="14" customFormat="1" x14ac:dyDescent="0.2">
      <c r="A252" s="17" t="s">
        <v>1245</v>
      </c>
      <c r="B252" s="17">
        <v>2</v>
      </c>
      <c r="C252" s="17" t="s">
        <v>1247</v>
      </c>
      <c r="D252" s="17" t="s">
        <v>1247</v>
      </c>
      <c r="E252" s="16"/>
    </row>
    <row r="253" spans="1:5" s="14" customFormat="1" x14ac:dyDescent="0.2">
      <c r="A253" s="17" t="s">
        <v>1245</v>
      </c>
      <c r="B253" s="17">
        <v>3</v>
      </c>
      <c r="C253" s="17" t="s">
        <v>1248</v>
      </c>
      <c r="D253" s="17" t="s">
        <v>1249</v>
      </c>
      <c r="E253" s="16"/>
    </row>
    <row r="254" spans="1:5" s="14" customFormat="1" x14ac:dyDescent="0.2">
      <c r="A254" s="17" t="s">
        <v>1245</v>
      </c>
      <c r="B254" s="17">
        <v>4</v>
      </c>
      <c r="C254" s="17" t="s">
        <v>1250</v>
      </c>
      <c r="D254" s="17" t="s">
        <v>1251</v>
      </c>
      <c r="E254" s="16"/>
    </row>
    <row r="255" spans="1:5" s="14" customFormat="1" x14ac:dyDescent="0.2">
      <c r="A255" s="15" t="s">
        <v>1245</v>
      </c>
      <c r="B255" s="15">
        <v>5</v>
      </c>
      <c r="C255" s="181" t="s">
        <v>1252</v>
      </c>
      <c r="D255" s="181" t="s">
        <v>1253</v>
      </c>
      <c r="E255" s="16"/>
    </row>
    <row r="256" spans="1:5" s="14" customFormat="1" x14ac:dyDescent="0.2">
      <c r="E256" s="16"/>
    </row>
    <row r="257" spans="1:5" s="15" customFormat="1" x14ac:dyDescent="0.2">
      <c r="A257" s="17" t="s">
        <v>1254</v>
      </c>
      <c r="B257" s="17">
        <v>1</v>
      </c>
      <c r="C257" s="17" t="s">
        <v>1255</v>
      </c>
      <c r="D257" s="17" t="s">
        <v>1256</v>
      </c>
      <c r="E257" s="5"/>
    </row>
    <row r="258" spans="1:5" s="15" customFormat="1" x14ac:dyDescent="0.2">
      <c r="A258" s="17" t="s">
        <v>1254</v>
      </c>
      <c r="B258" s="17">
        <v>2</v>
      </c>
      <c r="C258" s="17" t="s">
        <v>1257</v>
      </c>
      <c r="D258" s="17" t="s">
        <v>1258</v>
      </c>
      <c r="E258" s="5"/>
    </row>
    <row r="259" spans="1:5" s="14" customFormat="1" x14ac:dyDescent="0.2">
      <c r="E259" s="16"/>
    </row>
    <row r="260" spans="1:5" s="14" customFormat="1" x14ac:dyDescent="0.2">
      <c r="A260" s="17" t="s">
        <v>1259</v>
      </c>
      <c r="B260" s="17">
        <v>1</v>
      </c>
      <c r="C260" s="17" t="s">
        <v>1260</v>
      </c>
      <c r="D260" s="17" t="s">
        <v>1261</v>
      </c>
      <c r="E260" s="16"/>
    </row>
    <row r="261" spans="1:5" s="14" customFormat="1" x14ac:dyDescent="0.2">
      <c r="A261" s="17" t="s">
        <v>1259</v>
      </c>
      <c r="B261" s="17">
        <v>2</v>
      </c>
      <c r="C261" s="17" t="s">
        <v>1262</v>
      </c>
      <c r="D261" s="17" t="s">
        <v>1263</v>
      </c>
      <c r="E261" s="16"/>
    </row>
    <row r="262" spans="1:5" s="14" customFormat="1" x14ac:dyDescent="0.2">
      <c r="A262" s="17" t="s">
        <v>1259</v>
      </c>
      <c r="B262" s="17">
        <v>3</v>
      </c>
      <c r="C262" s="17" t="s">
        <v>1264</v>
      </c>
      <c r="D262" s="17" t="s">
        <v>1265</v>
      </c>
      <c r="E262" s="16"/>
    </row>
    <row r="263" spans="1:5" s="14" customFormat="1" x14ac:dyDescent="0.2">
      <c r="A263" s="17" t="s">
        <v>1259</v>
      </c>
      <c r="B263" s="17">
        <v>4</v>
      </c>
      <c r="C263" s="17" t="s">
        <v>1266</v>
      </c>
      <c r="D263" s="17" t="s">
        <v>1267</v>
      </c>
      <c r="E263" s="16"/>
    </row>
    <row r="264" spans="1:5" s="14" customFormat="1" x14ac:dyDescent="0.2">
      <c r="A264" s="17" t="s">
        <v>1259</v>
      </c>
      <c r="B264" s="17">
        <v>5</v>
      </c>
      <c r="C264" s="17" t="s">
        <v>1268</v>
      </c>
      <c r="D264" s="17" t="s">
        <v>1269</v>
      </c>
      <c r="E264" s="16"/>
    </row>
    <row r="265" spans="1:5" s="14" customFormat="1" x14ac:dyDescent="0.2">
      <c r="A265" s="17" t="s">
        <v>1259</v>
      </c>
      <c r="B265" s="17">
        <v>6</v>
      </c>
      <c r="C265" s="17" t="s">
        <v>1241</v>
      </c>
      <c r="D265" s="17" t="s">
        <v>1242</v>
      </c>
      <c r="E265" s="16"/>
    </row>
    <row r="266" spans="1:5" s="14" customFormat="1" x14ac:dyDescent="0.2">
      <c r="A266" s="17" t="s">
        <v>1259</v>
      </c>
      <c r="B266" s="17">
        <v>7</v>
      </c>
      <c r="C266" s="17" t="s">
        <v>894</v>
      </c>
      <c r="D266" s="17" t="s">
        <v>895</v>
      </c>
      <c r="E266" s="16"/>
    </row>
    <row r="267" spans="1:5" s="14" customFormat="1" x14ac:dyDescent="0.2">
      <c r="A267" s="17" t="s">
        <v>1259</v>
      </c>
      <c r="B267" s="17">
        <v>8</v>
      </c>
      <c r="C267" s="17" t="s">
        <v>896</v>
      </c>
      <c r="D267" s="17" t="s">
        <v>897</v>
      </c>
      <c r="E267" s="16"/>
    </row>
    <row r="268" spans="1:5" x14ac:dyDescent="0.2">
      <c r="E268" s="4"/>
    </row>
    <row r="269" spans="1:5" s="14" customFormat="1" x14ac:dyDescent="0.2">
      <c r="A269" s="13" t="s">
        <v>1270</v>
      </c>
      <c r="B269" s="13">
        <v>1</v>
      </c>
      <c r="C269" s="13" t="s">
        <v>1271</v>
      </c>
      <c r="D269" s="3" t="s">
        <v>1272</v>
      </c>
      <c r="E269" s="16"/>
    </row>
    <row r="270" spans="1:5" s="14" customFormat="1" x14ac:dyDescent="0.2">
      <c r="A270" s="13" t="s">
        <v>1270</v>
      </c>
      <c r="B270" s="13">
        <v>2</v>
      </c>
      <c r="C270" s="13" t="s">
        <v>1273</v>
      </c>
      <c r="D270" s="3" t="s">
        <v>1274</v>
      </c>
      <c r="E270" s="16"/>
    </row>
    <row r="271" spans="1:5" s="14" customFormat="1" x14ac:dyDescent="0.2">
      <c r="A271" s="13" t="s">
        <v>1270</v>
      </c>
      <c r="B271" s="13">
        <v>3</v>
      </c>
      <c r="C271" s="13" t="s">
        <v>1275</v>
      </c>
      <c r="D271" s="3" t="s">
        <v>1276</v>
      </c>
      <c r="E271" s="16"/>
    </row>
    <row r="272" spans="1:5" s="14" customFormat="1" x14ac:dyDescent="0.2">
      <c r="A272" s="13" t="s">
        <v>1270</v>
      </c>
      <c r="B272" s="13">
        <v>4</v>
      </c>
      <c r="C272" s="13" t="s">
        <v>1277</v>
      </c>
      <c r="D272" s="3" t="s">
        <v>1278</v>
      </c>
      <c r="E272" s="16"/>
    </row>
    <row r="273" spans="1:6" s="14" customFormat="1" x14ac:dyDescent="0.2">
      <c r="A273" s="13" t="s">
        <v>1270</v>
      </c>
      <c r="B273" s="13">
        <v>5</v>
      </c>
      <c r="C273" s="13" t="s">
        <v>1279</v>
      </c>
      <c r="D273" s="3" t="s">
        <v>1280</v>
      </c>
      <c r="E273" s="16"/>
    </row>
    <row r="274" spans="1:6" s="14" customFormat="1" x14ac:dyDescent="0.2">
      <c r="A274" s="13" t="s">
        <v>1270</v>
      </c>
      <c r="B274" s="13">
        <v>6</v>
      </c>
      <c r="C274" s="13" t="s">
        <v>894</v>
      </c>
      <c r="D274" s="3" t="s">
        <v>895</v>
      </c>
      <c r="E274" s="16"/>
    </row>
    <row r="275" spans="1:6" s="14" customFormat="1" x14ac:dyDescent="0.2">
      <c r="A275" s="13" t="s">
        <v>1270</v>
      </c>
      <c r="B275" s="13">
        <v>7</v>
      </c>
      <c r="C275" s="13" t="s">
        <v>896</v>
      </c>
      <c r="D275" s="3" t="s">
        <v>897</v>
      </c>
      <c r="E275" s="16"/>
    </row>
    <row r="276" spans="1:6" x14ac:dyDescent="0.2">
      <c r="E276" s="4"/>
      <c r="F276" s="14"/>
    </row>
    <row r="277" spans="1:6" s="14" customFormat="1" x14ac:dyDescent="0.2">
      <c r="A277" s="13" t="s">
        <v>1281</v>
      </c>
      <c r="B277" s="13" t="s">
        <v>1282</v>
      </c>
      <c r="C277" s="13" t="s">
        <v>1283</v>
      </c>
      <c r="D277" s="13" t="s">
        <v>1284</v>
      </c>
      <c r="E277" s="16"/>
    </row>
    <row r="278" spans="1:6" s="14" customFormat="1" x14ac:dyDescent="0.2">
      <c r="A278" s="13" t="s">
        <v>1281</v>
      </c>
      <c r="B278" s="13" t="s">
        <v>1285</v>
      </c>
      <c r="C278" s="13" t="s">
        <v>1286</v>
      </c>
      <c r="D278" s="13" t="s">
        <v>1287</v>
      </c>
      <c r="E278" s="16"/>
    </row>
    <row r="279" spans="1:6" s="14" customFormat="1" x14ac:dyDescent="0.2">
      <c r="A279" s="13" t="s">
        <v>1281</v>
      </c>
      <c r="B279" s="13" t="s">
        <v>1288</v>
      </c>
      <c r="C279" s="13" t="s">
        <v>1289</v>
      </c>
      <c r="D279" s="13" t="s">
        <v>1290</v>
      </c>
      <c r="E279" s="16"/>
    </row>
    <row r="280" spans="1:6" s="14" customFormat="1" x14ac:dyDescent="0.2">
      <c r="A280" s="13" t="s">
        <v>1281</v>
      </c>
      <c r="B280" s="13" t="s">
        <v>1291</v>
      </c>
      <c r="C280" s="13" t="s">
        <v>1292</v>
      </c>
      <c r="D280" s="13" t="s">
        <v>1293</v>
      </c>
      <c r="E280" s="16"/>
    </row>
    <row r="281" spans="1:6" s="14" customFormat="1" x14ac:dyDescent="0.2">
      <c r="A281" s="13" t="s">
        <v>1281</v>
      </c>
      <c r="B281" s="13" t="s">
        <v>1294</v>
      </c>
      <c r="C281" s="13" t="s">
        <v>1295</v>
      </c>
      <c r="D281" s="13" t="s">
        <v>1296</v>
      </c>
      <c r="E281" s="16"/>
    </row>
    <row r="282" spans="1:6" s="14" customFormat="1" x14ac:dyDescent="0.2">
      <c r="A282" s="13" t="s">
        <v>1281</v>
      </c>
      <c r="B282" s="13" t="s">
        <v>1297</v>
      </c>
      <c r="C282" s="13" t="s">
        <v>1298</v>
      </c>
      <c r="D282" s="13" t="s">
        <v>1299</v>
      </c>
      <c r="E282" s="16"/>
    </row>
    <row r="283" spans="1:6" s="14" customFormat="1" x14ac:dyDescent="0.2">
      <c r="A283" s="13" t="s">
        <v>1281</v>
      </c>
      <c r="B283" s="14" t="s">
        <v>1300</v>
      </c>
      <c r="C283" s="13" t="s">
        <v>1301</v>
      </c>
      <c r="D283" s="13" t="s">
        <v>1302</v>
      </c>
      <c r="E283" s="16"/>
    </row>
    <row r="284" spans="1:6" s="14" customFormat="1" x14ac:dyDescent="0.2">
      <c r="A284" s="13" t="s">
        <v>1281</v>
      </c>
      <c r="B284" s="13" t="s">
        <v>1009</v>
      </c>
      <c r="C284" s="13" t="s">
        <v>1303</v>
      </c>
      <c r="D284" s="13" t="s">
        <v>1304</v>
      </c>
      <c r="E284" s="16"/>
    </row>
    <row r="285" spans="1:6" s="14" customFormat="1" x14ac:dyDescent="0.2">
      <c r="A285" s="13" t="s">
        <v>1281</v>
      </c>
      <c r="B285" s="13" t="s">
        <v>1015</v>
      </c>
      <c r="C285" s="13" t="s">
        <v>894</v>
      </c>
      <c r="D285" s="13" t="s">
        <v>895</v>
      </c>
      <c r="E285" s="16"/>
    </row>
    <row r="286" spans="1:6" s="14" customFormat="1" x14ac:dyDescent="0.2">
      <c r="A286" s="13" t="s">
        <v>1281</v>
      </c>
      <c r="B286" s="13" t="s">
        <v>1016</v>
      </c>
      <c r="C286" s="13" t="s">
        <v>896</v>
      </c>
      <c r="D286" s="13" t="s">
        <v>897</v>
      </c>
      <c r="E286" s="16"/>
    </row>
    <row r="287" spans="1:6" x14ac:dyDescent="0.2">
      <c r="E287" s="4"/>
    </row>
    <row r="288" spans="1:6" x14ac:dyDescent="0.2">
      <c r="A288" s="13" t="s">
        <v>1305</v>
      </c>
      <c r="B288" s="13">
        <v>1</v>
      </c>
      <c r="C288" s="13" t="s">
        <v>1306</v>
      </c>
      <c r="D288" s="13" t="s">
        <v>1307</v>
      </c>
      <c r="E288" s="4"/>
    </row>
    <row r="289" spans="1:6" x14ac:dyDescent="0.2">
      <c r="A289" s="13" t="s">
        <v>1305</v>
      </c>
      <c r="B289" s="13">
        <v>2</v>
      </c>
      <c r="C289" s="13" t="s">
        <v>1308</v>
      </c>
      <c r="D289" s="13" t="s">
        <v>1308</v>
      </c>
      <c r="E289" s="4"/>
    </row>
    <row r="290" spans="1:6" x14ac:dyDescent="0.2">
      <c r="A290" s="13" t="s">
        <v>1305</v>
      </c>
      <c r="B290" s="13">
        <v>3</v>
      </c>
      <c r="C290" s="13" t="s">
        <v>1309</v>
      </c>
      <c r="D290" s="13" t="s">
        <v>1310</v>
      </c>
      <c r="E290" s="4"/>
    </row>
    <row r="291" spans="1:6" x14ac:dyDescent="0.2">
      <c r="A291" s="13" t="s">
        <v>1305</v>
      </c>
      <c r="B291" s="13">
        <v>4</v>
      </c>
      <c r="C291" s="13" t="s">
        <v>1311</v>
      </c>
      <c r="D291" s="13" t="s">
        <v>1312</v>
      </c>
      <c r="E291" s="4"/>
    </row>
    <row r="292" spans="1:6" x14ac:dyDescent="0.2">
      <c r="A292" s="13" t="s">
        <v>1305</v>
      </c>
      <c r="B292" s="13">
        <v>5</v>
      </c>
      <c r="C292" s="13" t="s">
        <v>1313</v>
      </c>
      <c r="D292" s="13" t="s">
        <v>1314</v>
      </c>
      <c r="E292" s="4"/>
    </row>
    <row r="293" spans="1:6" x14ac:dyDescent="0.2">
      <c r="A293" s="13" t="s">
        <v>1305</v>
      </c>
      <c r="B293" s="13">
        <v>6</v>
      </c>
      <c r="C293" s="13" t="s">
        <v>1315</v>
      </c>
      <c r="D293" s="13" t="s">
        <v>1316</v>
      </c>
      <c r="E293" s="4"/>
    </row>
    <row r="294" spans="1:6" x14ac:dyDescent="0.2">
      <c r="A294" s="13" t="s">
        <v>1305</v>
      </c>
      <c r="B294" s="13">
        <v>7</v>
      </c>
      <c r="C294" s="13" t="s">
        <v>1317</v>
      </c>
      <c r="D294" s="13" t="s">
        <v>1318</v>
      </c>
      <c r="E294" s="4"/>
    </row>
    <row r="295" spans="1:6" x14ac:dyDescent="0.2">
      <c r="A295" s="13" t="s">
        <v>1305</v>
      </c>
      <c r="B295" s="13">
        <v>8</v>
      </c>
      <c r="C295" s="13" t="s">
        <v>1319</v>
      </c>
      <c r="D295" s="13" t="s">
        <v>1320</v>
      </c>
      <c r="E295" s="4"/>
    </row>
    <row r="296" spans="1:6" x14ac:dyDescent="0.2">
      <c r="A296" s="13" t="s">
        <v>1305</v>
      </c>
      <c r="B296" s="13">
        <v>9</v>
      </c>
      <c r="C296" s="13" t="s">
        <v>1241</v>
      </c>
      <c r="D296" s="13" t="s">
        <v>1242</v>
      </c>
      <c r="E296" s="4"/>
    </row>
    <row r="297" spans="1:6" x14ac:dyDescent="0.2">
      <c r="E297" s="4"/>
    </row>
    <row r="298" spans="1:6" x14ac:dyDescent="0.2">
      <c r="A298" s="17" t="s">
        <v>1321</v>
      </c>
      <c r="B298" s="17" t="s">
        <v>1322</v>
      </c>
      <c r="C298" s="17" t="s">
        <v>1323</v>
      </c>
      <c r="D298" t="s">
        <v>1170</v>
      </c>
      <c r="E298" s="4"/>
      <c r="F298" s="14"/>
    </row>
    <row r="299" spans="1:6" x14ac:dyDescent="0.2">
      <c r="A299" s="17" t="s">
        <v>1321</v>
      </c>
      <c r="B299" s="17" t="s">
        <v>1324</v>
      </c>
      <c r="C299" s="17" t="s">
        <v>1325</v>
      </c>
      <c r="D299" t="s">
        <v>1326</v>
      </c>
      <c r="E299" s="4"/>
      <c r="F299" s="14"/>
    </row>
    <row r="300" spans="1:6" x14ac:dyDescent="0.2">
      <c r="A300" s="17" t="s">
        <v>1321</v>
      </c>
      <c r="B300" s="17" t="s">
        <v>1327</v>
      </c>
      <c r="C300" s="17" t="s">
        <v>1328</v>
      </c>
      <c r="D300" t="s">
        <v>1329</v>
      </c>
      <c r="E300" s="4"/>
      <c r="F300" s="14"/>
    </row>
    <row r="301" spans="1:6" x14ac:dyDescent="0.2">
      <c r="A301" s="17" t="s">
        <v>1321</v>
      </c>
      <c r="B301" s="17" t="s">
        <v>1330</v>
      </c>
      <c r="C301" s="17" t="s">
        <v>1331</v>
      </c>
      <c r="D301" t="s">
        <v>1332</v>
      </c>
      <c r="E301" s="4"/>
      <c r="F301" s="14"/>
    </row>
    <row r="302" spans="1:6" x14ac:dyDescent="0.2">
      <c r="A302" s="17" t="s">
        <v>1321</v>
      </c>
      <c r="B302" s="17" t="s">
        <v>1333</v>
      </c>
      <c r="C302" s="17" t="s">
        <v>1334</v>
      </c>
      <c r="D302" t="s">
        <v>1335</v>
      </c>
      <c r="E302" s="4"/>
      <c r="F302" s="14"/>
    </row>
    <row r="303" spans="1:6" x14ac:dyDescent="0.2">
      <c r="A303" s="17" t="s">
        <v>1321</v>
      </c>
      <c r="B303" s="17" t="s">
        <v>1336</v>
      </c>
      <c r="C303" s="17" t="s">
        <v>1337</v>
      </c>
      <c r="D303" t="s">
        <v>1338</v>
      </c>
      <c r="E303" s="4"/>
      <c r="F303" s="14"/>
    </row>
    <row r="304" spans="1:6" x14ac:dyDescent="0.2">
      <c r="A304" s="17" t="s">
        <v>1321</v>
      </c>
      <c r="B304" s="17" t="s">
        <v>1339</v>
      </c>
      <c r="C304" s="17" t="s">
        <v>1340</v>
      </c>
      <c r="D304" t="s">
        <v>1341</v>
      </c>
      <c r="E304" s="4"/>
      <c r="F304" s="14"/>
    </row>
    <row r="305" spans="1:6" x14ac:dyDescent="0.2">
      <c r="A305" s="17" t="s">
        <v>1321</v>
      </c>
      <c r="B305" s="17" t="s">
        <v>1342</v>
      </c>
      <c r="C305" s="17" t="s">
        <v>1343</v>
      </c>
      <c r="D305" t="s">
        <v>1344</v>
      </c>
      <c r="E305" s="4"/>
      <c r="F305" s="14"/>
    </row>
    <row r="306" spans="1:6" x14ac:dyDescent="0.2">
      <c r="A306" s="17" t="s">
        <v>1321</v>
      </c>
      <c r="B306" s="17" t="s">
        <v>1345</v>
      </c>
      <c r="C306" s="17" t="s">
        <v>1346</v>
      </c>
      <c r="D306" t="s">
        <v>1347</v>
      </c>
      <c r="E306" s="4"/>
      <c r="F306" s="14"/>
    </row>
    <row r="307" spans="1:6" x14ac:dyDescent="0.2">
      <c r="A307" s="17" t="s">
        <v>1321</v>
      </c>
      <c r="B307" s="17" t="s">
        <v>1348</v>
      </c>
      <c r="C307" s="17" t="s">
        <v>1349</v>
      </c>
      <c r="D307" t="s">
        <v>1350</v>
      </c>
      <c r="E307" s="4"/>
      <c r="F307" s="14"/>
    </row>
    <row r="308" spans="1:6" x14ac:dyDescent="0.2">
      <c r="A308" s="17" t="s">
        <v>1321</v>
      </c>
      <c r="B308" s="17" t="s">
        <v>1351</v>
      </c>
      <c r="C308" s="17" t="s">
        <v>1352</v>
      </c>
      <c r="D308" t="s">
        <v>1353</v>
      </c>
      <c r="E308" s="4"/>
      <c r="F308" s="14"/>
    </row>
    <row r="309" spans="1:6" x14ac:dyDescent="0.2">
      <c r="A309" s="17" t="s">
        <v>1321</v>
      </c>
      <c r="B309" s="17" t="s">
        <v>1354</v>
      </c>
      <c r="C309" s="17" t="s">
        <v>1355</v>
      </c>
      <c r="D309" t="s">
        <v>1356</v>
      </c>
      <c r="E309" s="4"/>
      <c r="F309" s="14"/>
    </row>
    <row r="310" spans="1:6" x14ac:dyDescent="0.2">
      <c r="A310" s="17" t="s">
        <v>1321</v>
      </c>
      <c r="B310" s="17" t="s">
        <v>1357</v>
      </c>
      <c r="C310" s="17" t="s">
        <v>1358</v>
      </c>
      <c r="D310" t="s">
        <v>1359</v>
      </c>
      <c r="E310" s="4"/>
      <c r="F310" s="14"/>
    </row>
    <row r="311" spans="1:6" x14ac:dyDescent="0.2">
      <c r="A311" s="17" t="s">
        <v>1321</v>
      </c>
      <c r="B311" s="17" t="s">
        <v>1360</v>
      </c>
      <c r="C311" s="17" t="s">
        <v>1361</v>
      </c>
      <c r="D311" t="s">
        <v>1362</v>
      </c>
      <c r="E311" s="4"/>
      <c r="F311" s="14"/>
    </row>
    <row r="312" spans="1:6" x14ac:dyDescent="0.2">
      <c r="A312" s="17" t="s">
        <v>1321</v>
      </c>
      <c r="B312" s="17" t="s">
        <v>1363</v>
      </c>
      <c r="C312" s="17" t="s">
        <v>1364</v>
      </c>
      <c r="D312" s="3" t="s">
        <v>1365</v>
      </c>
      <c r="E312" s="4"/>
    </row>
    <row r="313" spans="1:6" x14ac:dyDescent="0.2">
      <c r="A313" s="17" t="s">
        <v>1321</v>
      </c>
      <c r="B313" s="17" t="s">
        <v>1009</v>
      </c>
      <c r="C313" s="17" t="s">
        <v>1303</v>
      </c>
      <c r="D313" t="s">
        <v>1304</v>
      </c>
      <c r="E313" s="4"/>
      <c r="F313" s="14"/>
    </row>
    <row r="314" spans="1:6" x14ac:dyDescent="0.2">
      <c r="A314" s="17" t="s">
        <v>1321</v>
      </c>
      <c r="B314" s="17" t="s">
        <v>1015</v>
      </c>
      <c r="C314" s="17" t="s">
        <v>894</v>
      </c>
      <c r="D314" t="s">
        <v>895</v>
      </c>
      <c r="E314" s="4"/>
    </row>
    <row r="315" spans="1:6" x14ac:dyDescent="0.2">
      <c r="A315" s="17" t="s">
        <v>1321</v>
      </c>
      <c r="B315" s="17" t="s">
        <v>1016</v>
      </c>
      <c r="C315" s="17" t="s">
        <v>896</v>
      </c>
      <c r="D315" t="s">
        <v>897</v>
      </c>
      <c r="E315" s="4"/>
    </row>
    <row r="316" spans="1:6" x14ac:dyDescent="0.2">
      <c r="E316" s="4"/>
    </row>
    <row r="317" spans="1:6" s="14" customFormat="1" x14ac:dyDescent="0.2">
      <c r="A317" s="13" t="s">
        <v>1366</v>
      </c>
      <c r="B317" s="13">
        <v>1</v>
      </c>
      <c r="C317" s="13" t="s">
        <v>1367</v>
      </c>
      <c r="D317" s="13" t="s">
        <v>1368</v>
      </c>
      <c r="E317" s="16"/>
    </row>
    <row r="318" spans="1:6" s="14" customFormat="1" x14ac:dyDescent="0.2">
      <c r="A318" s="13" t="s">
        <v>1366</v>
      </c>
      <c r="B318" s="13">
        <v>2</v>
      </c>
      <c r="C318" s="13" t="s">
        <v>1369</v>
      </c>
      <c r="D318" s="13" t="s">
        <v>1370</v>
      </c>
      <c r="E318" s="16"/>
    </row>
    <row r="319" spans="1:6" s="14" customFormat="1" x14ac:dyDescent="0.2">
      <c r="A319" s="13" t="s">
        <v>1366</v>
      </c>
      <c r="B319" s="13">
        <v>3</v>
      </c>
      <c r="C319" s="13" t="s">
        <v>1371</v>
      </c>
      <c r="D319" s="13" t="s">
        <v>1372</v>
      </c>
      <c r="E319" s="16"/>
    </row>
    <row r="320" spans="1:6" s="14" customFormat="1" x14ac:dyDescent="0.2">
      <c r="A320" s="13" t="s">
        <v>1366</v>
      </c>
      <c r="B320" s="13">
        <v>4</v>
      </c>
      <c r="C320" s="13" t="s">
        <v>1373</v>
      </c>
      <c r="D320" s="13" t="s">
        <v>1374</v>
      </c>
      <c r="E320" s="16"/>
    </row>
    <row r="321" spans="1:6" s="14" customFormat="1" x14ac:dyDescent="0.2">
      <c r="A321" s="13" t="s">
        <v>1366</v>
      </c>
      <c r="B321" s="13">
        <v>5</v>
      </c>
      <c r="C321" s="13" t="s">
        <v>1375</v>
      </c>
      <c r="D321" s="13" t="s">
        <v>1376</v>
      </c>
      <c r="E321" s="16"/>
    </row>
    <row r="322" spans="1:6" s="14" customFormat="1" x14ac:dyDescent="0.2">
      <c r="A322" s="13" t="s">
        <v>1366</v>
      </c>
      <c r="B322" s="13">
        <v>6</v>
      </c>
      <c r="C322" s="13" t="s">
        <v>1377</v>
      </c>
      <c r="D322" s="13" t="s">
        <v>1378</v>
      </c>
      <c r="E322" s="16"/>
    </row>
    <row r="323" spans="1:6" s="14" customFormat="1" x14ac:dyDescent="0.2">
      <c r="A323" s="13" t="s">
        <v>1366</v>
      </c>
      <c r="B323" s="13">
        <v>7</v>
      </c>
      <c r="C323" s="13" t="s">
        <v>894</v>
      </c>
      <c r="D323" s="13" t="s">
        <v>895</v>
      </c>
      <c r="E323" s="16"/>
    </row>
    <row r="324" spans="1:6" x14ac:dyDescent="0.2">
      <c r="A324" s="13" t="s">
        <v>1366</v>
      </c>
      <c r="B324" s="13">
        <v>8</v>
      </c>
      <c r="C324" s="13" t="s">
        <v>896</v>
      </c>
      <c r="D324" s="13" t="s">
        <v>897</v>
      </c>
      <c r="E324" s="16"/>
      <c r="F324" s="14"/>
    </row>
    <row r="325" spans="1:6" x14ac:dyDescent="0.2">
      <c r="E325" s="4"/>
    </row>
    <row r="326" spans="1:6" x14ac:dyDescent="0.2">
      <c r="A326" t="s">
        <v>1379</v>
      </c>
      <c r="B326" t="s">
        <v>1380</v>
      </c>
      <c r="C326" t="s">
        <v>1381</v>
      </c>
      <c r="D326" t="s">
        <v>1382</v>
      </c>
      <c r="E326" s="4"/>
      <c r="F326" s="14"/>
    </row>
    <row r="327" spans="1:6" x14ac:dyDescent="0.2">
      <c r="A327" t="s">
        <v>1379</v>
      </c>
      <c r="B327" t="s">
        <v>1383</v>
      </c>
      <c r="C327" t="s">
        <v>1384</v>
      </c>
      <c r="D327" t="s">
        <v>1385</v>
      </c>
      <c r="E327" s="4"/>
      <c r="F327" s="14"/>
    </row>
    <row r="328" spans="1:6" x14ac:dyDescent="0.2">
      <c r="A328" t="s">
        <v>1379</v>
      </c>
      <c r="B328" t="s">
        <v>1386</v>
      </c>
      <c r="C328" t="s">
        <v>1387</v>
      </c>
      <c r="D328" t="s">
        <v>1388</v>
      </c>
      <c r="E328" s="4"/>
      <c r="F328" s="14"/>
    </row>
    <row r="329" spans="1:6" x14ac:dyDescent="0.2">
      <c r="A329" t="s">
        <v>1379</v>
      </c>
      <c r="B329" t="s">
        <v>1389</v>
      </c>
      <c r="C329" t="s">
        <v>1390</v>
      </c>
      <c r="D329" t="s">
        <v>1391</v>
      </c>
      <c r="E329" s="4"/>
      <c r="F329" s="14"/>
    </row>
    <row r="330" spans="1:6" x14ac:dyDescent="0.2">
      <c r="A330" t="s">
        <v>1379</v>
      </c>
      <c r="B330" t="s">
        <v>1392</v>
      </c>
      <c r="C330" t="s">
        <v>1393</v>
      </c>
      <c r="D330" t="s">
        <v>1394</v>
      </c>
      <c r="E330" s="4"/>
      <c r="F330" s="14"/>
    </row>
    <row r="331" spans="1:6" x14ac:dyDescent="0.2">
      <c r="A331" t="s">
        <v>1379</v>
      </c>
      <c r="B331" t="s">
        <v>1395</v>
      </c>
      <c r="C331" t="s">
        <v>1396</v>
      </c>
      <c r="D331" t="s">
        <v>1397</v>
      </c>
      <c r="E331" s="4"/>
      <c r="F331" s="14"/>
    </row>
    <row r="332" spans="1:6" x14ac:dyDescent="0.2">
      <c r="A332" t="s">
        <v>1379</v>
      </c>
      <c r="B332" t="s">
        <v>1398</v>
      </c>
      <c r="C332" t="s">
        <v>1399</v>
      </c>
      <c r="D332" t="s">
        <v>1400</v>
      </c>
      <c r="E332" s="4"/>
      <c r="F332" s="14"/>
    </row>
    <row r="333" spans="1:6" x14ac:dyDescent="0.2">
      <c r="A333" t="s">
        <v>1379</v>
      </c>
      <c r="B333" t="s">
        <v>1009</v>
      </c>
      <c r="C333" t="s">
        <v>1303</v>
      </c>
      <c r="D333" t="s">
        <v>1304</v>
      </c>
      <c r="E333" s="4"/>
      <c r="F333" s="14"/>
    </row>
    <row r="334" spans="1:6" x14ac:dyDescent="0.2">
      <c r="A334" t="s">
        <v>1379</v>
      </c>
      <c r="B334" t="s">
        <v>1015</v>
      </c>
      <c r="C334" t="s">
        <v>894</v>
      </c>
      <c r="D334" t="s">
        <v>895</v>
      </c>
      <c r="E334" s="4"/>
      <c r="F334" s="14"/>
    </row>
    <row r="335" spans="1:6" x14ac:dyDescent="0.2">
      <c r="A335" t="s">
        <v>1379</v>
      </c>
      <c r="B335" t="s">
        <v>1016</v>
      </c>
      <c r="C335" t="s">
        <v>896</v>
      </c>
      <c r="D335" t="s">
        <v>897</v>
      </c>
      <c r="E335" s="4"/>
      <c r="F335" s="14"/>
    </row>
    <row r="336" spans="1:6" x14ac:dyDescent="0.2">
      <c r="E336" s="4"/>
    </row>
    <row r="337" spans="1:6" x14ac:dyDescent="0.2">
      <c r="A337" t="s">
        <v>485</v>
      </c>
      <c r="B337">
        <v>1</v>
      </c>
      <c r="C337" t="s">
        <v>1401</v>
      </c>
      <c r="D337" t="s">
        <v>1402</v>
      </c>
      <c r="E337" s="4"/>
    </row>
    <row r="338" spans="1:6" x14ac:dyDescent="0.2">
      <c r="A338" t="s">
        <v>485</v>
      </c>
      <c r="B338">
        <v>2</v>
      </c>
      <c r="C338" t="s">
        <v>1403</v>
      </c>
      <c r="D338" t="s">
        <v>1404</v>
      </c>
      <c r="E338" s="4"/>
    </row>
    <row r="339" spans="1:6" x14ac:dyDescent="0.2">
      <c r="A339" t="s">
        <v>485</v>
      </c>
      <c r="B339">
        <v>3</v>
      </c>
      <c r="C339" t="s">
        <v>1405</v>
      </c>
      <c r="D339" t="s">
        <v>1406</v>
      </c>
      <c r="E339" s="4"/>
    </row>
    <row r="340" spans="1:6" x14ac:dyDescent="0.2">
      <c r="A340" t="s">
        <v>485</v>
      </c>
      <c r="B340">
        <v>4</v>
      </c>
      <c r="C340" t="s">
        <v>1407</v>
      </c>
      <c r="D340" t="s">
        <v>1408</v>
      </c>
      <c r="E340" s="4"/>
    </row>
    <row r="341" spans="1:6" x14ac:dyDescent="0.2">
      <c r="A341" t="s">
        <v>485</v>
      </c>
      <c r="B341">
        <v>5</v>
      </c>
      <c r="C341" t="s">
        <v>1409</v>
      </c>
      <c r="D341" t="s">
        <v>1410</v>
      </c>
      <c r="E341" s="4"/>
    </row>
    <row r="342" spans="1:6" x14ac:dyDescent="0.2">
      <c r="A342" t="s">
        <v>485</v>
      </c>
      <c r="B342">
        <v>6</v>
      </c>
      <c r="C342" t="s">
        <v>1411</v>
      </c>
      <c r="D342" t="s">
        <v>1412</v>
      </c>
      <c r="E342" s="4"/>
    </row>
    <row r="343" spans="1:6" x14ac:dyDescent="0.2">
      <c r="A343" t="s">
        <v>485</v>
      </c>
      <c r="B343">
        <v>7</v>
      </c>
      <c r="C343" t="s">
        <v>1413</v>
      </c>
      <c r="D343" t="s">
        <v>1414</v>
      </c>
      <c r="E343" s="4"/>
    </row>
    <row r="344" spans="1:6" x14ac:dyDescent="0.2">
      <c r="A344" t="s">
        <v>485</v>
      </c>
      <c r="B344">
        <v>8</v>
      </c>
      <c r="C344" t="s">
        <v>1415</v>
      </c>
      <c r="D344" t="s">
        <v>1416</v>
      </c>
      <c r="E344" s="4"/>
    </row>
    <row r="345" spans="1:6" x14ac:dyDescent="0.2">
      <c r="A345" t="s">
        <v>485</v>
      </c>
      <c r="B345">
        <v>9</v>
      </c>
      <c r="C345" t="s">
        <v>1303</v>
      </c>
      <c r="D345" t="s">
        <v>1304</v>
      </c>
      <c r="E345" s="4"/>
    </row>
    <row r="346" spans="1:6" x14ac:dyDescent="0.2">
      <c r="A346" t="s">
        <v>485</v>
      </c>
      <c r="B346" s="18">
        <v>10</v>
      </c>
      <c r="C346" t="s">
        <v>894</v>
      </c>
      <c r="D346" t="s">
        <v>895</v>
      </c>
      <c r="E346" s="4"/>
    </row>
    <row r="347" spans="1:6" x14ac:dyDescent="0.2">
      <c r="A347" t="s">
        <v>485</v>
      </c>
      <c r="B347" s="18">
        <v>11</v>
      </c>
      <c r="C347" t="s">
        <v>896</v>
      </c>
      <c r="D347" t="s">
        <v>897</v>
      </c>
      <c r="E347" s="4"/>
    </row>
    <row r="348" spans="1:6" x14ac:dyDescent="0.2">
      <c r="E348" s="4"/>
    </row>
    <row r="349" spans="1:6" x14ac:dyDescent="0.2">
      <c r="A349" t="s">
        <v>1417</v>
      </c>
      <c r="B349" t="s">
        <v>1418</v>
      </c>
      <c r="C349" t="s">
        <v>1419</v>
      </c>
      <c r="D349" t="s">
        <v>1420</v>
      </c>
      <c r="E349" s="4"/>
      <c r="F349" s="14"/>
    </row>
    <row r="350" spans="1:6" x14ac:dyDescent="0.2">
      <c r="A350" t="s">
        <v>1417</v>
      </c>
      <c r="B350" t="s">
        <v>1421</v>
      </c>
      <c r="C350" t="s">
        <v>1422</v>
      </c>
      <c r="D350" t="s">
        <v>1423</v>
      </c>
      <c r="E350" s="4"/>
      <c r="F350" s="14"/>
    </row>
    <row r="351" spans="1:6" x14ac:dyDescent="0.2">
      <c r="A351" t="s">
        <v>1417</v>
      </c>
      <c r="B351" t="s">
        <v>1424</v>
      </c>
      <c r="C351" t="s">
        <v>1425</v>
      </c>
      <c r="D351" t="s">
        <v>1426</v>
      </c>
      <c r="E351" s="4"/>
      <c r="F351" s="14"/>
    </row>
    <row r="352" spans="1:6" x14ac:dyDescent="0.2">
      <c r="A352" t="s">
        <v>1417</v>
      </c>
      <c r="B352" t="s">
        <v>1427</v>
      </c>
      <c r="C352" t="s">
        <v>1428</v>
      </c>
      <c r="D352" t="s">
        <v>1429</v>
      </c>
      <c r="E352" s="4"/>
      <c r="F352" s="14"/>
    </row>
    <row r="353" spans="1:6" x14ac:dyDescent="0.2">
      <c r="A353" t="s">
        <v>1417</v>
      </c>
      <c r="B353" t="s">
        <v>1430</v>
      </c>
      <c r="C353" t="s">
        <v>1431</v>
      </c>
      <c r="D353" t="s">
        <v>1432</v>
      </c>
      <c r="E353" s="4"/>
      <c r="F353" s="14"/>
    </row>
    <row r="354" spans="1:6" x14ac:dyDescent="0.2">
      <c r="A354" t="s">
        <v>1417</v>
      </c>
      <c r="B354" t="s">
        <v>1433</v>
      </c>
      <c r="C354" t="s">
        <v>1434</v>
      </c>
      <c r="D354" t="s">
        <v>1435</v>
      </c>
      <c r="E354" s="4"/>
      <c r="F354" s="14"/>
    </row>
    <row r="355" spans="1:6" x14ac:dyDescent="0.2">
      <c r="A355" t="s">
        <v>1417</v>
      </c>
      <c r="B355" t="s">
        <v>1436</v>
      </c>
      <c r="C355" t="s">
        <v>1437</v>
      </c>
      <c r="D355" t="s">
        <v>1438</v>
      </c>
      <c r="E355" s="4"/>
      <c r="F355" s="14"/>
    </row>
    <row r="356" spans="1:6" x14ac:dyDescent="0.2">
      <c r="A356" t="s">
        <v>1417</v>
      </c>
      <c r="B356" t="s">
        <v>1439</v>
      </c>
      <c r="C356" t="s">
        <v>1440</v>
      </c>
      <c r="D356" t="s">
        <v>1441</v>
      </c>
      <c r="E356" s="4"/>
      <c r="F356" s="14"/>
    </row>
    <row r="357" spans="1:6" x14ac:dyDescent="0.2">
      <c r="A357" t="s">
        <v>1417</v>
      </c>
      <c r="B357" t="s">
        <v>1442</v>
      </c>
      <c r="C357" t="s">
        <v>1443</v>
      </c>
      <c r="D357" t="s">
        <v>1444</v>
      </c>
      <c r="E357" s="4"/>
      <c r="F357" s="14"/>
    </row>
    <row r="358" spans="1:6" x14ac:dyDescent="0.2">
      <c r="A358" t="s">
        <v>1417</v>
      </c>
      <c r="B358" t="s">
        <v>1445</v>
      </c>
      <c r="C358" t="s">
        <v>1446</v>
      </c>
      <c r="D358" t="s">
        <v>1447</v>
      </c>
      <c r="E358" s="4"/>
      <c r="F358" s="14"/>
    </row>
    <row r="359" spans="1:6" x14ac:dyDescent="0.2">
      <c r="A359" t="s">
        <v>1417</v>
      </c>
      <c r="B359" t="s">
        <v>1448</v>
      </c>
      <c r="C359" t="s">
        <v>1449</v>
      </c>
      <c r="D359" t="s">
        <v>1450</v>
      </c>
      <c r="E359" s="4"/>
      <c r="F359" s="14"/>
    </row>
    <row r="360" spans="1:6" x14ac:dyDescent="0.2">
      <c r="A360" t="s">
        <v>1417</v>
      </c>
      <c r="B360" t="s">
        <v>1451</v>
      </c>
      <c r="C360" t="s">
        <v>1303</v>
      </c>
      <c r="D360" t="s">
        <v>1304</v>
      </c>
      <c r="E360" s="4"/>
      <c r="F360" s="14"/>
    </row>
    <row r="361" spans="1:6" x14ac:dyDescent="0.2">
      <c r="A361" t="s">
        <v>1417</v>
      </c>
      <c r="B361" t="s">
        <v>1452</v>
      </c>
      <c r="C361" t="s">
        <v>894</v>
      </c>
      <c r="D361" t="s">
        <v>895</v>
      </c>
      <c r="E361" s="4"/>
      <c r="F361" s="14"/>
    </row>
    <row r="362" spans="1:6" ht="14.25" customHeight="1" x14ac:dyDescent="0.2">
      <c r="A362" t="s">
        <v>1417</v>
      </c>
      <c r="B362" t="s">
        <v>1453</v>
      </c>
      <c r="C362" t="s">
        <v>896</v>
      </c>
      <c r="D362" t="s">
        <v>897</v>
      </c>
      <c r="E362" s="4"/>
      <c r="F362" s="14"/>
    </row>
    <row r="363" spans="1:6" ht="14.25" customHeight="1" x14ac:dyDescent="0.2">
      <c r="E363" s="4"/>
      <c r="F363" s="14"/>
    </row>
    <row r="364" spans="1:6" s="14" customFormat="1" ht="14.25" customHeight="1" x14ac:dyDescent="0.2">
      <c r="A364" s="13" t="s">
        <v>1454</v>
      </c>
      <c r="B364" s="13" t="s">
        <v>1455</v>
      </c>
      <c r="C364" s="13" t="s">
        <v>1456</v>
      </c>
      <c r="D364" s="13" t="s">
        <v>1457</v>
      </c>
      <c r="E364" s="16"/>
    </row>
    <row r="365" spans="1:6" s="14" customFormat="1" ht="14.25" customHeight="1" x14ac:dyDescent="0.2">
      <c r="A365" s="13" t="s">
        <v>1454</v>
      </c>
      <c r="B365" s="13" t="s">
        <v>1458</v>
      </c>
      <c r="C365" s="13" t="s">
        <v>1459</v>
      </c>
      <c r="D365" s="13" t="s">
        <v>1460</v>
      </c>
      <c r="E365" s="16"/>
    </row>
    <row r="366" spans="1:6" s="14" customFormat="1" ht="14.25" customHeight="1" x14ac:dyDescent="0.2">
      <c r="A366" s="13" t="s">
        <v>1454</v>
      </c>
      <c r="B366" s="13" t="s">
        <v>1461</v>
      </c>
      <c r="C366" s="13" t="s">
        <v>1462</v>
      </c>
      <c r="D366" s="13" t="s">
        <v>1463</v>
      </c>
      <c r="E366" s="16"/>
    </row>
    <row r="367" spans="1:6" s="14" customFormat="1" ht="14.25" customHeight="1" x14ac:dyDescent="0.2">
      <c r="A367" s="13" t="s">
        <v>1454</v>
      </c>
      <c r="B367" s="13" t="s">
        <v>1464</v>
      </c>
      <c r="C367" s="13" t="s">
        <v>1465</v>
      </c>
      <c r="D367" s="13" t="s">
        <v>1466</v>
      </c>
      <c r="E367" s="16"/>
    </row>
    <row r="368" spans="1:6" s="14" customFormat="1" ht="14.25" customHeight="1" x14ac:dyDescent="0.2">
      <c r="A368" s="13" t="s">
        <v>1454</v>
      </c>
      <c r="B368" s="13" t="s">
        <v>1467</v>
      </c>
      <c r="C368" s="13" t="s">
        <v>1468</v>
      </c>
      <c r="D368" s="13" t="s">
        <v>1469</v>
      </c>
      <c r="E368" s="16"/>
    </row>
    <row r="369" spans="1:6" s="14" customFormat="1" ht="14.25" customHeight="1" x14ac:dyDescent="0.2">
      <c r="A369" s="13" t="s">
        <v>1454</v>
      </c>
      <c r="B369" s="13" t="s">
        <v>1009</v>
      </c>
      <c r="C369" s="13" t="s">
        <v>1470</v>
      </c>
      <c r="D369" s="13" t="s">
        <v>1304</v>
      </c>
      <c r="E369" s="16"/>
    </row>
    <row r="370" spans="1:6" s="14" customFormat="1" ht="14.25" customHeight="1" x14ac:dyDescent="0.2">
      <c r="A370" s="13" t="s">
        <v>1454</v>
      </c>
      <c r="B370" s="13" t="s">
        <v>1015</v>
      </c>
      <c r="C370" s="13" t="s">
        <v>894</v>
      </c>
      <c r="D370" s="13" t="s">
        <v>895</v>
      </c>
      <c r="E370" s="16"/>
    </row>
    <row r="371" spans="1:6" s="14" customFormat="1" ht="14.25" customHeight="1" x14ac:dyDescent="0.2">
      <c r="A371" s="13" t="s">
        <v>1454</v>
      </c>
      <c r="B371" s="13" t="s">
        <v>1016</v>
      </c>
      <c r="C371" s="13" t="s">
        <v>896</v>
      </c>
      <c r="D371" s="13" t="s">
        <v>897</v>
      </c>
      <c r="E371" s="16"/>
    </row>
    <row r="372" spans="1:6" ht="14.25" customHeight="1" x14ac:dyDescent="0.2">
      <c r="E372" s="4"/>
    </row>
    <row r="373" spans="1:6" x14ac:dyDescent="0.2">
      <c r="A373" t="s">
        <v>1471</v>
      </c>
      <c r="B373" t="s">
        <v>1472</v>
      </c>
      <c r="C373" t="s">
        <v>1473</v>
      </c>
      <c r="D373" t="s">
        <v>1474</v>
      </c>
      <c r="E373" s="4"/>
      <c r="F373" s="14"/>
    </row>
    <row r="374" spans="1:6" x14ac:dyDescent="0.2">
      <c r="A374" t="s">
        <v>1471</v>
      </c>
      <c r="B374" t="s">
        <v>1475</v>
      </c>
      <c r="C374" t="s">
        <v>1476</v>
      </c>
      <c r="D374" t="s">
        <v>1477</v>
      </c>
      <c r="E374" s="4"/>
      <c r="F374" s="14"/>
    </row>
    <row r="375" spans="1:6" x14ac:dyDescent="0.2">
      <c r="A375" t="s">
        <v>1471</v>
      </c>
      <c r="B375" t="s">
        <v>1478</v>
      </c>
      <c r="C375" t="s">
        <v>1479</v>
      </c>
      <c r="D375" t="s">
        <v>1480</v>
      </c>
      <c r="E375" s="4"/>
      <c r="F375" s="14"/>
    </row>
    <row r="376" spans="1:6" x14ac:dyDescent="0.2">
      <c r="A376" t="s">
        <v>1471</v>
      </c>
      <c r="B376" t="s">
        <v>1481</v>
      </c>
      <c r="C376" t="s">
        <v>1482</v>
      </c>
      <c r="D376" t="s">
        <v>1483</v>
      </c>
      <c r="E376" s="4"/>
      <c r="F376" s="14"/>
    </row>
    <row r="377" spans="1:6" x14ac:dyDescent="0.2">
      <c r="A377" t="s">
        <v>1471</v>
      </c>
      <c r="B377" t="s">
        <v>1484</v>
      </c>
      <c r="C377" t="s">
        <v>1485</v>
      </c>
      <c r="D377" t="s">
        <v>1486</v>
      </c>
      <c r="E377" s="4"/>
      <c r="F377" s="14"/>
    </row>
    <row r="378" spans="1:6" x14ac:dyDescent="0.2">
      <c r="A378" t="s">
        <v>1471</v>
      </c>
      <c r="B378" t="s">
        <v>1487</v>
      </c>
      <c r="C378" t="s">
        <v>1488</v>
      </c>
      <c r="D378" t="s">
        <v>1489</v>
      </c>
      <c r="E378" s="4"/>
      <c r="F378" s="14"/>
    </row>
    <row r="379" spans="1:6" x14ac:dyDescent="0.2">
      <c r="A379" t="s">
        <v>1471</v>
      </c>
      <c r="B379" t="s">
        <v>1490</v>
      </c>
      <c r="C379" t="s">
        <v>1491</v>
      </c>
      <c r="D379" t="s">
        <v>1492</v>
      </c>
      <c r="E379" s="4"/>
      <c r="F379" s="14"/>
    </row>
    <row r="380" spans="1:6" x14ac:dyDescent="0.2">
      <c r="A380" t="s">
        <v>1471</v>
      </c>
      <c r="B380" t="s">
        <v>1493</v>
      </c>
      <c r="C380" t="s">
        <v>1494</v>
      </c>
      <c r="D380" t="s">
        <v>1495</v>
      </c>
      <c r="E380" s="4"/>
      <c r="F380" s="14"/>
    </row>
    <row r="381" spans="1:6" x14ac:dyDescent="0.2">
      <c r="A381" t="s">
        <v>1471</v>
      </c>
      <c r="B381" t="s">
        <v>1363</v>
      </c>
      <c r="C381" t="s">
        <v>1364</v>
      </c>
      <c r="D381" t="s">
        <v>1365</v>
      </c>
      <c r="E381" s="4"/>
      <c r="F381" s="14"/>
    </row>
    <row r="382" spans="1:6" x14ac:dyDescent="0.2">
      <c r="A382" t="s">
        <v>1471</v>
      </c>
      <c r="B382" t="s">
        <v>1345</v>
      </c>
      <c r="C382" t="s">
        <v>1346</v>
      </c>
      <c r="D382" t="s">
        <v>1347</v>
      </c>
      <c r="E382" s="4"/>
      <c r="F382" s="14"/>
    </row>
    <row r="383" spans="1:6" x14ac:dyDescent="0.2">
      <c r="A383" t="s">
        <v>1471</v>
      </c>
      <c r="B383" t="s">
        <v>1009</v>
      </c>
      <c r="C383" t="s">
        <v>1303</v>
      </c>
      <c r="D383" t="s">
        <v>1304</v>
      </c>
      <c r="E383" s="4"/>
    </row>
    <row r="384" spans="1:6" x14ac:dyDescent="0.2">
      <c r="A384" t="s">
        <v>1471</v>
      </c>
      <c r="B384" t="s">
        <v>1015</v>
      </c>
      <c r="C384" t="s">
        <v>894</v>
      </c>
      <c r="D384" t="s">
        <v>895</v>
      </c>
      <c r="E384" s="4"/>
    </row>
    <row r="385" spans="1:5" x14ac:dyDescent="0.2">
      <c r="A385" t="s">
        <v>1471</v>
      </c>
      <c r="B385" t="s">
        <v>1016</v>
      </c>
      <c r="C385" t="s">
        <v>896</v>
      </c>
      <c r="D385" t="s">
        <v>897</v>
      </c>
      <c r="E385" s="4"/>
    </row>
    <row r="386" spans="1:5" x14ac:dyDescent="0.2">
      <c r="E386" s="4"/>
    </row>
    <row r="387" spans="1:5" x14ac:dyDescent="0.2">
      <c r="A387" s="13" t="s">
        <v>1496</v>
      </c>
      <c r="B387" s="13">
        <v>1</v>
      </c>
      <c r="C387" s="13" t="s">
        <v>1401</v>
      </c>
      <c r="D387" s="13" t="s">
        <v>1402</v>
      </c>
      <c r="E387" s="4"/>
    </row>
    <row r="388" spans="1:5" x14ac:dyDescent="0.2">
      <c r="A388" s="13" t="s">
        <v>1496</v>
      </c>
      <c r="B388" s="13">
        <v>2</v>
      </c>
      <c r="C388" s="13" t="s">
        <v>1403</v>
      </c>
      <c r="D388" s="13" t="s">
        <v>1404</v>
      </c>
      <c r="E388" s="4"/>
    </row>
    <row r="389" spans="1:5" x14ac:dyDescent="0.2">
      <c r="A389" s="13" t="s">
        <v>1496</v>
      </c>
      <c r="B389" s="13">
        <v>3</v>
      </c>
      <c r="C389" s="13" t="s">
        <v>1405</v>
      </c>
      <c r="D389" s="13" t="s">
        <v>1406</v>
      </c>
      <c r="E389" s="4"/>
    </row>
    <row r="390" spans="1:5" x14ac:dyDescent="0.2">
      <c r="A390" s="13" t="s">
        <v>1496</v>
      </c>
      <c r="B390" s="13">
        <v>4</v>
      </c>
      <c r="C390" s="13" t="s">
        <v>1407</v>
      </c>
      <c r="D390" s="13" t="s">
        <v>1408</v>
      </c>
      <c r="E390" s="4"/>
    </row>
    <row r="391" spans="1:5" x14ac:dyDescent="0.2">
      <c r="A391" s="13" t="s">
        <v>1496</v>
      </c>
      <c r="B391" s="13">
        <v>5</v>
      </c>
      <c r="C391" s="13" t="s">
        <v>1409</v>
      </c>
      <c r="D391" s="13" t="s">
        <v>1410</v>
      </c>
      <c r="E391" s="4"/>
    </row>
    <row r="392" spans="1:5" x14ac:dyDescent="0.2">
      <c r="A392" s="13" t="s">
        <v>1496</v>
      </c>
      <c r="B392" s="13">
        <v>6</v>
      </c>
      <c r="C392" s="13" t="s">
        <v>1411</v>
      </c>
      <c r="D392" s="13" t="s">
        <v>1412</v>
      </c>
      <c r="E392" s="4"/>
    </row>
    <row r="393" spans="1:5" x14ac:dyDescent="0.2">
      <c r="A393" s="13" t="s">
        <v>1496</v>
      </c>
      <c r="B393" s="13">
        <v>7</v>
      </c>
      <c r="C393" s="13" t="s">
        <v>1413</v>
      </c>
      <c r="D393" s="13" t="s">
        <v>1414</v>
      </c>
      <c r="E393" s="4"/>
    </row>
    <row r="394" spans="1:5" x14ac:dyDescent="0.2">
      <c r="A394" s="13" t="s">
        <v>1496</v>
      </c>
      <c r="B394" s="13">
        <v>8</v>
      </c>
      <c r="C394" s="13" t="s">
        <v>1415</v>
      </c>
      <c r="D394" s="13" t="s">
        <v>1416</v>
      </c>
      <c r="E394" s="4"/>
    </row>
    <row r="395" spans="1:5" x14ac:dyDescent="0.2">
      <c r="A395" s="13" t="s">
        <v>1496</v>
      </c>
      <c r="B395" s="13">
        <v>9</v>
      </c>
      <c r="C395" s="13" t="s">
        <v>1303</v>
      </c>
      <c r="D395" s="13" t="s">
        <v>1304</v>
      </c>
      <c r="E395" s="4"/>
    </row>
    <row r="396" spans="1:5" x14ac:dyDescent="0.2">
      <c r="A396" s="13" t="s">
        <v>1496</v>
      </c>
      <c r="B396" s="13">
        <v>666</v>
      </c>
      <c r="C396" s="13" t="s">
        <v>1497</v>
      </c>
      <c r="D396" s="13" t="s">
        <v>1498</v>
      </c>
      <c r="E396" s="4"/>
    </row>
    <row r="397" spans="1:5" x14ac:dyDescent="0.2">
      <c r="A397" s="13" t="s">
        <v>1496</v>
      </c>
      <c r="B397" s="13">
        <v>10</v>
      </c>
      <c r="C397" s="13" t="s">
        <v>894</v>
      </c>
      <c r="D397" s="13" t="s">
        <v>895</v>
      </c>
      <c r="E397" s="4"/>
    </row>
    <row r="398" spans="1:5" x14ac:dyDescent="0.2">
      <c r="A398" s="13" t="s">
        <v>1496</v>
      </c>
      <c r="B398" s="13">
        <v>11</v>
      </c>
      <c r="C398" s="13" t="s">
        <v>896</v>
      </c>
      <c r="D398" s="13" t="s">
        <v>897</v>
      </c>
      <c r="E398" s="4"/>
    </row>
    <row r="399" spans="1:5" x14ac:dyDescent="0.2">
      <c r="B399" s="10"/>
      <c r="E399" s="4"/>
    </row>
    <row r="400" spans="1:5" x14ac:dyDescent="0.2">
      <c r="A400" t="s">
        <v>1499</v>
      </c>
      <c r="B400">
        <v>1</v>
      </c>
      <c r="C400" t="s">
        <v>1401</v>
      </c>
      <c r="D400" t="s">
        <v>1402</v>
      </c>
      <c r="E400" s="4"/>
    </row>
    <row r="401" spans="1:6" x14ac:dyDescent="0.2">
      <c r="A401" t="s">
        <v>1499</v>
      </c>
      <c r="B401">
        <v>2</v>
      </c>
      <c r="C401" t="s">
        <v>1403</v>
      </c>
      <c r="D401" t="s">
        <v>1404</v>
      </c>
      <c r="E401" s="4"/>
    </row>
    <row r="402" spans="1:6" x14ac:dyDescent="0.2">
      <c r="A402" t="s">
        <v>1499</v>
      </c>
      <c r="B402">
        <v>3</v>
      </c>
      <c r="C402" t="s">
        <v>1405</v>
      </c>
      <c r="D402" t="s">
        <v>1406</v>
      </c>
      <c r="E402" s="4"/>
    </row>
    <row r="403" spans="1:6" x14ac:dyDescent="0.2">
      <c r="A403" t="s">
        <v>1499</v>
      </c>
      <c r="B403">
        <v>4</v>
      </c>
      <c r="C403" s="17" t="s">
        <v>1407</v>
      </c>
      <c r="D403" s="17" t="s">
        <v>1408</v>
      </c>
      <c r="E403" s="4"/>
    </row>
    <row r="404" spans="1:6" x14ac:dyDescent="0.2">
      <c r="A404" t="s">
        <v>1499</v>
      </c>
      <c r="B404">
        <v>5</v>
      </c>
      <c r="C404" t="s">
        <v>1500</v>
      </c>
      <c r="D404" t="s">
        <v>1410</v>
      </c>
      <c r="E404" s="4"/>
    </row>
    <row r="405" spans="1:6" x14ac:dyDescent="0.2">
      <c r="A405" t="s">
        <v>1499</v>
      </c>
      <c r="B405">
        <v>6</v>
      </c>
      <c r="C405" t="s">
        <v>1411</v>
      </c>
      <c r="D405" t="s">
        <v>1412</v>
      </c>
      <c r="E405" s="4"/>
    </row>
    <row r="406" spans="1:6" x14ac:dyDescent="0.2">
      <c r="A406" t="s">
        <v>1499</v>
      </c>
      <c r="B406">
        <v>7</v>
      </c>
      <c r="C406" t="s">
        <v>1501</v>
      </c>
      <c r="D406" t="s">
        <v>1414</v>
      </c>
      <c r="E406" s="4"/>
    </row>
    <row r="407" spans="1:6" x14ac:dyDescent="0.2">
      <c r="A407" t="s">
        <v>1499</v>
      </c>
      <c r="B407">
        <v>8</v>
      </c>
      <c r="C407" t="s">
        <v>1415</v>
      </c>
      <c r="D407" t="s">
        <v>1416</v>
      </c>
      <c r="E407" s="4"/>
    </row>
    <row r="408" spans="1:6" x14ac:dyDescent="0.2">
      <c r="A408" t="s">
        <v>1499</v>
      </c>
      <c r="B408">
        <v>9</v>
      </c>
      <c r="C408" t="s">
        <v>1502</v>
      </c>
      <c r="D408" t="s">
        <v>1503</v>
      </c>
      <c r="E408" s="4"/>
    </row>
    <row r="409" spans="1:6" x14ac:dyDescent="0.2">
      <c r="A409" t="s">
        <v>1499</v>
      </c>
      <c r="B409">
        <v>10</v>
      </c>
      <c r="C409" t="s">
        <v>1504</v>
      </c>
      <c r="D409" t="s">
        <v>1505</v>
      </c>
      <c r="E409" s="4"/>
    </row>
    <row r="410" spans="1:6" x14ac:dyDescent="0.2">
      <c r="A410" t="s">
        <v>1499</v>
      </c>
      <c r="B410">
        <v>11</v>
      </c>
      <c r="C410" t="s">
        <v>1506</v>
      </c>
      <c r="D410" t="s">
        <v>1507</v>
      </c>
      <c r="E410" s="4"/>
    </row>
    <row r="411" spans="1:6" x14ac:dyDescent="0.2">
      <c r="A411" t="s">
        <v>1499</v>
      </c>
      <c r="B411" s="18">
        <v>12</v>
      </c>
      <c r="C411" t="s">
        <v>894</v>
      </c>
      <c r="D411" t="s">
        <v>895</v>
      </c>
      <c r="E411" s="4"/>
    </row>
    <row r="412" spans="1:6" x14ac:dyDescent="0.2">
      <c r="A412" t="s">
        <v>1499</v>
      </c>
      <c r="B412" s="18">
        <v>13</v>
      </c>
      <c r="C412" t="s">
        <v>896</v>
      </c>
      <c r="D412" t="s">
        <v>897</v>
      </c>
      <c r="E412" s="4"/>
    </row>
    <row r="413" spans="1:6" x14ac:dyDescent="0.2">
      <c r="E413" s="4"/>
    </row>
    <row r="414" spans="1:6" ht="16" customHeight="1" x14ac:dyDescent="0.2">
      <c r="A414" t="s">
        <v>1508</v>
      </c>
      <c r="B414" t="s">
        <v>1380</v>
      </c>
      <c r="C414" t="s">
        <v>1381</v>
      </c>
      <c r="D414" t="s">
        <v>1382</v>
      </c>
      <c r="E414" s="4"/>
      <c r="F414" s="14"/>
    </row>
    <row r="415" spans="1:6" ht="16" customHeight="1" x14ac:dyDescent="0.2">
      <c r="A415" t="s">
        <v>1508</v>
      </c>
      <c r="B415" t="s">
        <v>1383</v>
      </c>
      <c r="C415" t="s">
        <v>1509</v>
      </c>
      <c r="D415" t="s">
        <v>1510</v>
      </c>
      <c r="E415" s="4"/>
      <c r="F415" s="14"/>
    </row>
    <row r="416" spans="1:6" ht="16" customHeight="1" x14ac:dyDescent="0.2">
      <c r="A416" t="s">
        <v>1508</v>
      </c>
      <c r="B416" t="s">
        <v>1386</v>
      </c>
      <c r="C416" t="s">
        <v>1511</v>
      </c>
      <c r="D416" t="s">
        <v>1388</v>
      </c>
      <c r="E416" s="4"/>
      <c r="F416" s="14"/>
    </row>
    <row r="417" spans="1:6" ht="16" customHeight="1" x14ac:dyDescent="0.2">
      <c r="A417" t="s">
        <v>1508</v>
      </c>
      <c r="B417" t="s">
        <v>1389</v>
      </c>
      <c r="C417" t="s">
        <v>1390</v>
      </c>
      <c r="D417" t="s">
        <v>1391</v>
      </c>
      <c r="E417" s="4"/>
      <c r="F417" s="14"/>
    </row>
    <row r="418" spans="1:6" ht="16" customHeight="1" x14ac:dyDescent="0.2">
      <c r="A418" t="s">
        <v>1508</v>
      </c>
      <c r="B418" t="s">
        <v>1392</v>
      </c>
      <c r="C418" t="s">
        <v>1393</v>
      </c>
      <c r="D418" t="s">
        <v>1512</v>
      </c>
      <c r="E418" s="4"/>
      <c r="F418" s="14"/>
    </row>
    <row r="419" spans="1:6" ht="16" customHeight="1" x14ac:dyDescent="0.2">
      <c r="A419" t="s">
        <v>1508</v>
      </c>
      <c r="B419" t="s">
        <v>1513</v>
      </c>
      <c r="C419" t="s">
        <v>1514</v>
      </c>
      <c r="D419" t="s">
        <v>1515</v>
      </c>
      <c r="E419" s="4"/>
      <c r="F419" s="14"/>
    </row>
    <row r="420" spans="1:6" ht="16" customHeight="1" x14ac:dyDescent="0.2">
      <c r="A420" t="s">
        <v>1508</v>
      </c>
      <c r="B420" t="s">
        <v>1395</v>
      </c>
      <c r="C420" t="s">
        <v>1516</v>
      </c>
      <c r="D420" t="s">
        <v>1517</v>
      </c>
      <c r="E420" s="4"/>
      <c r="F420" s="14"/>
    </row>
    <row r="421" spans="1:6" ht="16" customHeight="1" x14ac:dyDescent="0.2">
      <c r="A421" t="s">
        <v>1508</v>
      </c>
      <c r="B421" t="s">
        <v>1398</v>
      </c>
      <c r="C421" t="s">
        <v>1399</v>
      </c>
      <c r="D421" t="s">
        <v>1400</v>
      </c>
      <c r="E421" s="4"/>
      <c r="F421" s="14"/>
    </row>
    <row r="422" spans="1:6" ht="16" customHeight="1" x14ac:dyDescent="0.2">
      <c r="A422" t="s">
        <v>1508</v>
      </c>
      <c r="B422" t="s">
        <v>1009</v>
      </c>
      <c r="C422" t="s">
        <v>1303</v>
      </c>
      <c r="D422" t="s">
        <v>1304</v>
      </c>
      <c r="E422" s="4"/>
    </row>
    <row r="423" spans="1:6" ht="16" customHeight="1" x14ac:dyDescent="0.2">
      <c r="A423" t="s">
        <v>1508</v>
      </c>
      <c r="B423" t="s">
        <v>1015</v>
      </c>
      <c r="C423" t="s">
        <v>894</v>
      </c>
      <c r="D423" t="s">
        <v>895</v>
      </c>
      <c r="E423" s="4"/>
    </row>
    <row r="424" spans="1:6" ht="16" customHeight="1" x14ac:dyDescent="0.2">
      <c r="A424" t="s">
        <v>1508</v>
      </c>
      <c r="B424" t="s">
        <v>1016</v>
      </c>
      <c r="C424" t="s">
        <v>896</v>
      </c>
      <c r="D424" t="s">
        <v>897</v>
      </c>
      <c r="E424" s="4"/>
    </row>
    <row r="425" spans="1:6" ht="16" customHeight="1" x14ac:dyDescent="0.2">
      <c r="E425" s="4"/>
    </row>
    <row r="426" spans="1:6" x14ac:dyDescent="0.2">
      <c r="A426" t="s">
        <v>1518</v>
      </c>
      <c r="B426" t="s">
        <v>1519</v>
      </c>
      <c r="C426" t="s">
        <v>1520</v>
      </c>
      <c r="D426" t="s">
        <v>1521</v>
      </c>
      <c r="E426" s="4"/>
      <c r="F426" s="14"/>
    </row>
    <row r="427" spans="1:6" x14ac:dyDescent="0.2">
      <c r="A427" t="s">
        <v>1518</v>
      </c>
      <c r="B427" t="s">
        <v>1522</v>
      </c>
      <c r="C427" t="s">
        <v>1523</v>
      </c>
      <c r="D427" t="s">
        <v>1524</v>
      </c>
      <c r="E427" s="4"/>
      <c r="F427" s="14"/>
    </row>
    <row r="428" spans="1:6" x14ac:dyDescent="0.2">
      <c r="A428" t="s">
        <v>1518</v>
      </c>
      <c r="B428" t="s">
        <v>1525</v>
      </c>
      <c r="C428" t="s">
        <v>1526</v>
      </c>
      <c r="D428" t="s">
        <v>1527</v>
      </c>
      <c r="E428" s="4"/>
      <c r="F428" s="14"/>
    </row>
    <row r="429" spans="1:6" x14ac:dyDescent="0.2">
      <c r="A429" t="s">
        <v>1518</v>
      </c>
      <c r="B429" t="s">
        <v>1528</v>
      </c>
      <c r="C429" t="s">
        <v>1529</v>
      </c>
      <c r="D429" t="s">
        <v>1529</v>
      </c>
      <c r="E429" s="4"/>
      <c r="F429" s="14"/>
    </row>
    <row r="430" spans="1:6" x14ac:dyDescent="0.2">
      <c r="A430" t="s">
        <v>1518</v>
      </c>
      <c r="B430" t="s">
        <v>1015</v>
      </c>
      <c r="C430" t="s">
        <v>894</v>
      </c>
      <c r="D430" t="s">
        <v>895</v>
      </c>
      <c r="E430" s="4"/>
      <c r="F430" s="14"/>
    </row>
    <row r="431" spans="1:6" x14ac:dyDescent="0.2">
      <c r="A431" t="s">
        <v>1518</v>
      </c>
      <c r="B431" t="s">
        <v>1016</v>
      </c>
      <c r="C431" t="s">
        <v>896</v>
      </c>
      <c r="D431" t="s">
        <v>897</v>
      </c>
      <c r="E431" s="4"/>
      <c r="F431" s="14"/>
    </row>
    <row r="432" spans="1:6" x14ac:dyDescent="0.2">
      <c r="E432" s="4"/>
    </row>
    <row r="433" spans="1:6" x14ac:dyDescent="0.2">
      <c r="A433" t="s">
        <v>1530</v>
      </c>
      <c r="B433" t="s">
        <v>1531</v>
      </c>
      <c r="C433" t="s">
        <v>1532</v>
      </c>
      <c r="D433" t="s">
        <v>1533</v>
      </c>
      <c r="E433" s="4"/>
      <c r="F433" s="14"/>
    </row>
    <row r="434" spans="1:6" x14ac:dyDescent="0.2">
      <c r="A434" t="s">
        <v>1530</v>
      </c>
      <c r="B434" t="s">
        <v>1534</v>
      </c>
      <c r="C434" t="s">
        <v>1535</v>
      </c>
      <c r="D434" t="s">
        <v>1536</v>
      </c>
      <c r="E434" s="4"/>
      <c r="F434" s="14"/>
    </row>
    <row r="435" spans="1:6" x14ac:dyDescent="0.2">
      <c r="A435" t="s">
        <v>1530</v>
      </c>
      <c r="B435" t="s">
        <v>1537</v>
      </c>
      <c r="C435" t="s">
        <v>1538</v>
      </c>
      <c r="D435" t="s">
        <v>1539</v>
      </c>
      <c r="E435" s="4"/>
      <c r="F435" s="14"/>
    </row>
    <row r="436" spans="1:6" x14ac:dyDescent="0.2">
      <c r="A436" t="s">
        <v>1530</v>
      </c>
      <c r="B436" t="s">
        <v>1540</v>
      </c>
      <c r="C436" t="s">
        <v>1541</v>
      </c>
      <c r="D436" t="s">
        <v>1542</v>
      </c>
      <c r="E436" s="4"/>
      <c r="F436" s="14"/>
    </row>
    <row r="437" spans="1:6" x14ac:dyDescent="0.2">
      <c r="A437" t="s">
        <v>1530</v>
      </c>
      <c r="B437" t="s">
        <v>1543</v>
      </c>
      <c r="C437" t="s">
        <v>1544</v>
      </c>
      <c r="D437" t="s">
        <v>1545</v>
      </c>
      <c r="E437" s="4"/>
      <c r="F437" s="14"/>
    </row>
    <row r="438" spans="1:6" x14ac:dyDescent="0.2">
      <c r="A438" t="s">
        <v>1530</v>
      </c>
      <c r="B438" t="s">
        <v>1546</v>
      </c>
      <c r="C438" t="s">
        <v>1547</v>
      </c>
      <c r="D438" t="s">
        <v>1548</v>
      </c>
      <c r="E438" s="4"/>
      <c r="F438" s="14"/>
    </row>
    <row r="439" spans="1:6" x14ac:dyDescent="0.2">
      <c r="A439" t="s">
        <v>1530</v>
      </c>
      <c r="B439" s="3" t="s">
        <v>1549</v>
      </c>
      <c r="C439" t="s">
        <v>1550</v>
      </c>
      <c r="D439" t="s">
        <v>1551</v>
      </c>
      <c r="E439" s="4"/>
      <c r="F439" s="14"/>
    </row>
    <row r="440" spans="1:6" x14ac:dyDescent="0.2">
      <c r="A440" t="s">
        <v>1530</v>
      </c>
      <c r="B440" t="s">
        <v>1552</v>
      </c>
      <c r="C440" t="s">
        <v>1553</v>
      </c>
      <c r="D440" t="s">
        <v>1554</v>
      </c>
      <c r="E440" s="4"/>
      <c r="F440" s="14"/>
    </row>
    <row r="441" spans="1:6" x14ac:dyDescent="0.2">
      <c r="A441" t="s">
        <v>1530</v>
      </c>
      <c r="B441" t="s">
        <v>1009</v>
      </c>
      <c r="C441" t="s">
        <v>1241</v>
      </c>
      <c r="D441" t="s">
        <v>1555</v>
      </c>
      <c r="E441" s="4"/>
    </row>
    <row r="442" spans="1:6" x14ac:dyDescent="0.2">
      <c r="A442" t="s">
        <v>1530</v>
      </c>
      <c r="B442" t="s">
        <v>1015</v>
      </c>
      <c r="C442" t="s">
        <v>894</v>
      </c>
      <c r="D442" t="s">
        <v>895</v>
      </c>
      <c r="E442" s="4"/>
    </row>
    <row r="443" spans="1:6" x14ac:dyDescent="0.2">
      <c r="A443" t="s">
        <v>1530</v>
      </c>
      <c r="B443" t="s">
        <v>1016</v>
      </c>
      <c r="C443" t="s">
        <v>896</v>
      </c>
      <c r="D443" t="s">
        <v>897</v>
      </c>
      <c r="E443" s="4"/>
    </row>
    <row r="444" spans="1:6" x14ac:dyDescent="0.2">
      <c r="E444" s="4"/>
    </row>
    <row r="445" spans="1:6" s="14" customFormat="1" x14ac:dyDescent="0.2">
      <c r="A445" s="13" t="s">
        <v>1556</v>
      </c>
      <c r="B445" s="13" t="s">
        <v>1557</v>
      </c>
      <c r="C445" s="13" t="s">
        <v>1558</v>
      </c>
      <c r="D445" s="13" t="s">
        <v>1559</v>
      </c>
      <c r="E445" s="16"/>
    </row>
    <row r="446" spans="1:6" s="14" customFormat="1" x14ac:dyDescent="0.2">
      <c r="A446" s="13" t="s">
        <v>1556</v>
      </c>
      <c r="B446" s="13" t="s">
        <v>1560</v>
      </c>
      <c r="C446" s="13" t="s">
        <v>1561</v>
      </c>
      <c r="D446" s="13" t="s">
        <v>1562</v>
      </c>
      <c r="E446" s="16"/>
    </row>
    <row r="447" spans="1:6" s="14" customFormat="1" x14ac:dyDescent="0.2">
      <c r="A447" s="13" t="s">
        <v>1556</v>
      </c>
      <c r="B447" s="13" t="s">
        <v>1563</v>
      </c>
      <c r="C447" s="13" t="s">
        <v>1564</v>
      </c>
      <c r="D447" s="13" t="s">
        <v>1565</v>
      </c>
      <c r="E447" s="16"/>
    </row>
    <row r="448" spans="1:6" s="14" customFormat="1" x14ac:dyDescent="0.2">
      <c r="A448" s="13" t="s">
        <v>1556</v>
      </c>
      <c r="B448" s="13" t="s">
        <v>1566</v>
      </c>
      <c r="C448" s="13" t="s">
        <v>1567</v>
      </c>
      <c r="D448" s="13" t="s">
        <v>1568</v>
      </c>
      <c r="E448" s="16"/>
    </row>
    <row r="449" spans="1:6" s="14" customFormat="1" x14ac:dyDescent="0.2">
      <c r="A449" s="13" t="s">
        <v>1556</v>
      </c>
      <c r="B449" s="13" t="s">
        <v>1540</v>
      </c>
      <c r="C449" s="13" t="s">
        <v>1569</v>
      </c>
      <c r="D449" s="13" t="s">
        <v>1570</v>
      </c>
      <c r="E449" s="16"/>
    </row>
    <row r="450" spans="1:6" s="14" customFormat="1" x14ac:dyDescent="0.2">
      <c r="A450" s="13" t="s">
        <v>1556</v>
      </c>
      <c r="B450" s="13" t="s">
        <v>1571</v>
      </c>
      <c r="C450" s="13" t="s">
        <v>1572</v>
      </c>
      <c r="D450" s="13" t="s">
        <v>1573</v>
      </c>
      <c r="E450" s="16"/>
    </row>
    <row r="451" spans="1:6" s="14" customFormat="1" x14ac:dyDescent="0.2">
      <c r="A451" s="13" t="s">
        <v>1556</v>
      </c>
      <c r="B451" s="13" t="s">
        <v>1546</v>
      </c>
      <c r="C451" s="13" t="s">
        <v>1574</v>
      </c>
      <c r="D451" s="13" t="s">
        <v>1575</v>
      </c>
      <c r="E451" s="16"/>
    </row>
    <row r="452" spans="1:6" s="14" customFormat="1" x14ac:dyDescent="0.2">
      <c r="A452" s="13" t="s">
        <v>1556</v>
      </c>
      <c r="B452" s="13" t="s">
        <v>1009</v>
      </c>
      <c r="C452" s="13" t="s">
        <v>1241</v>
      </c>
      <c r="D452" s="13" t="s">
        <v>1242</v>
      </c>
      <c r="E452" s="16"/>
    </row>
    <row r="453" spans="1:6" s="14" customFormat="1" x14ac:dyDescent="0.2">
      <c r="A453" s="13" t="s">
        <v>1556</v>
      </c>
      <c r="B453" s="13" t="s">
        <v>1015</v>
      </c>
      <c r="C453" s="13" t="s">
        <v>894</v>
      </c>
      <c r="D453" s="13" t="s">
        <v>895</v>
      </c>
      <c r="E453" s="16"/>
    </row>
    <row r="454" spans="1:6" s="14" customFormat="1" x14ac:dyDescent="0.2">
      <c r="A454" s="13" t="s">
        <v>1556</v>
      </c>
      <c r="B454" s="13" t="s">
        <v>1016</v>
      </c>
      <c r="C454" s="13" t="s">
        <v>896</v>
      </c>
      <c r="D454" s="13" t="s">
        <v>897</v>
      </c>
      <c r="E454" s="16"/>
    </row>
    <row r="455" spans="1:6" x14ac:dyDescent="0.2">
      <c r="E455" s="4"/>
    </row>
    <row r="456" spans="1:6" x14ac:dyDescent="0.2">
      <c r="A456" t="s">
        <v>1576</v>
      </c>
      <c r="B456">
        <v>1</v>
      </c>
      <c r="C456" t="s">
        <v>1577</v>
      </c>
      <c r="D456" t="s">
        <v>1578</v>
      </c>
      <c r="E456" s="4"/>
    </row>
    <row r="457" spans="1:6" x14ac:dyDescent="0.2">
      <c r="A457" t="s">
        <v>1576</v>
      </c>
      <c r="B457">
        <v>2</v>
      </c>
      <c r="C457" t="s">
        <v>1579</v>
      </c>
      <c r="D457" t="s">
        <v>1580</v>
      </c>
      <c r="E457" s="4"/>
    </row>
    <row r="458" spans="1:6" x14ac:dyDescent="0.2">
      <c r="A458" t="s">
        <v>1576</v>
      </c>
      <c r="B458">
        <v>3</v>
      </c>
      <c r="C458" t="s">
        <v>1581</v>
      </c>
      <c r="D458" t="s">
        <v>1582</v>
      </c>
      <c r="E458" s="4"/>
    </row>
    <row r="459" spans="1:6" x14ac:dyDescent="0.2">
      <c r="A459" t="s">
        <v>1576</v>
      </c>
      <c r="B459">
        <v>4</v>
      </c>
      <c r="C459" t="s">
        <v>1583</v>
      </c>
      <c r="D459" t="s">
        <v>1584</v>
      </c>
      <c r="E459" s="4"/>
    </row>
    <row r="460" spans="1:6" x14ac:dyDescent="0.2">
      <c r="A460" t="s">
        <v>1576</v>
      </c>
      <c r="B460">
        <v>5</v>
      </c>
      <c r="C460" t="s">
        <v>1241</v>
      </c>
      <c r="D460" t="s">
        <v>1242</v>
      </c>
      <c r="E460" s="4"/>
    </row>
    <row r="461" spans="1:6" x14ac:dyDescent="0.2">
      <c r="A461" t="s">
        <v>1576</v>
      </c>
      <c r="B461" s="18">
        <v>6</v>
      </c>
      <c r="C461" t="s">
        <v>894</v>
      </c>
      <c r="D461" t="s">
        <v>895</v>
      </c>
      <c r="E461" s="4"/>
    </row>
    <row r="462" spans="1:6" x14ac:dyDescent="0.2">
      <c r="A462" t="s">
        <v>1576</v>
      </c>
      <c r="B462" s="18">
        <v>7</v>
      </c>
      <c r="C462" t="s">
        <v>896</v>
      </c>
      <c r="D462" t="s">
        <v>897</v>
      </c>
      <c r="E462" s="4"/>
    </row>
    <row r="463" spans="1:6" x14ac:dyDescent="0.2">
      <c r="E463" s="4"/>
    </row>
    <row r="464" spans="1:6" x14ac:dyDescent="0.2">
      <c r="A464" t="s">
        <v>1585</v>
      </c>
      <c r="B464" t="s">
        <v>1380</v>
      </c>
      <c r="C464" t="s">
        <v>1381</v>
      </c>
      <c r="D464" t="s">
        <v>1382</v>
      </c>
      <c r="E464" s="4"/>
      <c r="F464" s="14"/>
    </row>
    <row r="465" spans="1:6" x14ac:dyDescent="0.2">
      <c r="A465" t="s">
        <v>1585</v>
      </c>
      <c r="B465" t="s">
        <v>1383</v>
      </c>
      <c r="C465" t="s">
        <v>1586</v>
      </c>
      <c r="D465" t="s">
        <v>1587</v>
      </c>
      <c r="E465" s="4"/>
      <c r="F465" s="14"/>
    </row>
    <row r="466" spans="1:6" x14ac:dyDescent="0.2">
      <c r="A466" t="s">
        <v>1585</v>
      </c>
      <c r="B466" t="s">
        <v>1386</v>
      </c>
      <c r="C466" t="s">
        <v>1588</v>
      </c>
      <c r="D466" t="s">
        <v>1589</v>
      </c>
      <c r="E466" s="4"/>
      <c r="F466" s="14"/>
    </row>
    <row r="467" spans="1:6" x14ac:dyDescent="0.2">
      <c r="A467" t="s">
        <v>1585</v>
      </c>
      <c r="B467" t="s">
        <v>1389</v>
      </c>
      <c r="C467" t="s">
        <v>1590</v>
      </c>
      <c r="D467" t="s">
        <v>1391</v>
      </c>
      <c r="E467" s="4"/>
      <c r="F467" s="14"/>
    </row>
    <row r="468" spans="1:6" x14ac:dyDescent="0.2">
      <c r="A468" t="s">
        <v>1585</v>
      </c>
      <c r="B468" t="s">
        <v>1591</v>
      </c>
      <c r="C468" t="s">
        <v>1393</v>
      </c>
      <c r="D468" t="s">
        <v>1512</v>
      </c>
      <c r="E468" s="4"/>
      <c r="F468" s="14"/>
    </row>
    <row r="469" spans="1:6" x14ac:dyDescent="0.2">
      <c r="A469" t="s">
        <v>1585</v>
      </c>
      <c r="B469" t="s">
        <v>1395</v>
      </c>
      <c r="C469" t="s">
        <v>1592</v>
      </c>
      <c r="D469" t="s">
        <v>1593</v>
      </c>
      <c r="E469" s="4"/>
      <c r="F469" s="14"/>
    </row>
    <row r="470" spans="1:6" x14ac:dyDescent="0.2">
      <c r="A470" t="s">
        <v>1585</v>
      </c>
      <c r="B470" t="s">
        <v>1398</v>
      </c>
      <c r="C470" t="s">
        <v>1594</v>
      </c>
      <c r="D470" t="s">
        <v>1400</v>
      </c>
      <c r="E470" s="4"/>
      <c r="F470" s="14"/>
    </row>
    <row r="471" spans="1:6" x14ac:dyDescent="0.2">
      <c r="A471" t="s">
        <v>1585</v>
      </c>
      <c r="B471" t="s">
        <v>1009</v>
      </c>
      <c r="C471" t="s">
        <v>1303</v>
      </c>
      <c r="D471" t="s">
        <v>1304</v>
      </c>
      <c r="E471" s="4"/>
    </row>
    <row r="472" spans="1:6" x14ac:dyDescent="0.2">
      <c r="A472" t="s">
        <v>1585</v>
      </c>
      <c r="B472" t="s">
        <v>1015</v>
      </c>
      <c r="C472" t="s">
        <v>894</v>
      </c>
      <c r="D472" t="s">
        <v>895</v>
      </c>
      <c r="E472" s="4"/>
    </row>
    <row r="473" spans="1:6" x14ac:dyDescent="0.2">
      <c r="A473" t="s">
        <v>1585</v>
      </c>
      <c r="B473" t="s">
        <v>1016</v>
      </c>
      <c r="C473" t="s">
        <v>896</v>
      </c>
      <c r="D473" t="s">
        <v>897</v>
      </c>
      <c r="E473" s="4"/>
    </row>
    <row r="474" spans="1:6" x14ac:dyDescent="0.2">
      <c r="E474" s="4"/>
    </row>
    <row r="475" spans="1:6" x14ac:dyDescent="0.2">
      <c r="A475" t="s">
        <v>1595</v>
      </c>
      <c r="B475">
        <v>1</v>
      </c>
      <c r="C475" t="s">
        <v>1596</v>
      </c>
      <c r="D475" t="s">
        <v>1597</v>
      </c>
      <c r="E475" s="4"/>
    </row>
    <row r="476" spans="1:6" x14ac:dyDescent="0.2">
      <c r="A476" t="s">
        <v>1595</v>
      </c>
      <c r="B476">
        <v>2</v>
      </c>
      <c r="C476" t="s">
        <v>1598</v>
      </c>
      <c r="D476" t="s">
        <v>1599</v>
      </c>
      <c r="E476" s="4"/>
    </row>
    <row r="477" spans="1:6" x14ac:dyDescent="0.2">
      <c r="A477" t="s">
        <v>1595</v>
      </c>
      <c r="B477">
        <v>3</v>
      </c>
      <c r="C477" t="s">
        <v>1600</v>
      </c>
      <c r="D477" t="s">
        <v>1601</v>
      </c>
      <c r="E477" s="4"/>
    </row>
    <row r="478" spans="1:6" x14ac:dyDescent="0.2">
      <c r="A478" t="s">
        <v>1595</v>
      </c>
      <c r="B478">
        <v>4</v>
      </c>
      <c r="C478" t="s">
        <v>1602</v>
      </c>
      <c r="D478" t="s">
        <v>895</v>
      </c>
      <c r="E478" s="4"/>
    </row>
    <row r="479" spans="1:6" x14ac:dyDescent="0.2">
      <c r="A479" t="s">
        <v>1595</v>
      </c>
      <c r="B479" s="18">
        <v>5</v>
      </c>
      <c r="C479" t="s">
        <v>896</v>
      </c>
      <c r="D479" t="s">
        <v>897</v>
      </c>
      <c r="E479" s="4"/>
    </row>
    <row r="480" spans="1:6" x14ac:dyDescent="0.2">
      <c r="E480" s="4"/>
    </row>
    <row r="481" spans="1:5" x14ac:dyDescent="0.2">
      <c r="A481" t="s">
        <v>1603</v>
      </c>
      <c r="B481">
        <v>1</v>
      </c>
      <c r="C481" t="s">
        <v>890</v>
      </c>
      <c r="D481" t="s">
        <v>891</v>
      </c>
      <c r="E481" s="4"/>
    </row>
    <row r="482" spans="1:5" x14ac:dyDescent="0.2">
      <c r="A482" t="s">
        <v>1603</v>
      </c>
      <c r="B482">
        <v>2</v>
      </c>
      <c r="C482" t="s">
        <v>1604</v>
      </c>
      <c r="D482" t="s">
        <v>1605</v>
      </c>
      <c r="E482" s="4"/>
    </row>
    <row r="483" spans="1:5" x14ac:dyDescent="0.2">
      <c r="A483" t="s">
        <v>1603</v>
      </c>
      <c r="B483">
        <v>3</v>
      </c>
      <c r="C483" t="s">
        <v>1606</v>
      </c>
      <c r="D483" t="s">
        <v>1607</v>
      </c>
      <c r="E483" s="4"/>
    </row>
    <row r="484" spans="1:5" x14ac:dyDescent="0.2">
      <c r="A484" t="s">
        <v>1603</v>
      </c>
      <c r="B484">
        <v>4</v>
      </c>
      <c r="C484" t="s">
        <v>1608</v>
      </c>
      <c r="D484" t="s">
        <v>1609</v>
      </c>
      <c r="E484" s="4"/>
    </row>
    <row r="485" spans="1:5" x14ac:dyDescent="0.2">
      <c r="A485" t="s">
        <v>1603</v>
      </c>
      <c r="B485" s="18">
        <v>5</v>
      </c>
      <c r="C485" t="s">
        <v>894</v>
      </c>
      <c r="D485" t="s">
        <v>895</v>
      </c>
      <c r="E485" s="4"/>
    </row>
    <row r="486" spans="1:5" x14ac:dyDescent="0.2">
      <c r="A486" t="s">
        <v>1603</v>
      </c>
      <c r="B486" s="18">
        <v>6</v>
      </c>
      <c r="C486" t="s">
        <v>896</v>
      </c>
      <c r="D486" t="s">
        <v>897</v>
      </c>
      <c r="E486" s="4"/>
    </row>
    <row r="487" spans="1:5" x14ac:dyDescent="0.2">
      <c r="E487" s="4"/>
    </row>
    <row r="488" spans="1:5" x14ac:dyDescent="0.2">
      <c r="A488" t="s">
        <v>728</v>
      </c>
      <c r="B488" t="s">
        <v>1610</v>
      </c>
      <c r="C488" t="s">
        <v>1611</v>
      </c>
      <c r="D488" t="s">
        <v>1612</v>
      </c>
      <c r="E488" s="4"/>
    </row>
    <row r="489" spans="1:5" x14ac:dyDescent="0.2">
      <c r="A489" t="s">
        <v>728</v>
      </c>
      <c r="B489" t="s">
        <v>1613</v>
      </c>
      <c r="C489" t="s">
        <v>1614</v>
      </c>
      <c r="D489" t="s">
        <v>1615</v>
      </c>
      <c r="E489" s="4"/>
    </row>
    <row r="490" spans="1:5" x14ac:dyDescent="0.2">
      <c r="A490" t="s">
        <v>728</v>
      </c>
      <c r="B490" t="s">
        <v>1616</v>
      </c>
      <c r="C490" t="s">
        <v>1617</v>
      </c>
      <c r="D490" t="s">
        <v>1618</v>
      </c>
      <c r="E490" s="4"/>
    </row>
    <row r="491" spans="1:5" x14ac:dyDescent="0.2">
      <c r="A491" t="s">
        <v>728</v>
      </c>
      <c r="B491" t="s">
        <v>1619</v>
      </c>
      <c r="C491" t="s">
        <v>1620</v>
      </c>
      <c r="D491" t="s">
        <v>1621</v>
      </c>
      <c r="E491" s="4"/>
    </row>
    <row r="492" spans="1:5" x14ac:dyDescent="0.2">
      <c r="A492" t="s">
        <v>728</v>
      </c>
      <c r="B492" t="s">
        <v>1622</v>
      </c>
      <c r="C492" t="s">
        <v>1623</v>
      </c>
      <c r="D492" t="s">
        <v>1624</v>
      </c>
      <c r="E492" s="4"/>
    </row>
    <row r="493" spans="1:5" x14ac:dyDescent="0.2">
      <c r="A493" t="s">
        <v>728</v>
      </c>
      <c r="B493" t="s">
        <v>1625</v>
      </c>
      <c r="C493" t="s">
        <v>1502</v>
      </c>
      <c r="D493" t="s">
        <v>1503</v>
      </c>
      <c r="E493" s="4"/>
    </row>
    <row r="494" spans="1:5" x14ac:dyDescent="0.2">
      <c r="A494" t="s">
        <v>728</v>
      </c>
      <c r="B494" t="s">
        <v>1626</v>
      </c>
      <c r="C494" t="s">
        <v>1627</v>
      </c>
      <c r="D494" t="s">
        <v>1628</v>
      </c>
      <c r="E494" s="4"/>
    </row>
    <row r="495" spans="1:5" x14ac:dyDescent="0.2">
      <c r="A495" t="s">
        <v>728</v>
      </c>
      <c r="B495" t="s">
        <v>1629</v>
      </c>
      <c r="C495" t="s">
        <v>1630</v>
      </c>
      <c r="D495" t="s">
        <v>1631</v>
      </c>
      <c r="E495" s="4"/>
    </row>
    <row r="496" spans="1:5" x14ac:dyDescent="0.2">
      <c r="A496" t="s">
        <v>728</v>
      </c>
      <c r="B496" t="s">
        <v>1632</v>
      </c>
      <c r="C496" t="s">
        <v>1633</v>
      </c>
      <c r="D496" t="s">
        <v>1634</v>
      </c>
      <c r="E496" s="4"/>
    </row>
    <row r="497" spans="1:6" x14ac:dyDescent="0.2">
      <c r="A497" t="s">
        <v>728</v>
      </c>
      <c r="B497" t="s">
        <v>1635</v>
      </c>
      <c r="C497" t="s">
        <v>1636</v>
      </c>
      <c r="D497" t="s">
        <v>1637</v>
      </c>
      <c r="E497" s="4"/>
    </row>
    <row r="498" spans="1:6" x14ac:dyDescent="0.2">
      <c r="A498" t="s">
        <v>728</v>
      </c>
      <c r="B498" t="s">
        <v>1638</v>
      </c>
      <c r="C498" t="s">
        <v>1639</v>
      </c>
      <c r="D498" t="s">
        <v>1640</v>
      </c>
      <c r="E498" s="4"/>
    </row>
    <row r="499" spans="1:6" x14ac:dyDescent="0.2">
      <c r="A499" t="s">
        <v>728</v>
      </c>
      <c r="B499" t="s">
        <v>1641</v>
      </c>
      <c r="C499" t="s">
        <v>1642</v>
      </c>
      <c r="D499" t="s">
        <v>1643</v>
      </c>
      <c r="E499" s="4"/>
    </row>
    <row r="500" spans="1:6" x14ac:dyDescent="0.2">
      <c r="E500" s="4"/>
    </row>
    <row r="501" spans="1:6" x14ac:dyDescent="0.2">
      <c r="A501" t="s">
        <v>1644</v>
      </c>
      <c r="B501" t="s">
        <v>1645</v>
      </c>
      <c r="C501" t="s">
        <v>1646</v>
      </c>
      <c r="D501" t="s">
        <v>1647</v>
      </c>
      <c r="E501" s="4"/>
      <c r="F501" s="14"/>
    </row>
    <row r="502" spans="1:6" x14ac:dyDescent="0.2">
      <c r="A502" t="s">
        <v>1644</v>
      </c>
      <c r="B502" t="s">
        <v>1648</v>
      </c>
      <c r="C502" t="s">
        <v>1649</v>
      </c>
      <c r="D502" t="s">
        <v>1650</v>
      </c>
      <c r="E502" s="4"/>
      <c r="F502" s="14"/>
    </row>
    <row r="503" spans="1:6" x14ac:dyDescent="0.2">
      <c r="A503" t="s">
        <v>1644</v>
      </c>
      <c r="B503" t="s">
        <v>1651</v>
      </c>
      <c r="C503" t="s">
        <v>1652</v>
      </c>
      <c r="D503" t="s">
        <v>1653</v>
      </c>
      <c r="E503" s="4"/>
      <c r="F503" s="14"/>
    </row>
    <row r="504" spans="1:6" x14ac:dyDescent="0.2">
      <c r="A504" t="s">
        <v>1644</v>
      </c>
      <c r="B504" t="s">
        <v>1654</v>
      </c>
      <c r="C504" t="s">
        <v>1655</v>
      </c>
      <c r="D504" t="s">
        <v>1656</v>
      </c>
      <c r="E504" s="4"/>
      <c r="F504" s="14"/>
    </row>
    <row r="505" spans="1:6" x14ac:dyDescent="0.2">
      <c r="A505" t="s">
        <v>1644</v>
      </c>
      <c r="B505" t="s">
        <v>1657</v>
      </c>
      <c r="C505" t="s">
        <v>1658</v>
      </c>
      <c r="D505" t="s">
        <v>1659</v>
      </c>
      <c r="E505" s="4"/>
      <c r="F505" s="14"/>
    </row>
    <row r="506" spans="1:6" x14ac:dyDescent="0.2">
      <c r="A506" t="s">
        <v>1644</v>
      </c>
      <c r="B506" t="s">
        <v>1660</v>
      </c>
      <c r="C506" t="s">
        <v>1661</v>
      </c>
      <c r="D506" t="s">
        <v>1662</v>
      </c>
      <c r="E506" s="4"/>
      <c r="F506" s="14"/>
    </row>
    <row r="507" spans="1:6" x14ac:dyDescent="0.2">
      <c r="A507" t="s">
        <v>1644</v>
      </c>
      <c r="B507" t="s">
        <v>509</v>
      </c>
      <c r="C507" t="s">
        <v>1663</v>
      </c>
      <c r="D507" t="s">
        <v>1664</v>
      </c>
      <c r="E507" s="4"/>
      <c r="F507" s="14"/>
    </row>
    <row r="508" spans="1:6" x14ac:dyDescent="0.2">
      <c r="A508" t="s">
        <v>1644</v>
      </c>
      <c r="B508" t="s">
        <v>1665</v>
      </c>
      <c r="C508" t="s">
        <v>1666</v>
      </c>
      <c r="D508" t="s">
        <v>1667</v>
      </c>
      <c r="E508" s="4"/>
      <c r="F508" s="14"/>
    </row>
    <row r="509" spans="1:6" x14ac:dyDescent="0.2">
      <c r="A509" t="s">
        <v>1644</v>
      </c>
      <c r="B509" t="s">
        <v>1668</v>
      </c>
      <c r="C509" t="s">
        <v>1669</v>
      </c>
      <c r="D509" t="s">
        <v>1670</v>
      </c>
      <c r="E509" s="4"/>
      <c r="F509" s="14"/>
    </row>
    <row r="510" spans="1:6" x14ac:dyDescent="0.2">
      <c r="A510" t="s">
        <v>1644</v>
      </c>
      <c r="B510" t="s">
        <v>1671</v>
      </c>
      <c r="C510" t="s">
        <v>1672</v>
      </c>
      <c r="D510" t="s">
        <v>1673</v>
      </c>
      <c r="E510" s="4"/>
      <c r="F510" s="14"/>
    </row>
    <row r="511" spans="1:6" x14ac:dyDescent="0.2">
      <c r="A511" t="s">
        <v>1644</v>
      </c>
      <c r="B511" t="s">
        <v>1674</v>
      </c>
      <c r="C511" t="s">
        <v>1675</v>
      </c>
      <c r="D511" t="s">
        <v>1676</v>
      </c>
      <c r="E511" s="4"/>
      <c r="F511" s="14"/>
    </row>
    <row r="512" spans="1:6" x14ac:dyDescent="0.2">
      <c r="A512" t="s">
        <v>1644</v>
      </c>
      <c r="B512" t="s">
        <v>1677</v>
      </c>
      <c r="C512" t="s">
        <v>1678</v>
      </c>
      <c r="D512" t="s">
        <v>1679</v>
      </c>
      <c r="E512" s="4"/>
      <c r="F512" s="14"/>
    </row>
    <row r="513" spans="1:6" x14ac:dyDescent="0.2">
      <c r="A513" t="s">
        <v>1644</v>
      </c>
      <c r="B513" t="s">
        <v>1680</v>
      </c>
      <c r="C513" t="s">
        <v>1681</v>
      </c>
      <c r="D513" t="s">
        <v>1682</v>
      </c>
      <c r="E513" s="4"/>
      <c r="F513" s="14"/>
    </row>
    <row r="514" spans="1:6" x14ac:dyDescent="0.2">
      <c r="A514" t="s">
        <v>1644</v>
      </c>
      <c r="B514" t="s">
        <v>1683</v>
      </c>
      <c r="C514" t="s">
        <v>1684</v>
      </c>
      <c r="D514" t="s">
        <v>1685</v>
      </c>
      <c r="E514" s="4"/>
      <c r="F514" s="14"/>
    </row>
    <row r="515" spans="1:6" x14ac:dyDescent="0.2">
      <c r="A515" t="s">
        <v>1644</v>
      </c>
      <c r="B515" t="s">
        <v>1686</v>
      </c>
      <c r="C515" t="s">
        <v>1687</v>
      </c>
      <c r="D515" t="s">
        <v>1688</v>
      </c>
      <c r="E515" s="4"/>
      <c r="F515" s="14"/>
    </row>
    <row r="516" spans="1:6" x14ac:dyDescent="0.2">
      <c r="A516" t="s">
        <v>1644</v>
      </c>
      <c r="B516" t="s">
        <v>1689</v>
      </c>
      <c r="C516" t="s">
        <v>1690</v>
      </c>
      <c r="D516" t="s">
        <v>1691</v>
      </c>
      <c r="E516" s="4"/>
      <c r="F516" s="14"/>
    </row>
    <row r="517" spans="1:6" x14ac:dyDescent="0.2">
      <c r="A517" t="s">
        <v>1644</v>
      </c>
      <c r="B517" t="s">
        <v>1009</v>
      </c>
      <c r="C517" t="s">
        <v>1241</v>
      </c>
      <c r="D517" t="s">
        <v>1242</v>
      </c>
      <c r="E517" s="4"/>
    </row>
    <row r="518" spans="1:6" x14ac:dyDescent="0.2">
      <c r="A518" t="s">
        <v>1644</v>
      </c>
      <c r="B518" t="s">
        <v>1015</v>
      </c>
      <c r="C518" t="s">
        <v>894</v>
      </c>
      <c r="D518" t="s">
        <v>895</v>
      </c>
      <c r="E518" s="4"/>
    </row>
    <row r="519" spans="1:6" x14ac:dyDescent="0.2">
      <c r="A519" t="s">
        <v>1644</v>
      </c>
      <c r="B519" t="s">
        <v>1016</v>
      </c>
      <c r="C519" t="s">
        <v>896</v>
      </c>
      <c r="D519" t="s">
        <v>897</v>
      </c>
      <c r="E519" s="4"/>
    </row>
    <row r="520" spans="1:6" x14ac:dyDescent="0.2">
      <c r="E520" s="4"/>
    </row>
    <row r="521" spans="1:6" x14ac:dyDescent="0.2">
      <c r="A521" t="s">
        <v>1692</v>
      </c>
      <c r="B521" s="3" t="s">
        <v>1645</v>
      </c>
      <c r="C521" s="3" t="s">
        <v>1646</v>
      </c>
      <c r="D521" t="s">
        <v>1647</v>
      </c>
      <c r="E521" s="4"/>
      <c r="F521" s="14"/>
    </row>
    <row r="522" spans="1:6" x14ac:dyDescent="0.2">
      <c r="A522" t="s">
        <v>1692</v>
      </c>
      <c r="B522" s="3" t="s">
        <v>1648</v>
      </c>
      <c r="C522" s="3" t="s">
        <v>1693</v>
      </c>
      <c r="D522" t="s">
        <v>1694</v>
      </c>
      <c r="E522" s="4"/>
      <c r="F522" s="14"/>
    </row>
    <row r="523" spans="1:6" x14ac:dyDescent="0.2">
      <c r="A523" t="s">
        <v>1692</v>
      </c>
      <c r="B523" s="3" t="s">
        <v>1651</v>
      </c>
      <c r="C523" s="3" t="s">
        <v>1695</v>
      </c>
      <c r="D523" t="s">
        <v>1696</v>
      </c>
      <c r="E523" s="4"/>
      <c r="F523" s="14"/>
    </row>
    <row r="524" spans="1:6" x14ac:dyDescent="0.2">
      <c r="A524" t="s">
        <v>1692</v>
      </c>
      <c r="B524" t="s">
        <v>1697</v>
      </c>
      <c r="C524" t="s">
        <v>1698</v>
      </c>
      <c r="D524" t="s">
        <v>1699</v>
      </c>
      <c r="E524" s="4"/>
      <c r="F524" s="14"/>
    </row>
    <row r="525" spans="1:6" x14ac:dyDescent="0.2">
      <c r="A525" t="s">
        <v>1692</v>
      </c>
      <c r="B525" t="s">
        <v>1700</v>
      </c>
      <c r="C525" t="s">
        <v>1701</v>
      </c>
      <c r="D525" t="s">
        <v>1702</v>
      </c>
      <c r="E525" s="4"/>
      <c r="F525" s="14"/>
    </row>
    <row r="526" spans="1:6" x14ac:dyDescent="0.2">
      <c r="A526" t="s">
        <v>1692</v>
      </c>
      <c r="B526" t="s">
        <v>1703</v>
      </c>
      <c r="C526" t="s">
        <v>1704</v>
      </c>
      <c r="D526" t="s">
        <v>1705</v>
      </c>
      <c r="E526" s="4"/>
      <c r="F526" s="14"/>
    </row>
    <row r="527" spans="1:6" x14ac:dyDescent="0.2">
      <c r="A527" t="s">
        <v>1692</v>
      </c>
      <c r="B527" t="s">
        <v>1706</v>
      </c>
      <c r="C527" t="s">
        <v>1684</v>
      </c>
      <c r="D527" t="s">
        <v>1685</v>
      </c>
      <c r="E527" s="4"/>
      <c r="F527" s="14"/>
    </row>
    <row r="528" spans="1:6" x14ac:dyDescent="0.2">
      <c r="A528" t="s">
        <v>1692</v>
      </c>
      <c r="B528" t="s">
        <v>1707</v>
      </c>
      <c r="C528" t="s">
        <v>1690</v>
      </c>
      <c r="D528" t="s">
        <v>1708</v>
      </c>
      <c r="E528" s="4"/>
      <c r="F528" s="14"/>
    </row>
    <row r="529" spans="1:6" x14ac:dyDescent="0.2">
      <c r="A529" t="s">
        <v>1692</v>
      </c>
      <c r="B529" t="s">
        <v>1009</v>
      </c>
      <c r="C529" t="s">
        <v>1241</v>
      </c>
      <c r="D529" t="s">
        <v>1242</v>
      </c>
      <c r="E529" s="4"/>
      <c r="F529" s="14"/>
    </row>
    <row r="530" spans="1:6" x14ac:dyDescent="0.2">
      <c r="A530" t="s">
        <v>1692</v>
      </c>
      <c r="B530" t="s">
        <v>1012</v>
      </c>
      <c r="C530" t="s">
        <v>1709</v>
      </c>
      <c r="D530" t="s">
        <v>1710</v>
      </c>
      <c r="E530" s="4"/>
      <c r="F530" s="14"/>
    </row>
    <row r="531" spans="1:6" x14ac:dyDescent="0.2">
      <c r="A531" t="s">
        <v>1692</v>
      </c>
      <c r="B531" t="s">
        <v>1015</v>
      </c>
      <c r="C531" t="s">
        <v>1602</v>
      </c>
      <c r="D531" t="s">
        <v>895</v>
      </c>
      <c r="E531" s="4"/>
    </row>
    <row r="532" spans="1:6" x14ac:dyDescent="0.2">
      <c r="A532" t="s">
        <v>1692</v>
      </c>
      <c r="B532" t="s">
        <v>1016</v>
      </c>
      <c r="C532" t="s">
        <v>896</v>
      </c>
      <c r="D532" t="s">
        <v>897</v>
      </c>
      <c r="E532" s="4"/>
    </row>
    <row r="533" spans="1:6" x14ac:dyDescent="0.2">
      <c r="A533"/>
      <c r="B533"/>
      <c r="C533"/>
      <c r="E533" s="4"/>
    </row>
    <row r="534" spans="1:6" x14ac:dyDescent="0.2">
      <c r="A534" s="3" t="s">
        <v>1711</v>
      </c>
      <c r="B534" s="3">
        <v>1</v>
      </c>
      <c r="C534" s="3" t="s">
        <v>890</v>
      </c>
      <c r="D534" s="3" t="s">
        <v>891</v>
      </c>
      <c r="E534" s="4"/>
      <c r="F534" s="14"/>
    </row>
    <row r="535" spans="1:6" x14ac:dyDescent="0.2">
      <c r="A535" s="3" t="s">
        <v>1711</v>
      </c>
      <c r="B535" s="3">
        <v>2</v>
      </c>
      <c r="C535" s="3" t="s">
        <v>1712</v>
      </c>
      <c r="D535" s="3" t="s">
        <v>1713</v>
      </c>
      <c r="E535" s="4"/>
      <c r="F535" s="14"/>
    </row>
    <row r="536" spans="1:6" x14ac:dyDescent="0.2">
      <c r="A536" s="3" t="s">
        <v>1711</v>
      </c>
      <c r="B536" s="3">
        <v>3</v>
      </c>
      <c r="C536" s="3" t="s">
        <v>1714</v>
      </c>
      <c r="D536" s="3" t="s">
        <v>1715</v>
      </c>
      <c r="E536" s="4"/>
      <c r="F536" s="14"/>
    </row>
    <row r="537" spans="1:6" x14ac:dyDescent="0.2">
      <c r="A537" s="3" t="s">
        <v>1711</v>
      </c>
      <c r="B537" s="3">
        <v>4</v>
      </c>
      <c r="C537" s="3" t="s">
        <v>1716</v>
      </c>
      <c r="D537" s="3" t="s">
        <v>1717</v>
      </c>
      <c r="E537" s="4"/>
      <c r="F537" s="14"/>
    </row>
    <row r="538" spans="1:6" x14ac:dyDescent="0.2">
      <c r="A538" s="3" t="s">
        <v>1711</v>
      </c>
      <c r="B538" s="3">
        <v>5</v>
      </c>
      <c r="C538" s="3" t="s">
        <v>1718</v>
      </c>
      <c r="D538" s="3" t="s">
        <v>1719</v>
      </c>
      <c r="E538" s="4"/>
      <c r="F538" s="14"/>
    </row>
    <row r="539" spans="1:6" x14ac:dyDescent="0.2">
      <c r="A539" s="3" t="s">
        <v>1711</v>
      </c>
      <c r="B539" s="3">
        <v>6</v>
      </c>
      <c r="C539" s="3" t="s">
        <v>1720</v>
      </c>
      <c r="D539" s="3" t="s">
        <v>1721</v>
      </c>
      <c r="E539" s="4"/>
      <c r="F539" s="14"/>
    </row>
    <row r="540" spans="1:6" x14ac:dyDescent="0.2">
      <c r="A540" s="3" t="s">
        <v>1711</v>
      </c>
      <c r="B540" s="3">
        <v>7</v>
      </c>
      <c r="C540" s="3" t="s">
        <v>894</v>
      </c>
      <c r="D540" t="s">
        <v>895</v>
      </c>
      <c r="E540" s="4"/>
      <c r="F540" s="14"/>
    </row>
    <row r="541" spans="1:6" x14ac:dyDescent="0.2">
      <c r="A541" s="3" t="s">
        <v>1711</v>
      </c>
      <c r="B541" s="3">
        <v>8</v>
      </c>
      <c r="C541" s="3" t="s">
        <v>896</v>
      </c>
      <c r="D541" t="s">
        <v>897</v>
      </c>
      <c r="E541" s="4"/>
      <c r="F541" s="14"/>
    </row>
    <row r="542" spans="1:6" x14ac:dyDescent="0.2">
      <c r="E542" s="4"/>
      <c r="F542" s="14"/>
    </row>
    <row r="543" spans="1:6" x14ac:dyDescent="0.2">
      <c r="A543" s="3" t="s">
        <v>1722</v>
      </c>
      <c r="B543" s="3" t="s">
        <v>1723</v>
      </c>
      <c r="C543" s="3" t="s">
        <v>1724</v>
      </c>
      <c r="D543" s="3" t="s">
        <v>1724</v>
      </c>
      <c r="E543" s="4"/>
      <c r="F543" s="14"/>
    </row>
    <row r="544" spans="1:6" x14ac:dyDescent="0.2">
      <c r="A544" s="3" t="s">
        <v>1722</v>
      </c>
      <c r="B544" s="3" t="s">
        <v>1725</v>
      </c>
      <c r="C544" s="3" t="s">
        <v>1726</v>
      </c>
      <c r="D544" s="3" t="s">
        <v>1727</v>
      </c>
      <c r="E544" s="4"/>
      <c r="F544" s="14"/>
    </row>
    <row r="545" spans="1:6" x14ac:dyDescent="0.2">
      <c r="A545" s="3" t="s">
        <v>1722</v>
      </c>
      <c r="B545" s="3" t="s">
        <v>1728</v>
      </c>
      <c r="C545" s="3" t="s">
        <v>1729</v>
      </c>
      <c r="D545" s="3" t="s">
        <v>1730</v>
      </c>
      <c r="E545" s="4"/>
      <c r="F545" s="14"/>
    </row>
    <row r="546" spans="1:6" x14ac:dyDescent="0.2">
      <c r="A546" s="3" t="s">
        <v>1722</v>
      </c>
      <c r="B546" s="3" t="s">
        <v>1297</v>
      </c>
      <c r="C546" s="3" t="s">
        <v>1731</v>
      </c>
      <c r="D546" s="3" t="s">
        <v>1732</v>
      </c>
      <c r="E546" s="4"/>
      <c r="F546" s="14"/>
    </row>
    <row r="547" spans="1:6" x14ac:dyDescent="0.2">
      <c r="A547" s="3" t="s">
        <v>1722</v>
      </c>
      <c r="B547" s="3" t="s">
        <v>1291</v>
      </c>
      <c r="C547" s="3" t="s">
        <v>1733</v>
      </c>
      <c r="D547" s="3" t="s">
        <v>1734</v>
      </c>
      <c r="E547" s="4"/>
      <c r="F547" s="14"/>
    </row>
    <row r="548" spans="1:6" x14ac:dyDescent="0.2">
      <c r="A548" s="3" t="s">
        <v>1722</v>
      </c>
      <c r="B548" s="3" t="s">
        <v>1015</v>
      </c>
      <c r="C548" s="3" t="s">
        <v>894</v>
      </c>
      <c r="D548" t="s">
        <v>895</v>
      </c>
      <c r="E548" s="4"/>
      <c r="F548" s="14"/>
    </row>
    <row r="549" spans="1:6" x14ac:dyDescent="0.2">
      <c r="A549" s="3" t="s">
        <v>1722</v>
      </c>
      <c r="B549" s="3" t="s">
        <v>1016</v>
      </c>
      <c r="C549" s="3" t="s">
        <v>896</v>
      </c>
      <c r="D549" t="s">
        <v>897</v>
      </c>
      <c r="E549" s="4"/>
    </row>
    <row r="550" spans="1:6" x14ac:dyDescent="0.2">
      <c r="E550" s="4"/>
    </row>
    <row r="551" spans="1:6" x14ac:dyDescent="0.2">
      <c r="A551" t="s">
        <v>1735</v>
      </c>
      <c r="B551" t="s">
        <v>1736</v>
      </c>
      <c r="C551" t="s">
        <v>1737</v>
      </c>
      <c r="D551" t="s">
        <v>1738</v>
      </c>
      <c r="E551" s="4"/>
    </row>
    <row r="552" spans="1:6" x14ac:dyDescent="0.2">
      <c r="A552" t="s">
        <v>1735</v>
      </c>
      <c r="B552" t="s">
        <v>1739</v>
      </c>
      <c r="C552" t="s">
        <v>1740</v>
      </c>
      <c r="D552" t="s">
        <v>1741</v>
      </c>
      <c r="E552" s="4"/>
    </row>
    <row r="553" spans="1:6" x14ac:dyDescent="0.2">
      <c r="A553" t="s">
        <v>1735</v>
      </c>
      <c r="B553" t="s">
        <v>1742</v>
      </c>
      <c r="C553" t="s">
        <v>1743</v>
      </c>
      <c r="D553" t="s">
        <v>1744</v>
      </c>
      <c r="E553" s="4"/>
    </row>
    <row r="554" spans="1:6" x14ac:dyDescent="0.2">
      <c r="A554" t="s">
        <v>1735</v>
      </c>
      <c r="B554" t="s">
        <v>1745</v>
      </c>
      <c r="C554" t="s">
        <v>1746</v>
      </c>
      <c r="D554" t="s">
        <v>1747</v>
      </c>
      <c r="E554" s="4"/>
    </row>
    <row r="555" spans="1:6" x14ac:dyDescent="0.2">
      <c r="A555" t="s">
        <v>1735</v>
      </c>
      <c r="B555" t="s">
        <v>1748</v>
      </c>
      <c r="C555" t="s">
        <v>1749</v>
      </c>
      <c r="D555" t="s">
        <v>1750</v>
      </c>
      <c r="E555" s="4"/>
    </row>
    <row r="556" spans="1:6" x14ac:dyDescent="0.2">
      <c r="A556" t="s">
        <v>1735</v>
      </c>
      <c r="B556" t="s">
        <v>1751</v>
      </c>
      <c r="C556" t="s">
        <v>1752</v>
      </c>
      <c r="D556" t="s">
        <v>1753</v>
      </c>
      <c r="E556" s="4"/>
    </row>
    <row r="557" spans="1:6" x14ac:dyDescent="0.2">
      <c r="A557" t="s">
        <v>1735</v>
      </c>
      <c r="B557" t="s">
        <v>1754</v>
      </c>
      <c r="C557" t="s">
        <v>1755</v>
      </c>
      <c r="D557" t="s">
        <v>1756</v>
      </c>
      <c r="E557" s="4"/>
    </row>
    <row r="558" spans="1:6" x14ac:dyDescent="0.2">
      <c r="E558" s="4"/>
    </row>
    <row r="559" spans="1:6" x14ac:dyDescent="0.2">
      <c r="A559" t="s">
        <v>855</v>
      </c>
      <c r="B559" t="s">
        <v>1757</v>
      </c>
      <c r="C559" t="s">
        <v>1758</v>
      </c>
      <c r="D559" t="s">
        <v>1759</v>
      </c>
      <c r="E559" s="4"/>
    </row>
    <row r="560" spans="1:6" x14ac:dyDescent="0.2">
      <c r="A560" t="s">
        <v>855</v>
      </c>
      <c r="B560" t="s">
        <v>1760</v>
      </c>
      <c r="C560" t="s">
        <v>1761</v>
      </c>
      <c r="D560" t="s">
        <v>1762</v>
      </c>
      <c r="E560" s="4"/>
    </row>
    <row r="561" spans="1:6" x14ac:dyDescent="0.2">
      <c r="A561" t="s">
        <v>855</v>
      </c>
      <c r="B561" t="s">
        <v>1763</v>
      </c>
      <c r="C561" t="s">
        <v>1764</v>
      </c>
      <c r="D561" t="s">
        <v>1765</v>
      </c>
      <c r="E561" s="4"/>
    </row>
    <row r="562" spans="1:6" x14ac:dyDescent="0.2">
      <c r="E562" s="4"/>
    </row>
    <row r="563" spans="1:6" x14ac:dyDescent="0.2">
      <c r="D563" s="11"/>
    </row>
    <row r="564" spans="1:6" x14ac:dyDescent="0.2">
      <c r="A564" s="11"/>
      <c r="B564" s="11"/>
      <c r="C564" s="11"/>
      <c r="E564" s="7"/>
      <c r="F564" s="11"/>
    </row>
  </sheetData>
  <sheetProtection algorithmName="SHA-512" hashValue="Apf+PN95iTDP7Kb8VHEcgTa/7JM7DT0hcB7zjHdvEHUJMeQkeLHoUHH2tJcAAkFtDDgjhbvKaVk/6gKIb24vXw==" saltValue="tRPkVOgTgfyY8x79Kem3bg==" spinCount="100000" sheet="1" formatCells="0" formatColumns="0" formatRows="0" insertColumns="0" insertRows="0" deleteColumns="0" deleteRows="0"/>
  <phoneticPr fontId="4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3" sqref="B3"/>
    </sheetView>
  </sheetViews>
  <sheetFormatPr baseColWidth="10" defaultColWidth="8.83203125" defaultRowHeight="15" x14ac:dyDescent="0.2"/>
  <cols>
    <col min="1" max="4" width="28.1640625" style="3" customWidth="1"/>
    <col min="5" max="16384" width="8.83203125" style="3"/>
  </cols>
  <sheetData>
    <row r="1" spans="1:4" s="2" customFormat="1" x14ac:dyDescent="0.2">
      <c r="A1" s="6" t="s">
        <v>1766</v>
      </c>
      <c r="B1" s="6" t="s">
        <v>1767</v>
      </c>
      <c r="C1" s="6" t="s">
        <v>1768</v>
      </c>
      <c r="D1" s="6" t="s">
        <v>1769</v>
      </c>
    </row>
    <row r="2" spans="1:4" x14ac:dyDescent="0.2">
      <c r="A2" s="3" t="s">
        <v>1770</v>
      </c>
      <c r="B2" s="4" t="s">
        <v>1771</v>
      </c>
      <c r="C2" t="s">
        <v>42</v>
      </c>
      <c r="D2" s="3" t="s">
        <v>1772</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C18" sqref="C18"/>
    </sheetView>
  </sheetViews>
  <sheetFormatPr baseColWidth="10" defaultColWidth="10.83203125" defaultRowHeight="15" x14ac:dyDescent="0.2"/>
  <cols>
    <col min="1" max="2" width="10.83203125" style="141"/>
    <col min="3" max="3" width="15.1640625" style="155" customWidth="1"/>
    <col min="4" max="4" width="10.83203125" style="156"/>
    <col min="5" max="5" width="28.6640625" style="157" customWidth="1"/>
    <col min="6" max="6" width="32" style="157" customWidth="1"/>
    <col min="7" max="16384" width="10.83203125" style="141"/>
  </cols>
  <sheetData>
    <row r="2" spans="2:6" x14ac:dyDescent="0.2">
      <c r="C2" s="142"/>
      <c r="D2" s="143"/>
      <c r="E2" s="144"/>
      <c r="F2" s="144"/>
    </row>
    <row r="3" spans="2:6" ht="32" x14ac:dyDescent="0.2">
      <c r="B3" s="145"/>
      <c r="C3" s="146" t="s">
        <v>1773</v>
      </c>
      <c r="D3" s="147" t="s">
        <v>1774</v>
      </c>
      <c r="E3" s="148" t="s">
        <v>1775</v>
      </c>
      <c r="F3" s="148" t="s">
        <v>1776</v>
      </c>
    </row>
    <row r="4" spans="2:6" ht="16" x14ac:dyDescent="0.2">
      <c r="B4" s="145"/>
      <c r="C4" s="9"/>
      <c r="D4" s="149" t="s">
        <v>1777</v>
      </c>
      <c r="E4" s="150" t="s">
        <v>1778</v>
      </c>
      <c r="F4" s="150" t="s">
        <v>1779</v>
      </c>
    </row>
    <row r="5" spans="2:6" ht="16" x14ac:dyDescent="0.2">
      <c r="B5" s="145"/>
      <c r="C5" s="9"/>
      <c r="D5" s="149" t="s">
        <v>1780</v>
      </c>
      <c r="E5" s="150" t="s">
        <v>1781</v>
      </c>
      <c r="F5" s="150" t="s">
        <v>1782</v>
      </c>
    </row>
    <row r="6" spans="2:6" ht="16" x14ac:dyDescent="0.2">
      <c r="B6" s="145"/>
      <c r="C6" s="9"/>
      <c r="D6" s="149" t="s">
        <v>1783</v>
      </c>
      <c r="E6" s="150" t="s">
        <v>1784</v>
      </c>
      <c r="F6" s="150" t="s">
        <v>1785</v>
      </c>
    </row>
    <row r="7" spans="2:6" ht="16" x14ac:dyDescent="0.2">
      <c r="B7" s="145"/>
      <c r="C7" s="9"/>
      <c r="D7" s="149" t="s">
        <v>1786</v>
      </c>
      <c r="E7" s="150" t="s">
        <v>1787</v>
      </c>
      <c r="F7" s="150" t="s">
        <v>1788</v>
      </c>
    </row>
    <row r="8" spans="2:6" ht="16" x14ac:dyDescent="0.2">
      <c r="B8" s="145"/>
      <c r="C8" s="9"/>
      <c r="D8" s="149" t="s">
        <v>1789</v>
      </c>
      <c r="E8" s="150" t="s">
        <v>1790</v>
      </c>
      <c r="F8" s="150" t="s">
        <v>1791</v>
      </c>
    </row>
    <row r="9" spans="2:6" ht="16" x14ac:dyDescent="0.2">
      <c r="B9" s="145"/>
      <c r="C9" s="9"/>
      <c r="D9" s="149" t="s">
        <v>1792</v>
      </c>
      <c r="E9" s="150" t="s">
        <v>1793</v>
      </c>
      <c r="F9" s="150" t="s">
        <v>1794</v>
      </c>
    </row>
    <row r="10" spans="2:6" ht="16" x14ac:dyDescent="0.2">
      <c r="B10" s="145"/>
      <c r="C10" s="188"/>
      <c r="D10" s="149" t="s">
        <v>1795</v>
      </c>
      <c r="E10" s="151" t="s">
        <v>1796</v>
      </c>
      <c r="F10" s="151" t="s">
        <v>1797</v>
      </c>
    </row>
    <row r="11" spans="2:6" ht="16" x14ac:dyDescent="0.2">
      <c r="B11" s="145"/>
      <c r="C11" s="9"/>
      <c r="D11" s="149" t="s">
        <v>1798</v>
      </c>
      <c r="E11" s="150" t="s">
        <v>1799</v>
      </c>
      <c r="F11" s="150" t="s">
        <v>1800</v>
      </c>
    </row>
    <row r="12" spans="2:6" ht="16" x14ac:dyDescent="0.2">
      <c r="B12" s="145"/>
      <c r="C12" s="9"/>
      <c r="D12" s="149" t="s">
        <v>1801</v>
      </c>
      <c r="E12" s="150" t="s">
        <v>1802</v>
      </c>
      <c r="F12" s="150" t="s">
        <v>1803</v>
      </c>
    </row>
    <row r="13" spans="2:6" ht="16" x14ac:dyDescent="0.2">
      <c r="B13" s="145"/>
      <c r="C13" s="9"/>
      <c r="D13" s="149" t="s">
        <v>1804</v>
      </c>
      <c r="E13" s="150" t="s">
        <v>1805</v>
      </c>
      <c r="F13" s="150" t="s">
        <v>1806</v>
      </c>
    </row>
    <row r="14" spans="2:6" ht="16" x14ac:dyDescent="0.2">
      <c r="B14" s="145"/>
      <c r="C14" s="9"/>
      <c r="D14" s="149" t="s">
        <v>1807</v>
      </c>
      <c r="E14" s="150" t="s">
        <v>1808</v>
      </c>
      <c r="F14" s="150" t="s">
        <v>1809</v>
      </c>
    </row>
    <row r="15" spans="2:6" ht="16" x14ac:dyDescent="0.2">
      <c r="B15" s="145"/>
      <c r="C15" s="9"/>
      <c r="D15" s="149" t="s">
        <v>1810</v>
      </c>
      <c r="E15" s="150" t="s">
        <v>1811</v>
      </c>
      <c r="F15" s="150" t="s">
        <v>1812</v>
      </c>
    </row>
    <row r="16" spans="2:6" ht="16" x14ac:dyDescent="0.2">
      <c r="B16" s="145"/>
      <c r="C16" s="9"/>
      <c r="D16" s="149" t="s">
        <v>1813</v>
      </c>
      <c r="E16" s="150" t="s">
        <v>1814</v>
      </c>
      <c r="F16" s="150" t="s">
        <v>1815</v>
      </c>
    </row>
    <row r="17" spans="2:6" ht="16" x14ac:dyDescent="0.2">
      <c r="B17" s="145"/>
      <c r="C17" s="188"/>
      <c r="D17" s="149" t="s">
        <v>1816</v>
      </c>
      <c r="E17" s="151" t="s">
        <v>1817</v>
      </c>
      <c r="F17" s="151" t="s">
        <v>1818</v>
      </c>
    </row>
    <row r="18" spans="2:6" ht="16" x14ac:dyDescent="0.2">
      <c r="B18" s="145"/>
      <c r="C18" s="9"/>
      <c r="D18" s="149" t="s">
        <v>1819</v>
      </c>
      <c r="E18" s="150" t="s">
        <v>1820</v>
      </c>
      <c r="F18" s="150" t="s">
        <v>1821</v>
      </c>
    </row>
    <row r="19" spans="2:6" ht="16" x14ac:dyDescent="0.2">
      <c r="B19" s="145"/>
      <c r="C19" s="9"/>
      <c r="D19" s="149" t="s">
        <v>1822</v>
      </c>
      <c r="E19" s="150" t="s">
        <v>1823</v>
      </c>
      <c r="F19" s="150" t="s">
        <v>1824</v>
      </c>
    </row>
    <row r="20" spans="2:6" ht="16" x14ac:dyDescent="0.2">
      <c r="B20" s="145"/>
      <c r="C20" s="9"/>
      <c r="D20" s="149" t="s">
        <v>1825</v>
      </c>
      <c r="E20" s="150" t="s">
        <v>1826</v>
      </c>
      <c r="F20" s="150" t="s">
        <v>1827</v>
      </c>
    </row>
    <row r="21" spans="2:6" ht="16" x14ac:dyDescent="0.2">
      <c r="B21" s="145"/>
      <c r="C21" s="9"/>
      <c r="D21" s="149" t="s">
        <v>1828</v>
      </c>
      <c r="E21" s="150" t="s">
        <v>1829</v>
      </c>
      <c r="F21" s="150" t="s">
        <v>1830</v>
      </c>
    </row>
    <row r="22" spans="2:6" ht="16" x14ac:dyDescent="0.2">
      <c r="B22" s="145"/>
      <c r="C22" s="9"/>
      <c r="D22" s="149" t="s">
        <v>1831</v>
      </c>
      <c r="E22" s="150" t="s">
        <v>1832</v>
      </c>
      <c r="F22" s="150" t="s">
        <v>1833</v>
      </c>
    </row>
    <row r="23" spans="2:6" ht="16" x14ac:dyDescent="0.2">
      <c r="B23" s="145"/>
      <c r="C23" s="9"/>
      <c r="D23" s="149" t="s">
        <v>1834</v>
      </c>
      <c r="E23" s="150" t="s">
        <v>1835</v>
      </c>
      <c r="F23" s="150" t="s">
        <v>1836</v>
      </c>
    </row>
    <row r="24" spans="2:6" ht="16" x14ac:dyDescent="0.2">
      <c r="B24" s="145"/>
      <c r="C24" s="9"/>
      <c r="D24" s="149" t="s">
        <v>1837</v>
      </c>
      <c r="E24" s="150" t="s">
        <v>1838</v>
      </c>
      <c r="F24" s="150" t="s">
        <v>1839</v>
      </c>
    </row>
    <row r="25" spans="2:6" ht="16" x14ac:dyDescent="0.2">
      <c r="B25" s="145"/>
      <c r="C25" s="188"/>
      <c r="D25" s="149" t="s">
        <v>1840</v>
      </c>
      <c r="E25" s="151" t="s">
        <v>1841</v>
      </c>
      <c r="F25" s="151" t="s">
        <v>1842</v>
      </c>
    </row>
    <row r="26" spans="2:6" ht="16" x14ac:dyDescent="0.2">
      <c r="B26" s="145"/>
      <c r="C26" s="9"/>
      <c r="D26" s="149" t="s">
        <v>1843</v>
      </c>
      <c r="E26" s="150" t="s">
        <v>1844</v>
      </c>
      <c r="F26" s="150" t="s">
        <v>1845</v>
      </c>
    </row>
    <row r="27" spans="2:6" ht="16" x14ac:dyDescent="0.2">
      <c r="B27" s="145"/>
      <c r="C27" s="9"/>
      <c r="D27" s="149" t="s">
        <v>1846</v>
      </c>
      <c r="E27" s="150" t="s">
        <v>1847</v>
      </c>
      <c r="F27" s="150" t="s">
        <v>1848</v>
      </c>
    </row>
    <row r="28" spans="2:6" ht="16" x14ac:dyDescent="0.2">
      <c r="B28" s="145"/>
      <c r="C28" s="9"/>
      <c r="D28" s="149" t="s">
        <v>1849</v>
      </c>
      <c r="E28" s="150" t="s">
        <v>1850</v>
      </c>
      <c r="F28" s="150" t="s">
        <v>1851</v>
      </c>
    </row>
    <row r="29" spans="2:6" ht="16" x14ac:dyDescent="0.2">
      <c r="B29" s="145"/>
      <c r="C29" s="9"/>
      <c r="D29" s="149" t="s">
        <v>1852</v>
      </c>
      <c r="E29" s="150" t="s">
        <v>1853</v>
      </c>
      <c r="F29" s="150" t="s">
        <v>1854</v>
      </c>
    </row>
    <row r="30" spans="2:6" ht="16" x14ac:dyDescent="0.2">
      <c r="B30" s="145"/>
      <c r="C30" s="9"/>
      <c r="D30" s="149" t="s">
        <v>1855</v>
      </c>
      <c r="E30" s="150" t="s">
        <v>1856</v>
      </c>
      <c r="F30" s="150" t="s">
        <v>1857</v>
      </c>
    </row>
    <row r="31" spans="2:6" ht="16" x14ac:dyDescent="0.2">
      <c r="B31" s="145"/>
      <c r="C31" s="9"/>
      <c r="D31" s="149" t="s">
        <v>1858</v>
      </c>
      <c r="E31" s="150" t="s">
        <v>1859</v>
      </c>
      <c r="F31" s="150" t="s">
        <v>1859</v>
      </c>
    </row>
    <row r="32" spans="2:6" ht="16" x14ac:dyDescent="0.2">
      <c r="B32" s="145"/>
      <c r="C32" s="9"/>
      <c r="D32" s="149" t="s">
        <v>1860</v>
      </c>
      <c r="E32" s="150" t="s">
        <v>1861</v>
      </c>
      <c r="F32" s="150" t="s">
        <v>1862</v>
      </c>
    </row>
    <row r="33" spans="2:6" ht="32" x14ac:dyDescent="0.2">
      <c r="B33" s="145"/>
      <c r="C33" s="9"/>
      <c r="D33" s="149" t="s">
        <v>1863</v>
      </c>
      <c r="E33" s="150" t="s">
        <v>1864</v>
      </c>
      <c r="F33" s="150" t="s">
        <v>1865</v>
      </c>
    </row>
    <row r="34" spans="2:6" ht="16" x14ac:dyDescent="0.2">
      <c r="B34" s="145"/>
      <c r="C34" s="9"/>
      <c r="D34" s="149" t="s">
        <v>1866</v>
      </c>
      <c r="E34" s="150" t="s">
        <v>1867</v>
      </c>
      <c r="F34" s="150" t="s">
        <v>1868</v>
      </c>
    </row>
    <row r="35" spans="2:6" ht="16" x14ac:dyDescent="0.2">
      <c r="B35" s="145"/>
      <c r="C35" s="188"/>
      <c r="D35" s="149" t="s">
        <v>1869</v>
      </c>
      <c r="E35" s="151" t="s">
        <v>1870</v>
      </c>
      <c r="F35" s="151" t="s">
        <v>1871</v>
      </c>
    </row>
    <row r="36" spans="2:6" ht="16" x14ac:dyDescent="0.2">
      <c r="B36" s="145"/>
      <c r="C36" s="9"/>
      <c r="D36" s="149" t="s">
        <v>1872</v>
      </c>
      <c r="E36" s="150" t="s">
        <v>1873</v>
      </c>
      <c r="F36" s="150" t="s">
        <v>1874</v>
      </c>
    </row>
    <row r="37" spans="2:6" ht="16" x14ac:dyDescent="0.2">
      <c r="B37" s="145"/>
      <c r="C37" s="9"/>
      <c r="D37" s="149" t="s">
        <v>1875</v>
      </c>
      <c r="E37" s="150" t="s">
        <v>1876</v>
      </c>
      <c r="F37" s="150" t="s">
        <v>1877</v>
      </c>
    </row>
    <row r="38" spans="2:6" ht="16" x14ac:dyDescent="0.2">
      <c r="B38" s="145"/>
      <c r="C38" s="9"/>
      <c r="D38" s="149" t="s">
        <v>1878</v>
      </c>
      <c r="E38" s="150" t="s">
        <v>1879</v>
      </c>
      <c r="F38" s="150" t="s">
        <v>1880</v>
      </c>
    </row>
    <row r="39" spans="2:6" ht="16" x14ac:dyDescent="0.2">
      <c r="B39" s="145"/>
      <c r="C39" s="9"/>
      <c r="D39" s="149" t="s">
        <v>1881</v>
      </c>
      <c r="E39" s="150" t="s">
        <v>1882</v>
      </c>
      <c r="F39" s="150" t="s">
        <v>1883</v>
      </c>
    </row>
    <row r="40" spans="2:6" ht="16" x14ac:dyDescent="0.2">
      <c r="B40" s="145"/>
      <c r="C40" s="9"/>
      <c r="D40" s="149" t="s">
        <v>1884</v>
      </c>
      <c r="E40" s="150" t="s">
        <v>1885</v>
      </c>
      <c r="F40" s="150" t="s">
        <v>1886</v>
      </c>
    </row>
    <row r="41" spans="2:6" ht="16" x14ac:dyDescent="0.2">
      <c r="B41" s="145"/>
      <c r="C41" s="9"/>
      <c r="D41" s="149" t="s">
        <v>1887</v>
      </c>
      <c r="E41" s="150" t="s">
        <v>1888</v>
      </c>
      <c r="F41" s="150" t="s">
        <v>1888</v>
      </c>
    </row>
    <row r="42" spans="2:6" ht="16" x14ac:dyDescent="0.2">
      <c r="B42" s="145"/>
      <c r="C42" s="9"/>
      <c r="D42" s="149" t="s">
        <v>1889</v>
      </c>
      <c r="E42" s="150" t="s">
        <v>1890</v>
      </c>
      <c r="F42" s="150" t="s">
        <v>1891</v>
      </c>
    </row>
    <row r="43" spans="2:6" ht="16" x14ac:dyDescent="0.2">
      <c r="B43" s="145"/>
      <c r="C43" s="9"/>
      <c r="D43" s="149" t="s">
        <v>1892</v>
      </c>
      <c r="E43" s="150" t="s">
        <v>1893</v>
      </c>
      <c r="F43" s="150" t="s">
        <v>1894</v>
      </c>
    </row>
    <row r="44" spans="2:6" ht="16" x14ac:dyDescent="0.2">
      <c r="B44" s="145"/>
      <c r="C44" s="9"/>
      <c r="D44" s="149" t="s">
        <v>1895</v>
      </c>
      <c r="E44" s="150" t="s">
        <v>1896</v>
      </c>
      <c r="F44" s="150" t="s">
        <v>1897</v>
      </c>
    </row>
    <row r="45" spans="2:6" ht="16" x14ac:dyDescent="0.2">
      <c r="B45" s="145"/>
      <c r="C45" s="9"/>
      <c r="D45" s="149" t="s">
        <v>1898</v>
      </c>
      <c r="E45" s="150" t="s">
        <v>1899</v>
      </c>
      <c r="F45" s="150" t="s">
        <v>1900</v>
      </c>
    </row>
    <row r="46" spans="2:6" ht="16" x14ac:dyDescent="0.2">
      <c r="B46" s="145"/>
      <c r="C46" s="9"/>
      <c r="D46" s="149" t="s">
        <v>1901</v>
      </c>
      <c r="E46" s="150" t="s">
        <v>1902</v>
      </c>
      <c r="F46" s="150" t="s">
        <v>1903</v>
      </c>
    </row>
    <row r="47" spans="2:6" ht="16" x14ac:dyDescent="0.2">
      <c r="B47" s="145"/>
      <c r="C47" s="188"/>
      <c r="D47" s="149" t="s">
        <v>1904</v>
      </c>
      <c r="E47" s="151" t="s">
        <v>1905</v>
      </c>
      <c r="F47" s="151" t="s">
        <v>1906</v>
      </c>
    </row>
    <row r="48" spans="2:6" ht="16" x14ac:dyDescent="0.2">
      <c r="B48" s="145"/>
      <c r="C48" s="9"/>
      <c r="D48" s="149" t="s">
        <v>1907</v>
      </c>
      <c r="E48" s="150" t="s">
        <v>1908</v>
      </c>
      <c r="F48" s="150" t="s">
        <v>1908</v>
      </c>
    </row>
    <row r="49" spans="2:6" ht="16" x14ac:dyDescent="0.2">
      <c r="B49" s="145"/>
      <c r="C49" s="9"/>
      <c r="D49" s="149" t="s">
        <v>1909</v>
      </c>
      <c r="E49" s="150" t="s">
        <v>1910</v>
      </c>
      <c r="F49" s="150" t="s">
        <v>1911</v>
      </c>
    </row>
    <row r="50" spans="2:6" ht="16" x14ac:dyDescent="0.2">
      <c r="B50" s="145"/>
      <c r="C50" s="9"/>
      <c r="D50" s="149" t="s">
        <v>1912</v>
      </c>
      <c r="E50" s="150" t="s">
        <v>1913</v>
      </c>
      <c r="F50" s="150" t="s">
        <v>1914</v>
      </c>
    </row>
    <row r="51" spans="2:6" ht="16" x14ac:dyDescent="0.2">
      <c r="B51" s="145"/>
      <c r="C51" s="9"/>
      <c r="D51" s="149" t="s">
        <v>1915</v>
      </c>
      <c r="E51" s="150" t="s">
        <v>1916</v>
      </c>
      <c r="F51" s="150" t="s">
        <v>1917</v>
      </c>
    </row>
    <row r="52" spans="2:6" ht="16" x14ac:dyDescent="0.2">
      <c r="B52" s="145"/>
      <c r="C52" s="188"/>
      <c r="D52" s="149" t="s">
        <v>1918</v>
      </c>
      <c r="E52" s="151" t="s">
        <v>1919</v>
      </c>
      <c r="F52" s="151" t="s">
        <v>1920</v>
      </c>
    </row>
    <row r="53" spans="2:6" ht="16" x14ac:dyDescent="0.2">
      <c r="B53" s="145"/>
      <c r="C53" s="9"/>
      <c r="D53" s="149" t="s">
        <v>1921</v>
      </c>
      <c r="E53" s="150" t="s">
        <v>1922</v>
      </c>
      <c r="F53" s="150" t="s">
        <v>1923</v>
      </c>
    </row>
    <row r="54" spans="2:6" ht="16" x14ac:dyDescent="0.2">
      <c r="B54" s="145"/>
      <c r="C54" s="9"/>
      <c r="D54" s="149" t="s">
        <v>1924</v>
      </c>
      <c r="E54" s="150" t="s">
        <v>1925</v>
      </c>
      <c r="F54" s="150" t="s">
        <v>1926</v>
      </c>
    </row>
    <row r="55" spans="2:6" ht="16" x14ac:dyDescent="0.2">
      <c r="B55" s="145"/>
      <c r="C55" s="9"/>
      <c r="D55" s="149" t="s">
        <v>1927</v>
      </c>
      <c r="E55" s="150" t="s">
        <v>1928</v>
      </c>
      <c r="F55" s="150" t="s">
        <v>1929</v>
      </c>
    </row>
    <row r="56" spans="2:6" ht="16" x14ac:dyDescent="0.2">
      <c r="B56" s="145"/>
      <c r="C56" s="9"/>
      <c r="D56" s="149" t="s">
        <v>1930</v>
      </c>
      <c r="E56" s="150" t="s">
        <v>1931</v>
      </c>
      <c r="F56" s="150" t="s">
        <v>1932</v>
      </c>
    </row>
    <row r="57" spans="2:6" ht="16" x14ac:dyDescent="0.2">
      <c r="B57" s="145"/>
      <c r="C57" s="9"/>
      <c r="D57" s="149" t="s">
        <v>1933</v>
      </c>
      <c r="E57" s="150" t="s">
        <v>1934</v>
      </c>
      <c r="F57" s="150" t="s">
        <v>1935</v>
      </c>
    </row>
    <row r="58" spans="2:6" ht="16" x14ac:dyDescent="0.2">
      <c r="B58" s="145"/>
      <c r="C58" s="9"/>
      <c r="D58" s="149" t="s">
        <v>1936</v>
      </c>
      <c r="E58" s="150" t="s">
        <v>1937</v>
      </c>
      <c r="F58" s="150" t="s">
        <v>1938</v>
      </c>
    </row>
    <row r="59" spans="2:6" ht="16" x14ac:dyDescent="0.2">
      <c r="B59" s="145"/>
      <c r="C59" s="9"/>
      <c r="D59" s="149" t="s">
        <v>1939</v>
      </c>
      <c r="E59" s="150" t="s">
        <v>1940</v>
      </c>
      <c r="F59" s="150" t="s">
        <v>1941</v>
      </c>
    </row>
    <row r="60" spans="2:6" ht="16" x14ac:dyDescent="0.2">
      <c r="B60" s="145"/>
      <c r="C60" s="9"/>
      <c r="D60" s="149" t="s">
        <v>1942</v>
      </c>
      <c r="E60" s="150" t="s">
        <v>1943</v>
      </c>
      <c r="F60" s="150" t="s">
        <v>1944</v>
      </c>
    </row>
    <row r="61" spans="2:6" ht="16" x14ac:dyDescent="0.2">
      <c r="B61" s="145"/>
      <c r="C61" s="9"/>
      <c r="D61" s="149" t="s">
        <v>1945</v>
      </c>
      <c r="E61" s="150" t="s">
        <v>1946</v>
      </c>
      <c r="F61" s="150" t="s">
        <v>1947</v>
      </c>
    </row>
    <row r="62" spans="2:6" ht="16" x14ac:dyDescent="0.2">
      <c r="B62" s="145"/>
      <c r="C62" s="9"/>
      <c r="D62" s="149" t="s">
        <v>1948</v>
      </c>
      <c r="E62" s="150" t="s">
        <v>1949</v>
      </c>
      <c r="F62" s="150" t="s">
        <v>1950</v>
      </c>
    </row>
    <row r="63" spans="2:6" ht="16" x14ac:dyDescent="0.2">
      <c r="B63" s="145"/>
      <c r="C63" s="9"/>
      <c r="D63" s="149" t="s">
        <v>1951</v>
      </c>
      <c r="E63" s="150" t="s">
        <v>1952</v>
      </c>
      <c r="F63" s="150" t="s">
        <v>1953</v>
      </c>
    </row>
    <row r="64" spans="2:6" ht="16" x14ac:dyDescent="0.2">
      <c r="B64" s="145"/>
      <c r="C64" s="9"/>
      <c r="D64" s="149" t="s">
        <v>1954</v>
      </c>
      <c r="E64" s="150" t="s">
        <v>1955</v>
      </c>
      <c r="F64" s="150" t="s">
        <v>1955</v>
      </c>
    </row>
    <row r="65" spans="2:6" ht="16" x14ac:dyDescent="0.2">
      <c r="B65" s="145"/>
      <c r="C65" s="9"/>
      <c r="D65" s="149" t="s">
        <v>1956</v>
      </c>
      <c r="E65" s="150" t="s">
        <v>1957</v>
      </c>
      <c r="F65" s="150" t="s">
        <v>1958</v>
      </c>
    </row>
    <row r="66" spans="2:6" ht="16" x14ac:dyDescent="0.2">
      <c r="B66" s="145"/>
      <c r="C66" s="9"/>
      <c r="D66" s="149" t="s">
        <v>1959</v>
      </c>
      <c r="E66" s="150" t="s">
        <v>1960</v>
      </c>
      <c r="F66" s="150" t="s">
        <v>1961</v>
      </c>
    </row>
    <row r="67" spans="2:6" ht="16" x14ac:dyDescent="0.2">
      <c r="B67" s="145"/>
      <c r="C67" s="9"/>
      <c r="D67" s="149" t="s">
        <v>1962</v>
      </c>
      <c r="E67" s="150" t="s">
        <v>1963</v>
      </c>
      <c r="F67" s="150" t="s">
        <v>1964</v>
      </c>
    </row>
    <row r="68" spans="2:6" ht="16" x14ac:dyDescent="0.2">
      <c r="B68" s="145"/>
      <c r="C68" s="9"/>
      <c r="D68" s="149" t="s">
        <v>1965</v>
      </c>
      <c r="E68" s="150" t="s">
        <v>1966</v>
      </c>
      <c r="F68" s="150" t="s">
        <v>1967</v>
      </c>
    </row>
    <row r="69" spans="2:6" ht="16" x14ac:dyDescent="0.2">
      <c r="B69" s="145"/>
      <c r="C69" s="9"/>
      <c r="D69" s="149" t="s">
        <v>1968</v>
      </c>
      <c r="E69" s="150" t="s">
        <v>1969</v>
      </c>
      <c r="F69" s="150" t="s">
        <v>1970</v>
      </c>
    </row>
    <row r="70" spans="2:6" ht="16" x14ac:dyDescent="0.2">
      <c r="B70" s="145"/>
      <c r="C70" s="9"/>
      <c r="D70" s="149" t="s">
        <v>1971</v>
      </c>
      <c r="E70" s="150" t="s">
        <v>1972</v>
      </c>
      <c r="F70" s="150" t="s">
        <v>1973</v>
      </c>
    </row>
    <row r="71" spans="2:6" ht="16" x14ac:dyDescent="0.2">
      <c r="B71" s="145"/>
      <c r="C71" s="188"/>
      <c r="D71" s="149" t="s">
        <v>1974</v>
      </c>
      <c r="E71" s="151" t="s">
        <v>1975</v>
      </c>
      <c r="F71" s="151" t="s">
        <v>1976</v>
      </c>
    </row>
    <row r="72" spans="2:6" ht="16" x14ac:dyDescent="0.2">
      <c r="B72" s="145"/>
      <c r="C72" s="9"/>
      <c r="D72" s="149" t="s">
        <v>1977</v>
      </c>
      <c r="E72" s="150" t="s">
        <v>1978</v>
      </c>
      <c r="F72" s="150" t="s">
        <v>1979</v>
      </c>
    </row>
    <row r="73" spans="2:6" ht="16" x14ac:dyDescent="0.2">
      <c r="B73" s="145"/>
      <c r="C73" s="9"/>
      <c r="D73" s="149" t="s">
        <v>1980</v>
      </c>
      <c r="E73" s="150" t="s">
        <v>1981</v>
      </c>
      <c r="F73" s="150" t="s">
        <v>1982</v>
      </c>
    </row>
    <row r="74" spans="2:6" ht="16" x14ac:dyDescent="0.2">
      <c r="B74" s="145"/>
      <c r="C74" s="9"/>
      <c r="D74" s="149" t="s">
        <v>1983</v>
      </c>
      <c r="E74" s="150" t="s">
        <v>1984</v>
      </c>
      <c r="F74" s="150" t="s">
        <v>1985</v>
      </c>
    </row>
    <row r="75" spans="2:6" ht="16" x14ac:dyDescent="0.2">
      <c r="B75" s="145"/>
      <c r="C75" s="9"/>
      <c r="D75" s="149" t="s">
        <v>1986</v>
      </c>
      <c r="E75" s="150" t="s">
        <v>1987</v>
      </c>
      <c r="F75" s="150" t="s">
        <v>1988</v>
      </c>
    </row>
    <row r="76" spans="2:6" ht="16" x14ac:dyDescent="0.2">
      <c r="B76" s="145"/>
      <c r="C76" s="9"/>
      <c r="D76" s="149" t="s">
        <v>1989</v>
      </c>
      <c r="E76" s="150" t="s">
        <v>1990</v>
      </c>
      <c r="F76" s="150" t="s">
        <v>1991</v>
      </c>
    </row>
    <row r="77" spans="2:6" ht="16" x14ac:dyDescent="0.2">
      <c r="B77" s="145"/>
      <c r="C77" s="9"/>
      <c r="D77" s="149" t="s">
        <v>1992</v>
      </c>
      <c r="E77" s="150" t="s">
        <v>1993</v>
      </c>
      <c r="F77" s="150" t="s">
        <v>1994</v>
      </c>
    </row>
    <row r="78" spans="2:6" ht="16" x14ac:dyDescent="0.2">
      <c r="B78" s="145"/>
      <c r="C78" s="9"/>
      <c r="D78" s="149" t="s">
        <v>1995</v>
      </c>
      <c r="E78" s="150" t="s">
        <v>1996</v>
      </c>
      <c r="F78" s="150" t="s">
        <v>1997</v>
      </c>
    </row>
    <row r="79" spans="2:6" ht="16" x14ac:dyDescent="0.2">
      <c r="B79" s="145"/>
      <c r="C79" s="9"/>
      <c r="D79" s="149" t="s">
        <v>1998</v>
      </c>
      <c r="E79" s="150" t="s">
        <v>1999</v>
      </c>
      <c r="F79" s="150" t="s">
        <v>2000</v>
      </c>
    </row>
    <row r="80" spans="2:6" ht="16" x14ac:dyDescent="0.2">
      <c r="B80" s="145"/>
      <c r="C80" s="188"/>
      <c r="D80" s="149" t="s">
        <v>2001</v>
      </c>
      <c r="E80" s="151" t="s">
        <v>2002</v>
      </c>
      <c r="F80" s="151" t="s">
        <v>2003</v>
      </c>
    </row>
    <row r="81" spans="2:6" ht="16" x14ac:dyDescent="0.2">
      <c r="B81" s="145"/>
      <c r="C81" s="9"/>
      <c r="D81" s="149" t="s">
        <v>2004</v>
      </c>
      <c r="E81" s="150" t="s">
        <v>2005</v>
      </c>
      <c r="F81" s="150" t="s">
        <v>2006</v>
      </c>
    </row>
    <row r="82" spans="2:6" ht="16" x14ac:dyDescent="0.2">
      <c r="B82" s="145"/>
      <c r="C82" s="9"/>
      <c r="D82" s="149" t="s">
        <v>2007</v>
      </c>
      <c r="E82" s="150" t="s">
        <v>2008</v>
      </c>
      <c r="F82" s="150" t="s">
        <v>2009</v>
      </c>
    </row>
    <row r="83" spans="2:6" ht="16" x14ac:dyDescent="0.2">
      <c r="B83" s="145"/>
      <c r="C83" s="9"/>
      <c r="D83" s="149" t="s">
        <v>2010</v>
      </c>
      <c r="E83" s="150" t="s">
        <v>2011</v>
      </c>
      <c r="F83" s="150" t="s">
        <v>2012</v>
      </c>
    </row>
    <row r="84" spans="2:6" ht="16" x14ac:dyDescent="0.2">
      <c r="B84" s="145"/>
      <c r="C84" s="9"/>
      <c r="D84" s="149" t="s">
        <v>2013</v>
      </c>
      <c r="E84" s="150" t="s">
        <v>2014</v>
      </c>
      <c r="F84" s="150" t="s">
        <v>2015</v>
      </c>
    </row>
    <row r="85" spans="2:6" ht="16" x14ac:dyDescent="0.2">
      <c r="B85" s="145"/>
      <c r="C85" s="9"/>
      <c r="D85" s="149" t="s">
        <v>2016</v>
      </c>
      <c r="E85" s="150" t="s">
        <v>2017</v>
      </c>
      <c r="F85" s="150" t="s">
        <v>2018</v>
      </c>
    </row>
    <row r="86" spans="2:6" ht="16" x14ac:dyDescent="0.2">
      <c r="B86" s="145"/>
      <c r="C86" s="188"/>
      <c r="D86" s="149" t="s">
        <v>2019</v>
      </c>
      <c r="E86" s="151" t="s">
        <v>2020</v>
      </c>
      <c r="F86" s="151" t="s">
        <v>2021</v>
      </c>
    </row>
    <row r="87" spans="2:6" ht="16" x14ac:dyDescent="0.2">
      <c r="B87" s="145"/>
      <c r="C87" s="9"/>
      <c r="D87" s="149" t="s">
        <v>2022</v>
      </c>
      <c r="E87" s="150" t="s">
        <v>2023</v>
      </c>
      <c r="F87" s="150" t="s">
        <v>2024</v>
      </c>
    </row>
    <row r="88" spans="2:6" ht="16" x14ac:dyDescent="0.2">
      <c r="B88" s="145"/>
      <c r="C88" s="9"/>
      <c r="D88" s="149" t="s">
        <v>2025</v>
      </c>
      <c r="E88" s="150" t="s">
        <v>2026</v>
      </c>
      <c r="F88" s="150" t="s">
        <v>2027</v>
      </c>
    </row>
    <row r="89" spans="2:6" ht="16" x14ac:dyDescent="0.2">
      <c r="B89" s="145"/>
      <c r="C89" s="9"/>
      <c r="D89" s="149" t="s">
        <v>2028</v>
      </c>
      <c r="E89" s="150" t="s">
        <v>2029</v>
      </c>
      <c r="F89" s="150" t="s">
        <v>2029</v>
      </c>
    </row>
    <row r="90" spans="2:6" ht="16" x14ac:dyDescent="0.2">
      <c r="B90" s="145"/>
      <c r="C90" s="9"/>
      <c r="D90" s="149" t="s">
        <v>2030</v>
      </c>
      <c r="E90" s="150" t="s">
        <v>2031</v>
      </c>
      <c r="F90" s="150" t="s">
        <v>2032</v>
      </c>
    </row>
    <row r="91" spans="2:6" ht="16" x14ac:dyDescent="0.2">
      <c r="B91" s="145"/>
      <c r="C91" s="9"/>
      <c r="D91" s="149" t="s">
        <v>2033</v>
      </c>
      <c r="E91" s="150" t="s">
        <v>2034</v>
      </c>
      <c r="F91" s="150" t="s">
        <v>2035</v>
      </c>
    </row>
    <row r="92" spans="2:6" ht="16" x14ac:dyDescent="0.2">
      <c r="B92" s="145"/>
      <c r="C92" s="9"/>
      <c r="D92" s="149" t="s">
        <v>2036</v>
      </c>
      <c r="E92" s="150" t="s">
        <v>2037</v>
      </c>
      <c r="F92" s="150" t="s">
        <v>2037</v>
      </c>
    </row>
    <row r="93" spans="2:6" ht="16" x14ac:dyDescent="0.2">
      <c r="B93" s="145"/>
      <c r="C93" s="188"/>
      <c r="D93" s="149" t="s">
        <v>2038</v>
      </c>
      <c r="E93" s="151" t="s">
        <v>2039</v>
      </c>
      <c r="F93" s="151" t="s">
        <v>2040</v>
      </c>
    </row>
    <row r="94" spans="2:6" x14ac:dyDescent="0.2">
      <c r="C94" s="152"/>
      <c r="D94" s="153"/>
      <c r="E94" s="154"/>
      <c r="F94" s="154"/>
    </row>
  </sheetData>
  <sheetProtection algorithmName="SHA-512" hashValue="2UPrnJvsGcft/GJTZXaKNjx8DPI7GQr9yYIKZKJjV0y/JNhJNsqQ9eZP9Xl4MYCl0m7DKUFjvB1azkWE+gXWpA==" saltValue="ERjlw+drhOAcTmHMpa+mIA==" spinCount="100000" sheet="1" selectLockedCells="1"/>
  <dataValidations count="1">
    <dataValidation type="list" allowBlank="1"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zoomScale="80" zoomScaleNormal="80" workbookViewId="0">
      <selection activeCell="D10" sqref="D10:D11"/>
    </sheetView>
  </sheetViews>
  <sheetFormatPr baseColWidth="10" defaultColWidth="10.83203125" defaultRowHeight="16" x14ac:dyDescent="0.2"/>
  <cols>
    <col min="1" max="1" width="10.83203125" style="19"/>
    <col min="2" max="2" width="8.83203125" style="19" customWidth="1"/>
    <col min="3" max="3" width="27.6640625" style="19" customWidth="1"/>
    <col min="4" max="5" width="20.83203125" style="19" customWidth="1"/>
    <col min="6" max="7" width="46.5" style="43" customWidth="1"/>
    <col min="8" max="8" width="20.83203125" style="261" customWidth="1"/>
    <col min="9" max="9" width="20.83203125" style="19" customWidth="1"/>
    <col min="10" max="16384" width="10.83203125" style="19"/>
  </cols>
  <sheetData>
    <row r="1" spans="1:11" ht="17" thickBot="1" x14ac:dyDescent="0.25">
      <c r="C1" s="20"/>
      <c r="D1" s="20"/>
      <c r="E1" s="20"/>
      <c r="F1" s="39"/>
      <c r="G1" s="39"/>
      <c r="H1" s="259"/>
      <c r="I1" s="20"/>
    </row>
    <row r="2" spans="1:11" s="43" customFormat="1" ht="17" thickBot="1" x14ac:dyDescent="0.25">
      <c r="A2" s="62"/>
      <c r="B2" s="63"/>
      <c r="C2" s="64" t="s">
        <v>2041</v>
      </c>
      <c r="D2" s="65" t="s">
        <v>2042</v>
      </c>
      <c r="E2" s="247" t="s">
        <v>2043</v>
      </c>
      <c r="F2" s="249" t="s">
        <v>2044</v>
      </c>
      <c r="G2" s="40" t="s">
        <v>2045</v>
      </c>
      <c r="H2" s="262" t="s">
        <v>2046</v>
      </c>
      <c r="I2" s="66" t="s">
        <v>2047</v>
      </c>
      <c r="J2" s="67"/>
    </row>
    <row r="3" spans="1:11" ht="62.5" customHeight="1" x14ac:dyDescent="0.2">
      <c r="A3" s="21"/>
      <c r="B3" s="311" t="s">
        <v>2048</v>
      </c>
      <c r="C3" s="49" t="s">
        <v>2049</v>
      </c>
      <c r="D3" s="297"/>
      <c r="E3" s="273" t="str">
        <f>IF(D3="","",D3)</f>
        <v/>
      </c>
      <c r="F3" s="250" t="s">
        <v>2050</v>
      </c>
      <c r="G3" s="182" t="s">
        <v>2051</v>
      </c>
      <c r="H3" s="263" t="s">
        <v>2052</v>
      </c>
      <c r="I3" s="290" t="s">
        <v>2052</v>
      </c>
      <c r="J3" s="22"/>
    </row>
    <row r="4" spans="1:11" ht="31.75" customHeight="1" x14ac:dyDescent="0.2">
      <c r="A4" s="21"/>
      <c r="B4" s="306"/>
      <c r="C4" s="31" t="s">
        <v>2053</v>
      </c>
      <c r="D4" s="180"/>
      <c r="E4" s="274" t="str">
        <f>IF(D4="","",D4)</f>
        <v/>
      </c>
      <c r="F4" s="184" t="s">
        <v>2054</v>
      </c>
      <c r="G4" s="183" t="s">
        <v>2055</v>
      </c>
      <c r="H4" s="264">
        <v>18</v>
      </c>
      <c r="I4" s="291">
        <v>18</v>
      </c>
      <c r="J4" s="22"/>
    </row>
    <row r="5" spans="1:11" ht="43.5" customHeight="1" x14ac:dyDescent="0.2">
      <c r="A5" s="21"/>
      <c r="B5" s="306"/>
      <c r="C5" s="32" t="s">
        <v>2056</v>
      </c>
      <c r="D5" s="29"/>
      <c r="E5" s="274" t="str">
        <f>IF(D5="","",D5)</f>
        <v/>
      </c>
      <c r="F5" s="184" t="s">
        <v>2057</v>
      </c>
      <c r="G5" s="183" t="s">
        <v>2058</v>
      </c>
      <c r="H5" s="265" t="s">
        <v>2059</v>
      </c>
      <c r="I5" s="292" t="s">
        <v>2059</v>
      </c>
      <c r="J5" s="22"/>
    </row>
    <row r="6" spans="1:11" ht="48" x14ac:dyDescent="0.2">
      <c r="A6" s="21"/>
      <c r="B6" s="306"/>
      <c r="C6" s="33" t="s">
        <v>2060</v>
      </c>
      <c r="D6" s="29"/>
      <c r="E6" s="274" t="str">
        <f>IF(D6="","",D6)</f>
        <v/>
      </c>
      <c r="F6" s="184" t="s">
        <v>2061</v>
      </c>
      <c r="G6" s="184" t="s">
        <v>2062</v>
      </c>
      <c r="H6" s="266" t="s">
        <v>2063</v>
      </c>
      <c r="I6" s="288" t="s">
        <v>2063</v>
      </c>
      <c r="J6" s="22"/>
    </row>
    <row r="7" spans="1:11" s="205" customFormat="1" ht="96" x14ac:dyDescent="0.2">
      <c r="A7" s="201"/>
      <c r="B7" s="306"/>
      <c r="C7" s="202" t="s">
        <v>2064</v>
      </c>
      <c r="D7" s="276"/>
      <c r="E7" s="275" t="str">
        <f>IF(D7="","",IF(D7="une année normale","a normal year",IF(D7="l'année dernière","last year","")))</f>
        <v/>
      </c>
      <c r="F7" s="184" t="s">
        <v>2065</v>
      </c>
      <c r="G7" s="203" t="s">
        <v>2066</v>
      </c>
      <c r="H7" s="266" t="s">
        <v>2067</v>
      </c>
      <c r="I7" s="289" t="s">
        <v>2068</v>
      </c>
      <c r="J7" s="204"/>
    </row>
    <row r="8" spans="1:11" ht="80" x14ac:dyDescent="0.2">
      <c r="A8" s="21"/>
      <c r="B8" s="306"/>
      <c r="C8" s="33" t="s">
        <v>2069</v>
      </c>
      <c r="D8" s="29"/>
      <c r="E8" s="29"/>
      <c r="F8" s="185" t="s">
        <v>2070</v>
      </c>
      <c r="G8" s="185" t="s">
        <v>2071</v>
      </c>
      <c r="H8" s="267" t="s">
        <v>2072</v>
      </c>
      <c r="I8" s="23" t="s">
        <v>2073</v>
      </c>
      <c r="J8" s="22"/>
      <c r="K8" s="298"/>
    </row>
    <row r="9" spans="1:11" ht="96" x14ac:dyDescent="0.2">
      <c r="A9" s="21"/>
      <c r="B9" s="306"/>
      <c r="C9" s="33" t="s">
        <v>2074</v>
      </c>
      <c r="D9" s="277"/>
      <c r="E9" s="275" t="str">
        <f>IF(D9="Pas encore en saison","Not yet in season",IF(D9="Préparation du terrain","Land preparation",IF(D9="Semis / plantation","Planting",IF(D9="Début de la croissance","Early growing",IF(D9="Croissance","Growing",IF(D9="Proche de la récolte","Maturing",IF(D9="Récolte","Harvesting",IF(D9="Post-récolte","Recently finished",""))))))))</f>
        <v/>
      </c>
      <c r="F9" s="185" t="s">
        <v>2075</v>
      </c>
      <c r="G9" s="185" t="s">
        <v>2076</v>
      </c>
      <c r="H9" s="267" t="s">
        <v>2077</v>
      </c>
      <c r="I9" s="288" t="s">
        <v>2078</v>
      </c>
      <c r="J9" s="22"/>
    </row>
    <row r="10" spans="1:11" s="205" customFormat="1" ht="58" customHeight="1" x14ac:dyDescent="0.2">
      <c r="A10" s="201"/>
      <c r="B10" s="306"/>
      <c r="C10" s="212" t="s">
        <v>2079</v>
      </c>
      <c r="D10" s="299"/>
      <c r="E10" s="299"/>
      <c r="F10" s="251" t="s">
        <v>2080</v>
      </c>
      <c r="G10" s="25" t="s">
        <v>2081</v>
      </c>
      <c r="H10" s="267" t="s">
        <v>2082</v>
      </c>
      <c r="I10" s="211" t="s">
        <v>2082</v>
      </c>
      <c r="J10" s="204"/>
    </row>
    <row r="11" spans="1:11" s="205" customFormat="1" ht="50.25" customHeight="1" thickBot="1" x14ac:dyDescent="0.25">
      <c r="A11" s="201"/>
      <c r="B11" s="307"/>
      <c r="C11" s="213" t="s">
        <v>2083</v>
      </c>
      <c r="D11" s="300"/>
      <c r="E11" s="278" t="str">
        <f>IF(D11&lt;&gt;"",D11,"")</f>
        <v/>
      </c>
      <c r="F11" s="252" t="s">
        <v>2084</v>
      </c>
      <c r="G11" s="24" t="s">
        <v>2085</v>
      </c>
      <c r="H11" s="268">
        <v>0.2</v>
      </c>
      <c r="I11" s="287">
        <v>0.2</v>
      </c>
      <c r="J11" s="204"/>
    </row>
    <row r="12" spans="1:11" ht="32" x14ac:dyDescent="0.2">
      <c r="A12" s="21"/>
      <c r="B12" s="306" t="s">
        <v>2086</v>
      </c>
      <c r="C12" s="34" t="s">
        <v>2087</v>
      </c>
      <c r="D12" s="28"/>
      <c r="E12" s="274" t="str">
        <f t="shared" ref="E12:E14" si="0">IF(D12="","",D12)</f>
        <v/>
      </c>
      <c r="F12" s="271" t="s">
        <v>2088</v>
      </c>
      <c r="G12" s="41" t="s">
        <v>2089</v>
      </c>
      <c r="H12" s="265" t="s">
        <v>2090</v>
      </c>
      <c r="I12" s="285" t="s">
        <v>2090</v>
      </c>
      <c r="J12" s="22"/>
    </row>
    <row r="13" spans="1:11" ht="112" x14ac:dyDescent="0.2">
      <c r="A13" s="21"/>
      <c r="B13" s="306"/>
      <c r="C13" s="137" t="s">
        <v>2091</v>
      </c>
      <c r="D13" s="301"/>
      <c r="E13" s="274" t="str">
        <f t="shared" si="0"/>
        <v/>
      </c>
      <c r="F13" s="272" t="s">
        <v>2092</v>
      </c>
      <c r="G13" s="138" t="s">
        <v>2093</v>
      </c>
      <c r="H13" s="267">
        <v>5</v>
      </c>
      <c r="I13" s="286">
        <v>5</v>
      </c>
      <c r="J13" s="38"/>
      <c r="K13" s="59"/>
    </row>
    <row r="14" spans="1:11" ht="149.5" customHeight="1" x14ac:dyDescent="0.2">
      <c r="A14" s="21"/>
      <c r="B14" s="306"/>
      <c r="C14" s="137" t="s">
        <v>2094</v>
      </c>
      <c r="D14" s="301"/>
      <c r="E14" s="274" t="str">
        <f t="shared" si="0"/>
        <v/>
      </c>
      <c r="F14" s="272" t="s">
        <v>2095</v>
      </c>
      <c r="G14" s="25" t="s">
        <v>2096</v>
      </c>
      <c r="H14" s="267">
        <v>1200000</v>
      </c>
      <c r="I14" s="286">
        <v>1200000</v>
      </c>
      <c r="J14" s="22"/>
    </row>
    <row r="15" spans="1:11" ht="48" x14ac:dyDescent="0.2">
      <c r="A15" s="21"/>
      <c r="B15" s="306"/>
      <c r="C15" s="61" t="s">
        <v>2097</v>
      </c>
      <c r="D15" s="29"/>
      <c r="E15" s="29"/>
      <c r="F15" s="253" t="s">
        <v>2098</v>
      </c>
      <c r="G15" s="25" t="s">
        <v>2099</v>
      </c>
      <c r="H15" s="267" t="s">
        <v>2100</v>
      </c>
      <c r="I15" s="23" t="s">
        <v>2101</v>
      </c>
      <c r="J15" s="22"/>
    </row>
    <row r="16" spans="1:11" ht="49" thickBot="1" x14ac:dyDescent="0.25">
      <c r="A16" s="21"/>
      <c r="B16" s="307"/>
      <c r="C16" s="136" t="s">
        <v>2102</v>
      </c>
      <c r="D16" s="30"/>
      <c r="E16" s="30"/>
      <c r="F16" s="254" t="s">
        <v>2103</v>
      </c>
      <c r="G16" s="26" t="s">
        <v>2104</v>
      </c>
      <c r="H16" s="269" t="s">
        <v>2105</v>
      </c>
      <c r="I16" s="140" t="s">
        <v>2106</v>
      </c>
      <c r="J16" s="22"/>
    </row>
    <row r="17" spans="1:10" s="60" customFormat="1" ht="5.5" customHeight="1" thickBot="1" x14ac:dyDescent="0.25">
      <c r="A17" s="54"/>
      <c r="B17" s="55"/>
      <c r="C17" s="56"/>
      <c r="D17" s="139"/>
      <c r="E17" s="248"/>
      <c r="F17" s="255"/>
      <c r="G17" s="57"/>
      <c r="H17" s="270"/>
      <c r="I17" s="58"/>
      <c r="J17" s="59"/>
    </row>
    <row r="18" spans="1:10" ht="192" x14ac:dyDescent="0.2">
      <c r="A18" s="21"/>
      <c r="B18" s="308" t="s">
        <v>2107</v>
      </c>
      <c r="C18" s="50" t="s">
        <v>2108</v>
      </c>
      <c r="D18" s="303">
        <v>0.91</v>
      </c>
      <c r="E18" s="302">
        <f t="shared" ref="E18:E20" si="1">IF(D18="","",D18)</f>
        <v>0.91</v>
      </c>
      <c r="F18" s="256" t="s">
        <v>2109</v>
      </c>
      <c r="G18" s="51" t="s">
        <v>2110</v>
      </c>
      <c r="H18" s="279">
        <v>0.91</v>
      </c>
      <c r="I18" s="280">
        <v>0.91</v>
      </c>
      <c r="J18" s="22"/>
    </row>
    <row r="19" spans="1:10" ht="176" x14ac:dyDescent="0.2">
      <c r="A19" s="21"/>
      <c r="B19" s="309"/>
      <c r="C19" s="35" t="s">
        <v>2111</v>
      </c>
      <c r="D19" s="304">
        <v>0.91</v>
      </c>
      <c r="E19" s="302">
        <f t="shared" si="1"/>
        <v>0.91</v>
      </c>
      <c r="F19" s="257" t="s">
        <v>2112</v>
      </c>
      <c r="G19" s="52" t="s">
        <v>2113</v>
      </c>
      <c r="H19" s="281">
        <v>0.91</v>
      </c>
      <c r="I19" s="282">
        <v>0.91</v>
      </c>
      <c r="J19" s="22"/>
    </row>
    <row r="20" spans="1:10" ht="141" customHeight="1" thickBot="1" x14ac:dyDescent="0.25">
      <c r="A20" s="21"/>
      <c r="B20" s="310"/>
      <c r="C20" s="36" t="s">
        <v>2114</v>
      </c>
      <c r="D20" s="305">
        <v>0.05</v>
      </c>
      <c r="E20" s="302">
        <f t="shared" si="1"/>
        <v>0.05</v>
      </c>
      <c r="F20" s="258" t="s">
        <v>2115</v>
      </c>
      <c r="G20" s="53" t="s">
        <v>2116</v>
      </c>
      <c r="H20" s="283">
        <v>0.05</v>
      </c>
      <c r="I20" s="284">
        <v>0.05</v>
      </c>
      <c r="J20" s="22"/>
    </row>
    <row r="21" spans="1:10" x14ac:dyDescent="0.2">
      <c r="B21" s="27"/>
      <c r="C21" s="27"/>
      <c r="D21" s="27"/>
      <c r="E21" s="27"/>
      <c r="F21" s="42"/>
      <c r="G21" s="42"/>
      <c r="H21" s="260"/>
      <c r="I21" s="27"/>
    </row>
  </sheetData>
  <sheetProtection algorithmName="SHA-512" hashValue="jg3KqHY76BcpAzj74H+IvCqETxzXROHDhHEFj7aNOy2eHuQ8U5LITLj9KBfTmdVoYtdB8+qIEZE8ioxCKbgn2w==" saltValue="N+1qRhlimzSispPUbZ+/Zg==" spinCount="100000" sheet="1" objects="1" scenarios="1"/>
  <mergeCells count="3">
    <mergeCell ref="B12:B16"/>
    <mergeCell ref="B18:B20"/>
    <mergeCell ref="B3:B11"/>
  </mergeCells>
  <dataValidations count="3">
    <dataValidation type="list" allowBlank="1" showInputMessage="1" showErrorMessage="1" sqref="E7" xr:uid="{C11D0A0B-FC4D-7C44-97A7-C5BF825E4487}">
      <formula1>"last year,a normal year"</formula1>
    </dataValidation>
    <dataValidation type="list" allowBlank="1" showInputMessage="1" showErrorMessage="1" sqref="D7" xr:uid="{975596CF-9EE9-274B-AB4A-0B43F26A8327}">
      <formula1>"une année normale, l'année dernière"</formula1>
    </dataValidation>
    <dataValidation type="list" allowBlank="1" showInputMessage="1" showErrorMessage="1" sqref="D9" xr:uid="{C5840034-2E6C-954B-9F45-CD8DFCB1A00A}">
      <formula1>"Pas encore en saison,Préparation du terrain,Semis / plantation,Début de la croissance,Croissance,Proche de la récolte,Récolte,Post-récolte"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7" ma:contentTypeDescription="Create a new document." ma:contentTypeScope="" ma:versionID="e834fd20126ffe2b58d25949f2765302">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017c4b12c19156d916786a21d718731a"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Props1.xml><?xml version="1.0" encoding="utf-8"?>
<ds:datastoreItem xmlns:ds="http://schemas.openxmlformats.org/officeDocument/2006/customXml" ds:itemID="{083E29E9-50F6-4C85-836A-A023FCCA6985}">
  <ds:schemaRefs>
    <ds:schemaRef ds:uri="http://schemas.microsoft.com/sharepoint/v3/contenttype/forms"/>
  </ds:schemaRefs>
</ds:datastoreItem>
</file>

<file path=customXml/itemProps2.xml><?xml version="1.0" encoding="utf-8"?>
<ds:datastoreItem xmlns:ds="http://schemas.openxmlformats.org/officeDocument/2006/customXml" ds:itemID="{B6141423-E0BE-4781-BED1-197B3FF99C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15B646-3C0A-4AE4-895D-12A144F3453E}">
  <ds:schemaRefs>
    <ds:schemaRef ds:uri="http://schemas.microsoft.com/office/2006/metadata/properties"/>
    <ds:schemaRef ds:uri="http://schemas.microsoft.com/office/2006/documentManagement/types"/>
    <ds:schemaRef ds:uri="http://purl.org/dc/elements/1.1/"/>
    <ds:schemaRef ds:uri="http://purl.org/dc/dcmitype/"/>
    <ds:schemaRef ds:uri="http://schemas.openxmlformats.org/package/2006/metadata/core-properties"/>
    <ds:schemaRef ds:uri="http://www.w3.org/XML/1998/namespace"/>
    <ds:schemaRef ds:uri="http://schemas.microsoft.com/office/infopath/2007/PartnerControls"/>
    <ds:schemaRef ds:uri="4efa6d18-7e22-4963-b4bf-16e1a76dd523"/>
    <ds:schemaRef ds:uri="651ac188-b77a-445d-b0b3-bedb0cff8e72"/>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Lecland, Ines (OER)</dc:creator>
  <cp:keywords/>
  <dc:description/>
  <cp:lastModifiedBy>Ibrahim Ali Ahmad</cp:lastModifiedBy>
  <cp:revision/>
  <dcterms:created xsi:type="dcterms:W3CDTF">2021-01-05T14:16:30Z</dcterms:created>
  <dcterms:modified xsi:type="dcterms:W3CDTF">2024-05-13T09:44:16Z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y fmtid="{D5CDD505-2E9C-101B-9397-08002B2CF9AE}" pid="4" name="MSIP_Label_46ec50b2-b191-4ad7-ba82-7deb0436e358_Enabled">
    <vt:lpwstr>true</vt:lpwstr>
  </property>
  <property fmtid="{D5CDD505-2E9C-101B-9397-08002B2CF9AE}" pid="5" name="MSIP_Label_46ec50b2-b191-4ad7-ba82-7deb0436e358_SetDate">
    <vt:lpwstr>2024-05-13T09:44:14Z</vt:lpwstr>
  </property>
  <property fmtid="{D5CDD505-2E9C-101B-9397-08002B2CF9AE}" pid="6" name="MSIP_Label_46ec50b2-b191-4ad7-ba82-7deb0436e358_Method">
    <vt:lpwstr>Privileged</vt:lpwstr>
  </property>
  <property fmtid="{D5CDD505-2E9C-101B-9397-08002B2CF9AE}" pid="7" name="MSIP_Label_46ec50b2-b191-4ad7-ba82-7deb0436e358_Name">
    <vt:lpwstr>Public - 1</vt:lpwstr>
  </property>
  <property fmtid="{D5CDD505-2E9C-101B-9397-08002B2CF9AE}" pid="8" name="MSIP_Label_46ec50b2-b191-4ad7-ba82-7deb0436e358_SiteId">
    <vt:lpwstr>de3cd3a3-3b37-48aa-974f-a35e5efb5851</vt:lpwstr>
  </property>
  <property fmtid="{D5CDD505-2E9C-101B-9397-08002B2CF9AE}" pid="9" name="MSIP_Label_46ec50b2-b191-4ad7-ba82-7deb0436e358_ActionId">
    <vt:lpwstr>a6e33488-07bd-4104-bf14-5de9eb858ad3</vt:lpwstr>
  </property>
  <property fmtid="{D5CDD505-2E9C-101B-9397-08002B2CF9AE}" pid="10" name="MSIP_Label_46ec50b2-b191-4ad7-ba82-7deb0436e358_ContentBits">
    <vt:lpwstr>0</vt:lpwstr>
  </property>
</Properties>
</file>