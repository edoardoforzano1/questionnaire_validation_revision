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7" documentId="8_{B093A105-413D-5743-805B-2CDD9CB93E21}" xr6:coauthVersionLast="47" xr6:coauthVersionMax="47" xr10:uidLastSave="{5ADC33CC-5325-2D4C-BE7F-17E4C229C840}"/>
  <bookViews>
    <workbookView xWindow="10020" yWindow="-20480" windowWidth="33440" windowHeight="17300" xr2:uid="{00000000-000D-0000-FFFF-FFFF00000000}"/>
  </bookViews>
  <sheets>
    <sheet name="survey" sheetId="21" r:id="rId1"/>
    <sheet name="Crop list" sheetId="10" r:id="rId2"/>
    <sheet name="Additional information" sheetId="8" r:id="rId3"/>
  </sheets>
  <definedNames>
    <definedName name="_xlnm._FilterDatabase" localSheetId="1" hidden="1">'Crop list'!$C$3:$F$93</definedName>
    <definedName name="_xlnm._FilterDatabase" localSheetId="0" hidden="1">survey!$A$3:$P$148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2" i="21" l="1"/>
  <c r="Y15" i="21" l="1"/>
  <c r="G15" i="21"/>
  <c r="E15" i="21"/>
  <c r="D13" i="8" l="1"/>
  <c r="D12" i="8"/>
  <c r="D11" i="8"/>
  <c r="D10" i="8"/>
  <c r="D5" i="8"/>
  <c r="D7" i="8"/>
  <c r="D19" i="8" l="1"/>
  <c r="D18" i="8"/>
  <c r="D17" i="8"/>
  <c r="D9" i="8" l="1"/>
  <c r="E230" i="21" l="1"/>
  <c r="E231" i="21"/>
  <c r="E233" i="21"/>
  <c r="E234" i="21"/>
  <c r="E236" i="21"/>
  <c r="E239" i="21"/>
  <c r="E240" i="21"/>
  <c r="E241" i="21"/>
  <c r="E242" i="21"/>
  <c r="E243" i="21"/>
  <c r="E244" i="21"/>
  <c r="E245" i="21"/>
  <c r="E247" i="21"/>
  <c r="E43" i="21" l="1"/>
  <c r="E44" i="21"/>
  <c r="E46" i="21"/>
  <c r="E48" i="21"/>
  <c r="E49" i="21"/>
  <c r="E50" i="21"/>
  <c r="E52" i="21"/>
  <c r="E53" i="21"/>
  <c r="E54" i="21"/>
  <c r="E55" i="21"/>
  <c r="E56" i="21"/>
  <c r="E57" i="21"/>
  <c r="G248" i="21"/>
  <c r="G247" i="21"/>
  <c r="G245" i="21"/>
  <c r="G244" i="21"/>
  <c r="G243" i="21"/>
  <c r="G242" i="21"/>
  <c r="G241" i="21"/>
  <c r="G240" i="21"/>
  <c r="G239" i="21"/>
  <c r="G236" i="21"/>
  <c r="G234" i="21"/>
  <c r="G233" i="21"/>
  <c r="G231" i="21"/>
  <c r="G230" i="21"/>
  <c r="G228" i="21"/>
  <c r="G227"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9" i="21"/>
  <c r="G176" i="21"/>
  <c r="G174" i="21"/>
  <c r="G173" i="21"/>
  <c r="G171" i="21"/>
  <c r="G168" i="21"/>
  <c r="G167" i="21"/>
  <c r="G166" i="21"/>
  <c r="G164" i="21"/>
  <c r="G162" i="21"/>
  <c r="G160" i="21"/>
  <c r="G157" i="21"/>
  <c r="G155" i="21"/>
  <c r="G154" i="21"/>
  <c r="G152" i="21"/>
  <c r="G149" i="21"/>
  <c r="G148" i="21"/>
  <c r="G147" i="21"/>
  <c r="G145" i="21"/>
  <c r="G144" i="21"/>
  <c r="G143" i="21"/>
  <c r="G142" i="21"/>
  <c r="G140" i="21"/>
  <c r="G138" i="21"/>
  <c r="G135" i="21"/>
  <c r="G133" i="21"/>
  <c r="G132" i="21"/>
  <c r="G130" i="21"/>
  <c r="G127" i="21"/>
  <c r="G126" i="21"/>
  <c r="G124" i="21"/>
  <c r="G123" i="21"/>
  <c r="G121" i="21"/>
  <c r="G120" i="21"/>
  <c r="G119" i="21"/>
  <c r="G118" i="21"/>
  <c r="G117" i="21"/>
  <c r="G115" i="21"/>
  <c r="G113" i="21"/>
  <c r="G112" i="21"/>
  <c r="G111" i="21"/>
  <c r="G109" i="21"/>
  <c r="G107" i="21"/>
  <c r="G106" i="21"/>
  <c r="G104" i="21"/>
  <c r="G103" i="21"/>
  <c r="G101" i="21"/>
  <c r="G98" i="21"/>
  <c r="G97" i="21"/>
  <c r="G96" i="21"/>
  <c r="G94" i="21"/>
  <c r="G92" i="21"/>
  <c r="G91" i="21"/>
  <c r="G90" i="21"/>
  <c r="G89" i="21"/>
  <c r="G87" i="21"/>
  <c r="G86" i="21"/>
  <c r="G85" i="21"/>
  <c r="G84" i="21"/>
  <c r="G82" i="21"/>
  <c r="G80" i="21"/>
  <c r="G79" i="21"/>
  <c r="G78" i="21"/>
  <c r="G77" i="21"/>
  <c r="G75" i="21"/>
  <c r="G74" i="21"/>
  <c r="G73" i="21"/>
  <c r="G72" i="21"/>
  <c r="G70" i="21"/>
  <c r="G68" i="21"/>
  <c r="G67" i="21"/>
  <c r="G66" i="21"/>
  <c r="G65" i="21"/>
  <c r="G63" i="21"/>
  <c r="G62" i="21"/>
  <c r="G61" i="21"/>
  <c r="G60" i="21"/>
  <c r="G57" i="21"/>
  <c r="G56" i="21"/>
  <c r="G55" i="21"/>
  <c r="G54" i="21"/>
  <c r="G53" i="21"/>
  <c r="G52" i="21"/>
  <c r="G50" i="21"/>
  <c r="G49" i="21"/>
  <c r="G48" i="21"/>
  <c r="G46" i="21"/>
  <c r="G44" i="21"/>
  <c r="G43" i="21"/>
  <c r="G39" i="21"/>
  <c r="G38" i="21"/>
  <c r="G37" i="21"/>
  <c r="G36" i="21"/>
  <c r="G34" i="21"/>
  <c r="G33" i="21"/>
  <c r="G32" i="21"/>
  <c r="G31" i="21"/>
  <c r="G30" i="21"/>
  <c r="G29" i="21"/>
  <c r="G28" i="21"/>
  <c r="G27" i="21"/>
  <c r="G25" i="21"/>
  <c r="G24" i="21"/>
  <c r="G23" i="21"/>
  <c r="G22" i="21"/>
  <c r="G20" i="21"/>
  <c r="G19" i="21"/>
  <c r="G18" i="21"/>
  <c r="G17" i="21"/>
  <c r="G16" i="21"/>
  <c r="G14" i="21"/>
  <c r="G13" i="21"/>
  <c r="G12" i="21"/>
  <c r="G11" i="21"/>
  <c r="G10" i="21"/>
  <c r="G9" i="21"/>
  <c r="G8" i="21"/>
  <c r="G7" i="21"/>
  <c r="G6" i="21"/>
  <c r="G5" i="21"/>
  <c r="Y43" i="21" l="1"/>
  <c r="Z136" i="21"/>
  <c r="Y136" i="21"/>
  <c r="Q136" i="21"/>
  <c r="D4" i="10" a="1"/>
  <c r="D4" i="10" s="1"/>
  <c r="E38" i="21"/>
  <c r="Q87" i="21" l="1"/>
  <c r="E87" i="21"/>
  <c r="Q86" i="21"/>
  <c r="E86" i="21"/>
  <c r="Q85" i="21"/>
  <c r="Y85" i="21" s="1"/>
  <c r="Z85" i="21" s="1"/>
  <c r="E85" i="21"/>
  <c r="Q75" i="21"/>
  <c r="Y75" i="21" s="1"/>
  <c r="Z75" i="21" s="1"/>
  <c r="E75" i="21"/>
  <c r="Q74" i="21"/>
  <c r="E74" i="21"/>
  <c r="Q73" i="21"/>
  <c r="Y73" i="21" s="1"/>
  <c r="Z73" i="21" s="1"/>
  <c r="E73" i="21"/>
  <c r="Y86" i="21" l="1"/>
  <c r="Z86" i="21" s="1"/>
  <c r="Y87" i="21"/>
  <c r="Z87" i="21" s="1"/>
  <c r="Y74" i="21"/>
  <c r="Z74" i="21" s="1"/>
  <c r="Q63" i="21" l="1"/>
  <c r="Y63" i="21" s="1"/>
  <c r="Z63" i="21" s="1"/>
  <c r="E63" i="21"/>
  <c r="Q62" i="21"/>
  <c r="Y62" i="21" s="1"/>
  <c r="Z62" i="21" s="1"/>
  <c r="E62" i="21"/>
  <c r="E112" i="21" l="1"/>
  <c r="E111" i="21"/>
  <c r="Z235" i="21" l="1"/>
  <c r="Z236" i="21"/>
  <c r="Y236" i="21"/>
  <c r="Q94" i="21" l="1"/>
  <c r="E94" i="21"/>
  <c r="A94" i="21"/>
  <c r="Z93" i="21"/>
  <c r="Y93" i="21"/>
  <c r="Q93" i="21"/>
  <c r="Y94" i="21" l="1"/>
  <c r="Z94" i="21" s="1"/>
  <c r="Z68" i="21" l="1"/>
  <c r="Q68" i="21"/>
  <c r="Y68" i="21" s="1"/>
  <c r="E68" i="21"/>
  <c r="Q67" i="21"/>
  <c r="Y67" i="21" s="1"/>
  <c r="Z67" i="21" s="1"/>
  <c r="E67" i="21"/>
  <c r="Z80" i="21"/>
  <c r="Q80" i="21"/>
  <c r="Y80" i="21" s="1"/>
  <c r="E80" i="21"/>
  <c r="Q79" i="21"/>
  <c r="Y79" i="21" s="1"/>
  <c r="Z79" i="21" s="1"/>
  <c r="E79" i="21"/>
  <c r="Z92" i="21"/>
  <c r="Q92" i="21"/>
  <c r="Y92" i="21" s="1"/>
  <c r="E92" i="21"/>
  <c r="Q91" i="21"/>
  <c r="E91" i="21"/>
  <c r="E61" i="21"/>
  <c r="Q61" i="21"/>
  <c r="Y91" i="21" l="1"/>
  <c r="Z91" i="21" s="1"/>
  <c r="Y61" i="21"/>
  <c r="Z61" i="21" s="1"/>
  <c r="Z43" i="21"/>
  <c r="Z45" i="21"/>
  <c r="Z47" i="21"/>
  <c r="Z51" i="21"/>
  <c r="Z52" i="21"/>
  <c r="Z53" i="21"/>
  <c r="Z54" i="21"/>
  <c r="Z55" i="21"/>
  <c r="Z56" i="21"/>
  <c r="Z57" i="21"/>
  <c r="Z58" i="21"/>
  <c r="Z59" i="21"/>
  <c r="Z64" i="21"/>
  <c r="Z65" i="21"/>
  <c r="Z66" i="21"/>
  <c r="Z69" i="21"/>
  <c r="Z71" i="21"/>
  <c r="Z76" i="21"/>
  <c r="Z77" i="21"/>
  <c r="Z78" i="21"/>
  <c r="Z81" i="21"/>
  <c r="Z83" i="21"/>
  <c r="Z88" i="21"/>
  <c r="Z89" i="21"/>
  <c r="Z90" i="21"/>
  <c r="Z95" i="21"/>
  <c r="Z97" i="21"/>
  <c r="Z98" i="21"/>
  <c r="Z99" i="21"/>
  <c r="Z100" i="21"/>
  <c r="Z102" i="21"/>
  <c r="Z105" i="21"/>
  <c r="Z108" i="21"/>
  <c r="Z110" i="21"/>
  <c r="Z113" i="21"/>
  <c r="Z114" i="21"/>
  <c r="Z116" i="21"/>
  <c r="Z118" i="21"/>
  <c r="Z119" i="21"/>
  <c r="Z120" i="21"/>
  <c r="Z121" i="21"/>
  <c r="Z122" i="21"/>
  <c r="Z125" i="21"/>
  <c r="Z126" i="21"/>
  <c r="Z127" i="21"/>
  <c r="Z128" i="21"/>
  <c r="Z129" i="21"/>
  <c r="Z131" i="21"/>
  <c r="Z134" i="21"/>
  <c r="Z137" i="21"/>
  <c r="Z139" i="21"/>
  <c r="Z141" i="21"/>
  <c r="Z145" i="21"/>
  <c r="Z146" i="21"/>
  <c r="Z149" i="21"/>
  <c r="Z150" i="21"/>
  <c r="Z151" i="21"/>
  <c r="Z153" i="21"/>
  <c r="Z156" i="21"/>
  <c r="Z158" i="21"/>
  <c r="Z159" i="21"/>
  <c r="Z161" i="21"/>
  <c r="Z163" i="21"/>
  <c r="Z165" i="21"/>
  <c r="Z168" i="21"/>
  <c r="Z169" i="21"/>
  <c r="Z170" i="21"/>
  <c r="Z172" i="21"/>
  <c r="Z175" i="21"/>
  <c r="Z177" i="21"/>
  <c r="Z178" i="21"/>
  <c r="Z191" i="21"/>
  <c r="Z192" i="21"/>
  <c r="Z193" i="21"/>
  <c r="Z194" i="21"/>
  <c r="Z195" i="21"/>
  <c r="Z196" i="21"/>
  <c r="Z197" i="21"/>
  <c r="Z198" i="21"/>
  <c r="Z199" i="21"/>
  <c r="Z200" i="21"/>
  <c r="Z201" i="21"/>
  <c r="Z202" i="21"/>
  <c r="Z203" i="21"/>
  <c r="Z204" i="21"/>
  <c r="Z205" i="21"/>
  <c r="Z206" i="21"/>
  <c r="Z207" i="21"/>
  <c r="Z208" i="21"/>
  <c r="Z209" i="21"/>
  <c r="Z210" i="21"/>
  <c r="Z213" i="21"/>
  <c r="Z214" i="21"/>
  <c r="Z215" i="21"/>
  <c r="Z216" i="21"/>
  <c r="Z217" i="21"/>
  <c r="Z218" i="21"/>
  <c r="Z219" i="21"/>
  <c r="Z220" i="21"/>
  <c r="Z221" i="21"/>
  <c r="Z222" i="21"/>
  <c r="Z223" i="21"/>
  <c r="Z224" i="21"/>
  <c r="Z225" i="21"/>
  <c r="Z226" i="21"/>
  <c r="Z227" i="21"/>
  <c r="Z228" i="21"/>
  <c r="Z229" i="21"/>
  <c r="Z232" i="21"/>
  <c r="Z237" i="21"/>
  <c r="Z238" i="21"/>
  <c r="Z240" i="21"/>
  <c r="Z241" i="21"/>
  <c r="Z242" i="21"/>
  <c r="Z243" i="21"/>
  <c r="Z244" i="21"/>
  <c r="Z245" i="21"/>
  <c r="Z246" i="21"/>
  <c r="Z248" i="21"/>
  <c r="Z5" i="21"/>
  <c r="Z7" i="21"/>
  <c r="Z8" i="21"/>
  <c r="Z9" i="21"/>
  <c r="Z10" i="21"/>
  <c r="Z11" i="21"/>
  <c r="Z12" i="21"/>
  <c r="Z13" i="21"/>
  <c r="Z14" i="21"/>
  <c r="Z16" i="21"/>
  <c r="Z17" i="21"/>
  <c r="Z18" i="21"/>
  <c r="Z19" i="21"/>
  <c r="Z20" i="21"/>
  <c r="Z21" i="21"/>
  <c r="Z26" i="21"/>
  <c r="Z27" i="21"/>
  <c r="Z28" i="21"/>
  <c r="Z29" i="21"/>
  <c r="Z30" i="21"/>
  <c r="Z31" i="21"/>
  <c r="Z32" i="21"/>
  <c r="Z33" i="21"/>
  <c r="Z34" i="21"/>
  <c r="Z35" i="21"/>
  <c r="Z40" i="21"/>
  <c r="Z41" i="21"/>
  <c r="Z42" i="21"/>
  <c r="Z4" i="21" l="1"/>
  <c r="Y235" i="21" l="1"/>
  <c r="Y6" i="21" l="1"/>
  <c r="Z6" i="21" s="1"/>
  <c r="Y7" i="21"/>
  <c r="Y8" i="21"/>
  <c r="Y9" i="21"/>
  <c r="Y10" i="21"/>
  <c r="Y11" i="21"/>
  <c r="Y12" i="21"/>
  <c r="Y13" i="21"/>
  <c r="Y14" i="21"/>
  <c r="Y16" i="21"/>
  <c r="Y17" i="21"/>
  <c r="Y18" i="21"/>
  <c r="Y19" i="21"/>
  <c r="Y20" i="21"/>
  <c r="Y21" i="21"/>
  <c r="Y26" i="21"/>
  <c r="Y35" i="21"/>
  <c r="Y40" i="21"/>
  <c r="Y41" i="21"/>
  <c r="Y42" i="21"/>
  <c r="Y45" i="21"/>
  <c r="Y47" i="21"/>
  <c r="Y51" i="21"/>
  <c r="Y58" i="21"/>
  <c r="Y59" i="21"/>
  <c r="Y64" i="21"/>
  <c r="Y69" i="21"/>
  <c r="Y71" i="21"/>
  <c r="Y76" i="21"/>
  <c r="Y81" i="21"/>
  <c r="Y83" i="21"/>
  <c r="Y88" i="21"/>
  <c r="Y95" i="21"/>
  <c r="Y97" i="21"/>
  <c r="Y99" i="21"/>
  <c r="Y100" i="21"/>
  <c r="Y102" i="21"/>
  <c r="Y105" i="21"/>
  <c r="Y108" i="21"/>
  <c r="Y110" i="21"/>
  <c r="Y114" i="21"/>
  <c r="Y116" i="21"/>
  <c r="Y122" i="21"/>
  <c r="Y125" i="21"/>
  <c r="Y128" i="21"/>
  <c r="Y129" i="21"/>
  <c r="Y131" i="21"/>
  <c r="Y134" i="21"/>
  <c r="Y137" i="21"/>
  <c r="Y139" i="21"/>
  <c r="Y141" i="21"/>
  <c r="Y146" i="21"/>
  <c r="Y150" i="21"/>
  <c r="Y151" i="21"/>
  <c r="Y153" i="21"/>
  <c r="Y156" i="21"/>
  <c r="Y158" i="21"/>
  <c r="Y159" i="21"/>
  <c r="Y161" i="21"/>
  <c r="Y163" i="21"/>
  <c r="Y165" i="21"/>
  <c r="Y169" i="21"/>
  <c r="Y170" i="21"/>
  <c r="Y172" i="21"/>
  <c r="Y175" i="21"/>
  <c r="Y177" i="21"/>
  <c r="Y178" i="21"/>
  <c r="Y179" i="21"/>
  <c r="Z179" i="21" s="1"/>
  <c r="Y180" i="21"/>
  <c r="Z180" i="21" s="1"/>
  <c r="Y181" i="21"/>
  <c r="Z181" i="21" s="1"/>
  <c r="Y182" i="21"/>
  <c r="Z182" i="21" s="1"/>
  <c r="Y183" i="21"/>
  <c r="Z183" i="21" s="1"/>
  <c r="Y184" i="21"/>
  <c r="Z184" i="21" s="1"/>
  <c r="Y185" i="21"/>
  <c r="Z185" i="21" s="1"/>
  <c r="Y186" i="21"/>
  <c r="Z186" i="21" s="1"/>
  <c r="Y187" i="21"/>
  <c r="Z187" i="21" s="1"/>
  <c r="Y188" i="21"/>
  <c r="Z188" i="21" s="1"/>
  <c r="Y189" i="21"/>
  <c r="Z189" i="21" s="1"/>
  <c r="Y190" i="21"/>
  <c r="Z190" i="21" s="1"/>
  <c r="Y191" i="21"/>
  <c r="Y192" i="21"/>
  <c r="Y193" i="21"/>
  <c r="Y194" i="21"/>
  <c r="Y195" i="21"/>
  <c r="Y196" i="21"/>
  <c r="Y197" i="21"/>
  <c r="Y198" i="21"/>
  <c r="Y199" i="21"/>
  <c r="Y200" i="21"/>
  <c r="Y201" i="21"/>
  <c r="Y202" i="21"/>
  <c r="Y203" i="21"/>
  <c r="Y204" i="21"/>
  <c r="Y205" i="21"/>
  <c r="Y206" i="21"/>
  <c r="Y207" i="21"/>
  <c r="Y208" i="21"/>
  <c r="Y209" i="21"/>
  <c r="Y210" i="21"/>
  <c r="Y211" i="21"/>
  <c r="Z211" i="21" s="1"/>
  <c r="Y212" i="21"/>
  <c r="Z212" i="21" s="1"/>
  <c r="Y213" i="21"/>
  <c r="Y214" i="21"/>
  <c r="Y215" i="21"/>
  <c r="Y216" i="21"/>
  <c r="Y217" i="21"/>
  <c r="Y218" i="21"/>
  <c r="Y219" i="21"/>
  <c r="Y220" i="21"/>
  <c r="Y221" i="21"/>
  <c r="Y222" i="21"/>
  <c r="Y223" i="21"/>
  <c r="Y224" i="21"/>
  <c r="Y225" i="21"/>
  <c r="Y226" i="21"/>
  <c r="Y227" i="21"/>
  <c r="Y228" i="21"/>
  <c r="Y229" i="21"/>
  <c r="Y230" i="21"/>
  <c r="Z230" i="21" s="1"/>
  <c r="Y231" i="21"/>
  <c r="Z231" i="21" s="1"/>
  <c r="Y232" i="21"/>
  <c r="Y233" i="21"/>
  <c r="Z233" i="21" s="1"/>
  <c r="Y234" i="21"/>
  <c r="Z234" i="21" s="1"/>
  <c r="Y237" i="21"/>
  <c r="Y238" i="21"/>
  <c r="Y239" i="21"/>
  <c r="Z239" i="21" s="1"/>
  <c r="Y240" i="21"/>
  <c r="Y241" i="21"/>
  <c r="Y242" i="21"/>
  <c r="Y243" i="21"/>
  <c r="Y244" i="21"/>
  <c r="Y245" i="21"/>
  <c r="Y246" i="21"/>
  <c r="Y247" i="21"/>
  <c r="Z247" i="21" s="1"/>
  <c r="Y248" i="21"/>
  <c r="Y5" i="21"/>
  <c r="Y4" i="21"/>
  <c r="E118" i="21" l="1"/>
  <c r="Q118" i="21"/>
  <c r="E119" i="21"/>
  <c r="Q119" i="21"/>
  <c r="E120" i="21"/>
  <c r="Q120" i="21"/>
  <c r="E121" i="21"/>
  <c r="Q121" i="21"/>
  <c r="Q177" i="21"/>
  <c r="Q176" i="21"/>
  <c r="Y176" i="21" s="1"/>
  <c r="Z176" i="21" s="1"/>
  <c r="Q175" i="21"/>
  <c r="Q174" i="21"/>
  <c r="Q173" i="21"/>
  <c r="Q172" i="21"/>
  <c r="Q171" i="21"/>
  <c r="Q169" i="21"/>
  <c r="Q168" i="21"/>
  <c r="Q167" i="21"/>
  <c r="Q166" i="21"/>
  <c r="Q165" i="21"/>
  <c r="Q164" i="21"/>
  <c r="Q163" i="21"/>
  <c r="Q162" i="21"/>
  <c r="Q161" i="21"/>
  <c r="Q160" i="21"/>
  <c r="Q135" i="21"/>
  <c r="Q133" i="21"/>
  <c r="Q132" i="21"/>
  <c r="Q131" i="21"/>
  <c r="Q130" i="21"/>
  <c r="Q128" i="21"/>
  <c r="Q127" i="21"/>
  <c r="Y127" i="21" s="1"/>
  <c r="Q126" i="21"/>
  <c r="Q125" i="21"/>
  <c r="Q124" i="21"/>
  <c r="Q123" i="21"/>
  <c r="Q122" i="21"/>
  <c r="Q117" i="21"/>
  <c r="Q116" i="21"/>
  <c r="Q115" i="21"/>
  <c r="Q114" i="21"/>
  <c r="Q113" i="21"/>
  <c r="Q110" i="21"/>
  <c r="Q109" i="21"/>
  <c r="Y109" i="21" s="1"/>
  <c r="Z109" i="21" s="1"/>
  <c r="Q108" i="21"/>
  <c r="Q107" i="21"/>
  <c r="Q106" i="21"/>
  <c r="Y106" i="21" s="1"/>
  <c r="Z106" i="21" s="1"/>
  <c r="Q105" i="21"/>
  <c r="Q104" i="21"/>
  <c r="Q103" i="21"/>
  <c r="Q102" i="21"/>
  <c r="Q101" i="21"/>
  <c r="Q134" i="21"/>
  <c r="Q138" i="21"/>
  <c r="Y138" i="21" s="1"/>
  <c r="Z138" i="21" s="1"/>
  <c r="Q157" i="21"/>
  <c r="Q156" i="21"/>
  <c r="Q155" i="21"/>
  <c r="Q154" i="21"/>
  <c r="Q153" i="21"/>
  <c r="Q152" i="21"/>
  <c r="Q150" i="21"/>
  <c r="Q149" i="21"/>
  <c r="Q148" i="21"/>
  <c r="Y148" i="21" s="1"/>
  <c r="Z148" i="21" s="1"/>
  <c r="Q147" i="21"/>
  <c r="Q146" i="21"/>
  <c r="Q145" i="21"/>
  <c r="Q144" i="21"/>
  <c r="Q143" i="21"/>
  <c r="Q142" i="21"/>
  <c r="Q141" i="21"/>
  <c r="Q140" i="21"/>
  <c r="Q139" i="21"/>
  <c r="Q158" i="21"/>
  <c r="E5" i="21"/>
  <c r="E6" i="21"/>
  <c r="E7" i="21"/>
  <c r="E8" i="21"/>
  <c r="E9" i="21"/>
  <c r="E10" i="21"/>
  <c r="E11" i="21"/>
  <c r="E12" i="21"/>
  <c r="E13" i="21"/>
  <c r="E14" i="21"/>
  <c r="E16" i="21"/>
  <c r="E17" i="21"/>
  <c r="E18" i="21"/>
  <c r="E19" i="21"/>
  <c r="E20" i="21"/>
  <c r="E22" i="21"/>
  <c r="Q22" i="21"/>
  <c r="Y22" i="21" s="1"/>
  <c r="Z22" i="21" s="1"/>
  <c r="E23" i="21"/>
  <c r="Q23" i="21"/>
  <c r="Y23" i="21" s="1"/>
  <c r="Z23" i="21" s="1"/>
  <c r="E24" i="21"/>
  <c r="Q24" i="21"/>
  <c r="Y24" i="21" s="1"/>
  <c r="Z24" i="21" s="1"/>
  <c r="A25" i="21"/>
  <c r="E25" i="21"/>
  <c r="Q25" i="21"/>
  <c r="Q26" i="21"/>
  <c r="E27" i="21"/>
  <c r="Q27" i="21"/>
  <c r="E28" i="21"/>
  <c r="Q28" i="21"/>
  <c r="Y28" i="21" s="1"/>
  <c r="E29" i="21"/>
  <c r="Q29" i="21"/>
  <c r="E30" i="21"/>
  <c r="Q30" i="21"/>
  <c r="Y30" i="21" s="1"/>
  <c r="E31" i="21"/>
  <c r="Q31" i="21"/>
  <c r="Q32" i="21"/>
  <c r="E33" i="21"/>
  <c r="Q33" i="21"/>
  <c r="Y33" i="21" s="1"/>
  <c r="E34" i="21"/>
  <c r="Q34" i="21"/>
  <c r="Q35" i="21"/>
  <c r="E36" i="21"/>
  <c r="Q36" i="21"/>
  <c r="A37" i="21"/>
  <c r="A39" i="21" s="1"/>
  <c r="E37" i="21"/>
  <c r="Q37" i="21"/>
  <c r="Y37" i="21" s="1"/>
  <c r="Z37" i="21" s="1"/>
  <c r="E39" i="21"/>
  <c r="Q39" i="21"/>
  <c r="Q40" i="21"/>
  <c r="Q42" i="21"/>
  <c r="Q44" i="21"/>
  <c r="Y44" i="21" s="1"/>
  <c r="Z44" i="21" s="1"/>
  <c r="Q45" i="21"/>
  <c r="Q46" i="21"/>
  <c r="Q47" i="21"/>
  <c r="Q48" i="21"/>
  <c r="Q49" i="21"/>
  <c r="Q50" i="21"/>
  <c r="Q51" i="21"/>
  <c r="A52" i="21"/>
  <c r="Q52" i="21"/>
  <c r="Y52" i="21" s="1"/>
  <c r="Q53" i="21"/>
  <c r="Q54" i="21"/>
  <c r="Q55" i="21"/>
  <c r="Q56" i="21"/>
  <c r="Q57" i="21"/>
  <c r="Q59" i="21"/>
  <c r="E60" i="21"/>
  <c r="Q60" i="21"/>
  <c r="Q64" i="21"/>
  <c r="E65" i="21"/>
  <c r="Q65" i="21"/>
  <c r="Y65" i="21" s="1"/>
  <c r="E66" i="21"/>
  <c r="Q66" i="21"/>
  <c r="Y66" i="21" s="1"/>
  <c r="Q69" i="21"/>
  <c r="A70" i="21"/>
  <c r="A72" i="21" s="1"/>
  <c r="E70" i="21"/>
  <c r="Q70" i="21"/>
  <c r="Q71" i="21"/>
  <c r="E72" i="21"/>
  <c r="Q72" i="21"/>
  <c r="Y72" i="21" s="1"/>
  <c r="Z72" i="21" s="1"/>
  <c r="Q76" i="21"/>
  <c r="E77" i="21"/>
  <c r="Q77" i="21"/>
  <c r="A78" i="21"/>
  <c r="E78" i="21"/>
  <c r="Q78" i="21"/>
  <c r="Y78" i="21" s="1"/>
  <c r="Q81" i="21"/>
  <c r="A82" i="21"/>
  <c r="A84" i="21" s="1"/>
  <c r="A89" i="21" s="1"/>
  <c r="A90" i="21" s="1"/>
  <c r="A98" i="21" s="1"/>
  <c r="A96" i="21" s="1"/>
  <c r="E82" i="21"/>
  <c r="Q82" i="21"/>
  <c r="Y82" i="21" s="1"/>
  <c r="Z82" i="21" s="1"/>
  <c r="Q83" i="21"/>
  <c r="E84" i="21"/>
  <c r="Q84" i="21"/>
  <c r="Q88" i="21"/>
  <c r="E89" i="21"/>
  <c r="Q89" i="21"/>
  <c r="Y89" i="21" s="1"/>
  <c r="E90" i="21"/>
  <c r="Q90" i="21"/>
  <c r="Q95" i="21"/>
  <c r="E96" i="21"/>
  <c r="Q96" i="21"/>
  <c r="Y96" i="21" s="1"/>
  <c r="Z96" i="21" s="1"/>
  <c r="E97" i="21"/>
  <c r="Q97" i="21"/>
  <c r="E98" i="21"/>
  <c r="Q98" i="21"/>
  <c r="Q99" i="21"/>
  <c r="A101" i="21"/>
  <c r="A106" i="21" s="1"/>
  <c r="A109" i="21" s="1"/>
  <c r="A113" i="21" s="1"/>
  <c r="A115" i="21" s="1"/>
  <c r="A117" i="21" s="1"/>
  <c r="A118" i="21" s="1"/>
  <c r="A119" i="21" s="1"/>
  <c r="A120" i="21" s="1"/>
  <c r="A121" i="21" s="1"/>
  <c r="A123" i="21" s="1"/>
  <c r="A124" i="21" s="1"/>
  <c r="E101" i="21"/>
  <c r="E103" i="21"/>
  <c r="E104" i="21"/>
  <c r="E106" i="21"/>
  <c r="E107" i="21"/>
  <c r="E109" i="21"/>
  <c r="E113" i="21"/>
  <c r="E115" i="21"/>
  <c r="E117" i="21"/>
  <c r="E123" i="21"/>
  <c r="E124" i="21"/>
  <c r="E126" i="21"/>
  <c r="E127" i="21"/>
  <c r="E130" i="21"/>
  <c r="E132" i="21"/>
  <c r="E133" i="21"/>
  <c r="E135" i="21"/>
  <c r="E138" i="21"/>
  <c r="E140" i="21"/>
  <c r="E142" i="21"/>
  <c r="E143" i="21"/>
  <c r="E144" i="21"/>
  <c r="E145" i="21"/>
  <c r="A147" i="21"/>
  <c r="A148" i="21" s="1"/>
  <c r="A152" i="21" s="1"/>
  <c r="A154" i="21" s="1"/>
  <c r="A155" i="21" s="1"/>
  <c r="A157" i="21" s="1"/>
  <c r="A160" i="21" s="1"/>
  <c r="A162" i="21" s="1"/>
  <c r="A164" i="21" s="1"/>
  <c r="A166" i="21" s="1"/>
  <c r="A167" i="21" s="1"/>
  <c r="A168" i="21" s="1"/>
  <c r="A171" i="21" s="1"/>
  <c r="A173" i="21" s="1"/>
  <c r="A174" i="21" s="1"/>
  <c r="A176"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3" i="21" s="1"/>
  <c r="A224" i="21" s="1"/>
  <c r="A225" i="21" s="1"/>
  <c r="A226" i="21" s="1"/>
  <c r="A227" i="21" s="1"/>
  <c r="A228" i="21" s="1"/>
  <c r="A230" i="21" s="1"/>
  <c r="A231" i="21" s="1"/>
  <c r="A233" i="21" s="1"/>
  <c r="A234" i="21" s="1"/>
  <c r="E147" i="21"/>
  <c r="E148" i="21"/>
  <c r="E149" i="21"/>
  <c r="E152" i="21"/>
  <c r="E154" i="21"/>
  <c r="E155" i="21"/>
  <c r="E157" i="21"/>
  <c r="E160" i="21"/>
  <c r="E162" i="21"/>
  <c r="E164" i="21"/>
  <c r="E166" i="21"/>
  <c r="E167" i="21"/>
  <c r="E168" i="21"/>
  <c r="E171" i="21"/>
  <c r="E173" i="21"/>
  <c r="E174" i="21"/>
  <c r="E176"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48" i="21"/>
  <c r="A53" i="21" l="1"/>
  <c r="A43" i="21"/>
  <c r="Y98" i="21"/>
  <c r="Y55" i="21"/>
  <c r="Y48" i="21"/>
  <c r="Z48" i="21" s="1"/>
  <c r="Y140" i="21"/>
  <c r="Z140" i="21" s="1"/>
  <c r="Y157" i="21"/>
  <c r="Z157" i="21" s="1"/>
  <c r="Y121" i="21"/>
  <c r="Y60" i="21"/>
  <c r="Z60" i="21" s="1"/>
  <c r="Y34" i="21"/>
  <c r="Y149" i="21"/>
  <c r="Y107" i="21"/>
  <c r="Z107" i="21" s="1"/>
  <c r="Y117" i="21"/>
  <c r="Z117" i="21" s="1"/>
  <c r="Y130" i="21"/>
  <c r="Z130" i="21" s="1"/>
  <c r="Y162" i="21"/>
  <c r="Z162" i="21" s="1"/>
  <c r="Y171" i="21"/>
  <c r="Z171" i="21" s="1"/>
  <c r="Y142" i="21"/>
  <c r="Z142" i="21" s="1"/>
  <c r="Y46" i="21"/>
  <c r="Z46" i="21" s="1"/>
  <c r="Y39" i="21"/>
  <c r="Z39" i="21" s="1"/>
  <c r="Y29" i="21"/>
  <c r="Y25" i="21"/>
  <c r="Z25" i="21" s="1"/>
  <c r="Y143" i="21"/>
  <c r="Z143" i="21" s="1"/>
  <c r="Y152" i="21"/>
  <c r="Z152" i="21" s="1"/>
  <c r="Y101" i="21"/>
  <c r="Z101" i="21" s="1"/>
  <c r="Y123" i="21"/>
  <c r="Z123" i="21" s="1"/>
  <c r="Y132" i="21"/>
  <c r="Z132" i="21" s="1"/>
  <c r="Y164" i="21"/>
  <c r="Z164" i="21" s="1"/>
  <c r="Y173" i="21"/>
  <c r="Z173" i="21" s="1"/>
  <c r="Y84" i="21"/>
  <c r="Z84" i="21" s="1"/>
  <c r="Y57" i="21"/>
  <c r="Y53" i="21"/>
  <c r="Y50" i="21"/>
  <c r="Z50" i="21" s="1"/>
  <c r="Y144" i="21"/>
  <c r="Z144" i="21" s="1"/>
  <c r="Y124" i="21"/>
  <c r="Z124" i="21" s="1"/>
  <c r="Y133" i="21"/>
  <c r="Z133" i="21" s="1"/>
  <c r="Y174" i="21"/>
  <c r="Z174" i="21" s="1"/>
  <c r="Y119" i="21"/>
  <c r="Y54" i="21"/>
  <c r="Y120" i="21"/>
  <c r="Y32" i="21"/>
  <c r="Y145" i="21"/>
  <c r="Y154" i="21"/>
  <c r="Z154" i="21" s="1"/>
  <c r="Y103" i="21"/>
  <c r="Z103" i="21" s="1"/>
  <c r="Y113" i="21"/>
  <c r="Y166" i="21"/>
  <c r="Z166" i="21" s="1"/>
  <c r="Y90" i="21"/>
  <c r="Y77" i="21"/>
  <c r="Y70" i="21"/>
  <c r="Z70" i="21" s="1"/>
  <c r="Y56" i="21"/>
  <c r="Y49" i="21"/>
  <c r="Z49" i="21" s="1"/>
  <c r="Y36" i="21"/>
  <c r="Z36" i="21" s="1"/>
  <c r="Y155" i="21"/>
  <c r="Z155" i="21" s="1"/>
  <c r="Y104" i="21"/>
  <c r="Z104" i="21" s="1"/>
  <c r="Y126" i="21"/>
  <c r="Y135" i="21"/>
  <c r="Z135" i="21" s="1"/>
  <c r="Y167" i="21"/>
  <c r="Z167" i="21" s="1"/>
  <c r="Y118" i="21"/>
  <c r="Y31" i="21"/>
  <c r="Y27" i="21"/>
  <c r="Y147" i="21"/>
  <c r="Z147" i="21" s="1"/>
  <c r="Y115" i="21"/>
  <c r="Z115" i="21" s="1"/>
  <c r="Y160" i="21"/>
  <c r="Z160" i="21" s="1"/>
  <c r="Y168" i="21"/>
  <c r="A132" i="21"/>
  <c r="A133" i="21" s="1"/>
  <c r="A135" i="21" s="1"/>
  <c r="A138" i="21" s="1"/>
  <c r="A140" i="21" s="1"/>
  <c r="A142" i="21" s="1"/>
  <c r="A143" i="21" s="1"/>
  <c r="A126" i="21"/>
  <c r="A54" i="21" l="1"/>
  <c r="A44" i="21"/>
  <c r="Y251" i="21"/>
  <c r="Y253" i="21"/>
  <c r="Y252" i="21"/>
  <c r="Z251" i="21"/>
  <c r="A55" i="21" l="1"/>
  <c r="A46" i="21"/>
  <c r="A48" i="21" s="1"/>
  <c r="A56" i="21" l="1"/>
  <c r="A57" i="21" l="1"/>
  <c r="A60" i="2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<sst xmlns="http://schemas.openxmlformats.org/spreadsheetml/2006/main" count="2607" uniqueCount="1340">
  <si>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</si>
  <si>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</si>
  <si>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</si>
  <si>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</si>
  <si>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</si>
  <si>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</si>
  <si>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</si>
  <si>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</si>
  <si>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</si>
  <si>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</si>
  <si>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</si>
  <si>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</si>
  <si>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</si>
  <si>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 xml:space="preserve">Default skip patterns &amp; conditional </t>
  </si>
  <si>
    <t>Specify skip pattern variable (from blue text)</t>
  </si>
  <si>
    <t>Estimated percentage of repondents</t>
  </si>
  <si>
    <t>Mandatory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</si>
  <si>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</si>
  <si>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</si>
  <si>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</si>
  <si>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</si>
  <si>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</si>
  <si>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</si>
  <si>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</si>
  <si>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</si>
  <si>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</si>
  <si>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yes</t>
  </si>
  <si>
    <t>Any Response = calldispo</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</si>
  <si>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</si>
  <si>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</si>
  <si>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</si>
  <si>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</si>
  <si>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</si>
  <si>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</si>
  <si>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</si>
  <si>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</si>
  <si>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</si>
  <si>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</si>
  <si>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</si>
  <si>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</si>
  <si>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</si>
  <si>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</si>
  <si>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</si>
  <si>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</si>
  <si>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</si>
  <si>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</si>
  <si>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</si>
  <si>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</si>
  <si>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</si>
  <si>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</si>
  <si>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</si>
  <si>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</si>
  <si>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</si>
  <si>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</si>
  <si>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</si>
  <si>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</si>
  <si>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</si>
  <si>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</si>
  <si>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</si>
  <si>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</si>
  <si>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</si>
  <si>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</si>
  <si>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</si>
  <si>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</si>
  <si>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</si>
  <si>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</si>
  <si>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</si>
  <si>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</si>
  <si>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</si>
  <si>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</si>
  <si>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</si>
  <si>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Any Response = CallbackMessageEN</t>
  </si>
  <si>
    <r>
      <t xml:space="preserve">For any response, go to </t>
    </r>
    <r>
      <rPr>
        <i/>
        <sz val="12"/>
        <rFont val="Calibri"/>
        <family val="2"/>
        <scheme val="minor"/>
      </rPr>
      <t>CallbackMessageEN</t>
    </r>
  </si>
  <si>
    <t>CallbackMessageEN</t>
  </si>
  <si>
    <t>callbackmessage_en</t>
  </si>
  <si>
    <t>Ineligible</t>
  </si>
  <si>
    <t>End Poll Ineligible</t>
  </si>
  <si>
    <t>Refusal</t>
  </si>
  <si>
    <t>NA </t>
  </si>
  <si>
    <t>Thank you for your time, you will be removed from today's survey.</t>
  </si>
  <si>
    <t>End poll declined</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</si>
  <si>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</si>
  <si>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</si>
  <si>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</si>
  <si>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</si>
  <si>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</si>
  <si>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</si>
  <si>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</si>
  <si>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</si>
  <si>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</si>
  <si>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</si>
  <si>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</si>
  <si>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</si>
  <si>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</si>
  <si>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resp_gender</t>
  </si>
  <si>
    <t>phone_number_conf</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</si>
  <si>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</si>
  <si>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</si>
  <si>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</si>
  <si>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</si>
  <si>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</si>
  <si>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t>Any Response = contact_2</t>
  </si>
  <si>
    <t>For any response, go to contact_2</t>
  </si>
  <si>
    <t>contact_2</t>
  </si>
  <si>
    <t>phone_number_2</t>
  </si>
  <si>
    <t>Any Response = contact_2_name</t>
  </si>
  <si>
    <t>For any response, go to contact_2_name</t>
  </si>
  <si>
    <t>contact_2_name</t>
  </si>
  <si>
    <t>Any Response = contact_3</t>
  </si>
  <si>
    <t>contact_3</t>
  </si>
  <si>
    <t>phone_number_3</t>
  </si>
  <si>
    <t>Any Response = contact_3_name</t>
  </si>
  <si>
    <t>For any response, go to contact_3_name</t>
  </si>
  <si>
    <t>contact_3_name</t>
  </si>
  <si>
    <t>phone_number_3_name</t>
  </si>
  <si>
    <t>Any Response = hh_admin1</t>
  </si>
  <si>
    <t>hh_admin1</t>
  </si>
  <si>
    <t xml:space="preserve">The administrative information will be updated by GeoPoll based on the sample design document and the administrative boundaries provided by the dashboard team after the questionnaire validation. </t>
  </si>
  <si>
    <t>hh_admin2_1</t>
  </si>
  <si>
    <t>quotareached</t>
  </si>
  <si>
    <t>hh_agricactivity</t>
  </si>
  <si>
    <t>B. GENERAL HOUSEHOLD INFORMATION</t>
  </si>
  <si>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</si>
  <si>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</si>
  <si>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</si>
  <si>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</si>
  <si>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</si>
  <si>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</si>
  <si>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</si>
  <si>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</si>
  <si>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</si>
  <si>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</si>
  <si>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</si>
  <si>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t>hh_wealth_toilet</t>
  </si>
  <si>
    <r>
      <t xml:space="preserve">
</t>
    </r>
    <r>
      <rPr>
        <sz val="12"/>
        <rFont val="Calibri"/>
        <family val="2"/>
        <scheme val="minor"/>
      </rPr>
      <t>1-7 =</t>
    </r>
    <r>
      <rPr>
        <b/>
        <sz val="12"/>
        <color theme="4"/>
        <rFont val="Calibri"/>
        <family val="2"/>
        <scheme val="minor"/>
      </rPr>
      <t xml:space="preserve"> [income_main OR other optional question]</t>
    </r>
  </si>
  <si>
    <t>hh_wealth_light</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</si>
  <si>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</si>
  <si>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</si>
  <si>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hh_size</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</si>
  <si>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</si>
  <si>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</si>
  <si>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t>Select All That Apply</t>
  </si>
  <si>
    <t>Form Type - Checklist</t>
  </si>
  <si>
    <t xml:space="preserve">This wealth indicator may be useful to Identify poor households in middle income countries. It could be interesting for F2F surveys, to be used as baseline reference for follow-up surveys. </t>
  </si>
  <si>
    <t>hh_asset_transp</t>
  </si>
  <si>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</si>
  <si>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</si>
  <si>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</si>
  <si>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</si>
  <si>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</si>
  <si>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</si>
  <si>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</si>
  <si>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</si>
  <si>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t>Form Type - Buttons
set demographic</t>
  </si>
  <si>
    <r>
      <t xml:space="preserve">1-4 = </t>
    </r>
    <r>
      <rPr>
        <sz val="12"/>
        <color theme="4"/>
        <rFont val="Calibri"/>
        <family val="2"/>
        <scheme val="minor"/>
      </rPr>
      <t>income_main_comp OR optional question</t>
    </r>
  </si>
  <si>
    <t>income_main_gender</t>
  </si>
  <si>
    <t>income_main_amount</t>
  </si>
  <si>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</si>
  <si>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</si>
  <si>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</si>
  <si>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t>income_main_comp</t>
  </si>
  <si>
    <t>1-7= income_sec</t>
  </si>
  <si>
    <t>income_sec</t>
  </si>
  <si>
    <r>
      <t xml:space="preserve">1-4 = </t>
    </r>
    <r>
      <rPr>
        <sz val="12"/>
        <color theme="4"/>
        <rFont val="Calibri"/>
        <family val="2"/>
        <scheme val="minor"/>
      </rPr>
      <t>income_sec_comp OR optional question</t>
    </r>
  </si>
  <si>
    <t>income_sec_gender</t>
  </si>
  <si>
    <t>income_sec_amount</t>
  </si>
  <si>
    <t>income_sec_amount_conf</t>
  </si>
  <si>
    <t>income_sec_comp</t>
  </si>
  <si>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</si>
  <si>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</si>
  <si>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</si>
  <si>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t xml:space="preserve">1-4 = </t>
    </r>
    <r>
      <rPr>
        <sz val="12"/>
        <color theme="4"/>
        <rFont val="Calibri"/>
        <family val="2"/>
        <scheme val="minor"/>
      </rPr>
      <t>income_third_comp OR optional question</t>
    </r>
  </si>
  <si>
    <t>income_third_gender</t>
  </si>
  <si>
    <t>income_third_amount</t>
  </si>
  <si>
    <t>income_third_amount_conf</t>
  </si>
  <si>
    <t>income_third_comp</t>
  </si>
  <si>
    <t>shock</t>
  </si>
  <si>
    <t>hh_explanation</t>
  </si>
  <si>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</si>
  <si>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</si>
  <si>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t xml:space="preserve">Open Ended - Select All That Apply </t>
  </si>
  <si>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</si>
  <si>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</si>
  <si>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</si>
  <si>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1 =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</si>
  <si>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</si>
  <si>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</si>
  <si>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</si>
  <si>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</si>
  <si>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</si>
  <si>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</si>
  <si>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</si>
  <si>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</si>
  <si>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</si>
  <si>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t>crp_main_check</t>
  </si>
  <si>
    <t>crp_seed_supply</t>
  </si>
  <si>
    <t>crp_area_change</t>
  </si>
  <si>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</si>
  <si>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</si>
  <si>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</si>
  <si>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t>crp_harv_vol</t>
  </si>
  <si>
    <t xml:space="preserve">Keep this block of questions together, if used.
</t>
  </si>
  <si>
    <t>crp_harv_unit</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</si>
  <si>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</si>
  <si>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</si>
  <si>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</si>
  <si>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</si>
  <si>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</si>
  <si>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</si>
  <si>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</si>
  <si>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crp_proddif</t>
  </si>
  <si>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</si>
  <si>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t>crp_proddif_2</t>
  </si>
  <si>
    <t>crp_storage</t>
  </si>
  <si>
    <t>crp_all</t>
  </si>
  <si>
    <r>
      <t>crp_all_</t>
    </r>
    <r>
      <rPr>
        <sz val="12"/>
        <color theme="4"/>
        <rFont val="Calibri"/>
        <family val="2"/>
        <scheme val="minor"/>
      </rPr>
      <t>[name of crop as per crop list]</t>
    </r>
  </si>
  <si>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</si>
  <si>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</si>
  <si>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</si>
  <si>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</si>
  <si>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</si>
  <si>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crp_salesdif</t>
  </si>
  <si>
    <t>1 = crp_salesdif_2
2-4 = crp_salesprice</t>
  </si>
  <si>
    <t>crp_salesdif_2</t>
  </si>
  <si>
    <t>crp_salesprice</t>
  </si>
  <si>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</si>
  <si>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</si>
  <si>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</si>
  <si>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</si>
  <si>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</si>
  <si>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</si>
  <si>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</si>
  <si>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</si>
  <si>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ls_num_lastyr</t>
  </si>
  <si>
    <t>0-10000 = ls_num_now
88888-88888 = ls_num_now
99999-99999 = ls_num_now</t>
  </si>
  <si>
    <r>
      <t xml:space="preserve">answers can range from 0-10000; any response goes to </t>
    </r>
    <r>
      <rPr>
        <i/>
        <sz val="12"/>
        <rFont val="Calibri"/>
        <family val="2"/>
        <scheme val="minor"/>
      </rPr>
      <t>ls_num_now</t>
    </r>
  </si>
  <si>
    <t>ls_num_now</t>
  </si>
  <si>
    <t>0-10000 = ls_num_change
88888-88888 = ls_num_change
99999-99999 = ls_num_change</t>
  </si>
  <si>
    <r>
      <t xml:space="preserve">answers can range from 0-10000; any response goes to </t>
    </r>
    <r>
      <rPr>
        <i/>
        <sz val="12"/>
        <rFont val="Calibri"/>
        <family val="2"/>
        <scheme val="minor"/>
      </rPr>
      <t>ls_num_change</t>
    </r>
  </si>
  <si>
    <t>ls_num_change</t>
  </si>
  <si>
    <t>ls_proddif</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</si>
  <si>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</si>
  <si>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t>ls_proddif_2</t>
  </si>
  <si>
    <t>ls_all</t>
  </si>
  <si>
    <t>ls_all_
1)ls_all_cattle
2)ls_all_goats
3)ls_all_sheep
4)ls_all_swine
5)ls_all_equine
6)ls_all_smallmammals
7)ls_all_poultry
8)ls_all_camelids
9)ls_all_other
10)ls_all_none
11)ls_all_dk
12)ls_all_ref</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</si>
  <si>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</si>
  <si>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E. LIVESTOCK MARKETING</t>
  </si>
  <si>
    <t>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</si>
  <si>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</si>
  <si>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ls_salesdif</t>
  </si>
  <si>
    <t>ls_salesdif_2</t>
  </si>
  <si>
    <t>ls_salesprice</t>
  </si>
  <si>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</si>
  <si>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</si>
  <si>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</si>
  <si>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</si>
  <si>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</si>
  <si>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</si>
  <si>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fish_main</t>
  </si>
  <si>
    <t>Form Type - Checklist
5,6 = IsNone</t>
  </si>
  <si>
    <t>1-6 = fish_change</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</si>
  <si>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</si>
  <si>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</si>
  <si>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t>fish_proddif</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</si>
  <si>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</si>
  <si>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t>fish_proddif_2</t>
  </si>
  <si>
    <t>fish_inputdif</t>
  </si>
  <si>
    <t>F. FISHERIES MARKETING</t>
  </si>
  <si>
    <t>fish_salesmain</t>
  </si>
  <si>
    <t>fish_salesdif</t>
  </si>
  <si>
    <t>fish_salesprice</t>
  </si>
  <si>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</si>
  <si>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</si>
  <si>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</si>
  <si>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</si>
  <si>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</si>
  <si>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</si>
  <si>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</si>
  <si>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</si>
  <si>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</si>
  <si>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</si>
  <si>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</si>
  <si>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</si>
  <si>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</si>
  <si>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</si>
  <si>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</si>
  <si>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</si>
  <si>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</si>
  <si>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</si>
  <si>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</si>
  <si>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</si>
  <si>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</si>
  <si>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</si>
  <si>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</si>
  <si>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</si>
  <si>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</si>
  <si>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</si>
  <si>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</si>
  <si>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</si>
  <si>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</si>
  <si>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</si>
  <si>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</si>
  <si>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</si>
  <si>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</si>
  <si>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</si>
  <si>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</si>
  <si>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</si>
  <si>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</si>
  <si>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</si>
  <si>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</si>
  <si>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</si>
  <si>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</si>
  <si>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</si>
  <si>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</si>
  <si>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t>fies_whlday_hhs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</si>
  <si>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</si>
  <si>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</si>
  <si>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</si>
  <si>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</si>
  <si>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</si>
  <si>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</si>
  <si>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</si>
  <si>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</si>
  <si>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</si>
  <si>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</si>
  <si>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</si>
  <si>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</si>
  <si>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</si>
  <si>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</si>
  <si>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</si>
  <si>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</si>
  <si>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t>cs_stress_changed_school</t>
  </si>
  <si>
    <t>cs_crisis_sold_prod_assets</t>
  </si>
  <si>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</si>
  <si>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</si>
  <si>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</si>
  <si>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t>cs_crisis_harv_immature_crops</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</si>
  <si>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</si>
  <si>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</si>
  <si>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</si>
  <si>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</si>
  <si>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</si>
  <si>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</si>
  <si>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t>cs_emergency_sold_last_female</t>
  </si>
  <si>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</si>
  <si>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</si>
  <si>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hdds</t>
  </si>
  <si>
    <t>hdds
1) hdds_cereals
2) hdds_rootstubers
3) hdds_vegetables
4) hdds_fruits
5) hdds_meat
6) hdds_eggs
7) hdds_fish
8) hdds_legumes
9) hdds_milkdairy
10) hdds_oils
11)hdds_sugar
12) hdds_condiments</t>
  </si>
  <si>
    <t>1-12 = hdds_confirmation</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</si>
  <si>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</si>
  <si>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</si>
  <si>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</si>
  <si>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fcs_intro</t>
  </si>
  <si>
    <t>1 = fcs_staple_days</t>
  </si>
  <si>
    <t>if fcs_intro = 1, go to fcs_staple_days</t>
  </si>
  <si>
    <t>fcs_staple_days</t>
  </si>
  <si>
    <t>0-7 = fcs_pulses_days</t>
  </si>
  <si>
    <t>For any response, go to fcs_pulses_days</t>
  </si>
  <si>
    <t>fcs_pulses_days</t>
  </si>
  <si>
    <t>0-7 = fcs_fruit_days</t>
  </si>
  <si>
    <t>For any response, go to fcs_fruit_days</t>
  </si>
  <si>
    <t>fcs_fruit_days</t>
  </si>
  <si>
    <t>0-7 = fcs_meat_fish_days</t>
  </si>
  <si>
    <t>For any response, go to fcs_meat_fish_days</t>
  </si>
  <si>
    <t>fcs_meat_fish_days</t>
  </si>
  <si>
    <t>0-7 = fcs_dairy_days</t>
  </si>
  <si>
    <t>For any response, go to fcs_dairy_days</t>
  </si>
  <si>
    <t>fcs_dairy_days</t>
  </si>
  <si>
    <t>0-7 = fcs_sugar_days</t>
  </si>
  <si>
    <t>For any response, go to fcs_sugar_days</t>
  </si>
  <si>
    <t>fcs_sugar_days</t>
  </si>
  <si>
    <t>0-7 = fcs_oil_days</t>
  </si>
  <si>
    <t>For any response, go to fcs_oil_days</t>
  </si>
  <si>
    <t>fcs_oil_days</t>
  </si>
  <si>
    <t>0-7 = fcs_condiments_days</t>
  </si>
  <si>
    <t>For any response, go to fcs_condiments_days</t>
  </si>
  <si>
    <t>fcs_condiments_days</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</si>
  <si>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</si>
  <si>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</si>
  <si>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</si>
  <si>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</si>
  <si>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</si>
  <si>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</si>
  <si>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</si>
  <si>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</si>
  <si>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</si>
  <si>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</si>
  <si>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</si>
  <si>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</si>
  <si>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</si>
  <si>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</si>
  <si>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</si>
  <si>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For any response, go to rcsi_reduce_number_meals</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</si>
  <si>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</si>
  <si>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t>H. NEEDS ASSISTANCE</t>
  </si>
  <si>
    <t>need</t>
  </si>
  <si>
    <t>need_2</t>
  </si>
  <si>
    <t>need_received</t>
  </si>
  <si>
    <t>I. CLOSING</t>
  </si>
  <si>
    <t>callback</t>
  </si>
  <si>
    <t>Your answers will help us to understand and respond to your community needs. May we call you back again in a few months?
[OPERATOR: SINGLE RESPONSE.]
1)YES
2)NO</t>
  </si>
  <si>
    <t>leader_contact</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</si>
  <si>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</si>
  <si>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</si>
  <si>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</si>
  <si>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</si>
  <si>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leader_type</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</si>
  <si>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</si>
  <si>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</si>
  <si>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phone_number_leader</t>
  </si>
  <si>
    <t>Any Response = leader_name</t>
  </si>
  <si>
    <r>
      <t xml:space="preserve">For any response, go to </t>
    </r>
    <r>
      <rPr>
        <i/>
        <sz val="12"/>
        <color theme="9" tint="-0.499984740745262"/>
        <rFont val="Calibri (Body)"/>
      </rPr>
      <t>leader_name</t>
    </r>
  </si>
  <si>
    <t>leader_name</t>
  </si>
  <si>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</si>
  <si>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</si>
  <si>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</si>
  <si>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</si>
  <si>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</si>
  <si>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</si>
  <si>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</si>
  <si>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</si>
  <si>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</si>
  <si>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</si>
  <si>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</si>
  <si>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</si>
  <si>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rPr>
        <b/>
        <sz val="12"/>
        <color rgb="FF0070C0"/>
        <rFont val="Calibri"/>
        <family val="2"/>
        <scheme val="minor"/>
      </rPr>
      <t xml:space="preserve">1-2 </t>
    </r>
    <r>
      <rPr>
        <sz val="12"/>
        <rFont val="Calibri"/>
        <family val="2"/>
        <scheme val="minor"/>
      </rPr>
      <t>= closeout</t>
    </r>
  </si>
  <si>
    <t>closeout</t>
  </si>
  <si>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</si>
  <si>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</si>
  <si>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</si>
  <si>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</si>
  <si>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</si>
  <si>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</si>
  <si>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</si>
  <si>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</si>
  <si>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</si>
  <si>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</si>
  <si>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</si>
  <si>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</si>
  <si>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</si>
  <si>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</si>
  <si>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</si>
  <si>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</si>
  <si>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</si>
  <si>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</si>
  <si>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</si>
  <si>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</si>
  <si>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</si>
  <si>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</si>
  <si>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</si>
  <si>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</si>
  <si>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</si>
  <si>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</si>
  <si>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</si>
  <si>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</si>
  <si>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</si>
  <si>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</si>
  <si>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</si>
  <si>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</si>
  <si>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</si>
  <si>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</si>
  <si>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</si>
  <si>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</si>
  <si>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</si>
  <si>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</si>
  <si>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</si>
  <si>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</si>
  <si>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</si>
  <si>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</si>
  <si>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</si>
  <si>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</si>
  <si>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</si>
  <si>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</si>
  <si>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</si>
  <si>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</si>
  <si>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</si>
  <si>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</si>
  <si>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</si>
  <si>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</si>
  <si>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</si>
  <si>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</si>
  <si>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</si>
  <si>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</si>
  <si>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</si>
  <si>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</si>
  <si>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</si>
  <si>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</si>
  <si>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</si>
  <si>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</si>
  <si>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</si>
  <si>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</si>
  <si>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</si>
  <si>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</si>
  <si>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</si>
  <si>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</si>
  <si>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</si>
  <si>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</si>
  <si>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</si>
  <si>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</si>
  <si>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</si>
  <si>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</si>
  <si>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</si>
  <si>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</si>
  <si>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</si>
  <si>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</si>
  <si>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</si>
  <si>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</si>
  <si>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</si>
  <si>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</si>
  <si>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</si>
  <si>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</si>
  <si>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</si>
  <si>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</si>
  <si>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</si>
  <si>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</si>
  <si>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</si>
  <si>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</si>
  <si>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</si>
  <si>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</si>
  <si>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</si>
  <si>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</si>
  <si>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</si>
  <si>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</si>
  <si>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</si>
  <si>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</si>
  <si>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</si>
  <si>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</si>
  <si>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</si>
  <si>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</si>
  <si>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</si>
  <si>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</si>
  <si>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</si>
  <si>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</si>
  <si>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</si>
  <si>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</si>
  <si>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</si>
  <si>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</si>
  <si>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</si>
  <si>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</si>
  <si>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</si>
  <si>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</si>
  <si>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</si>
  <si>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</si>
  <si>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</si>
  <si>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</si>
  <si>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</si>
  <si>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</si>
  <si>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</si>
  <si>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</si>
  <si>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</si>
  <si>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</si>
  <si>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</si>
  <si>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</si>
  <si>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</si>
  <si>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</si>
  <si>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</si>
  <si>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</si>
  <si>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</si>
  <si>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</si>
  <si>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</si>
  <si>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</si>
  <si>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</si>
  <si>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</si>
  <si>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</si>
  <si>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</si>
  <si>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</si>
  <si>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</si>
  <si>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</si>
  <si>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</si>
  <si>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</si>
  <si>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</si>
  <si>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</si>
  <si>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</si>
  <si>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</si>
  <si>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</si>
  <si>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</si>
  <si>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</si>
  <si>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</si>
  <si>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</si>
  <si>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</si>
  <si>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</si>
  <si>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</si>
  <si>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</si>
  <si>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</si>
  <si>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</si>
  <si>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</si>
  <si>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</si>
  <si>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</si>
  <si>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</si>
  <si>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</si>
  <si>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</si>
  <si>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</si>
  <si>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</si>
  <si>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</si>
  <si>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</si>
  <si>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</si>
  <si>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</si>
  <si>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</si>
  <si>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</si>
  <si>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</si>
  <si>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</si>
  <si>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</si>
  <si>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</si>
  <si>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</si>
  <si>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</si>
  <si>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</si>
  <si>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</si>
  <si>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</si>
  <si>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</si>
  <si>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</si>
  <si>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</si>
  <si>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</si>
  <si>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</si>
  <si>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</si>
  <si>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</si>
  <si>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</si>
  <si>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</si>
  <si>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</si>
  <si>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</si>
  <si>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</si>
  <si>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</si>
  <si>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</si>
  <si>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</si>
  <si>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</si>
  <si>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</si>
  <si>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</si>
  <si>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</si>
  <si>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</si>
  <si>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</si>
  <si>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</si>
  <si>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</si>
  <si>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</si>
  <si>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</si>
  <si>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</si>
  <si>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</si>
  <si>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</si>
  <si>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</si>
  <si>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</si>
  <si>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</si>
  <si>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</si>
  <si>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</si>
  <si>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</si>
  <si>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</si>
  <si>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</si>
  <si>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</si>
  <si>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</si>
  <si>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</si>
  <si>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</si>
  <si>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</si>
  <si>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</si>
  <si>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</si>
  <si>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</si>
  <si>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</si>
  <si>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</si>
  <si>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</si>
  <si>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1-4 = phone_number_conf</t>
  </si>
  <si>
    <r>
      <t xml:space="preserve">For any response, go to </t>
    </r>
    <r>
      <rPr>
        <i/>
        <sz val="12"/>
        <rFont val="Calibri"/>
        <family val="2"/>
        <scheme val="minor"/>
      </rPr>
      <t>phone_number_conf</t>
    </r>
  </si>
  <si>
    <t>For any response, go to rcsi_limit_portions</t>
  </si>
  <si>
    <t>local measurement unit conversion</t>
  </si>
  <si>
    <t>resp_id</t>
  </si>
  <si>
    <t xml:space="preserve">Are you the head of household? 
[OPERATOR: SINGLE RESPONSE.]
1)Yes
2)No
3)DON'T KNOW
4)REFUSED
</t>
  </si>
  <si>
    <t>1 = hh_education 
2-4 = hh_gender</t>
  </si>
  <si>
    <r>
      <t>For any response, go to</t>
    </r>
    <r>
      <rPr>
        <sz val="12"/>
        <color theme="4"/>
        <rFont val="Calibri"/>
        <family val="2"/>
        <scheme val="minor"/>
      </rPr>
      <t xml:space="preserve"> [next question]</t>
    </r>
  </si>
  <si>
    <t>assistance_quality</t>
  </si>
  <si>
    <t>assistance_provider</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</si>
  <si>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</si>
  <si>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r>
      <t xml:space="preserve">Any Response = </t>
    </r>
    <r>
      <rPr>
        <sz val="12"/>
        <color theme="4"/>
        <rFont val="Calibri (Body)"/>
      </rPr>
      <t>covid</t>
    </r>
  </si>
  <si>
    <t>Core questions only</t>
  </si>
  <si>
    <t>Who provided your household with this assistance?
[OPERATOR: MULTIPLE RESPONSE.]
1)FAO
2)WFP
3)Other UN agencies
4)Government
5)Non-governmental/local organization
6)DON'T KNOW
7)REFUSED</t>
  </si>
  <si>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</si>
  <si>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</si>
  <si>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</si>
  <si>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t>income_main_control</t>
  </si>
  <si>
    <t>income_sec_control</t>
  </si>
  <si>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</si>
  <si>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</si>
  <si>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</si>
  <si>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</si>
  <si>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1 = </t>
    </r>
    <r>
      <rPr>
        <sz val="12"/>
        <color theme="4"/>
        <rFont val="Calibri"/>
        <family val="2"/>
        <scheme val="minor"/>
      </rPr>
      <t>income_s</t>
    </r>
    <r>
      <rPr>
        <sz val="12"/>
        <color theme="4"/>
        <rFont val="Calibri (Body)"/>
      </rPr>
      <t>ec_comp or optional question</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</si>
  <si>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</si>
  <si>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1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</si>
  <si>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</si>
  <si>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</si>
  <si>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income_third_control</t>
  </si>
  <si>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</si>
  <si>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</si>
  <si>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r>
      <t>1-7 =</t>
    </r>
    <r>
      <rPr>
        <sz val="12"/>
        <color theme="4"/>
        <rFont val="Calibri (Body)"/>
      </rPr>
      <t xml:space="preserve"> </t>
    </r>
    <r>
      <rPr>
        <sz val="12"/>
        <color theme="4"/>
        <rFont val="Calibri"/>
        <family val="2"/>
        <scheme val="minor"/>
      </rPr>
      <t>callback</t>
    </r>
  </si>
  <si>
    <t>Form Type - Checklist
6,7 = IsNone</t>
  </si>
  <si>
    <r>
      <t xml:space="preserve">if assistance_provider = 1-7, go to </t>
    </r>
    <r>
      <rPr>
        <sz val="12"/>
        <color theme="4"/>
        <rFont val="Calibri"/>
        <family val="2"/>
        <scheme val="minor"/>
      </rPr>
      <t xml:space="preserve">callback </t>
    </r>
  </si>
  <si>
    <r>
      <t>1-</t>
    </r>
    <r>
      <rPr>
        <sz val="12"/>
        <rFont val="Calibri (Body)"/>
      </rPr>
      <t>8</t>
    </r>
    <r>
      <rPr>
        <sz val="12"/>
        <rFont val="Calibri"/>
        <family val="2"/>
        <scheme val="minor"/>
      </rPr>
      <t xml:space="preserve"> = </t>
    </r>
    <r>
      <rPr>
        <sz val="12"/>
        <color theme="4"/>
        <rFont val="Calibri"/>
        <family val="2"/>
        <scheme val="minor"/>
      </rPr>
      <t>crp_area_change OR optional question</t>
    </r>
  </si>
  <si>
    <t>You are ineligible for this survey. Thank you for your time and please look out for future surveys!</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</si>
  <si>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</si>
  <si>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</si>
  <si>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</si>
  <si>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What is the name of the contact?
[OPERATOR: RECORD THE NAME OF THE CONTACT FOR THE PHONE NUMBER.]</t>
  </si>
  <si>
    <r>
      <t xml:space="preserve">1-4 = </t>
    </r>
    <r>
      <rPr>
        <sz val="12"/>
        <rFont val="Calibri (Body)"/>
      </rPr>
      <t>resp_id</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</si>
  <si>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i/>
        <sz val="12"/>
        <rFont val="Calibri (Body)"/>
      </rPr>
      <t>resp_id</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</si>
  <si>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</si>
  <si>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</si>
  <si>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</si>
  <si>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</si>
  <si>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</si>
  <si>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</si>
  <si>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t xml:space="preserve">hh_asset_transp_
1) hh_asset_transp_bici
</t>
    </r>
    <r>
      <rPr>
        <sz val="12"/>
        <rFont val="Calibri (Body)"/>
      </rPr>
      <t>2) hh_asset_transp_cart
3) hh_asset_transp_boat</t>
    </r>
    <r>
      <rPr>
        <sz val="12"/>
        <rFont val="Calibri"/>
        <family val="2"/>
        <scheme val="minor"/>
      </rPr>
      <t xml:space="preserve">
4) hh_asset_transp_motorbike
5) hh_asset_transp_car
6) hh_asset_transp_van
7) hh_asset_transp_other
8) hh_asset_transp_none
9) hh_asset_transp_dk
10) hh_asset_transp_ref</t>
    </r>
  </si>
  <si>
    <r>
      <t>1-</t>
    </r>
    <r>
      <rPr>
        <sz val="12"/>
        <rFont val="Calibri (Body)"/>
      </rPr>
      <t>9</t>
    </r>
    <r>
      <rPr>
        <sz val="12"/>
        <rFont val="Calibri"/>
        <family val="2"/>
        <scheme val="minor"/>
      </rPr>
      <t xml:space="preserve"> = </t>
    </r>
    <r>
      <rPr>
        <b/>
        <sz val="12"/>
        <color theme="4"/>
        <rFont val="Calibri"/>
        <family val="2"/>
        <scheme val="minor"/>
      </rPr>
      <t>hh_asset_transp</t>
    </r>
  </si>
  <si>
    <r>
      <t>1-</t>
    </r>
    <r>
      <rPr>
        <sz val="12"/>
        <rFont val="Calibri (Body)"/>
      </rPr>
      <t>10</t>
    </r>
    <r>
      <rPr>
        <sz val="12"/>
        <rFont val="Calibri"/>
        <family val="2"/>
        <scheme val="minor"/>
      </rPr>
      <t xml:space="preserve"> = </t>
    </r>
    <r>
      <rPr>
        <b/>
        <sz val="12"/>
        <color theme="4"/>
        <rFont val="Calibri"/>
        <family val="2"/>
        <scheme val="minor"/>
      </rPr>
      <t>hh_maritalstat</t>
    </r>
  </si>
  <si>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</si>
  <si>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</si>
  <si>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</si>
  <si>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</si>
  <si>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</si>
  <si>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</si>
  <si>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rPr>
        <sz val="12"/>
        <rFont val="Calibri (Body)"/>
      </rPr>
      <t xml:space="preserve">1-5 = </t>
    </r>
    <r>
      <rPr>
        <sz val="12"/>
        <color theme="4"/>
        <rFont val="Calibri (Body)"/>
      </rPr>
      <t>income_sec_comp</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</si>
  <si>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</si>
  <si>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r>
      <rPr>
        <sz val="12"/>
        <rFont val="Calibri (Body)"/>
      </rPr>
      <t>if income_sec_control =  1-5, go to</t>
    </r>
    <r>
      <rPr>
        <sz val="12"/>
        <color rgb="FFFF0000"/>
        <rFont val="Calibri"/>
        <family val="2"/>
        <scheme val="minor"/>
      </rPr>
      <t xml:space="preserve"> </t>
    </r>
    <r>
      <rPr>
        <i/>
        <sz val="12"/>
        <color theme="4"/>
        <rFont val="Calibri (Body)"/>
      </rPr>
      <t>income_sec_comp</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</si>
  <si>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</si>
  <si>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r>
      <rPr>
        <sz val="12"/>
        <rFont val="Calibri (Body)"/>
      </rPr>
      <t>if income_third_control = 1-5, go to</t>
    </r>
    <r>
      <rPr>
        <sz val="12"/>
        <color rgb="FFFF0000"/>
        <rFont val="Calibri"/>
        <family val="2"/>
        <scheme val="minor"/>
      </rPr>
      <t xml:space="preserve"> </t>
    </r>
    <r>
      <rPr>
        <i/>
        <sz val="12"/>
        <color theme="4"/>
        <rFont val="Calibri (Body)"/>
      </rPr>
      <t>income_third_comp</t>
    </r>
  </si>
  <si>
    <r>
      <rPr>
        <sz val="12"/>
        <rFont val="Calibri (Body)"/>
      </rPr>
      <t>1-5 =</t>
    </r>
    <r>
      <rPr>
        <sz val="12"/>
        <rFont val="Calibri"/>
        <family val="2"/>
        <scheme val="minor"/>
      </rPr>
      <t xml:space="preserve"> </t>
    </r>
    <r>
      <rPr>
        <sz val="12"/>
        <color theme="4"/>
        <rFont val="Calibri (Body)"/>
      </rPr>
      <t>income_third_comp</t>
    </r>
  </si>
  <si>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</si>
  <si>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</si>
  <si>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</si>
  <si>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</si>
  <si>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r>
      <t>if crp_seed_supply = 1-</t>
    </r>
    <r>
      <rPr>
        <i/>
        <sz val="12"/>
        <rFont val="Calibri (Body)"/>
      </rPr>
      <t>10</t>
    </r>
    <r>
      <rPr>
        <i/>
        <sz val="12"/>
        <rFont val="Calibri"/>
        <family val="2"/>
        <scheme val="minor"/>
      </rPr>
      <t xml:space="preserve">, go to </t>
    </r>
    <r>
      <rPr>
        <i/>
        <sz val="12"/>
        <color theme="4"/>
        <rFont val="Calibri (Body)"/>
      </rPr>
      <t>crp_area_change</t>
    </r>
  </si>
  <si>
    <r>
      <t>1-</t>
    </r>
    <r>
      <rPr>
        <sz val="12"/>
        <rFont val="Calibri (Body)"/>
      </rPr>
      <t>10</t>
    </r>
    <r>
      <rPr>
        <sz val="12"/>
        <rFont val="Calibri"/>
        <family val="2"/>
        <scheme val="minor"/>
      </rPr>
      <t xml:space="preserve"> = </t>
    </r>
    <r>
      <rPr>
        <sz val="12"/>
        <color theme="4"/>
        <rFont val="Calibri"/>
        <family val="2"/>
        <scheme val="minor"/>
      </rPr>
      <t>crp_area_change</t>
    </r>
  </si>
  <si>
    <r>
      <t>Form Type - Checklist
9</t>
    </r>
    <r>
      <rPr>
        <sz val="12"/>
        <rFont val="Calibri (Body)"/>
      </rPr>
      <t>,10</t>
    </r>
    <r>
      <rPr>
        <sz val="12"/>
        <rFont val="Calibri"/>
        <family val="2"/>
        <scheme val="minor"/>
      </rPr>
      <t xml:space="preserve"> = IsNone</t>
    </r>
  </si>
  <si>
    <t xml:space="preserve">Select All That Apply </t>
  </si>
  <si>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</si>
  <si>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2"/>
        <rFont val="Calibri (Body)"/>
      </rPr>
      <t xml:space="preserve">1-4 = </t>
    </r>
    <r>
      <rPr>
        <sz val="12"/>
        <color theme="4"/>
        <rFont val="Calibri"/>
        <family val="2"/>
        <scheme val="minor"/>
      </rPr>
      <t>crp_area_change OR optional question</t>
    </r>
  </si>
  <si>
    <r>
      <rPr>
        <sz val="12"/>
        <rFont val="Calibri (Body)"/>
      </rPr>
      <t xml:space="preserve">Open Ended - </t>
    </r>
    <r>
      <rPr>
        <sz val="12"/>
        <rFont val="Calibri"/>
        <family val="2"/>
        <scheme val="minor"/>
      </rPr>
      <t>Single Choice</t>
    </r>
  </si>
  <si>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</si>
  <si>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Form Type - Checklist
</t>
    </r>
    <r>
      <rPr>
        <sz val="12"/>
        <rFont val="Calibri (Body)"/>
      </rPr>
      <t>7,8</t>
    </r>
    <r>
      <rPr>
        <sz val="12"/>
        <rFont val="Calibri"/>
        <family val="2"/>
        <scheme val="minor"/>
      </rPr>
      <t xml:space="preserve"> = IsNone</t>
    </r>
  </si>
  <si>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</si>
  <si>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r>
      <t xml:space="preserve">Form Type - Checklist
</t>
    </r>
    <r>
      <rPr>
        <sz val="12"/>
        <rFont val="Calibri (Body)"/>
      </rPr>
      <t>12,13</t>
    </r>
    <r>
      <rPr>
        <sz val="12"/>
        <rFont val="Calibri"/>
        <family val="2"/>
        <scheme val="minor"/>
      </rPr>
      <t xml:space="preserve"> = IsNone</t>
    </r>
  </si>
  <si>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</si>
  <si>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</si>
  <si>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</si>
  <si>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</si>
  <si>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</si>
  <si>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</si>
  <si>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processing or sales of fish.
1)CONTINUE</t>
    </r>
  </si>
  <si>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</si>
  <si>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r>
      <t>1-</t>
    </r>
    <r>
      <rPr>
        <sz val="12"/>
        <rFont val="Calibri (Body)"/>
      </rPr>
      <t>10</t>
    </r>
    <r>
      <rPr>
        <sz val="12"/>
        <rFont val="Calibri"/>
        <family val="2"/>
        <scheme val="minor"/>
      </rPr>
      <t xml:space="preserve"> = </t>
    </r>
    <r>
      <rPr>
        <sz val="12"/>
        <color theme="4"/>
        <rFont val="Calibri (Body)"/>
      </rPr>
      <t>[fish_salesmain]</t>
    </r>
  </si>
  <si>
    <r>
      <t xml:space="preserve">Form Type - Checklist
</t>
    </r>
    <r>
      <rPr>
        <sz val="12"/>
        <rFont val="Calibri (Body)"/>
      </rPr>
      <t>9,10</t>
    </r>
    <r>
      <rPr>
        <sz val="12"/>
        <rFont val="Calibri"/>
        <family val="2"/>
        <scheme val="minor"/>
      </rPr>
      <t>= IsNone</t>
    </r>
  </si>
  <si>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</si>
  <si>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fish_salesprice</t>
    </r>
  </si>
  <si>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</si>
  <si>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</si>
  <si>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</si>
  <si>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 xml:space="preserve">Form Type - Checklist
</t>
    </r>
    <r>
      <rPr>
        <sz val="12"/>
        <rFont val="Calibri (Body)"/>
      </rPr>
      <t>10,11,12</t>
    </r>
    <r>
      <rPr>
        <sz val="12"/>
        <rFont val="Calibri"/>
        <family val="2"/>
        <scheme val="minor"/>
      </rPr>
      <t xml:space="preserve"> = IsNone</t>
    </r>
  </si>
  <si>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</si>
  <si>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</si>
  <si>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r>
      <t xml:space="preserve">What is the leader's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</si>
  <si>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What is the leader's </t>
    </r>
    <r>
      <rPr>
        <b/>
        <sz val="12"/>
        <color theme="9" tint="-0.499984740745262"/>
        <rFont val="Calibri"/>
        <family val="2"/>
        <scheme val="minor"/>
      </rPr>
      <t>name?</t>
    </r>
    <r>
      <rPr>
        <sz val="12"/>
        <color theme="9" tint="-0.499984740745262"/>
        <rFont val="Calibri"/>
        <family val="2"/>
        <scheme val="minor"/>
      </rPr>
      <t xml:space="preserve">
[OPERATOR: RECORD THE NAME OF THE CONTACT FOR THE PHONE NUMBER.]</t>
    </r>
  </si>
  <si>
    <r>
      <t>1-</t>
    </r>
    <r>
      <rPr>
        <sz val="12"/>
        <rFont val="Calibri (Body)"/>
      </rPr>
      <t>10</t>
    </r>
    <r>
      <rPr>
        <sz val="12"/>
        <rFont val="Calibri"/>
        <family val="2"/>
        <scheme val="minor"/>
      </rPr>
      <t xml:space="preserve"> = crp_salesprice</t>
    </r>
  </si>
  <si>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</si>
  <si>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crp_irrig_system</t>
  </si>
  <si>
    <r>
      <t>crp_irrig</t>
    </r>
    <r>
      <rPr>
        <sz val="12"/>
        <rFont val="Calibri (Body)"/>
      </rPr>
      <t>_source</t>
    </r>
  </si>
  <si>
    <t>crp_irrig_pay</t>
  </si>
  <si>
    <r>
      <t>crp_irrig</t>
    </r>
    <r>
      <rPr>
        <b/>
        <sz val="12"/>
        <rFont val="Calibri (Body)"/>
      </rPr>
      <t>_source</t>
    </r>
  </si>
  <si>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</si>
  <si>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</si>
  <si>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</si>
  <si>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</si>
  <si>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</si>
  <si>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</si>
  <si>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</si>
  <si>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</si>
  <si>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</si>
  <si>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</si>
  <si>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t>cs_crisis_decrease_input_exp</t>
  </si>
  <si>
    <t>cs_crisis_consume_seed_stock</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</si>
  <si>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</si>
  <si>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</si>
  <si>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</si>
  <si>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</si>
  <si>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t>fcs_vegetables_days</t>
  </si>
  <si>
    <t>rcsi_restrict_adult_consumpt</t>
  </si>
  <si>
    <t>For any response, go to fcs_vegetables_days</t>
  </si>
  <si>
    <t>0-7 = fcs_vegetables_days</t>
  </si>
  <si>
    <t>0-7 = rcsi_restrict_adult_consumpt</t>
  </si>
  <si>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</si>
  <si>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</si>
  <si>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r>
      <t>if crp_proddif_2 = 1-18, go to</t>
    </r>
    <r>
      <rPr>
        <sz val="12"/>
        <color theme="4"/>
        <rFont val="Calibri"/>
        <family val="2"/>
        <scheme val="minor"/>
      </rPr>
      <t xml:space="preserve"> [crp_salesmain OR optional question]</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</si>
  <si>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</si>
  <si>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</si>
  <si>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t>Any Response = End poll callback</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</si>
  <si>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</si>
  <si>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</si>
  <si>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t>1 = hh_admin2_1
2-3 = Ineligible</t>
  </si>
  <si>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</si>
  <si>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r>
      <t xml:space="preserve">Form Type - Buttons
</t>
    </r>
    <r>
      <rPr>
        <sz val="12"/>
        <rFont val="Calibri (Body)"/>
      </rPr>
      <t xml:space="preserve">IsDemographic </t>
    </r>
    <r>
      <rPr>
        <sz val="12"/>
        <rFont val="Calibri"/>
        <family val="2"/>
        <scheme val="minor"/>
      </rPr>
      <t>- ADM1</t>
    </r>
  </si>
  <si>
    <r>
      <t xml:space="preserve">Form Type - Buttons
</t>
    </r>
    <r>
      <rPr>
        <sz val="12"/>
        <rFont val="Calibri (Body)"/>
      </rPr>
      <t>IsDemographic</t>
    </r>
    <r>
      <rPr>
        <sz val="12"/>
        <rFont val="Calibri"/>
        <family val="2"/>
        <scheme val="minor"/>
      </rPr>
      <t xml:space="preserve"> - ADM2</t>
    </r>
  </si>
  <si>
    <r>
      <t xml:space="preserve">1-7 = </t>
    </r>
    <r>
      <rPr>
        <b/>
        <sz val="12"/>
        <color theme="4"/>
        <rFont val="Calibri"/>
        <family val="2"/>
        <scheme val="minor"/>
      </rPr>
      <t>hh_size</t>
    </r>
  </si>
  <si>
    <t>Form Type - Checklist
8,9,10 = IsNone</t>
  </si>
  <si>
    <t>Form Type - Checklist
7,8,9 = IsNone</t>
  </si>
  <si>
    <t>Form Type - Buttons
IsDemographic</t>
  </si>
  <si>
    <r>
      <t xml:space="preserve">Form Type - Buttons
exclude selected "income_main"
</t>
    </r>
    <r>
      <rPr>
        <sz val="12"/>
        <rFont val="Calibri (Body)"/>
      </rPr>
      <t>IsDemographic</t>
    </r>
  </si>
  <si>
    <t xml:space="preserve">Are the crops that you sell also produced by you or anyone in your household?
[OPERATOR: SINGLE RESPONSE.]
1)YES
2)NO
3)DON'T KNOW
4)REFUSED </t>
  </si>
  <si>
    <r>
      <rPr>
        <sz val="12"/>
        <rFont val="Calibri (Body)"/>
      </rPr>
      <t>Are the</t>
    </r>
    <r>
      <rPr>
        <sz val="12"/>
        <rFont val="Calibri"/>
        <family val="2"/>
        <scheme val="minor"/>
      </rPr>
      <t xml:space="preserve"> fish and/or fish products </t>
    </r>
    <r>
      <rPr>
        <sz val="12"/>
        <rFont val="Calibri (Body)"/>
      </rPr>
      <t>that you sell also captured or harvested by you or anyone in your household?
[OPERATOR: SINGLE RESPONSE</t>
    </r>
    <r>
      <rPr>
        <sz val="12"/>
        <rFont val="Calibri"/>
        <family val="2"/>
        <scheme val="minor"/>
      </rPr>
      <t xml:space="preserve">.]
</t>
    </r>
    <r>
      <rPr>
        <sz val="12"/>
        <rFont val="Calibri (Body)"/>
      </rPr>
      <t xml:space="preserve">
1)YES
2)NO
3)DON'T KNOW
4)REFUSED </t>
    </r>
  </si>
  <si>
    <r>
      <t>income_main_crop</t>
    </r>
    <r>
      <rPr>
        <b/>
        <sz val="12"/>
        <rFont val="Calibri (Body)"/>
      </rPr>
      <t>_</t>
    </r>
    <r>
      <rPr>
        <b/>
        <sz val="12"/>
        <rFont val="Calibri"/>
        <family val="2"/>
        <scheme val="minor"/>
      </rPr>
      <t>check</t>
    </r>
  </si>
  <si>
    <r>
      <t>income_main_ls</t>
    </r>
    <r>
      <rPr>
        <b/>
        <sz val="12"/>
        <rFont val="Calibri (Body)"/>
      </rPr>
      <t>_</t>
    </r>
    <r>
      <rPr>
        <b/>
        <sz val="12"/>
        <rFont val="Calibri"/>
        <family val="2"/>
        <scheme val="minor"/>
      </rPr>
      <t>check</t>
    </r>
  </si>
  <si>
    <r>
      <t>income_main_fish</t>
    </r>
    <r>
      <rPr>
        <b/>
        <sz val="12"/>
        <rFont val="Calibri (Body)"/>
      </rPr>
      <t>_</t>
    </r>
    <r>
      <rPr>
        <b/>
        <sz val="12"/>
        <rFont val="Calibri"/>
        <family val="2"/>
        <scheme val="minor"/>
      </rPr>
      <t>check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</si>
  <si>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</si>
  <si>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</si>
  <si>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</si>
  <si>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</si>
  <si>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</si>
  <si>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</si>
  <si>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</si>
  <si>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</si>
  <si>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</si>
  <si>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</si>
  <si>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</si>
  <si>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</si>
  <si>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</si>
  <si>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</si>
  <si>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</si>
  <si>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</si>
  <si>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</si>
  <si>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</si>
  <si>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</si>
  <si>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</si>
  <si>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</si>
  <si>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Form Type - Buttons
exclude selected "income_main"
exclude selected "income_sec"
IsDemographic</t>
  </si>
  <si>
    <t>What is the gender of the household member[s] generating income from this source? 
[OPERATOR: SINGLE RESPONSE.]
1)Male
2)Female
3)Joint [both male &amp; female]
4)DON'T KNOW
5)REFUSED</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</si>
  <si>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</si>
  <si>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</si>
  <si>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Melon [Cantaloupe]</t>
  </si>
  <si>
    <t>Green salad herbs [thyme, parsley, mint, rocca, other]</t>
  </si>
  <si>
    <t>Form Type - Dropdown
IsDemographic</t>
  </si>
  <si>
    <t>Form Type - RadioList
IsDemographic</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</si>
  <si>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</si>
  <si>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</si>
  <si>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t>Form Type - Checklist
Included unselected "crp_main"
1,2,3= IsNone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</si>
  <si>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</si>
  <si>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Form Type - Checklist
1,13,14 = IsNone</t>
  </si>
  <si>
    <t>Form Type - Checklist
Included unselected "ls_main"
1,2,3= IsNone</t>
  </si>
  <si>
    <t>Form Type - Buttons
IsDemographic</t>
  </si>
  <si>
    <t>1 = ls_salesdif_2
2-4 = ls_salesprice</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</si>
  <si>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</si>
  <si>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</si>
  <si>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r>
      <t>Asked only to respondents that answered fish_proddif_2 = 4.
if fish_inputdif = 1-</t>
    </r>
    <r>
      <rPr>
        <sz val="12"/>
        <rFont val="Calibri (Body)"/>
      </rPr>
      <t>10</t>
    </r>
    <r>
      <rPr>
        <sz val="12"/>
        <rFont val="Calibri"/>
        <family val="2"/>
        <scheme val="minor"/>
      </rPr>
      <t>, go to fish_salesmain</t>
    </r>
  </si>
  <si>
    <t>Form Type - Checklist
18,19 = IsNone</t>
  </si>
  <si>
    <r>
      <t>1-19 =</t>
    </r>
    <r>
      <rPr>
        <b/>
        <sz val="12"/>
        <rFont val="Calibri"/>
        <family val="2"/>
        <scheme val="minor"/>
      </rPr>
      <t xml:space="preserve"> need_received</t>
    </r>
  </si>
  <si>
    <r>
      <t xml:space="preserve">if </t>
    </r>
    <r>
      <rPr>
        <i/>
        <sz val="12"/>
        <rFont val="Calibri"/>
        <family val="2"/>
        <scheme val="minor"/>
      </rPr>
      <t>need_2</t>
    </r>
    <r>
      <rPr>
        <sz val="12"/>
        <rFont val="Calibri"/>
        <family val="2"/>
        <scheme val="minor"/>
      </rPr>
      <t xml:space="preserve"> = 1-19, go to </t>
    </r>
    <r>
      <rPr>
        <b/>
        <sz val="12"/>
        <rFont val="Calibri"/>
        <family val="2"/>
        <scheme val="minor"/>
      </rPr>
      <t>need_received</t>
    </r>
  </si>
  <si>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</si>
  <si>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</si>
  <si>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</si>
  <si>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</si>
  <si>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</si>
  <si>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</si>
  <si>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</si>
  <si>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</si>
  <si>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</si>
  <si>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</si>
  <si>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</si>
  <si>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rPr>
        <sz val="12"/>
        <rFont val="Calibri (Body)"/>
      </rPr>
      <t>How does your fish catch [capture fishery] in the last 3 months [or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</si>
  <si>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</si>
  <si>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</si>
  <si>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</si>
  <si>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Codes</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</si>
  <si>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</si>
  <si>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</si>
  <si>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</si>
  <si>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1)covid_goodstransp
2)covid_marketclosed
3)covid_borderclosed
4)covid_stayhome
5)covid_gatherings
6)covid_processclosed
7)covid_curfew
8)covid_school
9)covid_other
10)covid_none
11)covid_dk
12)covid_ref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</si>
  <si>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</si>
  <si>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</si>
  <si>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</si>
  <si>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</si>
  <si>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</si>
  <si>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</si>
  <si>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</si>
  <si>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</si>
  <si>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</si>
  <si>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</si>
  <si>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</si>
  <si>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</si>
  <si>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</si>
  <si>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</si>
  <si>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</si>
  <si>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</si>
  <si>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</si>
  <si>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Do you cultivate any other crops aside from {crp_main}, and if so which ones?
[OPERATOR: "No other crop" APPEARS AT THE END OF THE LIST OF OPTIONS. SELECT ALL CROPS LISTED BY THE RESPONDENT.]
1)No other crops
2)DON'T KNOW
3)REFUSED</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</si>
  <si>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</si>
  <si>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</si>
  <si>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</si>
  <si>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</si>
  <si>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</si>
  <si>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</si>
  <si>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</si>
  <si>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</si>
  <si>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</si>
  <si>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</si>
  <si>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Do you own any other livestock aside from {ls_main}, and if so which ones?
[OPERATOR: "No other livestock" APPEARS AT THE END OF THE LIST OF OPTIONS. SELECT ALL ANIMALS LISTED BY THE RESPONDENT.]
1)No other livestock
2)DON'T KNOW
3)REFUSED</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</si>
  <si>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</si>
  <si>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Thank you, we will call you back at {WhenCallBack} you requested. Thank you again and have a great day!
[OPERATOR: ENTER CALL NOTES BELOW, WHO YOU SPOKE TO AND WHAT THEY SAID]</t>
  </si>
  <si>
    <t>How many {crp_harv_unit} of [threshed] {crp_main} did you harvest last year during the same season?
[OPERATOR: RECORD THE RESPONSE GIVEN. ENTER 8888888 FOR DON'T KNOW &amp; 9999999 FOR REFUSED, TO BE USED RARELY - PROBE!]</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</si>
  <si>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</si>
  <si>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t>
    </r>
    <r>
      <rPr>
        <sz val="12"/>
        <rFont val="Calibri (Body)"/>
      </rPr>
      <t>/ debt</t>
    </r>
    <r>
      <rPr>
        <sz val="12"/>
        <rFont val="Calibri"/>
        <family val="2"/>
        <scheme val="minor"/>
      </rPr>
      <t xml:space="preserve">
</t>
    </r>
    <r>
      <rPr>
        <sz val="12"/>
        <rFont val="Calibri (Body)"/>
      </rPr>
      <t>20</t>
    </r>
    <r>
      <rPr>
        <sz val="12"/>
        <rFont val="Calibri"/>
        <family val="2"/>
        <scheme val="minor"/>
      </rPr>
      <t>)REFUSED</t>
    </r>
  </si>
  <si>
    <t>Who controls the revenue that is earned from this source? 
[OPERATOR: SINGLE RESPONSE.]
1)Male household member[s]
2)Female household member[s]
3)Joint household members [both female &amp; male]
4)DON'T KNOW
5)REFUSED</t>
  </si>
  <si>
    <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or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</si>
  <si>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t>
    </r>
    <r>
      <rPr>
        <sz val="12"/>
        <rFont val="Calibri (Body)"/>
      </rPr>
      <t>5)Production and sale of honey or bee products</t>
    </r>
    <r>
      <rPr>
        <sz val="12"/>
        <rFont val="Calibri"/>
        <family val="2"/>
        <scheme val="minor"/>
      </rPr>
      <t xml:space="preserve">
</t>
    </r>
    <r>
      <rPr>
        <sz val="12"/>
        <rFont val="Calibri (Body)"/>
      </rPr>
      <t>6</t>
    </r>
    <r>
      <rPr>
        <sz val="12"/>
        <rFont val="Calibri"/>
        <family val="2"/>
        <scheme val="minor"/>
      </rPr>
      <t xml:space="preserve">)Production and sale of fish 
</t>
    </r>
    <r>
      <rPr>
        <sz val="12"/>
        <rFont val="Calibri (Body)"/>
      </rPr>
      <t>7</t>
    </r>
    <r>
      <rPr>
        <sz val="12"/>
        <rFont val="Calibri"/>
        <family val="2"/>
        <scheme val="minor"/>
      </rPr>
      <t xml:space="preserve">)Collection and sale of forestry or bush products 
</t>
    </r>
    <r>
      <rPr>
        <sz val="12"/>
        <rFont val="Calibri (Body)"/>
      </rPr>
      <t>8</t>
    </r>
    <r>
      <rPr>
        <sz val="12"/>
        <rFont val="Calibri"/>
        <family val="2"/>
        <scheme val="minor"/>
      </rPr>
      <t>)</t>
    </r>
    <r>
      <rPr>
        <sz val="12"/>
        <rFont val="Calibri (Body)"/>
      </rPr>
      <t>A</t>
    </r>
    <r>
      <rPr>
        <sz val="12"/>
        <rFont val="Calibri"/>
        <family val="2"/>
        <scheme val="minor"/>
      </rPr>
      <t xml:space="preserve">gricultural trade EXCLUDING producers </t>
    </r>
    <r>
      <rPr>
        <sz val="12"/>
        <rFont val="Calibri (Body)"/>
      </rPr>
      <t>[formal and informal]</t>
    </r>
    <r>
      <rPr>
        <sz val="12"/>
        <rFont val="Calibri"/>
        <family val="2"/>
        <scheme val="minor"/>
      </rPr>
      <t xml:space="preserve">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</si>
  <si>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</si>
  <si>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Unit of measurement for harvested {crp_main} :
[OPERATOR: SINGLE SELECTION]
1)Kilograms [kgs]
2)Tonnes
3)Ounces
4)Pounds
5)Bags
6)Boxes
7)Bundles
8)Packets
9)Other [specify]</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</si>
  <si>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</si>
  <si>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</si>
  <si>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</si>
  <si>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What was</t>
    </r>
    <r>
      <rPr>
        <sz val="12"/>
        <rFont val="Calibri (Body)"/>
      </rPr>
      <t xml:space="preserve"> </t>
    </r>
    <r>
      <rPr>
        <sz val="12"/>
        <rFont val="Calibri"/>
        <family val="2"/>
        <scheme val="minor"/>
      </rPr>
      <t xml:space="preserve">the main fish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[OPERATOR: SINGLE RESPONSE.]
1)Fresh fish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fish</t>
    </r>
    <r>
      <rPr>
        <sz val="12"/>
        <rFont val="Calibri"/>
        <family val="2"/>
        <scheme val="minor"/>
      </rPr>
      <t xml:space="preserve"> [</t>
    </r>
    <r>
      <rPr>
        <sz val="12"/>
        <rFont val="Calibri (Body)"/>
      </rPr>
      <t>including dry fish, smoked fish, fermented fish, salt fish</t>
    </r>
    <r>
      <rPr>
        <sz val="12"/>
        <rFont val="Calibri"/>
        <family val="2"/>
        <scheme val="minor"/>
      </rPr>
      <t xml:space="preserve">]
</t>
    </r>
    <r>
      <rPr>
        <sz val="12"/>
        <rFont val="Calibri (Body)"/>
      </rPr>
      <t>3)Frozen fish
4)Canned fish</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</si>
  <si>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</si>
  <si>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</si>
  <si>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</si>
  <si>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</si>
  <si>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</si>
  <si>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</si>
  <si>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</si>
  <si>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</si>
  <si>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 xml:space="preserve">Form Type - TextBox
</t>
    </r>
    <r>
      <rPr>
        <sz val="12"/>
        <rFont val="Calibri (Body)"/>
      </rPr>
      <t>IsCallBackDemographic</t>
    </r>
  </si>
  <si>
    <t>[OPERATOR: DO NOT READ. ANSWER QUESTION BELOW.]
THIS RESPONDENT REPORTED THEY LIVE IN:
{ADM1}
{ADM2}
1)THE GOAL FOR THIS LOCATION HAS BEEN ACHIEVED - END SURVEY
2)THE GOAL FOR THIS LOCATION IS OPEN - CONTINUE SURVEY</t>
  </si>
  <si>
    <t>1 = End Poll Quota Reached
2 = hh_agricactivity</t>
  </si>
  <si>
    <t>Form Type - Checklist 
1,26,27 = IsNone</t>
  </si>
  <si>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</si>
  <si>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</si>
  <si>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 xml:space="preserve">if </t>
    </r>
    <r>
      <rPr>
        <i/>
        <sz val="12"/>
        <rFont val="Calibri"/>
        <family val="2"/>
        <scheme val="minor"/>
      </rPr>
      <t>callback</t>
    </r>
    <r>
      <rPr>
        <sz val="12"/>
        <rFont val="Calibri"/>
        <family val="2"/>
        <scheme val="minor"/>
      </rPr>
      <t xml:space="preserve"> = 1, go to leader_contact
if 2, go to </t>
    </r>
    <r>
      <rPr>
        <i/>
        <sz val="12"/>
        <rFont val="Calibri"/>
        <family val="2"/>
        <scheme val="minor"/>
      </rPr>
      <t>language2</t>
    </r>
  </si>
  <si>
    <t>1 = leader_contact
2 = language2</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</si>
  <si>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</si>
  <si>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</si>
  <si>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r>
      <t>Does your household own any of the following producti</t>
    </r>
    <r>
      <rPr>
        <sz val="12"/>
        <rFont val="Calibri (Body)"/>
      </rPr>
      <t>ve</t>
    </r>
    <r>
      <rPr>
        <sz val="12"/>
        <rFont val="Calibri"/>
        <family val="2"/>
        <scheme val="minor"/>
      </rPr>
      <t xml:space="preserve"> assets? 
[OPERATOR: MULTIPLE RESPONSES </t>
    </r>
    <r>
      <rPr>
        <sz val="12"/>
        <rFont val="Calibri (Body)"/>
      </rPr>
      <t>POSSIBLE</t>
    </r>
    <r>
      <rPr>
        <sz val="12"/>
        <rFont val="Calibri"/>
        <family val="2"/>
        <scheme val="minor"/>
      </rPr>
      <t xml:space="preserve">. READ ANSWER OPTIONS OUT LOUD.]
</t>
    </r>
    <r>
      <rPr>
        <sz val="12"/>
        <rFont val="Calibri (Body)"/>
      </rPr>
      <t>1)Processing assets [e.g. grinding/crushing machine, mill, oil press]</t>
    </r>
    <r>
      <rPr>
        <sz val="12"/>
        <rFont val="Calibri"/>
        <family val="2"/>
        <scheme val="minor"/>
      </rPr>
      <t xml:space="preserve">
</t>
    </r>
    <r>
      <rPr>
        <sz val="12"/>
        <rFont val="Calibri (Body)"/>
      </rPr>
      <t>2</t>
    </r>
    <r>
      <rPr>
        <sz val="12"/>
        <rFont val="Calibri"/>
        <family val="2"/>
        <scheme val="minor"/>
      </rPr>
      <t xml:space="preserve">)Farm machinery [e.g. tractor, plough, sickle, etc.]
</t>
    </r>
    <r>
      <rPr>
        <sz val="12"/>
        <rFont val="Calibri (Body)"/>
      </rPr>
      <t>3</t>
    </r>
    <r>
      <rPr>
        <sz val="12"/>
        <rFont val="Calibri"/>
        <family val="2"/>
        <scheme val="minor"/>
      </rPr>
      <t xml:space="preserve">)Sewing machine </t>
    </r>
    <r>
      <rPr>
        <sz val="12"/>
        <rFont val="Calibri (Body)"/>
      </rPr>
      <t xml:space="preserve">or weaving tool </t>
    </r>
    <r>
      <rPr>
        <sz val="12"/>
        <rFont val="Calibri"/>
        <family val="2"/>
        <scheme val="minor"/>
      </rPr>
      <t xml:space="preserve">
</t>
    </r>
    <r>
      <rPr>
        <sz val="12"/>
        <rFont val="Calibri (Body)"/>
      </rPr>
      <t>4</t>
    </r>
    <r>
      <rPr>
        <sz val="12"/>
        <rFont val="Calibri"/>
        <family val="2"/>
        <scheme val="minor"/>
      </rPr>
      <t xml:space="preserve">)Taxi
</t>
    </r>
    <r>
      <rPr>
        <sz val="12"/>
        <rFont val="Calibri (Body)"/>
      </rPr>
      <t>5</t>
    </r>
    <r>
      <rPr>
        <sz val="12"/>
        <rFont val="Calibri"/>
        <family val="2"/>
        <scheme val="minor"/>
      </rPr>
      <t xml:space="preserve">)Truck
</t>
    </r>
    <r>
      <rPr>
        <sz val="12"/>
        <rFont val="Calibri (Body)"/>
      </rPr>
      <t>6</t>
    </r>
    <r>
      <rPr>
        <sz val="12"/>
        <rFont val="Calibri"/>
        <family val="2"/>
        <scheme val="minor"/>
      </rPr>
      <t>)Other productive machines</t>
    </r>
    <r>
      <rPr>
        <sz val="12"/>
        <rFont val="Calibri (Body)"/>
      </rPr>
      <t xml:space="preserve"> or assets</t>
    </r>
    <r>
      <rPr>
        <sz val="12"/>
        <rFont val="Calibri"/>
        <family val="2"/>
        <scheme val="minor"/>
      </rPr>
      <t xml:space="preserve">
</t>
    </r>
    <r>
      <rPr>
        <sz val="12"/>
        <rFont val="Calibri (Body)"/>
      </rPr>
      <t>7</t>
    </r>
    <r>
      <rPr>
        <sz val="12"/>
        <rFont val="Calibri"/>
        <family val="2"/>
        <scheme val="minor"/>
      </rPr>
      <t>)No productive machines</t>
    </r>
    <r>
      <rPr>
        <sz val="12"/>
        <rFont val="Calibri (Body)"/>
      </rPr>
      <t xml:space="preserve"> or assets</t>
    </r>
    <r>
      <rPr>
        <sz val="12"/>
        <rFont val="Calibri"/>
        <family val="2"/>
        <scheme val="minor"/>
      </rPr>
      <t xml:space="preserve">
</t>
    </r>
    <r>
      <rPr>
        <sz val="12"/>
        <rFont val="Calibri (Body)"/>
      </rPr>
      <t>8</t>
    </r>
    <r>
      <rPr>
        <sz val="12"/>
        <rFont val="Calibri"/>
        <family val="2"/>
        <scheme val="minor"/>
      </rPr>
      <t xml:space="preserve">)DON'T KNOW
</t>
    </r>
    <r>
      <rPr>
        <sz val="12"/>
        <rFont val="Calibri (Body)"/>
      </rPr>
      <t>9</t>
    </r>
    <r>
      <rPr>
        <sz val="12"/>
        <rFont val="Calibri"/>
        <family val="2"/>
        <scheme val="minor"/>
      </rPr>
      <t>)REFUSED</t>
    </r>
  </si>
  <si>
    <r>
      <t>income_main_crop</t>
    </r>
    <r>
      <rPr>
        <sz val="12"/>
        <rFont val="Calibri (Body)"/>
      </rPr>
      <t>_</t>
    </r>
    <r>
      <rPr>
        <sz val="12"/>
        <rFont val="Calibri"/>
        <family val="2"/>
        <scheme val="minor"/>
      </rPr>
      <t>check</t>
    </r>
  </si>
  <si>
    <r>
      <t>income_main_ls</t>
    </r>
    <r>
      <rPr>
        <sz val="12"/>
        <rFont val="Calibri (Body)"/>
      </rPr>
      <t>_</t>
    </r>
    <r>
      <rPr>
        <sz val="12"/>
        <rFont val="Calibri"/>
        <family val="2"/>
        <scheme val="minor"/>
      </rPr>
      <t>check</t>
    </r>
  </si>
  <si>
    <r>
      <t>income_main_fish</t>
    </r>
    <r>
      <rPr>
        <sz val="12"/>
        <rFont val="Calibri (Body)"/>
      </rPr>
      <t>_</t>
    </r>
    <r>
      <rPr>
        <sz val="12"/>
        <rFont val="Calibri"/>
        <family val="2"/>
        <scheme val="minor"/>
      </rPr>
      <t>check</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</si>
  <si>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</si>
  <si>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</si>
  <si>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</si>
  <si>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</si>
  <si>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t>Does your household need assistance for agricultural activities [including crop, livestock and fisheries/aquaculture activities] over the next 3 to 6 months?
[OPERATOR: SINGLE RESPONSE.]
1)YES
2)NO
3)DON'T KNOW
4)REFUSED</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</si>
  <si>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</si>
  <si>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</si>
  <si>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1)assistance_fao
2)assistance_wfp
3)assistance_otherun
4)assistance_gov
5)assistance_ngo
6)assistance_dk
7)assistance_ref</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</si>
  <si>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</si>
  <si>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</si>
  <si>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r>
      <rPr>
        <sz val="12"/>
        <color theme="1"/>
        <rFont val="Calibri"/>
        <family val="2"/>
        <scheme val="minor"/>
      </rPr>
      <t xml:space="preserve">
[HINT: IF CONSUMED ONLY IN SMALL QUANTITY, DO NOT INCLUDE.]</t>
    </r>
  </si>
  <si>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</si>
  <si>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</si>
  <si>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t>rcsi_intro</t>
  </si>
  <si>
    <t>For any response, go to rcsi_intro</t>
  </si>
  <si>
    <t>0-7 = rcsi_intro</t>
  </si>
  <si>
    <t>Only respondents from 18-100 will be eligible for the survey.</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</si>
  <si>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</si>
  <si>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</si>
  <si>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Do you or any member of your household own any of the following transportation assets? 
[OPERATOR: MULTIPLE RESPONSES POSSIBLE. READ ANSWER OPTIONS OUT LOUD.]
1)Bicycle
</t>
    </r>
    <r>
      <rPr>
        <sz val="12"/>
        <rFont val="Calibri (Body)"/>
      </rPr>
      <t>2)Cart [animal drawn]
3)Boat/canoe</t>
    </r>
    <r>
      <rPr>
        <sz val="12"/>
        <rFont val="Calibri"/>
        <family val="2"/>
        <scheme val="minor"/>
      </rPr>
      <t xml:space="preserve">
</t>
    </r>
    <r>
      <rPr>
        <sz val="12"/>
        <rFont val="Calibri (Body)"/>
      </rPr>
      <t>4</t>
    </r>
    <r>
      <rPr>
        <sz val="12"/>
        <rFont val="Calibri"/>
        <family val="2"/>
        <scheme val="minor"/>
      </rPr>
      <t xml:space="preserve">)Motorbike </t>
    </r>
    <r>
      <rPr>
        <sz val="12"/>
        <rFont val="Calibri (Body)"/>
      </rPr>
      <t xml:space="preserve">/ scooter / </t>
    </r>
    <r>
      <rPr>
        <sz val="12"/>
        <rFont val="Calibri"/>
        <family val="2"/>
        <scheme val="minor"/>
      </rPr>
      <t xml:space="preserve">auto rickshaw
</t>
    </r>
    <r>
      <rPr>
        <sz val="12"/>
        <rFont val="Calibri (Body)"/>
      </rPr>
      <t>5</t>
    </r>
    <r>
      <rPr>
        <sz val="12"/>
        <rFont val="Calibri"/>
        <family val="2"/>
        <scheme val="minor"/>
      </rPr>
      <t xml:space="preserve">)Car
</t>
    </r>
    <r>
      <rPr>
        <sz val="12"/>
        <rFont val="Calibri (Body)"/>
      </rPr>
      <t>6</t>
    </r>
    <r>
      <rPr>
        <sz val="12"/>
        <rFont val="Calibri"/>
        <family val="2"/>
        <scheme val="minor"/>
      </rPr>
      <t xml:space="preserve">)Van or small truck
</t>
    </r>
    <r>
      <rPr>
        <sz val="12"/>
        <rFont val="Calibri (Body)"/>
      </rPr>
      <t>7</t>
    </r>
    <r>
      <rPr>
        <sz val="12"/>
        <rFont val="Calibri"/>
        <family val="2"/>
        <scheme val="minor"/>
      </rPr>
      <t xml:space="preserve">)Other motor vehicle
</t>
    </r>
    <r>
      <rPr>
        <sz val="12"/>
        <rFont val="Calibri (Body)"/>
      </rPr>
      <t>8</t>
    </r>
    <r>
      <rPr>
        <sz val="12"/>
        <rFont val="Calibri"/>
        <family val="2"/>
        <scheme val="minor"/>
      </rPr>
      <t xml:space="preserve">)None of the above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</si>
  <si>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</si>
  <si>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</si>
  <si>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rPr>
        <sz val="12"/>
        <rFont val="Calibri (Body)"/>
      </rPr>
      <t>Are the livestock and livestock products</t>
    </r>
    <r>
      <rPr>
        <sz val="12"/>
        <rFont val="Calibri"/>
        <family val="2"/>
        <scheme val="minor"/>
      </rPr>
      <t xml:space="preserve"> </t>
    </r>
    <r>
      <rPr>
        <sz val="12"/>
        <rFont val="Calibri (Body)"/>
      </rPr>
      <t>that you sell also produced by you or anyone in your household?
[OPERATOR: SINGLE RESPONSE.]</t>
    </r>
    <r>
      <rPr>
        <sz val="12"/>
        <rFont val="Calibri"/>
        <family val="2"/>
        <scheme val="minor"/>
      </rPr>
      <t xml:space="preserve">
</t>
    </r>
    <r>
      <rPr>
        <sz val="12"/>
        <rFont val="Calibri (Body)"/>
      </rPr>
      <t xml:space="preserve">
1)YES
2)NO
3)DON'T KNOW
4)REFUSED </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</si>
  <si>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</si>
  <si>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</si>
  <si>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</si>
  <si>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</si>
  <si>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</si>
  <si>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</si>
  <si>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</si>
  <si>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</si>
  <si>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t>fish_salesdif_2</t>
  </si>
  <si>
    <t>Weighted duration</t>
  </si>
  <si>
    <t>Duration (sec)</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</si>
  <si>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</si>
  <si>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lcsi_intro</t>
  </si>
  <si>
    <t>fies_intro</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</si>
  <si>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</si>
  <si>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</si>
  <si>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season phase</t>
  </si>
  <si>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</si>
  <si>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t>What type of community leader can you provide information for?
[OPERATOR: SINGLE RESPONSE.]
1)Village / town administrator
2)Agricultural extension officer
3)Health extension officer
4)Teacher
5)Other [specify]
6)DON'T KNOW
7)REFUSED</t>
  </si>
  <si>
    <t>Examples (EN)</t>
  </si>
  <si>
    <t>Comment (EN)</t>
  </si>
  <si>
    <t xml:space="preserve">Replacement (EN) </t>
  </si>
  <si>
    <t>Soja</t>
  </si>
  <si>
    <t>Tomates</t>
  </si>
  <si>
    <t>Melon</t>
  </si>
  <si>
    <t>Cacao</t>
  </si>
  <si>
    <t>Café</t>
  </si>
  <si>
    <t>Reemplazo (ES)</t>
  </si>
  <si>
    <t>Comentario (ES)</t>
  </si>
  <si>
    <t>Ejemplo (ES)</t>
  </si>
  <si>
    <t>Etiqueta (ES)</t>
  </si>
  <si>
    <t>Arroz</t>
  </si>
  <si>
    <t>Trigo</t>
  </si>
  <si>
    <t>Mijo</t>
  </si>
  <si>
    <t>Sorgo</t>
  </si>
  <si>
    <t>Maíz</t>
  </si>
  <si>
    <t>Cebada</t>
  </si>
  <si>
    <t>Otros cereales</t>
  </si>
  <si>
    <t>Yuca</t>
  </si>
  <si>
    <t>Patatas</t>
  </si>
  <si>
    <t>Patatas dulces</t>
  </si>
  <si>
    <t>Ñames</t>
  </si>
  <si>
    <t>Zanahorias</t>
  </si>
  <si>
    <t>Otros tubérculos</t>
  </si>
  <si>
    <t>Frijoles</t>
  </si>
  <si>
    <t>Lentejas</t>
  </si>
  <si>
    <t>Guisantes</t>
  </si>
  <si>
    <t>Garbanzos</t>
  </si>
  <si>
    <t>Habas</t>
  </si>
  <si>
    <t>Otras legumbres</t>
  </si>
  <si>
    <t>Coles</t>
  </si>
  <si>
    <t>Lechuga</t>
  </si>
  <si>
    <t>Espinacas-amaranto</t>
  </si>
  <si>
    <t>Hojas de yuca/mandioca</t>
  </si>
  <si>
    <t>Hojas de patata</t>
  </si>
  <si>
    <t>Rosella / Flor de jamaica</t>
  </si>
  <si>
    <t>Hierbas verdes para ensalada (tomillo, perejil, menta, rocca, otras)</t>
  </si>
  <si>
    <t>Coliflor</t>
  </si>
  <si>
    <t>Otras verduras de hoja</t>
  </si>
  <si>
    <t>Pepino</t>
  </si>
  <si>
    <t>Calabaza</t>
  </si>
  <si>
    <t>Berenjena</t>
  </si>
  <si>
    <t>Calabacín</t>
  </si>
  <si>
    <t>Pimiento</t>
  </si>
  <si>
    <t>Cebollas</t>
  </si>
  <si>
    <t>Judías</t>
  </si>
  <si>
    <t>Arberjas</t>
  </si>
  <si>
    <t>Habas verdes</t>
  </si>
  <si>
    <t>Otras verduras</t>
  </si>
  <si>
    <t>Naranja</t>
  </si>
  <si>
    <t>Limón</t>
  </si>
  <si>
    <t>Pomelo</t>
  </si>
  <si>
    <t>Mandarinas</t>
  </si>
  <si>
    <t>Otros cítricos</t>
  </si>
  <si>
    <t>Plátano dulce / bananas</t>
  </si>
  <si>
    <t>Plátano</t>
  </si>
  <si>
    <t>Guayaba</t>
  </si>
  <si>
    <t>Piña</t>
  </si>
  <si>
    <t>Aguacate</t>
  </si>
  <si>
    <t>Sandías</t>
  </si>
  <si>
    <t>Dátiles</t>
  </si>
  <si>
    <t>Higos</t>
  </si>
  <si>
    <t>Uvas</t>
  </si>
  <si>
    <t>Aceitunas</t>
  </si>
  <si>
    <t>Manzanas</t>
  </si>
  <si>
    <t>Albaricoques</t>
  </si>
  <si>
    <t>Cerezas</t>
  </si>
  <si>
    <t>Duraznos/ nectárinas</t>
  </si>
  <si>
    <t>Fresas</t>
  </si>
  <si>
    <t>Otras frutas</t>
  </si>
  <si>
    <t>Coco</t>
  </si>
  <si>
    <t>Cacahuates/maní</t>
  </si>
  <si>
    <t>Anacardos</t>
  </si>
  <si>
    <t>Nuez de cola</t>
  </si>
  <si>
    <t>Sésamo</t>
  </si>
  <si>
    <t>Nuez de bambara</t>
  </si>
  <si>
    <t>Almendra</t>
  </si>
  <si>
    <t>Nuez</t>
  </si>
  <si>
    <t>Otros frutos secos</t>
  </si>
  <si>
    <t>Té</t>
  </si>
  <si>
    <t>Caña de azúcar</t>
  </si>
  <si>
    <t>Girasol (plantas o semillas)</t>
  </si>
  <si>
    <t>Otros cultivos comerciales alimentarios</t>
  </si>
  <si>
    <t>Algodón</t>
  </si>
  <si>
    <t>Caucho</t>
  </si>
  <si>
    <t>Yute</t>
  </si>
  <si>
    <t>Forraje</t>
  </si>
  <si>
    <t>Tabaco</t>
  </si>
  <si>
    <t>Otros cultivos comerciales no alimentarios</t>
  </si>
  <si>
    <t>Spanish</t>
  </si>
  <si>
    <t>Ingrese el número telefónico que está contactando</t>
  </si>
  <si>
    <t>El teléfono sonó pero nadie contestó.</t>
  </si>
  <si>
    <t>Responde un contestador automático.</t>
  </si>
  <si>
    <t>Esta entrevista necesita ser revisada por el supervisor.</t>
  </si>
  <si>
    <t>El teléfono estaba desconectado o fuera de servicio.</t>
  </si>
  <si>
    <r>
      <t>En qué idioma quiere proceder?
[ENCUESTADOR/A: LEA LAS OPCIONES DE RESPUESTA. RESPUESTA ÚNICA]
1)Inglés 
2)</t>
    </r>
    <r>
      <rPr>
        <b/>
        <sz val="12"/>
        <color theme="4"/>
        <rFont val="Calibri (Cuerpo)"/>
      </rPr>
      <t>Otras opciones [Inserte todas las opciones necesarias]</t>
    </r>
  </si>
  <si>
    <t>¿Está interesado en participar en esta encuesta?
[ENCUESTADOR/A: RESPUESTA ÚNICA]
1)Si
2)Ahora no, pero en otro momento
3)No</t>
  </si>
  <si>
    <t>¿Por favor, me podría comentar por qué motivo se NIEGA a participar en la encuesta?
[OPERADOR: RESPUESTA ÚNICA]
1)No está interesado/a
2)No quiere ser grabado
3)Otro [especificar]</t>
  </si>
  <si>
    <t>¿Cuándo sería un buen momento para devolverle la llamada?
[REGISTRAR HH/MM/DD/MM PARA LLAMAR DE VUELTA]</t>
  </si>
  <si>
    <t>Gracias, le llamaremos a la hora y fecha solicitada. Gracias de nuevo y que tenga un buen día.
[ENCUESTADOR/A: REGISTRE LOS DATOS DE LA LLAMADA, LA PERSONA CON LA QUE HA HABLADO Y LO QUE LE HA DICHO]</t>
  </si>
  <si>
    <t>Gracias por su tiempo, será eliminado de la encuesta de hoy.</t>
  </si>
  <si>
    <t>¿Cuál es su nombre?
[ENCUESTADOR/A: REGISTRE EL NOMBRE DEL ENCUESTADO. ESCRIBA 999 SI EL ENCUESTADO SE NIEGA A RESPONDER.]</t>
  </si>
  <si>
    <t>Usted no es elegible para esta encuesta. ¡Gracias por su tiempo y esté atento a futuras encuestas!</t>
  </si>
  <si>
    <t>¿Cuál es su apellido?
[ENCUESTADOR/A: REGISTRE EL NOMBRE DEL ENCUESTADO. ESCRIBA 999 SI EL ENCUESTADO SE NIEGA A RESPONDER.]</t>
  </si>
  <si>
    <t>¿Qué edad tiene usted?
[ENCUESTADOR/A]: REGISTRE LA EDAD EN AÑOS. APROXIME AL NÚMERO ENTERO MÁS CERCANO. SI EL ENCUESTADO DA EL AÑO DE NACIMIENTO, REPITA LA PREGUNTA, ESCRIBA 00 EN CASO DE "NO SABE".]</t>
  </si>
  <si>
    <t>¿Cuál es el género del encuestado?
[ENCUESTADOR/A: NO LEA LA PREGUNTA EN VOZ ALTA. ESCUCHE LA VOZ Y DETERMINE SI EL ENCUESTADO ES HOMBRE O MUJER.]
1)Masculino
2)Femenino
3)NO SABE
4)NO RESPONDE</t>
  </si>
  <si>
    <t>¿Cuál es su número de teléfono?
[ENCUESTADOR/A: REGISTRE EL NÚMERO DADO]</t>
  </si>
  <si>
    <t>¿Cuál es el número telefónico adicional?
[ENCUESTADOR/A: REGISTRE EL NÚMERO DADO]</t>
  </si>
  <si>
    <t>¿Cuál es el nombre del dueño del teléfono adicional?
[ENCUESTADOR/A: REGISTRE EL NOMBRE DEL CONTACTO PARA EL TELÉFONO DADO.]</t>
  </si>
  <si>
    <r>
      <t xml:space="preserve">Actualmente, ¿en qué </t>
    </r>
    <r>
      <rPr>
        <b/>
        <sz val="12"/>
        <color rgb="FF7030A0"/>
        <rFont val="Calibri (Cuerpo)"/>
      </rPr>
      <t>$ADMIN1 ES$</t>
    </r>
    <r>
      <rPr>
        <sz val="12"/>
        <rFont val="Calibri"/>
        <family val="2"/>
        <scheme val="minor"/>
      </rPr>
      <t xml:space="preserve"> reside su hogar?
[ENCUESTADOR/A: RESPUESTA ÚNICA.]
[PISTA: EN HOGAR ES EL ESPACIO DONDE TODOS LOS MIEMBROS VIVEN JUNTOS, COMPARTEN RECURSOS Y COMEN DE LA MISMA OLLA.]
</t>
    </r>
    <r>
      <rPr>
        <b/>
        <sz val="12"/>
        <color theme="4"/>
        <rFont val="Calibri (Cuerpo)"/>
      </rPr>
      <t>1)ADMIN1</t>
    </r>
    <r>
      <rPr>
        <sz val="12"/>
        <rFont val="Calibri"/>
        <family val="2"/>
        <scheme val="minor"/>
      </rPr>
      <t xml:space="preserve">
2)NO SABE
3)NO RESPONDE</t>
    </r>
  </si>
  <si>
    <r>
      <t xml:space="preserve">Actualmente, ¿en cuál </t>
    </r>
    <r>
      <rPr>
        <b/>
        <sz val="12"/>
        <color rgb="FF7030A0"/>
        <rFont val="Calibri (Cuerpo)"/>
      </rPr>
      <t xml:space="preserve">$ADMIN2 ES$ </t>
    </r>
    <r>
      <rPr>
        <sz val="12"/>
        <rFont val="Calibri"/>
        <family val="2"/>
        <scheme val="minor"/>
      </rPr>
      <t xml:space="preserve">reside su hogar?
[ENCUESTADOR/A: RESPUESTA ÚNICA.]
</t>
    </r>
    <r>
      <rPr>
        <b/>
        <sz val="12"/>
        <color theme="4"/>
        <rFont val="Calibri (Cuerpo)"/>
      </rPr>
      <t>1)ADMIN2</t>
    </r>
    <r>
      <rPr>
        <sz val="12"/>
        <rFont val="Calibri"/>
        <family val="2"/>
        <scheme val="minor"/>
      </rPr>
      <t xml:space="preserve">
2)NO SABE
3)NO RESPONDE</t>
    </r>
  </si>
  <si>
    <t>[ENCUESTADOR/A: NO LEA ESTA PREGUNTA. RESPONDA A CONTINUACIÓN]
ESTE ENCUESTADO REPORTA QUE VIVIE EN:
{ADMIN1}
{ADMIN2}
1)EL OBJETIVO PARA ESTA ÁREA ADMINISTRATIVA HA SIDO ALCANZADO - TERMINAR LA ENCUESTA
2)EL OBJETIVO PARA ESTA ÁREA ADMINISTRATIVA AUN NO HA SIDO ALCANZADO - CONTINÚE CON LA ENCUESTA</t>
  </si>
  <si>
    <t>¿Cuál es el género de la persona cabeza de hogar?
[ENCUESTADOR/A: RESPUESTA ÚNICA.]
1)Masculino
2)Femenino
3)NO SABE
4)NO RESPONDE</t>
  </si>
  <si>
    <t>¿Cuál es el nivel de educación de la persona cabeza de hogar?
[ENCUESTADOR/A: RESPUESTA ÚNICA.]
1)Ninguno o no completó educación primaria
2)Completó educación primaria
3)Completó educación secundaria
4)Completó educación universitaria / superior
5)Solo educación religiosa
6)NO SABE
7)NO RESPONDE</t>
  </si>
  <si>
    <t xml:space="preserve">¿Cuál de las siguientes opciones describe mejor su tipo de residencia?
[ENCUESTADOR/A: LEA EN VOZ ALTA LAS OPCIONES. RESPUESTA ÚNICA.]
[PISTA: SI EL ENCUESTADO ESTÁ FUERA DE CASA SOLO POR TRABAJO ESTACIONAL DE CORTA DURACIÓN (&lt;6 MESES) O POR TRASHUMANCIA, HAGA REFERENCIA AL HOGAR COMO EL LUGAR AL QUE RETORNA Y DONDE VIVE HABITUALMENTE.]
1)Residente permanente - lleva más de dos años viviendo en su pueblo / ciudad y ésta es la que considera su residencia habitual
2)Migrante reciente no forzado - lleva menos de dos años viviendo en su actual lugar de residencia y se ha trasladado allí voluntariamente por motivos de trabajo / familia u otros motivos que no están relacionados con el conflicto o la catástrofe natural
3)Retornado - sólo ha vuelto a esta residencia en los últimos dos años después de haberse visto obligado a trasladarse a otro lugar tras huir del conflicto o de la catástrofe natural [si el regreso se produjo hace más de dos años, el encuestado se consdera residente permanente]
4)Desplazado interno [IDP] - se vio obligado a huir de su pueblo o ciudad a causa de un conflicto o una catástrofe natural y ahora es un desplazado interno en su lugar de residencia actual
5)Refugiado - se vio oblgado a huir de su país a causa de un conflicto o una catástrofe natural y ahora es un refugiado en su lugar de residencia actual
6)NO SABE
7)NO RESPONDE
</t>
  </si>
  <si>
    <t>¿Cuántas personas hacen parte del hogar?
[ENCUESTADOR/A: REGISTRE EL NÚMERO DE MIEMBROS. ESCRIBA 88 PARA "NO SABE" Y 99 PARA "NO RESPONDE"]
[PISTA: PARA SER PARTE DEL MISMO HOGAR, LOS MIEMBROS DEBEN VIVIR BAJO EL MISMO TECHO, COMPARTIR RECURSOS Y COMER DE LA MISMA OLLA. ]</t>
  </si>
  <si>
    <t>¿Cuál es el estado civil actual de la persona cabeza de hogar?
[ENCUESTADOR/A: RESPUESTA ÚNICA]
1)Soltero / Nunca se ha casado
2)Casado
3)Separado
4)Divorciado
5)Viudo
6)NO SABE
7)NO RESPONDE</t>
  </si>
  <si>
    <t>¿Cuál es la edad de la persona cabeza de hogar?
[ENCUESTADOR/A: RESPUESTA ÚNICA]
1)Menor de 18 años
2)18 a 40
3)41 a 65
4)Mayor a 65 años
5)NO SABE
6)NO RESPONDE</t>
  </si>
  <si>
    <r>
      <t xml:space="preserve">¿Podría confirmar que la cantidad de ingresos que acaba de indicar es correcta?
[ENCUESTADOR/A: SI LA CANTIDAD GANADA POR ESTA FUENTE DE INGRESOS EN LOS ÚLTIMOS 3 MESES ESTÁ POR ENCIMA DE </t>
    </r>
    <r>
      <rPr>
        <b/>
        <sz val="12"/>
        <color rgb="FF7030A0"/>
        <rFont val="Calibri (Cuerpo)"/>
      </rPr>
      <t>$THRESHOLD$</t>
    </r>
    <r>
      <rPr>
        <sz val="12"/>
        <rFont val="Calibri"/>
        <family val="2"/>
        <scheme val="minor"/>
      </rPr>
      <t xml:space="preserve"> ,HAGA CLICK EN CONTINUAR. DE LO CONTRARIO, REGRESE Y CAMBIE LA CANTIDAD INGRESADA.]
1)CONTINUAR</t>
    </r>
  </si>
  <si>
    <t xml:space="preserve">¿Quién maneja los ingresos que se obtienen de esta fuente?
[ENCUESTADOR/A: RESPUESTA ÚNICA.]
1)Miembro[s] masculino[s] del hogar
2)Miembro[s] femenino[s] del hogar
3)En conjunto [tanto mujeres como hombres]
4)NO SABE
5)NO RESPONDE
</t>
  </si>
  <si>
    <r>
      <t xml:space="preserve">¿Cuánto ganó [en </t>
    </r>
    <r>
      <rPr>
        <b/>
        <sz val="12"/>
        <color rgb="FF7030A0"/>
        <rFont val="Calibri (Cuerpo)"/>
      </rPr>
      <t>$currency$</t>
    </r>
    <r>
      <rPr>
        <sz val="12"/>
        <rFont val="Calibri"/>
        <family val="2"/>
        <scheme val="minor"/>
      </rPr>
      <t xml:space="preserve">] por la segunda fuente de ingresos, {income_sec}, en los últimos 3 meses?
[ENCUESTADOR/A: COMPRUEBE QUE LA RESPUESTA NO ES INCONSISTENTE Y QUE ESTÉ REGISTRADA EN LA MONEDA CORRECTA.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t>
    </r>
  </si>
  <si>
    <r>
      <t>¿Podría confirmar que la cantidad de ingresos que acaba de indicar es correcta?
[ENCUESTADOR/A: SI LA CANTIDAD GANADA POR ESTA FUENTE DE INGRESOS EN LOS ÚLTIMOS 3 MESES ESTÁ POR ENCIMA DE</t>
    </r>
    <r>
      <rPr>
        <b/>
        <sz val="12"/>
        <color rgb="FF7030A0"/>
        <rFont val="Calibri (Cuerpo)"/>
      </rPr>
      <t xml:space="preserve"> $THRESHOLD$</t>
    </r>
    <r>
      <rPr>
        <sz val="12"/>
        <rFont val="Calibri"/>
        <family val="2"/>
        <scheme val="minor"/>
      </rPr>
      <t xml:space="preserve"> ,HAGA CLICK EN CONTINUAR. DE LO CONTRARIO, REGRESE Y CAMBIE LA CANTIDAD INGRESADA.]
1)CONTINUAR</t>
    </r>
  </si>
  <si>
    <t>¿Quién maneja los ingresos que se obtienen de esta fuente?
[ENCUESTADOR/A: RESPUESTA ÚNICA.]
1)Miembro[s] masculino[s] del hogar
2)Miembro[s] femenino[s] del hogar
3)En conjunto [tanto mujeres como hombres]
4)NO SABE
5)NO RESPONDE</t>
  </si>
  <si>
    <r>
      <t xml:space="preserve">En los últimos 3 meses, ¿han cambiado los ingresos del hogar provenientes de la {income_sec} comparado con el mismo periodo en </t>
    </r>
    <r>
      <rPr>
        <b/>
        <sz val="12"/>
        <color rgb="FF7030A0"/>
        <rFont val="Calibri (Cuerpo)"/>
      </rPr>
      <t>$reference year ES$</t>
    </r>
    <r>
      <rPr>
        <sz val="12"/>
        <rFont val="Calibri"/>
        <family val="2"/>
        <scheme val="minor"/>
      </rPr>
      <t>?
[ENCUESTADOR/A: RESPUESTA ÚNICA.]
1)Mucho mayor [aumento del 50%]
2)un poco mayor
3)El mismo
4)Un poco menor
5)Mucho menor [menos de la mitad]
6)NO SABE
7)NO RESPONDE</t>
    </r>
  </si>
  <si>
    <r>
      <t xml:space="preserve">¿Cuánto ganó [en </t>
    </r>
    <r>
      <rPr>
        <b/>
        <sz val="12"/>
        <color rgb="FF7030A0"/>
        <rFont val="Calibri (Cuerpo)"/>
      </rPr>
      <t>$currency$</t>
    </r>
    <r>
      <rPr>
        <sz val="12"/>
        <rFont val="Calibri"/>
        <family val="2"/>
        <scheme val="minor"/>
      </rPr>
      <t xml:space="preserve">] por la tercera fuente de ingresos, {income_third}, en los últimos 3 meses?
[ENCUESTADOR/A: COMPRUEBE QUE LA RESPUESTA NO ES INCONSISTENTE Y QUE ESTÉ REGISTRADA EN LA MONEDA CORRECTA.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t>
    </r>
  </si>
  <si>
    <t>¿Cuál es el género del miembro[s] del hogar que genera[n] el ingreso de esta fuente?
[ENCUESTADOR/A: RESPUESTA ÚNICA.] 
1)Masculino
2)Femenino
3)En conjunto [tanto masculino como femenino]
4)NO SABE
5)NO RESPONDE</t>
  </si>
  <si>
    <r>
      <t>¿Cuál es el género del miembro</t>
    </r>
    <r>
      <rPr>
        <sz val="12"/>
        <rFont val="Calibri (Cuerpo)"/>
      </rPr>
      <t>[s]</t>
    </r>
    <r>
      <rPr>
        <sz val="12"/>
        <rFont val="Calibri"/>
        <family val="2"/>
        <scheme val="minor"/>
      </rPr>
      <t xml:space="preserve"> del hogar que genera[n] el ingreso de esta fuente?
</t>
    </r>
    <r>
      <rPr>
        <sz val="12"/>
        <rFont val="Calibri (Cuerpo)"/>
      </rPr>
      <t>[ENCUESTADOR/A: RESPUESTA ÚNICA.]</t>
    </r>
    <r>
      <rPr>
        <sz val="12"/>
        <rFont val="Calibri"/>
        <family val="2"/>
        <scheme val="minor"/>
      </rPr>
      <t xml:space="preserve"> 
1)Masculino
2)Femenino
3)En conjunto [tanto masculino como femenino]
4)NO SABE
5)NO RESPONDE</t>
    </r>
  </si>
  <si>
    <r>
      <t xml:space="preserve">En los últimos 3 meses, ¿han cambiado los ingresos del hogar provenientes de la {income_third} comparado con el mismo periodo en </t>
    </r>
    <r>
      <rPr>
        <b/>
        <sz val="12"/>
        <color rgb="FF7030A0"/>
        <rFont val="Calibri (Cuerpo)"/>
      </rPr>
      <t>$reference year ES$</t>
    </r>
    <r>
      <rPr>
        <sz val="12"/>
        <rFont val="Calibri"/>
        <family val="2"/>
        <scheme val="minor"/>
      </rPr>
      <t>?
[ENCUESTADOR/A: RESPUESTA ÚNICA.]
1)Mucho mayor [aumento del 50%]
2)un poco mayor
3)El mismo
4)Un poco menor
5)Mucho menor [menos de la mitad]
6)NO SABE
7)NO RESPONDE</t>
    </r>
  </si>
  <si>
    <r>
      <t xml:space="preserve">¿Cuál es el tamaño total de terreno que puede cultivar?
[ENCUESTADOR/A: ESCRIBA EL ÁREA TOTAL QUE LE DICE EL ENCUESTADO.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 LA UNIDAD DE MEDIDA SE ESPECIFICARÁ EN LA SIGUIENTE PREGUNTA.]</t>
    </r>
  </si>
  <si>
    <r>
      <t>Unidad de medida para el terreno cultivado:
[ENCUESTADOR/A: NO LEA LAS OPCIONES. RESPUESTA ÚNICA.]
1)Acres
2)Hectáreas
3)Metros cuadrados
4)Pies cuadrados
5)</t>
    </r>
    <r>
      <rPr>
        <b/>
        <sz val="12"/>
        <color rgb="FF7030A0"/>
        <rFont val="Calibri (Cuerpo)"/>
      </rPr>
      <t>$local measurement unit ES$</t>
    </r>
  </si>
  <si>
    <r>
      <t xml:space="preserve">¿Por qué no produjo ningún cultivo en </t>
    </r>
    <r>
      <rPr>
        <b/>
        <sz val="12"/>
        <color rgb="FF7030A0"/>
        <rFont val="Calibri (Cuerpo)"/>
      </rPr>
      <t xml:space="preserve">$season ES$
</t>
    </r>
    <r>
      <rPr>
        <sz val="12"/>
        <rFont val="Calibri (Cuerpo)"/>
      </rPr>
      <t>[ENCUESTADOR/A: RESPUESTA ÚNICA.]
1)Normalmente no produce durante esta temporada
2)No pudo producir (ej. por dificultades)</t>
    </r>
  </si>
  <si>
    <t xml:space="preserve">¿Usted [su comunidad] utiliza una bomba de agua para su propio sistema de riego [comunal]?
[ENCUESTADOR/A: RESPUESTA ÚNICA.]
1)No, todo funciona por gravedad
2)Si, hay una bomba comunal que funciona con diesel/gasolina
3)Si, hay una bomba comunal que funciona manualmente
4)Si, hay una bomba manual que funciona en mi predio
5)Si, hay una bomba que funciona con diesel/gasolina en mi predio
6)NO SABE
7)NO RESPONDE </t>
  </si>
  <si>
    <t>¿De dónde adquiere normalmente las semillas?
[ENCUESTADOR/A: ES POSIBLE SELECCIONAR MÚLTIPLES RESPUESTAS.]
1)Producción propia
2)Mercado local o tienda/vendedor de agroinsumos
3)Empresa privada de semillas
4)ONG
5)Banco de semillas comunitario / redes de agricultores / organización de productores / etc.
6)Gobierno [ej. Ministerio de Agricultura]
7)Familiares o amigos
8)Otro
9)NO SABE
10)NO RESPONDE</t>
  </si>
  <si>
    <r>
      <t xml:space="preserve">¿Cuánto {crp_main}[trillado] cosechó en </t>
    </r>
    <r>
      <rPr>
        <b/>
        <sz val="12"/>
        <color rgb="FF7030A0"/>
        <rFont val="Calibri (Cuerpo)"/>
      </rPr>
      <t>$season ES$</t>
    </r>
    <r>
      <rPr>
        <sz val="12"/>
        <rFont val="Calibri"/>
        <family val="2"/>
        <scheme val="minor"/>
      </rPr>
      <t xml:space="preserve">
[ENCUESTADOR/A: ESCRIBA LA RESPUESTA.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 ESTAS OPCIONES DEBEN SER UTILIZADAS SOLO EXCEPCIONALMENTE. VA A ESPECIFICAR LA UNIDAD DE MEDIDA EN LA SIGUIENTE PREGUNTA.]</t>
    </r>
  </si>
  <si>
    <r>
      <t xml:space="preserve">¿Cuántos kilogramos [Kgs] en cada unidad?
[ENCUESTADOR/A: ESCRIBA LA RESPUESTA. ESCRIBA </t>
    </r>
    <r>
      <rPr>
        <sz val="12"/>
        <color theme="4"/>
        <rFont val="Calibri (Cuerpo)"/>
      </rPr>
      <t>88888</t>
    </r>
    <r>
      <rPr>
        <sz val="12"/>
        <rFont val="Calibri"/>
        <family val="2"/>
        <scheme val="minor"/>
      </rPr>
      <t xml:space="preserve"> PARA "NO SABE" Y </t>
    </r>
    <r>
      <rPr>
        <sz val="12"/>
        <color theme="4"/>
        <rFont val="Calibri (Cuerpo)"/>
      </rPr>
      <t>99999</t>
    </r>
    <r>
      <rPr>
        <sz val="12"/>
        <rFont val="Calibri"/>
        <family val="2"/>
        <scheme val="minor"/>
      </rPr>
      <t xml:space="preserve"> PARA "NO RESPONDE".]</t>
    </r>
  </si>
  <si>
    <r>
      <t xml:space="preserve">¿Cuánto {crp_main} [trillado] cosechó en $season ES$?
[ENCUESTADOR/A: ESCRIBA LA RESPUESTA.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 ESTAS OPCIONES DEBEN SER UTILIZADAS SOLO EXCEPCIONALMENTE.]</t>
    </r>
  </si>
  <si>
    <r>
      <t xml:space="preserve">¿Cuáles dificultades ha enfrentado su hogar con la producción de cultivos en </t>
    </r>
    <r>
      <rPr>
        <b/>
        <sz val="12"/>
        <color rgb="FF7030A0"/>
        <rFont val="Calibri (Cuerpo)"/>
      </rPr>
      <t>$season ES$</t>
    </r>
    <r>
      <rPr>
        <sz val="12"/>
        <rFont val="Calibri (Cuerpo)"/>
      </rPr>
      <t>?
[ENCUESTADOR/A: ES POSIBLE SELECCIONAR MÚLTIPLES RESPUESTAS.SELECCIONE LA(S) OPCIÓN(ES) QUE MEJOR SE AJUSTE(N) A LA INFORMACIÓN PROPORCIONADA POR EL ENCUESTADO.]
1)Enfermedad del cultivo
2)</t>
    </r>
    <r>
      <rPr>
        <sz val="12"/>
        <rFont val="Calibri"/>
        <family val="2"/>
        <scheme val="minor"/>
      </rPr>
      <t>Brote de plagas [incluyendo aves]
3)Pastoreo de animales sin control
4)Acceso a terreno
5)Acceso a fertilizantes [no disponible en el mercado o los precios son muy altos]
6)Acceso a semillas de calidad
7)Acceso a suficientes semillas
8)Acceso a pesticidas
9)Acceso a mano de obra o mano de obra adicional
10)Acceso a maquinaria, herramientas o animales para arar
11)Acceso a combustible o electricidad para alimentar equipos agrícolas
12)Erosión del suelo
13)Insuficiente agua para el riego o poca lluvia
14)Demasiada irrigación / agua
15)Acceso a crédito
16)Otro
17)NO SABE
18)NO RESPONDE</t>
    </r>
  </si>
  <si>
    <r>
      <t xml:space="preserve">¿Cuál ha sido el principal producto que ha vendido en los </t>
    </r>
    <r>
      <rPr>
        <b/>
        <sz val="12"/>
        <rFont val="Calibri"/>
        <family val="2"/>
        <scheme val="minor"/>
      </rPr>
      <t>últimos 3 meses</t>
    </r>
    <r>
      <rPr>
        <sz val="12"/>
        <rFont val="Calibri"/>
        <family val="2"/>
        <scheme val="minor"/>
      </rPr>
      <t xml:space="preserve">?
[ENCUESTADOR/A: RESPUESTA ÚNICA.]
</t>
    </r>
    <r>
      <rPr>
        <b/>
        <sz val="12"/>
        <color rgb="FF7030A0"/>
        <rFont val="Calibri (Cuerpo)"/>
      </rPr>
      <t>$CROPS SOLD ES$</t>
    </r>
  </si>
  <si>
    <r>
      <t xml:space="preserve">¿Su hogar ha enfrentado alguna dificultad para </t>
    </r>
    <r>
      <rPr>
        <b/>
        <sz val="12"/>
        <rFont val="Calibri"/>
        <family val="2"/>
        <scheme val="minor"/>
      </rPr>
      <t xml:space="preserve">vender la cosecha </t>
    </r>
    <r>
      <rPr>
        <sz val="12"/>
        <rFont val="Calibri"/>
        <family val="2"/>
        <scheme val="minor"/>
      </rPr>
      <t>{crp_salesmain} en los últimos tres meses?
[ENCUESTADOR/A: RESPUESTA ÚNICA.]
1)SI
2)NO
3)NO SABE
4)NO RESPONDE</t>
    </r>
  </si>
  <si>
    <t>¿Qué dificultades ha enfrentado su hogar para vender la cosecha {crp_salesmain} en los últimos 3 meses?
[ENCUESTADOR/A: ES POSIBLE SELECCIONAR MÚLTIPLES RESPUESTAS. SELECCIONES LA(S) OPCIÓN(ES) QUE MEJOR SE AJUSTE(N) A LA INFORMACIÓN PROPORCIONADA POR EL ENCUESTADO.]
1)Altos costos de transporte u otros costos de comercialización
2)Daños y pérdidas debido a dificultades con el almacenamiento y/o dificultades accediendo al mercado [ej. inseguridad, mala infraestructura, etc.]
3)Poca demanda de los comerciantes o compradores
4)Retraso en los pagos de parte de comerciantes o compradores
5)Bajos precios de venta [ej. comparado con los precios de insumos / inflación]
6)Dificultades procesando los productos [falta de insumos / equipo de procesamiento]
7)Mercado saturado del mismo producto
8)Otro
9)NO SABE
10)NO RESPONDE</t>
  </si>
  <si>
    <r>
      <t xml:space="preserve">¿Cómo compararía el precio actual de la cosecha principal de su hogar {crp_salesmain} con respecto al precio promedio en </t>
    </r>
    <r>
      <rPr>
        <b/>
        <sz val="12"/>
        <color rgb="FF7030A0"/>
        <rFont val="Calibri (Cuerpo)"/>
      </rPr>
      <t>$reference year ES$?</t>
    </r>
    <r>
      <rPr>
        <sz val="12"/>
        <rFont val="Calibri"/>
        <family val="2"/>
        <scheme val="minor"/>
      </rPr>
      <t xml:space="preserve">
[PISTA: RESPUESTA ÚNICA. INSISTA EN EL PRINCIPAL PRODUCTO MENCIONADO.]
1)Mucho mayor [aumento del 50%]
2)un poco mayor
3)El mismo
4)Un poco menor
5)Mucho menor [menos de la mitad]
6)NO SABE
7)NO RESPONDE</t>
    </r>
  </si>
  <si>
    <t>Ahora me gustaría preguntarle sobre la producción de ganado/animales. Estas preguntas aplican para usted o cualquier miembro de su hogar que esté involucrado/a en la producción o venta de ganado/animales.
1)CONTINUAR</t>
  </si>
  <si>
    <r>
      <t xml:space="preserve">¿Cuántos {ls_main} tenía al mismo tiempo el año pasado?
[ENCUESTADOR/A: REGISTRE EL NÚMERO DE ANIMALES. ESCRIBA </t>
    </r>
    <r>
      <rPr>
        <sz val="12"/>
        <color theme="4"/>
        <rFont val="Calibri (Cuerpo)"/>
      </rPr>
      <t>88888</t>
    </r>
    <r>
      <rPr>
        <sz val="12"/>
        <rFont val="Calibri"/>
        <family val="2"/>
        <scheme val="minor"/>
      </rPr>
      <t xml:space="preserve"> PARA "NO SABE" Y </t>
    </r>
    <r>
      <rPr>
        <sz val="12"/>
        <color theme="4"/>
        <rFont val="Calibri (Cuerpo)"/>
      </rPr>
      <t>99999</t>
    </r>
    <r>
      <rPr>
        <sz val="12"/>
        <rFont val="Calibri"/>
        <family val="2"/>
        <scheme val="minor"/>
      </rPr>
      <t xml:space="preserve"> PARA "NO RESPONDE".]</t>
    </r>
  </si>
  <si>
    <r>
      <t xml:space="preserve">¿Cuántos {ls_main} tiene ahora?
[ENCUESTADOR/A: REGISTRE EL NÚMERO DE ANIMALES. ESCRIBA </t>
    </r>
    <r>
      <rPr>
        <sz val="12"/>
        <color theme="4"/>
        <rFont val="Calibri (Cuerpo)"/>
      </rPr>
      <t>88888</t>
    </r>
    <r>
      <rPr>
        <sz val="12"/>
        <rFont val="Calibri"/>
        <family val="2"/>
        <scheme val="minor"/>
      </rPr>
      <t xml:space="preserve"> PARA "NO SABE" Y </t>
    </r>
    <r>
      <rPr>
        <sz val="12"/>
        <color theme="4"/>
        <rFont val="Calibri (Cuerpo)"/>
      </rPr>
      <t>99999</t>
    </r>
    <r>
      <rPr>
        <sz val="12"/>
        <rFont val="Calibri"/>
        <family val="2"/>
        <scheme val="minor"/>
      </rPr>
      <t xml:space="preserve"> PARA "NO RESPONDE".]</t>
    </r>
  </si>
  <si>
    <t xml:space="preserve">¿Por qué cambió el número de cabezas de ganado/animales?
[ENCUESTADOR/A: ES POSIBLE SELECCIONAR MÚLTIPLES RESPUESTAS.]
1)No hubo cambios significativos en el número de cabezas de ganado/animales
2)No vendió tantos
3)Hubo mayores nacimientos
4)Compró o intercambió más animales este año
5)Recibió ganado/animales gratis [repobló, regalo, ayuda humanitaria]
6)Los animales murieron por desnutrición, sequía, falta de alimento
7)Los animales murieron por por otros factores [ej. enfermedades, parásitos, lesiones]
8)Vendió más de lo habitual debido a los buenos precios
9)Vendió más de lo habitual debido a medidas de emergencia [incapacidad de alimentar animales / necesidad urgente de dinero para las necesidades del hogar, incluso si las ventas fuesen insostenibles]
10)Los animales escaparon, se perdieron o fueron robados
11)Sacrificó más animales de lo habitual, destinados para el consumo doméstico o celebraciones [matrimonios / funerales / etc]
12)Otro
13)NO SABE
14)NO RESPONDE
 </t>
  </si>
  <si>
    <t>¿Ha enfretado su hogar alguna dificultad con la producción ganadera / de animales durante los últimos 3 meses?
[ENCUESTADOR/A: RESPUESTA ÚNICA.]
1)SI
2)NO
3)NO SABE
4)NO RESPONDE</t>
  </si>
  <si>
    <t>¿Qué dificultades ha enfrentado su hogar con la producción ganadera/ de animales en los últimos 3 meses?
[ENCUESTADOR/A: ES POSIBLE SELECCIONAR MÚLTIPLES RESPUESTAS. SELECCIONES LA(S) OPCIÓN(ES) QUE MEJOR SE AJUSTE(N) A LA INFORMACIÓN PROPORCIONADA POR EL ENCUESTADO.]
1)Dificultad para comprar alimentos [ej. precios o acceso al mercado]
2)Acceso restringido a pastos
3)Acceso restringido a agua
4)Acceso restringido a servicios veterinarios [vacunas / tratamientos / baños / asesoramiento / etc]
5)Acceso a insumos veterinarios [medicamentos para animales / herramientas para la salud de los animales / etc]
6)Muerte o enfermedad del ganado / animales
7)Robo de ganado / animales
8)Acceso restringido al mercado de ganado / animales, que le permita comprar animales jóvenes
9)Acceso restringido a crédito
10)Acceso restringido a mano de obra [Mano de obra demasiado costosa / ingresos insuficientes para contratarla / no hay mano de obra disponible.]
11)Otro
12)NO SABE 
13) NO RESPONDE</t>
  </si>
  <si>
    <t>¿Tiene otros animales aparte de {ls_main}, cuáles?
[ENCUESTADOR/A: "No tiene otros animales" ES UNA OPCIÓN. SELECCIONE TODOS LOS ANIMALES QUE MENCIONA EL ENCUESTADO.]
1)No tiene otros animales
2)NO SABE
3)NO RESPONDE</t>
  </si>
  <si>
    <t>¿Ha enfretado su hogar alguna dificultad con la comercialización de ganado / animales durante los últimos 3 meses?
[ENCUESTADOR/A: RESPUESTA ÚNICA.]
1)SI
2)NO
3)NO SABE
4)NO RESPONDE</t>
  </si>
  <si>
    <t>¿Qué dificultades ha enfrentado su hogar para vender {ls_salesmain} en los últimos 3 meses?
[ENCUESTADOR/A: ES POSIBLE SELECCIONAR MÚLTIPLES RESPUESTAS. SELECCIONES LA(S) OPCIÓN(ES) QUE MEJOR SE AJUSTE(N) A LA INFORMACIÓN PROPORCIONADA POR EL ENCUESTADO.]
1)Altos costos de transporte u otros costos de comercialización
2)Daños y pérdidas debido a dificultades con el transporte y/o dificultades accediendo al mercado
3)Poca demanda de los comerciantes o compradores
4)Retraso en los pagos de parte de comerciantes o compradores
5)Bajos precios de venta [ej. comparado con los precios de insumos / inflación]
6)Cierre del centro de beneficio animal o dificultades para acceder a él
7)Dificultades para procesar el producto distintos al cierre del centro de beneficio animal [dificultad para acceder a insumos / equipo para el procesamiento / etc]
8)Mercado saturado del mismo producto
9)Otro
10)NO SABE
11)NO RESPONDE</t>
  </si>
  <si>
    <t>¿En cuáles materiales/insumos para la pesca/acuicultura ha presentado dificultades para acceder en los últimos 3 meses?
[ENCUESTADOR/A: ES POSIBLE SELECCIONAR MÚLTIPLES RESPUESTAS.] 
1)Cebos o alimentos para pescar
2)Alevinos
3)Herramientas para la pesca [ej. cañas, anzuelos, redes]
4)Hielo
5)Combustible
6)Reparaciones de equipos [incluyendo botes] o respuestos
7)Mano de obra
8)Otro [especificar]
9)NO SABE
10)NO RESPONDE</t>
  </si>
  <si>
    <t>¿Cuál ha sido el principal producto pesquero/acuícola vendido por su hogar en los últimos 3 meses?
[ENCUESTADOR/A: RESPUESTA ÚNICA.]
1)Pescado fresco [de cualquier tipo, incluyendo invertebrados]
2)Pescado en conserva [incluyendo pescado seco, pescado ahumado, pescado fermentado, pescado salado]
3)Pescado congelado
4)Pescado enlatado
5)Otro [especificar]
6)NO SABE
7)NO RESPONDE</t>
  </si>
  <si>
    <t>¿Su hogar ha enfrentado algún dificultad significativa con la comercialización / ventas de su {fish_salesmain} en los últimos 3 meses?
[ENCUESTADOR/A: RESPUESTA ÚNICA.]
1)SI
2)NO
3)NO SABE
4)NO RESPONDE</t>
  </si>
  <si>
    <t>¿Qué dificultades ha enfrentado su hogar para vender {fish_salesmain} en los últimos 3 meses?
[ENCUESTADOR/A: ES POSIBLE SELECCIONAR MÚLTIPLES RESPUESTAS. SELECCIONES LA(S) OPCIÓN(ES) QUE MEJOR SE AJUSTE(N) A LA INFORMACIÓN PROPORCIONADA POR EL ENCUESTADO.]
1)Altos costos de transporte u otros costos de comercialización
2)Daños y pérdidas debido a dificultades con el almacenamiento o retrazos, inhabilidad para acceder a los mercados
3)Poca demanda de los comerciantes o compradores
4)Retraso en los pagos de parte de comerciantes o compradores
5)Bajos precios de venta [ej. comparado con los precios de insumos / inflación]
6)Cierre del centro de beneficio animal o dificultades para acceder a él
7)Dificultades para procesar el producto [dificultad para acceder a insumos / equipo para el procesamiento / etc]
8)Mercado saturado del mismo producto
9)Otro
10)NO SABE
11)NO RESPONDE</t>
  </si>
  <si>
    <r>
      <t xml:space="preserve">¿Cómo se compara el precio actual de {fish_salesmain} vendido por su hogar, con respecto con el precio promedio para el mismo periodo/cosecha de </t>
    </r>
    <r>
      <rPr>
        <b/>
        <sz val="12"/>
        <color rgb="FF7030A0"/>
        <rFont val="Calibri (Cuerpo)"/>
      </rPr>
      <t>$reference years ES$</t>
    </r>
    <r>
      <rPr>
        <sz val="12"/>
        <rFont val="Calibri (Cuerpo)"/>
      </rPr>
      <t xml:space="preserve">?
</t>
    </r>
    <r>
      <rPr>
        <sz val="12"/>
        <rFont val="Calibri"/>
        <family val="2"/>
        <scheme val="minor"/>
      </rPr>
      <t>[ENCUESTADOR/A: RESPUESTA ÚNICA. INSISTA EN EL PRINCIPAL PRODUCTO MENCIONADO.]
1)Mucho mayor [aumento del 50%]
2)un poco mayor
3)El mismo
4)Un poco menor
5)Mucho menor [menos de la mitad]
6)NO SABE
7)NO RESPONDE</t>
    </r>
  </si>
  <si>
    <r>
      <t xml:space="preserve">¿Cómo se compara el precio actual del {ls_salesmain} con el precio promedio para la misma época del año en </t>
    </r>
    <r>
      <rPr>
        <b/>
        <sz val="12"/>
        <color rgb="FF7030A0"/>
        <rFont val="Calibri (Cuerpo)"/>
      </rPr>
      <t>$reference year ES$</t>
    </r>
    <r>
      <rPr>
        <sz val="12"/>
        <rFont val="Calibri"/>
        <family val="2"/>
        <scheme val="minor"/>
      </rPr>
      <t>?
[ENCUESTADOR/A: RESPUESTA ÚNICA. INSISTA EN EL PRINCIPAL PRODUCTO MENCIONADO.]
1)Mucho mayor [aumento del 50%]
2)un poco mayor
3)El mismo
4)Un poco menor
5)Mucho menor [menos de la mitad]
6)NO SABE
7)NO RESPONDE</t>
    </r>
  </si>
  <si>
    <t>Ahora me gustaría hacerle algunas preguntas sobre el consumo de alimentos, la utilización de alimentos y los mecanismos de afrontamiento. Asegúrese de utilizar el periodo de referencia correcto para cada grupo de preguntas. Este es el primer conjunto de preguntas que se refiere a la experiencia enfrentada por usted o los miembros de su hogar durante los últimos 30 días.
[ENCUESTADOR/A: RESPUESTA ÚNICA.]
1)SIGUIENTE</t>
  </si>
  <si>
    <r>
      <t xml:space="preserve">Durante los últimos 30 días, ¿hubo algún momento en el que usted u otros miembros de su hogar </t>
    </r>
    <r>
      <rPr>
        <u/>
        <sz val="12"/>
        <rFont val="Calibri (Cuerpo)"/>
      </rPr>
      <t>han estado preocupados por no tener suficientes alimentos para comer</t>
    </r>
    <r>
      <rPr>
        <sz val="12"/>
        <rFont val="Calibri"/>
        <family val="2"/>
        <scheme val="minor"/>
      </rPr>
      <t xml:space="preserve"> debido a la falta de dinero u otros recursos?
[ENCUESTADOR/A: RESPUESTA ÚNICA.]
1)SI
2)NO
3)NO SABE
4)NO RESPONDE</t>
    </r>
  </si>
  <si>
    <r>
      <t xml:space="preserve">Durante los últimos 30 días, ¿hubo algún momento en el que usted u otros miembros de su hogar </t>
    </r>
    <r>
      <rPr>
        <u/>
        <sz val="12"/>
        <rFont val="Calibri (Cuerpo)"/>
      </rPr>
      <t>no pudieron comer alimentos saludables y nutritivos</t>
    </r>
    <r>
      <rPr>
        <sz val="12"/>
        <rFont val="Calibri"/>
        <family val="2"/>
        <scheme val="minor"/>
      </rPr>
      <t xml:space="preserve"> debido a la falta de dinero u otros recursos?
[ENCUESTADOR/A: RESPUESTA ÚNICA.]
1)SI
2)NO
3)NO SABE
4)NO RESPONDE</t>
    </r>
  </si>
  <si>
    <r>
      <t>Durante los últimos 30 días, ¿hubo algún momento en el que usted u otros miembros de su hogar</t>
    </r>
    <r>
      <rPr>
        <u/>
        <sz val="12"/>
        <rFont val="Calibri (Cuerpo)"/>
      </rPr>
      <t xml:space="preserve"> comieron solamente unos pocos tipos de alimentos</t>
    </r>
    <r>
      <rPr>
        <sz val="12"/>
        <rFont val="Calibri"/>
        <family val="2"/>
        <scheme val="minor"/>
      </rPr>
      <t xml:space="preserve"> debido a la falta de dinero u otros recursos?
[ENCUESTADOR/A: RESPUESTA ÚNICA.]
1)SI
2)NO
3)NO SABE
4)NO RESPONDE</t>
    </r>
  </si>
  <si>
    <r>
      <t xml:space="preserve">Durante los últimos 30 días, ¿hubo algún momento en el que usted u otros miembros de su hogar </t>
    </r>
    <r>
      <rPr>
        <u/>
        <sz val="12"/>
        <rFont val="Calibri (Cuerpo)"/>
      </rPr>
      <t>tuvieron que saltarse una comida</t>
    </r>
    <r>
      <rPr>
        <sz val="12"/>
        <rFont val="Calibri"/>
        <family val="2"/>
        <scheme val="minor"/>
      </rPr>
      <t xml:space="preserve"> debido a la falta de dinero u otros recursos para conseguir alimentos?
[ENCUESTADOR/A: RESPUESTA ÚNICA.]
1)SI
2)NO
3)NO SABE
4)NO RESPONDE</t>
    </r>
  </si>
  <si>
    <r>
      <t xml:space="preserve">Durante los últimos 30 días, ¿hubo algún momento en el que usted u otros miembros de su hogar </t>
    </r>
    <r>
      <rPr>
        <u/>
        <sz val="12"/>
        <rFont val="Calibri (Cuerpo)"/>
      </rPr>
      <t>comieron menos de lo que pensaban que debían</t>
    </r>
    <r>
      <rPr>
        <sz val="12"/>
        <rFont val="Calibri"/>
        <family val="2"/>
        <scheme val="minor"/>
      </rPr>
      <t xml:space="preserve"> debido a la falta de dinero u otros recursos?
[ENCUESTADOR/A: RESPUESTA ÚNICA.]
1)SI
2)NO
3)NO SABE
4)NO RESPONDE</t>
    </r>
  </si>
  <si>
    <r>
      <t xml:space="preserve">Durante los últimos 30 días, ¿hubo algún momento en el que usted u otros miembros de su hogar </t>
    </r>
    <r>
      <rPr>
        <u/>
        <sz val="12"/>
        <rFont val="Calibri (Cuerpo)"/>
      </rPr>
      <t>se quedaron sin alimentos de ningún tipo</t>
    </r>
    <r>
      <rPr>
        <sz val="12"/>
        <rFont val="Calibri"/>
        <family val="2"/>
        <scheme val="minor"/>
      </rPr>
      <t xml:space="preserve"> debido a la falta de dinero u otros recursos?
[ENCUESTADOR/A: RESPUESTA ÚNICA.]
1)SI
2)NO
3)NO SABE
4)NO RESPONDE</t>
    </r>
  </si>
  <si>
    <t>¿Cuántas veces ha ocurrido esto?
[ENCUESTADOR/A: ÚNICA RESPUESTA.]
1)Rara vez [1-2 veces en los últimos 30 días]
2)A veces [3-10 veces en los últimos 30 días]
3)A menudo [más de 10 días en los últimos 30 días]
4)NO SABE
5)NO RESPONDE</t>
  </si>
  <si>
    <r>
      <t xml:space="preserve">Durante los últimos 30 días, ¿hubo algún momento en el que usted u otros miembros de su hogar </t>
    </r>
    <r>
      <rPr>
        <u/>
        <sz val="12"/>
        <rFont val="Calibri (Cuerpo)"/>
      </rPr>
      <t>se fueron a dormir con hambre</t>
    </r>
    <r>
      <rPr>
        <sz val="12"/>
        <rFont val="Calibri"/>
        <family val="2"/>
        <scheme val="minor"/>
      </rPr>
      <t xml:space="preserve"> debido a la falta de alimentos?
[ENCUESTADOR/A: RESPUESTA ÚNICA.]
1)SI
2)NO
3)NO SABE
4)NO RESPONDE</t>
    </r>
  </si>
  <si>
    <r>
      <t xml:space="preserve">Durante los últimos 30 días, ¿hubo algún momento en el que usted u otros miembros de su hogar </t>
    </r>
    <r>
      <rPr>
        <u/>
        <sz val="12"/>
        <rFont val="Calibri (Cuerpo)"/>
      </rPr>
      <t>pasaron todo un día y la noche sin comer</t>
    </r>
    <r>
      <rPr>
        <sz val="12"/>
        <rFont val="Calibri"/>
        <family val="2"/>
        <scheme val="minor"/>
      </rPr>
      <t xml:space="preserve"> debido a la falta de alimentos?
[ENCUESTADOR/A: RESPUESTA ÚNICA.]
1)SI
2)NO
3)NO SABE
4)NO RESPONDE</t>
    </r>
  </si>
  <si>
    <r>
      <t xml:space="preserve">Ahora me gustaría hacerle otro grupo de preguntas relacionadas con las estrategias de afrontamiento, que se refiere a los </t>
    </r>
    <r>
      <rPr>
        <u/>
        <sz val="12"/>
        <rFont val="Calibri (Cuerpo)"/>
      </rPr>
      <t>últimos 30 días</t>
    </r>
    <r>
      <rPr>
        <sz val="12"/>
        <rFont val="Calibri"/>
        <family val="2"/>
        <scheme val="minor"/>
      </rPr>
      <t>.
[ENCUESTADOR/A: RESPUESTA ÚNICA.]
1)CONTINUAR</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</si>
  <si>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vender bienes / bienes domésticos</t>
    </r>
    <r>
      <rPr>
        <sz val="12"/>
        <rFont val="Calibri"/>
        <family val="2"/>
        <scheme val="minor"/>
      </rPr>
      <t xml:space="preserve"> [radio, muebles, televisor, joyería, etc.],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</si>
  <si>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gastar sus ahorros</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</si>
  <si>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¿hubo un momento en que usted u otros miembros de su hogar tuvieron que vender más animales de lo usual [no reproductivos],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</si>
  <si>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family val="2"/>
        <scheme val="minor"/>
      </rPr>
      <t>e</t>
    </r>
    <r>
      <rPr>
        <u/>
        <sz val="12"/>
        <rFont val="Calibri (Cuerpo)"/>
      </rPr>
      <t>nviar a los miembros del hogar a comer a otro luga</t>
    </r>
    <r>
      <rPr>
        <sz val="12"/>
        <rFont val="Calibri"/>
        <family val="2"/>
        <scheme val="minor"/>
      </rPr>
      <t>r,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</si>
  <si>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pedir alimentos prestados o contar con la ayuda de un familiar o amigo</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</si>
  <si>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pedir prestado dinero</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</si>
  <si>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comprar comida a crédito o adquirir comida prestada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</si>
  <si>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mover a los niños a una escuela menos costosa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</si>
  <si>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vender activos productivos o medios de transporte</t>
    </r>
    <r>
      <rPr>
        <sz val="12"/>
        <rFont val="Calibri"/>
        <family val="2"/>
        <scheme val="minor"/>
      </rPr>
      <t>[máquina de coser, carreta, bicicleta, automovil, etc],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</si>
  <si>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retirar a los niños de la escuela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</si>
  <si>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reducir los gastos en salud</t>
    </r>
    <r>
      <rPr>
        <sz val="12"/>
        <rFont val="Calibri"/>
        <family val="2"/>
        <scheme val="minor"/>
      </rPr>
      <t xml:space="preserve"> [incluyendo medicamentos],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</si>
  <si>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cosechar cultivos inmaduros para comer [ej. maíz verde]</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</si>
  <si>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consumir reservas de semillas que se guardarían para la próxima temporada de siembra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</si>
  <si>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disminuir los gastos en fertilizantes, pesticidas, forrajes, alimento para animales, atención veterinaria, et</t>
    </r>
    <r>
      <rPr>
        <sz val="12"/>
        <rFont val="Calibri"/>
        <family val="2"/>
        <scheme val="minor"/>
      </rPr>
      <t>c,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</si>
  <si>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vender una casa o un terreno</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</si>
  <si>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mendigar</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</si>
  <si>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participar en actividades ilegales o denigrantes</t>
    </r>
    <r>
      <rPr>
        <sz val="12"/>
        <rFont val="Calibri"/>
        <family val="2"/>
        <scheme val="minor"/>
      </rPr>
      <t xml:space="preserve"> [robo, prostitución],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</si>
  <si>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vender los últimos animales hembra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</si>
  <si>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Durante los </t>
    </r>
    <r>
      <rPr>
        <b/>
        <sz val="12"/>
        <rFont val="Calibri"/>
        <family val="2"/>
        <scheme val="minor"/>
      </rPr>
      <t>últimos 30 días</t>
    </r>
    <r>
      <rPr>
        <sz val="12"/>
        <rFont val="Calibri"/>
        <family val="2"/>
        <scheme val="minor"/>
      </rPr>
      <t xml:space="preserve">, ¿hubo un momento en que todo su hogar </t>
    </r>
    <r>
      <rPr>
        <u/>
        <sz val="12"/>
        <rFont val="Calibri (Cuerpo)"/>
      </rPr>
      <t>tuvo que migrar</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</si>
  <si>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ENCUESTADOR/A: RECUERDE PREGUNTAR POR APERITIVOS [ENTRE COMIDAS], ALIMENTOS ESPECIALES PARA NIÑOS O MUJERES EMBARAZADAS Y LOS ALIMENTOS AÑADIDOS EN LOS PLATOS MIXTOS O EN LOS ALIMENTOS FRITOS. UNA VEZ CONCLUIDO EL RECORDATORIO, PREGUNTE SOBRE LOS GRUPOS DE ALIMENTOS DONDE NO SE HAYA SUBRAYADO NINGÚN ALIMENTO.
SI YA HA HECHO ESTAS PREGUNTAS, HAGA CLICK EN CONTINUAR. SI NO ES ASÍ, VEULVA ATRÁS Y ASEGÚRESE DE QUE SE HAN SELECCIONADO TODOS LOS GRUPOS DE ALIMENTOS CONSUMIDOS EN LAS ÚLTIMAS 24 HORAS.
1)CONTINUAR</t>
  </si>
  <si>
    <t>Ahora me gustaría hacerle algunas preguntas sobre el consumo de alimentos y bebidas que su hogar comió y bebió en los últimos 7 días durante el día y la noche [desayuno, almuerzo y cena].
1)CONTINUAR</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</si>
  <si>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
[HINT: IF CONSUMED ONLY IN SMALL QUANTITY, DO NOT INCLUDE.]</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</si>
  <si>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almidónes</t>
    </r>
    <r>
      <rPr>
        <sz val="12"/>
        <color theme="1"/>
        <rFont val="Calibri"/>
        <family val="2"/>
        <scheme val="minor"/>
      </rPr>
      <t xml:space="preserve"> (carbohidratos), raices y tubérculos como arroz, maíz, pasta, pan, sorgo, mijo, patata, ñame, yuca, boniato blanco?
[ENCUESTADOR/A: ESCRIBA EL NÚMERO DE DÍAS 0 -7]
[PISTA: SI CONSUMIÓ PEQUEÑAS CANTIDADES, NO LO INCLUYA]</t>
    </r>
  </si>
  <si>
    <r>
      <t>¿Durante cuántos días en los</t>
    </r>
    <r>
      <rPr>
        <b/>
        <sz val="12"/>
        <color theme="1"/>
        <rFont val="Calibri"/>
        <family val="2"/>
        <scheme val="minor"/>
      </rPr>
      <t xml:space="preserve"> últimos 7 días</t>
    </r>
    <r>
      <rPr>
        <sz val="12"/>
        <color theme="1"/>
        <rFont val="Calibri"/>
        <family val="2"/>
        <scheme val="minor"/>
      </rPr>
      <t xml:space="preserve"> consumió usted o su hogar </t>
    </r>
    <r>
      <rPr>
        <u/>
        <sz val="12"/>
        <color theme="1"/>
        <rFont val="Calibri (Cuerpo)"/>
      </rPr>
      <t>legumbres y nueces</t>
    </r>
    <r>
      <rPr>
        <sz val="12"/>
        <color theme="1"/>
        <rFont val="Calibri (Cuerpo)"/>
      </rPr>
      <t xml:space="preserve"> como</t>
    </r>
    <r>
      <rPr>
        <sz val="12"/>
        <color theme="1"/>
        <rFont val="Calibri"/>
        <family val="2"/>
        <scheme val="minor"/>
      </rPr>
      <t xml:space="preserve"> fríjoles, lentejas, caupí, soja, gandules y maní u otras nueces?
[ENCUESTADOR/A: ESCRIBA EL NÚMERO DE DÍAS 0 -7]
[PISTA: SI CONSUMIÓ PEQUEÑAS CANTIDADES, NO LO INCLUYA]</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</si>
  <si>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vegetales y hojas</t>
    </r>
    <r>
      <rPr>
        <sz val="12"/>
        <color theme="1"/>
        <rFont val="Calibri"/>
        <family val="2"/>
        <scheme val="minor"/>
      </rPr>
      <t xml:space="preserve">  como </t>
    </r>
    <r>
      <rPr>
        <b/>
        <sz val="12"/>
        <color rgb="FF7030A0"/>
        <rFont val="Calibri (Cuerpo)"/>
      </rPr>
      <t>$local vegetables ES$</t>
    </r>
    <r>
      <rPr>
        <sz val="12"/>
        <color theme="1"/>
        <rFont val="Calibri"/>
        <family val="2"/>
        <scheme val="minor"/>
      </rPr>
      <t xml:space="preserve"> y/o otras hojas/verduras?
[ENCUESTADOR/A: ESCRIBA EL NÚMERO DE DÍAS 0 -7]
[PISTA: SI CONSUMIÓ PEQUEÑAS CANTIDADES, NO LO INCLUYA]</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</si>
  <si>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carne, huevos o pescado</t>
    </r>
    <r>
      <rPr>
        <sz val="12"/>
        <color theme="1"/>
        <rFont val="Calibri"/>
        <family val="2"/>
        <scheme val="minor"/>
      </rPr>
      <t xml:space="preserve"> [cualquier tipo de carne o pescado incluyendo insectos, aves, de caza, comida de mar o visceras]?
[ENCUESTADOR/A: ESCRIBA EL NÚMERO DE DÍAS 0 -7]
[PISTA: SI CONSUMIÓ PEQUEÑAS CANTIDADES, NO LO INCLUYA]</t>
    </r>
  </si>
  <si>
    <r>
      <t xml:space="preserve">¿Durante cuántos días en los </t>
    </r>
    <r>
      <rPr>
        <b/>
        <sz val="12"/>
        <color theme="1"/>
        <rFont val="Calibri"/>
        <family val="2"/>
        <scheme val="minor"/>
      </rPr>
      <t xml:space="preserve">últimos 7 días </t>
    </r>
    <r>
      <rPr>
        <sz val="12"/>
        <color theme="1"/>
        <rFont val="Calibri"/>
        <family val="2"/>
        <scheme val="minor"/>
      </rPr>
      <t xml:space="preserve">consumió usted o su hogar leche fresca, leche agria, yogurt, queso u otro </t>
    </r>
    <r>
      <rPr>
        <u/>
        <sz val="12"/>
        <color theme="1"/>
        <rFont val="Calibri (Cuerpo)"/>
      </rPr>
      <t>producto lácteo</t>
    </r>
    <r>
      <rPr>
        <sz val="12"/>
        <color theme="1"/>
        <rFont val="Calibri"/>
        <family val="2"/>
        <scheme val="minor"/>
      </rPr>
      <t>? [excluyendo margarina/mantequilla or pequeñas cantidades de leche para el té / café]
[ENCUESTADOR/A: ESCRIBA EL NÚMERO DE DÍAS 0 -7]
[PISTA: SI CONSUMIÓ PEQUEÑAS CANTIDADES, NO LO INCLUYA]</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</si>
  <si>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azucar o dulces</t>
    </r>
    <r>
      <rPr>
        <sz val="12"/>
        <color theme="1"/>
        <rFont val="Calibri"/>
        <family val="2"/>
        <scheme val="minor"/>
      </rPr>
      <t xml:space="preserve"> como azucar, miel, mermelada, pasteles, dulces, galletas, pastelería, pasteles y otros dulces y bebidas azucaradas?
[ENCUESTADOR/A: ESCRIBA EL NÚMERO DE DÍAS 0 -7]
[PISTA: SI CONSUMIÓ PEQUEÑAS CANTIDADES, NO LO INCLUYA]</t>
    </r>
  </si>
  <si>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
[HINT: IF CONSUMED ONLY IN SMALL QUANTITY, DO NOT INCLUDE.]</t>
    </r>
  </si>
  <si>
    <r>
      <t xml:space="preserve">¿Durante cuántos días en los </t>
    </r>
    <r>
      <rPr>
        <b/>
        <sz val="12"/>
        <color theme="1"/>
        <rFont val="Calibri"/>
        <family val="2"/>
        <scheme val="minor"/>
      </rPr>
      <t xml:space="preserve">últimos 7 días </t>
    </r>
    <r>
      <rPr>
        <sz val="12"/>
        <color theme="1"/>
        <rFont val="Calibri"/>
        <family val="2"/>
        <scheme val="minor"/>
      </rPr>
      <t xml:space="preserve">consumió usted o su hogar </t>
    </r>
    <r>
      <rPr>
        <u/>
        <sz val="12"/>
        <color theme="1"/>
        <rFont val="Calibri (Cuerpo)"/>
      </rPr>
      <t>aceite / grasa / mantequilla</t>
    </r>
    <r>
      <rPr>
        <sz val="12"/>
        <color theme="1"/>
        <rFont val="Calibri"/>
        <family val="2"/>
        <scheme val="minor"/>
      </rPr>
      <t xml:space="preserve"> como aceite vegetal, aceite de palma, aceite de maní, margarina, otras grasas/aceites?
[ENCUESTADOR/A: ESCRIBA EL NÚMERO DE DÍAS 0 -7]
[PISTA: SI CONSUMIÓ PEQUEÑAS CANTIDADES, NO LO INCLUYA]</t>
    </r>
  </si>
  <si>
    <t>Ahora le voy a preguntar sobre el número de días en los últimos 7 días, en los cuales su hogar ha tomado las siguientes acciones para afrontar la falta de comida o dinero para comprar comida.
1)CONTINUAR</t>
  </si>
  <si>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depender de alimentos menos preferidos o menos costosos</t>
    </r>
    <r>
      <rPr>
        <sz val="12"/>
        <color theme="1"/>
        <rFont val="Calibri"/>
        <family val="2"/>
        <scheme val="minor"/>
      </rPr>
      <t xml:space="preserve"> debido a la falta de alimentos/dinero?
[ENCUESTADOR/A: ESCRIBA EL NÚMERO DE DÍAS 0 -7]</t>
    </r>
  </si>
  <si>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pedir comida prestada o depender de la ayuda de un amigo o pariente</t>
    </r>
    <r>
      <rPr>
        <sz val="12"/>
        <color theme="1"/>
        <rFont val="Calibri"/>
        <family val="2"/>
        <scheme val="minor"/>
      </rPr>
      <t xml:space="preserve"> debido a la falta de alimentos o dinero para comprar comida?
[ENCUESTADOR/A: ESCRIBA EL NÚMERO DE DÍAS 0 -7]</t>
    </r>
  </si>
  <si>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reducir el número de comidas consumidas en el día</t>
    </r>
    <r>
      <rPr>
        <sz val="12"/>
        <color theme="1"/>
        <rFont val="Calibri"/>
        <family val="2"/>
        <scheme val="minor"/>
      </rPr>
      <t xml:space="preserve"> debido a la falta de alimentos o dinero para comprar comida?
[ENCUESTADOR/A: ESCRIBA EL NÚMERO DE DÍAS 0 -7]</t>
    </r>
  </si>
  <si>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limitar los tamaños de las porciones en las comidas</t>
    </r>
    <r>
      <rPr>
        <sz val="12"/>
        <color theme="1"/>
        <rFont val="Calibri"/>
        <family val="2"/>
        <scheme val="minor"/>
      </rPr>
      <t xml:space="preserve"> debido a la falta de alimentos o dinero para comprar comida?
[ENCUESTADOR/A: ESCRIBA EL NÚMERO DE DÍAS 0 -7]</t>
    </r>
  </si>
  <si>
    <r>
      <t xml:space="preserve">En los </t>
    </r>
    <r>
      <rPr>
        <b/>
        <sz val="12"/>
        <rFont val="Calibri"/>
        <family val="2"/>
        <scheme val="minor"/>
      </rPr>
      <t>últimos 7 días</t>
    </r>
    <r>
      <rPr>
        <sz val="12"/>
        <rFont val="Calibri"/>
        <family val="2"/>
        <scheme val="minor"/>
      </rPr>
      <t xml:space="preserve">, durante cuántos días tuvo su hogar que </t>
    </r>
    <r>
      <rPr>
        <u/>
        <sz val="12"/>
        <rFont val="Calibri (Cuerpo)"/>
      </rPr>
      <t>restringir el consumo de los adultos para que los niños/as pudieran comer</t>
    </r>
    <r>
      <rPr>
        <sz val="12"/>
        <rFont val="Calibri"/>
        <family val="2"/>
        <scheme val="minor"/>
      </rPr>
      <t>, debido a la falta de alimentos o dinero para comprar comida?
[ENCUESTADOR/A: ESCRIBA EL NÚMERO DE DÍAS 0 -7]</t>
    </r>
  </si>
  <si>
    <t>¿Necesita su hogar asistencia para las actividades agropecuarias [incluyendo actividades agricolas, ganaderas y pesca/acuicultura]?
[ENCUESTADOR/A: RESPUESTA ÚNICA.]
1)SI
2)NO
3)NO SABE
4)NO RESPONDE</t>
  </si>
  <si>
    <t>¿Quedó satisfecho con la calidad de la asistencia brindada?
[ENCUESTADOR/A: RESPUESTA ÚNICA. CALIDAD DE LA ASISTENCIA EN TÉRMINOS DE ASISTENCIA SUFICIENTE PARA SUPERAR LA DIFICULTAD EN LA PRODUCCIÓN O VENTA.]
1)Sí
2)No - no la recibió a tiempo
3)No, no satisfizo mis necesidades
4)No - la cantidad no fue suficiente
5)No, hubo un problema con el proveedor
6)No, hubo un mal funcionamiento de la asistencia en especie proporcionada [ej. herramientas de mala calidad]
7)NO SABE
8)NO RESPONDE</t>
  </si>
  <si>
    <t>¿Quién proporcionó esta asistencia a su hogar?
[ENCUESTADOR/A: ES POSIBLE SELECCIONAR MÚLTIPLES RESPUESTAS.]
1)FAO
2)PMA
3)Otras agencias de la ONU
4)Gobierno
5)Organización no gubernamental/local
6)NO SABE
7)NO RESPONDE</t>
  </si>
  <si>
    <t>Sus respuestas nos ayudarán a comprender y satisfacer las necesidades de su comunidad. ¿Podemos volver a llamarle en un futuro próximo?
[ENCUESTADOR/A: RESPUESTA ÚNICA.]
1)SI
2)NO</t>
  </si>
  <si>
    <r>
      <t xml:space="preserve">¿Nos puede brindar </t>
    </r>
    <r>
      <rPr>
        <b/>
        <sz val="12"/>
        <color theme="9" tint="-0.499984740745262"/>
        <rFont val="Calibri"/>
        <family val="2"/>
        <scheme val="minor"/>
      </rPr>
      <t>información de contacto</t>
    </r>
    <r>
      <rPr>
        <sz val="12"/>
        <color theme="9" tint="-0.499984740745262"/>
        <rFont val="Calibri"/>
        <family val="2"/>
        <scheme val="minor"/>
      </rPr>
      <t xml:space="preserve"> de un líder de su comunidad?
[ENCUESTADOR/A: RESPUESTA ÚNICA.]
1)SI
2)NO
3)NO SABE
4)NO RESPONDE</t>
    </r>
  </si>
  <si>
    <t>¿Para que tipo de lider comunitario nos puede brindar información?
[ENCUESTADOR/A: RESPUESTA ÚNICA.]
1)Administrador del pueblo / aldea
2)Oficial de extensión agropecuario
3)Oficial de extensión de salud
4)Profesor
5)Otro[especificar]
6)NO SABE
7)NO RESPONDE</t>
  </si>
  <si>
    <t>¿Cuál es el teléfono del lider?
[ENCUESTADOR/A: ESCRIBA EL TELÉFONO DADO POR EL ENCUESTADO.]</t>
  </si>
  <si>
    <r>
      <t xml:space="preserve">¿Cuál es el </t>
    </r>
    <r>
      <rPr>
        <b/>
        <sz val="12"/>
        <color theme="9" tint="-0.499984740745262"/>
        <rFont val="Calibri"/>
        <family val="2"/>
        <scheme val="minor"/>
      </rPr>
      <t>nombre</t>
    </r>
    <r>
      <rPr>
        <sz val="12"/>
        <color theme="9" tint="-0.499984740745262"/>
        <rFont val="Calibri"/>
        <family val="2"/>
        <scheme val="minor"/>
      </rPr>
      <t xml:space="preserve"> del lider?
[ENCUESTADOR/A: ESCRIBA EL NOMBRE DEL CONTACTO PARA EL NÚMERO TELEFÓNICO DADO POR EL ENCUESTADO.]</t>
    </r>
  </si>
  <si>
    <r>
      <t xml:space="preserve">Gracias por tu tiempo. La entrevista ha llegado a su fin. </t>
    </r>
    <r>
      <rPr>
        <b/>
        <sz val="12"/>
        <color theme="4"/>
        <rFont val="Calibri (Cuerpo)"/>
      </rPr>
      <t>Recibirá su crédito de tiempo al  aire #TOPUP# en este teléfono dentro de los próximos 2 días.</t>
    </r>
  </si>
  <si>
    <t>La primera subdivisión del país, después del nivel nacional; región; provincia; gobernación; etc.</t>
  </si>
  <si>
    <t>La segunda subdivisión del país; distrito; municipio; LGA; etc.</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</si>
  <si>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</si>
  <si>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</si>
  <si>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</si>
  <si>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Especifique la unidad de medida local para el area sembrada, que no sean acres, hectáreas, metros cuadrados y pies cuadrados. Si no se necesita otra unidad de medida, deje esta celda en blanco.</t>
  </si>
  <si>
    <t>Incluir la conversión de la unidad de medida local a hectáreas. En otras palabras, cuántas unidades de medida locales hay en 1 ha.</t>
  </si>
  <si>
    <t>El nombre de la moneda principal utilizada a nivel nacional; USD; quetzales; lempiras; pesos; etc.</t>
  </si>
  <si>
    <t>El monto mínimo para una fuente de ingresos debe establecerse en 0 o cualquier valor por debajo del cual no sea posible realizar una transacción. Por ejemplo, la moneda/billete más pequeño de una moneda puede ser 1000, en cuyo caso establecería el mínimo en 1000. Proporcione esta entrada en la misma moneda que se especificó anteriormente. Solo se deben ingresar dígitos.</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</si>
  <si>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</si>
  <si>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El salario limite debe calcularse para señalar los valores atípicos (respuestas que parecen sospechosamente altas). Utilizando encuestas representativas anteriores para esta población, una buena estimación es el promedio más tres (3) desviaciones estándar, lo que debería dar el umbral para los valores de ingresos más altos del 3 o 4 %. Proporcione esta entrada en la misma moneda que se especificó anteriormente. Solo se deben ingresar dígitos.</t>
  </si>
  <si>
    <t>Ingrese algunas verduras locales comunes [para usar como ejemplos en el indicador de puntaje de consumo de alimentos].</t>
  </si>
  <si>
    <t>Ingrese algunas frutas locales comunes [para usar como ejemplos en el indicador de puntaje de consumo de alimentos].</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</si>
  <si>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</si>
  <si>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</si>
  <si>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</si>
  <si>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distrito</t>
  </si>
  <si>
    <t>un año normal</t>
  </si>
  <si>
    <t>primera siembra</t>
  </si>
  <si>
    <t>Cosechando</t>
  </si>
  <si>
    <t>Cuadras</t>
  </si>
  <si>
    <t>Pesos</t>
  </si>
  <si>
    <t>berenjenas, tomate, coliflor</t>
  </si>
  <si>
    <t>manzanas, bananos, naranjas</t>
  </si>
  <si>
    <t>¿Alguien de su hogar ha producido cultivos o criado animales para el consumo doméstico o para la venta en los últimos 12 meses, incluyendo aquellos miembros del hogar que se encuentran ausentes por trashumancia?
[ENCUESTADOR/A: RESPUESTA ÚNICA. ESTA ES LA PRINCIPAL PREGUNTA A EVALUAR.]
[PISTA PARA SONDEAR: ¿Usted cultiva alguna planta para la venta o el consumo? ¿Usted cria algún animal con la intención de venderlo o consumirlo, o sus productos como la carne, leche, lana o cuero? ¿Algún miembro de su hogar está lejos con ganado o por trashumancia?]
1)Si - producción de cultivos
2)Si - producción de ganadería/ animales
3)Si - ambas, producción de cultivos y ganadería
4)No
5)NO SABE
6)NO RESPONDE</t>
  </si>
  <si>
    <r>
      <t xml:space="preserve">¿De dónde </t>
    </r>
    <r>
      <rPr>
        <sz val="12"/>
        <rFont val="Calibri (Cuerpo)"/>
      </rPr>
      <t>proviene el agua que bebe en su hogar?
[ENCUESTADOR/A: RESPUESTA ÚNICA.]
1)Grifo/tubería privada (en el domicilio)
2)Grifo/tubería pública
3)Pozo cubierto
4)Agua embotellada
5)Otra fuente limpia/segura
6)Río
7)Pozo descubierto
8)Agua de manantial
9)Aguas superficiales</t>
    </r>
    <r>
      <rPr>
        <sz val="12"/>
        <rFont val="Calibri"/>
        <family val="2"/>
        <scheme val="minor"/>
      </rPr>
      <t xml:space="preserve"> [ej: canales, estanques, represas]
10)Otra fuente no segura
11)NO SABE
12)NO RESPONDE</t>
    </r>
  </si>
  <si>
    <r>
      <t xml:space="preserve">¿A dónde suelen ir usted y los miembros de su hogar al baño?
[ENCUESTADOR/A: RESPUESTA ÚNICA.]
1)Letrina con descarga [inodoro con agua]
2)Letrina tradicional [sin agua]
3)Hoyo abierto [agujero en el suelo para </t>
    </r>
    <r>
      <rPr>
        <sz val="12"/>
        <rFont val="Calibri (Cuerpo)"/>
      </rPr>
      <t>excrementos,</t>
    </r>
    <r>
      <rPr>
        <sz val="12"/>
        <rFont val="Calibri"/>
        <family val="2"/>
        <scheme val="minor"/>
      </rPr>
      <t xml:space="preserve"> sin agua, techo o paredes]
4)Letrina comunitaria [con o sin agua]
5)Ninguno, arbusto
6)NO SABE
7)NO RESPONDE</t>
    </r>
  </si>
  <si>
    <r>
      <t xml:space="preserve">¿Cuál es la principal fuente de luz en su </t>
    </r>
    <r>
      <rPr>
        <sz val="12"/>
        <rFont val="Calibri (Cuerpo)"/>
      </rPr>
      <t>vivienda</t>
    </r>
    <r>
      <rPr>
        <sz val="12"/>
        <rFont val="Calibri"/>
        <family val="2"/>
        <scheme val="minor"/>
      </rPr>
      <t>?
[ENCUESTADOR/A: RESPUESTA ÚNICA.]
1)Electricidad [de generador o red eléctrica]
2)Vela
3)Lámpara de gasolina
4)Lámpara con baterías
5)Panel solar
6)Otro[sin suministro eléctrico en la vivienda]
7)NO SABE
8)NO RESPONDE</t>
    </r>
  </si>
  <si>
    <r>
      <t>¿Tiene su hogar alguno de los siguientes activos productivos?
[ENCUESTADOR/A: ES POSIBLE SELECCIONAR MÚLTIPLES RESPUESTAS. LEA LAS OPCIONES DE RESPUESTA EN VOZ ALTA.]
1)Activos para el procesamiento [</t>
    </r>
    <r>
      <rPr>
        <sz val="12"/>
        <rFont val="Calibri (Cuerpo)"/>
      </rPr>
      <t>ej: trituradora, molino, prensa para aceite</t>
    </r>
    <r>
      <rPr>
        <sz val="12"/>
        <rFont val="Calibri"/>
        <family val="2"/>
        <scheme val="minor"/>
      </rPr>
      <t>]
2)Maquinaria agrícola [</t>
    </r>
    <r>
      <rPr>
        <sz val="12"/>
        <rFont val="Calibri (Cuerpo)"/>
      </rPr>
      <t>ej: tractor, arado, hoz, etc</t>
    </r>
    <r>
      <rPr>
        <sz val="12"/>
        <rFont val="Calibri"/>
        <family val="2"/>
        <scheme val="minor"/>
      </rPr>
      <t>.]
3)Maquina de coser o herramienta de tejer
4)Taxi
5)Camión
6)Otras máquinas productivas o activos
7)Ninguna máquina o activo productivo
8)NO SABE
9)NO RESPONDE</t>
    </r>
  </si>
  <si>
    <r>
      <t>¿Tiene su hogar alguno de los siguientes medios de transporte?
[ENCUESTADOR/A: ES POSIBLE SELECCIONAR MÚLTIPLES RESPUESTAS. LEA LAS OPCIONES DE RESPUESTA EN VOZ ALTA.]
1)Bicicleta
2)Carreta [</t>
    </r>
    <r>
      <rPr>
        <sz val="12"/>
        <rFont val="Calibri (Cuerpo)"/>
      </rPr>
      <t>tracción animal</t>
    </r>
    <r>
      <rPr>
        <sz val="12"/>
        <rFont val="Calibri"/>
        <family val="2"/>
        <scheme val="minor"/>
      </rPr>
      <t>]
3)Bote/canóa
4)Motocicleta/scooter</t>
    </r>
    <r>
      <rPr>
        <sz val="12"/>
        <rFont val="Calibri (Cuerpo)"/>
      </rPr>
      <t xml:space="preserve">
5)Automovil
6)Furgoneta o camión pequeño
7)Otro vehículo a motor
8)Ninguno de los anteriores
9)NO SABE
10)NO RESPONDE</t>
    </r>
    <r>
      <rPr>
        <sz val="12"/>
        <rFont val="Calibri"/>
        <family val="2"/>
        <scheme val="minor"/>
      </rPr>
      <t xml:space="preserve">
</t>
    </r>
  </si>
  <si>
    <t>¿La cosecha que vende es también producida por usted o alguien de su hogar? 
[ENCUESTADOR/A: RESPUESTA ÚNICA.]
1)SI
2)NO
3)NO SABE
4)NO RESPONDE</t>
  </si>
  <si>
    <r>
      <rPr>
        <sz val="12"/>
        <rFont val="Calibri (Cuerpo)"/>
      </rPr>
      <t>¿Los animales y productos de origen animal que vende son también producidos por usted o alguien de su hogar?</t>
    </r>
    <r>
      <rPr>
        <sz val="12"/>
        <rFont val="Calibri"/>
        <family val="2"/>
        <scheme val="minor"/>
      </rPr>
      <t xml:space="preserve">
[ENCUESTADOR/A: RESPUESTA ÚNICA.]
1)SI
2)NO
3)NO SABE
4)NO RESPONDE</t>
    </r>
  </si>
  <si>
    <r>
      <rPr>
        <sz val="12"/>
        <rFont val="Calibri (Cuerpo)"/>
      </rPr>
      <t>¿Los productos pesqueros o acuícolas que vende son también capturados o cosechados por usted o alguien de su hogar?</t>
    </r>
    <r>
      <rPr>
        <sz val="12"/>
        <rFont val="Calibri"/>
        <family val="2"/>
        <scheme val="minor"/>
      </rPr>
      <t xml:space="preserve">
[ENCUESTADOR/A: RESPUESTA ÚNICA.]
1)SI
2)NO
3)NO SABE
4)NO RESPONDE</t>
    </r>
  </si>
  <si>
    <r>
      <t xml:space="preserve">¿Cuánto ganó [en </t>
    </r>
    <r>
      <rPr>
        <b/>
        <sz val="12"/>
        <color rgb="FF7030A0"/>
        <rFont val="Calibri (Cuerpo)"/>
      </rPr>
      <t>$currency$</t>
    </r>
    <r>
      <rPr>
        <sz val="12"/>
        <rFont val="Calibri"/>
        <family val="2"/>
        <scheme val="minor"/>
      </rPr>
      <t>] por su principal fuente de ingresos, {</t>
    </r>
    <r>
      <rPr>
        <sz val="12"/>
        <rFont val="Calibri (Cuerpo)"/>
      </rPr>
      <t xml:space="preserve">income_main}, en los últimos 3 meses?
[ENCUESTADOR/A: COMPRUEBE QUE LA RESPUESTA NO ES INCONSISTENTE Y QUE ESTÉ REGISTRADA EN LA MONEDA CORRECTA. ESCRIBA </t>
    </r>
    <r>
      <rPr>
        <sz val="12"/>
        <color theme="4"/>
        <rFont val="Calibri (Cuerpo)"/>
      </rPr>
      <t>8888888</t>
    </r>
    <r>
      <rPr>
        <sz val="12"/>
        <rFont val="Calibri (Cuerpo)"/>
      </rPr>
      <t xml:space="preserve"> PARA "NO SABE" Y </t>
    </r>
    <r>
      <rPr>
        <sz val="12"/>
        <color theme="4"/>
        <rFont val="Calibri (Cuerpo)"/>
      </rPr>
      <t>9999999</t>
    </r>
    <r>
      <rPr>
        <sz val="12"/>
        <rFont val="Calibri (Cuerpo)"/>
      </rPr>
      <t xml:space="preserve"> PARA "NO RESPONDE".]</t>
    </r>
  </si>
  <si>
    <r>
      <t xml:space="preserve">En los últimos 3 meses, ¿han cambiado los ingresos del hogar provenientes de la </t>
    </r>
    <r>
      <rPr>
        <sz val="12"/>
        <rFont val="Calibri (Cuerpo)"/>
      </rPr>
      <t xml:space="preserve">{income_main} </t>
    </r>
    <r>
      <rPr>
        <sz val="12"/>
        <rFont val="Calibri"/>
        <family val="2"/>
        <scheme val="minor"/>
      </rPr>
      <t xml:space="preserve">comparado con el mismo periodo en </t>
    </r>
    <r>
      <rPr>
        <b/>
        <sz val="12"/>
        <color rgb="FF7030A0"/>
        <rFont val="Calibri (Cuerpo)"/>
      </rPr>
      <t>$reference year ES$</t>
    </r>
    <r>
      <rPr>
        <sz val="12"/>
        <rFont val="Calibri (Cuerpo)"/>
      </rPr>
      <t>?
[ENCUESTADOR/A: RESPUESTA ÚNICA.]
1)Mucho mayor [aumento del 50%]
2)un poco mayor
3)El mismo
4)Un poco menor
5)Mucho menor [menos de la mitad]
6)NO SABE
7)NO RESPONDE</t>
    </r>
  </si>
  <si>
    <r>
      <t xml:space="preserve">¿La </t>
    </r>
    <r>
      <rPr>
        <sz val="12"/>
        <rFont val="Calibri (Cuerpo)"/>
      </rPr>
      <t>cosecha</t>
    </r>
    <r>
      <rPr>
        <sz val="12"/>
        <rFont val="Calibri"/>
        <family val="2"/>
        <scheme val="minor"/>
      </rPr>
      <t xml:space="preserve"> que vende es también producida por usted o alguien de su hogar? 
[ENCUESTADOR/A: RESPUESTA ÚNICA.]
1)SI
2)NO
3)NO SABE
4)NO RESPONDE</t>
    </r>
  </si>
  <si>
    <r>
      <rPr>
        <sz val="12"/>
        <rFont val="Calibri (Cuerpo)"/>
      </rPr>
      <t>¿Los productos pesqueros o acuícolas que vende son también capturados o recolectados por usted o alguien de su hogar?</t>
    </r>
    <r>
      <rPr>
        <sz val="12"/>
        <rFont val="Calibri"/>
        <family val="2"/>
        <scheme val="minor"/>
      </rPr>
      <t xml:space="preserve">
[ENCUESTADOR/A: RESPUESTA ÚNICA.]
1)SI
2)NO
3)NO SABE
4)NO RESPONDE</t>
    </r>
  </si>
  <si>
    <r>
      <t>Si el hogar se vio afectado recientemente por un impacto importante objeto de esta evaluación [</t>
    </r>
    <r>
      <rPr>
        <sz val="12"/>
        <rFont val="Calibri (Cuerpo)"/>
      </rPr>
      <t>por ejemplo, un terremoto</t>
    </r>
    <r>
      <rPr>
        <sz val="12"/>
        <rFont val="Calibri"/>
        <family val="2"/>
        <scheme val="minor"/>
      </rPr>
      <t xml:space="preserve">], con sus propias palabras, ¿Cuáles cree </t>
    </r>
    <r>
      <rPr>
        <sz val="12"/>
        <rFont val="Calibri (Cuerpo)"/>
      </rPr>
      <t>[ya observado o esperado]</t>
    </r>
    <r>
      <rPr>
        <sz val="12"/>
        <rFont val="Calibri"/>
        <family val="2"/>
        <scheme val="minor"/>
      </rPr>
      <t xml:space="preserve"> que son las consecuencias para su hogar?
[ENCUESTADOR/A: REGISTRE EN POCAS PALABRAS LA PRINCIPAL CONSECUENCIA DE LOS CHOQUES RECIENTES. ESCRIBA 88 PARA "NO SABE" Y 999 PARA "NO RESPONDE".]</t>
    </r>
  </si>
  <si>
    <r>
      <t xml:space="preserve">Ahora me gustaría preguntarle sobre la producción de cultivos. Estas preguntas aplican para usted o cualquier miembro de su hogar que esté involucrado/a en la producción de cultivos. Todas las preguntas se refieren a los productos producidos durante </t>
    </r>
    <r>
      <rPr>
        <b/>
        <sz val="12"/>
        <color rgb="FF7030A0"/>
        <rFont val="Calibri (Cuerpo)"/>
      </rPr>
      <t>$season ES$</t>
    </r>
    <r>
      <rPr>
        <sz val="12"/>
        <color rgb="FF7030A0"/>
        <rFont val="Calibri (Cuerpo)"/>
      </rPr>
      <t>.</t>
    </r>
    <r>
      <rPr>
        <b/>
        <sz val="12"/>
        <color rgb="FF7030A0"/>
        <rFont val="Calibri (Cuerpo)"/>
      </rPr>
      <t xml:space="preserve">
</t>
    </r>
    <r>
      <rPr>
        <sz val="12"/>
        <rFont val="Calibri (Cuerpo)"/>
      </rPr>
      <t>1)CONTINUAR</t>
    </r>
  </si>
  <si>
    <r>
      <t xml:space="preserve">¿Cómo compara la </t>
    </r>
    <r>
      <rPr>
        <b/>
        <sz val="12"/>
        <rFont val="Calibri"/>
        <family val="2"/>
        <scheme val="minor"/>
      </rPr>
      <t xml:space="preserve">cosecha </t>
    </r>
    <r>
      <rPr>
        <b/>
        <sz val="12"/>
        <color rgb="FF7030A0"/>
        <rFont val="Calibri (Cuerpo)"/>
      </rPr>
      <t>$expected or nothing ES$</t>
    </r>
    <r>
      <rPr>
        <b/>
        <sz val="12"/>
        <rFont val="Calibri"/>
        <family val="2"/>
        <scheme val="minor"/>
      </rPr>
      <t xml:space="preserve"> </t>
    </r>
    <r>
      <rPr>
        <sz val="12"/>
        <rFont val="Calibri"/>
        <family val="2"/>
        <scheme val="minor"/>
      </rPr>
      <t xml:space="preserve">para su </t>
    </r>
    <r>
      <rPr>
        <sz val="12"/>
        <rFont val="Calibri (Cuerpo)"/>
      </rPr>
      <t>{crp_main}</t>
    </r>
    <r>
      <rPr>
        <sz val="12"/>
        <rFont val="Calibri"/>
        <family val="2"/>
        <scheme val="minor"/>
      </rPr>
      <t xml:space="preserve"> en </t>
    </r>
    <r>
      <rPr>
        <b/>
        <sz val="12"/>
        <color rgb="FF7030A0"/>
        <rFont val="Calibri (Cuerpo)"/>
      </rPr>
      <t>$season ES$</t>
    </r>
    <r>
      <rPr>
        <sz val="12"/>
        <rFont val="Calibri"/>
        <family val="2"/>
        <scheme val="minor"/>
      </rPr>
      <t xml:space="preserve"> comparado con </t>
    </r>
    <r>
      <rPr>
        <b/>
        <sz val="12"/>
        <color rgb="FF7030A0"/>
        <rFont val="Calibri (Cuerpo)"/>
      </rPr>
      <t>$reference year ES$</t>
    </r>
    <r>
      <rPr>
        <sz val="12"/>
        <rFont val="Calibri (Cuerpo)"/>
      </rPr>
      <t>?</t>
    </r>
    <r>
      <rPr>
        <sz val="12"/>
        <rFont val="Calibri"/>
        <family val="2"/>
        <scheme val="minor"/>
      </rPr>
      <t xml:space="preserve">
[ENCUESTADOR/A: RESPUESTA ÚNICA.]
1)Mucho mayor [aumento del 50%]
2)un poco mayor
3)El mismo
4)Un poco menor
5)Mucho menor [menos de la mitad]
6)NO SABE
7)NO RESPONDE</t>
    </r>
  </si>
  <si>
    <r>
      <t xml:space="preserve">Unidad de medida para la cosecha de {crp_main}:
[ENCUESTADOR/A: RESPUESTA ÚNICA.]
1)Kilogramos [kgs]
2)Toneladas
3)Onzas
4)Libras
5)Costales / bolsas
6)Cajas
7)Manojos / fajos / </t>
    </r>
    <r>
      <rPr>
        <sz val="12"/>
        <rFont val="Calibri (Cuerpo)"/>
      </rPr>
      <t>bultos
8)Paquetes
9)Otro (especifique)</t>
    </r>
  </si>
  <si>
    <r>
      <t>El año pasado ¿qué proporción de su {</t>
    </r>
    <r>
      <rPr>
        <sz val="12"/>
        <rFont val="Calibri (Cuerpo)"/>
      </rPr>
      <t>crp_main</t>
    </r>
    <r>
      <rPr>
        <sz val="12"/>
        <rFont val="Calibri"/>
        <family val="2"/>
        <scheme val="minor"/>
      </rPr>
      <t>} perdió [por plagas, putrefacción, hongos,etc.]después de la cosecha?
[ENCUESTADOR/A: RESPUESTA ÚNICA.]
1)Ninguna
2)Un poco
3)Una parte importante, pero menos de la mitad
4)La mayoría [la mitad o más]
5)Casi toda
6)Toda
7)NO SABE
8)NO RESPONDE</t>
    </r>
  </si>
  <si>
    <r>
      <t xml:space="preserve">¿Cultiva otros productos además de {crp_main}? y en caso de hacerlo ¿Cuáles?
[ENCUESTADOR/A: "Ningún otro cultivo" APARECE AL </t>
    </r>
    <r>
      <rPr>
        <sz val="12"/>
        <rFont val="Calibri (Cuerpo)"/>
      </rPr>
      <t>FINAL DE LA LISTA DE OPCIONES. SELECCIONE TODOS LOS CULTIVOS LISTADOS.]
1)Ningún otro cultivo
2)NO SABE
3)NO RESPONDE</t>
    </r>
  </si>
  <si>
    <r>
      <t>¿En dónde accede a comida para su {ls_main} habitualmente?
[ENCUESTADOR/A: ES POSIBLE SELECCIONAR MÚLTIPLES RESPUESTAS.]
1)Pastizales abiertos
2)Pastizales comunitarios gestionados por la comunidad
3)Campo propio, alquilado o forrajes de producción propia
4)Comprar alimento o forraje en los mercados
5)</t>
    </r>
    <r>
      <rPr>
        <sz val="12"/>
        <rFont val="Calibri (Cuerpo)"/>
      </rPr>
      <t>Distribución gratuita</t>
    </r>
    <r>
      <rPr>
        <sz val="12"/>
        <rFont val="Calibri"/>
        <family val="2"/>
        <scheme val="minor"/>
      </rPr>
      <t xml:space="preserve">
6)Otro
7)NO SABE
8)NO RESPONDE
</t>
    </r>
  </si>
  <si>
    <t>Ahora me gustaría preguntarle sobre la producción pesquera y acuícola, preguntas que aplican para usted y cualquier persona de su hogar que esté involucrada en la captura, producción, procesamiento o venta de peces.
1)CONTINUAR</t>
  </si>
  <si>
    <r>
      <t xml:space="preserve">¿Qué tipo de actividad pesquera practica su hogar generalmente?
[ENCUESTADOR/A: ES POSIBLE SELECCIONAR MÚLTIPLES RESPUESTAS.]
1)Pesca costera, delta, </t>
    </r>
    <r>
      <rPr>
        <sz val="12"/>
        <rFont val="Calibri (Cuerpo)"/>
      </rPr>
      <t>laguna</t>
    </r>
    <r>
      <rPr>
        <sz val="12"/>
        <rFont val="Calibri"/>
        <family val="2"/>
        <scheme val="minor"/>
      </rPr>
      <t xml:space="preserve">
2)Pesca en alta mar
3)Pesca en agua dulce [en lagos, embalses, estanques, ríos o humedales]
4)Acuicultura
5)NO SABE
6)NO RESPONDE</t>
    </r>
  </si>
  <si>
    <r>
      <rPr>
        <sz val="12"/>
        <rFont val="Calibri (Cuerpo)"/>
      </rPr>
      <t xml:space="preserve">¿Cómo se compara la captura/cosecha [pesca] de los últimos 3 meses [o la última cosecha] con respecto al mismo periodo del año pasado?
</t>
    </r>
    <r>
      <rPr>
        <sz val="12"/>
        <rFont val="Calibri"/>
        <family val="2"/>
        <scheme val="minor"/>
      </rPr>
      <t xml:space="preserve">
[ENCUESTADOR/A: RESPUESTA ÚNICA.]
1)Mucho mayor [aumento del 50%]
2)un poco mayor
3)El mismo
4)Un poco menor
5)Mucho menor [menos de la mitad]
6)NO SABE
7)NO RESPONDE</t>
    </r>
  </si>
  <si>
    <r>
      <t>¿Durante cuántos días en los</t>
    </r>
    <r>
      <rPr>
        <b/>
        <sz val="12"/>
        <color theme="1"/>
        <rFont val="Calibri"/>
        <family val="2"/>
        <scheme val="minor"/>
      </rPr>
      <t xml:space="preserve"> últimos 7 días</t>
    </r>
    <r>
      <rPr>
        <sz val="12"/>
        <color theme="1"/>
        <rFont val="Calibri"/>
        <family val="2"/>
        <scheme val="minor"/>
      </rPr>
      <t xml:space="preserve"> consumió usted o su hogar </t>
    </r>
    <r>
      <rPr>
        <u/>
        <sz val="12"/>
        <color theme="1"/>
        <rFont val="Calibri (Cuerpo)"/>
      </rPr>
      <t>frutas</t>
    </r>
    <r>
      <rPr>
        <sz val="12"/>
        <color theme="1"/>
        <rFont val="Calibri"/>
        <family val="2"/>
        <scheme val="minor"/>
      </rPr>
      <t xml:space="preserve"> como </t>
    </r>
    <r>
      <rPr>
        <b/>
        <sz val="12"/>
        <color rgb="FF7030A0"/>
        <rFont val="Calibri (Cuerpo)"/>
      </rPr>
      <t>$local vegetables ES$</t>
    </r>
    <r>
      <rPr>
        <sz val="12"/>
        <color theme="1"/>
        <rFont val="Calibri"/>
        <family val="2"/>
        <scheme val="minor"/>
      </rPr>
      <t xml:space="preserve"> y/o otras frutas?
</t>
    </r>
    <r>
      <rPr>
        <sz val="12"/>
        <rFont val="Calibri"/>
        <family val="2"/>
        <scheme val="minor"/>
      </rPr>
      <t xml:space="preserve">
[ENCUESTADOR/A: ESCRIBA EL NÚMERO DE DÍAS 0 -7]
</t>
    </r>
    <r>
      <rPr>
        <sz val="12"/>
        <rFont val="Calibri (Cuerpo)"/>
      </rPr>
      <t>[PISTA: SI CONSUMIÓ PEQUEÑAS CANTIDADES, NO LO INCLUYA]</t>
    </r>
  </si>
  <si>
    <r>
      <t xml:space="preserve">¿Durante cuántos días en los </t>
    </r>
    <r>
      <rPr>
        <b/>
        <sz val="12"/>
        <rFont val="Calibri"/>
        <family val="2"/>
        <scheme val="minor"/>
      </rPr>
      <t>últimos 7 días</t>
    </r>
    <r>
      <rPr>
        <sz val="12"/>
        <rFont val="Calibri"/>
        <family val="2"/>
        <scheme val="minor"/>
      </rPr>
      <t xml:space="preserve"> consumió usted o su hogar </t>
    </r>
    <r>
      <rPr>
        <u/>
        <sz val="12"/>
        <rFont val="Calibri (Cuerpo)"/>
      </rPr>
      <t>especias o condimentos</t>
    </r>
    <r>
      <rPr>
        <sz val="12"/>
        <rFont val="Calibri"/>
        <family val="2"/>
        <scheme val="minor"/>
      </rPr>
      <t xml:space="preserve"> como té, café, cacao, sal, ajo, especias, levadura, carne de pescado como condimento o pequeñas cantidades de </t>
    </r>
    <r>
      <rPr>
        <sz val="12"/>
        <rFont val="Calibri (Cuerpo)"/>
      </rPr>
      <t>té o café con leche</t>
    </r>
    <r>
      <rPr>
        <sz val="12"/>
        <rFont val="Calibri"/>
        <family val="2"/>
        <scheme val="minor"/>
      </rPr>
      <t xml:space="preserve"> ?
[ENCUESTADOR/A: ESCRIBA EL NÚMERO DE DÍAS 0 -7]
</t>
    </r>
    <r>
      <rPr>
        <sz val="12"/>
        <rFont val="Calibri (Cuerpo)"/>
      </rPr>
      <t>[PISTA: SI CONSUMIÓ PEQUEÑAS CANTIDADES, NO LO INCLUYA]</t>
    </r>
  </si>
  <si>
    <r>
      <t>¿Ha recibido su hogar algún tipo de ayuda en los últimos 3 meses? De ser así, ¿de qué tipo?
[ENCUESTADOR/A: ES POSIBLE SELECCIONAR MÚLTIPLES RESPUESTAS. LEA LAS OPCIONES DE RESPUESTA.]
1)Alimento
2)Efectivo
3)</t>
    </r>
    <r>
      <rPr>
        <sz val="12"/>
        <rFont val="Calibri (Cuerpo)"/>
      </rPr>
      <t>Bonos/ferias de insumos</t>
    </r>
    <r>
      <rPr>
        <sz val="12"/>
        <rFont val="Calibri"/>
        <family val="2"/>
        <scheme val="minor"/>
      </rPr>
      <t xml:space="preserve">
4)Asistencia para la producción de cultivos y/o hortalizas
5)Asistencia para la ganadería
6)Asistencia para la pesca y/o acuicultura
7)Rehabilitación ambiental o de infraestructura [en toda la comunidad]
8)</t>
    </r>
    <r>
      <rPr>
        <sz val="12"/>
        <rFont val="Calibri (Cuerpo)"/>
      </rPr>
      <t>Soporte en comercialización o ventas [ej. compras públicas]</t>
    </r>
    <r>
      <rPr>
        <sz val="12"/>
        <rFont val="Calibri"/>
        <family val="2"/>
        <scheme val="minor"/>
      </rPr>
      <t xml:space="preserve">
9)Otro [especificar]
10)No se recibió asistencia
11)NO SABE
12)NO RESPONDE</t>
    </r>
  </si>
  <si>
    <r>
      <t>1-8 =</t>
    </r>
    <r>
      <rPr>
        <b/>
        <sz val="12"/>
        <rFont val="Calibri"/>
        <family val="2"/>
        <scheme val="minor"/>
      </rPr>
      <t xml:space="preserve"> </t>
    </r>
    <r>
      <rPr>
        <b/>
        <sz val="12"/>
        <color rgb="FF4472C4"/>
        <rFont val="Calibri"/>
        <family val="2"/>
        <scheme val="minor"/>
      </rPr>
      <t>[callback or optional question]</t>
    </r>
  </si>
  <si>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</si>
  <si>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r>
      <t>1-9 = assistance_quality 
10</t>
    </r>
    <r>
      <rPr>
        <sz val="12"/>
        <rFont val="Calibri (Body)"/>
      </rPr>
      <t xml:space="preserve">-12 = </t>
    </r>
    <r>
      <rPr>
        <b/>
        <sz val="12"/>
        <color theme="4"/>
        <rFont val="Calibri (Body)"/>
      </rPr>
      <t>callback</t>
    </r>
  </si>
  <si>
    <r>
      <rPr>
        <i/>
        <sz val="12"/>
        <rFont val="Calibri"/>
        <family val="2"/>
        <scheme val="minor"/>
      </rPr>
      <t xml:space="preserve">Only administered to agricultural households. Otherwise, go to "callback". </t>
    </r>
    <r>
      <rPr>
        <sz val="12"/>
        <rFont val="Calibri"/>
        <family val="2"/>
        <scheme val="minor"/>
      </rPr>
      <t xml:space="preserve">
if need = 1, go to need_2
if need = 2-4, go to </t>
    </r>
    <r>
      <rPr>
        <b/>
        <sz val="12"/>
        <color theme="4"/>
        <rFont val="Calibri (Body)"/>
      </rPr>
      <t>need_received</t>
    </r>
  </si>
  <si>
    <r>
      <t xml:space="preserve">1 = need_2
2-4= </t>
    </r>
    <r>
      <rPr>
        <b/>
        <sz val="12"/>
        <color theme="4"/>
        <rFont val="Calibri (Body)"/>
      </rPr>
      <t>need_received</t>
    </r>
  </si>
  <si>
    <r>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t>
    </r>
    <r>
      <rPr>
        <b/>
        <sz val="12"/>
        <color theme="4"/>
        <rFont val="Calibri (Body)"/>
      </rPr>
      <t>callback</t>
    </r>
    <r>
      <rPr>
        <sz val="12"/>
        <rFont val="Calibri"/>
        <family val="2"/>
        <scheme val="minor"/>
      </rPr>
      <t>".</t>
    </r>
  </si>
  <si>
    <r>
      <t xml:space="preserve">For any response, go to </t>
    </r>
    <r>
      <rPr>
        <b/>
        <sz val="12"/>
        <color theme="4"/>
        <rFont val="Calibri (Body)"/>
      </rPr>
      <t>need</t>
    </r>
  </si>
  <si>
    <r>
      <t xml:space="preserve">0-7 = </t>
    </r>
    <r>
      <rPr>
        <b/>
        <sz val="12"/>
        <color theme="4"/>
        <rFont val="Calibri (Body)"/>
      </rPr>
      <t>need</t>
    </r>
  </si>
  <si>
    <t>For any response, go to rcsi_restrict_adult_consumpt</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</si>
  <si>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
[HINT: IF CONSUMED ONLY IN SMALL QUANTITY, DO NOT INCLUDE.]</t>
    </r>
  </si>
  <si>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</si>
  <si>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need</t>
    </r>
    <r>
      <rPr>
        <b/>
        <i/>
        <sz val="12"/>
        <color theme="4"/>
        <rFont val="Calibri (Body)"/>
      </rPr>
      <t xml:space="preserve"> </t>
    </r>
    <r>
      <rPr>
        <b/>
        <sz val="12"/>
        <color theme="4"/>
        <rFont val="Calibri (Body)"/>
      </rPr>
      <t>or optional question</t>
    </r>
  </si>
  <si>
    <r>
      <t xml:space="preserve">1 = </t>
    </r>
    <r>
      <rPr>
        <b/>
        <sz val="12"/>
        <color theme="4"/>
        <rFont val="Calibri"/>
        <family val="2"/>
        <scheme val="minor"/>
      </rPr>
      <t>need or next question</t>
    </r>
  </si>
  <si>
    <r>
      <t xml:space="preserve">1 = </t>
    </r>
    <r>
      <rPr>
        <b/>
        <sz val="12"/>
        <color rgb="FF0070C0"/>
        <rFont val="Calibri"/>
        <family val="2"/>
        <scheme val="minor"/>
      </rPr>
      <t>[next question]</t>
    </r>
  </si>
  <si>
    <r>
      <t>if fies_whlday_hhs = 1-5, go to</t>
    </r>
    <r>
      <rPr>
        <sz val="12"/>
        <color theme="4"/>
        <rFont val="Calibri"/>
        <family val="2"/>
        <scheme val="minor"/>
      </rPr>
      <t xml:space="preserve"> lcsi_intro OR hdds</t>
    </r>
  </si>
  <si>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</si>
  <si>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 = 1, go to fies_whlday_hhs. Otherwise, go to</t>
    </r>
    <r>
      <rPr>
        <sz val="12"/>
        <color theme="4"/>
        <rFont val="Calibri"/>
        <family val="2"/>
        <scheme val="minor"/>
      </rPr>
      <t xml:space="preserve"> lcsi_intro OR hdds</t>
    </r>
  </si>
  <si>
    <r>
      <t xml:space="preserve">1=fies_whlday_hhs
2-4 = </t>
    </r>
    <r>
      <rPr>
        <b/>
        <sz val="12"/>
        <color rgb="FF0070C0"/>
        <rFont val="Calibri"/>
        <family val="2"/>
        <scheme val="minor"/>
      </rPr>
      <t>[lcsi_intro OR hdds]</t>
    </r>
  </si>
  <si>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</si>
  <si>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</si>
  <si>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1 = fish_salesdif_2
2-4 = fish_salesprice</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</si>
  <si>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</si>
  <si>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1-5 = fish_salesdif
6-7 = fies</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</si>
  <si>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</si>
  <si>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r>
      <rPr>
        <sz val="12"/>
        <rFont val="Calibri (Body)"/>
      </rPr>
      <t xml:space="preserve">Which difficulties has </t>
    </r>
    <r>
      <rPr>
        <sz val="12"/>
        <rFont val="Calibri"/>
        <family val="2"/>
        <scheme val="minor"/>
      </rPr>
      <t>your household</t>
    </r>
    <r>
      <rPr>
        <sz val="12"/>
        <rFont val="Calibri (Body)"/>
      </rPr>
      <t xml:space="preserve"> faced with fish catch and/or harvest in </t>
    </r>
    <r>
      <rPr>
        <sz val="12"/>
        <rFont val="Calibri"/>
        <family val="2"/>
        <scheme val="minor"/>
      </rPr>
      <t xml:space="preserve">the last 3 months?
[OPERATOR: MULTIPLE RESPONSES POSSIBLE. SELECT OPTION(S) THAT BEST FIT THE INFORMATION PROVIDED BY THE RESPONDENTS.]
1)Fish is more difficult to find than in previous years in the same season </t>
    </r>
    <r>
      <rPr>
        <sz val="12"/>
        <rFont val="Calibri (Body)"/>
      </rPr>
      <t>[fishing]
2)Fish pests and diseases [aquaculture]
3)Access to fishing or aquaculture area [e.g. due to weather or security]</t>
    </r>
    <r>
      <rPr>
        <sz val="12"/>
        <rFont val="Calibri"/>
        <family val="2"/>
        <scheme val="minor"/>
      </rPr>
      <t xml:space="preserve">
</t>
    </r>
    <r>
      <rPr>
        <sz val="12"/>
        <rFont val="Calibri (Body)"/>
      </rPr>
      <t>4</t>
    </r>
    <r>
      <rPr>
        <sz val="12"/>
        <rFont val="Calibri"/>
        <family val="2"/>
        <scheme val="minor"/>
      </rPr>
      <t>)</t>
    </r>
    <r>
      <rPr>
        <sz val="12"/>
        <rFont val="Calibri (Body)"/>
      </rPr>
      <t>Access to</t>
    </r>
    <r>
      <rPr>
        <sz val="12"/>
        <rFont val="Calibri"/>
        <family val="2"/>
        <scheme val="minor"/>
      </rPr>
      <t xml:space="preserve"> fuel [prices higher or not available]
</t>
    </r>
    <r>
      <rPr>
        <sz val="12"/>
        <rFont val="Calibri (Body)"/>
      </rPr>
      <t>5</t>
    </r>
    <r>
      <rPr>
        <sz val="12"/>
        <rFont val="Calibri"/>
        <family val="2"/>
        <scheme val="minor"/>
      </rPr>
      <t>)</t>
    </r>
    <r>
      <rPr>
        <sz val="12"/>
        <rFont val="Calibri (Body)"/>
      </rPr>
      <t>Access to</t>
    </r>
    <r>
      <rPr>
        <sz val="12"/>
        <rFont val="Calibri"/>
        <family val="2"/>
        <scheme val="minor"/>
      </rPr>
      <t xml:space="preserve"> </t>
    </r>
    <r>
      <rPr>
        <sz val="12"/>
        <rFont val="Calibri (Body)"/>
      </rPr>
      <t xml:space="preserve">other </t>
    </r>
    <r>
      <rPr>
        <sz val="12"/>
        <rFont val="Calibri"/>
        <family val="2"/>
        <scheme val="minor"/>
      </rPr>
      <t xml:space="preserve">fishing </t>
    </r>
    <r>
      <rPr>
        <sz val="12"/>
        <rFont val="Calibri (Body)"/>
      </rPr>
      <t>or culture i</t>
    </r>
    <r>
      <rPr>
        <sz val="12"/>
        <rFont val="Calibri"/>
        <family val="2"/>
        <scheme val="minor"/>
      </rPr>
      <t xml:space="preserve">nputs [prices higher or not available]
</t>
    </r>
    <r>
      <rPr>
        <sz val="12"/>
        <rFont val="Calibri (Body)"/>
      </rPr>
      <t>6</t>
    </r>
    <r>
      <rPr>
        <sz val="12"/>
        <rFont val="Calibri"/>
        <family val="2"/>
        <scheme val="minor"/>
      </rPr>
      <t>)</t>
    </r>
    <r>
      <rPr>
        <sz val="12"/>
        <rFont val="Calibri (Body)"/>
      </rPr>
      <t>Access to labour or crew labour [prices higher or not available]
7)Damage or destruction of infrastructure [ponds, cages, ports, landing sites]
8)Damage or destruction of boats or gears
9)Other
10)DON'T KNOW
11)REFUSED</t>
    </r>
  </si>
  <si>
    <r>
      <t xml:space="preserve">if fish_proddif = 1, go to fish_proddif_2 ; 
if fish_proddif = 2-4, go to </t>
    </r>
    <r>
      <rPr>
        <sz val="12"/>
        <color theme="4"/>
        <rFont val="Calibri"/>
        <family val="2"/>
        <scheme val="minor"/>
      </rPr>
      <t>fish_salesmain OR optional question</t>
    </r>
  </si>
  <si>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and</t>
    </r>
    <r>
      <rPr>
        <sz val="12"/>
        <rFont val="Calibri (Body)"/>
      </rPr>
      <t>/or</t>
    </r>
    <r>
      <rPr>
        <sz val="12"/>
        <rFont val="Calibri"/>
        <family val="2"/>
        <scheme val="minor"/>
      </rPr>
      <t xml:space="preserve"> harvest in the last</t>
    </r>
    <r>
      <rPr>
        <sz val="12"/>
        <rFont val="Calibri (Body)"/>
      </rPr>
      <t xml:space="preserve"> 3</t>
    </r>
    <r>
      <rPr>
        <sz val="12"/>
        <rFont val="Calibri"/>
        <family val="2"/>
        <scheme val="minor"/>
      </rPr>
      <t xml:space="preserve"> months?
[OPERATOR: SINGLE RESPONSE.]
1)YES
2)NO
3)DON'T KNOW
4)REFUSED</t>
    </r>
  </si>
  <si>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</si>
  <si>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1-7 = fish_proddif</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</si>
  <si>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</si>
  <si>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</si>
  <si>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</si>
  <si>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1-11 = ls_salesdif
12-13 = fish_intro</t>
  </si>
  <si>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i/>
        <sz val="12"/>
        <color theme="4"/>
        <rFont val="Calibri"/>
        <family val="2"/>
        <scheme val="minor"/>
      </rPr>
      <t>ls_salesmai</t>
    </r>
    <r>
      <rPr>
        <i/>
        <sz val="12"/>
        <color theme="4"/>
        <rFont val="Calibri (Body)"/>
      </rPr>
      <t xml:space="preserve">n </t>
    </r>
    <r>
      <rPr>
        <sz val="12"/>
        <color theme="4"/>
        <rFont val="Calibri (Body)"/>
      </rPr>
      <t xml:space="preserve">OR </t>
    </r>
    <r>
      <rPr>
        <i/>
        <sz val="12"/>
        <color theme="4"/>
        <rFont val="Calibri (Body)"/>
      </rPr>
      <t>optional question</t>
    </r>
    <r>
      <rPr>
        <sz val="12"/>
        <rFont val="Calibri"/>
        <family val="2"/>
        <scheme val="minor"/>
      </rPr>
      <t>]</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</si>
  <si>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</si>
  <si>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</si>
  <si>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</si>
  <si>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</si>
  <si>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</si>
  <si>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1-9 = ls_num_lastyr
10-11 = ls_proddif</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</si>
  <si>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</si>
  <si>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</si>
  <si>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</si>
  <si>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</si>
  <si>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r>
      <t>if crp_proddif = 1, go to crp_proddif_2 ; 
if crp_proddif = 2-4, go to [</t>
    </r>
    <r>
      <rPr>
        <sz val="12"/>
        <color theme="4"/>
        <rFont val="Calibri"/>
        <family val="2"/>
        <scheme val="minor"/>
      </rPr>
      <t>crp_salesmain or optional question]</t>
    </r>
  </si>
  <si>
    <r>
      <t xml:space="preserve">For any response, go to </t>
    </r>
    <r>
      <rPr>
        <sz val="12"/>
        <color theme="4"/>
        <rFont val="Calibri"/>
        <family val="2"/>
        <scheme val="minor"/>
      </rPr>
      <t>crp_proddif</t>
    </r>
  </si>
  <si>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</si>
  <si>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crp_harv_unit. For "Don't know" or "Refused", go to </t>
    </r>
    <r>
      <rPr>
        <sz val="12"/>
        <color theme="4"/>
        <rFont val="Calibri"/>
        <family val="2"/>
        <scheme val="minor"/>
      </rPr>
      <t>crp_proddif</t>
    </r>
  </si>
  <si>
    <t>1-1000000 = crp_harv_unit
8888888-8888888 =  crp_proddif
9999999-9999999 =  crp_proddif</t>
  </si>
  <si>
    <r>
      <t>if crp_harv_change = 1-7, go to</t>
    </r>
    <r>
      <rPr>
        <sz val="12"/>
        <color theme="4"/>
        <rFont val="Calibri"/>
        <family val="2"/>
        <scheme val="minor"/>
      </rPr>
      <t xml:space="preserve"> [crp_proddif or crp_harv_vol]</t>
    </r>
  </si>
  <si>
    <r>
      <t xml:space="preserve">1-7 = </t>
    </r>
    <r>
      <rPr>
        <sz val="12"/>
        <color theme="4"/>
        <rFont val="Calibri"/>
        <family val="2"/>
        <scheme val="minor"/>
      </rPr>
      <t>crp_proddif OR crp_harv_vol</t>
    </r>
  </si>
  <si>
    <t>if crp_main_check = 1, go to crp_salesmain
if crp_main_check = 2, go to crp_proddif</t>
  </si>
  <si>
    <t>1 = crp_salesmain
2 = crp_proddif</t>
  </si>
  <si>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</si>
  <si>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</si>
  <si>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</si>
  <si>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</si>
  <si>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Buenos días/tardes señor/señora, mi nombre es #OPERATOR#, y lo llamo desde la empresa encuestadora GeoPoll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t>
    </r>
    <r>
      <rPr>
        <b/>
        <sz val="12"/>
        <color theme="4"/>
        <rFont val="Calibri (Cuerpo)"/>
      </rPr>
      <t>15/20 minutos</t>
    </r>
    <r>
      <rPr>
        <sz val="12"/>
        <rFont val="Calibri"/>
        <family val="2"/>
        <scheme val="minor"/>
      </rPr>
      <t xml:space="preserve">.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
    </r>
    <r>
      <rPr>
        <b/>
        <sz val="12"/>
        <color theme="4"/>
        <rFont val="Calibri (Cuerpo)"/>
      </rPr>
      <t xml:space="preserve">Recibirá #TOPUP# de recarga de comunicación como incentivo por la participación en la encuesta.
Por favor tenga en cuenta que esta llamada puede ser grabada para asegurar la calidad de los datos.
</t>
    </r>
    <r>
      <rPr>
        <sz val="12"/>
        <rFont val="Calibri"/>
        <family val="2"/>
        <scheme val="minor"/>
      </rPr>
      <t xml:space="preserve">
¿Tiene alguna pregunta?
[ENCUESTADOR/A: RESPONDA LAS PREGUNTAS DEL ENCUESTADO, SI LAS HAY.]
1)CONTINUAR
</t>
    </r>
  </si>
  <si>
    <r>
      <t>1-</t>
    </r>
    <r>
      <rPr>
        <sz val="12"/>
        <rFont val="Calibri (Body)"/>
      </rPr>
      <t>8</t>
    </r>
    <r>
      <rPr>
        <sz val="12"/>
        <rFont val="Calibri"/>
        <family val="2"/>
        <scheme val="minor"/>
      </rPr>
      <t xml:space="preserve"> = ls_proddif</t>
    </r>
  </si>
  <si>
    <t>For any response, go to ls_proddif</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</si>
  <si>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</si>
  <si>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t>¿Ha enfretado su hogar alguna dificultad considerable con la captura [pesca] y/o cosecha [acuícultura] en los últimos 3 meses?
[ENCUESTADOR/A: RESPUESTA ÚNICA.]
1)SI
2)NO
3)NO SABE
4)NO RESPONDE</t>
  </si>
  <si>
    <t>¿Qué dificultados ha enfrentado su hogar con la captura [pesca] y/o cosecha [acuícultura] en los últimos 3 meses?
[ENCUESTADOR/A: ES POSIBLE SELECCIONAR MÚLTIPLES RESPUESTAS. SELECCIONES LA(S) OPCIÓN(ES) QUE MEJOR SE AJUSTE(N) A LA INFORMACIÓN PROPORCIONADA POR EL ENCUESTADO.] 
1)Los peces son más difíciles de encontrar que en los años anteriores durante la misma temporada [pesca]
2)Plagas y enfermedades en los peces [acuicultura]
3)Acceso restringido a la zona de pesca o acuicultura [ej. debido al clima o seguridad]
4)Acceso restringido a combustible [precios más altos o no está disponible]
5)Acceso restringido a otros insumos para la pesca o siembra [precios más altos o no está disponible]
6)Acceso restringido a mano de obra o mano de obra comunitaria [precios más altos o no está disponible]
7)Daño o destrucción de infraestructura [estanques, jaulas, puertos, sitios de embarque]
8)Daño o destrucción de embarcaciones o herramientas [artes de pesca]
9)Otro
10)NO SABE
11)NO RESPONDE</t>
  </si>
  <si>
    <r>
      <t xml:space="preserve">Número telefónico: #CATI_MOBILENUMBER#
1)Alguien contesta
2)Contestador automático
3)Sin respuesta
4)Cuelgan la llamada o se niegan a contestar
5)Llamar de vuelta
</t>
    </r>
    <r>
      <rPr>
        <sz val="12"/>
        <rFont val="Calibri (Cuerpo)"/>
      </rPr>
      <t>6)En revisión
7)Desconectado</t>
    </r>
  </si>
  <si>
    <t>¿El teléfono al que los estoy llamando es suyo o de algún miembro de su hogar?
[ENCUESTADOR/A: RESPUESTA ÚNICA.]
1)SI
2)NO
3)NO SABE
4)NO RESPONDE</t>
  </si>
  <si>
    <t>¿Es usted la cabeza del hogar?
[ENCUESTADOR/A: RESPUESTA ÚNICA.]
1)Si
2)No
3)NO SABE
4)NO RESPONDE</t>
  </si>
  <si>
    <r>
      <t>¿Cuál ha sido la principal fuente de ingresos de su hogar en los últimos 3 meses?
[OPERADOR:RESPUESTA ÚNICA. LA OPCIÓN "NO RESPONDE" DEBE EVITARSE EN LA MEDIDA DE LO POSIBLE.]
1)Producción y venta de cultivos básicos</t>
    </r>
    <r>
      <rPr>
        <sz val="12"/>
        <rFont val="Calibri (Cuerpo)"/>
      </rPr>
      <t xml:space="preserve">
2)Producción y venta de vegetales o frutas
3)Producción y venta de cultivos comerciales 
4)Producción y venta de animales y productos de origen animal
5)Producción y venta de miel o productos de la apicultura
6)Producción y venta de pescado
7)Recolección y venta de productos forestales o arbustivos
8)Comercio agrícola EXCLUYENDO productores [formal o informal]
9)Salario diario en granjas y otros empleos ocasionales en el sector agropecuario
10)Empleo estable en el sector agropecuario
11)Empleo independiente NO agrícola o profesional calificado / doctor / arquitecto / abogado /dueño de restaurante
12)Salario diario y empleos ocasionales NO agropecuarios
13)Empleo estable en sectores NO agropecuarios
14)Empleo público
15)Ingreso no proveniente del trabajo / Caridad
16)Ingreso no proveniente del trabajo / Transferencia social, pensión, ayuda humanitaria
17)Ingreso no proveniente del trabajo / Remesas
18)Ingreso no proveniente del trabajo / Ingresos por otras rentas
19)Sin ingresos en los últimos 3 meses y ha hecho uso de ahorros/deuda exclusivamente
20)NO RESPONDE</t>
    </r>
  </si>
  <si>
    <r>
      <t>¿Cuál fue la segunda fuente de ingresos de su hogar en los últimos 3 meses?
[OPERADOR:RESPUESTA ÚNICA. LA OPCIÓN "NO RESPONDE" DEBE EVITARSE EN LA MEDIDA DE LO POSIBLE.]
1)Producción y venta de cultivos básicos
2)Producción y venta de vegetales o frutas
3)Producción y venta de cultivos comerciales
4)Producción y venta de animales y productos de origen animal
5)Producción y venta de miel o productos de la apicultura
6)Producción y venta de pescado
7)Recolección y venta de productos forestales o arbustivos
8)Comercio agrícola EXCLUYENDO productores [formal o informal]
9)Salario diario en granjas y otros empleos ocasionales en el sector agropecuario
10)Empleo estable en el sector agropecuario
11)Empleo independiente NO agrícola o profesional calificado / doctor / arquitecto / abogado /</t>
    </r>
    <r>
      <rPr>
        <sz val="12"/>
        <rFont val="Calibri (Cuerpo)"/>
      </rPr>
      <t>dueño de restaurante</t>
    </r>
    <r>
      <rPr>
        <sz val="12"/>
        <rFont val="Calibri"/>
        <family val="2"/>
        <scheme val="minor"/>
      </rPr>
      <t xml:space="preserve">
12)Salario diario y empleos ocasionales NO agropecuarios
13)Empleo estable en sectores NO agropecuarios
14)Empleo público
15)Ingreso no proveniente del trabajo / Caridad
16)Ingreso no proveniente del trabajo / Transferencia social, pensión, ayuda humanitaria
17)Ingreso no proveniente del trabajo / Remesas
18)Ingreso no proveniente del trabajo / Ingresos por otras rentas
19)Sin ingresos en los últimos 3 meses y ha hecho uso de ahorros/deuda exclusivamente
20)NO RESPONDE</t>
    </r>
  </si>
  <si>
    <r>
      <t>¿Cuál fue la tercera fuente de ingresos de su hogar en los últimos 3 meses?
[OPERADOR:RESPUESTA ÚNICA. LA OPCIÓN "NO RESPONDE" DEBE EVITARSE EN LA MEDIDA DE LO POSIBLE.]
1)Producción y venta de cultivos básicos
2)Producción y venta de vegetales o frutas
3)Producción y venta de cultivos comerciales 
4)Producción y venta de ganadería y productos de la ganadería
5)Producción y venta de miel o productos de la apicultura
6)Producción y venta de pescado
7)Recolección y venta de productos forestales o arbustivos
8)Comercio agrícola EXCLUYENDO productores [formal o informal]
9)Salario diario en granjas y otros empleos ocasionales en el sector agropecuario
10)Empleo estable en el sector agropecuario
11)Empleo independiente NO agrícola o profesional calificado / doctor / arquitecto / abogado /</t>
    </r>
    <r>
      <rPr>
        <sz val="12"/>
        <rFont val="Calibri (Cuerpo)"/>
      </rPr>
      <t>dueño de restaurante</t>
    </r>
    <r>
      <rPr>
        <sz val="12"/>
        <rFont val="Calibri"/>
        <family val="2"/>
        <scheme val="minor"/>
      </rPr>
      <t xml:space="preserve">
12)Salario diario y empleos ocasionales NO agropecuarios
13)Empleo estable en sectores NO agropecuarios
14)Empleo público
15)Ingreso no proveniente del trabajo / Caridad
16)Ingreso no proveniente del trabajo / Transferencia social, pensión, ayuda humanitaria
17)Ingreso no proveniente del trabajo / Remesas
18)Ingreso no proveniente del trabajo / Ingresos por otras rentas
19)Sin ingresos en los últimos 3 meses y ha hecho uso de ahorros/deuda exclusivamente
20)NO RESPONDE</t>
    </r>
  </si>
  <si>
    <r>
      <t xml:space="preserve">¿Su hogar ha afrontado algún desastre o crisis particular que haya afectado a su hogar o comunidad, disminuyendo la capacidad para generar ingreso y/o producir alimentos para el autoconsumo en los últimos 3 meses?
[ENCUESTADOR/A: SELECCIONE LAS CRISIS EXPERIMENTADAS POR EL HOGAR. ES POSIBLE SELECCIONAR MÚLTIPLES RESPUESTAS.CONSULTE CRISIS ECONÓMICAS, CRISIS EN CULTIVOS Y GANADERÍA, CRISIS INTRAFAMILIARES, PELIGROS NATURALES Y PELIGROS INDUCIDOS POR EL HOMBRE.]
1)Sin afectación
2)Enfermedad, accidente o muerte de miembro[s] del hogar [enfermedad del proveedor económico del hogar / gastos médicos inusualmente altos / gastos funerarios / muerte del proveedor económico del hogar]
3)Pérdida de empleo u oportunidades laborales [por otra razón que enfermedad o accidente]
4)Otras </t>
    </r>
    <r>
      <rPr>
        <sz val="12"/>
        <rFont val="Calibri (Cuerpo)"/>
      </rPr>
      <t>crisis</t>
    </r>
    <r>
      <rPr>
        <sz val="12"/>
        <rFont val="Calibri"/>
        <family val="2"/>
        <scheme val="minor"/>
      </rPr>
      <t xml:space="preserve"> </t>
    </r>
    <r>
      <rPr>
        <sz val="12"/>
        <rFont val="Calibri (Cuerpo)"/>
      </rPr>
      <t>dentro del hogar
5)Precios de los alimentos más altos a lo usual
6)Precios de los combustibles más altos a lo usual
7)Restricciones a la movilidad de la población [ej, debido a epidemia o daño a infraestructura]
8)Otros chques económicos
9)Brote de plagas
10)Enfermedad de las plantas
11)Enfermedad [afectando a muchos de ellos] o muerte de los animales 
12)Acceso físico a pastos limitado 
13)Otros choques en cultivos o crianza de animales
14)Bajas temperaturas [heladas] o granizadas 
15)Inundación / erosión de la ribera [playa o ribera de río]
16)Huracán / ciclón / tornado
17)Sequía / estrés por calor
18)Terremoto
19)Deslizamientos de tierra
20)Incendio forestal
21)Otro peligro natural
22)Violencia e inseguridad / conflicto
23)Robo de activos productivos [terreno, ganadería, herramientas, etc ]
24)Incendios inducidos por el hombre
25)Otros peligros inducidos por el hombre
26)NO SABE
27)NO RESPONDE</t>
    </r>
  </si>
  <si>
    <r>
      <t>¿Usted o alguien en su hogar se ha visto afectado por restricciones de movimiento o medidas de distanciamiento social destinadas a contener el COVID-19 en los últimos 3 meses?
[ENCUESTADOR/A: ES POSIBLE SELECCIONAR MÚLTIPLES RESPUESTAS.]
1)Restricciones a la movilidad [a veces produciendo escasez de productos o aumentos de precios]
2)Cierre de mercados de alimentos</t>
    </r>
    <r>
      <rPr>
        <sz val="12"/>
        <rFont val="Calibri (Cuerpo)"/>
      </rPr>
      <t xml:space="preserve"> u otros negocios</t>
    </r>
    <r>
      <rPr>
        <sz val="12"/>
        <rFont val="Calibri"/>
        <family val="2"/>
        <scheme val="minor"/>
      </rPr>
      <t xml:space="preserve">
3)Cierre de fronteras internacionales [afectando las compras de insumos importados o la venta de bienes para la exportación o trashumancia]
4)Obligación de permanecer en casa
5)Prohibición de reuniónes
6)Cierre de procesadoras de alimentos [ventros de beneficio animal, cooperativas lacteas, etc] o restaurantes
7)Toques de queda
8)Cierre de escuelas
9)Otro [especificar]
10)No afectado por las restricciones
11)NO SABE
12)NO RESPONDE
</t>
    </r>
  </si>
  <si>
    <r>
      <rPr>
        <sz val="12"/>
        <rFont val="Calibri (Cuerpo)"/>
      </rPr>
      <t>Normalmente, ¿Cuál es la fuente principal de donde obtiene el agua para la producción de su</t>
    </r>
    <r>
      <rPr>
        <sz val="12"/>
        <rFont val="Calibri"/>
        <family val="2"/>
        <scheme val="minor"/>
      </rPr>
      <t xml:space="preserve"> </t>
    </r>
    <r>
      <rPr>
        <sz val="12"/>
        <rFont val="Calibri (Cuerpo)"/>
      </rPr>
      <t>{crp_main}</t>
    </r>
    <r>
      <rPr>
        <sz val="12"/>
        <rFont val="Calibri"/>
        <family val="2"/>
        <scheme val="minor"/>
      </rPr>
      <t>?
[ENCUESTADOR/A: RESPUESTA ÚNICA.]
1)Agua lluvia
2)Agua subterranea
3)Agua natural superficial [río / lago / arroyo / estanque / etc.]
4)Punto de agua construido [canal / presa / etc.]
5)Sistema de abastecimiento de agua público [ej. agua de grifo]
6)Otro [especificar]
7)NO SABE
8)NO RESPONDE</t>
    </r>
  </si>
  <si>
    <t>¿Usted tiene que pagar por el derecho de uso del agua [ej. derecho de uso, manteniemiento de infraestructura comunal, gasolina/diesel de la bomba comunal, etc.]?
[ENCUESTADOR/A: RESPUESTA ÚNICA.] 
1)SI
2)NO
3)NO SABE
4)NO RESPONDE</t>
  </si>
  <si>
    <r>
      <t xml:space="preserve">¿Cómo se compara el área sembrada de </t>
    </r>
    <r>
      <rPr>
        <sz val="12"/>
        <rFont val="Calibri (Cuerpo)"/>
      </rPr>
      <t>{crp_main}</t>
    </r>
    <r>
      <rPr>
        <sz val="12"/>
        <rFont val="Calibri"/>
        <family val="2"/>
        <scheme val="minor"/>
      </rPr>
      <t xml:space="preserve"> en </t>
    </r>
    <r>
      <rPr>
        <b/>
        <sz val="12"/>
        <color rgb="FF7030A0"/>
        <rFont val="Calibri (Cuerpo)"/>
      </rPr>
      <t>$season ES$</t>
    </r>
    <r>
      <rPr>
        <sz val="12"/>
        <rFont val="Calibri"/>
        <family val="2"/>
        <scheme val="minor"/>
      </rPr>
      <t xml:space="preserve"> con respecto a </t>
    </r>
    <r>
      <rPr>
        <b/>
        <sz val="12"/>
        <color rgb="FF7030A0"/>
        <rFont val="Calibri (Cuerpo)"/>
      </rPr>
      <t>$reference year ES$</t>
    </r>
    <r>
      <rPr>
        <sz val="12"/>
        <rFont val="Calibri (Cuerpo)"/>
      </rPr>
      <t>?
[ENCUESTADOR/A: RESPUESTA ÚNICA.]
1)Mucho mayor [aumento del 50%]
2)Un poco mayor
3)El mismo
4)Un poco menor
5)Mucho menor [menos de la mitad]
6)NO SABE
7)NO RESPONDE</t>
    </r>
  </si>
  <si>
    <r>
      <t xml:space="preserve">¿Ha enfrentado su hogar algún tipo de dificultad con la </t>
    </r>
    <r>
      <rPr>
        <b/>
        <sz val="12"/>
        <rFont val="Calibri"/>
        <family val="2"/>
        <scheme val="minor"/>
      </rPr>
      <t xml:space="preserve">producción de cultivos </t>
    </r>
    <r>
      <rPr>
        <sz val="12"/>
        <rFont val="Calibri"/>
        <family val="2"/>
        <scheme val="minor"/>
      </rPr>
      <t xml:space="preserve">en </t>
    </r>
    <r>
      <rPr>
        <b/>
        <sz val="12"/>
        <color rgb="FF7030A0"/>
        <rFont val="Calibri (Cuerpo)"/>
      </rPr>
      <t>$season ES$</t>
    </r>
    <r>
      <rPr>
        <sz val="12"/>
        <rFont val="Calibri"/>
        <family val="2"/>
        <scheme val="minor"/>
      </rPr>
      <t>?</t>
    </r>
    <r>
      <rPr>
        <b/>
        <sz val="12"/>
        <rFont val="Calibri"/>
        <family val="2"/>
        <scheme val="minor"/>
      </rPr>
      <t xml:space="preserve"> </t>
    </r>
    <r>
      <rPr>
        <sz val="12"/>
        <rFont val="Calibri"/>
        <family val="2"/>
        <scheme val="minor"/>
      </rPr>
      <t xml:space="preserve">
[ENCUESTADOR/A: RESPUESTA ÚNICA.] 
1)SI
2)NO
3)NO SABE
4)NO RESPONDE</t>
    </r>
  </si>
  <si>
    <t>¿Cuál ha sido la principal especie animal que ha criado su hogar para la alimentación y la generación de ingresos en los últimos 12 meses?
[ENCUESTADOR/A: RESPUESTA ÚNICA. PREGUNTE POR LA ESPECIE ANIMAL MÁS IMPORTANTE ÚNICAMENTE.][PISTA: NO OLVIDE PREGUNTAR SOBRE LA TRASHUMANCIA, ES DECIR, EL DESPLAZAMIENTO DEL GANADO DE UN TERRENO DONDE PASTAN A OTRO POR UN TIEMPO QUE PUEDE IR DE VARIOS DIAS HASTA VARIOS MESES.]
1)Bovinos [vaca / ternero / yak / búfalo]
2)Cabras
3)Ovejas
4)Porcinos [cerdo/ jabalí]
5)Equinos [burro / caballo]
6)Pequeños mamíferos domesticados [conejos / cuyes / conejillo de indias / etc.]
7)Aves de corral [pollos / codornices / pavo / pato / etc.]
8)Camélidos [alpaca / guanaco / llama]
9)Otro
10)NO SABE
11)NO RESPONDE</t>
  </si>
  <si>
    <t>¿Cuál ha sido la principal especie animal que ha vendido su hogar en los últimos 3 meses?
[ENCUESTADOR/A: RESPUESTA ÚNICA. PREGUNTE POR LA ESPECIE ANIMAL MÁS IMPORTANTE ÚNICAMENTE.]
1)Bovinos [vaca / ternero / yak / búfalo]
2)Cabras
3)Ovejas
4)Porcinos [cerdo/ jabalí]
5)Equinos [burro / caballo]
6)Pequeños mamíferos domesticados [conejos / cuyes / conejillo de indias / etc.]
7)Aves de corral [pollos / codornices / pavo / pato / etc.]
8)Camélidos [alpaca / guanaco / llama]
9)Huevos
10)Leche o productos lácteos
11)Pieles, cuero o lana
12)NO SABE
13)NO RESPONDE</t>
  </si>
  <si>
    <r>
      <t xml:space="preserve">Ahora me gustaría hacerle una serie de preguntas relacionadas con el consumo de alimentos, </t>
    </r>
    <r>
      <rPr>
        <u/>
        <sz val="12"/>
        <rFont val="Calibri (Cuerpo)"/>
      </rPr>
      <t>referidas a las 24 horas del día de ayer</t>
    </r>
    <r>
      <rPr>
        <sz val="12"/>
        <rFont val="Calibri"/>
        <family val="2"/>
        <scheme val="minor"/>
      </rPr>
      <t>. Describa los alimentos [comidas y meriendas] que usted o cualquier miembro del hogar comió o bebió en casa ayer [en las 24 horas de ayer: desayuno, almuerzo, cena y meriendas].
[ENCUESTADOR/A: SELECCIONE TODOS LOS GRUPOS DE ALIMENTOS CONSUMIDOS EN LAS 24 HORAS DE AYER COMO RESPONDE EL ENCUESTADO. ES POSIBLE SELECCIONAR MÚLTIPLES RESPUESTAS.]
1)Cereales [sorgo / mijo / maíz / trigo / arroz / espaguetis / pan o cualquier otro grano disponible localmente]
2)Raíces y tubérculos [batata / papa / ñame / mandioca / yuca u otros tubérculos]
3)Verduras [todas]
4)Fruta [todas]
5)Carnes, aves y visceras [res/cerdo / cordero / cabra / conejo / caza salvaje / pollo / pato / hígado / riñones / corazón / u otras vísceras]
6)Huevos
7)Pescado o marisco [pescado / marisco fresco o seco]
8)Leguminosas, frutos secos y semillas [frijoles / guisantes / maní / lentejas / almendras / otros frutos secos]
9)Leche y otros productos lácteos [leche fresca / agria / yogur / queso / otros productos lácteos]
10)Aceites y grasas [para cocinar / mantequilla / margarina / grasa / aceite / otro aceite]
11)Azúcar o productos azucarados [miel / mermelada / rosquillas / caramelos / chocolate / galletas / pasteles / tartas y otros productos dulces]
12)Condimentos [cacao / sal / ajo / especias / levadura / polvo para hornear / tomate o salsa de tomate / carne o pescado como condimento] y café / té</t>
    </r>
  </si>
  <si>
    <r>
      <t>¿Cuáles son las principales necesidades de asistencia de su hogar para las actividades agropecuarias [incluidas las actividades agrícolas, ganaderas o pesqueras/acuícolas] durante los próximos 3 a 6 meses?
[ENCUESTADOR/A: RESPUESTA MÚLTIPLE. NO LEER LAS OPCIONES.]
1)</t>
    </r>
    <r>
      <rPr>
        <sz val="12"/>
        <rFont val="Calibri (Cuerpo)"/>
      </rPr>
      <t>Alimento</t>
    </r>
    <r>
      <rPr>
        <sz val="12"/>
        <rFont val="Calibri"/>
        <family val="2"/>
        <scheme val="minor"/>
      </rPr>
      <t xml:space="preserve">
2)Efectivo
3)</t>
    </r>
    <r>
      <rPr>
        <sz val="12"/>
        <rFont val="Calibri (Cuerpo)"/>
      </rPr>
      <t>Bonos o ferias de insumos</t>
    </r>
    <r>
      <rPr>
        <sz val="12"/>
        <rFont val="Calibri"/>
        <family val="2"/>
        <scheme val="minor"/>
      </rPr>
      <t xml:space="preserve">
4)Insumos para la producción de cultivos y/o hortalizas [p. semillas, fertilizantes, herramientas]
5)Infraestructura para la producción de cultivos y/o hortalizas [p. riego, rehabilitación de canales, bombas]
6)Capacitación y fortalecimiento técnico/asesoramiento para la producción de cultivos
7)Alimento para ganado [forraje o alimento complementario]
8)Servicios veterinarios [ej. vacunación, baños, desparasitación]
9)Infraestructura para el ganado [ej. puntos de agua, </t>
    </r>
    <r>
      <rPr>
        <sz val="12"/>
        <rFont val="Calibri (Cuerpo)"/>
      </rPr>
      <t>caminos para el pastoreo</t>
    </r>
    <r>
      <rPr>
        <sz val="12"/>
        <rFont val="Calibri"/>
        <family val="2"/>
        <scheme val="minor"/>
      </rPr>
      <t xml:space="preserve">, refugio, puntos veterinarios]
10)Capacitación y fortalecimiento técnico/asesoramiento para la producción ganadera
11)Insumos para la producción pesquera o acuícola
12)Infraestructura para la producción pesquera o acuícola [rehabilitación del puerto; reparación de estanques]
13)Capacitación y fortalecimiento técnico/asesoramiento para la producción pesquera o acuícola
14)Rehabilitación ambiental o de infraestructura [en toda la comunidad]
15)Almacenamiento en frío
16)Soporte de mercadeo o ventas [ej. </t>
    </r>
    <r>
      <rPr>
        <sz val="12"/>
        <rFont val="Calibri (Cuerpo)"/>
      </rPr>
      <t>compras públicas locales</t>
    </r>
    <r>
      <rPr>
        <sz val="12"/>
        <rFont val="Calibri"/>
        <family val="2"/>
        <scheme val="minor"/>
      </rPr>
      <t>]
17)Otro [especificar]
18)NO SABE
19)NO RESPONDE</t>
    </r>
  </si>
  <si>
    <r>
      <t xml:space="preserve">Seleccione el idioma que se usó principalmente para completar la entrevista.
[ENCUESTADOR/A:: RESPUESTA ÚNICA.]
1)Inglés
</t>
    </r>
    <r>
      <rPr>
        <b/>
        <sz val="12"/>
        <color theme="4"/>
        <rFont val="Calibri (Cuerpo)"/>
      </rPr>
      <t>2)otros idiomas [coherentes con resp_language]</t>
    </r>
  </si>
  <si>
    <r>
      <t>Thank you for your time. The interview has come to an end.</t>
    </r>
    <r>
      <rPr>
        <sz val="12"/>
        <color theme="4"/>
        <rFont val="Calibri (Body)"/>
      </rPr>
      <t xml:space="preserve"> </t>
    </r>
    <r>
      <rPr>
        <b/>
        <sz val="12"/>
        <color theme="4"/>
        <rFont val="Calibri (Body)"/>
      </rPr>
      <t>You will receive your #TOPUP# airtime credit on this phone within the next 2 days.</t>
    </r>
  </si>
  <si>
    <t>Para futuras entrevistas, ¿a qué hora[s] puedo llamarLe?
[ENCUESTADOR/A:ES POSIBLE SELECCIONAR MÚLTIPLES RESPUESTAS.]
1)Mañanas
2)Tardes
3)Tardes</t>
  </si>
  <si>
    <r>
      <t xml:space="preserve">Para futuras entrevistas, ¿en qué </t>
    </r>
    <r>
      <rPr>
        <b/>
        <sz val="12"/>
        <color theme="9" tint="-0.499984740745262"/>
        <rFont val="Calibri"/>
        <family val="2"/>
        <scheme val="minor"/>
      </rPr>
      <t>día[s]</t>
    </r>
    <r>
      <rPr>
        <sz val="12"/>
        <color theme="9" tint="-0.499984740745262"/>
        <rFont val="Calibri"/>
        <family val="2"/>
        <scheme val="minor"/>
      </rPr>
      <t xml:space="preserve"> puedo llamarLe?
[ENCUESTADOR/A:ES POSIBLE SELECCIONAR MÚLTIPLES RESPUESTAS.]
1)Lunes
2)Martes
3)Miércoles
4)Jueves
5)Viernes
6)Sábado
7)Domingo</t>
    </r>
  </si>
  <si>
    <t>id_panel</t>
  </si>
  <si>
    <t>Have you or any member of your household received a call on behalf of FAO regarding this topic in the past two years?
[OPERATOR: SINGLE RESPONSE.]
1)YES
2)NO
3)DON'T KNOW</t>
  </si>
  <si>
    <t>1-3 = resp_firstname</t>
  </si>
  <si>
    <r>
      <t xml:space="preserve">For any response, go to </t>
    </r>
    <r>
      <rPr>
        <i/>
        <sz val="12"/>
        <rFont val="Calibri"/>
        <family val="2"/>
        <scheme val="minor"/>
      </rPr>
      <t>resp_firstname</t>
    </r>
  </si>
  <si>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</si>
  <si>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</si>
  <si>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 xml:space="preserve">It is highly recommended to include the question id_panel if a panelist approach is used. </t>
  </si>
  <si>
    <t>¿Ha recibido usted o algún miembro de su hogar una llamada en nombre de la FAO sobre este tema en los últimos dos años?
[ENCUESTADOR/A: RESPUESTA ÚNICA.]
1)SI
2)NO
3)NO SABE</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</si>
  <si>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</si>
  <si>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other household member
3)YES - friend or relative [non-household member]
4)NO
5)DON'T KNOW
6)REFUSED</t>
    </r>
  </si>
  <si>
    <t>¿Me podría dar un número de teléfono adicional que le pertenezca a usted, a algún familiar o algún amigo, y en el cuál pueda ser contactado?
[ENCUESTADOR/A: RESPUESTA ÚNICA.]
1)SI - Mío
2)SI - De otro miembro del hogar
3) SI - De un amigo o familiar [no miembro del hogar]
4)NO
5)NO SABE
6)NO RESPONDE</t>
  </si>
  <si>
    <t>Send if "contact_2" "Equals" "YES - other household member" OR "contact_2" "Equals" "YES - friend or relative [non-household member]", if not satisfied go to "contact_3"</t>
  </si>
  <si>
    <t>1-3 = phone_number_2
4-6 = hh_admin1</t>
  </si>
  <si>
    <t>if contact_2 = 1-3, go to phone_number_2
if contact_2 = 4-6, go to contact_3</t>
  </si>
  <si>
    <t>if contact_3 = 1-3, go to phone_number_3
if contact_3 = 4-6, go to hh_admin1</t>
  </si>
  <si>
    <t>Asked if response to contact_2 was "YES - other household member" or "YES - friend or relative [non-household member]". Otherwise, it skips to "contact_3".
For any response, go to contact_3</t>
  </si>
  <si>
    <t>Asked if response to contact_3 was "YES - other household member" or "YES - friend or relative [non-household member]". Otherwise, it skips to "hh_admin1".
For any response, go to hh_admin1</t>
  </si>
  <si>
    <t>Send if "contact_3" "Equals" "YES - other household member" OR "contact_3" "Equals" "YES - friend or relative [non-household member]", if not satisfied go to "hh_admin1"</t>
  </si>
  <si>
    <t>1-3= phone_number_3
4-6 = hh_admin1</t>
  </si>
  <si>
    <t>¿Me podría dar un número de teléfono adicional que le pertenezca a usted, a algún familiar o algún amigo, y en el cuál pueda ser contactado?
[ENCUESTADOR/A: RESPUESTA ÚNICA.]
1)SI - Mío
2)SI - De otro miembro del hogar
3)SI - De un amigo o familiar [no miembro del hogar]
4)NO
5)NO SABE
6)NO RESPONDE</t>
  </si>
  <si>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</si>
  <si>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De haber alguno, ¿cuál es el principal cultivo que su hogar produce para la alimentación o la generación de ingresos en </t>
    </r>
    <r>
      <rPr>
        <b/>
        <sz val="12"/>
        <color rgb="FF7030A0"/>
        <rFont val="Calibri (Cuerpo)"/>
      </rPr>
      <t>$season ES$</t>
    </r>
    <r>
      <rPr>
        <sz val="12"/>
        <rFont val="Calibri"/>
        <family val="2"/>
        <scheme val="minor"/>
      </rPr>
      <t xml:space="preserve">?
ENCUESTADOR/A: RESPUESTA ÚNICA. LA OPCIÓN "NO HAY PRODUCCIÓN DE CULTIVOS" SE ENCUENTRA ENTRE LAS ÚLTIMAS OPCIONES AL FINAL DE LA LISTA.]
</t>
    </r>
    <r>
      <rPr>
        <b/>
        <sz val="12"/>
        <color rgb="FF7030A0"/>
        <rFont val="Calibri (Cuerpo)"/>
      </rPr>
      <t>$TEN MOST COMMON CROP 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</si>
</sst>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
      <i/>
      <sz val="10.5"/>
      <name val="Calibri"/>
      <family val="2"/>
    </font>
    <font>
      <sz val="12"/>
      <color theme="1"/>
      <name val="Calibri (Cuerpo)"/>
    </font>
    <font>
      <sz val="12"/>
      <color theme="4"/>
      <name val="Calibri (Cuerpo)"/>
    </font>
    <font>
      <b/>
      <sz val="12"/>
      <color theme="4"/>
      <name val="Calibri (Cuerpo)"/>
    </font>
    <font>
      <b/>
      <sz val="12"/>
      <color rgb="FF7030A0"/>
      <name val="Calibri (Cuerpo)"/>
    </font>
    <font>
      <sz val="12"/>
      <name val="Calibri (Cuerpo)"/>
    </font>
    <font>
      <u/>
      <sz val="12"/>
      <name val="Calibri (Cuerpo)"/>
    </font>
    <font>
      <u/>
      <sz val="12"/>
      <color theme="1"/>
      <name val="Calibri (Cuerpo)"/>
    </font>
    <font>
      <sz val="12"/>
      <color rgb="FF7030A0"/>
      <name val="Calibri (Cuerpo)"/>
    </font>
    <font>
      <b/>
      <sz val="12"/>
      <color rgb="FF4472C4"/>
      <name val="Calibri"/>
      <family val="2"/>
      <scheme val="minor"/>
    </font>
    <font>
      <b/>
      <i/>
      <sz val="12"/>
      <color theme="4"/>
      <name val="Calibri (Body)"/>
    </font>
  </fonts>
  <fills count="13">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s>
  <cellStyleXfs count="20">
    <xf numFmtId="0" fontId="0" fillId="0" borderId="0"/>
    <xf numFmtId="0" fontId="16" fillId="0" borderId="0"/>
    <xf numFmtId="0" fontId="17" fillId="0" borderId="0"/>
    <xf numFmtId="0" fontId="15" fillId="0" borderId="0"/>
    <xf numFmtId="0" fontId="16" fillId="0" borderId="0"/>
    <xf numFmtId="0" fontId="15" fillId="0" borderId="0"/>
    <xf numFmtId="0" fontId="15" fillId="0" borderId="0"/>
    <xf numFmtId="0" fontId="20" fillId="8" borderId="21" applyNumberFormat="0" applyAlignment="0" applyProtection="0"/>
    <xf numFmtId="0" fontId="14" fillId="0" borderId="0"/>
    <xf numFmtId="0" fontId="14" fillId="0" borderId="0"/>
    <xf numFmtId="0" fontId="13" fillId="0" borderId="0"/>
    <xf numFmtId="9" fontId="15" fillId="0" borderId="0" applyFont="0" applyFill="0" applyBorder="0" applyAlignment="0" applyProtection="0"/>
    <xf numFmtId="0" fontId="12" fillId="0" borderId="0"/>
    <xf numFmtId="0" fontId="11" fillId="0" borderId="0"/>
    <xf numFmtId="0" fontId="11" fillId="0" borderId="0"/>
    <xf numFmtId="0" fontId="10" fillId="0" borderId="0"/>
    <xf numFmtId="0" fontId="7" fillId="0" borderId="0"/>
    <xf numFmtId="0" fontId="4" fillId="0" borderId="0"/>
    <xf numFmtId="0" fontId="4" fillId="0" borderId="0"/>
    <xf numFmtId="0" fontId="4" fillId="0" borderId="0"/>
  </cellStyleXfs>
  <cellXfs count="633">
    <xf numFmtId="0" fontId="0" fillId="0" borderId="0" xfId="0"/>
    <xf numFmtId="0" fontId="19" fillId="0" borderId="36" xfId="3" applyFont="1" applyBorder="1" applyAlignment="1" applyProtection="1">
      <alignment horizontal="left" vertical="center" wrapText="1"/>
      <protection locked="0"/>
    </xf>
    <xf numFmtId="0" fontId="19" fillId="0" borderId="37" xfId="3" applyFont="1" applyBorder="1" applyAlignment="1" applyProtection="1">
      <alignment horizontal="left" vertical="center" wrapText="1"/>
      <protection locked="0"/>
    </xf>
    <xf numFmtId="0" fontId="19" fillId="0" borderId="37" xfId="5" applyFont="1" applyBorder="1" applyAlignment="1" applyProtection="1">
      <alignment horizontal="left" vertical="center" wrapText="1"/>
      <protection locked="0"/>
    </xf>
    <xf numFmtId="0" fontId="26" fillId="9" borderId="37" xfId="3" applyFont="1" applyFill="1" applyBorder="1" applyAlignment="1" applyProtection="1">
      <alignment horizontal="left" vertical="center" wrapText="1"/>
      <protection locked="0"/>
    </xf>
    <xf numFmtId="0" fontId="19" fillId="0" borderId="38" xfId="3" applyFont="1" applyBorder="1" applyAlignment="1" applyProtection="1">
      <alignment horizontal="left" vertical="center" wrapText="1"/>
      <protection locked="0"/>
    </xf>
    <xf numFmtId="0" fontId="19" fillId="6" borderId="8" xfId="2" applyFont="1" applyFill="1" applyBorder="1" applyAlignment="1" applyProtection="1">
      <alignment horizontal="center" vertical="center"/>
      <protection locked="0"/>
    </xf>
    <xf numFmtId="0" fontId="19" fillId="6" borderId="13" xfId="0" applyFont="1" applyFill="1" applyBorder="1" applyAlignment="1" applyProtection="1">
      <alignment horizontal="left" vertical="center" wrapText="1"/>
      <protection locked="0"/>
    </xf>
    <xf numFmtId="0" fontId="19" fillId="6" borderId="3" xfId="2" applyFont="1" applyFill="1" applyBorder="1" applyAlignment="1" applyProtection="1">
      <alignment horizontal="center" vertical="center" wrapText="1"/>
      <protection locked="0"/>
    </xf>
    <xf numFmtId="0" fontId="19" fillId="6" borderId="3" xfId="0" applyFont="1" applyFill="1" applyBorder="1" applyAlignment="1" applyProtection="1">
      <alignment horizontal="center" vertical="center" wrapText="1"/>
      <protection locked="0"/>
    </xf>
    <xf numFmtId="0" fontId="19" fillId="6" borderId="3" xfId="3" applyFont="1" applyFill="1" applyBorder="1" applyAlignment="1" applyProtection="1">
      <alignment horizontal="left" vertical="center" wrapText="1"/>
      <protection locked="0"/>
    </xf>
    <xf numFmtId="0" fontId="19" fillId="6" borderId="1" xfId="0" applyFont="1" applyFill="1" applyBorder="1" applyAlignment="1" applyProtection="1">
      <alignment horizontal="left" vertical="center" wrapText="1"/>
      <protection locked="0"/>
    </xf>
    <xf numFmtId="0" fontId="19" fillId="6" borderId="1" xfId="2" applyFont="1" applyFill="1" applyBorder="1" applyAlignment="1" applyProtection="1">
      <alignment horizontal="center" vertical="center" wrapText="1"/>
      <protection locked="0"/>
    </xf>
    <xf numFmtId="0" fontId="19" fillId="6" borderId="1" xfId="0" applyFont="1" applyFill="1" applyBorder="1" applyAlignment="1" applyProtection="1">
      <alignment horizontal="center" vertical="center" wrapText="1"/>
      <protection locked="0"/>
    </xf>
    <xf numFmtId="0" fontId="19" fillId="6" borderId="1" xfId="3" applyFont="1" applyFill="1" applyBorder="1" applyAlignment="1" applyProtection="1">
      <alignment horizontal="left" vertical="center" wrapText="1"/>
      <protection locked="0"/>
    </xf>
    <xf numFmtId="0" fontId="19" fillId="6" borderId="2" xfId="2" applyFont="1" applyFill="1" applyBorder="1" applyAlignment="1" applyProtection="1">
      <alignment horizontal="center" vertical="center" wrapText="1"/>
      <protection locked="0"/>
    </xf>
    <xf numFmtId="0" fontId="19" fillId="6" borderId="13" xfId="2" applyFont="1" applyFill="1" applyBorder="1" applyAlignment="1" applyProtection="1">
      <alignment horizontal="center" vertical="center" wrapText="1"/>
      <protection locked="0"/>
    </xf>
    <xf numFmtId="0" fontId="19" fillId="0" borderId="35" xfId="3" applyFont="1" applyBorder="1" applyAlignment="1" applyProtection="1">
      <alignment horizontal="left" vertical="center" wrapText="1"/>
      <protection locked="0"/>
    </xf>
    <xf numFmtId="0" fontId="19" fillId="6" borderId="19" xfId="2" applyFont="1" applyFill="1" applyBorder="1" applyAlignment="1" applyProtection="1">
      <alignment horizontal="center" vertical="center"/>
      <protection locked="0"/>
    </xf>
    <xf numFmtId="0" fontId="19" fillId="6" borderId="2" xfId="0" applyFont="1" applyFill="1" applyBorder="1" applyAlignment="1" applyProtection="1">
      <alignment horizontal="left" vertical="center" wrapText="1"/>
      <protection locked="0"/>
    </xf>
    <xf numFmtId="0" fontId="19" fillId="6" borderId="13" xfId="0" applyFont="1" applyFill="1" applyBorder="1" applyAlignment="1" applyProtection="1">
      <alignment horizontal="center" vertical="center" wrapText="1"/>
      <protection locked="0"/>
    </xf>
    <xf numFmtId="0" fontId="19" fillId="6" borderId="20" xfId="3" applyFont="1" applyFill="1" applyBorder="1" applyAlignment="1" applyProtection="1">
      <alignment horizontal="left" vertical="center" wrapText="1"/>
      <protection locked="0"/>
    </xf>
    <xf numFmtId="0" fontId="19" fillId="10" borderId="17" xfId="0" applyFont="1" applyFill="1" applyBorder="1" applyAlignment="1" applyProtection="1">
      <alignment horizontal="left" vertical="center" wrapText="1"/>
      <protection locked="0"/>
    </xf>
    <xf numFmtId="0" fontId="19" fillId="6" borderId="14" xfId="3" applyFont="1" applyFill="1" applyBorder="1" applyAlignment="1" applyProtection="1">
      <alignment horizontal="left" vertical="center" wrapText="1"/>
      <protection locked="0"/>
    </xf>
    <xf numFmtId="0" fontId="26" fillId="7" borderId="14" xfId="0" applyFont="1" applyFill="1" applyBorder="1" applyAlignment="1" applyProtection="1">
      <alignment horizontal="left" vertical="center" wrapText="1"/>
      <protection locked="0"/>
    </xf>
    <xf numFmtId="0" fontId="19" fillId="6" borderId="3" xfId="3" applyFont="1" applyFill="1" applyBorder="1" applyAlignment="1" applyProtection="1">
      <alignment horizontal="center" vertical="center" wrapText="1"/>
      <protection locked="0"/>
    </xf>
    <xf numFmtId="0" fontId="19" fillId="6" borderId="17" xfId="3" applyFont="1" applyFill="1" applyBorder="1" applyAlignment="1" applyProtection="1">
      <alignment horizontal="left" vertical="center" wrapText="1"/>
      <protection locked="0"/>
    </xf>
    <xf numFmtId="0" fontId="19" fillId="7" borderId="17" xfId="0" applyFont="1" applyFill="1" applyBorder="1" applyAlignment="1" applyProtection="1">
      <alignment horizontal="left" vertical="center" wrapText="1"/>
      <protection locked="0"/>
    </xf>
    <xf numFmtId="0" fontId="19" fillId="6" borderId="1" xfId="3" applyFont="1" applyFill="1" applyBorder="1" applyAlignment="1" applyProtection="1">
      <alignment horizontal="center" vertical="center" wrapText="1"/>
      <protection locked="0"/>
    </xf>
    <xf numFmtId="0" fontId="19" fillId="6" borderId="13" xfId="3" applyFont="1" applyFill="1" applyBorder="1" applyAlignment="1" applyProtection="1">
      <alignment horizontal="left" vertical="center" wrapText="1"/>
      <protection locked="0"/>
    </xf>
    <xf numFmtId="0" fontId="19" fillId="6" borderId="1" xfId="3" applyFont="1" applyFill="1" applyBorder="1" applyAlignment="1" applyProtection="1">
      <alignment vertical="center" wrapText="1"/>
      <protection locked="0"/>
    </xf>
    <xf numFmtId="0" fontId="21" fillId="6" borderId="1" xfId="2" applyFont="1" applyFill="1" applyBorder="1" applyAlignment="1" applyProtection="1">
      <alignment horizontal="center" vertical="center" wrapText="1"/>
      <protection locked="0"/>
    </xf>
    <xf numFmtId="0" fontId="19" fillId="6" borderId="6" xfId="2" applyFont="1" applyFill="1" applyBorder="1" applyAlignment="1" applyProtection="1">
      <alignment horizontal="center" vertical="center"/>
      <protection locked="0"/>
    </xf>
    <xf numFmtId="0" fontId="19" fillId="6" borderId="2" xfId="3" applyFont="1" applyFill="1" applyBorder="1" applyAlignment="1" applyProtection="1">
      <alignment horizontal="left" vertical="center" wrapText="1"/>
      <protection locked="0"/>
    </xf>
    <xf numFmtId="0" fontId="19" fillId="6" borderId="15" xfId="3" applyFont="1" applyFill="1" applyBorder="1" applyAlignment="1" applyProtection="1">
      <alignment horizontal="left" vertical="center" wrapText="1"/>
      <protection locked="0"/>
    </xf>
    <xf numFmtId="0" fontId="19" fillId="9" borderId="14" xfId="0" applyFont="1" applyFill="1" applyBorder="1" applyAlignment="1" applyProtection="1">
      <alignment horizontal="left" vertical="center" wrapText="1"/>
      <protection locked="0"/>
    </xf>
    <xf numFmtId="0" fontId="19" fillId="9" borderId="17" xfId="3" applyFont="1" applyFill="1" applyBorder="1" applyAlignment="1" applyProtection="1">
      <alignment horizontal="left" vertical="center" wrapText="1"/>
      <protection locked="0"/>
    </xf>
    <xf numFmtId="0" fontId="19" fillId="9" borderId="20" xfId="3" applyFont="1" applyFill="1" applyBorder="1" applyAlignment="1" applyProtection="1">
      <alignment horizontal="left" vertical="center" wrapText="1"/>
      <protection locked="0"/>
    </xf>
    <xf numFmtId="0" fontId="19" fillId="0" borderId="8" xfId="2" applyFont="1" applyBorder="1" applyAlignment="1" applyProtection="1">
      <alignment horizontal="center" vertical="center"/>
      <protection locked="0"/>
    </xf>
    <xf numFmtId="0" fontId="19" fillId="0" borderId="1" xfId="0" applyFont="1" applyBorder="1" applyAlignment="1" applyProtection="1">
      <alignment horizontal="left" vertical="center" wrapText="1"/>
      <protection locked="0"/>
    </xf>
    <xf numFmtId="0" fontId="19" fillId="0" borderId="1" xfId="2"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50" xfId="3" applyFont="1" applyBorder="1" applyAlignment="1" applyProtection="1">
      <alignment horizontal="left" vertical="center" wrapText="1"/>
      <protection locked="0"/>
    </xf>
    <xf numFmtId="0" fontId="37" fillId="10" borderId="17" xfId="0" applyFont="1" applyFill="1" applyBorder="1" applyAlignment="1" applyProtection="1">
      <alignment horizontal="left" vertical="center" wrapText="1"/>
      <protection locked="0"/>
    </xf>
    <xf numFmtId="0" fontId="21" fillId="6" borderId="49" xfId="0" applyFont="1" applyFill="1" applyBorder="1" applyAlignment="1" applyProtection="1">
      <alignment horizontal="center" vertical="center"/>
      <protection locked="0"/>
    </xf>
    <xf numFmtId="0" fontId="19" fillId="6" borderId="49" xfId="0" applyFont="1" applyFill="1" applyBorder="1" applyAlignment="1" applyProtection="1">
      <alignment horizontal="center" vertical="center"/>
      <protection locked="0"/>
    </xf>
    <xf numFmtId="0" fontId="19" fillId="6" borderId="49" xfId="3" applyFont="1" applyFill="1" applyBorder="1" applyAlignment="1" applyProtection="1">
      <alignment horizontal="center" vertical="center" wrapText="1"/>
      <protection locked="0"/>
    </xf>
    <xf numFmtId="0" fontId="41" fillId="6" borderId="1" xfId="0" applyFont="1" applyFill="1" applyBorder="1" applyAlignment="1" applyProtection="1">
      <alignment horizontal="left" vertical="center" wrapText="1"/>
      <protection locked="0"/>
    </xf>
    <xf numFmtId="0" fontId="19" fillId="6" borderId="49" xfId="3" applyFont="1" applyFill="1" applyBorder="1" applyAlignment="1" applyProtection="1">
      <alignment vertical="center" wrapText="1"/>
      <protection locked="0"/>
    </xf>
    <xf numFmtId="0" fontId="19" fillId="6" borderId="7" xfId="2" applyFont="1" applyFill="1" applyBorder="1" applyAlignment="1" applyProtection="1">
      <alignment horizontal="center" vertical="center"/>
      <protection locked="0"/>
    </xf>
    <xf numFmtId="0" fontId="19" fillId="6" borderId="3" xfId="0" applyFont="1" applyFill="1" applyBorder="1" applyAlignment="1" applyProtection="1">
      <alignment horizontal="left" vertical="center" wrapText="1"/>
      <protection locked="0"/>
    </xf>
    <xf numFmtId="0" fontId="19" fillId="0" borderId="14" xfId="2" applyFont="1" applyBorder="1" applyAlignment="1" applyProtection="1">
      <alignment horizontal="left" vertical="center" wrapText="1"/>
      <protection locked="0"/>
    </xf>
    <xf numFmtId="0" fontId="19" fillId="9" borderId="14" xfId="3" applyFont="1" applyFill="1" applyBorder="1" applyAlignment="1" applyProtection="1">
      <alignment horizontal="left" vertical="center" wrapText="1"/>
      <protection locked="0"/>
    </xf>
    <xf numFmtId="0" fontId="19" fillId="6" borderId="17" xfId="3" applyFont="1" applyFill="1" applyBorder="1" applyAlignment="1" applyProtection="1">
      <alignment horizontal="center" vertical="center" wrapText="1"/>
      <protection locked="0"/>
    </xf>
    <xf numFmtId="0" fontId="28" fillId="12" borderId="17" xfId="0" applyFont="1" applyFill="1" applyBorder="1" applyAlignment="1" applyProtection="1">
      <alignment horizontal="center" vertical="center" wrapText="1"/>
      <protection locked="0"/>
    </xf>
    <xf numFmtId="0" fontId="28" fillId="6" borderId="17" xfId="3" applyFont="1" applyFill="1" applyBorder="1" applyAlignment="1" applyProtection="1">
      <alignment horizontal="left" vertical="center" wrapText="1"/>
      <protection locked="0"/>
    </xf>
    <xf numFmtId="0" fontId="19" fillId="9" borderId="14" xfId="3" applyFont="1" applyFill="1" applyBorder="1" applyAlignment="1" applyProtection="1">
      <alignment vertical="center" wrapText="1"/>
      <protection locked="0"/>
    </xf>
    <xf numFmtId="0" fontId="28" fillId="6" borderId="20" xfId="3" applyFont="1" applyFill="1" applyBorder="1" applyAlignment="1" applyProtection="1">
      <alignment horizontal="center" vertical="center" wrapText="1"/>
      <protection locked="0"/>
    </xf>
    <xf numFmtId="0" fontId="41" fillId="6" borderId="14" xfId="0" applyFont="1" applyFill="1" applyBorder="1" applyAlignment="1" applyProtection="1">
      <alignment horizontal="left" vertical="center" wrapText="1"/>
      <protection locked="0"/>
    </xf>
    <xf numFmtId="0" fontId="19" fillId="0" borderId="50" xfId="3" applyFont="1" applyBorder="1" applyAlignment="1" applyProtection="1">
      <alignment horizontal="left" vertical="center"/>
      <protection locked="0"/>
    </xf>
    <xf numFmtId="0" fontId="15" fillId="9" borderId="53" xfId="2" applyFont="1" applyFill="1" applyBorder="1" applyAlignment="1" applyProtection="1">
      <alignment horizontal="left" vertical="center" wrapText="1"/>
      <protection locked="0"/>
    </xf>
    <xf numFmtId="0" fontId="44" fillId="4" borderId="37" xfId="3" applyFont="1" applyFill="1" applyBorder="1" applyAlignment="1" applyProtection="1">
      <alignment horizontal="left" vertical="center" wrapText="1"/>
      <protection locked="0"/>
    </xf>
    <xf numFmtId="0" fontId="26" fillId="0" borderId="37" xfId="3" applyFont="1" applyBorder="1" applyAlignment="1" applyProtection="1">
      <alignment horizontal="left" vertical="center" wrapText="1"/>
      <protection locked="0"/>
    </xf>
    <xf numFmtId="0" fontId="19" fillId="0" borderId="30" xfId="3" applyFont="1" applyBorder="1" applyAlignment="1" applyProtection="1">
      <alignment horizontal="left" vertical="center" wrapText="1"/>
      <protection locked="0"/>
    </xf>
    <xf numFmtId="0" fontId="44" fillId="4" borderId="7" xfId="2" applyFont="1" applyFill="1" applyBorder="1" applyAlignment="1" applyProtection="1">
      <alignment horizontal="center" vertical="center"/>
      <protection locked="0"/>
    </xf>
    <xf numFmtId="0" fontId="55" fillId="4" borderId="3" xfId="2" applyFont="1" applyFill="1" applyBorder="1" applyAlignment="1" applyProtection="1">
      <alignment horizontal="center" vertical="center" wrapText="1"/>
      <protection locked="0"/>
    </xf>
    <xf numFmtId="0" fontId="55" fillId="4" borderId="3" xfId="3" applyFont="1" applyFill="1" applyBorder="1" applyAlignment="1" applyProtection="1">
      <alignment horizontal="center" vertical="center" wrapText="1"/>
      <protection locked="0"/>
    </xf>
    <xf numFmtId="0" fontId="55" fillId="4" borderId="17" xfId="3" applyFont="1" applyFill="1" applyBorder="1" applyAlignment="1" applyProtection="1">
      <alignment horizontal="left" vertical="center" wrapText="1"/>
      <protection locked="0"/>
    </xf>
    <xf numFmtId="49" fontId="55" fillId="4" borderId="61" xfId="0" applyNumberFormat="1" applyFont="1" applyFill="1" applyBorder="1" applyAlignment="1" applyProtection="1">
      <alignment vertical="center" wrapText="1"/>
      <protection locked="0"/>
    </xf>
    <xf numFmtId="0" fontId="55" fillId="4" borderId="3" xfId="3" applyFont="1" applyFill="1" applyBorder="1" applyAlignment="1" applyProtection="1">
      <alignment horizontal="left" vertical="center" wrapText="1"/>
      <protection locked="0"/>
    </xf>
    <xf numFmtId="0" fontId="44" fillId="4" borderId="3" xfId="3" applyFont="1" applyFill="1" applyBorder="1" applyAlignment="1" applyProtection="1">
      <alignment horizontal="left" vertical="center" wrapText="1"/>
      <protection locked="0"/>
    </xf>
    <xf numFmtId="0" fontId="19" fillId="0" borderId="1" xfId="3" applyFont="1" applyBorder="1" applyAlignment="1" applyProtection="1">
      <alignment horizontal="left" vertical="center" wrapText="1"/>
      <protection locked="0"/>
    </xf>
    <xf numFmtId="0" fontId="19" fillId="0" borderId="17" xfId="3" applyFont="1" applyBorder="1" applyAlignment="1" applyProtection="1">
      <alignment horizontal="center" vertical="center" wrapText="1"/>
      <protection locked="0"/>
    </xf>
    <xf numFmtId="0" fontId="19" fillId="0" borderId="14" xfId="3" applyFont="1" applyBorder="1" applyAlignment="1" applyProtection="1">
      <alignment horizontal="center" vertical="center" wrapText="1"/>
      <protection locked="0"/>
    </xf>
    <xf numFmtId="0" fontId="19" fillId="0" borderId="14" xfId="5" applyFont="1" applyBorder="1" applyAlignment="1" applyProtection="1">
      <alignment horizontal="center" vertical="center" wrapText="1"/>
      <protection locked="0"/>
    </xf>
    <xf numFmtId="0" fontId="26" fillId="0" borderId="14" xfId="3" applyFont="1" applyBorder="1" applyAlignment="1" applyProtection="1">
      <alignment horizontal="left" vertical="center" wrapText="1"/>
      <protection locked="0"/>
    </xf>
    <xf numFmtId="0" fontId="19" fillId="0" borderId="14" xfId="3" applyFont="1" applyBorder="1" applyAlignment="1" applyProtection="1">
      <alignment horizontal="left" vertical="center" wrapText="1"/>
      <protection locked="0"/>
    </xf>
    <xf numFmtId="0" fontId="19" fillId="0" borderId="15" xfId="3" applyFont="1" applyBorder="1" applyAlignment="1" applyProtection="1">
      <alignment horizontal="center" vertical="center" wrapText="1"/>
      <protection locked="0"/>
    </xf>
    <xf numFmtId="0" fontId="19" fillId="0" borderId="17" xfId="3" applyFont="1" applyBorder="1" applyAlignment="1" applyProtection="1">
      <alignment horizontal="left" vertical="center" wrapText="1"/>
      <protection locked="0"/>
    </xf>
    <xf numFmtId="0" fontId="19" fillId="0" borderId="20" xfId="3" applyFont="1" applyBorder="1" applyAlignment="1" applyProtection="1">
      <alignment horizontal="left" vertical="center" wrapText="1"/>
      <protection locked="0"/>
    </xf>
    <xf numFmtId="0" fontId="19" fillId="0" borderId="2" xfId="3" applyFont="1" applyBorder="1" applyAlignment="1" applyProtection="1">
      <alignment horizontal="left" vertical="center" wrapText="1"/>
      <protection locked="0"/>
    </xf>
    <xf numFmtId="0" fontId="19" fillId="9" borderId="14" xfId="2" applyFont="1" applyFill="1" applyBorder="1" applyAlignment="1" applyProtection="1">
      <alignment horizontal="left" vertical="center" wrapText="1"/>
      <protection locked="0"/>
    </xf>
    <xf numFmtId="0" fontId="19" fillId="0" borderId="17" xfId="2" applyFont="1" applyBorder="1" applyAlignment="1" applyProtection="1">
      <alignment horizontal="left" vertical="center" wrapText="1"/>
      <protection locked="0"/>
    </xf>
    <xf numFmtId="0" fontId="19" fillId="0" borderId="17" xfId="0" applyFont="1" applyBorder="1" applyAlignment="1" applyProtection="1">
      <alignment vertical="center"/>
      <protection locked="0"/>
    </xf>
    <xf numFmtId="0" fontId="19" fillId="0" borderId="45" xfId="3" applyFont="1" applyBorder="1" applyAlignment="1" applyProtection="1">
      <alignment horizontal="left" vertical="center" wrapText="1"/>
      <protection locked="0"/>
    </xf>
    <xf numFmtId="0" fontId="19" fillId="0" borderId="15" xfId="0" applyFont="1" applyBorder="1" applyAlignment="1" applyProtection="1">
      <alignment horizontal="left" vertical="center" wrapText="1"/>
      <protection locked="0"/>
    </xf>
    <xf numFmtId="0" fontId="19" fillId="0" borderId="15" xfId="3" applyFont="1" applyBorder="1" applyAlignment="1" applyProtection="1">
      <alignment horizontal="left" vertical="center" wrapText="1"/>
      <protection locked="0"/>
    </xf>
    <xf numFmtId="0" fontId="19" fillId="0" borderId="14" xfId="0" applyFont="1" applyBorder="1" applyAlignment="1" applyProtection="1">
      <alignment horizontal="left" vertical="center" wrapText="1"/>
      <protection locked="0"/>
    </xf>
    <xf numFmtId="0" fontId="19" fillId="0" borderId="16" xfId="2" applyFont="1" applyBorder="1" applyAlignment="1" applyProtection="1">
      <alignment horizontal="center" vertical="center" wrapText="1"/>
      <protection locked="0"/>
    </xf>
    <xf numFmtId="0" fontId="19" fillId="0" borderId="28" xfId="3" applyFont="1" applyBorder="1" applyAlignment="1" applyProtection="1">
      <alignment horizontal="left" vertical="center" wrapText="1"/>
      <protection locked="0"/>
    </xf>
    <xf numFmtId="0" fontId="19" fillId="0" borderId="7" xfId="2" applyFont="1" applyBorder="1" applyAlignment="1" applyProtection="1">
      <alignment horizontal="center" vertical="center"/>
      <protection locked="0"/>
    </xf>
    <xf numFmtId="0" fontId="19" fillId="0" borderId="3" xfId="0" applyFont="1" applyBorder="1" applyAlignment="1" applyProtection="1">
      <alignment horizontal="center" vertical="center" wrapText="1"/>
      <protection locked="0"/>
    </xf>
    <xf numFmtId="0" fontId="19" fillId="0" borderId="1" xfId="3" applyFont="1" applyBorder="1" applyAlignment="1" applyProtection="1">
      <alignment horizontal="center" vertical="center" wrapText="1"/>
      <protection locked="0"/>
    </xf>
    <xf numFmtId="0" fontId="19" fillId="0" borderId="2" xfId="2" applyFont="1" applyBorder="1" applyAlignment="1" applyProtection="1">
      <alignment horizontal="center" vertical="center"/>
      <protection locked="0"/>
    </xf>
    <xf numFmtId="0" fontId="19" fillId="0" borderId="2" xfId="2" applyFont="1" applyBorder="1" applyAlignment="1" applyProtection="1">
      <alignment horizontal="center" vertical="center" wrapText="1"/>
      <protection locked="0"/>
    </xf>
    <xf numFmtId="0" fontId="19" fillId="0" borderId="2" xfId="3" applyFont="1" applyBorder="1" applyAlignment="1" applyProtection="1">
      <alignment horizontal="center" vertical="center" wrapText="1"/>
      <protection locked="0"/>
    </xf>
    <xf numFmtId="0" fontId="19" fillId="0" borderId="3" xfId="0" applyFont="1" applyBorder="1" applyAlignment="1" applyProtection="1">
      <alignment horizontal="left" vertical="center" wrapText="1"/>
      <protection locked="0"/>
    </xf>
    <xf numFmtId="0" fontId="19" fillId="0" borderId="3" xfId="2" applyFont="1" applyBorder="1" applyAlignment="1" applyProtection="1">
      <alignment horizontal="center" vertical="center" wrapText="1"/>
      <protection locked="0"/>
    </xf>
    <xf numFmtId="0" fontId="21" fillId="0" borderId="3" xfId="0" applyFont="1" applyBorder="1" applyAlignment="1" applyProtection="1">
      <alignment horizontal="center" vertical="center" wrapText="1"/>
      <protection locked="0"/>
    </xf>
    <xf numFmtId="0" fontId="19" fillId="0" borderId="3" xfId="3" applyFont="1" applyBorder="1" applyAlignment="1" applyProtection="1">
      <alignment vertical="center" wrapText="1"/>
      <protection locked="0"/>
    </xf>
    <xf numFmtId="0" fontId="19" fillId="0" borderId="3" xfId="3" applyFont="1" applyBorder="1" applyAlignment="1" applyProtection="1">
      <alignment horizontal="center" vertical="center" wrapText="1"/>
      <protection locked="0"/>
    </xf>
    <xf numFmtId="0" fontId="19" fillId="6" borderId="1" xfId="2" applyFont="1" applyFill="1" applyBorder="1" applyAlignment="1" applyProtection="1">
      <alignment horizontal="center" vertical="center"/>
      <protection locked="0"/>
    </xf>
    <xf numFmtId="0" fontId="19" fillId="0" borderId="0" xfId="3" applyFont="1" applyAlignment="1" applyProtection="1">
      <alignment horizontal="center" vertical="center"/>
      <protection locked="0"/>
    </xf>
    <xf numFmtId="0" fontId="19" fillId="0" borderId="1" xfId="3" applyFont="1" applyBorder="1" applyAlignment="1" applyProtection="1">
      <alignment horizontal="center" vertical="center"/>
      <protection locked="0"/>
    </xf>
    <xf numFmtId="0" fontId="19" fillId="0" borderId="6" xfId="2" applyFont="1" applyBorder="1" applyAlignment="1" applyProtection="1">
      <alignment horizontal="center" vertical="center"/>
      <protection locked="0"/>
    </xf>
    <xf numFmtId="0" fontId="19" fillId="0" borderId="2" xfId="0" applyFont="1" applyBorder="1" applyAlignment="1" applyProtection="1">
      <alignment horizontal="center" vertical="center" wrapText="1"/>
      <protection locked="0"/>
    </xf>
    <xf numFmtId="0" fontId="19" fillId="0" borderId="13" xfId="0" applyFont="1" applyBorder="1" applyAlignment="1" applyProtection="1">
      <alignment horizontal="center" vertical="center" wrapText="1"/>
      <protection locked="0"/>
    </xf>
    <xf numFmtId="0" fontId="19" fillId="7" borderId="1" xfId="0" applyFont="1" applyFill="1" applyBorder="1" applyAlignment="1" applyProtection="1">
      <alignment horizontal="center" vertical="center" wrapText="1"/>
      <protection locked="0"/>
    </xf>
    <xf numFmtId="0" fontId="28" fillId="6" borderId="1" xfId="3" applyFont="1" applyFill="1" applyBorder="1" applyAlignment="1" applyProtection="1">
      <alignment horizontal="center" vertical="center" wrapText="1"/>
      <protection locked="0"/>
    </xf>
    <xf numFmtId="9" fontId="34" fillId="0" borderId="43" xfId="11" applyFont="1" applyBorder="1" applyAlignment="1" applyProtection="1">
      <alignment horizontal="center" vertical="center" wrapText="1"/>
    </xf>
    <xf numFmtId="9" fontId="34" fillId="0" borderId="48" xfId="11" applyFont="1" applyBorder="1" applyAlignment="1" applyProtection="1">
      <alignment horizontal="center" vertical="center" wrapText="1"/>
    </xf>
    <xf numFmtId="0" fontId="27" fillId="0" borderId="3" xfId="3" applyFont="1" applyBorder="1" applyAlignment="1" applyProtection="1">
      <alignment vertical="center" wrapText="1"/>
      <protection locked="0"/>
    </xf>
    <xf numFmtId="0" fontId="43" fillId="0" borderId="2" xfId="3" applyFont="1" applyBorder="1" applyAlignment="1" applyProtection="1">
      <alignment horizontal="left" vertical="center" wrapText="1"/>
      <protection locked="0"/>
    </xf>
    <xf numFmtId="0" fontId="19" fillId="0" borderId="20" xfId="3" applyFont="1" applyBorder="1" applyAlignment="1" applyProtection="1">
      <alignment horizontal="center" vertical="center" wrapText="1"/>
      <protection locked="0"/>
    </xf>
    <xf numFmtId="0" fontId="28" fillId="9" borderId="37" xfId="3" applyFont="1" applyFill="1" applyBorder="1" applyAlignment="1" applyProtection="1">
      <alignment horizontal="left" vertical="center" wrapText="1"/>
      <protection locked="0"/>
    </xf>
    <xf numFmtId="0" fontId="26" fillId="12" borderId="17" xfId="0" applyFont="1" applyFill="1" applyBorder="1" applyAlignment="1" applyProtection="1">
      <alignment horizontal="left" vertical="center" wrapText="1"/>
      <protection locked="0"/>
    </xf>
    <xf numFmtId="0" fontId="19" fillId="4" borderId="7" xfId="2" applyFont="1" applyFill="1" applyBorder="1" applyAlignment="1" applyProtection="1">
      <alignment horizontal="center" vertical="center"/>
      <protection locked="0"/>
    </xf>
    <xf numFmtId="0" fontId="19" fillId="6" borderId="17" xfId="2" applyFont="1" applyFill="1" applyBorder="1" applyAlignment="1" applyProtection="1">
      <alignment horizontal="left" vertical="center" wrapText="1"/>
      <protection locked="0"/>
    </xf>
    <xf numFmtId="0" fontId="19" fillId="0" borderId="37" xfId="3" applyFont="1" applyBorder="1" applyAlignment="1" applyProtection="1">
      <alignment horizontal="center" vertical="center" wrapText="1"/>
      <protection locked="0"/>
    </xf>
    <xf numFmtId="0" fontId="19" fillId="0" borderId="50" xfId="3" applyFont="1" applyBorder="1" applyAlignment="1" applyProtection="1">
      <alignment horizontal="center" vertical="center" wrapText="1"/>
      <protection locked="0"/>
    </xf>
    <xf numFmtId="0" fontId="19" fillId="0" borderId="0" xfId="3" applyFont="1" applyAlignment="1" applyProtection="1">
      <alignment horizontal="left" vertical="center" wrapText="1"/>
      <protection locked="0"/>
    </xf>
    <xf numFmtId="0" fontId="19" fillId="0" borderId="16" xfId="2" applyFont="1" applyBorder="1" applyAlignment="1">
      <alignment horizontal="center" vertical="center" wrapText="1"/>
    </xf>
    <xf numFmtId="0" fontId="19" fillId="0" borderId="16" xfId="2" applyFont="1" applyBorder="1" applyAlignment="1">
      <alignment horizontal="left" vertical="center" wrapText="1"/>
    </xf>
    <xf numFmtId="0" fontId="19" fillId="0" borderId="4" xfId="2" applyFont="1" applyBorder="1" applyAlignment="1">
      <alignment horizontal="center" vertical="center" wrapText="1"/>
    </xf>
    <xf numFmtId="0" fontId="19" fillId="0" borderId="4" xfId="3" applyFont="1" applyBorder="1" applyAlignment="1">
      <alignment horizontal="left" vertical="center" wrapText="1"/>
    </xf>
    <xf numFmtId="0" fontId="19" fillId="0" borderId="4" xfId="0" applyFont="1" applyBorder="1" applyAlignment="1">
      <alignment horizontal="center" vertical="center" wrapText="1"/>
    </xf>
    <xf numFmtId="0" fontId="19" fillId="0" borderId="2" xfId="2" applyFont="1" applyBorder="1" applyAlignment="1">
      <alignment horizontal="center" vertical="center" wrapText="1"/>
    </xf>
    <xf numFmtId="0" fontId="19" fillId="0" borderId="13" xfId="2" applyFont="1" applyBorder="1" applyAlignment="1">
      <alignment horizontal="center" vertical="center" wrapText="1"/>
    </xf>
    <xf numFmtId="0" fontId="19" fillId="0" borderId="13" xfId="0" applyFont="1" applyBorder="1" applyAlignment="1">
      <alignment horizontal="center" vertical="center" wrapText="1"/>
    </xf>
    <xf numFmtId="0" fontId="44" fillId="0" borderId="0" xfId="3" applyFont="1" applyProtection="1">
      <protection locked="0"/>
    </xf>
    <xf numFmtId="0" fontId="44" fillId="0" borderId="0" xfId="0" applyFont="1" applyProtection="1">
      <protection locked="0"/>
    </xf>
    <xf numFmtId="0" fontId="54" fillId="0" borderId="0" xfId="3" applyFont="1" applyAlignment="1" applyProtection="1">
      <alignment horizontal="center" vertical="center" wrapText="1"/>
      <protection locked="0"/>
    </xf>
    <xf numFmtId="0" fontId="19" fillId="0" borderId="0" xfId="0" applyFont="1" applyAlignment="1" applyProtection="1">
      <alignment horizontal="center" vertical="center"/>
      <protection locked="0"/>
    </xf>
    <xf numFmtId="0" fontId="19" fillId="0" borderId="0" xfId="0" applyFont="1" applyAlignment="1" applyProtection="1">
      <alignment horizontal="center" vertical="center" wrapText="1"/>
      <protection locked="0"/>
    </xf>
    <xf numFmtId="0" fontId="19" fillId="0" borderId="17" xfId="3" applyFont="1" applyBorder="1" applyAlignment="1">
      <alignment horizontal="left" vertical="center" wrapText="1"/>
    </xf>
    <xf numFmtId="0" fontId="19" fillId="0" borderId="3" xfId="2" applyFont="1" applyBorder="1" applyAlignment="1">
      <alignment horizontal="center" vertical="center" wrapText="1"/>
    </xf>
    <xf numFmtId="0" fontId="19" fillId="0" borderId="3" xfId="3" applyFont="1" applyBorder="1" applyAlignment="1">
      <alignment horizontal="left" vertical="center" wrapText="1"/>
    </xf>
    <xf numFmtId="0" fontId="19" fillId="0" borderId="3" xfId="0" applyFont="1" applyBorder="1" applyAlignment="1">
      <alignment horizontal="center" vertical="center" wrapText="1"/>
    </xf>
    <xf numFmtId="0" fontId="19" fillId="0" borderId="0" xfId="3" applyFont="1" applyProtection="1">
      <protection locked="0"/>
    </xf>
    <xf numFmtId="0" fontId="19" fillId="0" borderId="0" xfId="0" applyFont="1" applyProtection="1">
      <protection locked="0"/>
    </xf>
    <xf numFmtId="0" fontId="21" fillId="0" borderId="0" xfId="3" applyFont="1" applyAlignment="1" applyProtection="1">
      <alignment horizontal="center" vertical="center"/>
      <protection locked="0"/>
    </xf>
    <xf numFmtId="0" fontId="19" fillId="0" borderId="17" xfId="0" applyFont="1" applyBorder="1" applyAlignment="1">
      <alignment horizontal="left" vertical="center" wrapText="1"/>
    </xf>
    <xf numFmtId="0" fontId="19" fillId="0" borderId="14" xfId="3" applyFont="1" applyBorder="1" applyAlignment="1">
      <alignment horizontal="left" vertical="center" wrapText="1"/>
    </xf>
    <xf numFmtId="0" fontId="19" fillId="0" borderId="1" xfId="2" applyFont="1" applyBorder="1" applyAlignment="1">
      <alignment horizontal="center" vertical="center" wrapText="1"/>
    </xf>
    <xf numFmtId="0" fontId="19" fillId="0" borderId="1" xfId="0" applyFont="1" applyBorder="1" applyAlignment="1">
      <alignment horizontal="center" vertical="center" wrapText="1"/>
    </xf>
    <xf numFmtId="0" fontId="19" fillId="0" borderId="3" xfId="3" applyFont="1" applyBorder="1" applyAlignment="1">
      <alignment horizontal="center" vertical="center" wrapText="1"/>
    </xf>
    <xf numFmtId="0" fontId="19" fillId="0" borderId="0" xfId="3" applyFont="1" applyAlignment="1" applyProtection="1">
      <alignment vertical="center" wrapText="1"/>
      <protection locked="0"/>
    </xf>
    <xf numFmtId="0" fontId="19" fillId="0" borderId="50" xfId="3" applyFont="1" applyBorder="1" applyAlignment="1" applyProtection="1">
      <alignment vertical="center" wrapText="1"/>
      <protection locked="0"/>
    </xf>
    <xf numFmtId="0" fontId="19" fillId="0" borderId="20" xfId="3" applyFont="1" applyBorder="1" applyAlignment="1">
      <alignment horizontal="left" vertical="center" wrapText="1"/>
    </xf>
    <xf numFmtId="0" fontId="19" fillId="0" borderId="13" xfId="3" applyFont="1" applyBorder="1" applyAlignment="1">
      <alignment horizontal="center" vertical="center" wrapText="1"/>
    </xf>
    <xf numFmtId="0" fontId="19" fillId="0" borderId="2" xfId="3" applyFont="1" applyBorder="1" applyAlignment="1">
      <alignment horizontal="left" vertical="center" wrapText="1"/>
    </xf>
    <xf numFmtId="0" fontId="19" fillId="0" borderId="37" xfId="3" applyFont="1" applyBorder="1" applyAlignment="1" applyProtection="1">
      <alignment vertical="center" wrapText="1"/>
      <protection locked="0"/>
    </xf>
    <xf numFmtId="0" fontId="19" fillId="0" borderId="1" xfId="3" applyFont="1" applyBorder="1" applyAlignment="1">
      <alignment horizontal="center" vertical="center" wrapText="1"/>
    </xf>
    <xf numFmtId="0" fontId="15" fillId="0" borderId="0" xfId="0" applyFont="1" applyProtection="1">
      <protection locked="0"/>
    </xf>
    <xf numFmtId="0" fontId="19" fillId="0" borderId="14" xfId="0" applyFont="1" applyBorder="1" applyAlignment="1">
      <alignment horizontal="left" vertical="center" wrapText="1"/>
    </xf>
    <xf numFmtId="0" fontId="18" fillId="0" borderId="49" xfId="6" applyFont="1" applyBorder="1" applyAlignment="1">
      <alignment vertical="center" wrapText="1"/>
    </xf>
    <xf numFmtId="0" fontId="18" fillId="0" borderId="49" xfId="3" applyFont="1" applyBorder="1" applyAlignment="1">
      <alignment vertical="center" wrapText="1"/>
    </xf>
    <xf numFmtId="0" fontId="19" fillId="0" borderId="1" xfId="3" applyFont="1" applyBorder="1" applyAlignment="1">
      <alignment vertical="center" wrapText="1"/>
    </xf>
    <xf numFmtId="0" fontId="19" fillId="0" borderId="1" xfId="3" applyFont="1" applyBorder="1" applyAlignment="1">
      <alignment horizontal="left" vertical="center" wrapText="1"/>
    </xf>
    <xf numFmtId="0" fontId="21" fillId="0" borderId="1" xfId="2" applyFont="1" applyBorder="1" applyAlignment="1">
      <alignment horizontal="center" vertical="center" wrapText="1"/>
    </xf>
    <xf numFmtId="0" fontId="19" fillId="0" borderId="17" xfId="2" applyFont="1" applyBorder="1" applyAlignment="1">
      <alignment horizontal="left" vertical="center" wrapText="1"/>
    </xf>
    <xf numFmtId="0" fontId="19" fillId="0" borderId="3" xfId="3" applyFont="1" applyBorder="1" applyAlignment="1">
      <alignment vertical="center" wrapText="1"/>
    </xf>
    <xf numFmtId="0" fontId="19" fillId="0" borderId="14" xfId="0" applyFont="1" applyBorder="1" applyAlignment="1" applyProtection="1">
      <alignment vertical="center"/>
      <protection locked="0"/>
    </xf>
    <xf numFmtId="0" fontId="19" fillId="0" borderId="3" xfId="0" applyFont="1" applyBorder="1" applyAlignment="1" applyProtection="1">
      <alignment horizontal="center" vertical="center"/>
      <protection locked="0"/>
    </xf>
    <xf numFmtId="0" fontId="19" fillId="0" borderId="3" xfId="3" applyFont="1" applyBorder="1" applyAlignment="1" applyProtection="1">
      <alignment horizontal="left" vertical="center" wrapText="1"/>
      <protection locked="0"/>
    </xf>
    <xf numFmtId="0" fontId="21" fillId="0" borderId="3" xfId="0" applyFont="1" applyBorder="1" applyAlignment="1" applyProtection="1">
      <alignment horizontal="center" vertical="center"/>
      <protection locked="0"/>
    </xf>
    <xf numFmtId="0" fontId="19" fillId="0" borderId="17" xfId="0" applyFont="1" applyBorder="1" applyAlignment="1" applyProtection="1">
      <alignment horizontal="left" vertical="center" wrapText="1"/>
      <protection locked="0"/>
    </xf>
    <xf numFmtId="0" fontId="19" fillId="0" borderId="14" xfId="2" applyFont="1" applyBorder="1" applyAlignment="1">
      <alignment horizontal="left" vertical="center" wrapText="1"/>
    </xf>
    <xf numFmtId="0" fontId="19" fillId="0" borderId="1" xfId="3" applyFont="1" applyBorder="1" applyAlignment="1">
      <alignment horizontal="center" vertical="center"/>
    </xf>
    <xf numFmtId="0" fontId="41" fillId="9" borderId="0" xfId="0" applyFont="1" applyFill="1" applyAlignment="1" applyProtection="1">
      <alignment horizontal="left" vertical="center" wrapText="1"/>
      <protection locked="0"/>
    </xf>
    <xf numFmtId="0" fontId="41" fillId="0" borderId="51" xfId="0" applyFont="1" applyBorder="1" applyAlignment="1">
      <alignment horizontal="left" vertical="center" wrapText="1"/>
    </xf>
    <xf numFmtId="0" fontId="19" fillId="0" borderId="1" xfId="2" applyFont="1" applyBorder="1" applyAlignment="1" applyProtection="1">
      <alignment horizontal="left" vertical="center" wrapText="1"/>
      <protection locked="0"/>
    </xf>
    <xf numFmtId="0" fontId="19" fillId="0" borderId="0" xfId="2" applyFont="1" applyAlignment="1" applyProtection="1">
      <alignment horizontal="left" vertical="center" wrapText="1"/>
      <protection locked="0"/>
    </xf>
    <xf numFmtId="0" fontId="19" fillId="0" borderId="1" xfId="3" applyFont="1" applyBorder="1" applyAlignment="1" applyProtection="1">
      <alignment vertical="center" wrapText="1"/>
      <protection locked="0"/>
    </xf>
    <xf numFmtId="0" fontId="19" fillId="0" borderId="1" xfId="14" applyFont="1" applyBorder="1" applyAlignment="1" applyProtection="1">
      <alignment horizontal="center" vertical="center" wrapText="1"/>
      <protection locked="0"/>
    </xf>
    <xf numFmtId="0" fontId="21" fillId="0" borderId="1" xfId="14" applyFont="1" applyBorder="1" applyAlignment="1" applyProtection="1">
      <alignment horizontal="center" vertical="center" wrapText="1"/>
      <protection locked="0"/>
    </xf>
    <xf numFmtId="0" fontId="19" fillId="0" borderId="1" xfId="14" applyFont="1" applyBorder="1" applyAlignment="1">
      <alignment horizontal="center" vertical="center" wrapText="1"/>
    </xf>
    <xf numFmtId="0" fontId="21" fillId="0" borderId="1" xfId="14" applyFont="1" applyBorder="1" applyAlignment="1">
      <alignment horizontal="center" vertical="center" wrapText="1"/>
    </xf>
    <xf numFmtId="0" fontId="15"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6" fillId="0" borderId="50" xfId="3" applyFont="1" applyBorder="1" applyAlignment="1" applyProtection="1">
      <alignment vertical="center" wrapText="1"/>
      <protection locked="0"/>
    </xf>
    <xf numFmtId="0" fontId="19" fillId="0" borderId="61" xfId="0" applyFont="1" applyBorder="1" applyAlignment="1" applyProtection="1">
      <alignment horizontal="left" vertical="center" wrapText="1"/>
      <protection locked="0"/>
    </xf>
    <xf numFmtId="0" fontId="26" fillId="0" borderId="37" xfId="3" applyFont="1" applyBorder="1" applyAlignment="1" applyProtection="1">
      <alignment vertical="center" wrapText="1"/>
      <protection locked="0"/>
    </xf>
    <xf numFmtId="0" fontId="28" fillId="0" borderId="17" xfId="0" applyFont="1" applyBorder="1" applyAlignment="1" applyProtection="1">
      <alignment horizontal="center" vertical="center" wrapText="1"/>
      <protection locked="0"/>
    </xf>
    <xf numFmtId="0" fontId="21" fillId="0" borderId="37" xfId="3" applyFont="1" applyBorder="1" applyAlignment="1" applyProtection="1">
      <alignment horizontal="center" vertical="center" wrapText="1"/>
      <protection locked="0"/>
    </xf>
    <xf numFmtId="0" fontId="21" fillId="0" borderId="3" xfId="0" applyFont="1" applyBorder="1" applyAlignment="1">
      <alignment horizontal="center" vertical="center" wrapText="1"/>
    </xf>
    <xf numFmtId="0" fontId="19" fillId="0" borderId="1" xfId="0" applyFont="1" applyBorder="1" applyAlignment="1">
      <alignment vertical="center" wrapText="1"/>
    </xf>
    <xf numFmtId="0" fontId="19" fillId="0" borderId="3" xfId="2" applyFont="1" applyBorder="1" applyAlignment="1" applyProtection="1">
      <alignment horizontal="center" vertical="center"/>
      <protection locked="0"/>
    </xf>
    <xf numFmtId="0" fontId="19" fillId="0" borderId="1" xfId="0" applyFont="1" applyBorder="1" applyAlignment="1">
      <alignment horizontal="left" vertical="center" wrapText="1"/>
    </xf>
    <xf numFmtId="0" fontId="19" fillId="0" borderId="3" xfId="0" applyFont="1" applyBorder="1" applyAlignment="1">
      <alignment horizontal="left" vertical="center" wrapText="1"/>
    </xf>
    <xf numFmtId="0" fontId="21" fillId="0" borderId="0" xfId="0" applyFont="1" applyAlignment="1" applyProtection="1">
      <alignment horizontal="center" vertical="center"/>
      <protection locked="0"/>
    </xf>
    <xf numFmtId="0" fontId="19" fillId="0" borderId="0" xfId="3" applyFont="1" applyAlignment="1" applyProtection="1">
      <alignment horizontal="left" vertical="center"/>
      <protection locked="0"/>
    </xf>
    <xf numFmtId="0" fontId="26" fillId="0" borderId="17" xfId="3" applyFont="1" applyBorder="1" applyAlignment="1" applyProtection="1">
      <alignment horizontal="left" vertical="center"/>
      <protection locked="0"/>
    </xf>
    <xf numFmtId="0" fontId="26" fillId="0" borderId="17" xfId="3" applyFont="1" applyBorder="1" applyAlignment="1">
      <alignment horizontal="left" vertical="center" wrapText="1"/>
    </xf>
    <xf numFmtId="0" fontId="19" fillId="0" borderId="3" xfId="2" applyFont="1" applyBorder="1" applyAlignment="1">
      <alignment horizontal="center" vertical="center"/>
    </xf>
    <xf numFmtId="0" fontId="19" fillId="0" borderId="3" xfId="0" applyFont="1" applyBorder="1" applyAlignment="1">
      <alignment horizontal="center" vertical="center"/>
    </xf>
    <xf numFmtId="0" fontId="19" fillId="0" borderId="17" xfId="2" applyFont="1" applyBorder="1" applyAlignment="1" applyProtection="1">
      <alignment horizontal="left" vertical="center"/>
      <protection locked="0"/>
    </xf>
    <xf numFmtId="0" fontId="19" fillId="0" borderId="17" xfId="2" applyFont="1" applyBorder="1" applyAlignment="1">
      <alignment horizontal="left" vertical="center"/>
    </xf>
    <xf numFmtId="0" fontId="19" fillId="0" borderId="1" xfId="2" applyFont="1" applyBorder="1" applyAlignment="1">
      <alignment horizontal="center" vertical="center"/>
    </xf>
    <xf numFmtId="0" fontId="19" fillId="0" borderId="3" xfId="2" applyFont="1" applyBorder="1" applyAlignment="1">
      <alignment horizontal="left" vertical="center" wrapText="1"/>
    </xf>
    <xf numFmtId="0" fontId="21" fillId="0" borderId="3" xfId="2" applyFont="1" applyBorder="1" applyAlignment="1">
      <alignment horizontal="center" vertical="center"/>
    </xf>
    <xf numFmtId="0" fontId="19" fillId="0" borderId="14" xfId="3" applyFont="1" applyBorder="1" applyAlignment="1">
      <alignment horizontal="center" vertical="center" wrapText="1"/>
    </xf>
    <xf numFmtId="0" fontId="19" fillId="0" borderId="18" xfId="3" applyFont="1" applyBorder="1" applyAlignment="1">
      <alignment horizontal="left" vertical="center" wrapText="1"/>
    </xf>
    <xf numFmtId="0" fontId="19" fillId="0" borderId="10" xfId="2" applyFont="1" applyBorder="1" applyAlignment="1">
      <alignment horizontal="center" vertical="center" wrapText="1"/>
    </xf>
    <xf numFmtId="0" fontId="19" fillId="0" borderId="10" xfId="3" applyFont="1" applyBorder="1" applyAlignment="1">
      <alignment horizontal="center" vertical="center" wrapText="1"/>
    </xf>
    <xf numFmtId="0" fontId="19" fillId="0" borderId="10" xfId="3" applyFont="1" applyBorder="1" applyAlignment="1">
      <alignment horizontal="left" vertical="center" wrapText="1"/>
    </xf>
    <xf numFmtId="0" fontId="19" fillId="0" borderId="12" xfId="0" applyFont="1" applyBorder="1" applyAlignment="1">
      <alignment horizontal="center" vertical="center" wrapText="1"/>
    </xf>
    <xf numFmtId="0" fontId="21" fillId="0" borderId="10" xfId="14" applyFont="1" applyBorder="1" applyAlignment="1">
      <alignment horizontal="center" vertical="center" wrapText="1"/>
    </xf>
    <xf numFmtId="0" fontId="26" fillId="0" borderId="14" xfId="3" applyFont="1" applyBorder="1" applyAlignment="1">
      <alignment horizontal="left" vertical="center" wrapText="1"/>
    </xf>
    <xf numFmtId="0" fontId="19" fillId="0" borderId="14" xfId="5" applyFont="1" applyBorder="1" applyAlignment="1">
      <alignment horizontal="center" vertical="center" wrapText="1"/>
    </xf>
    <xf numFmtId="0" fontId="19" fillId="0" borderId="14" xfId="5" applyFont="1" applyBorder="1" applyAlignment="1">
      <alignment horizontal="left" vertical="center" wrapText="1"/>
    </xf>
    <xf numFmtId="0" fontId="19" fillId="0" borderId="1" xfId="5" applyFont="1" applyBorder="1" applyAlignment="1">
      <alignment horizontal="left" vertical="center" wrapText="1"/>
    </xf>
    <xf numFmtId="0" fontId="19" fillId="0" borderId="17" xfId="3" applyFont="1" applyBorder="1" applyAlignment="1">
      <alignment horizontal="center" vertical="center" wrapText="1"/>
    </xf>
    <xf numFmtId="0" fontId="21" fillId="3" borderId="15" xfId="2" applyFont="1" applyFill="1" applyBorder="1" applyAlignment="1">
      <alignment horizontal="center" vertical="center" wrapText="1"/>
    </xf>
    <xf numFmtId="0" fontId="21" fillId="0" borderId="15" xfId="2" applyFont="1" applyBorder="1" applyAlignment="1">
      <alignment horizontal="center" vertical="center" wrapText="1"/>
    </xf>
    <xf numFmtId="0" fontId="21" fillId="0" borderId="2" xfId="2" applyFont="1" applyBorder="1" applyAlignment="1">
      <alignment horizontal="center" vertical="center" wrapText="1"/>
    </xf>
    <xf numFmtId="0" fontId="21" fillId="4" borderId="2" xfId="2" applyFont="1" applyFill="1" applyBorder="1" applyAlignment="1">
      <alignment horizontal="center" vertical="center" wrapText="1"/>
    </xf>
    <xf numFmtId="0" fontId="21" fillId="3" borderId="2" xfId="2" applyFont="1" applyFill="1" applyBorder="1" applyAlignment="1">
      <alignment horizontal="center" vertical="center" wrapText="1"/>
    </xf>
    <xf numFmtId="0" fontId="21" fillId="0" borderId="6" xfId="2" applyFont="1" applyBorder="1" applyAlignment="1">
      <alignment horizontal="center" vertical="center"/>
    </xf>
    <xf numFmtId="0" fontId="19" fillId="0" borderId="0" xfId="0" applyFont="1" applyAlignment="1" applyProtection="1">
      <alignment wrapText="1"/>
      <protection locked="0"/>
    </xf>
    <xf numFmtId="0" fontId="19" fillId="0" borderId="0" xfId="0" applyFont="1" applyAlignment="1" applyProtection="1">
      <alignment horizontal="center"/>
      <protection locked="0"/>
    </xf>
    <xf numFmtId="0" fontId="21" fillId="0" borderId="0" xfId="0" applyFont="1" applyProtection="1">
      <protection locked="0"/>
    </xf>
    <xf numFmtId="0" fontId="21" fillId="0" borderId="33" xfId="0" applyFont="1" applyBorder="1" applyProtection="1">
      <protection locked="0"/>
    </xf>
    <xf numFmtId="0" fontId="21" fillId="0" borderId="32" xfId="0" applyFont="1" applyBorder="1" applyAlignment="1" applyProtection="1">
      <alignment wrapText="1"/>
      <protection locked="0"/>
    </xf>
    <xf numFmtId="0" fontId="21" fillId="0" borderId="4" xfId="14" applyFont="1" applyBorder="1" applyAlignment="1">
      <alignment horizontal="center" vertical="center" wrapText="1"/>
    </xf>
    <xf numFmtId="0" fontId="19" fillId="0" borderId="0" xfId="3" applyFont="1" applyAlignment="1" applyProtection="1">
      <alignment wrapText="1"/>
      <protection locked="0"/>
    </xf>
    <xf numFmtId="0" fontId="21" fillId="0" borderId="13" xfId="14" applyFont="1" applyBorder="1" applyAlignment="1">
      <alignment horizontal="center" vertical="center" wrapText="1"/>
    </xf>
    <xf numFmtId="0" fontId="21" fillId="0" borderId="3" xfId="14" applyFont="1" applyBorder="1" applyAlignment="1">
      <alignment horizontal="center" vertical="center" wrapText="1"/>
    </xf>
    <xf numFmtId="0" fontId="21" fillId="6" borderId="1" xfId="14" applyFont="1" applyFill="1" applyBorder="1" applyAlignment="1" applyProtection="1">
      <alignment horizontal="center" vertical="center" wrapText="1"/>
      <protection locked="0"/>
    </xf>
    <xf numFmtId="0" fontId="21" fillId="0" borderId="2" xfId="14" applyFont="1" applyBorder="1" applyAlignment="1">
      <alignment horizontal="center" vertical="center" wrapText="1"/>
    </xf>
    <xf numFmtId="0" fontId="21" fillId="6" borderId="2" xfId="14" applyFont="1" applyFill="1" applyBorder="1" applyAlignment="1" applyProtection="1">
      <alignment horizontal="center" vertical="center" wrapText="1"/>
      <protection locked="0"/>
    </xf>
    <xf numFmtId="0" fontId="19" fillId="6" borderId="2" xfId="14" applyFont="1" applyFill="1" applyBorder="1" applyAlignment="1" applyProtection="1">
      <alignment horizontal="center" vertical="center" wrapText="1"/>
      <protection locked="0"/>
    </xf>
    <xf numFmtId="0" fontId="19" fillId="6" borderId="13" xfId="14" applyFont="1" applyFill="1" applyBorder="1" applyAlignment="1" applyProtection="1">
      <alignment horizontal="center" vertical="center" wrapText="1"/>
      <protection locked="0"/>
    </xf>
    <xf numFmtId="0" fontId="21" fillId="6" borderId="13" xfId="14" applyFont="1" applyFill="1" applyBorder="1" applyAlignment="1" applyProtection="1">
      <alignment horizontal="center" vertical="center" wrapText="1"/>
      <protection locked="0"/>
    </xf>
    <xf numFmtId="0" fontId="21" fillId="0" borderId="1" xfId="2" applyFont="1" applyBorder="1" applyAlignment="1" applyProtection="1">
      <alignment horizontal="center" vertical="center" wrapText="1"/>
      <protection locked="0"/>
    </xf>
    <xf numFmtId="0" fontId="22" fillId="0" borderId="0" xfId="3" applyFont="1" applyProtection="1">
      <protection locked="0"/>
    </xf>
    <xf numFmtId="0" fontId="19" fillId="0" borderId="0" xfId="0" applyFont="1" applyAlignment="1" applyProtection="1">
      <alignment horizontal="left" vertical="center" wrapText="1"/>
      <protection locked="0"/>
    </xf>
    <xf numFmtId="0" fontId="19" fillId="6" borderId="1" xfId="14" applyFont="1" applyFill="1" applyBorder="1" applyAlignment="1" applyProtection="1">
      <alignment horizontal="center" vertical="center" wrapText="1"/>
      <protection locked="0"/>
    </xf>
    <xf numFmtId="0" fontId="19" fillId="0" borderId="3" xfId="14" applyFont="1" applyBorder="1" applyAlignment="1">
      <alignment horizontal="center" vertical="center" wrapText="1"/>
    </xf>
    <xf numFmtId="0" fontId="27" fillId="0" borderId="2" xfId="3" applyFont="1" applyBorder="1" applyAlignment="1" applyProtection="1">
      <alignment vertical="center" wrapText="1"/>
      <protection locked="0"/>
    </xf>
    <xf numFmtId="0" fontId="54" fillId="4" borderId="3" xfId="14" applyFont="1" applyFill="1" applyBorder="1" applyAlignment="1" applyProtection="1">
      <alignment horizontal="center" vertical="center" wrapText="1"/>
      <protection locked="0"/>
    </xf>
    <xf numFmtId="0" fontId="21" fillId="0" borderId="3" xfId="14" applyFont="1" applyBorder="1" applyAlignment="1">
      <alignment horizontal="center" vertical="center"/>
    </xf>
    <xf numFmtId="0" fontId="21" fillId="0" borderId="0" xfId="0" applyFont="1" applyAlignment="1" applyProtection="1">
      <alignment horizontal="center" vertical="center" wrapText="1"/>
      <protection locked="0"/>
    </xf>
    <xf numFmtId="0" fontId="19" fillId="0" borderId="30" xfId="3" applyFont="1" applyBorder="1" applyAlignment="1" applyProtection="1">
      <alignment horizontal="center" vertical="center" wrapText="1"/>
      <protection locked="0"/>
    </xf>
    <xf numFmtId="0" fontId="19" fillId="0" borderId="20" xfId="3" applyFont="1" applyBorder="1" applyAlignment="1">
      <alignment horizontal="center" vertical="center" wrapText="1"/>
    </xf>
    <xf numFmtId="0" fontId="44" fillId="0" borderId="37" xfId="3" applyFont="1" applyBorder="1" applyAlignment="1" applyProtection="1">
      <alignment horizontal="left" vertical="center" wrapText="1"/>
      <protection locked="0"/>
    </xf>
    <xf numFmtId="0" fontId="44" fillId="0" borderId="17" xfId="3" applyFont="1" applyBorder="1" applyAlignment="1" applyProtection="1">
      <alignment horizontal="left" vertical="center" wrapText="1"/>
      <protection locked="0"/>
    </xf>
    <xf numFmtId="0" fontId="55" fillId="0" borderId="14" xfId="3" applyFont="1" applyBorder="1" applyAlignment="1" applyProtection="1">
      <alignment horizontal="left" vertical="center" wrapText="1"/>
      <protection locked="0"/>
    </xf>
    <xf numFmtId="0" fontId="55" fillId="0" borderId="1" xfId="2" applyFont="1" applyBorder="1" applyAlignment="1" applyProtection="1">
      <alignment horizontal="center" vertical="center" wrapText="1"/>
      <protection locked="0"/>
    </xf>
    <xf numFmtId="0" fontId="55" fillId="0" borderId="3" xfId="2" applyFont="1" applyBorder="1" applyAlignment="1" applyProtection="1">
      <alignment horizontal="center" vertical="center" wrapText="1"/>
      <protection locked="0"/>
    </xf>
    <xf numFmtId="49" fontId="55" fillId="0" borderId="61" xfId="0" applyNumberFormat="1" applyFont="1" applyBorder="1" applyAlignment="1" applyProtection="1">
      <alignment horizontal="left" vertical="center" wrapText="1"/>
      <protection locked="0"/>
    </xf>
    <xf numFmtId="0" fontId="55" fillId="0" borderId="3" xfId="0" applyFont="1" applyBorder="1" applyAlignment="1" applyProtection="1">
      <alignment horizontal="center" vertical="center" wrapText="1"/>
      <protection locked="0"/>
    </xf>
    <xf numFmtId="0" fontId="54" fillId="0" borderId="3" xfId="0" applyFont="1" applyBorder="1" applyAlignment="1" applyProtection="1">
      <alignment horizontal="center" vertical="center" wrapText="1"/>
      <protection locked="0"/>
    </xf>
    <xf numFmtId="0" fontId="44" fillId="0" borderId="6" xfId="2" applyFont="1" applyBorder="1" applyAlignment="1" applyProtection="1">
      <alignment horizontal="center" vertical="center"/>
      <protection locked="0"/>
    </xf>
    <xf numFmtId="0" fontId="19" fillId="0" borderId="20" xfId="0" applyFont="1" applyBorder="1" applyAlignment="1" applyProtection="1">
      <alignment horizontal="left" vertical="center" wrapText="1"/>
      <protection locked="0"/>
    </xf>
    <xf numFmtId="0" fontId="21" fillId="0" borderId="3" xfId="14" applyFont="1" applyBorder="1" applyAlignment="1" applyProtection="1">
      <alignment horizontal="center" vertical="center" wrapText="1"/>
      <protection locked="0"/>
    </xf>
    <xf numFmtId="0" fontId="21" fillId="0" borderId="2" xfId="14" applyFont="1" applyBorder="1" applyAlignment="1" applyProtection="1">
      <alignment horizontal="center" vertical="center" wrapText="1"/>
      <protection locked="0"/>
    </xf>
    <xf numFmtId="0" fontId="19" fillId="0" borderId="61" xfId="2" applyFont="1" applyBorder="1" applyAlignment="1" applyProtection="1">
      <alignment horizontal="left" vertical="center" wrapText="1"/>
      <protection locked="0"/>
    </xf>
    <xf numFmtId="0" fontId="21" fillId="0" borderId="3" xfId="2" applyFont="1" applyBorder="1" applyAlignment="1" applyProtection="1">
      <alignment horizontal="center" vertical="center" wrapText="1"/>
      <protection locked="0"/>
    </xf>
    <xf numFmtId="0" fontId="19" fillId="0" borderId="1" xfId="0" applyFont="1" applyBorder="1" applyAlignment="1" applyProtection="1">
      <alignment vertical="center" wrapText="1"/>
      <protection locked="0"/>
    </xf>
    <xf numFmtId="0" fontId="19" fillId="0" borderId="3" xfId="14" applyFont="1" applyBorder="1" applyAlignment="1" applyProtection="1">
      <alignment horizontal="center" vertical="center" wrapText="1"/>
      <protection locked="0"/>
    </xf>
    <xf numFmtId="0" fontId="19" fillId="0" borderId="49" xfId="3" applyFont="1" applyBorder="1" applyAlignment="1" applyProtection="1">
      <alignment vertical="center" wrapText="1"/>
      <protection locked="0"/>
    </xf>
    <xf numFmtId="0" fontId="19" fillId="0" borderId="17" xfId="3" applyFont="1" applyBorder="1" applyAlignment="1" applyProtection="1">
      <alignment vertical="center" wrapText="1"/>
      <protection locked="0"/>
    </xf>
    <xf numFmtId="0" fontId="19" fillId="0" borderId="2" xfId="14" applyFont="1" applyBorder="1" applyAlignment="1" applyProtection="1">
      <alignment horizontal="center" vertical="center" wrapText="1"/>
      <protection locked="0"/>
    </xf>
    <xf numFmtId="9" fontId="34" fillId="0" borderId="0" xfId="11" applyFont="1" applyFill="1" applyAlignment="1" applyProtection="1">
      <alignment horizontal="center" vertical="center"/>
    </xf>
    <xf numFmtId="0" fontId="38" fillId="3" borderId="4" xfId="2" applyFont="1" applyFill="1" applyBorder="1" applyAlignment="1">
      <alignment horizontal="center" vertical="center" wrapText="1"/>
    </xf>
    <xf numFmtId="0" fontId="38" fillId="3" borderId="34" xfId="2" applyFont="1" applyFill="1" applyBorder="1" applyAlignment="1">
      <alignment horizontal="center" vertical="center" wrapText="1"/>
    </xf>
    <xf numFmtId="165" fontId="34" fillId="0" borderId="0" xfId="0" applyNumberFormat="1" applyFont="1" applyAlignment="1">
      <alignment horizontal="center" vertical="center"/>
    </xf>
    <xf numFmtId="165" fontId="34" fillId="0" borderId="0" xfId="0" applyNumberFormat="1" applyFont="1" applyAlignment="1" applyProtection="1">
      <alignment horizontal="center" vertical="center"/>
      <protection locked="0"/>
    </xf>
    <xf numFmtId="9" fontId="34" fillId="0" borderId="0" xfId="11" applyFont="1" applyFill="1" applyAlignment="1" applyProtection="1">
      <alignment horizontal="center" vertical="center"/>
      <protection locked="0"/>
    </xf>
    <xf numFmtId="0" fontId="34" fillId="0" borderId="0" xfId="0" applyFont="1" applyAlignment="1" applyProtection="1">
      <alignment horizontal="center" vertical="center"/>
      <protection locked="0"/>
    </xf>
    <xf numFmtId="165" fontId="34" fillId="0" borderId="0" xfId="0" applyNumberFormat="1" applyFont="1" applyAlignment="1">
      <alignment horizontal="center" vertical="center" wrapText="1"/>
    </xf>
    <xf numFmtId="165" fontId="34" fillId="0" borderId="0" xfId="0" applyNumberFormat="1" applyFont="1" applyAlignment="1" applyProtection="1">
      <alignment horizontal="center" vertical="center" wrapText="1"/>
      <protection locked="0"/>
    </xf>
    <xf numFmtId="165" fontId="34" fillId="0" borderId="0" xfId="0" applyNumberFormat="1" applyFont="1" applyAlignment="1">
      <alignment horizontal="right" vertical="center"/>
    </xf>
    <xf numFmtId="0" fontId="19" fillId="0" borderId="63" xfId="3" applyFont="1" applyBorder="1" applyAlignment="1" applyProtection="1">
      <alignment horizontal="left" vertical="center" wrapText="1"/>
      <protection locked="0"/>
    </xf>
    <xf numFmtId="0" fontId="60" fillId="4" borderId="7" xfId="2" applyFont="1" applyFill="1" applyBorder="1" applyAlignment="1" applyProtection="1">
      <alignment horizontal="center" vertical="center" wrapText="1"/>
      <protection locked="0"/>
    </xf>
    <xf numFmtId="0" fontId="60" fillId="4" borderId="17" xfId="3" applyFont="1" applyFill="1" applyBorder="1" applyAlignment="1" applyProtection="1">
      <alignment horizontal="left" vertical="center" wrapText="1"/>
      <protection locked="0"/>
    </xf>
    <xf numFmtId="0" fontId="60" fillId="4" borderId="50" xfId="3" applyFont="1" applyFill="1" applyBorder="1" applyAlignment="1" applyProtection="1">
      <alignment horizontal="left" vertical="center" wrapText="1"/>
      <protection locked="0"/>
    </xf>
    <xf numFmtId="165" fontId="63" fillId="0" borderId="0" xfId="0" applyNumberFormat="1" applyFont="1" applyAlignment="1" applyProtection="1">
      <alignment horizontal="center" vertical="center" wrapText="1"/>
      <protection locked="0"/>
    </xf>
    <xf numFmtId="9" fontId="63" fillId="0" borderId="0" xfId="11" applyFont="1" applyFill="1" applyAlignment="1" applyProtection="1">
      <alignment horizontal="center" vertical="center"/>
    </xf>
    <xf numFmtId="165" fontId="63" fillId="0" borderId="0" xfId="0" applyNumberFormat="1" applyFont="1" applyAlignment="1">
      <alignment horizontal="center" vertical="center"/>
    </xf>
    <xf numFmtId="0" fontId="60" fillId="0" borderId="0" xfId="0" applyFont="1" applyAlignment="1" applyProtection="1">
      <alignment horizontal="center" vertical="center" wrapText="1"/>
      <protection locked="0"/>
    </xf>
    <xf numFmtId="0" fontId="60" fillId="0" borderId="0" xfId="3" applyFont="1" applyAlignment="1" applyProtection="1">
      <alignment wrapText="1"/>
      <protection locked="0"/>
    </xf>
    <xf numFmtId="0" fontId="61" fillId="0" borderId="0" xfId="3" applyFont="1" applyAlignment="1" applyProtection="1">
      <alignment horizontal="center" vertical="center" wrapText="1"/>
      <protection locked="0"/>
    </xf>
    <xf numFmtId="0" fontId="60" fillId="0" borderId="0" xfId="0" applyFont="1" applyAlignment="1" applyProtection="1">
      <alignment wrapText="1"/>
      <protection locked="0"/>
    </xf>
    <xf numFmtId="0" fontId="60" fillId="4" borderId="7" xfId="2" applyFont="1" applyFill="1" applyBorder="1" applyAlignment="1" applyProtection="1">
      <alignment horizontal="center" vertical="center"/>
      <protection locked="0"/>
    </xf>
    <xf numFmtId="0" fontId="60" fillId="0" borderId="0" xfId="0" applyFont="1" applyAlignment="1" applyProtection="1">
      <alignment horizontal="center" vertical="center"/>
      <protection locked="0"/>
    </xf>
    <xf numFmtId="0" fontId="60" fillId="0" borderId="0" xfId="3" applyFont="1" applyProtection="1">
      <protection locked="0"/>
    </xf>
    <xf numFmtId="0" fontId="60" fillId="0" borderId="0" xfId="0" applyFont="1" applyProtection="1">
      <protection locked="0"/>
    </xf>
    <xf numFmtId="0" fontId="61" fillId="4" borderId="1" xfId="0" applyFont="1" applyFill="1" applyBorder="1" applyAlignment="1">
      <alignment horizontal="center" vertical="center" wrapText="1"/>
    </xf>
    <xf numFmtId="0" fontId="60" fillId="4" borderId="1" xfId="0" applyFont="1" applyFill="1" applyBorder="1" applyAlignment="1">
      <alignment horizontal="center" vertical="center" wrapText="1"/>
    </xf>
    <xf numFmtId="49" fontId="60" fillId="4" borderId="39" xfId="0" applyNumberFormat="1" applyFont="1" applyFill="1" applyBorder="1" applyAlignment="1">
      <alignment horizontal="left" vertical="center" wrapText="1"/>
    </xf>
    <xf numFmtId="0" fontId="60" fillId="4" borderId="3" xfId="2" applyFont="1" applyFill="1" applyBorder="1" applyAlignment="1">
      <alignment horizontal="center" vertical="center" wrapText="1"/>
    </xf>
    <xf numFmtId="0" fontId="60" fillId="4" borderId="14" xfId="3" applyFont="1" applyFill="1" applyBorder="1" applyAlignment="1">
      <alignment horizontal="left" vertical="center" wrapText="1"/>
    </xf>
    <xf numFmtId="0" fontId="60" fillId="4" borderId="17" xfId="3" applyFont="1" applyFill="1" applyBorder="1" applyAlignment="1">
      <alignment horizontal="left" vertical="center" wrapText="1"/>
    </xf>
    <xf numFmtId="0" fontId="60" fillId="4" borderId="37" xfId="3" applyFont="1" applyFill="1" applyBorder="1" applyAlignment="1" applyProtection="1">
      <alignment horizontal="left" vertical="center" wrapText="1"/>
      <protection locked="0"/>
    </xf>
    <xf numFmtId="0" fontId="60" fillId="4" borderId="1" xfId="2" applyFont="1" applyFill="1" applyBorder="1" applyAlignment="1">
      <alignment horizontal="center" vertical="center" wrapText="1"/>
    </xf>
    <xf numFmtId="0" fontId="61" fillId="0" borderId="3" xfId="14" applyFont="1" applyBorder="1" applyAlignment="1">
      <alignment horizontal="center" vertical="center" wrapText="1"/>
    </xf>
    <xf numFmtId="0" fontId="60" fillId="0" borderId="3" xfId="14" applyFont="1" applyBorder="1" applyAlignment="1">
      <alignment horizontal="center" vertical="center" wrapText="1"/>
    </xf>
    <xf numFmtId="49" fontId="60" fillId="0" borderId="39" xfId="0" applyNumberFormat="1" applyFont="1" applyBorder="1" applyAlignment="1">
      <alignment vertical="center" wrapText="1"/>
    </xf>
    <xf numFmtId="0" fontId="60" fillId="0" borderId="1" xfId="2" applyFont="1" applyBorder="1" applyAlignment="1">
      <alignment horizontal="center" vertical="center" wrapText="1"/>
    </xf>
    <xf numFmtId="0" fontId="60" fillId="0" borderId="1" xfId="3" applyFont="1" applyBorder="1" applyAlignment="1">
      <alignment horizontal="center" vertical="center" wrapText="1"/>
    </xf>
    <xf numFmtId="0" fontId="60" fillId="0" borderId="17" xfId="3" applyFont="1" applyBorder="1" applyAlignment="1">
      <alignment horizontal="left" vertical="center" wrapText="1"/>
    </xf>
    <xf numFmtId="0" fontId="60" fillId="0" borderId="17" xfId="3" applyFont="1" applyBorder="1" applyAlignment="1" applyProtection="1">
      <alignment horizontal="left" vertical="center" wrapText="1"/>
      <protection locked="0"/>
    </xf>
    <xf numFmtId="0" fontId="60" fillId="0" borderId="37" xfId="3" applyFont="1" applyBorder="1" applyAlignment="1" applyProtection="1">
      <alignment horizontal="left" vertical="center" wrapText="1"/>
      <protection locked="0"/>
    </xf>
    <xf numFmtId="0" fontId="60" fillId="0" borderId="1" xfId="3" applyFont="1" applyBorder="1" applyAlignment="1">
      <alignment horizontal="left" vertical="center" wrapText="1"/>
    </xf>
    <xf numFmtId="0" fontId="60" fillId="0" borderId="14" xfId="3" applyFont="1" applyBorder="1" applyAlignment="1" applyProtection="1">
      <alignment horizontal="left" vertical="center" wrapText="1"/>
      <protection locked="0"/>
    </xf>
    <xf numFmtId="0" fontId="61" fillId="4" borderId="3" xfId="14" applyFont="1" applyFill="1" applyBorder="1" applyAlignment="1">
      <alignment horizontal="center" vertical="center" wrapText="1"/>
    </xf>
    <xf numFmtId="0" fontId="60" fillId="4" borderId="3" xfId="14" applyFont="1" applyFill="1" applyBorder="1" applyAlignment="1">
      <alignment horizontal="center" vertical="center" wrapText="1"/>
    </xf>
    <xf numFmtId="49" fontId="60" fillId="4" borderId="39" xfId="0" applyNumberFormat="1" applyFont="1" applyFill="1" applyBorder="1" applyAlignment="1">
      <alignment vertical="center" wrapText="1"/>
    </xf>
    <xf numFmtId="0" fontId="60" fillId="4" borderId="1" xfId="3" applyFont="1" applyFill="1" applyBorder="1" applyAlignment="1">
      <alignment horizontal="center" vertical="center" wrapText="1"/>
    </xf>
    <xf numFmtId="0" fontId="60" fillId="4" borderId="17" xfId="0" applyFont="1" applyFill="1" applyBorder="1" applyAlignment="1">
      <alignment horizontal="left" vertical="center" wrapText="1"/>
    </xf>
    <xf numFmtId="0" fontId="60" fillId="4" borderId="17" xfId="0" applyFont="1" applyFill="1" applyBorder="1" applyAlignment="1" applyProtection="1">
      <alignment horizontal="left" vertical="center" wrapText="1"/>
      <protection locked="0"/>
    </xf>
    <xf numFmtId="0" fontId="60" fillId="4" borderId="1" xfId="3" applyFont="1" applyFill="1" applyBorder="1" applyAlignment="1">
      <alignment horizontal="left" vertical="center" wrapText="1"/>
    </xf>
    <xf numFmtId="0" fontId="60" fillId="4" borderId="14" xfId="3" applyFont="1" applyFill="1" applyBorder="1" applyAlignment="1" applyProtection="1">
      <alignment horizontal="left" vertical="center" wrapText="1"/>
      <protection locked="0"/>
    </xf>
    <xf numFmtId="0" fontId="15" fillId="0" borderId="49" xfId="2" applyFont="1" applyBorder="1" applyAlignment="1" applyProtection="1">
      <alignment horizontal="left" vertical="center" wrapText="1"/>
      <protection locked="0"/>
    </xf>
    <xf numFmtId="0" fontId="19" fillId="4" borderId="8" xfId="2" applyFont="1" applyFill="1" applyBorder="1" applyAlignment="1" applyProtection="1">
      <alignment horizontal="center" vertical="center"/>
      <protection locked="0"/>
    </xf>
    <xf numFmtId="0" fontId="34" fillId="0" borderId="0" xfId="0" applyFont="1" applyAlignment="1" applyProtection="1">
      <alignment horizontal="right" vertical="center"/>
      <protection locked="0"/>
    </xf>
    <xf numFmtId="9" fontId="34" fillId="0" borderId="0" xfId="11" applyFont="1" applyFill="1" applyBorder="1" applyAlignment="1" applyProtection="1">
      <alignment horizontal="right" vertical="center"/>
      <protection locked="0"/>
    </xf>
    <xf numFmtId="9" fontId="38" fillId="0" borderId="33" xfId="11" applyFont="1" applyFill="1" applyBorder="1" applyAlignment="1" applyProtection="1">
      <alignment horizontal="right" vertical="center"/>
      <protection locked="0"/>
    </xf>
    <xf numFmtId="0" fontId="38" fillId="0" borderId="33" xfId="0" applyFont="1" applyBorder="1" applyAlignment="1" applyProtection="1">
      <alignment horizontal="right" vertical="center"/>
      <protection locked="0"/>
    </xf>
    <xf numFmtId="9" fontId="38" fillId="0" borderId="66" xfId="11" applyFont="1" applyFill="1" applyBorder="1" applyAlignment="1" applyProtection="1">
      <alignment horizontal="right" vertical="center"/>
      <protection locked="0"/>
    </xf>
    <xf numFmtId="0" fontId="38" fillId="0" borderId="66" xfId="0" applyFont="1" applyBorder="1" applyAlignment="1" applyProtection="1">
      <alignment horizontal="right" vertical="center"/>
      <protection locked="0"/>
    </xf>
    <xf numFmtId="0" fontId="21" fillId="0" borderId="66" xfId="0" applyFont="1" applyBorder="1" applyProtection="1">
      <protection locked="0"/>
    </xf>
    <xf numFmtId="0" fontId="21" fillId="0" borderId="67" xfId="0" applyFont="1" applyBorder="1" applyAlignment="1" applyProtection="1">
      <alignment wrapText="1"/>
      <protection locked="0"/>
    </xf>
    <xf numFmtId="165" fontId="34" fillId="0" borderId="0" xfId="0" applyNumberFormat="1" applyFont="1" applyAlignment="1" applyProtection="1">
      <alignment horizontal="right" vertical="center"/>
      <protection locked="0"/>
    </xf>
    <xf numFmtId="0" fontId="19" fillId="0" borderId="5" xfId="2" applyFont="1" applyBorder="1" applyAlignment="1" applyProtection="1">
      <alignment horizontal="center" vertical="center"/>
      <protection locked="0"/>
    </xf>
    <xf numFmtId="0" fontId="19" fillId="0" borderId="6" xfId="2" applyFont="1" applyBorder="1" applyAlignment="1" applyProtection="1">
      <alignment horizontal="center" vertical="center" wrapText="1"/>
      <protection locked="0"/>
    </xf>
    <xf numFmtId="0" fontId="60" fillId="4" borderId="8" xfId="2" applyFont="1" applyFill="1" applyBorder="1" applyAlignment="1" applyProtection="1">
      <alignment horizontal="center" vertical="center"/>
      <protection locked="0"/>
    </xf>
    <xf numFmtId="9" fontId="63" fillId="0" borderId="0" xfId="11" applyFont="1" applyFill="1" applyAlignment="1" applyProtection="1">
      <alignment horizontal="center" vertical="center"/>
      <protection locked="0"/>
    </xf>
    <xf numFmtId="0" fontId="19" fillId="0" borderId="7" xfId="2" applyFont="1" applyBorder="1" applyAlignment="1" applyProtection="1">
      <alignment horizontal="center" vertical="center" wrapText="1"/>
      <protection locked="0"/>
    </xf>
    <xf numFmtId="0" fontId="19" fillId="0" borderId="19" xfId="2" applyFont="1" applyBorder="1" applyAlignment="1" applyProtection="1">
      <alignment horizontal="center" vertical="center"/>
      <protection locked="0"/>
    </xf>
    <xf numFmtId="0" fontId="21" fillId="0" borderId="0" xfId="3" applyFont="1" applyProtection="1">
      <protection locked="0"/>
    </xf>
    <xf numFmtId="0" fontId="28" fillId="0" borderId="50" xfId="3" applyFont="1" applyBorder="1" applyAlignment="1" applyProtection="1">
      <alignment horizontal="center" vertical="center" wrapText="1"/>
      <protection locked="0"/>
    </xf>
    <xf numFmtId="0" fontId="60" fillId="0" borderId="7" xfId="2" applyFont="1" applyBorder="1" applyAlignment="1" applyProtection="1">
      <alignment horizontal="center" vertical="center"/>
      <protection locked="0"/>
    </xf>
    <xf numFmtId="0" fontId="19" fillId="0" borderId="44" xfId="2" applyFont="1" applyBorder="1" applyAlignment="1" applyProtection="1">
      <alignment horizontal="center" vertical="center"/>
      <protection locked="0"/>
    </xf>
    <xf numFmtId="0" fontId="19" fillId="0" borderId="9" xfId="2" applyFont="1" applyBorder="1" applyAlignment="1" applyProtection="1">
      <alignment horizontal="center" vertical="center"/>
      <protection locked="0"/>
    </xf>
    <xf numFmtId="9" fontId="34" fillId="0" borderId="0" xfId="11" applyFont="1" applyFill="1" applyBorder="1" applyAlignment="1" applyProtection="1">
      <alignment horizontal="center" vertical="center"/>
      <protection locked="0"/>
    </xf>
    <xf numFmtId="0" fontId="21" fillId="3" borderId="28" xfId="0" applyFont="1" applyFill="1" applyBorder="1" applyAlignment="1" applyProtection="1">
      <alignment horizontal="center" vertical="center" wrapText="1"/>
      <protection locked="0"/>
    </xf>
    <xf numFmtId="0" fontId="28" fillId="6" borderId="2" xfId="3" applyFont="1" applyFill="1" applyBorder="1" applyAlignment="1" applyProtection="1">
      <alignment vertical="center" wrapText="1"/>
      <protection locked="0"/>
    </xf>
    <xf numFmtId="0" fontId="28" fillId="6" borderId="15" xfId="3" applyFont="1" applyFill="1" applyBorder="1" applyAlignment="1" applyProtection="1">
      <alignment vertical="center" wrapText="1"/>
      <protection locked="0"/>
    </xf>
    <xf numFmtId="0" fontId="21" fillId="6" borderId="3" xfId="0" applyFont="1" applyFill="1" applyBorder="1" applyAlignment="1" applyProtection="1">
      <alignment horizontal="center" vertical="center" wrapText="1"/>
      <protection locked="0"/>
    </xf>
    <xf numFmtId="0" fontId="19" fillId="6" borderId="1" xfId="3" applyFont="1" applyFill="1" applyBorder="1" applyProtection="1">
      <protection locked="0"/>
    </xf>
    <xf numFmtId="0" fontId="19" fillId="6" borderId="14" xfId="3" applyFont="1" applyFill="1" applyBorder="1" applyProtection="1">
      <protection locked="0"/>
    </xf>
    <xf numFmtId="0" fontId="28" fillId="6" borderId="1" xfId="3" applyFont="1" applyFill="1" applyBorder="1" applyAlignment="1" applyProtection="1">
      <alignment vertical="center" wrapText="1"/>
      <protection locked="0"/>
    </xf>
    <xf numFmtId="0" fontId="28" fillId="6" borderId="14" xfId="3" applyFont="1" applyFill="1" applyBorder="1" applyAlignment="1" applyProtection="1">
      <alignment vertical="center" wrapText="1"/>
      <protection locked="0"/>
    </xf>
    <xf numFmtId="0" fontId="26" fillId="0" borderId="50" xfId="3" applyFont="1" applyBorder="1" applyAlignment="1" applyProtection="1">
      <alignment horizontal="center" vertical="center" wrapText="1"/>
      <protection locked="0"/>
    </xf>
    <xf numFmtId="0" fontId="21" fillId="0" borderId="1" xfId="7" applyFont="1" applyFill="1" applyBorder="1" applyAlignment="1" applyProtection="1">
      <alignment horizontal="center" vertical="center"/>
    </xf>
    <xf numFmtId="0" fontId="9" fillId="0" borderId="1" xfId="0" applyFont="1" applyBorder="1" applyAlignment="1" applyProtection="1">
      <alignment horizontal="left" vertical="center" wrapText="1"/>
      <protection locked="0"/>
    </xf>
    <xf numFmtId="0" fontId="9" fillId="0" borderId="1" xfId="3" applyFont="1" applyBorder="1" applyAlignment="1" applyProtection="1">
      <alignment horizontal="left" vertical="center" wrapText="1"/>
      <protection locked="0"/>
    </xf>
    <xf numFmtId="0" fontId="9" fillId="0" borderId="3" xfId="3" applyFont="1" applyBorder="1" applyAlignment="1" applyProtection="1">
      <alignment horizontal="left" vertical="center" wrapText="1"/>
      <protection locked="0"/>
    </xf>
    <xf numFmtId="0" fontId="9" fillId="0" borderId="2" xfId="3" applyFont="1" applyBorder="1" applyAlignment="1" applyProtection="1">
      <alignment horizontal="left" vertical="center" wrapText="1"/>
      <protection locked="0"/>
    </xf>
    <xf numFmtId="0" fontId="9" fillId="6" borderId="1" xfId="3" applyFont="1" applyFill="1" applyBorder="1" applyAlignment="1" applyProtection="1">
      <alignment vertical="center" wrapText="1"/>
      <protection locked="0"/>
    </xf>
    <xf numFmtId="0" fontId="9" fillId="9" borderId="1" xfId="10" applyFont="1" applyFill="1" applyBorder="1" applyAlignment="1" applyProtection="1">
      <alignment horizontal="center" vertical="center"/>
      <protection locked="0"/>
    </xf>
    <xf numFmtId="0" fontId="9" fillId="9" borderId="10" xfId="10" applyFont="1" applyFill="1" applyBorder="1" applyAlignment="1" applyProtection="1">
      <alignment horizontal="center" vertical="center"/>
      <protection locked="0"/>
    </xf>
    <xf numFmtId="164" fontId="9" fillId="9" borderId="3" xfId="10" applyNumberFormat="1" applyFont="1" applyFill="1" applyBorder="1" applyAlignment="1" applyProtection="1">
      <alignment horizontal="center" vertical="center"/>
      <protection locked="0"/>
    </xf>
    <xf numFmtId="164" fontId="9" fillId="9" borderId="1" xfId="10" applyNumberFormat="1" applyFont="1" applyFill="1" applyBorder="1" applyAlignment="1" applyProtection="1">
      <alignment horizontal="center" vertical="center"/>
      <protection locked="0"/>
    </xf>
    <xf numFmtId="164" fontId="9" fillId="9" borderId="10" xfId="10" applyNumberFormat="1" applyFont="1" applyFill="1" applyBorder="1" applyAlignment="1" applyProtection="1">
      <alignment horizontal="center" vertical="center"/>
      <protection locked="0"/>
    </xf>
    <xf numFmtId="0" fontId="19" fillId="0" borderId="6" xfId="2" applyFont="1" applyBorder="1" applyAlignment="1">
      <alignment horizontal="center" vertical="center"/>
    </xf>
    <xf numFmtId="0" fontId="37" fillId="0" borderId="1" xfId="2" applyFont="1" applyBorder="1" applyAlignment="1">
      <alignment horizontal="center" vertical="center" wrapText="1"/>
    </xf>
    <xf numFmtId="0" fontId="19" fillId="0" borderId="68" xfId="0" applyFont="1" applyBorder="1" applyAlignment="1" applyProtection="1">
      <alignment horizontal="left" vertical="center" wrapText="1"/>
      <protection locked="0"/>
    </xf>
    <xf numFmtId="0" fontId="19" fillId="6" borderId="68" xfId="3" applyFont="1" applyFill="1" applyBorder="1" applyAlignment="1" applyProtection="1">
      <alignment horizontal="left" vertical="center" wrapText="1"/>
      <protection locked="0"/>
    </xf>
    <xf numFmtId="0" fontId="9" fillId="0" borderId="0" xfId="0" applyFont="1" applyAlignment="1" applyProtection="1">
      <alignment horizontal="left" vertical="center"/>
      <protection locked="0"/>
    </xf>
    <xf numFmtId="0" fontId="22" fillId="6" borderId="19" xfId="2" applyFont="1" applyFill="1" applyBorder="1" applyAlignment="1" applyProtection="1">
      <alignment horizontal="center" vertical="center"/>
      <protection locked="0"/>
    </xf>
    <xf numFmtId="0" fontId="19" fillId="12" borderId="17" xfId="0" applyFont="1" applyFill="1" applyBorder="1" applyAlignment="1" applyProtection="1">
      <alignment horizontal="left" vertical="center" wrapText="1"/>
      <protection locked="0"/>
    </xf>
    <xf numFmtId="0" fontId="19" fillId="6" borderId="17" xfId="0" applyFont="1" applyFill="1" applyBorder="1" applyAlignment="1" applyProtection="1">
      <alignment horizontal="left" vertical="center" wrapText="1"/>
      <protection locked="0"/>
    </xf>
    <xf numFmtId="0" fontId="22" fillId="6" borderId="68" xfId="3" applyFont="1" applyFill="1" applyBorder="1" applyAlignment="1" applyProtection="1">
      <alignment horizontal="left" vertical="center" wrapText="1"/>
      <protection locked="0"/>
    </xf>
    <xf numFmtId="49" fontId="55" fillId="0" borderId="39" xfId="0" applyNumberFormat="1" applyFont="1" applyBorder="1" applyAlignment="1">
      <alignment vertical="center" wrapText="1"/>
    </xf>
    <xf numFmtId="9" fontId="72" fillId="0" borderId="0" xfId="11" applyFont="1" applyFill="1" applyAlignment="1" applyProtection="1">
      <alignment horizontal="center" vertical="center"/>
      <protection locked="0"/>
    </xf>
    <xf numFmtId="0" fontId="66" fillId="0" borderId="7" xfId="2" applyFont="1" applyBorder="1" applyAlignment="1" applyProtection="1">
      <alignment horizontal="center" vertical="center"/>
      <protection locked="0"/>
    </xf>
    <xf numFmtId="0" fontId="66" fillId="0" borderId="17" xfId="2" applyFont="1" applyBorder="1" applyAlignment="1" applyProtection="1">
      <alignment horizontal="center" vertical="center"/>
      <protection locked="0"/>
    </xf>
    <xf numFmtId="0" fontId="66" fillId="0" borderId="50" xfId="3" applyFont="1" applyBorder="1" applyAlignment="1" applyProtection="1">
      <alignment horizontal="left" vertical="center" wrapText="1"/>
      <protection locked="0"/>
    </xf>
    <xf numFmtId="0" fontId="66" fillId="0" borderId="0" xfId="0" applyFont="1" applyAlignment="1" applyProtection="1">
      <alignment horizontal="center" vertical="center"/>
      <protection locked="0"/>
    </xf>
    <xf numFmtId="0" fontId="66" fillId="0" borderId="0" xfId="3" applyFont="1" applyProtection="1">
      <protection locked="0"/>
    </xf>
    <xf numFmtId="0" fontId="66" fillId="0" borderId="0" xfId="0" applyFont="1" applyProtection="1">
      <protection locked="0"/>
    </xf>
    <xf numFmtId="0" fontId="27" fillId="0" borderId="1" xfId="3" applyFont="1" applyBorder="1" applyAlignment="1" applyProtection="1">
      <alignment vertical="center" wrapText="1"/>
      <protection locked="0"/>
    </xf>
    <xf numFmtId="0" fontId="26" fillId="6" borderId="14" xfId="0" applyFont="1" applyFill="1" applyBorder="1" applyAlignment="1" applyProtection="1">
      <alignment horizontal="left" vertical="center" wrapText="1"/>
      <protection locked="0"/>
    </xf>
    <xf numFmtId="0" fontId="22" fillId="6" borderId="3" xfId="2" applyFont="1" applyFill="1" applyBorder="1" applyAlignment="1" applyProtection="1">
      <alignment horizontal="center" vertical="center" wrapText="1"/>
      <protection locked="0"/>
    </xf>
    <xf numFmtId="0" fontId="22" fillId="6" borderId="14" xfId="3" applyFont="1" applyFill="1" applyBorder="1" applyAlignment="1" applyProtection="1">
      <alignment horizontal="left" vertical="center" wrapText="1"/>
      <protection locked="0"/>
    </xf>
    <xf numFmtId="0" fontId="21" fillId="6" borderId="3" xfId="14" applyFont="1" applyFill="1" applyBorder="1" applyAlignment="1" applyProtection="1">
      <alignment horizontal="center" vertical="center" wrapText="1"/>
      <protection locked="0"/>
    </xf>
    <xf numFmtId="0" fontId="19" fillId="6" borderId="3" xfId="14" applyFont="1" applyFill="1" applyBorder="1" applyAlignment="1" applyProtection="1">
      <alignment horizontal="center" vertical="center" wrapText="1"/>
      <protection locked="0"/>
    </xf>
    <xf numFmtId="0" fontId="67" fillId="6" borderId="14" xfId="3" applyFont="1" applyFill="1" applyBorder="1" applyAlignment="1" applyProtection="1">
      <alignment horizontal="left" vertical="center" wrapText="1"/>
      <protection locked="0"/>
    </xf>
    <xf numFmtId="0" fontId="30" fillId="12" borderId="14" xfId="0" applyFont="1" applyFill="1" applyBorder="1" applyAlignment="1" applyProtection="1">
      <alignment horizontal="left" vertical="center" wrapText="1"/>
      <protection locked="0"/>
    </xf>
    <xf numFmtId="0" fontId="26" fillId="12" borderId="14" xfId="0" applyFont="1" applyFill="1" applyBorder="1" applyAlignment="1" applyProtection="1">
      <alignment horizontal="left" vertical="center" wrapText="1"/>
      <protection locked="0"/>
    </xf>
    <xf numFmtId="0" fontId="37" fillId="0" borderId="3" xfId="0" applyFont="1" applyBorder="1" applyAlignment="1">
      <alignment horizontal="center" vertical="center" wrapText="1"/>
    </xf>
    <xf numFmtId="0" fontId="18" fillId="0" borderId="1" xfId="3" applyFont="1" applyBorder="1" applyAlignment="1">
      <alignment vertical="top" wrapText="1"/>
    </xf>
    <xf numFmtId="0" fontId="66" fillId="6" borderId="1" xfId="2" applyFont="1" applyFill="1" applyBorder="1" applyAlignment="1" applyProtection="1">
      <alignment horizontal="center" vertical="center" wrapText="1"/>
      <protection locked="0"/>
    </xf>
    <xf numFmtId="0" fontId="19" fillId="6" borderId="14" xfId="2" applyFont="1" applyFill="1" applyBorder="1" applyAlignment="1" applyProtection="1">
      <alignment horizontal="left" vertical="center" wrapText="1"/>
      <protection locked="0"/>
    </xf>
    <xf numFmtId="0" fontId="19" fillId="12" borderId="3" xfId="0" applyFont="1" applyFill="1" applyBorder="1" applyAlignment="1" applyProtection="1">
      <alignment horizontal="center" vertical="center" wrapText="1"/>
      <protection locked="0"/>
    </xf>
    <xf numFmtId="0" fontId="19" fillId="6" borderId="49" xfId="3" applyFont="1" applyFill="1" applyBorder="1" applyAlignment="1" applyProtection="1">
      <alignment horizontal="left" vertical="center" wrapText="1"/>
      <protection locked="0"/>
    </xf>
    <xf numFmtId="0" fontId="28" fillId="9" borderId="36" xfId="3" applyFont="1" applyFill="1" applyBorder="1" applyAlignment="1" applyProtection="1">
      <alignment horizontal="left" vertical="center" wrapText="1"/>
      <protection locked="0"/>
    </xf>
    <xf numFmtId="49" fontId="55" fillId="0" borderId="39" xfId="0" applyNumberFormat="1" applyFont="1" applyBorder="1" applyAlignment="1">
      <alignment horizontal="left" vertical="center" wrapText="1"/>
    </xf>
    <xf numFmtId="0" fontId="19" fillId="6" borderId="2" xfId="0" applyFont="1" applyFill="1" applyBorder="1" applyAlignment="1" applyProtection="1">
      <alignment horizontal="center" vertical="center" wrapText="1"/>
      <protection locked="0"/>
    </xf>
    <xf numFmtId="0" fontId="18" fillId="0" borderId="49" xfId="2" applyFont="1" applyBorder="1" applyAlignment="1">
      <alignment horizontal="left" vertical="center" wrapText="1"/>
    </xf>
    <xf numFmtId="0" fontId="19" fillId="0" borderId="68" xfId="3" applyFont="1" applyBorder="1" applyAlignment="1" applyProtection="1">
      <alignment horizontal="center" vertical="center" wrapText="1"/>
      <protection locked="0"/>
    </xf>
    <xf numFmtId="9" fontId="34" fillId="0" borderId="0" xfId="11" applyFont="1" applyFill="1" applyAlignment="1" applyProtection="1">
      <alignment horizontal="center" vertical="center" wrapText="1"/>
    </xf>
    <xf numFmtId="0" fontId="28" fillId="0" borderId="37" xfId="3" applyFont="1" applyBorder="1" applyAlignment="1" applyProtection="1">
      <alignment horizontal="left" vertical="center" wrapText="1"/>
      <protection locked="0"/>
    </xf>
    <xf numFmtId="0" fontId="8" fillId="6" borderId="1" xfId="3" applyFont="1" applyFill="1" applyBorder="1" applyAlignment="1" applyProtection="1">
      <alignment vertical="center" wrapText="1"/>
      <protection locked="0"/>
    </xf>
    <xf numFmtId="0" fontId="29" fillId="0" borderId="17" xfId="3" applyFont="1" applyBorder="1" applyAlignment="1">
      <alignment horizontal="center" vertical="center" wrapText="1"/>
    </xf>
    <xf numFmtId="0" fontId="74" fillId="0" borderId="3" xfId="2" applyFont="1" applyBorder="1" applyAlignment="1">
      <alignment horizontal="center" vertical="center"/>
    </xf>
    <xf numFmtId="0" fontId="66" fillId="0" borderId="3" xfId="2" applyFont="1" applyBorder="1" applyAlignment="1">
      <alignment horizontal="center" vertical="center"/>
    </xf>
    <xf numFmtId="0" fontId="66" fillId="0" borderId="49" xfId="0" applyFont="1" applyBorder="1" applyAlignment="1">
      <alignment wrapText="1"/>
    </xf>
    <xf numFmtId="0" fontId="66" fillId="0" borderId="17" xfId="2" applyFont="1" applyBorder="1" applyAlignment="1">
      <alignment horizontal="left" vertical="center" wrapText="1"/>
    </xf>
    <xf numFmtId="0" fontId="71" fillId="0" borderId="17" xfId="3" applyFont="1" applyBorder="1" applyAlignment="1">
      <alignment horizontal="left" vertical="center" wrapText="1"/>
    </xf>
    <xf numFmtId="0" fontId="19" fillId="0" borderId="2" xfId="0" applyFont="1" applyBorder="1" applyAlignment="1">
      <alignment horizontal="left" vertical="center" wrapText="1"/>
    </xf>
    <xf numFmtId="0" fontId="27" fillId="0" borderId="14" xfId="3" applyFont="1" applyBorder="1" applyAlignment="1">
      <alignment horizontal="left" vertical="center" wrapText="1"/>
    </xf>
    <xf numFmtId="0" fontId="79" fillId="0" borderId="1" xfId="2" applyFont="1" applyBorder="1" applyAlignment="1">
      <alignment horizontal="center" vertical="center" wrapText="1"/>
    </xf>
    <xf numFmtId="0" fontId="19" fillId="0" borderId="2" xfId="14" applyFont="1" applyBorder="1" applyAlignment="1">
      <alignment horizontal="center" vertical="center" wrapText="1"/>
    </xf>
    <xf numFmtId="0" fontId="19" fillId="0" borderId="2" xfId="3" applyFont="1" applyBorder="1" applyAlignment="1">
      <alignment horizontal="center" vertical="center" wrapText="1"/>
    </xf>
    <xf numFmtId="0" fontId="19" fillId="0" borderId="15" xfId="3" applyFont="1" applyBorder="1" applyAlignment="1">
      <alignment horizontal="left" vertical="center" wrapText="1"/>
    </xf>
    <xf numFmtId="0" fontId="9" fillId="4" borderId="1" xfId="0" applyFont="1" applyFill="1" applyBorder="1" applyAlignment="1">
      <alignment horizontal="left" vertical="center" wrapText="1"/>
    </xf>
    <xf numFmtId="0" fontId="65" fillId="12" borderId="1" xfId="0" applyFont="1" applyFill="1" applyBorder="1" applyAlignment="1" applyProtection="1">
      <alignment horizontal="center" vertical="center"/>
      <protection locked="0"/>
    </xf>
    <xf numFmtId="0" fontId="77" fillId="12"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9" fillId="0" borderId="49" xfId="3" applyFont="1" applyBorder="1" applyAlignment="1">
      <alignment horizontal="left" vertical="center" wrapText="1"/>
    </xf>
    <xf numFmtId="0" fontId="21" fillId="0" borderId="3" xfId="2" applyFont="1" applyBorder="1" applyAlignment="1">
      <alignment horizontal="center" vertical="center" wrapText="1"/>
    </xf>
    <xf numFmtId="0" fontId="23" fillId="0" borderId="1" xfId="3" applyFont="1" applyBorder="1" applyAlignment="1">
      <alignment horizontal="left" vertical="center" wrapText="1"/>
    </xf>
    <xf numFmtId="0" fontId="40" fillId="0" borderId="49" xfId="0" applyFont="1" applyBorder="1" applyAlignment="1">
      <alignment horizontal="center" vertical="center"/>
    </xf>
    <xf numFmtId="0" fontId="9" fillId="0" borderId="49" xfId="0" applyFont="1" applyBorder="1" applyAlignment="1">
      <alignment horizontal="center" vertical="center"/>
    </xf>
    <xf numFmtId="0" fontId="9" fillId="0" borderId="49" xfId="0" applyFont="1" applyBorder="1" applyAlignment="1">
      <alignment vertical="center" wrapText="1"/>
    </xf>
    <xf numFmtId="0" fontId="19" fillId="0" borderId="49" xfId="0" applyFont="1" applyBorder="1" applyAlignment="1">
      <alignment vertical="center" wrapText="1"/>
    </xf>
    <xf numFmtId="0" fontId="19" fillId="0" borderId="49" xfId="0" applyFont="1" applyBorder="1" applyAlignment="1">
      <alignment horizontal="center" vertical="center" wrapText="1"/>
    </xf>
    <xf numFmtId="0" fontId="21" fillId="0" borderId="1" xfId="0" applyFont="1" applyBorder="1" applyAlignment="1">
      <alignment horizontal="center" vertical="center"/>
    </xf>
    <xf numFmtId="0" fontId="19" fillId="0" borderId="1" xfId="0" applyFont="1" applyBorder="1" applyAlignment="1">
      <alignment horizontal="center" vertical="center"/>
    </xf>
    <xf numFmtId="0" fontId="19" fillId="0" borderId="14" xfId="0" applyFont="1" applyBorder="1" applyAlignment="1">
      <alignment vertical="center"/>
    </xf>
    <xf numFmtId="0" fontId="23" fillId="0" borderId="14" xfId="3" applyFont="1" applyBorder="1" applyAlignment="1">
      <alignment horizontal="left" vertical="center" wrapText="1"/>
    </xf>
    <xf numFmtId="0" fontId="19" fillId="0" borderId="49" xfId="3" applyFont="1" applyBorder="1" applyAlignment="1">
      <alignment vertical="center" wrapText="1"/>
    </xf>
    <xf numFmtId="0" fontId="19" fillId="0" borderId="60" xfId="3" applyFont="1" applyBorder="1" applyAlignment="1">
      <alignment horizontal="left" vertical="center" wrapText="1"/>
    </xf>
    <xf numFmtId="0" fontId="19" fillId="0" borderId="15" xfId="0" applyFont="1" applyBorder="1" applyAlignment="1">
      <alignment horizontal="left" vertical="center" wrapText="1"/>
    </xf>
    <xf numFmtId="0" fontId="22" fillId="0" borderId="49" xfId="3" applyFont="1" applyBorder="1" applyAlignment="1">
      <alignment horizontal="left" vertical="center" wrapText="1"/>
    </xf>
    <xf numFmtId="0" fontId="70"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21" fillId="0" borderId="49" xfId="0" applyFont="1" applyBorder="1" applyAlignment="1">
      <alignment horizontal="center" vertical="center"/>
    </xf>
    <xf numFmtId="0" fontId="19" fillId="0" borderId="49" xfId="0" applyFont="1" applyBorder="1" applyAlignment="1">
      <alignment horizontal="center" vertical="center"/>
    </xf>
    <xf numFmtId="0" fontId="66" fillId="0" borderId="2" xfId="2" applyFont="1" applyBorder="1" applyAlignment="1">
      <alignment horizontal="center" vertical="center" wrapText="1"/>
    </xf>
    <xf numFmtId="0" fontId="19" fillId="0" borderId="0" xfId="3" applyFont="1"/>
    <xf numFmtId="0" fontId="19" fillId="6" borderId="49" xfId="0" applyFont="1" applyFill="1" applyBorder="1" applyAlignment="1" applyProtection="1">
      <alignment horizontal="center" vertical="center" wrapText="1"/>
      <protection locked="0"/>
    </xf>
    <xf numFmtId="0" fontId="66" fillId="6" borderId="2" xfId="2" applyFont="1" applyFill="1" applyBorder="1" applyAlignment="1" applyProtection="1">
      <alignment horizontal="center" vertical="center" wrapText="1"/>
      <protection locked="0"/>
    </xf>
    <xf numFmtId="0" fontId="61" fillId="4" borderId="1" xfId="0" applyFont="1" applyFill="1" applyBorder="1" applyAlignment="1" applyProtection="1">
      <alignment horizontal="center" vertical="center" wrapText="1"/>
      <protection locked="0"/>
    </xf>
    <xf numFmtId="0" fontId="60" fillId="4" borderId="1" xfId="0" applyFont="1" applyFill="1" applyBorder="1" applyAlignment="1" applyProtection="1">
      <alignment horizontal="center" vertical="center" wrapText="1"/>
      <protection locked="0"/>
    </xf>
    <xf numFmtId="49" fontId="60" fillId="4" borderId="39" xfId="0" applyNumberFormat="1" applyFont="1" applyFill="1" applyBorder="1" applyAlignment="1" applyProtection="1">
      <alignment horizontal="left" vertical="center" wrapText="1"/>
      <protection locked="0"/>
    </xf>
    <xf numFmtId="0" fontId="60" fillId="4" borderId="3" xfId="2" applyFont="1" applyFill="1" applyBorder="1" applyAlignment="1" applyProtection="1">
      <alignment horizontal="center" vertical="center" wrapText="1"/>
      <protection locked="0"/>
    </xf>
    <xf numFmtId="49" fontId="55" fillId="0" borderId="39" xfId="0" applyNumberFormat="1" applyFont="1" applyBorder="1" applyAlignment="1" applyProtection="1">
      <alignment horizontal="left" vertical="center" wrapText="1"/>
      <protection locked="0"/>
    </xf>
    <xf numFmtId="0" fontId="60" fillId="4" borderId="1" xfId="2" applyFont="1" applyFill="1" applyBorder="1" applyAlignment="1" applyProtection="1">
      <alignment horizontal="center" vertical="center" wrapText="1"/>
      <protection locked="0"/>
    </xf>
    <xf numFmtId="0" fontId="21" fillId="0" borderId="0" xfId="3" applyFont="1" applyAlignment="1">
      <alignment horizontal="center" vertical="center"/>
    </xf>
    <xf numFmtId="0" fontId="61" fillId="0" borderId="0" xfId="3" applyFont="1" applyAlignment="1">
      <alignment horizontal="center" vertical="center" wrapText="1"/>
    </xf>
    <xf numFmtId="0" fontId="19" fillId="0" borderId="0" xfId="0" applyFont="1" applyAlignment="1">
      <alignment horizontal="center" vertical="center"/>
    </xf>
    <xf numFmtId="0" fontId="19" fillId="0" borderId="0" xfId="0" applyFont="1"/>
    <xf numFmtId="0" fontId="21" fillId="0" borderId="0" xfId="3" applyFont="1" applyAlignment="1">
      <alignment horizontal="center" vertical="center" wrapText="1"/>
    </xf>
    <xf numFmtId="0" fontId="74" fillId="0" borderId="0" xfId="3" applyFont="1" applyAlignment="1">
      <alignment horizontal="center" vertical="center"/>
    </xf>
    <xf numFmtId="0" fontId="21" fillId="0" borderId="0" xfId="0" applyFont="1" applyAlignment="1">
      <alignment horizontal="center" vertical="center"/>
    </xf>
    <xf numFmtId="2" fontId="19" fillId="0" borderId="0" xfId="0" applyNumberFormat="1" applyFont="1" applyProtection="1">
      <protection locked="0"/>
    </xf>
    <xf numFmtId="2" fontId="38" fillId="0" borderId="34" xfId="0" applyNumberFormat="1" applyFont="1" applyBorder="1" applyAlignment="1" applyProtection="1">
      <alignment horizontal="right" vertical="center"/>
      <protection locked="0"/>
    </xf>
    <xf numFmtId="2" fontId="38" fillId="0" borderId="65" xfId="0" applyNumberFormat="1" applyFont="1" applyBorder="1" applyAlignment="1" applyProtection="1">
      <alignment horizontal="right" vertical="center"/>
      <protection locked="0"/>
    </xf>
    <xf numFmtId="2" fontId="38" fillId="0" borderId="11" xfId="0" applyNumberFormat="1" applyFont="1" applyBorder="1" applyAlignment="1" applyProtection="1">
      <alignment horizontal="right" vertical="center"/>
      <protection locked="0"/>
    </xf>
    <xf numFmtId="165" fontId="63" fillId="0" borderId="0" xfId="0" applyNumberFormat="1" applyFont="1" applyAlignment="1">
      <alignment horizontal="center" vertical="center" wrapText="1"/>
    </xf>
    <xf numFmtId="165" fontId="72" fillId="0" borderId="0" xfId="0" applyNumberFormat="1" applyFont="1" applyAlignment="1">
      <alignment horizontal="center" vertical="center"/>
    </xf>
    <xf numFmtId="0" fontId="19" fillId="0" borderId="1" xfId="2" applyFont="1" applyBorder="1" applyAlignment="1">
      <alignment horizontal="left" vertical="center" wrapText="1"/>
    </xf>
    <xf numFmtId="49" fontId="55" fillId="4" borderId="39" xfId="0" applyNumberFormat="1" applyFont="1" applyFill="1" applyBorder="1" applyAlignment="1">
      <alignment vertical="center" wrapText="1"/>
    </xf>
    <xf numFmtId="0" fontId="60" fillId="4" borderId="1" xfId="2" applyFont="1" applyFill="1" applyBorder="1" applyAlignment="1">
      <alignment horizontal="left" vertical="center" wrapText="1"/>
    </xf>
    <xf numFmtId="0" fontId="19" fillId="0" borderId="2" xfId="2" applyFont="1" applyBorder="1" applyAlignment="1">
      <alignment horizontal="left" vertical="center" wrapText="1"/>
    </xf>
    <xf numFmtId="0" fontId="19" fillId="6" borderId="1" xfId="0" applyFont="1" applyFill="1" applyBorder="1" applyAlignment="1" applyProtection="1">
      <alignment horizontal="left" wrapText="1"/>
      <protection locked="0"/>
    </xf>
    <xf numFmtId="0" fontId="19" fillId="6" borderId="13" xfId="2" applyFont="1" applyFill="1" applyBorder="1" applyAlignment="1" applyProtection="1">
      <alignment horizontal="left" vertical="center" wrapText="1"/>
      <protection locked="0"/>
    </xf>
    <xf numFmtId="0" fontId="19" fillId="0" borderId="3" xfId="3" applyFont="1" applyBorder="1" applyAlignment="1">
      <alignment horizontal="left" wrapText="1"/>
    </xf>
    <xf numFmtId="0" fontId="19" fillId="0" borderId="3" xfId="2" applyFont="1" applyBorder="1" applyAlignment="1" applyProtection="1">
      <alignment horizontal="left" vertical="center" wrapText="1"/>
      <protection locked="0"/>
    </xf>
    <xf numFmtId="0" fontId="19" fillId="6" borderId="1" xfId="2" applyFont="1" applyFill="1" applyBorder="1" applyAlignment="1" applyProtection="1">
      <alignment horizontal="left" vertical="center" wrapText="1"/>
      <protection locked="0"/>
    </xf>
    <xf numFmtId="0" fontId="19" fillId="6" borderId="3" xfId="2" applyFont="1" applyFill="1" applyBorder="1" applyAlignment="1" applyProtection="1">
      <alignment horizontal="left" vertical="center" wrapText="1"/>
      <protection locked="0"/>
    </xf>
    <xf numFmtId="0" fontId="19" fillId="0" borderId="1" xfId="3" applyFont="1" applyBorder="1" applyAlignment="1">
      <alignment vertical="top" wrapText="1"/>
    </xf>
    <xf numFmtId="0" fontId="19" fillId="0" borderId="0" xfId="0" applyFont="1" applyAlignment="1">
      <alignment horizontal="left" vertical="center" wrapText="1"/>
    </xf>
    <xf numFmtId="0" fontId="7" fillId="0" borderId="1" xfId="3" applyFont="1" applyBorder="1" applyAlignment="1" applyProtection="1">
      <alignment horizontal="left" vertical="center" wrapText="1"/>
      <protection locked="0"/>
    </xf>
    <xf numFmtId="0" fontId="41" fillId="0" borderId="69" xfId="0" applyFont="1" applyBorder="1" applyAlignment="1">
      <alignment vertical="center" wrapText="1"/>
    </xf>
    <xf numFmtId="0" fontId="41" fillId="0" borderId="1" xfId="0" applyFont="1" applyBorder="1" applyAlignment="1" applyProtection="1">
      <alignment horizontal="left" vertical="center" wrapText="1"/>
      <protection locked="0"/>
    </xf>
    <xf numFmtId="0" fontId="19" fillId="7" borderId="1" xfId="0" applyFont="1" applyFill="1" applyBorder="1" applyAlignment="1" applyProtection="1">
      <alignment horizontal="left" vertical="center" wrapText="1"/>
      <protection locked="0"/>
    </xf>
    <xf numFmtId="0" fontId="7" fillId="0" borderId="3" xfId="3" applyFont="1" applyBorder="1" applyAlignment="1" applyProtection="1">
      <alignment horizontal="left" vertical="center" wrapText="1"/>
      <protection locked="0"/>
    </xf>
    <xf numFmtId="0" fontId="7" fillId="6" borderId="1" xfId="3" applyFont="1" applyFill="1" applyBorder="1" applyAlignment="1" applyProtection="1">
      <alignment vertical="center" wrapText="1"/>
      <protection locked="0"/>
    </xf>
    <xf numFmtId="0" fontId="19" fillId="6" borderId="2" xfId="2" applyFont="1" applyFill="1" applyBorder="1" applyAlignment="1" applyProtection="1">
      <alignment horizontal="left" vertical="center" wrapText="1"/>
      <protection locked="0"/>
    </xf>
    <xf numFmtId="0" fontId="19" fillId="0" borderId="45" xfId="2" applyFont="1" applyBorder="1" applyAlignment="1">
      <alignment horizontal="left" vertical="center" wrapText="1"/>
    </xf>
    <xf numFmtId="49" fontId="55" fillId="4" borderId="39" xfId="0" applyNumberFormat="1" applyFont="1" applyFill="1" applyBorder="1" applyAlignment="1">
      <alignment horizontal="left" vertical="center" wrapText="1"/>
    </xf>
    <xf numFmtId="0" fontId="9" fillId="9" borderId="60" xfId="10" applyFont="1" applyFill="1" applyBorder="1" applyAlignment="1" applyProtection="1">
      <alignment horizontal="center" vertical="center"/>
      <protection locked="0"/>
    </xf>
    <xf numFmtId="0" fontId="9" fillId="9" borderId="14" xfId="10" applyFont="1" applyFill="1" applyBorder="1" applyAlignment="1" applyProtection="1">
      <alignment horizontal="center" vertical="center"/>
      <protection locked="0"/>
    </xf>
    <xf numFmtId="0" fontId="9" fillId="9" borderId="18" xfId="10" applyFont="1" applyFill="1" applyBorder="1" applyAlignment="1" applyProtection="1">
      <alignment horizontal="center" vertical="center"/>
      <protection locked="0"/>
    </xf>
    <xf numFmtId="9" fontId="34" fillId="0" borderId="13" xfId="11" applyFont="1" applyBorder="1" applyAlignment="1" applyProtection="1">
      <alignment horizontal="center" vertical="center" wrapText="1"/>
    </xf>
    <xf numFmtId="9" fontId="34" fillId="0" borderId="2" xfId="11" applyFont="1" applyBorder="1" applyAlignment="1" applyProtection="1">
      <alignment horizontal="center" vertical="center" wrapText="1"/>
    </xf>
    <xf numFmtId="9" fontId="34" fillId="0" borderId="10" xfId="11" applyFont="1" applyBorder="1" applyAlignment="1" applyProtection="1">
      <alignment horizontal="center" vertical="center" wrapText="1"/>
    </xf>
    <xf numFmtId="9" fontId="34" fillId="0" borderId="76" xfId="11" applyFont="1" applyBorder="1" applyAlignment="1" applyProtection="1">
      <alignment horizontal="center" vertical="center" wrapText="1"/>
    </xf>
    <xf numFmtId="0" fontId="7" fillId="9" borderId="1" xfId="16" applyFill="1" applyBorder="1" applyAlignment="1" applyProtection="1">
      <alignment horizontal="center" vertical="center"/>
      <protection locked="0"/>
    </xf>
    <xf numFmtId="0" fontId="7" fillId="9" borderId="1" xfId="16" applyFill="1" applyBorder="1" applyAlignment="1" applyProtection="1">
      <alignment horizontal="center" vertical="center" wrapText="1"/>
      <protection locked="0"/>
    </xf>
    <xf numFmtId="0" fontId="7" fillId="9" borderId="14" xfId="16" applyFill="1" applyBorder="1" applyAlignment="1" applyProtection="1">
      <alignment horizontal="center" vertical="center" wrapText="1"/>
      <protection locked="0"/>
    </xf>
    <xf numFmtId="2" fontId="7" fillId="9" borderId="70" xfId="16" applyNumberFormat="1" applyFill="1" applyBorder="1" applyAlignment="1" applyProtection="1">
      <alignment horizontal="center" vertical="center" wrapText="1"/>
      <protection locked="0"/>
    </xf>
    <xf numFmtId="0" fontId="13" fillId="0" borderId="22" xfId="10" applyBorder="1"/>
    <xf numFmtId="0" fontId="13" fillId="0" borderId="25" xfId="10" applyBorder="1"/>
    <xf numFmtId="0" fontId="13" fillId="0" borderId="25" xfId="10" applyBorder="1" applyAlignment="1">
      <alignment horizontal="left" vertical="center"/>
    </xf>
    <xf numFmtId="0" fontId="13" fillId="0" borderId="23" xfId="10" applyBorder="1"/>
    <xf numFmtId="0" fontId="13" fillId="0" borderId="55" xfId="10" applyBorder="1"/>
    <xf numFmtId="0" fontId="32" fillId="0" borderId="5" xfId="10" applyFont="1" applyBorder="1" applyAlignment="1">
      <alignment horizontal="center"/>
    </xf>
    <xf numFmtId="0" fontId="32" fillId="0" borderId="4" xfId="10" applyFont="1" applyBorder="1" applyAlignment="1">
      <alignment horizontal="center"/>
    </xf>
    <xf numFmtId="0" fontId="32" fillId="0" borderId="16" xfId="10" applyFont="1" applyBorder="1" applyAlignment="1">
      <alignment horizontal="center"/>
    </xf>
    <xf numFmtId="0" fontId="32" fillId="0" borderId="40" xfId="10" applyFont="1" applyBorder="1" applyAlignment="1">
      <alignment horizontal="center" vertical="center"/>
    </xf>
    <xf numFmtId="0" fontId="32" fillId="0" borderId="71" xfId="16" applyFont="1" applyBorder="1" applyAlignment="1">
      <alignment horizontal="center" vertical="center"/>
    </xf>
    <xf numFmtId="0" fontId="32" fillId="0" borderId="34" xfId="10" applyFont="1" applyBorder="1" applyAlignment="1">
      <alignment horizontal="center"/>
    </xf>
    <xf numFmtId="0" fontId="13" fillId="0" borderId="24" xfId="10" applyBorder="1"/>
    <xf numFmtId="0" fontId="33" fillId="0" borderId="44" xfId="10" applyFont="1" applyBorder="1" applyAlignment="1">
      <alignment vertical="center"/>
    </xf>
    <xf numFmtId="0" fontId="33" fillId="0" borderId="46" xfId="10" applyFont="1" applyBorder="1" applyAlignment="1">
      <alignment horizontal="left" vertical="center" wrapText="1"/>
    </xf>
    <xf numFmtId="0" fontId="33" fillId="0" borderId="1" xfId="16" applyFont="1" applyBorder="1" applyAlignment="1">
      <alignment vertical="center" wrapText="1"/>
    </xf>
    <xf numFmtId="0" fontId="33" fillId="0" borderId="45" xfId="10" applyFont="1" applyBorder="1" applyAlignment="1">
      <alignment horizontal="center" vertical="center" wrapText="1"/>
    </xf>
    <xf numFmtId="0" fontId="33" fillId="0" borderId="59" xfId="16" applyFont="1" applyBorder="1" applyAlignment="1">
      <alignment horizontal="center" vertical="center" wrapText="1"/>
    </xf>
    <xf numFmtId="0" fontId="33" fillId="0" borderId="8" xfId="10" applyFont="1" applyBorder="1" applyAlignment="1">
      <alignment vertical="center"/>
    </xf>
    <xf numFmtId="0" fontId="33" fillId="0" borderId="42" xfId="10" applyFont="1" applyBorder="1" applyAlignment="1">
      <alignment horizontal="left" vertical="center" wrapText="1"/>
    </xf>
    <xf numFmtId="0" fontId="33" fillId="0" borderId="1" xfId="10" applyFont="1" applyBorder="1" applyAlignment="1">
      <alignment horizontal="center" vertical="center" wrapText="1"/>
    </xf>
    <xf numFmtId="0" fontId="33" fillId="0" borderId="41" xfId="16" applyFont="1" applyBorder="1" applyAlignment="1">
      <alignment horizontal="center" vertical="center" wrapText="1"/>
    </xf>
    <xf numFmtId="0" fontId="7" fillId="4" borderId="1" xfId="16" applyFill="1" applyBorder="1" applyAlignment="1">
      <alignment horizontal="center" vertical="center"/>
    </xf>
    <xf numFmtId="0" fontId="34" fillId="0" borderId="42" xfId="10" applyFont="1" applyBorder="1" applyAlignment="1">
      <alignment horizontal="left" vertical="center" wrapText="1"/>
    </xf>
    <xf numFmtId="0" fontId="34" fillId="0" borderId="1" xfId="16" applyFont="1" applyBorder="1" applyAlignment="1">
      <alignment vertical="center" wrapText="1"/>
    </xf>
    <xf numFmtId="0" fontId="34" fillId="0" borderId="1" xfId="10" applyFont="1" applyBorder="1" applyAlignment="1">
      <alignment horizontal="center" vertical="center" wrapText="1"/>
    </xf>
    <xf numFmtId="0" fontId="34" fillId="0" borderId="41" xfId="16" applyFont="1" applyBorder="1" applyAlignment="1">
      <alignment horizontal="center" vertical="center" wrapText="1"/>
    </xf>
    <xf numFmtId="0" fontId="9" fillId="0" borderId="22" xfId="10" applyFont="1" applyBorder="1"/>
    <xf numFmtId="0" fontId="35" fillId="0" borderId="8" xfId="10" applyFont="1" applyBorder="1" applyAlignment="1">
      <alignment vertical="center"/>
    </xf>
    <xf numFmtId="0" fontId="34" fillId="0" borderId="42" xfId="12" applyFont="1" applyBorder="1" applyAlignment="1">
      <alignment vertical="center" wrapText="1"/>
    </xf>
    <xf numFmtId="0" fontId="34" fillId="0" borderId="72" xfId="16" applyFont="1" applyBorder="1" applyAlignment="1">
      <alignment vertical="center" wrapText="1"/>
    </xf>
    <xf numFmtId="0" fontId="35" fillId="0" borderId="56" xfId="10" applyFont="1" applyBorder="1" applyAlignment="1">
      <alignment vertical="center"/>
    </xf>
    <xf numFmtId="2" fontId="7" fillId="4" borderId="10" xfId="16" applyNumberFormat="1" applyFill="1" applyBorder="1" applyAlignment="1">
      <alignment horizontal="center" vertical="center"/>
    </xf>
    <xf numFmtId="0" fontId="34" fillId="0" borderId="57" xfId="12" applyFont="1" applyBorder="1" applyAlignment="1">
      <alignment vertical="center" wrapText="1"/>
    </xf>
    <xf numFmtId="0" fontId="34" fillId="0" borderId="73" xfId="16" applyFont="1" applyBorder="1" applyAlignment="1">
      <alignment vertical="center" wrapText="1"/>
    </xf>
    <xf numFmtId="2" fontId="34" fillId="0" borderId="12" xfId="10" applyNumberFormat="1" applyFont="1" applyBorder="1" applyAlignment="1">
      <alignment horizontal="center" vertical="center" wrapText="1"/>
    </xf>
    <xf numFmtId="2" fontId="34" fillId="0" borderId="52" xfId="16" applyNumberFormat="1" applyFont="1" applyBorder="1" applyAlignment="1">
      <alignment horizontal="center" vertical="center" wrapText="1"/>
    </xf>
    <xf numFmtId="0" fontId="33" fillId="0" borderId="7" xfId="10" applyFont="1" applyBorder="1" applyAlignment="1">
      <alignment vertical="center"/>
    </xf>
    <xf numFmtId="0" fontId="33" fillId="0" borderId="58" xfId="10" applyFont="1" applyBorder="1" applyAlignment="1">
      <alignment horizontal="left" vertical="center" wrapText="1"/>
    </xf>
    <xf numFmtId="0" fontId="33" fillId="0" borderId="77" xfId="16" applyFont="1" applyBorder="1" applyAlignment="1">
      <alignment vertical="center" wrapText="1"/>
    </xf>
    <xf numFmtId="0" fontId="33" fillId="0" borderId="3" xfId="10" applyFont="1" applyBorder="1" applyAlignment="1">
      <alignment horizontal="center" vertical="center" wrapText="1"/>
    </xf>
    <xf numFmtId="0" fontId="33" fillId="0" borderId="47" xfId="16" applyFont="1" applyBorder="1" applyAlignment="1">
      <alignment horizontal="center" vertical="center" wrapText="1"/>
    </xf>
    <xf numFmtId="0" fontId="33" fillId="0" borderId="8" xfId="12" applyFont="1" applyBorder="1" applyAlignment="1">
      <alignment horizontal="left" vertical="center"/>
    </xf>
    <xf numFmtId="0" fontId="34" fillId="0" borderId="42" xfId="10" applyFont="1" applyBorder="1" applyAlignment="1">
      <alignment vertical="center" wrapText="1"/>
    </xf>
    <xf numFmtId="0" fontId="34" fillId="0" borderId="78" xfId="16" applyFont="1" applyBorder="1" applyAlignment="1">
      <alignment vertical="center" wrapText="1"/>
    </xf>
    <xf numFmtId="0" fontId="34" fillId="0" borderId="78" xfId="16" applyFont="1" applyBorder="1" applyAlignment="1">
      <alignment wrapText="1"/>
    </xf>
    <xf numFmtId="0" fontId="34" fillId="4" borderId="0" xfId="10" applyFont="1" applyFill="1" applyAlignment="1">
      <alignment wrapText="1"/>
    </xf>
    <xf numFmtId="0" fontId="13" fillId="0" borderId="26" xfId="10" applyBorder="1"/>
    <xf numFmtId="0" fontId="35" fillId="0" borderId="9" xfId="10" applyFont="1" applyBorder="1" applyAlignment="1">
      <alignment vertical="center"/>
    </xf>
    <xf numFmtId="0" fontId="34" fillId="0" borderId="54" xfId="10" applyFont="1" applyBorder="1" applyAlignment="1">
      <alignment horizontal="left" vertical="center" wrapText="1"/>
    </xf>
    <xf numFmtId="0" fontId="34" fillId="0" borderId="74" xfId="16" applyFont="1" applyBorder="1" applyAlignment="1">
      <alignment vertical="center" wrapText="1"/>
    </xf>
    <xf numFmtId="0" fontId="34" fillId="0" borderId="10" xfId="10" applyFont="1" applyBorder="1" applyAlignment="1">
      <alignment horizontal="center" vertical="center" wrapText="1"/>
    </xf>
    <xf numFmtId="0" fontId="34" fillId="0" borderId="48" xfId="16" applyFont="1" applyBorder="1" applyAlignment="1">
      <alignment horizontal="center" vertical="center" wrapText="1"/>
    </xf>
    <xf numFmtId="0" fontId="13" fillId="0" borderId="28" xfId="10" applyBorder="1" applyAlignment="1">
      <alignment wrapText="1"/>
    </xf>
    <xf numFmtId="0" fontId="33" fillId="0" borderId="56" xfId="10" applyFont="1" applyBorder="1" applyAlignment="1">
      <alignment vertical="center"/>
    </xf>
    <xf numFmtId="0" fontId="9" fillId="0" borderId="12" xfId="10" applyFont="1" applyBorder="1" applyAlignment="1">
      <alignment horizontal="center" vertical="center"/>
    </xf>
    <xf numFmtId="0" fontId="9" fillId="0" borderId="70" xfId="10" applyFont="1" applyBorder="1" applyAlignment="1">
      <alignment horizontal="center" vertical="center"/>
    </xf>
    <xf numFmtId="0" fontId="34" fillId="0" borderId="57" xfId="10" applyFont="1" applyBorder="1" applyAlignment="1">
      <alignment horizontal="left" vertical="center" wrapText="1"/>
    </xf>
    <xf numFmtId="0" fontId="34" fillId="4" borderId="73" xfId="16" applyFont="1" applyFill="1" applyBorder="1" applyAlignment="1">
      <alignment vertical="center" wrapText="1"/>
    </xf>
    <xf numFmtId="0" fontId="34" fillId="0" borderId="12" xfId="10" applyFont="1" applyBorder="1" applyAlignment="1">
      <alignment horizontal="center" vertical="center" wrapText="1"/>
    </xf>
    <xf numFmtId="0" fontId="34" fillId="4" borderId="52" xfId="16" applyFont="1" applyFill="1" applyBorder="1" applyAlignment="1">
      <alignment horizontal="center" vertical="center" wrapText="1"/>
    </xf>
    <xf numFmtId="0" fontId="35" fillId="0" borderId="7" xfId="10" applyFont="1" applyBorder="1" applyAlignment="1">
      <alignment horizontal="left" vertical="center" wrapText="1"/>
    </xf>
    <xf numFmtId="164" fontId="7" fillId="0" borderId="45" xfId="16" applyNumberFormat="1" applyBorder="1" applyAlignment="1">
      <alignment horizontal="center" vertical="center"/>
    </xf>
    <xf numFmtId="0" fontId="36" fillId="0" borderId="3" xfId="10" applyFont="1" applyBorder="1" applyAlignment="1">
      <alignment horizontal="left" vertical="center" wrapText="1"/>
    </xf>
    <xf numFmtId="0" fontId="80" fillId="0" borderId="79" xfId="16" applyFont="1" applyBorder="1" applyAlignment="1">
      <alignment vertical="center" wrapText="1"/>
    </xf>
    <xf numFmtId="0" fontId="35" fillId="0" borderId="8" xfId="10" applyFont="1" applyBorder="1" applyAlignment="1">
      <alignment horizontal="left" vertical="center" wrapText="1"/>
    </xf>
    <xf numFmtId="164" fontId="7" fillId="0" borderId="13" xfId="16" applyNumberFormat="1" applyBorder="1" applyAlignment="1">
      <alignment horizontal="center" vertical="center"/>
    </xf>
    <xf numFmtId="0" fontId="36" fillId="0" borderId="1" xfId="10" applyFont="1" applyBorder="1" applyAlignment="1">
      <alignment horizontal="left" vertical="center" wrapText="1"/>
    </xf>
    <xf numFmtId="0" fontId="80" fillId="0" borderId="75" xfId="16" applyFont="1" applyBorder="1" applyAlignment="1">
      <alignment vertical="center" wrapText="1"/>
    </xf>
    <xf numFmtId="0" fontId="35" fillId="0" borderId="9" xfId="10" applyFont="1" applyBorder="1" applyAlignment="1">
      <alignment horizontal="left" vertical="center" wrapText="1"/>
    </xf>
    <xf numFmtId="164" fontId="7" fillId="0" borderId="10" xfId="16" applyNumberFormat="1" applyBorder="1" applyAlignment="1">
      <alignment horizontal="center" vertical="center"/>
    </xf>
    <xf numFmtId="0" fontId="36" fillId="0" borderId="10" xfId="10" applyFont="1" applyBorder="1" applyAlignment="1">
      <alignment horizontal="left" vertical="center" wrapText="1"/>
    </xf>
    <xf numFmtId="0" fontId="80" fillId="0" borderId="74" xfId="16" applyFont="1" applyBorder="1" applyAlignment="1">
      <alignment vertical="center" wrapText="1"/>
    </xf>
    <xf numFmtId="0" fontId="13" fillId="0" borderId="26" xfId="10" applyBorder="1" applyAlignment="1">
      <alignment horizontal="left" vertical="center"/>
    </xf>
    <xf numFmtId="0" fontId="13" fillId="0" borderId="22" xfId="10" applyBorder="1" applyAlignment="1">
      <alignment horizontal="left" vertical="center"/>
    </xf>
    <xf numFmtId="0" fontId="19" fillId="4" borderId="2" xfId="2" applyFont="1" applyFill="1" applyBorder="1" applyAlignment="1">
      <alignment horizontal="left" vertical="center" wrapText="1"/>
    </xf>
    <xf numFmtId="0" fontId="21" fillId="9" borderId="1" xfId="7" applyFont="1" applyFill="1" applyBorder="1" applyAlignment="1" applyProtection="1">
      <alignment horizontal="center" vertical="center"/>
      <protection locked="0"/>
    </xf>
    <xf numFmtId="0" fontId="6" fillId="0" borderId="1" xfId="10" applyFont="1" applyBorder="1" applyAlignment="1">
      <alignment horizontal="center" vertical="center"/>
    </xf>
    <xf numFmtId="0" fontId="9" fillId="9" borderId="45" xfId="10" applyFont="1" applyFill="1" applyBorder="1" applyAlignment="1">
      <alignment horizontal="center" vertical="center"/>
    </xf>
    <xf numFmtId="0" fontId="9" fillId="9" borderId="1" xfId="10" applyFont="1" applyFill="1" applyBorder="1" applyAlignment="1">
      <alignment horizontal="center" vertical="center"/>
    </xf>
    <xf numFmtId="1" fontId="7" fillId="4" borderId="3" xfId="16" applyNumberFormat="1" applyFill="1" applyBorder="1" applyAlignment="1">
      <alignment horizontal="center" vertical="center"/>
    </xf>
    <xf numFmtId="1" fontId="12" fillId="9" borderId="14" xfId="12" applyNumberFormat="1" applyFill="1" applyBorder="1" applyAlignment="1" applyProtection="1">
      <alignment horizontal="center" vertical="center"/>
      <protection locked="0"/>
    </xf>
    <xf numFmtId="1" fontId="9" fillId="9" borderId="14" xfId="10" applyNumberFormat="1" applyFont="1" applyFill="1" applyBorder="1" applyAlignment="1" applyProtection="1">
      <alignment horizontal="center" vertical="center"/>
      <protection locked="0"/>
    </xf>
    <xf numFmtId="3" fontId="34" fillId="0" borderId="1" xfId="12" applyNumberFormat="1" applyFont="1" applyBorder="1" applyAlignment="1">
      <alignment horizontal="center" vertical="center" wrapText="1"/>
    </xf>
    <xf numFmtId="3" fontId="7" fillId="4" borderId="68" xfId="16" applyNumberFormat="1" applyFill="1" applyBorder="1" applyAlignment="1">
      <alignment horizontal="center" vertical="center"/>
    </xf>
    <xf numFmtId="3" fontId="34" fillId="0" borderId="1" xfId="10" applyNumberFormat="1" applyFont="1" applyBorder="1" applyAlignment="1">
      <alignment horizontal="center" vertical="center" wrapText="1"/>
    </xf>
    <xf numFmtId="0" fontId="7" fillId="4" borderId="45" xfId="16" applyFill="1" applyBorder="1" applyAlignment="1">
      <alignment horizontal="center" vertical="center"/>
    </xf>
    <xf numFmtId="0" fontId="9" fillId="9" borderId="17" xfId="10" applyFont="1" applyFill="1" applyBorder="1" applyAlignment="1" applyProtection="1">
      <alignment horizontal="center" vertical="center"/>
      <protection locked="0"/>
    </xf>
    <xf numFmtId="0" fontId="0" fillId="0" borderId="49" xfId="3" applyFont="1" applyBorder="1" applyAlignment="1">
      <alignment horizontal="left" vertical="center" wrapText="1"/>
    </xf>
    <xf numFmtId="0" fontId="5" fillId="0" borderId="1" xfId="0" applyFont="1" applyBorder="1" applyAlignment="1">
      <alignment horizontal="left" vertical="center" wrapText="1"/>
    </xf>
    <xf numFmtId="0" fontId="5" fillId="0" borderId="1" xfId="2" applyFont="1" applyBorder="1" applyAlignment="1">
      <alignment horizontal="left" vertical="center" wrapText="1"/>
    </xf>
    <xf numFmtId="0" fontId="5" fillId="0" borderId="10" xfId="2" applyFont="1" applyBorder="1" applyAlignment="1">
      <alignment horizontal="left" vertical="center" wrapText="1"/>
    </xf>
    <xf numFmtId="0" fontId="5" fillId="0" borderId="0" xfId="0" applyFont="1" applyAlignment="1">
      <alignment horizontal="left" vertical="center" wrapText="1"/>
    </xf>
    <xf numFmtId="0" fontId="5" fillId="0" borderId="1" xfId="3" applyFont="1" applyBorder="1" applyAlignment="1">
      <alignment vertical="center" wrapText="1"/>
    </xf>
    <xf numFmtId="0" fontId="5" fillId="6" borderId="1" xfId="3" applyFont="1" applyFill="1" applyBorder="1" applyAlignment="1" applyProtection="1">
      <alignment vertical="center" wrapText="1"/>
      <protection locked="0"/>
    </xf>
    <xf numFmtId="0" fontId="5" fillId="0" borderId="64" xfId="3" applyFont="1" applyBorder="1" applyAlignment="1">
      <alignment horizontal="left" vertical="center" wrapText="1"/>
    </xf>
    <xf numFmtId="0" fontId="4" fillId="6" borderId="1" xfId="3" applyFont="1" applyFill="1" applyBorder="1" applyAlignment="1" applyProtection="1">
      <alignment vertical="center" wrapText="1"/>
      <protection locked="0"/>
    </xf>
    <xf numFmtId="0" fontId="0" fillId="0" borderId="22" xfId="0" applyBorder="1"/>
    <xf numFmtId="0" fontId="18" fillId="0" borderId="25" xfId="0" applyFont="1" applyBorder="1" applyAlignment="1">
      <alignment horizontal="center" vertical="center"/>
    </xf>
    <xf numFmtId="0" fontId="18" fillId="0" borderId="25" xfId="0" applyFont="1" applyBorder="1"/>
    <xf numFmtId="0" fontId="0" fillId="0" borderId="25" xfId="0" applyBorder="1"/>
    <xf numFmtId="0" fontId="0" fillId="0" borderId="25" xfId="0" applyBorder="1" applyAlignment="1">
      <alignment wrapText="1"/>
    </xf>
    <xf numFmtId="0" fontId="0" fillId="0" borderId="23" xfId="0" applyBorder="1"/>
    <xf numFmtId="0" fontId="39" fillId="0" borderId="1" xfId="0" applyFont="1" applyBorder="1" applyAlignment="1">
      <alignment horizontal="center" vertical="center" wrapText="1"/>
    </xf>
    <xf numFmtId="0" fontId="39" fillId="0" borderId="1" xfId="0" applyFont="1" applyBorder="1" applyAlignment="1">
      <alignment horizontal="center" vertical="center"/>
    </xf>
    <xf numFmtId="0" fontId="18" fillId="0" borderId="1" xfId="0" applyFont="1" applyBorder="1"/>
    <xf numFmtId="0" fontId="18" fillId="0" borderId="1" xfId="0" applyFont="1" applyBorder="1" applyAlignment="1">
      <alignment horizontal="center"/>
    </xf>
    <xf numFmtId="0" fontId="18" fillId="0" borderId="1" xfId="0" applyFont="1" applyBorder="1" applyAlignment="1">
      <alignment wrapText="1"/>
    </xf>
    <xf numFmtId="0" fontId="39" fillId="0" borderId="1" xfId="0" applyFont="1" applyBorder="1"/>
    <xf numFmtId="0" fontId="39" fillId="0" borderId="1" xfId="0" applyFont="1" applyBorder="1" applyAlignment="1">
      <alignment wrapText="1"/>
    </xf>
    <xf numFmtId="0" fontId="18" fillId="0" borderId="26" xfId="0" applyFont="1" applyBorder="1" applyAlignment="1">
      <alignment horizontal="center" vertical="center"/>
    </xf>
    <xf numFmtId="0" fontId="18" fillId="0" borderId="26" xfId="0" applyFont="1" applyBorder="1"/>
    <xf numFmtId="0" fontId="0" fillId="0" borderId="26" xfId="0" applyBorder="1"/>
    <xf numFmtId="0" fontId="0" fillId="0" borderId="26" xfId="0" applyBorder="1" applyAlignment="1">
      <alignment wrapText="1"/>
    </xf>
    <xf numFmtId="0" fontId="18" fillId="0" borderId="22" xfId="0" applyFont="1" applyBorder="1" applyAlignment="1">
      <alignment horizontal="center" vertical="center"/>
    </xf>
    <xf numFmtId="0" fontId="18" fillId="0" borderId="22" xfId="0" applyFont="1" applyBorder="1"/>
    <xf numFmtId="0" fontId="0" fillId="0" borderId="22" xfId="0" applyBorder="1" applyAlignment="1">
      <alignment wrapText="1"/>
    </xf>
    <xf numFmtId="0" fontId="4" fillId="9" borderId="1" xfId="16" applyFont="1" applyFill="1" applyBorder="1" applyAlignment="1" applyProtection="1">
      <alignment horizontal="center" vertical="center"/>
      <protection locked="0"/>
    </xf>
    <xf numFmtId="0" fontId="3" fillId="0" borderId="49" xfId="3" applyFont="1" applyBorder="1" applyAlignment="1">
      <alignment horizontal="left" vertical="center" wrapText="1"/>
    </xf>
    <xf numFmtId="0" fontId="2" fillId="6" borderId="1" xfId="0" applyFont="1" applyFill="1" applyBorder="1" applyAlignment="1" applyProtection="1">
      <alignment horizontal="left" vertical="center" wrapText="1"/>
      <protection locked="0"/>
    </xf>
    <xf numFmtId="0" fontId="19" fillId="5" borderId="32" xfId="2" applyFont="1" applyFill="1" applyBorder="1" applyAlignment="1">
      <alignment horizontal="center" vertical="center"/>
    </xf>
    <xf numFmtId="0" fontId="19" fillId="5" borderId="33" xfId="2" applyFont="1" applyFill="1" applyBorder="1" applyAlignment="1">
      <alignment horizontal="center" vertical="center"/>
    </xf>
    <xf numFmtId="0" fontId="19" fillId="5" borderId="34" xfId="2" applyFont="1" applyFill="1" applyBorder="1" applyAlignment="1">
      <alignment horizontal="center" vertical="center"/>
    </xf>
    <xf numFmtId="0" fontId="42" fillId="9" borderId="35" xfId="3" applyFont="1" applyFill="1" applyBorder="1" applyAlignment="1" applyProtection="1">
      <alignment horizontal="center" vertical="center" wrapText="1"/>
      <protection locked="0"/>
    </xf>
    <xf numFmtId="0" fontId="42" fillId="9" borderId="30" xfId="3" applyFont="1" applyFill="1" applyBorder="1" applyAlignment="1" applyProtection="1">
      <alignment horizontal="center" vertical="center" wrapText="1"/>
      <protection locked="0"/>
    </xf>
    <xf numFmtId="0" fontId="42" fillId="9" borderId="50" xfId="3" applyFont="1" applyFill="1" applyBorder="1" applyAlignment="1" applyProtection="1">
      <alignment horizontal="center" vertical="center" wrapText="1"/>
      <protection locked="0"/>
    </xf>
    <xf numFmtId="0" fontId="26" fillId="0" borderId="35" xfId="3" applyFont="1" applyBorder="1" applyAlignment="1" applyProtection="1">
      <alignment horizontal="center" vertical="center" wrapText="1"/>
      <protection locked="0"/>
    </xf>
    <xf numFmtId="0" fontId="26" fillId="0" borderId="50" xfId="3" applyFont="1" applyBorder="1" applyAlignment="1" applyProtection="1">
      <alignment horizontal="center" vertical="center" wrapText="1"/>
      <protection locked="0"/>
    </xf>
    <xf numFmtId="0" fontId="26" fillId="11" borderId="2" xfId="3" applyFont="1" applyFill="1" applyBorder="1" applyAlignment="1">
      <alignment horizontal="center" vertical="center" wrapText="1"/>
    </xf>
    <xf numFmtId="0" fontId="26" fillId="11" borderId="3" xfId="3" applyFont="1" applyFill="1" applyBorder="1" applyAlignment="1">
      <alignment horizontal="center" vertical="center" wrapText="1"/>
    </xf>
    <xf numFmtId="0" fontId="28" fillId="0" borderId="35" xfId="3" applyFont="1" applyBorder="1" applyAlignment="1" applyProtection="1">
      <alignment horizontal="center" vertical="center" wrapText="1"/>
      <protection locked="0"/>
    </xf>
    <xf numFmtId="0" fontId="28" fillId="0" borderId="30" xfId="3" applyFont="1" applyBorder="1" applyAlignment="1" applyProtection="1">
      <alignment horizontal="center" vertical="center" wrapText="1"/>
      <protection locked="0"/>
    </xf>
    <xf numFmtId="0" fontId="28" fillId="0" borderId="50" xfId="3" applyFont="1" applyBorder="1" applyAlignment="1" applyProtection="1">
      <alignment horizontal="center" vertical="center" wrapText="1"/>
      <protection locked="0"/>
    </xf>
    <xf numFmtId="0" fontId="19" fillId="2" borderId="27" xfId="14" applyFont="1" applyFill="1" applyBorder="1" applyAlignment="1">
      <alignment horizontal="center" vertical="center" wrapText="1"/>
    </xf>
    <xf numFmtId="0" fontId="19" fillId="2" borderId="0" xfId="14" applyFont="1" applyFill="1" applyAlignment="1">
      <alignment horizontal="center" vertical="center" wrapText="1"/>
    </xf>
    <xf numFmtId="0" fontId="19" fillId="3" borderId="62" xfId="14" applyFont="1" applyFill="1" applyBorder="1" applyAlignment="1">
      <alignment horizontal="center" vertical="center" wrapText="1"/>
    </xf>
    <xf numFmtId="0" fontId="19" fillId="3" borderId="63" xfId="14" applyFont="1" applyFill="1" applyBorder="1" applyAlignment="1">
      <alignment horizontal="center" vertical="center" wrapText="1"/>
    </xf>
    <xf numFmtId="0" fontId="21" fillId="3" borderId="29" xfId="2" applyFont="1" applyFill="1" applyBorder="1" applyAlignment="1">
      <alignment horizontal="center" vertical="center" wrapText="1"/>
    </xf>
    <xf numFmtId="0" fontId="21" fillId="3" borderId="31" xfId="2" applyFont="1" applyFill="1" applyBorder="1" applyAlignment="1">
      <alignment horizontal="center" vertical="center" wrapText="1"/>
    </xf>
    <xf numFmtId="0" fontId="9" fillId="0" borderId="29" xfId="10" applyFont="1" applyBorder="1" applyAlignment="1">
      <alignment horizontal="center" vertical="top" textRotation="90"/>
    </xf>
    <xf numFmtId="0" fontId="13" fillId="0" borderId="30" xfId="10" applyBorder="1" applyAlignment="1">
      <alignment horizontal="center" vertical="top" textRotation="90"/>
    </xf>
    <xf numFmtId="0" fontId="13" fillId="0" borderId="31" xfId="10" applyBorder="1" applyAlignment="1">
      <alignment horizontal="center" vertical="top" textRotation="90"/>
    </xf>
    <xf numFmtId="0" fontId="9" fillId="0" borderId="29" xfId="10" applyFont="1" applyBorder="1" applyAlignment="1">
      <alignment horizontal="center" vertical="top" textRotation="90" wrapText="1"/>
    </xf>
    <xf numFmtId="0" fontId="9" fillId="0" borderId="30" xfId="10" applyFont="1" applyBorder="1" applyAlignment="1">
      <alignment horizontal="center" vertical="top" textRotation="90" wrapText="1"/>
    </xf>
    <xf numFmtId="0" fontId="9" fillId="0" borderId="31" xfId="10" applyFont="1" applyBorder="1" applyAlignment="1">
      <alignment horizontal="center" vertical="top" textRotation="90" wrapText="1"/>
    </xf>
  </cellXfs>
  <cellStyles count="20">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2 3 3" xfId="17" xr:uid="{7884A5F2-52E5-5445-A34F-22B7B21FFC92}"/>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6" xr:uid="{95F4CFD3-035B-0B47-B8D4-68C86DCC60D5}"/>
    <cellStyle name="Normal 4 2 2 3" xfId="19" xr:uid="{A35D2014-36F6-3142-A593-64B4A7240678}"/>
    <cellStyle name="Normal 4 2 3" xfId="18" xr:uid="{96B1EB12-D3FF-874D-B44B-84C4672550C4}"/>
    <cellStyle name="Normal 5" xfId="2" xr:uid="{00000000-0005-0000-0000-00000A000000}"/>
    <cellStyle name="Per cent" xfId="11" builtinId="5"/>
  </cellStyles>
  <dxfs count="2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F504E7"/>
      <color rgb="FF4398B6"/>
      <color rgb="FFFFB4B2"/>
      <color rgb="FFBCB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P253"/>
  <sheetViews>
    <sheetView tabSelected="1" topLeftCell="B1" zoomScale="90" zoomScaleNormal="90" workbookViewId="0">
      <pane ySplit="3" topLeftCell="A4" activePane="bottomLeft" state="frozen"/>
      <selection activeCell="B1" sqref="B1"/>
      <selection pane="bottomLeft" activeCell="A4" sqref="A4:P4"/>
    </sheetView>
  </sheetViews>
  <sheetFormatPr baseColWidth="10" defaultColWidth="8.83203125" defaultRowHeight="16" outlineLevelCol="1" x14ac:dyDescent="0.2"/>
  <cols>
    <col min="1" max="1" width="7.5" style="139" hidden="1" customWidth="1"/>
    <col min="2" max="2" width="28.83203125" style="221" customWidth="1"/>
    <col min="3" max="3" width="28.83203125" style="220" hidden="1" customWidth="1"/>
    <col min="4" max="4" width="69.33203125" style="219" customWidth="1"/>
    <col min="5" max="5" width="9.6640625" style="139" hidden="1" customWidth="1"/>
    <col min="6" max="6" width="72.6640625" style="219" customWidth="1"/>
    <col min="7" max="7" width="9.6640625" style="139" hidden="1" customWidth="1"/>
    <col min="8" max="8" width="15.83203125" style="139" customWidth="1"/>
    <col min="9" max="9" width="12.33203125" style="139" hidden="1" customWidth="1"/>
    <col min="10" max="10" width="41" style="139" hidden="1" customWidth="1"/>
    <col min="11" max="11" width="33" style="139" hidden="1" customWidth="1"/>
    <col min="12" max="12" width="41.83203125" style="139" hidden="1" customWidth="1"/>
    <col min="13" max="13" width="33.1640625" style="139" hidden="1" customWidth="1"/>
    <col min="14" max="14" width="47.33203125" style="139" customWidth="1"/>
    <col min="15" max="15" width="22.33203125" style="139" customWidth="1"/>
    <col min="16" max="16" width="40.83203125" style="139" customWidth="1"/>
    <col min="17" max="17" width="15" style="318" hidden="1" customWidth="1"/>
    <col min="18" max="18" width="8.83203125" style="153" hidden="1" customWidth="1"/>
    <col min="19" max="19" width="8.83203125" style="139" hidden="1" customWidth="1"/>
    <col min="20" max="20" width="20.6640625" style="190" hidden="1" customWidth="1"/>
    <col min="21" max="21" width="8.83203125" style="139" hidden="1" customWidth="1" outlineLevel="1"/>
    <col min="22" max="22" width="8.83203125" style="139" hidden="1" customWidth="1" collapsed="1"/>
    <col min="23" max="23" width="8.83203125" style="139" hidden="1" customWidth="1"/>
    <col min="24" max="24" width="15.33203125" style="317" hidden="1" customWidth="1"/>
    <col min="25" max="25" width="11.5" style="317" customWidth="1"/>
    <col min="26" max="26" width="10.6640625" style="139" hidden="1" customWidth="1" outlineLevel="1"/>
    <col min="27" max="27" width="8.83203125" style="139" collapsed="1"/>
    <col min="28" max="16384" width="8.83203125" style="139"/>
  </cols>
  <sheetData>
    <row r="1" spans="1:26" ht="18.75" customHeight="1" thickBot="1" x14ac:dyDescent="0.25">
      <c r="A1" s="621" t="s">
        <v>0</v>
      </c>
      <c r="B1" s="622"/>
      <c r="C1" s="622"/>
      <c r="D1" s="622"/>
      <c r="E1" s="622"/>
      <c r="F1" s="622"/>
      <c r="G1" s="622"/>
      <c r="H1" s="622"/>
      <c r="I1" s="622"/>
      <c r="J1" s="622"/>
      <c r="K1" s="622"/>
      <c r="L1" s="622"/>
      <c r="M1" s="622"/>
      <c r="N1" s="622"/>
      <c r="O1" s="622"/>
      <c r="P1" s="622"/>
      <c r="Q1" s="269"/>
      <c r="R1" s="132"/>
      <c r="T1" s="132"/>
      <c r="X1" s="270"/>
      <c r="Y1" s="270"/>
    </row>
    <row r="2" spans="1:26" ht="15" customHeight="1" thickBot="1" x14ac:dyDescent="0.25">
      <c r="A2" s="623" t="s">
        <v>1</v>
      </c>
      <c r="B2" s="624"/>
      <c r="C2" s="624"/>
      <c r="D2" s="624"/>
      <c r="E2" s="624"/>
      <c r="F2" s="624"/>
      <c r="G2" s="624"/>
      <c r="H2" s="624"/>
      <c r="I2" s="624"/>
      <c r="J2" s="624"/>
      <c r="K2" s="624"/>
      <c r="L2" s="624"/>
      <c r="M2" s="624"/>
      <c r="N2" s="624"/>
      <c r="O2" s="624"/>
      <c r="P2" s="625" t="s">
        <v>2</v>
      </c>
      <c r="Q2" s="269"/>
      <c r="R2" s="132"/>
      <c r="X2" s="270"/>
      <c r="Y2" s="270"/>
    </row>
    <row r="3" spans="1:26" s="221" customFormat="1" ht="61.5" customHeight="1" thickBot="1" x14ac:dyDescent="0.25">
      <c r="A3" s="218" t="s">
        <v>3</v>
      </c>
      <c r="B3" s="217" t="s">
        <v>4</v>
      </c>
      <c r="C3" s="215" t="s">
        <v>5</v>
      </c>
      <c r="D3" s="217" t="s">
        <v>6</v>
      </c>
      <c r="E3" s="216" t="s">
        <v>7</v>
      </c>
      <c r="F3" s="217" t="s">
        <v>1062</v>
      </c>
      <c r="G3" s="216" t="s">
        <v>7</v>
      </c>
      <c r="H3" s="217" t="s">
        <v>8</v>
      </c>
      <c r="I3" s="216" t="s">
        <v>9</v>
      </c>
      <c r="J3" s="215" t="s">
        <v>10</v>
      </c>
      <c r="K3" s="215" t="s">
        <v>11</v>
      </c>
      <c r="L3" s="214" t="s">
        <v>12</v>
      </c>
      <c r="M3" s="214" t="s">
        <v>860</v>
      </c>
      <c r="N3" s="213" t="s">
        <v>13</v>
      </c>
      <c r="O3" s="213" t="s">
        <v>14</v>
      </c>
      <c r="P3" s="626"/>
      <c r="Q3" s="265" t="s">
        <v>15</v>
      </c>
      <c r="R3" s="242"/>
      <c r="T3" s="338" t="s">
        <v>16</v>
      </c>
      <c r="X3" s="265" t="s">
        <v>963</v>
      </c>
      <c r="Y3" s="266" t="s">
        <v>962</v>
      </c>
      <c r="Z3" s="266" t="s">
        <v>667</v>
      </c>
    </row>
    <row r="4" spans="1:26" ht="18" customHeight="1" thickBot="1" x14ac:dyDescent="0.25">
      <c r="A4" s="608" t="s">
        <v>17</v>
      </c>
      <c r="B4" s="609"/>
      <c r="C4" s="609"/>
      <c r="D4" s="609"/>
      <c r="E4" s="609"/>
      <c r="F4" s="609"/>
      <c r="G4" s="609"/>
      <c r="H4" s="609"/>
      <c r="I4" s="609"/>
      <c r="J4" s="609"/>
      <c r="K4" s="609"/>
      <c r="L4" s="609"/>
      <c r="M4" s="609"/>
      <c r="N4" s="609"/>
      <c r="O4" s="609"/>
      <c r="P4" s="610"/>
      <c r="Q4" s="269"/>
      <c r="R4" s="132"/>
      <c r="T4" s="190" t="s">
        <v>18</v>
      </c>
      <c r="X4" s="270"/>
      <c r="Y4" s="267" t="str">
        <f>IF(X4="","",X4*V4)</f>
        <v/>
      </c>
      <c r="Z4" s="132" t="str">
        <f>IF(T4="yes",Y4,"")</f>
        <v/>
      </c>
    </row>
    <row r="5" spans="1:26" ht="26.25" customHeight="1" x14ac:dyDescent="0.2">
      <c r="A5" s="90" t="s">
        <v>19</v>
      </c>
      <c r="B5" s="227" t="s">
        <v>20</v>
      </c>
      <c r="C5" s="238"/>
      <c r="D5" s="136" t="s">
        <v>20</v>
      </c>
      <c r="E5" s="135">
        <f t="shared" ref="E5:E20" si="0">LEN(D5)</f>
        <v>5</v>
      </c>
      <c r="F5" s="136" t="s">
        <v>20</v>
      </c>
      <c r="G5" s="135">
        <f t="shared" ref="G5:G20" si="1">LEN(F5)</f>
        <v>5</v>
      </c>
      <c r="H5" s="135" t="s">
        <v>21</v>
      </c>
      <c r="I5" s="135" t="s">
        <v>19</v>
      </c>
      <c r="J5" s="135" t="s">
        <v>19</v>
      </c>
      <c r="K5" s="135" t="s">
        <v>22</v>
      </c>
      <c r="L5" s="134" t="s">
        <v>23</v>
      </c>
      <c r="M5" s="212" t="s">
        <v>19</v>
      </c>
      <c r="N5" s="212" t="s">
        <v>19</v>
      </c>
      <c r="O5" s="72"/>
      <c r="P5" s="1"/>
      <c r="Q5" s="269"/>
      <c r="R5" s="132"/>
      <c r="T5" s="190" t="s">
        <v>18</v>
      </c>
      <c r="X5" s="268">
        <v>0</v>
      </c>
      <c r="Y5" s="267">
        <f t="shared" ref="Y5:Y37" si="2">IF(X5="","",X5*Q5)</f>
        <v>0</v>
      </c>
      <c r="Z5" s="132" t="str">
        <f t="shared" ref="Z5:Z68" si="3">IF(T5="yes",Y5,"")</f>
        <v/>
      </c>
    </row>
    <row r="6" spans="1:26" ht="17" x14ac:dyDescent="0.2">
      <c r="A6" s="90" t="s">
        <v>19</v>
      </c>
      <c r="B6" s="185" t="s">
        <v>24</v>
      </c>
      <c r="C6" s="137" t="s">
        <v>24</v>
      </c>
      <c r="D6" s="158" t="s">
        <v>25</v>
      </c>
      <c r="E6" s="135">
        <f t="shared" si="0"/>
        <v>48</v>
      </c>
      <c r="F6" s="158" t="s">
        <v>1063</v>
      </c>
      <c r="G6" s="135">
        <f t="shared" si="1"/>
        <v>49</v>
      </c>
      <c r="H6" s="135" t="s">
        <v>21</v>
      </c>
      <c r="I6" s="135" t="s">
        <v>19</v>
      </c>
      <c r="J6" s="135" t="s">
        <v>19</v>
      </c>
      <c r="K6" s="135" t="s">
        <v>22</v>
      </c>
      <c r="L6" s="134" t="s">
        <v>27</v>
      </c>
      <c r="M6" s="212" t="s">
        <v>19</v>
      </c>
      <c r="N6" s="212" t="s">
        <v>19</v>
      </c>
      <c r="O6" s="72"/>
      <c r="P6" s="42"/>
      <c r="Q6" s="337"/>
      <c r="R6" s="132"/>
      <c r="T6" s="190" t="s">
        <v>26</v>
      </c>
      <c r="X6" s="268">
        <v>0</v>
      </c>
      <c r="Y6" s="267">
        <f t="shared" si="2"/>
        <v>0</v>
      </c>
      <c r="Z6" s="132">
        <f t="shared" si="3"/>
        <v>0</v>
      </c>
    </row>
    <row r="7" spans="1:26" ht="136" x14ac:dyDescent="0.2">
      <c r="A7" s="38" t="s">
        <v>19</v>
      </c>
      <c r="B7" s="177" t="s">
        <v>28</v>
      </c>
      <c r="C7" s="137" t="s">
        <v>28</v>
      </c>
      <c r="D7" s="158" t="s">
        <v>29</v>
      </c>
      <c r="E7" s="143">
        <f t="shared" si="0"/>
        <v>146</v>
      </c>
      <c r="F7" s="457" t="s">
        <v>1298</v>
      </c>
      <c r="G7" s="143">
        <f t="shared" si="1"/>
        <v>191</v>
      </c>
      <c r="H7" s="152" t="s">
        <v>30</v>
      </c>
      <c r="I7" s="143" t="s">
        <v>19</v>
      </c>
      <c r="J7" s="143" t="s">
        <v>19</v>
      </c>
      <c r="K7" s="143" t="s">
        <v>31</v>
      </c>
      <c r="L7" s="142" t="s">
        <v>32</v>
      </c>
      <c r="M7" s="212" t="s">
        <v>19</v>
      </c>
      <c r="N7" s="201" t="s">
        <v>19</v>
      </c>
      <c r="O7" s="73"/>
      <c r="P7" s="2"/>
      <c r="Q7" s="269"/>
      <c r="R7" s="132"/>
      <c r="T7" s="190" t="s">
        <v>18</v>
      </c>
      <c r="X7" s="268">
        <v>14.695307731628418</v>
      </c>
      <c r="Y7" s="267">
        <f t="shared" si="2"/>
        <v>0</v>
      </c>
      <c r="Z7" s="132" t="str">
        <f t="shared" si="3"/>
        <v/>
      </c>
    </row>
    <row r="8" spans="1:26" ht="37.5" customHeight="1" x14ac:dyDescent="0.2">
      <c r="A8" s="38" t="s">
        <v>19</v>
      </c>
      <c r="B8" s="177" t="s">
        <v>33</v>
      </c>
      <c r="C8" s="137" t="s">
        <v>34</v>
      </c>
      <c r="D8" s="211" t="s">
        <v>35</v>
      </c>
      <c r="E8" s="143">
        <f t="shared" si="0"/>
        <v>29</v>
      </c>
      <c r="F8" s="211" t="s">
        <v>1065</v>
      </c>
      <c r="G8" s="143">
        <f t="shared" si="1"/>
        <v>35</v>
      </c>
      <c r="H8" s="152" t="s">
        <v>19</v>
      </c>
      <c r="I8" s="152" t="s">
        <v>19</v>
      </c>
      <c r="J8" s="152" t="s">
        <v>19</v>
      </c>
      <c r="K8" s="152" t="s">
        <v>19</v>
      </c>
      <c r="L8" s="210" t="s">
        <v>36</v>
      </c>
      <c r="M8" s="212" t="s">
        <v>19</v>
      </c>
      <c r="N8" s="209" t="s">
        <v>19</v>
      </c>
      <c r="O8" s="74"/>
      <c r="P8" s="3"/>
      <c r="Q8" s="269"/>
      <c r="R8" s="132"/>
      <c r="T8" s="190" t="s">
        <v>18</v>
      </c>
      <c r="X8" s="268">
        <v>0</v>
      </c>
      <c r="Y8" s="267">
        <f t="shared" si="2"/>
        <v>0</v>
      </c>
      <c r="Z8" s="132" t="str">
        <f t="shared" si="3"/>
        <v/>
      </c>
    </row>
    <row r="9" spans="1:26" ht="37.5" customHeight="1" x14ac:dyDescent="0.2">
      <c r="A9" s="38" t="s">
        <v>19</v>
      </c>
      <c r="B9" s="177" t="s">
        <v>37</v>
      </c>
      <c r="C9" s="137" t="s">
        <v>38</v>
      </c>
      <c r="D9" s="211" t="s">
        <v>39</v>
      </c>
      <c r="E9" s="143">
        <f t="shared" si="0"/>
        <v>31</v>
      </c>
      <c r="F9" s="457" t="s">
        <v>1064</v>
      </c>
      <c r="G9" s="143">
        <f t="shared" si="1"/>
        <v>37</v>
      </c>
      <c r="H9" s="152" t="s">
        <v>19</v>
      </c>
      <c r="I9" s="152" t="s">
        <v>19</v>
      </c>
      <c r="J9" s="152" t="s">
        <v>19</v>
      </c>
      <c r="K9" s="152" t="s">
        <v>19</v>
      </c>
      <c r="L9" s="210" t="s">
        <v>40</v>
      </c>
      <c r="M9" s="212" t="s">
        <v>19</v>
      </c>
      <c r="N9" s="209" t="s">
        <v>19</v>
      </c>
      <c r="O9" s="74"/>
      <c r="P9" s="3"/>
      <c r="Q9" s="269"/>
      <c r="R9" s="132"/>
      <c r="T9" s="190" t="s">
        <v>18</v>
      </c>
      <c r="X9" s="268">
        <v>0</v>
      </c>
      <c r="Y9" s="267">
        <f t="shared" si="2"/>
        <v>0</v>
      </c>
      <c r="Z9" s="132" t="str">
        <f t="shared" si="3"/>
        <v/>
      </c>
    </row>
    <row r="10" spans="1:26" ht="37.5" customHeight="1" x14ac:dyDescent="0.2">
      <c r="A10" s="38" t="s">
        <v>19</v>
      </c>
      <c r="B10" s="177" t="s">
        <v>41</v>
      </c>
      <c r="C10" s="137" t="s">
        <v>42</v>
      </c>
      <c r="D10" s="211" t="s">
        <v>43</v>
      </c>
      <c r="E10" s="143">
        <f t="shared" si="0"/>
        <v>34</v>
      </c>
      <c r="F10" s="457" t="s">
        <v>1066</v>
      </c>
      <c r="G10" s="143">
        <f t="shared" si="1"/>
        <v>56</v>
      </c>
      <c r="H10" s="152" t="s">
        <v>19</v>
      </c>
      <c r="I10" s="152" t="s">
        <v>19</v>
      </c>
      <c r="J10" s="152" t="s">
        <v>19</v>
      </c>
      <c r="K10" s="152" t="s">
        <v>19</v>
      </c>
      <c r="L10" s="210" t="s">
        <v>44</v>
      </c>
      <c r="M10" s="212" t="s">
        <v>19</v>
      </c>
      <c r="N10" s="209" t="s">
        <v>19</v>
      </c>
      <c r="O10" s="74"/>
      <c r="P10" s="3"/>
      <c r="Q10" s="269"/>
      <c r="R10" s="132"/>
      <c r="T10" s="190" t="s">
        <v>18</v>
      </c>
      <c r="X10" s="268">
        <v>0</v>
      </c>
      <c r="Y10" s="267">
        <f t="shared" si="2"/>
        <v>0</v>
      </c>
      <c r="Z10" s="132" t="str">
        <f t="shared" si="3"/>
        <v/>
      </c>
    </row>
    <row r="11" spans="1:26" ht="37.5" customHeight="1" x14ac:dyDescent="0.2">
      <c r="A11" s="38" t="s">
        <v>19</v>
      </c>
      <c r="B11" s="177" t="s">
        <v>45</v>
      </c>
      <c r="C11" s="137" t="s">
        <v>46</v>
      </c>
      <c r="D11" s="211" t="s">
        <v>47</v>
      </c>
      <c r="E11" s="143">
        <f t="shared" si="0"/>
        <v>41</v>
      </c>
      <c r="F11" s="457" t="s">
        <v>1067</v>
      </c>
      <c r="G11" s="143">
        <f t="shared" si="1"/>
        <v>52</v>
      </c>
      <c r="H11" s="152" t="s">
        <v>19</v>
      </c>
      <c r="I11" s="152" t="s">
        <v>19</v>
      </c>
      <c r="J11" s="152" t="s">
        <v>19</v>
      </c>
      <c r="K11" s="152" t="s">
        <v>19</v>
      </c>
      <c r="L11" s="210" t="s">
        <v>48</v>
      </c>
      <c r="M11" s="212" t="s">
        <v>19</v>
      </c>
      <c r="N11" s="209" t="s">
        <v>19</v>
      </c>
      <c r="O11" s="74"/>
      <c r="P11" s="3"/>
      <c r="Q11" s="269"/>
      <c r="R11" s="132"/>
      <c r="T11" s="190" t="s">
        <v>18</v>
      </c>
      <c r="X11" s="268">
        <v>0</v>
      </c>
      <c r="Y11" s="267">
        <f t="shared" si="2"/>
        <v>0</v>
      </c>
      <c r="Z11" s="132" t="str">
        <f t="shared" si="3"/>
        <v/>
      </c>
    </row>
    <row r="12" spans="1:26" ht="102" x14ac:dyDescent="0.2">
      <c r="A12" s="38" t="s">
        <v>19</v>
      </c>
      <c r="B12" s="177" t="s">
        <v>49</v>
      </c>
      <c r="C12" s="137" t="s">
        <v>49</v>
      </c>
      <c r="D12" s="576" t="s">
        <v>50</v>
      </c>
      <c r="E12" s="143">
        <f t="shared" si="0"/>
        <v>148</v>
      </c>
      <c r="F12" s="457" t="s">
        <v>1068</v>
      </c>
      <c r="G12" s="143">
        <f t="shared" si="1"/>
        <v>163</v>
      </c>
      <c r="H12" s="152" t="s">
        <v>30</v>
      </c>
      <c r="I12" s="143" t="s">
        <v>19</v>
      </c>
      <c r="J12" s="143" t="s">
        <v>19</v>
      </c>
      <c r="K12" s="143" t="s">
        <v>31</v>
      </c>
      <c r="L12" s="142" t="s">
        <v>51</v>
      </c>
      <c r="M12" s="212" t="s">
        <v>19</v>
      </c>
      <c r="N12" s="208" t="s">
        <v>52</v>
      </c>
      <c r="O12" s="75"/>
      <c r="P12" s="4" t="s">
        <v>53</v>
      </c>
      <c r="Q12" s="269"/>
      <c r="R12" s="132"/>
      <c r="T12" s="190" t="s">
        <v>18</v>
      </c>
      <c r="X12" s="268">
        <v>3.1032724380493164</v>
      </c>
      <c r="Y12" s="267">
        <f t="shared" si="2"/>
        <v>0</v>
      </c>
      <c r="Z12" s="132" t="str">
        <f t="shared" si="3"/>
        <v/>
      </c>
    </row>
    <row r="13" spans="1:26" ht="409.6" x14ac:dyDescent="0.2">
      <c r="A13" s="38" t="s">
        <v>19</v>
      </c>
      <c r="B13" s="177" t="s">
        <v>54</v>
      </c>
      <c r="C13" s="137" t="s">
        <v>54</v>
      </c>
      <c r="D13" s="39" t="s">
        <v>1291</v>
      </c>
      <c r="E13" s="143">
        <f t="shared" si="0"/>
        <v>1098</v>
      </c>
      <c r="F13" s="171" t="s">
        <v>1292</v>
      </c>
      <c r="G13" s="143">
        <f t="shared" si="1"/>
        <v>1230</v>
      </c>
      <c r="H13" s="152" t="s">
        <v>30</v>
      </c>
      <c r="I13" s="143" t="s">
        <v>19</v>
      </c>
      <c r="J13" s="143" t="s">
        <v>19</v>
      </c>
      <c r="K13" s="143" t="s">
        <v>31</v>
      </c>
      <c r="L13" s="142" t="s">
        <v>55</v>
      </c>
      <c r="M13" s="212" t="s">
        <v>19</v>
      </c>
      <c r="N13" s="208" t="s">
        <v>56</v>
      </c>
      <c r="O13" s="75"/>
      <c r="P13" s="4" t="s">
        <v>57</v>
      </c>
      <c r="Q13" s="269"/>
      <c r="R13" s="132"/>
      <c r="T13" s="190" t="s">
        <v>18</v>
      </c>
      <c r="X13" s="268">
        <v>37.418449401855469</v>
      </c>
      <c r="Y13" s="267">
        <f t="shared" si="2"/>
        <v>0</v>
      </c>
      <c r="Z13" s="132" t="str">
        <f t="shared" si="3"/>
        <v/>
      </c>
    </row>
    <row r="14" spans="1:26" s="138" customFormat="1" ht="119" x14ac:dyDescent="0.2">
      <c r="A14" s="38" t="s">
        <v>19</v>
      </c>
      <c r="B14" s="177" t="s">
        <v>58</v>
      </c>
      <c r="C14" s="137" t="s">
        <v>59</v>
      </c>
      <c r="D14" s="158" t="s">
        <v>60</v>
      </c>
      <c r="E14" s="143">
        <f t="shared" si="0"/>
        <v>134</v>
      </c>
      <c r="F14" s="577" t="s">
        <v>1069</v>
      </c>
      <c r="G14" s="143">
        <f t="shared" si="1"/>
        <v>126</v>
      </c>
      <c r="H14" s="152" t="s">
        <v>61</v>
      </c>
      <c r="I14" s="143" t="s">
        <v>19</v>
      </c>
      <c r="J14" s="143" t="s">
        <v>19</v>
      </c>
      <c r="K14" s="143" t="s">
        <v>31</v>
      </c>
      <c r="L14" s="142" t="s">
        <v>1322</v>
      </c>
      <c r="M14" s="212" t="s">
        <v>19</v>
      </c>
      <c r="N14" s="142" t="s">
        <v>1323</v>
      </c>
      <c r="O14" s="52"/>
      <c r="P14" s="2"/>
      <c r="Q14" s="269">
        <v>1</v>
      </c>
      <c r="R14" s="132"/>
      <c r="T14" s="190" t="s">
        <v>18</v>
      </c>
      <c r="U14" s="139"/>
      <c r="X14" s="268">
        <v>3.8059515953063965</v>
      </c>
      <c r="Y14" s="267">
        <f t="shared" si="2"/>
        <v>3.8059515953063965</v>
      </c>
      <c r="Z14" s="132" t="str">
        <f t="shared" si="3"/>
        <v/>
      </c>
    </row>
    <row r="15" spans="1:26" s="138" customFormat="1" ht="136" x14ac:dyDescent="0.2">
      <c r="A15" s="6" t="s">
        <v>19</v>
      </c>
      <c r="B15" s="228" t="s">
        <v>1318</v>
      </c>
      <c r="C15" s="9" t="s">
        <v>1318</v>
      </c>
      <c r="D15" s="14" t="s">
        <v>1319</v>
      </c>
      <c r="E15" s="12">
        <f t="shared" si="0"/>
        <v>172</v>
      </c>
      <c r="F15" s="607" t="s">
        <v>1325</v>
      </c>
      <c r="G15" s="8">
        <f t="shared" si="1"/>
        <v>175</v>
      </c>
      <c r="H15" s="28" t="s">
        <v>30</v>
      </c>
      <c r="I15" s="12" t="s">
        <v>19</v>
      </c>
      <c r="J15" s="12" t="s">
        <v>19</v>
      </c>
      <c r="K15" s="12" t="s">
        <v>31</v>
      </c>
      <c r="L15" s="23" t="s">
        <v>1320</v>
      </c>
      <c r="M15" s="72" t="s">
        <v>19</v>
      </c>
      <c r="N15" s="23" t="s">
        <v>1321</v>
      </c>
      <c r="O15" s="23"/>
      <c r="P15" s="62" t="s">
        <v>1324</v>
      </c>
      <c r="Q15" s="269">
        <v>1</v>
      </c>
      <c r="R15" s="132"/>
      <c r="T15" s="190" t="s">
        <v>18</v>
      </c>
      <c r="U15" s="139"/>
      <c r="X15" s="268">
        <v>0</v>
      </c>
      <c r="Y15" s="267">
        <f t="shared" si="2"/>
        <v>0</v>
      </c>
      <c r="Z15" s="132"/>
    </row>
    <row r="16" spans="1:26" s="138" customFormat="1" ht="136" x14ac:dyDescent="0.2">
      <c r="A16" s="38" t="s">
        <v>19</v>
      </c>
      <c r="B16" s="177" t="s">
        <v>62</v>
      </c>
      <c r="C16" s="137" t="s">
        <v>62</v>
      </c>
      <c r="D16" s="188" t="s">
        <v>63</v>
      </c>
      <c r="E16" s="143">
        <f t="shared" si="0"/>
        <v>153</v>
      </c>
      <c r="F16" s="578" t="s">
        <v>1070</v>
      </c>
      <c r="G16" s="143">
        <f t="shared" si="1"/>
        <v>181</v>
      </c>
      <c r="H16" s="152" t="s">
        <v>64</v>
      </c>
      <c r="I16" s="143" t="s">
        <v>19</v>
      </c>
      <c r="J16" s="143" t="s">
        <v>19</v>
      </c>
      <c r="K16" s="143" t="s">
        <v>65</v>
      </c>
      <c r="L16" s="142" t="s">
        <v>66</v>
      </c>
      <c r="M16" s="212" t="s">
        <v>19</v>
      </c>
      <c r="N16" s="142" t="s">
        <v>67</v>
      </c>
      <c r="O16" s="76"/>
      <c r="P16" s="2"/>
      <c r="Q16" s="269">
        <v>1</v>
      </c>
      <c r="R16" s="132"/>
      <c r="T16" s="140" t="s">
        <v>18</v>
      </c>
      <c r="U16" s="139"/>
      <c r="X16" s="268">
        <v>0</v>
      </c>
      <c r="Y16" s="267">
        <f t="shared" si="2"/>
        <v>0</v>
      </c>
      <c r="Z16" s="132" t="str">
        <f t="shared" si="3"/>
        <v/>
      </c>
    </row>
    <row r="17" spans="1:26" s="138" customFormat="1" ht="51" x14ac:dyDescent="0.2">
      <c r="A17" s="38" t="s">
        <v>19</v>
      </c>
      <c r="B17" s="177" t="s">
        <v>68</v>
      </c>
      <c r="C17" s="137" t="s">
        <v>69</v>
      </c>
      <c r="D17" s="158" t="s">
        <v>70</v>
      </c>
      <c r="E17" s="143">
        <f t="shared" si="0"/>
        <v>80</v>
      </c>
      <c r="F17" s="578" t="s">
        <v>1071</v>
      </c>
      <c r="G17" s="143">
        <f t="shared" si="1"/>
        <v>104</v>
      </c>
      <c r="H17" s="152" t="s">
        <v>21</v>
      </c>
      <c r="I17" s="143" t="s">
        <v>19</v>
      </c>
      <c r="J17" s="143" t="s">
        <v>19</v>
      </c>
      <c r="K17" s="143" t="s">
        <v>916</v>
      </c>
      <c r="L17" s="142" t="s">
        <v>71</v>
      </c>
      <c r="M17" s="212" t="s">
        <v>19</v>
      </c>
      <c r="N17" s="142" t="s">
        <v>72</v>
      </c>
      <c r="O17" s="76"/>
      <c r="P17" s="2"/>
      <c r="Q17" s="269">
        <v>1</v>
      </c>
      <c r="R17" s="132"/>
      <c r="T17" s="140" t="s">
        <v>18</v>
      </c>
      <c r="U17" s="139"/>
      <c r="X17" s="268">
        <v>0</v>
      </c>
      <c r="Y17" s="267">
        <f t="shared" si="2"/>
        <v>0</v>
      </c>
      <c r="Z17" s="132" t="str">
        <f t="shared" si="3"/>
        <v/>
      </c>
    </row>
    <row r="18" spans="1:26" s="138" customFormat="1" ht="85" x14ac:dyDescent="0.2">
      <c r="A18" s="38" t="s">
        <v>19</v>
      </c>
      <c r="B18" s="177" t="s">
        <v>73</v>
      </c>
      <c r="C18" s="137" t="s">
        <v>74</v>
      </c>
      <c r="D18" s="158" t="s">
        <v>895</v>
      </c>
      <c r="E18" s="143">
        <f t="shared" si="0"/>
        <v>176</v>
      </c>
      <c r="F18" s="578" t="s">
        <v>1072</v>
      </c>
      <c r="G18" s="143">
        <f t="shared" si="1"/>
        <v>200</v>
      </c>
      <c r="H18" s="152" t="s">
        <v>21</v>
      </c>
      <c r="I18" s="143" t="s">
        <v>19</v>
      </c>
      <c r="J18" s="143" t="s">
        <v>19</v>
      </c>
      <c r="K18" s="143" t="s">
        <v>22</v>
      </c>
      <c r="L18" s="142" t="s">
        <v>785</v>
      </c>
      <c r="M18" s="212" t="s">
        <v>19</v>
      </c>
      <c r="N18" s="201" t="s">
        <v>19</v>
      </c>
      <c r="O18" s="73"/>
      <c r="P18" s="2"/>
      <c r="Q18" s="269">
        <v>1</v>
      </c>
      <c r="R18" s="132"/>
      <c r="T18" s="140" t="s">
        <v>18</v>
      </c>
      <c r="U18" s="139"/>
      <c r="X18" s="268">
        <v>0</v>
      </c>
      <c r="Y18" s="267">
        <f t="shared" si="2"/>
        <v>0</v>
      </c>
      <c r="Z18" s="132" t="str">
        <f t="shared" si="3"/>
        <v/>
      </c>
    </row>
    <row r="19" spans="1:26" s="138" customFormat="1" ht="50.25" customHeight="1" x14ac:dyDescent="0.2">
      <c r="A19" s="38" t="s">
        <v>19</v>
      </c>
      <c r="B19" s="177" t="s">
        <v>75</v>
      </c>
      <c r="C19" s="137" t="s">
        <v>19</v>
      </c>
      <c r="D19" s="158" t="s">
        <v>690</v>
      </c>
      <c r="E19" s="143">
        <f t="shared" si="0"/>
        <v>99</v>
      </c>
      <c r="F19" s="578" t="s">
        <v>1075</v>
      </c>
      <c r="G19" s="143">
        <f t="shared" si="1"/>
        <v>98</v>
      </c>
      <c r="H19" s="152" t="s">
        <v>19</v>
      </c>
      <c r="I19" s="143" t="s">
        <v>19</v>
      </c>
      <c r="J19" s="143" t="s">
        <v>19</v>
      </c>
      <c r="K19" s="143" t="s">
        <v>19</v>
      </c>
      <c r="L19" s="142" t="s">
        <v>76</v>
      </c>
      <c r="M19" s="212" t="s">
        <v>19</v>
      </c>
      <c r="N19" s="201" t="s">
        <v>19</v>
      </c>
      <c r="O19" s="73"/>
      <c r="P19" s="2"/>
      <c r="Q19" s="269">
        <v>1</v>
      </c>
      <c r="R19" s="132"/>
      <c r="T19" s="140" t="s">
        <v>18</v>
      </c>
      <c r="U19" s="139"/>
      <c r="X19" s="268">
        <v>0</v>
      </c>
      <c r="Y19" s="267">
        <f t="shared" si="2"/>
        <v>0</v>
      </c>
      <c r="Z19" s="132" t="str">
        <f t="shared" si="3"/>
        <v/>
      </c>
    </row>
    <row r="20" spans="1:26" s="138" customFormat="1" ht="50.25" customHeight="1" thickBot="1" x14ac:dyDescent="0.25">
      <c r="A20" s="336" t="s">
        <v>19</v>
      </c>
      <c r="B20" s="207" t="s">
        <v>77</v>
      </c>
      <c r="C20" s="206" t="s">
        <v>78</v>
      </c>
      <c r="D20" s="205" t="s">
        <v>79</v>
      </c>
      <c r="E20" s="203">
        <f t="shared" si="0"/>
        <v>65</v>
      </c>
      <c r="F20" s="579" t="s">
        <v>1073</v>
      </c>
      <c r="G20" s="203">
        <f t="shared" si="1"/>
        <v>60</v>
      </c>
      <c r="H20" s="204" t="s">
        <v>19</v>
      </c>
      <c r="I20" s="203" t="s">
        <v>19</v>
      </c>
      <c r="J20" s="203" t="s">
        <v>19</v>
      </c>
      <c r="K20" s="203" t="s">
        <v>19</v>
      </c>
      <c r="L20" s="202" t="s">
        <v>80</v>
      </c>
      <c r="M20" s="212" t="s">
        <v>19</v>
      </c>
      <c r="N20" s="201" t="s">
        <v>19</v>
      </c>
      <c r="O20" s="77"/>
      <c r="P20" s="5"/>
      <c r="Q20" s="269">
        <v>1</v>
      </c>
      <c r="R20" s="132"/>
      <c r="T20" s="140" t="s">
        <v>18</v>
      </c>
      <c r="U20" s="139"/>
      <c r="X20" s="268">
        <v>0</v>
      </c>
      <c r="Y20" s="267">
        <f t="shared" si="2"/>
        <v>0</v>
      </c>
      <c r="Z20" s="132" t="str">
        <f t="shared" si="3"/>
        <v/>
      </c>
    </row>
    <row r="21" spans="1:26" s="435" customFormat="1" ht="17" thickBot="1" x14ac:dyDescent="0.25">
      <c r="A21" s="608" t="s">
        <v>81</v>
      </c>
      <c r="B21" s="609"/>
      <c r="C21" s="609"/>
      <c r="D21" s="609"/>
      <c r="E21" s="609"/>
      <c r="F21" s="609"/>
      <c r="G21" s="609"/>
      <c r="H21" s="609"/>
      <c r="I21" s="609"/>
      <c r="J21" s="609"/>
      <c r="K21" s="609"/>
      <c r="L21" s="609"/>
      <c r="M21" s="609"/>
      <c r="N21" s="609"/>
      <c r="O21" s="609"/>
      <c r="P21" s="610"/>
      <c r="Q21" s="264"/>
      <c r="R21" s="446"/>
      <c r="T21" s="444"/>
      <c r="U21" s="447"/>
      <c r="X21" s="267"/>
      <c r="Y21" s="267" t="str">
        <f t="shared" si="2"/>
        <v/>
      </c>
      <c r="Z21" s="446" t="str">
        <f t="shared" si="3"/>
        <v/>
      </c>
    </row>
    <row r="22" spans="1:26" s="138" customFormat="1" ht="68.25" customHeight="1" x14ac:dyDescent="0.2">
      <c r="A22" s="335" t="s">
        <v>19</v>
      </c>
      <c r="B22" s="200" t="s">
        <v>82</v>
      </c>
      <c r="C22" s="194" t="s">
        <v>82</v>
      </c>
      <c r="D22" s="199" t="s">
        <v>83</v>
      </c>
      <c r="E22" s="198">
        <f>LEN(D22)</f>
        <v>96</v>
      </c>
      <c r="F22" s="199" t="s">
        <v>1074</v>
      </c>
      <c r="G22" s="198">
        <f>LEN(F22)</f>
        <v>123</v>
      </c>
      <c r="H22" s="168" t="s">
        <v>21</v>
      </c>
      <c r="I22" s="198" t="s">
        <v>19</v>
      </c>
      <c r="J22" s="198" t="s">
        <v>19</v>
      </c>
      <c r="K22" s="198" t="s">
        <v>22</v>
      </c>
      <c r="L22" s="197" t="s">
        <v>84</v>
      </c>
      <c r="M22" s="212" t="s">
        <v>19</v>
      </c>
      <c r="N22" s="199" t="s">
        <v>85</v>
      </c>
      <c r="O22" s="196"/>
      <c r="P22" s="59"/>
      <c r="Q22" s="264">
        <f>1</f>
        <v>1</v>
      </c>
      <c r="R22" s="132"/>
      <c r="T22" s="444" t="s">
        <v>26</v>
      </c>
      <c r="U22" s="139"/>
      <c r="X22" s="267">
        <v>25.874027252197266</v>
      </c>
      <c r="Y22" s="267">
        <f t="shared" si="2"/>
        <v>25.874027252197266</v>
      </c>
      <c r="Z22" s="132">
        <f t="shared" si="3"/>
        <v>25.874027252197266</v>
      </c>
    </row>
    <row r="23" spans="1:26" s="138" customFormat="1" ht="68" x14ac:dyDescent="0.2">
      <c r="A23" s="38" t="s">
        <v>19</v>
      </c>
      <c r="B23" s="200" t="s">
        <v>86</v>
      </c>
      <c r="C23" s="194" t="s">
        <v>86</v>
      </c>
      <c r="D23" s="199" t="s">
        <v>87</v>
      </c>
      <c r="E23" s="198">
        <f>LEN(D23)</f>
        <v>95</v>
      </c>
      <c r="F23" s="199" t="s">
        <v>1076</v>
      </c>
      <c r="G23" s="198">
        <f>LEN(F23)</f>
        <v>125</v>
      </c>
      <c r="H23" s="168" t="s">
        <v>21</v>
      </c>
      <c r="I23" s="198" t="s">
        <v>19</v>
      </c>
      <c r="J23" s="198" t="s">
        <v>19</v>
      </c>
      <c r="K23" s="198" t="s">
        <v>22</v>
      </c>
      <c r="L23" s="197" t="s">
        <v>88</v>
      </c>
      <c r="M23" s="212" t="s">
        <v>19</v>
      </c>
      <c r="N23" s="160" t="s">
        <v>89</v>
      </c>
      <c r="O23" s="196"/>
      <c r="P23" s="59"/>
      <c r="Q23" s="264">
        <f>1</f>
        <v>1</v>
      </c>
      <c r="R23" s="132"/>
      <c r="T23" s="444" t="s">
        <v>26</v>
      </c>
      <c r="U23" s="139"/>
      <c r="X23" s="267">
        <v>8.5994815826416016</v>
      </c>
      <c r="Y23" s="267">
        <f t="shared" si="2"/>
        <v>8.5994815826416016</v>
      </c>
      <c r="Z23" s="132">
        <f t="shared" si="3"/>
        <v>8.5994815826416016</v>
      </c>
    </row>
    <row r="24" spans="1:26" s="138" customFormat="1" ht="85" x14ac:dyDescent="0.2">
      <c r="A24" s="90">
        <v>1</v>
      </c>
      <c r="B24" s="241" t="s">
        <v>90</v>
      </c>
      <c r="C24" s="195" t="s">
        <v>90</v>
      </c>
      <c r="D24" s="136" t="s">
        <v>91</v>
      </c>
      <c r="E24" s="194">
        <f>LEN(D24)</f>
        <v>177</v>
      </c>
      <c r="F24" s="199" t="s">
        <v>1077</v>
      </c>
      <c r="G24" s="194">
        <f>LEN(F24)</f>
        <v>201</v>
      </c>
      <c r="H24" s="194" t="s">
        <v>92</v>
      </c>
      <c r="I24" s="194" t="s">
        <v>19</v>
      </c>
      <c r="J24" s="194" t="s">
        <v>19</v>
      </c>
      <c r="K24" s="194" t="s">
        <v>22</v>
      </c>
      <c r="L24" s="134" t="s">
        <v>93</v>
      </c>
      <c r="M24" s="212" t="s">
        <v>19</v>
      </c>
      <c r="N24" s="193" t="s">
        <v>946</v>
      </c>
      <c r="O24" s="192"/>
      <c r="P24" s="59"/>
      <c r="Q24" s="264">
        <f>1</f>
        <v>1</v>
      </c>
      <c r="R24" s="132"/>
      <c r="T24" s="450" t="s">
        <v>26</v>
      </c>
      <c r="U24" s="139"/>
      <c r="X24" s="267">
        <v>9.8907184600830078</v>
      </c>
      <c r="Y24" s="267">
        <f t="shared" si="2"/>
        <v>9.8907184600830078</v>
      </c>
      <c r="Z24" s="132">
        <f t="shared" si="3"/>
        <v>9.8907184600830078</v>
      </c>
    </row>
    <row r="25" spans="1:26" s="138" customFormat="1" ht="154" customHeight="1" x14ac:dyDescent="0.2">
      <c r="A25" s="90">
        <f>A24+1</f>
        <v>2</v>
      </c>
      <c r="B25" s="177" t="s">
        <v>94</v>
      </c>
      <c r="C25" s="137" t="s">
        <v>94</v>
      </c>
      <c r="D25" s="158" t="s">
        <v>691</v>
      </c>
      <c r="E25" s="143">
        <f>LEN(D25)</f>
        <v>168</v>
      </c>
      <c r="F25" s="158" t="s">
        <v>1078</v>
      </c>
      <c r="G25" s="143">
        <f>LEN(F25)</f>
        <v>195</v>
      </c>
      <c r="H25" s="152" t="s">
        <v>30</v>
      </c>
      <c r="I25" s="143" t="s">
        <v>19</v>
      </c>
      <c r="J25" s="143" t="s">
        <v>19</v>
      </c>
      <c r="K25" s="143" t="s">
        <v>31</v>
      </c>
      <c r="L25" s="142" t="s">
        <v>655</v>
      </c>
      <c r="M25" s="212" t="s">
        <v>19</v>
      </c>
      <c r="N25" s="134" t="s">
        <v>656</v>
      </c>
      <c r="O25" s="78"/>
      <c r="P25" s="2"/>
      <c r="Q25" s="264">
        <f>1</f>
        <v>1</v>
      </c>
      <c r="R25" s="132"/>
      <c r="T25" s="450" t="s">
        <v>26</v>
      </c>
      <c r="U25" s="139"/>
      <c r="X25" s="267">
        <v>1.7156481742858887</v>
      </c>
      <c r="Y25" s="267">
        <f t="shared" si="2"/>
        <v>1.7156481742858887</v>
      </c>
      <c r="Z25" s="132">
        <f t="shared" si="3"/>
        <v>1.7156481742858887</v>
      </c>
    </row>
    <row r="26" spans="1:26" s="138" customFormat="1" x14ac:dyDescent="0.2">
      <c r="A26" s="90"/>
      <c r="B26" s="255"/>
      <c r="C26" s="91"/>
      <c r="D26" s="120"/>
      <c r="E26" s="40"/>
      <c r="F26" s="40"/>
      <c r="G26" s="40"/>
      <c r="H26" s="92"/>
      <c r="I26" s="40"/>
      <c r="J26" s="40"/>
      <c r="K26" s="40"/>
      <c r="L26" s="78"/>
      <c r="M26" s="78"/>
      <c r="N26" s="78"/>
      <c r="O26" s="78"/>
      <c r="P26" s="2"/>
      <c r="Q26" s="269">
        <f>1</f>
        <v>1</v>
      </c>
      <c r="R26" s="132"/>
      <c r="T26" s="190"/>
      <c r="U26" s="139"/>
      <c r="X26" s="268"/>
      <c r="Y26" s="268" t="str">
        <f t="shared" si="2"/>
        <v/>
      </c>
      <c r="Z26" s="132" t="str">
        <f t="shared" si="3"/>
        <v/>
      </c>
    </row>
    <row r="27" spans="1:26" s="287" customFormat="1" ht="136" x14ac:dyDescent="0.2">
      <c r="A27" s="334"/>
      <c r="B27" s="297" t="s">
        <v>95</v>
      </c>
      <c r="C27" s="298" t="s">
        <v>95</v>
      </c>
      <c r="D27" s="299" t="s">
        <v>897</v>
      </c>
      <c r="E27" s="300">
        <f t="shared" ref="E27:E34" si="4">LEN(D27)</f>
        <v>134</v>
      </c>
      <c r="F27" s="367" t="s">
        <v>1299</v>
      </c>
      <c r="G27" s="300">
        <f t="shared" ref="G27:G34" si="5">LEN(F27)</f>
        <v>148</v>
      </c>
      <c r="H27" s="301" t="s">
        <v>30</v>
      </c>
      <c r="I27" s="300" t="s">
        <v>19</v>
      </c>
      <c r="J27" s="300" t="s">
        <v>19</v>
      </c>
      <c r="K27" s="300" t="s">
        <v>31</v>
      </c>
      <c r="L27" s="302" t="s">
        <v>96</v>
      </c>
      <c r="M27" s="212" t="s">
        <v>19</v>
      </c>
      <c r="N27" s="302" t="s">
        <v>97</v>
      </c>
      <c r="O27" s="303"/>
      <c r="P27" s="304"/>
      <c r="Q27" s="279">
        <f>1</f>
        <v>1</v>
      </c>
      <c r="R27" s="286"/>
      <c r="T27" s="445" t="s">
        <v>98</v>
      </c>
      <c r="U27" s="288"/>
      <c r="X27" s="280">
        <v>6.375236988067627</v>
      </c>
      <c r="Y27" s="267">
        <f t="shared" si="2"/>
        <v>6.375236988067627</v>
      </c>
      <c r="Z27" s="132" t="str">
        <f t="shared" si="3"/>
        <v/>
      </c>
    </row>
    <row r="28" spans="1:26" s="287" customFormat="1" ht="51" x14ac:dyDescent="0.2">
      <c r="A28" s="334"/>
      <c r="B28" s="297" t="s">
        <v>99</v>
      </c>
      <c r="C28" s="298" t="s">
        <v>100</v>
      </c>
      <c r="D28" s="367" t="s">
        <v>692</v>
      </c>
      <c r="E28" s="300">
        <f t="shared" si="4"/>
        <v>63</v>
      </c>
      <c r="F28" s="367" t="s">
        <v>1079</v>
      </c>
      <c r="G28" s="300">
        <f t="shared" si="5"/>
        <v>73</v>
      </c>
      <c r="H28" s="301" t="s">
        <v>21</v>
      </c>
      <c r="I28" s="300" t="s">
        <v>19</v>
      </c>
      <c r="J28" s="300" t="s">
        <v>19</v>
      </c>
      <c r="K28" s="300" t="s">
        <v>22</v>
      </c>
      <c r="L28" s="302" t="s">
        <v>101</v>
      </c>
      <c r="M28" s="212" t="s">
        <v>19</v>
      </c>
      <c r="N28" s="305" t="s">
        <v>102</v>
      </c>
      <c r="O28" s="306"/>
      <c r="P28" s="304"/>
      <c r="Q28" s="279">
        <f>1</f>
        <v>1</v>
      </c>
      <c r="R28" s="286"/>
      <c r="T28" s="445" t="s">
        <v>98</v>
      </c>
      <c r="U28" s="288"/>
      <c r="X28" s="280">
        <v>28.700000762939453</v>
      </c>
      <c r="Y28" s="267">
        <f t="shared" si="2"/>
        <v>28.700000762939453</v>
      </c>
      <c r="Z28" s="132" t="str">
        <f t="shared" si="3"/>
        <v/>
      </c>
    </row>
    <row r="29" spans="1:26" s="287" customFormat="1" ht="187" x14ac:dyDescent="0.2">
      <c r="A29" s="285"/>
      <c r="B29" s="307" t="s">
        <v>103</v>
      </c>
      <c r="C29" s="308" t="s">
        <v>103</v>
      </c>
      <c r="D29" s="309" t="s">
        <v>1327</v>
      </c>
      <c r="E29" s="296">
        <f t="shared" si="4"/>
        <v>265</v>
      </c>
      <c r="F29" s="458" t="s">
        <v>1337</v>
      </c>
      <c r="G29" s="296">
        <f t="shared" si="5"/>
        <v>302</v>
      </c>
      <c r="H29" s="310" t="s">
        <v>30</v>
      </c>
      <c r="I29" s="296" t="s">
        <v>19</v>
      </c>
      <c r="J29" s="296" t="s">
        <v>19</v>
      </c>
      <c r="K29" s="296" t="s">
        <v>31</v>
      </c>
      <c r="L29" s="294" t="s">
        <v>1330</v>
      </c>
      <c r="M29" s="212" t="s">
        <v>19</v>
      </c>
      <c r="N29" s="311" t="s">
        <v>1331</v>
      </c>
      <c r="O29" s="312"/>
      <c r="P29" s="295"/>
      <c r="Q29" s="279">
        <f>1</f>
        <v>1</v>
      </c>
      <c r="R29" s="286"/>
      <c r="T29" s="445" t="s">
        <v>98</v>
      </c>
      <c r="U29" s="288"/>
      <c r="X29" s="280">
        <v>10.141817092895508</v>
      </c>
      <c r="Y29" s="267">
        <f t="shared" si="2"/>
        <v>10.141817092895508</v>
      </c>
      <c r="Z29" s="132" t="str">
        <f t="shared" si="3"/>
        <v/>
      </c>
    </row>
    <row r="30" spans="1:26" s="287" customFormat="1" ht="51" x14ac:dyDescent="0.2">
      <c r="A30" s="285"/>
      <c r="B30" s="307" t="s">
        <v>104</v>
      </c>
      <c r="C30" s="308" t="s">
        <v>104</v>
      </c>
      <c r="D30" s="367" t="s">
        <v>693</v>
      </c>
      <c r="E30" s="296">
        <f t="shared" si="4"/>
        <v>73</v>
      </c>
      <c r="F30" s="459" t="s">
        <v>1080</v>
      </c>
      <c r="G30" s="296">
        <f t="shared" si="5"/>
        <v>82</v>
      </c>
      <c r="H30" s="310" t="s">
        <v>21</v>
      </c>
      <c r="I30" s="296" t="s">
        <v>19</v>
      </c>
      <c r="J30" s="296" t="s">
        <v>19</v>
      </c>
      <c r="K30" s="296" t="s">
        <v>22</v>
      </c>
      <c r="L30" s="294" t="s">
        <v>105</v>
      </c>
      <c r="M30" s="212" t="s">
        <v>19</v>
      </c>
      <c r="N30" s="313" t="s">
        <v>106</v>
      </c>
      <c r="O30" s="314"/>
      <c r="P30" s="295"/>
      <c r="Q30" s="279">
        <f>1</f>
        <v>1</v>
      </c>
      <c r="R30" s="286"/>
      <c r="T30" s="445" t="s">
        <v>98</v>
      </c>
      <c r="U30" s="288"/>
      <c r="X30" s="280">
        <v>21.659982681274414</v>
      </c>
      <c r="Y30" s="267">
        <f t="shared" si="2"/>
        <v>21.659982681274414</v>
      </c>
      <c r="Z30" s="132" t="str">
        <f t="shared" si="3"/>
        <v/>
      </c>
    </row>
    <row r="31" spans="1:26" s="287" customFormat="1" ht="102" x14ac:dyDescent="0.2">
      <c r="A31" s="285"/>
      <c r="B31" s="307" t="s">
        <v>107</v>
      </c>
      <c r="C31" s="308" t="s">
        <v>107</v>
      </c>
      <c r="D31" s="367" t="s">
        <v>694</v>
      </c>
      <c r="E31" s="296">
        <f t="shared" si="4"/>
        <v>98</v>
      </c>
      <c r="F31" s="458" t="s">
        <v>1081</v>
      </c>
      <c r="G31" s="296">
        <f t="shared" si="5"/>
        <v>125</v>
      </c>
      <c r="H31" s="310" t="s">
        <v>21</v>
      </c>
      <c r="I31" s="296" t="s">
        <v>19</v>
      </c>
      <c r="J31" s="296" t="s">
        <v>1329</v>
      </c>
      <c r="K31" s="296" t="s">
        <v>22</v>
      </c>
      <c r="L31" s="294" t="s">
        <v>108</v>
      </c>
      <c r="M31" s="212" t="s">
        <v>19</v>
      </c>
      <c r="N31" s="313" t="s">
        <v>1333</v>
      </c>
      <c r="O31" s="276"/>
      <c r="P31" s="295"/>
      <c r="Q31" s="279">
        <f>1</f>
        <v>1</v>
      </c>
      <c r="R31" s="286"/>
      <c r="T31" s="445" t="s">
        <v>98</v>
      </c>
      <c r="U31" s="288"/>
      <c r="X31" s="280">
        <v>11.821796417236328</v>
      </c>
      <c r="Y31" s="267">
        <f t="shared" si="2"/>
        <v>11.821796417236328</v>
      </c>
      <c r="Z31" s="132" t="str">
        <f t="shared" si="3"/>
        <v/>
      </c>
    </row>
    <row r="32" spans="1:26" s="287" customFormat="1" ht="187" x14ac:dyDescent="0.2">
      <c r="A32" s="285"/>
      <c r="B32" s="307" t="s">
        <v>109</v>
      </c>
      <c r="C32" s="308" t="s">
        <v>109</v>
      </c>
      <c r="D32" s="309" t="s">
        <v>1327</v>
      </c>
      <c r="E32" s="296">
        <f t="shared" ref="E32" si="6">LEN(D32)</f>
        <v>265</v>
      </c>
      <c r="F32" s="458" t="s">
        <v>1328</v>
      </c>
      <c r="G32" s="296">
        <f t="shared" si="5"/>
        <v>303</v>
      </c>
      <c r="H32" s="310" t="s">
        <v>30</v>
      </c>
      <c r="I32" s="296" t="s">
        <v>19</v>
      </c>
      <c r="J32" s="296" t="s">
        <v>19</v>
      </c>
      <c r="K32" s="296" t="s">
        <v>31</v>
      </c>
      <c r="L32" s="294" t="s">
        <v>1336</v>
      </c>
      <c r="M32" s="212" t="s">
        <v>19</v>
      </c>
      <c r="N32" s="311" t="s">
        <v>1332</v>
      </c>
      <c r="O32" s="312"/>
      <c r="P32" s="295"/>
      <c r="Q32" s="279">
        <f>1</f>
        <v>1</v>
      </c>
      <c r="R32" s="286"/>
      <c r="T32" s="445" t="s">
        <v>98</v>
      </c>
      <c r="U32" s="288"/>
      <c r="X32" s="280">
        <v>3.1635940074920654</v>
      </c>
      <c r="Y32" s="267">
        <f t="shared" si="2"/>
        <v>3.1635940074920654</v>
      </c>
      <c r="Z32" s="132" t="str">
        <f t="shared" si="3"/>
        <v/>
      </c>
    </row>
    <row r="33" spans="1:27" s="287" customFormat="1" ht="51" x14ac:dyDescent="0.2">
      <c r="A33" s="285"/>
      <c r="B33" s="307" t="s">
        <v>110</v>
      </c>
      <c r="C33" s="308" t="s">
        <v>110</v>
      </c>
      <c r="D33" s="367" t="s">
        <v>693</v>
      </c>
      <c r="E33" s="296">
        <f t="shared" si="4"/>
        <v>73</v>
      </c>
      <c r="F33" s="459" t="s">
        <v>1080</v>
      </c>
      <c r="G33" s="296">
        <f t="shared" si="5"/>
        <v>82</v>
      </c>
      <c r="H33" s="310" t="s">
        <v>21</v>
      </c>
      <c r="I33" s="296" t="s">
        <v>19</v>
      </c>
      <c r="J33" s="296" t="s">
        <v>19</v>
      </c>
      <c r="K33" s="296" t="s">
        <v>22</v>
      </c>
      <c r="L33" s="294" t="s">
        <v>111</v>
      </c>
      <c r="M33" s="212" t="s">
        <v>19</v>
      </c>
      <c r="N33" s="313" t="s">
        <v>112</v>
      </c>
      <c r="O33" s="314"/>
      <c r="P33" s="295"/>
      <c r="Q33" s="279">
        <f>1</f>
        <v>1</v>
      </c>
      <c r="R33" s="286"/>
      <c r="T33" s="445" t="s">
        <v>98</v>
      </c>
      <c r="U33" s="288"/>
      <c r="X33" s="280">
        <v>10.830143928527832</v>
      </c>
      <c r="Y33" s="267">
        <f t="shared" si="2"/>
        <v>10.830143928527832</v>
      </c>
      <c r="Z33" s="132" t="str">
        <f t="shared" si="3"/>
        <v/>
      </c>
    </row>
    <row r="34" spans="1:27" s="287" customFormat="1" ht="102" x14ac:dyDescent="0.2">
      <c r="A34" s="285"/>
      <c r="B34" s="307" t="s">
        <v>113</v>
      </c>
      <c r="C34" s="307" t="s">
        <v>114</v>
      </c>
      <c r="D34" s="367" t="s">
        <v>694</v>
      </c>
      <c r="E34" s="296">
        <f t="shared" si="4"/>
        <v>98</v>
      </c>
      <c r="F34" s="458" t="s">
        <v>1081</v>
      </c>
      <c r="G34" s="296">
        <f t="shared" si="5"/>
        <v>125</v>
      </c>
      <c r="H34" s="310" t="s">
        <v>21</v>
      </c>
      <c r="I34" s="296" t="s">
        <v>19</v>
      </c>
      <c r="J34" s="296" t="s">
        <v>1335</v>
      </c>
      <c r="K34" s="296" t="s">
        <v>22</v>
      </c>
      <c r="L34" s="294" t="s">
        <v>115</v>
      </c>
      <c r="M34" s="212" t="s">
        <v>19</v>
      </c>
      <c r="N34" s="313" t="s">
        <v>1334</v>
      </c>
      <c r="O34" s="276"/>
      <c r="P34" s="295"/>
      <c r="Q34" s="279">
        <f>1</f>
        <v>1</v>
      </c>
      <c r="R34" s="286"/>
      <c r="T34" s="445" t="s">
        <v>98</v>
      </c>
      <c r="U34" s="288"/>
      <c r="X34" s="280">
        <v>11.260416984558105</v>
      </c>
      <c r="Y34" s="267">
        <f t="shared" si="2"/>
        <v>11.260416984558105</v>
      </c>
      <c r="Z34" s="132" t="str">
        <f t="shared" si="3"/>
        <v/>
      </c>
    </row>
    <row r="35" spans="1:27" s="129" customFormat="1" x14ac:dyDescent="0.2">
      <c r="A35" s="64"/>
      <c r="B35" s="240"/>
      <c r="C35" s="240"/>
      <c r="D35" s="68"/>
      <c r="E35" s="65"/>
      <c r="F35" s="65"/>
      <c r="G35" s="65"/>
      <c r="H35" s="66"/>
      <c r="I35" s="65"/>
      <c r="J35" s="65"/>
      <c r="K35" s="65"/>
      <c r="L35" s="67"/>
      <c r="M35" s="72"/>
      <c r="N35" s="69"/>
      <c r="O35" s="70"/>
      <c r="P35" s="61"/>
      <c r="Q35" s="269">
        <f>1</f>
        <v>1</v>
      </c>
      <c r="R35" s="132"/>
      <c r="T35" s="131"/>
      <c r="U35" s="130"/>
      <c r="X35" s="268"/>
      <c r="Y35" s="268" t="str">
        <f t="shared" si="2"/>
        <v/>
      </c>
      <c r="Z35" s="132" t="str">
        <f t="shared" si="3"/>
        <v/>
      </c>
    </row>
    <row r="36" spans="1:27" s="138" customFormat="1" ht="153" x14ac:dyDescent="0.2">
      <c r="A36" s="90">
        <v>3</v>
      </c>
      <c r="B36" s="227" t="s">
        <v>116</v>
      </c>
      <c r="C36" s="137" t="s">
        <v>116</v>
      </c>
      <c r="D36" s="136" t="s">
        <v>786</v>
      </c>
      <c r="E36" s="135">
        <f>LEN(D36)</f>
        <v>226</v>
      </c>
      <c r="F36" s="199" t="s">
        <v>1082</v>
      </c>
      <c r="G36" s="135">
        <f>LEN(F36)</f>
        <v>234</v>
      </c>
      <c r="H36" s="145" t="s">
        <v>30</v>
      </c>
      <c r="I36" s="135" t="s">
        <v>19</v>
      </c>
      <c r="J36" s="135" t="s">
        <v>19</v>
      </c>
      <c r="K36" s="135" t="s">
        <v>790</v>
      </c>
      <c r="L36" s="403" t="s">
        <v>788</v>
      </c>
      <c r="M36" s="212" t="s">
        <v>19</v>
      </c>
      <c r="N36" s="616" t="s">
        <v>117</v>
      </c>
      <c r="O36" s="274"/>
      <c r="P36" s="2"/>
      <c r="Q36" s="264">
        <f>1</f>
        <v>1</v>
      </c>
      <c r="R36" s="132"/>
      <c r="T36" s="450" t="s">
        <v>26</v>
      </c>
      <c r="U36" s="139"/>
      <c r="X36" s="267">
        <v>13.957258919109854</v>
      </c>
      <c r="Y36" s="267">
        <f t="shared" si="2"/>
        <v>13.957258919109854</v>
      </c>
      <c r="Z36" s="132">
        <f t="shared" si="3"/>
        <v>13.957258919109854</v>
      </c>
    </row>
    <row r="37" spans="1:27" s="138" customFormat="1" ht="119" x14ac:dyDescent="0.2">
      <c r="A37" s="38">
        <f>A36+1</f>
        <v>4</v>
      </c>
      <c r="B37" s="177" t="s">
        <v>118</v>
      </c>
      <c r="C37" s="137" t="s">
        <v>118</v>
      </c>
      <c r="D37" s="404" t="s">
        <v>787</v>
      </c>
      <c r="E37" s="143">
        <f>LEN(D37)</f>
        <v>120</v>
      </c>
      <c r="F37" s="404" t="s">
        <v>1083</v>
      </c>
      <c r="G37" s="143">
        <f>LEN(F37)</f>
        <v>119</v>
      </c>
      <c r="H37" s="152" t="s">
        <v>30</v>
      </c>
      <c r="I37" s="143" t="s">
        <v>19</v>
      </c>
      <c r="J37" s="143" t="s">
        <v>19</v>
      </c>
      <c r="K37" s="143" t="s">
        <v>791</v>
      </c>
      <c r="L37" s="405" t="s">
        <v>789</v>
      </c>
      <c r="M37" s="212" t="s">
        <v>19</v>
      </c>
      <c r="N37" s="617"/>
      <c r="O37" s="394"/>
      <c r="P37" s="118"/>
      <c r="Q37" s="264">
        <f>1</f>
        <v>1</v>
      </c>
      <c r="R37" s="132"/>
      <c r="T37" s="450" t="s">
        <v>26</v>
      </c>
      <c r="U37" s="139"/>
      <c r="X37" s="267">
        <v>7.9549989700317383</v>
      </c>
      <c r="Y37" s="267">
        <f t="shared" si="2"/>
        <v>7.9549989700317383</v>
      </c>
      <c r="Z37" s="132">
        <f t="shared" si="3"/>
        <v>7.9549989700317383</v>
      </c>
    </row>
    <row r="38" spans="1:27" s="138" customFormat="1" ht="187" x14ac:dyDescent="0.2">
      <c r="A38" s="104"/>
      <c r="B38" s="229" t="s">
        <v>119</v>
      </c>
      <c r="C38" s="128" t="s">
        <v>119</v>
      </c>
      <c r="D38" s="158" t="s">
        <v>917</v>
      </c>
      <c r="E38" s="406">
        <f>LEN(D38)</f>
        <v>218</v>
      </c>
      <c r="F38" s="457" t="s">
        <v>1084</v>
      </c>
      <c r="G38" s="406">
        <f>LEN(F38)</f>
        <v>302</v>
      </c>
      <c r="H38" s="152" t="s">
        <v>30</v>
      </c>
      <c r="I38" s="152" t="s">
        <v>19</v>
      </c>
      <c r="J38" s="152" t="s">
        <v>19</v>
      </c>
      <c r="K38" s="152" t="s">
        <v>31</v>
      </c>
      <c r="L38" s="142" t="s">
        <v>918</v>
      </c>
      <c r="M38" s="212" t="s">
        <v>19</v>
      </c>
      <c r="N38" s="402"/>
      <c r="O38" s="370"/>
      <c r="P38" s="371"/>
      <c r="Q38" s="267"/>
      <c r="R38" s="267"/>
      <c r="S38" s="132"/>
      <c r="U38" s="190"/>
      <c r="V38" s="139"/>
      <c r="Y38" s="267"/>
      <c r="Z38" s="267"/>
      <c r="AA38" s="132"/>
    </row>
    <row r="39" spans="1:27" s="138" customFormat="1" ht="289" x14ac:dyDescent="0.2">
      <c r="A39" s="104">
        <f>A37+1</f>
        <v>5</v>
      </c>
      <c r="B39" s="229" t="s">
        <v>120</v>
      </c>
      <c r="C39" s="407" t="s">
        <v>120</v>
      </c>
      <c r="D39" s="150" t="s">
        <v>964</v>
      </c>
      <c r="E39" s="126">
        <f>LEN(D39)</f>
        <v>658</v>
      </c>
      <c r="F39" s="460" t="s">
        <v>1209</v>
      </c>
      <c r="G39" s="126">
        <f>LEN(F39)</f>
        <v>705</v>
      </c>
      <c r="H39" s="408" t="s">
        <v>30</v>
      </c>
      <c r="I39" s="126" t="s">
        <v>19</v>
      </c>
      <c r="J39" s="126" t="s">
        <v>19</v>
      </c>
      <c r="K39" s="126" t="s">
        <v>31</v>
      </c>
      <c r="L39" s="409" t="s">
        <v>695</v>
      </c>
      <c r="M39" s="212" t="s">
        <v>19</v>
      </c>
      <c r="N39" s="148" t="s">
        <v>696</v>
      </c>
      <c r="O39" s="79"/>
      <c r="P39" s="17"/>
      <c r="Q39" s="264">
        <f>1</f>
        <v>1</v>
      </c>
      <c r="R39" s="132"/>
      <c r="T39" s="450" t="s">
        <v>26</v>
      </c>
      <c r="U39" s="139"/>
      <c r="X39" s="267">
        <v>24.410839080810547</v>
      </c>
      <c r="Y39" s="267">
        <f t="shared" ref="Y39:Y70" si="7">IF(X39="","",X39*Q39)</f>
        <v>24.410839080810547</v>
      </c>
      <c r="Z39" s="132">
        <f t="shared" si="3"/>
        <v>24.410839080810547</v>
      </c>
    </row>
    <row r="40" spans="1:27" s="138" customFormat="1" ht="17" thickBot="1" x14ac:dyDescent="0.25">
      <c r="A40" s="93"/>
      <c r="B40" s="256"/>
      <c r="C40" s="263"/>
      <c r="D40" s="80"/>
      <c r="E40" s="94"/>
      <c r="F40" s="94"/>
      <c r="G40" s="94"/>
      <c r="H40" s="95"/>
      <c r="I40" s="94"/>
      <c r="J40" s="94"/>
      <c r="K40" s="94"/>
      <c r="L40" s="80"/>
      <c r="M40" s="80"/>
      <c r="N40" s="80"/>
      <c r="O40" s="80"/>
      <c r="P40" s="17"/>
      <c r="Q40" s="269">
        <f>1</f>
        <v>1</v>
      </c>
      <c r="R40" s="132"/>
      <c r="T40" s="190"/>
      <c r="U40" s="139"/>
      <c r="X40" s="268"/>
      <c r="Y40" s="268" t="str">
        <f t="shared" si="7"/>
        <v/>
      </c>
      <c r="Z40" s="132" t="str">
        <f t="shared" si="3"/>
        <v/>
      </c>
    </row>
    <row r="41" spans="1:27" s="138" customFormat="1" ht="17" thickBot="1" x14ac:dyDescent="0.25">
      <c r="A41" s="608" t="s">
        <v>121</v>
      </c>
      <c r="B41" s="609"/>
      <c r="C41" s="609"/>
      <c r="D41" s="609"/>
      <c r="E41" s="609"/>
      <c r="F41" s="609"/>
      <c r="G41" s="609"/>
      <c r="H41" s="609"/>
      <c r="I41" s="609"/>
      <c r="J41" s="609"/>
      <c r="K41" s="609"/>
      <c r="L41" s="609"/>
      <c r="M41" s="609"/>
      <c r="N41" s="609"/>
      <c r="O41" s="609"/>
      <c r="P41" s="610"/>
      <c r="Q41" s="269"/>
      <c r="R41" s="132"/>
      <c r="T41" s="140"/>
      <c r="U41" s="139"/>
      <c r="X41" s="268"/>
      <c r="Y41" s="267" t="str">
        <f t="shared" si="7"/>
        <v/>
      </c>
      <c r="Z41" s="132" t="str">
        <f t="shared" si="3"/>
        <v/>
      </c>
    </row>
    <row r="42" spans="1:27" s="138" customFormat="1" x14ac:dyDescent="0.2">
      <c r="A42" s="187"/>
      <c r="B42" s="187"/>
      <c r="C42" s="187"/>
      <c r="D42" s="97"/>
      <c r="E42" s="187"/>
      <c r="F42" s="97"/>
      <c r="G42" s="187"/>
      <c r="H42" s="187"/>
      <c r="I42" s="187"/>
      <c r="J42" s="187"/>
      <c r="K42" s="187"/>
      <c r="L42" s="187"/>
      <c r="M42" s="187"/>
      <c r="N42" s="187"/>
      <c r="O42" s="187"/>
      <c r="P42" s="42"/>
      <c r="Q42" s="269">
        <f>1</f>
        <v>1</v>
      </c>
      <c r="R42" s="132"/>
      <c r="T42" s="140"/>
      <c r="U42" s="139"/>
      <c r="X42" s="268"/>
      <c r="Y42" s="268" t="str">
        <f t="shared" si="7"/>
        <v/>
      </c>
      <c r="Z42" s="132" t="str">
        <f t="shared" si="3"/>
        <v/>
      </c>
    </row>
    <row r="43" spans="1:27" s="373" customFormat="1" ht="153" x14ac:dyDescent="0.2">
      <c r="A43" s="369">
        <f>A39+1</f>
        <v>6</v>
      </c>
      <c r="B43" s="399" t="s">
        <v>659</v>
      </c>
      <c r="C43" s="400" t="s">
        <v>659</v>
      </c>
      <c r="D43" s="401" t="s">
        <v>660</v>
      </c>
      <c r="E43" s="400">
        <f>LEN(D43)</f>
        <v>97</v>
      </c>
      <c r="F43" s="457" t="s">
        <v>1300</v>
      </c>
      <c r="G43" s="400">
        <f>LEN(F43)</f>
        <v>100</v>
      </c>
      <c r="H43" s="400" t="s">
        <v>30</v>
      </c>
      <c r="I43" s="400" t="s">
        <v>19</v>
      </c>
      <c r="J43" s="400" t="s">
        <v>19</v>
      </c>
      <c r="K43" s="400" t="s">
        <v>31</v>
      </c>
      <c r="L43" s="402" t="s">
        <v>661</v>
      </c>
      <c r="M43" s="212" t="s">
        <v>19</v>
      </c>
      <c r="N43" s="402" t="s">
        <v>697</v>
      </c>
      <c r="O43" s="370"/>
      <c r="P43" s="371"/>
      <c r="Q43" s="368">
        <v>1</v>
      </c>
      <c r="R43" s="372"/>
      <c r="T43" s="449" t="s">
        <v>26</v>
      </c>
      <c r="U43" s="374"/>
      <c r="X43" s="456">
        <v>10.5</v>
      </c>
      <c r="Y43" s="267">
        <f t="shared" si="7"/>
        <v>10.5</v>
      </c>
      <c r="Z43" s="372">
        <f t="shared" si="3"/>
        <v>10.5</v>
      </c>
    </row>
    <row r="44" spans="1:27" s="138" customFormat="1" ht="136" x14ac:dyDescent="0.2">
      <c r="A44" s="90">
        <f>A43+1</f>
        <v>7</v>
      </c>
      <c r="B44" s="227" t="s">
        <v>122</v>
      </c>
      <c r="C44" s="137" t="s">
        <v>122</v>
      </c>
      <c r="D44" s="189" t="s">
        <v>123</v>
      </c>
      <c r="E44" s="135">
        <f>LEN(D44)</f>
        <v>116</v>
      </c>
      <c r="F44" s="457" t="s">
        <v>1085</v>
      </c>
      <c r="G44" s="135">
        <f>LEN(F44)</f>
        <v>132</v>
      </c>
      <c r="H44" s="137" t="s">
        <v>30</v>
      </c>
      <c r="I44" s="135" t="s">
        <v>19</v>
      </c>
      <c r="J44" s="135" t="s">
        <v>19</v>
      </c>
      <c r="K44" s="135" t="s">
        <v>31</v>
      </c>
      <c r="L44" s="134" t="s">
        <v>124</v>
      </c>
      <c r="M44" s="212" t="s">
        <v>19</v>
      </c>
      <c r="N44" s="134" t="s">
        <v>125</v>
      </c>
      <c r="O44" s="78"/>
      <c r="P44" s="42"/>
      <c r="Q44" s="264">
        <f>1</f>
        <v>1</v>
      </c>
      <c r="R44" s="132"/>
      <c r="T44" s="444" t="s">
        <v>26</v>
      </c>
      <c r="U44" s="139"/>
      <c r="X44" s="267">
        <v>10.504533767700195</v>
      </c>
      <c r="Y44" s="267">
        <f t="shared" si="7"/>
        <v>10.504533767700195</v>
      </c>
      <c r="Z44" s="132">
        <f t="shared" si="3"/>
        <v>10.504533767700195</v>
      </c>
    </row>
    <row r="45" spans="1:27" s="138" customFormat="1" x14ac:dyDescent="0.2">
      <c r="A45" s="90"/>
      <c r="B45" s="255"/>
      <c r="C45" s="91"/>
      <c r="D45" s="96"/>
      <c r="E45" s="97"/>
      <c r="F45" s="97"/>
      <c r="G45" s="97"/>
      <c r="H45" s="91"/>
      <c r="I45" s="97"/>
      <c r="J45" s="97"/>
      <c r="K45" s="97"/>
      <c r="L45" s="78"/>
      <c r="M45" s="78"/>
      <c r="N45" s="78"/>
      <c r="O45" s="78"/>
      <c r="P45" s="42"/>
      <c r="Q45" s="269">
        <f>1</f>
        <v>1</v>
      </c>
      <c r="R45" s="132"/>
      <c r="T45" s="140"/>
      <c r="U45" s="139"/>
      <c r="X45" s="268"/>
      <c r="Y45" s="268" t="str">
        <f t="shared" si="7"/>
        <v/>
      </c>
      <c r="Z45" s="132" t="str">
        <f t="shared" si="3"/>
        <v/>
      </c>
    </row>
    <row r="46" spans="1:27" s="138" customFormat="1" ht="187" x14ac:dyDescent="0.2">
      <c r="A46" s="38">
        <f>A44+1</f>
        <v>8</v>
      </c>
      <c r="B46" s="177" t="s">
        <v>126</v>
      </c>
      <c r="C46" s="137" t="s">
        <v>126</v>
      </c>
      <c r="D46" s="410" t="s">
        <v>127</v>
      </c>
      <c r="E46" s="143">
        <f>LEN(D46)</f>
        <v>314</v>
      </c>
      <c r="F46" s="457" t="s">
        <v>1086</v>
      </c>
      <c r="G46" s="143">
        <f>LEN(F46)</f>
        <v>299</v>
      </c>
      <c r="H46" s="144" t="s">
        <v>30</v>
      </c>
      <c r="I46" s="143" t="s">
        <v>19</v>
      </c>
      <c r="J46" s="143" t="s">
        <v>19</v>
      </c>
      <c r="K46" s="143" t="s">
        <v>31</v>
      </c>
      <c r="L46" s="142" t="s">
        <v>128</v>
      </c>
      <c r="M46" s="212" t="s">
        <v>19</v>
      </c>
      <c r="N46" s="134" t="s">
        <v>129</v>
      </c>
      <c r="O46" s="78"/>
      <c r="P46" s="17"/>
      <c r="Q46" s="264">
        <f>1</f>
        <v>1</v>
      </c>
      <c r="R46" s="132"/>
      <c r="T46" s="444" t="s">
        <v>26</v>
      </c>
      <c r="U46" s="139"/>
      <c r="X46" s="267">
        <v>12.42189884185791</v>
      </c>
      <c r="Y46" s="267">
        <f t="shared" si="7"/>
        <v>12.42189884185791</v>
      </c>
      <c r="Z46" s="132">
        <f t="shared" si="3"/>
        <v>12.42189884185791</v>
      </c>
    </row>
    <row r="47" spans="1:27" s="138" customFormat="1" x14ac:dyDescent="0.2">
      <c r="A47" s="38"/>
      <c r="B47" s="175"/>
      <c r="C47" s="91"/>
      <c r="D47" s="39"/>
      <c r="E47" s="40"/>
      <c r="F47" s="39"/>
      <c r="G47" s="40"/>
      <c r="H47" s="41"/>
      <c r="I47" s="40"/>
      <c r="J47" s="40"/>
      <c r="K47" s="40"/>
      <c r="L47" s="86"/>
      <c r="M47" s="78"/>
      <c r="N47" s="78"/>
      <c r="O47" s="78"/>
      <c r="P47" s="17"/>
      <c r="Q47" s="269">
        <f>1</f>
        <v>1</v>
      </c>
      <c r="R47" s="132"/>
      <c r="T47" s="140"/>
      <c r="U47" s="139"/>
      <c r="X47" s="268"/>
      <c r="Y47" s="268" t="str">
        <f t="shared" si="7"/>
        <v/>
      </c>
      <c r="Z47" s="132" t="str">
        <f t="shared" si="3"/>
        <v/>
      </c>
    </row>
    <row r="48" spans="1:27" s="138" customFormat="1" ht="272" x14ac:dyDescent="0.2">
      <c r="A48" s="38">
        <f>A46+1</f>
        <v>9</v>
      </c>
      <c r="B48" s="175" t="s">
        <v>130</v>
      </c>
      <c r="C48" s="174" t="s">
        <v>130</v>
      </c>
      <c r="D48" s="39" t="s">
        <v>968</v>
      </c>
      <c r="E48" s="40">
        <f>LEN(D48)</f>
        <v>313</v>
      </c>
      <c r="F48" s="171" t="s">
        <v>1210</v>
      </c>
      <c r="G48" s="40">
        <f>LEN(F48)</f>
        <v>366</v>
      </c>
      <c r="H48" s="41" t="s">
        <v>30</v>
      </c>
      <c r="I48" s="40" t="s">
        <v>19</v>
      </c>
      <c r="J48" s="40" t="s">
        <v>19</v>
      </c>
      <c r="K48" s="40" t="s">
        <v>31</v>
      </c>
      <c r="L48" s="239" t="s">
        <v>131</v>
      </c>
      <c r="M48" s="72" t="s">
        <v>19</v>
      </c>
      <c r="N48" s="173" t="s">
        <v>132</v>
      </c>
      <c r="O48" s="56"/>
      <c r="P48" s="618" t="s">
        <v>698</v>
      </c>
      <c r="Q48" s="269">
        <f>1</f>
        <v>1</v>
      </c>
      <c r="R48" s="132"/>
      <c r="T48" s="140" t="s">
        <v>26</v>
      </c>
      <c r="U48" s="139"/>
      <c r="X48" s="268">
        <v>16.615655899047852</v>
      </c>
      <c r="Y48" s="268">
        <f t="shared" si="7"/>
        <v>16.615655899047852</v>
      </c>
      <c r="Z48" s="132">
        <f t="shared" si="3"/>
        <v>16.615655899047852</v>
      </c>
    </row>
    <row r="49" spans="1:26" s="138" customFormat="1" ht="187" x14ac:dyDescent="0.2">
      <c r="A49" s="38">
        <v>9</v>
      </c>
      <c r="B49" s="175" t="s">
        <v>133</v>
      </c>
      <c r="C49" s="174" t="s">
        <v>133</v>
      </c>
      <c r="D49" s="39" t="s">
        <v>925</v>
      </c>
      <c r="E49" s="40">
        <f>LEN(D49)</f>
        <v>312</v>
      </c>
      <c r="F49" s="171" t="s">
        <v>1211</v>
      </c>
      <c r="G49" s="40">
        <f>LEN(F49)</f>
        <v>334</v>
      </c>
      <c r="H49" s="41" t="s">
        <v>30</v>
      </c>
      <c r="I49" s="40" t="s">
        <v>19</v>
      </c>
      <c r="J49" s="40" t="s">
        <v>19</v>
      </c>
      <c r="K49" s="40" t="s">
        <v>31</v>
      </c>
      <c r="L49" s="239" t="s">
        <v>134</v>
      </c>
      <c r="M49" s="72" t="s">
        <v>19</v>
      </c>
      <c r="N49" s="173" t="s">
        <v>132</v>
      </c>
      <c r="O49" s="56"/>
      <c r="P49" s="619"/>
      <c r="Q49" s="269">
        <f>1</f>
        <v>1</v>
      </c>
      <c r="R49" s="132"/>
      <c r="T49" s="140" t="s">
        <v>26</v>
      </c>
      <c r="U49" s="139"/>
      <c r="X49" s="268">
        <v>12.600021362304688</v>
      </c>
      <c r="Y49" s="268">
        <f t="shared" si="7"/>
        <v>12.600021362304688</v>
      </c>
      <c r="Z49" s="132">
        <f t="shared" si="3"/>
        <v>12.600021362304688</v>
      </c>
    </row>
    <row r="50" spans="1:26" s="138" customFormat="1" ht="204" x14ac:dyDescent="0.2">
      <c r="A50" s="38">
        <v>9</v>
      </c>
      <c r="B50" s="175" t="s">
        <v>135</v>
      </c>
      <c r="C50" s="174" t="s">
        <v>135</v>
      </c>
      <c r="D50" s="39" t="s">
        <v>700</v>
      </c>
      <c r="E50" s="40">
        <f>LEN(D50)</f>
        <v>255</v>
      </c>
      <c r="F50" s="171" t="s">
        <v>1212</v>
      </c>
      <c r="G50" s="40">
        <f>LEN(F50)</f>
        <v>271</v>
      </c>
      <c r="H50" s="41" t="s">
        <v>30</v>
      </c>
      <c r="I50" s="40" t="s">
        <v>19</v>
      </c>
      <c r="J50" s="40" t="s">
        <v>19</v>
      </c>
      <c r="K50" s="40" t="s">
        <v>31</v>
      </c>
      <c r="L50" s="375" t="s">
        <v>699</v>
      </c>
      <c r="M50" s="72" t="s">
        <v>19</v>
      </c>
      <c r="N50" s="173" t="s">
        <v>132</v>
      </c>
      <c r="O50" s="56"/>
      <c r="P50" s="620"/>
      <c r="Q50" s="269">
        <f>1</f>
        <v>1</v>
      </c>
      <c r="R50" s="132"/>
      <c r="T50" s="140" t="s">
        <v>26</v>
      </c>
      <c r="U50" s="139"/>
      <c r="X50" s="268">
        <v>11.655922889709473</v>
      </c>
      <c r="Y50" s="268">
        <f t="shared" si="7"/>
        <v>11.655922889709473</v>
      </c>
      <c r="Z50" s="132">
        <f t="shared" si="3"/>
        <v>11.655922889709473</v>
      </c>
    </row>
    <row r="51" spans="1:26" s="138" customFormat="1" x14ac:dyDescent="0.2">
      <c r="A51" s="38"/>
      <c r="B51" s="175"/>
      <c r="C51" s="260"/>
      <c r="D51" s="348"/>
      <c r="E51" s="97"/>
      <c r="F51" s="97"/>
      <c r="G51" s="97"/>
      <c r="H51" s="91"/>
      <c r="I51" s="97"/>
      <c r="J51" s="97"/>
      <c r="K51" s="97"/>
      <c r="L51" s="111"/>
      <c r="M51" s="78"/>
      <c r="N51" s="262"/>
      <c r="O51" s="262"/>
      <c r="P51" s="333"/>
      <c r="Q51" s="269">
        <f>1</f>
        <v>1</v>
      </c>
      <c r="R51" s="132"/>
      <c r="T51" s="140"/>
      <c r="U51" s="139"/>
      <c r="X51" s="268"/>
      <c r="Y51" s="268" t="str">
        <f t="shared" si="7"/>
        <v/>
      </c>
      <c r="Z51" s="132" t="str">
        <f t="shared" si="3"/>
        <v/>
      </c>
    </row>
    <row r="52" spans="1:26" s="138" customFormat="1" ht="409.5" customHeight="1" x14ac:dyDescent="0.2">
      <c r="A52" s="6">
        <f>A50+1</f>
        <v>10</v>
      </c>
      <c r="B52" s="228" t="s">
        <v>136</v>
      </c>
      <c r="C52" s="9" t="s">
        <v>136</v>
      </c>
      <c r="D52" s="7" t="s">
        <v>137</v>
      </c>
      <c r="E52" s="8">
        <f t="shared" ref="E52:E57" si="8">LEN(D52)</f>
        <v>1333</v>
      </c>
      <c r="F52" s="7" t="s">
        <v>1087</v>
      </c>
      <c r="G52" s="8">
        <f t="shared" ref="G52:G57" si="9">LEN(F52)</f>
        <v>1369</v>
      </c>
      <c r="H52" s="9" t="s">
        <v>30</v>
      </c>
      <c r="I52" s="8" t="s">
        <v>19</v>
      </c>
      <c r="J52" s="8" t="s">
        <v>19</v>
      </c>
      <c r="K52" s="8" t="s">
        <v>31</v>
      </c>
      <c r="L52" s="10" t="s">
        <v>792</v>
      </c>
      <c r="M52" s="72" t="s">
        <v>19</v>
      </c>
      <c r="N52" s="30" t="s">
        <v>662</v>
      </c>
      <c r="O52" s="53"/>
      <c r="P52" s="42"/>
      <c r="Q52" s="269">
        <f>1</f>
        <v>1</v>
      </c>
      <c r="R52" s="132"/>
      <c r="T52" s="140" t="s">
        <v>18</v>
      </c>
      <c r="U52" s="139"/>
      <c r="X52" s="268">
        <v>13.220664978027344</v>
      </c>
      <c r="Y52" s="268">
        <f t="shared" si="7"/>
        <v>13.220664978027344</v>
      </c>
      <c r="Z52" s="132" t="str">
        <f t="shared" si="3"/>
        <v/>
      </c>
    </row>
    <row r="53" spans="1:26" s="138" customFormat="1" ht="102" x14ac:dyDescent="0.2">
      <c r="A53" s="6">
        <f>A52+1</f>
        <v>11</v>
      </c>
      <c r="B53" s="228" t="s">
        <v>138</v>
      </c>
      <c r="C53" s="13" t="s">
        <v>138</v>
      </c>
      <c r="D53" s="11" t="s">
        <v>701</v>
      </c>
      <c r="E53" s="12">
        <f t="shared" si="8"/>
        <v>269</v>
      </c>
      <c r="F53" s="11" t="s">
        <v>1088</v>
      </c>
      <c r="G53" s="12">
        <f t="shared" si="9"/>
        <v>273</v>
      </c>
      <c r="H53" s="13" t="s">
        <v>92</v>
      </c>
      <c r="I53" s="12" t="s">
        <v>19</v>
      </c>
      <c r="J53" s="12" t="s">
        <v>19</v>
      </c>
      <c r="K53" s="12" t="s">
        <v>22</v>
      </c>
      <c r="L53" s="14" t="s">
        <v>139</v>
      </c>
      <c r="M53" s="72" t="s">
        <v>19</v>
      </c>
      <c r="N53" s="30" t="s">
        <v>662</v>
      </c>
      <c r="O53" s="53"/>
      <c r="P53" s="2"/>
      <c r="Q53" s="269">
        <f>1</f>
        <v>1</v>
      </c>
      <c r="R53" s="132"/>
      <c r="T53" s="140" t="s">
        <v>18</v>
      </c>
      <c r="U53" s="139"/>
      <c r="X53" s="268">
        <v>16.902294158935547</v>
      </c>
      <c r="Y53" s="268">
        <f t="shared" si="7"/>
        <v>16.902294158935547</v>
      </c>
      <c r="Z53" s="132" t="str">
        <f t="shared" si="3"/>
        <v/>
      </c>
    </row>
    <row r="54" spans="1:26" s="138" customFormat="1" ht="238" x14ac:dyDescent="0.2">
      <c r="A54" s="6">
        <f>A53+1</f>
        <v>12</v>
      </c>
      <c r="B54" s="228" t="s">
        <v>140</v>
      </c>
      <c r="C54" s="237" t="s">
        <v>702</v>
      </c>
      <c r="D54" s="11" t="s">
        <v>926</v>
      </c>
      <c r="E54" s="12">
        <f t="shared" si="8"/>
        <v>406</v>
      </c>
      <c r="F54" s="461" t="s">
        <v>1213</v>
      </c>
      <c r="G54" s="12">
        <f t="shared" si="9"/>
        <v>459</v>
      </c>
      <c r="H54" s="13" t="s">
        <v>141</v>
      </c>
      <c r="I54" s="12" t="s">
        <v>19</v>
      </c>
      <c r="J54" s="12" t="s">
        <v>19</v>
      </c>
      <c r="K54" s="12" t="s">
        <v>794</v>
      </c>
      <c r="L54" s="14" t="s">
        <v>704</v>
      </c>
      <c r="M54" s="72" t="s">
        <v>861</v>
      </c>
      <c r="N54" s="30" t="s">
        <v>662</v>
      </c>
      <c r="O54" s="53"/>
      <c r="P54" s="62" t="s">
        <v>143</v>
      </c>
      <c r="Q54" s="269">
        <f>1</f>
        <v>1</v>
      </c>
      <c r="R54" s="132"/>
      <c r="T54" s="140" t="s">
        <v>18</v>
      </c>
      <c r="U54" s="139"/>
      <c r="X54" s="268">
        <v>16.957803726196289</v>
      </c>
      <c r="Y54" s="268">
        <f t="shared" si="7"/>
        <v>16.957803726196289</v>
      </c>
      <c r="Z54" s="132" t="str">
        <f t="shared" si="3"/>
        <v/>
      </c>
    </row>
    <row r="55" spans="1:26" s="138" customFormat="1" ht="272" x14ac:dyDescent="0.2">
      <c r="A55" s="6">
        <f>A54+1</f>
        <v>13</v>
      </c>
      <c r="B55" s="228" t="s">
        <v>144</v>
      </c>
      <c r="C55" s="237" t="s">
        <v>703</v>
      </c>
      <c r="D55" s="11" t="s">
        <v>949</v>
      </c>
      <c r="E55" s="12">
        <f t="shared" si="8"/>
        <v>336</v>
      </c>
      <c r="F55" s="11" t="s">
        <v>1214</v>
      </c>
      <c r="G55" s="12">
        <f t="shared" si="9"/>
        <v>363</v>
      </c>
      <c r="H55" s="13" t="s">
        <v>141</v>
      </c>
      <c r="I55" s="12" t="s">
        <v>19</v>
      </c>
      <c r="J55" s="12" t="s">
        <v>19</v>
      </c>
      <c r="K55" s="12" t="s">
        <v>793</v>
      </c>
      <c r="L55" s="14" t="s">
        <v>705</v>
      </c>
      <c r="M55" s="72" t="s">
        <v>862</v>
      </c>
      <c r="N55" s="30" t="s">
        <v>662</v>
      </c>
      <c r="O55" s="53"/>
      <c r="P55" s="62" t="s">
        <v>143</v>
      </c>
      <c r="Q55" s="269">
        <f>1</f>
        <v>1</v>
      </c>
      <c r="R55" s="132"/>
      <c r="T55" s="140" t="s">
        <v>18</v>
      </c>
      <c r="U55" s="139"/>
      <c r="X55" s="268">
        <v>11.022028923034668</v>
      </c>
      <c r="Y55" s="268">
        <f t="shared" si="7"/>
        <v>11.022028923034668</v>
      </c>
      <c r="Z55" s="132" t="str">
        <f t="shared" si="3"/>
        <v/>
      </c>
    </row>
    <row r="56" spans="1:26" s="138" customFormat="1" ht="187" x14ac:dyDescent="0.2">
      <c r="A56" s="6">
        <f>A55+1</f>
        <v>14</v>
      </c>
      <c r="B56" s="233" t="s">
        <v>145</v>
      </c>
      <c r="C56" s="232" t="s">
        <v>145</v>
      </c>
      <c r="D56" s="7" t="s">
        <v>146</v>
      </c>
      <c r="E56" s="15">
        <f t="shared" si="8"/>
        <v>180</v>
      </c>
      <c r="F56" s="11" t="s">
        <v>1089</v>
      </c>
      <c r="G56" s="15">
        <f t="shared" si="9"/>
        <v>193</v>
      </c>
      <c r="H56" s="13" t="s">
        <v>30</v>
      </c>
      <c r="I56" s="16" t="s">
        <v>19</v>
      </c>
      <c r="J56" s="16" t="s">
        <v>19</v>
      </c>
      <c r="K56" s="12" t="s">
        <v>31</v>
      </c>
      <c r="L56" s="14" t="s">
        <v>147</v>
      </c>
      <c r="M56" s="72" t="s">
        <v>19</v>
      </c>
      <c r="N56" s="30" t="s">
        <v>662</v>
      </c>
      <c r="O56" s="108"/>
      <c r="P56" s="17"/>
      <c r="Q56" s="269">
        <f>1</f>
        <v>1</v>
      </c>
      <c r="R56" s="132"/>
      <c r="T56" s="140" t="s">
        <v>18</v>
      </c>
      <c r="U56" s="139"/>
      <c r="X56" s="268">
        <v>9.9618663787841797</v>
      </c>
      <c r="Y56" s="268">
        <f t="shared" si="7"/>
        <v>9.9618663787841797</v>
      </c>
      <c r="Z56" s="132" t="str">
        <f t="shared" si="3"/>
        <v/>
      </c>
    </row>
    <row r="57" spans="1:26" s="138" customFormat="1" ht="171" thickBot="1" x14ac:dyDescent="0.25">
      <c r="A57" s="6">
        <f>A56+1</f>
        <v>15</v>
      </c>
      <c r="B57" s="230" t="s">
        <v>148</v>
      </c>
      <c r="C57" s="231" t="s">
        <v>148</v>
      </c>
      <c r="D57" s="19" t="s">
        <v>149</v>
      </c>
      <c r="E57" s="15">
        <f t="shared" si="8"/>
        <v>133</v>
      </c>
      <c r="F57" s="462" t="s">
        <v>1090</v>
      </c>
      <c r="G57" s="15">
        <f t="shared" si="9"/>
        <v>163</v>
      </c>
      <c r="H57" s="13" t="s">
        <v>30</v>
      </c>
      <c r="I57" s="15" t="s">
        <v>19</v>
      </c>
      <c r="J57" s="15" t="s">
        <v>19</v>
      </c>
      <c r="K57" s="12" t="s">
        <v>31</v>
      </c>
      <c r="L57" s="14" t="s">
        <v>150</v>
      </c>
      <c r="M57" s="72" t="s">
        <v>19</v>
      </c>
      <c r="N57" s="30" t="s">
        <v>662</v>
      </c>
      <c r="O57" s="57"/>
      <c r="P57" s="2"/>
      <c r="Q57" s="269">
        <f>1</f>
        <v>1</v>
      </c>
      <c r="R57" s="132"/>
      <c r="T57" s="140" t="s">
        <v>18</v>
      </c>
      <c r="U57" s="139"/>
      <c r="X57" s="268">
        <v>7.02484130859375</v>
      </c>
      <c r="Y57" s="268">
        <f t="shared" si="7"/>
        <v>7.02484130859375</v>
      </c>
      <c r="Z57" s="132" t="str">
        <f t="shared" si="3"/>
        <v/>
      </c>
    </row>
    <row r="58" spans="1:26" s="435" customFormat="1" ht="17" thickBot="1" x14ac:dyDescent="0.25">
      <c r="A58" s="608" t="s">
        <v>151</v>
      </c>
      <c r="B58" s="609"/>
      <c r="C58" s="609"/>
      <c r="D58" s="609"/>
      <c r="E58" s="609"/>
      <c r="F58" s="609"/>
      <c r="G58" s="609"/>
      <c r="H58" s="609"/>
      <c r="I58" s="609"/>
      <c r="J58" s="609"/>
      <c r="K58" s="609"/>
      <c r="L58" s="609"/>
      <c r="M58" s="609"/>
      <c r="N58" s="609"/>
      <c r="O58" s="609"/>
      <c r="P58" s="610"/>
      <c r="Q58" s="264"/>
      <c r="R58" s="446"/>
      <c r="T58" s="444"/>
      <c r="U58" s="447"/>
      <c r="X58" s="267"/>
      <c r="Y58" s="267" t="str">
        <f t="shared" si="7"/>
        <v/>
      </c>
      <c r="Z58" s="446" t="str">
        <f t="shared" si="3"/>
        <v/>
      </c>
    </row>
    <row r="59" spans="1:26" s="138" customFormat="1" x14ac:dyDescent="0.2">
      <c r="A59" s="187"/>
      <c r="B59" s="187"/>
      <c r="C59" s="187"/>
      <c r="D59" s="97"/>
      <c r="E59" s="187"/>
      <c r="F59" s="187"/>
      <c r="G59" s="187"/>
      <c r="H59" s="187"/>
      <c r="I59" s="187"/>
      <c r="J59" s="187"/>
      <c r="K59" s="187"/>
      <c r="L59" s="187"/>
      <c r="M59" s="78"/>
      <c r="N59" s="187"/>
      <c r="O59" s="187"/>
      <c r="P59" s="42"/>
      <c r="Q59" s="269">
        <f>1</f>
        <v>1</v>
      </c>
      <c r="R59" s="132"/>
      <c r="T59" s="140"/>
      <c r="U59" s="139"/>
      <c r="X59" s="268"/>
      <c r="Y59" s="268" t="str">
        <f t="shared" si="7"/>
        <v/>
      </c>
      <c r="Z59" s="132" t="str">
        <f t="shared" si="3"/>
        <v/>
      </c>
    </row>
    <row r="60" spans="1:26" s="138" customFormat="1" ht="409" customHeight="1" x14ac:dyDescent="0.2">
      <c r="A60" s="90">
        <f>A57+1</f>
        <v>16</v>
      </c>
      <c r="B60" s="227" t="s">
        <v>152</v>
      </c>
      <c r="C60" s="137" t="s">
        <v>152</v>
      </c>
      <c r="D60" s="136" t="s">
        <v>898</v>
      </c>
      <c r="E60" s="135">
        <f>LEN(D60)</f>
        <v>1204</v>
      </c>
      <c r="F60" s="463" t="s">
        <v>1301</v>
      </c>
      <c r="G60" s="135">
        <f>LEN(F60)</f>
        <v>1296</v>
      </c>
      <c r="H60" s="137" t="s">
        <v>30</v>
      </c>
      <c r="I60" s="135" t="s">
        <v>19</v>
      </c>
      <c r="J60" s="135" t="s">
        <v>19</v>
      </c>
      <c r="K60" s="135" t="s">
        <v>795</v>
      </c>
      <c r="L60" s="134" t="s">
        <v>950</v>
      </c>
      <c r="M60" s="212" t="s">
        <v>19</v>
      </c>
      <c r="N60" s="141" t="s">
        <v>951</v>
      </c>
      <c r="O60" s="43"/>
      <c r="P60" s="42"/>
      <c r="Q60" s="264">
        <f>1</f>
        <v>1</v>
      </c>
      <c r="R60" s="132"/>
      <c r="T60" s="444" t="s">
        <v>26</v>
      </c>
      <c r="U60" s="139"/>
      <c r="X60" s="267">
        <v>31.888334274291992</v>
      </c>
      <c r="Y60" s="267">
        <f t="shared" si="7"/>
        <v>31.888334274291992</v>
      </c>
      <c r="Z60" s="132">
        <f t="shared" si="3"/>
        <v>31.888334274291992</v>
      </c>
    </row>
    <row r="61" spans="1:26" s="138" customFormat="1" ht="136" x14ac:dyDescent="0.2">
      <c r="A61" s="90"/>
      <c r="B61" s="227" t="s">
        <v>799</v>
      </c>
      <c r="C61" s="238" t="s">
        <v>927</v>
      </c>
      <c r="D61" s="142" t="s">
        <v>797</v>
      </c>
      <c r="E61" s="135">
        <f>LEN(D61)</f>
        <v>143</v>
      </c>
      <c r="F61" s="426" t="s">
        <v>1215</v>
      </c>
      <c r="G61" s="135">
        <f>LEN(F61)</f>
        <v>146</v>
      </c>
      <c r="H61" s="137" t="s">
        <v>30</v>
      </c>
      <c r="I61" s="135" t="s">
        <v>19</v>
      </c>
      <c r="J61" s="135" t="s">
        <v>19</v>
      </c>
      <c r="K61" s="135" t="s">
        <v>31</v>
      </c>
      <c r="L61" s="134" t="s">
        <v>154</v>
      </c>
      <c r="M61" s="212" t="s">
        <v>19</v>
      </c>
      <c r="N61" s="141" t="s">
        <v>820</v>
      </c>
      <c r="O61" s="43"/>
      <c r="P61" s="42"/>
      <c r="Q61" s="264">
        <f>1</f>
        <v>1</v>
      </c>
      <c r="R61" s="132"/>
      <c r="T61" s="444" t="s">
        <v>26</v>
      </c>
      <c r="U61" s="139"/>
      <c r="X61" s="267">
        <v>8</v>
      </c>
      <c r="Y61" s="267">
        <f t="shared" si="7"/>
        <v>8</v>
      </c>
      <c r="Z61" s="132">
        <f t="shared" si="3"/>
        <v>8</v>
      </c>
    </row>
    <row r="62" spans="1:26" s="138" customFormat="1" ht="153" x14ac:dyDescent="0.2">
      <c r="A62" s="90"/>
      <c r="B62" s="227" t="s">
        <v>800</v>
      </c>
      <c r="C62" s="238" t="s">
        <v>928</v>
      </c>
      <c r="D62" s="142" t="s">
        <v>952</v>
      </c>
      <c r="E62" s="135">
        <f>LEN(D62)</f>
        <v>170</v>
      </c>
      <c r="F62" s="426" t="s">
        <v>1216</v>
      </c>
      <c r="G62" s="135">
        <f>LEN(F62)</f>
        <v>178</v>
      </c>
      <c r="H62" s="137" t="s">
        <v>30</v>
      </c>
      <c r="I62" s="135" t="s">
        <v>19</v>
      </c>
      <c r="J62" s="135" t="s">
        <v>19</v>
      </c>
      <c r="K62" s="135" t="s">
        <v>31</v>
      </c>
      <c r="L62" s="134" t="s">
        <v>154</v>
      </c>
      <c r="M62" s="212" t="s">
        <v>19</v>
      </c>
      <c r="N62" s="141" t="s">
        <v>821</v>
      </c>
      <c r="O62" s="43"/>
      <c r="P62" s="42"/>
      <c r="Q62" s="264">
        <f>1</f>
        <v>1</v>
      </c>
      <c r="R62" s="132"/>
      <c r="T62" s="444" t="s">
        <v>26</v>
      </c>
      <c r="U62" s="139"/>
      <c r="X62" s="267">
        <v>8</v>
      </c>
      <c r="Y62" s="267">
        <f t="shared" si="7"/>
        <v>8</v>
      </c>
      <c r="Z62" s="132">
        <f>IF(T62="yes",Y62,"")</f>
        <v>8</v>
      </c>
    </row>
    <row r="63" spans="1:26" s="138" customFormat="1" ht="153" x14ac:dyDescent="0.2">
      <c r="A63" s="90"/>
      <c r="B63" s="227" t="s">
        <v>801</v>
      </c>
      <c r="C63" s="238" t="s">
        <v>929</v>
      </c>
      <c r="D63" s="142" t="s">
        <v>798</v>
      </c>
      <c r="E63" s="135">
        <f>LEN(D63)</f>
        <v>176</v>
      </c>
      <c r="F63" s="426" t="s">
        <v>1217</v>
      </c>
      <c r="G63" s="135">
        <f>LEN(F65)</f>
        <v>275</v>
      </c>
      <c r="H63" s="137" t="s">
        <v>30</v>
      </c>
      <c r="I63" s="135" t="s">
        <v>19</v>
      </c>
      <c r="J63" s="135" t="s">
        <v>19</v>
      </c>
      <c r="K63" s="135" t="s">
        <v>31</v>
      </c>
      <c r="L63" s="134" t="s">
        <v>154</v>
      </c>
      <c r="M63" s="212" t="s">
        <v>19</v>
      </c>
      <c r="N63" s="141" t="s">
        <v>822</v>
      </c>
      <c r="O63" s="43"/>
      <c r="P63" s="42"/>
      <c r="Q63" s="264">
        <f>1</f>
        <v>1</v>
      </c>
      <c r="R63" s="132"/>
      <c r="T63" s="444" t="s">
        <v>26</v>
      </c>
      <c r="U63" s="139"/>
      <c r="X63" s="267">
        <v>8</v>
      </c>
      <c r="Y63" s="267">
        <f t="shared" si="7"/>
        <v>8</v>
      </c>
      <c r="Z63" s="132">
        <f>IF(T63="yes",Y63,"")</f>
        <v>8</v>
      </c>
    </row>
    <row r="64" spans="1:26" s="138" customFormat="1" x14ac:dyDescent="0.2">
      <c r="A64" s="90"/>
      <c r="B64" s="255"/>
      <c r="C64" s="260"/>
      <c r="D64" s="261"/>
      <c r="E64" s="97"/>
      <c r="G64" s="97"/>
      <c r="H64" s="91"/>
      <c r="I64" s="97"/>
      <c r="J64" s="97"/>
      <c r="K64" s="97"/>
      <c r="L64" s="78"/>
      <c r="M64" s="51"/>
      <c r="N64" s="166"/>
      <c r="O64" s="166"/>
      <c r="P64" s="42"/>
      <c r="Q64" s="269">
        <f>1</f>
        <v>1</v>
      </c>
      <c r="R64" s="132"/>
      <c r="T64" s="140"/>
      <c r="U64" s="139"/>
      <c r="X64" s="268"/>
      <c r="Y64" s="268" t="str">
        <f t="shared" si="7"/>
        <v/>
      </c>
      <c r="Z64" s="132" t="str">
        <f t="shared" si="3"/>
        <v/>
      </c>
    </row>
    <row r="65" spans="1:16370" s="138" customFormat="1" ht="136" x14ac:dyDescent="0.2">
      <c r="A65" s="6">
        <v>19</v>
      </c>
      <c r="B65" s="228" t="s">
        <v>156</v>
      </c>
      <c r="C65" s="9" t="s">
        <v>156</v>
      </c>
      <c r="D65" s="14" t="s">
        <v>959</v>
      </c>
      <c r="E65" s="12">
        <f>LEN(D65)</f>
        <v>233</v>
      </c>
      <c r="F65" s="465" t="s">
        <v>1218</v>
      </c>
      <c r="G65" s="12">
        <f>LEN(F67)</f>
        <v>214</v>
      </c>
      <c r="H65" s="12" t="s">
        <v>92</v>
      </c>
      <c r="I65" s="12" t="s">
        <v>19</v>
      </c>
      <c r="J65" s="12" t="s">
        <v>19</v>
      </c>
      <c r="K65" s="12" t="s">
        <v>22</v>
      </c>
      <c r="L65" s="23" t="s">
        <v>676</v>
      </c>
      <c r="M65" s="72" t="s">
        <v>19</v>
      </c>
      <c r="N65" s="376" t="s">
        <v>669</v>
      </c>
      <c r="O65" s="24"/>
      <c r="P65" s="614" t="s">
        <v>157</v>
      </c>
      <c r="Q65" s="269">
        <f>1</f>
        <v>1</v>
      </c>
      <c r="R65" s="132"/>
      <c r="T65" s="140" t="s">
        <v>18</v>
      </c>
      <c r="U65" s="139"/>
      <c r="X65" s="268">
        <v>31.963766098022461</v>
      </c>
      <c r="Y65" s="268">
        <f t="shared" si="7"/>
        <v>31.963766098022461</v>
      </c>
      <c r="Z65" s="132" t="str">
        <f t="shared" si="3"/>
        <v/>
      </c>
    </row>
    <row r="66" spans="1:16370" s="138" customFormat="1" ht="119" x14ac:dyDescent="0.2">
      <c r="A66" s="6">
        <v>19</v>
      </c>
      <c r="B66" s="228" t="s">
        <v>158</v>
      </c>
      <c r="C66" s="237" t="s">
        <v>158</v>
      </c>
      <c r="D66" s="14" t="s">
        <v>159</v>
      </c>
      <c r="E66" s="12">
        <f>LEN(D66)</f>
        <v>253</v>
      </c>
      <c r="F66" s="466" t="s">
        <v>1091</v>
      </c>
      <c r="G66" s="12">
        <f>LEN(F68)</f>
        <v>233</v>
      </c>
      <c r="H66" s="25" t="s">
        <v>30</v>
      </c>
      <c r="I66" s="8" t="s">
        <v>19</v>
      </c>
      <c r="J66" s="8" t="s">
        <v>19</v>
      </c>
      <c r="K66" s="8" t="s">
        <v>31</v>
      </c>
      <c r="L66" s="26" t="s">
        <v>671</v>
      </c>
      <c r="M66" s="72" t="s">
        <v>19</v>
      </c>
      <c r="N66" s="365" t="s">
        <v>670</v>
      </c>
      <c r="O66" s="27"/>
      <c r="P66" s="615"/>
      <c r="Q66" s="269">
        <f>1</f>
        <v>1</v>
      </c>
      <c r="R66" s="132"/>
      <c r="T66" s="140" t="s">
        <v>18</v>
      </c>
      <c r="U66" s="139"/>
      <c r="X66" s="268">
        <v>2.2273674011230469</v>
      </c>
      <c r="Y66" s="268">
        <f t="shared" si="7"/>
        <v>2.2273674011230469</v>
      </c>
      <c r="Z66" s="132" t="str">
        <f t="shared" si="3"/>
        <v/>
      </c>
    </row>
    <row r="67" spans="1:16370" s="138" customFormat="1" ht="170" x14ac:dyDescent="0.2">
      <c r="A67" s="49">
        <v>18</v>
      </c>
      <c r="B67" s="379" t="s">
        <v>155</v>
      </c>
      <c r="C67" s="380" t="s">
        <v>155</v>
      </c>
      <c r="D67" s="48" t="s">
        <v>824</v>
      </c>
      <c r="E67" s="8">
        <f>LEN(D67)</f>
        <v>181</v>
      </c>
      <c r="F67" s="466" t="s">
        <v>1099</v>
      </c>
      <c r="G67" s="8">
        <f>LEN(F69)</f>
        <v>0</v>
      </c>
      <c r="H67" s="9" t="s">
        <v>30</v>
      </c>
      <c r="I67" s="8" t="s">
        <v>19</v>
      </c>
      <c r="J67" s="8" t="s">
        <v>19</v>
      </c>
      <c r="K67" s="8" t="s">
        <v>31</v>
      </c>
      <c r="L67" s="26" t="s">
        <v>706</v>
      </c>
      <c r="M67" s="72" t="s">
        <v>19</v>
      </c>
      <c r="N67" s="364" t="s">
        <v>707</v>
      </c>
      <c r="O67" s="364"/>
      <c r="P67" s="42"/>
      <c r="Q67" s="269">
        <f>1</f>
        <v>1</v>
      </c>
      <c r="R67" s="132"/>
      <c r="T67" s="140" t="s">
        <v>18</v>
      </c>
      <c r="U67" s="139"/>
      <c r="X67" s="268">
        <v>4.7874016761779785</v>
      </c>
      <c r="Y67" s="268">
        <f t="shared" si="7"/>
        <v>4.7874016761779785</v>
      </c>
      <c r="Z67" s="132" t="str">
        <f t="shared" si="3"/>
        <v/>
      </c>
    </row>
    <row r="68" spans="1:16370" s="138" customFormat="1" ht="170" x14ac:dyDescent="0.2">
      <c r="A68" s="363"/>
      <c r="B68" s="233" t="s">
        <v>672</v>
      </c>
      <c r="C68" s="237" t="s">
        <v>672</v>
      </c>
      <c r="D68" s="29" t="s">
        <v>899</v>
      </c>
      <c r="E68" s="16">
        <f>LEN(D68)</f>
        <v>215</v>
      </c>
      <c r="F68" s="465" t="s">
        <v>1092</v>
      </c>
      <c r="G68" s="16">
        <f>LEN(F70)</f>
        <v>317</v>
      </c>
      <c r="H68" s="28" t="s">
        <v>30</v>
      </c>
      <c r="I68" s="12" t="s">
        <v>19</v>
      </c>
      <c r="J68" s="12" t="s">
        <v>19</v>
      </c>
      <c r="K68" s="12" t="s">
        <v>31</v>
      </c>
      <c r="L68" s="14" t="s">
        <v>708</v>
      </c>
      <c r="M68" s="72" t="s">
        <v>19</v>
      </c>
      <c r="N68" s="23" t="s">
        <v>709</v>
      </c>
      <c r="O68" s="361"/>
      <c r="P68" s="2"/>
      <c r="Q68" s="269">
        <f>1</f>
        <v>1</v>
      </c>
      <c r="R68" s="132"/>
      <c r="S68" s="362"/>
      <c r="T68" s="140" t="s">
        <v>18</v>
      </c>
      <c r="U68" s="139"/>
      <c r="V68" s="362"/>
      <c r="W68" s="362"/>
      <c r="X68" s="268">
        <v>20.918367385864258</v>
      </c>
      <c r="Y68" s="268">
        <f t="shared" si="7"/>
        <v>20.918367385864258</v>
      </c>
      <c r="Z68" s="132" t="str">
        <f t="shared" si="3"/>
        <v/>
      </c>
      <c r="AA68" s="362"/>
      <c r="AB68" s="362"/>
      <c r="AC68" s="362"/>
      <c r="AD68" s="362"/>
      <c r="AE68" s="362"/>
      <c r="AF68" s="362"/>
      <c r="AG68" s="362"/>
      <c r="AH68" s="362"/>
      <c r="AI68" s="362"/>
      <c r="AJ68" s="362"/>
      <c r="AK68" s="362"/>
      <c r="AL68" s="362"/>
      <c r="AM68" s="362"/>
      <c r="AN68" s="362"/>
      <c r="AO68" s="362"/>
      <c r="AP68" s="362"/>
      <c r="AQ68" s="362"/>
      <c r="AR68" s="362"/>
      <c r="AS68" s="362"/>
      <c r="AT68" s="362"/>
      <c r="AU68" s="362"/>
      <c r="AV68" s="362"/>
      <c r="AW68" s="362"/>
      <c r="AX68" s="362"/>
      <c r="AY68" s="362"/>
      <c r="AZ68" s="362"/>
      <c r="BA68" s="362"/>
      <c r="BB68" s="362"/>
      <c r="BC68" s="362"/>
      <c r="BD68" s="362"/>
      <c r="BE68" s="362"/>
      <c r="BF68" s="362"/>
      <c r="BG68" s="362"/>
      <c r="BH68" s="362"/>
      <c r="BI68" s="362"/>
      <c r="BJ68" s="362"/>
      <c r="BK68" s="362"/>
      <c r="BL68" s="362"/>
      <c r="BM68" s="362"/>
      <c r="BN68" s="362"/>
      <c r="BO68" s="362"/>
      <c r="BP68" s="362"/>
      <c r="BQ68" s="362"/>
      <c r="BR68" s="362"/>
      <c r="BS68" s="362"/>
      <c r="BT68" s="362"/>
      <c r="BU68" s="362"/>
      <c r="BV68" s="362"/>
      <c r="BW68" s="362"/>
      <c r="BX68" s="362"/>
      <c r="BY68" s="362"/>
      <c r="BZ68" s="362"/>
      <c r="CA68" s="362"/>
      <c r="CB68" s="362"/>
      <c r="CC68" s="362"/>
      <c r="CD68" s="362"/>
      <c r="CE68" s="362"/>
      <c r="CF68" s="362"/>
      <c r="CG68" s="362"/>
      <c r="CH68" s="362"/>
      <c r="CI68" s="362"/>
      <c r="CJ68" s="362"/>
      <c r="CK68" s="362"/>
      <c r="CL68" s="362"/>
      <c r="CM68" s="362"/>
      <c r="CN68" s="362"/>
      <c r="CO68" s="362"/>
      <c r="CP68" s="362"/>
      <c r="CQ68" s="362"/>
      <c r="CR68" s="362"/>
      <c r="CS68" s="362"/>
      <c r="CT68" s="362"/>
      <c r="CU68" s="362"/>
      <c r="CV68" s="362"/>
      <c r="CW68" s="362"/>
      <c r="CX68" s="362"/>
      <c r="CY68" s="362"/>
      <c r="CZ68" s="362"/>
      <c r="DA68" s="362"/>
      <c r="DB68" s="362"/>
      <c r="DC68" s="362"/>
      <c r="DD68" s="362"/>
      <c r="DE68" s="362"/>
      <c r="DF68" s="362"/>
      <c r="DG68" s="362"/>
      <c r="DH68" s="362"/>
      <c r="DI68" s="362"/>
      <c r="DJ68" s="362"/>
      <c r="DK68" s="362"/>
      <c r="DL68" s="362"/>
      <c r="DM68" s="362"/>
      <c r="DN68" s="362"/>
      <c r="DO68" s="362"/>
      <c r="DP68" s="362"/>
      <c r="DQ68" s="362"/>
      <c r="DR68" s="362"/>
      <c r="DS68" s="362"/>
      <c r="DT68" s="362"/>
      <c r="DU68" s="362"/>
      <c r="DV68" s="362"/>
      <c r="DW68" s="362"/>
      <c r="DX68" s="362"/>
      <c r="DY68" s="362"/>
      <c r="DZ68" s="362"/>
      <c r="EA68" s="362"/>
      <c r="EB68" s="362"/>
      <c r="EC68" s="362"/>
      <c r="ED68" s="362"/>
      <c r="EE68" s="362"/>
      <c r="EF68" s="362"/>
      <c r="EG68" s="362"/>
      <c r="EH68" s="362"/>
      <c r="EI68" s="362"/>
      <c r="EJ68" s="362"/>
      <c r="EK68" s="362"/>
      <c r="EL68" s="362"/>
      <c r="EM68" s="362"/>
      <c r="EN68" s="362"/>
      <c r="EO68" s="362"/>
      <c r="EP68" s="362"/>
      <c r="EQ68" s="362"/>
      <c r="ER68" s="362"/>
      <c r="ES68" s="362"/>
      <c r="ET68" s="362"/>
      <c r="EU68" s="362"/>
      <c r="EV68" s="362"/>
      <c r="EW68" s="362"/>
      <c r="EX68" s="362"/>
      <c r="EY68" s="362"/>
      <c r="EZ68" s="362"/>
      <c r="FA68" s="362"/>
      <c r="FB68" s="362"/>
      <c r="FC68" s="362"/>
      <c r="FD68" s="362"/>
      <c r="FE68" s="362"/>
      <c r="FF68" s="362"/>
      <c r="FG68" s="362"/>
      <c r="FH68" s="362"/>
      <c r="FI68" s="362"/>
      <c r="FJ68" s="362"/>
      <c r="FK68" s="362"/>
      <c r="FL68" s="362"/>
      <c r="FM68" s="362"/>
      <c r="FN68" s="362"/>
      <c r="FO68" s="362"/>
      <c r="FP68" s="362"/>
      <c r="FQ68" s="362"/>
      <c r="FR68" s="362"/>
      <c r="FS68" s="362"/>
      <c r="FT68" s="362"/>
      <c r="FU68" s="362"/>
      <c r="FV68" s="362"/>
      <c r="FW68" s="362"/>
      <c r="FX68" s="362"/>
      <c r="FY68" s="362"/>
      <c r="FZ68" s="362"/>
      <c r="GA68" s="362"/>
      <c r="GB68" s="362"/>
      <c r="GC68" s="362"/>
      <c r="GD68" s="362"/>
      <c r="GE68" s="362"/>
      <c r="GF68" s="362"/>
      <c r="GG68" s="362"/>
      <c r="GH68" s="362"/>
      <c r="GI68" s="362"/>
      <c r="GJ68" s="362"/>
      <c r="GK68" s="362"/>
      <c r="GL68" s="362"/>
      <c r="GM68" s="362"/>
      <c r="GN68" s="362"/>
      <c r="GO68" s="362"/>
      <c r="GP68" s="362"/>
      <c r="GQ68" s="362"/>
      <c r="GR68" s="362"/>
      <c r="GS68" s="362"/>
      <c r="GT68" s="362"/>
      <c r="GU68" s="362"/>
      <c r="GV68" s="362"/>
      <c r="GW68" s="362"/>
      <c r="GX68" s="362"/>
      <c r="GY68" s="362"/>
      <c r="GZ68" s="362"/>
      <c r="HA68" s="362"/>
      <c r="HB68" s="362"/>
      <c r="HC68" s="362"/>
      <c r="HD68" s="362"/>
      <c r="HE68" s="362"/>
      <c r="HF68" s="362"/>
      <c r="HG68" s="362"/>
      <c r="HH68" s="362"/>
      <c r="HI68" s="362"/>
      <c r="HJ68" s="362"/>
      <c r="HK68" s="362"/>
      <c r="HL68" s="362"/>
      <c r="HM68" s="362"/>
      <c r="HN68" s="362"/>
      <c r="HO68" s="362"/>
      <c r="HP68" s="362"/>
      <c r="HQ68" s="362"/>
      <c r="HR68" s="362"/>
      <c r="HS68" s="362"/>
      <c r="HT68" s="362"/>
      <c r="HU68" s="362"/>
      <c r="HV68" s="362"/>
      <c r="HW68" s="362"/>
      <c r="HX68" s="362"/>
      <c r="HY68" s="362"/>
      <c r="HZ68" s="362"/>
      <c r="IA68" s="362"/>
      <c r="IB68" s="362"/>
      <c r="IC68" s="362"/>
      <c r="ID68" s="362"/>
      <c r="IE68" s="362"/>
      <c r="IF68" s="362"/>
      <c r="IG68" s="362"/>
      <c r="IH68" s="362"/>
      <c r="II68" s="362"/>
      <c r="IJ68" s="362"/>
      <c r="IK68" s="362"/>
      <c r="IL68" s="362"/>
      <c r="IM68" s="362"/>
      <c r="IN68" s="362"/>
      <c r="IO68" s="362"/>
      <c r="IP68" s="362"/>
      <c r="IQ68" s="362"/>
      <c r="IR68" s="362"/>
      <c r="IS68" s="362"/>
      <c r="IT68" s="362"/>
      <c r="IU68" s="362"/>
      <c r="IV68" s="362"/>
      <c r="IW68" s="362"/>
      <c r="IX68" s="362"/>
      <c r="IY68" s="362"/>
      <c r="IZ68" s="362"/>
      <c r="JA68" s="362"/>
      <c r="JB68" s="362"/>
      <c r="JC68" s="362"/>
      <c r="JD68" s="362"/>
      <c r="JE68" s="362"/>
      <c r="JF68" s="362"/>
      <c r="JG68" s="362"/>
      <c r="JH68" s="362"/>
      <c r="JI68" s="362"/>
      <c r="JJ68" s="362"/>
      <c r="JK68" s="362"/>
      <c r="JL68" s="362"/>
      <c r="JM68" s="362"/>
      <c r="JN68" s="362"/>
      <c r="JO68" s="362"/>
      <c r="JP68" s="362"/>
      <c r="JQ68" s="362"/>
      <c r="JR68" s="362"/>
      <c r="JS68" s="362"/>
      <c r="JT68" s="362"/>
      <c r="JU68" s="362"/>
      <c r="JV68" s="362"/>
      <c r="JW68" s="362"/>
      <c r="JX68" s="362"/>
      <c r="JY68" s="362"/>
      <c r="JZ68" s="362"/>
      <c r="KA68" s="362"/>
      <c r="KB68" s="362"/>
      <c r="KC68" s="362"/>
      <c r="KD68" s="362"/>
      <c r="KE68" s="362"/>
      <c r="KF68" s="362"/>
      <c r="KG68" s="362"/>
      <c r="KH68" s="362"/>
      <c r="KI68" s="362"/>
      <c r="KJ68" s="362"/>
      <c r="KK68" s="362"/>
      <c r="KL68" s="362"/>
      <c r="KM68" s="362"/>
      <c r="KN68" s="362"/>
      <c r="KO68" s="362"/>
      <c r="KP68" s="362"/>
      <c r="KQ68" s="362"/>
      <c r="KR68" s="362"/>
      <c r="KS68" s="362"/>
      <c r="KT68" s="362"/>
      <c r="KU68" s="362"/>
      <c r="KV68" s="362"/>
      <c r="KW68" s="362"/>
      <c r="KX68" s="362"/>
      <c r="KY68" s="362"/>
      <c r="KZ68" s="362"/>
      <c r="LA68" s="362"/>
      <c r="LB68" s="362"/>
      <c r="LC68" s="362"/>
      <c r="LD68" s="362"/>
      <c r="LE68" s="362"/>
      <c r="LF68" s="362"/>
      <c r="LG68" s="362"/>
      <c r="LH68" s="362"/>
      <c r="LI68" s="362"/>
      <c r="LJ68" s="362"/>
      <c r="LK68" s="362"/>
      <c r="LL68" s="362"/>
      <c r="LM68" s="362"/>
      <c r="LN68" s="362"/>
      <c r="LO68" s="362"/>
      <c r="LP68" s="362"/>
      <c r="LQ68" s="362"/>
      <c r="LR68" s="362"/>
      <c r="LS68" s="362"/>
      <c r="LT68" s="362"/>
      <c r="LU68" s="362"/>
      <c r="LV68" s="362"/>
      <c r="LW68" s="362"/>
      <c r="LX68" s="362"/>
      <c r="LY68" s="362"/>
      <c r="LZ68" s="362"/>
      <c r="MA68" s="362"/>
      <c r="MB68" s="362"/>
      <c r="MC68" s="362"/>
      <c r="MD68" s="362"/>
      <c r="ME68" s="362"/>
      <c r="MF68" s="362"/>
      <c r="MG68" s="362"/>
      <c r="MH68" s="362"/>
      <c r="MI68" s="362"/>
      <c r="MJ68" s="362"/>
      <c r="MK68" s="362"/>
      <c r="ML68" s="362"/>
      <c r="MM68" s="362"/>
      <c r="MN68" s="362"/>
      <c r="MO68" s="362"/>
      <c r="MP68" s="362"/>
      <c r="MQ68" s="362"/>
      <c r="MR68" s="362"/>
      <c r="MS68" s="362"/>
      <c r="MT68" s="362"/>
      <c r="MU68" s="362"/>
      <c r="MV68" s="362"/>
      <c r="MW68" s="362"/>
      <c r="MX68" s="362"/>
      <c r="MY68" s="362"/>
      <c r="MZ68" s="362"/>
      <c r="NA68" s="362"/>
      <c r="NB68" s="362"/>
      <c r="NC68" s="362"/>
      <c r="ND68" s="362"/>
      <c r="NE68" s="362"/>
      <c r="NF68" s="362"/>
      <c r="NG68" s="362"/>
      <c r="NH68" s="362"/>
      <c r="NI68" s="362"/>
      <c r="NJ68" s="362"/>
      <c r="NK68" s="362"/>
      <c r="NL68" s="362"/>
      <c r="NM68" s="362"/>
      <c r="NN68" s="362"/>
      <c r="NO68" s="362"/>
      <c r="NP68" s="362"/>
      <c r="NQ68" s="362"/>
      <c r="NR68" s="362"/>
      <c r="NS68" s="362"/>
      <c r="NT68" s="362"/>
      <c r="NU68" s="362"/>
      <c r="NV68" s="362"/>
      <c r="NW68" s="362"/>
      <c r="NX68" s="362"/>
      <c r="NY68" s="362"/>
      <c r="NZ68" s="362"/>
      <c r="OA68" s="362"/>
      <c r="OB68" s="362"/>
      <c r="OC68" s="362"/>
      <c r="OD68" s="362"/>
      <c r="OE68" s="362"/>
      <c r="OF68" s="362"/>
      <c r="OG68" s="362"/>
      <c r="OH68" s="362"/>
      <c r="OI68" s="362"/>
      <c r="OJ68" s="362"/>
      <c r="OK68" s="362"/>
      <c r="OL68" s="362"/>
      <c r="OM68" s="362"/>
      <c r="ON68" s="362"/>
      <c r="OO68" s="362"/>
      <c r="OP68" s="362"/>
      <c r="OQ68" s="362"/>
      <c r="OR68" s="362"/>
      <c r="OS68" s="362"/>
      <c r="OT68" s="362"/>
      <c r="OU68" s="362"/>
      <c r="OV68" s="362"/>
      <c r="OW68" s="362"/>
      <c r="OX68" s="362"/>
      <c r="OY68" s="362"/>
      <c r="OZ68" s="362"/>
      <c r="PA68" s="362"/>
      <c r="PB68" s="362"/>
      <c r="PC68" s="362"/>
      <c r="PD68" s="362"/>
      <c r="PE68" s="362"/>
      <c r="PF68" s="362"/>
      <c r="PG68" s="362"/>
      <c r="PH68" s="362"/>
      <c r="PI68" s="362"/>
      <c r="PJ68" s="362"/>
      <c r="PK68" s="362"/>
      <c r="PL68" s="362"/>
      <c r="PM68" s="362"/>
      <c r="PN68" s="362"/>
      <c r="PO68" s="362"/>
      <c r="PP68" s="362"/>
      <c r="PQ68" s="362"/>
      <c r="PR68" s="362"/>
      <c r="PS68" s="362"/>
      <c r="PT68" s="362"/>
      <c r="PU68" s="362"/>
      <c r="PV68" s="362"/>
      <c r="PW68" s="362"/>
      <c r="PX68" s="362"/>
      <c r="PY68" s="362"/>
      <c r="PZ68" s="362"/>
      <c r="QA68" s="362"/>
      <c r="QB68" s="362"/>
      <c r="QC68" s="362"/>
      <c r="QD68" s="362"/>
      <c r="QE68" s="362"/>
      <c r="QF68" s="362"/>
      <c r="QG68" s="362"/>
      <c r="QH68" s="362"/>
      <c r="QI68" s="362"/>
      <c r="QJ68" s="362"/>
      <c r="QK68" s="362"/>
      <c r="QL68" s="362"/>
      <c r="QM68" s="362"/>
      <c r="QN68" s="362"/>
      <c r="QO68" s="362"/>
      <c r="QP68" s="362"/>
      <c r="QQ68" s="362"/>
      <c r="QR68" s="362"/>
      <c r="QS68" s="362"/>
      <c r="QT68" s="362"/>
      <c r="QU68" s="362"/>
      <c r="QV68" s="362"/>
      <c r="QW68" s="362"/>
      <c r="QX68" s="362"/>
      <c r="QY68" s="362"/>
      <c r="QZ68" s="362"/>
      <c r="RA68" s="362"/>
      <c r="RB68" s="362"/>
      <c r="RC68" s="362"/>
      <c r="RD68" s="362"/>
      <c r="RE68" s="362"/>
      <c r="RF68" s="362"/>
      <c r="RG68" s="362"/>
      <c r="RH68" s="362"/>
      <c r="RI68" s="362"/>
      <c r="RJ68" s="362"/>
      <c r="RK68" s="362"/>
      <c r="RL68" s="362"/>
      <c r="RM68" s="362"/>
      <c r="RN68" s="362"/>
      <c r="RO68" s="362"/>
      <c r="RP68" s="362"/>
      <c r="RQ68" s="362"/>
      <c r="RR68" s="362"/>
      <c r="RS68" s="362"/>
      <c r="RT68" s="362"/>
      <c r="RU68" s="362"/>
      <c r="RV68" s="362"/>
      <c r="RW68" s="362"/>
      <c r="RX68" s="362"/>
      <c r="RY68" s="362"/>
      <c r="RZ68" s="362"/>
      <c r="SA68" s="362"/>
      <c r="SB68" s="362"/>
      <c r="SC68" s="362"/>
      <c r="SD68" s="362"/>
      <c r="SE68" s="362"/>
      <c r="SF68" s="362"/>
      <c r="SG68" s="362"/>
      <c r="SH68" s="362"/>
      <c r="SI68" s="362"/>
      <c r="SJ68" s="362"/>
      <c r="SK68" s="362"/>
      <c r="SL68" s="362"/>
      <c r="SM68" s="362"/>
      <c r="SN68" s="362"/>
      <c r="SO68" s="362"/>
      <c r="SP68" s="362"/>
      <c r="SQ68" s="362"/>
      <c r="SR68" s="362"/>
      <c r="SS68" s="362"/>
      <c r="ST68" s="362"/>
      <c r="SU68" s="362"/>
      <c r="SV68" s="362"/>
      <c r="SW68" s="362"/>
      <c r="SX68" s="362"/>
      <c r="SY68" s="362"/>
      <c r="SZ68" s="362"/>
      <c r="TA68" s="362"/>
      <c r="TB68" s="362"/>
      <c r="TC68" s="362"/>
      <c r="TD68" s="362"/>
      <c r="TE68" s="362"/>
      <c r="TF68" s="362"/>
      <c r="TG68" s="362"/>
      <c r="TH68" s="362"/>
      <c r="TI68" s="362"/>
      <c r="TJ68" s="362"/>
      <c r="TK68" s="362"/>
      <c r="TL68" s="362"/>
      <c r="TM68" s="362"/>
      <c r="TN68" s="362"/>
      <c r="TO68" s="362"/>
      <c r="TP68" s="362"/>
      <c r="TQ68" s="362"/>
      <c r="TR68" s="362"/>
      <c r="TS68" s="362"/>
      <c r="TT68" s="362"/>
      <c r="TU68" s="362"/>
      <c r="TV68" s="362"/>
      <c r="TW68" s="362"/>
      <c r="TX68" s="362"/>
      <c r="TY68" s="362"/>
      <c r="TZ68" s="362"/>
      <c r="UA68" s="362"/>
      <c r="UB68" s="362"/>
      <c r="UC68" s="362"/>
      <c r="UD68" s="362"/>
      <c r="UE68" s="362"/>
      <c r="UF68" s="362"/>
      <c r="UG68" s="362"/>
      <c r="UH68" s="362"/>
      <c r="UI68" s="362"/>
      <c r="UJ68" s="362"/>
      <c r="UK68" s="362"/>
      <c r="UL68" s="362"/>
      <c r="UM68" s="362"/>
      <c r="UN68" s="362"/>
      <c r="UO68" s="362"/>
      <c r="UP68" s="362"/>
      <c r="UQ68" s="362"/>
      <c r="UR68" s="362"/>
      <c r="US68" s="362"/>
      <c r="UT68" s="362"/>
      <c r="UU68" s="362"/>
      <c r="UV68" s="362"/>
      <c r="UW68" s="362"/>
      <c r="UX68" s="362"/>
      <c r="UY68" s="362"/>
      <c r="UZ68" s="362"/>
      <c r="VA68" s="362"/>
      <c r="VB68" s="362"/>
      <c r="VC68" s="362"/>
      <c r="VD68" s="362"/>
      <c r="VE68" s="362"/>
      <c r="VF68" s="362"/>
      <c r="VG68" s="362"/>
      <c r="VH68" s="362"/>
      <c r="VI68" s="362"/>
      <c r="VJ68" s="362"/>
      <c r="VK68" s="362"/>
      <c r="VL68" s="362"/>
      <c r="VM68" s="362"/>
      <c r="VN68" s="362"/>
      <c r="VO68" s="362"/>
      <c r="VP68" s="362"/>
      <c r="VQ68" s="362"/>
      <c r="VR68" s="362"/>
      <c r="VS68" s="362"/>
      <c r="VT68" s="362"/>
      <c r="VU68" s="362"/>
      <c r="VV68" s="362"/>
      <c r="VW68" s="362"/>
      <c r="VX68" s="362"/>
      <c r="VY68" s="362"/>
      <c r="VZ68" s="362"/>
      <c r="WA68" s="362"/>
      <c r="WB68" s="362"/>
      <c r="WC68" s="362"/>
      <c r="WD68" s="362"/>
      <c r="WE68" s="362"/>
      <c r="WF68" s="362"/>
      <c r="WG68" s="362"/>
      <c r="WH68" s="362"/>
      <c r="WI68" s="362"/>
      <c r="WJ68" s="362"/>
      <c r="WK68" s="362"/>
      <c r="WL68" s="362"/>
      <c r="WM68" s="362"/>
      <c r="WN68" s="362"/>
      <c r="WO68" s="362"/>
      <c r="WP68" s="362"/>
      <c r="WQ68" s="362"/>
      <c r="WR68" s="362"/>
      <c r="WS68" s="362"/>
      <c r="WT68" s="362"/>
      <c r="WU68" s="362"/>
      <c r="WV68" s="362"/>
      <c r="WW68" s="362"/>
      <c r="WX68" s="362"/>
      <c r="WY68" s="362"/>
      <c r="WZ68" s="362"/>
      <c r="XA68" s="362"/>
      <c r="XB68" s="362"/>
      <c r="XC68" s="362"/>
      <c r="XD68" s="362"/>
      <c r="XE68" s="362"/>
      <c r="XF68" s="362"/>
      <c r="XG68" s="362"/>
      <c r="XH68" s="362"/>
      <c r="XI68" s="362"/>
      <c r="XJ68" s="362"/>
      <c r="XK68" s="362"/>
      <c r="XL68" s="362"/>
      <c r="XM68" s="362"/>
      <c r="XN68" s="362"/>
      <c r="XO68" s="362"/>
      <c r="XP68" s="362"/>
      <c r="XQ68" s="362"/>
      <c r="XR68" s="362"/>
      <c r="XS68" s="362"/>
      <c r="XT68" s="362"/>
      <c r="XU68" s="362"/>
      <c r="XV68" s="362"/>
      <c r="XW68" s="362"/>
      <c r="XX68" s="362"/>
      <c r="XY68" s="362"/>
      <c r="XZ68" s="362"/>
      <c r="YA68" s="362"/>
      <c r="YB68" s="362"/>
      <c r="YC68" s="362"/>
      <c r="YD68" s="362"/>
      <c r="YE68" s="362"/>
      <c r="YF68" s="362"/>
      <c r="YG68" s="362"/>
      <c r="YH68" s="362"/>
      <c r="YI68" s="362"/>
      <c r="YJ68" s="362"/>
      <c r="YK68" s="362"/>
      <c r="YL68" s="362"/>
      <c r="YM68" s="362"/>
      <c r="YN68" s="362"/>
      <c r="YO68" s="362"/>
      <c r="YP68" s="362"/>
      <c r="YQ68" s="362"/>
      <c r="YR68" s="362"/>
      <c r="YS68" s="362"/>
      <c r="YT68" s="362"/>
      <c r="YU68" s="362"/>
      <c r="YV68" s="362"/>
      <c r="YW68" s="362"/>
      <c r="YX68" s="362"/>
      <c r="YY68" s="362"/>
      <c r="YZ68" s="362"/>
      <c r="ZA68" s="362"/>
      <c r="ZB68" s="362"/>
      <c r="ZC68" s="362"/>
      <c r="ZD68" s="362"/>
      <c r="ZE68" s="362"/>
      <c r="ZF68" s="362"/>
      <c r="ZG68" s="362"/>
      <c r="ZH68" s="362"/>
      <c r="ZI68" s="362"/>
      <c r="ZJ68" s="362"/>
      <c r="ZK68" s="362"/>
      <c r="ZL68" s="362"/>
      <c r="ZM68" s="362"/>
      <c r="ZN68" s="362"/>
      <c r="ZO68" s="362"/>
      <c r="ZP68" s="362"/>
      <c r="ZQ68" s="362"/>
      <c r="ZR68" s="362"/>
      <c r="ZS68" s="362"/>
      <c r="ZT68" s="362"/>
      <c r="ZU68" s="362"/>
      <c r="ZV68" s="362"/>
      <c r="ZW68" s="362"/>
      <c r="ZX68" s="362"/>
      <c r="ZY68" s="362"/>
      <c r="ZZ68" s="362"/>
      <c r="AAA68" s="362"/>
      <c r="AAB68" s="362"/>
      <c r="AAC68" s="362"/>
      <c r="AAD68" s="362"/>
      <c r="AAE68" s="362"/>
      <c r="AAF68" s="362"/>
      <c r="AAG68" s="362"/>
      <c r="AAH68" s="362"/>
      <c r="AAI68" s="362"/>
      <c r="AAJ68" s="362"/>
      <c r="AAK68" s="362"/>
      <c r="AAL68" s="362"/>
      <c r="AAM68" s="362"/>
      <c r="AAN68" s="362"/>
      <c r="AAO68" s="362"/>
      <c r="AAP68" s="362"/>
      <c r="AAQ68" s="362"/>
      <c r="AAR68" s="362"/>
      <c r="AAS68" s="362"/>
      <c r="AAT68" s="362"/>
      <c r="AAU68" s="362"/>
      <c r="AAV68" s="362"/>
      <c r="AAW68" s="362"/>
      <c r="AAX68" s="362"/>
      <c r="AAY68" s="362"/>
      <c r="AAZ68" s="362"/>
      <c r="ABA68" s="362"/>
      <c r="ABB68" s="362"/>
      <c r="ABC68" s="362"/>
      <c r="ABD68" s="362"/>
      <c r="ABE68" s="362"/>
      <c r="ABF68" s="362"/>
      <c r="ABG68" s="362"/>
      <c r="ABH68" s="362"/>
      <c r="ABI68" s="362"/>
      <c r="ABJ68" s="362"/>
      <c r="ABK68" s="362"/>
      <c r="ABL68" s="362"/>
      <c r="ABM68" s="362"/>
      <c r="ABN68" s="362"/>
      <c r="ABO68" s="362"/>
      <c r="ABP68" s="362"/>
      <c r="ABQ68" s="362"/>
      <c r="ABR68" s="362"/>
      <c r="ABS68" s="362"/>
      <c r="ABT68" s="362"/>
      <c r="ABU68" s="362"/>
      <c r="ABV68" s="362"/>
      <c r="ABW68" s="362"/>
      <c r="ABX68" s="362"/>
      <c r="ABY68" s="362"/>
      <c r="ABZ68" s="362"/>
      <c r="ACA68" s="362"/>
      <c r="ACB68" s="362"/>
      <c r="ACC68" s="362"/>
      <c r="ACD68" s="362"/>
      <c r="ACE68" s="362"/>
      <c r="ACF68" s="362"/>
      <c r="ACG68" s="362"/>
      <c r="ACH68" s="362"/>
      <c r="ACI68" s="362"/>
      <c r="ACJ68" s="362"/>
      <c r="ACK68" s="362"/>
      <c r="ACL68" s="362"/>
      <c r="ACM68" s="362"/>
      <c r="ACN68" s="362"/>
      <c r="ACO68" s="362"/>
      <c r="ACP68" s="362"/>
      <c r="ACQ68" s="362"/>
      <c r="ACR68" s="362"/>
      <c r="ACS68" s="362"/>
      <c r="ACT68" s="362"/>
      <c r="ACU68" s="362"/>
      <c r="ACV68" s="362"/>
      <c r="ACW68" s="362"/>
      <c r="ACX68" s="362"/>
      <c r="ACY68" s="362"/>
      <c r="ACZ68" s="362"/>
      <c r="ADA68" s="362"/>
      <c r="ADB68" s="362"/>
      <c r="ADC68" s="362"/>
      <c r="ADD68" s="362"/>
      <c r="ADE68" s="362"/>
      <c r="ADF68" s="362"/>
      <c r="ADG68" s="362"/>
      <c r="ADH68" s="362"/>
      <c r="ADI68" s="362"/>
      <c r="ADJ68" s="362"/>
      <c r="ADK68" s="362"/>
      <c r="ADL68" s="362"/>
      <c r="ADM68" s="362"/>
      <c r="ADN68" s="362"/>
      <c r="ADO68" s="362"/>
      <c r="ADP68" s="362"/>
      <c r="ADQ68" s="362"/>
      <c r="ADR68" s="362"/>
      <c r="ADS68" s="362"/>
      <c r="ADT68" s="362"/>
      <c r="ADU68" s="362"/>
      <c r="ADV68" s="362"/>
      <c r="ADW68" s="362"/>
      <c r="ADX68" s="362"/>
      <c r="ADY68" s="362"/>
      <c r="ADZ68" s="362"/>
      <c r="AEA68" s="362"/>
      <c r="AEB68" s="362"/>
      <c r="AEC68" s="362"/>
      <c r="AED68" s="362"/>
      <c r="AEE68" s="362"/>
      <c r="AEF68" s="362"/>
      <c r="AEG68" s="362"/>
      <c r="AEH68" s="362"/>
      <c r="AEI68" s="362"/>
      <c r="AEJ68" s="362"/>
      <c r="AEK68" s="362"/>
      <c r="AEL68" s="362"/>
      <c r="AEM68" s="362"/>
      <c r="AEN68" s="362"/>
      <c r="AEO68" s="362"/>
      <c r="AEP68" s="362"/>
      <c r="AEQ68" s="362"/>
      <c r="AER68" s="362"/>
      <c r="AES68" s="362"/>
      <c r="AET68" s="362"/>
      <c r="AEU68" s="362"/>
      <c r="AEV68" s="362"/>
      <c r="AEW68" s="362"/>
      <c r="AEX68" s="362"/>
      <c r="AEY68" s="362"/>
      <c r="AEZ68" s="362"/>
      <c r="AFA68" s="362"/>
      <c r="AFB68" s="362"/>
      <c r="AFC68" s="362"/>
      <c r="AFD68" s="362"/>
      <c r="AFE68" s="362"/>
      <c r="AFF68" s="362"/>
      <c r="AFG68" s="362"/>
      <c r="AFH68" s="362"/>
      <c r="AFI68" s="362"/>
      <c r="AFJ68" s="362"/>
      <c r="AFK68" s="362"/>
      <c r="AFL68" s="362"/>
      <c r="AFM68" s="362"/>
      <c r="AFN68" s="362"/>
      <c r="AFO68" s="362"/>
      <c r="AFP68" s="362"/>
      <c r="AFQ68" s="362"/>
      <c r="AFR68" s="362"/>
      <c r="AFS68" s="362"/>
      <c r="AFT68" s="362"/>
      <c r="AFU68" s="362"/>
      <c r="AFV68" s="362"/>
      <c r="AFW68" s="362"/>
      <c r="AFX68" s="362"/>
      <c r="AFY68" s="362"/>
      <c r="AFZ68" s="362"/>
      <c r="AGA68" s="362"/>
      <c r="AGB68" s="362"/>
      <c r="AGC68" s="362"/>
      <c r="AGD68" s="362"/>
      <c r="AGE68" s="362"/>
      <c r="AGF68" s="362"/>
      <c r="AGG68" s="362"/>
      <c r="AGH68" s="362"/>
      <c r="AGI68" s="362"/>
      <c r="AGJ68" s="362"/>
      <c r="AGK68" s="362"/>
      <c r="AGL68" s="362"/>
      <c r="AGM68" s="362"/>
      <c r="AGN68" s="362"/>
      <c r="AGO68" s="362"/>
      <c r="AGP68" s="362"/>
      <c r="AGQ68" s="362"/>
      <c r="AGR68" s="362"/>
      <c r="AGS68" s="362"/>
      <c r="AGT68" s="362"/>
      <c r="AGU68" s="362"/>
      <c r="AGV68" s="362"/>
      <c r="AGW68" s="362"/>
      <c r="AGX68" s="362"/>
      <c r="AGY68" s="362"/>
      <c r="AGZ68" s="362"/>
      <c r="AHA68" s="362"/>
      <c r="AHB68" s="362"/>
      <c r="AHC68" s="362"/>
      <c r="AHD68" s="362"/>
      <c r="AHE68" s="362"/>
      <c r="AHF68" s="362"/>
      <c r="AHG68" s="362"/>
      <c r="AHH68" s="362"/>
      <c r="AHI68" s="362"/>
      <c r="AHJ68" s="362"/>
      <c r="AHK68" s="362"/>
      <c r="AHL68" s="362"/>
      <c r="AHM68" s="362"/>
      <c r="AHN68" s="362"/>
      <c r="AHO68" s="362"/>
      <c r="AHP68" s="362"/>
      <c r="AHQ68" s="362"/>
      <c r="AHR68" s="362"/>
      <c r="AHS68" s="362"/>
      <c r="AHT68" s="362"/>
      <c r="AHU68" s="362"/>
      <c r="AHV68" s="362"/>
      <c r="AHW68" s="362"/>
      <c r="AHX68" s="362"/>
      <c r="AHY68" s="362"/>
      <c r="AHZ68" s="362"/>
      <c r="AIA68" s="362"/>
      <c r="AIB68" s="362"/>
      <c r="AIC68" s="362"/>
      <c r="AID68" s="362"/>
      <c r="AIE68" s="362"/>
      <c r="AIF68" s="362"/>
      <c r="AIG68" s="362"/>
      <c r="AIH68" s="362"/>
      <c r="AII68" s="362"/>
      <c r="AIJ68" s="362"/>
      <c r="AIK68" s="362"/>
      <c r="AIL68" s="362"/>
      <c r="AIM68" s="362"/>
      <c r="AIN68" s="362"/>
      <c r="AIO68" s="362"/>
      <c r="AIP68" s="362"/>
      <c r="AIQ68" s="362"/>
      <c r="AIR68" s="362"/>
      <c r="AIS68" s="362"/>
      <c r="AIT68" s="362"/>
      <c r="AIU68" s="362"/>
      <c r="AIV68" s="362"/>
      <c r="AIW68" s="362"/>
      <c r="AIX68" s="362"/>
      <c r="AIY68" s="362"/>
      <c r="AIZ68" s="362"/>
      <c r="AJA68" s="362"/>
      <c r="AJB68" s="362"/>
      <c r="AJC68" s="362"/>
      <c r="AJD68" s="362"/>
      <c r="AJE68" s="362"/>
      <c r="AJF68" s="362"/>
      <c r="AJG68" s="362"/>
      <c r="AJH68" s="362"/>
      <c r="AJI68" s="362"/>
      <c r="AJJ68" s="362"/>
      <c r="AJK68" s="362"/>
      <c r="AJL68" s="362"/>
      <c r="AJM68" s="362"/>
      <c r="AJN68" s="362"/>
      <c r="AJO68" s="362"/>
      <c r="AJP68" s="362"/>
      <c r="AJQ68" s="362"/>
      <c r="AJR68" s="362"/>
      <c r="AJS68" s="362"/>
      <c r="AJT68" s="362"/>
      <c r="AJU68" s="362"/>
      <c r="AJV68" s="362"/>
      <c r="AJW68" s="362"/>
      <c r="AJX68" s="362"/>
      <c r="AJY68" s="362"/>
      <c r="AJZ68" s="362"/>
      <c r="AKA68" s="362"/>
      <c r="AKB68" s="362"/>
      <c r="AKC68" s="362"/>
      <c r="AKD68" s="362"/>
      <c r="AKE68" s="362"/>
      <c r="AKF68" s="362"/>
      <c r="AKG68" s="362"/>
      <c r="AKH68" s="362"/>
      <c r="AKI68" s="362"/>
      <c r="AKJ68" s="362"/>
      <c r="AKK68" s="362"/>
      <c r="AKL68" s="362"/>
      <c r="AKM68" s="362"/>
      <c r="AKN68" s="362"/>
      <c r="AKO68" s="362"/>
      <c r="AKP68" s="362"/>
      <c r="AKQ68" s="362"/>
      <c r="AKR68" s="362"/>
      <c r="AKS68" s="362"/>
      <c r="AKT68" s="362"/>
      <c r="AKU68" s="362"/>
      <c r="AKV68" s="362"/>
      <c r="AKW68" s="362"/>
      <c r="AKX68" s="362"/>
      <c r="AKY68" s="362"/>
      <c r="AKZ68" s="362"/>
      <c r="ALA68" s="362"/>
      <c r="ALB68" s="362"/>
      <c r="ALC68" s="362"/>
      <c r="ALD68" s="362"/>
      <c r="ALE68" s="362"/>
      <c r="ALF68" s="362"/>
      <c r="ALG68" s="362"/>
      <c r="ALH68" s="362"/>
      <c r="ALI68" s="362"/>
      <c r="ALJ68" s="362"/>
      <c r="ALK68" s="362"/>
      <c r="ALL68" s="362"/>
      <c r="ALM68" s="362"/>
      <c r="ALN68" s="362"/>
      <c r="ALO68" s="362"/>
      <c r="ALP68" s="362"/>
      <c r="ALQ68" s="362"/>
      <c r="ALR68" s="362"/>
      <c r="ALS68" s="362"/>
      <c r="ALT68" s="362"/>
      <c r="ALU68" s="362"/>
      <c r="ALV68" s="362"/>
      <c r="ALW68" s="362"/>
      <c r="ALX68" s="362"/>
      <c r="ALY68" s="362"/>
      <c r="ALZ68" s="362"/>
      <c r="AMA68" s="362"/>
      <c r="AMB68" s="362"/>
      <c r="AMC68" s="362"/>
      <c r="AMD68" s="362"/>
      <c r="AME68" s="362"/>
      <c r="AMF68" s="362"/>
      <c r="AMG68" s="362"/>
      <c r="AMH68" s="362"/>
      <c r="AMI68" s="362"/>
      <c r="AMJ68" s="362"/>
      <c r="AMK68" s="362"/>
      <c r="AML68" s="362"/>
      <c r="AMM68" s="362"/>
      <c r="AMN68" s="362"/>
      <c r="AMO68" s="362"/>
      <c r="AMP68" s="362"/>
      <c r="AMQ68" s="362"/>
      <c r="AMR68" s="362"/>
      <c r="AMS68" s="362"/>
      <c r="AMT68" s="362"/>
      <c r="AMU68" s="362"/>
      <c r="AMV68" s="362"/>
      <c r="AMW68" s="362"/>
      <c r="AMX68" s="362"/>
      <c r="AMY68" s="362"/>
      <c r="AMZ68" s="362"/>
      <c r="ANA68" s="362"/>
      <c r="ANB68" s="362"/>
      <c r="ANC68" s="362"/>
      <c r="AND68" s="362"/>
      <c r="ANE68" s="362"/>
      <c r="ANF68" s="362"/>
      <c r="ANG68" s="362"/>
      <c r="ANH68" s="362"/>
      <c r="ANI68" s="362"/>
      <c r="ANJ68" s="362"/>
      <c r="ANK68" s="362"/>
      <c r="ANL68" s="362"/>
      <c r="ANM68" s="362"/>
      <c r="ANN68" s="362"/>
      <c r="ANO68" s="362"/>
      <c r="ANP68" s="362"/>
      <c r="ANQ68" s="362"/>
      <c r="ANR68" s="362"/>
      <c r="ANS68" s="362"/>
      <c r="ANT68" s="362"/>
      <c r="ANU68" s="362"/>
      <c r="ANV68" s="362"/>
      <c r="ANW68" s="362"/>
      <c r="ANX68" s="362"/>
      <c r="ANY68" s="362"/>
      <c r="ANZ68" s="362"/>
      <c r="AOA68" s="362"/>
      <c r="AOB68" s="362"/>
      <c r="AOC68" s="362"/>
      <c r="AOD68" s="362"/>
      <c r="AOE68" s="362"/>
      <c r="AOF68" s="362"/>
      <c r="AOG68" s="362"/>
      <c r="AOH68" s="362"/>
      <c r="AOI68" s="362"/>
      <c r="AOJ68" s="362"/>
      <c r="AOK68" s="362"/>
      <c r="AOL68" s="362"/>
      <c r="AOM68" s="362"/>
      <c r="AON68" s="362"/>
      <c r="AOO68" s="362"/>
      <c r="AOP68" s="362"/>
      <c r="AOQ68" s="362"/>
      <c r="AOR68" s="362"/>
      <c r="AOS68" s="362"/>
      <c r="AOT68" s="362"/>
      <c r="AOU68" s="362"/>
      <c r="AOV68" s="362"/>
      <c r="AOW68" s="362"/>
      <c r="AOX68" s="362"/>
      <c r="AOY68" s="362"/>
      <c r="AOZ68" s="362"/>
      <c r="APA68" s="362"/>
      <c r="APB68" s="362"/>
      <c r="APC68" s="362"/>
      <c r="APD68" s="362"/>
      <c r="APE68" s="362"/>
      <c r="APF68" s="362"/>
      <c r="APG68" s="362"/>
      <c r="APH68" s="362"/>
      <c r="API68" s="362"/>
      <c r="APJ68" s="362"/>
      <c r="APK68" s="362"/>
      <c r="APL68" s="362"/>
      <c r="APM68" s="362"/>
      <c r="APN68" s="362"/>
      <c r="APO68" s="362"/>
      <c r="APP68" s="362"/>
      <c r="APQ68" s="362"/>
      <c r="APR68" s="362"/>
      <c r="APS68" s="362"/>
      <c r="APT68" s="362"/>
      <c r="APU68" s="362"/>
      <c r="APV68" s="362"/>
      <c r="APW68" s="362"/>
      <c r="APX68" s="362"/>
      <c r="APY68" s="362"/>
      <c r="APZ68" s="362"/>
      <c r="AQA68" s="362"/>
      <c r="AQB68" s="362"/>
      <c r="AQC68" s="362"/>
      <c r="AQD68" s="362"/>
      <c r="AQE68" s="362"/>
      <c r="AQF68" s="362"/>
      <c r="AQG68" s="362"/>
      <c r="AQH68" s="362"/>
      <c r="AQI68" s="362"/>
      <c r="AQJ68" s="362"/>
      <c r="AQK68" s="362"/>
      <c r="AQL68" s="362"/>
      <c r="AQM68" s="362"/>
      <c r="AQN68" s="362"/>
      <c r="AQO68" s="362"/>
      <c r="AQP68" s="362"/>
      <c r="AQQ68" s="362"/>
      <c r="AQR68" s="362"/>
      <c r="AQS68" s="362"/>
      <c r="AQT68" s="362"/>
      <c r="AQU68" s="362"/>
      <c r="AQV68" s="362"/>
      <c r="AQW68" s="362"/>
      <c r="AQX68" s="362"/>
      <c r="AQY68" s="362"/>
      <c r="AQZ68" s="362"/>
      <c r="ARA68" s="362"/>
      <c r="ARB68" s="362"/>
      <c r="ARC68" s="362"/>
      <c r="ARD68" s="362"/>
      <c r="ARE68" s="362"/>
      <c r="ARF68" s="362"/>
      <c r="ARG68" s="362"/>
      <c r="ARH68" s="362"/>
      <c r="ARI68" s="362"/>
      <c r="ARJ68" s="362"/>
      <c r="ARK68" s="362"/>
      <c r="ARL68" s="362"/>
      <c r="ARM68" s="362"/>
      <c r="ARN68" s="362"/>
      <c r="ARO68" s="362"/>
      <c r="ARP68" s="362"/>
      <c r="ARQ68" s="362"/>
      <c r="ARR68" s="362"/>
      <c r="ARS68" s="362"/>
      <c r="ART68" s="362"/>
      <c r="ARU68" s="362"/>
      <c r="ARV68" s="362"/>
      <c r="ARW68" s="362"/>
      <c r="ARX68" s="362"/>
      <c r="ARY68" s="362"/>
      <c r="ARZ68" s="362"/>
      <c r="ASA68" s="362"/>
      <c r="ASB68" s="362"/>
      <c r="ASC68" s="362"/>
      <c r="ASD68" s="362"/>
      <c r="ASE68" s="362"/>
      <c r="ASF68" s="362"/>
      <c r="ASG68" s="362"/>
      <c r="ASH68" s="362"/>
      <c r="ASI68" s="362"/>
      <c r="ASJ68" s="362"/>
      <c r="ASK68" s="362"/>
      <c r="ASL68" s="362"/>
      <c r="ASM68" s="362"/>
      <c r="ASN68" s="362"/>
      <c r="ASO68" s="362"/>
      <c r="ASP68" s="362"/>
      <c r="ASQ68" s="362"/>
      <c r="ASR68" s="362"/>
      <c r="ASS68" s="362"/>
      <c r="AST68" s="362"/>
      <c r="ASU68" s="362"/>
      <c r="ASV68" s="362"/>
      <c r="ASW68" s="362"/>
      <c r="ASX68" s="362"/>
      <c r="ASY68" s="362"/>
      <c r="ASZ68" s="362"/>
      <c r="ATA68" s="362"/>
      <c r="ATB68" s="362"/>
      <c r="ATC68" s="362"/>
      <c r="ATD68" s="362"/>
      <c r="ATE68" s="362"/>
      <c r="ATF68" s="362"/>
      <c r="ATG68" s="362"/>
      <c r="ATH68" s="362"/>
      <c r="ATI68" s="362"/>
      <c r="ATJ68" s="362"/>
      <c r="ATK68" s="362"/>
      <c r="ATL68" s="362"/>
      <c r="ATM68" s="362"/>
      <c r="ATN68" s="362"/>
      <c r="ATO68" s="362"/>
      <c r="ATP68" s="362"/>
      <c r="ATQ68" s="362"/>
      <c r="ATR68" s="362"/>
      <c r="ATS68" s="362"/>
      <c r="ATT68" s="362"/>
      <c r="ATU68" s="362"/>
      <c r="ATV68" s="362"/>
      <c r="ATW68" s="362"/>
      <c r="ATX68" s="362"/>
      <c r="ATY68" s="362"/>
      <c r="ATZ68" s="362"/>
      <c r="AUA68" s="362"/>
      <c r="AUB68" s="362"/>
      <c r="AUC68" s="362"/>
      <c r="AUD68" s="362"/>
      <c r="AUE68" s="362"/>
      <c r="AUF68" s="362"/>
      <c r="AUG68" s="362"/>
      <c r="AUH68" s="362"/>
      <c r="AUI68" s="362"/>
      <c r="AUJ68" s="362"/>
      <c r="AUK68" s="362"/>
      <c r="AUL68" s="362"/>
      <c r="AUM68" s="362"/>
      <c r="AUN68" s="362"/>
      <c r="AUO68" s="362"/>
      <c r="AUP68" s="362"/>
      <c r="AUQ68" s="362"/>
      <c r="AUR68" s="362"/>
      <c r="AUS68" s="362"/>
      <c r="AUT68" s="362"/>
      <c r="AUU68" s="362"/>
      <c r="AUV68" s="362"/>
      <c r="AUW68" s="362"/>
      <c r="AUX68" s="362"/>
      <c r="AUY68" s="362"/>
      <c r="AUZ68" s="362"/>
      <c r="AVA68" s="362"/>
      <c r="AVB68" s="362"/>
      <c r="AVC68" s="362"/>
      <c r="AVD68" s="362"/>
      <c r="AVE68" s="362"/>
      <c r="AVF68" s="362"/>
      <c r="AVG68" s="362"/>
      <c r="AVH68" s="362"/>
      <c r="AVI68" s="362"/>
      <c r="AVJ68" s="362"/>
      <c r="AVK68" s="362"/>
      <c r="AVL68" s="362"/>
      <c r="AVM68" s="362"/>
      <c r="AVN68" s="362"/>
      <c r="AVO68" s="362"/>
      <c r="AVP68" s="362"/>
      <c r="AVQ68" s="362"/>
      <c r="AVR68" s="362"/>
      <c r="AVS68" s="362"/>
      <c r="AVT68" s="362"/>
      <c r="AVU68" s="362"/>
      <c r="AVV68" s="362"/>
      <c r="AVW68" s="362"/>
      <c r="AVX68" s="362"/>
      <c r="AVY68" s="362"/>
      <c r="AVZ68" s="362"/>
      <c r="AWA68" s="362"/>
      <c r="AWB68" s="362"/>
      <c r="AWC68" s="362"/>
      <c r="AWD68" s="362"/>
      <c r="AWE68" s="362"/>
      <c r="AWF68" s="362"/>
      <c r="AWG68" s="362"/>
      <c r="AWH68" s="362"/>
      <c r="AWI68" s="362"/>
      <c r="AWJ68" s="362"/>
      <c r="AWK68" s="362"/>
      <c r="AWL68" s="362"/>
      <c r="AWM68" s="362"/>
      <c r="AWN68" s="362"/>
      <c r="AWO68" s="362"/>
      <c r="AWP68" s="362"/>
      <c r="AWQ68" s="362"/>
      <c r="AWR68" s="362"/>
      <c r="AWS68" s="362"/>
      <c r="AWT68" s="362"/>
      <c r="AWU68" s="362"/>
      <c r="AWV68" s="362"/>
      <c r="AWW68" s="362"/>
      <c r="AWX68" s="362"/>
      <c r="AWY68" s="362"/>
      <c r="AWZ68" s="362"/>
      <c r="AXA68" s="362"/>
      <c r="AXB68" s="362"/>
      <c r="AXC68" s="362"/>
      <c r="AXD68" s="362"/>
      <c r="AXE68" s="362"/>
      <c r="AXF68" s="362"/>
      <c r="AXG68" s="362"/>
      <c r="AXH68" s="362"/>
      <c r="AXI68" s="362"/>
      <c r="AXJ68" s="362"/>
      <c r="AXK68" s="362"/>
      <c r="AXL68" s="362"/>
      <c r="AXM68" s="362"/>
      <c r="AXN68" s="362"/>
      <c r="AXO68" s="362"/>
      <c r="AXP68" s="362"/>
      <c r="AXQ68" s="362"/>
      <c r="AXR68" s="362"/>
      <c r="AXS68" s="362"/>
      <c r="AXT68" s="362"/>
      <c r="AXU68" s="362"/>
      <c r="AXV68" s="362"/>
      <c r="AXW68" s="362"/>
      <c r="AXX68" s="362"/>
      <c r="AXY68" s="362"/>
      <c r="AXZ68" s="362"/>
      <c r="AYA68" s="362"/>
      <c r="AYB68" s="362"/>
      <c r="AYC68" s="362"/>
      <c r="AYD68" s="362"/>
      <c r="AYE68" s="362"/>
      <c r="AYF68" s="362"/>
      <c r="AYG68" s="362"/>
      <c r="AYH68" s="362"/>
      <c r="AYI68" s="362"/>
      <c r="AYJ68" s="362"/>
      <c r="AYK68" s="362"/>
      <c r="AYL68" s="362"/>
      <c r="AYM68" s="362"/>
      <c r="AYN68" s="362"/>
      <c r="AYO68" s="362"/>
      <c r="AYP68" s="362"/>
      <c r="AYQ68" s="362"/>
      <c r="AYR68" s="362"/>
      <c r="AYS68" s="362"/>
      <c r="AYT68" s="362"/>
      <c r="AYU68" s="362"/>
      <c r="AYV68" s="362"/>
      <c r="AYW68" s="362"/>
      <c r="AYX68" s="362"/>
      <c r="AYY68" s="362"/>
      <c r="AYZ68" s="362"/>
      <c r="AZA68" s="362"/>
      <c r="AZB68" s="362"/>
      <c r="AZC68" s="362"/>
      <c r="AZD68" s="362"/>
      <c r="AZE68" s="362"/>
      <c r="AZF68" s="362"/>
      <c r="AZG68" s="362"/>
      <c r="AZH68" s="362"/>
      <c r="AZI68" s="362"/>
      <c r="AZJ68" s="362"/>
      <c r="AZK68" s="362"/>
      <c r="AZL68" s="362"/>
      <c r="AZM68" s="362"/>
      <c r="AZN68" s="362"/>
      <c r="AZO68" s="362"/>
      <c r="AZP68" s="362"/>
      <c r="AZQ68" s="362"/>
      <c r="AZR68" s="362"/>
      <c r="AZS68" s="362"/>
      <c r="AZT68" s="362"/>
      <c r="AZU68" s="362"/>
      <c r="AZV68" s="362"/>
      <c r="AZW68" s="362"/>
      <c r="AZX68" s="362"/>
      <c r="AZY68" s="362"/>
      <c r="AZZ68" s="362"/>
      <c r="BAA68" s="362"/>
      <c r="BAB68" s="362"/>
      <c r="BAC68" s="362"/>
      <c r="BAD68" s="362"/>
      <c r="BAE68" s="362"/>
      <c r="BAF68" s="362"/>
      <c r="BAG68" s="362"/>
      <c r="BAH68" s="362"/>
      <c r="BAI68" s="362"/>
      <c r="BAJ68" s="362"/>
      <c r="BAK68" s="362"/>
      <c r="BAL68" s="362"/>
      <c r="BAM68" s="362"/>
      <c r="BAN68" s="362"/>
      <c r="BAO68" s="362"/>
      <c r="BAP68" s="362"/>
      <c r="BAQ68" s="362"/>
      <c r="BAR68" s="362"/>
      <c r="BAS68" s="362"/>
      <c r="BAT68" s="362"/>
      <c r="BAU68" s="362"/>
      <c r="BAV68" s="362"/>
      <c r="BAW68" s="362"/>
      <c r="BAX68" s="362"/>
      <c r="BAY68" s="362"/>
      <c r="BAZ68" s="362"/>
      <c r="BBA68" s="362"/>
      <c r="BBB68" s="362"/>
      <c r="BBC68" s="362"/>
      <c r="BBD68" s="362"/>
      <c r="BBE68" s="362"/>
      <c r="BBF68" s="362"/>
      <c r="BBG68" s="362"/>
      <c r="BBH68" s="362"/>
      <c r="BBI68" s="362"/>
      <c r="BBJ68" s="362"/>
      <c r="BBK68" s="362"/>
      <c r="BBL68" s="362"/>
      <c r="BBM68" s="362"/>
      <c r="BBN68" s="362"/>
      <c r="BBO68" s="362"/>
      <c r="BBP68" s="362"/>
      <c r="BBQ68" s="362"/>
      <c r="BBR68" s="362"/>
      <c r="BBS68" s="362"/>
      <c r="BBT68" s="362"/>
      <c r="BBU68" s="362"/>
      <c r="BBV68" s="362"/>
      <c r="BBW68" s="362"/>
      <c r="BBX68" s="362"/>
      <c r="BBY68" s="362"/>
      <c r="BBZ68" s="362"/>
      <c r="BCA68" s="362"/>
      <c r="BCB68" s="362"/>
      <c r="BCC68" s="362"/>
      <c r="BCD68" s="362"/>
      <c r="BCE68" s="362"/>
      <c r="BCF68" s="362"/>
      <c r="BCG68" s="362"/>
      <c r="BCH68" s="362"/>
      <c r="BCI68" s="362"/>
      <c r="BCJ68" s="362"/>
      <c r="BCK68" s="362"/>
      <c r="BCL68" s="362"/>
      <c r="BCM68" s="362"/>
      <c r="BCN68" s="362"/>
      <c r="BCO68" s="362"/>
      <c r="BCP68" s="362"/>
      <c r="BCQ68" s="362"/>
      <c r="BCR68" s="362"/>
      <c r="BCS68" s="362"/>
      <c r="BCT68" s="362"/>
      <c r="BCU68" s="362"/>
      <c r="BCV68" s="362"/>
      <c r="BCW68" s="362"/>
      <c r="BCX68" s="362"/>
      <c r="BCY68" s="362"/>
      <c r="BCZ68" s="362"/>
      <c r="BDA68" s="362"/>
      <c r="BDB68" s="362"/>
      <c r="BDC68" s="362"/>
      <c r="BDD68" s="362"/>
      <c r="BDE68" s="362"/>
      <c r="BDF68" s="362"/>
      <c r="BDG68" s="362"/>
      <c r="BDH68" s="362"/>
      <c r="BDI68" s="362"/>
      <c r="BDJ68" s="362"/>
      <c r="BDK68" s="362"/>
      <c r="BDL68" s="362"/>
      <c r="BDM68" s="362"/>
      <c r="BDN68" s="362"/>
      <c r="BDO68" s="362"/>
      <c r="BDP68" s="362"/>
      <c r="BDQ68" s="362"/>
      <c r="BDR68" s="362"/>
      <c r="BDS68" s="362"/>
      <c r="BDT68" s="362"/>
      <c r="BDU68" s="362"/>
      <c r="BDV68" s="362"/>
      <c r="BDW68" s="362"/>
      <c r="BDX68" s="362"/>
      <c r="BDY68" s="362"/>
      <c r="BDZ68" s="362"/>
      <c r="BEA68" s="362"/>
      <c r="BEB68" s="362"/>
      <c r="BEC68" s="362"/>
      <c r="BED68" s="362"/>
      <c r="BEE68" s="362"/>
      <c r="BEF68" s="362"/>
      <c r="BEG68" s="362"/>
      <c r="BEH68" s="362"/>
      <c r="BEI68" s="362"/>
      <c r="BEJ68" s="362"/>
      <c r="BEK68" s="362"/>
      <c r="BEL68" s="362"/>
      <c r="BEM68" s="362"/>
      <c r="BEN68" s="362"/>
      <c r="BEO68" s="362"/>
      <c r="BEP68" s="362"/>
      <c r="BEQ68" s="362"/>
      <c r="BER68" s="362"/>
      <c r="BES68" s="362"/>
      <c r="BET68" s="362"/>
      <c r="BEU68" s="362"/>
      <c r="BEV68" s="362"/>
      <c r="BEW68" s="362"/>
      <c r="BEX68" s="362"/>
      <c r="BEY68" s="362"/>
      <c r="BEZ68" s="362"/>
      <c r="BFA68" s="362"/>
      <c r="BFB68" s="362"/>
      <c r="BFC68" s="362"/>
      <c r="BFD68" s="362"/>
      <c r="BFE68" s="362"/>
      <c r="BFF68" s="362"/>
      <c r="BFG68" s="362"/>
      <c r="BFH68" s="362"/>
      <c r="BFI68" s="362"/>
      <c r="BFJ68" s="362"/>
      <c r="BFK68" s="362"/>
      <c r="BFL68" s="362"/>
      <c r="BFM68" s="362"/>
      <c r="BFN68" s="362"/>
      <c r="BFO68" s="362"/>
      <c r="BFP68" s="362"/>
      <c r="BFQ68" s="362"/>
      <c r="BFR68" s="362"/>
      <c r="BFS68" s="362"/>
      <c r="BFT68" s="362"/>
      <c r="BFU68" s="362"/>
      <c r="BFV68" s="362"/>
      <c r="BFW68" s="362"/>
      <c r="BFX68" s="362"/>
      <c r="BFY68" s="362"/>
      <c r="BFZ68" s="362"/>
      <c r="BGA68" s="362"/>
      <c r="BGB68" s="362"/>
      <c r="BGC68" s="362"/>
      <c r="BGD68" s="362"/>
      <c r="BGE68" s="362"/>
      <c r="BGF68" s="362"/>
      <c r="BGG68" s="362"/>
      <c r="BGH68" s="362"/>
      <c r="BGI68" s="362"/>
      <c r="BGJ68" s="362"/>
      <c r="BGK68" s="362"/>
      <c r="BGL68" s="362"/>
      <c r="BGM68" s="362"/>
      <c r="BGN68" s="362"/>
      <c r="BGO68" s="362"/>
      <c r="BGP68" s="362"/>
      <c r="BGQ68" s="362"/>
      <c r="BGR68" s="362"/>
      <c r="BGS68" s="362"/>
      <c r="BGT68" s="362"/>
      <c r="BGU68" s="362"/>
      <c r="BGV68" s="362"/>
      <c r="BGW68" s="362"/>
      <c r="BGX68" s="362"/>
      <c r="BGY68" s="362"/>
      <c r="BGZ68" s="362"/>
      <c r="BHA68" s="362"/>
      <c r="BHB68" s="362"/>
      <c r="BHC68" s="362"/>
      <c r="BHD68" s="362"/>
      <c r="BHE68" s="362"/>
      <c r="BHF68" s="362"/>
      <c r="BHG68" s="362"/>
      <c r="BHH68" s="362"/>
      <c r="BHI68" s="362"/>
      <c r="BHJ68" s="362"/>
      <c r="BHK68" s="362"/>
      <c r="BHL68" s="362"/>
      <c r="BHM68" s="362"/>
      <c r="BHN68" s="362"/>
      <c r="BHO68" s="362"/>
      <c r="BHP68" s="362"/>
      <c r="BHQ68" s="362"/>
      <c r="BHR68" s="362"/>
      <c r="BHS68" s="362"/>
      <c r="BHT68" s="362"/>
      <c r="BHU68" s="362"/>
      <c r="BHV68" s="362"/>
      <c r="BHW68" s="362"/>
      <c r="BHX68" s="362"/>
      <c r="BHY68" s="362"/>
      <c r="BHZ68" s="362"/>
      <c r="BIA68" s="362"/>
      <c r="BIB68" s="362"/>
      <c r="BIC68" s="362"/>
      <c r="BID68" s="362"/>
      <c r="BIE68" s="362"/>
      <c r="BIF68" s="362"/>
      <c r="BIG68" s="362"/>
      <c r="BIH68" s="362"/>
      <c r="BII68" s="362"/>
      <c r="BIJ68" s="362"/>
      <c r="BIK68" s="362"/>
      <c r="BIL68" s="362"/>
      <c r="BIM68" s="362"/>
      <c r="BIN68" s="362"/>
      <c r="BIO68" s="362"/>
      <c r="BIP68" s="362"/>
      <c r="BIQ68" s="362"/>
      <c r="BIR68" s="362"/>
      <c r="BIS68" s="362"/>
      <c r="BIT68" s="362"/>
      <c r="BIU68" s="362"/>
      <c r="BIV68" s="362"/>
      <c r="BIW68" s="362"/>
      <c r="BIX68" s="362"/>
      <c r="BIY68" s="362"/>
      <c r="BIZ68" s="362"/>
      <c r="BJA68" s="362"/>
      <c r="BJB68" s="362"/>
      <c r="BJC68" s="362"/>
      <c r="BJD68" s="362"/>
      <c r="BJE68" s="362"/>
      <c r="BJF68" s="362"/>
      <c r="BJG68" s="362"/>
      <c r="BJH68" s="362"/>
      <c r="BJI68" s="362"/>
      <c r="BJJ68" s="362"/>
      <c r="BJK68" s="362"/>
      <c r="BJL68" s="362"/>
      <c r="BJM68" s="362"/>
      <c r="BJN68" s="362"/>
      <c r="BJO68" s="362"/>
      <c r="BJP68" s="362"/>
      <c r="BJQ68" s="362"/>
      <c r="BJR68" s="362"/>
      <c r="BJS68" s="362"/>
      <c r="BJT68" s="362"/>
      <c r="BJU68" s="362"/>
      <c r="BJV68" s="362"/>
      <c r="BJW68" s="362"/>
      <c r="BJX68" s="362"/>
      <c r="BJY68" s="362"/>
      <c r="BJZ68" s="362"/>
      <c r="BKA68" s="362"/>
      <c r="BKB68" s="362"/>
      <c r="BKC68" s="362"/>
      <c r="BKD68" s="362"/>
      <c r="BKE68" s="362"/>
      <c r="BKF68" s="362"/>
      <c r="BKG68" s="362"/>
      <c r="BKH68" s="362"/>
      <c r="BKI68" s="362"/>
      <c r="BKJ68" s="362"/>
      <c r="BKK68" s="362"/>
      <c r="BKL68" s="362"/>
      <c r="BKM68" s="362"/>
      <c r="BKN68" s="362"/>
      <c r="BKO68" s="362"/>
      <c r="BKP68" s="362"/>
      <c r="BKQ68" s="362"/>
      <c r="BKR68" s="362"/>
      <c r="BKS68" s="362"/>
      <c r="BKT68" s="362"/>
      <c r="BKU68" s="362"/>
      <c r="BKV68" s="362"/>
      <c r="BKW68" s="362"/>
      <c r="BKX68" s="362"/>
      <c r="BKY68" s="362"/>
      <c r="BKZ68" s="362"/>
      <c r="BLA68" s="362"/>
      <c r="BLB68" s="362"/>
      <c r="BLC68" s="362"/>
      <c r="BLD68" s="362"/>
      <c r="BLE68" s="362"/>
      <c r="BLF68" s="362"/>
      <c r="BLG68" s="362"/>
      <c r="BLH68" s="362"/>
      <c r="BLI68" s="362"/>
      <c r="BLJ68" s="362"/>
      <c r="BLK68" s="362"/>
      <c r="BLL68" s="362"/>
      <c r="BLM68" s="362"/>
      <c r="BLN68" s="362"/>
      <c r="BLO68" s="362"/>
      <c r="BLP68" s="362"/>
      <c r="BLQ68" s="362"/>
      <c r="BLR68" s="362"/>
      <c r="BLS68" s="362"/>
      <c r="BLT68" s="362"/>
      <c r="BLU68" s="362"/>
      <c r="BLV68" s="362"/>
      <c r="BLW68" s="362"/>
      <c r="BLX68" s="362"/>
      <c r="BLY68" s="362"/>
      <c r="BLZ68" s="362"/>
      <c r="BMA68" s="362"/>
      <c r="BMB68" s="362"/>
      <c r="BMC68" s="362"/>
      <c r="BMD68" s="362"/>
      <c r="BME68" s="362"/>
      <c r="BMF68" s="362"/>
      <c r="BMG68" s="362"/>
      <c r="BMH68" s="362"/>
      <c r="BMI68" s="362"/>
      <c r="BMJ68" s="362"/>
      <c r="BMK68" s="362"/>
      <c r="BML68" s="362"/>
      <c r="BMM68" s="362"/>
      <c r="BMN68" s="362"/>
      <c r="BMO68" s="362"/>
      <c r="BMP68" s="362"/>
      <c r="BMQ68" s="362"/>
      <c r="BMR68" s="362"/>
      <c r="BMS68" s="362"/>
      <c r="BMT68" s="362"/>
      <c r="BMU68" s="362"/>
      <c r="BMV68" s="362"/>
      <c r="BMW68" s="362"/>
      <c r="BMX68" s="362"/>
      <c r="BMY68" s="362"/>
      <c r="BMZ68" s="362"/>
      <c r="BNA68" s="362"/>
      <c r="BNB68" s="362"/>
      <c r="BNC68" s="362"/>
      <c r="BND68" s="362"/>
      <c r="BNE68" s="362"/>
      <c r="BNF68" s="362"/>
      <c r="BNG68" s="362"/>
      <c r="BNH68" s="362"/>
      <c r="BNI68" s="362"/>
      <c r="BNJ68" s="362"/>
      <c r="BNK68" s="362"/>
      <c r="BNL68" s="362"/>
      <c r="BNM68" s="362"/>
      <c r="BNN68" s="362"/>
      <c r="BNO68" s="362"/>
      <c r="BNP68" s="362"/>
      <c r="BNQ68" s="362"/>
      <c r="BNR68" s="362"/>
      <c r="BNS68" s="362"/>
      <c r="BNT68" s="362"/>
      <c r="BNU68" s="362"/>
      <c r="BNV68" s="362"/>
      <c r="BNW68" s="362"/>
      <c r="BNX68" s="362"/>
      <c r="BNY68" s="362"/>
      <c r="BNZ68" s="362"/>
      <c r="BOA68" s="362"/>
      <c r="BOB68" s="362"/>
      <c r="BOC68" s="362"/>
      <c r="BOD68" s="362"/>
      <c r="BOE68" s="362"/>
      <c r="BOF68" s="362"/>
      <c r="BOG68" s="362"/>
      <c r="BOH68" s="362"/>
      <c r="BOI68" s="362"/>
      <c r="BOJ68" s="362"/>
      <c r="BOK68" s="362"/>
      <c r="BOL68" s="362"/>
      <c r="BOM68" s="362"/>
      <c r="BON68" s="362"/>
      <c r="BOO68" s="362"/>
      <c r="BOP68" s="362"/>
      <c r="BOQ68" s="362"/>
      <c r="BOR68" s="362"/>
      <c r="BOS68" s="362"/>
      <c r="BOT68" s="362"/>
      <c r="BOU68" s="362"/>
      <c r="BOV68" s="362"/>
      <c r="BOW68" s="362"/>
      <c r="BOX68" s="362"/>
      <c r="BOY68" s="362"/>
      <c r="BOZ68" s="362"/>
      <c r="BPA68" s="362"/>
      <c r="BPB68" s="362"/>
      <c r="BPC68" s="362"/>
      <c r="BPD68" s="362"/>
      <c r="BPE68" s="362"/>
      <c r="BPF68" s="362"/>
      <c r="BPG68" s="362"/>
      <c r="BPH68" s="362"/>
      <c r="BPI68" s="362"/>
      <c r="BPJ68" s="362"/>
      <c r="BPK68" s="362"/>
      <c r="BPL68" s="362"/>
      <c r="BPM68" s="362"/>
      <c r="BPN68" s="362"/>
      <c r="BPO68" s="362"/>
      <c r="BPP68" s="362"/>
      <c r="BPQ68" s="362"/>
      <c r="BPR68" s="362"/>
      <c r="BPS68" s="362"/>
      <c r="BPT68" s="362"/>
      <c r="BPU68" s="362"/>
      <c r="BPV68" s="362"/>
      <c r="BPW68" s="362"/>
      <c r="BPX68" s="362"/>
      <c r="BPY68" s="362"/>
      <c r="BPZ68" s="362"/>
      <c r="BQA68" s="362"/>
      <c r="BQB68" s="362"/>
      <c r="BQC68" s="362"/>
      <c r="BQD68" s="362"/>
      <c r="BQE68" s="362"/>
      <c r="BQF68" s="362"/>
      <c r="BQG68" s="362"/>
      <c r="BQH68" s="362"/>
      <c r="BQI68" s="362"/>
      <c r="BQJ68" s="362"/>
      <c r="BQK68" s="362"/>
      <c r="BQL68" s="362"/>
      <c r="BQM68" s="362"/>
      <c r="BQN68" s="362"/>
      <c r="BQO68" s="362"/>
      <c r="BQP68" s="362"/>
      <c r="BQQ68" s="362"/>
      <c r="BQR68" s="362"/>
      <c r="BQS68" s="362"/>
      <c r="BQT68" s="362"/>
      <c r="BQU68" s="362"/>
      <c r="BQV68" s="362"/>
      <c r="BQW68" s="362"/>
      <c r="BQX68" s="362"/>
      <c r="BQY68" s="362"/>
      <c r="BQZ68" s="362"/>
      <c r="BRA68" s="362"/>
      <c r="BRB68" s="362"/>
      <c r="BRC68" s="362"/>
      <c r="BRD68" s="362"/>
      <c r="BRE68" s="362"/>
      <c r="BRF68" s="362"/>
      <c r="BRG68" s="362"/>
      <c r="BRH68" s="362"/>
      <c r="BRI68" s="362"/>
      <c r="BRJ68" s="362"/>
      <c r="BRK68" s="362"/>
      <c r="BRL68" s="362"/>
      <c r="BRM68" s="362"/>
      <c r="BRN68" s="362"/>
      <c r="BRO68" s="362"/>
      <c r="BRP68" s="362"/>
      <c r="BRQ68" s="362"/>
      <c r="BRR68" s="362"/>
      <c r="BRS68" s="362"/>
      <c r="BRT68" s="362"/>
      <c r="BRU68" s="362"/>
      <c r="BRV68" s="362"/>
      <c r="BRW68" s="362"/>
      <c r="BRX68" s="362"/>
      <c r="BRY68" s="362"/>
      <c r="BRZ68" s="362"/>
      <c r="BSA68" s="362"/>
      <c r="BSB68" s="362"/>
      <c r="BSC68" s="362"/>
      <c r="BSD68" s="362"/>
      <c r="BSE68" s="362"/>
      <c r="BSF68" s="362"/>
      <c r="BSG68" s="362"/>
      <c r="BSH68" s="362"/>
      <c r="BSI68" s="362"/>
      <c r="BSJ68" s="362"/>
      <c r="BSK68" s="362"/>
      <c r="BSL68" s="362"/>
      <c r="BSM68" s="362"/>
      <c r="BSN68" s="362"/>
      <c r="BSO68" s="362"/>
      <c r="BSP68" s="362"/>
      <c r="BSQ68" s="362"/>
      <c r="BSR68" s="362"/>
      <c r="BSS68" s="362"/>
      <c r="BST68" s="362"/>
      <c r="BSU68" s="362"/>
      <c r="BSV68" s="362"/>
      <c r="BSW68" s="362"/>
      <c r="BSX68" s="362"/>
      <c r="BSY68" s="362"/>
      <c r="BSZ68" s="362"/>
      <c r="BTA68" s="362"/>
      <c r="BTB68" s="362"/>
      <c r="BTC68" s="362"/>
      <c r="BTD68" s="362"/>
      <c r="BTE68" s="362"/>
      <c r="BTF68" s="362"/>
      <c r="BTG68" s="362"/>
      <c r="BTH68" s="362"/>
      <c r="BTI68" s="362"/>
      <c r="BTJ68" s="362"/>
      <c r="BTK68" s="362"/>
      <c r="BTL68" s="362"/>
      <c r="BTM68" s="362"/>
      <c r="BTN68" s="362"/>
      <c r="BTO68" s="362"/>
      <c r="BTP68" s="362"/>
      <c r="BTQ68" s="362"/>
      <c r="BTR68" s="362"/>
      <c r="BTS68" s="362"/>
      <c r="BTT68" s="362"/>
      <c r="BTU68" s="362"/>
      <c r="BTV68" s="362"/>
      <c r="BTW68" s="362"/>
      <c r="BTX68" s="362"/>
      <c r="BTY68" s="362"/>
      <c r="BTZ68" s="362"/>
      <c r="BUA68" s="362"/>
      <c r="BUB68" s="362"/>
      <c r="BUC68" s="362"/>
      <c r="BUD68" s="362"/>
      <c r="BUE68" s="362"/>
      <c r="BUF68" s="362"/>
      <c r="BUG68" s="362"/>
      <c r="BUH68" s="362"/>
      <c r="BUI68" s="362"/>
      <c r="BUJ68" s="362"/>
      <c r="BUK68" s="362"/>
      <c r="BUL68" s="362"/>
      <c r="BUM68" s="362"/>
      <c r="BUN68" s="362"/>
      <c r="BUO68" s="362"/>
      <c r="BUP68" s="362"/>
      <c r="BUQ68" s="362"/>
      <c r="BUR68" s="362"/>
      <c r="BUS68" s="362"/>
      <c r="BUT68" s="362"/>
      <c r="BUU68" s="362"/>
      <c r="BUV68" s="362"/>
      <c r="BUW68" s="362"/>
      <c r="BUX68" s="362"/>
      <c r="BUY68" s="362"/>
      <c r="BUZ68" s="362"/>
      <c r="BVA68" s="362"/>
      <c r="BVB68" s="362"/>
      <c r="BVC68" s="362"/>
      <c r="BVD68" s="362"/>
      <c r="BVE68" s="362"/>
      <c r="BVF68" s="362"/>
      <c r="BVG68" s="362"/>
      <c r="BVH68" s="362"/>
      <c r="BVI68" s="362"/>
      <c r="BVJ68" s="362"/>
      <c r="BVK68" s="362"/>
      <c r="BVL68" s="362"/>
      <c r="BVM68" s="362"/>
      <c r="BVN68" s="362"/>
      <c r="BVO68" s="362"/>
      <c r="BVP68" s="362"/>
      <c r="BVQ68" s="362"/>
      <c r="BVR68" s="362"/>
      <c r="BVS68" s="362"/>
      <c r="BVT68" s="362"/>
      <c r="BVU68" s="362"/>
      <c r="BVV68" s="362"/>
      <c r="BVW68" s="362"/>
      <c r="BVX68" s="362"/>
      <c r="BVY68" s="362"/>
      <c r="BVZ68" s="362"/>
      <c r="BWA68" s="362"/>
      <c r="BWB68" s="362"/>
      <c r="BWC68" s="362"/>
      <c r="BWD68" s="362"/>
      <c r="BWE68" s="362"/>
      <c r="BWF68" s="362"/>
      <c r="BWG68" s="362"/>
      <c r="BWH68" s="362"/>
      <c r="BWI68" s="362"/>
      <c r="BWJ68" s="362"/>
      <c r="BWK68" s="362"/>
      <c r="BWL68" s="362"/>
      <c r="BWM68" s="362"/>
      <c r="BWN68" s="362"/>
      <c r="BWO68" s="362"/>
      <c r="BWP68" s="362"/>
      <c r="BWQ68" s="362"/>
      <c r="BWR68" s="362"/>
      <c r="BWS68" s="362"/>
      <c r="BWT68" s="362"/>
      <c r="BWU68" s="362"/>
      <c r="BWV68" s="362"/>
      <c r="BWW68" s="362"/>
      <c r="BWX68" s="362"/>
      <c r="BWY68" s="362"/>
      <c r="BWZ68" s="362"/>
      <c r="BXA68" s="362"/>
      <c r="BXB68" s="362"/>
      <c r="BXC68" s="362"/>
      <c r="BXD68" s="362"/>
      <c r="BXE68" s="362"/>
      <c r="BXF68" s="362"/>
      <c r="BXG68" s="362"/>
      <c r="BXH68" s="362"/>
      <c r="BXI68" s="362"/>
      <c r="BXJ68" s="362"/>
      <c r="BXK68" s="362"/>
      <c r="BXL68" s="362"/>
      <c r="BXM68" s="362"/>
      <c r="BXN68" s="362"/>
      <c r="BXO68" s="362"/>
      <c r="BXP68" s="362"/>
      <c r="BXQ68" s="362"/>
      <c r="BXR68" s="362"/>
      <c r="BXS68" s="362"/>
      <c r="BXT68" s="362"/>
      <c r="BXU68" s="362"/>
      <c r="BXV68" s="362"/>
      <c r="BXW68" s="362"/>
      <c r="BXX68" s="362"/>
      <c r="BXY68" s="362"/>
      <c r="BXZ68" s="362"/>
      <c r="BYA68" s="362"/>
      <c r="BYB68" s="362"/>
      <c r="BYC68" s="362"/>
      <c r="BYD68" s="362"/>
      <c r="BYE68" s="362"/>
      <c r="BYF68" s="362"/>
      <c r="BYG68" s="362"/>
      <c r="BYH68" s="362"/>
      <c r="BYI68" s="362"/>
      <c r="BYJ68" s="362"/>
      <c r="BYK68" s="362"/>
      <c r="BYL68" s="362"/>
      <c r="BYM68" s="362"/>
      <c r="BYN68" s="362"/>
      <c r="BYO68" s="362"/>
      <c r="BYP68" s="362"/>
      <c r="BYQ68" s="362"/>
      <c r="BYR68" s="362"/>
      <c r="BYS68" s="362"/>
      <c r="BYT68" s="362"/>
      <c r="BYU68" s="362"/>
      <c r="BYV68" s="362"/>
      <c r="BYW68" s="362"/>
      <c r="BYX68" s="362"/>
      <c r="BYY68" s="362"/>
      <c r="BYZ68" s="362"/>
      <c r="BZA68" s="362"/>
      <c r="BZB68" s="362"/>
      <c r="BZC68" s="362"/>
      <c r="BZD68" s="362"/>
      <c r="BZE68" s="362"/>
      <c r="BZF68" s="362"/>
      <c r="BZG68" s="362"/>
      <c r="BZH68" s="362"/>
      <c r="BZI68" s="362"/>
      <c r="BZJ68" s="362"/>
      <c r="BZK68" s="362"/>
      <c r="BZL68" s="362"/>
      <c r="BZM68" s="362"/>
      <c r="BZN68" s="362"/>
      <c r="BZO68" s="362"/>
      <c r="BZP68" s="362"/>
      <c r="BZQ68" s="362"/>
      <c r="BZR68" s="362"/>
      <c r="BZS68" s="362"/>
      <c r="BZT68" s="362"/>
      <c r="BZU68" s="362"/>
      <c r="BZV68" s="362"/>
      <c r="BZW68" s="362"/>
      <c r="BZX68" s="362"/>
      <c r="BZY68" s="362"/>
      <c r="BZZ68" s="362"/>
      <c r="CAA68" s="362"/>
      <c r="CAB68" s="362"/>
      <c r="CAC68" s="362"/>
      <c r="CAD68" s="362"/>
      <c r="CAE68" s="362"/>
      <c r="CAF68" s="362"/>
      <c r="CAG68" s="362"/>
      <c r="CAH68" s="362"/>
      <c r="CAI68" s="362"/>
      <c r="CAJ68" s="362"/>
      <c r="CAK68" s="362"/>
      <c r="CAL68" s="362"/>
      <c r="CAM68" s="362"/>
      <c r="CAN68" s="362"/>
      <c r="CAO68" s="362"/>
      <c r="CAP68" s="362"/>
      <c r="CAQ68" s="362"/>
      <c r="CAR68" s="362"/>
      <c r="CAS68" s="362"/>
      <c r="CAT68" s="362"/>
      <c r="CAU68" s="362"/>
      <c r="CAV68" s="362"/>
      <c r="CAW68" s="362"/>
      <c r="CAX68" s="362"/>
      <c r="CAY68" s="362"/>
      <c r="CAZ68" s="362"/>
      <c r="CBA68" s="362"/>
      <c r="CBB68" s="362"/>
      <c r="CBC68" s="362"/>
      <c r="CBD68" s="362"/>
      <c r="CBE68" s="362"/>
      <c r="CBF68" s="362"/>
      <c r="CBG68" s="362"/>
      <c r="CBH68" s="362"/>
      <c r="CBI68" s="362"/>
      <c r="CBJ68" s="362"/>
      <c r="CBK68" s="362"/>
      <c r="CBL68" s="362"/>
      <c r="CBM68" s="362"/>
      <c r="CBN68" s="362"/>
      <c r="CBO68" s="362"/>
      <c r="CBP68" s="362"/>
      <c r="CBQ68" s="362"/>
      <c r="CBR68" s="362"/>
      <c r="CBS68" s="362"/>
      <c r="CBT68" s="362"/>
      <c r="CBU68" s="362"/>
      <c r="CBV68" s="362"/>
      <c r="CBW68" s="362"/>
      <c r="CBX68" s="362"/>
      <c r="CBY68" s="362"/>
      <c r="CBZ68" s="362"/>
      <c r="CCA68" s="362"/>
      <c r="CCB68" s="362"/>
      <c r="CCC68" s="362"/>
      <c r="CCD68" s="362"/>
      <c r="CCE68" s="362"/>
      <c r="CCF68" s="362"/>
      <c r="CCG68" s="362"/>
      <c r="CCH68" s="362"/>
      <c r="CCI68" s="362"/>
      <c r="CCJ68" s="362"/>
      <c r="CCK68" s="362"/>
      <c r="CCL68" s="362"/>
      <c r="CCM68" s="362"/>
      <c r="CCN68" s="362"/>
      <c r="CCO68" s="362"/>
      <c r="CCP68" s="362"/>
      <c r="CCQ68" s="362"/>
      <c r="CCR68" s="362"/>
      <c r="CCS68" s="362"/>
      <c r="CCT68" s="362"/>
      <c r="CCU68" s="362"/>
      <c r="CCV68" s="362"/>
      <c r="CCW68" s="362"/>
      <c r="CCX68" s="362"/>
      <c r="CCY68" s="362"/>
      <c r="CCZ68" s="362"/>
      <c r="CDA68" s="362"/>
      <c r="CDB68" s="362"/>
      <c r="CDC68" s="362"/>
      <c r="CDD68" s="362"/>
      <c r="CDE68" s="362"/>
      <c r="CDF68" s="362"/>
      <c r="CDG68" s="362"/>
      <c r="CDH68" s="362"/>
      <c r="CDI68" s="362"/>
      <c r="CDJ68" s="362"/>
      <c r="CDK68" s="362"/>
      <c r="CDL68" s="362"/>
      <c r="CDM68" s="362"/>
      <c r="CDN68" s="362"/>
      <c r="CDO68" s="362"/>
      <c r="CDP68" s="362"/>
      <c r="CDQ68" s="362"/>
      <c r="CDR68" s="362"/>
      <c r="CDS68" s="362"/>
      <c r="CDT68" s="362"/>
      <c r="CDU68" s="362"/>
      <c r="CDV68" s="362"/>
      <c r="CDW68" s="362"/>
      <c r="CDX68" s="362"/>
      <c r="CDY68" s="362"/>
      <c r="CDZ68" s="362"/>
      <c r="CEA68" s="362"/>
      <c r="CEB68" s="362"/>
      <c r="CEC68" s="362"/>
      <c r="CED68" s="362"/>
      <c r="CEE68" s="362"/>
      <c r="CEF68" s="362"/>
      <c r="CEG68" s="362"/>
      <c r="CEH68" s="362"/>
      <c r="CEI68" s="362"/>
      <c r="CEJ68" s="362"/>
      <c r="CEK68" s="362"/>
      <c r="CEL68" s="362"/>
      <c r="CEM68" s="362"/>
      <c r="CEN68" s="362"/>
      <c r="CEO68" s="362"/>
      <c r="CEP68" s="362"/>
      <c r="CEQ68" s="362"/>
      <c r="CER68" s="362"/>
      <c r="CES68" s="362"/>
      <c r="CET68" s="362"/>
      <c r="CEU68" s="362"/>
      <c r="CEV68" s="362"/>
      <c r="CEW68" s="362"/>
      <c r="CEX68" s="362"/>
      <c r="CEY68" s="362"/>
      <c r="CEZ68" s="362"/>
      <c r="CFA68" s="362"/>
      <c r="CFB68" s="362"/>
      <c r="CFC68" s="362"/>
      <c r="CFD68" s="362"/>
      <c r="CFE68" s="362"/>
      <c r="CFF68" s="362"/>
      <c r="CFG68" s="362"/>
      <c r="CFH68" s="362"/>
      <c r="CFI68" s="362"/>
      <c r="CFJ68" s="362"/>
      <c r="CFK68" s="362"/>
      <c r="CFL68" s="362"/>
      <c r="CFM68" s="362"/>
      <c r="CFN68" s="362"/>
      <c r="CFO68" s="362"/>
      <c r="CFP68" s="362"/>
      <c r="CFQ68" s="362"/>
      <c r="CFR68" s="362"/>
      <c r="CFS68" s="362"/>
      <c r="CFT68" s="362"/>
      <c r="CFU68" s="362"/>
      <c r="CFV68" s="362"/>
      <c r="CFW68" s="362"/>
      <c r="CFX68" s="362"/>
      <c r="CFY68" s="362"/>
      <c r="CFZ68" s="362"/>
      <c r="CGA68" s="362"/>
      <c r="CGB68" s="362"/>
      <c r="CGC68" s="362"/>
      <c r="CGD68" s="362"/>
      <c r="CGE68" s="362"/>
      <c r="CGF68" s="362"/>
      <c r="CGG68" s="362"/>
      <c r="CGH68" s="362"/>
      <c r="CGI68" s="362"/>
      <c r="CGJ68" s="362"/>
      <c r="CGK68" s="362"/>
      <c r="CGL68" s="362"/>
      <c r="CGM68" s="362"/>
      <c r="CGN68" s="362"/>
      <c r="CGO68" s="362"/>
      <c r="CGP68" s="362"/>
      <c r="CGQ68" s="362"/>
      <c r="CGR68" s="362"/>
      <c r="CGS68" s="362"/>
      <c r="CGT68" s="362"/>
      <c r="CGU68" s="362"/>
      <c r="CGV68" s="362"/>
      <c r="CGW68" s="362"/>
      <c r="CGX68" s="362"/>
      <c r="CGY68" s="362"/>
      <c r="CGZ68" s="362"/>
      <c r="CHA68" s="362"/>
      <c r="CHB68" s="362"/>
      <c r="CHC68" s="362"/>
      <c r="CHD68" s="362"/>
      <c r="CHE68" s="362"/>
      <c r="CHF68" s="362"/>
      <c r="CHG68" s="362"/>
      <c r="CHH68" s="362"/>
      <c r="CHI68" s="362"/>
      <c r="CHJ68" s="362"/>
      <c r="CHK68" s="362"/>
      <c r="CHL68" s="362"/>
      <c r="CHM68" s="362"/>
      <c r="CHN68" s="362"/>
      <c r="CHO68" s="362"/>
      <c r="CHP68" s="362"/>
      <c r="CHQ68" s="362"/>
      <c r="CHR68" s="362"/>
      <c r="CHS68" s="362"/>
      <c r="CHT68" s="362"/>
      <c r="CHU68" s="362"/>
      <c r="CHV68" s="362"/>
      <c r="CHW68" s="362"/>
      <c r="CHX68" s="362"/>
      <c r="CHY68" s="362"/>
      <c r="CHZ68" s="362"/>
      <c r="CIA68" s="362"/>
      <c r="CIB68" s="362"/>
      <c r="CIC68" s="362"/>
      <c r="CID68" s="362"/>
      <c r="CIE68" s="362"/>
      <c r="CIF68" s="362"/>
      <c r="CIG68" s="362"/>
      <c r="CIH68" s="362"/>
      <c r="CII68" s="362"/>
      <c r="CIJ68" s="362"/>
      <c r="CIK68" s="362"/>
      <c r="CIL68" s="362"/>
      <c r="CIM68" s="362"/>
      <c r="CIN68" s="362"/>
      <c r="CIO68" s="362"/>
      <c r="CIP68" s="362"/>
      <c r="CIQ68" s="362"/>
      <c r="CIR68" s="362"/>
      <c r="CIS68" s="362"/>
      <c r="CIT68" s="362"/>
      <c r="CIU68" s="362"/>
      <c r="CIV68" s="362"/>
      <c r="CIW68" s="362"/>
      <c r="CIX68" s="362"/>
      <c r="CIY68" s="362"/>
      <c r="CIZ68" s="362"/>
      <c r="CJA68" s="362"/>
      <c r="CJB68" s="362"/>
      <c r="CJC68" s="362"/>
      <c r="CJD68" s="362"/>
      <c r="CJE68" s="362"/>
      <c r="CJF68" s="362"/>
      <c r="CJG68" s="362"/>
      <c r="CJH68" s="362"/>
      <c r="CJI68" s="362"/>
      <c r="CJJ68" s="362"/>
      <c r="CJK68" s="362"/>
      <c r="CJL68" s="362"/>
      <c r="CJM68" s="362"/>
      <c r="CJN68" s="362"/>
      <c r="CJO68" s="362"/>
      <c r="CJP68" s="362"/>
      <c r="CJQ68" s="362"/>
      <c r="CJR68" s="362"/>
      <c r="CJS68" s="362"/>
      <c r="CJT68" s="362"/>
      <c r="CJU68" s="362"/>
      <c r="CJV68" s="362"/>
      <c r="CJW68" s="362"/>
      <c r="CJX68" s="362"/>
      <c r="CJY68" s="362"/>
      <c r="CJZ68" s="362"/>
      <c r="CKA68" s="362"/>
      <c r="CKB68" s="362"/>
      <c r="CKC68" s="362"/>
      <c r="CKD68" s="362"/>
      <c r="CKE68" s="362"/>
      <c r="CKF68" s="362"/>
      <c r="CKG68" s="362"/>
      <c r="CKH68" s="362"/>
      <c r="CKI68" s="362"/>
      <c r="CKJ68" s="362"/>
      <c r="CKK68" s="362"/>
      <c r="CKL68" s="362"/>
      <c r="CKM68" s="362"/>
      <c r="CKN68" s="362"/>
      <c r="CKO68" s="362"/>
      <c r="CKP68" s="362"/>
      <c r="CKQ68" s="362"/>
      <c r="CKR68" s="362"/>
      <c r="CKS68" s="362"/>
      <c r="CKT68" s="362"/>
      <c r="CKU68" s="362"/>
      <c r="CKV68" s="362"/>
      <c r="CKW68" s="362"/>
      <c r="CKX68" s="362"/>
      <c r="CKY68" s="362"/>
      <c r="CKZ68" s="362"/>
      <c r="CLA68" s="362"/>
      <c r="CLB68" s="362"/>
      <c r="CLC68" s="362"/>
      <c r="CLD68" s="362"/>
      <c r="CLE68" s="362"/>
      <c r="CLF68" s="362"/>
      <c r="CLG68" s="362"/>
      <c r="CLH68" s="362"/>
      <c r="CLI68" s="362"/>
      <c r="CLJ68" s="362"/>
      <c r="CLK68" s="362"/>
      <c r="CLL68" s="362"/>
      <c r="CLM68" s="362"/>
      <c r="CLN68" s="362"/>
      <c r="CLO68" s="362"/>
      <c r="CLP68" s="362"/>
      <c r="CLQ68" s="362"/>
      <c r="CLR68" s="362"/>
      <c r="CLS68" s="362"/>
      <c r="CLT68" s="362"/>
      <c r="CLU68" s="362"/>
      <c r="CLV68" s="362"/>
      <c r="CLW68" s="362"/>
      <c r="CLX68" s="362"/>
      <c r="CLY68" s="362"/>
      <c r="CLZ68" s="362"/>
      <c r="CMA68" s="362"/>
      <c r="CMB68" s="362"/>
      <c r="CMC68" s="362"/>
      <c r="CMD68" s="362"/>
      <c r="CME68" s="362"/>
      <c r="CMF68" s="362"/>
      <c r="CMG68" s="362"/>
      <c r="CMH68" s="362"/>
      <c r="CMI68" s="362"/>
      <c r="CMJ68" s="362"/>
      <c r="CMK68" s="362"/>
      <c r="CML68" s="362"/>
      <c r="CMM68" s="362"/>
      <c r="CMN68" s="362"/>
      <c r="CMO68" s="362"/>
      <c r="CMP68" s="362"/>
      <c r="CMQ68" s="362"/>
      <c r="CMR68" s="362"/>
      <c r="CMS68" s="362"/>
      <c r="CMT68" s="362"/>
      <c r="CMU68" s="362"/>
      <c r="CMV68" s="362"/>
      <c r="CMW68" s="362"/>
      <c r="CMX68" s="362"/>
      <c r="CMY68" s="362"/>
      <c r="CMZ68" s="362"/>
      <c r="CNA68" s="362"/>
      <c r="CNB68" s="362"/>
      <c r="CNC68" s="362"/>
      <c r="CND68" s="362"/>
      <c r="CNE68" s="362"/>
      <c r="CNF68" s="362"/>
      <c r="CNG68" s="362"/>
      <c r="CNH68" s="362"/>
      <c r="CNI68" s="362"/>
      <c r="CNJ68" s="362"/>
      <c r="CNK68" s="362"/>
      <c r="CNL68" s="362"/>
      <c r="CNM68" s="362"/>
      <c r="CNN68" s="362"/>
      <c r="CNO68" s="362"/>
      <c r="CNP68" s="362"/>
      <c r="CNQ68" s="362"/>
      <c r="CNR68" s="362"/>
      <c r="CNS68" s="362"/>
      <c r="CNT68" s="362"/>
      <c r="CNU68" s="362"/>
      <c r="CNV68" s="362"/>
      <c r="CNW68" s="362"/>
      <c r="CNX68" s="362"/>
      <c r="CNY68" s="362"/>
      <c r="CNZ68" s="362"/>
      <c r="COA68" s="362"/>
      <c r="COB68" s="362"/>
      <c r="COC68" s="362"/>
      <c r="COD68" s="362"/>
      <c r="COE68" s="362"/>
      <c r="COF68" s="362"/>
      <c r="COG68" s="362"/>
      <c r="COH68" s="362"/>
      <c r="COI68" s="362"/>
      <c r="COJ68" s="362"/>
      <c r="COK68" s="362"/>
      <c r="COL68" s="362"/>
      <c r="COM68" s="362"/>
      <c r="CON68" s="362"/>
      <c r="COO68" s="362"/>
      <c r="COP68" s="362"/>
      <c r="COQ68" s="362"/>
      <c r="COR68" s="362"/>
      <c r="COS68" s="362"/>
      <c r="COT68" s="362"/>
      <c r="COU68" s="362"/>
      <c r="COV68" s="362"/>
      <c r="COW68" s="362"/>
      <c r="COX68" s="362"/>
      <c r="COY68" s="362"/>
      <c r="COZ68" s="362"/>
      <c r="CPA68" s="362"/>
      <c r="CPB68" s="362"/>
      <c r="CPC68" s="362"/>
      <c r="CPD68" s="362"/>
      <c r="CPE68" s="362"/>
      <c r="CPF68" s="362"/>
      <c r="CPG68" s="362"/>
      <c r="CPH68" s="362"/>
      <c r="CPI68" s="362"/>
      <c r="CPJ68" s="362"/>
      <c r="CPK68" s="362"/>
      <c r="CPL68" s="362"/>
      <c r="CPM68" s="362"/>
      <c r="CPN68" s="362"/>
      <c r="CPO68" s="362"/>
      <c r="CPP68" s="362"/>
      <c r="CPQ68" s="362"/>
      <c r="CPR68" s="362"/>
      <c r="CPS68" s="362"/>
      <c r="CPT68" s="362"/>
      <c r="CPU68" s="362"/>
      <c r="CPV68" s="362"/>
      <c r="CPW68" s="362"/>
      <c r="CPX68" s="362"/>
      <c r="CPY68" s="362"/>
      <c r="CPZ68" s="362"/>
      <c r="CQA68" s="362"/>
      <c r="CQB68" s="362"/>
      <c r="CQC68" s="362"/>
      <c r="CQD68" s="362"/>
      <c r="CQE68" s="362"/>
      <c r="CQF68" s="362"/>
      <c r="CQG68" s="362"/>
      <c r="CQH68" s="362"/>
      <c r="CQI68" s="362"/>
      <c r="CQJ68" s="362"/>
      <c r="CQK68" s="362"/>
      <c r="CQL68" s="362"/>
      <c r="CQM68" s="362"/>
      <c r="CQN68" s="362"/>
      <c r="CQO68" s="362"/>
      <c r="CQP68" s="362"/>
      <c r="CQQ68" s="362"/>
      <c r="CQR68" s="362"/>
      <c r="CQS68" s="362"/>
      <c r="CQT68" s="362"/>
      <c r="CQU68" s="362"/>
      <c r="CQV68" s="362"/>
      <c r="CQW68" s="362"/>
      <c r="CQX68" s="362"/>
      <c r="CQY68" s="362"/>
      <c r="CQZ68" s="362"/>
      <c r="CRA68" s="362"/>
      <c r="CRB68" s="362"/>
      <c r="CRC68" s="362"/>
      <c r="CRD68" s="362"/>
      <c r="CRE68" s="362"/>
      <c r="CRF68" s="362"/>
      <c r="CRG68" s="362"/>
      <c r="CRH68" s="362"/>
      <c r="CRI68" s="362"/>
      <c r="CRJ68" s="362"/>
      <c r="CRK68" s="362"/>
      <c r="CRL68" s="362"/>
      <c r="CRM68" s="362"/>
      <c r="CRN68" s="362"/>
      <c r="CRO68" s="362"/>
      <c r="CRP68" s="362"/>
      <c r="CRQ68" s="362"/>
      <c r="CRR68" s="362"/>
      <c r="CRS68" s="362"/>
      <c r="CRT68" s="362"/>
      <c r="CRU68" s="362"/>
      <c r="CRV68" s="362"/>
      <c r="CRW68" s="362"/>
      <c r="CRX68" s="362"/>
      <c r="CRY68" s="362"/>
      <c r="CRZ68" s="362"/>
      <c r="CSA68" s="362"/>
      <c r="CSB68" s="362"/>
      <c r="CSC68" s="362"/>
      <c r="CSD68" s="362"/>
      <c r="CSE68" s="362"/>
      <c r="CSF68" s="362"/>
      <c r="CSG68" s="362"/>
      <c r="CSH68" s="362"/>
      <c r="CSI68" s="362"/>
      <c r="CSJ68" s="362"/>
      <c r="CSK68" s="362"/>
      <c r="CSL68" s="362"/>
      <c r="CSM68" s="362"/>
      <c r="CSN68" s="362"/>
      <c r="CSO68" s="362"/>
      <c r="CSP68" s="362"/>
      <c r="CSQ68" s="362"/>
      <c r="CSR68" s="362"/>
      <c r="CSS68" s="362"/>
      <c r="CST68" s="362"/>
      <c r="CSU68" s="362"/>
      <c r="CSV68" s="362"/>
      <c r="CSW68" s="362"/>
      <c r="CSX68" s="362"/>
      <c r="CSY68" s="362"/>
      <c r="CSZ68" s="362"/>
      <c r="CTA68" s="362"/>
      <c r="CTB68" s="362"/>
      <c r="CTC68" s="362"/>
      <c r="CTD68" s="362"/>
      <c r="CTE68" s="362"/>
      <c r="CTF68" s="362"/>
      <c r="CTG68" s="362"/>
      <c r="CTH68" s="362"/>
      <c r="CTI68" s="362"/>
      <c r="CTJ68" s="362"/>
      <c r="CTK68" s="362"/>
      <c r="CTL68" s="362"/>
      <c r="CTM68" s="362"/>
      <c r="CTN68" s="362"/>
      <c r="CTO68" s="362"/>
      <c r="CTP68" s="362"/>
      <c r="CTQ68" s="362"/>
      <c r="CTR68" s="362"/>
      <c r="CTS68" s="362"/>
      <c r="CTT68" s="362"/>
      <c r="CTU68" s="362"/>
      <c r="CTV68" s="362"/>
      <c r="CTW68" s="362"/>
      <c r="CTX68" s="362"/>
      <c r="CTY68" s="362"/>
      <c r="CTZ68" s="362"/>
      <c r="CUA68" s="362"/>
      <c r="CUB68" s="362"/>
      <c r="CUC68" s="362"/>
      <c r="CUD68" s="362"/>
      <c r="CUE68" s="362"/>
      <c r="CUF68" s="362"/>
      <c r="CUG68" s="362"/>
      <c r="CUH68" s="362"/>
      <c r="CUI68" s="362"/>
      <c r="CUJ68" s="362"/>
      <c r="CUK68" s="362"/>
      <c r="CUL68" s="362"/>
      <c r="CUM68" s="362"/>
      <c r="CUN68" s="362"/>
      <c r="CUO68" s="362"/>
      <c r="CUP68" s="362"/>
      <c r="CUQ68" s="362"/>
      <c r="CUR68" s="362"/>
      <c r="CUS68" s="362"/>
      <c r="CUT68" s="362"/>
      <c r="CUU68" s="362"/>
      <c r="CUV68" s="362"/>
      <c r="CUW68" s="362"/>
      <c r="CUX68" s="362"/>
      <c r="CUY68" s="362"/>
      <c r="CUZ68" s="362"/>
      <c r="CVA68" s="362"/>
      <c r="CVB68" s="362"/>
      <c r="CVC68" s="362"/>
      <c r="CVD68" s="362"/>
      <c r="CVE68" s="362"/>
      <c r="CVF68" s="362"/>
      <c r="CVG68" s="362"/>
      <c r="CVH68" s="362"/>
      <c r="CVI68" s="362"/>
      <c r="CVJ68" s="362"/>
      <c r="CVK68" s="362"/>
      <c r="CVL68" s="362"/>
      <c r="CVM68" s="362"/>
      <c r="CVN68" s="362"/>
      <c r="CVO68" s="362"/>
      <c r="CVP68" s="362"/>
      <c r="CVQ68" s="362"/>
      <c r="CVR68" s="362"/>
      <c r="CVS68" s="362"/>
      <c r="CVT68" s="362"/>
      <c r="CVU68" s="362"/>
      <c r="CVV68" s="362"/>
      <c r="CVW68" s="362"/>
      <c r="CVX68" s="362"/>
      <c r="CVY68" s="362"/>
      <c r="CVZ68" s="362"/>
      <c r="CWA68" s="362"/>
      <c r="CWB68" s="362"/>
      <c r="CWC68" s="362"/>
      <c r="CWD68" s="362"/>
      <c r="CWE68" s="362"/>
      <c r="CWF68" s="362"/>
      <c r="CWG68" s="362"/>
      <c r="CWH68" s="362"/>
      <c r="CWI68" s="362"/>
      <c r="CWJ68" s="362"/>
      <c r="CWK68" s="362"/>
      <c r="CWL68" s="362"/>
      <c r="CWM68" s="362"/>
      <c r="CWN68" s="362"/>
      <c r="CWO68" s="362"/>
      <c r="CWP68" s="362"/>
      <c r="CWQ68" s="362"/>
      <c r="CWR68" s="362"/>
      <c r="CWS68" s="362"/>
      <c r="CWT68" s="362"/>
      <c r="CWU68" s="362"/>
      <c r="CWV68" s="362"/>
      <c r="CWW68" s="362"/>
      <c r="CWX68" s="362"/>
      <c r="CWY68" s="362"/>
      <c r="CWZ68" s="362"/>
      <c r="CXA68" s="362"/>
      <c r="CXB68" s="362"/>
      <c r="CXC68" s="362"/>
      <c r="CXD68" s="362"/>
      <c r="CXE68" s="362"/>
      <c r="CXF68" s="362"/>
      <c r="CXG68" s="362"/>
      <c r="CXH68" s="362"/>
      <c r="CXI68" s="362"/>
      <c r="CXJ68" s="362"/>
      <c r="CXK68" s="362"/>
      <c r="CXL68" s="362"/>
      <c r="CXM68" s="362"/>
      <c r="CXN68" s="362"/>
      <c r="CXO68" s="362"/>
      <c r="CXP68" s="362"/>
      <c r="CXQ68" s="362"/>
      <c r="CXR68" s="362"/>
      <c r="CXS68" s="362"/>
      <c r="CXT68" s="362"/>
      <c r="CXU68" s="362"/>
      <c r="CXV68" s="362"/>
      <c r="CXW68" s="362"/>
      <c r="CXX68" s="362"/>
      <c r="CXY68" s="362"/>
      <c r="CXZ68" s="362"/>
      <c r="CYA68" s="362"/>
      <c r="CYB68" s="362"/>
      <c r="CYC68" s="362"/>
      <c r="CYD68" s="362"/>
      <c r="CYE68" s="362"/>
      <c r="CYF68" s="362"/>
      <c r="CYG68" s="362"/>
      <c r="CYH68" s="362"/>
      <c r="CYI68" s="362"/>
      <c r="CYJ68" s="362"/>
      <c r="CYK68" s="362"/>
      <c r="CYL68" s="362"/>
      <c r="CYM68" s="362"/>
      <c r="CYN68" s="362"/>
      <c r="CYO68" s="362"/>
      <c r="CYP68" s="362"/>
      <c r="CYQ68" s="362"/>
      <c r="CYR68" s="362"/>
      <c r="CYS68" s="362"/>
      <c r="CYT68" s="362"/>
      <c r="CYU68" s="362"/>
      <c r="CYV68" s="362"/>
      <c r="CYW68" s="362"/>
      <c r="CYX68" s="362"/>
      <c r="CYY68" s="362"/>
      <c r="CYZ68" s="362"/>
      <c r="CZA68" s="362"/>
      <c r="CZB68" s="362"/>
      <c r="CZC68" s="362"/>
      <c r="CZD68" s="362"/>
      <c r="CZE68" s="362"/>
      <c r="CZF68" s="362"/>
      <c r="CZG68" s="362"/>
      <c r="CZH68" s="362"/>
      <c r="CZI68" s="362"/>
      <c r="CZJ68" s="362"/>
      <c r="CZK68" s="362"/>
      <c r="CZL68" s="362"/>
      <c r="CZM68" s="362"/>
      <c r="CZN68" s="362"/>
      <c r="CZO68" s="362"/>
      <c r="CZP68" s="362"/>
      <c r="CZQ68" s="362"/>
      <c r="CZR68" s="362"/>
      <c r="CZS68" s="362"/>
      <c r="CZT68" s="362"/>
      <c r="CZU68" s="362"/>
      <c r="CZV68" s="362"/>
      <c r="CZW68" s="362"/>
      <c r="CZX68" s="362"/>
      <c r="CZY68" s="362"/>
      <c r="CZZ68" s="362"/>
      <c r="DAA68" s="362"/>
      <c r="DAB68" s="362"/>
      <c r="DAC68" s="362"/>
      <c r="DAD68" s="362"/>
      <c r="DAE68" s="362"/>
      <c r="DAF68" s="362"/>
      <c r="DAG68" s="362"/>
      <c r="DAH68" s="362"/>
      <c r="DAI68" s="362"/>
      <c r="DAJ68" s="362"/>
      <c r="DAK68" s="362"/>
      <c r="DAL68" s="362"/>
      <c r="DAM68" s="362"/>
      <c r="DAN68" s="362"/>
      <c r="DAO68" s="362"/>
      <c r="DAP68" s="362"/>
      <c r="DAQ68" s="362"/>
      <c r="DAR68" s="362"/>
      <c r="DAS68" s="362"/>
      <c r="DAT68" s="362"/>
      <c r="DAU68" s="362"/>
      <c r="DAV68" s="362"/>
      <c r="DAW68" s="362"/>
      <c r="DAX68" s="362"/>
      <c r="DAY68" s="362"/>
      <c r="DAZ68" s="362"/>
      <c r="DBA68" s="362"/>
      <c r="DBB68" s="362"/>
      <c r="DBC68" s="362"/>
      <c r="DBD68" s="362"/>
      <c r="DBE68" s="362"/>
      <c r="DBF68" s="362"/>
      <c r="DBG68" s="362"/>
      <c r="DBH68" s="362"/>
      <c r="DBI68" s="362"/>
      <c r="DBJ68" s="362"/>
      <c r="DBK68" s="362"/>
      <c r="DBL68" s="362"/>
      <c r="DBM68" s="362"/>
      <c r="DBN68" s="362"/>
      <c r="DBO68" s="362"/>
      <c r="DBP68" s="362"/>
      <c r="DBQ68" s="362"/>
      <c r="DBR68" s="362"/>
      <c r="DBS68" s="362"/>
      <c r="DBT68" s="362"/>
      <c r="DBU68" s="362"/>
      <c r="DBV68" s="362"/>
      <c r="DBW68" s="362"/>
      <c r="DBX68" s="362"/>
      <c r="DBY68" s="362"/>
      <c r="DBZ68" s="362"/>
      <c r="DCA68" s="362"/>
      <c r="DCB68" s="362"/>
      <c r="DCC68" s="362"/>
      <c r="DCD68" s="362"/>
      <c r="DCE68" s="362"/>
      <c r="DCF68" s="362"/>
      <c r="DCG68" s="362"/>
      <c r="DCH68" s="362"/>
      <c r="DCI68" s="362"/>
      <c r="DCJ68" s="362"/>
      <c r="DCK68" s="362"/>
      <c r="DCL68" s="362"/>
      <c r="DCM68" s="362"/>
      <c r="DCN68" s="362"/>
      <c r="DCO68" s="362"/>
      <c r="DCP68" s="362"/>
      <c r="DCQ68" s="362"/>
      <c r="DCR68" s="362"/>
      <c r="DCS68" s="362"/>
      <c r="DCT68" s="362"/>
      <c r="DCU68" s="362"/>
      <c r="DCV68" s="362"/>
      <c r="DCW68" s="362"/>
      <c r="DCX68" s="362"/>
      <c r="DCY68" s="362"/>
      <c r="DCZ68" s="362"/>
      <c r="DDA68" s="362"/>
      <c r="DDB68" s="362"/>
      <c r="DDC68" s="362"/>
      <c r="DDD68" s="362"/>
      <c r="DDE68" s="362"/>
      <c r="DDF68" s="362"/>
      <c r="DDG68" s="362"/>
      <c r="DDH68" s="362"/>
      <c r="DDI68" s="362"/>
      <c r="DDJ68" s="362"/>
      <c r="DDK68" s="362"/>
      <c r="DDL68" s="362"/>
      <c r="DDM68" s="362"/>
      <c r="DDN68" s="362"/>
      <c r="DDO68" s="362"/>
      <c r="DDP68" s="362"/>
      <c r="DDQ68" s="362"/>
      <c r="DDR68" s="362"/>
      <c r="DDS68" s="362"/>
      <c r="DDT68" s="362"/>
      <c r="DDU68" s="362"/>
      <c r="DDV68" s="362"/>
      <c r="DDW68" s="362"/>
      <c r="DDX68" s="362"/>
      <c r="DDY68" s="362"/>
      <c r="DDZ68" s="362"/>
      <c r="DEA68" s="362"/>
      <c r="DEB68" s="362"/>
      <c r="DEC68" s="362"/>
      <c r="DED68" s="362"/>
      <c r="DEE68" s="362"/>
      <c r="DEF68" s="362"/>
      <c r="DEG68" s="362"/>
      <c r="DEH68" s="362"/>
      <c r="DEI68" s="362"/>
      <c r="DEJ68" s="362"/>
      <c r="DEK68" s="362"/>
      <c r="DEL68" s="362"/>
      <c r="DEM68" s="362"/>
      <c r="DEN68" s="362"/>
      <c r="DEO68" s="362"/>
      <c r="DEP68" s="362"/>
      <c r="DEQ68" s="362"/>
      <c r="DER68" s="362"/>
      <c r="DES68" s="362"/>
      <c r="DET68" s="362"/>
      <c r="DEU68" s="362"/>
      <c r="DEV68" s="362"/>
      <c r="DEW68" s="362"/>
      <c r="DEX68" s="362"/>
      <c r="DEY68" s="362"/>
      <c r="DEZ68" s="362"/>
      <c r="DFA68" s="362"/>
      <c r="DFB68" s="362"/>
      <c r="DFC68" s="362"/>
      <c r="DFD68" s="362"/>
      <c r="DFE68" s="362"/>
      <c r="DFF68" s="362"/>
      <c r="DFG68" s="362"/>
      <c r="DFH68" s="362"/>
      <c r="DFI68" s="362"/>
      <c r="DFJ68" s="362"/>
      <c r="DFK68" s="362"/>
      <c r="DFL68" s="362"/>
      <c r="DFM68" s="362"/>
      <c r="DFN68" s="362"/>
      <c r="DFO68" s="362"/>
      <c r="DFP68" s="362"/>
      <c r="DFQ68" s="362"/>
      <c r="DFR68" s="362"/>
      <c r="DFS68" s="362"/>
      <c r="DFT68" s="362"/>
      <c r="DFU68" s="362"/>
      <c r="DFV68" s="362"/>
      <c r="DFW68" s="362"/>
      <c r="DFX68" s="362"/>
      <c r="DFY68" s="362"/>
      <c r="DFZ68" s="362"/>
      <c r="DGA68" s="362"/>
      <c r="DGB68" s="362"/>
      <c r="DGC68" s="362"/>
      <c r="DGD68" s="362"/>
      <c r="DGE68" s="362"/>
      <c r="DGF68" s="362"/>
      <c r="DGG68" s="362"/>
      <c r="DGH68" s="362"/>
      <c r="DGI68" s="362"/>
      <c r="DGJ68" s="362"/>
      <c r="DGK68" s="362"/>
      <c r="DGL68" s="362"/>
      <c r="DGM68" s="362"/>
      <c r="DGN68" s="362"/>
      <c r="DGO68" s="362"/>
      <c r="DGP68" s="362"/>
      <c r="DGQ68" s="362"/>
      <c r="DGR68" s="362"/>
      <c r="DGS68" s="362"/>
      <c r="DGT68" s="362"/>
      <c r="DGU68" s="362"/>
      <c r="DGV68" s="362"/>
      <c r="DGW68" s="362"/>
      <c r="DGX68" s="362"/>
      <c r="DGY68" s="362"/>
      <c r="DGZ68" s="362"/>
      <c r="DHA68" s="362"/>
      <c r="DHB68" s="362"/>
      <c r="DHC68" s="362"/>
      <c r="DHD68" s="362"/>
      <c r="DHE68" s="362"/>
      <c r="DHF68" s="362"/>
      <c r="DHG68" s="362"/>
      <c r="DHH68" s="362"/>
      <c r="DHI68" s="362"/>
      <c r="DHJ68" s="362"/>
      <c r="DHK68" s="362"/>
      <c r="DHL68" s="362"/>
      <c r="DHM68" s="362"/>
      <c r="DHN68" s="362"/>
      <c r="DHO68" s="362"/>
      <c r="DHP68" s="362"/>
      <c r="DHQ68" s="362"/>
      <c r="DHR68" s="362"/>
      <c r="DHS68" s="362"/>
      <c r="DHT68" s="362"/>
      <c r="DHU68" s="362"/>
      <c r="DHV68" s="362"/>
      <c r="DHW68" s="362"/>
      <c r="DHX68" s="362"/>
      <c r="DHY68" s="362"/>
      <c r="DHZ68" s="362"/>
      <c r="DIA68" s="362"/>
      <c r="DIB68" s="362"/>
      <c r="DIC68" s="362"/>
      <c r="DID68" s="362"/>
      <c r="DIE68" s="362"/>
      <c r="DIF68" s="362"/>
      <c r="DIG68" s="362"/>
      <c r="DIH68" s="362"/>
      <c r="DII68" s="362"/>
      <c r="DIJ68" s="362"/>
      <c r="DIK68" s="362"/>
      <c r="DIL68" s="362"/>
      <c r="DIM68" s="362"/>
      <c r="DIN68" s="362"/>
      <c r="DIO68" s="362"/>
      <c r="DIP68" s="362"/>
      <c r="DIQ68" s="362"/>
      <c r="DIR68" s="362"/>
      <c r="DIS68" s="362"/>
      <c r="DIT68" s="362"/>
      <c r="DIU68" s="362"/>
      <c r="DIV68" s="362"/>
      <c r="DIW68" s="362"/>
      <c r="DIX68" s="362"/>
      <c r="DIY68" s="362"/>
      <c r="DIZ68" s="362"/>
      <c r="DJA68" s="362"/>
      <c r="DJB68" s="362"/>
      <c r="DJC68" s="362"/>
      <c r="DJD68" s="362"/>
      <c r="DJE68" s="362"/>
      <c r="DJF68" s="362"/>
      <c r="DJG68" s="362"/>
      <c r="DJH68" s="362"/>
      <c r="DJI68" s="362"/>
      <c r="DJJ68" s="362"/>
      <c r="DJK68" s="362"/>
      <c r="DJL68" s="362"/>
      <c r="DJM68" s="362"/>
      <c r="DJN68" s="362"/>
      <c r="DJO68" s="362"/>
      <c r="DJP68" s="362"/>
      <c r="DJQ68" s="362"/>
      <c r="DJR68" s="362"/>
      <c r="DJS68" s="362"/>
      <c r="DJT68" s="362"/>
      <c r="DJU68" s="362"/>
      <c r="DJV68" s="362"/>
      <c r="DJW68" s="362"/>
      <c r="DJX68" s="362"/>
      <c r="DJY68" s="362"/>
      <c r="DJZ68" s="362"/>
      <c r="DKA68" s="362"/>
      <c r="DKB68" s="362"/>
      <c r="DKC68" s="362"/>
      <c r="DKD68" s="362"/>
      <c r="DKE68" s="362"/>
      <c r="DKF68" s="362"/>
      <c r="DKG68" s="362"/>
      <c r="DKH68" s="362"/>
      <c r="DKI68" s="362"/>
      <c r="DKJ68" s="362"/>
      <c r="DKK68" s="362"/>
      <c r="DKL68" s="362"/>
      <c r="DKM68" s="362"/>
      <c r="DKN68" s="362"/>
      <c r="DKO68" s="362"/>
      <c r="DKP68" s="362"/>
      <c r="DKQ68" s="362"/>
      <c r="DKR68" s="362"/>
      <c r="DKS68" s="362"/>
      <c r="DKT68" s="362"/>
      <c r="DKU68" s="362"/>
      <c r="DKV68" s="362"/>
      <c r="DKW68" s="362"/>
      <c r="DKX68" s="362"/>
      <c r="DKY68" s="362"/>
      <c r="DKZ68" s="362"/>
      <c r="DLA68" s="362"/>
      <c r="DLB68" s="362"/>
      <c r="DLC68" s="362"/>
      <c r="DLD68" s="362"/>
      <c r="DLE68" s="362"/>
      <c r="DLF68" s="362"/>
      <c r="DLG68" s="362"/>
      <c r="DLH68" s="362"/>
      <c r="DLI68" s="362"/>
      <c r="DLJ68" s="362"/>
      <c r="DLK68" s="362"/>
      <c r="DLL68" s="362"/>
      <c r="DLM68" s="362"/>
      <c r="DLN68" s="362"/>
      <c r="DLO68" s="362"/>
      <c r="DLP68" s="362"/>
      <c r="DLQ68" s="362"/>
      <c r="DLR68" s="362"/>
      <c r="DLS68" s="362"/>
      <c r="DLT68" s="362"/>
      <c r="DLU68" s="362"/>
      <c r="DLV68" s="362"/>
      <c r="DLW68" s="362"/>
      <c r="DLX68" s="362"/>
      <c r="DLY68" s="362"/>
      <c r="DLZ68" s="362"/>
      <c r="DMA68" s="362"/>
      <c r="DMB68" s="362"/>
      <c r="DMC68" s="362"/>
      <c r="DMD68" s="362"/>
      <c r="DME68" s="362"/>
      <c r="DMF68" s="362"/>
      <c r="DMG68" s="362"/>
      <c r="DMH68" s="362"/>
      <c r="DMI68" s="362"/>
      <c r="DMJ68" s="362"/>
      <c r="DMK68" s="362"/>
      <c r="DML68" s="362"/>
      <c r="DMM68" s="362"/>
      <c r="DMN68" s="362"/>
      <c r="DMO68" s="362"/>
      <c r="DMP68" s="362"/>
      <c r="DMQ68" s="362"/>
      <c r="DMR68" s="362"/>
      <c r="DMS68" s="362"/>
      <c r="DMT68" s="362"/>
      <c r="DMU68" s="362"/>
      <c r="DMV68" s="362"/>
      <c r="DMW68" s="362"/>
      <c r="DMX68" s="362"/>
      <c r="DMY68" s="362"/>
      <c r="DMZ68" s="362"/>
      <c r="DNA68" s="362"/>
      <c r="DNB68" s="362"/>
      <c r="DNC68" s="362"/>
      <c r="DND68" s="362"/>
      <c r="DNE68" s="362"/>
      <c r="DNF68" s="362"/>
      <c r="DNG68" s="362"/>
      <c r="DNH68" s="362"/>
      <c r="DNI68" s="362"/>
      <c r="DNJ68" s="362"/>
      <c r="DNK68" s="362"/>
      <c r="DNL68" s="362"/>
      <c r="DNM68" s="362"/>
      <c r="DNN68" s="362"/>
      <c r="DNO68" s="362"/>
      <c r="DNP68" s="362"/>
      <c r="DNQ68" s="362"/>
      <c r="DNR68" s="362"/>
      <c r="DNS68" s="362"/>
      <c r="DNT68" s="362"/>
      <c r="DNU68" s="362"/>
      <c r="DNV68" s="362"/>
      <c r="DNW68" s="362"/>
      <c r="DNX68" s="362"/>
      <c r="DNY68" s="362"/>
      <c r="DNZ68" s="362"/>
      <c r="DOA68" s="362"/>
      <c r="DOB68" s="362"/>
      <c r="DOC68" s="362"/>
      <c r="DOD68" s="362"/>
      <c r="DOE68" s="362"/>
      <c r="DOF68" s="362"/>
      <c r="DOG68" s="362"/>
      <c r="DOH68" s="362"/>
      <c r="DOI68" s="362"/>
      <c r="DOJ68" s="362"/>
      <c r="DOK68" s="362"/>
      <c r="DOL68" s="362"/>
      <c r="DOM68" s="362"/>
      <c r="DON68" s="362"/>
      <c r="DOO68" s="362"/>
      <c r="DOP68" s="362"/>
      <c r="DOQ68" s="362"/>
      <c r="DOR68" s="362"/>
      <c r="DOS68" s="362"/>
      <c r="DOT68" s="362"/>
      <c r="DOU68" s="362"/>
      <c r="DOV68" s="362"/>
      <c r="DOW68" s="362"/>
      <c r="DOX68" s="362"/>
      <c r="DOY68" s="362"/>
      <c r="DOZ68" s="362"/>
      <c r="DPA68" s="362"/>
      <c r="DPB68" s="362"/>
      <c r="DPC68" s="362"/>
      <c r="DPD68" s="362"/>
      <c r="DPE68" s="362"/>
      <c r="DPF68" s="362"/>
      <c r="DPG68" s="362"/>
      <c r="DPH68" s="362"/>
      <c r="DPI68" s="362"/>
      <c r="DPJ68" s="362"/>
      <c r="DPK68" s="362"/>
      <c r="DPL68" s="362"/>
      <c r="DPM68" s="362"/>
      <c r="DPN68" s="362"/>
      <c r="DPO68" s="362"/>
      <c r="DPP68" s="362"/>
      <c r="DPQ68" s="362"/>
      <c r="DPR68" s="362"/>
      <c r="DPS68" s="362"/>
      <c r="DPT68" s="362"/>
      <c r="DPU68" s="362"/>
      <c r="DPV68" s="362"/>
      <c r="DPW68" s="362"/>
      <c r="DPX68" s="362"/>
      <c r="DPY68" s="362"/>
      <c r="DPZ68" s="362"/>
      <c r="DQA68" s="362"/>
      <c r="DQB68" s="362"/>
      <c r="DQC68" s="362"/>
      <c r="DQD68" s="362"/>
      <c r="DQE68" s="362"/>
      <c r="DQF68" s="362"/>
      <c r="DQG68" s="362"/>
      <c r="DQH68" s="362"/>
      <c r="DQI68" s="362"/>
      <c r="DQJ68" s="362"/>
      <c r="DQK68" s="362"/>
      <c r="DQL68" s="362"/>
      <c r="DQM68" s="362"/>
      <c r="DQN68" s="362"/>
      <c r="DQO68" s="362"/>
      <c r="DQP68" s="362"/>
      <c r="DQQ68" s="362"/>
      <c r="DQR68" s="362"/>
      <c r="DQS68" s="362"/>
      <c r="DQT68" s="362"/>
      <c r="DQU68" s="362"/>
      <c r="DQV68" s="362"/>
      <c r="DQW68" s="362"/>
      <c r="DQX68" s="362"/>
      <c r="DQY68" s="362"/>
      <c r="DQZ68" s="362"/>
      <c r="DRA68" s="362"/>
      <c r="DRB68" s="362"/>
      <c r="DRC68" s="362"/>
      <c r="DRD68" s="362"/>
      <c r="DRE68" s="362"/>
      <c r="DRF68" s="362"/>
      <c r="DRG68" s="362"/>
      <c r="DRH68" s="362"/>
      <c r="DRI68" s="362"/>
      <c r="DRJ68" s="362"/>
      <c r="DRK68" s="362"/>
      <c r="DRL68" s="362"/>
      <c r="DRM68" s="362"/>
      <c r="DRN68" s="362"/>
      <c r="DRO68" s="362"/>
      <c r="DRP68" s="362"/>
      <c r="DRQ68" s="362"/>
      <c r="DRR68" s="362"/>
      <c r="DRS68" s="362"/>
      <c r="DRT68" s="362"/>
      <c r="DRU68" s="362"/>
      <c r="DRV68" s="362"/>
      <c r="DRW68" s="362"/>
      <c r="DRX68" s="362"/>
      <c r="DRY68" s="362"/>
      <c r="DRZ68" s="362"/>
      <c r="DSA68" s="362"/>
      <c r="DSB68" s="362"/>
      <c r="DSC68" s="362"/>
      <c r="DSD68" s="362"/>
      <c r="DSE68" s="362"/>
      <c r="DSF68" s="362"/>
      <c r="DSG68" s="362"/>
      <c r="DSH68" s="362"/>
      <c r="DSI68" s="362"/>
      <c r="DSJ68" s="362"/>
      <c r="DSK68" s="362"/>
      <c r="DSL68" s="362"/>
      <c r="DSM68" s="362"/>
      <c r="DSN68" s="362"/>
      <c r="DSO68" s="362"/>
      <c r="DSP68" s="362"/>
      <c r="DSQ68" s="362"/>
      <c r="DSR68" s="362"/>
      <c r="DSS68" s="362"/>
      <c r="DST68" s="362"/>
      <c r="DSU68" s="362"/>
      <c r="DSV68" s="362"/>
      <c r="DSW68" s="362"/>
      <c r="DSX68" s="362"/>
      <c r="DSY68" s="362"/>
      <c r="DSZ68" s="362"/>
      <c r="DTA68" s="362"/>
      <c r="DTB68" s="362"/>
      <c r="DTC68" s="362"/>
      <c r="DTD68" s="362"/>
      <c r="DTE68" s="362"/>
      <c r="DTF68" s="362"/>
      <c r="DTG68" s="362"/>
      <c r="DTH68" s="362"/>
      <c r="DTI68" s="362"/>
      <c r="DTJ68" s="362"/>
      <c r="DTK68" s="362"/>
      <c r="DTL68" s="362"/>
      <c r="DTM68" s="362"/>
      <c r="DTN68" s="362"/>
      <c r="DTO68" s="362"/>
      <c r="DTP68" s="362"/>
      <c r="DTQ68" s="362"/>
      <c r="DTR68" s="362"/>
      <c r="DTS68" s="362"/>
      <c r="DTT68" s="362"/>
      <c r="DTU68" s="362"/>
      <c r="DTV68" s="362"/>
      <c r="DTW68" s="362"/>
      <c r="DTX68" s="362"/>
      <c r="DTY68" s="362"/>
      <c r="DTZ68" s="362"/>
      <c r="DUA68" s="362"/>
      <c r="DUB68" s="362"/>
      <c r="DUC68" s="362"/>
      <c r="DUD68" s="362"/>
      <c r="DUE68" s="362"/>
      <c r="DUF68" s="362"/>
      <c r="DUG68" s="362"/>
      <c r="DUH68" s="362"/>
      <c r="DUI68" s="362"/>
      <c r="DUJ68" s="362"/>
      <c r="DUK68" s="362"/>
      <c r="DUL68" s="362"/>
      <c r="DUM68" s="362"/>
      <c r="DUN68" s="362"/>
      <c r="DUO68" s="362"/>
      <c r="DUP68" s="362"/>
      <c r="DUQ68" s="362"/>
      <c r="DUR68" s="362"/>
      <c r="DUS68" s="362"/>
      <c r="DUT68" s="362"/>
      <c r="DUU68" s="362"/>
      <c r="DUV68" s="362"/>
      <c r="DUW68" s="362"/>
      <c r="DUX68" s="362"/>
      <c r="DUY68" s="362"/>
      <c r="DUZ68" s="362"/>
      <c r="DVA68" s="362"/>
      <c r="DVB68" s="362"/>
      <c r="DVC68" s="362"/>
      <c r="DVD68" s="362"/>
      <c r="DVE68" s="362"/>
      <c r="DVF68" s="362"/>
      <c r="DVG68" s="362"/>
      <c r="DVH68" s="362"/>
      <c r="DVI68" s="362"/>
      <c r="DVJ68" s="362"/>
      <c r="DVK68" s="362"/>
      <c r="DVL68" s="362"/>
      <c r="DVM68" s="362"/>
      <c r="DVN68" s="362"/>
      <c r="DVO68" s="362"/>
      <c r="DVP68" s="362"/>
      <c r="DVQ68" s="362"/>
      <c r="DVR68" s="362"/>
      <c r="DVS68" s="362"/>
      <c r="DVT68" s="362"/>
      <c r="DVU68" s="362"/>
      <c r="DVV68" s="362"/>
      <c r="DVW68" s="362"/>
      <c r="DVX68" s="362"/>
      <c r="DVY68" s="362"/>
      <c r="DVZ68" s="362"/>
      <c r="DWA68" s="362"/>
      <c r="DWB68" s="362"/>
      <c r="DWC68" s="362"/>
      <c r="DWD68" s="362"/>
      <c r="DWE68" s="362"/>
      <c r="DWF68" s="362"/>
      <c r="DWG68" s="362"/>
      <c r="DWH68" s="362"/>
      <c r="DWI68" s="362"/>
      <c r="DWJ68" s="362"/>
      <c r="DWK68" s="362"/>
      <c r="DWL68" s="362"/>
      <c r="DWM68" s="362"/>
      <c r="DWN68" s="362"/>
      <c r="DWO68" s="362"/>
      <c r="DWP68" s="362"/>
      <c r="DWQ68" s="362"/>
      <c r="DWR68" s="362"/>
      <c r="DWS68" s="362"/>
      <c r="DWT68" s="362"/>
      <c r="DWU68" s="362"/>
      <c r="DWV68" s="362"/>
      <c r="DWW68" s="362"/>
      <c r="DWX68" s="362"/>
      <c r="DWY68" s="362"/>
      <c r="DWZ68" s="362"/>
      <c r="DXA68" s="362"/>
      <c r="DXB68" s="362"/>
      <c r="DXC68" s="362"/>
      <c r="DXD68" s="362"/>
      <c r="DXE68" s="362"/>
      <c r="DXF68" s="362"/>
      <c r="DXG68" s="362"/>
      <c r="DXH68" s="362"/>
      <c r="DXI68" s="362"/>
      <c r="DXJ68" s="362"/>
      <c r="DXK68" s="362"/>
      <c r="DXL68" s="362"/>
      <c r="DXM68" s="362"/>
      <c r="DXN68" s="362"/>
      <c r="DXO68" s="362"/>
      <c r="DXP68" s="362"/>
      <c r="DXQ68" s="362"/>
      <c r="DXR68" s="362"/>
      <c r="DXS68" s="362"/>
      <c r="DXT68" s="362"/>
      <c r="DXU68" s="362"/>
      <c r="DXV68" s="362"/>
      <c r="DXW68" s="362"/>
      <c r="DXX68" s="362"/>
      <c r="DXY68" s="362"/>
      <c r="DXZ68" s="362"/>
      <c r="DYA68" s="362"/>
      <c r="DYB68" s="362"/>
      <c r="DYC68" s="362"/>
      <c r="DYD68" s="362"/>
      <c r="DYE68" s="362"/>
      <c r="DYF68" s="362"/>
      <c r="DYG68" s="362"/>
      <c r="DYH68" s="362"/>
      <c r="DYI68" s="362"/>
      <c r="DYJ68" s="362"/>
      <c r="DYK68" s="362"/>
      <c r="DYL68" s="362"/>
      <c r="DYM68" s="362"/>
      <c r="DYN68" s="362"/>
      <c r="DYO68" s="362"/>
      <c r="DYP68" s="362"/>
      <c r="DYQ68" s="362"/>
      <c r="DYR68" s="362"/>
      <c r="DYS68" s="362"/>
      <c r="DYT68" s="362"/>
      <c r="DYU68" s="362"/>
      <c r="DYV68" s="362"/>
      <c r="DYW68" s="362"/>
      <c r="DYX68" s="362"/>
      <c r="DYY68" s="362"/>
      <c r="DYZ68" s="362"/>
      <c r="DZA68" s="362"/>
      <c r="DZB68" s="362"/>
      <c r="DZC68" s="362"/>
      <c r="DZD68" s="362"/>
      <c r="DZE68" s="362"/>
      <c r="DZF68" s="362"/>
      <c r="DZG68" s="362"/>
      <c r="DZH68" s="362"/>
      <c r="DZI68" s="362"/>
      <c r="DZJ68" s="362"/>
      <c r="DZK68" s="362"/>
      <c r="DZL68" s="362"/>
      <c r="DZM68" s="362"/>
      <c r="DZN68" s="362"/>
      <c r="DZO68" s="362"/>
      <c r="DZP68" s="362"/>
      <c r="DZQ68" s="362"/>
      <c r="DZR68" s="362"/>
      <c r="DZS68" s="362"/>
      <c r="DZT68" s="362"/>
      <c r="DZU68" s="362"/>
      <c r="DZV68" s="362"/>
      <c r="DZW68" s="362"/>
      <c r="DZX68" s="362"/>
      <c r="DZY68" s="362"/>
      <c r="DZZ68" s="362"/>
      <c r="EAA68" s="362"/>
      <c r="EAB68" s="362"/>
      <c r="EAC68" s="362"/>
      <c r="EAD68" s="362"/>
      <c r="EAE68" s="362"/>
      <c r="EAF68" s="362"/>
      <c r="EAG68" s="362"/>
      <c r="EAH68" s="362"/>
      <c r="EAI68" s="362"/>
      <c r="EAJ68" s="362"/>
      <c r="EAK68" s="362"/>
      <c r="EAL68" s="362"/>
      <c r="EAM68" s="362"/>
      <c r="EAN68" s="362"/>
      <c r="EAO68" s="362"/>
      <c r="EAP68" s="362"/>
      <c r="EAQ68" s="362"/>
      <c r="EAR68" s="362"/>
      <c r="EAS68" s="362"/>
      <c r="EAT68" s="362"/>
      <c r="EAU68" s="362"/>
      <c r="EAV68" s="362"/>
      <c r="EAW68" s="362"/>
      <c r="EAX68" s="362"/>
      <c r="EAY68" s="362"/>
      <c r="EAZ68" s="362"/>
      <c r="EBA68" s="362"/>
      <c r="EBB68" s="362"/>
      <c r="EBC68" s="362"/>
      <c r="EBD68" s="362"/>
      <c r="EBE68" s="362"/>
      <c r="EBF68" s="362"/>
      <c r="EBG68" s="362"/>
      <c r="EBH68" s="362"/>
      <c r="EBI68" s="362"/>
      <c r="EBJ68" s="362"/>
      <c r="EBK68" s="362"/>
      <c r="EBL68" s="362"/>
      <c r="EBM68" s="362"/>
      <c r="EBN68" s="362"/>
      <c r="EBO68" s="362"/>
      <c r="EBP68" s="362"/>
      <c r="EBQ68" s="362"/>
      <c r="EBR68" s="362"/>
      <c r="EBS68" s="362"/>
      <c r="EBT68" s="362"/>
      <c r="EBU68" s="362"/>
      <c r="EBV68" s="362"/>
      <c r="EBW68" s="362"/>
      <c r="EBX68" s="362"/>
      <c r="EBY68" s="362"/>
      <c r="EBZ68" s="362"/>
      <c r="ECA68" s="362"/>
      <c r="ECB68" s="362"/>
      <c r="ECC68" s="362"/>
      <c r="ECD68" s="362"/>
      <c r="ECE68" s="362"/>
      <c r="ECF68" s="362"/>
      <c r="ECG68" s="362"/>
      <c r="ECH68" s="362"/>
      <c r="ECI68" s="362"/>
      <c r="ECJ68" s="362"/>
      <c r="ECK68" s="362"/>
      <c r="ECL68" s="362"/>
      <c r="ECM68" s="362"/>
      <c r="ECN68" s="362"/>
      <c r="ECO68" s="362"/>
      <c r="ECP68" s="362"/>
      <c r="ECQ68" s="362"/>
      <c r="ECR68" s="362"/>
      <c r="ECS68" s="362"/>
      <c r="ECT68" s="362"/>
      <c r="ECU68" s="362"/>
      <c r="ECV68" s="362"/>
      <c r="ECW68" s="362"/>
      <c r="ECX68" s="362"/>
      <c r="ECY68" s="362"/>
      <c r="ECZ68" s="362"/>
      <c r="EDA68" s="362"/>
      <c r="EDB68" s="362"/>
      <c r="EDC68" s="362"/>
      <c r="EDD68" s="362"/>
      <c r="EDE68" s="362"/>
      <c r="EDF68" s="362"/>
      <c r="EDG68" s="362"/>
      <c r="EDH68" s="362"/>
      <c r="EDI68" s="362"/>
      <c r="EDJ68" s="362"/>
      <c r="EDK68" s="362"/>
      <c r="EDL68" s="362"/>
      <c r="EDM68" s="362"/>
      <c r="EDN68" s="362"/>
      <c r="EDO68" s="362"/>
      <c r="EDP68" s="362"/>
      <c r="EDQ68" s="362"/>
      <c r="EDR68" s="362"/>
      <c r="EDS68" s="362"/>
      <c r="EDT68" s="362"/>
      <c r="EDU68" s="362"/>
      <c r="EDV68" s="362"/>
      <c r="EDW68" s="362"/>
      <c r="EDX68" s="362"/>
      <c r="EDY68" s="362"/>
      <c r="EDZ68" s="362"/>
      <c r="EEA68" s="362"/>
      <c r="EEB68" s="362"/>
      <c r="EEC68" s="362"/>
      <c r="EED68" s="362"/>
      <c r="EEE68" s="362"/>
      <c r="EEF68" s="362"/>
      <c r="EEG68" s="362"/>
      <c r="EEH68" s="362"/>
      <c r="EEI68" s="362"/>
      <c r="EEJ68" s="362"/>
      <c r="EEK68" s="362"/>
      <c r="EEL68" s="362"/>
      <c r="EEM68" s="362"/>
      <c r="EEN68" s="362"/>
      <c r="EEO68" s="362"/>
      <c r="EEP68" s="362"/>
      <c r="EEQ68" s="362"/>
      <c r="EER68" s="362"/>
      <c r="EES68" s="362"/>
      <c r="EET68" s="362"/>
      <c r="EEU68" s="362"/>
      <c r="EEV68" s="362"/>
      <c r="EEW68" s="362"/>
      <c r="EEX68" s="362"/>
      <c r="EEY68" s="362"/>
      <c r="EEZ68" s="362"/>
      <c r="EFA68" s="362"/>
      <c r="EFB68" s="362"/>
      <c r="EFC68" s="362"/>
      <c r="EFD68" s="362"/>
      <c r="EFE68" s="362"/>
      <c r="EFF68" s="362"/>
      <c r="EFG68" s="362"/>
      <c r="EFH68" s="362"/>
      <c r="EFI68" s="362"/>
      <c r="EFJ68" s="362"/>
      <c r="EFK68" s="362"/>
      <c r="EFL68" s="362"/>
      <c r="EFM68" s="362"/>
      <c r="EFN68" s="362"/>
      <c r="EFO68" s="362"/>
      <c r="EFP68" s="362"/>
      <c r="EFQ68" s="362"/>
      <c r="EFR68" s="362"/>
      <c r="EFS68" s="362"/>
      <c r="EFT68" s="362"/>
      <c r="EFU68" s="362"/>
      <c r="EFV68" s="362"/>
      <c r="EFW68" s="362"/>
      <c r="EFX68" s="362"/>
      <c r="EFY68" s="362"/>
      <c r="EFZ68" s="362"/>
      <c r="EGA68" s="362"/>
      <c r="EGB68" s="362"/>
      <c r="EGC68" s="362"/>
      <c r="EGD68" s="362"/>
      <c r="EGE68" s="362"/>
      <c r="EGF68" s="362"/>
      <c r="EGG68" s="362"/>
      <c r="EGH68" s="362"/>
      <c r="EGI68" s="362"/>
      <c r="EGJ68" s="362"/>
      <c r="EGK68" s="362"/>
      <c r="EGL68" s="362"/>
      <c r="EGM68" s="362"/>
      <c r="EGN68" s="362"/>
      <c r="EGO68" s="362"/>
      <c r="EGP68" s="362"/>
      <c r="EGQ68" s="362"/>
      <c r="EGR68" s="362"/>
      <c r="EGS68" s="362"/>
      <c r="EGT68" s="362"/>
      <c r="EGU68" s="362"/>
      <c r="EGV68" s="362"/>
      <c r="EGW68" s="362"/>
      <c r="EGX68" s="362"/>
      <c r="EGY68" s="362"/>
      <c r="EGZ68" s="362"/>
      <c r="EHA68" s="362"/>
      <c r="EHB68" s="362"/>
      <c r="EHC68" s="362"/>
      <c r="EHD68" s="362"/>
      <c r="EHE68" s="362"/>
      <c r="EHF68" s="362"/>
      <c r="EHG68" s="362"/>
      <c r="EHH68" s="362"/>
      <c r="EHI68" s="362"/>
      <c r="EHJ68" s="362"/>
      <c r="EHK68" s="362"/>
      <c r="EHL68" s="362"/>
      <c r="EHM68" s="362"/>
      <c r="EHN68" s="362"/>
      <c r="EHO68" s="362"/>
      <c r="EHP68" s="362"/>
      <c r="EHQ68" s="362"/>
      <c r="EHR68" s="362"/>
      <c r="EHS68" s="362"/>
      <c r="EHT68" s="362"/>
      <c r="EHU68" s="362"/>
      <c r="EHV68" s="362"/>
      <c r="EHW68" s="362"/>
      <c r="EHX68" s="362"/>
      <c r="EHY68" s="362"/>
      <c r="EHZ68" s="362"/>
      <c r="EIA68" s="362"/>
      <c r="EIB68" s="362"/>
      <c r="EIC68" s="362"/>
      <c r="EID68" s="362"/>
      <c r="EIE68" s="362"/>
      <c r="EIF68" s="362"/>
      <c r="EIG68" s="362"/>
      <c r="EIH68" s="362"/>
      <c r="EII68" s="362"/>
      <c r="EIJ68" s="362"/>
      <c r="EIK68" s="362"/>
      <c r="EIL68" s="362"/>
      <c r="EIM68" s="362"/>
      <c r="EIN68" s="362"/>
      <c r="EIO68" s="362"/>
      <c r="EIP68" s="362"/>
      <c r="EIQ68" s="362"/>
      <c r="EIR68" s="362"/>
      <c r="EIS68" s="362"/>
      <c r="EIT68" s="362"/>
      <c r="EIU68" s="362"/>
      <c r="EIV68" s="362"/>
      <c r="EIW68" s="362"/>
      <c r="EIX68" s="362"/>
      <c r="EIY68" s="362"/>
      <c r="EIZ68" s="362"/>
      <c r="EJA68" s="362"/>
      <c r="EJB68" s="362"/>
      <c r="EJC68" s="362"/>
      <c r="EJD68" s="362"/>
      <c r="EJE68" s="362"/>
      <c r="EJF68" s="362"/>
      <c r="EJG68" s="362"/>
      <c r="EJH68" s="362"/>
      <c r="EJI68" s="362"/>
      <c r="EJJ68" s="362"/>
      <c r="EJK68" s="362"/>
      <c r="EJL68" s="362"/>
      <c r="EJM68" s="362"/>
      <c r="EJN68" s="362"/>
      <c r="EJO68" s="362"/>
      <c r="EJP68" s="362"/>
      <c r="EJQ68" s="362"/>
      <c r="EJR68" s="362"/>
      <c r="EJS68" s="362"/>
      <c r="EJT68" s="362"/>
      <c r="EJU68" s="362"/>
      <c r="EJV68" s="362"/>
      <c r="EJW68" s="362"/>
      <c r="EJX68" s="362"/>
      <c r="EJY68" s="362"/>
      <c r="EJZ68" s="362"/>
      <c r="EKA68" s="362"/>
      <c r="EKB68" s="362"/>
      <c r="EKC68" s="362"/>
      <c r="EKD68" s="362"/>
      <c r="EKE68" s="362"/>
      <c r="EKF68" s="362"/>
      <c r="EKG68" s="362"/>
      <c r="EKH68" s="362"/>
      <c r="EKI68" s="362"/>
      <c r="EKJ68" s="362"/>
      <c r="EKK68" s="362"/>
      <c r="EKL68" s="362"/>
      <c r="EKM68" s="362"/>
      <c r="EKN68" s="362"/>
      <c r="EKO68" s="362"/>
      <c r="EKP68" s="362"/>
      <c r="EKQ68" s="362"/>
      <c r="EKR68" s="362"/>
      <c r="EKS68" s="362"/>
      <c r="EKT68" s="362"/>
      <c r="EKU68" s="362"/>
      <c r="EKV68" s="362"/>
      <c r="EKW68" s="362"/>
      <c r="EKX68" s="362"/>
      <c r="EKY68" s="362"/>
      <c r="EKZ68" s="362"/>
      <c r="ELA68" s="362"/>
      <c r="ELB68" s="362"/>
      <c r="ELC68" s="362"/>
      <c r="ELD68" s="362"/>
      <c r="ELE68" s="362"/>
      <c r="ELF68" s="362"/>
      <c r="ELG68" s="362"/>
      <c r="ELH68" s="362"/>
      <c r="ELI68" s="362"/>
      <c r="ELJ68" s="362"/>
      <c r="ELK68" s="362"/>
      <c r="ELL68" s="362"/>
      <c r="ELM68" s="362"/>
      <c r="ELN68" s="362"/>
      <c r="ELO68" s="362"/>
      <c r="ELP68" s="362"/>
      <c r="ELQ68" s="362"/>
      <c r="ELR68" s="362"/>
      <c r="ELS68" s="362"/>
      <c r="ELT68" s="362"/>
      <c r="ELU68" s="362"/>
      <c r="ELV68" s="362"/>
      <c r="ELW68" s="362"/>
      <c r="ELX68" s="362"/>
      <c r="ELY68" s="362"/>
      <c r="ELZ68" s="362"/>
      <c r="EMA68" s="362"/>
      <c r="EMB68" s="362"/>
      <c r="EMC68" s="362"/>
      <c r="EMD68" s="362"/>
      <c r="EME68" s="362"/>
      <c r="EMF68" s="362"/>
      <c r="EMG68" s="362"/>
      <c r="EMH68" s="362"/>
      <c r="EMI68" s="362"/>
      <c r="EMJ68" s="362"/>
      <c r="EMK68" s="362"/>
      <c r="EML68" s="362"/>
      <c r="EMM68" s="362"/>
      <c r="EMN68" s="362"/>
      <c r="EMO68" s="362"/>
      <c r="EMP68" s="362"/>
      <c r="EMQ68" s="362"/>
      <c r="EMR68" s="362"/>
      <c r="EMS68" s="362"/>
      <c r="EMT68" s="362"/>
      <c r="EMU68" s="362"/>
      <c r="EMV68" s="362"/>
      <c r="EMW68" s="362"/>
      <c r="EMX68" s="362"/>
      <c r="EMY68" s="362"/>
      <c r="EMZ68" s="362"/>
      <c r="ENA68" s="362"/>
      <c r="ENB68" s="362"/>
      <c r="ENC68" s="362"/>
      <c r="END68" s="362"/>
      <c r="ENE68" s="362"/>
      <c r="ENF68" s="362"/>
      <c r="ENG68" s="362"/>
      <c r="ENH68" s="362"/>
      <c r="ENI68" s="362"/>
      <c r="ENJ68" s="362"/>
      <c r="ENK68" s="362"/>
      <c r="ENL68" s="362"/>
      <c r="ENM68" s="362"/>
      <c r="ENN68" s="362"/>
      <c r="ENO68" s="362"/>
      <c r="ENP68" s="362"/>
      <c r="ENQ68" s="362"/>
      <c r="ENR68" s="362"/>
      <c r="ENS68" s="362"/>
      <c r="ENT68" s="362"/>
      <c r="ENU68" s="362"/>
      <c r="ENV68" s="362"/>
      <c r="ENW68" s="362"/>
      <c r="ENX68" s="362"/>
      <c r="ENY68" s="362"/>
      <c r="ENZ68" s="362"/>
      <c r="EOA68" s="362"/>
      <c r="EOB68" s="362"/>
      <c r="EOC68" s="362"/>
      <c r="EOD68" s="362"/>
      <c r="EOE68" s="362"/>
      <c r="EOF68" s="362"/>
      <c r="EOG68" s="362"/>
      <c r="EOH68" s="362"/>
      <c r="EOI68" s="362"/>
      <c r="EOJ68" s="362"/>
      <c r="EOK68" s="362"/>
      <c r="EOL68" s="362"/>
      <c r="EOM68" s="362"/>
      <c r="EON68" s="362"/>
      <c r="EOO68" s="362"/>
      <c r="EOP68" s="362"/>
      <c r="EOQ68" s="362"/>
      <c r="EOR68" s="362"/>
      <c r="EOS68" s="362"/>
      <c r="EOT68" s="362"/>
      <c r="EOU68" s="362"/>
      <c r="EOV68" s="362"/>
      <c r="EOW68" s="362"/>
      <c r="EOX68" s="362"/>
      <c r="EOY68" s="362"/>
      <c r="EOZ68" s="362"/>
      <c r="EPA68" s="362"/>
      <c r="EPB68" s="362"/>
      <c r="EPC68" s="362"/>
      <c r="EPD68" s="362"/>
      <c r="EPE68" s="362"/>
      <c r="EPF68" s="362"/>
      <c r="EPG68" s="362"/>
      <c r="EPH68" s="362"/>
      <c r="EPI68" s="362"/>
      <c r="EPJ68" s="362"/>
      <c r="EPK68" s="362"/>
      <c r="EPL68" s="362"/>
      <c r="EPM68" s="362"/>
      <c r="EPN68" s="362"/>
      <c r="EPO68" s="362"/>
      <c r="EPP68" s="362"/>
      <c r="EPQ68" s="362"/>
      <c r="EPR68" s="362"/>
      <c r="EPS68" s="362"/>
      <c r="EPT68" s="362"/>
      <c r="EPU68" s="362"/>
      <c r="EPV68" s="362"/>
      <c r="EPW68" s="362"/>
      <c r="EPX68" s="362"/>
      <c r="EPY68" s="362"/>
      <c r="EPZ68" s="362"/>
      <c r="EQA68" s="362"/>
      <c r="EQB68" s="362"/>
      <c r="EQC68" s="362"/>
      <c r="EQD68" s="362"/>
      <c r="EQE68" s="362"/>
      <c r="EQF68" s="362"/>
      <c r="EQG68" s="362"/>
      <c r="EQH68" s="362"/>
      <c r="EQI68" s="362"/>
      <c r="EQJ68" s="362"/>
      <c r="EQK68" s="362"/>
      <c r="EQL68" s="362"/>
      <c r="EQM68" s="362"/>
      <c r="EQN68" s="362"/>
      <c r="EQO68" s="362"/>
      <c r="EQP68" s="362"/>
      <c r="EQQ68" s="362"/>
      <c r="EQR68" s="362"/>
      <c r="EQS68" s="362"/>
      <c r="EQT68" s="362"/>
      <c r="EQU68" s="362"/>
      <c r="EQV68" s="362"/>
      <c r="EQW68" s="362"/>
      <c r="EQX68" s="362"/>
      <c r="EQY68" s="362"/>
      <c r="EQZ68" s="362"/>
      <c r="ERA68" s="362"/>
      <c r="ERB68" s="362"/>
      <c r="ERC68" s="362"/>
      <c r="ERD68" s="362"/>
      <c r="ERE68" s="362"/>
      <c r="ERF68" s="362"/>
      <c r="ERG68" s="362"/>
      <c r="ERH68" s="362"/>
      <c r="ERI68" s="362"/>
      <c r="ERJ68" s="362"/>
      <c r="ERK68" s="362"/>
      <c r="ERL68" s="362"/>
      <c r="ERM68" s="362"/>
      <c r="ERN68" s="362"/>
      <c r="ERO68" s="362"/>
      <c r="ERP68" s="362"/>
      <c r="ERQ68" s="362"/>
      <c r="ERR68" s="362"/>
      <c r="ERS68" s="362"/>
      <c r="ERT68" s="362"/>
      <c r="ERU68" s="362"/>
      <c r="ERV68" s="362"/>
      <c r="ERW68" s="362"/>
      <c r="ERX68" s="362"/>
      <c r="ERY68" s="362"/>
      <c r="ERZ68" s="362"/>
      <c r="ESA68" s="362"/>
      <c r="ESB68" s="362"/>
      <c r="ESC68" s="362"/>
      <c r="ESD68" s="362"/>
      <c r="ESE68" s="362"/>
      <c r="ESF68" s="362"/>
      <c r="ESG68" s="362"/>
      <c r="ESH68" s="362"/>
      <c r="ESI68" s="362"/>
      <c r="ESJ68" s="362"/>
      <c r="ESK68" s="362"/>
      <c r="ESL68" s="362"/>
      <c r="ESM68" s="362"/>
      <c r="ESN68" s="362"/>
      <c r="ESO68" s="362"/>
      <c r="ESP68" s="362"/>
      <c r="ESQ68" s="362"/>
      <c r="ESR68" s="362"/>
      <c r="ESS68" s="362"/>
      <c r="EST68" s="362"/>
      <c r="ESU68" s="362"/>
      <c r="ESV68" s="362"/>
      <c r="ESW68" s="362"/>
      <c r="ESX68" s="362"/>
      <c r="ESY68" s="362"/>
      <c r="ESZ68" s="362"/>
      <c r="ETA68" s="362"/>
      <c r="ETB68" s="362"/>
      <c r="ETC68" s="362"/>
      <c r="ETD68" s="362"/>
      <c r="ETE68" s="362"/>
      <c r="ETF68" s="362"/>
      <c r="ETG68" s="362"/>
      <c r="ETH68" s="362"/>
      <c r="ETI68" s="362"/>
      <c r="ETJ68" s="362"/>
      <c r="ETK68" s="362"/>
      <c r="ETL68" s="362"/>
      <c r="ETM68" s="362"/>
      <c r="ETN68" s="362"/>
      <c r="ETO68" s="362"/>
      <c r="ETP68" s="362"/>
      <c r="ETQ68" s="362"/>
      <c r="ETR68" s="362"/>
      <c r="ETS68" s="362"/>
      <c r="ETT68" s="362"/>
      <c r="ETU68" s="362"/>
      <c r="ETV68" s="362"/>
      <c r="ETW68" s="362"/>
      <c r="ETX68" s="362"/>
      <c r="ETY68" s="362"/>
      <c r="ETZ68" s="362"/>
      <c r="EUA68" s="362"/>
      <c r="EUB68" s="362"/>
      <c r="EUC68" s="362"/>
      <c r="EUD68" s="362"/>
      <c r="EUE68" s="362"/>
      <c r="EUF68" s="362"/>
      <c r="EUG68" s="362"/>
      <c r="EUH68" s="362"/>
      <c r="EUI68" s="362"/>
      <c r="EUJ68" s="362"/>
      <c r="EUK68" s="362"/>
      <c r="EUL68" s="362"/>
      <c r="EUM68" s="362"/>
      <c r="EUN68" s="362"/>
      <c r="EUO68" s="362"/>
      <c r="EUP68" s="362"/>
      <c r="EUQ68" s="362"/>
      <c r="EUR68" s="362"/>
      <c r="EUS68" s="362"/>
      <c r="EUT68" s="362"/>
      <c r="EUU68" s="362"/>
      <c r="EUV68" s="362"/>
      <c r="EUW68" s="362"/>
      <c r="EUX68" s="362"/>
      <c r="EUY68" s="362"/>
      <c r="EUZ68" s="362"/>
      <c r="EVA68" s="362"/>
      <c r="EVB68" s="362"/>
      <c r="EVC68" s="362"/>
      <c r="EVD68" s="362"/>
      <c r="EVE68" s="362"/>
      <c r="EVF68" s="362"/>
      <c r="EVG68" s="362"/>
      <c r="EVH68" s="362"/>
      <c r="EVI68" s="362"/>
      <c r="EVJ68" s="362"/>
      <c r="EVK68" s="362"/>
      <c r="EVL68" s="362"/>
      <c r="EVM68" s="362"/>
      <c r="EVN68" s="362"/>
      <c r="EVO68" s="362"/>
      <c r="EVP68" s="362"/>
      <c r="EVQ68" s="362"/>
      <c r="EVR68" s="362"/>
      <c r="EVS68" s="362"/>
      <c r="EVT68" s="362"/>
      <c r="EVU68" s="362"/>
      <c r="EVV68" s="362"/>
      <c r="EVW68" s="362"/>
      <c r="EVX68" s="362"/>
      <c r="EVY68" s="362"/>
      <c r="EVZ68" s="362"/>
      <c r="EWA68" s="362"/>
      <c r="EWB68" s="362"/>
      <c r="EWC68" s="362"/>
      <c r="EWD68" s="362"/>
      <c r="EWE68" s="362"/>
      <c r="EWF68" s="362"/>
      <c r="EWG68" s="362"/>
      <c r="EWH68" s="362"/>
      <c r="EWI68" s="362"/>
      <c r="EWJ68" s="362"/>
      <c r="EWK68" s="362"/>
      <c r="EWL68" s="362"/>
      <c r="EWM68" s="362"/>
      <c r="EWN68" s="362"/>
      <c r="EWO68" s="362"/>
      <c r="EWP68" s="362"/>
      <c r="EWQ68" s="362"/>
      <c r="EWR68" s="362"/>
      <c r="EWS68" s="362"/>
      <c r="EWT68" s="362"/>
      <c r="EWU68" s="362"/>
      <c r="EWV68" s="362"/>
      <c r="EWW68" s="362"/>
      <c r="EWX68" s="362"/>
      <c r="EWY68" s="362"/>
      <c r="EWZ68" s="362"/>
      <c r="EXA68" s="362"/>
      <c r="EXB68" s="362"/>
      <c r="EXC68" s="362"/>
      <c r="EXD68" s="362"/>
      <c r="EXE68" s="362"/>
      <c r="EXF68" s="362"/>
      <c r="EXG68" s="362"/>
      <c r="EXH68" s="362"/>
      <c r="EXI68" s="362"/>
      <c r="EXJ68" s="362"/>
      <c r="EXK68" s="362"/>
      <c r="EXL68" s="362"/>
      <c r="EXM68" s="362"/>
      <c r="EXN68" s="362"/>
      <c r="EXO68" s="362"/>
      <c r="EXP68" s="362"/>
      <c r="EXQ68" s="362"/>
      <c r="EXR68" s="362"/>
      <c r="EXS68" s="362"/>
      <c r="EXT68" s="362"/>
      <c r="EXU68" s="362"/>
      <c r="EXV68" s="362"/>
      <c r="EXW68" s="362"/>
      <c r="EXX68" s="362"/>
      <c r="EXY68" s="362"/>
      <c r="EXZ68" s="362"/>
      <c r="EYA68" s="362"/>
      <c r="EYB68" s="362"/>
      <c r="EYC68" s="362"/>
      <c r="EYD68" s="362"/>
      <c r="EYE68" s="362"/>
      <c r="EYF68" s="362"/>
      <c r="EYG68" s="362"/>
      <c r="EYH68" s="362"/>
      <c r="EYI68" s="362"/>
      <c r="EYJ68" s="362"/>
      <c r="EYK68" s="362"/>
      <c r="EYL68" s="362"/>
      <c r="EYM68" s="362"/>
      <c r="EYN68" s="362"/>
      <c r="EYO68" s="362"/>
      <c r="EYP68" s="362"/>
      <c r="EYQ68" s="362"/>
      <c r="EYR68" s="362"/>
      <c r="EYS68" s="362"/>
      <c r="EYT68" s="362"/>
      <c r="EYU68" s="362"/>
      <c r="EYV68" s="362"/>
      <c r="EYW68" s="362"/>
      <c r="EYX68" s="362"/>
      <c r="EYY68" s="362"/>
      <c r="EYZ68" s="362"/>
      <c r="EZA68" s="362"/>
      <c r="EZB68" s="362"/>
      <c r="EZC68" s="362"/>
      <c r="EZD68" s="362"/>
      <c r="EZE68" s="362"/>
      <c r="EZF68" s="362"/>
      <c r="EZG68" s="362"/>
      <c r="EZH68" s="362"/>
      <c r="EZI68" s="362"/>
      <c r="EZJ68" s="362"/>
      <c r="EZK68" s="362"/>
      <c r="EZL68" s="362"/>
      <c r="EZM68" s="362"/>
      <c r="EZN68" s="362"/>
      <c r="EZO68" s="362"/>
      <c r="EZP68" s="362"/>
      <c r="EZQ68" s="362"/>
      <c r="EZR68" s="362"/>
      <c r="EZS68" s="362"/>
      <c r="EZT68" s="362"/>
      <c r="EZU68" s="362"/>
      <c r="EZV68" s="362"/>
      <c r="EZW68" s="362"/>
      <c r="EZX68" s="362"/>
      <c r="EZY68" s="362"/>
      <c r="EZZ68" s="362"/>
      <c r="FAA68" s="362"/>
      <c r="FAB68" s="362"/>
      <c r="FAC68" s="362"/>
      <c r="FAD68" s="362"/>
      <c r="FAE68" s="362"/>
      <c r="FAF68" s="362"/>
      <c r="FAG68" s="362"/>
      <c r="FAH68" s="362"/>
      <c r="FAI68" s="362"/>
      <c r="FAJ68" s="362"/>
      <c r="FAK68" s="362"/>
      <c r="FAL68" s="362"/>
      <c r="FAM68" s="362"/>
      <c r="FAN68" s="362"/>
      <c r="FAO68" s="362"/>
      <c r="FAP68" s="362"/>
      <c r="FAQ68" s="362"/>
      <c r="FAR68" s="362"/>
      <c r="FAS68" s="362"/>
      <c r="FAT68" s="362"/>
      <c r="FAU68" s="362"/>
      <c r="FAV68" s="362"/>
      <c r="FAW68" s="362"/>
      <c r="FAX68" s="362"/>
      <c r="FAY68" s="362"/>
      <c r="FAZ68" s="362"/>
      <c r="FBA68" s="362"/>
      <c r="FBB68" s="362"/>
      <c r="FBC68" s="362"/>
      <c r="FBD68" s="362"/>
      <c r="FBE68" s="362"/>
      <c r="FBF68" s="362"/>
      <c r="FBG68" s="362"/>
      <c r="FBH68" s="362"/>
      <c r="FBI68" s="362"/>
      <c r="FBJ68" s="362"/>
      <c r="FBK68" s="362"/>
      <c r="FBL68" s="362"/>
      <c r="FBM68" s="362"/>
      <c r="FBN68" s="362"/>
      <c r="FBO68" s="362"/>
      <c r="FBP68" s="362"/>
      <c r="FBQ68" s="362"/>
      <c r="FBR68" s="362"/>
      <c r="FBS68" s="362"/>
      <c r="FBT68" s="362"/>
      <c r="FBU68" s="362"/>
      <c r="FBV68" s="362"/>
      <c r="FBW68" s="362"/>
      <c r="FBX68" s="362"/>
      <c r="FBY68" s="362"/>
      <c r="FBZ68" s="362"/>
      <c r="FCA68" s="362"/>
      <c r="FCB68" s="362"/>
      <c r="FCC68" s="362"/>
      <c r="FCD68" s="362"/>
      <c r="FCE68" s="362"/>
      <c r="FCF68" s="362"/>
      <c r="FCG68" s="362"/>
      <c r="FCH68" s="362"/>
      <c r="FCI68" s="362"/>
      <c r="FCJ68" s="362"/>
      <c r="FCK68" s="362"/>
      <c r="FCL68" s="362"/>
      <c r="FCM68" s="362"/>
      <c r="FCN68" s="362"/>
      <c r="FCO68" s="362"/>
      <c r="FCP68" s="362"/>
      <c r="FCQ68" s="362"/>
      <c r="FCR68" s="362"/>
      <c r="FCS68" s="362"/>
      <c r="FCT68" s="362"/>
      <c r="FCU68" s="362"/>
      <c r="FCV68" s="362"/>
      <c r="FCW68" s="362"/>
      <c r="FCX68" s="362"/>
      <c r="FCY68" s="362"/>
      <c r="FCZ68" s="362"/>
      <c r="FDA68" s="362"/>
      <c r="FDB68" s="362"/>
      <c r="FDC68" s="362"/>
      <c r="FDD68" s="362"/>
      <c r="FDE68" s="362"/>
      <c r="FDF68" s="362"/>
      <c r="FDG68" s="362"/>
      <c r="FDH68" s="362"/>
      <c r="FDI68" s="362"/>
      <c r="FDJ68" s="362"/>
      <c r="FDK68" s="362"/>
      <c r="FDL68" s="362"/>
      <c r="FDM68" s="362"/>
      <c r="FDN68" s="362"/>
      <c r="FDO68" s="362"/>
      <c r="FDP68" s="362"/>
      <c r="FDQ68" s="362"/>
      <c r="FDR68" s="362"/>
      <c r="FDS68" s="362"/>
      <c r="FDT68" s="362"/>
      <c r="FDU68" s="362"/>
      <c r="FDV68" s="362"/>
      <c r="FDW68" s="362"/>
      <c r="FDX68" s="362"/>
      <c r="FDY68" s="362"/>
      <c r="FDZ68" s="362"/>
      <c r="FEA68" s="362"/>
      <c r="FEB68" s="362"/>
      <c r="FEC68" s="362"/>
      <c r="FED68" s="362"/>
      <c r="FEE68" s="362"/>
      <c r="FEF68" s="362"/>
      <c r="FEG68" s="362"/>
      <c r="FEH68" s="362"/>
      <c r="FEI68" s="362"/>
      <c r="FEJ68" s="362"/>
      <c r="FEK68" s="362"/>
      <c r="FEL68" s="362"/>
      <c r="FEM68" s="362"/>
      <c r="FEN68" s="362"/>
      <c r="FEO68" s="362"/>
      <c r="FEP68" s="362"/>
      <c r="FEQ68" s="362"/>
      <c r="FER68" s="362"/>
      <c r="FES68" s="362"/>
      <c r="FET68" s="362"/>
      <c r="FEU68" s="362"/>
      <c r="FEV68" s="362"/>
      <c r="FEW68" s="362"/>
      <c r="FEX68" s="362"/>
      <c r="FEY68" s="362"/>
      <c r="FEZ68" s="362"/>
      <c r="FFA68" s="362"/>
      <c r="FFB68" s="362"/>
      <c r="FFC68" s="362"/>
      <c r="FFD68" s="362"/>
      <c r="FFE68" s="362"/>
      <c r="FFF68" s="362"/>
      <c r="FFG68" s="362"/>
      <c r="FFH68" s="362"/>
      <c r="FFI68" s="362"/>
      <c r="FFJ68" s="362"/>
      <c r="FFK68" s="362"/>
      <c r="FFL68" s="362"/>
      <c r="FFM68" s="362"/>
      <c r="FFN68" s="362"/>
      <c r="FFO68" s="362"/>
      <c r="FFP68" s="362"/>
      <c r="FFQ68" s="362"/>
      <c r="FFR68" s="362"/>
      <c r="FFS68" s="362"/>
      <c r="FFT68" s="362"/>
      <c r="FFU68" s="362"/>
      <c r="FFV68" s="362"/>
      <c r="FFW68" s="362"/>
      <c r="FFX68" s="362"/>
      <c r="FFY68" s="362"/>
      <c r="FFZ68" s="362"/>
      <c r="FGA68" s="362"/>
      <c r="FGB68" s="362"/>
      <c r="FGC68" s="362"/>
      <c r="FGD68" s="362"/>
      <c r="FGE68" s="362"/>
      <c r="FGF68" s="362"/>
      <c r="FGG68" s="362"/>
      <c r="FGH68" s="362"/>
      <c r="FGI68" s="362"/>
      <c r="FGJ68" s="362"/>
      <c r="FGK68" s="362"/>
      <c r="FGL68" s="362"/>
      <c r="FGM68" s="362"/>
      <c r="FGN68" s="362"/>
      <c r="FGO68" s="362"/>
      <c r="FGP68" s="362"/>
      <c r="FGQ68" s="362"/>
      <c r="FGR68" s="362"/>
      <c r="FGS68" s="362"/>
      <c r="FGT68" s="362"/>
      <c r="FGU68" s="362"/>
      <c r="FGV68" s="362"/>
      <c r="FGW68" s="362"/>
      <c r="FGX68" s="362"/>
      <c r="FGY68" s="362"/>
      <c r="FGZ68" s="362"/>
      <c r="FHA68" s="362"/>
      <c r="FHB68" s="362"/>
      <c r="FHC68" s="362"/>
      <c r="FHD68" s="362"/>
      <c r="FHE68" s="362"/>
      <c r="FHF68" s="362"/>
      <c r="FHG68" s="362"/>
      <c r="FHH68" s="362"/>
      <c r="FHI68" s="362"/>
      <c r="FHJ68" s="362"/>
      <c r="FHK68" s="362"/>
      <c r="FHL68" s="362"/>
      <c r="FHM68" s="362"/>
      <c r="FHN68" s="362"/>
      <c r="FHO68" s="362"/>
      <c r="FHP68" s="362"/>
      <c r="FHQ68" s="362"/>
      <c r="FHR68" s="362"/>
      <c r="FHS68" s="362"/>
      <c r="FHT68" s="362"/>
      <c r="FHU68" s="362"/>
      <c r="FHV68" s="362"/>
      <c r="FHW68" s="362"/>
      <c r="FHX68" s="362"/>
      <c r="FHY68" s="362"/>
      <c r="FHZ68" s="362"/>
      <c r="FIA68" s="362"/>
      <c r="FIB68" s="362"/>
      <c r="FIC68" s="362"/>
      <c r="FID68" s="362"/>
      <c r="FIE68" s="362"/>
      <c r="FIF68" s="362"/>
      <c r="FIG68" s="362"/>
      <c r="FIH68" s="362"/>
      <c r="FII68" s="362"/>
      <c r="FIJ68" s="362"/>
      <c r="FIK68" s="362"/>
      <c r="FIL68" s="362"/>
      <c r="FIM68" s="362"/>
      <c r="FIN68" s="362"/>
      <c r="FIO68" s="362"/>
      <c r="FIP68" s="362"/>
      <c r="FIQ68" s="362"/>
      <c r="FIR68" s="362"/>
      <c r="FIS68" s="362"/>
      <c r="FIT68" s="362"/>
      <c r="FIU68" s="362"/>
      <c r="FIV68" s="362"/>
      <c r="FIW68" s="362"/>
      <c r="FIX68" s="362"/>
      <c r="FIY68" s="362"/>
      <c r="FIZ68" s="362"/>
      <c r="FJA68" s="362"/>
      <c r="FJB68" s="362"/>
      <c r="FJC68" s="362"/>
      <c r="FJD68" s="362"/>
      <c r="FJE68" s="362"/>
      <c r="FJF68" s="362"/>
      <c r="FJG68" s="362"/>
      <c r="FJH68" s="362"/>
      <c r="FJI68" s="362"/>
      <c r="FJJ68" s="362"/>
      <c r="FJK68" s="362"/>
      <c r="FJL68" s="362"/>
      <c r="FJM68" s="362"/>
      <c r="FJN68" s="362"/>
      <c r="FJO68" s="362"/>
      <c r="FJP68" s="362"/>
      <c r="FJQ68" s="362"/>
      <c r="FJR68" s="362"/>
      <c r="FJS68" s="362"/>
      <c r="FJT68" s="362"/>
      <c r="FJU68" s="362"/>
      <c r="FJV68" s="362"/>
      <c r="FJW68" s="362"/>
      <c r="FJX68" s="362"/>
      <c r="FJY68" s="362"/>
      <c r="FJZ68" s="362"/>
      <c r="FKA68" s="362"/>
      <c r="FKB68" s="362"/>
      <c r="FKC68" s="362"/>
      <c r="FKD68" s="362"/>
      <c r="FKE68" s="362"/>
      <c r="FKF68" s="362"/>
      <c r="FKG68" s="362"/>
      <c r="FKH68" s="362"/>
      <c r="FKI68" s="362"/>
      <c r="FKJ68" s="362"/>
      <c r="FKK68" s="362"/>
      <c r="FKL68" s="362"/>
      <c r="FKM68" s="362"/>
      <c r="FKN68" s="362"/>
      <c r="FKO68" s="362"/>
      <c r="FKP68" s="362"/>
      <c r="FKQ68" s="362"/>
      <c r="FKR68" s="362"/>
      <c r="FKS68" s="362"/>
      <c r="FKT68" s="362"/>
      <c r="FKU68" s="362"/>
      <c r="FKV68" s="362"/>
      <c r="FKW68" s="362"/>
      <c r="FKX68" s="362"/>
      <c r="FKY68" s="362"/>
      <c r="FKZ68" s="362"/>
      <c r="FLA68" s="362"/>
      <c r="FLB68" s="362"/>
      <c r="FLC68" s="362"/>
      <c r="FLD68" s="362"/>
      <c r="FLE68" s="362"/>
      <c r="FLF68" s="362"/>
      <c r="FLG68" s="362"/>
      <c r="FLH68" s="362"/>
      <c r="FLI68" s="362"/>
      <c r="FLJ68" s="362"/>
      <c r="FLK68" s="362"/>
      <c r="FLL68" s="362"/>
      <c r="FLM68" s="362"/>
      <c r="FLN68" s="362"/>
      <c r="FLO68" s="362"/>
      <c r="FLP68" s="362"/>
      <c r="FLQ68" s="362"/>
      <c r="FLR68" s="362"/>
      <c r="FLS68" s="362"/>
      <c r="FLT68" s="362"/>
      <c r="FLU68" s="362"/>
      <c r="FLV68" s="362"/>
      <c r="FLW68" s="362"/>
      <c r="FLX68" s="362"/>
      <c r="FLY68" s="362"/>
      <c r="FLZ68" s="362"/>
      <c r="FMA68" s="362"/>
      <c r="FMB68" s="362"/>
      <c r="FMC68" s="362"/>
      <c r="FMD68" s="362"/>
      <c r="FME68" s="362"/>
      <c r="FMF68" s="362"/>
      <c r="FMG68" s="362"/>
      <c r="FMH68" s="362"/>
      <c r="FMI68" s="362"/>
      <c r="FMJ68" s="362"/>
      <c r="FMK68" s="362"/>
      <c r="FML68" s="362"/>
      <c r="FMM68" s="362"/>
      <c r="FMN68" s="362"/>
      <c r="FMO68" s="362"/>
      <c r="FMP68" s="362"/>
      <c r="FMQ68" s="362"/>
      <c r="FMR68" s="362"/>
      <c r="FMS68" s="362"/>
      <c r="FMT68" s="362"/>
      <c r="FMU68" s="362"/>
      <c r="FMV68" s="362"/>
      <c r="FMW68" s="362"/>
      <c r="FMX68" s="362"/>
      <c r="FMY68" s="362"/>
      <c r="FMZ68" s="362"/>
      <c r="FNA68" s="362"/>
      <c r="FNB68" s="362"/>
      <c r="FNC68" s="362"/>
      <c r="FND68" s="362"/>
      <c r="FNE68" s="362"/>
      <c r="FNF68" s="362"/>
      <c r="FNG68" s="362"/>
      <c r="FNH68" s="362"/>
      <c r="FNI68" s="362"/>
      <c r="FNJ68" s="362"/>
      <c r="FNK68" s="362"/>
      <c r="FNL68" s="362"/>
      <c r="FNM68" s="362"/>
      <c r="FNN68" s="362"/>
      <c r="FNO68" s="362"/>
      <c r="FNP68" s="362"/>
      <c r="FNQ68" s="362"/>
      <c r="FNR68" s="362"/>
      <c r="FNS68" s="362"/>
      <c r="FNT68" s="362"/>
      <c r="FNU68" s="362"/>
      <c r="FNV68" s="362"/>
      <c r="FNW68" s="362"/>
      <c r="FNX68" s="362"/>
      <c r="FNY68" s="362"/>
      <c r="FNZ68" s="362"/>
      <c r="FOA68" s="362"/>
      <c r="FOB68" s="362"/>
      <c r="FOC68" s="362"/>
      <c r="FOD68" s="362"/>
      <c r="FOE68" s="362"/>
      <c r="FOF68" s="362"/>
      <c r="FOG68" s="362"/>
      <c r="FOH68" s="362"/>
      <c r="FOI68" s="362"/>
      <c r="FOJ68" s="362"/>
      <c r="FOK68" s="362"/>
      <c r="FOL68" s="362"/>
      <c r="FOM68" s="362"/>
      <c r="FON68" s="362"/>
      <c r="FOO68" s="362"/>
      <c r="FOP68" s="362"/>
      <c r="FOQ68" s="362"/>
      <c r="FOR68" s="362"/>
      <c r="FOS68" s="362"/>
      <c r="FOT68" s="362"/>
      <c r="FOU68" s="362"/>
      <c r="FOV68" s="362"/>
      <c r="FOW68" s="362"/>
      <c r="FOX68" s="362"/>
      <c r="FOY68" s="362"/>
      <c r="FOZ68" s="362"/>
      <c r="FPA68" s="362"/>
      <c r="FPB68" s="362"/>
      <c r="FPC68" s="362"/>
      <c r="FPD68" s="362"/>
      <c r="FPE68" s="362"/>
      <c r="FPF68" s="362"/>
      <c r="FPG68" s="362"/>
      <c r="FPH68" s="362"/>
      <c r="FPI68" s="362"/>
      <c r="FPJ68" s="362"/>
      <c r="FPK68" s="362"/>
      <c r="FPL68" s="362"/>
      <c r="FPM68" s="362"/>
      <c r="FPN68" s="362"/>
      <c r="FPO68" s="362"/>
      <c r="FPP68" s="362"/>
      <c r="FPQ68" s="362"/>
      <c r="FPR68" s="362"/>
      <c r="FPS68" s="362"/>
      <c r="FPT68" s="362"/>
      <c r="FPU68" s="362"/>
      <c r="FPV68" s="362"/>
      <c r="FPW68" s="362"/>
      <c r="FPX68" s="362"/>
      <c r="FPY68" s="362"/>
      <c r="FPZ68" s="362"/>
      <c r="FQA68" s="362"/>
      <c r="FQB68" s="362"/>
      <c r="FQC68" s="362"/>
      <c r="FQD68" s="362"/>
      <c r="FQE68" s="362"/>
      <c r="FQF68" s="362"/>
      <c r="FQG68" s="362"/>
      <c r="FQH68" s="362"/>
      <c r="FQI68" s="362"/>
      <c r="FQJ68" s="362"/>
      <c r="FQK68" s="362"/>
      <c r="FQL68" s="362"/>
      <c r="FQM68" s="362"/>
      <c r="FQN68" s="362"/>
      <c r="FQO68" s="362"/>
      <c r="FQP68" s="362"/>
      <c r="FQQ68" s="362"/>
      <c r="FQR68" s="362"/>
      <c r="FQS68" s="362"/>
      <c r="FQT68" s="362"/>
      <c r="FQU68" s="362"/>
      <c r="FQV68" s="362"/>
      <c r="FQW68" s="362"/>
      <c r="FQX68" s="362"/>
      <c r="FQY68" s="362"/>
      <c r="FQZ68" s="362"/>
      <c r="FRA68" s="362"/>
      <c r="FRB68" s="362"/>
      <c r="FRC68" s="362"/>
      <c r="FRD68" s="362"/>
      <c r="FRE68" s="362"/>
      <c r="FRF68" s="362"/>
      <c r="FRG68" s="362"/>
      <c r="FRH68" s="362"/>
      <c r="FRI68" s="362"/>
      <c r="FRJ68" s="362"/>
      <c r="FRK68" s="362"/>
      <c r="FRL68" s="362"/>
      <c r="FRM68" s="362"/>
      <c r="FRN68" s="362"/>
      <c r="FRO68" s="362"/>
      <c r="FRP68" s="362"/>
      <c r="FRQ68" s="362"/>
      <c r="FRR68" s="362"/>
      <c r="FRS68" s="362"/>
      <c r="FRT68" s="362"/>
      <c r="FRU68" s="362"/>
      <c r="FRV68" s="362"/>
      <c r="FRW68" s="362"/>
      <c r="FRX68" s="362"/>
      <c r="FRY68" s="362"/>
      <c r="FRZ68" s="362"/>
      <c r="FSA68" s="362"/>
      <c r="FSB68" s="362"/>
      <c r="FSC68" s="362"/>
      <c r="FSD68" s="362"/>
      <c r="FSE68" s="362"/>
      <c r="FSF68" s="362"/>
      <c r="FSG68" s="362"/>
      <c r="FSH68" s="362"/>
      <c r="FSI68" s="362"/>
      <c r="FSJ68" s="362"/>
      <c r="FSK68" s="362"/>
      <c r="FSL68" s="362"/>
      <c r="FSM68" s="362"/>
      <c r="FSN68" s="362"/>
      <c r="FSO68" s="362"/>
      <c r="FSP68" s="362"/>
      <c r="FSQ68" s="362"/>
      <c r="FSR68" s="362"/>
      <c r="FSS68" s="362"/>
      <c r="FST68" s="362"/>
      <c r="FSU68" s="362"/>
      <c r="FSV68" s="362"/>
      <c r="FSW68" s="362"/>
      <c r="FSX68" s="362"/>
      <c r="FSY68" s="362"/>
      <c r="FSZ68" s="362"/>
      <c r="FTA68" s="362"/>
      <c r="FTB68" s="362"/>
      <c r="FTC68" s="362"/>
      <c r="FTD68" s="362"/>
      <c r="FTE68" s="362"/>
      <c r="FTF68" s="362"/>
      <c r="FTG68" s="362"/>
      <c r="FTH68" s="362"/>
      <c r="FTI68" s="362"/>
      <c r="FTJ68" s="362"/>
      <c r="FTK68" s="362"/>
      <c r="FTL68" s="362"/>
      <c r="FTM68" s="362"/>
      <c r="FTN68" s="362"/>
      <c r="FTO68" s="362"/>
      <c r="FTP68" s="362"/>
      <c r="FTQ68" s="362"/>
      <c r="FTR68" s="362"/>
      <c r="FTS68" s="362"/>
      <c r="FTT68" s="362"/>
      <c r="FTU68" s="362"/>
      <c r="FTV68" s="362"/>
      <c r="FTW68" s="362"/>
      <c r="FTX68" s="362"/>
      <c r="FTY68" s="362"/>
      <c r="FTZ68" s="362"/>
      <c r="FUA68" s="362"/>
      <c r="FUB68" s="362"/>
      <c r="FUC68" s="362"/>
      <c r="FUD68" s="362"/>
      <c r="FUE68" s="362"/>
      <c r="FUF68" s="362"/>
      <c r="FUG68" s="362"/>
      <c r="FUH68" s="362"/>
      <c r="FUI68" s="362"/>
      <c r="FUJ68" s="362"/>
      <c r="FUK68" s="362"/>
      <c r="FUL68" s="362"/>
      <c r="FUM68" s="362"/>
      <c r="FUN68" s="362"/>
      <c r="FUO68" s="362"/>
      <c r="FUP68" s="362"/>
      <c r="FUQ68" s="362"/>
      <c r="FUR68" s="362"/>
      <c r="FUS68" s="362"/>
      <c r="FUT68" s="362"/>
      <c r="FUU68" s="362"/>
      <c r="FUV68" s="362"/>
      <c r="FUW68" s="362"/>
      <c r="FUX68" s="362"/>
      <c r="FUY68" s="362"/>
      <c r="FUZ68" s="362"/>
      <c r="FVA68" s="362"/>
      <c r="FVB68" s="362"/>
      <c r="FVC68" s="362"/>
      <c r="FVD68" s="362"/>
      <c r="FVE68" s="362"/>
      <c r="FVF68" s="362"/>
      <c r="FVG68" s="362"/>
      <c r="FVH68" s="362"/>
      <c r="FVI68" s="362"/>
      <c r="FVJ68" s="362"/>
      <c r="FVK68" s="362"/>
      <c r="FVL68" s="362"/>
      <c r="FVM68" s="362"/>
      <c r="FVN68" s="362"/>
      <c r="FVO68" s="362"/>
      <c r="FVP68" s="362"/>
      <c r="FVQ68" s="362"/>
      <c r="FVR68" s="362"/>
      <c r="FVS68" s="362"/>
      <c r="FVT68" s="362"/>
      <c r="FVU68" s="362"/>
      <c r="FVV68" s="362"/>
      <c r="FVW68" s="362"/>
      <c r="FVX68" s="362"/>
      <c r="FVY68" s="362"/>
      <c r="FVZ68" s="362"/>
      <c r="FWA68" s="362"/>
      <c r="FWB68" s="362"/>
      <c r="FWC68" s="362"/>
      <c r="FWD68" s="362"/>
      <c r="FWE68" s="362"/>
      <c r="FWF68" s="362"/>
      <c r="FWG68" s="362"/>
      <c r="FWH68" s="362"/>
      <c r="FWI68" s="362"/>
      <c r="FWJ68" s="362"/>
      <c r="FWK68" s="362"/>
      <c r="FWL68" s="362"/>
      <c r="FWM68" s="362"/>
      <c r="FWN68" s="362"/>
      <c r="FWO68" s="362"/>
      <c r="FWP68" s="362"/>
      <c r="FWQ68" s="362"/>
      <c r="FWR68" s="362"/>
      <c r="FWS68" s="362"/>
      <c r="FWT68" s="362"/>
      <c r="FWU68" s="362"/>
      <c r="FWV68" s="362"/>
      <c r="FWW68" s="362"/>
      <c r="FWX68" s="362"/>
      <c r="FWY68" s="362"/>
      <c r="FWZ68" s="362"/>
      <c r="FXA68" s="362"/>
      <c r="FXB68" s="362"/>
      <c r="FXC68" s="362"/>
      <c r="FXD68" s="362"/>
      <c r="FXE68" s="362"/>
      <c r="FXF68" s="362"/>
      <c r="FXG68" s="362"/>
      <c r="FXH68" s="362"/>
      <c r="FXI68" s="362"/>
      <c r="FXJ68" s="362"/>
      <c r="FXK68" s="362"/>
      <c r="FXL68" s="362"/>
      <c r="FXM68" s="362"/>
      <c r="FXN68" s="362"/>
      <c r="FXO68" s="362"/>
      <c r="FXP68" s="362"/>
      <c r="FXQ68" s="362"/>
      <c r="FXR68" s="362"/>
      <c r="FXS68" s="362"/>
      <c r="FXT68" s="362"/>
      <c r="FXU68" s="362"/>
      <c r="FXV68" s="362"/>
      <c r="FXW68" s="362"/>
      <c r="FXX68" s="362"/>
      <c r="FXY68" s="362"/>
      <c r="FXZ68" s="362"/>
      <c r="FYA68" s="362"/>
      <c r="FYB68" s="362"/>
      <c r="FYC68" s="362"/>
      <c r="FYD68" s="362"/>
      <c r="FYE68" s="362"/>
      <c r="FYF68" s="362"/>
      <c r="FYG68" s="362"/>
      <c r="FYH68" s="362"/>
      <c r="FYI68" s="362"/>
      <c r="FYJ68" s="362"/>
      <c r="FYK68" s="362"/>
      <c r="FYL68" s="362"/>
      <c r="FYM68" s="362"/>
      <c r="FYN68" s="362"/>
      <c r="FYO68" s="362"/>
      <c r="FYP68" s="362"/>
      <c r="FYQ68" s="362"/>
      <c r="FYR68" s="362"/>
      <c r="FYS68" s="362"/>
      <c r="FYT68" s="362"/>
      <c r="FYU68" s="362"/>
      <c r="FYV68" s="362"/>
      <c r="FYW68" s="362"/>
      <c r="FYX68" s="362"/>
      <c r="FYY68" s="362"/>
      <c r="FYZ68" s="362"/>
      <c r="FZA68" s="362"/>
      <c r="FZB68" s="362"/>
      <c r="FZC68" s="362"/>
      <c r="FZD68" s="362"/>
      <c r="FZE68" s="362"/>
      <c r="FZF68" s="362"/>
      <c r="FZG68" s="362"/>
      <c r="FZH68" s="362"/>
      <c r="FZI68" s="362"/>
      <c r="FZJ68" s="362"/>
      <c r="FZK68" s="362"/>
      <c r="FZL68" s="362"/>
      <c r="FZM68" s="362"/>
      <c r="FZN68" s="362"/>
      <c r="FZO68" s="362"/>
      <c r="FZP68" s="362"/>
      <c r="FZQ68" s="362"/>
      <c r="FZR68" s="362"/>
      <c r="FZS68" s="362"/>
      <c r="FZT68" s="362"/>
      <c r="FZU68" s="362"/>
      <c r="FZV68" s="362"/>
      <c r="FZW68" s="362"/>
      <c r="FZX68" s="362"/>
      <c r="FZY68" s="362"/>
      <c r="FZZ68" s="362"/>
      <c r="GAA68" s="362"/>
      <c r="GAB68" s="362"/>
      <c r="GAC68" s="362"/>
      <c r="GAD68" s="362"/>
      <c r="GAE68" s="362"/>
      <c r="GAF68" s="362"/>
      <c r="GAG68" s="362"/>
      <c r="GAH68" s="362"/>
      <c r="GAI68" s="362"/>
      <c r="GAJ68" s="362"/>
      <c r="GAK68" s="362"/>
      <c r="GAL68" s="362"/>
      <c r="GAM68" s="362"/>
      <c r="GAN68" s="362"/>
      <c r="GAO68" s="362"/>
      <c r="GAP68" s="362"/>
      <c r="GAQ68" s="362"/>
      <c r="GAR68" s="362"/>
      <c r="GAS68" s="362"/>
      <c r="GAT68" s="362"/>
      <c r="GAU68" s="362"/>
      <c r="GAV68" s="362"/>
      <c r="GAW68" s="362"/>
      <c r="GAX68" s="362"/>
      <c r="GAY68" s="362"/>
      <c r="GAZ68" s="362"/>
      <c r="GBA68" s="362"/>
      <c r="GBB68" s="362"/>
      <c r="GBC68" s="362"/>
      <c r="GBD68" s="362"/>
      <c r="GBE68" s="362"/>
      <c r="GBF68" s="362"/>
      <c r="GBG68" s="362"/>
      <c r="GBH68" s="362"/>
      <c r="GBI68" s="362"/>
      <c r="GBJ68" s="362"/>
      <c r="GBK68" s="362"/>
      <c r="GBL68" s="362"/>
      <c r="GBM68" s="362"/>
      <c r="GBN68" s="362"/>
      <c r="GBO68" s="362"/>
      <c r="GBP68" s="362"/>
      <c r="GBQ68" s="362"/>
      <c r="GBR68" s="362"/>
      <c r="GBS68" s="362"/>
      <c r="GBT68" s="362"/>
      <c r="GBU68" s="362"/>
      <c r="GBV68" s="362"/>
      <c r="GBW68" s="362"/>
      <c r="GBX68" s="362"/>
      <c r="GBY68" s="362"/>
      <c r="GBZ68" s="362"/>
      <c r="GCA68" s="362"/>
      <c r="GCB68" s="362"/>
      <c r="GCC68" s="362"/>
      <c r="GCD68" s="362"/>
      <c r="GCE68" s="362"/>
      <c r="GCF68" s="362"/>
      <c r="GCG68" s="362"/>
      <c r="GCH68" s="362"/>
      <c r="GCI68" s="362"/>
      <c r="GCJ68" s="362"/>
      <c r="GCK68" s="362"/>
      <c r="GCL68" s="362"/>
      <c r="GCM68" s="362"/>
      <c r="GCN68" s="362"/>
      <c r="GCO68" s="362"/>
      <c r="GCP68" s="362"/>
      <c r="GCQ68" s="362"/>
      <c r="GCR68" s="362"/>
      <c r="GCS68" s="362"/>
      <c r="GCT68" s="362"/>
      <c r="GCU68" s="362"/>
      <c r="GCV68" s="362"/>
      <c r="GCW68" s="362"/>
      <c r="GCX68" s="362"/>
      <c r="GCY68" s="362"/>
      <c r="GCZ68" s="362"/>
      <c r="GDA68" s="362"/>
      <c r="GDB68" s="362"/>
      <c r="GDC68" s="362"/>
      <c r="GDD68" s="362"/>
      <c r="GDE68" s="362"/>
      <c r="GDF68" s="362"/>
      <c r="GDG68" s="362"/>
      <c r="GDH68" s="362"/>
      <c r="GDI68" s="362"/>
      <c r="GDJ68" s="362"/>
      <c r="GDK68" s="362"/>
      <c r="GDL68" s="362"/>
      <c r="GDM68" s="362"/>
      <c r="GDN68" s="362"/>
      <c r="GDO68" s="362"/>
      <c r="GDP68" s="362"/>
      <c r="GDQ68" s="362"/>
      <c r="GDR68" s="362"/>
      <c r="GDS68" s="362"/>
      <c r="GDT68" s="362"/>
      <c r="GDU68" s="362"/>
      <c r="GDV68" s="362"/>
      <c r="GDW68" s="362"/>
      <c r="GDX68" s="362"/>
      <c r="GDY68" s="362"/>
      <c r="GDZ68" s="362"/>
      <c r="GEA68" s="362"/>
      <c r="GEB68" s="362"/>
      <c r="GEC68" s="362"/>
      <c r="GED68" s="362"/>
      <c r="GEE68" s="362"/>
      <c r="GEF68" s="362"/>
      <c r="GEG68" s="362"/>
      <c r="GEH68" s="362"/>
      <c r="GEI68" s="362"/>
      <c r="GEJ68" s="362"/>
      <c r="GEK68" s="362"/>
      <c r="GEL68" s="362"/>
      <c r="GEM68" s="362"/>
      <c r="GEN68" s="362"/>
      <c r="GEO68" s="362"/>
      <c r="GEP68" s="362"/>
      <c r="GEQ68" s="362"/>
      <c r="GER68" s="362"/>
      <c r="GES68" s="362"/>
      <c r="GET68" s="362"/>
      <c r="GEU68" s="362"/>
      <c r="GEV68" s="362"/>
      <c r="GEW68" s="362"/>
      <c r="GEX68" s="362"/>
      <c r="GEY68" s="362"/>
      <c r="GEZ68" s="362"/>
      <c r="GFA68" s="362"/>
      <c r="GFB68" s="362"/>
      <c r="GFC68" s="362"/>
      <c r="GFD68" s="362"/>
      <c r="GFE68" s="362"/>
      <c r="GFF68" s="362"/>
      <c r="GFG68" s="362"/>
      <c r="GFH68" s="362"/>
      <c r="GFI68" s="362"/>
      <c r="GFJ68" s="362"/>
      <c r="GFK68" s="362"/>
      <c r="GFL68" s="362"/>
      <c r="GFM68" s="362"/>
      <c r="GFN68" s="362"/>
      <c r="GFO68" s="362"/>
      <c r="GFP68" s="362"/>
      <c r="GFQ68" s="362"/>
      <c r="GFR68" s="362"/>
      <c r="GFS68" s="362"/>
      <c r="GFT68" s="362"/>
      <c r="GFU68" s="362"/>
      <c r="GFV68" s="362"/>
      <c r="GFW68" s="362"/>
      <c r="GFX68" s="362"/>
      <c r="GFY68" s="362"/>
      <c r="GFZ68" s="362"/>
      <c r="GGA68" s="362"/>
      <c r="GGB68" s="362"/>
      <c r="GGC68" s="362"/>
      <c r="GGD68" s="362"/>
      <c r="GGE68" s="362"/>
      <c r="GGF68" s="362"/>
      <c r="GGG68" s="362"/>
      <c r="GGH68" s="362"/>
      <c r="GGI68" s="362"/>
      <c r="GGJ68" s="362"/>
      <c r="GGK68" s="362"/>
      <c r="GGL68" s="362"/>
      <c r="GGM68" s="362"/>
      <c r="GGN68" s="362"/>
      <c r="GGO68" s="362"/>
      <c r="GGP68" s="362"/>
      <c r="GGQ68" s="362"/>
      <c r="GGR68" s="362"/>
      <c r="GGS68" s="362"/>
      <c r="GGT68" s="362"/>
      <c r="GGU68" s="362"/>
      <c r="GGV68" s="362"/>
      <c r="GGW68" s="362"/>
      <c r="GGX68" s="362"/>
      <c r="GGY68" s="362"/>
      <c r="GGZ68" s="362"/>
      <c r="GHA68" s="362"/>
      <c r="GHB68" s="362"/>
      <c r="GHC68" s="362"/>
      <c r="GHD68" s="362"/>
      <c r="GHE68" s="362"/>
      <c r="GHF68" s="362"/>
      <c r="GHG68" s="362"/>
      <c r="GHH68" s="362"/>
      <c r="GHI68" s="362"/>
      <c r="GHJ68" s="362"/>
      <c r="GHK68" s="362"/>
      <c r="GHL68" s="362"/>
      <c r="GHM68" s="362"/>
      <c r="GHN68" s="362"/>
      <c r="GHO68" s="362"/>
      <c r="GHP68" s="362"/>
      <c r="GHQ68" s="362"/>
      <c r="GHR68" s="362"/>
      <c r="GHS68" s="362"/>
      <c r="GHT68" s="362"/>
      <c r="GHU68" s="362"/>
      <c r="GHV68" s="362"/>
      <c r="GHW68" s="362"/>
      <c r="GHX68" s="362"/>
      <c r="GHY68" s="362"/>
      <c r="GHZ68" s="362"/>
      <c r="GIA68" s="362"/>
      <c r="GIB68" s="362"/>
      <c r="GIC68" s="362"/>
      <c r="GID68" s="362"/>
      <c r="GIE68" s="362"/>
      <c r="GIF68" s="362"/>
      <c r="GIG68" s="362"/>
      <c r="GIH68" s="362"/>
      <c r="GII68" s="362"/>
      <c r="GIJ68" s="362"/>
      <c r="GIK68" s="362"/>
      <c r="GIL68" s="362"/>
      <c r="GIM68" s="362"/>
      <c r="GIN68" s="362"/>
      <c r="GIO68" s="362"/>
      <c r="GIP68" s="362"/>
      <c r="GIQ68" s="362"/>
      <c r="GIR68" s="362"/>
      <c r="GIS68" s="362"/>
      <c r="GIT68" s="362"/>
      <c r="GIU68" s="362"/>
      <c r="GIV68" s="362"/>
      <c r="GIW68" s="362"/>
      <c r="GIX68" s="362"/>
      <c r="GIY68" s="362"/>
      <c r="GIZ68" s="362"/>
      <c r="GJA68" s="362"/>
      <c r="GJB68" s="362"/>
      <c r="GJC68" s="362"/>
      <c r="GJD68" s="362"/>
      <c r="GJE68" s="362"/>
      <c r="GJF68" s="362"/>
      <c r="GJG68" s="362"/>
      <c r="GJH68" s="362"/>
      <c r="GJI68" s="362"/>
      <c r="GJJ68" s="362"/>
      <c r="GJK68" s="362"/>
      <c r="GJL68" s="362"/>
      <c r="GJM68" s="362"/>
      <c r="GJN68" s="362"/>
      <c r="GJO68" s="362"/>
      <c r="GJP68" s="362"/>
      <c r="GJQ68" s="362"/>
      <c r="GJR68" s="362"/>
      <c r="GJS68" s="362"/>
      <c r="GJT68" s="362"/>
      <c r="GJU68" s="362"/>
      <c r="GJV68" s="362"/>
      <c r="GJW68" s="362"/>
      <c r="GJX68" s="362"/>
      <c r="GJY68" s="362"/>
      <c r="GJZ68" s="362"/>
      <c r="GKA68" s="362"/>
      <c r="GKB68" s="362"/>
      <c r="GKC68" s="362"/>
      <c r="GKD68" s="362"/>
      <c r="GKE68" s="362"/>
      <c r="GKF68" s="362"/>
      <c r="GKG68" s="362"/>
      <c r="GKH68" s="362"/>
      <c r="GKI68" s="362"/>
      <c r="GKJ68" s="362"/>
      <c r="GKK68" s="362"/>
      <c r="GKL68" s="362"/>
      <c r="GKM68" s="362"/>
      <c r="GKN68" s="362"/>
      <c r="GKO68" s="362"/>
      <c r="GKP68" s="362"/>
      <c r="GKQ68" s="362"/>
      <c r="GKR68" s="362"/>
      <c r="GKS68" s="362"/>
      <c r="GKT68" s="362"/>
      <c r="GKU68" s="362"/>
      <c r="GKV68" s="362"/>
      <c r="GKW68" s="362"/>
      <c r="GKX68" s="362"/>
      <c r="GKY68" s="362"/>
      <c r="GKZ68" s="362"/>
      <c r="GLA68" s="362"/>
      <c r="GLB68" s="362"/>
      <c r="GLC68" s="362"/>
      <c r="GLD68" s="362"/>
      <c r="GLE68" s="362"/>
      <c r="GLF68" s="362"/>
      <c r="GLG68" s="362"/>
      <c r="GLH68" s="362"/>
      <c r="GLI68" s="362"/>
      <c r="GLJ68" s="362"/>
      <c r="GLK68" s="362"/>
      <c r="GLL68" s="362"/>
      <c r="GLM68" s="362"/>
      <c r="GLN68" s="362"/>
      <c r="GLO68" s="362"/>
      <c r="GLP68" s="362"/>
      <c r="GLQ68" s="362"/>
      <c r="GLR68" s="362"/>
      <c r="GLS68" s="362"/>
      <c r="GLT68" s="362"/>
      <c r="GLU68" s="362"/>
      <c r="GLV68" s="362"/>
      <c r="GLW68" s="362"/>
      <c r="GLX68" s="362"/>
      <c r="GLY68" s="362"/>
      <c r="GLZ68" s="362"/>
      <c r="GMA68" s="362"/>
      <c r="GMB68" s="362"/>
      <c r="GMC68" s="362"/>
      <c r="GMD68" s="362"/>
      <c r="GME68" s="362"/>
      <c r="GMF68" s="362"/>
      <c r="GMG68" s="362"/>
      <c r="GMH68" s="362"/>
      <c r="GMI68" s="362"/>
      <c r="GMJ68" s="362"/>
      <c r="GMK68" s="362"/>
      <c r="GML68" s="362"/>
      <c r="GMM68" s="362"/>
      <c r="GMN68" s="362"/>
      <c r="GMO68" s="362"/>
      <c r="GMP68" s="362"/>
      <c r="GMQ68" s="362"/>
      <c r="GMR68" s="362"/>
      <c r="GMS68" s="362"/>
      <c r="GMT68" s="362"/>
      <c r="GMU68" s="362"/>
      <c r="GMV68" s="362"/>
      <c r="GMW68" s="362"/>
      <c r="GMX68" s="362"/>
      <c r="GMY68" s="362"/>
      <c r="GMZ68" s="362"/>
      <c r="GNA68" s="362"/>
      <c r="GNB68" s="362"/>
      <c r="GNC68" s="362"/>
      <c r="GND68" s="362"/>
      <c r="GNE68" s="362"/>
      <c r="GNF68" s="362"/>
      <c r="GNG68" s="362"/>
      <c r="GNH68" s="362"/>
      <c r="GNI68" s="362"/>
      <c r="GNJ68" s="362"/>
      <c r="GNK68" s="362"/>
      <c r="GNL68" s="362"/>
      <c r="GNM68" s="362"/>
      <c r="GNN68" s="362"/>
      <c r="GNO68" s="362"/>
      <c r="GNP68" s="362"/>
      <c r="GNQ68" s="362"/>
      <c r="GNR68" s="362"/>
      <c r="GNS68" s="362"/>
      <c r="GNT68" s="362"/>
      <c r="GNU68" s="362"/>
      <c r="GNV68" s="362"/>
      <c r="GNW68" s="362"/>
      <c r="GNX68" s="362"/>
      <c r="GNY68" s="362"/>
      <c r="GNZ68" s="362"/>
      <c r="GOA68" s="362"/>
      <c r="GOB68" s="362"/>
      <c r="GOC68" s="362"/>
      <c r="GOD68" s="362"/>
      <c r="GOE68" s="362"/>
      <c r="GOF68" s="362"/>
      <c r="GOG68" s="362"/>
      <c r="GOH68" s="362"/>
      <c r="GOI68" s="362"/>
      <c r="GOJ68" s="362"/>
      <c r="GOK68" s="362"/>
      <c r="GOL68" s="362"/>
      <c r="GOM68" s="362"/>
      <c r="GON68" s="362"/>
      <c r="GOO68" s="362"/>
      <c r="GOP68" s="362"/>
      <c r="GOQ68" s="362"/>
      <c r="GOR68" s="362"/>
      <c r="GOS68" s="362"/>
      <c r="GOT68" s="362"/>
      <c r="GOU68" s="362"/>
      <c r="GOV68" s="362"/>
      <c r="GOW68" s="362"/>
      <c r="GOX68" s="362"/>
      <c r="GOY68" s="362"/>
      <c r="GOZ68" s="362"/>
      <c r="GPA68" s="362"/>
      <c r="GPB68" s="362"/>
      <c r="GPC68" s="362"/>
      <c r="GPD68" s="362"/>
      <c r="GPE68" s="362"/>
      <c r="GPF68" s="362"/>
      <c r="GPG68" s="362"/>
      <c r="GPH68" s="362"/>
      <c r="GPI68" s="362"/>
      <c r="GPJ68" s="362"/>
      <c r="GPK68" s="362"/>
      <c r="GPL68" s="362"/>
      <c r="GPM68" s="362"/>
      <c r="GPN68" s="362"/>
      <c r="GPO68" s="362"/>
      <c r="GPP68" s="362"/>
      <c r="GPQ68" s="362"/>
      <c r="GPR68" s="362"/>
      <c r="GPS68" s="362"/>
      <c r="GPT68" s="362"/>
      <c r="GPU68" s="362"/>
      <c r="GPV68" s="362"/>
      <c r="GPW68" s="362"/>
      <c r="GPX68" s="362"/>
      <c r="GPY68" s="362"/>
      <c r="GPZ68" s="362"/>
      <c r="GQA68" s="362"/>
      <c r="GQB68" s="362"/>
      <c r="GQC68" s="362"/>
      <c r="GQD68" s="362"/>
      <c r="GQE68" s="362"/>
      <c r="GQF68" s="362"/>
      <c r="GQG68" s="362"/>
      <c r="GQH68" s="362"/>
      <c r="GQI68" s="362"/>
      <c r="GQJ68" s="362"/>
      <c r="GQK68" s="362"/>
      <c r="GQL68" s="362"/>
      <c r="GQM68" s="362"/>
      <c r="GQN68" s="362"/>
      <c r="GQO68" s="362"/>
      <c r="GQP68" s="362"/>
      <c r="GQQ68" s="362"/>
      <c r="GQR68" s="362"/>
      <c r="GQS68" s="362"/>
      <c r="GQT68" s="362"/>
      <c r="GQU68" s="362"/>
      <c r="GQV68" s="362"/>
      <c r="GQW68" s="362"/>
      <c r="GQX68" s="362"/>
      <c r="GQY68" s="362"/>
      <c r="GQZ68" s="362"/>
      <c r="GRA68" s="362"/>
      <c r="GRB68" s="362"/>
      <c r="GRC68" s="362"/>
      <c r="GRD68" s="362"/>
      <c r="GRE68" s="362"/>
      <c r="GRF68" s="362"/>
      <c r="GRG68" s="362"/>
      <c r="GRH68" s="362"/>
      <c r="GRI68" s="362"/>
      <c r="GRJ68" s="362"/>
      <c r="GRK68" s="362"/>
      <c r="GRL68" s="362"/>
      <c r="GRM68" s="362"/>
      <c r="GRN68" s="362"/>
      <c r="GRO68" s="362"/>
      <c r="GRP68" s="362"/>
      <c r="GRQ68" s="362"/>
      <c r="GRR68" s="362"/>
      <c r="GRS68" s="362"/>
      <c r="GRT68" s="362"/>
      <c r="GRU68" s="362"/>
      <c r="GRV68" s="362"/>
      <c r="GRW68" s="362"/>
      <c r="GRX68" s="362"/>
      <c r="GRY68" s="362"/>
      <c r="GRZ68" s="362"/>
      <c r="GSA68" s="362"/>
      <c r="GSB68" s="362"/>
      <c r="GSC68" s="362"/>
      <c r="GSD68" s="362"/>
      <c r="GSE68" s="362"/>
      <c r="GSF68" s="362"/>
      <c r="GSG68" s="362"/>
      <c r="GSH68" s="362"/>
      <c r="GSI68" s="362"/>
      <c r="GSJ68" s="362"/>
      <c r="GSK68" s="362"/>
      <c r="GSL68" s="362"/>
      <c r="GSM68" s="362"/>
      <c r="GSN68" s="362"/>
      <c r="GSO68" s="362"/>
      <c r="GSP68" s="362"/>
      <c r="GSQ68" s="362"/>
      <c r="GSR68" s="362"/>
      <c r="GSS68" s="362"/>
      <c r="GST68" s="362"/>
      <c r="GSU68" s="362"/>
      <c r="GSV68" s="362"/>
      <c r="GSW68" s="362"/>
      <c r="GSX68" s="362"/>
      <c r="GSY68" s="362"/>
      <c r="GSZ68" s="362"/>
      <c r="GTA68" s="362"/>
      <c r="GTB68" s="362"/>
      <c r="GTC68" s="362"/>
      <c r="GTD68" s="362"/>
      <c r="GTE68" s="362"/>
      <c r="GTF68" s="362"/>
      <c r="GTG68" s="362"/>
      <c r="GTH68" s="362"/>
      <c r="GTI68" s="362"/>
      <c r="GTJ68" s="362"/>
      <c r="GTK68" s="362"/>
      <c r="GTL68" s="362"/>
      <c r="GTM68" s="362"/>
      <c r="GTN68" s="362"/>
      <c r="GTO68" s="362"/>
      <c r="GTP68" s="362"/>
      <c r="GTQ68" s="362"/>
      <c r="GTR68" s="362"/>
      <c r="GTS68" s="362"/>
      <c r="GTT68" s="362"/>
      <c r="GTU68" s="362"/>
      <c r="GTV68" s="362"/>
      <c r="GTW68" s="362"/>
      <c r="GTX68" s="362"/>
      <c r="GTY68" s="362"/>
      <c r="GTZ68" s="362"/>
      <c r="GUA68" s="362"/>
      <c r="GUB68" s="362"/>
      <c r="GUC68" s="362"/>
      <c r="GUD68" s="362"/>
      <c r="GUE68" s="362"/>
      <c r="GUF68" s="362"/>
      <c r="GUG68" s="362"/>
      <c r="GUH68" s="362"/>
      <c r="GUI68" s="362"/>
      <c r="GUJ68" s="362"/>
      <c r="GUK68" s="362"/>
      <c r="GUL68" s="362"/>
      <c r="GUM68" s="362"/>
      <c r="GUN68" s="362"/>
      <c r="GUO68" s="362"/>
      <c r="GUP68" s="362"/>
      <c r="GUQ68" s="362"/>
      <c r="GUR68" s="362"/>
      <c r="GUS68" s="362"/>
      <c r="GUT68" s="362"/>
      <c r="GUU68" s="362"/>
      <c r="GUV68" s="362"/>
      <c r="GUW68" s="362"/>
      <c r="GUX68" s="362"/>
      <c r="GUY68" s="362"/>
      <c r="GUZ68" s="362"/>
      <c r="GVA68" s="362"/>
      <c r="GVB68" s="362"/>
      <c r="GVC68" s="362"/>
      <c r="GVD68" s="362"/>
      <c r="GVE68" s="362"/>
      <c r="GVF68" s="362"/>
      <c r="GVG68" s="362"/>
      <c r="GVH68" s="362"/>
      <c r="GVI68" s="362"/>
      <c r="GVJ68" s="362"/>
      <c r="GVK68" s="362"/>
      <c r="GVL68" s="362"/>
      <c r="GVM68" s="362"/>
      <c r="GVN68" s="362"/>
      <c r="GVO68" s="362"/>
      <c r="GVP68" s="362"/>
      <c r="GVQ68" s="362"/>
      <c r="GVR68" s="362"/>
      <c r="GVS68" s="362"/>
      <c r="GVT68" s="362"/>
      <c r="GVU68" s="362"/>
      <c r="GVV68" s="362"/>
      <c r="GVW68" s="362"/>
      <c r="GVX68" s="362"/>
      <c r="GVY68" s="362"/>
      <c r="GVZ68" s="362"/>
      <c r="GWA68" s="362"/>
      <c r="GWB68" s="362"/>
      <c r="GWC68" s="362"/>
      <c r="GWD68" s="362"/>
      <c r="GWE68" s="362"/>
      <c r="GWF68" s="362"/>
      <c r="GWG68" s="362"/>
      <c r="GWH68" s="362"/>
      <c r="GWI68" s="362"/>
      <c r="GWJ68" s="362"/>
      <c r="GWK68" s="362"/>
      <c r="GWL68" s="362"/>
      <c r="GWM68" s="362"/>
      <c r="GWN68" s="362"/>
      <c r="GWO68" s="362"/>
      <c r="GWP68" s="362"/>
      <c r="GWQ68" s="362"/>
      <c r="GWR68" s="362"/>
      <c r="GWS68" s="362"/>
      <c r="GWT68" s="362"/>
      <c r="GWU68" s="362"/>
      <c r="GWV68" s="362"/>
      <c r="GWW68" s="362"/>
      <c r="GWX68" s="362"/>
      <c r="GWY68" s="362"/>
      <c r="GWZ68" s="362"/>
      <c r="GXA68" s="362"/>
      <c r="GXB68" s="362"/>
      <c r="GXC68" s="362"/>
      <c r="GXD68" s="362"/>
      <c r="GXE68" s="362"/>
      <c r="GXF68" s="362"/>
      <c r="GXG68" s="362"/>
      <c r="GXH68" s="362"/>
      <c r="GXI68" s="362"/>
      <c r="GXJ68" s="362"/>
      <c r="GXK68" s="362"/>
      <c r="GXL68" s="362"/>
      <c r="GXM68" s="362"/>
      <c r="GXN68" s="362"/>
      <c r="GXO68" s="362"/>
      <c r="GXP68" s="362"/>
      <c r="GXQ68" s="362"/>
      <c r="GXR68" s="362"/>
      <c r="GXS68" s="362"/>
      <c r="GXT68" s="362"/>
      <c r="GXU68" s="362"/>
      <c r="GXV68" s="362"/>
      <c r="GXW68" s="362"/>
      <c r="GXX68" s="362"/>
      <c r="GXY68" s="362"/>
      <c r="GXZ68" s="362"/>
      <c r="GYA68" s="362"/>
      <c r="GYB68" s="362"/>
      <c r="GYC68" s="362"/>
      <c r="GYD68" s="362"/>
      <c r="GYE68" s="362"/>
      <c r="GYF68" s="362"/>
      <c r="GYG68" s="362"/>
      <c r="GYH68" s="362"/>
      <c r="GYI68" s="362"/>
      <c r="GYJ68" s="362"/>
      <c r="GYK68" s="362"/>
      <c r="GYL68" s="362"/>
      <c r="GYM68" s="362"/>
      <c r="GYN68" s="362"/>
      <c r="GYO68" s="362"/>
      <c r="GYP68" s="362"/>
      <c r="GYQ68" s="362"/>
      <c r="GYR68" s="362"/>
      <c r="GYS68" s="362"/>
      <c r="GYT68" s="362"/>
      <c r="GYU68" s="362"/>
      <c r="GYV68" s="362"/>
      <c r="GYW68" s="362"/>
      <c r="GYX68" s="362"/>
      <c r="GYY68" s="362"/>
      <c r="GYZ68" s="362"/>
      <c r="GZA68" s="362"/>
      <c r="GZB68" s="362"/>
      <c r="GZC68" s="362"/>
      <c r="GZD68" s="362"/>
      <c r="GZE68" s="362"/>
      <c r="GZF68" s="362"/>
      <c r="GZG68" s="362"/>
      <c r="GZH68" s="362"/>
      <c r="GZI68" s="362"/>
      <c r="GZJ68" s="362"/>
      <c r="GZK68" s="362"/>
      <c r="GZL68" s="362"/>
      <c r="GZM68" s="362"/>
      <c r="GZN68" s="362"/>
      <c r="GZO68" s="362"/>
      <c r="GZP68" s="362"/>
      <c r="GZQ68" s="362"/>
      <c r="GZR68" s="362"/>
      <c r="GZS68" s="362"/>
      <c r="GZT68" s="362"/>
      <c r="GZU68" s="362"/>
      <c r="GZV68" s="362"/>
      <c r="GZW68" s="362"/>
      <c r="GZX68" s="362"/>
      <c r="GZY68" s="362"/>
      <c r="GZZ68" s="362"/>
      <c r="HAA68" s="362"/>
      <c r="HAB68" s="362"/>
      <c r="HAC68" s="362"/>
      <c r="HAD68" s="362"/>
      <c r="HAE68" s="362"/>
      <c r="HAF68" s="362"/>
      <c r="HAG68" s="362"/>
      <c r="HAH68" s="362"/>
      <c r="HAI68" s="362"/>
      <c r="HAJ68" s="362"/>
      <c r="HAK68" s="362"/>
      <c r="HAL68" s="362"/>
      <c r="HAM68" s="362"/>
      <c r="HAN68" s="362"/>
      <c r="HAO68" s="362"/>
      <c r="HAP68" s="362"/>
      <c r="HAQ68" s="362"/>
      <c r="HAR68" s="362"/>
      <c r="HAS68" s="362"/>
      <c r="HAT68" s="362"/>
      <c r="HAU68" s="362"/>
      <c r="HAV68" s="362"/>
      <c r="HAW68" s="362"/>
      <c r="HAX68" s="362"/>
      <c r="HAY68" s="362"/>
      <c r="HAZ68" s="362"/>
      <c r="HBA68" s="362"/>
      <c r="HBB68" s="362"/>
      <c r="HBC68" s="362"/>
      <c r="HBD68" s="362"/>
      <c r="HBE68" s="362"/>
      <c r="HBF68" s="362"/>
      <c r="HBG68" s="362"/>
      <c r="HBH68" s="362"/>
      <c r="HBI68" s="362"/>
      <c r="HBJ68" s="362"/>
      <c r="HBK68" s="362"/>
      <c r="HBL68" s="362"/>
      <c r="HBM68" s="362"/>
      <c r="HBN68" s="362"/>
      <c r="HBO68" s="362"/>
      <c r="HBP68" s="362"/>
      <c r="HBQ68" s="362"/>
      <c r="HBR68" s="362"/>
      <c r="HBS68" s="362"/>
      <c r="HBT68" s="362"/>
      <c r="HBU68" s="362"/>
      <c r="HBV68" s="362"/>
      <c r="HBW68" s="362"/>
      <c r="HBX68" s="362"/>
      <c r="HBY68" s="362"/>
      <c r="HBZ68" s="362"/>
      <c r="HCA68" s="362"/>
      <c r="HCB68" s="362"/>
      <c r="HCC68" s="362"/>
      <c r="HCD68" s="362"/>
      <c r="HCE68" s="362"/>
      <c r="HCF68" s="362"/>
      <c r="HCG68" s="362"/>
      <c r="HCH68" s="362"/>
      <c r="HCI68" s="362"/>
      <c r="HCJ68" s="362"/>
      <c r="HCK68" s="362"/>
      <c r="HCL68" s="362"/>
      <c r="HCM68" s="362"/>
      <c r="HCN68" s="362"/>
      <c r="HCO68" s="362"/>
      <c r="HCP68" s="362"/>
      <c r="HCQ68" s="362"/>
      <c r="HCR68" s="362"/>
      <c r="HCS68" s="362"/>
      <c r="HCT68" s="362"/>
      <c r="HCU68" s="362"/>
      <c r="HCV68" s="362"/>
      <c r="HCW68" s="362"/>
      <c r="HCX68" s="362"/>
      <c r="HCY68" s="362"/>
      <c r="HCZ68" s="362"/>
      <c r="HDA68" s="362"/>
      <c r="HDB68" s="362"/>
      <c r="HDC68" s="362"/>
      <c r="HDD68" s="362"/>
      <c r="HDE68" s="362"/>
      <c r="HDF68" s="362"/>
      <c r="HDG68" s="362"/>
      <c r="HDH68" s="362"/>
      <c r="HDI68" s="362"/>
      <c r="HDJ68" s="362"/>
      <c r="HDK68" s="362"/>
      <c r="HDL68" s="362"/>
      <c r="HDM68" s="362"/>
      <c r="HDN68" s="362"/>
      <c r="HDO68" s="362"/>
      <c r="HDP68" s="362"/>
      <c r="HDQ68" s="362"/>
      <c r="HDR68" s="362"/>
      <c r="HDS68" s="362"/>
      <c r="HDT68" s="362"/>
      <c r="HDU68" s="362"/>
      <c r="HDV68" s="362"/>
      <c r="HDW68" s="362"/>
      <c r="HDX68" s="362"/>
      <c r="HDY68" s="362"/>
      <c r="HDZ68" s="362"/>
      <c r="HEA68" s="362"/>
      <c r="HEB68" s="362"/>
      <c r="HEC68" s="362"/>
      <c r="HED68" s="362"/>
      <c r="HEE68" s="362"/>
      <c r="HEF68" s="362"/>
      <c r="HEG68" s="362"/>
      <c r="HEH68" s="362"/>
      <c r="HEI68" s="362"/>
      <c r="HEJ68" s="362"/>
      <c r="HEK68" s="362"/>
      <c r="HEL68" s="362"/>
      <c r="HEM68" s="362"/>
      <c r="HEN68" s="362"/>
      <c r="HEO68" s="362"/>
      <c r="HEP68" s="362"/>
      <c r="HEQ68" s="362"/>
      <c r="HER68" s="362"/>
      <c r="HES68" s="362"/>
      <c r="HET68" s="362"/>
      <c r="HEU68" s="362"/>
      <c r="HEV68" s="362"/>
      <c r="HEW68" s="362"/>
      <c r="HEX68" s="362"/>
      <c r="HEY68" s="362"/>
      <c r="HEZ68" s="362"/>
      <c r="HFA68" s="362"/>
      <c r="HFB68" s="362"/>
      <c r="HFC68" s="362"/>
      <c r="HFD68" s="362"/>
      <c r="HFE68" s="362"/>
      <c r="HFF68" s="362"/>
      <c r="HFG68" s="362"/>
      <c r="HFH68" s="362"/>
      <c r="HFI68" s="362"/>
      <c r="HFJ68" s="362"/>
      <c r="HFK68" s="362"/>
      <c r="HFL68" s="362"/>
      <c r="HFM68" s="362"/>
      <c r="HFN68" s="362"/>
      <c r="HFO68" s="362"/>
      <c r="HFP68" s="362"/>
      <c r="HFQ68" s="362"/>
      <c r="HFR68" s="362"/>
      <c r="HFS68" s="362"/>
      <c r="HFT68" s="362"/>
      <c r="HFU68" s="362"/>
      <c r="HFV68" s="362"/>
      <c r="HFW68" s="362"/>
      <c r="HFX68" s="362"/>
      <c r="HFY68" s="362"/>
      <c r="HFZ68" s="362"/>
      <c r="HGA68" s="362"/>
      <c r="HGB68" s="362"/>
      <c r="HGC68" s="362"/>
      <c r="HGD68" s="362"/>
      <c r="HGE68" s="362"/>
      <c r="HGF68" s="362"/>
      <c r="HGG68" s="362"/>
      <c r="HGH68" s="362"/>
      <c r="HGI68" s="362"/>
      <c r="HGJ68" s="362"/>
      <c r="HGK68" s="362"/>
      <c r="HGL68" s="362"/>
      <c r="HGM68" s="362"/>
      <c r="HGN68" s="362"/>
      <c r="HGO68" s="362"/>
      <c r="HGP68" s="362"/>
      <c r="HGQ68" s="362"/>
      <c r="HGR68" s="362"/>
      <c r="HGS68" s="362"/>
      <c r="HGT68" s="362"/>
      <c r="HGU68" s="362"/>
      <c r="HGV68" s="362"/>
      <c r="HGW68" s="362"/>
      <c r="HGX68" s="362"/>
      <c r="HGY68" s="362"/>
      <c r="HGZ68" s="362"/>
      <c r="HHA68" s="362"/>
      <c r="HHB68" s="362"/>
      <c r="HHC68" s="362"/>
      <c r="HHD68" s="362"/>
      <c r="HHE68" s="362"/>
      <c r="HHF68" s="362"/>
      <c r="HHG68" s="362"/>
      <c r="HHH68" s="362"/>
      <c r="HHI68" s="362"/>
      <c r="HHJ68" s="362"/>
      <c r="HHK68" s="362"/>
      <c r="HHL68" s="362"/>
      <c r="HHM68" s="362"/>
      <c r="HHN68" s="362"/>
      <c r="HHO68" s="362"/>
      <c r="HHP68" s="362"/>
      <c r="HHQ68" s="362"/>
      <c r="HHR68" s="362"/>
      <c r="HHS68" s="362"/>
      <c r="HHT68" s="362"/>
      <c r="HHU68" s="362"/>
      <c r="HHV68" s="362"/>
      <c r="HHW68" s="362"/>
      <c r="HHX68" s="362"/>
      <c r="HHY68" s="362"/>
      <c r="HHZ68" s="362"/>
      <c r="HIA68" s="362"/>
      <c r="HIB68" s="362"/>
      <c r="HIC68" s="362"/>
      <c r="HID68" s="362"/>
      <c r="HIE68" s="362"/>
      <c r="HIF68" s="362"/>
      <c r="HIG68" s="362"/>
      <c r="HIH68" s="362"/>
      <c r="HII68" s="362"/>
      <c r="HIJ68" s="362"/>
      <c r="HIK68" s="362"/>
      <c r="HIL68" s="362"/>
      <c r="HIM68" s="362"/>
      <c r="HIN68" s="362"/>
      <c r="HIO68" s="362"/>
      <c r="HIP68" s="362"/>
      <c r="HIQ68" s="362"/>
      <c r="HIR68" s="362"/>
      <c r="HIS68" s="362"/>
      <c r="HIT68" s="362"/>
      <c r="HIU68" s="362"/>
      <c r="HIV68" s="362"/>
      <c r="HIW68" s="362"/>
      <c r="HIX68" s="362"/>
      <c r="HIY68" s="362"/>
      <c r="HIZ68" s="362"/>
      <c r="HJA68" s="362"/>
      <c r="HJB68" s="362"/>
      <c r="HJC68" s="362"/>
      <c r="HJD68" s="362"/>
      <c r="HJE68" s="362"/>
      <c r="HJF68" s="362"/>
      <c r="HJG68" s="362"/>
      <c r="HJH68" s="362"/>
      <c r="HJI68" s="362"/>
      <c r="HJJ68" s="362"/>
      <c r="HJK68" s="362"/>
      <c r="HJL68" s="362"/>
      <c r="HJM68" s="362"/>
      <c r="HJN68" s="362"/>
      <c r="HJO68" s="362"/>
      <c r="HJP68" s="362"/>
      <c r="HJQ68" s="362"/>
      <c r="HJR68" s="362"/>
      <c r="HJS68" s="362"/>
      <c r="HJT68" s="362"/>
      <c r="HJU68" s="362"/>
      <c r="HJV68" s="362"/>
      <c r="HJW68" s="362"/>
      <c r="HJX68" s="362"/>
      <c r="HJY68" s="362"/>
      <c r="HJZ68" s="362"/>
      <c r="HKA68" s="362"/>
      <c r="HKB68" s="362"/>
      <c r="HKC68" s="362"/>
      <c r="HKD68" s="362"/>
      <c r="HKE68" s="362"/>
      <c r="HKF68" s="362"/>
      <c r="HKG68" s="362"/>
      <c r="HKH68" s="362"/>
      <c r="HKI68" s="362"/>
      <c r="HKJ68" s="362"/>
      <c r="HKK68" s="362"/>
      <c r="HKL68" s="362"/>
      <c r="HKM68" s="362"/>
      <c r="HKN68" s="362"/>
      <c r="HKO68" s="362"/>
      <c r="HKP68" s="362"/>
      <c r="HKQ68" s="362"/>
      <c r="HKR68" s="362"/>
      <c r="HKS68" s="362"/>
      <c r="HKT68" s="362"/>
      <c r="HKU68" s="362"/>
      <c r="HKV68" s="362"/>
      <c r="HKW68" s="362"/>
      <c r="HKX68" s="362"/>
      <c r="HKY68" s="362"/>
      <c r="HKZ68" s="362"/>
      <c r="HLA68" s="362"/>
      <c r="HLB68" s="362"/>
      <c r="HLC68" s="362"/>
      <c r="HLD68" s="362"/>
      <c r="HLE68" s="362"/>
      <c r="HLF68" s="362"/>
      <c r="HLG68" s="362"/>
      <c r="HLH68" s="362"/>
      <c r="HLI68" s="362"/>
      <c r="HLJ68" s="362"/>
      <c r="HLK68" s="362"/>
      <c r="HLL68" s="362"/>
      <c r="HLM68" s="362"/>
      <c r="HLN68" s="362"/>
      <c r="HLO68" s="362"/>
      <c r="HLP68" s="362"/>
      <c r="HLQ68" s="362"/>
      <c r="HLR68" s="362"/>
      <c r="HLS68" s="362"/>
      <c r="HLT68" s="362"/>
      <c r="HLU68" s="362"/>
      <c r="HLV68" s="362"/>
      <c r="HLW68" s="362"/>
      <c r="HLX68" s="362"/>
      <c r="HLY68" s="362"/>
      <c r="HLZ68" s="362"/>
      <c r="HMA68" s="362"/>
      <c r="HMB68" s="362"/>
      <c r="HMC68" s="362"/>
      <c r="HMD68" s="362"/>
      <c r="HME68" s="362"/>
      <c r="HMF68" s="362"/>
      <c r="HMG68" s="362"/>
      <c r="HMH68" s="362"/>
      <c r="HMI68" s="362"/>
      <c r="HMJ68" s="362"/>
      <c r="HMK68" s="362"/>
      <c r="HML68" s="362"/>
      <c r="HMM68" s="362"/>
      <c r="HMN68" s="362"/>
      <c r="HMO68" s="362"/>
      <c r="HMP68" s="362"/>
      <c r="HMQ68" s="362"/>
      <c r="HMR68" s="362"/>
      <c r="HMS68" s="362"/>
      <c r="HMT68" s="362"/>
      <c r="HMU68" s="362"/>
      <c r="HMV68" s="362"/>
      <c r="HMW68" s="362"/>
      <c r="HMX68" s="362"/>
      <c r="HMY68" s="362"/>
      <c r="HMZ68" s="362"/>
      <c r="HNA68" s="362"/>
      <c r="HNB68" s="362"/>
      <c r="HNC68" s="362"/>
      <c r="HND68" s="362"/>
      <c r="HNE68" s="362"/>
      <c r="HNF68" s="362"/>
      <c r="HNG68" s="362"/>
      <c r="HNH68" s="362"/>
      <c r="HNI68" s="362"/>
      <c r="HNJ68" s="362"/>
      <c r="HNK68" s="362"/>
      <c r="HNL68" s="362"/>
      <c r="HNM68" s="362"/>
      <c r="HNN68" s="362"/>
      <c r="HNO68" s="362"/>
      <c r="HNP68" s="362"/>
      <c r="HNQ68" s="362"/>
      <c r="HNR68" s="362"/>
      <c r="HNS68" s="362"/>
      <c r="HNT68" s="362"/>
      <c r="HNU68" s="362"/>
      <c r="HNV68" s="362"/>
      <c r="HNW68" s="362"/>
      <c r="HNX68" s="362"/>
      <c r="HNY68" s="362"/>
      <c r="HNZ68" s="362"/>
      <c r="HOA68" s="362"/>
      <c r="HOB68" s="362"/>
      <c r="HOC68" s="362"/>
      <c r="HOD68" s="362"/>
      <c r="HOE68" s="362"/>
      <c r="HOF68" s="362"/>
      <c r="HOG68" s="362"/>
      <c r="HOH68" s="362"/>
      <c r="HOI68" s="362"/>
      <c r="HOJ68" s="362"/>
      <c r="HOK68" s="362"/>
      <c r="HOL68" s="362"/>
      <c r="HOM68" s="362"/>
      <c r="HON68" s="362"/>
      <c r="HOO68" s="362"/>
      <c r="HOP68" s="362"/>
      <c r="HOQ68" s="362"/>
      <c r="HOR68" s="362"/>
      <c r="HOS68" s="362"/>
      <c r="HOT68" s="362"/>
      <c r="HOU68" s="362"/>
      <c r="HOV68" s="362"/>
      <c r="HOW68" s="362"/>
      <c r="HOX68" s="362"/>
      <c r="HOY68" s="362"/>
      <c r="HOZ68" s="362"/>
      <c r="HPA68" s="362"/>
      <c r="HPB68" s="362"/>
      <c r="HPC68" s="362"/>
      <c r="HPD68" s="362"/>
      <c r="HPE68" s="362"/>
      <c r="HPF68" s="362"/>
      <c r="HPG68" s="362"/>
      <c r="HPH68" s="362"/>
      <c r="HPI68" s="362"/>
      <c r="HPJ68" s="362"/>
      <c r="HPK68" s="362"/>
      <c r="HPL68" s="362"/>
      <c r="HPM68" s="362"/>
      <c r="HPN68" s="362"/>
      <c r="HPO68" s="362"/>
      <c r="HPP68" s="362"/>
      <c r="HPQ68" s="362"/>
      <c r="HPR68" s="362"/>
      <c r="HPS68" s="362"/>
      <c r="HPT68" s="362"/>
      <c r="HPU68" s="362"/>
      <c r="HPV68" s="362"/>
      <c r="HPW68" s="362"/>
      <c r="HPX68" s="362"/>
      <c r="HPY68" s="362"/>
      <c r="HPZ68" s="362"/>
      <c r="HQA68" s="362"/>
      <c r="HQB68" s="362"/>
      <c r="HQC68" s="362"/>
      <c r="HQD68" s="362"/>
      <c r="HQE68" s="362"/>
      <c r="HQF68" s="362"/>
      <c r="HQG68" s="362"/>
      <c r="HQH68" s="362"/>
      <c r="HQI68" s="362"/>
      <c r="HQJ68" s="362"/>
      <c r="HQK68" s="362"/>
      <c r="HQL68" s="362"/>
      <c r="HQM68" s="362"/>
      <c r="HQN68" s="362"/>
      <c r="HQO68" s="362"/>
      <c r="HQP68" s="362"/>
      <c r="HQQ68" s="362"/>
      <c r="HQR68" s="362"/>
      <c r="HQS68" s="362"/>
      <c r="HQT68" s="362"/>
      <c r="HQU68" s="362"/>
      <c r="HQV68" s="362"/>
      <c r="HQW68" s="362"/>
      <c r="HQX68" s="362"/>
      <c r="HQY68" s="362"/>
      <c r="HQZ68" s="362"/>
      <c r="HRA68" s="362"/>
      <c r="HRB68" s="362"/>
      <c r="HRC68" s="362"/>
      <c r="HRD68" s="362"/>
      <c r="HRE68" s="362"/>
      <c r="HRF68" s="362"/>
      <c r="HRG68" s="362"/>
      <c r="HRH68" s="362"/>
      <c r="HRI68" s="362"/>
      <c r="HRJ68" s="362"/>
      <c r="HRK68" s="362"/>
      <c r="HRL68" s="362"/>
      <c r="HRM68" s="362"/>
      <c r="HRN68" s="362"/>
      <c r="HRO68" s="362"/>
      <c r="HRP68" s="362"/>
      <c r="HRQ68" s="362"/>
      <c r="HRR68" s="362"/>
      <c r="HRS68" s="362"/>
      <c r="HRT68" s="362"/>
      <c r="HRU68" s="362"/>
      <c r="HRV68" s="362"/>
      <c r="HRW68" s="362"/>
      <c r="HRX68" s="362"/>
      <c r="HRY68" s="362"/>
      <c r="HRZ68" s="362"/>
      <c r="HSA68" s="362"/>
      <c r="HSB68" s="362"/>
      <c r="HSC68" s="362"/>
      <c r="HSD68" s="362"/>
      <c r="HSE68" s="362"/>
      <c r="HSF68" s="362"/>
      <c r="HSG68" s="362"/>
      <c r="HSH68" s="362"/>
      <c r="HSI68" s="362"/>
      <c r="HSJ68" s="362"/>
      <c r="HSK68" s="362"/>
      <c r="HSL68" s="362"/>
      <c r="HSM68" s="362"/>
      <c r="HSN68" s="362"/>
      <c r="HSO68" s="362"/>
      <c r="HSP68" s="362"/>
      <c r="HSQ68" s="362"/>
      <c r="HSR68" s="362"/>
      <c r="HSS68" s="362"/>
      <c r="HST68" s="362"/>
      <c r="HSU68" s="362"/>
      <c r="HSV68" s="362"/>
      <c r="HSW68" s="362"/>
      <c r="HSX68" s="362"/>
      <c r="HSY68" s="362"/>
      <c r="HSZ68" s="362"/>
      <c r="HTA68" s="362"/>
      <c r="HTB68" s="362"/>
      <c r="HTC68" s="362"/>
      <c r="HTD68" s="362"/>
      <c r="HTE68" s="362"/>
      <c r="HTF68" s="362"/>
      <c r="HTG68" s="362"/>
      <c r="HTH68" s="362"/>
      <c r="HTI68" s="362"/>
      <c r="HTJ68" s="362"/>
      <c r="HTK68" s="362"/>
      <c r="HTL68" s="362"/>
      <c r="HTM68" s="362"/>
      <c r="HTN68" s="362"/>
      <c r="HTO68" s="362"/>
      <c r="HTP68" s="362"/>
      <c r="HTQ68" s="362"/>
      <c r="HTR68" s="362"/>
      <c r="HTS68" s="362"/>
      <c r="HTT68" s="362"/>
      <c r="HTU68" s="362"/>
      <c r="HTV68" s="362"/>
      <c r="HTW68" s="362"/>
      <c r="HTX68" s="362"/>
      <c r="HTY68" s="362"/>
      <c r="HTZ68" s="362"/>
      <c r="HUA68" s="362"/>
      <c r="HUB68" s="362"/>
      <c r="HUC68" s="362"/>
      <c r="HUD68" s="362"/>
      <c r="HUE68" s="362"/>
      <c r="HUF68" s="362"/>
      <c r="HUG68" s="362"/>
      <c r="HUH68" s="362"/>
      <c r="HUI68" s="362"/>
      <c r="HUJ68" s="362"/>
      <c r="HUK68" s="362"/>
      <c r="HUL68" s="362"/>
      <c r="HUM68" s="362"/>
      <c r="HUN68" s="362"/>
      <c r="HUO68" s="362"/>
      <c r="HUP68" s="362"/>
      <c r="HUQ68" s="362"/>
      <c r="HUR68" s="362"/>
      <c r="HUS68" s="362"/>
      <c r="HUT68" s="362"/>
      <c r="HUU68" s="362"/>
      <c r="HUV68" s="362"/>
      <c r="HUW68" s="362"/>
      <c r="HUX68" s="362"/>
      <c r="HUY68" s="362"/>
      <c r="HUZ68" s="362"/>
      <c r="HVA68" s="362"/>
      <c r="HVB68" s="362"/>
      <c r="HVC68" s="362"/>
      <c r="HVD68" s="362"/>
      <c r="HVE68" s="362"/>
      <c r="HVF68" s="362"/>
      <c r="HVG68" s="362"/>
      <c r="HVH68" s="362"/>
      <c r="HVI68" s="362"/>
      <c r="HVJ68" s="362"/>
      <c r="HVK68" s="362"/>
      <c r="HVL68" s="362"/>
      <c r="HVM68" s="362"/>
      <c r="HVN68" s="362"/>
      <c r="HVO68" s="362"/>
      <c r="HVP68" s="362"/>
      <c r="HVQ68" s="362"/>
      <c r="HVR68" s="362"/>
      <c r="HVS68" s="362"/>
      <c r="HVT68" s="362"/>
      <c r="HVU68" s="362"/>
      <c r="HVV68" s="362"/>
      <c r="HVW68" s="362"/>
      <c r="HVX68" s="362"/>
      <c r="HVY68" s="362"/>
      <c r="HVZ68" s="362"/>
      <c r="HWA68" s="362"/>
      <c r="HWB68" s="362"/>
      <c r="HWC68" s="362"/>
      <c r="HWD68" s="362"/>
      <c r="HWE68" s="362"/>
      <c r="HWF68" s="362"/>
      <c r="HWG68" s="362"/>
      <c r="HWH68" s="362"/>
      <c r="HWI68" s="362"/>
      <c r="HWJ68" s="362"/>
      <c r="HWK68" s="362"/>
      <c r="HWL68" s="362"/>
      <c r="HWM68" s="362"/>
      <c r="HWN68" s="362"/>
      <c r="HWO68" s="362"/>
      <c r="HWP68" s="362"/>
      <c r="HWQ68" s="362"/>
      <c r="HWR68" s="362"/>
      <c r="HWS68" s="362"/>
      <c r="HWT68" s="362"/>
      <c r="HWU68" s="362"/>
      <c r="HWV68" s="362"/>
      <c r="HWW68" s="362"/>
      <c r="HWX68" s="362"/>
      <c r="HWY68" s="362"/>
      <c r="HWZ68" s="362"/>
      <c r="HXA68" s="362"/>
      <c r="HXB68" s="362"/>
      <c r="HXC68" s="362"/>
      <c r="HXD68" s="362"/>
      <c r="HXE68" s="362"/>
      <c r="HXF68" s="362"/>
      <c r="HXG68" s="362"/>
      <c r="HXH68" s="362"/>
      <c r="HXI68" s="362"/>
      <c r="HXJ68" s="362"/>
      <c r="HXK68" s="362"/>
      <c r="HXL68" s="362"/>
      <c r="HXM68" s="362"/>
      <c r="HXN68" s="362"/>
      <c r="HXO68" s="362"/>
      <c r="HXP68" s="362"/>
      <c r="HXQ68" s="362"/>
      <c r="HXR68" s="362"/>
      <c r="HXS68" s="362"/>
      <c r="HXT68" s="362"/>
      <c r="HXU68" s="362"/>
      <c r="HXV68" s="362"/>
      <c r="HXW68" s="362"/>
      <c r="HXX68" s="362"/>
      <c r="HXY68" s="362"/>
      <c r="HXZ68" s="362"/>
      <c r="HYA68" s="362"/>
      <c r="HYB68" s="362"/>
      <c r="HYC68" s="362"/>
      <c r="HYD68" s="362"/>
      <c r="HYE68" s="362"/>
      <c r="HYF68" s="362"/>
      <c r="HYG68" s="362"/>
      <c r="HYH68" s="362"/>
      <c r="HYI68" s="362"/>
      <c r="HYJ68" s="362"/>
      <c r="HYK68" s="362"/>
      <c r="HYL68" s="362"/>
      <c r="HYM68" s="362"/>
      <c r="HYN68" s="362"/>
      <c r="HYO68" s="362"/>
      <c r="HYP68" s="362"/>
      <c r="HYQ68" s="362"/>
      <c r="HYR68" s="362"/>
      <c r="HYS68" s="362"/>
      <c r="HYT68" s="362"/>
      <c r="HYU68" s="362"/>
      <c r="HYV68" s="362"/>
      <c r="HYW68" s="362"/>
      <c r="HYX68" s="362"/>
      <c r="HYY68" s="362"/>
      <c r="HYZ68" s="362"/>
      <c r="HZA68" s="362"/>
      <c r="HZB68" s="362"/>
      <c r="HZC68" s="362"/>
      <c r="HZD68" s="362"/>
      <c r="HZE68" s="362"/>
      <c r="HZF68" s="362"/>
      <c r="HZG68" s="362"/>
      <c r="HZH68" s="362"/>
      <c r="HZI68" s="362"/>
      <c r="HZJ68" s="362"/>
      <c r="HZK68" s="362"/>
      <c r="HZL68" s="362"/>
      <c r="HZM68" s="362"/>
      <c r="HZN68" s="362"/>
      <c r="HZO68" s="362"/>
      <c r="HZP68" s="362"/>
      <c r="HZQ68" s="362"/>
      <c r="HZR68" s="362"/>
      <c r="HZS68" s="362"/>
      <c r="HZT68" s="362"/>
      <c r="HZU68" s="362"/>
      <c r="HZV68" s="362"/>
      <c r="HZW68" s="362"/>
      <c r="HZX68" s="362"/>
      <c r="HZY68" s="362"/>
      <c r="HZZ68" s="362"/>
      <c r="IAA68" s="362"/>
      <c r="IAB68" s="362"/>
      <c r="IAC68" s="362"/>
      <c r="IAD68" s="362"/>
      <c r="IAE68" s="362"/>
      <c r="IAF68" s="362"/>
      <c r="IAG68" s="362"/>
      <c r="IAH68" s="362"/>
      <c r="IAI68" s="362"/>
      <c r="IAJ68" s="362"/>
      <c r="IAK68" s="362"/>
      <c r="IAL68" s="362"/>
      <c r="IAM68" s="362"/>
      <c r="IAN68" s="362"/>
      <c r="IAO68" s="362"/>
      <c r="IAP68" s="362"/>
      <c r="IAQ68" s="362"/>
      <c r="IAR68" s="362"/>
      <c r="IAS68" s="362"/>
      <c r="IAT68" s="362"/>
      <c r="IAU68" s="362"/>
      <c r="IAV68" s="362"/>
      <c r="IAW68" s="362"/>
      <c r="IAX68" s="362"/>
      <c r="IAY68" s="362"/>
      <c r="IAZ68" s="362"/>
      <c r="IBA68" s="362"/>
      <c r="IBB68" s="362"/>
      <c r="IBC68" s="362"/>
      <c r="IBD68" s="362"/>
      <c r="IBE68" s="362"/>
      <c r="IBF68" s="362"/>
      <c r="IBG68" s="362"/>
      <c r="IBH68" s="362"/>
      <c r="IBI68" s="362"/>
      <c r="IBJ68" s="362"/>
      <c r="IBK68" s="362"/>
      <c r="IBL68" s="362"/>
      <c r="IBM68" s="362"/>
      <c r="IBN68" s="362"/>
      <c r="IBO68" s="362"/>
      <c r="IBP68" s="362"/>
      <c r="IBQ68" s="362"/>
      <c r="IBR68" s="362"/>
      <c r="IBS68" s="362"/>
      <c r="IBT68" s="362"/>
      <c r="IBU68" s="362"/>
      <c r="IBV68" s="362"/>
      <c r="IBW68" s="362"/>
      <c r="IBX68" s="362"/>
      <c r="IBY68" s="362"/>
      <c r="IBZ68" s="362"/>
      <c r="ICA68" s="362"/>
      <c r="ICB68" s="362"/>
      <c r="ICC68" s="362"/>
      <c r="ICD68" s="362"/>
      <c r="ICE68" s="362"/>
      <c r="ICF68" s="362"/>
      <c r="ICG68" s="362"/>
      <c r="ICH68" s="362"/>
      <c r="ICI68" s="362"/>
      <c r="ICJ68" s="362"/>
      <c r="ICK68" s="362"/>
      <c r="ICL68" s="362"/>
      <c r="ICM68" s="362"/>
      <c r="ICN68" s="362"/>
      <c r="ICO68" s="362"/>
      <c r="ICP68" s="362"/>
      <c r="ICQ68" s="362"/>
      <c r="ICR68" s="362"/>
      <c r="ICS68" s="362"/>
      <c r="ICT68" s="362"/>
      <c r="ICU68" s="362"/>
      <c r="ICV68" s="362"/>
      <c r="ICW68" s="362"/>
      <c r="ICX68" s="362"/>
      <c r="ICY68" s="362"/>
      <c r="ICZ68" s="362"/>
      <c r="IDA68" s="362"/>
      <c r="IDB68" s="362"/>
      <c r="IDC68" s="362"/>
      <c r="IDD68" s="362"/>
      <c r="IDE68" s="362"/>
      <c r="IDF68" s="362"/>
      <c r="IDG68" s="362"/>
      <c r="IDH68" s="362"/>
      <c r="IDI68" s="362"/>
      <c r="IDJ68" s="362"/>
      <c r="IDK68" s="362"/>
      <c r="IDL68" s="362"/>
      <c r="IDM68" s="362"/>
      <c r="IDN68" s="362"/>
      <c r="IDO68" s="362"/>
      <c r="IDP68" s="362"/>
      <c r="IDQ68" s="362"/>
      <c r="IDR68" s="362"/>
      <c r="IDS68" s="362"/>
      <c r="IDT68" s="362"/>
      <c r="IDU68" s="362"/>
      <c r="IDV68" s="362"/>
      <c r="IDW68" s="362"/>
      <c r="IDX68" s="362"/>
      <c r="IDY68" s="362"/>
      <c r="IDZ68" s="362"/>
      <c r="IEA68" s="362"/>
      <c r="IEB68" s="362"/>
      <c r="IEC68" s="362"/>
      <c r="IED68" s="362"/>
      <c r="IEE68" s="362"/>
      <c r="IEF68" s="362"/>
      <c r="IEG68" s="362"/>
      <c r="IEH68" s="362"/>
      <c r="IEI68" s="362"/>
      <c r="IEJ68" s="362"/>
      <c r="IEK68" s="362"/>
      <c r="IEL68" s="362"/>
      <c r="IEM68" s="362"/>
      <c r="IEN68" s="362"/>
      <c r="IEO68" s="362"/>
      <c r="IEP68" s="362"/>
      <c r="IEQ68" s="362"/>
      <c r="IER68" s="362"/>
      <c r="IES68" s="362"/>
      <c r="IET68" s="362"/>
      <c r="IEU68" s="362"/>
      <c r="IEV68" s="362"/>
      <c r="IEW68" s="362"/>
      <c r="IEX68" s="362"/>
      <c r="IEY68" s="362"/>
      <c r="IEZ68" s="362"/>
      <c r="IFA68" s="362"/>
      <c r="IFB68" s="362"/>
      <c r="IFC68" s="362"/>
      <c r="IFD68" s="362"/>
      <c r="IFE68" s="362"/>
      <c r="IFF68" s="362"/>
      <c r="IFG68" s="362"/>
      <c r="IFH68" s="362"/>
      <c r="IFI68" s="362"/>
      <c r="IFJ68" s="362"/>
      <c r="IFK68" s="362"/>
      <c r="IFL68" s="362"/>
      <c r="IFM68" s="362"/>
      <c r="IFN68" s="362"/>
      <c r="IFO68" s="362"/>
      <c r="IFP68" s="362"/>
      <c r="IFQ68" s="362"/>
      <c r="IFR68" s="362"/>
      <c r="IFS68" s="362"/>
      <c r="IFT68" s="362"/>
      <c r="IFU68" s="362"/>
      <c r="IFV68" s="362"/>
      <c r="IFW68" s="362"/>
      <c r="IFX68" s="362"/>
      <c r="IFY68" s="362"/>
      <c r="IFZ68" s="362"/>
      <c r="IGA68" s="362"/>
      <c r="IGB68" s="362"/>
      <c r="IGC68" s="362"/>
      <c r="IGD68" s="362"/>
      <c r="IGE68" s="362"/>
      <c r="IGF68" s="362"/>
      <c r="IGG68" s="362"/>
      <c r="IGH68" s="362"/>
      <c r="IGI68" s="362"/>
      <c r="IGJ68" s="362"/>
      <c r="IGK68" s="362"/>
      <c r="IGL68" s="362"/>
      <c r="IGM68" s="362"/>
      <c r="IGN68" s="362"/>
      <c r="IGO68" s="362"/>
      <c r="IGP68" s="362"/>
      <c r="IGQ68" s="362"/>
      <c r="IGR68" s="362"/>
      <c r="IGS68" s="362"/>
      <c r="IGT68" s="362"/>
      <c r="IGU68" s="362"/>
      <c r="IGV68" s="362"/>
      <c r="IGW68" s="362"/>
      <c r="IGX68" s="362"/>
      <c r="IGY68" s="362"/>
      <c r="IGZ68" s="362"/>
      <c r="IHA68" s="362"/>
      <c r="IHB68" s="362"/>
      <c r="IHC68" s="362"/>
      <c r="IHD68" s="362"/>
      <c r="IHE68" s="362"/>
      <c r="IHF68" s="362"/>
      <c r="IHG68" s="362"/>
      <c r="IHH68" s="362"/>
      <c r="IHI68" s="362"/>
      <c r="IHJ68" s="362"/>
      <c r="IHK68" s="362"/>
      <c r="IHL68" s="362"/>
      <c r="IHM68" s="362"/>
      <c r="IHN68" s="362"/>
      <c r="IHO68" s="362"/>
      <c r="IHP68" s="362"/>
      <c r="IHQ68" s="362"/>
      <c r="IHR68" s="362"/>
      <c r="IHS68" s="362"/>
      <c r="IHT68" s="362"/>
      <c r="IHU68" s="362"/>
      <c r="IHV68" s="362"/>
      <c r="IHW68" s="362"/>
      <c r="IHX68" s="362"/>
      <c r="IHY68" s="362"/>
      <c r="IHZ68" s="362"/>
      <c r="IIA68" s="362"/>
      <c r="IIB68" s="362"/>
      <c r="IIC68" s="362"/>
      <c r="IID68" s="362"/>
      <c r="IIE68" s="362"/>
      <c r="IIF68" s="362"/>
      <c r="IIG68" s="362"/>
      <c r="IIH68" s="362"/>
      <c r="III68" s="362"/>
      <c r="IIJ68" s="362"/>
      <c r="IIK68" s="362"/>
      <c r="IIL68" s="362"/>
      <c r="IIM68" s="362"/>
      <c r="IIN68" s="362"/>
      <c r="IIO68" s="362"/>
      <c r="IIP68" s="362"/>
      <c r="IIQ68" s="362"/>
      <c r="IIR68" s="362"/>
      <c r="IIS68" s="362"/>
      <c r="IIT68" s="362"/>
      <c r="IIU68" s="362"/>
      <c r="IIV68" s="362"/>
      <c r="IIW68" s="362"/>
      <c r="IIX68" s="362"/>
      <c r="IIY68" s="362"/>
      <c r="IIZ68" s="362"/>
      <c r="IJA68" s="362"/>
      <c r="IJB68" s="362"/>
      <c r="IJC68" s="362"/>
      <c r="IJD68" s="362"/>
      <c r="IJE68" s="362"/>
      <c r="IJF68" s="362"/>
      <c r="IJG68" s="362"/>
      <c r="IJH68" s="362"/>
      <c r="IJI68" s="362"/>
      <c r="IJJ68" s="362"/>
      <c r="IJK68" s="362"/>
      <c r="IJL68" s="362"/>
      <c r="IJM68" s="362"/>
      <c r="IJN68" s="362"/>
      <c r="IJO68" s="362"/>
      <c r="IJP68" s="362"/>
      <c r="IJQ68" s="362"/>
      <c r="IJR68" s="362"/>
      <c r="IJS68" s="362"/>
      <c r="IJT68" s="362"/>
      <c r="IJU68" s="362"/>
      <c r="IJV68" s="362"/>
      <c r="IJW68" s="362"/>
      <c r="IJX68" s="362"/>
      <c r="IJY68" s="362"/>
      <c r="IJZ68" s="362"/>
      <c r="IKA68" s="362"/>
      <c r="IKB68" s="362"/>
      <c r="IKC68" s="362"/>
      <c r="IKD68" s="362"/>
      <c r="IKE68" s="362"/>
      <c r="IKF68" s="362"/>
      <c r="IKG68" s="362"/>
      <c r="IKH68" s="362"/>
      <c r="IKI68" s="362"/>
      <c r="IKJ68" s="362"/>
      <c r="IKK68" s="362"/>
      <c r="IKL68" s="362"/>
      <c r="IKM68" s="362"/>
      <c r="IKN68" s="362"/>
      <c r="IKO68" s="362"/>
      <c r="IKP68" s="362"/>
      <c r="IKQ68" s="362"/>
      <c r="IKR68" s="362"/>
      <c r="IKS68" s="362"/>
      <c r="IKT68" s="362"/>
      <c r="IKU68" s="362"/>
      <c r="IKV68" s="362"/>
      <c r="IKW68" s="362"/>
      <c r="IKX68" s="362"/>
      <c r="IKY68" s="362"/>
      <c r="IKZ68" s="362"/>
      <c r="ILA68" s="362"/>
      <c r="ILB68" s="362"/>
      <c r="ILC68" s="362"/>
      <c r="ILD68" s="362"/>
      <c r="ILE68" s="362"/>
      <c r="ILF68" s="362"/>
      <c r="ILG68" s="362"/>
      <c r="ILH68" s="362"/>
      <c r="ILI68" s="362"/>
      <c r="ILJ68" s="362"/>
      <c r="ILK68" s="362"/>
      <c r="ILL68" s="362"/>
      <c r="ILM68" s="362"/>
      <c r="ILN68" s="362"/>
      <c r="ILO68" s="362"/>
      <c r="ILP68" s="362"/>
      <c r="ILQ68" s="362"/>
      <c r="ILR68" s="362"/>
      <c r="ILS68" s="362"/>
      <c r="ILT68" s="362"/>
      <c r="ILU68" s="362"/>
      <c r="ILV68" s="362"/>
      <c r="ILW68" s="362"/>
      <c r="ILX68" s="362"/>
      <c r="ILY68" s="362"/>
      <c r="ILZ68" s="362"/>
      <c r="IMA68" s="362"/>
      <c r="IMB68" s="362"/>
      <c r="IMC68" s="362"/>
      <c r="IMD68" s="362"/>
      <c r="IME68" s="362"/>
      <c r="IMF68" s="362"/>
      <c r="IMG68" s="362"/>
      <c r="IMH68" s="362"/>
      <c r="IMI68" s="362"/>
      <c r="IMJ68" s="362"/>
      <c r="IMK68" s="362"/>
      <c r="IML68" s="362"/>
      <c r="IMM68" s="362"/>
      <c r="IMN68" s="362"/>
      <c r="IMO68" s="362"/>
      <c r="IMP68" s="362"/>
      <c r="IMQ68" s="362"/>
      <c r="IMR68" s="362"/>
      <c r="IMS68" s="362"/>
      <c r="IMT68" s="362"/>
      <c r="IMU68" s="362"/>
      <c r="IMV68" s="362"/>
      <c r="IMW68" s="362"/>
      <c r="IMX68" s="362"/>
      <c r="IMY68" s="362"/>
      <c r="IMZ68" s="362"/>
      <c r="INA68" s="362"/>
      <c r="INB68" s="362"/>
      <c r="INC68" s="362"/>
      <c r="IND68" s="362"/>
      <c r="INE68" s="362"/>
      <c r="INF68" s="362"/>
      <c r="ING68" s="362"/>
      <c r="INH68" s="362"/>
      <c r="INI68" s="362"/>
      <c r="INJ68" s="362"/>
      <c r="INK68" s="362"/>
      <c r="INL68" s="362"/>
      <c r="INM68" s="362"/>
      <c r="INN68" s="362"/>
      <c r="INO68" s="362"/>
      <c r="INP68" s="362"/>
      <c r="INQ68" s="362"/>
      <c r="INR68" s="362"/>
      <c r="INS68" s="362"/>
      <c r="INT68" s="362"/>
      <c r="INU68" s="362"/>
      <c r="INV68" s="362"/>
      <c r="INW68" s="362"/>
      <c r="INX68" s="362"/>
      <c r="INY68" s="362"/>
      <c r="INZ68" s="362"/>
      <c r="IOA68" s="362"/>
      <c r="IOB68" s="362"/>
      <c r="IOC68" s="362"/>
      <c r="IOD68" s="362"/>
      <c r="IOE68" s="362"/>
      <c r="IOF68" s="362"/>
      <c r="IOG68" s="362"/>
      <c r="IOH68" s="362"/>
      <c r="IOI68" s="362"/>
      <c r="IOJ68" s="362"/>
      <c r="IOK68" s="362"/>
      <c r="IOL68" s="362"/>
      <c r="IOM68" s="362"/>
      <c r="ION68" s="362"/>
      <c r="IOO68" s="362"/>
      <c r="IOP68" s="362"/>
      <c r="IOQ68" s="362"/>
      <c r="IOR68" s="362"/>
      <c r="IOS68" s="362"/>
      <c r="IOT68" s="362"/>
      <c r="IOU68" s="362"/>
      <c r="IOV68" s="362"/>
      <c r="IOW68" s="362"/>
      <c r="IOX68" s="362"/>
      <c r="IOY68" s="362"/>
      <c r="IOZ68" s="362"/>
      <c r="IPA68" s="362"/>
      <c r="IPB68" s="362"/>
      <c r="IPC68" s="362"/>
      <c r="IPD68" s="362"/>
      <c r="IPE68" s="362"/>
      <c r="IPF68" s="362"/>
      <c r="IPG68" s="362"/>
      <c r="IPH68" s="362"/>
      <c r="IPI68" s="362"/>
      <c r="IPJ68" s="362"/>
      <c r="IPK68" s="362"/>
      <c r="IPL68" s="362"/>
      <c r="IPM68" s="362"/>
      <c r="IPN68" s="362"/>
      <c r="IPO68" s="362"/>
      <c r="IPP68" s="362"/>
      <c r="IPQ68" s="362"/>
      <c r="IPR68" s="362"/>
      <c r="IPS68" s="362"/>
      <c r="IPT68" s="362"/>
      <c r="IPU68" s="362"/>
      <c r="IPV68" s="362"/>
      <c r="IPW68" s="362"/>
      <c r="IPX68" s="362"/>
      <c r="IPY68" s="362"/>
      <c r="IPZ68" s="362"/>
      <c r="IQA68" s="362"/>
      <c r="IQB68" s="362"/>
      <c r="IQC68" s="362"/>
      <c r="IQD68" s="362"/>
      <c r="IQE68" s="362"/>
      <c r="IQF68" s="362"/>
      <c r="IQG68" s="362"/>
      <c r="IQH68" s="362"/>
      <c r="IQI68" s="362"/>
      <c r="IQJ68" s="362"/>
      <c r="IQK68" s="362"/>
      <c r="IQL68" s="362"/>
      <c r="IQM68" s="362"/>
      <c r="IQN68" s="362"/>
      <c r="IQO68" s="362"/>
      <c r="IQP68" s="362"/>
      <c r="IQQ68" s="362"/>
      <c r="IQR68" s="362"/>
      <c r="IQS68" s="362"/>
      <c r="IQT68" s="362"/>
      <c r="IQU68" s="362"/>
      <c r="IQV68" s="362"/>
      <c r="IQW68" s="362"/>
      <c r="IQX68" s="362"/>
      <c r="IQY68" s="362"/>
      <c r="IQZ68" s="362"/>
      <c r="IRA68" s="362"/>
      <c r="IRB68" s="362"/>
      <c r="IRC68" s="362"/>
      <c r="IRD68" s="362"/>
      <c r="IRE68" s="362"/>
      <c r="IRF68" s="362"/>
      <c r="IRG68" s="362"/>
      <c r="IRH68" s="362"/>
      <c r="IRI68" s="362"/>
      <c r="IRJ68" s="362"/>
      <c r="IRK68" s="362"/>
      <c r="IRL68" s="362"/>
      <c r="IRM68" s="362"/>
      <c r="IRN68" s="362"/>
      <c r="IRO68" s="362"/>
      <c r="IRP68" s="362"/>
      <c r="IRQ68" s="362"/>
      <c r="IRR68" s="362"/>
      <c r="IRS68" s="362"/>
      <c r="IRT68" s="362"/>
      <c r="IRU68" s="362"/>
      <c r="IRV68" s="362"/>
      <c r="IRW68" s="362"/>
      <c r="IRX68" s="362"/>
      <c r="IRY68" s="362"/>
      <c r="IRZ68" s="362"/>
      <c r="ISA68" s="362"/>
      <c r="ISB68" s="362"/>
      <c r="ISC68" s="362"/>
      <c r="ISD68" s="362"/>
      <c r="ISE68" s="362"/>
      <c r="ISF68" s="362"/>
      <c r="ISG68" s="362"/>
      <c r="ISH68" s="362"/>
      <c r="ISI68" s="362"/>
      <c r="ISJ68" s="362"/>
      <c r="ISK68" s="362"/>
      <c r="ISL68" s="362"/>
      <c r="ISM68" s="362"/>
      <c r="ISN68" s="362"/>
      <c r="ISO68" s="362"/>
      <c r="ISP68" s="362"/>
      <c r="ISQ68" s="362"/>
      <c r="ISR68" s="362"/>
      <c r="ISS68" s="362"/>
      <c r="IST68" s="362"/>
      <c r="ISU68" s="362"/>
      <c r="ISV68" s="362"/>
      <c r="ISW68" s="362"/>
      <c r="ISX68" s="362"/>
      <c r="ISY68" s="362"/>
      <c r="ISZ68" s="362"/>
      <c r="ITA68" s="362"/>
      <c r="ITB68" s="362"/>
      <c r="ITC68" s="362"/>
      <c r="ITD68" s="362"/>
      <c r="ITE68" s="362"/>
      <c r="ITF68" s="362"/>
      <c r="ITG68" s="362"/>
      <c r="ITH68" s="362"/>
      <c r="ITI68" s="362"/>
      <c r="ITJ68" s="362"/>
      <c r="ITK68" s="362"/>
      <c r="ITL68" s="362"/>
      <c r="ITM68" s="362"/>
      <c r="ITN68" s="362"/>
      <c r="ITO68" s="362"/>
      <c r="ITP68" s="362"/>
      <c r="ITQ68" s="362"/>
      <c r="ITR68" s="362"/>
      <c r="ITS68" s="362"/>
      <c r="ITT68" s="362"/>
      <c r="ITU68" s="362"/>
      <c r="ITV68" s="362"/>
      <c r="ITW68" s="362"/>
      <c r="ITX68" s="362"/>
      <c r="ITY68" s="362"/>
      <c r="ITZ68" s="362"/>
      <c r="IUA68" s="362"/>
      <c r="IUB68" s="362"/>
      <c r="IUC68" s="362"/>
      <c r="IUD68" s="362"/>
      <c r="IUE68" s="362"/>
      <c r="IUF68" s="362"/>
      <c r="IUG68" s="362"/>
      <c r="IUH68" s="362"/>
      <c r="IUI68" s="362"/>
      <c r="IUJ68" s="362"/>
      <c r="IUK68" s="362"/>
      <c r="IUL68" s="362"/>
      <c r="IUM68" s="362"/>
      <c r="IUN68" s="362"/>
      <c r="IUO68" s="362"/>
      <c r="IUP68" s="362"/>
      <c r="IUQ68" s="362"/>
      <c r="IUR68" s="362"/>
      <c r="IUS68" s="362"/>
      <c r="IUT68" s="362"/>
      <c r="IUU68" s="362"/>
      <c r="IUV68" s="362"/>
      <c r="IUW68" s="362"/>
      <c r="IUX68" s="362"/>
      <c r="IUY68" s="362"/>
      <c r="IUZ68" s="362"/>
      <c r="IVA68" s="362"/>
      <c r="IVB68" s="362"/>
      <c r="IVC68" s="362"/>
      <c r="IVD68" s="362"/>
      <c r="IVE68" s="362"/>
      <c r="IVF68" s="362"/>
      <c r="IVG68" s="362"/>
      <c r="IVH68" s="362"/>
      <c r="IVI68" s="362"/>
      <c r="IVJ68" s="362"/>
      <c r="IVK68" s="362"/>
      <c r="IVL68" s="362"/>
      <c r="IVM68" s="362"/>
      <c r="IVN68" s="362"/>
      <c r="IVO68" s="362"/>
      <c r="IVP68" s="362"/>
      <c r="IVQ68" s="362"/>
      <c r="IVR68" s="362"/>
      <c r="IVS68" s="362"/>
      <c r="IVT68" s="362"/>
      <c r="IVU68" s="362"/>
      <c r="IVV68" s="362"/>
      <c r="IVW68" s="362"/>
      <c r="IVX68" s="362"/>
      <c r="IVY68" s="362"/>
      <c r="IVZ68" s="362"/>
      <c r="IWA68" s="362"/>
      <c r="IWB68" s="362"/>
      <c r="IWC68" s="362"/>
      <c r="IWD68" s="362"/>
      <c r="IWE68" s="362"/>
      <c r="IWF68" s="362"/>
      <c r="IWG68" s="362"/>
      <c r="IWH68" s="362"/>
      <c r="IWI68" s="362"/>
      <c r="IWJ68" s="362"/>
      <c r="IWK68" s="362"/>
      <c r="IWL68" s="362"/>
      <c r="IWM68" s="362"/>
      <c r="IWN68" s="362"/>
      <c r="IWO68" s="362"/>
      <c r="IWP68" s="362"/>
      <c r="IWQ68" s="362"/>
      <c r="IWR68" s="362"/>
      <c r="IWS68" s="362"/>
      <c r="IWT68" s="362"/>
      <c r="IWU68" s="362"/>
      <c r="IWV68" s="362"/>
      <c r="IWW68" s="362"/>
      <c r="IWX68" s="362"/>
      <c r="IWY68" s="362"/>
      <c r="IWZ68" s="362"/>
      <c r="IXA68" s="362"/>
      <c r="IXB68" s="362"/>
      <c r="IXC68" s="362"/>
      <c r="IXD68" s="362"/>
      <c r="IXE68" s="362"/>
      <c r="IXF68" s="362"/>
      <c r="IXG68" s="362"/>
      <c r="IXH68" s="362"/>
      <c r="IXI68" s="362"/>
      <c r="IXJ68" s="362"/>
      <c r="IXK68" s="362"/>
      <c r="IXL68" s="362"/>
      <c r="IXM68" s="362"/>
      <c r="IXN68" s="362"/>
      <c r="IXO68" s="362"/>
      <c r="IXP68" s="362"/>
      <c r="IXQ68" s="362"/>
      <c r="IXR68" s="362"/>
      <c r="IXS68" s="362"/>
      <c r="IXT68" s="362"/>
      <c r="IXU68" s="362"/>
      <c r="IXV68" s="362"/>
      <c r="IXW68" s="362"/>
      <c r="IXX68" s="362"/>
      <c r="IXY68" s="362"/>
      <c r="IXZ68" s="362"/>
      <c r="IYA68" s="362"/>
      <c r="IYB68" s="362"/>
      <c r="IYC68" s="362"/>
      <c r="IYD68" s="362"/>
      <c r="IYE68" s="362"/>
      <c r="IYF68" s="362"/>
      <c r="IYG68" s="362"/>
      <c r="IYH68" s="362"/>
      <c r="IYI68" s="362"/>
      <c r="IYJ68" s="362"/>
      <c r="IYK68" s="362"/>
      <c r="IYL68" s="362"/>
      <c r="IYM68" s="362"/>
      <c r="IYN68" s="362"/>
      <c r="IYO68" s="362"/>
      <c r="IYP68" s="362"/>
      <c r="IYQ68" s="362"/>
      <c r="IYR68" s="362"/>
      <c r="IYS68" s="362"/>
      <c r="IYT68" s="362"/>
      <c r="IYU68" s="362"/>
      <c r="IYV68" s="362"/>
      <c r="IYW68" s="362"/>
      <c r="IYX68" s="362"/>
      <c r="IYY68" s="362"/>
      <c r="IYZ68" s="362"/>
      <c r="IZA68" s="362"/>
      <c r="IZB68" s="362"/>
      <c r="IZC68" s="362"/>
      <c r="IZD68" s="362"/>
      <c r="IZE68" s="362"/>
      <c r="IZF68" s="362"/>
      <c r="IZG68" s="362"/>
      <c r="IZH68" s="362"/>
      <c r="IZI68" s="362"/>
      <c r="IZJ68" s="362"/>
      <c r="IZK68" s="362"/>
      <c r="IZL68" s="362"/>
      <c r="IZM68" s="362"/>
      <c r="IZN68" s="362"/>
      <c r="IZO68" s="362"/>
      <c r="IZP68" s="362"/>
      <c r="IZQ68" s="362"/>
      <c r="IZR68" s="362"/>
      <c r="IZS68" s="362"/>
      <c r="IZT68" s="362"/>
      <c r="IZU68" s="362"/>
      <c r="IZV68" s="362"/>
      <c r="IZW68" s="362"/>
      <c r="IZX68" s="362"/>
      <c r="IZY68" s="362"/>
      <c r="IZZ68" s="362"/>
      <c r="JAA68" s="362"/>
      <c r="JAB68" s="362"/>
      <c r="JAC68" s="362"/>
      <c r="JAD68" s="362"/>
      <c r="JAE68" s="362"/>
      <c r="JAF68" s="362"/>
      <c r="JAG68" s="362"/>
      <c r="JAH68" s="362"/>
      <c r="JAI68" s="362"/>
      <c r="JAJ68" s="362"/>
      <c r="JAK68" s="362"/>
      <c r="JAL68" s="362"/>
      <c r="JAM68" s="362"/>
      <c r="JAN68" s="362"/>
      <c r="JAO68" s="362"/>
      <c r="JAP68" s="362"/>
      <c r="JAQ68" s="362"/>
      <c r="JAR68" s="362"/>
      <c r="JAS68" s="362"/>
      <c r="JAT68" s="362"/>
      <c r="JAU68" s="362"/>
      <c r="JAV68" s="362"/>
      <c r="JAW68" s="362"/>
      <c r="JAX68" s="362"/>
      <c r="JAY68" s="362"/>
      <c r="JAZ68" s="362"/>
      <c r="JBA68" s="362"/>
      <c r="JBB68" s="362"/>
      <c r="JBC68" s="362"/>
      <c r="JBD68" s="362"/>
      <c r="JBE68" s="362"/>
      <c r="JBF68" s="362"/>
      <c r="JBG68" s="362"/>
      <c r="JBH68" s="362"/>
      <c r="JBI68" s="362"/>
      <c r="JBJ68" s="362"/>
      <c r="JBK68" s="362"/>
      <c r="JBL68" s="362"/>
      <c r="JBM68" s="362"/>
      <c r="JBN68" s="362"/>
      <c r="JBO68" s="362"/>
      <c r="JBP68" s="362"/>
      <c r="JBQ68" s="362"/>
      <c r="JBR68" s="362"/>
      <c r="JBS68" s="362"/>
      <c r="JBT68" s="362"/>
      <c r="JBU68" s="362"/>
      <c r="JBV68" s="362"/>
      <c r="JBW68" s="362"/>
      <c r="JBX68" s="362"/>
      <c r="JBY68" s="362"/>
      <c r="JBZ68" s="362"/>
      <c r="JCA68" s="362"/>
      <c r="JCB68" s="362"/>
      <c r="JCC68" s="362"/>
      <c r="JCD68" s="362"/>
      <c r="JCE68" s="362"/>
      <c r="JCF68" s="362"/>
      <c r="JCG68" s="362"/>
      <c r="JCH68" s="362"/>
      <c r="JCI68" s="362"/>
      <c r="JCJ68" s="362"/>
      <c r="JCK68" s="362"/>
      <c r="JCL68" s="362"/>
      <c r="JCM68" s="362"/>
      <c r="JCN68" s="362"/>
      <c r="JCO68" s="362"/>
      <c r="JCP68" s="362"/>
      <c r="JCQ68" s="362"/>
      <c r="JCR68" s="362"/>
      <c r="JCS68" s="362"/>
      <c r="JCT68" s="362"/>
      <c r="JCU68" s="362"/>
      <c r="JCV68" s="362"/>
      <c r="JCW68" s="362"/>
      <c r="JCX68" s="362"/>
      <c r="JCY68" s="362"/>
      <c r="JCZ68" s="362"/>
      <c r="JDA68" s="362"/>
      <c r="JDB68" s="362"/>
      <c r="JDC68" s="362"/>
      <c r="JDD68" s="362"/>
      <c r="JDE68" s="362"/>
      <c r="JDF68" s="362"/>
      <c r="JDG68" s="362"/>
      <c r="JDH68" s="362"/>
      <c r="JDI68" s="362"/>
      <c r="JDJ68" s="362"/>
      <c r="JDK68" s="362"/>
      <c r="JDL68" s="362"/>
      <c r="JDM68" s="362"/>
      <c r="JDN68" s="362"/>
      <c r="JDO68" s="362"/>
      <c r="JDP68" s="362"/>
      <c r="JDQ68" s="362"/>
      <c r="JDR68" s="362"/>
      <c r="JDS68" s="362"/>
      <c r="JDT68" s="362"/>
      <c r="JDU68" s="362"/>
      <c r="JDV68" s="362"/>
      <c r="JDW68" s="362"/>
      <c r="JDX68" s="362"/>
      <c r="JDY68" s="362"/>
      <c r="JDZ68" s="362"/>
      <c r="JEA68" s="362"/>
      <c r="JEB68" s="362"/>
      <c r="JEC68" s="362"/>
      <c r="JED68" s="362"/>
      <c r="JEE68" s="362"/>
      <c r="JEF68" s="362"/>
      <c r="JEG68" s="362"/>
      <c r="JEH68" s="362"/>
      <c r="JEI68" s="362"/>
      <c r="JEJ68" s="362"/>
      <c r="JEK68" s="362"/>
      <c r="JEL68" s="362"/>
      <c r="JEM68" s="362"/>
      <c r="JEN68" s="362"/>
      <c r="JEO68" s="362"/>
      <c r="JEP68" s="362"/>
      <c r="JEQ68" s="362"/>
      <c r="JER68" s="362"/>
      <c r="JES68" s="362"/>
      <c r="JET68" s="362"/>
      <c r="JEU68" s="362"/>
      <c r="JEV68" s="362"/>
      <c r="JEW68" s="362"/>
      <c r="JEX68" s="362"/>
      <c r="JEY68" s="362"/>
      <c r="JEZ68" s="362"/>
      <c r="JFA68" s="362"/>
      <c r="JFB68" s="362"/>
      <c r="JFC68" s="362"/>
      <c r="JFD68" s="362"/>
      <c r="JFE68" s="362"/>
      <c r="JFF68" s="362"/>
      <c r="JFG68" s="362"/>
      <c r="JFH68" s="362"/>
      <c r="JFI68" s="362"/>
      <c r="JFJ68" s="362"/>
      <c r="JFK68" s="362"/>
      <c r="JFL68" s="362"/>
      <c r="JFM68" s="362"/>
      <c r="JFN68" s="362"/>
      <c r="JFO68" s="362"/>
      <c r="JFP68" s="362"/>
      <c r="JFQ68" s="362"/>
      <c r="JFR68" s="362"/>
      <c r="JFS68" s="362"/>
      <c r="JFT68" s="362"/>
      <c r="JFU68" s="362"/>
      <c r="JFV68" s="362"/>
      <c r="JFW68" s="362"/>
      <c r="JFX68" s="362"/>
      <c r="JFY68" s="362"/>
      <c r="JFZ68" s="362"/>
      <c r="JGA68" s="362"/>
      <c r="JGB68" s="362"/>
      <c r="JGC68" s="362"/>
      <c r="JGD68" s="362"/>
      <c r="JGE68" s="362"/>
      <c r="JGF68" s="362"/>
      <c r="JGG68" s="362"/>
      <c r="JGH68" s="362"/>
      <c r="JGI68" s="362"/>
      <c r="JGJ68" s="362"/>
      <c r="JGK68" s="362"/>
      <c r="JGL68" s="362"/>
      <c r="JGM68" s="362"/>
      <c r="JGN68" s="362"/>
      <c r="JGO68" s="362"/>
      <c r="JGP68" s="362"/>
      <c r="JGQ68" s="362"/>
      <c r="JGR68" s="362"/>
      <c r="JGS68" s="362"/>
      <c r="JGT68" s="362"/>
      <c r="JGU68" s="362"/>
      <c r="JGV68" s="362"/>
      <c r="JGW68" s="362"/>
      <c r="JGX68" s="362"/>
      <c r="JGY68" s="362"/>
      <c r="JGZ68" s="362"/>
      <c r="JHA68" s="362"/>
      <c r="JHB68" s="362"/>
      <c r="JHC68" s="362"/>
      <c r="JHD68" s="362"/>
      <c r="JHE68" s="362"/>
      <c r="JHF68" s="362"/>
      <c r="JHG68" s="362"/>
      <c r="JHH68" s="362"/>
      <c r="JHI68" s="362"/>
      <c r="JHJ68" s="362"/>
      <c r="JHK68" s="362"/>
      <c r="JHL68" s="362"/>
      <c r="JHM68" s="362"/>
      <c r="JHN68" s="362"/>
      <c r="JHO68" s="362"/>
      <c r="JHP68" s="362"/>
      <c r="JHQ68" s="362"/>
      <c r="JHR68" s="362"/>
      <c r="JHS68" s="362"/>
      <c r="JHT68" s="362"/>
      <c r="JHU68" s="362"/>
      <c r="JHV68" s="362"/>
      <c r="JHW68" s="362"/>
      <c r="JHX68" s="362"/>
      <c r="JHY68" s="362"/>
      <c r="JHZ68" s="362"/>
      <c r="JIA68" s="362"/>
      <c r="JIB68" s="362"/>
      <c r="JIC68" s="362"/>
      <c r="JID68" s="362"/>
      <c r="JIE68" s="362"/>
      <c r="JIF68" s="362"/>
      <c r="JIG68" s="362"/>
      <c r="JIH68" s="362"/>
      <c r="JII68" s="362"/>
      <c r="JIJ68" s="362"/>
      <c r="JIK68" s="362"/>
      <c r="JIL68" s="362"/>
      <c r="JIM68" s="362"/>
      <c r="JIN68" s="362"/>
      <c r="JIO68" s="362"/>
      <c r="JIP68" s="362"/>
      <c r="JIQ68" s="362"/>
      <c r="JIR68" s="362"/>
      <c r="JIS68" s="362"/>
      <c r="JIT68" s="362"/>
      <c r="JIU68" s="362"/>
      <c r="JIV68" s="362"/>
      <c r="JIW68" s="362"/>
      <c r="JIX68" s="362"/>
      <c r="JIY68" s="362"/>
      <c r="JIZ68" s="362"/>
      <c r="JJA68" s="362"/>
      <c r="JJB68" s="362"/>
      <c r="JJC68" s="362"/>
      <c r="JJD68" s="362"/>
      <c r="JJE68" s="362"/>
      <c r="JJF68" s="362"/>
      <c r="JJG68" s="362"/>
      <c r="JJH68" s="362"/>
      <c r="JJI68" s="362"/>
      <c r="JJJ68" s="362"/>
      <c r="JJK68" s="362"/>
      <c r="JJL68" s="362"/>
      <c r="JJM68" s="362"/>
      <c r="JJN68" s="362"/>
      <c r="JJO68" s="362"/>
      <c r="JJP68" s="362"/>
      <c r="JJQ68" s="362"/>
      <c r="JJR68" s="362"/>
      <c r="JJS68" s="362"/>
      <c r="JJT68" s="362"/>
      <c r="JJU68" s="362"/>
      <c r="JJV68" s="362"/>
      <c r="JJW68" s="362"/>
      <c r="JJX68" s="362"/>
      <c r="JJY68" s="362"/>
      <c r="JJZ68" s="362"/>
      <c r="JKA68" s="362"/>
      <c r="JKB68" s="362"/>
      <c r="JKC68" s="362"/>
      <c r="JKD68" s="362"/>
      <c r="JKE68" s="362"/>
      <c r="JKF68" s="362"/>
      <c r="JKG68" s="362"/>
      <c r="JKH68" s="362"/>
      <c r="JKI68" s="362"/>
      <c r="JKJ68" s="362"/>
      <c r="JKK68" s="362"/>
      <c r="JKL68" s="362"/>
      <c r="JKM68" s="362"/>
      <c r="JKN68" s="362"/>
      <c r="JKO68" s="362"/>
      <c r="JKP68" s="362"/>
      <c r="JKQ68" s="362"/>
      <c r="JKR68" s="362"/>
      <c r="JKS68" s="362"/>
      <c r="JKT68" s="362"/>
      <c r="JKU68" s="362"/>
      <c r="JKV68" s="362"/>
      <c r="JKW68" s="362"/>
      <c r="JKX68" s="362"/>
      <c r="JKY68" s="362"/>
      <c r="JKZ68" s="362"/>
      <c r="JLA68" s="362"/>
      <c r="JLB68" s="362"/>
      <c r="JLC68" s="362"/>
      <c r="JLD68" s="362"/>
      <c r="JLE68" s="362"/>
      <c r="JLF68" s="362"/>
      <c r="JLG68" s="362"/>
      <c r="JLH68" s="362"/>
      <c r="JLI68" s="362"/>
      <c r="JLJ68" s="362"/>
      <c r="JLK68" s="362"/>
      <c r="JLL68" s="362"/>
      <c r="JLM68" s="362"/>
      <c r="JLN68" s="362"/>
      <c r="JLO68" s="362"/>
      <c r="JLP68" s="362"/>
      <c r="JLQ68" s="362"/>
      <c r="JLR68" s="362"/>
      <c r="JLS68" s="362"/>
      <c r="JLT68" s="362"/>
      <c r="JLU68" s="362"/>
      <c r="JLV68" s="362"/>
      <c r="JLW68" s="362"/>
      <c r="JLX68" s="362"/>
      <c r="JLY68" s="362"/>
      <c r="JLZ68" s="362"/>
      <c r="JMA68" s="362"/>
      <c r="JMB68" s="362"/>
      <c r="JMC68" s="362"/>
      <c r="JMD68" s="362"/>
      <c r="JME68" s="362"/>
      <c r="JMF68" s="362"/>
      <c r="JMG68" s="362"/>
      <c r="JMH68" s="362"/>
      <c r="JMI68" s="362"/>
      <c r="JMJ68" s="362"/>
      <c r="JMK68" s="362"/>
      <c r="JML68" s="362"/>
      <c r="JMM68" s="362"/>
      <c r="JMN68" s="362"/>
      <c r="JMO68" s="362"/>
      <c r="JMP68" s="362"/>
      <c r="JMQ68" s="362"/>
      <c r="JMR68" s="362"/>
      <c r="JMS68" s="362"/>
      <c r="JMT68" s="362"/>
      <c r="JMU68" s="362"/>
      <c r="JMV68" s="362"/>
      <c r="JMW68" s="362"/>
      <c r="JMX68" s="362"/>
      <c r="JMY68" s="362"/>
      <c r="JMZ68" s="362"/>
      <c r="JNA68" s="362"/>
      <c r="JNB68" s="362"/>
      <c r="JNC68" s="362"/>
      <c r="JND68" s="362"/>
      <c r="JNE68" s="362"/>
      <c r="JNF68" s="362"/>
      <c r="JNG68" s="362"/>
      <c r="JNH68" s="362"/>
      <c r="JNI68" s="362"/>
      <c r="JNJ68" s="362"/>
      <c r="JNK68" s="362"/>
      <c r="JNL68" s="362"/>
      <c r="JNM68" s="362"/>
      <c r="JNN68" s="362"/>
      <c r="JNO68" s="362"/>
      <c r="JNP68" s="362"/>
      <c r="JNQ68" s="362"/>
      <c r="JNR68" s="362"/>
      <c r="JNS68" s="362"/>
      <c r="JNT68" s="362"/>
      <c r="JNU68" s="362"/>
      <c r="JNV68" s="362"/>
      <c r="JNW68" s="362"/>
      <c r="JNX68" s="362"/>
      <c r="JNY68" s="362"/>
      <c r="JNZ68" s="362"/>
      <c r="JOA68" s="362"/>
      <c r="JOB68" s="362"/>
      <c r="JOC68" s="362"/>
      <c r="JOD68" s="362"/>
      <c r="JOE68" s="362"/>
      <c r="JOF68" s="362"/>
      <c r="JOG68" s="362"/>
      <c r="JOH68" s="362"/>
      <c r="JOI68" s="362"/>
      <c r="JOJ68" s="362"/>
      <c r="JOK68" s="362"/>
      <c r="JOL68" s="362"/>
      <c r="JOM68" s="362"/>
      <c r="JON68" s="362"/>
      <c r="JOO68" s="362"/>
      <c r="JOP68" s="362"/>
      <c r="JOQ68" s="362"/>
      <c r="JOR68" s="362"/>
      <c r="JOS68" s="362"/>
      <c r="JOT68" s="362"/>
      <c r="JOU68" s="362"/>
      <c r="JOV68" s="362"/>
      <c r="JOW68" s="362"/>
      <c r="JOX68" s="362"/>
      <c r="JOY68" s="362"/>
      <c r="JOZ68" s="362"/>
      <c r="JPA68" s="362"/>
      <c r="JPB68" s="362"/>
      <c r="JPC68" s="362"/>
      <c r="JPD68" s="362"/>
      <c r="JPE68" s="362"/>
      <c r="JPF68" s="362"/>
      <c r="JPG68" s="362"/>
      <c r="JPH68" s="362"/>
      <c r="JPI68" s="362"/>
      <c r="JPJ68" s="362"/>
      <c r="JPK68" s="362"/>
      <c r="JPL68" s="362"/>
      <c r="JPM68" s="362"/>
      <c r="JPN68" s="362"/>
      <c r="JPO68" s="362"/>
      <c r="JPP68" s="362"/>
      <c r="JPQ68" s="362"/>
      <c r="JPR68" s="362"/>
      <c r="JPS68" s="362"/>
      <c r="JPT68" s="362"/>
      <c r="JPU68" s="362"/>
      <c r="JPV68" s="362"/>
      <c r="JPW68" s="362"/>
      <c r="JPX68" s="362"/>
      <c r="JPY68" s="362"/>
      <c r="JPZ68" s="362"/>
      <c r="JQA68" s="362"/>
      <c r="JQB68" s="362"/>
      <c r="JQC68" s="362"/>
      <c r="JQD68" s="362"/>
      <c r="JQE68" s="362"/>
      <c r="JQF68" s="362"/>
      <c r="JQG68" s="362"/>
      <c r="JQH68" s="362"/>
      <c r="JQI68" s="362"/>
      <c r="JQJ68" s="362"/>
      <c r="JQK68" s="362"/>
      <c r="JQL68" s="362"/>
      <c r="JQM68" s="362"/>
      <c r="JQN68" s="362"/>
      <c r="JQO68" s="362"/>
      <c r="JQP68" s="362"/>
      <c r="JQQ68" s="362"/>
      <c r="JQR68" s="362"/>
      <c r="JQS68" s="362"/>
      <c r="JQT68" s="362"/>
      <c r="JQU68" s="362"/>
      <c r="JQV68" s="362"/>
      <c r="JQW68" s="362"/>
      <c r="JQX68" s="362"/>
      <c r="JQY68" s="362"/>
      <c r="JQZ68" s="362"/>
      <c r="JRA68" s="362"/>
      <c r="JRB68" s="362"/>
      <c r="JRC68" s="362"/>
      <c r="JRD68" s="362"/>
      <c r="JRE68" s="362"/>
      <c r="JRF68" s="362"/>
      <c r="JRG68" s="362"/>
      <c r="JRH68" s="362"/>
      <c r="JRI68" s="362"/>
      <c r="JRJ68" s="362"/>
      <c r="JRK68" s="362"/>
      <c r="JRL68" s="362"/>
      <c r="JRM68" s="362"/>
      <c r="JRN68" s="362"/>
      <c r="JRO68" s="362"/>
      <c r="JRP68" s="362"/>
      <c r="JRQ68" s="362"/>
      <c r="JRR68" s="362"/>
      <c r="JRS68" s="362"/>
      <c r="JRT68" s="362"/>
      <c r="JRU68" s="362"/>
      <c r="JRV68" s="362"/>
      <c r="JRW68" s="362"/>
      <c r="JRX68" s="362"/>
      <c r="JRY68" s="362"/>
      <c r="JRZ68" s="362"/>
      <c r="JSA68" s="362"/>
      <c r="JSB68" s="362"/>
      <c r="JSC68" s="362"/>
      <c r="JSD68" s="362"/>
      <c r="JSE68" s="362"/>
      <c r="JSF68" s="362"/>
      <c r="JSG68" s="362"/>
      <c r="JSH68" s="362"/>
      <c r="JSI68" s="362"/>
      <c r="JSJ68" s="362"/>
      <c r="JSK68" s="362"/>
      <c r="JSL68" s="362"/>
      <c r="JSM68" s="362"/>
      <c r="JSN68" s="362"/>
      <c r="JSO68" s="362"/>
      <c r="JSP68" s="362"/>
      <c r="JSQ68" s="362"/>
      <c r="JSR68" s="362"/>
      <c r="JSS68" s="362"/>
      <c r="JST68" s="362"/>
      <c r="JSU68" s="362"/>
      <c r="JSV68" s="362"/>
      <c r="JSW68" s="362"/>
      <c r="JSX68" s="362"/>
      <c r="JSY68" s="362"/>
      <c r="JSZ68" s="362"/>
      <c r="JTA68" s="362"/>
      <c r="JTB68" s="362"/>
      <c r="JTC68" s="362"/>
      <c r="JTD68" s="362"/>
      <c r="JTE68" s="362"/>
      <c r="JTF68" s="362"/>
      <c r="JTG68" s="362"/>
      <c r="JTH68" s="362"/>
      <c r="JTI68" s="362"/>
      <c r="JTJ68" s="362"/>
      <c r="JTK68" s="362"/>
      <c r="JTL68" s="362"/>
      <c r="JTM68" s="362"/>
      <c r="JTN68" s="362"/>
      <c r="JTO68" s="362"/>
      <c r="JTP68" s="362"/>
      <c r="JTQ68" s="362"/>
      <c r="JTR68" s="362"/>
      <c r="JTS68" s="362"/>
      <c r="JTT68" s="362"/>
      <c r="JTU68" s="362"/>
      <c r="JTV68" s="362"/>
      <c r="JTW68" s="362"/>
      <c r="JTX68" s="362"/>
      <c r="JTY68" s="362"/>
      <c r="JTZ68" s="362"/>
      <c r="JUA68" s="362"/>
      <c r="JUB68" s="362"/>
      <c r="JUC68" s="362"/>
      <c r="JUD68" s="362"/>
      <c r="JUE68" s="362"/>
      <c r="JUF68" s="362"/>
      <c r="JUG68" s="362"/>
      <c r="JUH68" s="362"/>
      <c r="JUI68" s="362"/>
      <c r="JUJ68" s="362"/>
      <c r="JUK68" s="362"/>
      <c r="JUL68" s="362"/>
      <c r="JUM68" s="362"/>
      <c r="JUN68" s="362"/>
      <c r="JUO68" s="362"/>
      <c r="JUP68" s="362"/>
      <c r="JUQ68" s="362"/>
      <c r="JUR68" s="362"/>
      <c r="JUS68" s="362"/>
      <c r="JUT68" s="362"/>
      <c r="JUU68" s="362"/>
      <c r="JUV68" s="362"/>
      <c r="JUW68" s="362"/>
      <c r="JUX68" s="362"/>
      <c r="JUY68" s="362"/>
      <c r="JUZ68" s="362"/>
      <c r="JVA68" s="362"/>
      <c r="JVB68" s="362"/>
      <c r="JVC68" s="362"/>
      <c r="JVD68" s="362"/>
      <c r="JVE68" s="362"/>
      <c r="JVF68" s="362"/>
      <c r="JVG68" s="362"/>
      <c r="JVH68" s="362"/>
      <c r="JVI68" s="362"/>
      <c r="JVJ68" s="362"/>
      <c r="JVK68" s="362"/>
      <c r="JVL68" s="362"/>
      <c r="JVM68" s="362"/>
      <c r="JVN68" s="362"/>
      <c r="JVO68" s="362"/>
      <c r="JVP68" s="362"/>
      <c r="JVQ68" s="362"/>
      <c r="JVR68" s="362"/>
      <c r="JVS68" s="362"/>
      <c r="JVT68" s="362"/>
      <c r="JVU68" s="362"/>
      <c r="JVV68" s="362"/>
      <c r="JVW68" s="362"/>
      <c r="JVX68" s="362"/>
      <c r="JVY68" s="362"/>
      <c r="JVZ68" s="362"/>
      <c r="JWA68" s="362"/>
      <c r="JWB68" s="362"/>
      <c r="JWC68" s="362"/>
      <c r="JWD68" s="362"/>
      <c r="JWE68" s="362"/>
      <c r="JWF68" s="362"/>
      <c r="JWG68" s="362"/>
      <c r="JWH68" s="362"/>
      <c r="JWI68" s="362"/>
      <c r="JWJ68" s="362"/>
      <c r="JWK68" s="362"/>
      <c r="JWL68" s="362"/>
      <c r="JWM68" s="362"/>
      <c r="JWN68" s="362"/>
      <c r="JWO68" s="362"/>
      <c r="JWP68" s="362"/>
      <c r="JWQ68" s="362"/>
      <c r="JWR68" s="362"/>
      <c r="JWS68" s="362"/>
      <c r="JWT68" s="362"/>
      <c r="JWU68" s="362"/>
      <c r="JWV68" s="362"/>
      <c r="JWW68" s="362"/>
      <c r="JWX68" s="362"/>
      <c r="JWY68" s="362"/>
      <c r="JWZ68" s="362"/>
      <c r="JXA68" s="362"/>
      <c r="JXB68" s="362"/>
      <c r="JXC68" s="362"/>
      <c r="JXD68" s="362"/>
      <c r="JXE68" s="362"/>
      <c r="JXF68" s="362"/>
      <c r="JXG68" s="362"/>
      <c r="JXH68" s="362"/>
      <c r="JXI68" s="362"/>
      <c r="JXJ68" s="362"/>
      <c r="JXK68" s="362"/>
      <c r="JXL68" s="362"/>
      <c r="JXM68" s="362"/>
      <c r="JXN68" s="362"/>
      <c r="JXO68" s="362"/>
      <c r="JXP68" s="362"/>
      <c r="JXQ68" s="362"/>
      <c r="JXR68" s="362"/>
      <c r="JXS68" s="362"/>
      <c r="JXT68" s="362"/>
      <c r="JXU68" s="362"/>
      <c r="JXV68" s="362"/>
      <c r="JXW68" s="362"/>
      <c r="JXX68" s="362"/>
      <c r="JXY68" s="362"/>
      <c r="JXZ68" s="362"/>
      <c r="JYA68" s="362"/>
      <c r="JYB68" s="362"/>
      <c r="JYC68" s="362"/>
      <c r="JYD68" s="362"/>
      <c r="JYE68" s="362"/>
      <c r="JYF68" s="362"/>
      <c r="JYG68" s="362"/>
      <c r="JYH68" s="362"/>
      <c r="JYI68" s="362"/>
      <c r="JYJ68" s="362"/>
      <c r="JYK68" s="362"/>
      <c r="JYL68" s="362"/>
      <c r="JYM68" s="362"/>
      <c r="JYN68" s="362"/>
      <c r="JYO68" s="362"/>
      <c r="JYP68" s="362"/>
      <c r="JYQ68" s="362"/>
      <c r="JYR68" s="362"/>
      <c r="JYS68" s="362"/>
      <c r="JYT68" s="362"/>
      <c r="JYU68" s="362"/>
      <c r="JYV68" s="362"/>
      <c r="JYW68" s="362"/>
      <c r="JYX68" s="362"/>
      <c r="JYY68" s="362"/>
      <c r="JYZ68" s="362"/>
      <c r="JZA68" s="362"/>
      <c r="JZB68" s="362"/>
      <c r="JZC68" s="362"/>
      <c r="JZD68" s="362"/>
      <c r="JZE68" s="362"/>
      <c r="JZF68" s="362"/>
      <c r="JZG68" s="362"/>
      <c r="JZH68" s="362"/>
      <c r="JZI68" s="362"/>
      <c r="JZJ68" s="362"/>
      <c r="JZK68" s="362"/>
      <c r="JZL68" s="362"/>
      <c r="JZM68" s="362"/>
      <c r="JZN68" s="362"/>
      <c r="JZO68" s="362"/>
      <c r="JZP68" s="362"/>
      <c r="JZQ68" s="362"/>
      <c r="JZR68" s="362"/>
      <c r="JZS68" s="362"/>
      <c r="JZT68" s="362"/>
      <c r="JZU68" s="362"/>
      <c r="JZV68" s="362"/>
      <c r="JZW68" s="362"/>
      <c r="JZX68" s="362"/>
      <c r="JZY68" s="362"/>
      <c r="JZZ68" s="362"/>
      <c r="KAA68" s="362"/>
      <c r="KAB68" s="362"/>
      <c r="KAC68" s="362"/>
      <c r="KAD68" s="362"/>
      <c r="KAE68" s="362"/>
      <c r="KAF68" s="362"/>
      <c r="KAG68" s="362"/>
      <c r="KAH68" s="362"/>
      <c r="KAI68" s="362"/>
      <c r="KAJ68" s="362"/>
      <c r="KAK68" s="362"/>
      <c r="KAL68" s="362"/>
      <c r="KAM68" s="362"/>
      <c r="KAN68" s="362"/>
      <c r="KAO68" s="362"/>
      <c r="KAP68" s="362"/>
      <c r="KAQ68" s="362"/>
      <c r="KAR68" s="362"/>
      <c r="KAS68" s="362"/>
      <c r="KAT68" s="362"/>
      <c r="KAU68" s="362"/>
      <c r="KAV68" s="362"/>
      <c r="KAW68" s="362"/>
      <c r="KAX68" s="362"/>
      <c r="KAY68" s="362"/>
      <c r="KAZ68" s="362"/>
      <c r="KBA68" s="362"/>
      <c r="KBB68" s="362"/>
      <c r="KBC68" s="362"/>
      <c r="KBD68" s="362"/>
      <c r="KBE68" s="362"/>
      <c r="KBF68" s="362"/>
      <c r="KBG68" s="362"/>
      <c r="KBH68" s="362"/>
      <c r="KBI68" s="362"/>
      <c r="KBJ68" s="362"/>
      <c r="KBK68" s="362"/>
      <c r="KBL68" s="362"/>
      <c r="KBM68" s="362"/>
      <c r="KBN68" s="362"/>
      <c r="KBO68" s="362"/>
      <c r="KBP68" s="362"/>
      <c r="KBQ68" s="362"/>
      <c r="KBR68" s="362"/>
      <c r="KBS68" s="362"/>
      <c r="KBT68" s="362"/>
      <c r="KBU68" s="362"/>
      <c r="KBV68" s="362"/>
      <c r="KBW68" s="362"/>
      <c r="KBX68" s="362"/>
      <c r="KBY68" s="362"/>
      <c r="KBZ68" s="362"/>
      <c r="KCA68" s="362"/>
      <c r="KCB68" s="362"/>
      <c r="KCC68" s="362"/>
      <c r="KCD68" s="362"/>
      <c r="KCE68" s="362"/>
      <c r="KCF68" s="362"/>
      <c r="KCG68" s="362"/>
      <c r="KCH68" s="362"/>
      <c r="KCI68" s="362"/>
      <c r="KCJ68" s="362"/>
      <c r="KCK68" s="362"/>
      <c r="KCL68" s="362"/>
      <c r="KCM68" s="362"/>
      <c r="KCN68" s="362"/>
      <c r="KCO68" s="362"/>
      <c r="KCP68" s="362"/>
      <c r="KCQ68" s="362"/>
      <c r="KCR68" s="362"/>
      <c r="KCS68" s="362"/>
      <c r="KCT68" s="362"/>
      <c r="KCU68" s="362"/>
      <c r="KCV68" s="362"/>
      <c r="KCW68" s="362"/>
      <c r="KCX68" s="362"/>
      <c r="KCY68" s="362"/>
      <c r="KCZ68" s="362"/>
      <c r="KDA68" s="362"/>
      <c r="KDB68" s="362"/>
      <c r="KDC68" s="362"/>
      <c r="KDD68" s="362"/>
      <c r="KDE68" s="362"/>
      <c r="KDF68" s="362"/>
      <c r="KDG68" s="362"/>
      <c r="KDH68" s="362"/>
      <c r="KDI68" s="362"/>
      <c r="KDJ68" s="362"/>
      <c r="KDK68" s="362"/>
      <c r="KDL68" s="362"/>
      <c r="KDM68" s="362"/>
      <c r="KDN68" s="362"/>
      <c r="KDO68" s="362"/>
      <c r="KDP68" s="362"/>
      <c r="KDQ68" s="362"/>
      <c r="KDR68" s="362"/>
      <c r="KDS68" s="362"/>
      <c r="KDT68" s="362"/>
      <c r="KDU68" s="362"/>
      <c r="KDV68" s="362"/>
      <c r="KDW68" s="362"/>
      <c r="KDX68" s="362"/>
      <c r="KDY68" s="362"/>
      <c r="KDZ68" s="362"/>
      <c r="KEA68" s="362"/>
      <c r="KEB68" s="362"/>
      <c r="KEC68" s="362"/>
      <c r="KED68" s="362"/>
      <c r="KEE68" s="362"/>
      <c r="KEF68" s="362"/>
      <c r="KEG68" s="362"/>
      <c r="KEH68" s="362"/>
      <c r="KEI68" s="362"/>
      <c r="KEJ68" s="362"/>
      <c r="KEK68" s="362"/>
      <c r="KEL68" s="362"/>
      <c r="KEM68" s="362"/>
      <c r="KEN68" s="362"/>
      <c r="KEO68" s="362"/>
      <c r="KEP68" s="362"/>
      <c r="KEQ68" s="362"/>
      <c r="KER68" s="362"/>
      <c r="KES68" s="362"/>
      <c r="KET68" s="362"/>
      <c r="KEU68" s="362"/>
      <c r="KEV68" s="362"/>
      <c r="KEW68" s="362"/>
      <c r="KEX68" s="362"/>
      <c r="KEY68" s="362"/>
      <c r="KEZ68" s="362"/>
      <c r="KFA68" s="362"/>
      <c r="KFB68" s="362"/>
      <c r="KFC68" s="362"/>
      <c r="KFD68" s="362"/>
      <c r="KFE68" s="362"/>
      <c r="KFF68" s="362"/>
      <c r="KFG68" s="362"/>
      <c r="KFH68" s="362"/>
      <c r="KFI68" s="362"/>
      <c r="KFJ68" s="362"/>
      <c r="KFK68" s="362"/>
      <c r="KFL68" s="362"/>
      <c r="KFM68" s="362"/>
      <c r="KFN68" s="362"/>
      <c r="KFO68" s="362"/>
      <c r="KFP68" s="362"/>
      <c r="KFQ68" s="362"/>
      <c r="KFR68" s="362"/>
      <c r="KFS68" s="362"/>
      <c r="KFT68" s="362"/>
      <c r="KFU68" s="362"/>
      <c r="KFV68" s="362"/>
      <c r="KFW68" s="362"/>
      <c r="KFX68" s="362"/>
      <c r="KFY68" s="362"/>
      <c r="KFZ68" s="362"/>
      <c r="KGA68" s="362"/>
      <c r="KGB68" s="362"/>
      <c r="KGC68" s="362"/>
      <c r="KGD68" s="362"/>
      <c r="KGE68" s="362"/>
      <c r="KGF68" s="362"/>
      <c r="KGG68" s="362"/>
      <c r="KGH68" s="362"/>
      <c r="KGI68" s="362"/>
      <c r="KGJ68" s="362"/>
      <c r="KGK68" s="362"/>
      <c r="KGL68" s="362"/>
      <c r="KGM68" s="362"/>
      <c r="KGN68" s="362"/>
      <c r="KGO68" s="362"/>
      <c r="KGP68" s="362"/>
      <c r="KGQ68" s="362"/>
      <c r="KGR68" s="362"/>
      <c r="KGS68" s="362"/>
      <c r="KGT68" s="362"/>
      <c r="KGU68" s="362"/>
      <c r="KGV68" s="362"/>
      <c r="KGW68" s="362"/>
      <c r="KGX68" s="362"/>
      <c r="KGY68" s="362"/>
      <c r="KGZ68" s="362"/>
      <c r="KHA68" s="362"/>
      <c r="KHB68" s="362"/>
      <c r="KHC68" s="362"/>
      <c r="KHD68" s="362"/>
      <c r="KHE68" s="362"/>
      <c r="KHF68" s="362"/>
      <c r="KHG68" s="362"/>
      <c r="KHH68" s="362"/>
      <c r="KHI68" s="362"/>
      <c r="KHJ68" s="362"/>
      <c r="KHK68" s="362"/>
      <c r="KHL68" s="362"/>
      <c r="KHM68" s="362"/>
      <c r="KHN68" s="362"/>
      <c r="KHO68" s="362"/>
      <c r="KHP68" s="362"/>
      <c r="KHQ68" s="362"/>
      <c r="KHR68" s="362"/>
      <c r="KHS68" s="362"/>
      <c r="KHT68" s="362"/>
      <c r="KHU68" s="362"/>
      <c r="KHV68" s="362"/>
      <c r="KHW68" s="362"/>
      <c r="KHX68" s="362"/>
      <c r="KHY68" s="362"/>
      <c r="KHZ68" s="362"/>
      <c r="KIA68" s="362"/>
      <c r="KIB68" s="362"/>
      <c r="KIC68" s="362"/>
      <c r="KID68" s="362"/>
      <c r="KIE68" s="362"/>
      <c r="KIF68" s="362"/>
      <c r="KIG68" s="362"/>
      <c r="KIH68" s="362"/>
      <c r="KII68" s="362"/>
      <c r="KIJ68" s="362"/>
      <c r="KIK68" s="362"/>
      <c r="KIL68" s="362"/>
      <c r="KIM68" s="362"/>
      <c r="KIN68" s="362"/>
      <c r="KIO68" s="362"/>
      <c r="KIP68" s="362"/>
      <c r="KIQ68" s="362"/>
      <c r="KIR68" s="362"/>
      <c r="KIS68" s="362"/>
      <c r="KIT68" s="362"/>
      <c r="KIU68" s="362"/>
      <c r="KIV68" s="362"/>
      <c r="KIW68" s="362"/>
      <c r="KIX68" s="362"/>
      <c r="KIY68" s="362"/>
      <c r="KIZ68" s="362"/>
      <c r="KJA68" s="362"/>
      <c r="KJB68" s="362"/>
      <c r="KJC68" s="362"/>
      <c r="KJD68" s="362"/>
      <c r="KJE68" s="362"/>
      <c r="KJF68" s="362"/>
      <c r="KJG68" s="362"/>
      <c r="KJH68" s="362"/>
      <c r="KJI68" s="362"/>
      <c r="KJJ68" s="362"/>
      <c r="KJK68" s="362"/>
      <c r="KJL68" s="362"/>
      <c r="KJM68" s="362"/>
      <c r="KJN68" s="362"/>
      <c r="KJO68" s="362"/>
      <c r="KJP68" s="362"/>
      <c r="KJQ68" s="362"/>
      <c r="KJR68" s="362"/>
      <c r="KJS68" s="362"/>
      <c r="KJT68" s="362"/>
      <c r="KJU68" s="362"/>
      <c r="KJV68" s="362"/>
      <c r="KJW68" s="362"/>
      <c r="KJX68" s="362"/>
      <c r="KJY68" s="362"/>
      <c r="KJZ68" s="362"/>
      <c r="KKA68" s="362"/>
      <c r="KKB68" s="362"/>
      <c r="KKC68" s="362"/>
      <c r="KKD68" s="362"/>
      <c r="KKE68" s="362"/>
      <c r="KKF68" s="362"/>
      <c r="KKG68" s="362"/>
      <c r="KKH68" s="362"/>
      <c r="KKI68" s="362"/>
      <c r="KKJ68" s="362"/>
      <c r="KKK68" s="362"/>
      <c r="KKL68" s="362"/>
      <c r="KKM68" s="362"/>
      <c r="KKN68" s="362"/>
      <c r="KKO68" s="362"/>
      <c r="KKP68" s="362"/>
      <c r="KKQ68" s="362"/>
      <c r="KKR68" s="362"/>
      <c r="KKS68" s="362"/>
      <c r="KKT68" s="362"/>
      <c r="KKU68" s="362"/>
      <c r="KKV68" s="362"/>
      <c r="KKW68" s="362"/>
      <c r="KKX68" s="362"/>
      <c r="KKY68" s="362"/>
      <c r="KKZ68" s="362"/>
      <c r="KLA68" s="362"/>
      <c r="KLB68" s="362"/>
      <c r="KLC68" s="362"/>
      <c r="KLD68" s="362"/>
      <c r="KLE68" s="362"/>
      <c r="KLF68" s="362"/>
      <c r="KLG68" s="362"/>
      <c r="KLH68" s="362"/>
      <c r="KLI68" s="362"/>
      <c r="KLJ68" s="362"/>
      <c r="KLK68" s="362"/>
      <c r="KLL68" s="362"/>
      <c r="KLM68" s="362"/>
      <c r="KLN68" s="362"/>
      <c r="KLO68" s="362"/>
      <c r="KLP68" s="362"/>
      <c r="KLQ68" s="362"/>
      <c r="KLR68" s="362"/>
      <c r="KLS68" s="362"/>
      <c r="KLT68" s="362"/>
      <c r="KLU68" s="362"/>
      <c r="KLV68" s="362"/>
      <c r="KLW68" s="362"/>
      <c r="KLX68" s="362"/>
      <c r="KLY68" s="362"/>
      <c r="KLZ68" s="362"/>
      <c r="KMA68" s="362"/>
      <c r="KMB68" s="362"/>
      <c r="KMC68" s="362"/>
      <c r="KMD68" s="362"/>
      <c r="KME68" s="362"/>
      <c r="KMF68" s="362"/>
      <c r="KMG68" s="362"/>
      <c r="KMH68" s="362"/>
      <c r="KMI68" s="362"/>
      <c r="KMJ68" s="362"/>
      <c r="KMK68" s="362"/>
      <c r="KML68" s="362"/>
      <c r="KMM68" s="362"/>
      <c r="KMN68" s="362"/>
      <c r="KMO68" s="362"/>
      <c r="KMP68" s="362"/>
      <c r="KMQ68" s="362"/>
      <c r="KMR68" s="362"/>
      <c r="KMS68" s="362"/>
      <c r="KMT68" s="362"/>
      <c r="KMU68" s="362"/>
      <c r="KMV68" s="362"/>
      <c r="KMW68" s="362"/>
      <c r="KMX68" s="362"/>
      <c r="KMY68" s="362"/>
      <c r="KMZ68" s="362"/>
      <c r="KNA68" s="362"/>
      <c r="KNB68" s="362"/>
      <c r="KNC68" s="362"/>
      <c r="KND68" s="362"/>
      <c r="KNE68" s="362"/>
      <c r="KNF68" s="362"/>
      <c r="KNG68" s="362"/>
      <c r="KNH68" s="362"/>
      <c r="KNI68" s="362"/>
      <c r="KNJ68" s="362"/>
      <c r="KNK68" s="362"/>
      <c r="KNL68" s="362"/>
      <c r="KNM68" s="362"/>
      <c r="KNN68" s="362"/>
      <c r="KNO68" s="362"/>
      <c r="KNP68" s="362"/>
      <c r="KNQ68" s="362"/>
      <c r="KNR68" s="362"/>
      <c r="KNS68" s="362"/>
      <c r="KNT68" s="362"/>
      <c r="KNU68" s="362"/>
      <c r="KNV68" s="362"/>
      <c r="KNW68" s="362"/>
      <c r="KNX68" s="362"/>
      <c r="KNY68" s="362"/>
      <c r="KNZ68" s="362"/>
      <c r="KOA68" s="362"/>
      <c r="KOB68" s="362"/>
      <c r="KOC68" s="362"/>
      <c r="KOD68" s="362"/>
      <c r="KOE68" s="362"/>
      <c r="KOF68" s="362"/>
      <c r="KOG68" s="362"/>
      <c r="KOH68" s="362"/>
      <c r="KOI68" s="362"/>
      <c r="KOJ68" s="362"/>
      <c r="KOK68" s="362"/>
      <c r="KOL68" s="362"/>
      <c r="KOM68" s="362"/>
      <c r="KON68" s="362"/>
      <c r="KOO68" s="362"/>
      <c r="KOP68" s="362"/>
      <c r="KOQ68" s="362"/>
      <c r="KOR68" s="362"/>
      <c r="KOS68" s="362"/>
      <c r="KOT68" s="362"/>
      <c r="KOU68" s="362"/>
      <c r="KOV68" s="362"/>
      <c r="KOW68" s="362"/>
      <c r="KOX68" s="362"/>
      <c r="KOY68" s="362"/>
      <c r="KOZ68" s="362"/>
      <c r="KPA68" s="362"/>
      <c r="KPB68" s="362"/>
      <c r="KPC68" s="362"/>
      <c r="KPD68" s="362"/>
      <c r="KPE68" s="362"/>
      <c r="KPF68" s="362"/>
      <c r="KPG68" s="362"/>
      <c r="KPH68" s="362"/>
      <c r="KPI68" s="362"/>
      <c r="KPJ68" s="362"/>
      <c r="KPK68" s="362"/>
      <c r="KPL68" s="362"/>
      <c r="KPM68" s="362"/>
      <c r="KPN68" s="362"/>
      <c r="KPO68" s="362"/>
      <c r="KPP68" s="362"/>
      <c r="KPQ68" s="362"/>
      <c r="KPR68" s="362"/>
      <c r="KPS68" s="362"/>
      <c r="KPT68" s="362"/>
      <c r="KPU68" s="362"/>
      <c r="KPV68" s="362"/>
      <c r="KPW68" s="362"/>
      <c r="KPX68" s="362"/>
      <c r="KPY68" s="362"/>
      <c r="KPZ68" s="362"/>
      <c r="KQA68" s="362"/>
      <c r="KQB68" s="362"/>
      <c r="KQC68" s="362"/>
      <c r="KQD68" s="362"/>
      <c r="KQE68" s="362"/>
      <c r="KQF68" s="362"/>
      <c r="KQG68" s="362"/>
      <c r="KQH68" s="362"/>
      <c r="KQI68" s="362"/>
      <c r="KQJ68" s="362"/>
      <c r="KQK68" s="362"/>
      <c r="KQL68" s="362"/>
      <c r="KQM68" s="362"/>
      <c r="KQN68" s="362"/>
      <c r="KQO68" s="362"/>
      <c r="KQP68" s="362"/>
      <c r="KQQ68" s="362"/>
      <c r="KQR68" s="362"/>
      <c r="KQS68" s="362"/>
      <c r="KQT68" s="362"/>
      <c r="KQU68" s="362"/>
      <c r="KQV68" s="362"/>
      <c r="KQW68" s="362"/>
      <c r="KQX68" s="362"/>
      <c r="KQY68" s="362"/>
      <c r="KQZ68" s="362"/>
      <c r="KRA68" s="362"/>
      <c r="KRB68" s="362"/>
      <c r="KRC68" s="362"/>
      <c r="KRD68" s="362"/>
      <c r="KRE68" s="362"/>
      <c r="KRF68" s="362"/>
      <c r="KRG68" s="362"/>
      <c r="KRH68" s="362"/>
      <c r="KRI68" s="362"/>
      <c r="KRJ68" s="362"/>
      <c r="KRK68" s="362"/>
      <c r="KRL68" s="362"/>
      <c r="KRM68" s="362"/>
      <c r="KRN68" s="362"/>
      <c r="KRO68" s="362"/>
      <c r="KRP68" s="362"/>
      <c r="KRQ68" s="362"/>
      <c r="KRR68" s="362"/>
      <c r="KRS68" s="362"/>
      <c r="KRT68" s="362"/>
      <c r="KRU68" s="362"/>
      <c r="KRV68" s="362"/>
      <c r="KRW68" s="362"/>
      <c r="KRX68" s="362"/>
      <c r="KRY68" s="362"/>
      <c r="KRZ68" s="362"/>
      <c r="KSA68" s="362"/>
      <c r="KSB68" s="362"/>
      <c r="KSC68" s="362"/>
      <c r="KSD68" s="362"/>
      <c r="KSE68" s="362"/>
      <c r="KSF68" s="362"/>
      <c r="KSG68" s="362"/>
      <c r="KSH68" s="362"/>
      <c r="KSI68" s="362"/>
      <c r="KSJ68" s="362"/>
      <c r="KSK68" s="362"/>
      <c r="KSL68" s="362"/>
      <c r="KSM68" s="362"/>
      <c r="KSN68" s="362"/>
      <c r="KSO68" s="362"/>
      <c r="KSP68" s="362"/>
      <c r="KSQ68" s="362"/>
      <c r="KSR68" s="362"/>
      <c r="KSS68" s="362"/>
      <c r="KST68" s="362"/>
      <c r="KSU68" s="362"/>
      <c r="KSV68" s="362"/>
      <c r="KSW68" s="362"/>
      <c r="KSX68" s="362"/>
      <c r="KSY68" s="362"/>
      <c r="KSZ68" s="362"/>
      <c r="KTA68" s="362"/>
      <c r="KTB68" s="362"/>
      <c r="KTC68" s="362"/>
      <c r="KTD68" s="362"/>
      <c r="KTE68" s="362"/>
      <c r="KTF68" s="362"/>
      <c r="KTG68" s="362"/>
      <c r="KTH68" s="362"/>
      <c r="KTI68" s="362"/>
      <c r="KTJ68" s="362"/>
      <c r="KTK68" s="362"/>
      <c r="KTL68" s="362"/>
      <c r="KTM68" s="362"/>
      <c r="KTN68" s="362"/>
      <c r="KTO68" s="362"/>
      <c r="KTP68" s="362"/>
      <c r="KTQ68" s="362"/>
      <c r="KTR68" s="362"/>
      <c r="KTS68" s="362"/>
      <c r="KTT68" s="362"/>
      <c r="KTU68" s="362"/>
      <c r="KTV68" s="362"/>
      <c r="KTW68" s="362"/>
      <c r="KTX68" s="362"/>
      <c r="KTY68" s="362"/>
      <c r="KTZ68" s="362"/>
      <c r="KUA68" s="362"/>
      <c r="KUB68" s="362"/>
      <c r="KUC68" s="362"/>
      <c r="KUD68" s="362"/>
      <c r="KUE68" s="362"/>
      <c r="KUF68" s="362"/>
      <c r="KUG68" s="362"/>
      <c r="KUH68" s="362"/>
      <c r="KUI68" s="362"/>
      <c r="KUJ68" s="362"/>
      <c r="KUK68" s="362"/>
      <c r="KUL68" s="362"/>
      <c r="KUM68" s="362"/>
      <c r="KUN68" s="362"/>
      <c r="KUO68" s="362"/>
      <c r="KUP68" s="362"/>
      <c r="KUQ68" s="362"/>
      <c r="KUR68" s="362"/>
      <c r="KUS68" s="362"/>
      <c r="KUT68" s="362"/>
      <c r="KUU68" s="362"/>
      <c r="KUV68" s="362"/>
      <c r="KUW68" s="362"/>
      <c r="KUX68" s="362"/>
      <c r="KUY68" s="362"/>
      <c r="KUZ68" s="362"/>
      <c r="KVA68" s="362"/>
      <c r="KVB68" s="362"/>
      <c r="KVC68" s="362"/>
      <c r="KVD68" s="362"/>
      <c r="KVE68" s="362"/>
      <c r="KVF68" s="362"/>
      <c r="KVG68" s="362"/>
      <c r="KVH68" s="362"/>
      <c r="KVI68" s="362"/>
      <c r="KVJ68" s="362"/>
      <c r="KVK68" s="362"/>
      <c r="KVL68" s="362"/>
      <c r="KVM68" s="362"/>
      <c r="KVN68" s="362"/>
      <c r="KVO68" s="362"/>
      <c r="KVP68" s="362"/>
      <c r="KVQ68" s="362"/>
      <c r="KVR68" s="362"/>
      <c r="KVS68" s="362"/>
      <c r="KVT68" s="362"/>
      <c r="KVU68" s="362"/>
      <c r="KVV68" s="362"/>
      <c r="KVW68" s="362"/>
      <c r="KVX68" s="362"/>
      <c r="KVY68" s="362"/>
      <c r="KVZ68" s="362"/>
      <c r="KWA68" s="362"/>
      <c r="KWB68" s="362"/>
      <c r="KWC68" s="362"/>
      <c r="KWD68" s="362"/>
      <c r="KWE68" s="362"/>
      <c r="KWF68" s="362"/>
      <c r="KWG68" s="362"/>
      <c r="KWH68" s="362"/>
      <c r="KWI68" s="362"/>
      <c r="KWJ68" s="362"/>
      <c r="KWK68" s="362"/>
      <c r="KWL68" s="362"/>
      <c r="KWM68" s="362"/>
      <c r="KWN68" s="362"/>
      <c r="KWO68" s="362"/>
      <c r="KWP68" s="362"/>
      <c r="KWQ68" s="362"/>
      <c r="KWR68" s="362"/>
      <c r="KWS68" s="362"/>
      <c r="KWT68" s="362"/>
      <c r="KWU68" s="362"/>
      <c r="KWV68" s="362"/>
      <c r="KWW68" s="362"/>
      <c r="KWX68" s="362"/>
      <c r="KWY68" s="362"/>
      <c r="KWZ68" s="362"/>
      <c r="KXA68" s="362"/>
      <c r="KXB68" s="362"/>
      <c r="KXC68" s="362"/>
      <c r="KXD68" s="362"/>
      <c r="KXE68" s="362"/>
      <c r="KXF68" s="362"/>
      <c r="KXG68" s="362"/>
      <c r="KXH68" s="362"/>
      <c r="KXI68" s="362"/>
      <c r="KXJ68" s="362"/>
      <c r="KXK68" s="362"/>
      <c r="KXL68" s="362"/>
      <c r="KXM68" s="362"/>
      <c r="KXN68" s="362"/>
      <c r="KXO68" s="362"/>
      <c r="KXP68" s="362"/>
      <c r="KXQ68" s="362"/>
      <c r="KXR68" s="362"/>
      <c r="KXS68" s="362"/>
      <c r="KXT68" s="362"/>
      <c r="KXU68" s="362"/>
      <c r="KXV68" s="362"/>
      <c r="KXW68" s="362"/>
      <c r="KXX68" s="362"/>
      <c r="KXY68" s="362"/>
      <c r="KXZ68" s="362"/>
      <c r="KYA68" s="362"/>
      <c r="KYB68" s="362"/>
      <c r="KYC68" s="362"/>
      <c r="KYD68" s="362"/>
      <c r="KYE68" s="362"/>
      <c r="KYF68" s="362"/>
      <c r="KYG68" s="362"/>
      <c r="KYH68" s="362"/>
      <c r="KYI68" s="362"/>
      <c r="KYJ68" s="362"/>
      <c r="KYK68" s="362"/>
      <c r="KYL68" s="362"/>
      <c r="KYM68" s="362"/>
      <c r="KYN68" s="362"/>
      <c r="KYO68" s="362"/>
      <c r="KYP68" s="362"/>
      <c r="KYQ68" s="362"/>
      <c r="KYR68" s="362"/>
      <c r="KYS68" s="362"/>
      <c r="KYT68" s="362"/>
      <c r="KYU68" s="362"/>
      <c r="KYV68" s="362"/>
      <c r="KYW68" s="362"/>
      <c r="KYX68" s="362"/>
      <c r="KYY68" s="362"/>
      <c r="KYZ68" s="362"/>
      <c r="KZA68" s="362"/>
      <c r="KZB68" s="362"/>
      <c r="KZC68" s="362"/>
      <c r="KZD68" s="362"/>
      <c r="KZE68" s="362"/>
      <c r="KZF68" s="362"/>
      <c r="KZG68" s="362"/>
      <c r="KZH68" s="362"/>
      <c r="KZI68" s="362"/>
      <c r="KZJ68" s="362"/>
      <c r="KZK68" s="362"/>
      <c r="KZL68" s="362"/>
      <c r="KZM68" s="362"/>
      <c r="KZN68" s="362"/>
      <c r="KZO68" s="362"/>
      <c r="KZP68" s="362"/>
      <c r="KZQ68" s="362"/>
      <c r="KZR68" s="362"/>
      <c r="KZS68" s="362"/>
      <c r="KZT68" s="362"/>
      <c r="KZU68" s="362"/>
      <c r="KZV68" s="362"/>
      <c r="KZW68" s="362"/>
      <c r="KZX68" s="362"/>
      <c r="KZY68" s="362"/>
      <c r="KZZ68" s="362"/>
      <c r="LAA68" s="362"/>
      <c r="LAB68" s="362"/>
      <c r="LAC68" s="362"/>
      <c r="LAD68" s="362"/>
      <c r="LAE68" s="362"/>
      <c r="LAF68" s="362"/>
      <c r="LAG68" s="362"/>
      <c r="LAH68" s="362"/>
      <c r="LAI68" s="362"/>
      <c r="LAJ68" s="362"/>
      <c r="LAK68" s="362"/>
      <c r="LAL68" s="362"/>
      <c r="LAM68" s="362"/>
      <c r="LAN68" s="362"/>
      <c r="LAO68" s="362"/>
      <c r="LAP68" s="362"/>
      <c r="LAQ68" s="362"/>
      <c r="LAR68" s="362"/>
      <c r="LAS68" s="362"/>
      <c r="LAT68" s="362"/>
      <c r="LAU68" s="362"/>
      <c r="LAV68" s="362"/>
      <c r="LAW68" s="362"/>
      <c r="LAX68" s="362"/>
      <c r="LAY68" s="362"/>
      <c r="LAZ68" s="362"/>
      <c r="LBA68" s="362"/>
      <c r="LBB68" s="362"/>
      <c r="LBC68" s="362"/>
      <c r="LBD68" s="362"/>
      <c r="LBE68" s="362"/>
      <c r="LBF68" s="362"/>
      <c r="LBG68" s="362"/>
      <c r="LBH68" s="362"/>
      <c r="LBI68" s="362"/>
      <c r="LBJ68" s="362"/>
      <c r="LBK68" s="362"/>
      <c r="LBL68" s="362"/>
      <c r="LBM68" s="362"/>
      <c r="LBN68" s="362"/>
      <c r="LBO68" s="362"/>
      <c r="LBP68" s="362"/>
      <c r="LBQ68" s="362"/>
      <c r="LBR68" s="362"/>
      <c r="LBS68" s="362"/>
      <c r="LBT68" s="362"/>
      <c r="LBU68" s="362"/>
      <c r="LBV68" s="362"/>
      <c r="LBW68" s="362"/>
      <c r="LBX68" s="362"/>
      <c r="LBY68" s="362"/>
      <c r="LBZ68" s="362"/>
      <c r="LCA68" s="362"/>
      <c r="LCB68" s="362"/>
      <c r="LCC68" s="362"/>
      <c r="LCD68" s="362"/>
      <c r="LCE68" s="362"/>
      <c r="LCF68" s="362"/>
      <c r="LCG68" s="362"/>
      <c r="LCH68" s="362"/>
      <c r="LCI68" s="362"/>
      <c r="LCJ68" s="362"/>
      <c r="LCK68" s="362"/>
      <c r="LCL68" s="362"/>
      <c r="LCM68" s="362"/>
      <c r="LCN68" s="362"/>
      <c r="LCO68" s="362"/>
      <c r="LCP68" s="362"/>
      <c r="LCQ68" s="362"/>
      <c r="LCR68" s="362"/>
      <c r="LCS68" s="362"/>
      <c r="LCT68" s="362"/>
      <c r="LCU68" s="362"/>
      <c r="LCV68" s="362"/>
      <c r="LCW68" s="362"/>
      <c r="LCX68" s="362"/>
      <c r="LCY68" s="362"/>
      <c r="LCZ68" s="362"/>
      <c r="LDA68" s="362"/>
      <c r="LDB68" s="362"/>
      <c r="LDC68" s="362"/>
      <c r="LDD68" s="362"/>
      <c r="LDE68" s="362"/>
      <c r="LDF68" s="362"/>
      <c r="LDG68" s="362"/>
      <c r="LDH68" s="362"/>
      <c r="LDI68" s="362"/>
      <c r="LDJ68" s="362"/>
      <c r="LDK68" s="362"/>
      <c r="LDL68" s="362"/>
      <c r="LDM68" s="362"/>
      <c r="LDN68" s="362"/>
      <c r="LDO68" s="362"/>
      <c r="LDP68" s="362"/>
      <c r="LDQ68" s="362"/>
      <c r="LDR68" s="362"/>
      <c r="LDS68" s="362"/>
      <c r="LDT68" s="362"/>
      <c r="LDU68" s="362"/>
      <c r="LDV68" s="362"/>
      <c r="LDW68" s="362"/>
      <c r="LDX68" s="362"/>
      <c r="LDY68" s="362"/>
      <c r="LDZ68" s="362"/>
      <c r="LEA68" s="362"/>
      <c r="LEB68" s="362"/>
      <c r="LEC68" s="362"/>
      <c r="LED68" s="362"/>
      <c r="LEE68" s="362"/>
      <c r="LEF68" s="362"/>
      <c r="LEG68" s="362"/>
      <c r="LEH68" s="362"/>
      <c r="LEI68" s="362"/>
      <c r="LEJ68" s="362"/>
      <c r="LEK68" s="362"/>
      <c r="LEL68" s="362"/>
      <c r="LEM68" s="362"/>
      <c r="LEN68" s="362"/>
      <c r="LEO68" s="362"/>
      <c r="LEP68" s="362"/>
      <c r="LEQ68" s="362"/>
      <c r="LER68" s="362"/>
      <c r="LES68" s="362"/>
      <c r="LET68" s="362"/>
      <c r="LEU68" s="362"/>
      <c r="LEV68" s="362"/>
      <c r="LEW68" s="362"/>
      <c r="LEX68" s="362"/>
      <c r="LEY68" s="362"/>
      <c r="LEZ68" s="362"/>
      <c r="LFA68" s="362"/>
      <c r="LFB68" s="362"/>
      <c r="LFC68" s="362"/>
      <c r="LFD68" s="362"/>
      <c r="LFE68" s="362"/>
      <c r="LFF68" s="362"/>
      <c r="LFG68" s="362"/>
      <c r="LFH68" s="362"/>
      <c r="LFI68" s="362"/>
      <c r="LFJ68" s="362"/>
      <c r="LFK68" s="362"/>
      <c r="LFL68" s="362"/>
      <c r="LFM68" s="362"/>
      <c r="LFN68" s="362"/>
      <c r="LFO68" s="362"/>
      <c r="LFP68" s="362"/>
      <c r="LFQ68" s="362"/>
      <c r="LFR68" s="362"/>
      <c r="LFS68" s="362"/>
      <c r="LFT68" s="362"/>
      <c r="LFU68" s="362"/>
      <c r="LFV68" s="362"/>
      <c r="LFW68" s="362"/>
      <c r="LFX68" s="362"/>
      <c r="LFY68" s="362"/>
      <c r="LFZ68" s="362"/>
      <c r="LGA68" s="362"/>
      <c r="LGB68" s="362"/>
      <c r="LGC68" s="362"/>
      <c r="LGD68" s="362"/>
      <c r="LGE68" s="362"/>
      <c r="LGF68" s="362"/>
      <c r="LGG68" s="362"/>
      <c r="LGH68" s="362"/>
      <c r="LGI68" s="362"/>
      <c r="LGJ68" s="362"/>
      <c r="LGK68" s="362"/>
      <c r="LGL68" s="362"/>
      <c r="LGM68" s="362"/>
      <c r="LGN68" s="362"/>
      <c r="LGO68" s="362"/>
      <c r="LGP68" s="362"/>
      <c r="LGQ68" s="362"/>
      <c r="LGR68" s="362"/>
      <c r="LGS68" s="362"/>
      <c r="LGT68" s="362"/>
      <c r="LGU68" s="362"/>
      <c r="LGV68" s="362"/>
      <c r="LGW68" s="362"/>
      <c r="LGX68" s="362"/>
      <c r="LGY68" s="362"/>
      <c r="LGZ68" s="362"/>
      <c r="LHA68" s="362"/>
      <c r="LHB68" s="362"/>
      <c r="LHC68" s="362"/>
      <c r="LHD68" s="362"/>
      <c r="LHE68" s="362"/>
      <c r="LHF68" s="362"/>
      <c r="LHG68" s="362"/>
      <c r="LHH68" s="362"/>
      <c r="LHI68" s="362"/>
      <c r="LHJ68" s="362"/>
      <c r="LHK68" s="362"/>
      <c r="LHL68" s="362"/>
      <c r="LHM68" s="362"/>
      <c r="LHN68" s="362"/>
      <c r="LHO68" s="362"/>
      <c r="LHP68" s="362"/>
      <c r="LHQ68" s="362"/>
      <c r="LHR68" s="362"/>
      <c r="LHS68" s="362"/>
      <c r="LHT68" s="362"/>
      <c r="LHU68" s="362"/>
      <c r="LHV68" s="362"/>
      <c r="LHW68" s="362"/>
      <c r="LHX68" s="362"/>
      <c r="LHY68" s="362"/>
      <c r="LHZ68" s="362"/>
      <c r="LIA68" s="362"/>
      <c r="LIB68" s="362"/>
      <c r="LIC68" s="362"/>
      <c r="LID68" s="362"/>
      <c r="LIE68" s="362"/>
      <c r="LIF68" s="362"/>
      <c r="LIG68" s="362"/>
      <c r="LIH68" s="362"/>
      <c r="LII68" s="362"/>
      <c r="LIJ68" s="362"/>
      <c r="LIK68" s="362"/>
      <c r="LIL68" s="362"/>
      <c r="LIM68" s="362"/>
      <c r="LIN68" s="362"/>
      <c r="LIO68" s="362"/>
      <c r="LIP68" s="362"/>
      <c r="LIQ68" s="362"/>
      <c r="LIR68" s="362"/>
      <c r="LIS68" s="362"/>
      <c r="LIT68" s="362"/>
      <c r="LIU68" s="362"/>
      <c r="LIV68" s="362"/>
      <c r="LIW68" s="362"/>
      <c r="LIX68" s="362"/>
      <c r="LIY68" s="362"/>
      <c r="LIZ68" s="362"/>
      <c r="LJA68" s="362"/>
      <c r="LJB68" s="362"/>
      <c r="LJC68" s="362"/>
      <c r="LJD68" s="362"/>
      <c r="LJE68" s="362"/>
      <c r="LJF68" s="362"/>
      <c r="LJG68" s="362"/>
      <c r="LJH68" s="362"/>
      <c r="LJI68" s="362"/>
      <c r="LJJ68" s="362"/>
      <c r="LJK68" s="362"/>
      <c r="LJL68" s="362"/>
      <c r="LJM68" s="362"/>
      <c r="LJN68" s="362"/>
      <c r="LJO68" s="362"/>
      <c r="LJP68" s="362"/>
      <c r="LJQ68" s="362"/>
      <c r="LJR68" s="362"/>
      <c r="LJS68" s="362"/>
      <c r="LJT68" s="362"/>
      <c r="LJU68" s="362"/>
      <c r="LJV68" s="362"/>
      <c r="LJW68" s="362"/>
      <c r="LJX68" s="362"/>
      <c r="LJY68" s="362"/>
      <c r="LJZ68" s="362"/>
      <c r="LKA68" s="362"/>
      <c r="LKB68" s="362"/>
      <c r="LKC68" s="362"/>
      <c r="LKD68" s="362"/>
      <c r="LKE68" s="362"/>
      <c r="LKF68" s="362"/>
      <c r="LKG68" s="362"/>
      <c r="LKH68" s="362"/>
      <c r="LKI68" s="362"/>
      <c r="LKJ68" s="362"/>
      <c r="LKK68" s="362"/>
      <c r="LKL68" s="362"/>
      <c r="LKM68" s="362"/>
      <c r="LKN68" s="362"/>
      <c r="LKO68" s="362"/>
      <c r="LKP68" s="362"/>
      <c r="LKQ68" s="362"/>
      <c r="LKR68" s="362"/>
      <c r="LKS68" s="362"/>
      <c r="LKT68" s="362"/>
      <c r="LKU68" s="362"/>
      <c r="LKV68" s="362"/>
      <c r="LKW68" s="362"/>
      <c r="LKX68" s="362"/>
      <c r="LKY68" s="362"/>
      <c r="LKZ68" s="362"/>
      <c r="LLA68" s="362"/>
      <c r="LLB68" s="362"/>
      <c r="LLC68" s="362"/>
      <c r="LLD68" s="362"/>
      <c r="LLE68" s="362"/>
      <c r="LLF68" s="362"/>
      <c r="LLG68" s="362"/>
      <c r="LLH68" s="362"/>
      <c r="LLI68" s="362"/>
      <c r="LLJ68" s="362"/>
      <c r="LLK68" s="362"/>
      <c r="LLL68" s="362"/>
      <c r="LLM68" s="362"/>
      <c r="LLN68" s="362"/>
      <c r="LLO68" s="362"/>
      <c r="LLP68" s="362"/>
      <c r="LLQ68" s="362"/>
      <c r="LLR68" s="362"/>
      <c r="LLS68" s="362"/>
      <c r="LLT68" s="362"/>
      <c r="LLU68" s="362"/>
      <c r="LLV68" s="362"/>
      <c r="LLW68" s="362"/>
      <c r="LLX68" s="362"/>
      <c r="LLY68" s="362"/>
      <c r="LLZ68" s="362"/>
      <c r="LMA68" s="362"/>
      <c r="LMB68" s="362"/>
      <c r="LMC68" s="362"/>
      <c r="LMD68" s="362"/>
      <c r="LME68" s="362"/>
      <c r="LMF68" s="362"/>
      <c r="LMG68" s="362"/>
      <c r="LMH68" s="362"/>
      <c r="LMI68" s="362"/>
      <c r="LMJ68" s="362"/>
      <c r="LMK68" s="362"/>
      <c r="LML68" s="362"/>
      <c r="LMM68" s="362"/>
      <c r="LMN68" s="362"/>
      <c r="LMO68" s="362"/>
      <c r="LMP68" s="362"/>
      <c r="LMQ68" s="362"/>
      <c r="LMR68" s="362"/>
      <c r="LMS68" s="362"/>
      <c r="LMT68" s="362"/>
      <c r="LMU68" s="362"/>
      <c r="LMV68" s="362"/>
      <c r="LMW68" s="362"/>
      <c r="LMX68" s="362"/>
      <c r="LMY68" s="362"/>
      <c r="LMZ68" s="362"/>
      <c r="LNA68" s="362"/>
      <c r="LNB68" s="362"/>
      <c r="LNC68" s="362"/>
      <c r="LND68" s="362"/>
      <c r="LNE68" s="362"/>
      <c r="LNF68" s="362"/>
      <c r="LNG68" s="362"/>
      <c r="LNH68" s="362"/>
      <c r="LNI68" s="362"/>
      <c r="LNJ68" s="362"/>
      <c r="LNK68" s="362"/>
      <c r="LNL68" s="362"/>
      <c r="LNM68" s="362"/>
      <c r="LNN68" s="362"/>
      <c r="LNO68" s="362"/>
      <c r="LNP68" s="362"/>
      <c r="LNQ68" s="362"/>
      <c r="LNR68" s="362"/>
      <c r="LNS68" s="362"/>
      <c r="LNT68" s="362"/>
      <c r="LNU68" s="362"/>
      <c r="LNV68" s="362"/>
      <c r="LNW68" s="362"/>
      <c r="LNX68" s="362"/>
      <c r="LNY68" s="362"/>
      <c r="LNZ68" s="362"/>
      <c r="LOA68" s="362"/>
      <c r="LOB68" s="362"/>
      <c r="LOC68" s="362"/>
      <c r="LOD68" s="362"/>
      <c r="LOE68" s="362"/>
      <c r="LOF68" s="362"/>
      <c r="LOG68" s="362"/>
      <c r="LOH68" s="362"/>
      <c r="LOI68" s="362"/>
      <c r="LOJ68" s="362"/>
      <c r="LOK68" s="362"/>
      <c r="LOL68" s="362"/>
      <c r="LOM68" s="362"/>
      <c r="LON68" s="362"/>
      <c r="LOO68" s="362"/>
      <c r="LOP68" s="362"/>
      <c r="LOQ68" s="362"/>
      <c r="LOR68" s="362"/>
      <c r="LOS68" s="362"/>
      <c r="LOT68" s="362"/>
      <c r="LOU68" s="362"/>
      <c r="LOV68" s="362"/>
      <c r="LOW68" s="362"/>
      <c r="LOX68" s="362"/>
      <c r="LOY68" s="362"/>
      <c r="LOZ68" s="362"/>
      <c r="LPA68" s="362"/>
      <c r="LPB68" s="362"/>
      <c r="LPC68" s="362"/>
      <c r="LPD68" s="362"/>
      <c r="LPE68" s="362"/>
      <c r="LPF68" s="362"/>
      <c r="LPG68" s="362"/>
      <c r="LPH68" s="362"/>
      <c r="LPI68" s="362"/>
      <c r="LPJ68" s="362"/>
      <c r="LPK68" s="362"/>
      <c r="LPL68" s="362"/>
      <c r="LPM68" s="362"/>
      <c r="LPN68" s="362"/>
      <c r="LPO68" s="362"/>
      <c r="LPP68" s="362"/>
      <c r="LPQ68" s="362"/>
      <c r="LPR68" s="362"/>
      <c r="LPS68" s="362"/>
      <c r="LPT68" s="362"/>
      <c r="LPU68" s="362"/>
      <c r="LPV68" s="362"/>
      <c r="LPW68" s="362"/>
      <c r="LPX68" s="362"/>
      <c r="LPY68" s="362"/>
      <c r="LPZ68" s="362"/>
      <c r="LQA68" s="362"/>
      <c r="LQB68" s="362"/>
      <c r="LQC68" s="362"/>
      <c r="LQD68" s="362"/>
      <c r="LQE68" s="362"/>
      <c r="LQF68" s="362"/>
      <c r="LQG68" s="362"/>
      <c r="LQH68" s="362"/>
      <c r="LQI68" s="362"/>
      <c r="LQJ68" s="362"/>
      <c r="LQK68" s="362"/>
      <c r="LQL68" s="362"/>
      <c r="LQM68" s="362"/>
      <c r="LQN68" s="362"/>
      <c r="LQO68" s="362"/>
      <c r="LQP68" s="362"/>
      <c r="LQQ68" s="362"/>
      <c r="LQR68" s="362"/>
      <c r="LQS68" s="362"/>
      <c r="LQT68" s="362"/>
      <c r="LQU68" s="362"/>
      <c r="LQV68" s="362"/>
      <c r="LQW68" s="362"/>
      <c r="LQX68" s="362"/>
      <c r="LQY68" s="362"/>
      <c r="LQZ68" s="362"/>
      <c r="LRA68" s="362"/>
      <c r="LRB68" s="362"/>
      <c r="LRC68" s="362"/>
      <c r="LRD68" s="362"/>
      <c r="LRE68" s="362"/>
      <c r="LRF68" s="362"/>
      <c r="LRG68" s="362"/>
      <c r="LRH68" s="362"/>
      <c r="LRI68" s="362"/>
      <c r="LRJ68" s="362"/>
      <c r="LRK68" s="362"/>
      <c r="LRL68" s="362"/>
      <c r="LRM68" s="362"/>
      <c r="LRN68" s="362"/>
      <c r="LRO68" s="362"/>
      <c r="LRP68" s="362"/>
      <c r="LRQ68" s="362"/>
      <c r="LRR68" s="362"/>
      <c r="LRS68" s="362"/>
      <c r="LRT68" s="362"/>
      <c r="LRU68" s="362"/>
      <c r="LRV68" s="362"/>
      <c r="LRW68" s="362"/>
      <c r="LRX68" s="362"/>
      <c r="LRY68" s="362"/>
      <c r="LRZ68" s="362"/>
      <c r="LSA68" s="362"/>
      <c r="LSB68" s="362"/>
      <c r="LSC68" s="362"/>
      <c r="LSD68" s="362"/>
      <c r="LSE68" s="362"/>
      <c r="LSF68" s="362"/>
      <c r="LSG68" s="362"/>
      <c r="LSH68" s="362"/>
      <c r="LSI68" s="362"/>
      <c r="LSJ68" s="362"/>
      <c r="LSK68" s="362"/>
      <c r="LSL68" s="362"/>
      <c r="LSM68" s="362"/>
      <c r="LSN68" s="362"/>
      <c r="LSO68" s="362"/>
      <c r="LSP68" s="362"/>
      <c r="LSQ68" s="362"/>
      <c r="LSR68" s="362"/>
      <c r="LSS68" s="362"/>
      <c r="LST68" s="362"/>
      <c r="LSU68" s="362"/>
      <c r="LSV68" s="362"/>
      <c r="LSW68" s="362"/>
      <c r="LSX68" s="362"/>
      <c r="LSY68" s="362"/>
      <c r="LSZ68" s="362"/>
      <c r="LTA68" s="362"/>
      <c r="LTB68" s="362"/>
      <c r="LTC68" s="362"/>
      <c r="LTD68" s="362"/>
      <c r="LTE68" s="362"/>
      <c r="LTF68" s="362"/>
      <c r="LTG68" s="362"/>
      <c r="LTH68" s="362"/>
      <c r="LTI68" s="362"/>
      <c r="LTJ68" s="362"/>
      <c r="LTK68" s="362"/>
      <c r="LTL68" s="362"/>
      <c r="LTM68" s="362"/>
      <c r="LTN68" s="362"/>
      <c r="LTO68" s="362"/>
      <c r="LTP68" s="362"/>
      <c r="LTQ68" s="362"/>
      <c r="LTR68" s="362"/>
      <c r="LTS68" s="362"/>
      <c r="LTT68" s="362"/>
      <c r="LTU68" s="362"/>
      <c r="LTV68" s="362"/>
      <c r="LTW68" s="362"/>
      <c r="LTX68" s="362"/>
      <c r="LTY68" s="362"/>
      <c r="LTZ68" s="362"/>
      <c r="LUA68" s="362"/>
      <c r="LUB68" s="362"/>
      <c r="LUC68" s="362"/>
      <c r="LUD68" s="362"/>
      <c r="LUE68" s="362"/>
      <c r="LUF68" s="362"/>
      <c r="LUG68" s="362"/>
      <c r="LUH68" s="362"/>
      <c r="LUI68" s="362"/>
      <c r="LUJ68" s="362"/>
      <c r="LUK68" s="362"/>
      <c r="LUL68" s="362"/>
      <c r="LUM68" s="362"/>
      <c r="LUN68" s="362"/>
      <c r="LUO68" s="362"/>
      <c r="LUP68" s="362"/>
      <c r="LUQ68" s="362"/>
      <c r="LUR68" s="362"/>
      <c r="LUS68" s="362"/>
      <c r="LUT68" s="362"/>
      <c r="LUU68" s="362"/>
      <c r="LUV68" s="362"/>
      <c r="LUW68" s="362"/>
      <c r="LUX68" s="362"/>
      <c r="LUY68" s="362"/>
      <c r="LUZ68" s="362"/>
      <c r="LVA68" s="362"/>
      <c r="LVB68" s="362"/>
      <c r="LVC68" s="362"/>
      <c r="LVD68" s="362"/>
      <c r="LVE68" s="362"/>
      <c r="LVF68" s="362"/>
      <c r="LVG68" s="362"/>
      <c r="LVH68" s="362"/>
      <c r="LVI68" s="362"/>
      <c r="LVJ68" s="362"/>
      <c r="LVK68" s="362"/>
      <c r="LVL68" s="362"/>
      <c r="LVM68" s="362"/>
      <c r="LVN68" s="362"/>
      <c r="LVO68" s="362"/>
      <c r="LVP68" s="362"/>
      <c r="LVQ68" s="362"/>
      <c r="LVR68" s="362"/>
      <c r="LVS68" s="362"/>
      <c r="LVT68" s="362"/>
      <c r="LVU68" s="362"/>
      <c r="LVV68" s="362"/>
      <c r="LVW68" s="362"/>
      <c r="LVX68" s="362"/>
      <c r="LVY68" s="362"/>
      <c r="LVZ68" s="362"/>
      <c r="LWA68" s="362"/>
      <c r="LWB68" s="362"/>
      <c r="LWC68" s="362"/>
      <c r="LWD68" s="362"/>
      <c r="LWE68" s="362"/>
      <c r="LWF68" s="362"/>
      <c r="LWG68" s="362"/>
      <c r="LWH68" s="362"/>
      <c r="LWI68" s="362"/>
      <c r="LWJ68" s="362"/>
      <c r="LWK68" s="362"/>
      <c r="LWL68" s="362"/>
      <c r="LWM68" s="362"/>
      <c r="LWN68" s="362"/>
      <c r="LWO68" s="362"/>
      <c r="LWP68" s="362"/>
      <c r="LWQ68" s="362"/>
      <c r="LWR68" s="362"/>
      <c r="LWS68" s="362"/>
      <c r="LWT68" s="362"/>
      <c r="LWU68" s="362"/>
      <c r="LWV68" s="362"/>
      <c r="LWW68" s="362"/>
      <c r="LWX68" s="362"/>
      <c r="LWY68" s="362"/>
      <c r="LWZ68" s="362"/>
      <c r="LXA68" s="362"/>
      <c r="LXB68" s="362"/>
      <c r="LXC68" s="362"/>
      <c r="LXD68" s="362"/>
      <c r="LXE68" s="362"/>
      <c r="LXF68" s="362"/>
      <c r="LXG68" s="362"/>
      <c r="LXH68" s="362"/>
      <c r="LXI68" s="362"/>
      <c r="LXJ68" s="362"/>
      <c r="LXK68" s="362"/>
      <c r="LXL68" s="362"/>
      <c r="LXM68" s="362"/>
      <c r="LXN68" s="362"/>
      <c r="LXO68" s="362"/>
      <c r="LXP68" s="362"/>
      <c r="LXQ68" s="362"/>
      <c r="LXR68" s="362"/>
      <c r="LXS68" s="362"/>
      <c r="LXT68" s="362"/>
      <c r="LXU68" s="362"/>
      <c r="LXV68" s="362"/>
      <c r="LXW68" s="362"/>
      <c r="LXX68" s="362"/>
      <c r="LXY68" s="362"/>
      <c r="LXZ68" s="362"/>
      <c r="LYA68" s="362"/>
      <c r="LYB68" s="362"/>
      <c r="LYC68" s="362"/>
      <c r="LYD68" s="362"/>
      <c r="LYE68" s="362"/>
      <c r="LYF68" s="362"/>
      <c r="LYG68" s="362"/>
      <c r="LYH68" s="362"/>
      <c r="LYI68" s="362"/>
      <c r="LYJ68" s="362"/>
      <c r="LYK68" s="362"/>
      <c r="LYL68" s="362"/>
      <c r="LYM68" s="362"/>
      <c r="LYN68" s="362"/>
      <c r="LYO68" s="362"/>
      <c r="LYP68" s="362"/>
      <c r="LYQ68" s="362"/>
      <c r="LYR68" s="362"/>
      <c r="LYS68" s="362"/>
      <c r="LYT68" s="362"/>
      <c r="LYU68" s="362"/>
      <c r="LYV68" s="362"/>
      <c r="LYW68" s="362"/>
      <c r="LYX68" s="362"/>
      <c r="LYY68" s="362"/>
      <c r="LYZ68" s="362"/>
      <c r="LZA68" s="362"/>
      <c r="LZB68" s="362"/>
      <c r="LZC68" s="362"/>
      <c r="LZD68" s="362"/>
      <c r="LZE68" s="362"/>
      <c r="LZF68" s="362"/>
      <c r="LZG68" s="362"/>
      <c r="LZH68" s="362"/>
      <c r="LZI68" s="362"/>
      <c r="LZJ68" s="362"/>
      <c r="LZK68" s="362"/>
      <c r="LZL68" s="362"/>
      <c r="LZM68" s="362"/>
      <c r="LZN68" s="362"/>
      <c r="LZO68" s="362"/>
      <c r="LZP68" s="362"/>
      <c r="LZQ68" s="362"/>
      <c r="LZR68" s="362"/>
      <c r="LZS68" s="362"/>
      <c r="LZT68" s="362"/>
      <c r="LZU68" s="362"/>
      <c r="LZV68" s="362"/>
      <c r="LZW68" s="362"/>
      <c r="LZX68" s="362"/>
      <c r="LZY68" s="362"/>
      <c r="LZZ68" s="362"/>
      <c r="MAA68" s="362"/>
      <c r="MAB68" s="362"/>
      <c r="MAC68" s="362"/>
      <c r="MAD68" s="362"/>
      <c r="MAE68" s="362"/>
      <c r="MAF68" s="362"/>
      <c r="MAG68" s="362"/>
      <c r="MAH68" s="362"/>
      <c r="MAI68" s="362"/>
      <c r="MAJ68" s="362"/>
      <c r="MAK68" s="362"/>
      <c r="MAL68" s="362"/>
      <c r="MAM68" s="362"/>
      <c r="MAN68" s="362"/>
      <c r="MAO68" s="362"/>
      <c r="MAP68" s="362"/>
      <c r="MAQ68" s="362"/>
      <c r="MAR68" s="362"/>
      <c r="MAS68" s="362"/>
      <c r="MAT68" s="362"/>
      <c r="MAU68" s="362"/>
      <c r="MAV68" s="362"/>
      <c r="MAW68" s="362"/>
      <c r="MAX68" s="362"/>
      <c r="MAY68" s="362"/>
      <c r="MAZ68" s="362"/>
      <c r="MBA68" s="362"/>
      <c r="MBB68" s="362"/>
      <c r="MBC68" s="362"/>
      <c r="MBD68" s="362"/>
      <c r="MBE68" s="362"/>
      <c r="MBF68" s="362"/>
      <c r="MBG68" s="362"/>
      <c r="MBH68" s="362"/>
      <c r="MBI68" s="362"/>
      <c r="MBJ68" s="362"/>
      <c r="MBK68" s="362"/>
      <c r="MBL68" s="362"/>
      <c r="MBM68" s="362"/>
      <c r="MBN68" s="362"/>
      <c r="MBO68" s="362"/>
      <c r="MBP68" s="362"/>
      <c r="MBQ68" s="362"/>
      <c r="MBR68" s="362"/>
      <c r="MBS68" s="362"/>
      <c r="MBT68" s="362"/>
      <c r="MBU68" s="362"/>
      <c r="MBV68" s="362"/>
      <c r="MBW68" s="362"/>
      <c r="MBX68" s="362"/>
      <c r="MBY68" s="362"/>
      <c r="MBZ68" s="362"/>
      <c r="MCA68" s="362"/>
      <c r="MCB68" s="362"/>
      <c r="MCC68" s="362"/>
      <c r="MCD68" s="362"/>
      <c r="MCE68" s="362"/>
      <c r="MCF68" s="362"/>
      <c r="MCG68" s="362"/>
      <c r="MCH68" s="362"/>
      <c r="MCI68" s="362"/>
      <c r="MCJ68" s="362"/>
      <c r="MCK68" s="362"/>
      <c r="MCL68" s="362"/>
      <c r="MCM68" s="362"/>
      <c r="MCN68" s="362"/>
      <c r="MCO68" s="362"/>
      <c r="MCP68" s="362"/>
      <c r="MCQ68" s="362"/>
      <c r="MCR68" s="362"/>
      <c r="MCS68" s="362"/>
      <c r="MCT68" s="362"/>
      <c r="MCU68" s="362"/>
      <c r="MCV68" s="362"/>
      <c r="MCW68" s="362"/>
      <c r="MCX68" s="362"/>
      <c r="MCY68" s="362"/>
      <c r="MCZ68" s="362"/>
      <c r="MDA68" s="362"/>
      <c r="MDB68" s="362"/>
      <c r="MDC68" s="362"/>
      <c r="MDD68" s="362"/>
      <c r="MDE68" s="362"/>
      <c r="MDF68" s="362"/>
      <c r="MDG68" s="362"/>
      <c r="MDH68" s="362"/>
      <c r="MDI68" s="362"/>
      <c r="MDJ68" s="362"/>
      <c r="MDK68" s="362"/>
      <c r="MDL68" s="362"/>
      <c r="MDM68" s="362"/>
      <c r="MDN68" s="362"/>
      <c r="MDO68" s="362"/>
      <c r="MDP68" s="362"/>
      <c r="MDQ68" s="362"/>
      <c r="MDR68" s="362"/>
      <c r="MDS68" s="362"/>
      <c r="MDT68" s="362"/>
      <c r="MDU68" s="362"/>
      <c r="MDV68" s="362"/>
      <c r="MDW68" s="362"/>
      <c r="MDX68" s="362"/>
      <c r="MDY68" s="362"/>
      <c r="MDZ68" s="362"/>
      <c r="MEA68" s="362"/>
      <c r="MEB68" s="362"/>
      <c r="MEC68" s="362"/>
      <c r="MED68" s="362"/>
      <c r="MEE68" s="362"/>
      <c r="MEF68" s="362"/>
      <c r="MEG68" s="362"/>
      <c r="MEH68" s="362"/>
      <c r="MEI68" s="362"/>
      <c r="MEJ68" s="362"/>
      <c r="MEK68" s="362"/>
      <c r="MEL68" s="362"/>
      <c r="MEM68" s="362"/>
      <c r="MEN68" s="362"/>
      <c r="MEO68" s="362"/>
      <c r="MEP68" s="362"/>
      <c r="MEQ68" s="362"/>
      <c r="MER68" s="362"/>
      <c r="MES68" s="362"/>
      <c r="MET68" s="362"/>
      <c r="MEU68" s="362"/>
      <c r="MEV68" s="362"/>
      <c r="MEW68" s="362"/>
      <c r="MEX68" s="362"/>
      <c r="MEY68" s="362"/>
      <c r="MEZ68" s="362"/>
      <c r="MFA68" s="362"/>
      <c r="MFB68" s="362"/>
      <c r="MFC68" s="362"/>
      <c r="MFD68" s="362"/>
      <c r="MFE68" s="362"/>
      <c r="MFF68" s="362"/>
      <c r="MFG68" s="362"/>
      <c r="MFH68" s="362"/>
      <c r="MFI68" s="362"/>
      <c r="MFJ68" s="362"/>
      <c r="MFK68" s="362"/>
      <c r="MFL68" s="362"/>
      <c r="MFM68" s="362"/>
      <c r="MFN68" s="362"/>
      <c r="MFO68" s="362"/>
      <c r="MFP68" s="362"/>
      <c r="MFQ68" s="362"/>
      <c r="MFR68" s="362"/>
      <c r="MFS68" s="362"/>
      <c r="MFT68" s="362"/>
      <c r="MFU68" s="362"/>
      <c r="MFV68" s="362"/>
      <c r="MFW68" s="362"/>
      <c r="MFX68" s="362"/>
      <c r="MFY68" s="362"/>
      <c r="MFZ68" s="362"/>
      <c r="MGA68" s="362"/>
      <c r="MGB68" s="362"/>
      <c r="MGC68" s="362"/>
      <c r="MGD68" s="362"/>
      <c r="MGE68" s="362"/>
      <c r="MGF68" s="362"/>
      <c r="MGG68" s="362"/>
      <c r="MGH68" s="362"/>
      <c r="MGI68" s="362"/>
      <c r="MGJ68" s="362"/>
      <c r="MGK68" s="362"/>
      <c r="MGL68" s="362"/>
      <c r="MGM68" s="362"/>
      <c r="MGN68" s="362"/>
      <c r="MGO68" s="362"/>
      <c r="MGP68" s="362"/>
      <c r="MGQ68" s="362"/>
      <c r="MGR68" s="362"/>
      <c r="MGS68" s="362"/>
      <c r="MGT68" s="362"/>
      <c r="MGU68" s="362"/>
      <c r="MGV68" s="362"/>
      <c r="MGW68" s="362"/>
      <c r="MGX68" s="362"/>
      <c r="MGY68" s="362"/>
      <c r="MGZ68" s="362"/>
      <c r="MHA68" s="362"/>
      <c r="MHB68" s="362"/>
      <c r="MHC68" s="362"/>
      <c r="MHD68" s="362"/>
      <c r="MHE68" s="362"/>
      <c r="MHF68" s="362"/>
      <c r="MHG68" s="362"/>
      <c r="MHH68" s="362"/>
      <c r="MHI68" s="362"/>
      <c r="MHJ68" s="362"/>
      <c r="MHK68" s="362"/>
      <c r="MHL68" s="362"/>
      <c r="MHM68" s="362"/>
      <c r="MHN68" s="362"/>
      <c r="MHO68" s="362"/>
      <c r="MHP68" s="362"/>
      <c r="MHQ68" s="362"/>
      <c r="MHR68" s="362"/>
      <c r="MHS68" s="362"/>
      <c r="MHT68" s="362"/>
      <c r="MHU68" s="362"/>
      <c r="MHV68" s="362"/>
      <c r="MHW68" s="362"/>
      <c r="MHX68" s="362"/>
      <c r="MHY68" s="362"/>
      <c r="MHZ68" s="362"/>
      <c r="MIA68" s="362"/>
      <c r="MIB68" s="362"/>
      <c r="MIC68" s="362"/>
      <c r="MID68" s="362"/>
      <c r="MIE68" s="362"/>
      <c r="MIF68" s="362"/>
      <c r="MIG68" s="362"/>
      <c r="MIH68" s="362"/>
      <c r="MII68" s="362"/>
      <c r="MIJ68" s="362"/>
      <c r="MIK68" s="362"/>
      <c r="MIL68" s="362"/>
      <c r="MIM68" s="362"/>
      <c r="MIN68" s="362"/>
      <c r="MIO68" s="362"/>
      <c r="MIP68" s="362"/>
      <c r="MIQ68" s="362"/>
      <c r="MIR68" s="362"/>
      <c r="MIS68" s="362"/>
      <c r="MIT68" s="362"/>
      <c r="MIU68" s="362"/>
      <c r="MIV68" s="362"/>
      <c r="MIW68" s="362"/>
      <c r="MIX68" s="362"/>
      <c r="MIY68" s="362"/>
      <c r="MIZ68" s="362"/>
      <c r="MJA68" s="362"/>
      <c r="MJB68" s="362"/>
      <c r="MJC68" s="362"/>
      <c r="MJD68" s="362"/>
      <c r="MJE68" s="362"/>
      <c r="MJF68" s="362"/>
      <c r="MJG68" s="362"/>
      <c r="MJH68" s="362"/>
      <c r="MJI68" s="362"/>
      <c r="MJJ68" s="362"/>
      <c r="MJK68" s="362"/>
      <c r="MJL68" s="362"/>
      <c r="MJM68" s="362"/>
      <c r="MJN68" s="362"/>
      <c r="MJO68" s="362"/>
      <c r="MJP68" s="362"/>
      <c r="MJQ68" s="362"/>
      <c r="MJR68" s="362"/>
      <c r="MJS68" s="362"/>
      <c r="MJT68" s="362"/>
      <c r="MJU68" s="362"/>
      <c r="MJV68" s="362"/>
      <c r="MJW68" s="362"/>
      <c r="MJX68" s="362"/>
      <c r="MJY68" s="362"/>
      <c r="MJZ68" s="362"/>
      <c r="MKA68" s="362"/>
      <c r="MKB68" s="362"/>
      <c r="MKC68" s="362"/>
      <c r="MKD68" s="362"/>
      <c r="MKE68" s="362"/>
      <c r="MKF68" s="362"/>
      <c r="MKG68" s="362"/>
      <c r="MKH68" s="362"/>
      <c r="MKI68" s="362"/>
      <c r="MKJ68" s="362"/>
      <c r="MKK68" s="362"/>
      <c r="MKL68" s="362"/>
      <c r="MKM68" s="362"/>
      <c r="MKN68" s="362"/>
      <c r="MKO68" s="362"/>
      <c r="MKP68" s="362"/>
      <c r="MKQ68" s="362"/>
      <c r="MKR68" s="362"/>
      <c r="MKS68" s="362"/>
      <c r="MKT68" s="362"/>
      <c r="MKU68" s="362"/>
      <c r="MKV68" s="362"/>
      <c r="MKW68" s="362"/>
      <c r="MKX68" s="362"/>
      <c r="MKY68" s="362"/>
      <c r="MKZ68" s="362"/>
      <c r="MLA68" s="362"/>
      <c r="MLB68" s="362"/>
      <c r="MLC68" s="362"/>
      <c r="MLD68" s="362"/>
      <c r="MLE68" s="362"/>
      <c r="MLF68" s="362"/>
      <c r="MLG68" s="362"/>
      <c r="MLH68" s="362"/>
      <c r="MLI68" s="362"/>
      <c r="MLJ68" s="362"/>
      <c r="MLK68" s="362"/>
      <c r="MLL68" s="362"/>
      <c r="MLM68" s="362"/>
      <c r="MLN68" s="362"/>
      <c r="MLO68" s="362"/>
      <c r="MLP68" s="362"/>
      <c r="MLQ68" s="362"/>
      <c r="MLR68" s="362"/>
      <c r="MLS68" s="362"/>
      <c r="MLT68" s="362"/>
      <c r="MLU68" s="362"/>
      <c r="MLV68" s="362"/>
      <c r="MLW68" s="362"/>
      <c r="MLX68" s="362"/>
      <c r="MLY68" s="362"/>
      <c r="MLZ68" s="362"/>
      <c r="MMA68" s="362"/>
      <c r="MMB68" s="362"/>
      <c r="MMC68" s="362"/>
      <c r="MMD68" s="362"/>
      <c r="MME68" s="362"/>
      <c r="MMF68" s="362"/>
      <c r="MMG68" s="362"/>
      <c r="MMH68" s="362"/>
      <c r="MMI68" s="362"/>
      <c r="MMJ68" s="362"/>
      <c r="MMK68" s="362"/>
      <c r="MML68" s="362"/>
      <c r="MMM68" s="362"/>
      <c r="MMN68" s="362"/>
      <c r="MMO68" s="362"/>
      <c r="MMP68" s="362"/>
      <c r="MMQ68" s="362"/>
      <c r="MMR68" s="362"/>
      <c r="MMS68" s="362"/>
      <c r="MMT68" s="362"/>
      <c r="MMU68" s="362"/>
      <c r="MMV68" s="362"/>
      <c r="MMW68" s="362"/>
      <c r="MMX68" s="362"/>
      <c r="MMY68" s="362"/>
      <c r="MMZ68" s="362"/>
      <c r="MNA68" s="362"/>
      <c r="MNB68" s="362"/>
      <c r="MNC68" s="362"/>
      <c r="MND68" s="362"/>
      <c r="MNE68" s="362"/>
      <c r="MNF68" s="362"/>
      <c r="MNG68" s="362"/>
      <c r="MNH68" s="362"/>
      <c r="MNI68" s="362"/>
      <c r="MNJ68" s="362"/>
      <c r="MNK68" s="362"/>
      <c r="MNL68" s="362"/>
      <c r="MNM68" s="362"/>
      <c r="MNN68" s="362"/>
      <c r="MNO68" s="362"/>
      <c r="MNP68" s="362"/>
      <c r="MNQ68" s="362"/>
      <c r="MNR68" s="362"/>
      <c r="MNS68" s="362"/>
      <c r="MNT68" s="362"/>
      <c r="MNU68" s="362"/>
      <c r="MNV68" s="362"/>
      <c r="MNW68" s="362"/>
      <c r="MNX68" s="362"/>
      <c r="MNY68" s="362"/>
      <c r="MNZ68" s="362"/>
      <c r="MOA68" s="362"/>
      <c r="MOB68" s="362"/>
      <c r="MOC68" s="362"/>
      <c r="MOD68" s="362"/>
      <c r="MOE68" s="362"/>
      <c r="MOF68" s="362"/>
      <c r="MOG68" s="362"/>
      <c r="MOH68" s="362"/>
      <c r="MOI68" s="362"/>
      <c r="MOJ68" s="362"/>
      <c r="MOK68" s="362"/>
      <c r="MOL68" s="362"/>
      <c r="MOM68" s="362"/>
      <c r="MON68" s="362"/>
      <c r="MOO68" s="362"/>
      <c r="MOP68" s="362"/>
      <c r="MOQ68" s="362"/>
      <c r="MOR68" s="362"/>
      <c r="MOS68" s="362"/>
      <c r="MOT68" s="362"/>
      <c r="MOU68" s="362"/>
      <c r="MOV68" s="362"/>
      <c r="MOW68" s="362"/>
      <c r="MOX68" s="362"/>
      <c r="MOY68" s="362"/>
      <c r="MOZ68" s="362"/>
      <c r="MPA68" s="362"/>
      <c r="MPB68" s="362"/>
      <c r="MPC68" s="362"/>
      <c r="MPD68" s="362"/>
      <c r="MPE68" s="362"/>
      <c r="MPF68" s="362"/>
      <c r="MPG68" s="362"/>
      <c r="MPH68" s="362"/>
      <c r="MPI68" s="362"/>
      <c r="MPJ68" s="362"/>
      <c r="MPK68" s="362"/>
      <c r="MPL68" s="362"/>
      <c r="MPM68" s="362"/>
      <c r="MPN68" s="362"/>
      <c r="MPO68" s="362"/>
      <c r="MPP68" s="362"/>
      <c r="MPQ68" s="362"/>
      <c r="MPR68" s="362"/>
      <c r="MPS68" s="362"/>
      <c r="MPT68" s="362"/>
      <c r="MPU68" s="362"/>
      <c r="MPV68" s="362"/>
      <c r="MPW68" s="362"/>
      <c r="MPX68" s="362"/>
      <c r="MPY68" s="362"/>
      <c r="MPZ68" s="362"/>
      <c r="MQA68" s="362"/>
      <c r="MQB68" s="362"/>
      <c r="MQC68" s="362"/>
      <c r="MQD68" s="362"/>
      <c r="MQE68" s="362"/>
      <c r="MQF68" s="362"/>
      <c r="MQG68" s="362"/>
      <c r="MQH68" s="362"/>
      <c r="MQI68" s="362"/>
      <c r="MQJ68" s="362"/>
      <c r="MQK68" s="362"/>
      <c r="MQL68" s="362"/>
      <c r="MQM68" s="362"/>
      <c r="MQN68" s="362"/>
      <c r="MQO68" s="362"/>
      <c r="MQP68" s="362"/>
      <c r="MQQ68" s="362"/>
      <c r="MQR68" s="362"/>
      <c r="MQS68" s="362"/>
      <c r="MQT68" s="362"/>
      <c r="MQU68" s="362"/>
      <c r="MQV68" s="362"/>
      <c r="MQW68" s="362"/>
      <c r="MQX68" s="362"/>
      <c r="MQY68" s="362"/>
      <c r="MQZ68" s="362"/>
      <c r="MRA68" s="362"/>
      <c r="MRB68" s="362"/>
      <c r="MRC68" s="362"/>
      <c r="MRD68" s="362"/>
      <c r="MRE68" s="362"/>
      <c r="MRF68" s="362"/>
      <c r="MRG68" s="362"/>
      <c r="MRH68" s="362"/>
      <c r="MRI68" s="362"/>
      <c r="MRJ68" s="362"/>
      <c r="MRK68" s="362"/>
      <c r="MRL68" s="362"/>
      <c r="MRM68" s="362"/>
      <c r="MRN68" s="362"/>
      <c r="MRO68" s="362"/>
      <c r="MRP68" s="362"/>
      <c r="MRQ68" s="362"/>
      <c r="MRR68" s="362"/>
      <c r="MRS68" s="362"/>
      <c r="MRT68" s="362"/>
      <c r="MRU68" s="362"/>
      <c r="MRV68" s="362"/>
      <c r="MRW68" s="362"/>
      <c r="MRX68" s="362"/>
      <c r="MRY68" s="362"/>
      <c r="MRZ68" s="362"/>
      <c r="MSA68" s="362"/>
      <c r="MSB68" s="362"/>
      <c r="MSC68" s="362"/>
      <c r="MSD68" s="362"/>
      <c r="MSE68" s="362"/>
      <c r="MSF68" s="362"/>
      <c r="MSG68" s="362"/>
      <c r="MSH68" s="362"/>
      <c r="MSI68" s="362"/>
      <c r="MSJ68" s="362"/>
      <c r="MSK68" s="362"/>
      <c r="MSL68" s="362"/>
      <c r="MSM68" s="362"/>
      <c r="MSN68" s="362"/>
      <c r="MSO68" s="362"/>
      <c r="MSP68" s="362"/>
      <c r="MSQ68" s="362"/>
      <c r="MSR68" s="362"/>
      <c r="MSS68" s="362"/>
      <c r="MST68" s="362"/>
      <c r="MSU68" s="362"/>
      <c r="MSV68" s="362"/>
      <c r="MSW68" s="362"/>
      <c r="MSX68" s="362"/>
      <c r="MSY68" s="362"/>
      <c r="MSZ68" s="362"/>
      <c r="MTA68" s="362"/>
      <c r="MTB68" s="362"/>
      <c r="MTC68" s="362"/>
      <c r="MTD68" s="362"/>
      <c r="MTE68" s="362"/>
      <c r="MTF68" s="362"/>
      <c r="MTG68" s="362"/>
      <c r="MTH68" s="362"/>
      <c r="MTI68" s="362"/>
      <c r="MTJ68" s="362"/>
      <c r="MTK68" s="362"/>
      <c r="MTL68" s="362"/>
      <c r="MTM68" s="362"/>
      <c r="MTN68" s="362"/>
      <c r="MTO68" s="362"/>
      <c r="MTP68" s="362"/>
      <c r="MTQ68" s="362"/>
      <c r="MTR68" s="362"/>
      <c r="MTS68" s="362"/>
      <c r="MTT68" s="362"/>
      <c r="MTU68" s="362"/>
      <c r="MTV68" s="362"/>
      <c r="MTW68" s="362"/>
      <c r="MTX68" s="362"/>
      <c r="MTY68" s="362"/>
      <c r="MTZ68" s="362"/>
      <c r="MUA68" s="362"/>
      <c r="MUB68" s="362"/>
      <c r="MUC68" s="362"/>
      <c r="MUD68" s="362"/>
      <c r="MUE68" s="362"/>
      <c r="MUF68" s="362"/>
      <c r="MUG68" s="362"/>
      <c r="MUH68" s="362"/>
      <c r="MUI68" s="362"/>
      <c r="MUJ68" s="362"/>
      <c r="MUK68" s="362"/>
      <c r="MUL68" s="362"/>
      <c r="MUM68" s="362"/>
      <c r="MUN68" s="362"/>
      <c r="MUO68" s="362"/>
      <c r="MUP68" s="362"/>
      <c r="MUQ68" s="362"/>
      <c r="MUR68" s="362"/>
      <c r="MUS68" s="362"/>
      <c r="MUT68" s="362"/>
      <c r="MUU68" s="362"/>
      <c r="MUV68" s="362"/>
      <c r="MUW68" s="362"/>
      <c r="MUX68" s="362"/>
      <c r="MUY68" s="362"/>
      <c r="MUZ68" s="362"/>
      <c r="MVA68" s="362"/>
      <c r="MVB68" s="362"/>
      <c r="MVC68" s="362"/>
      <c r="MVD68" s="362"/>
      <c r="MVE68" s="362"/>
      <c r="MVF68" s="362"/>
      <c r="MVG68" s="362"/>
      <c r="MVH68" s="362"/>
      <c r="MVI68" s="362"/>
      <c r="MVJ68" s="362"/>
      <c r="MVK68" s="362"/>
      <c r="MVL68" s="362"/>
      <c r="MVM68" s="362"/>
      <c r="MVN68" s="362"/>
      <c r="MVO68" s="362"/>
      <c r="MVP68" s="362"/>
      <c r="MVQ68" s="362"/>
      <c r="MVR68" s="362"/>
      <c r="MVS68" s="362"/>
      <c r="MVT68" s="362"/>
      <c r="MVU68" s="362"/>
      <c r="MVV68" s="362"/>
      <c r="MVW68" s="362"/>
      <c r="MVX68" s="362"/>
      <c r="MVY68" s="362"/>
      <c r="MVZ68" s="362"/>
      <c r="MWA68" s="362"/>
      <c r="MWB68" s="362"/>
      <c r="MWC68" s="362"/>
      <c r="MWD68" s="362"/>
      <c r="MWE68" s="362"/>
      <c r="MWF68" s="362"/>
      <c r="MWG68" s="362"/>
      <c r="MWH68" s="362"/>
      <c r="MWI68" s="362"/>
      <c r="MWJ68" s="362"/>
      <c r="MWK68" s="362"/>
      <c r="MWL68" s="362"/>
      <c r="MWM68" s="362"/>
      <c r="MWN68" s="362"/>
      <c r="MWO68" s="362"/>
      <c r="MWP68" s="362"/>
      <c r="MWQ68" s="362"/>
      <c r="MWR68" s="362"/>
      <c r="MWS68" s="362"/>
      <c r="MWT68" s="362"/>
      <c r="MWU68" s="362"/>
      <c r="MWV68" s="362"/>
      <c r="MWW68" s="362"/>
      <c r="MWX68" s="362"/>
      <c r="MWY68" s="362"/>
      <c r="MWZ68" s="362"/>
      <c r="MXA68" s="362"/>
      <c r="MXB68" s="362"/>
      <c r="MXC68" s="362"/>
      <c r="MXD68" s="362"/>
      <c r="MXE68" s="362"/>
      <c r="MXF68" s="362"/>
      <c r="MXG68" s="362"/>
      <c r="MXH68" s="362"/>
      <c r="MXI68" s="362"/>
      <c r="MXJ68" s="362"/>
      <c r="MXK68" s="362"/>
      <c r="MXL68" s="362"/>
      <c r="MXM68" s="362"/>
      <c r="MXN68" s="362"/>
      <c r="MXO68" s="362"/>
      <c r="MXP68" s="362"/>
      <c r="MXQ68" s="362"/>
      <c r="MXR68" s="362"/>
      <c r="MXS68" s="362"/>
      <c r="MXT68" s="362"/>
      <c r="MXU68" s="362"/>
      <c r="MXV68" s="362"/>
      <c r="MXW68" s="362"/>
      <c r="MXX68" s="362"/>
      <c r="MXY68" s="362"/>
      <c r="MXZ68" s="362"/>
      <c r="MYA68" s="362"/>
      <c r="MYB68" s="362"/>
      <c r="MYC68" s="362"/>
      <c r="MYD68" s="362"/>
      <c r="MYE68" s="362"/>
      <c r="MYF68" s="362"/>
      <c r="MYG68" s="362"/>
      <c r="MYH68" s="362"/>
      <c r="MYI68" s="362"/>
      <c r="MYJ68" s="362"/>
      <c r="MYK68" s="362"/>
      <c r="MYL68" s="362"/>
      <c r="MYM68" s="362"/>
      <c r="MYN68" s="362"/>
      <c r="MYO68" s="362"/>
      <c r="MYP68" s="362"/>
      <c r="MYQ68" s="362"/>
      <c r="MYR68" s="362"/>
      <c r="MYS68" s="362"/>
      <c r="MYT68" s="362"/>
      <c r="MYU68" s="362"/>
      <c r="MYV68" s="362"/>
      <c r="MYW68" s="362"/>
      <c r="MYX68" s="362"/>
      <c r="MYY68" s="362"/>
      <c r="MYZ68" s="362"/>
      <c r="MZA68" s="362"/>
      <c r="MZB68" s="362"/>
      <c r="MZC68" s="362"/>
      <c r="MZD68" s="362"/>
      <c r="MZE68" s="362"/>
      <c r="MZF68" s="362"/>
      <c r="MZG68" s="362"/>
      <c r="MZH68" s="362"/>
      <c r="MZI68" s="362"/>
      <c r="MZJ68" s="362"/>
      <c r="MZK68" s="362"/>
      <c r="MZL68" s="362"/>
      <c r="MZM68" s="362"/>
      <c r="MZN68" s="362"/>
      <c r="MZO68" s="362"/>
      <c r="MZP68" s="362"/>
      <c r="MZQ68" s="362"/>
      <c r="MZR68" s="362"/>
      <c r="MZS68" s="362"/>
      <c r="MZT68" s="362"/>
      <c r="MZU68" s="362"/>
      <c r="MZV68" s="362"/>
      <c r="MZW68" s="362"/>
      <c r="MZX68" s="362"/>
      <c r="MZY68" s="362"/>
      <c r="MZZ68" s="362"/>
      <c r="NAA68" s="362"/>
      <c r="NAB68" s="362"/>
      <c r="NAC68" s="362"/>
      <c r="NAD68" s="362"/>
      <c r="NAE68" s="362"/>
      <c r="NAF68" s="362"/>
      <c r="NAG68" s="362"/>
      <c r="NAH68" s="362"/>
      <c r="NAI68" s="362"/>
      <c r="NAJ68" s="362"/>
      <c r="NAK68" s="362"/>
      <c r="NAL68" s="362"/>
      <c r="NAM68" s="362"/>
      <c r="NAN68" s="362"/>
      <c r="NAO68" s="362"/>
      <c r="NAP68" s="362"/>
      <c r="NAQ68" s="362"/>
      <c r="NAR68" s="362"/>
      <c r="NAS68" s="362"/>
      <c r="NAT68" s="362"/>
      <c r="NAU68" s="362"/>
      <c r="NAV68" s="362"/>
      <c r="NAW68" s="362"/>
      <c r="NAX68" s="362"/>
      <c r="NAY68" s="362"/>
      <c r="NAZ68" s="362"/>
      <c r="NBA68" s="362"/>
      <c r="NBB68" s="362"/>
      <c r="NBC68" s="362"/>
      <c r="NBD68" s="362"/>
      <c r="NBE68" s="362"/>
      <c r="NBF68" s="362"/>
      <c r="NBG68" s="362"/>
      <c r="NBH68" s="362"/>
      <c r="NBI68" s="362"/>
      <c r="NBJ68" s="362"/>
      <c r="NBK68" s="362"/>
      <c r="NBL68" s="362"/>
      <c r="NBM68" s="362"/>
      <c r="NBN68" s="362"/>
      <c r="NBO68" s="362"/>
      <c r="NBP68" s="362"/>
      <c r="NBQ68" s="362"/>
      <c r="NBR68" s="362"/>
      <c r="NBS68" s="362"/>
      <c r="NBT68" s="362"/>
      <c r="NBU68" s="362"/>
      <c r="NBV68" s="362"/>
      <c r="NBW68" s="362"/>
      <c r="NBX68" s="362"/>
      <c r="NBY68" s="362"/>
      <c r="NBZ68" s="362"/>
      <c r="NCA68" s="362"/>
      <c r="NCB68" s="362"/>
      <c r="NCC68" s="362"/>
      <c r="NCD68" s="362"/>
      <c r="NCE68" s="362"/>
      <c r="NCF68" s="362"/>
      <c r="NCG68" s="362"/>
      <c r="NCH68" s="362"/>
      <c r="NCI68" s="362"/>
      <c r="NCJ68" s="362"/>
      <c r="NCK68" s="362"/>
      <c r="NCL68" s="362"/>
      <c r="NCM68" s="362"/>
      <c r="NCN68" s="362"/>
      <c r="NCO68" s="362"/>
      <c r="NCP68" s="362"/>
      <c r="NCQ68" s="362"/>
      <c r="NCR68" s="362"/>
      <c r="NCS68" s="362"/>
      <c r="NCT68" s="362"/>
      <c r="NCU68" s="362"/>
      <c r="NCV68" s="362"/>
      <c r="NCW68" s="362"/>
      <c r="NCX68" s="362"/>
      <c r="NCY68" s="362"/>
      <c r="NCZ68" s="362"/>
      <c r="NDA68" s="362"/>
      <c r="NDB68" s="362"/>
      <c r="NDC68" s="362"/>
      <c r="NDD68" s="362"/>
      <c r="NDE68" s="362"/>
      <c r="NDF68" s="362"/>
      <c r="NDG68" s="362"/>
      <c r="NDH68" s="362"/>
      <c r="NDI68" s="362"/>
      <c r="NDJ68" s="362"/>
      <c r="NDK68" s="362"/>
      <c r="NDL68" s="362"/>
      <c r="NDM68" s="362"/>
      <c r="NDN68" s="362"/>
      <c r="NDO68" s="362"/>
      <c r="NDP68" s="362"/>
      <c r="NDQ68" s="362"/>
      <c r="NDR68" s="362"/>
      <c r="NDS68" s="362"/>
      <c r="NDT68" s="362"/>
      <c r="NDU68" s="362"/>
      <c r="NDV68" s="362"/>
      <c r="NDW68" s="362"/>
      <c r="NDX68" s="362"/>
      <c r="NDY68" s="362"/>
      <c r="NDZ68" s="362"/>
      <c r="NEA68" s="362"/>
      <c r="NEB68" s="362"/>
      <c r="NEC68" s="362"/>
      <c r="NED68" s="362"/>
      <c r="NEE68" s="362"/>
      <c r="NEF68" s="362"/>
      <c r="NEG68" s="362"/>
      <c r="NEH68" s="362"/>
      <c r="NEI68" s="362"/>
      <c r="NEJ68" s="362"/>
      <c r="NEK68" s="362"/>
      <c r="NEL68" s="362"/>
      <c r="NEM68" s="362"/>
      <c r="NEN68" s="362"/>
      <c r="NEO68" s="362"/>
      <c r="NEP68" s="362"/>
      <c r="NEQ68" s="362"/>
      <c r="NER68" s="362"/>
      <c r="NES68" s="362"/>
      <c r="NET68" s="362"/>
      <c r="NEU68" s="362"/>
      <c r="NEV68" s="362"/>
      <c r="NEW68" s="362"/>
      <c r="NEX68" s="362"/>
      <c r="NEY68" s="362"/>
      <c r="NEZ68" s="362"/>
      <c r="NFA68" s="362"/>
      <c r="NFB68" s="362"/>
      <c r="NFC68" s="362"/>
      <c r="NFD68" s="362"/>
      <c r="NFE68" s="362"/>
      <c r="NFF68" s="362"/>
      <c r="NFG68" s="362"/>
      <c r="NFH68" s="362"/>
      <c r="NFI68" s="362"/>
      <c r="NFJ68" s="362"/>
      <c r="NFK68" s="362"/>
      <c r="NFL68" s="362"/>
      <c r="NFM68" s="362"/>
      <c r="NFN68" s="362"/>
      <c r="NFO68" s="362"/>
      <c r="NFP68" s="362"/>
      <c r="NFQ68" s="362"/>
      <c r="NFR68" s="362"/>
      <c r="NFS68" s="362"/>
      <c r="NFT68" s="362"/>
      <c r="NFU68" s="362"/>
      <c r="NFV68" s="362"/>
      <c r="NFW68" s="362"/>
      <c r="NFX68" s="362"/>
      <c r="NFY68" s="362"/>
      <c r="NFZ68" s="362"/>
      <c r="NGA68" s="362"/>
      <c r="NGB68" s="362"/>
      <c r="NGC68" s="362"/>
      <c r="NGD68" s="362"/>
      <c r="NGE68" s="362"/>
      <c r="NGF68" s="362"/>
      <c r="NGG68" s="362"/>
      <c r="NGH68" s="362"/>
      <c r="NGI68" s="362"/>
      <c r="NGJ68" s="362"/>
      <c r="NGK68" s="362"/>
      <c r="NGL68" s="362"/>
      <c r="NGM68" s="362"/>
      <c r="NGN68" s="362"/>
      <c r="NGO68" s="362"/>
      <c r="NGP68" s="362"/>
      <c r="NGQ68" s="362"/>
      <c r="NGR68" s="362"/>
      <c r="NGS68" s="362"/>
      <c r="NGT68" s="362"/>
      <c r="NGU68" s="362"/>
      <c r="NGV68" s="362"/>
      <c r="NGW68" s="362"/>
      <c r="NGX68" s="362"/>
      <c r="NGY68" s="362"/>
      <c r="NGZ68" s="362"/>
      <c r="NHA68" s="362"/>
      <c r="NHB68" s="362"/>
      <c r="NHC68" s="362"/>
      <c r="NHD68" s="362"/>
      <c r="NHE68" s="362"/>
      <c r="NHF68" s="362"/>
      <c r="NHG68" s="362"/>
      <c r="NHH68" s="362"/>
      <c r="NHI68" s="362"/>
      <c r="NHJ68" s="362"/>
      <c r="NHK68" s="362"/>
      <c r="NHL68" s="362"/>
      <c r="NHM68" s="362"/>
      <c r="NHN68" s="362"/>
      <c r="NHO68" s="362"/>
      <c r="NHP68" s="362"/>
      <c r="NHQ68" s="362"/>
      <c r="NHR68" s="362"/>
      <c r="NHS68" s="362"/>
      <c r="NHT68" s="362"/>
      <c r="NHU68" s="362"/>
      <c r="NHV68" s="362"/>
      <c r="NHW68" s="362"/>
      <c r="NHX68" s="362"/>
      <c r="NHY68" s="362"/>
      <c r="NHZ68" s="362"/>
      <c r="NIA68" s="362"/>
      <c r="NIB68" s="362"/>
      <c r="NIC68" s="362"/>
      <c r="NID68" s="362"/>
      <c r="NIE68" s="362"/>
      <c r="NIF68" s="362"/>
      <c r="NIG68" s="362"/>
      <c r="NIH68" s="362"/>
      <c r="NII68" s="362"/>
      <c r="NIJ68" s="362"/>
      <c r="NIK68" s="362"/>
      <c r="NIL68" s="362"/>
      <c r="NIM68" s="362"/>
      <c r="NIN68" s="362"/>
      <c r="NIO68" s="362"/>
      <c r="NIP68" s="362"/>
      <c r="NIQ68" s="362"/>
      <c r="NIR68" s="362"/>
      <c r="NIS68" s="362"/>
      <c r="NIT68" s="362"/>
      <c r="NIU68" s="362"/>
      <c r="NIV68" s="362"/>
      <c r="NIW68" s="362"/>
      <c r="NIX68" s="362"/>
      <c r="NIY68" s="362"/>
      <c r="NIZ68" s="362"/>
      <c r="NJA68" s="362"/>
      <c r="NJB68" s="362"/>
      <c r="NJC68" s="362"/>
      <c r="NJD68" s="362"/>
      <c r="NJE68" s="362"/>
      <c r="NJF68" s="362"/>
      <c r="NJG68" s="362"/>
      <c r="NJH68" s="362"/>
      <c r="NJI68" s="362"/>
      <c r="NJJ68" s="362"/>
      <c r="NJK68" s="362"/>
      <c r="NJL68" s="362"/>
      <c r="NJM68" s="362"/>
      <c r="NJN68" s="362"/>
      <c r="NJO68" s="362"/>
      <c r="NJP68" s="362"/>
      <c r="NJQ68" s="362"/>
      <c r="NJR68" s="362"/>
      <c r="NJS68" s="362"/>
      <c r="NJT68" s="362"/>
      <c r="NJU68" s="362"/>
      <c r="NJV68" s="362"/>
      <c r="NJW68" s="362"/>
      <c r="NJX68" s="362"/>
      <c r="NJY68" s="362"/>
      <c r="NJZ68" s="362"/>
      <c r="NKA68" s="362"/>
      <c r="NKB68" s="362"/>
      <c r="NKC68" s="362"/>
      <c r="NKD68" s="362"/>
      <c r="NKE68" s="362"/>
      <c r="NKF68" s="362"/>
      <c r="NKG68" s="362"/>
      <c r="NKH68" s="362"/>
      <c r="NKI68" s="362"/>
      <c r="NKJ68" s="362"/>
      <c r="NKK68" s="362"/>
      <c r="NKL68" s="362"/>
      <c r="NKM68" s="362"/>
      <c r="NKN68" s="362"/>
      <c r="NKO68" s="362"/>
      <c r="NKP68" s="362"/>
      <c r="NKQ68" s="362"/>
      <c r="NKR68" s="362"/>
      <c r="NKS68" s="362"/>
      <c r="NKT68" s="362"/>
      <c r="NKU68" s="362"/>
      <c r="NKV68" s="362"/>
      <c r="NKW68" s="362"/>
      <c r="NKX68" s="362"/>
      <c r="NKY68" s="362"/>
      <c r="NKZ68" s="362"/>
      <c r="NLA68" s="362"/>
      <c r="NLB68" s="362"/>
      <c r="NLC68" s="362"/>
      <c r="NLD68" s="362"/>
      <c r="NLE68" s="362"/>
      <c r="NLF68" s="362"/>
      <c r="NLG68" s="362"/>
      <c r="NLH68" s="362"/>
      <c r="NLI68" s="362"/>
      <c r="NLJ68" s="362"/>
      <c r="NLK68" s="362"/>
      <c r="NLL68" s="362"/>
      <c r="NLM68" s="362"/>
      <c r="NLN68" s="362"/>
      <c r="NLO68" s="362"/>
      <c r="NLP68" s="362"/>
      <c r="NLQ68" s="362"/>
      <c r="NLR68" s="362"/>
      <c r="NLS68" s="362"/>
      <c r="NLT68" s="362"/>
      <c r="NLU68" s="362"/>
      <c r="NLV68" s="362"/>
      <c r="NLW68" s="362"/>
      <c r="NLX68" s="362"/>
      <c r="NLY68" s="362"/>
      <c r="NLZ68" s="362"/>
      <c r="NMA68" s="362"/>
      <c r="NMB68" s="362"/>
      <c r="NMC68" s="362"/>
      <c r="NMD68" s="362"/>
      <c r="NME68" s="362"/>
      <c r="NMF68" s="362"/>
      <c r="NMG68" s="362"/>
      <c r="NMH68" s="362"/>
      <c r="NMI68" s="362"/>
      <c r="NMJ68" s="362"/>
      <c r="NMK68" s="362"/>
      <c r="NML68" s="362"/>
      <c r="NMM68" s="362"/>
      <c r="NMN68" s="362"/>
      <c r="NMO68" s="362"/>
      <c r="NMP68" s="362"/>
      <c r="NMQ68" s="362"/>
      <c r="NMR68" s="362"/>
      <c r="NMS68" s="362"/>
      <c r="NMT68" s="362"/>
      <c r="NMU68" s="362"/>
      <c r="NMV68" s="362"/>
      <c r="NMW68" s="362"/>
      <c r="NMX68" s="362"/>
      <c r="NMY68" s="362"/>
      <c r="NMZ68" s="362"/>
      <c r="NNA68" s="362"/>
      <c r="NNB68" s="362"/>
      <c r="NNC68" s="362"/>
      <c r="NND68" s="362"/>
      <c r="NNE68" s="362"/>
      <c r="NNF68" s="362"/>
      <c r="NNG68" s="362"/>
      <c r="NNH68" s="362"/>
      <c r="NNI68" s="362"/>
      <c r="NNJ68" s="362"/>
      <c r="NNK68" s="362"/>
      <c r="NNL68" s="362"/>
      <c r="NNM68" s="362"/>
      <c r="NNN68" s="362"/>
      <c r="NNO68" s="362"/>
      <c r="NNP68" s="362"/>
      <c r="NNQ68" s="362"/>
      <c r="NNR68" s="362"/>
      <c r="NNS68" s="362"/>
      <c r="NNT68" s="362"/>
      <c r="NNU68" s="362"/>
      <c r="NNV68" s="362"/>
      <c r="NNW68" s="362"/>
      <c r="NNX68" s="362"/>
      <c r="NNY68" s="362"/>
      <c r="NNZ68" s="362"/>
      <c r="NOA68" s="362"/>
      <c r="NOB68" s="362"/>
      <c r="NOC68" s="362"/>
      <c r="NOD68" s="362"/>
      <c r="NOE68" s="362"/>
      <c r="NOF68" s="362"/>
      <c r="NOG68" s="362"/>
      <c r="NOH68" s="362"/>
      <c r="NOI68" s="362"/>
      <c r="NOJ68" s="362"/>
      <c r="NOK68" s="362"/>
      <c r="NOL68" s="362"/>
      <c r="NOM68" s="362"/>
      <c r="NON68" s="362"/>
      <c r="NOO68" s="362"/>
      <c r="NOP68" s="362"/>
      <c r="NOQ68" s="362"/>
      <c r="NOR68" s="362"/>
      <c r="NOS68" s="362"/>
      <c r="NOT68" s="362"/>
      <c r="NOU68" s="362"/>
      <c r="NOV68" s="362"/>
      <c r="NOW68" s="362"/>
      <c r="NOX68" s="362"/>
      <c r="NOY68" s="362"/>
      <c r="NOZ68" s="362"/>
      <c r="NPA68" s="362"/>
      <c r="NPB68" s="362"/>
      <c r="NPC68" s="362"/>
      <c r="NPD68" s="362"/>
      <c r="NPE68" s="362"/>
      <c r="NPF68" s="362"/>
      <c r="NPG68" s="362"/>
      <c r="NPH68" s="362"/>
      <c r="NPI68" s="362"/>
      <c r="NPJ68" s="362"/>
      <c r="NPK68" s="362"/>
      <c r="NPL68" s="362"/>
      <c r="NPM68" s="362"/>
      <c r="NPN68" s="362"/>
      <c r="NPO68" s="362"/>
      <c r="NPP68" s="362"/>
      <c r="NPQ68" s="362"/>
      <c r="NPR68" s="362"/>
      <c r="NPS68" s="362"/>
      <c r="NPT68" s="362"/>
      <c r="NPU68" s="362"/>
      <c r="NPV68" s="362"/>
      <c r="NPW68" s="362"/>
      <c r="NPX68" s="362"/>
      <c r="NPY68" s="362"/>
      <c r="NPZ68" s="362"/>
      <c r="NQA68" s="362"/>
      <c r="NQB68" s="362"/>
      <c r="NQC68" s="362"/>
      <c r="NQD68" s="362"/>
      <c r="NQE68" s="362"/>
      <c r="NQF68" s="362"/>
      <c r="NQG68" s="362"/>
      <c r="NQH68" s="362"/>
      <c r="NQI68" s="362"/>
      <c r="NQJ68" s="362"/>
      <c r="NQK68" s="362"/>
      <c r="NQL68" s="362"/>
      <c r="NQM68" s="362"/>
      <c r="NQN68" s="362"/>
      <c r="NQO68" s="362"/>
      <c r="NQP68" s="362"/>
      <c r="NQQ68" s="362"/>
      <c r="NQR68" s="362"/>
      <c r="NQS68" s="362"/>
      <c r="NQT68" s="362"/>
      <c r="NQU68" s="362"/>
      <c r="NQV68" s="362"/>
      <c r="NQW68" s="362"/>
      <c r="NQX68" s="362"/>
      <c r="NQY68" s="362"/>
      <c r="NQZ68" s="362"/>
      <c r="NRA68" s="362"/>
      <c r="NRB68" s="362"/>
      <c r="NRC68" s="362"/>
      <c r="NRD68" s="362"/>
      <c r="NRE68" s="362"/>
      <c r="NRF68" s="362"/>
      <c r="NRG68" s="362"/>
      <c r="NRH68" s="362"/>
      <c r="NRI68" s="362"/>
      <c r="NRJ68" s="362"/>
      <c r="NRK68" s="362"/>
      <c r="NRL68" s="362"/>
      <c r="NRM68" s="362"/>
      <c r="NRN68" s="362"/>
      <c r="NRO68" s="362"/>
      <c r="NRP68" s="362"/>
      <c r="NRQ68" s="362"/>
      <c r="NRR68" s="362"/>
      <c r="NRS68" s="362"/>
      <c r="NRT68" s="362"/>
      <c r="NRU68" s="362"/>
      <c r="NRV68" s="362"/>
      <c r="NRW68" s="362"/>
      <c r="NRX68" s="362"/>
      <c r="NRY68" s="362"/>
      <c r="NRZ68" s="362"/>
      <c r="NSA68" s="362"/>
      <c r="NSB68" s="362"/>
      <c r="NSC68" s="362"/>
      <c r="NSD68" s="362"/>
      <c r="NSE68" s="362"/>
      <c r="NSF68" s="362"/>
      <c r="NSG68" s="362"/>
      <c r="NSH68" s="362"/>
      <c r="NSI68" s="362"/>
      <c r="NSJ68" s="362"/>
      <c r="NSK68" s="362"/>
      <c r="NSL68" s="362"/>
      <c r="NSM68" s="362"/>
      <c r="NSN68" s="362"/>
      <c r="NSO68" s="362"/>
      <c r="NSP68" s="362"/>
      <c r="NSQ68" s="362"/>
      <c r="NSR68" s="362"/>
      <c r="NSS68" s="362"/>
      <c r="NST68" s="362"/>
      <c r="NSU68" s="362"/>
      <c r="NSV68" s="362"/>
      <c r="NSW68" s="362"/>
      <c r="NSX68" s="362"/>
      <c r="NSY68" s="362"/>
      <c r="NSZ68" s="362"/>
      <c r="NTA68" s="362"/>
      <c r="NTB68" s="362"/>
      <c r="NTC68" s="362"/>
      <c r="NTD68" s="362"/>
      <c r="NTE68" s="362"/>
      <c r="NTF68" s="362"/>
      <c r="NTG68" s="362"/>
      <c r="NTH68" s="362"/>
      <c r="NTI68" s="362"/>
      <c r="NTJ68" s="362"/>
      <c r="NTK68" s="362"/>
      <c r="NTL68" s="362"/>
      <c r="NTM68" s="362"/>
      <c r="NTN68" s="362"/>
      <c r="NTO68" s="362"/>
      <c r="NTP68" s="362"/>
      <c r="NTQ68" s="362"/>
      <c r="NTR68" s="362"/>
      <c r="NTS68" s="362"/>
      <c r="NTT68" s="362"/>
      <c r="NTU68" s="362"/>
      <c r="NTV68" s="362"/>
      <c r="NTW68" s="362"/>
      <c r="NTX68" s="362"/>
      <c r="NTY68" s="362"/>
      <c r="NTZ68" s="362"/>
      <c r="NUA68" s="362"/>
      <c r="NUB68" s="362"/>
      <c r="NUC68" s="362"/>
      <c r="NUD68" s="362"/>
      <c r="NUE68" s="362"/>
      <c r="NUF68" s="362"/>
      <c r="NUG68" s="362"/>
      <c r="NUH68" s="362"/>
      <c r="NUI68" s="362"/>
      <c r="NUJ68" s="362"/>
      <c r="NUK68" s="362"/>
      <c r="NUL68" s="362"/>
      <c r="NUM68" s="362"/>
      <c r="NUN68" s="362"/>
      <c r="NUO68" s="362"/>
      <c r="NUP68" s="362"/>
      <c r="NUQ68" s="362"/>
      <c r="NUR68" s="362"/>
      <c r="NUS68" s="362"/>
      <c r="NUT68" s="362"/>
      <c r="NUU68" s="362"/>
      <c r="NUV68" s="362"/>
      <c r="NUW68" s="362"/>
      <c r="NUX68" s="362"/>
      <c r="NUY68" s="362"/>
      <c r="NUZ68" s="362"/>
      <c r="NVA68" s="362"/>
      <c r="NVB68" s="362"/>
      <c r="NVC68" s="362"/>
      <c r="NVD68" s="362"/>
      <c r="NVE68" s="362"/>
      <c r="NVF68" s="362"/>
      <c r="NVG68" s="362"/>
      <c r="NVH68" s="362"/>
      <c r="NVI68" s="362"/>
      <c r="NVJ68" s="362"/>
      <c r="NVK68" s="362"/>
      <c r="NVL68" s="362"/>
      <c r="NVM68" s="362"/>
      <c r="NVN68" s="362"/>
      <c r="NVO68" s="362"/>
      <c r="NVP68" s="362"/>
      <c r="NVQ68" s="362"/>
      <c r="NVR68" s="362"/>
      <c r="NVS68" s="362"/>
      <c r="NVT68" s="362"/>
      <c r="NVU68" s="362"/>
      <c r="NVV68" s="362"/>
      <c r="NVW68" s="362"/>
      <c r="NVX68" s="362"/>
      <c r="NVY68" s="362"/>
      <c r="NVZ68" s="362"/>
      <c r="NWA68" s="362"/>
      <c r="NWB68" s="362"/>
      <c r="NWC68" s="362"/>
      <c r="NWD68" s="362"/>
      <c r="NWE68" s="362"/>
      <c r="NWF68" s="362"/>
      <c r="NWG68" s="362"/>
      <c r="NWH68" s="362"/>
      <c r="NWI68" s="362"/>
      <c r="NWJ68" s="362"/>
      <c r="NWK68" s="362"/>
      <c r="NWL68" s="362"/>
      <c r="NWM68" s="362"/>
      <c r="NWN68" s="362"/>
      <c r="NWO68" s="362"/>
      <c r="NWP68" s="362"/>
      <c r="NWQ68" s="362"/>
      <c r="NWR68" s="362"/>
      <c r="NWS68" s="362"/>
      <c r="NWT68" s="362"/>
      <c r="NWU68" s="362"/>
      <c r="NWV68" s="362"/>
      <c r="NWW68" s="362"/>
      <c r="NWX68" s="362"/>
      <c r="NWY68" s="362"/>
      <c r="NWZ68" s="362"/>
      <c r="NXA68" s="362"/>
      <c r="NXB68" s="362"/>
      <c r="NXC68" s="362"/>
      <c r="NXD68" s="362"/>
      <c r="NXE68" s="362"/>
      <c r="NXF68" s="362"/>
      <c r="NXG68" s="362"/>
      <c r="NXH68" s="362"/>
      <c r="NXI68" s="362"/>
      <c r="NXJ68" s="362"/>
      <c r="NXK68" s="362"/>
      <c r="NXL68" s="362"/>
      <c r="NXM68" s="362"/>
      <c r="NXN68" s="362"/>
      <c r="NXO68" s="362"/>
      <c r="NXP68" s="362"/>
      <c r="NXQ68" s="362"/>
      <c r="NXR68" s="362"/>
      <c r="NXS68" s="362"/>
      <c r="NXT68" s="362"/>
      <c r="NXU68" s="362"/>
      <c r="NXV68" s="362"/>
      <c r="NXW68" s="362"/>
      <c r="NXX68" s="362"/>
      <c r="NXY68" s="362"/>
      <c r="NXZ68" s="362"/>
      <c r="NYA68" s="362"/>
      <c r="NYB68" s="362"/>
      <c r="NYC68" s="362"/>
      <c r="NYD68" s="362"/>
      <c r="NYE68" s="362"/>
      <c r="NYF68" s="362"/>
      <c r="NYG68" s="362"/>
      <c r="NYH68" s="362"/>
      <c r="NYI68" s="362"/>
      <c r="NYJ68" s="362"/>
      <c r="NYK68" s="362"/>
      <c r="NYL68" s="362"/>
      <c r="NYM68" s="362"/>
      <c r="NYN68" s="362"/>
      <c r="NYO68" s="362"/>
      <c r="NYP68" s="362"/>
      <c r="NYQ68" s="362"/>
      <c r="NYR68" s="362"/>
      <c r="NYS68" s="362"/>
      <c r="NYT68" s="362"/>
      <c r="NYU68" s="362"/>
      <c r="NYV68" s="362"/>
      <c r="NYW68" s="362"/>
      <c r="NYX68" s="362"/>
      <c r="NYY68" s="362"/>
      <c r="NYZ68" s="362"/>
      <c r="NZA68" s="362"/>
      <c r="NZB68" s="362"/>
      <c r="NZC68" s="362"/>
      <c r="NZD68" s="362"/>
      <c r="NZE68" s="362"/>
      <c r="NZF68" s="362"/>
      <c r="NZG68" s="362"/>
      <c r="NZH68" s="362"/>
      <c r="NZI68" s="362"/>
      <c r="NZJ68" s="362"/>
      <c r="NZK68" s="362"/>
      <c r="NZL68" s="362"/>
      <c r="NZM68" s="362"/>
      <c r="NZN68" s="362"/>
      <c r="NZO68" s="362"/>
      <c r="NZP68" s="362"/>
      <c r="NZQ68" s="362"/>
      <c r="NZR68" s="362"/>
      <c r="NZS68" s="362"/>
      <c r="NZT68" s="362"/>
      <c r="NZU68" s="362"/>
      <c r="NZV68" s="362"/>
      <c r="NZW68" s="362"/>
      <c r="NZX68" s="362"/>
      <c r="NZY68" s="362"/>
      <c r="NZZ68" s="362"/>
      <c r="OAA68" s="362"/>
      <c r="OAB68" s="362"/>
      <c r="OAC68" s="362"/>
      <c r="OAD68" s="362"/>
      <c r="OAE68" s="362"/>
      <c r="OAF68" s="362"/>
      <c r="OAG68" s="362"/>
      <c r="OAH68" s="362"/>
      <c r="OAI68" s="362"/>
      <c r="OAJ68" s="362"/>
      <c r="OAK68" s="362"/>
      <c r="OAL68" s="362"/>
      <c r="OAM68" s="362"/>
      <c r="OAN68" s="362"/>
      <c r="OAO68" s="362"/>
      <c r="OAP68" s="362"/>
      <c r="OAQ68" s="362"/>
      <c r="OAR68" s="362"/>
      <c r="OAS68" s="362"/>
      <c r="OAT68" s="362"/>
      <c r="OAU68" s="362"/>
      <c r="OAV68" s="362"/>
      <c r="OAW68" s="362"/>
      <c r="OAX68" s="362"/>
      <c r="OAY68" s="362"/>
      <c r="OAZ68" s="362"/>
      <c r="OBA68" s="362"/>
      <c r="OBB68" s="362"/>
      <c r="OBC68" s="362"/>
      <c r="OBD68" s="362"/>
      <c r="OBE68" s="362"/>
      <c r="OBF68" s="362"/>
      <c r="OBG68" s="362"/>
      <c r="OBH68" s="362"/>
      <c r="OBI68" s="362"/>
      <c r="OBJ68" s="362"/>
      <c r="OBK68" s="362"/>
      <c r="OBL68" s="362"/>
      <c r="OBM68" s="362"/>
      <c r="OBN68" s="362"/>
      <c r="OBO68" s="362"/>
      <c r="OBP68" s="362"/>
      <c r="OBQ68" s="362"/>
      <c r="OBR68" s="362"/>
      <c r="OBS68" s="362"/>
      <c r="OBT68" s="362"/>
      <c r="OBU68" s="362"/>
      <c r="OBV68" s="362"/>
      <c r="OBW68" s="362"/>
      <c r="OBX68" s="362"/>
      <c r="OBY68" s="362"/>
      <c r="OBZ68" s="362"/>
      <c r="OCA68" s="362"/>
      <c r="OCB68" s="362"/>
      <c r="OCC68" s="362"/>
      <c r="OCD68" s="362"/>
      <c r="OCE68" s="362"/>
      <c r="OCF68" s="362"/>
      <c r="OCG68" s="362"/>
      <c r="OCH68" s="362"/>
      <c r="OCI68" s="362"/>
      <c r="OCJ68" s="362"/>
      <c r="OCK68" s="362"/>
      <c r="OCL68" s="362"/>
      <c r="OCM68" s="362"/>
      <c r="OCN68" s="362"/>
      <c r="OCO68" s="362"/>
      <c r="OCP68" s="362"/>
      <c r="OCQ68" s="362"/>
      <c r="OCR68" s="362"/>
      <c r="OCS68" s="362"/>
      <c r="OCT68" s="362"/>
      <c r="OCU68" s="362"/>
      <c r="OCV68" s="362"/>
      <c r="OCW68" s="362"/>
      <c r="OCX68" s="362"/>
      <c r="OCY68" s="362"/>
      <c r="OCZ68" s="362"/>
      <c r="ODA68" s="362"/>
      <c r="ODB68" s="362"/>
      <c r="ODC68" s="362"/>
      <c r="ODD68" s="362"/>
      <c r="ODE68" s="362"/>
      <c r="ODF68" s="362"/>
      <c r="ODG68" s="362"/>
      <c r="ODH68" s="362"/>
      <c r="ODI68" s="362"/>
      <c r="ODJ68" s="362"/>
      <c r="ODK68" s="362"/>
      <c r="ODL68" s="362"/>
      <c r="ODM68" s="362"/>
      <c r="ODN68" s="362"/>
      <c r="ODO68" s="362"/>
      <c r="ODP68" s="362"/>
      <c r="ODQ68" s="362"/>
      <c r="ODR68" s="362"/>
      <c r="ODS68" s="362"/>
      <c r="ODT68" s="362"/>
      <c r="ODU68" s="362"/>
      <c r="ODV68" s="362"/>
      <c r="ODW68" s="362"/>
      <c r="ODX68" s="362"/>
      <c r="ODY68" s="362"/>
      <c r="ODZ68" s="362"/>
      <c r="OEA68" s="362"/>
      <c r="OEB68" s="362"/>
      <c r="OEC68" s="362"/>
      <c r="OED68" s="362"/>
      <c r="OEE68" s="362"/>
      <c r="OEF68" s="362"/>
      <c r="OEG68" s="362"/>
      <c r="OEH68" s="362"/>
      <c r="OEI68" s="362"/>
      <c r="OEJ68" s="362"/>
      <c r="OEK68" s="362"/>
      <c r="OEL68" s="362"/>
      <c r="OEM68" s="362"/>
      <c r="OEN68" s="362"/>
      <c r="OEO68" s="362"/>
      <c r="OEP68" s="362"/>
      <c r="OEQ68" s="362"/>
      <c r="OER68" s="362"/>
      <c r="OES68" s="362"/>
      <c r="OET68" s="362"/>
      <c r="OEU68" s="362"/>
      <c r="OEV68" s="362"/>
      <c r="OEW68" s="362"/>
      <c r="OEX68" s="362"/>
      <c r="OEY68" s="362"/>
      <c r="OEZ68" s="362"/>
      <c r="OFA68" s="362"/>
      <c r="OFB68" s="362"/>
      <c r="OFC68" s="362"/>
      <c r="OFD68" s="362"/>
      <c r="OFE68" s="362"/>
      <c r="OFF68" s="362"/>
      <c r="OFG68" s="362"/>
      <c r="OFH68" s="362"/>
      <c r="OFI68" s="362"/>
      <c r="OFJ68" s="362"/>
      <c r="OFK68" s="362"/>
      <c r="OFL68" s="362"/>
      <c r="OFM68" s="362"/>
      <c r="OFN68" s="362"/>
      <c r="OFO68" s="362"/>
      <c r="OFP68" s="362"/>
      <c r="OFQ68" s="362"/>
      <c r="OFR68" s="362"/>
      <c r="OFS68" s="362"/>
      <c r="OFT68" s="362"/>
      <c r="OFU68" s="362"/>
      <c r="OFV68" s="362"/>
      <c r="OFW68" s="362"/>
      <c r="OFX68" s="362"/>
      <c r="OFY68" s="362"/>
      <c r="OFZ68" s="362"/>
      <c r="OGA68" s="362"/>
      <c r="OGB68" s="362"/>
      <c r="OGC68" s="362"/>
      <c r="OGD68" s="362"/>
      <c r="OGE68" s="362"/>
      <c r="OGF68" s="362"/>
      <c r="OGG68" s="362"/>
      <c r="OGH68" s="362"/>
      <c r="OGI68" s="362"/>
      <c r="OGJ68" s="362"/>
      <c r="OGK68" s="362"/>
      <c r="OGL68" s="362"/>
      <c r="OGM68" s="362"/>
      <c r="OGN68" s="362"/>
      <c r="OGO68" s="362"/>
      <c r="OGP68" s="362"/>
      <c r="OGQ68" s="362"/>
      <c r="OGR68" s="362"/>
      <c r="OGS68" s="362"/>
      <c r="OGT68" s="362"/>
      <c r="OGU68" s="362"/>
      <c r="OGV68" s="362"/>
      <c r="OGW68" s="362"/>
      <c r="OGX68" s="362"/>
      <c r="OGY68" s="362"/>
      <c r="OGZ68" s="362"/>
      <c r="OHA68" s="362"/>
      <c r="OHB68" s="362"/>
      <c r="OHC68" s="362"/>
      <c r="OHD68" s="362"/>
      <c r="OHE68" s="362"/>
      <c r="OHF68" s="362"/>
      <c r="OHG68" s="362"/>
      <c r="OHH68" s="362"/>
      <c r="OHI68" s="362"/>
      <c r="OHJ68" s="362"/>
      <c r="OHK68" s="362"/>
      <c r="OHL68" s="362"/>
      <c r="OHM68" s="362"/>
      <c r="OHN68" s="362"/>
      <c r="OHO68" s="362"/>
      <c r="OHP68" s="362"/>
      <c r="OHQ68" s="362"/>
      <c r="OHR68" s="362"/>
      <c r="OHS68" s="362"/>
      <c r="OHT68" s="362"/>
      <c r="OHU68" s="362"/>
      <c r="OHV68" s="362"/>
      <c r="OHW68" s="362"/>
      <c r="OHX68" s="362"/>
      <c r="OHY68" s="362"/>
      <c r="OHZ68" s="362"/>
      <c r="OIA68" s="362"/>
      <c r="OIB68" s="362"/>
      <c r="OIC68" s="362"/>
      <c r="OID68" s="362"/>
      <c r="OIE68" s="362"/>
      <c r="OIF68" s="362"/>
      <c r="OIG68" s="362"/>
      <c r="OIH68" s="362"/>
      <c r="OII68" s="362"/>
      <c r="OIJ68" s="362"/>
      <c r="OIK68" s="362"/>
      <c r="OIL68" s="362"/>
      <c r="OIM68" s="362"/>
      <c r="OIN68" s="362"/>
      <c r="OIO68" s="362"/>
      <c r="OIP68" s="362"/>
      <c r="OIQ68" s="362"/>
      <c r="OIR68" s="362"/>
      <c r="OIS68" s="362"/>
      <c r="OIT68" s="362"/>
      <c r="OIU68" s="362"/>
      <c r="OIV68" s="362"/>
      <c r="OIW68" s="362"/>
      <c r="OIX68" s="362"/>
      <c r="OIY68" s="362"/>
      <c r="OIZ68" s="362"/>
      <c r="OJA68" s="362"/>
      <c r="OJB68" s="362"/>
      <c r="OJC68" s="362"/>
      <c r="OJD68" s="362"/>
      <c r="OJE68" s="362"/>
      <c r="OJF68" s="362"/>
      <c r="OJG68" s="362"/>
      <c r="OJH68" s="362"/>
      <c r="OJI68" s="362"/>
      <c r="OJJ68" s="362"/>
      <c r="OJK68" s="362"/>
      <c r="OJL68" s="362"/>
      <c r="OJM68" s="362"/>
      <c r="OJN68" s="362"/>
      <c r="OJO68" s="362"/>
      <c r="OJP68" s="362"/>
      <c r="OJQ68" s="362"/>
      <c r="OJR68" s="362"/>
      <c r="OJS68" s="362"/>
      <c r="OJT68" s="362"/>
      <c r="OJU68" s="362"/>
      <c r="OJV68" s="362"/>
      <c r="OJW68" s="362"/>
      <c r="OJX68" s="362"/>
      <c r="OJY68" s="362"/>
      <c r="OJZ68" s="362"/>
      <c r="OKA68" s="362"/>
      <c r="OKB68" s="362"/>
      <c r="OKC68" s="362"/>
      <c r="OKD68" s="362"/>
      <c r="OKE68" s="362"/>
      <c r="OKF68" s="362"/>
      <c r="OKG68" s="362"/>
      <c r="OKH68" s="362"/>
      <c r="OKI68" s="362"/>
      <c r="OKJ68" s="362"/>
      <c r="OKK68" s="362"/>
      <c r="OKL68" s="362"/>
      <c r="OKM68" s="362"/>
      <c r="OKN68" s="362"/>
      <c r="OKO68" s="362"/>
      <c r="OKP68" s="362"/>
      <c r="OKQ68" s="362"/>
      <c r="OKR68" s="362"/>
      <c r="OKS68" s="362"/>
      <c r="OKT68" s="362"/>
      <c r="OKU68" s="362"/>
      <c r="OKV68" s="362"/>
      <c r="OKW68" s="362"/>
      <c r="OKX68" s="362"/>
      <c r="OKY68" s="362"/>
      <c r="OKZ68" s="362"/>
      <c r="OLA68" s="362"/>
      <c r="OLB68" s="362"/>
      <c r="OLC68" s="362"/>
      <c r="OLD68" s="362"/>
      <c r="OLE68" s="362"/>
      <c r="OLF68" s="362"/>
      <c r="OLG68" s="362"/>
      <c r="OLH68" s="362"/>
      <c r="OLI68" s="362"/>
      <c r="OLJ68" s="362"/>
      <c r="OLK68" s="362"/>
      <c r="OLL68" s="362"/>
      <c r="OLM68" s="362"/>
      <c r="OLN68" s="362"/>
      <c r="OLO68" s="362"/>
      <c r="OLP68" s="362"/>
      <c r="OLQ68" s="362"/>
      <c r="OLR68" s="362"/>
      <c r="OLS68" s="362"/>
      <c r="OLT68" s="362"/>
      <c r="OLU68" s="362"/>
      <c r="OLV68" s="362"/>
      <c r="OLW68" s="362"/>
      <c r="OLX68" s="362"/>
      <c r="OLY68" s="362"/>
      <c r="OLZ68" s="362"/>
      <c r="OMA68" s="362"/>
      <c r="OMB68" s="362"/>
      <c r="OMC68" s="362"/>
      <c r="OMD68" s="362"/>
      <c r="OME68" s="362"/>
      <c r="OMF68" s="362"/>
      <c r="OMG68" s="362"/>
      <c r="OMH68" s="362"/>
      <c r="OMI68" s="362"/>
      <c r="OMJ68" s="362"/>
      <c r="OMK68" s="362"/>
      <c r="OML68" s="362"/>
      <c r="OMM68" s="362"/>
      <c r="OMN68" s="362"/>
      <c r="OMO68" s="362"/>
      <c r="OMP68" s="362"/>
      <c r="OMQ68" s="362"/>
      <c r="OMR68" s="362"/>
      <c r="OMS68" s="362"/>
      <c r="OMT68" s="362"/>
      <c r="OMU68" s="362"/>
      <c r="OMV68" s="362"/>
      <c r="OMW68" s="362"/>
      <c r="OMX68" s="362"/>
      <c r="OMY68" s="362"/>
      <c r="OMZ68" s="362"/>
      <c r="ONA68" s="362"/>
      <c r="ONB68" s="362"/>
      <c r="ONC68" s="362"/>
      <c r="OND68" s="362"/>
      <c r="ONE68" s="362"/>
      <c r="ONF68" s="362"/>
      <c r="ONG68" s="362"/>
      <c r="ONH68" s="362"/>
      <c r="ONI68" s="362"/>
      <c r="ONJ68" s="362"/>
      <c r="ONK68" s="362"/>
      <c r="ONL68" s="362"/>
      <c r="ONM68" s="362"/>
      <c r="ONN68" s="362"/>
      <c r="ONO68" s="362"/>
      <c r="ONP68" s="362"/>
      <c r="ONQ68" s="362"/>
      <c r="ONR68" s="362"/>
      <c r="ONS68" s="362"/>
      <c r="ONT68" s="362"/>
      <c r="ONU68" s="362"/>
      <c r="ONV68" s="362"/>
      <c r="ONW68" s="362"/>
      <c r="ONX68" s="362"/>
      <c r="ONY68" s="362"/>
      <c r="ONZ68" s="362"/>
      <c r="OOA68" s="362"/>
      <c r="OOB68" s="362"/>
      <c r="OOC68" s="362"/>
      <c r="OOD68" s="362"/>
      <c r="OOE68" s="362"/>
      <c r="OOF68" s="362"/>
      <c r="OOG68" s="362"/>
      <c r="OOH68" s="362"/>
      <c r="OOI68" s="362"/>
      <c r="OOJ68" s="362"/>
      <c r="OOK68" s="362"/>
      <c r="OOL68" s="362"/>
      <c r="OOM68" s="362"/>
      <c r="OON68" s="362"/>
      <c r="OOO68" s="362"/>
      <c r="OOP68" s="362"/>
      <c r="OOQ68" s="362"/>
      <c r="OOR68" s="362"/>
      <c r="OOS68" s="362"/>
      <c r="OOT68" s="362"/>
      <c r="OOU68" s="362"/>
      <c r="OOV68" s="362"/>
      <c r="OOW68" s="362"/>
      <c r="OOX68" s="362"/>
      <c r="OOY68" s="362"/>
      <c r="OOZ68" s="362"/>
      <c r="OPA68" s="362"/>
      <c r="OPB68" s="362"/>
      <c r="OPC68" s="362"/>
      <c r="OPD68" s="362"/>
      <c r="OPE68" s="362"/>
      <c r="OPF68" s="362"/>
      <c r="OPG68" s="362"/>
      <c r="OPH68" s="362"/>
      <c r="OPI68" s="362"/>
      <c r="OPJ68" s="362"/>
      <c r="OPK68" s="362"/>
      <c r="OPL68" s="362"/>
      <c r="OPM68" s="362"/>
      <c r="OPN68" s="362"/>
      <c r="OPO68" s="362"/>
      <c r="OPP68" s="362"/>
      <c r="OPQ68" s="362"/>
      <c r="OPR68" s="362"/>
      <c r="OPS68" s="362"/>
      <c r="OPT68" s="362"/>
      <c r="OPU68" s="362"/>
      <c r="OPV68" s="362"/>
      <c r="OPW68" s="362"/>
      <c r="OPX68" s="362"/>
      <c r="OPY68" s="362"/>
      <c r="OPZ68" s="362"/>
      <c r="OQA68" s="362"/>
      <c r="OQB68" s="362"/>
      <c r="OQC68" s="362"/>
      <c r="OQD68" s="362"/>
      <c r="OQE68" s="362"/>
      <c r="OQF68" s="362"/>
      <c r="OQG68" s="362"/>
      <c r="OQH68" s="362"/>
      <c r="OQI68" s="362"/>
      <c r="OQJ68" s="362"/>
      <c r="OQK68" s="362"/>
      <c r="OQL68" s="362"/>
      <c r="OQM68" s="362"/>
      <c r="OQN68" s="362"/>
      <c r="OQO68" s="362"/>
      <c r="OQP68" s="362"/>
      <c r="OQQ68" s="362"/>
      <c r="OQR68" s="362"/>
      <c r="OQS68" s="362"/>
      <c r="OQT68" s="362"/>
      <c r="OQU68" s="362"/>
      <c r="OQV68" s="362"/>
      <c r="OQW68" s="362"/>
      <c r="OQX68" s="362"/>
      <c r="OQY68" s="362"/>
      <c r="OQZ68" s="362"/>
      <c r="ORA68" s="362"/>
      <c r="ORB68" s="362"/>
      <c r="ORC68" s="362"/>
      <c r="ORD68" s="362"/>
      <c r="ORE68" s="362"/>
      <c r="ORF68" s="362"/>
      <c r="ORG68" s="362"/>
      <c r="ORH68" s="362"/>
      <c r="ORI68" s="362"/>
      <c r="ORJ68" s="362"/>
      <c r="ORK68" s="362"/>
      <c r="ORL68" s="362"/>
      <c r="ORM68" s="362"/>
      <c r="ORN68" s="362"/>
      <c r="ORO68" s="362"/>
      <c r="ORP68" s="362"/>
      <c r="ORQ68" s="362"/>
      <c r="ORR68" s="362"/>
      <c r="ORS68" s="362"/>
      <c r="ORT68" s="362"/>
      <c r="ORU68" s="362"/>
      <c r="ORV68" s="362"/>
      <c r="ORW68" s="362"/>
      <c r="ORX68" s="362"/>
      <c r="ORY68" s="362"/>
      <c r="ORZ68" s="362"/>
      <c r="OSA68" s="362"/>
      <c r="OSB68" s="362"/>
      <c r="OSC68" s="362"/>
      <c r="OSD68" s="362"/>
      <c r="OSE68" s="362"/>
      <c r="OSF68" s="362"/>
      <c r="OSG68" s="362"/>
      <c r="OSH68" s="362"/>
      <c r="OSI68" s="362"/>
      <c r="OSJ68" s="362"/>
      <c r="OSK68" s="362"/>
      <c r="OSL68" s="362"/>
      <c r="OSM68" s="362"/>
      <c r="OSN68" s="362"/>
      <c r="OSO68" s="362"/>
      <c r="OSP68" s="362"/>
      <c r="OSQ68" s="362"/>
      <c r="OSR68" s="362"/>
      <c r="OSS68" s="362"/>
      <c r="OST68" s="362"/>
      <c r="OSU68" s="362"/>
      <c r="OSV68" s="362"/>
      <c r="OSW68" s="362"/>
      <c r="OSX68" s="362"/>
      <c r="OSY68" s="362"/>
      <c r="OSZ68" s="362"/>
      <c r="OTA68" s="362"/>
      <c r="OTB68" s="362"/>
      <c r="OTC68" s="362"/>
      <c r="OTD68" s="362"/>
      <c r="OTE68" s="362"/>
      <c r="OTF68" s="362"/>
      <c r="OTG68" s="362"/>
      <c r="OTH68" s="362"/>
      <c r="OTI68" s="362"/>
      <c r="OTJ68" s="362"/>
      <c r="OTK68" s="362"/>
      <c r="OTL68" s="362"/>
      <c r="OTM68" s="362"/>
      <c r="OTN68" s="362"/>
      <c r="OTO68" s="362"/>
      <c r="OTP68" s="362"/>
      <c r="OTQ68" s="362"/>
      <c r="OTR68" s="362"/>
      <c r="OTS68" s="362"/>
      <c r="OTT68" s="362"/>
      <c r="OTU68" s="362"/>
      <c r="OTV68" s="362"/>
      <c r="OTW68" s="362"/>
      <c r="OTX68" s="362"/>
      <c r="OTY68" s="362"/>
      <c r="OTZ68" s="362"/>
      <c r="OUA68" s="362"/>
      <c r="OUB68" s="362"/>
      <c r="OUC68" s="362"/>
      <c r="OUD68" s="362"/>
      <c r="OUE68" s="362"/>
      <c r="OUF68" s="362"/>
      <c r="OUG68" s="362"/>
      <c r="OUH68" s="362"/>
      <c r="OUI68" s="362"/>
      <c r="OUJ68" s="362"/>
      <c r="OUK68" s="362"/>
      <c r="OUL68" s="362"/>
      <c r="OUM68" s="362"/>
      <c r="OUN68" s="362"/>
      <c r="OUO68" s="362"/>
      <c r="OUP68" s="362"/>
      <c r="OUQ68" s="362"/>
      <c r="OUR68" s="362"/>
      <c r="OUS68" s="362"/>
      <c r="OUT68" s="362"/>
      <c r="OUU68" s="362"/>
      <c r="OUV68" s="362"/>
      <c r="OUW68" s="362"/>
      <c r="OUX68" s="362"/>
      <c r="OUY68" s="362"/>
      <c r="OUZ68" s="362"/>
      <c r="OVA68" s="362"/>
      <c r="OVB68" s="362"/>
      <c r="OVC68" s="362"/>
      <c r="OVD68" s="362"/>
      <c r="OVE68" s="362"/>
      <c r="OVF68" s="362"/>
      <c r="OVG68" s="362"/>
      <c r="OVH68" s="362"/>
      <c r="OVI68" s="362"/>
      <c r="OVJ68" s="362"/>
      <c r="OVK68" s="362"/>
      <c r="OVL68" s="362"/>
      <c r="OVM68" s="362"/>
      <c r="OVN68" s="362"/>
      <c r="OVO68" s="362"/>
      <c r="OVP68" s="362"/>
      <c r="OVQ68" s="362"/>
      <c r="OVR68" s="362"/>
      <c r="OVS68" s="362"/>
      <c r="OVT68" s="362"/>
      <c r="OVU68" s="362"/>
      <c r="OVV68" s="362"/>
      <c r="OVW68" s="362"/>
      <c r="OVX68" s="362"/>
      <c r="OVY68" s="362"/>
      <c r="OVZ68" s="362"/>
      <c r="OWA68" s="362"/>
      <c r="OWB68" s="362"/>
      <c r="OWC68" s="362"/>
      <c r="OWD68" s="362"/>
      <c r="OWE68" s="362"/>
      <c r="OWF68" s="362"/>
      <c r="OWG68" s="362"/>
      <c r="OWH68" s="362"/>
      <c r="OWI68" s="362"/>
      <c r="OWJ68" s="362"/>
      <c r="OWK68" s="362"/>
      <c r="OWL68" s="362"/>
      <c r="OWM68" s="362"/>
      <c r="OWN68" s="362"/>
      <c r="OWO68" s="362"/>
      <c r="OWP68" s="362"/>
      <c r="OWQ68" s="362"/>
      <c r="OWR68" s="362"/>
      <c r="OWS68" s="362"/>
      <c r="OWT68" s="362"/>
      <c r="OWU68" s="362"/>
      <c r="OWV68" s="362"/>
      <c r="OWW68" s="362"/>
      <c r="OWX68" s="362"/>
      <c r="OWY68" s="362"/>
      <c r="OWZ68" s="362"/>
      <c r="OXA68" s="362"/>
      <c r="OXB68" s="362"/>
      <c r="OXC68" s="362"/>
      <c r="OXD68" s="362"/>
      <c r="OXE68" s="362"/>
      <c r="OXF68" s="362"/>
      <c r="OXG68" s="362"/>
      <c r="OXH68" s="362"/>
      <c r="OXI68" s="362"/>
      <c r="OXJ68" s="362"/>
      <c r="OXK68" s="362"/>
      <c r="OXL68" s="362"/>
      <c r="OXM68" s="362"/>
      <c r="OXN68" s="362"/>
      <c r="OXO68" s="362"/>
      <c r="OXP68" s="362"/>
      <c r="OXQ68" s="362"/>
      <c r="OXR68" s="362"/>
      <c r="OXS68" s="362"/>
      <c r="OXT68" s="362"/>
      <c r="OXU68" s="362"/>
      <c r="OXV68" s="362"/>
      <c r="OXW68" s="362"/>
      <c r="OXX68" s="362"/>
      <c r="OXY68" s="362"/>
      <c r="OXZ68" s="362"/>
      <c r="OYA68" s="362"/>
      <c r="OYB68" s="362"/>
      <c r="OYC68" s="362"/>
      <c r="OYD68" s="362"/>
      <c r="OYE68" s="362"/>
      <c r="OYF68" s="362"/>
      <c r="OYG68" s="362"/>
      <c r="OYH68" s="362"/>
      <c r="OYI68" s="362"/>
      <c r="OYJ68" s="362"/>
      <c r="OYK68" s="362"/>
      <c r="OYL68" s="362"/>
      <c r="OYM68" s="362"/>
      <c r="OYN68" s="362"/>
      <c r="OYO68" s="362"/>
      <c r="OYP68" s="362"/>
      <c r="OYQ68" s="362"/>
      <c r="OYR68" s="362"/>
      <c r="OYS68" s="362"/>
      <c r="OYT68" s="362"/>
      <c r="OYU68" s="362"/>
      <c r="OYV68" s="362"/>
      <c r="OYW68" s="362"/>
      <c r="OYX68" s="362"/>
      <c r="OYY68" s="362"/>
      <c r="OYZ68" s="362"/>
      <c r="OZA68" s="362"/>
      <c r="OZB68" s="362"/>
      <c r="OZC68" s="362"/>
      <c r="OZD68" s="362"/>
      <c r="OZE68" s="362"/>
      <c r="OZF68" s="362"/>
      <c r="OZG68" s="362"/>
      <c r="OZH68" s="362"/>
      <c r="OZI68" s="362"/>
      <c r="OZJ68" s="362"/>
      <c r="OZK68" s="362"/>
      <c r="OZL68" s="362"/>
      <c r="OZM68" s="362"/>
      <c r="OZN68" s="362"/>
      <c r="OZO68" s="362"/>
      <c r="OZP68" s="362"/>
      <c r="OZQ68" s="362"/>
      <c r="OZR68" s="362"/>
      <c r="OZS68" s="362"/>
      <c r="OZT68" s="362"/>
      <c r="OZU68" s="362"/>
      <c r="OZV68" s="362"/>
      <c r="OZW68" s="362"/>
      <c r="OZX68" s="362"/>
      <c r="OZY68" s="362"/>
      <c r="OZZ68" s="362"/>
      <c r="PAA68" s="362"/>
      <c r="PAB68" s="362"/>
      <c r="PAC68" s="362"/>
      <c r="PAD68" s="362"/>
      <c r="PAE68" s="362"/>
      <c r="PAF68" s="362"/>
      <c r="PAG68" s="362"/>
      <c r="PAH68" s="362"/>
      <c r="PAI68" s="362"/>
      <c r="PAJ68" s="362"/>
      <c r="PAK68" s="362"/>
      <c r="PAL68" s="362"/>
      <c r="PAM68" s="362"/>
      <c r="PAN68" s="362"/>
      <c r="PAO68" s="362"/>
      <c r="PAP68" s="362"/>
      <c r="PAQ68" s="362"/>
      <c r="PAR68" s="362"/>
      <c r="PAS68" s="362"/>
      <c r="PAT68" s="362"/>
      <c r="PAU68" s="362"/>
      <c r="PAV68" s="362"/>
      <c r="PAW68" s="362"/>
      <c r="PAX68" s="362"/>
      <c r="PAY68" s="362"/>
      <c r="PAZ68" s="362"/>
      <c r="PBA68" s="362"/>
      <c r="PBB68" s="362"/>
      <c r="PBC68" s="362"/>
      <c r="PBD68" s="362"/>
      <c r="PBE68" s="362"/>
      <c r="PBF68" s="362"/>
      <c r="PBG68" s="362"/>
      <c r="PBH68" s="362"/>
      <c r="PBI68" s="362"/>
      <c r="PBJ68" s="362"/>
      <c r="PBK68" s="362"/>
      <c r="PBL68" s="362"/>
      <c r="PBM68" s="362"/>
      <c r="PBN68" s="362"/>
      <c r="PBO68" s="362"/>
      <c r="PBP68" s="362"/>
      <c r="PBQ68" s="362"/>
      <c r="PBR68" s="362"/>
      <c r="PBS68" s="362"/>
      <c r="PBT68" s="362"/>
      <c r="PBU68" s="362"/>
      <c r="PBV68" s="362"/>
      <c r="PBW68" s="362"/>
      <c r="PBX68" s="362"/>
      <c r="PBY68" s="362"/>
      <c r="PBZ68" s="362"/>
      <c r="PCA68" s="362"/>
      <c r="PCB68" s="362"/>
      <c r="PCC68" s="362"/>
      <c r="PCD68" s="362"/>
      <c r="PCE68" s="362"/>
      <c r="PCF68" s="362"/>
      <c r="PCG68" s="362"/>
      <c r="PCH68" s="362"/>
      <c r="PCI68" s="362"/>
      <c r="PCJ68" s="362"/>
      <c r="PCK68" s="362"/>
      <c r="PCL68" s="362"/>
      <c r="PCM68" s="362"/>
      <c r="PCN68" s="362"/>
      <c r="PCO68" s="362"/>
      <c r="PCP68" s="362"/>
      <c r="PCQ68" s="362"/>
      <c r="PCR68" s="362"/>
      <c r="PCS68" s="362"/>
      <c r="PCT68" s="362"/>
      <c r="PCU68" s="362"/>
      <c r="PCV68" s="362"/>
      <c r="PCW68" s="362"/>
      <c r="PCX68" s="362"/>
      <c r="PCY68" s="362"/>
      <c r="PCZ68" s="362"/>
      <c r="PDA68" s="362"/>
      <c r="PDB68" s="362"/>
      <c r="PDC68" s="362"/>
      <c r="PDD68" s="362"/>
      <c r="PDE68" s="362"/>
      <c r="PDF68" s="362"/>
      <c r="PDG68" s="362"/>
      <c r="PDH68" s="362"/>
      <c r="PDI68" s="362"/>
      <c r="PDJ68" s="362"/>
      <c r="PDK68" s="362"/>
      <c r="PDL68" s="362"/>
      <c r="PDM68" s="362"/>
      <c r="PDN68" s="362"/>
      <c r="PDO68" s="362"/>
      <c r="PDP68" s="362"/>
      <c r="PDQ68" s="362"/>
      <c r="PDR68" s="362"/>
      <c r="PDS68" s="362"/>
      <c r="PDT68" s="362"/>
      <c r="PDU68" s="362"/>
      <c r="PDV68" s="362"/>
      <c r="PDW68" s="362"/>
      <c r="PDX68" s="362"/>
      <c r="PDY68" s="362"/>
      <c r="PDZ68" s="362"/>
      <c r="PEA68" s="362"/>
      <c r="PEB68" s="362"/>
      <c r="PEC68" s="362"/>
      <c r="PED68" s="362"/>
      <c r="PEE68" s="362"/>
      <c r="PEF68" s="362"/>
      <c r="PEG68" s="362"/>
      <c r="PEH68" s="362"/>
      <c r="PEI68" s="362"/>
      <c r="PEJ68" s="362"/>
      <c r="PEK68" s="362"/>
      <c r="PEL68" s="362"/>
      <c r="PEM68" s="362"/>
      <c r="PEN68" s="362"/>
      <c r="PEO68" s="362"/>
      <c r="PEP68" s="362"/>
      <c r="PEQ68" s="362"/>
      <c r="PER68" s="362"/>
      <c r="PES68" s="362"/>
      <c r="PET68" s="362"/>
      <c r="PEU68" s="362"/>
      <c r="PEV68" s="362"/>
      <c r="PEW68" s="362"/>
      <c r="PEX68" s="362"/>
      <c r="PEY68" s="362"/>
      <c r="PEZ68" s="362"/>
      <c r="PFA68" s="362"/>
      <c r="PFB68" s="362"/>
      <c r="PFC68" s="362"/>
      <c r="PFD68" s="362"/>
      <c r="PFE68" s="362"/>
      <c r="PFF68" s="362"/>
      <c r="PFG68" s="362"/>
      <c r="PFH68" s="362"/>
      <c r="PFI68" s="362"/>
      <c r="PFJ68" s="362"/>
      <c r="PFK68" s="362"/>
      <c r="PFL68" s="362"/>
      <c r="PFM68" s="362"/>
      <c r="PFN68" s="362"/>
      <c r="PFO68" s="362"/>
      <c r="PFP68" s="362"/>
      <c r="PFQ68" s="362"/>
      <c r="PFR68" s="362"/>
      <c r="PFS68" s="362"/>
      <c r="PFT68" s="362"/>
      <c r="PFU68" s="362"/>
      <c r="PFV68" s="362"/>
      <c r="PFW68" s="362"/>
      <c r="PFX68" s="362"/>
      <c r="PFY68" s="362"/>
      <c r="PFZ68" s="362"/>
      <c r="PGA68" s="362"/>
      <c r="PGB68" s="362"/>
      <c r="PGC68" s="362"/>
      <c r="PGD68" s="362"/>
      <c r="PGE68" s="362"/>
      <c r="PGF68" s="362"/>
      <c r="PGG68" s="362"/>
      <c r="PGH68" s="362"/>
      <c r="PGI68" s="362"/>
      <c r="PGJ68" s="362"/>
      <c r="PGK68" s="362"/>
      <c r="PGL68" s="362"/>
      <c r="PGM68" s="362"/>
      <c r="PGN68" s="362"/>
      <c r="PGO68" s="362"/>
      <c r="PGP68" s="362"/>
      <c r="PGQ68" s="362"/>
      <c r="PGR68" s="362"/>
      <c r="PGS68" s="362"/>
      <c r="PGT68" s="362"/>
      <c r="PGU68" s="362"/>
      <c r="PGV68" s="362"/>
      <c r="PGW68" s="362"/>
      <c r="PGX68" s="362"/>
      <c r="PGY68" s="362"/>
      <c r="PGZ68" s="362"/>
      <c r="PHA68" s="362"/>
      <c r="PHB68" s="362"/>
      <c r="PHC68" s="362"/>
      <c r="PHD68" s="362"/>
      <c r="PHE68" s="362"/>
      <c r="PHF68" s="362"/>
      <c r="PHG68" s="362"/>
      <c r="PHH68" s="362"/>
      <c r="PHI68" s="362"/>
      <c r="PHJ68" s="362"/>
      <c r="PHK68" s="362"/>
      <c r="PHL68" s="362"/>
      <c r="PHM68" s="362"/>
      <c r="PHN68" s="362"/>
      <c r="PHO68" s="362"/>
      <c r="PHP68" s="362"/>
      <c r="PHQ68" s="362"/>
      <c r="PHR68" s="362"/>
      <c r="PHS68" s="362"/>
      <c r="PHT68" s="362"/>
      <c r="PHU68" s="362"/>
      <c r="PHV68" s="362"/>
      <c r="PHW68" s="362"/>
      <c r="PHX68" s="362"/>
      <c r="PHY68" s="362"/>
      <c r="PHZ68" s="362"/>
      <c r="PIA68" s="362"/>
      <c r="PIB68" s="362"/>
      <c r="PIC68" s="362"/>
      <c r="PID68" s="362"/>
      <c r="PIE68" s="362"/>
      <c r="PIF68" s="362"/>
      <c r="PIG68" s="362"/>
      <c r="PIH68" s="362"/>
      <c r="PII68" s="362"/>
      <c r="PIJ68" s="362"/>
      <c r="PIK68" s="362"/>
      <c r="PIL68" s="362"/>
      <c r="PIM68" s="362"/>
      <c r="PIN68" s="362"/>
      <c r="PIO68" s="362"/>
      <c r="PIP68" s="362"/>
      <c r="PIQ68" s="362"/>
      <c r="PIR68" s="362"/>
      <c r="PIS68" s="362"/>
      <c r="PIT68" s="362"/>
      <c r="PIU68" s="362"/>
      <c r="PIV68" s="362"/>
      <c r="PIW68" s="362"/>
      <c r="PIX68" s="362"/>
      <c r="PIY68" s="362"/>
      <c r="PIZ68" s="362"/>
      <c r="PJA68" s="362"/>
      <c r="PJB68" s="362"/>
      <c r="PJC68" s="362"/>
      <c r="PJD68" s="362"/>
      <c r="PJE68" s="362"/>
      <c r="PJF68" s="362"/>
      <c r="PJG68" s="362"/>
      <c r="PJH68" s="362"/>
      <c r="PJI68" s="362"/>
      <c r="PJJ68" s="362"/>
      <c r="PJK68" s="362"/>
      <c r="PJL68" s="362"/>
      <c r="PJM68" s="362"/>
      <c r="PJN68" s="362"/>
      <c r="PJO68" s="362"/>
      <c r="PJP68" s="362"/>
      <c r="PJQ68" s="362"/>
      <c r="PJR68" s="362"/>
      <c r="PJS68" s="362"/>
      <c r="PJT68" s="362"/>
      <c r="PJU68" s="362"/>
      <c r="PJV68" s="362"/>
      <c r="PJW68" s="362"/>
      <c r="PJX68" s="362"/>
      <c r="PJY68" s="362"/>
      <c r="PJZ68" s="362"/>
      <c r="PKA68" s="362"/>
      <c r="PKB68" s="362"/>
      <c r="PKC68" s="362"/>
      <c r="PKD68" s="362"/>
      <c r="PKE68" s="362"/>
      <c r="PKF68" s="362"/>
      <c r="PKG68" s="362"/>
      <c r="PKH68" s="362"/>
      <c r="PKI68" s="362"/>
      <c r="PKJ68" s="362"/>
      <c r="PKK68" s="362"/>
      <c r="PKL68" s="362"/>
      <c r="PKM68" s="362"/>
      <c r="PKN68" s="362"/>
      <c r="PKO68" s="362"/>
      <c r="PKP68" s="362"/>
      <c r="PKQ68" s="362"/>
      <c r="PKR68" s="362"/>
      <c r="PKS68" s="362"/>
      <c r="PKT68" s="362"/>
      <c r="PKU68" s="362"/>
      <c r="PKV68" s="362"/>
      <c r="PKW68" s="362"/>
      <c r="PKX68" s="362"/>
      <c r="PKY68" s="362"/>
      <c r="PKZ68" s="362"/>
      <c r="PLA68" s="362"/>
      <c r="PLB68" s="362"/>
      <c r="PLC68" s="362"/>
      <c r="PLD68" s="362"/>
      <c r="PLE68" s="362"/>
      <c r="PLF68" s="362"/>
      <c r="PLG68" s="362"/>
      <c r="PLH68" s="362"/>
      <c r="PLI68" s="362"/>
      <c r="PLJ68" s="362"/>
      <c r="PLK68" s="362"/>
      <c r="PLL68" s="362"/>
      <c r="PLM68" s="362"/>
      <c r="PLN68" s="362"/>
      <c r="PLO68" s="362"/>
      <c r="PLP68" s="362"/>
      <c r="PLQ68" s="362"/>
      <c r="PLR68" s="362"/>
      <c r="PLS68" s="362"/>
      <c r="PLT68" s="362"/>
      <c r="PLU68" s="362"/>
      <c r="PLV68" s="362"/>
      <c r="PLW68" s="362"/>
      <c r="PLX68" s="362"/>
      <c r="PLY68" s="362"/>
      <c r="PLZ68" s="362"/>
      <c r="PMA68" s="362"/>
      <c r="PMB68" s="362"/>
      <c r="PMC68" s="362"/>
      <c r="PMD68" s="362"/>
      <c r="PME68" s="362"/>
      <c r="PMF68" s="362"/>
      <c r="PMG68" s="362"/>
      <c r="PMH68" s="362"/>
      <c r="PMI68" s="362"/>
      <c r="PMJ68" s="362"/>
      <c r="PMK68" s="362"/>
      <c r="PML68" s="362"/>
      <c r="PMM68" s="362"/>
      <c r="PMN68" s="362"/>
      <c r="PMO68" s="362"/>
      <c r="PMP68" s="362"/>
      <c r="PMQ68" s="362"/>
      <c r="PMR68" s="362"/>
      <c r="PMS68" s="362"/>
      <c r="PMT68" s="362"/>
      <c r="PMU68" s="362"/>
      <c r="PMV68" s="362"/>
      <c r="PMW68" s="362"/>
      <c r="PMX68" s="362"/>
      <c r="PMY68" s="362"/>
      <c r="PMZ68" s="362"/>
      <c r="PNA68" s="362"/>
      <c r="PNB68" s="362"/>
      <c r="PNC68" s="362"/>
      <c r="PND68" s="362"/>
      <c r="PNE68" s="362"/>
      <c r="PNF68" s="362"/>
      <c r="PNG68" s="362"/>
      <c r="PNH68" s="362"/>
      <c r="PNI68" s="362"/>
      <c r="PNJ68" s="362"/>
      <c r="PNK68" s="362"/>
      <c r="PNL68" s="362"/>
      <c r="PNM68" s="362"/>
      <c r="PNN68" s="362"/>
      <c r="PNO68" s="362"/>
      <c r="PNP68" s="362"/>
      <c r="PNQ68" s="362"/>
      <c r="PNR68" s="362"/>
      <c r="PNS68" s="362"/>
      <c r="PNT68" s="362"/>
      <c r="PNU68" s="362"/>
      <c r="PNV68" s="362"/>
      <c r="PNW68" s="362"/>
      <c r="PNX68" s="362"/>
      <c r="PNY68" s="362"/>
      <c r="PNZ68" s="362"/>
      <c r="POA68" s="362"/>
      <c r="POB68" s="362"/>
      <c r="POC68" s="362"/>
      <c r="POD68" s="362"/>
      <c r="POE68" s="362"/>
      <c r="POF68" s="362"/>
      <c r="POG68" s="362"/>
      <c r="POH68" s="362"/>
      <c r="POI68" s="362"/>
      <c r="POJ68" s="362"/>
      <c r="POK68" s="362"/>
      <c r="POL68" s="362"/>
      <c r="POM68" s="362"/>
      <c r="PON68" s="362"/>
      <c r="POO68" s="362"/>
      <c r="POP68" s="362"/>
      <c r="POQ68" s="362"/>
      <c r="POR68" s="362"/>
      <c r="POS68" s="362"/>
      <c r="POT68" s="362"/>
      <c r="POU68" s="362"/>
      <c r="POV68" s="362"/>
      <c r="POW68" s="362"/>
      <c r="POX68" s="362"/>
      <c r="POY68" s="362"/>
      <c r="POZ68" s="362"/>
      <c r="PPA68" s="362"/>
      <c r="PPB68" s="362"/>
      <c r="PPC68" s="362"/>
      <c r="PPD68" s="362"/>
      <c r="PPE68" s="362"/>
      <c r="PPF68" s="362"/>
      <c r="PPG68" s="362"/>
      <c r="PPH68" s="362"/>
      <c r="PPI68" s="362"/>
      <c r="PPJ68" s="362"/>
      <c r="PPK68" s="362"/>
      <c r="PPL68" s="362"/>
      <c r="PPM68" s="362"/>
      <c r="PPN68" s="362"/>
      <c r="PPO68" s="362"/>
      <c r="PPP68" s="362"/>
      <c r="PPQ68" s="362"/>
      <c r="PPR68" s="362"/>
      <c r="PPS68" s="362"/>
      <c r="PPT68" s="362"/>
      <c r="PPU68" s="362"/>
      <c r="PPV68" s="362"/>
      <c r="PPW68" s="362"/>
      <c r="PPX68" s="362"/>
      <c r="PPY68" s="362"/>
      <c r="PPZ68" s="362"/>
      <c r="PQA68" s="362"/>
      <c r="PQB68" s="362"/>
      <c r="PQC68" s="362"/>
      <c r="PQD68" s="362"/>
      <c r="PQE68" s="362"/>
      <c r="PQF68" s="362"/>
      <c r="PQG68" s="362"/>
      <c r="PQH68" s="362"/>
      <c r="PQI68" s="362"/>
      <c r="PQJ68" s="362"/>
      <c r="PQK68" s="362"/>
      <c r="PQL68" s="362"/>
      <c r="PQM68" s="362"/>
      <c r="PQN68" s="362"/>
      <c r="PQO68" s="362"/>
      <c r="PQP68" s="362"/>
      <c r="PQQ68" s="362"/>
      <c r="PQR68" s="362"/>
      <c r="PQS68" s="362"/>
      <c r="PQT68" s="362"/>
      <c r="PQU68" s="362"/>
      <c r="PQV68" s="362"/>
      <c r="PQW68" s="362"/>
      <c r="PQX68" s="362"/>
      <c r="PQY68" s="362"/>
      <c r="PQZ68" s="362"/>
      <c r="PRA68" s="362"/>
      <c r="PRB68" s="362"/>
      <c r="PRC68" s="362"/>
      <c r="PRD68" s="362"/>
      <c r="PRE68" s="362"/>
      <c r="PRF68" s="362"/>
      <c r="PRG68" s="362"/>
      <c r="PRH68" s="362"/>
      <c r="PRI68" s="362"/>
      <c r="PRJ68" s="362"/>
      <c r="PRK68" s="362"/>
      <c r="PRL68" s="362"/>
      <c r="PRM68" s="362"/>
      <c r="PRN68" s="362"/>
      <c r="PRO68" s="362"/>
      <c r="PRP68" s="362"/>
      <c r="PRQ68" s="362"/>
      <c r="PRR68" s="362"/>
      <c r="PRS68" s="362"/>
      <c r="PRT68" s="362"/>
      <c r="PRU68" s="362"/>
      <c r="PRV68" s="362"/>
      <c r="PRW68" s="362"/>
      <c r="PRX68" s="362"/>
      <c r="PRY68" s="362"/>
      <c r="PRZ68" s="362"/>
      <c r="PSA68" s="362"/>
      <c r="PSB68" s="362"/>
      <c r="PSC68" s="362"/>
      <c r="PSD68" s="362"/>
      <c r="PSE68" s="362"/>
      <c r="PSF68" s="362"/>
      <c r="PSG68" s="362"/>
      <c r="PSH68" s="362"/>
      <c r="PSI68" s="362"/>
      <c r="PSJ68" s="362"/>
      <c r="PSK68" s="362"/>
      <c r="PSL68" s="362"/>
      <c r="PSM68" s="362"/>
      <c r="PSN68" s="362"/>
      <c r="PSO68" s="362"/>
      <c r="PSP68" s="362"/>
      <c r="PSQ68" s="362"/>
      <c r="PSR68" s="362"/>
      <c r="PSS68" s="362"/>
      <c r="PST68" s="362"/>
      <c r="PSU68" s="362"/>
      <c r="PSV68" s="362"/>
      <c r="PSW68" s="362"/>
      <c r="PSX68" s="362"/>
      <c r="PSY68" s="362"/>
      <c r="PSZ68" s="362"/>
      <c r="PTA68" s="362"/>
      <c r="PTB68" s="362"/>
      <c r="PTC68" s="362"/>
      <c r="PTD68" s="362"/>
      <c r="PTE68" s="362"/>
      <c r="PTF68" s="362"/>
      <c r="PTG68" s="362"/>
      <c r="PTH68" s="362"/>
      <c r="PTI68" s="362"/>
      <c r="PTJ68" s="362"/>
      <c r="PTK68" s="362"/>
      <c r="PTL68" s="362"/>
      <c r="PTM68" s="362"/>
      <c r="PTN68" s="362"/>
      <c r="PTO68" s="362"/>
      <c r="PTP68" s="362"/>
      <c r="PTQ68" s="362"/>
      <c r="PTR68" s="362"/>
      <c r="PTS68" s="362"/>
      <c r="PTT68" s="362"/>
      <c r="PTU68" s="362"/>
      <c r="PTV68" s="362"/>
      <c r="PTW68" s="362"/>
      <c r="PTX68" s="362"/>
      <c r="PTY68" s="362"/>
      <c r="PTZ68" s="362"/>
      <c r="PUA68" s="362"/>
      <c r="PUB68" s="362"/>
      <c r="PUC68" s="362"/>
      <c r="PUD68" s="362"/>
      <c r="PUE68" s="362"/>
      <c r="PUF68" s="362"/>
      <c r="PUG68" s="362"/>
      <c r="PUH68" s="362"/>
      <c r="PUI68" s="362"/>
      <c r="PUJ68" s="362"/>
      <c r="PUK68" s="362"/>
      <c r="PUL68" s="362"/>
      <c r="PUM68" s="362"/>
      <c r="PUN68" s="362"/>
      <c r="PUO68" s="362"/>
      <c r="PUP68" s="362"/>
      <c r="PUQ68" s="362"/>
      <c r="PUR68" s="362"/>
      <c r="PUS68" s="362"/>
      <c r="PUT68" s="362"/>
      <c r="PUU68" s="362"/>
      <c r="PUV68" s="362"/>
      <c r="PUW68" s="362"/>
      <c r="PUX68" s="362"/>
      <c r="PUY68" s="362"/>
      <c r="PUZ68" s="362"/>
      <c r="PVA68" s="362"/>
      <c r="PVB68" s="362"/>
      <c r="PVC68" s="362"/>
      <c r="PVD68" s="362"/>
      <c r="PVE68" s="362"/>
      <c r="PVF68" s="362"/>
      <c r="PVG68" s="362"/>
      <c r="PVH68" s="362"/>
      <c r="PVI68" s="362"/>
      <c r="PVJ68" s="362"/>
      <c r="PVK68" s="362"/>
      <c r="PVL68" s="362"/>
      <c r="PVM68" s="362"/>
      <c r="PVN68" s="362"/>
      <c r="PVO68" s="362"/>
      <c r="PVP68" s="362"/>
      <c r="PVQ68" s="362"/>
      <c r="PVR68" s="362"/>
      <c r="PVS68" s="362"/>
      <c r="PVT68" s="362"/>
      <c r="PVU68" s="362"/>
      <c r="PVV68" s="362"/>
      <c r="PVW68" s="362"/>
      <c r="PVX68" s="362"/>
      <c r="PVY68" s="362"/>
      <c r="PVZ68" s="362"/>
      <c r="PWA68" s="362"/>
      <c r="PWB68" s="362"/>
      <c r="PWC68" s="362"/>
      <c r="PWD68" s="362"/>
      <c r="PWE68" s="362"/>
      <c r="PWF68" s="362"/>
      <c r="PWG68" s="362"/>
      <c r="PWH68" s="362"/>
      <c r="PWI68" s="362"/>
      <c r="PWJ68" s="362"/>
      <c r="PWK68" s="362"/>
      <c r="PWL68" s="362"/>
      <c r="PWM68" s="362"/>
      <c r="PWN68" s="362"/>
      <c r="PWO68" s="362"/>
      <c r="PWP68" s="362"/>
      <c r="PWQ68" s="362"/>
      <c r="PWR68" s="362"/>
      <c r="PWS68" s="362"/>
      <c r="PWT68" s="362"/>
      <c r="PWU68" s="362"/>
      <c r="PWV68" s="362"/>
      <c r="PWW68" s="362"/>
      <c r="PWX68" s="362"/>
      <c r="PWY68" s="362"/>
      <c r="PWZ68" s="362"/>
      <c r="PXA68" s="362"/>
      <c r="PXB68" s="362"/>
      <c r="PXC68" s="362"/>
      <c r="PXD68" s="362"/>
      <c r="PXE68" s="362"/>
      <c r="PXF68" s="362"/>
      <c r="PXG68" s="362"/>
      <c r="PXH68" s="362"/>
      <c r="PXI68" s="362"/>
      <c r="PXJ68" s="362"/>
      <c r="PXK68" s="362"/>
      <c r="PXL68" s="362"/>
      <c r="PXM68" s="362"/>
      <c r="PXN68" s="362"/>
      <c r="PXO68" s="362"/>
      <c r="PXP68" s="362"/>
      <c r="PXQ68" s="362"/>
      <c r="PXR68" s="362"/>
      <c r="PXS68" s="362"/>
      <c r="PXT68" s="362"/>
      <c r="PXU68" s="362"/>
      <c r="PXV68" s="362"/>
      <c r="PXW68" s="362"/>
      <c r="PXX68" s="362"/>
      <c r="PXY68" s="362"/>
      <c r="PXZ68" s="362"/>
      <c r="PYA68" s="362"/>
      <c r="PYB68" s="362"/>
      <c r="PYC68" s="362"/>
      <c r="PYD68" s="362"/>
      <c r="PYE68" s="362"/>
      <c r="PYF68" s="362"/>
      <c r="PYG68" s="362"/>
      <c r="PYH68" s="362"/>
      <c r="PYI68" s="362"/>
      <c r="PYJ68" s="362"/>
      <c r="PYK68" s="362"/>
      <c r="PYL68" s="362"/>
      <c r="PYM68" s="362"/>
      <c r="PYN68" s="362"/>
      <c r="PYO68" s="362"/>
      <c r="PYP68" s="362"/>
      <c r="PYQ68" s="362"/>
      <c r="PYR68" s="362"/>
      <c r="PYS68" s="362"/>
      <c r="PYT68" s="362"/>
      <c r="PYU68" s="362"/>
      <c r="PYV68" s="362"/>
      <c r="PYW68" s="362"/>
      <c r="PYX68" s="362"/>
      <c r="PYY68" s="362"/>
      <c r="PYZ68" s="362"/>
      <c r="PZA68" s="362"/>
      <c r="PZB68" s="362"/>
      <c r="PZC68" s="362"/>
      <c r="PZD68" s="362"/>
      <c r="PZE68" s="362"/>
      <c r="PZF68" s="362"/>
      <c r="PZG68" s="362"/>
      <c r="PZH68" s="362"/>
      <c r="PZI68" s="362"/>
      <c r="PZJ68" s="362"/>
      <c r="PZK68" s="362"/>
      <c r="PZL68" s="362"/>
      <c r="PZM68" s="362"/>
      <c r="PZN68" s="362"/>
      <c r="PZO68" s="362"/>
      <c r="PZP68" s="362"/>
      <c r="PZQ68" s="362"/>
      <c r="PZR68" s="362"/>
      <c r="PZS68" s="362"/>
      <c r="PZT68" s="362"/>
      <c r="PZU68" s="362"/>
      <c r="PZV68" s="362"/>
      <c r="PZW68" s="362"/>
      <c r="PZX68" s="362"/>
      <c r="PZY68" s="362"/>
      <c r="PZZ68" s="362"/>
      <c r="QAA68" s="362"/>
      <c r="QAB68" s="362"/>
      <c r="QAC68" s="362"/>
      <c r="QAD68" s="362"/>
      <c r="QAE68" s="362"/>
      <c r="QAF68" s="362"/>
      <c r="QAG68" s="362"/>
      <c r="QAH68" s="362"/>
      <c r="QAI68" s="362"/>
      <c r="QAJ68" s="362"/>
      <c r="QAK68" s="362"/>
      <c r="QAL68" s="362"/>
      <c r="QAM68" s="362"/>
      <c r="QAN68" s="362"/>
      <c r="QAO68" s="362"/>
      <c r="QAP68" s="362"/>
      <c r="QAQ68" s="362"/>
      <c r="QAR68" s="362"/>
      <c r="QAS68" s="362"/>
      <c r="QAT68" s="362"/>
      <c r="QAU68" s="362"/>
      <c r="QAV68" s="362"/>
      <c r="QAW68" s="362"/>
      <c r="QAX68" s="362"/>
      <c r="QAY68" s="362"/>
      <c r="QAZ68" s="362"/>
      <c r="QBA68" s="362"/>
      <c r="QBB68" s="362"/>
      <c r="QBC68" s="362"/>
      <c r="QBD68" s="362"/>
      <c r="QBE68" s="362"/>
      <c r="QBF68" s="362"/>
      <c r="QBG68" s="362"/>
      <c r="QBH68" s="362"/>
      <c r="QBI68" s="362"/>
      <c r="QBJ68" s="362"/>
      <c r="QBK68" s="362"/>
      <c r="QBL68" s="362"/>
      <c r="QBM68" s="362"/>
      <c r="QBN68" s="362"/>
      <c r="QBO68" s="362"/>
      <c r="QBP68" s="362"/>
      <c r="QBQ68" s="362"/>
      <c r="QBR68" s="362"/>
      <c r="QBS68" s="362"/>
      <c r="QBT68" s="362"/>
      <c r="QBU68" s="362"/>
      <c r="QBV68" s="362"/>
      <c r="QBW68" s="362"/>
      <c r="QBX68" s="362"/>
      <c r="QBY68" s="362"/>
      <c r="QBZ68" s="362"/>
      <c r="QCA68" s="362"/>
      <c r="QCB68" s="362"/>
      <c r="QCC68" s="362"/>
      <c r="QCD68" s="362"/>
      <c r="QCE68" s="362"/>
      <c r="QCF68" s="362"/>
      <c r="QCG68" s="362"/>
      <c r="QCH68" s="362"/>
      <c r="QCI68" s="362"/>
      <c r="QCJ68" s="362"/>
      <c r="QCK68" s="362"/>
      <c r="QCL68" s="362"/>
      <c r="QCM68" s="362"/>
      <c r="QCN68" s="362"/>
      <c r="QCO68" s="362"/>
      <c r="QCP68" s="362"/>
      <c r="QCQ68" s="362"/>
      <c r="QCR68" s="362"/>
      <c r="QCS68" s="362"/>
      <c r="QCT68" s="362"/>
      <c r="QCU68" s="362"/>
      <c r="QCV68" s="362"/>
      <c r="QCW68" s="362"/>
      <c r="QCX68" s="362"/>
      <c r="QCY68" s="362"/>
      <c r="QCZ68" s="362"/>
      <c r="QDA68" s="362"/>
      <c r="QDB68" s="362"/>
      <c r="QDC68" s="362"/>
      <c r="QDD68" s="362"/>
      <c r="QDE68" s="362"/>
      <c r="QDF68" s="362"/>
      <c r="QDG68" s="362"/>
      <c r="QDH68" s="362"/>
      <c r="QDI68" s="362"/>
      <c r="QDJ68" s="362"/>
      <c r="QDK68" s="362"/>
      <c r="QDL68" s="362"/>
      <c r="QDM68" s="362"/>
      <c r="QDN68" s="362"/>
      <c r="QDO68" s="362"/>
      <c r="QDP68" s="362"/>
      <c r="QDQ68" s="362"/>
      <c r="QDR68" s="362"/>
      <c r="QDS68" s="362"/>
      <c r="QDT68" s="362"/>
      <c r="QDU68" s="362"/>
      <c r="QDV68" s="362"/>
      <c r="QDW68" s="362"/>
      <c r="QDX68" s="362"/>
      <c r="QDY68" s="362"/>
      <c r="QDZ68" s="362"/>
      <c r="QEA68" s="362"/>
      <c r="QEB68" s="362"/>
      <c r="QEC68" s="362"/>
      <c r="QED68" s="362"/>
      <c r="QEE68" s="362"/>
      <c r="QEF68" s="362"/>
      <c r="QEG68" s="362"/>
      <c r="QEH68" s="362"/>
      <c r="QEI68" s="362"/>
      <c r="QEJ68" s="362"/>
      <c r="QEK68" s="362"/>
      <c r="QEL68" s="362"/>
      <c r="QEM68" s="362"/>
      <c r="QEN68" s="362"/>
      <c r="QEO68" s="362"/>
      <c r="QEP68" s="362"/>
      <c r="QEQ68" s="362"/>
      <c r="QER68" s="362"/>
      <c r="QES68" s="362"/>
      <c r="QET68" s="362"/>
      <c r="QEU68" s="362"/>
      <c r="QEV68" s="362"/>
      <c r="QEW68" s="362"/>
      <c r="QEX68" s="362"/>
      <c r="QEY68" s="362"/>
      <c r="QEZ68" s="362"/>
      <c r="QFA68" s="362"/>
      <c r="QFB68" s="362"/>
      <c r="QFC68" s="362"/>
      <c r="QFD68" s="362"/>
      <c r="QFE68" s="362"/>
      <c r="QFF68" s="362"/>
      <c r="QFG68" s="362"/>
      <c r="QFH68" s="362"/>
      <c r="QFI68" s="362"/>
      <c r="QFJ68" s="362"/>
      <c r="QFK68" s="362"/>
      <c r="QFL68" s="362"/>
      <c r="QFM68" s="362"/>
      <c r="QFN68" s="362"/>
      <c r="QFO68" s="362"/>
      <c r="QFP68" s="362"/>
      <c r="QFQ68" s="362"/>
      <c r="QFR68" s="362"/>
      <c r="QFS68" s="362"/>
      <c r="QFT68" s="362"/>
      <c r="QFU68" s="362"/>
      <c r="QFV68" s="362"/>
      <c r="QFW68" s="362"/>
      <c r="QFX68" s="362"/>
      <c r="QFY68" s="362"/>
      <c r="QFZ68" s="362"/>
      <c r="QGA68" s="362"/>
      <c r="QGB68" s="362"/>
      <c r="QGC68" s="362"/>
      <c r="QGD68" s="362"/>
      <c r="QGE68" s="362"/>
      <c r="QGF68" s="362"/>
      <c r="QGG68" s="362"/>
      <c r="QGH68" s="362"/>
      <c r="QGI68" s="362"/>
      <c r="QGJ68" s="362"/>
      <c r="QGK68" s="362"/>
      <c r="QGL68" s="362"/>
      <c r="QGM68" s="362"/>
      <c r="QGN68" s="362"/>
      <c r="QGO68" s="362"/>
      <c r="QGP68" s="362"/>
      <c r="QGQ68" s="362"/>
      <c r="QGR68" s="362"/>
      <c r="QGS68" s="362"/>
      <c r="QGT68" s="362"/>
      <c r="QGU68" s="362"/>
      <c r="QGV68" s="362"/>
      <c r="QGW68" s="362"/>
      <c r="QGX68" s="362"/>
      <c r="QGY68" s="362"/>
      <c r="QGZ68" s="362"/>
      <c r="QHA68" s="362"/>
      <c r="QHB68" s="362"/>
      <c r="QHC68" s="362"/>
      <c r="QHD68" s="362"/>
      <c r="QHE68" s="362"/>
      <c r="QHF68" s="362"/>
      <c r="QHG68" s="362"/>
      <c r="QHH68" s="362"/>
      <c r="QHI68" s="362"/>
      <c r="QHJ68" s="362"/>
      <c r="QHK68" s="362"/>
      <c r="QHL68" s="362"/>
      <c r="QHM68" s="362"/>
      <c r="QHN68" s="362"/>
      <c r="QHO68" s="362"/>
      <c r="QHP68" s="362"/>
      <c r="QHQ68" s="362"/>
      <c r="QHR68" s="362"/>
      <c r="QHS68" s="362"/>
      <c r="QHT68" s="362"/>
      <c r="QHU68" s="362"/>
      <c r="QHV68" s="362"/>
      <c r="QHW68" s="362"/>
      <c r="QHX68" s="362"/>
      <c r="QHY68" s="362"/>
      <c r="QHZ68" s="362"/>
      <c r="QIA68" s="362"/>
      <c r="QIB68" s="362"/>
      <c r="QIC68" s="362"/>
      <c r="QID68" s="362"/>
      <c r="QIE68" s="362"/>
      <c r="QIF68" s="362"/>
      <c r="QIG68" s="362"/>
      <c r="QIH68" s="362"/>
      <c r="QII68" s="362"/>
      <c r="QIJ68" s="362"/>
      <c r="QIK68" s="362"/>
      <c r="QIL68" s="362"/>
      <c r="QIM68" s="362"/>
      <c r="QIN68" s="362"/>
      <c r="QIO68" s="362"/>
      <c r="QIP68" s="362"/>
      <c r="QIQ68" s="362"/>
      <c r="QIR68" s="362"/>
      <c r="QIS68" s="362"/>
      <c r="QIT68" s="362"/>
      <c r="QIU68" s="362"/>
      <c r="QIV68" s="362"/>
      <c r="QIW68" s="362"/>
      <c r="QIX68" s="362"/>
      <c r="QIY68" s="362"/>
      <c r="QIZ68" s="362"/>
      <c r="QJA68" s="362"/>
      <c r="QJB68" s="362"/>
      <c r="QJC68" s="362"/>
      <c r="QJD68" s="362"/>
      <c r="QJE68" s="362"/>
      <c r="QJF68" s="362"/>
      <c r="QJG68" s="362"/>
      <c r="QJH68" s="362"/>
      <c r="QJI68" s="362"/>
      <c r="QJJ68" s="362"/>
      <c r="QJK68" s="362"/>
      <c r="QJL68" s="362"/>
      <c r="QJM68" s="362"/>
      <c r="QJN68" s="362"/>
      <c r="QJO68" s="362"/>
      <c r="QJP68" s="362"/>
      <c r="QJQ68" s="362"/>
      <c r="QJR68" s="362"/>
      <c r="QJS68" s="362"/>
      <c r="QJT68" s="362"/>
      <c r="QJU68" s="362"/>
      <c r="QJV68" s="362"/>
      <c r="QJW68" s="362"/>
      <c r="QJX68" s="362"/>
      <c r="QJY68" s="362"/>
      <c r="QJZ68" s="362"/>
      <c r="QKA68" s="362"/>
      <c r="QKB68" s="362"/>
      <c r="QKC68" s="362"/>
      <c r="QKD68" s="362"/>
      <c r="QKE68" s="362"/>
      <c r="QKF68" s="362"/>
      <c r="QKG68" s="362"/>
      <c r="QKH68" s="362"/>
      <c r="QKI68" s="362"/>
      <c r="QKJ68" s="362"/>
      <c r="QKK68" s="362"/>
      <c r="QKL68" s="362"/>
      <c r="QKM68" s="362"/>
      <c r="QKN68" s="362"/>
      <c r="QKO68" s="362"/>
      <c r="QKP68" s="362"/>
      <c r="QKQ68" s="362"/>
      <c r="QKR68" s="362"/>
      <c r="QKS68" s="362"/>
      <c r="QKT68" s="362"/>
      <c r="QKU68" s="362"/>
      <c r="QKV68" s="362"/>
      <c r="QKW68" s="362"/>
      <c r="QKX68" s="362"/>
      <c r="QKY68" s="362"/>
      <c r="QKZ68" s="362"/>
      <c r="QLA68" s="362"/>
      <c r="QLB68" s="362"/>
      <c r="QLC68" s="362"/>
      <c r="QLD68" s="362"/>
      <c r="QLE68" s="362"/>
      <c r="QLF68" s="362"/>
      <c r="QLG68" s="362"/>
      <c r="QLH68" s="362"/>
      <c r="QLI68" s="362"/>
      <c r="QLJ68" s="362"/>
      <c r="QLK68" s="362"/>
      <c r="QLL68" s="362"/>
      <c r="QLM68" s="362"/>
      <c r="QLN68" s="362"/>
      <c r="QLO68" s="362"/>
      <c r="QLP68" s="362"/>
      <c r="QLQ68" s="362"/>
      <c r="QLR68" s="362"/>
      <c r="QLS68" s="362"/>
      <c r="QLT68" s="362"/>
      <c r="QLU68" s="362"/>
      <c r="QLV68" s="362"/>
      <c r="QLW68" s="362"/>
      <c r="QLX68" s="362"/>
      <c r="QLY68" s="362"/>
      <c r="QLZ68" s="362"/>
      <c r="QMA68" s="362"/>
      <c r="QMB68" s="362"/>
      <c r="QMC68" s="362"/>
      <c r="QMD68" s="362"/>
      <c r="QME68" s="362"/>
      <c r="QMF68" s="362"/>
      <c r="QMG68" s="362"/>
      <c r="QMH68" s="362"/>
      <c r="QMI68" s="362"/>
      <c r="QMJ68" s="362"/>
      <c r="QMK68" s="362"/>
      <c r="QML68" s="362"/>
      <c r="QMM68" s="362"/>
      <c r="QMN68" s="362"/>
      <c r="QMO68" s="362"/>
      <c r="QMP68" s="362"/>
      <c r="QMQ68" s="362"/>
      <c r="QMR68" s="362"/>
      <c r="QMS68" s="362"/>
      <c r="QMT68" s="362"/>
      <c r="QMU68" s="362"/>
      <c r="QMV68" s="362"/>
      <c r="QMW68" s="362"/>
      <c r="QMX68" s="362"/>
      <c r="QMY68" s="362"/>
      <c r="QMZ68" s="362"/>
      <c r="QNA68" s="362"/>
      <c r="QNB68" s="362"/>
      <c r="QNC68" s="362"/>
      <c r="QND68" s="362"/>
      <c r="QNE68" s="362"/>
      <c r="QNF68" s="362"/>
      <c r="QNG68" s="362"/>
      <c r="QNH68" s="362"/>
      <c r="QNI68" s="362"/>
      <c r="QNJ68" s="362"/>
      <c r="QNK68" s="362"/>
      <c r="QNL68" s="362"/>
      <c r="QNM68" s="362"/>
      <c r="QNN68" s="362"/>
      <c r="QNO68" s="362"/>
      <c r="QNP68" s="362"/>
      <c r="QNQ68" s="362"/>
      <c r="QNR68" s="362"/>
      <c r="QNS68" s="362"/>
      <c r="QNT68" s="362"/>
      <c r="QNU68" s="362"/>
      <c r="QNV68" s="362"/>
      <c r="QNW68" s="362"/>
      <c r="QNX68" s="362"/>
      <c r="QNY68" s="362"/>
      <c r="QNZ68" s="362"/>
      <c r="QOA68" s="362"/>
      <c r="QOB68" s="362"/>
      <c r="QOC68" s="362"/>
      <c r="QOD68" s="362"/>
      <c r="QOE68" s="362"/>
      <c r="QOF68" s="362"/>
      <c r="QOG68" s="362"/>
      <c r="QOH68" s="362"/>
      <c r="QOI68" s="362"/>
      <c r="QOJ68" s="362"/>
      <c r="QOK68" s="362"/>
      <c r="QOL68" s="362"/>
      <c r="QOM68" s="362"/>
      <c r="QON68" s="362"/>
      <c r="QOO68" s="362"/>
      <c r="QOP68" s="362"/>
      <c r="QOQ68" s="362"/>
      <c r="QOR68" s="362"/>
      <c r="QOS68" s="362"/>
      <c r="QOT68" s="362"/>
      <c r="QOU68" s="362"/>
      <c r="QOV68" s="362"/>
      <c r="QOW68" s="362"/>
      <c r="QOX68" s="362"/>
      <c r="QOY68" s="362"/>
      <c r="QOZ68" s="362"/>
      <c r="QPA68" s="362"/>
      <c r="QPB68" s="362"/>
      <c r="QPC68" s="362"/>
      <c r="QPD68" s="362"/>
      <c r="QPE68" s="362"/>
      <c r="QPF68" s="362"/>
      <c r="QPG68" s="362"/>
      <c r="QPH68" s="362"/>
      <c r="QPI68" s="362"/>
      <c r="QPJ68" s="362"/>
      <c r="QPK68" s="362"/>
      <c r="QPL68" s="362"/>
      <c r="QPM68" s="362"/>
      <c r="QPN68" s="362"/>
      <c r="QPO68" s="362"/>
      <c r="QPP68" s="362"/>
      <c r="QPQ68" s="362"/>
      <c r="QPR68" s="362"/>
      <c r="QPS68" s="362"/>
      <c r="QPT68" s="362"/>
      <c r="QPU68" s="362"/>
      <c r="QPV68" s="362"/>
      <c r="QPW68" s="362"/>
      <c r="QPX68" s="362"/>
      <c r="QPY68" s="362"/>
      <c r="QPZ68" s="362"/>
      <c r="QQA68" s="362"/>
      <c r="QQB68" s="362"/>
      <c r="QQC68" s="362"/>
      <c r="QQD68" s="362"/>
      <c r="QQE68" s="362"/>
      <c r="QQF68" s="362"/>
      <c r="QQG68" s="362"/>
      <c r="QQH68" s="362"/>
      <c r="QQI68" s="362"/>
      <c r="QQJ68" s="362"/>
      <c r="QQK68" s="362"/>
      <c r="QQL68" s="362"/>
      <c r="QQM68" s="362"/>
      <c r="QQN68" s="362"/>
      <c r="QQO68" s="362"/>
      <c r="QQP68" s="362"/>
      <c r="QQQ68" s="362"/>
      <c r="QQR68" s="362"/>
      <c r="QQS68" s="362"/>
      <c r="QQT68" s="362"/>
      <c r="QQU68" s="362"/>
      <c r="QQV68" s="362"/>
      <c r="QQW68" s="362"/>
      <c r="QQX68" s="362"/>
      <c r="QQY68" s="362"/>
      <c r="QQZ68" s="362"/>
      <c r="QRA68" s="362"/>
      <c r="QRB68" s="362"/>
      <c r="QRC68" s="362"/>
      <c r="QRD68" s="362"/>
      <c r="QRE68" s="362"/>
      <c r="QRF68" s="362"/>
      <c r="QRG68" s="362"/>
      <c r="QRH68" s="362"/>
      <c r="QRI68" s="362"/>
      <c r="QRJ68" s="362"/>
      <c r="QRK68" s="362"/>
      <c r="QRL68" s="362"/>
      <c r="QRM68" s="362"/>
      <c r="QRN68" s="362"/>
      <c r="QRO68" s="362"/>
      <c r="QRP68" s="362"/>
      <c r="QRQ68" s="362"/>
      <c r="QRR68" s="362"/>
      <c r="QRS68" s="362"/>
      <c r="QRT68" s="362"/>
      <c r="QRU68" s="362"/>
      <c r="QRV68" s="362"/>
      <c r="QRW68" s="362"/>
      <c r="QRX68" s="362"/>
      <c r="QRY68" s="362"/>
      <c r="QRZ68" s="362"/>
      <c r="QSA68" s="362"/>
      <c r="QSB68" s="362"/>
      <c r="QSC68" s="362"/>
      <c r="QSD68" s="362"/>
      <c r="QSE68" s="362"/>
      <c r="QSF68" s="362"/>
      <c r="QSG68" s="362"/>
      <c r="QSH68" s="362"/>
      <c r="QSI68" s="362"/>
      <c r="QSJ68" s="362"/>
      <c r="QSK68" s="362"/>
      <c r="QSL68" s="362"/>
      <c r="QSM68" s="362"/>
      <c r="QSN68" s="362"/>
      <c r="QSO68" s="362"/>
      <c r="QSP68" s="362"/>
      <c r="QSQ68" s="362"/>
      <c r="QSR68" s="362"/>
      <c r="QSS68" s="362"/>
      <c r="QST68" s="362"/>
      <c r="QSU68" s="362"/>
      <c r="QSV68" s="362"/>
      <c r="QSW68" s="362"/>
      <c r="QSX68" s="362"/>
      <c r="QSY68" s="362"/>
      <c r="QSZ68" s="362"/>
      <c r="QTA68" s="362"/>
      <c r="QTB68" s="362"/>
      <c r="QTC68" s="362"/>
      <c r="QTD68" s="362"/>
      <c r="QTE68" s="362"/>
      <c r="QTF68" s="362"/>
      <c r="QTG68" s="362"/>
      <c r="QTH68" s="362"/>
      <c r="QTI68" s="362"/>
      <c r="QTJ68" s="362"/>
      <c r="QTK68" s="362"/>
      <c r="QTL68" s="362"/>
      <c r="QTM68" s="362"/>
      <c r="QTN68" s="362"/>
      <c r="QTO68" s="362"/>
      <c r="QTP68" s="362"/>
      <c r="QTQ68" s="362"/>
      <c r="QTR68" s="362"/>
      <c r="QTS68" s="362"/>
      <c r="QTT68" s="362"/>
      <c r="QTU68" s="362"/>
      <c r="QTV68" s="362"/>
      <c r="QTW68" s="362"/>
      <c r="QTX68" s="362"/>
      <c r="QTY68" s="362"/>
      <c r="QTZ68" s="362"/>
      <c r="QUA68" s="362"/>
      <c r="QUB68" s="362"/>
      <c r="QUC68" s="362"/>
      <c r="QUD68" s="362"/>
      <c r="QUE68" s="362"/>
      <c r="QUF68" s="362"/>
      <c r="QUG68" s="362"/>
      <c r="QUH68" s="362"/>
      <c r="QUI68" s="362"/>
      <c r="QUJ68" s="362"/>
      <c r="QUK68" s="362"/>
      <c r="QUL68" s="362"/>
      <c r="QUM68" s="362"/>
      <c r="QUN68" s="362"/>
      <c r="QUO68" s="362"/>
      <c r="QUP68" s="362"/>
      <c r="QUQ68" s="362"/>
      <c r="QUR68" s="362"/>
      <c r="QUS68" s="362"/>
      <c r="QUT68" s="362"/>
      <c r="QUU68" s="362"/>
      <c r="QUV68" s="362"/>
      <c r="QUW68" s="362"/>
      <c r="QUX68" s="362"/>
      <c r="QUY68" s="362"/>
      <c r="QUZ68" s="362"/>
      <c r="QVA68" s="362"/>
      <c r="QVB68" s="362"/>
      <c r="QVC68" s="362"/>
      <c r="QVD68" s="362"/>
      <c r="QVE68" s="362"/>
      <c r="QVF68" s="362"/>
      <c r="QVG68" s="362"/>
      <c r="QVH68" s="362"/>
      <c r="QVI68" s="362"/>
      <c r="QVJ68" s="362"/>
      <c r="QVK68" s="362"/>
      <c r="QVL68" s="362"/>
      <c r="QVM68" s="362"/>
      <c r="QVN68" s="362"/>
      <c r="QVO68" s="362"/>
      <c r="QVP68" s="362"/>
      <c r="QVQ68" s="362"/>
      <c r="QVR68" s="362"/>
      <c r="QVS68" s="362"/>
      <c r="QVT68" s="362"/>
      <c r="QVU68" s="362"/>
      <c r="QVV68" s="362"/>
      <c r="QVW68" s="362"/>
      <c r="QVX68" s="362"/>
      <c r="QVY68" s="362"/>
      <c r="QVZ68" s="362"/>
      <c r="QWA68" s="362"/>
      <c r="QWB68" s="362"/>
      <c r="QWC68" s="362"/>
      <c r="QWD68" s="362"/>
      <c r="QWE68" s="362"/>
      <c r="QWF68" s="362"/>
      <c r="QWG68" s="362"/>
      <c r="QWH68" s="362"/>
      <c r="QWI68" s="362"/>
      <c r="QWJ68" s="362"/>
      <c r="QWK68" s="362"/>
      <c r="QWL68" s="362"/>
      <c r="QWM68" s="362"/>
      <c r="QWN68" s="362"/>
      <c r="QWO68" s="362"/>
      <c r="QWP68" s="362"/>
      <c r="QWQ68" s="362"/>
      <c r="QWR68" s="362"/>
      <c r="QWS68" s="362"/>
      <c r="QWT68" s="362"/>
      <c r="QWU68" s="362"/>
      <c r="QWV68" s="362"/>
      <c r="QWW68" s="362"/>
      <c r="QWX68" s="362"/>
      <c r="QWY68" s="362"/>
      <c r="QWZ68" s="362"/>
      <c r="QXA68" s="362"/>
      <c r="QXB68" s="362"/>
      <c r="QXC68" s="362"/>
      <c r="QXD68" s="362"/>
      <c r="QXE68" s="362"/>
      <c r="QXF68" s="362"/>
      <c r="QXG68" s="362"/>
      <c r="QXH68" s="362"/>
      <c r="QXI68" s="362"/>
      <c r="QXJ68" s="362"/>
      <c r="QXK68" s="362"/>
      <c r="QXL68" s="362"/>
      <c r="QXM68" s="362"/>
      <c r="QXN68" s="362"/>
      <c r="QXO68" s="362"/>
      <c r="QXP68" s="362"/>
      <c r="QXQ68" s="362"/>
      <c r="QXR68" s="362"/>
      <c r="QXS68" s="362"/>
      <c r="QXT68" s="362"/>
      <c r="QXU68" s="362"/>
      <c r="QXV68" s="362"/>
      <c r="QXW68" s="362"/>
      <c r="QXX68" s="362"/>
      <c r="QXY68" s="362"/>
      <c r="QXZ68" s="362"/>
      <c r="QYA68" s="362"/>
      <c r="QYB68" s="362"/>
      <c r="QYC68" s="362"/>
      <c r="QYD68" s="362"/>
      <c r="QYE68" s="362"/>
      <c r="QYF68" s="362"/>
      <c r="QYG68" s="362"/>
      <c r="QYH68" s="362"/>
      <c r="QYI68" s="362"/>
      <c r="QYJ68" s="362"/>
      <c r="QYK68" s="362"/>
      <c r="QYL68" s="362"/>
      <c r="QYM68" s="362"/>
      <c r="QYN68" s="362"/>
      <c r="QYO68" s="362"/>
      <c r="QYP68" s="362"/>
      <c r="QYQ68" s="362"/>
      <c r="QYR68" s="362"/>
      <c r="QYS68" s="362"/>
      <c r="QYT68" s="362"/>
      <c r="QYU68" s="362"/>
      <c r="QYV68" s="362"/>
      <c r="QYW68" s="362"/>
      <c r="QYX68" s="362"/>
      <c r="QYY68" s="362"/>
      <c r="QYZ68" s="362"/>
      <c r="QZA68" s="362"/>
      <c r="QZB68" s="362"/>
      <c r="QZC68" s="362"/>
      <c r="QZD68" s="362"/>
      <c r="QZE68" s="362"/>
      <c r="QZF68" s="362"/>
      <c r="QZG68" s="362"/>
      <c r="QZH68" s="362"/>
      <c r="QZI68" s="362"/>
      <c r="QZJ68" s="362"/>
      <c r="QZK68" s="362"/>
      <c r="QZL68" s="362"/>
      <c r="QZM68" s="362"/>
      <c r="QZN68" s="362"/>
      <c r="QZO68" s="362"/>
      <c r="QZP68" s="362"/>
      <c r="QZQ68" s="362"/>
      <c r="QZR68" s="362"/>
      <c r="QZS68" s="362"/>
      <c r="QZT68" s="362"/>
      <c r="QZU68" s="362"/>
      <c r="QZV68" s="362"/>
      <c r="QZW68" s="362"/>
      <c r="QZX68" s="362"/>
      <c r="QZY68" s="362"/>
      <c r="QZZ68" s="362"/>
      <c r="RAA68" s="362"/>
      <c r="RAB68" s="362"/>
      <c r="RAC68" s="362"/>
      <c r="RAD68" s="362"/>
      <c r="RAE68" s="362"/>
      <c r="RAF68" s="362"/>
      <c r="RAG68" s="362"/>
      <c r="RAH68" s="362"/>
      <c r="RAI68" s="362"/>
      <c r="RAJ68" s="362"/>
      <c r="RAK68" s="362"/>
      <c r="RAL68" s="362"/>
      <c r="RAM68" s="362"/>
      <c r="RAN68" s="362"/>
      <c r="RAO68" s="362"/>
      <c r="RAP68" s="362"/>
      <c r="RAQ68" s="362"/>
      <c r="RAR68" s="362"/>
      <c r="RAS68" s="362"/>
      <c r="RAT68" s="362"/>
      <c r="RAU68" s="362"/>
      <c r="RAV68" s="362"/>
      <c r="RAW68" s="362"/>
      <c r="RAX68" s="362"/>
      <c r="RAY68" s="362"/>
      <c r="RAZ68" s="362"/>
      <c r="RBA68" s="362"/>
      <c r="RBB68" s="362"/>
      <c r="RBC68" s="362"/>
      <c r="RBD68" s="362"/>
      <c r="RBE68" s="362"/>
      <c r="RBF68" s="362"/>
      <c r="RBG68" s="362"/>
      <c r="RBH68" s="362"/>
      <c r="RBI68" s="362"/>
      <c r="RBJ68" s="362"/>
      <c r="RBK68" s="362"/>
      <c r="RBL68" s="362"/>
      <c r="RBM68" s="362"/>
      <c r="RBN68" s="362"/>
      <c r="RBO68" s="362"/>
      <c r="RBP68" s="362"/>
      <c r="RBQ68" s="362"/>
      <c r="RBR68" s="362"/>
      <c r="RBS68" s="362"/>
      <c r="RBT68" s="362"/>
      <c r="RBU68" s="362"/>
      <c r="RBV68" s="362"/>
      <c r="RBW68" s="362"/>
      <c r="RBX68" s="362"/>
      <c r="RBY68" s="362"/>
      <c r="RBZ68" s="362"/>
      <c r="RCA68" s="362"/>
      <c r="RCB68" s="362"/>
      <c r="RCC68" s="362"/>
      <c r="RCD68" s="362"/>
      <c r="RCE68" s="362"/>
      <c r="RCF68" s="362"/>
      <c r="RCG68" s="362"/>
      <c r="RCH68" s="362"/>
      <c r="RCI68" s="362"/>
      <c r="RCJ68" s="362"/>
      <c r="RCK68" s="362"/>
      <c r="RCL68" s="362"/>
      <c r="RCM68" s="362"/>
      <c r="RCN68" s="362"/>
      <c r="RCO68" s="362"/>
      <c r="RCP68" s="362"/>
      <c r="RCQ68" s="362"/>
      <c r="RCR68" s="362"/>
      <c r="RCS68" s="362"/>
      <c r="RCT68" s="362"/>
      <c r="RCU68" s="362"/>
      <c r="RCV68" s="362"/>
      <c r="RCW68" s="362"/>
      <c r="RCX68" s="362"/>
      <c r="RCY68" s="362"/>
      <c r="RCZ68" s="362"/>
      <c r="RDA68" s="362"/>
      <c r="RDB68" s="362"/>
      <c r="RDC68" s="362"/>
      <c r="RDD68" s="362"/>
      <c r="RDE68" s="362"/>
      <c r="RDF68" s="362"/>
      <c r="RDG68" s="362"/>
      <c r="RDH68" s="362"/>
      <c r="RDI68" s="362"/>
      <c r="RDJ68" s="362"/>
      <c r="RDK68" s="362"/>
      <c r="RDL68" s="362"/>
      <c r="RDM68" s="362"/>
      <c r="RDN68" s="362"/>
      <c r="RDO68" s="362"/>
      <c r="RDP68" s="362"/>
      <c r="RDQ68" s="362"/>
      <c r="RDR68" s="362"/>
      <c r="RDS68" s="362"/>
      <c r="RDT68" s="362"/>
      <c r="RDU68" s="362"/>
      <c r="RDV68" s="362"/>
      <c r="RDW68" s="362"/>
      <c r="RDX68" s="362"/>
      <c r="RDY68" s="362"/>
      <c r="RDZ68" s="362"/>
      <c r="REA68" s="362"/>
      <c r="REB68" s="362"/>
      <c r="REC68" s="362"/>
      <c r="RED68" s="362"/>
      <c r="REE68" s="362"/>
      <c r="REF68" s="362"/>
      <c r="REG68" s="362"/>
      <c r="REH68" s="362"/>
      <c r="REI68" s="362"/>
      <c r="REJ68" s="362"/>
      <c r="REK68" s="362"/>
      <c r="REL68" s="362"/>
      <c r="REM68" s="362"/>
      <c r="REN68" s="362"/>
      <c r="REO68" s="362"/>
      <c r="REP68" s="362"/>
      <c r="REQ68" s="362"/>
      <c r="RER68" s="362"/>
      <c r="RES68" s="362"/>
      <c r="RET68" s="362"/>
      <c r="REU68" s="362"/>
      <c r="REV68" s="362"/>
      <c r="REW68" s="362"/>
      <c r="REX68" s="362"/>
      <c r="REY68" s="362"/>
      <c r="REZ68" s="362"/>
      <c r="RFA68" s="362"/>
      <c r="RFB68" s="362"/>
      <c r="RFC68" s="362"/>
      <c r="RFD68" s="362"/>
      <c r="RFE68" s="362"/>
      <c r="RFF68" s="362"/>
      <c r="RFG68" s="362"/>
      <c r="RFH68" s="362"/>
      <c r="RFI68" s="362"/>
      <c r="RFJ68" s="362"/>
      <c r="RFK68" s="362"/>
      <c r="RFL68" s="362"/>
      <c r="RFM68" s="362"/>
      <c r="RFN68" s="362"/>
      <c r="RFO68" s="362"/>
      <c r="RFP68" s="362"/>
      <c r="RFQ68" s="362"/>
      <c r="RFR68" s="362"/>
      <c r="RFS68" s="362"/>
      <c r="RFT68" s="362"/>
      <c r="RFU68" s="362"/>
      <c r="RFV68" s="362"/>
      <c r="RFW68" s="362"/>
      <c r="RFX68" s="362"/>
      <c r="RFY68" s="362"/>
      <c r="RFZ68" s="362"/>
      <c r="RGA68" s="362"/>
      <c r="RGB68" s="362"/>
      <c r="RGC68" s="362"/>
      <c r="RGD68" s="362"/>
      <c r="RGE68" s="362"/>
      <c r="RGF68" s="362"/>
      <c r="RGG68" s="362"/>
      <c r="RGH68" s="362"/>
      <c r="RGI68" s="362"/>
      <c r="RGJ68" s="362"/>
      <c r="RGK68" s="362"/>
      <c r="RGL68" s="362"/>
      <c r="RGM68" s="362"/>
      <c r="RGN68" s="362"/>
      <c r="RGO68" s="362"/>
      <c r="RGP68" s="362"/>
      <c r="RGQ68" s="362"/>
      <c r="RGR68" s="362"/>
      <c r="RGS68" s="362"/>
      <c r="RGT68" s="362"/>
      <c r="RGU68" s="362"/>
      <c r="RGV68" s="362"/>
      <c r="RGW68" s="362"/>
      <c r="RGX68" s="362"/>
      <c r="RGY68" s="362"/>
      <c r="RGZ68" s="362"/>
      <c r="RHA68" s="362"/>
      <c r="RHB68" s="362"/>
      <c r="RHC68" s="362"/>
      <c r="RHD68" s="362"/>
      <c r="RHE68" s="362"/>
      <c r="RHF68" s="362"/>
      <c r="RHG68" s="362"/>
      <c r="RHH68" s="362"/>
      <c r="RHI68" s="362"/>
      <c r="RHJ68" s="362"/>
      <c r="RHK68" s="362"/>
      <c r="RHL68" s="362"/>
      <c r="RHM68" s="362"/>
      <c r="RHN68" s="362"/>
      <c r="RHO68" s="362"/>
      <c r="RHP68" s="362"/>
      <c r="RHQ68" s="362"/>
      <c r="RHR68" s="362"/>
      <c r="RHS68" s="362"/>
      <c r="RHT68" s="362"/>
      <c r="RHU68" s="362"/>
      <c r="RHV68" s="362"/>
      <c r="RHW68" s="362"/>
      <c r="RHX68" s="362"/>
      <c r="RHY68" s="362"/>
      <c r="RHZ68" s="362"/>
      <c r="RIA68" s="362"/>
      <c r="RIB68" s="362"/>
      <c r="RIC68" s="362"/>
      <c r="RID68" s="362"/>
      <c r="RIE68" s="362"/>
      <c r="RIF68" s="362"/>
      <c r="RIG68" s="362"/>
      <c r="RIH68" s="362"/>
      <c r="RII68" s="362"/>
      <c r="RIJ68" s="362"/>
      <c r="RIK68" s="362"/>
      <c r="RIL68" s="362"/>
      <c r="RIM68" s="362"/>
      <c r="RIN68" s="362"/>
      <c r="RIO68" s="362"/>
      <c r="RIP68" s="362"/>
      <c r="RIQ68" s="362"/>
      <c r="RIR68" s="362"/>
      <c r="RIS68" s="362"/>
      <c r="RIT68" s="362"/>
      <c r="RIU68" s="362"/>
      <c r="RIV68" s="362"/>
      <c r="RIW68" s="362"/>
      <c r="RIX68" s="362"/>
      <c r="RIY68" s="362"/>
      <c r="RIZ68" s="362"/>
      <c r="RJA68" s="362"/>
      <c r="RJB68" s="362"/>
      <c r="RJC68" s="362"/>
      <c r="RJD68" s="362"/>
      <c r="RJE68" s="362"/>
      <c r="RJF68" s="362"/>
      <c r="RJG68" s="362"/>
      <c r="RJH68" s="362"/>
      <c r="RJI68" s="362"/>
      <c r="RJJ68" s="362"/>
      <c r="RJK68" s="362"/>
      <c r="RJL68" s="362"/>
      <c r="RJM68" s="362"/>
      <c r="RJN68" s="362"/>
      <c r="RJO68" s="362"/>
      <c r="RJP68" s="362"/>
      <c r="RJQ68" s="362"/>
      <c r="RJR68" s="362"/>
      <c r="RJS68" s="362"/>
      <c r="RJT68" s="362"/>
      <c r="RJU68" s="362"/>
      <c r="RJV68" s="362"/>
      <c r="RJW68" s="362"/>
      <c r="RJX68" s="362"/>
      <c r="RJY68" s="362"/>
      <c r="RJZ68" s="362"/>
      <c r="RKA68" s="362"/>
      <c r="RKB68" s="362"/>
      <c r="RKC68" s="362"/>
      <c r="RKD68" s="362"/>
      <c r="RKE68" s="362"/>
      <c r="RKF68" s="362"/>
      <c r="RKG68" s="362"/>
      <c r="RKH68" s="362"/>
      <c r="RKI68" s="362"/>
      <c r="RKJ68" s="362"/>
      <c r="RKK68" s="362"/>
      <c r="RKL68" s="362"/>
      <c r="RKM68" s="362"/>
      <c r="RKN68" s="362"/>
      <c r="RKO68" s="362"/>
      <c r="RKP68" s="362"/>
      <c r="RKQ68" s="362"/>
      <c r="RKR68" s="362"/>
      <c r="RKS68" s="362"/>
      <c r="RKT68" s="362"/>
      <c r="RKU68" s="362"/>
      <c r="RKV68" s="362"/>
      <c r="RKW68" s="362"/>
      <c r="RKX68" s="362"/>
      <c r="RKY68" s="362"/>
      <c r="RKZ68" s="362"/>
      <c r="RLA68" s="362"/>
      <c r="RLB68" s="362"/>
      <c r="RLC68" s="362"/>
      <c r="RLD68" s="362"/>
      <c r="RLE68" s="362"/>
      <c r="RLF68" s="362"/>
      <c r="RLG68" s="362"/>
      <c r="RLH68" s="362"/>
      <c r="RLI68" s="362"/>
      <c r="RLJ68" s="362"/>
      <c r="RLK68" s="362"/>
      <c r="RLL68" s="362"/>
      <c r="RLM68" s="362"/>
      <c r="RLN68" s="362"/>
      <c r="RLO68" s="362"/>
      <c r="RLP68" s="362"/>
      <c r="RLQ68" s="362"/>
      <c r="RLR68" s="362"/>
      <c r="RLS68" s="362"/>
      <c r="RLT68" s="362"/>
      <c r="RLU68" s="362"/>
      <c r="RLV68" s="362"/>
      <c r="RLW68" s="362"/>
      <c r="RLX68" s="362"/>
      <c r="RLY68" s="362"/>
      <c r="RLZ68" s="362"/>
      <c r="RMA68" s="362"/>
      <c r="RMB68" s="362"/>
      <c r="RMC68" s="362"/>
      <c r="RMD68" s="362"/>
      <c r="RME68" s="362"/>
      <c r="RMF68" s="362"/>
      <c r="RMG68" s="362"/>
      <c r="RMH68" s="362"/>
      <c r="RMI68" s="362"/>
      <c r="RMJ68" s="362"/>
      <c r="RMK68" s="362"/>
      <c r="RML68" s="362"/>
      <c r="RMM68" s="362"/>
      <c r="RMN68" s="362"/>
      <c r="RMO68" s="362"/>
      <c r="RMP68" s="362"/>
      <c r="RMQ68" s="362"/>
      <c r="RMR68" s="362"/>
      <c r="RMS68" s="362"/>
      <c r="RMT68" s="362"/>
      <c r="RMU68" s="362"/>
      <c r="RMV68" s="362"/>
      <c r="RMW68" s="362"/>
      <c r="RMX68" s="362"/>
      <c r="RMY68" s="362"/>
      <c r="RMZ68" s="362"/>
      <c r="RNA68" s="362"/>
      <c r="RNB68" s="362"/>
      <c r="RNC68" s="362"/>
      <c r="RND68" s="362"/>
      <c r="RNE68" s="362"/>
      <c r="RNF68" s="362"/>
      <c r="RNG68" s="362"/>
      <c r="RNH68" s="362"/>
      <c r="RNI68" s="362"/>
      <c r="RNJ68" s="362"/>
      <c r="RNK68" s="362"/>
      <c r="RNL68" s="362"/>
      <c r="RNM68" s="362"/>
      <c r="RNN68" s="362"/>
      <c r="RNO68" s="362"/>
      <c r="RNP68" s="362"/>
      <c r="RNQ68" s="362"/>
      <c r="RNR68" s="362"/>
      <c r="RNS68" s="362"/>
      <c r="RNT68" s="362"/>
      <c r="RNU68" s="362"/>
      <c r="RNV68" s="362"/>
      <c r="RNW68" s="362"/>
      <c r="RNX68" s="362"/>
      <c r="RNY68" s="362"/>
      <c r="RNZ68" s="362"/>
      <c r="ROA68" s="362"/>
      <c r="ROB68" s="362"/>
      <c r="ROC68" s="362"/>
      <c r="ROD68" s="362"/>
      <c r="ROE68" s="362"/>
      <c r="ROF68" s="362"/>
      <c r="ROG68" s="362"/>
      <c r="ROH68" s="362"/>
      <c r="ROI68" s="362"/>
      <c r="ROJ68" s="362"/>
      <c r="ROK68" s="362"/>
      <c r="ROL68" s="362"/>
      <c r="ROM68" s="362"/>
      <c r="RON68" s="362"/>
      <c r="ROO68" s="362"/>
      <c r="ROP68" s="362"/>
      <c r="ROQ68" s="362"/>
      <c r="ROR68" s="362"/>
      <c r="ROS68" s="362"/>
      <c r="ROT68" s="362"/>
      <c r="ROU68" s="362"/>
      <c r="ROV68" s="362"/>
      <c r="ROW68" s="362"/>
      <c r="ROX68" s="362"/>
      <c r="ROY68" s="362"/>
      <c r="ROZ68" s="362"/>
      <c r="RPA68" s="362"/>
      <c r="RPB68" s="362"/>
      <c r="RPC68" s="362"/>
      <c r="RPD68" s="362"/>
      <c r="RPE68" s="362"/>
      <c r="RPF68" s="362"/>
      <c r="RPG68" s="362"/>
      <c r="RPH68" s="362"/>
      <c r="RPI68" s="362"/>
      <c r="RPJ68" s="362"/>
      <c r="RPK68" s="362"/>
      <c r="RPL68" s="362"/>
      <c r="RPM68" s="362"/>
      <c r="RPN68" s="362"/>
      <c r="RPO68" s="362"/>
      <c r="RPP68" s="362"/>
      <c r="RPQ68" s="362"/>
      <c r="RPR68" s="362"/>
      <c r="RPS68" s="362"/>
      <c r="RPT68" s="362"/>
      <c r="RPU68" s="362"/>
      <c r="RPV68" s="362"/>
      <c r="RPW68" s="362"/>
      <c r="RPX68" s="362"/>
      <c r="RPY68" s="362"/>
      <c r="RPZ68" s="362"/>
      <c r="RQA68" s="362"/>
      <c r="RQB68" s="362"/>
      <c r="RQC68" s="362"/>
      <c r="RQD68" s="362"/>
      <c r="RQE68" s="362"/>
      <c r="RQF68" s="362"/>
      <c r="RQG68" s="362"/>
      <c r="RQH68" s="362"/>
      <c r="RQI68" s="362"/>
      <c r="RQJ68" s="362"/>
      <c r="RQK68" s="362"/>
      <c r="RQL68" s="362"/>
      <c r="RQM68" s="362"/>
      <c r="RQN68" s="362"/>
      <c r="RQO68" s="362"/>
      <c r="RQP68" s="362"/>
      <c r="RQQ68" s="362"/>
      <c r="RQR68" s="362"/>
      <c r="RQS68" s="362"/>
      <c r="RQT68" s="362"/>
      <c r="RQU68" s="362"/>
      <c r="RQV68" s="362"/>
      <c r="RQW68" s="362"/>
      <c r="RQX68" s="362"/>
      <c r="RQY68" s="362"/>
      <c r="RQZ68" s="362"/>
      <c r="RRA68" s="362"/>
      <c r="RRB68" s="362"/>
      <c r="RRC68" s="362"/>
      <c r="RRD68" s="362"/>
      <c r="RRE68" s="362"/>
      <c r="RRF68" s="362"/>
      <c r="RRG68" s="362"/>
      <c r="RRH68" s="362"/>
      <c r="RRI68" s="362"/>
      <c r="RRJ68" s="362"/>
      <c r="RRK68" s="362"/>
      <c r="RRL68" s="362"/>
      <c r="RRM68" s="362"/>
      <c r="RRN68" s="362"/>
      <c r="RRO68" s="362"/>
      <c r="RRP68" s="362"/>
      <c r="RRQ68" s="362"/>
      <c r="RRR68" s="362"/>
      <c r="RRS68" s="362"/>
      <c r="RRT68" s="362"/>
      <c r="RRU68" s="362"/>
      <c r="RRV68" s="362"/>
      <c r="RRW68" s="362"/>
      <c r="RRX68" s="362"/>
      <c r="RRY68" s="362"/>
      <c r="RRZ68" s="362"/>
      <c r="RSA68" s="362"/>
      <c r="RSB68" s="362"/>
      <c r="RSC68" s="362"/>
      <c r="RSD68" s="362"/>
      <c r="RSE68" s="362"/>
      <c r="RSF68" s="362"/>
      <c r="RSG68" s="362"/>
      <c r="RSH68" s="362"/>
      <c r="RSI68" s="362"/>
      <c r="RSJ68" s="362"/>
      <c r="RSK68" s="362"/>
      <c r="RSL68" s="362"/>
      <c r="RSM68" s="362"/>
      <c r="RSN68" s="362"/>
      <c r="RSO68" s="362"/>
      <c r="RSP68" s="362"/>
      <c r="RSQ68" s="362"/>
      <c r="RSR68" s="362"/>
      <c r="RSS68" s="362"/>
      <c r="RST68" s="362"/>
      <c r="RSU68" s="362"/>
      <c r="RSV68" s="362"/>
      <c r="RSW68" s="362"/>
      <c r="RSX68" s="362"/>
      <c r="RSY68" s="362"/>
      <c r="RSZ68" s="362"/>
      <c r="RTA68" s="362"/>
      <c r="RTB68" s="362"/>
      <c r="RTC68" s="362"/>
      <c r="RTD68" s="362"/>
      <c r="RTE68" s="362"/>
      <c r="RTF68" s="362"/>
      <c r="RTG68" s="362"/>
      <c r="RTH68" s="362"/>
      <c r="RTI68" s="362"/>
      <c r="RTJ68" s="362"/>
      <c r="RTK68" s="362"/>
      <c r="RTL68" s="362"/>
      <c r="RTM68" s="362"/>
      <c r="RTN68" s="362"/>
      <c r="RTO68" s="362"/>
      <c r="RTP68" s="362"/>
      <c r="RTQ68" s="362"/>
      <c r="RTR68" s="362"/>
      <c r="RTS68" s="362"/>
      <c r="RTT68" s="362"/>
      <c r="RTU68" s="362"/>
      <c r="RTV68" s="362"/>
      <c r="RTW68" s="362"/>
      <c r="RTX68" s="362"/>
      <c r="RTY68" s="362"/>
      <c r="RTZ68" s="362"/>
      <c r="RUA68" s="362"/>
      <c r="RUB68" s="362"/>
      <c r="RUC68" s="362"/>
      <c r="RUD68" s="362"/>
      <c r="RUE68" s="362"/>
      <c r="RUF68" s="362"/>
      <c r="RUG68" s="362"/>
      <c r="RUH68" s="362"/>
      <c r="RUI68" s="362"/>
      <c r="RUJ68" s="362"/>
      <c r="RUK68" s="362"/>
      <c r="RUL68" s="362"/>
      <c r="RUM68" s="362"/>
      <c r="RUN68" s="362"/>
      <c r="RUO68" s="362"/>
      <c r="RUP68" s="362"/>
      <c r="RUQ68" s="362"/>
      <c r="RUR68" s="362"/>
      <c r="RUS68" s="362"/>
      <c r="RUT68" s="362"/>
      <c r="RUU68" s="362"/>
      <c r="RUV68" s="362"/>
      <c r="RUW68" s="362"/>
      <c r="RUX68" s="362"/>
      <c r="RUY68" s="362"/>
      <c r="RUZ68" s="362"/>
      <c r="RVA68" s="362"/>
      <c r="RVB68" s="362"/>
      <c r="RVC68" s="362"/>
      <c r="RVD68" s="362"/>
      <c r="RVE68" s="362"/>
      <c r="RVF68" s="362"/>
      <c r="RVG68" s="362"/>
      <c r="RVH68" s="362"/>
      <c r="RVI68" s="362"/>
      <c r="RVJ68" s="362"/>
      <c r="RVK68" s="362"/>
      <c r="RVL68" s="362"/>
      <c r="RVM68" s="362"/>
      <c r="RVN68" s="362"/>
      <c r="RVO68" s="362"/>
      <c r="RVP68" s="362"/>
      <c r="RVQ68" s="362"/>
      <c r="RVR68" s="362"/>
      <c r="RVS68" s="362"/>
      <c r="RVT68" s="362"/>
      <c r="RVU68" s="362"/>
      <c r="RVV68" s="362"/>
      <c r="RVW68" s="362"/>
      <c r="RVX68" s="362"/>
      <c r="RVY68" s="362"/>
      <c r="RVZ68" s="362"/>
      <c r="RWA68" s="362"/>
      <c r="RWB68" s="362"/>
      <c r="RWC68" s="362"/>
      <c r="RWD68" s="362"/>
      <c r="RWE68" s="362"/>
      <c r="RWF68" s="362"/>
      <c r="RWG68" s="362"/>
      <c r="RWH68" s="362"/>
      <c r="RWI68" s="362"/>
      <c r="RWJ68" s="362"/>
      <c r="RWK68" s="362"/>
      <c r="RWL68" s="362"/>
      <c r="RWM68" s="362"/>
      <c r="RWN68" s="362"/>
      <c r="RWO68" s="362"/>
      <c r="RWP68" s="362"/>
      <c r="RWQ68" s="362"/>
      <c r="RWR68" s="362"/>
      <c r="RWS68" s="362"/>
      <c r="RWT68" s="362"/>
      <c r="RWU68" s="362"/>
      <c r="RWV68" s="362"/>
      <c r="RWW68" s="362"/>
      <c r="RWX68" s="362"/>
      <c r="RWY68" s="362"/>
      <c r="RWZ68" s="362"/>
      <c r="RXA68" s="362"/>
      <c r="RXB68" s="362"/>
      <c r="RXC68" s="362"/>
      <c r="RXD68" s="362"/>
      <c r="RXE68" s="362"/>
      <c r="RXF68" s="362"/>
      <c r="RXG68" s="362"/>
      <c r="RXH68" s="362"/>
      <c r="RXI68" s="362"/>
      <c r="RXJ68" s="362"/>
      <c r="RXK68" s="362"/>
      <c r="RXL68" s="362"/>
      <c r="RXM68" s="362"/>
      <c r="RXN68" s="362"/>
      <c r="RXO68" s="362"/>
      <c r="RXP68" s="362"/>
      <c r="RXQ68" s="362"/>
      <c r="RXR68" s="362"/>
      <c r="RXS68" s="362"/>
      <c r="RXT68" s="362"/>
      <c r="RXU68" s="362"/>
      <c r="RXV68" s="362"/>
      <c r="RXW68" s="362"/>
      <c r="RXX68" s="362"/>
      <c r="RXY68" s="362"/>
      <c r="RXZ68" s="362"/>
      <c r="RYA68" s="362"/>
      <c r="RYB68" s="362"/>
      <c r="RYC68" s="362"/>
      <c r="RYD68" s="362"/>
      <c r="RYE68" s="362"/>
      <c r="RYF68" s="362"/>
      <c r="RYG68" s="362"/>
      <c r="RYH68" s="362"/>
      <c r="RYI68" s="362"/>
      <c r="RYJ68" s="362"/>
      <c r="RYK68" s="362"/>
      <c r="RYL68" s="362"/>
      <c r="RYM68" s="362"/>
      <c r="RYN68" s="362"/>
      <c r="RYO68" s="362"/>
      <c r="RYP68" s="362"/>
      <c r="RYQ68" s="362"/>
      <c r="RYR68" s="362"/>
      <c r="RYS68" s="362"/>
      <c r="RYT68" s="362"/>
      <c r="RYU68" s="362"/>
      <c r="RYV68" s="362"/>
      <c r="RYW68" s="362"/>
      <c r="RYX68" s="362"/>
      <c r="RYY68" s="362"/>
      <c r="RYZ68" s="362"/>
      <c r="RZA68" s="362"/>
      <c r="RZB68" s="362"/>
      <c r="RZC68" s="362"/>
      <c r="RZD68" s="362"/>
      <c r="RZE68" s="362"/>
      <c r="RZF68" s="362"/>
      <c r="RZG68" s="362"/>
      <c r="RZH68" s="362"/>
      <c r="RZI68" s="362"/>
      <c r="RZJ68" s="362"/>
      <c r="RZK68" s="362"/>
      <c r="RZL68" s="362"/>
      <c r="RZM68" s="362"/>
      <c r="RZN68" s="362"/>
      <c r="RZO68" s="362"/>
      <c r="RZP68" s="362"/>
      <c r="RZQ68" s="362"/>
      <c r="RZR68" s="362"/>
      <c r="RZS68" s="362"/>
      <c r="RZT68" s="362"/>
      <c r="RZU68" s="362"/>
      <c r="RZV68" s="362"/>
      <c r="RZW68" s="362"/>
      <c r="RZX68" s="362"/>
      <c r="RZY68" s="362"/>
      <c r="RZZ68" s="362"/>
      <c r="SAA68" s="362"/>
      <c r="SAB68" s="362"/>
      <c r="SAC68" s="362"/>
      <c r="SAD68" s="362"/>
      <c r="SAE68" s="362"/>
      <c r="SAF68" s="362"/>
      <c r="SAG68" s="362"/>
      <c r="SAH68" s="362"/>
      <c r="SAI68" s="362"/>
      <c r="SAJ68" s="362"/>
      <c r="SAK68" s="362"/>
      <c r="SAL68" s="362"/>
      <c r="SAM68" s="362"/>
      <c r="SAN68" s="362"/>
      <c r="SAO68" s="362"/>
      <c r="SAP68" s="362"/>
      <c r="SAQ68" s="362"/>
      <c r="SAR68" s="362"/>
      <c r="SAS68" s="362"/>
      <c r="SAT68" s="362"/>
      <c r="SAU68" s="362"/>
      <c r="SAV68" s="362"/>
      <c r="SAW68" s="362"/>
      <c r="SAX68" s="362"/>
      <c r="SAY68" s="362"/>
      <c r="SAZ68" s="362"/>
      <c r="SBA68" s="362"/>
      <c r="SBB68" s="362"/>
      <c r="SBC68" s="362"/>
      <c r="SBD68" s="362"/>
      <c r="SBE68" s="362"/>
      <c r="SBF68" s="362"/>
      <c r="SBG68" s="362"/>
      <c r="SBH68" s="362"/>
      <c r="SBI68" s="362"/>
      <c r="SBJ68" s="362"/>
      <c r="SBK68" s="362"/>
      <c r="SBL68" s="362"/>
      <c r="SBM68" s="362"/>
      <c r="SBN68" s="362"/>
      <c r="SBO68" s="362"/>
      <c r="SBP68" s="362"/>
      <c r="SBQ68" s="362"/>
      <c r="SBR68" s="362"/>
      <c r="SBS68" s="362"/>
      <c r="SBT68" s="362"/>
      <c r="SBU68" s="362"/>
      <c r="SBV68" s="362"/>
      <c r="SBW68" s="362"/>
      <c r="SBX68" s="362"/>
      <c r="SBY68" s="362"/>
      <c r="SBZ68" s="362"/>
      <c r="SCA68" s="362"/>
      <c r="SCB68" s="362"/>
      <c r="SCC68" s="362"/>
      <c r="SCD68" s="362"/>
      <c r="SCE68" s="362"/>
      <c r="SCF68" s="362"/>
      <c r="SCG68" s="362"/>
      <c r="SCH68" s="362"/>
      <c r="SCI68" s="362"/>
      <c r="SCJ68" s="362"/>
      <c r="SCK68" s="362"/>
      <c r="SCL68" s="362"/>
      <c r="SCM68" s="362"/>
      <c r="SCN68" s="362"/>
      <c r="SCO68" s="362"/>
      <c r="SCP68" s="362"/>
      <c r="SCQ68" s="362"/>
      <c r="SCR68" s="362"/>
      <c r="SCS68" s="362"/>
      <c r="SCT68" s="362"/>
      <c r="SCU68" s="362"/>
      <c r="SCV68" s="362"/>
      <c r="SCW68" s="362"/>
      <c r="SCX68" s="362"/>
      <c r="SCY68" s="362"/>
      <c r="SCZ68" s="362"/>
      <c r="SDA68" s="362"/>
      <c r="SDB68" s="362"/>
      <c r="SDC68" s="362"/>
      <c r="SDD68" s="362"/>
      <c r="SDE68" s="362"/>
      <c r="SDF68" s="362"/>
      <c r="SDG68" s="362"/>
      <c r="SDH68" s="362"/>
      <c r="SDI68" s="362"/>
      <c r="SDJ68" s="362"/>
      <c r="SDK68" s="362"/>
      <c r="SDL68" s="362"/>
      <c r="SDM68" s="362"/>
      <c r="SDN68" s="362"/>
      <c r="SDO68" s="362"/>
      <c r="SDP68" s="362"/>
      <c r="SDQ68" s="362"/>
      <c r="SDR68" s="362"/>
      <c r="SDS68" s="362"/>
      <c r="SDT68" s="362"/>
      <c r="SDU68" s="362"/>
      <c r="SDV68" s="362"/>
      <c r="SDW68" s="362"/>
      <c r="SDX68" s="362"/>
      <c r="SDY68" s="362"/>
      <c r="SDZ68" s="362"/>
      <c r="SEA68" s="362"/>
      <c r="SEB68" s="362"/>
      <c r="SEC68" s="362"/>
      <c r="SED68" s="362"/>
      <c r="SEE68" s="362"/>
      <c r="SEF68" s="362"/>
      <c r="SEG68" s="362"/>
      <c r="SEH68" s="362"/>
      <c r="SEI68" s="362"/>
      <c r="SEJ68" s="362"/>
      <c r="SEK68" s="362"/>
      <c r="SEL68" s="362"/>
      <c r="SEM68" s="362"/>
      <c r="SEN68" s="362"/>
      <c r="SEO68" s="362"/>
      <c r="SEP68" s="362"/>
      <c r="SEQ68" s="362"/>
      <c r="SER68" s="362"/>
      <c r="SES68" s="362"/>
      <c r="SET68" s="362"/>
      <c r="SEU68" s="362"/>
      <c r="SEV68" s="362"/>
      <c r="SEW68" s="362"/>
      <c r="SEX68" s="362"/>
      <c r="SEY68" s="362"/>
      <c r="SEZ68" s="362"/>
      <c r="SFA68" s="362"/>
      <c r="SFB68" s="362"/>
      <c r="SFC68" s="362"/>
      <c r="SFD68" s="362"/>
      <c r="SFE68" s="362"/>
      <c r="SFF68" s="362"/>
      <c r="SFG68" s="362"/>
      <c r="SFH68" s="362"/>
      <c r="SFI68" s="362"/>
      <c r="SFJ68" s="362"/>
      <c r="SFK68" s="362"/>
      <c r="SFL68" s="362"/>
      <c r="SFM68" s="362"/>
      <c r="SFN68" s="362"/>
      <c r="SFO68" s="362"/>
      <c r="SFP68" s="362"/>
      <c r="SFQ68" s="362"/>
      <c r="SFR68" s="362"/>
      <c r="SFS68" s="362"/>
      <c r="SFT68" s="362"/>
      <c r="SFU68" s="362"/>
      <c r="SFV68" s="362"/>
      <c r="SFW68" s="362"/>
      <c r="SFX68" s="362"/>
      <c r="SFY68" s="362"/>
      <c r="SFZ68" s="362"/>
      <c r="SGA68" s="362"/>
      <c r="SGB68" s="362"/>
      <c r="SGC68" s="362"/>
      <c r="SGD68" s="362"/>
      <c r="SGE68" s="362"/>
      <c r="SGF68" s="362"/>
      <c r="SGG68" s="362"/>
      <c r="SGH68" s="362"/>
      <c r="SGI68" s="362"/>
      <c r="SGJ68" s="362"/>
      <c r="SGK68" s="362"/>
      <c r="SGL68" s="362"/>
      <c r="SGM68" s="362"/>
      <c r="SGN68" s="362"/>
      <c r="SGO68" s="362"/>
      <c r="SGP68" s="362"/>
      <c r="SGQ68" s="362"/>
      <c r="SGR68" s="362"/>
      <c r="SGS68" s="362"/>
      <c r="SGT68" s="362"/>
      <c r="SGU68" s="362"/>
      <c r="SGV68" s="362"/>
      <c r="SGW68" s="362"/>
      <c r="SGX68" s="362"/>
      <c r="SGY68" s="362"/>
      <c r="SGZ68" s="362"/>
      <c r="SHA68" s="362"/>
      <c r="SHB68" s="362"/>
      <c r="SHC68" s="362"/>
      <c r="SHD68" s="362"/>
      <c r="SHE68" s="362"/>
      <c r="SHF68" s="362"/>
      <c r="SHG68" s="362"/>
      <c r="SHH68" s="362"/>
      <c r="SHI68" s="362"/>
      <c r="SHJ68" s="362"/>
      <c r="SHK68" s="362"/>
      <c r="SHL68" s="362"/>
      <c r="SHM68" s="362"/>
      <c r="SHN68" s="362"/>
      <c r="SHO68" s="362"/>
      <c r="SHP68" s="362"/>
      <c r="SHQ68" s="362"/>
      <c r="SHR68" s="362"/>
      <c r="SHS68" s="362"/>
      <c r="SHT68" s="362"/>
      <c r="SHU68" s="362"/>
      <c r="SHV68" s="362"/>
      <c r="SHW68" s="362"/>
      <c r="SHX68" s="362"/>
      <c r="SHY68" s="362"/>
      <c r="SHZ68" s="362"/>
      <c r="SIA68" s="362"/>
      <c r="SIB68" s="362"/>
      <c r="SIC68" s="362"/>
      <c r="SID68" s="362"/>
      <c r="SIE68" s="362"/>
      <c r="SIF68" s="362"/>
      <c r="SIG68" s="362"/>
      <c r="SIH68" s="362"/>
      <c r="SII68" s="362"/>
      <c r="SIJ68" s="362"/>
      <c r="SIK68" s="362"/>
      <c r="SIL68" s="362"/>
      <c r="SIM68" s="362"/>
      <c r="SIN68" s="362"/>
      <c r="SIO68" s="362"/>
      <c r="SIP68" s="362"/>
      <c r="SIQ68" s="362"/>
      <c r="SIR68" s="362"/>
      <c r="SIS68" s="362"/>
      <c r="SIT68" s="362"/>
      <c r="SIU68" s="362"/>
      <c r="SIV68" s="362"/>
      <c r="SIW68" s="362"/>
      <c r="SIX68" s="362"/>
      <c r="SIY68" s="362"/>
      <c r="SIZ68" s="362"/>
      <c r="SJA68" s="362"/>
      <c r="SJB68" s="362"/>
      <c r="SJC68" s="362"/>
      <c r="SJD68" s="362"/>
      <c r="SJE68" s="362"/>
      <c r="SJF68" s="362"/>
      <c r="SJG68" s="362"/>
      <c r="SJH68" s="362"/>
      <c r="SJI68" s="362"/>
      <c r="SJJ68" s="362"/>
      <c r="SJK68" s="362"/>
      <c r="SJL68" s="362"/>
      <c r="SJM68" s="362"/>
      <c r="SJN68" s="362"/>
      <c r="SJO68" s="362"/>
      <c r="SJP68" s="362"/>
      <c r="SJQ68" s="362"/>
      <c r="SJR68" s="362"/>
      <c r="SJS68" s="362"/>
      <c r="SJT68" s="362"/>
      <c r="SJU68" s="362"/>
      <c r="SJV68" s="362"/>
      <c r="SJW68" s="362"/>
      <c r="SJX68" s="362"/>
      <c r="SJY68" s="362"/>
      <c r="SJZ68" s="362"/>
      <c r="SKA68" s="362"/>
      <c r="SKB68" s="362"/>
      <c r="SKC68" s="362"/>
      <c r="SKD68" s="362"/>
      <c r="SKE68" s="362"/>
      <c r="SKF68" s="362"/>
      <c r="SKG68" s="362"/>
      <c r="SKH68" s="362"/>
      <c r="SKI68" s="362"/>
      <c r="SKJ68" s="362"/>
      <c r="SKK68" s="362"/>
      <c r="SKL68" s="362"/>
      <c r="SKM68" s="362"/>
      <c r="SKN68" s="362"/>
      <c r="SKO68" s="362"/>
      <c r="SKP68" s="362"/>
      <c r="SKQ68" s="362"/>
      <c r="SKR68" s="362"/>
      <c r="SKS68" s="362"/>
      <c r="SKT68" s="362"/>
      <c r="SKU68" s="362"/>
      <c r="SKV68" s="362"/>
      <c r="SKW68" s="362"/>
      <c r="SKX68" s="362"/>
      <c r="SKY68" s="362"/>
      <c r="SKZ68" s="362"/>
      <c r="SLA68" s="362"/>
      <c r="SLB68" s="362"/>
      <c r="SLC68" s="362"/>
      <c r="SLD68" s="362"/>
      <c r="SLE68" s="362"/>
      <c r="SLF68" s="362"/>
      <c r="SLG68" s="362"/>
      <c r="SLH68" s="362"/>
      <c r="SLI68" s="362"/>
      <c r="SLJ68" s="362"/>
      <c r="SLK68" s="362"/>
      <c r="SLL68" s="362"/>
      <c r="SLM68" s="362"/>
      <c r="SLN68" s="362"/>
      <c r="SLO68" s="362"/>
      <c r="SLP68" s="362"/>
      <c r="SLQ68" s="362"/>
      <c r="SLR68" s="362"/>
      <c r="SLS68" s="362"/>
      <c r="SLT68" s="362"/>
      <c r="SLU68" s="362"/>
      <c r="SLV68" s="362"/>
      <c r="SLW68" s="362"/>
      <c r="SLX68" s="362"/>
      <c r="SLY68" s="362"/>
      <c r="SLZ68" s="362"/>
      <c r="SMA68" s="362"/>
      <c r="SMB68" s="362"/>
      <c r="SMC68" s="362"/>
      <c r="SMD68" s="362"/>
      <c r="SME68" s="362"/>
      <c r="SMF68" s="362"/>
      <c r="SMG68" s="362"/>
      <c r="SMH68" s="362"/>
      <c r="SMI68" s="362"/>
      <c r="SMJ68" s="362"/>
      <c r="SMK68" s="362"/>
      <c r="SML68" s="362"/>
      <c r="SMM68" s="362"/>
      <c r="SMN68" s="362"/>
      <c r="SMO68" s="362"/>
      <c r="SMP68" s="362"/>
      <c r="SMQ68" s="362"/>
      <c r="SMR68" s="362"/>
      <c r="SMS68" s="362"/>
      <c r="SMT68" s="362"/>
      <c r="SMU68" s="362"/>
      <c r="SMV68" s="362"/>
      <c r="SMW68" s="362"/>
      <c r="SMX68" s="362"/>
      <c r="SMY68" s="362"/>
      <c r="SMZ68" s="362"/>
      <c r="SNA68" s="362"/>
      <c r="SNB68" s="362"/>
      <c r="SNC68" s="362"/>
      <c r="SND68" s="362"/>
      <c r="SNE68" s="362"/>
      <c r="SNF68" s="362"/>
      <c r="SNG68" s="362"/>
      <c r="SNH68" s="362"/>
      <c r="SNI68" s="362"/>
      <c r="SNJ68" s="362"/>
      <c r="SNK68" s="362"/>
      <c r="SNL68" s="362"/>
      <c r="SNM68" s="362"/>
      <c r="SNN68" s="362"/>
      <c r="SNO68" s="362"/>
      <c r="SNP68" s="362"/>
      <c r="SNQ68" s="362"/>
      <c r="SNR68" s="362"/>
      <c r="SNS68" s="362"/>
      <c r="SNT68" s="362"/>
      <c r="SNU68" s="362"/>
      <c r="SNV68" s="362"/>
      <c r="SNW68" s="362"/>
      <c r="SNX68" s="362"/>
      <c r="SNY68" s="362"/>
      <c r="SNZ68" s="362"/>
      <c r="SOA68" s="362"/>
      <c r="SOB68" s="362"/>
      <c r="SOC68" s="362"/>
      <c r="SOD68" s="362"/>
      <c r="SOE68" s="362"/>
      <c r="SOF68" s="362"/>
      <c r="SOG68" s="362"/>
      <c r="SOH68" s="362"/>
      <c r="SOI68" s="362"/>
      <c r="SOJ68" s="362"/>
      <c r="SOK68" s="362"/>
      <c r="SOL68" s="362"/>
      <c r="SOM68" s="362"/>
      <c r="SON68" s="362"/>
      <c r="SOO68" s="362"/>
      <c r="SOP68" s="362"/>
      <c r="SOQ68" s="362"/>
      <c r="SOR68" s="362"/>
      <c r="SOS68" s="362"/>
      <c r="SOT68" s="362"/>
      <c r="SOU68" s="362"/>
      <c r="SOV68" s="362"/>
      <c r="SOW68" s="362"/>
      <c r="SOX68" s="362"/>
      <c r="SOY68" s="362"/>
      <c r="SOZ68" s="362"/>
      <c r="SPA68" s="362"/>
      <c r="SPB68" s="362"/>
      <c r="SPC68" s="362"/>
      <c r="SPD68" s="362"/>
      <c r="SPE68" s="362"/>
      <c r="SPF68" s="362"/>
      <c r="SPG68" s="362"/>
      <c r="SPH68" s="362"/>
      <c r="SPI68" s="362"/>
      <c r="SPJ68" s="362"/>
      <c r="SPK68" s="362"/>
      <c r="SPL68" s="362"/>
      <c r="SPM68" s="362"/>
      <c r="SPN68" s="362"/>
      <c r="SPO68" s="362"/>
      <c r="SPP68" s="362"/>
      <c r="SPQ68" s="362"/>
      <c r="SPR68" s="362"/>
      <c r="SPS68" s="362"/>
      <c r="SPT68" s="362"/>
      <c r="SPU68" s="362"/>
      <c r="SPV68" s="362"/>
      <c r="SPW68" s="362"/>
      <c r="SPX68" s="362"/>
      <c r="SPY68" s="362"/>
      <c r="SPZ68" s="362"/>
      <c r="SQA68" s="362"/>
      <c r="SQB68" s="362"/>
      <c r="SQC68" s="362"/>
      <c r="SQD68" s="362"/>
      <c r="SQE68" s="362"/>
      <c r="SQF68" s="362"/>
      <c r="SQG68" s="362"/>
      <c r="SQH68" s="362"/>
      <c r="SQI68" s="362"/>
      <c r="SQJ68" s="362"/>
      <c r="SQK68" s="362"/>
      <c r="SQL68" s="362"/>
      <c r="SQM68" s="362"/>
      <c r="SQN68" s="362"/>
      <c r="SQO68" s="362"/>
      <c r="SQP68" s="362"/>
      <c r="SQQ68" s="362"/>
      <c r="SQR68" s="362"/>
      <c r="SQS68" s="362"/>
      <c r="SQT68" s="362"/>
      <c r="SQU68" s="362"/>
      <c r="SQV68" s="362"/>
      <c r="SQW68" s="362"/>
      <c r="SQX68" s="362"/>
      <c r="SQY68" s="362"/>
      <c r="SQZ68" s="362"/>
      <c r="SRA68" s="362"/>
      <c r="SRB68" s="362"/>
      <c r="SRC68" s="362"/>
      <c r="SRD68" s="362"/>
      <c r="SRE68" s="362"/>
      <c r="SRF68" s="362"/>
      <c r="SRG68" s="362"/>
      <c r="SRH68" s="362"/>
      <c r="SRI68" s="362"/>
      <c r="SRJ68" s="362"/>
      <c r="SRK68" s="362"/>
      <c r="SRL68" s="362"/>
      <c r="SRM68" s="362"/>
      <c r="SRN68" s="362"/>
      <c r="SRO68" s="362"/>
      <c r="SRP68" s="362"/>
      <c r="SRQ68" s="362"/>
      <c r="SRR68" s="362"/>
      <c r="SRS68" s="362"/>
      <c r="SRT68" s="362"/>
      <c r="SRU68" s="362"/>
      <c r="SRV68" s="362"/>
      <c r="SRW68" s="362"/>
      <c r="SRX68" s="362"/>
      <c r="SRY68" s="362"/>
      <c r="SRZ68" s="362"/>
      <c r="SSA68" s="362"/>
      <c r="SSB68" s="362"/>
      <c r="SSC68" s="362"/>
      <c r="SSD68" s="362"/>
      <c r="SSE68" s="362"/>
      <c r="SSF68" s="362"/>
      <c r="SSG68" s="362"/>
      <c r="SSH68" s="362"/>
      <c r="SSI68" s="362"/>
      <c r="SSJ68" s="362"/>
      <c r="SSK68" s="362"/>
      <c r="SSL68" s="362"/>
      <c r="SSM68" s="362"/>
      <c r="SSN68" s="362"/>
      <c r="SSO68" s="362"/>
      <c r="SSP68" s="362"/>
      <c r="SSQ68" s="362"/>
      <c r="SSR68" s="362"/>
      <c r="SSS68" s="362"/>
      <c r="SST68" s="362"/>
      <c r="SSU68" s="362"/>
      <c r="SSV68" s="362"/>
      <c r="SSW68" s="362"/>
      <c r="SSX68" s="362"/>
      <c r="SSY68" s="362"/>
      <c r="SSZ68" s="362"/>
      <c r="STA68" s="362"/>
      <c r="STB68" s="362"/>
      <c r="STC68" s="362"/>
      <c r="STD68" s="362"/>
      <c r="STE68" s="362"/>
      <c r="STF68" s="362"/>
      <c r="STG68" s="362"/>
      <c r="STH68" s="362"/>
      <c r="STI68" s="362"/>
      <c r="STJ68" s="362"/>
      <c r="STK68" s="362"/>
      <c r="STL68" s="362"/>
      <c r="STM68" s="362"/>
      <c r="STN68" s="362"/>
      <c r="STO68" s="362"/>
      <c r="STP68" s="362"/>
      <c r="STQ68" s="362"/>
      <c r="STR68" s="362"/>
      <c r="STS68" s="362"/>
      <c r="STT68" s="362"/>
      <c r="STU68" s="362"/>
      <c r="STV68" s="362"/>
      <c r="STW68" s="362"/>
      <c r="STX68" s="362"/>
      <c r="STY68" s="362"/>
      <c r="STZ68" s="362"/>
      <c r="SUA68" s="362"/>
      <c r="SUB68" s="362"/>
      <c r="SUC68" s="362"/>
      <c r="SUD68" s="362"/>
      <c r="SUE68" s="362"/>
      <c r="SUF68" s="362"/>
      <c r="SUG68" s="362"/>
      <c r="SUH68" s="362"/>
      <c r="SUI68" s="362"/>
      <c r="SUJ68" s="362"/>
      <c r="SUK68" s="362"/>
      <c r="SUL68" s="362"/>
      <c r="SUM68" s="362"/>
      <c r="SUN68" s="362"/>
      <c r="SUO68" s="362"/>
      <c r="SUP68" s="362"/>
      <c r="SUQ68" s="362"/>
      <c r="SUR68" s="362"/>
      <c r="SUS68" s="362"/>
      <c r="SUT68" s="362"/>
      <c r="SUU68" s="362"/>
      <c r="SUV68" s="362"/>
      <c r="SUW68" s="362"/>
      <c r="SUX68" s="362"/>
      <c r="SUY68" s="362"/>
      <c r="SUZ68" s="362"/>
      <c r="SVA68" s="362"/>
      <c r="SVB68" s="362"/>
      <c r="SVC68" s="362"/>
      <c r="SVD68" s="362"/>
      <c r="SVE68" s="362"/>
      <c r="SVF68" s="362"/>
      <c r="SVG68" s="362"/>
      <c r="SVH68" s="362"/>
      <c r="SVI68" s="362"/>
      <c r="SVJ68" s="362"/>
      <c r="SVK68" s="362"/>
      <c r="SVL68" s="362"/>
      <c r="SVM68" s="362"/>
      <c r="SVN68" s="362"/>
      <c r="SVO68" s="362"/>
      <c r="SVP68" s="362"/>
      <c r="SVQ68" s="362"/>
      <c r="SVR68" s="362"/>
      <c r="SVS68" s="362"/>
      <c r="SVT68" s="362"/>
      <c r="SVU68" s="362"/>
      <c r="SVV68" s="362"/>
      <c r="SVW68" s="362"/>
      <c r="SVX68" s="362"/>
      <c r="SVY68" s="362"/>
      <c r="SVZ68" s="362"/>
      <c r="SWA68" s="362"/>
      <c r="SWB68" s="362"/>
      <c r="SWC68" s="362"/>
      <c r="SWD68" s="362"/>
      <c r="SWE68" s="362"/>
      <c r="SWF68" s="362"/>
      <c r="SWG68" s="362"/>
      <c r="SWH68" s="362"/>
      <c r="SWI68" s="362"/>
      <c r="SWJ68" s="362"/>
      <c r="SWK68" s="362"/>
      <c r="SWL68" s="362"/>
      <c r="SWM68" s="362"/>
      <c r="SWN68" s="362"/>
      <c r="SWO68" s="362"/>
      <c r="SWP68" s="362"/>
      <c r="SWQ68" s="362"/>
      <c r="SWR68" s="362"/>
      <c r="SWS68" s="362"/>
      <c r="SWT68" s="362"/>
      <c r="SWU68" s="362"/>
      <c r="SWV68" s="362"/>
      <c r="SWW68" s="362"/>
      <c r="SWX68" s="362"/>
      <c r="SWY68" s="362"/>
      <c r="SWZ68" s="362"/>
      <c r="SXA68" s="362"/>
      <c r="SXB68" s="362"/>
      <c r="SXC68" s="362"/>
      <c r="SXD68" s="362"/>
      <c r="SXE68" s="362"/>
      <c r="SXF68" s="362"/>
      <c r="SXG68" s="362"/>
      <c r="SXH68" s="362"/>
      <c r="SXI68" s="362"/>
      <c r="SXJ68" s="362"/>
      <c r="SXK68" s="362"/>
      <c r="SXL68" s="362"/>
      <c r="SXM68" s="362"/>
      <c r="SXN68" s="362"/>
      <c r="SXO68" s="362"/>
      <c r="SXP68" s="362"/>
      <c r="SXQ68" s="362"/>
      <c r="SXR68" s="362"/>
      <c r="SXS68" s="362"/>
      <c r="SXT68" s="362"/>
      <c r="SXU68" s="362"/>
      <c r="SXV68" s="362"/>
      <c r="SXW68" s="362"/>
      <c r="SXX68" s="362"/>
      <c r="SXY68" s="362"/>
      <c r="SXZ68" s="362"/>
      <c r="SYA68" s="362"/>
      <c r="SYB68" s="362"/>
      <c r="SYC68" s="362"/>
      <c r="SYD68" s="362"/>
      <c r="SYE68" s="362"/>
      <c r="SYF68" s="362"/>
      <c r="SYG68" s="362"/>
      <c r="SYH68" s="362"/>
      <c r="SYI68" s="362"/>
      <c r="SYJ68" s="362"/>
      <c r="SYK68" s="362"/>
      <c r="SYL68" s="362"/>
      <c r="SYM68" s="362"/>
      <c r="SYN68" s="362"/>
      <c r="SYO68" s="362"/>
      <c r="SYP68" s="362"/>
      <c r="SYQ68" s="362"/>
      <c r="SYR68" s="362"/>
      <c r="SYS68" s="362"/>
      <c r="SYT68" s="362"/>
      <c r="SYU68" s="362"/>
      <c r="SYV68" s="362"/>
      <c r="SYW68" s="362"/>
      <c r="SYX68" s="362"/>
      <c r="SYY68" s="362"/>
      <c r="SYZ68" s="362"/>
      <c r="SZA68" s="362"/>
      <c r="SZB68" s="362"/>
      <c r="SZC68" s="362"/>
      <c r="SZD68" s="362"/>
      <c r="SZE68" s="362"/>
      <c r="SZF68" s="362"/>
      <c r="SZG68" s="362"/>
      <c r="SZH68" s="362"/>
      <c r="SZI68" s="362"/>
      <c r="SZJ68" s="362"/>
      <c r="SZK68" s="362"/>
      <c r="SZL68" s="362"/>
      <c r="SZM68" s="362"/>
      <c r="SZN68" s="362"/>
      <c r="SZO68" s="362"/>
      <c r="SZP68" s="362"/>
      <c r="SZQ68" s="362"/>
      <c r="SZR68" s="362"/>
      <c r="SZS68" s="362"/>
      <c r="SZT68" s="362"/>
      <c r="SZU68" s="362"/>
      <c r="SZV68" s="362"/>
      <c r="SZW68" s="362"/>
      <c r="SZX68" s="362"/>
      <c r="SZY68" s="362"/>
      <c r="SZZ68" s="362"/>
      <c r="TAA68" s="362"/>
      <c r="TAB68" s="362"/>
      <c r="TAC68" s="362"/>
      <c r="TAD68" s="362"/>
      <c r="TAE68" s="362"/>
      <c r="TAF68" s="362"/>
      <c r="TAG68" s="362"/>
      <c r="TAH68" s="362"/>
      <c r="TAI68" s="362"/>
      <c r="TAJ68" s="362"/>
      <c r="TAK68" s="362"/>
      <c r="TAL68" s="362"/>
      <c r="TAM68" s="362"/>
      <c r="TAN68" s="362"/>
      <c r="TAO68" s="362"/>
      <c r="TAP68" s="362"/>
      <c r="TAQ68" s="362"/>
      <c r="TAR68" s="362"/>
      <c r="TAS68" s="362"/>
      <c r="TAT68" s="362"/>
      <c r="TAU68" s="362"/>
      <c r="TAV68" s="362"/>
      <c r="TAW68" s="362"/>
      <c r="TAX68" s="362"/>
      <c r="TAY68" s="362"/>
      <c r="TAZ68" s="362"/>
      <c r="TBA68" s="362"/>
      <c r="TBB68" s="362"/>
      <c r="TBC68" s="362"/>
      <c r="TBD68" s="362"/>
      <c r="TBE68" s="362"/>
      <c r="TBF68" s="362"/>
      <c r="TBG68" s="362"/>
      <c r="TBH68" s="362"/>
      <c r="TBI68" s="362"/>
      <c r="TBJ68" s="362"/>
      <c r="TBK68" s="362"/>
      <c r="TBL68" s="362"/>
      <c r="TBM68" s="362"/>
      <c r="TBN68" s="362"/>
      <c r="TBO68" s="362"/>
      <c r="TBP68" s="362"/>
      <c r="TBQ68" s="362"/>
      <c r="TBR68" s="362"/>
      <c r="TBS68" s="362"/>
      <c r="TBT68" s="362"/>
      <c r="TBU68" s="362"/>
      <c r="TBV68" s="362"/>
      <c r="TBW68" s="362"/>
      <c r="TBX68" s="362"/>
      <c r="TBY68" s="362"/>
      <c r="TBZ68" s="362"/>
      <c r="TCA68" s="362"/>
      <c r="TCB68" s="362"/>
      <c r="TCC68" s="362"/>
      <c r="TCD68" s="362"/>
      <c r="TCE68" s="362"/>
      <c r="TCF68" s="362"/>
      <c r="TCG68" s="362"/>
      <c r="TCH68" s="362"/>
      <c r="TCI68" s="362"/>
      <c r="TCJ68" s="362"/>
      <c r="TCK68" s="362"/>
      <c r="TCL68" s="362"/>
      <c r="TCM68" s="362"/>
      <c r="TCN68" s="362"/>
      <c r="TCO68" s="362"/>
      <c r="TCP68" s="362"/>
      <c r="TCQ68" s="362"/>
      <c r="TCR68" s="362"/>
      <c r="TCS68" s="362"/>
      <c r="TCT68" s="362"/>
      <c r="TCU68" s="362"/>
      <c r="TCV68" s="362"/>
      <c r="TCW68" s="362"/>
      <c r="TCX68" s="362"/>
      <c r="TCY68" s="362"/>
      <c r="TCZ68" s="362"/>
      <c r="TDA68" s="362"/>
      <c r="TDB68" s="362"/>
      <c r="TDC68" s="362"/>
      <c r="TDD68" s="362"/>
      <c r="TDE68" s="362"/>
      <c r="TDF68" s="362"/>
      <c r="TDG68" s="362"/>
      <c r="TDH68" s="362"/>
      <c r="TDI68" s="362"/>
      <c r="TDJ68" s="362"/>
      <c r="TDK68" s="362"/>
      <c r="TDL68" s="362"/>
      <c r="TDM68" s="362"/>
      <c r="TDN68" s="362"/>
      <c r="TDO68" s="362"/>
      <c r="TDP68" s="362"/>
      <c r="TDQ68" s="362"/>
      <c r="TDR68" s="362"/>
      <c r="TDS68" s="362"/>
      <c r="TDT68" s="362"/>
      <c r="TDU68" s="362"/>
      <c r="TDV68" s="362"/>
      <c r="TDW68" s="362"/>
      <c r="TDX68" s="362"/>
      <c r="TDY68" s="362"/>
      <c r="TDZ68" s="362"/>
      <c r="TEA68" s="362"/>
      <c r="TEB68" s="362"/>
      <c r="TEC68" s="362"/>
      <c r="TED68" s="362"/>
      <c r="TEE68" s="362"/>
      <c r="TEF68" s="362"/>
      <c r="TEG68" s="362"/>
      <c r="TEH68" s="362"/>
      <c r="TEI68" s="362"/>
      <c r="TEJ68" s="362"/>
      <c r="TEK68" s="362"/>
      <c r="TEL68" s="362"/>
      <c r="TEM68" s="362"/>
      <c r="TEN68" s="362"/>
      <c r="TEO68" s="362"/>
      <c r="TEP68" s="362"/>
      <c r="TEQ68" s="362"/>
      <c r="TER68" s="362"/>
      <c r="TES68" s="362"/>
      <c r="TET68" s="362"/>
      <c r="TEU68" s="362"/>
      <c r="TEV68" s="362"/>
      <c r="TEW68" s="362"/>
      <c r="TEX68" s="362"/>
      <c r="TEY68" s="362"/>
      <c r="TEZ68" s="362"/>
      <c r="TFA68" s="362"/>
      <c r="TFB68" s="362"/>
      <c r="TFC68" s="362"/>
      <c r="TFD68" s="362"/>
      <c r="TFE68" s="362"/>
      <c r="TFF68" s="362"/>
      <c r="TFG68" s="362"/>
      <c r="TFH68" s="362"/>
      <c r="TFI68" s="362"/>
      <c r="TFJ68" s="362"/>
      <c r="TFK68" s="362"/>
      <c r="TFL68" s="362"/>
      <c r="TFM68" s="362"/>
      <c r="TFN68" s="362"/>
      <c r="TFO68" s="362"/>
      <c r="TFP68" s="362"/>
      <c r="TFQ68" s="362"/>
      <c r="TFR68" s="362"/>
      <c r="TFS68" s="362"/>
      <c r="TFT68" s="362"/>
      <c r="TFU68" s="362"/>
      <c r="TFV68" s="362"/>
      <c r="TFW68" s="362"/>
      <c r="TFX68" s="362"/>
      <c r="TFY68" s="362"/>
      <c r="TFZ68" s="362"/>
      <c r="TGA68" s="362"/>
      <c r="TGB68" s="362"/>
      <c r="TGC68" s="362"/>
      <c r="TGD68" s="362"/>
      <c r="TGE68" s="362"/>
      <c r="TGF68" s="362"/>
      <c r="TGG68" s="362"/>
      <c r="TGH68" s="362"/>
      <c r="TGI68" s="362"/>
      <c r="TGJ68" s="362"/>
      <c r="TGK68" s="362"/>
      <c r="TGL68" s="362"/>
      <c r="TGM68" s="362"/>
      <c r="TGN68" s="362"/>
      <c r="TGO68" s="362"/>
      <c r="TGP68" s="362"/>
      <c r="TGQ68" s="362"/>
      <c r="TGR68" s="362"/>
      <c r="TGS68" s="362"/>
      <c r="TGT68" s="362"/>
      <c r="TGU68" s="362"/>
      <c r="TGV68" s="362"/>
      <c r="TGW68" s="362"/>
      <c r="TGX68" s="362"/>
      <c r="TGY68" s="362"/>
      <c r="TGZ68" s="362"/>
      <c r="THA68" s="362"/>
      <c r="THB68" s="362"/>
      <c r="THC68" s="362"/>
      <c r="THD68" s="362"/>
      <c r="THE68" s="362"/>
      <c r="THF68" s="362"/>
      <c r="THG68" s="362"/>
      <c r="THH68" s="362"/>
      <c r="THI68" s="362"/>
      <c r="THJ68" s="362"/>
      <c r="THK68" s="362"/>
      <c r="THL68" s="362"/>
      <c r="THM68" s="362"/>
      <c r="THN68" s="362"/>
      <c r="THO68" s="362"/>
      <c r="THP68" s="362"/>
      <c r="THQ68" s="362"/>
      <c r="THR68" s="362"/>
      <c r="THS68" s="362"/>
      <c r="THT68" s="362"/>
      <c r="THU68" s="362"/>
      <c r="THV68" s="362"/>
      <c r="THW68" s="362"/>
      <c r="THX68" s="362"/>
      <c r="THY68" s="362"/>
      <c r="THZ68" s="362"/>
      <c r="TIA68" s="362"/>
      <c r="TIB68" s="362"/>
      <c r="TIC68" s="362"/>
      <c r="TID68" s="362"/>
      <c r="TIE68" s="362"/>
      <c r="TIF68" s="362"/>
      <c r="TIG68" s="362"/>
      <c r="TIH68" s="362"/>
      <c r="TII68" s="362"/>
      <c r="TIJ68" s="362"/>
      <c r="TIK68" s="362"/>
      <c r="TIL68" s="362"/>
      <c r="TIM68" s="362"/>
      <c r="TIN68" s="362"/>
      <c r="TIO68" s="362"/>
      <c r="TIP68" s="362"/>
      <c r="TIQ68" s="362"/>
      <c r="TIR68" s="362"/>
      <c r="TIS68" s="362"/>
      <c r="TIT68" s="362"/>
      <c r="TIU68" s="362"/>
      <c r="TIV68" s="362"/>
      <c r="TIW68" s="362"/>
      <c r="TIX68" s="362"/>
      <c r="TIY68" s="362"/>
      <c r="TIZ68" s="362"/>
      <c r="TJA68" s="362"/>
      <c r="TJB68" s="362"/>
      <c r="TJC68" s="362"/>
      <c r="TJD68" s="362"/>
      <c r="TJE68" s="362"/>
      <c r="TJF68" s="362"/>
      <c r="TJG68" s="362"/>
      <c r="TJH68" s="362"/>
      <c r="TJI68" s="362"/>
      <c r="TJJ68" s="362"/>
      <c r="TJK68" s="362"/>
      <c r="TJL68" s="362"/>
      <c r="TJM68" s="362"/>
      <c r="TJN68" s="362"/>
      <c r="TJO68" s="362"/>
      <c r="TJP68" s="362"/>
      <c r="TJQ68" s="362"/>
      <c r="TJR68" s="362"/>
      <c r="TJS68" s="362"/>
      <c r="TJT68" s="362"/>
      <c r="TJU68" s="362"/>
      <c r="TJV68" s="362"/>
      <c r="TJW68" s="362"/>
      <c r="TJX68" s="362"/>
      <c r="TJY68" s="362"/>
      <c r="TJZ68" s="362"/>
      <c r="TKA68" s="362"/>
      <c r="TKB68" s="362"/>
      <c r="TKC68" s="362"/>
      <c r="TKD68" s="362"/>
      <c r="TKE68" s="362"/>
      <c r="TKF68" s="362"/>
      <c r="TKG68" s="362"/>
      <c r="TKH68" s="362"/>
      <c r="TKI68" s="362"/>
      <c r="TKJ68" s="362"/>
      <c r="TKK68" s="362"/>
      <c r="TKL68" s="362"/>
      <c r="TKM68" s="362"/>
      <c r="TKN68" s="362"/>
      <c r="TKO68" s="362"/>
      <c r="TKP68" s="362"/>
      <c r="TKQ68" s="362"/>
      <c r="TKR68" s="362"/>
      <c r="TKS68" s="362"/>
      <c r="TKT68" s="362"/>
      <c r="TKU68" s="362"/>
      <c r="TKV68" s="362"/>
      <c r="TKW68" s="362"/>
      <c r="TKX68" s="362"/>
      <c r="TKY68" s="362"/>
      <c r="TKZ68" s="362"/>
      <c r="TLA68" s="362"/>
      <c r="TLB68" s="362"/>
      <c r="TLC68" s="362"/>
      <c r="TLD68" s="362"/>
      <c r="TLE68" s="362"/>
      <c r="TLF68" s="362"/>
      <c r="TLG68" s="362"/>
      <c r="TLH68" s="362"/>
      <c r="TLI68" s="362"/>
      <c r="TLJ68" s="362"/>
      <c r="TLK68" s="362"/>
      <c r="TLL68" s="362"/>
      <c r="TLM68" s="362"/>
      <c r="TLN68" s="362"/>
      <c r="TLO68" s="362"/>
      <c r="TLP68" s="362"/>
      <c r="TLQ68" s="362"/>
      <c r="TLR68" s="362"/>
      <c r="TLS68" s="362"/>
      <c r="TLT68" s="362"/>
      <c r="TLU68" s="362"/>
      <c r="TLV68" s="362"/>
      <c r="TLW68" s="362"/>
      <c r="TLX68" s="362"/>
      <c r="TLY68" s="362"/>
      <c r="TLZ68" s="362"/>
      <c r="TMA68" s="362"/>
      <c r="TMB68" s="362"/>
      <c r="TMC68" s="362"/>
      <c r="TMD68" s="362"/>
      <c r="TME68" s="362"/>
      <c r="TMF68" s="362"/>
      <c r="TMG68" s="362"/>
      <c r="TMH68" s="362"/>
      <c r="TMI68" s="362"/>
      <c r="TMJ68" s="362"/>
      <c r="TMK68" s="362"/>
      <c r="TML68" s="362"/>
      <c r="TMM68" s="362"/>
      <c r="TMN68" s="362"/>
      <c r="TMO68" s="362"/>
      <c r="TMP68" s="362"/>
      <c r="TMQ68" s="362"/>
      <c r="TMR68" s="362"/>
      <c r="TMS68" s="362"/>
      <c r="TMT68" s="362"/>
      <c r="TMU68" s="362"/>
      <c r="TMV68" s="362"/>
      <c r="TMW68" s="362"/>
      <c r="TMX68" s="362"/>
      <c r="TMY68" s="362"/>
      <c r="TMZ68" s="362"/>
      <c r="TNA68" s="362"/>
      <c r="TNB68" s="362"/>
      <c r="TNC68" s="362"/>
      <c r="TND68" s="362"/>
      <c r="TNE68" s="362"/>
      <c r="TNF68" s="362"/>
      <c r="TNG68" s="362"/>
      <c r="TNH68" s="362"/>
      <c r="TNI68" s="362"/>
      <c r="TNJ68" s="362"/>
      <c r="TNK68" s="362"/>
      <c r="TNL68" s="362"/>
      <c r="TNM68" s="362"/>
      <c r="TNN68" s="362"/>
      <c r="TNO68" s="362"/>
      <c r="TNP68" s="362"/>
      <c r="TNQ68" s="362"/>
      <c r="TNR68" s="362"/>
      <c r="TNS68" s="362"/>
      <c r="TNT68" s="362"/>
      <c r="TNU68" s="362"/>
      <c r="TNV68" s="362"/>
      <c r="TNW68" s="362"/>
      <c r="TNX68" s="362"/>
      <c r="TNY68" s="362"/>
      <c r="TNZ68" s="362"/>
      <c r="TOA68" s="362"/>
      <c r="TOB68" s="362"/>
      <c r="TOC68" s="362"/>
      <c r="TOD68" s="362"/>
      <c r="TOE68" s="362"/>
      <c r="TOF68" s="362"/>
      <c r="TOG68" s="362"/>
      <c r="TOH68" s="362"/>
      <c r="TOI68" s="362"/>
      <c r="TOJ68" s="362"/>
      <c r="TOK68" s="362"/>
      <c r="TOL68" s="362"/>
      <c r="TOM68" s="362"/>
      <c r="TON68" s="362"/>
      <c r="TOO68" s="362"/>
      <c r="TOP68" s="362"/>
      <c r="TOQ68" s="362"/>
      <c r="TOR68" s="362"/>
      <c r="TOS68" s="362"/>
      <c r="TOT68" s="362"/>
      <c r="TOU68" s="362"/>
      <c r="TOV68" s="362"/>
      <c r="TOW68" s="362"/>
      <c r="TOX68" s="362"/>
      <c r="TOY68" s="362"/>
      <c r="TOZ68" s="362"/>
      <c r="TPA68" s="362"/>
      <c r="TPB68" s="362"/>
      <c r="TPC68" s="362"/>
      <c r="TPD68" s="362"/>
      <c r="TPE68" s="362"/>
      <c r="TPF68" s="362"/>
      <c r="TPG68" s="362"/>
      <c r="TPH68" s="362"/>
      <c r="TPI68" s="362"/>
      <c r="TPJ68" s="362"/>
      <c r="TPK68" s="362"/>
      <c r="TPL68" s="362"/>
      <c r="TPM68" s="362"/>
      <c r="TPN68" s="362"/>
      <c r="TPO68" s="362"/>
      <c r="TPP68" s="362"/>
      <c r="TPQ68" s="362"/>
      <c r="TPR68" s="362"/>
      <c r="TPS68" s="362"/>
      <c r="TPT68" s="362"/>
      <c r="TPU68" s="362"/>
      <c r="TPV68" s="362"/>
      <c r="TPW68" s="362"/>
      <c r="TPX68" s="362"/>
      <c r="TPY68" s="362"/>
      <c r="TPZ68" s="362"/>
      <c r="TQA68" s="362"/>
      <c r="TQB68" s="362"/>
      <c r="TQC68" s="362"/>
      <c r="TQD68" s="362"/>
      <c r="TQE68" s="362"/>
      <c r="TQF68" s="362"/>
      <c r="TQG68" s="362"/>
      <c r="TQH68" s="362"/>
      <c r="TQI68" s="362"/>
      <c r="TQJ68" s="362"/>
      <c r="TQK68" s="362"/>
      <c r="TQL68" s="362"/>
      <c r="TQM68" s="362"/>
      <c r="TQN68" s="362"/>
      <c r="TQO68" s="362"/>
      <c r="TQP68" s="362"/>
      <c r="TQQ68" s="362"/>
      <c r="TQR68" s="362"/>
      <c r="TQS68" s="362"/>
      <c r="TQT68" s="362"/>
      <c r="TQU68" s="362"/>
      <c r="TQV68" s="362"/>
      <c r="TQW68" s="362"/>
      <c r="TQX68" s="362"/>
      <c r="TQY68" s="362"/>
      <c r="TQZ68" s="362"/>
      <c r="TRA68" s="362"/>
      <c r="TRB68" s="362"/>
      <c r="TRC68" s="362"/>
      <c r="TRD68" s="362"/>
      <c r="TRE68" s="362"/>
      <c r="TRF68" s="362"/>
      <c r="TRG68" s="362"/>
      <c r="TRH68" s="362"/>
      <c r="TRI68" s="362"/>
      <c r="TRJ68" s="362"/>
      <c r="TRK68" s="362"/>
      <c r="TRL68" s="362"/>
      <c r="TRM68" s="362"/>
      <c r="TRN68" s="362"/>
      <c r="TRO68" s="362"/>
      <c r="TRP68" s="362"/>
      <c r="TRQ68" s="362"/>
      <c r="TRR68" s="362"/>
      <c r="TRS68" s="362"/>
      <c r="TRT68" s="362"/>
      <c r="TRU68" s="362"/>
      <c r="TRV68" s="362"/>
      <c r="TRW68" s="362"/>
      <c r="TRX68" s="362"/>
      <c r="TRY68" s="362"/>
      <c r="TRZ68" s="362"/>
      <c r="TSA68" s="362"/>
      <c r="TSB68" s="362"/>
      <c r="TSC68" s="362"/>
      <c r="TSD68" s="362"/>
      <c r="TSE68" s="362"/>
      <c r="TSF68" s="362"/>
      <c r="TSG68" s="362"/>
      <c r="TSH68" s="362"/>
      <c r="TSI68" s="362"/>
      <c r="TSJ68" s="362"/>
      <c r="TSK68" s="362"/>
      <c r="TSL68" s="362"/>
      <c r="TSM68" s="362"/>
      <c r="TSN68" s="362"/>
      <c r="TSO68" s="362"/>
      <c r="TSP68" s="362"/>
      <c r="TSQ68" s="362"/>
      <c r="TSR68" s="362"/>
      <c r="TSS68" s="362"/>
      <c r="TST68" s="362"/>
      <c r="TSU68" s="362"/>
      <c r="TSV68" s="362"/>
      <c r="TSW68" s="362"/>
      <c r="TSX68" s="362"/>
      <c r="TSY68" s="362"/>
      <c r="TSZ68" s="362"/>
      <c r="TTA68" s="362"/>
      <c r="TTB68" s="362"/>
      <c r="TTC68" s="362"/>
      <c r="TTD68" s="362"/>
      <c r="TTE68" s="362"/>
      <c r="TTF68" s="362"/>
      <c r="TTG68" s="362"/>
      <c r="TTH68" s="362"/>
      <c r="TTI68" s="362"/>
      <c r="TTJ68" s="362"/>
      <c r="TTK68" s="362"/>
      <c r="TTL68" s="362"/>
      <c r="TTM68" s="362"/>
      <c r="TTN68" s="362"/>
      <c r="TTO68" s="362"/>
      <c r="TTP68" s="362"/>
      <c r="TTQ68" s="362"/>
      <c r="TTR68" s="362"/>
      <c r="TTS68" s="362"/>
      <c r="TTT68" s="362"/>
      <c r="TTU68" s="362"/>
      <c r="TTV68" s="362"/>
      <c r="TTW68" s="362"/>
      <c r="TTX68" s="362"/>
      <c r="TTY68" s="362"/>
      <c r="TTZ68" s="362"/>
      <c r="TUA68" s="362"/>
      <c r="TUB68" s="362"/>
      <c r="TUC68" s="362"/>
      <c r="TUD68" s="362"/>
      <c r="TUE68" s="362"/>
      <c r="TUF68" s="362"/>
      <c r="TUG68" s="362"/>
      <c r="TUH68" s="362"/>
      <c r="TUI68" s="362"/>
      <c r="TUJ68" s="362"/>
      <c r="TUK68" s="362"/>
      <c r="TUL68" s="362"/>
      <c r="TUM68" s="362"/>
      <c r="TUN68" s="362"/>
      <c r="TUO68" s="362"/>
      <c r="TUP68" s="362"/>
      <c r="TUQ68" s="362"/>
      <c r="TUR68" s="362"/>
      <c r="TUS68" s="362"/>
      <c r="TUT68" s="362"/>
      <c r="TUU68" s="362"/>
      <c r="TUV68" s="362"/>
      <c r="TUW68" s="362"/>
      <c r="TUX68" s="362"/>
      <c r="TUY68" s="362"/>
      <c r="TUZ68" s="362"/>
      <c r="TVA68" s="362"/>
      <c r="TVB68" s="362"/>
      <c r="TVC68" s="362"/>
      <c r="TVD68" s="362"/>
      <c r="TVE68" s="362"/>
      <c r="TVF68" s="362"/>
      <c r="TVG68" s="362"/>
      <c r="TVH68" s="362"/>
      <c r="TVI68" s="362"/>
      <c r="TVJ68" s="362"/>
      <c r="TVK68" s="362"/>
      <c r="TVL68" s="362"/>
      <c r="TVM68" s="362"/>
      <c r="TVN68" s="362"/>
      <c r="TVO68" s="362"/>
      <c r="TVP68" s="362"/>
      <c r="TVQ68" s="362"/>
      <c r="TVR68" s="362"/>
      <c r="TVS68" s="362"/>
      <c r="TVT68" s="362"/>
      <c r="TVU68" s="362"/>
      <c r="TVV68" s="362"/>
      <c r="TVW68" s="362"/>
      <c r="TVX68" s="362"/>
      <c r="TVY68" s="362"/>
      <c r="TVZ68" s="362"/>
      <c r="TWA68" s="362"/>
      <c r="TWB68" s="362"/>
      <c r="TWC68" s="362"/>
      <c r="TWD68" s="362"/>
      <c r="TWE68" s="362"/>
      <c r="TWF68" s="362"/>
      <c r="TWG68" s="362"/>
      <c r="TWH68" s="362"/>
      <c r="TWI68" s="362"/>
      <c r="TWJ68" s="362"/>
      <c r="TWK68" s="362"/>
      <c r="TWL68" s="362"/>
      <c r="TWM68" s="362"/>
      <c r="TWN68" s="362"/>
      <c r="TWO68" s="362"/>
      <c r="TWP68" s="362"/>
      <c r="TWQ68" s="362"/>
      <c r="TWR68" s="362"/>
      <c r="TWS68" s="362"/>
      <c r="TWT68" s="362"/>
      <c r="TWU68" s="362"/>
      <c r="TWV68" s="362"/>
      <c r="TWW68" s="362"/>
      <c r="TWX68" s="362"/>
      <c r="TWY68" s="362"/>
      <c r="TWZ68" s="362"/>
      <c r="TXA68" s="362"/>
      <c r="TXB68" s="362"/>
      <c r="TXC68" s="362"/>
      <c r="TXD68" s="362"/>
      <c r="TXE68" s="362"/>
      <c r="TXF68" s="362"/>
      <c r="TXG68" s="362"/>
      <c r="TXH68" s="362"/>
      <c r="TXI68" s="362"/>
      <c r="TXJ68" s="362"/>
      <c r="TXK68" s="362"/>
      <c r="TXL68" s="362"/>
      <c r="TXM68" s="362"/>
      <c r="TXN68" s="362"/>
      <c r="TXO68" s="362"/>
      <c r="TXP68" s="362"/>
      <c r="TXQ68" s="362"/>
      <c r="TXR68" s="362"/>
      <c r="TXS68" s="362"/>
      <c r="TXT68" s="362"/>
      <c r="TXU68" s="362"/>
      <c r="TXV68" s="362"/>
      <c r="TXW68" s="362"/>
      <c r="TXX68" s="362"/>
      <c r="TXY68" s="362"/>
      <c r="TXZ68" s="362"/>
      <c r="TYA68" s="362"/>
      <c r="TYB68" s="362"/>
      <c r="TYC68" s="362"/>
      <c r="TYD68" s="362"/>
      <c r="TYE68" s="362"/>
      <c r="TYF68" s="362"/>
      <c r="TYG68" s="362"/>
      <c r="TYH68" s="362"/>
      <c r="TYI68" s="362"/>
      <c r="TYJ68" s="362"/>
      <c r="TYK68" s="362"/>
      <c r="TYL68" s="362"/>
      <c r="TYM68" s="362"/>
      <c r="TYN68" s="362"/>
      <c r="TYO68" s="362"/>
      <c r="TYP68" s="362"/>
      <c r="TYQ68" s="362"/>
      <c r="TYR68" s="362"/>
      <c r="TYS68" s="362"/>
      <c r="TYT68" s="362"/>
      <c r="TYU68" s="362"/>
      <c r="TYV68" s="362"/>
      <c r="TYW68" s="362"/>
      <c r="TYX68" s="362"/>
      <c r="TYY68" s="362"/>
      <c r="TYZ68" s="362"/>
      <c r="TZA68" s="362"/>
      <c r="TZB68" s="362"/>
      <c r="TZC68" s="362"/>
      <c r="TZD68" s="362"/>
      <c r="TZE68" s="362"/>
      <c r="TZF68" s="362"/>
      <c r="TZG68" s="362"/>
      <c r="TZH68" s="362"/>
      <c r="TZI68" s="362"/>
      <c r="TZJ68" s="362"/>
      <c r="TZK68" s="362"/>
      <c r="TZL68" s="362"/>
      <c r="TZM68" s="362"/>
      <c r="TZN68" s="362"/>
      <c r="TZO68" s="362"/>
      <c r="TZP68" s="362"/>
      <c r="TZQ68" s="362"/>
      <c r="TZR68" s="362"/>
      <c r="TZS68" s="362"/>
      <c r="TZT68" s="362"/>
      <c r="TZU68" s="362"/>
      <c r="TZV68" s="362"/>
      <c r="TZW68" s="362"/>
      <c r="TZX68" s="362"/>
      <c r="TZY68" s="362"/>
      <c r="TZZ68" s="362"/>
      <c r="UAA68" s="362"/>
      <c r="UAB68" s="362"/>
      <c r="UAC68" s="362"/>
      <c r="UAD68" s="362"/>
      <c r="UAE68" s="362"/>
      <c r="UAF68" s="362"/>
      <c r="UAG68" s="362"/>
      <c r="UAH68" s="362"/>
      <c r="UAI68" s="362"/>
      <c r="UAJ68" s="362"/>
      <c r="UAK68" s="362"/>
      <c r="UAL68" s="362"/>
      <c r="UAM68" s="362"/>
      <c r="UAN68" s="362"/>
      <c r="UAO68" s="362"/>
      <c r="UAP68" s="362"/>
      <c r="UAQ68" s="362"/>
      <c r="UAR68" s="362"/>
      <c r="UAS68" s="362"/>
      <c r="UAT68" s="362"/>
      <c r="UAU68" s="362"/>
      <c r="UAV68" s="362"/>
      <c r="UAW68" s="362"/>
      <c r="UAX68" s="362"/>
      <c r="UAY68" s="362"/>
      <c r="UAZ68" s="362"/>
      <c r="UBA68" s="362"/>
      <c r="UBB68" s="362"/>
      <c r="UBC68" s="362"/>
      <c r="UBD68" s="362"/>
      <c r="UBE68" s="362"/>
      <c r="UBF68" s="362"/>
      <c r="UBG68" s="362"/>
      <c r="UBH68" s="362"/>
      <c r="UBI68" s="362"/>
      <c r="UBJ68" s="362"/>
      <c r="UBK68" s="362"/>
      <c r="UBL68" s="362"/>
      <c r="UBM68" s="362"/>
      <c r="UBN68" s="362"/>
      <c r="UBO68" s="362"/>
      <c r="UBP68" s="362"/>
      <c r="UBQ68" s="362"/>
      <c r="UBR68" s="362"/>
      <c r="UBS68" s="362"/>
      <c r="UBT68" s="362"/>
      <c r="UBU68" s="362"/>
      <c r="UBV68" s="362"/>
      <c r="UBW68" s="362"/>
      <c r="UBX68" s="362"/>
      <c r="UBY68" s="362"/>
      <c r="UBZ68" s="362"/>
      <c r="UCA68" s="362"/>
      <c r="UCB68" s="362"/>
      <c r="UCC68" s="362"/>
      <c r="UCD68" s="362"/>
      <c r="UCE68" s="362"/>
      <c r="UCF68" s="362"/>
      <c r="UCG68" s="362"/>
      <c r="UCH68" s="362"/>
      <c r="UCI68" s="362"/>
      <c r="UCJ68" s="362"/>
      <c r="UCK68" s="362"/>
      <c r="UCL68" s="362"/>
      <c r="UCM68" s="362"/>
      <c r="UCN68" s="362"/>
      <c r="UCO68" s="362"/>
      <c r="UCP68" s="362"/>
      <c r="UCQ68" s="362"/>
      <c r="UCR68" s="362"/>
      <c r="UCS68" s="362"/>
      <c r="UCT68" s="362"/>
      <c r="UCU68" s="362"/>
      <c r="UCV68" s="362"/>
      <c r="UCW68" s="362"/>
      <c r="UCX68" s="362"/>
      <c r="UCY68" s="362"/>
      <c r="UCZ68" s="362"/>
      <c r="UDA68" s="362"/>
      <c r="UDB68" s="362"/>
      <c r="UDC68" s="362"/>
      <c r="UDD68" s="362"/>
      <c r="UDE68" s="362"/>
      <c r="UDF68" s="362"/>
      <c r="UDG68" s="362"/>
      <c r="UDH68" s="362"/>
      <c r="UDI68" s="362"/>
      <c r="UDJ68" s="362"/>
      <c r="UDK68" s="362"/>
      <c r="UDL68" s="362"/>
      <c r="UDM68" s="362"/>
      <c r="UDN68" s="362"/>
      <c r="UDO68" s="362"/>
      <c r="UDP68" s="362"/>
      <c r="UDQ68" s="362"/>
      <c r="UDR68" s="362"/>
      <c r="UDS68" s="362"/>
      <c r="UDT68" s="362"/>
      <c r="UDU68" s="362"/>
      <c r="UDV68" s="362"/>
      <c r="UDW68" s="362"/>
      <c r="UDX68" s="362"/>
      <c r="UDY68" s="362"/>
      <c r="UDZ68" s="362"/>
      <c r="UEA68" s="362"/>
      <c r="UEB68" s="362"/>
      <c r="UEC68" s="362"/>
      <c r="UED68" s="362"/>
      <c r="UEE68" s="362"/>
      <c r="UEF68" s="362"/>
      <c r="UEG68" s="362"/>
      <c r="UEH68" s="362"/>
      <c r="UEI68" s="362"/>
      <c r="UEJ68" s="362"/>
      <c r="UEK68" s="362"/>
      <c r="UEL68" s="362"/>
      <c r="UEM68" s="362"/>
      <c r="UEN68" s="362"/>
      <c r="UEO68" s="362"/>
      <c r="UEP68" s="362"/>
      <c r="UEQ68" s="362"/>
      <c r="UER68" s="362"/>
      <c r="UES68" s="362"/>
      <c r="UET68" s="362"/>
      <c r="UEU68" s="362"/>
      <c r="UEV68" s="362"/>
      <c r="UEW68" s="362"/>
      <c r="UEX68" s="362"/>
      <c r="UEY68" s="362"/>
      <c r="UEZ68" s="362"/>
      <c r="UFA68" s="362"/>
      <c r="UFB68" s="362"/>
      <c r="UFC68" s="362"/>
      <c r="UFD68" s="362"/>
      <c r="UFE68" s="362"/>
      <c r="UFF68" s="362"/>
      <c r="UFG68" s="362"/>
      <c r="UFH68" s="362"/>
      <c r="UFI68" s="362"/>
      <c r="UFJ68" s="362"/>
      <c r="UFK68" s="362"/>
      <c r="UFL68" s="362"/>
      <c r="UFM68" s="362"/>
      <c r="UFN68" s="362"/>
      <c r="UFO68" s="362"/>
      <c r="UFP68" s="362"/>
      <c r="UFQ68" s="362"/>
      <c r="UFR68" s="362"/>
      <c r="UFS68" s="362"/>
      <c r="UFT68" s="362"/>
      <c r="UFU68" s="362"/>
      <c r="UFV68" s="362"/>
      <c r="UFW68" s="362"/>
      <c r="UFX68" s="362"/>
      <c r="UFY68" s="362"/>
      <c r="UFZ68" s="362"/>
      <c r="UGA68" s="362"/>
      <c r="UGB68" s="362"/>
      <c r="UGC68" s="362"/>
      <c r="UGD68" s="362"/>
      <c r="UGE68" s="362"/>
      <c r="UGF68" s="362"/>
      <c r="UGG68" s="362"/>
      <c r="UGH68" s="362"/>
      <c r="UGI68" s="362"/>
      <c r="UGJ68" s="362"/>
      <c r="UGK68" s="362"/>
      <c r="UGL68" s="362"/>
      <c r="UGM68" s="362"/>
      <c r="UGN68" s="362"/>
      <c r="UGO68" s="362"/>
      <c r="UGP68" s="362"/>
      <c r="UGQ68" s="362"/>
      <c r="UGR68" s="362"/>
      <c r="UGS68" s="362"/>
      <c r="UGT68" s="362"/>
      <c r="UGU68" s="362"/>
      <c r="UGV68" s="362"/>
      <c r="UGW68" s="362"/>
      <c r="UGX68" s="362"/>
      <c r="UGY68" s="362"/>
      <c r="UGZ68" s="362"/>
      <c r="UHA68" s="362"/>
      <c r="UHB68" s="362"/>
      <c r="UHC68" s="362"/>
      <c r="UHD68" s="362"/>
      <c r="UHE68" s="362"/>
      <c r="UHF68" s="362"/>
      <c r="UHG68" s="362"/>
      <c r="UHH68" s="362"/>
      <c r="UHI68" s="362"/>
      <c r="UHJ68" s="362"/>
      <c r="UHK68" s="362"/>
      <c r="UHL68" s="362"/>
      <c r="UHM68" s="362"/>
      <c r="UHN68" s="362"/>
      <c r="UHO68" s="362"/>
      <c r="UHP68" s="362"/>
      <c r="UHQ68" s="362"/>
      <c r="UHR68" s="362"/>
      <c r="UHS68" s="362"/>
      <c r="UHT68" s="362"/>
      <c r="UHU68" s="362"/>
      <c r="UHV68" s="362"/>
      <c r="UHW68" s="362"/>
      <c r="UHX68" s="362"/>
      <c r="UHY68" s="362"/>
      <c r="UHZ68" s="362"/>
      <c r="UIA68" s="362"/>
      <c r="UIB68" s="362"/>
      <c r="UIC68" s="362"/>
      <c r="UID68" s="362"/>
      <c r="UIE68" s="362"/>
      <c r="UIF68" s="362"/>
      <c r="UIG68" s="362"/>
      <c r="UIH68" s="362"/>
      <c r="UII68" s="362"/>
      <c r="UIJ68" s="362"/>
      <c r="UIK68" s="362"/>
      <c r="UIL68" s="362"/>
      <c r="UIM68" s="362"/>
      <c r="UIN68" s="362"/>
      <c r="UIO68" s="362"/>
      <c r="UIP68" s="362"/>
      <c r="UIQ68" s="362"/>
      <c r="UIR68" s="362"/>
      <c r="UIS68" s="362"/>
      <c r="UIT68" s="362"/>
      <c r="UIU68" s="362"/>
      <c r="UIV68" s="362"/>
      <c r="UIW68" s="362"/>
      <c r="UIX68" s="362"/>
      <c r="UIY68" s="362"/>
      <c r="UIZ68" s="362"/>
      <c r="UJA68" s="362"/>
      <c r="UJB68" s="362"/>
      <c r="UJC68" s="362"/>
      <c r="UJD68" s="362"/>
      <c r="UJE68" s="362"/>
      <c r="UJF68" s="362"/>
      <c r="UJG68" s="362"/>
      <c r="UJH68" s="362"/>
      <c r="UJI68" s="362"/>
      <c r="UJJ68" s="362"/>
      <c r="UJK68" s="362"/>
      <c r="UJL68" s="362"/>
      <c r="UJM68" s="362"/>
      <c r="UJN68" s="362"/>
      <c r="UJO68" s="362"/>
      <c r="UJP68" s="362"/>
      <c r="UJQ68" s="362"/>
      <c r="UJR68" s="362"/>
      <c r="UJS68" s="362"/>
      <c r="UJT68" s="362"/>
      <c r="UJU68" s="362"/>
      <c r="UJV68" s="362"/>
      <c r="UJW68" s="362"/>
      <c r="UJX68" s="362"/>
      <c r="UJY68" s="362"/>
      <c r="UJZ68" s="362"/>
      <c r="UKA68" s="362"/>
      <c r="UKB68" s="362"/>
      <c r="UKC68" s="362"/>
      <c r="UKD68" s="362"/>
      <c r="UKE68" s="362"/>
      <c r="UKF68" s="362"/>
      <c r="UKG68" s="362"/>
      <c r="UKH68" s="362"/>
      <c r="UKI68" s="362"/>
      <c r="UKJ68" s="362"/>
      <c r="UKK68" s="362"/>
      <c r="UKL68" s="362"/>
      <c r="UKM68" s="362"/>
      <c r="UKN68" s="362"/>
      <c r="UKO68" s="362"/>
      <c r="UKP68" s="362"/>
      <c r="UKQ68" s="362"/>
      <c r="UKR68" s="362"/>
      <c r="UKS68" s="362"/>
      <c r="UKT68" s="362"/>
      <c r="UKU68" s="362"/>
      <c r="UKV68" s="362"/>
      <c r="UKW68" s="362"/>
      <c r="UKX68" s="362"/>
      <c r="UKY68" s="362"/>
      <c r="UKZ68" s="362"/>
      <c r="ULA68" s="362"/>
      <c r="ULB68" s="362"/>
      <c r="ULC68" s="362"/>
      <c r="ULD68" s="362"/>
      <c r="ULE68" s="362"/>
      <c r="ULF68" s="362"/>
      <c r="ULG68" s="362"/>
      <c r="ULH68" s="362"/>
      <c r="ULI68" s="362"/>
      <c r="ULJ68" s="362"/>
      <c r="ULK68" s="362"/>
      <c r="ULL68" s="362"/>
      <c r="ULM68" s="362"/>
      <c r="ULN68" s="362"/>
      <c r="ULO68" s="362"/>
      <c r="ULP68" s="362"/>
      <c r="ULQ68" s="362"/>
      <c r="ULR68" s="362"/>
      <c r="ULS68" s="362"/>
      <c r="ULT68" s="362"/>
      <c r="ULU68" s="362"/>
      <c r="ULV68" s="362"/>
      <c r="ULW68" s="362"/>
      <c r="ULX68" s="362"/>
      <c r="ULY68" s="362"/>
      <c r="ULZ68" s="362"/>
      <c r="UMA68" s="362"/>
      <c r="UMB68" s="362"/>
      <c r="UMC68" s="362"/>
      <c r="UMD68" s="362"/>
      <c r="UME68" s="362"/>
      <c r="UMF68" s="362"/>
      <c r="UMG68" s="362"/>
      <c r="UMH68" s="362"/>
      <c r="UMI68" s="362"/>
      <c r="UMJ68" s="362"/>
      <c r="UMK68" s="362"/>
      <c r="UML68" s="362"/>
      <c r="UMM68" s="362"/>
      <c r="UMN68" s="362"/>
      <c r="UMO68" s="362"/>
      <c r="UMP68" s="362"/>
      <c r="UMQ68" s="362"/>
      <c r="UMR68" s="362"/>
      <c r="UMS68" s="362"/>
      <c r="UMT68" s="362"/>
      <c r="UMU68" s="362"/>
      <c r="UMV68" s="362"/>
      <c r="UMW68" s="362"/>
      <c r="UMX68" s="362"/>
      <c r="UMY68" s="362"/>
      <c r="UMZ68" s="362"/>
      <c r="UNA68" s="362"/>
      <c r="UNB68" s="362"/>
      <c r="UNC68" s="362"/>
      <c r="UND68" s="362"/>
      <c r="UNE68" s="362"/>
      <c r="UNF68" s="362"/>
      <c r="UNG68" s="362"/>
      <c r="UNH68" s="362"/>
      <c r="UNI68" s="362"/>
      <c r="UNJ68" s="362"/>
      <c r="UNK68" s="362"/>
      <c r="UNL68" s="362"/>
      <c r="UNM68" s="362"/>
      <c r="UNN68" s="362"/>
      <c r="UNO68" s="362"/>
      <c r="UNP68" s="362"/>
      <c r="UNQ68" s="362"/>
      <c r="UNR68" s="362"/>
      <c r="UNS68" s="362"/>
      <c r="UNT68" s="362"/>
      <c r="UNU68" s="362"/>
      <c r="UNV68" s="362"/>
      <c r="UNW68" s="362"/>
      <c r="UNX68" s="362"/>
      <c r="UNY68" s="362"/>
      <c r="UNZ68" s="362"/>
      <c r="UOA68" s="362"/>
      <c r="UOB68" s="362"/>
      <c r="UOC68" s="362"/>
      <c r="UOD68" s="362"/>
      <c r="UOE68" s="362"/>
      <c r="UOF68" s="362"/>
      <c r="UOG68" s="362"/>
      <c r="UOH68" s="362"/>
      <c r="UOI68" s="362"/>
      <c r="UOJ68" s="362"/>
      <c r="UOK68" s="362"/>
      <c r="UOL68" s="362"/>
      <c r="UOM68" s="362"/>
      <c r="UON68" s="362"/>
      <c r="UOO68" s="362"/>
      <c r="UOP68" s="362"/>
      <c r="UOQ68" s="362"/>
      <c r="UOR68" s="362"/>
      <c r="UOS68" s="362"/>
      <c r="UOT68" s="362"/>
      <c r="UOU68" s="362"/>
      <c r="UOV68" s="362"/>
      <c r="UOW68" s="362"/>
      <c r="UOX68" s="362"/>
      <c r="UOY68" s="362"/>
      <c r="UOZ68" s="362"/>
      <c r="UPA68" s="362"/>
      <c r="UPB68" s="362"/>
      <c r="UPC68" s="362"/>
      <c r="UPD68" s="362"/>
      <c r="UPE68" s="362"/>
      <c r="UPF68" s="362"/>
      <c r="UPG68" s="362"/>
      <c r="UPH68" s="362"/>
      <c r="UPI68" s="362"/>
      <c r="UPJ68" s="362"/>
      <c r="UPK68" s="362"/>
      <c r="UPL68" s="362"/>
      <c r="UPM68" s="362"/>
      <c r="UPN68" s="362"/>
      <c r="UPO68" s="362"/>
      <c r="UPP68" s="362"/>
      <c r="UPQ68" s="362"/>
      <c r="UPR68" s="362"/>
      <c r="UPS68" s="362"/>
      <c r="UPT68" s="362"/>
      <c r="UPU68" s="362"/>
      <c r="UPV68" s="362"/>
      <c r="UPW68" s="362"/>
      <c r="UPX68" s="362"/>
      <c r="UPY68" s="362"/>
      <c r="UPZ68" s="362"/>
      <c r="UQA68" s="362"/>
      <c r="UQB68" s="362"/>
      <c r="UQC68" s="362"/>
      <c r="UQD68" s="362"/>
      <c r="UQE68" s="362"/>
      <c r="UQF68" s="362"/>
      <c r="UQG68" s="362"/>
      <c r="UQH68" s="362"/>
      <c r="UQI68" s="362"/>
      <c r="UQJ68" s="362"/>
      <c r="UQK68" s="362"/>
      <c r="UQL68" s="362"/>
      <c r="UQM68" s="362"/>
      <c r="UQN68" s="362"/>
      <c r="UQO68" s="362"/>
      <c r="UQP68" s="362"/>
      <c r="UQQ68" s="362"/>
      <c r="UQR68" s="362"/>
      <c r="UQS68" s="362"/>
      <c r="UQT68" s="362"/>
      <c r="UQU68" s="362"/>
      <c r="UQV68" s="362"/>
      <c r="UQW68" s="362"/>
      <c r="UQX68" s="362"/>
      <c r="UQY68" s="362"/>
      <c r="UQZ68" s="362"/>
      <c r="URA68" s="362"/>
      <c r="URB68" s="362"/>
      <c r="URC68" s="362"/>
      <c r="URD68" s="362"/>
      <c r="URE68" s="362"/>
      <c r="URF68" s="362"/>
      <c r="URG68" s="362"/>
      <c r="URH68" s="362"/>
      <c r="URI68" s="362"/>
      <c r="URJ68" s="362"/>
      <c r="URK68" s="362"/>
      <c r="URL68" s="362"/>
      <c r="URM68" s="362"/>
      <c r="URN68" s="362"/>
      <c r="URO68" s="362"/>
      <c r="URP68" s="362"/>
      <c r="URQ68" s="362"/>
      <c r="URR68" s="362"/>
      <c r="URS68" s="362"/>
      <c r="URT68" s="362"/>
      <c r="URU68" s="362"/>
      <c r="URV68" s="362"/>
      <c r="URW68" s="362"/>
      <c r="URX68" s="362"/>
      <c r="URY68" s="362"/>
      <c r="URZ68" s="362"/>
      <c r="USA68" s="362"/>
      <c r="USB68" s="362"/>
      <c r="USC68" s="362"/>
      <c r="USD68" s="362"/>
      <c r="USE68" s="362"/>
      <c r="USF68" s="362"/>
      <c r="USG68" s="362"/>
      <c r="USH68" s="362"/>
      <c r="USI68" s="362"/>
      <c r="USJ68" s="362"/>
      <c r="USK68" s="362"/>
      <c r="USL68" s="362"/>
      <c r="USM68" s="362"/>
      <c r="USN68" s="362"/>
      <c r="USO68" s="362"/>
      <c r="USP68" s="362"/>
      <c r="USQ68" s="362"/>
      <c r="USR68" s="362"/>
      <c r="USS68" s="362"/>
      <c r="UST68" s="362"/>
      <c r="USU68" s="362"/>
      <c r="USV68" s="362"/>
      <c r="USW68" s="362"/>
      <c r="USX68" s="362"/>
      <c r="USY68" s="362"/>
      <c r="USZ68" s="362"/>
      <c r="UTA68" s="362"/>
      <c r="UTB68" s="362"/>
      <c r="UTC68" s="362"/>
      <c r="UTD68" s="362"/>
      <c r="UTE68" s="362"/>
      <c r="UTF68" s="362"/>
      <c r="UTG68" s="362"/>
      <c r="UTH68" s="362"/>
      <c r="UTI68" s="362"/>
      <c r="UTJ68" s="362"/>
      <c r="UTK68" s="362"/>
      <c r="UTL68" s="362"/>
      <c r="UTM68" s="362"/>
      <c r="UTN68" s="362"/>
      <c r="UTO68" s="362"/>
      <c r="UTP68" s="362"/>
      <c r="UTQ68" s="362"/>
      <c r="UTR68" s="362"/>
      <c r="UTS68" s="362"/>
      <c r="UTT68" s="362"/>
      <c r="UTU68" s="362"/>
      <c r="UTV68" s="362"/>
      <c r="UTW68" s="362"/>
      <c r="UTX68" s="362"/>
      <c r="UTY68" s="362"/>
      <c r="UTZ68" s="362"/>
      <c r="UUA68" s="362"/>
      <c r="UUB68" s="362"/>
      <c r="UUC68" s="362"/>
      <c r="UUD68" s="362"/>
      <c r="UUE68" s="362"/>
      <c r="UUF68" s="362"/>
      <c r="UUG68" s="362"/>
      <c r="UUH68" s="362"/>
      <c r="UUI68" s="362"/>
      <c r="UUJ68" s="362"/>
      <c r="UUK68" s="362"/>
      <c r="UUL68" s="362"/>
      <c r="UUM68" s="362"/>
      <c r="UUN68" s="362"/>
      <c r="UUO68" s="362"/>
      <c r="UUP68" s="362"/>
      <c r="UUQ68" s="362"/>
      <c r="UUR68" s="362"/>
      <c r="UUS68" s="362"/>
      <c r="UUT68" s="362"/>
      <c r="UUU68" s="362"/>
      <c r="UUV68" s="362"/>
      <c r="UUW68" s="362"/>
      <c r="UUX68" s="362"/>
      <c r="UUY68" s="362"/>
      <c r="UUZ68" s="362"/>
      <c r="UVA68" s="362"/>
      <c r="UVB68" s="362"/>
      <c r="UVC68" s="362"/>
      <c r="UVD68" s="362"/>
      <c r="UVE68" s="362"/>
      <c r="UVF68" s="362"/>
      <c r="UVG68" s="362"/>
      <c r="UVH68" s="362"/>
      <c r="UVI68" s="362"/>
      <c r="UVJ68" s="362"/>
      <c r="UVK68" s="362"/>
      <c r="UVL68" s="362"/>
      <c r="UVM68" s="362"/>
      <c r="UVN68" s="362"/>
      <c r="UVO68" s="362"/>
      <c r="UVP68" s="362"/>
      <c r="UVQ68" s="362"/>
      <c r="UVR68" s="362"/>
      <c r="UVS68" s="362"/>
      <c r="UVT68" s="362"/>
      <c r="UVU68" s="362"/>
      <c r="UVV68" s="362"/>
      <c r="UVW68" s="362"/>
      <c r="UVX68" s="362"/>
      <c r="UVY68" s="362"/>
      <c r="UVZ68" s="362"/>
      <c r="UWA68" s="362"/>
      <c r="UWB68" s="362"/>
      <c r="UWC68" s="362"/>
      <c r="UWD68" s="362"/>
      <c r="UWE68" s="362"/>
      <c r="UWF68" s="362"/>
      <c r="UWG68" s="362"/>
      <c r="UWH68" s="362"/>
      <c r="UWI68" s="362"/>
      <c r="UWJ68" s="362"/>
      <c r="UWK68" s="362"/>
      <c r="UWL68" s="362"/>
      <c r="UWM68" s="362"/>
      <c r="UWN68" s="362"/>
      <c r="UWO68" s="362"/>
      <c r="UWP68" s="362"/>
      <c r="UWQ68" s="362"/>
      <c r="UWR68" s="362"/>
      <c r="UWS68" s="362"/>
      <c r="UWT68" s="362"/>
      <c r="UWU68" s="362"/>
      <c r="UWV68" s="362"/>
      <c r="UWW68" s="362"/>
      <c r="UWX68" s="362"/>
      <c r="UWY68" s="362"/>
      <c r="UWZ68" s="362"/>
      <c r="UXA68" s="362"/>
      <c r="UXB68" s="362"/>
      <c r="UXC68" s="362"/>
      <c r="UXD68" s="362"/>
      <c r="UXE68" s="362"/>
      <c r="UXF68" s="362"/>
      <c r="UXG68" s="362"/>
      <c r="UXH68" s="362"/>
      <c r="UXI68" s="362"/>
      <c r="UXJ68" s="362"/>
      <c r="UXK68" s="362"/>
      <c r="UXL68" s="362"/>
      <c r="UXM68" s="362"/>
      <c r="UXN68" s="362"/>
      <c r="UXO68" s="362"/>
      <c r="UXP68" s="362"/>
      <c r="UXQ68" s="362"/>
      <c r="UXR68" s="362"/>
      <c r="UXS68" s="362"/>
      <c r="UXT68" s="362"/>
      <c r="UXU68" s="362"/>
      <c r="UXV68" s="362"/>
      <c r="UXW68" s="362"/>
      <c r="UXX68" s="362"/>
      <c r="UXY68" s="362"/>
      <c r="UXZ68" s="362"/>
      <c r="UYA68" s="362"/>
      <c r="UYB68" s="362"/>
      <c r="UYC68" s="362"/>
      <c r="UYD68" s="362"/>
      <c r="UYE68" s="362"/>
      <c r="UYF68" s="362"/>
      <c r="UYG68" s="362"/>
      <c r="UYH68" s="362"/>
      <c r="UYI68" s="362"/>
      <c r="UYJ68" s="362"/>
      <c r="UYK68" s="362"/>
      <c r="UYL68" s="362"/>
      <c r="UYM68" s="362"/>
      <c r="UYN68" s="362"/>
      <c r="UYO68" s="362"/>
      <c r="UYP68" s="362"/>
      <c r="UYQ68" s="362"/>
      <c r="UYR68" s="362"/>
      <c r="UYS68" s="362"/>
      <c r="UYT68" s="362"/>
      <c r="UYU68" s="362"/>
      <c r="UYV68" s="362"/>
      <c r="UYW68" s="362"/>
      <c r="UYX68" s="362"/>
      <c r="UYY68" s="362"/>
      <c r="UYZ68" s="362"/>
      <c r="UZA68" s="362"/>
      <c r="UZB68" s="362"/>
      <c r="UZC68" s="362"/>
      <c r="UZD68" s="362"/>
      <c r="UZE68" s="362"/>
      <c r="UZF68" s="362"/>
      <c r="UZG68" s="362"/>
      <c r="UZH68" s="362"/>
      <c r="UZI68" s="362"/>
      <c r="UZJ68" s="362"/>
      <c r="UZK68" s="362"/>
      <c r="UZL68" s="362"/>
      <c r="UZM68" s="362"/>
      <c r="UZN68" s="362"/>
      <c r="UZO68" s="362"/>
      <c r="UZP68" s="362"/>
      <c r="UZQ68" s="362"/>
      <c r="UZR68" s="362"/>
      <c r="UZS68" s="362"/>
      <c r="UZT68" s="362"/>
      <c r="UZU68" s="362"/>
      <c r="UZV68" s="362"/>
      <c r="UZW68" s="362"/>
      <c r="UZX68" s="362"/>
      <c r="UZY68" s="362"/>
      <c r="UZZ68" s="362"/>
      <c r="VAA68" s="362"/>
      <c r="VAB68" s="362"/>
      <c r="VAC68" s="362"/>
      <c r="VAD68" s="362"/>
      <c r="VAE68" s="362"/>
      <c r="VAF68" s="362"/>
      <c r="VAG68" s="362"/>
      <c r="VAH68" s="362"/>
      <c r="VAI68" s="362"/>
      <c r="VAJ68" s="362"/>
      <c r="VAK68" s="362"/>
      <c r="VAL68" s="362"/>
      <c r="VAM68" s="362"/>
      <c r="VAN68" s="362"/>
      <c r="VAO68" s="362"/>
      <c r="VAP68" s="362"/>
      <c r="VAQ68" s="362"/>
      <c r="VAR68" s="362"/>
      <c r="VAS68" s="362"/>
      <c r="VAT68" s="362"/>
      <c r="VAU68" s="362"/>
      <c r="VAV68" s="362"/>
      <c r="VAW68" s="362"/>
      <c r="VAX68" s="362"/>
      <c r="VAY68" s="362"/>
      <c r="VAZ68" s="362"/>
      <c r="VBA68" s="362"/>
      <c r="VBB68" s="362"/>
      <c r="VBC68" s="362"/>
      <c r="VBD68" s="362"/>
      <c r="VBE68" s="362"/>
      <c r="VBF68" s="362"/>
      <c r="VBG68" s="362"/>
      <c r="VBH68" s="362"/>
      <c r="VBI68" s="362"/>
      <c r="VBJ68" s="362"/>
      <c r="VBK68" s="362"/>
      <c r="VBL68" s="362"/>
      <c r="VBM68" s="362"/>
      <c r="VBN68" s="362"/>
      <c r="VBO68" s="362"/>
      <c r="VBP68" s="362"/>
      <c r="VBQ68" s="362"/>
      <c r="VBR68" s="362"/>
      <c r="VBS68" s="362"/>
      <c r="VBT68" s="362"/>
      <c r="VBU68" s="362"/>
      <c r="VBV68" s="362"/>
      <c r="VBW68" s="362"/>
      <c r="VBX68" s="362"/>
      <c r="VBY68" s="362"/>
      <c r="VBZ68" s="362"/>
      <c r="VCA68" s="362"/>
      <c r="VCB68" s="362"/>
      <c r="VCC68" s="362"/>
      <c r="VCD68" s="362"/>
      <c r="VCE68" s="362"/>
      <c r="VCF68" s="362"/>
      <c r="VCG68" s="362"/>
      <c r="VCH68" s="362"/>
      <c r="VCI68" s="362"/>
      <c r="VCJ68" s="362"/>
      <c r="VCK68" s="362"/>
      <c r="VCL68" s="362"/>
      <c r="VCM68" s="362"/>
      <c r="VCN68" s="362"/>
      <c r="VCO68" s="362"/>
      <c r="VCP68" s="362"/>
      <c r="VCQ68" s="362"/>
      <c r="VCR68" s="362"/>
      <c r="VCS68" s="362"/>
      <c r="VCT68" s="362"/>
      <c r="VCU68" s="362"/>
      <c r="VCV68" s="362"/>
      <c r="VCW68" s="362"/>
      <c r="VCX68" s="362"/>
      <c r="VCY68" s="362"/>
      <c r="VCZ68" s="362"/>
      <c r="VDA68" s="362"/>
      <c r="VDB68" s="362"/>
      <c r="VDC68" s="362"/>
      <c r="VDD68" s="362"/>
      <c r="VDE68" s="362"/>
      <c r="VDF68" s="362"/>
      <c r="VDG68" s="362"/>
      <c r="VDH68" s="362"/>
      <c r="VDI68" s="362"/>
      <c r="VDJ68" s="362"/>
      <c r="VDK68" s="362"/>
      <c r="VDL68" s="362"/>
      <c r="VDM68" s="362"/>
      <c r="VDN68" s="362"/>
      <c r="VDO68" s="362"/>
      <c r="VDP68" s="362"/>
      <c r="VDQ68" s="362"/>
      <c r="VDR68" s="362"/>
      <c r="VDS68" s="362"/>
      <c r="VDT68" s="362"/>
      <c r="VDU68" s="362"/>
      <c r="VDV68" s="362"/>
      <c r="VDW68" s="362"/>
      <c r="VDX68" s="362"/>
      <c r="VDY68" s="362"/>
      <c r="VDZ68" s="362"/>
      <c r="VEA68" s="362"/>
      <c r="VEB68" s="362"/>
      <c r="VEC68" s="362"/>
      <c r="VED68" s="362"/>
      <c r="VEE68" s="362"/>
      <c r="VEF68" s="362"/>
      <c r="VEG68" s="362"/>
      <c r="VEH68" s="362"/>
      <c r="VEI68" s="362"/>
      <c r="VEJ68" s="362"/>
      <c r="VEK68" s="362"/>
      <c r="VEL68" s="362"/>
      <c r="VEM68" s="362"/>
      <c r="VEN68" s="362"/>
      <c r="VEO68" s="362"/>
      <c r="VEP68" s="362"/>
      <c r="VEQ68" s="362"/>
      <c r="VER68" s="362"/>
      <c r="VES68" s="362"/>
      <c r="VET68" s="362"/>
      <c r="VEU68" s="362"/>
      <c r="VEV68" s="362"/>
      <c r="VEW68" s="362"/>
      <c r="VEX68" s="362"/>
      <c r="VEY68" s="362"/>
      <c r="VEZ68" s="362"/>
      <c r="VFA68" s="362"/>
      <c r="VFB68" s="362"/>
      <c r="VFC68" s="362"/>
      <c r="VFD68" s="362"/>
      <c r="VFE68" s="362"/>
      <c r="VFF68" s="362"/>
      <c r="VFG68" s="362"/>
      <c r="VFH68" s="362"/>
      <c r="VFI68" s="362"/>
      <c r="VFJ68" s="362"/>
      <c r="VFK68" s="362"/>
      <c r="VFL68" s="362"/>
      <c r="VFM68" s="362"/>
      <c r="VFN68" s="362"/>
      <c r="VFO68" s="362"/>
      <c r="VFP68" s="362"/>
      <c r="VFQ68" s="362"/>
      <c r="VFR68" s="362"/>
      <c r="VFS68" s="362"/>
      <c r="VFT68" s="362"/>
      <c r="VFU68" s="362"/>
      <c r="VFV68" s="362"/>
      <c r="VFW68" s="362"/>
      <c r="VFX68" s="362"/>
      <c r="VFY68" s="362"/>
      <c r="VFZ68" s="362"/>
      <c r="VGA68" s="362"/>
      <c r="VGB68" s="362"/>
      <c r="VGC68" s="362"/>
      <c r="VGD68" s="362"/>
      <c r="VGE68" s="362"/>
      <c r="VGF68" s="362"/>
      <c r="VGG68" s="362"/>
      <c r="VGH68" s="362"/>
      <c r="VGI68" s="362"/>
      <c r="VGJ68" s="362"/>
      <c r="VGK68" s="362"/>
      <c r="VGL68" s="362"/>
      <c r="VGM68" s="362"/>
      <c r="VGN68" s="362"/>
      <c r="VGO68" s="362"/>
      <c r="VGP68" s="362"/>
      <c r="VGQ68" s="362"/>
      <c r="VGR68" s="362"/>
      <c r="VGS68" s="362"/>
      <c r="VGT68" s="362"/>
      <c r="VGU68" s="362"/>
      <c r="VGV68" s="362"/>
      <c r="VGW68" s="362"/>
      <c r="VGX68" s="362"/>
      <c r="VGY68" s="362"/>
      <c r="VGZ68" s="362"/>
      <c r="VHA68" s="362"/>
      <c r="VHB68" s="362"/>
      <c r="VHC68" s="362"/>
      <c r="VHD68" s="362"/>
      <c r="VHE68" s="362"/>
      <c r="VHF68" s="362"/>
      <c r="VHG68" s="362"/>
      <c r="VHH68" s="362"/>
      <c r="VHI68" s="362"/>
      <c r="VHJ68" s="362"/>
      <c r="VHK68" s="362"/>
      <c r="VHL68" s="362"/>
      <c r="VHM68" s="362"/>
      <c r="VHN68" s="362"/>
      <c r="VHO68" s="362"/>
      <c r="VHP68" s="362"/>
      <c r="VHQ68" s="362"/>
      <c r="VHR68" s="362"/>
      <c r="VHS68" s="362"/>
      <c r="VHT68" s="362"/>
      <c r="VHU68" s="362"/>
      <c r="VHV68" s="362"/>
      <c r="VHW68" s="362"/>
      <c r="VHX68" s="362"/>
      <c r="VHY68" s="362"/>
      <c r="VHZ68" s="362"/>
      <c r="VIA68" s="362"/>
      <c r="VIB68" s="362"/>
      <c r="VIC68" s="362"/>
      <c r="VID68" s="362"/>
      <c r="VIE68" s="362"/>
      <c r="VIF68" s="362"/>
      <c r="VIG68" s="362"/>
      <c r="VIH68" s="362"/>
      <c r="VII68" s="362"/>
      <c r="VIJ68" s="362"/>
      <c r="VIK68" s="362"/>
      <c r="VIL68" s="362"/>
      <c r="VIM68" s="362"/>
      <c r="VIN68" s="362"/>
      <c r="VIO68" s="362"/>
      <c r="VIP68" s="362"/>
      <c r="VIQ68" s="362"/>
      <c r="VIR68" s="362"/>
      <c r="VIS68" s="362"/>
      <c r="VIT68" s="362"/>
      <c r="VIU68" s="362"/>
      <c r="VIV68" s="362"/>
      <c r="VIW68" s="362"/>
      <c r="VIX68" s="362"/>
      <c r="VIY68" s="362"/>
      <c r="VIZ68" s="362"/>
      <c r="VJA68" s="362"/>
      <c r="VJB68" s="362"/>
      <c r="VJC68" s="362"/>
      <c r="VJD68" s="362"/>
      <c r="VJE68" s="362"/>
      <c r="VJF68" s="362"/>
      <c r="VJG68" s="362"/>
      <c r="VJH68" s="362"/>
      <c r="VJI68" s="362"/>
      <c r="VJJ68" s="362"/>
      <c r="VJK68" s="362"/>
      <c r="VJL68" s="362"/>
      <c r="VJM68" s="362"/>
      <c r="VJN68" s="362"/>
      <c r="VJO68" s="362"/>
      <c r="VJP68" s="362"/>
      <c r="VJQ68" s="362"/>
      <c r="VJR68" s="362"/>
      <c r="VJS68" s="362"/>
      <c r="VJT68" s="362"/>
      <c r="VJU68" s="362"/>
      <c r="VJV68" s="362"/>
      <c r="VJW68" s="362"/>
      <c r="VJX68" s="362"/>
      <c r="VJY68" s="362"/>
      <c r="VJZ68" s="362"/>
      <c r="VKA68" s="362"/>
      <c r="VKB68" s="362"/>
      <c r="VKC68" s="362"/>
      <c r="VKD68" s="362"/>
      <c r="VKE68" s="362"/>
      <c r="VKF68" s="362"/>
      <c r="VKG68" s="362"/>
      <c r="VKH68" s="362"/>
      <c r="VKI68" s="362"/>
      <c r="VKJ68" s="362"/>
      <c r="VKK68" s="362"/>
      <c r="VKL68" s="362"/>
      <c r="VKM68" s="362"/>
      <c r="VKN68" s="362"/>
      <c r="VKO68" s="362"/>
      <c r="VKP68" s="362"/>
      <c r="VKQ68" s="362"/>
      <c r="VKR68" s="362"/>
      <c r="VKS68" s="362"/>
      <c r="VKT68" s="362"/>
      <c r="VKU68" s="362"/>
      <c r="VKV68" s="362"/>
      <c r="VKW68" s="362"/>
      <c r="VKX68" s="362"/>
      <c r="VKY68" s="362"/>
      <c r="VKZ68" s="362"/>
      <c r="VLA68" s="362"/>
      <c r="VLB68" s="362"/>
      <c r="VLC68" s="362"/>
      <c r="VLD68" s="362"/>
      <c r="VLE68" s="362"/>
      <c r="VLF68" s="362"/>
      <c r="VLG68" s="362"/>
      <c r="VLH68" s="362"/>
      <c r="VLI68" s="362"/>
      <c r="VLJ68" s="362"/>
      <c r="VLK68" s="362"/>
      <c r="VLL68" s="362"/>
      <c r="VLM68" s="362"/>
      <c r="VLN68" s="362"/>
      <c r="VLO68" s="362"/>
      <c r="VLP68" s="362"/>
      <c r="VLQ68" s="362"/>
      <c r="VLR68" s="362"/>
      <c r="VLS68" s="362"/>
      <c r="VLT68" s="362"/>
      <c r="VLU68" s="362"/>
      <c r="VLV68" s="362"/>
      <c r="VLW68" s="362"/>
      <c r="VLX68" s="362"/>
      <c r="VLY68" s="362"/>
      <c r="VLZ68" s="362"/>
      <c r="VMA68" s="362"/>
      <c r="VMB68" s="362"/>
      <c r="VMC68" s="362"/>
      <c r="VMD68" s="362"/>
      <c r="VME68" s="362"/>
      <c r="VMF68" s="362"/>
      <c r="VMG68" s="362"/>
      <c r="VMH68" s="362"/>
      <c r="VMI68" s="362"/>
      <c r="VMJ68" s="362"/>
      <c r="VMK68" s="362"/>
      <c r="VML68" s="362"/>
      <c r="VMM68" s="362"/>
      <c r="VMN68" s="362"/>
      <c r="VMO68" s="362"/>
      <c r="VMP68" s="362"/>
      <c r="VMQ68" s="362"/>
      <c r="VMR68" s="362"/>
      <c r="VMS68" s="362"/>
      <c r="VMT68" s="362"/>
      <c r="VMU68" s="362"/>
      <c r="VMV68" s="362"/>
      <c r="VMW68" s="362"/>
      <c r="VMX68" s="362"/>
      <c r="VMY68" s="362"/>
      <c r="VMZ68" s="362"/>
      <c r="VNA68" s="362"/>
      <c r="VNB68" s="362"/>
      <c r="VNC68" s="362"/>
      <c r="VND68" s="362"/>
      <c r="VNE68" s="362"/>
      <c r="VNF68" s="362"/>
      <c r="VNG68" s="362"/>
      <c r="VNH68" s="362"/>
      <c r="VNI68" s="362"/>
      <c r="VNJ68" s="362"/>
      <c r="VNK68" s="362"/>
      <c r="VNL68" s="362"/>
      <c r="VNM68" s="362"/>
      <c r="VNN68" s="362"/>
      <c r="VNO68" s="362"/>
      <c r="VNP68" s="362"/>
      <c r="VNQ68" s="362"/>
      <c r="VNR68" s="362"/>
      <c r="VNS68" s="362"/>
      <c r="VNT68" s="362"/>
      <c r="VNU68" s="362"/>
      <c r="VNV68" s="362"/>
      <c r="VNW68" s="362"/>
      <c r="VNX68" s="362"/>
      <c r="VNY68" s="362"/>
      <c r="VNZ68" s="362"/>
      <c r="VOA68" s="362"/>
      <c r="VOB68" s="362"/>
      <c r="VOC68" s="362"/>
      <c r="VOD68" s="362"/>
      <c r="VOE68" s="362"/>
      <c r="VOF68" s="362"/>
      <c r="VOG68" s="362"/>
      <c r="VOH68" s="362"/>
      <c r="VOI68" s="362"/>
      <c r="VOJ68" s="362"/>
      <c r="VOK68" s="362"/>
      <c r="VOL68" s="362"/>
      <c r="VOM68" s="362"/>
      <c r="VON68" s="362"/>
      <c r="VOO68" s="362"/>
      <c r="VOP68" s="362"/>
      <c r="VOQ68" s="362"/>
      <c r="VOR68" s="362"/>
      <c r="VOS68" s="362"/>
      <c r="VOT68" s="362"/>
      <c r="VOU68" s="362"/>
      <c r="VOV68" s="362"/>
      <c r="VOW68" s="362"/>
      <c r="VOX68" s="362"/>
      <c r="VOY68" s="362"/>
      <c r="VOZ68" s="362"/>
      <c r="VPA68" s="362"/>
      <c r="VPB68" s="362"/>
      <c r="VPC68" s="362"/>
      <c r="VPD68" s="362"/>
      <c r="VPE68" s="362"/>
      <c r="VPF68" s="362"/>
      <c r="VPG68" s="362"/>
      <c r="VPH68" s="362"/>
      <c r="VPI68" s="362"/>
      <c r="VPJ68" s="362"/>
      <c r="VPK68" s="362"/>
      <c r="VPL68" s="362"/>
      <c r="VPM68" s="362"/>
      <c r="VPN68" s="362"/>
      <c r="VPO68" s="362"/>
      <c r="VPP68" s="362"/>
      <c r="VPQ68" s="362"/>
      <c r="VPR68" s="362"/>
      <c r="VPS68" s="362"/>
      <c r="VPT68" s="362"/>
      <c r="VPU68" s="362"/>
      <c r="VPV68" s="362"/>
      <c r="VPW68" s="362"/>
      <c r="VPX68" s="362"/>
      <c r="VPY68" s="362"/>
      <c r="VPZ68" s="362"/>
      <c r="VQA68" s="362"/>
      <c r="VQB68" s="362"/>
      <c r="VQC68" s="362"/>
      <c r="VQD68" s="362"/>
      <c r="VQE68" s="362"/>
      <c r="VQF68" s="362"/>
      <c r="VQG68" s="362"/>
      <c r="VQH68" s="362"/>
      <c r="VQI68" s="362"/>
      <c r="VQJ68" s="362"/>
      <c r="VQK68" s="362"/>
      <c r="VQL68" s="362"/>
      <c r="VQM68" s="362"/>
      <c r="VQN68" s="362"/>
      <c r="VQO68" s="362"/>
      <c r="VQP68" s="362"/>
      <c r="VQQ68" s="362"/>
      <c r="VQR68" s="362"/>
      <c r="VQS68" s="362"/>
      <c r="VQT68" s="362"/>
      <c r="VQU68" s="362"/>
      <c r="VQV68" s="362"/>
      <c r="VQW68" s="362"/>
      <c r="VQX68" s="362"/>
      <c r="VQY68" s="362"/>
      <c r="VQZ68" s="362"/>
      <c r="VRA68" s="362"/>
      <c r="VRB68" s="362"/>
      <c r="VRC68" s="362"/>
      <c r="VRD68" s="362"/>
      <c r="VRE68" s="362"/>
      <c r="VRF68" s="362"/>
      <c r="VRG68" s="362"/>
      <c r="VRH68" s="362"/>
      <c r="VRI68" s="362"/>
      <c r="VRJ68" s="362"/>
      <c r="VRK68" s="362"/>
      <c r="VRL68" s="362"/>
      <c r="VRM68" s="362"/>
      <c r="VRN68" s="362"/>
      <c r="VRO68" s="362"/>
      <c r="VRP68" s="362"/>
      <c r="VRQ68" s="362"/>
      <c r="VRR68" s="362"/>
      <c r="VRS68" s="362"/>
      <c r="VRT68" s="362"/>
      <c r="VRU68" s="362"/>
      <c r="VRV68" s="362"/>
      <c r="VRW68" s="362"/>
      <c r="VRX68" s="362"/>
      <c r="VRY68" s="362"/>
      <c r="VRZ68" s="362"/>
      <c r="VSA68" s="362"/>
      <c r="VSB68" s="362"/>
      <c r="VSC68" s="362"/>
      <c r="VSD68" s="362"/>
      <c r="VSE68" s="362"/>
      <c r="VSF68" s="362"/>
      <c r="VSG68" s="362"/>
      <c r="VSH68" s="362"/>
      <c r="VSI68" s="362"/>
      <c r="VSJ68" s="362"/>
      <c r="VSK68" s="362"/>
      <c r="VSL68" s="362"/>
      <c r="VSM68" s="362"/>
      <c r="VSN68" s="362"/>
      <c r="VSO68" s="362"/>
      <c r="VSP68" s="362"/>
      <c r="VSQ68" s="362"/>
      <c r="VSR68" s="362"/>
      <c r="VSS68" s="362"/>
      <c r="VST68" s="362"/>
      <c r="VSU68" s="362"/>
      <c r="VSV68" s="362"/>
      <c r="VSW68" s="362"/>
      <c r="VSX68" s="362"/>
      <c r="VSY68" s="362"/>
      <c r="VSZ68" s="362"/>
      <c r="VTA68" s="362"/>
      <c r="VTB68" s="362"/>
      <c r="VTC68" s="362"/>
      <c r="VTD68" s="362"/>
      <c r="VTE68" s="362"/>
      <c r="VTF68" s="362"/>
      <c r="VTG68" s="362"/>
      <c r="VTH68" s="362"/>
      <c r="VTI68" s="362"/>
      <c r="VTJ68" s="362"/>
      <c r="VTK68" s="362"/>
      <c r="VTL68" s="362"/>
      <c r="VTM68" s="362"/>
      <c r="VTN68" s="362"/>
      <c r="VTO68" s="362"/>
      <c r="VTP68" s="362"/>
      <c r="VTQ68" s="362"/>
      <c r="VTR68" s="362"/>
      <c r="VTS68" s="362"/>
      <c r="VTT68" s="362"/>
      <c r="VTU68" s="362"/>
      <c r="VTV68" s="362"/>
      <c r="VTW68" s="362"/>
      <c r="VTX68" s="362"/>
      <c r="VTY68" s="362"/>
      <c r="VTZ68" s="362"/>
      <c r="VUA68" s="362"/>
      <c r="VUB68" s="362"/>
      <c r="VUC68" s="362"/>
      <c r="VUD68" s="362"/>
      <c r="VUE68" s="362"/>
      <c r="VUF68" s="362"/>
      <c r="VUG68" s="362"/>
      <c r="VUH68" s="362"/>
      <c r="VUI68" s="362"/>
      <c r="VUJ68" s="362"/>
      <c r="VUK68" s="362"/>
      <c r="VUL68" s="362"/>
      <c r="VUM68" s="362"/>
      <c r="VUN68" s="362"/>
      <c r="VUO68" s="362"/>
      <c r="VUP68" s="362"/>
      <c r="VUQ68" s="362"/>
      <c r="VUR68" s="362"/>
      <c r="VUS68" s="362"/>
      <c r="VUT68" s="362"/>
      <c r="VUU68" s="362"/>
      <c r="VUV68" s="362"/>
      <c r="VUW68" s="362"/>
      <c r="VUX68" s="362"/>
      <c r="VUY68" s="362"/>
      <c r="VUZ68" s="362"/>
      <c r="VVA68" s="362"/>
      <c r="VVB68" s="362"/>
      <c r="VVC68" s="362"/>
      <c r="VVD68" s="362"/>
      <c r="VVE68" s="362"/>
      <c r="VVF68" s="362"/>
      <c r="VVG68" s="362"/>
      <c r="VVH68" s="362"/>
      <c r="VVI68" s="362"/>
      <c r="VVJ68" s="362"/>
      <c r="VVK68" s="362"/>
      <c r="VVL68" s="362"/>
      <c r="VVM68" s="362"/>
      <c r="VVN68" s="362"/>
      <c r="VVO68" s="362"/>
      <c r="VVP68" s="362"/>
      <c r="VVQ68" s="362"/>
      <c r="VVR68" s="362"/>
      <c r="VVS68" s="362"/>
      <c r="VVT68" s="362"/>
      <c r="VVU68" s="362"/>
      <c r="VVV68" s="362"/>
      <c r="VVW68" s="362"/>
      <c r="VVX68" s="362"/>
      <c r="VVY68" s="362"/>
      <c r="VVZ68" s="362"/>
      <c r="VWA68" s="362"/>
      <c r="VWB68" s="362"/>
      <c r="VWC68" s="362"/>
      <c r="VWD68" s="362"/>
      <c r="VWE68" s="362"/>
      <c r="VWF68" s="362"/>
      <c r="VWG68" s="362"/>
      <c r="VWH68" s="362"/>
      <c r="VWI68" s="362"/>
      <c r="VWJ68" s="362"/>
      <c r="VWK68" s="362"/>
      <c r="VWL68" s="362"/>
      <c r="VWM68" s="362"/>
      <c r="VWN68" s="362"/>
      <c r="VWO68" s="362"/>
      <c r="VWP68" s="362"/>
      <c r="VWQ68" s="362"/>
      <c r="VWR68" s="362"/>
      <c r="VWS68" s="362"/>
      <c r="VWT68" s="362"/>
      <c r="VWU68" s="362"/>
      <c r="VWV68" s="362"/>
      <c r="VWW68" s="362"/>
      <c r="VWX68" s="362"/>
      <c r="VWY68" s="362"/>
      <c r="VWZ68" s="362"/>
      <c r="VXA68" s="362"/>
      <c r="VXB68" s="362"/>
      <c r="VXC68" s="362"/>
      <c r="VXD68" s="362"/>
      <c r="VXE68" s="362"/>
      <c r="VXF68" s="362"/>
      <c r="VXG68" s="362"/>
      <c r="VXH68" s="362"/>
      <c r="VXI68" s="362"/>
      <c r="VXJ68" s="362"/>
      <c r="VXK68" s="362"/>
      <c r="VXL68" s="362"/>
      <c r="VXM68" s="362"/>
      <c r="VXN68" s="362"/>
      <c r="VXO68" s="362"/>
      <c r="VXP68" s="362"/>
      <c r="VXQ68" s="362"/>
      <c r="VXR68" s="362"/>
      <c r="VXS68" s="362"/>
      <c r="VXT68" s="362"/>
      <c r="VXU68" s="362"/>
      <c r="VXV68" s="362"/>
      <c r="VXW68" s="362"/>
      <c r="VXX68" s="362"/>
      <c r="VXY68" s="362"/>
      <c r="VXZ68" s="362"/>
      <c r="VYA68" s="362"/>
      <c r="VYB68" s="362"/>
      <c r="VYC68" s="362"/>
      <c r="VYD68" s="362"/>
      <c r="VYE68" s="362"/>
      <c r="VYF68" s="362"/>
      <c r="VYG68" s="362"/>
      <c r="VYH68" s="362"/>
      <c r="VYI68" s="362"/>
      <c r="VYJ68" s="362"/>
      <c r="VYK68" s="362"/>
      <c r="VYL68" s="362"/>
      <c r="VYM68" s="362"/>
      <c r="VYN68" s="362"/>
      <c r="VYO68" s="362"/>
      <c r="VYP68" s="362"/>
      <c r="VYQ68" s="362"/>
      <c r="VYR68" s="362"/>
      <c r="VYS68" s="362"/>
      <c r="VYT68" s="362"/>
      <c r="VYU68" s="362"/>
      <c r="VYV68" s="362"/>
      <c r="VYW68" s="362"/>
      <c r="VYX68" s="362"/>
      <c r="VYY68" s="362"/>
      <c r="VYZ68" s="362"/>
      <c r="VZA68" s="362"/>
      <c r="VZB68" s="362"/>
      <c r="VZC68" s="362"/>
      <c r="VZD68" s="362"/>
      <c r="VZE68" s="362"/>
      <c r="VZF68" s="362"/>
      <c r="VZG68" s="362"/>
      <c r="VZH68" s="362"/>
      <c r="VZI68" s="362"/>
      <c r="VZJ68" s="362"/>
      <c r="VZK68" s="362"/>
      <c r="VZL68" s="362"/>
      <c r="VZM68" s="362"/>
      <c r="VZN68" s="362"/>
      <c r="VZO68" s="362"/>
      <c r="VZP68" s="362"/>
      <c r="VZQ68" s="362"/>
      <c r="VZR68" s="362"/>
      <c r="VZS68" s="362"/>
      <c r="VZT68" s="362"/>
      <c r="VZU68" s="362"/>
      <c r="VZV68" s="362"/>
      <c r="VZW68" s="362"/>
      <c r="VZX68" s="362"/>
      <c r="VZY68" s="362"/>
      <c r="VZZ68" s="362"/>
      <c r="WAA68" s="362"/>
      <c r="WAB68" s="362"/>
      <c r="WAC68" s="362"/>
      <c r="WAD68" s="362"/>
      <c r="WAE68" s="362"/>
      <c r="WAF68" s="362"/>
      <c r="WAG68" s="362"/>
      <c r="WAH68" s="362"/>
      <c r="WAI68" s="362"/>
      <c r="WAJ68" s="362"/>
      <c r="WAK68" s="362"/>
      <c r="WAL68" s="362"/>
      <c r="WAM68" s="362"/>
      <c r="WAN68" s="362"/>
      <c r="WAO68" s="362"/>
      <c r="WAP68" s="362"/>
      <c r="WAQ68" s="362"/>
      <c r="WAR68" s="362"/>
      <c r="WAS68" s="362"/>
      <c r="WAT68" s="362"/>
      <c r="WAU68" s="362"/>
      <c r="WAV68" s="362"/>
      <c r="WAW68" s="362"/>
      <c r="WAX68" s="362"/>
      <c r="WAY68" s="362"/>
      <c r="WAZ68" s="362"/>
      <c r="WBA68" s="362"/>
      <c r="WBB68" s="362"/>
      <c r="WBC68" s="362"/>
      <c r="WBD68" s="362"/>
      <c r="WBE68" s="362"/>
      <c r="WBF68" s="362"/>
      <c r="WBG68" s="362"/>
      <c r="WBH68" s="362"/>
      <c r="WBI68" s="362"/>
      <c r="WBJ68" s="362"/>
      <c r="WBK68" s="362"/>
      <c r="WBL68" s="362"/>
      <c r="WBM68" s="362"/>
      <c r="WBN68" s="362"/>
      <c r="WBO68" s="362"/>
      <c r="WBP68" s="362"/>
      <c r="WBQ68" s="362"/>
      <c r="WBR68" s="362"/>
      <c r="WBS68" s="362"/>
      <c r="WBT68" s="362"/>
      <c r="WBU68" s="362"/>
      <c r="WBV68" s="362"/>
      <c r="WBW68" s="362"/>
      <c r="WBX68" s="362"/>
      <c r="WBY68" s="362"/>
      <c r="WBZ68" s="362"/>
      <c r="WCA68" s="362"/>
      <c r="WCB68" s="362"/>
      <c r="WCC68" s="362"/>
      <c r="WCD68" s="362"/>
      <c r="WCE68" s="362"/>
      <c r="WCF68" s="362"/>
      <c r="WCG68" s="362"/>
      <c r="WCH68" s="362"/>
      <c r="WCI68" s="362"/>
      <c r="WCJ68" s="362"/>
      <c r="WCK68" s="362"/>
      <c r="WCL68" s="362"/>
      <c r="WCM68" s="362"/>
      <c r="WCN68" s="362"/>
      <c r="WCO68" s="362"/>
      <c r="WCP68" s="362"/>
      <c r="WCQ68" s="362"/>
      <c r="WCR68" s="362"/>
      <c r="WCS68" s="362"/>
      <c r="WCT68" s="362"/>
      <c r="WCU68" s="362"/>
      <c r="WCV68" s="362"/>
      <c r="WCW68" s="362"/>
      <c r="WCX68" s="362"/>
      <c r="WCY68" s="362"/>
      <c r="WCZ68" s="362"/>
      <c r="WDA68" s="362"/>
      <c r="WDB68" s="362"/>
      <c r="WDC68" s="362"/>
      <c r="WDD68" s="362"/>
      <c r="WDE68" s="362"/>
      <c r="WDF68" s="362"/>
      <c r="WDG68" s="362"/>
      <c r="WDH68" s="362"/>
      <c r="WDI68" s="362"/>
      <c r="WDJ68" s="362"/>
      <c r="WDK68" s="362"/>
      <c r="WDL68" s="362"/>
      <c r="WDM68" s="362"/>
      <c r="WDN68" s="362"/>
      <c r="WDO68" s="362"/>
      <c r="WDP68" s="362"/>
      <c r="WDQ68" s="362"/>
      <c r="WDR68" s="362"/>
      <c r="WDS68" s="362"/>
      <c r="WDT68" s="362"/>
      <c r="WDU68" s="362"/>
      <c r="WDV68" s="362"/>
      <c r="WDW68" s="362"/>
      <c r="WDX68" s="362"/>
      <c r="WDY68" s="362"/>
      <c r="WDZ68" s="362"/>
      <c r="WEA68" s="362"/>
      <c r="WEB68" s="362"/>
      <c r="WEC68" s="362"/>
      <c r="WED68" s="362"/>
      <c r="WEE68" s="362"/>
      <c r="WEF68" s="362"/>
      <c r="WEG68" s="362"/>
      <c r="WEH68" s="362"/>
      <c r="WEI68" s="362"/>
      <c r="WEJ68" s="362"/>
      <c r="WEK68" s="362"/>
      <c r="WEL68" s="362"/>
      <c r="WEM68" s="362"/>
      <c r="WEN68" s="362"/>
      <c r="WEO68" s="362"/>
      <c r="WEP68" s="362"/>
      <c r="WEQ68" s="362"/>
      <c r="WER68" s="362"/>
      <c r="WES68" s="362"/>
      <c r="WET68" s="362"/>
      <c r="WEU68" s="362"/>
      <c r="WEV68" s="362"/>
      <c r="WEW68" s="362"/>
      <c r="WEX68" s="362"/>
      <c r="WEY68" s="362"/>
      <c r="WEZ68" s="362"/>
      <c r="WFA68" s="362"/>
      <c r="WFB68" s="362"/>
      <c r="WFC68" s="362"/>
      <c r="WFD68" s="362"/>
      <c r="WFE68" s="362"/>
      <c r="WFF68" s="362"/>
      <c r="WFG68" s="362"/>
      <c r="WFH68" s="362"/>
      <c r="WFI68" s="362"/>
      <c r="WFJ68" s="362"/>
      <c r="WFK68" s="362"/>
      <c r="WFL68" s="362"/>
      <c r="WFM68" s="362"/>
      <c r="WFN68" s="362"/>
      <c r="WFO68" s="362"/>
      <c r="WFP68" s="362"/>
      <c r="WFQ68" s="362"/>
      <c r="WFR68" s="362"/>
      <c r="WFS68" s="362"/>
      <c r="WFT68" s="362"/>
      <c r="WFU68" s="362"/>
      <c r="WFV68" s="362"/>
      <c r="WFW68" s="362"/>
      <c r="WFX68" s="362"/>
      <c r="WFY68" s="362"/>
      <c r="WFZ68" s="362"/>
      <c r="WGA68" s="362"/>
      <c r="WGB68" s="362"/>
      <c r="WGC68" s="362"/>
      <c r="WGD68" s="362"/>
      <c r="WGE68" s="362"/>
      <c r="WGF68" s="362"/>
      <c r="WGG68" s="362"/>
      <c r="WGH68" s="362"/>
      <c r="WGI68" s="362"/>
      <c r="WGJ68" s="362"/>
      <c r="WGK68" s="362"/>
      <c r="WGL68" s="362"/>
      <c r="WGM68" s="362"/>
      <c r="WGN68" s="362"/>
      <c r="WGO68" s="362"/>
      <c r="WGP68" s="362"/>
      <c r="WGQ68" s="362"/>
      <c r="WGR68" s="362"/>
      <c r="WGS68" s="362"/>
      <c r="WGT68" s="362"/>
      <c r="WGU68" s="362"/>
      <c r="WGV68" s="362"/>
      <c r="WGW68" s="362"/>
      <c r="WGX68" s="362"/>
      <c r="WGY68" s="362"/>
      <c r="WGZ68" s="362"/>
      <c r="WHA68" s="362"/>
      <c r="WHB68" s="362"/>
      <c r="WHC68" s="362"/>
      <c r="WHD68" s="362"/>
      <c r="WHE68" s="362"/>
      <c r="WHF68" s="362"/>
      <c r="WHG68" s="362"/>
      <c r="WHH68" s="362"/>
      <c r="WHI68" s="362"/>
      <c r="WHJ68" s="362"/>
      <c r="WHK68" s="362"/>
      <c r="WHL68" s="362"/>
      <c r="WHM68" s="362"/>
      <c r="WHN68" s="362"/>
      <c r="WHO68" s="362"/>
      <c r="WHP68" s="362"/>
      <c r="WHQ68" s="362"/>
      <c r="WHR68" s="362"/>
      <c r="WHS68" s="362"/>
      <c r="WHT68" s="362"/>
      <c r="WHU68" s="362"/>
      <c r="WHV68" s="362"/>
      <c r="WHW68" s="362"/>
      <c r="WHX68" s="362"/>
      <c r="WHY68" s="362"/>
      <c r="WHZ68" s="362"/>
      <c r="WIA68" s="362"/>
      <c r="WIB68" s="362"/>
      <c r="WIC68" s="362"/>
      <c r="WID68" s="362"/>
      <c r="WIE68" s="362"/>
      <c r="WIF68" s="362"/>
      <c r="WIG68" s="362"/>
      <c r="WIH68" s="362"/>
      <c r="WII68" s="362"/>
      <c r="WIJ68" s="362"/>
      <c r="WIK68" s="362"/>
      <c r="WIL68" s="362"/>
      <c r="WIM68" s="362"/>
      <c r="WIN68" s="362"/>
      <c r="WIO68" s="362"/>
      <c r="WIP68" s="362"/>
      <c r="WIQ68" s="362"/>
      <c r="WIR68" s="362"/>
      <c r="WIS68" s="362"/>
      <c r="WIT68" s="362"/>
      <c r="WIU68" s="362"/>
      <c r="WIV68" s="362"/>
      <c r="WIW68" s="362"/>
      <c r="WIX68" s="362"/>
      <c r="WIY68" s="362"/>
      <c r="WIZ68" s="362"/>
      <c r="WJA68" s="362"/>
      <c r="WJB68" s="362"/>
      <c r="WJC68" s="362"/>
      <c r="WJD68" s="362"/>
      <c r="WJE68" s="362"/>
      <c r="WJF68" s="362"/>
      <c r="WJG68" s="362"/>
      <c r="WJH68" s="362"/>
      <c r="WJI68" s="362"/>
      <c r="WJJ68" s="362"/>
      <c r="WJK68" s="362"/>
      <c r="WJL68" s="362"/>
      <c r="WJM68" s="362"/>
      <c r="WJN68" s="362"/>
      <c r="WJO68" s="362"/>
      <c r="WJP68" s="362"/>
      <c r="WJQ68" s="362"/>
      <c r="WJR68" s="362"/>
      <c r="WJS68" s="362"/>
      <c r="WJT68" s="362"/>
      <c r="WJU68" s="362"/>
      <c r="WJV68" s="362"/>
      <c r="WJW68" s="362"/>
      <c r="WJX68" s="362"/>
      <c r="WJY68" s="362"/>
      <c r="WJZ68" s="362"/>
      <c r="WKA68" s="362"/>
      <c r="WKB68" s="362"/>
      <c r="WKC68" s="362"/>
      <c r="WKD68" s="362"/>
      <c r="WKE68" s="362"/>
      <c r="WKF68" s="362"/>
      <c r="WKG68" s="362"/>
      <c r="WKH68" s="362"/>
      <c r="WKI68" s="362"/>
      <c r="WKJ68" s="362"/>
      <c r="WKK68" s="362"/>
      <c r="WKL68" s="362"/>
      <c r="WKM68" s="362"/>
      <c r="WKN68" s="362"/>
      <c r="WKO68" s="362"/>
      <c r="WKP68" s="362"/>
      <c r="WKQ68" s="362"/>
      <c r="WKR68" s="362"/>
      <c r="WKS68" s="362"/>
      <c r="WKT68" s="362"/>
      <c r="WKU68" s="362"/>
      <c r="WKV68" s="362"/>
      <c r="WKW68" s="362"/>
      <c r="WKX68" s="362"/>
      <c r="WKY68" s="362"/>
      <c r="WKZ68" s="362"/>
      <c r="WLA68" s="362"/>
      <c r="WLB68" s="362"/>
      <c r="WLC68" s="362"/>
      <c r="WLD68" s="362"/>
      <c r="WLE68" s="362"/>
      <c r="WLF68" s="362"/>
      <c r="WLG68" s="362"/>
      <c r="WLH68" s="362"/>
      <c r="WLI68" s="362"/>
      <c r="WLJ68" s="362"/>
      <c r="WLK68" s="362"/>
      <c r="WLL68" s="362"/>
      <c r="WLM68" s="362"/>
      <c r="WLN68" s="362"/>
      <c r="WLO68" s="362"/>
      <c r="WLP68" s="362"/>
      <c r="WLQ68" s="362"/>
      <c r="WLR68" s="362"/>
      <c r="WLS68" s="362"/>
      <c r="WLT68" s="362"/>
      <c r="WLU68" s="362"/>
      <c r="WLV68" s="362"/>
      <c r="WLW68" s="362"/>
      <c r="WLX68" s="362"/>
      <c r="WLY68" s="362"/>
      <c r="WLZ68" s="362"/>
      <c r="WMA68" s="362"/>
      <c r="WMB68" s="362"/>
      <c r="WMC68" s="362"/>
      <c r="WMD68" s="362"/>
      <c r="WME68" s="362"/>
      <c r="WMF68" s="362"/>
      <c r="WMG68" s="362"/>
      <c r="WMH68" s="362"/>
      <c r="WMI68" s="362"/>
      <c r="WMJ68" s="362"/>
      <c r="WMK68" s="362"/>
      <c r="WML68" s="362"/>
      <c r="WMM68" s="362"/>
      <c r="WMN68" s="362"/>
      <c r="WMO68" s="362"/>
      <c r="WMP68" s="362"/>
      <c r="WMQ68" s="362"/>
      <c r="WMR68" s="362"/>
      <c r="WMS68" s="362"/>
      <c r="WMT68" s="362"/>
      <c r="WMU68" s="362"/>
      <c r="WMV68" s="362"/>
      <c r="WMW68" s="362"/>
      <c r="WMX68" s="362"/>
      <c r="WMY68" s="362"/>
      <c r="WMZ68" s="362"/>
      <c r="WNA68" s="362"/>
      <c r="WNB68" s="362"/>
      <c r="WNC68" s="362"/>
      <c r="WND68" s="362"/>
      <c r="WNE68" s="362"/>
      <c r="WNF68" s="362"/>
      <c r="WNG68" s="362"/>
      <c r="WNH68" s="362"/>
      <c r="WNI68" s="362"/>
      <c r="WNJ68" s="362"/>
      <c r="WNK68" s="362"/>
      <c r="WNL68" s="362"/>
      <c r="WNM68" s="362"/>
      <c r="WNN68" s="362"/>
      <c r="WNO68" s="362"/>
      <c r="WNP68" s="362"/>
      <c r="WNQ68" s="362"/>
      <c r="WNR68" s="362"/>
      <c r="WNS68" s="362"/>
      <c r="WNT68" s="362"/>
      <c r="WNU68" s="362"/>
      <c r="WNV68" s="362"/>
      <c r="WNW68" s="362"/>
      <c r="WNX68" s="362"/>
      <c r="WNY68" s="362"/>
      <c r="WNZ68" s="362"/>
      <c r="WOA68" s="362"/>
      <c r="WOB68" s="362"/>
      <c r="WOC68" s="362"/>
      <c r="WOD68" s="362"/>
      <c r="WOE68" s="362"/>
      <c r="WOF68" s="362"/>
      <c r="WOG68" s="362"/>
      <c r="WOH68" s="362"/>
      <c r="WOI68" s="362"/>
      <c r="WOJ68" s="362"/>
      <c r="WOK68" s="362"/>
      <c r="WOL68" s="362"/>
      <c r="WOM68" s="362"/>
      <c r="WON68" s="362"/>
      <c r="WOO68" s="362"/>
      <c r="WOP68" s="362"/>
      <c r="WOQ68" s="362"/>
      <c r="WOR68" s="362"/>
      <c r="WOS68" s="362"/>
      <c r="WOT68" s="362"/>
      <c r="WOU68" s="362"/>
      <c r="WOV68" s="362"/>
      <c r="WOW68" s="362"/>
      <c r="WOX68" s="362"/>
      <c r="WOY68" s="362"/>
      <c r="WOZ68" s="362"/>
      <c r="WPA68" s="362"/>
      <c r="WPB68" s="362"/>
      <c r="WPC68" s="362"/>
      <c r="WPD68" s="362"/>
      <c r="WPE68" s="362"/>
      <c r="WPF68" s="362"/>
      <c r="WPG68" s="362"/>
      <c r="WPH68" s="362"/>
      <c r="WPI68" s="362"/>
      <c r="WPJ68" s="362"/>
      <c r="WPK68" s="362"/>
      <c r="WPL68" s="362"/>
      <c r="WPM68" s="362"/>
      <c r="WPN68" s="362"/>
      <c r="WPO68" s="362"/>
      <c r="WPP68" s="362"/>
      <c r="WPQ68" s="362"/>
      <c r="WPR68" s="362"/>
      <c r="WPS68" s="362"/>
      <c r="WPT68" s="362"/>
      <c r="WPU68" s="362"/>
      <c r="WPV68" s="362"/>
      <c r="WPW68" s="362"/>
      <c r="WPX68" s="362"/>
      <c r="WPY68" s="362"/>
      <c r="WPZ68" s="362"/>
      <c r="WQA68" s="362"/>
      <c r="WQB68" s="362"/>
      <c r="WQC68" s="362"/>
      <c r="WQD68" s="362"/>
      <c r="WQE68" s="362"/>
      <c r="WQF68" s="362"/>
      <c r="WQG68" s="362"/>
      <c r="WQH68" s="362"/>
      <c r="WQI68" s="362"/>
      <c r="WQJ68" s="362"/>
      <c r="WQK68" s="362"/>
      <c r="WQL68" s="362"/>
      <c r="WQM68" s="362"/>
      <c r="WQN68" s="362"/>
      <c r="WQO68" s="362"/>
      <c r="WQP68" s="362"/>
      <c r="WQQ68" s="362"/>
      <c r="WQR68" s="362"/>
      <c r="WQS68" s="362"/>
      <c r="WQT68" s="362"/>
      <c r="WQU68" s="362"/>
      <c r="WQV68" s="362"/>
      <c r="WQW68" s="362"/>
      <c r="WQX68" s="362"/>
      <c r="WQY68" s="362"/>
      <c r="WQZ68" s="362"/>
      <c r="WRA68" s="362"/>
      <c r="WRB68" s="362"/>
      <c r="WRC68" s="362"/>
      <c r="WRD68" s="362"/>
      <c r="WRE68" s="362"/>
      <c r="WRF68" s="362"/>
      <c r="WRG68" s="362"/>
      <c r="WRH68" s="362"/>
      <c r="WRI68" s="362"/>
      <c r="WRJ68" s="362"/>
      <c r="WRK68" s="362"/>
      <c r="WRL68" s="362"/>
      <c r="WRM68" s="362"/>
      <c r="WRN68" s="362"/>
      <c r="WRO68" s="362"/>
      <c r="WRP68" s="362"/>
      <c r="WRQ68" s="362"/>
      <c r="WRR68" s="362"/>
      <c r="WRS68" s="362"/>
      <c r="WRT68" s="362"/>
      <c r="WRU68" s="362"/>
      <c r="WRV68" s="362"/>
      <c r="WRW68" s="362"/>
      <c r="WRX68" s="362"/>
      <c r="WRY68" s="362"/>
      <c r="WRZ68" s="362"/>
      <c r="WSA68" s="362"/>
      <c r="WSB68" s="362"/>
      <c r="WSC68" s="362"/>
      <c r="WSD68" s="362"/>
      <c r="WSE68" s="362"/>
      <c r="WSF68" s="362"/>
      <c r="WSG68" s="362"/>
      <c r="WSH68" s="362"/>
      <c r="WSI68" s="362"/>
      <c r="WSJ68" s="362"/>
      <c r="WSK68" s="362"/>
      <c r="WSL68" s="362"/>
      <c r="WSM68" s="362"/>
      <c r="WSN68" s="362"/>
      <c r="WSO68" s="362"/>
      <c r="WSP68" s="362"/>
      <c r="WSQ68" s="362"/>
      <c r="WSR68" s="362"/>
      <c r="WSS68" s="362"/>
      <c r="WST68" s="362"/>
      <c r="WSU68" s="362"/>
      <c r="WSV68" s="362"/>
      <c r="WSW68" s="362"/>
      <c r="WSX68" s="362"/>
      <c r="WSY68" s="362"/>
      <c r="WSZ68" s="362"/>
      <c r="WTA68" s="362"/>
      <c r="WTB68" s="362"/>
      <c r="WTC68" s="362"/>
      <c r="WTD68" s="362"/>
      <c r="WTE68" s="362"/>
      <c r="WTF68" s="362"/>
      <c r="WTG68" s="362"/>
      <c r="WTH68" s="362"/>
      <c r="WTI68" s="362"/>
      <c r="WTJ68" s="362"/>
      <c r="WTK68" s="362"/>
      <c r="WTL68" s="362"/>
      <c r="WTM68" s="362"/>
      <c r="WTN68" s="362"/>
      <c r="WTO68" s="362"/>
      <c r="WTP68" s="362"/>
      <c r="WTQ68" s="362"/>
      <c r="WTR68" s="362"/>
      <c r="WTS68" s="362"/>
      <c r="WTT68" s="362"/>
      <c r="WTU68" s="362"/>
      <c r="WTV68" s="362"/>
      <c r="WTW68" s="362"/>
      <c r="WTX68" s="362"/>
      <c r="WTY68" s="362"/>
      <c r="WTZ68" s="362"/>
      <c r="WUA68" s="362"/>
      <c r="WUB68" s="362"/>
      <c r="WUC68" s="362"/>
      <c r="WUD68" s="362"/>
      <c r="WUE68" s="362"/>
      <c r="WUF68" s="362"/>
      <c r="WUG68" s="362"/>
      <c r="WUH68" s="362"/>
      <c r="WUI68" s="362"/>
      <c r="WUJ68" s="362"/>
      <c r="WUK68" s="362"/>
      <c r="WUL68" s="362"/>
      <c r="WUM68" s="362"/>
      <c r="WUN68" s="362"/>
      <c r="WUO68" s="362"/>
      <c r="WUP68" s="362"/>
      <c r="WUQ68" s="362"/>
      <c r="WUR68" s="362"/>
      <c r="WUS68" s="362"/>
      <c r="WUT68" s="362"/>
      <c r="WUU68" s="362"/>
      <c r="WUV68" s="362"/>
      <c r="WUW68" s="362"/>
      <c r="WUX68" s="362"/>
      <c r="WUY68" s="362"/>
      <c r="WUZ68" s="362"/>
      <c r="WVA68" s="362"/>
      <c r="WVB68" s="362"/>
      <c r="WVC68" s="362"/>
      <c r="WVD68" s="362"/>
      <c r="WVE68" s="362"/>
      <c r="WVF68" s="362"/>
      <c r="WVG68" s="362"/>
      <c r="WVH68" s="362"/>
      <c r="WVI68" s="362"/>
      <c r="WVJ68" s="362"/>
      <c r="WVK68" s="362"/>
      <c r="WVL68" s="362"/>
      <c r="WVM68" s="362"/>
      <c r="WVN68" s="362"/>
      <c r="WVO68" s="362"/>
      <c r="WVP68" s="362"/>
      <c r="WVQ68" s="362"/>
      <c r="WVR68" s="362"/>
      <c r="WVS68" s="362"/>
      <c r="WVT68" s="362"/>
      <c r="WVU68" s="362"/>
      <c r="WVV68" s="362"/>
      <c r="WVW68" s="362"/>
      <c r="WVX68" s="362"/>
      <c r="WVY68" s="362"/>
      <c r="WVZ68" s="362"/>
      <c r="WWA68" s="362"/>
      <c r="WWB68" s="362"/>
      <c r="WWC68" s="362"/>
      <c r="WWD68" s="362"/>
      <c r="WWE68" s="362"/>
      <c r="WWF68" s="362"/>
      <c r="WWG68" s="362"/>
      <c r="WWH68" s="362"/>
      <c r="WWI68" s="362"/>
      <c r="WWJ68" s="362"/>
      <c r="WWK68" s="362"/>
      <c r="WWL68" s="362"/>
      <c r="WWM68" s="362"/>
      <c r="WWN68" s="362"/>
      <c r="WWO68" s="362"/>
      <c r="WWP68" s="362"/>
      <c r="WWQ68" s="362"/>
      <c r="WWR68" s="362"/>
      <c r="WWS68" s="362"/>
      <c r="WWT68" s="362"/>
      <c r="WWU68" s="362"/>
      <c r="WWV68" s="362"/>
      <c r="WWW68" s="362"/>
      <c r="WWX68" s="362"/>
      <c r="WWY68" s="362"/>
      <c r="WWZ68" s="362"/>
      <c r="WXA68" s="362"/>
      <c r="WXB68" s="362"/>
      <c r="WXC68" s="362"/>
      <c r="WXD68" s="362"/>
      <c r="WXE68" s="362"/>
      <c r="WXF68" s="362"/>
      <c r="WXG68" s="362"/>
      <c r="WXH68" s="362"/>
      <c r="WXI68" s="362"/>
      <c r="WXJ68" s="362"/>
      <c r="WXK68" s="362"/>
      <c r="WXL68" s="362"/>
      <c r="WXM68" s="362"/>
      <c r="WXN68" s="362"/>
      <c r="WXO68" s="362"/>
      <c r="WXP68" s="362"/>
      <c r="WXQ68" s="362"/>
      <c r="WXR68" s="362"/>
      <c r="WXS68" s="362"/>
      <c r="WXT68" s="362"/>
      <c r="WXU68" s="362"/>
      <c r="WXV68" s="362"/>
      <c r="WXW68" s="362"/>
      <c r="WXX68" s="362"/>
      <c r="WXY68" s="362"/>
      <c r="WXZ68" s="362"/>
      <c r="WYA68" s="362"/>
      <c r="WYB68" s="362"/>
      <c r="WYC68" s="362"/>
      <c r="WYD68" s="362"/>
      <c r="WYE68" s="362"/>
      <c r="WYF68" s="362"/>
      <c r="WYG68" s="362"/>
      <c r="WYH68" s="362"/>
      <c r="WYI68" s="362"/>
      <c r="WYJ68" s="362"/>
      <c r="WYK68" s="362"/>
      <c r="WYL68" s="362"/>
      <c r="WYM68" s="362"/>
      <c r="WYN68" s="362"/>
      <c r="WYO68" s="362"/>
      <c r="WYP68" s="362"/>
      <c r="WYQ68" s="362"/>
      <c r="WYR68" s="362"/>
      <c r="WYS68" s="362"/>
      <c r="WYT68" s="362"/>
      <c r="WYU68" s="362"/>
      <c r="WYV68" s="362"/>
      <c r="WYW68" s="362"/>
      <c r="WYX68" s="362"/>
      <c r="WYY68" s="362"/>
      <c r="WYZ68" s="362"/>
      <c r="WZA68" s="362"/>
      <c r="WZB68" s="362"/>
      <c r="WZC68" s="362"/>
      <c r="WZD68" s="362"/>
      <c r="WZE68" s="362"/>
      <c r="WZF68" s="362"/>
      <c r="WZG68" s="362"/>
      <c r="WZH68" s="362"/>
      <c r="WZI68" s="362"/>
      <c r="WZJ68" s="362"/>
      <c r="WZK68" s="362"/>
      <c r="WZL68" s="362"/>
      <c r="WZM68" s="362"/>
      <c r="WZN68" s="362"/>
      <c r="WZO68" s="362"/>
      <c r="WZP68" s="362"/>
      <c r="WZQ68" s="362"/>
      <c r="WZR68" s="362"/>
      <c r="WZS68" s="362"/>
      <c r="WZT68" s="362"/>
      <c r="WZU68" s="362"/>
      <c r="WZV68" s="362"/>
      <c r="WZW68" s="362"/>
      <c r="WZX68" s="362"/>
      <c r="WZY68" s="362"/>
      <c r="WZZ68" s="362"/>
      <c r="XAA68" s="362"/>
      <c r="XAB68" s="362"/>
      <c r="XAC68" s="362"/>
      <c r="XAD68" s="362"/>
      <c r="XAE68" s="362"/>
      <c r="XAF68" s="362"/>
      <c r="XAG68" s="362"/>
      <c r="XAH68" s="362"/>
      <c r="XAI68" s="362"/>
      <c r="XAJ68" s="362"/>
      <c r="XAK68" s="362"/>
      <c r="XAL68" s="362"/>
      <c r="XAM68" s="362"/>
      <c r="XAN68" s="362"/>
      <c r="XAO68" s="362"/>
      <c r="XAP68" s="362"/>
      <c r="XAQ68" s="362"/>
      <c r="XAR68" s="362"/>
      <c r="XAS68" s="362"/>
      <c r="XAT68" s="362"/>
      <c r="XAU68" s="362"/>
      <c r="XAV68" s="362"/>
      <c r="XAW68" s="362"/>
      <c r="XAX68" s="362"/>
      <c r="XAY68" s="362"/>
      <c r="XAZ68" s="362"/>
      <c r="XBA68" s="362"/>
      <c r="XBB68" s="362"/>
      <c r="XBC68" s="362"/>
      <c r="XBD68" s="362"/>
      <c r="XBE68" s="362"/>
      <c r="XBF68" s="362"/>
      <c r="XBG68" s="362"/>
      <c r="XBH68" s="362"/>
      <c r="XBI68" s="362"/>
      <c r="XBJ68" s="362"/>
      <c r="XBK68" s="362"/>
      <c r="XBL68" s="362"/>
      <c r="XBM68" s="362"/>
      <c r="XBN68" s="362"/>
      <c r="XBO68" s="362"/>
      <c r="XBP68" s="362"/>
      <c r="XBQ68" s="362"/>
      <c r="XBR68" s="362"/>
      <c r="XBS68" s="362"/>
      <c r="XBT68" s="362"/>
      <c r="XBU68" s="362"/>
      <c r="XBV68" s="362"/>
      <c r="XBW68" s="362"/>
      <c r="XBX68" s="362"/>
      <c r="XBY68" s="362"/>
      <c r="XBZ68" s="362"/>
      <c r="XCA68" s="362"/>
      <c r="XCB68" s="362"/>
      <c r="XCC68" s="362"/>
      <c r="XCD68" s="362"/>
      <c r="XCE68" s="362"/>
      <c r="XCF68" s="362"/>
      <c r="XCG68" s="362"/>
      <c r="XCH68" s="362"/>
      <c r="XCI68" s="362"/>
      <c r="XCJ68" s="362"/>
      <c r="XCK68" s="362"/>
      <c r="XCL68" s="362"/>
      <c r="XCM68" s="362"/>
      <c r="XCN68" s="362"/>
      <c r="XCO68" s="362"/>
      <c r="XCP68" s="362"/>
      <c r="XCQ68" s="362"/>
      <c r="XCR68" s="362"/>
      <c r="XCS68" s="362"/>
      <c r="XCT68" s="362"/>
      <c r="XCU68" s="362"/>
      <c r="XCV68" s="362"/>
      <c r="XCW68" s="362"/>
      <c r="XCX68" s="362"/>
      <c r="XCY68" s="362"/>
      <c r="XCZ68" s="362"/>
      <c r="XDA68" s="362"/>
      <c r="XDB68" s="362"/>
      <c r="XDC68" s="362"/>
      <c r="XDD68" s="362"/>
      <c r="XDE68" s="362"/>
      <c r="XDF68" s="362"/>
      <c r="XDG68" s="362"/>
      <c r="XDH68" s="362"/>
      <c r="XDI68" s="362"/>
      <c r="XDJ68" s="362"/>
      <c r="XDK68" s="362"/>
      <c r="XDL68" s="362"/>
      <c r="XDM68" s="362"/>
      <c r="XDN68" s="362"/>
      <c r="XDO68" s="362"/>
      <c r="XDP68" s="362"/>
      <c r="XDQ68" s="362"/>
      <c r="XDR68" s="362"/>
      <c r="XDS68" s="362"/>
      <c r="XDT68" s="362"/>
      <c r="XDU68" s="362"/>
      <c r="XDV68" s="362"/>
      <c r="XDW68" s="362"/>
      <c r="XDX68" s="362"/>
      <c r="XDY68" s="362"/>
      <c r="XDZ68" s="362"/>
      <c r="XEA68" s="362"/>
      <c r="XEB68" s="362"/>
      <c r="XEC68" s="362"/>
      <c r="XED68" s="362"/>
      <c r="XEE68" s="362"/>
      <c r="XEF68" s="362"/>
      <c r="XEG68" s="362"/>
      <c r="XEH68" s="362"/>
      <c r="XEI68" s="362"/>
      <c r="XEJ68" s="362"/>
      <c r="XEK68" s="362"/>
      <c r="XEL68" s="362"/>
      <c r="XEM68" s="362"/>
      <c r="XEN68" s="362"/>
      <c r="XEO68" s="362"/>
      <c r="XEP68" s="362"/>
    </row>
    <row r="69" spans="1:16370" s="138" customFormat="1" x14ac:dyDescent="0.2">
      <c r="A69" s="38"/>
      <c r="B69" s="175"/>
      <c r="C69" s="260"/>
      <c r="D69" s="71"/>
      <c r="E69" s="40"/>
      <c r="F69" s="464"/>
      <c r="G69" s="40"/>
      <c r="H69" s="100"/>
      <c r="I69" s="97"/>
      <c r="J69" s="97"/>
      <c r="K69" s="97"/>
      <c r="L69" s="78"/>
      <c r="M69" s="51"/>
      <c r="N69" s="166"/>
      <c r="O69" s="166"/>
      <c r="P69" s="346"/>
      <c r="Q69" s="269">
        <f>1</f>
        <v>1</v>
      </c>
      <c r="R69" s="132"/>
      <c r="T69" s="140"/>
      <c r="U69" s="139"/>
      <c r="X69" s="268"/>
      <c r="Y69" s="268" t="str">
        <f t="shared" si="7"/>
        <v/>
      </c>
      <c r="Z69" s="132" t="str">
        <f t="shared" ref="Z69:Z132" si="10">IF(T69="yes",Y69,"")</f>
        <v/>
      </c>
    </row>
    <row r="70" spans="1:16370" s="138" customFormat="1" ht="204" x14ac:dyDescent="0.2">
      <c r="A70" s="38">
        <f>A66+1</f>
        <v>20</v>
      </c>
      <c r="B70" s="177" t="s">
        <v>160</v>
      </c>
      <c r="C70" s="137" t="s">
        <v>160</v>
      </c>
      <c r="D70" s="157" t="s">
        <v>883</v>
      </c>
      <c r="E70" s="143">
        <f>LEN(D70)</f>
        <v>297</v>
      </c>
      <c r="F70" s="157" t="s">
        <v>1219</v>
      </c>
      <c r="G70" s="143">
        <f>LEN(F72)</f>
        <v>1289</v>
      </c>
      <c r="H70" s="152" t="s">
        <v>30</v>
      </c>
      <c r="I70" s="143" t="s">
        <v>19</v>
      </c>
      <c r="J70" s="143" t="s">
        <v>19</v>
      </c>
      <c r="K70" s="143" t="s">
        <v>31</v>
      </c>
      <c r="L70" s="167" t="s">
        <v>161</v>
      </c>
      <c r="M70" s="212" t="s">
        <v>19</v>
      </c>
      <c r="N70" s="167" t="s">
        <v>710</v>
      </c>
      <c r="O70" s="51"/>
      <c r="P70" s="2"/>
      <c r="Q70" s="264">
        <f>1</f>
        <v>1</v>
      </c>
      <c r="R70" s="132"/>
      <c r="T70" s="444" t="s">
        <v>26</v>
      </c>
      <c r="U70" s="139"/>
      <c r="X70" s="267">
        <v>22.126214981079102</v>
      </c>
      <c r="Y70" s="267">
        <f t="shared" si="7"/>
        <v>22.126214981079102</v>
      </c>
      <c r="Z70" s="132">
        <f t="shared" si="10"/>
        <v>22.126214981079102</v>
      </c>
    </row>
    <row r="71" spans="1:16370" s="138" customFormat="1" x14ac:dyDescent="0.2">
      <c r="A71" s="38"/>
      <c r="B71" s="175"/>
      <c r="C71" s="91"/>
      <c r="D71" s="173"/>
      <c r="E71" s="40"/>
      <c r="F71" s="40"/>
      <c r="G71" s="40"/>
      <c r="H71" s="92"/>
      <c r="I71" s="40"/>
      <c r="J71" s="40"/>
      <c r="K71" s="40"/>
      <c r="L71" s="82"/>
      <c r="M71" s="51"/>
      <c r="N71" s="82"/>
      <c r="O71" s="82"/>
      <c r="P71" s="2"/>
      <c r="Q71" s="269">
        <f>1</f>
        <v>1</v>
      </c>
      <c r="R71" s="132"/>
      <c r="T71" s="140"/>
      <c r="U71" s="139"/>
      <c r="X71" s="268"/>
      <c r="Y71" s="268" t="str">
        <f t="shared" ref="Y71:Y102" si="11">IF(X71="","",X71*Q71)</f>
        <v/>
      </c>
      <c r="Z71" s="132" t="str">
        <f t="shared" si="10"/>
        <v/>
      </c>
    </row>
    <row r="72" spans="1:16370" s="138" customFormat="1" ht="408" customHeight="1" x14ac:dyDescent="0.2">
      <c r="A72" s="38">
        <f>A70+1</f>
        <v>21</v>
      </c>
      <c r="B72" s="177" t="s">
        <v>162</v>
      </c>
      <c r="C72" s="137" t="s">
        <v>162</v>
      </c>
      <c r="D72" s="157" t="s">
        <v>900</v>
      </c>
      <c r="E72" s="143">
        <f>LEN(D72)</f>
        <v>1218</v>
      </c>
      <c r="F72" s="457" t="s">
        <v>1302</v>
      </c>
      <c r="G72" s="143" t="e">
        <f>LEN(#REF!)</f>
        <v>#REF!</v>
      </c>
      <c r="H72" s="152" t="s">
        <v>30</v>
      </c>
      <c r="I72" s="143" t="s">
        <v>19</v>
      </c>
      <c r="J72" s="143" t="s">
        <v>19</v>
      </c>
      <c r="K72" s="143" t="s">
        <v>796</v>
      </c>
      <c r="L72" s="134" t="s">
        <v>953</v>
      </c>
      <c r="M72" s="212" t="s">
        <v>19</v>
      </c>
      <c r="N72" s="141" t="s">
        <v>954</v>
      </c>
      <c r="O72" s="43"/>
      <c r="P72" s="2"/>
      <c r="Q72" s="264">
        <f>1</f>
        <v>1</v>
      </c>
      <c r="R72" s="132"/>
      <c r="T72" s="444" t="s">
        <v>26</v>
      </c>
      <c r="U72" s="139"/>
      <c r="X72" s="267">
        <v>18.710653305053711</v>
      </c>
      <c r="Y72" s="267">
        <f t="shared" si="11"/>
        <v>18.710653305053711</v>
      </c>
      <c r="Z72" s="132">
        <f t="shared" si="10"/>
        <v>18.710653305053711</v>
      </c>
    </row>
    <row r="73" spans="1:16370" s="225" customFormat="1" ht="182.25" customHeight="1" x14ac:dyDescent="0.2">
      <c r="A73" s="38"/>
      <c r="B73" s="227" t="s">
        <v>802</v>
      </c>
      <c r="C73" s="238" t="s">
        <v>803</v>
      </c>
      <c r="D73" s="142" t="s">
        <v>797</v>
      </c>
      <c r="E73" s="135">
        <f>LEN(D73)</f>
        <v>143</v>
      </c>
      <c r="F73" s="426" t="s">
        <v>1220</v>
      </c>
      <c r="G73" s="135" t="e">
        <f>LEN(#REF!)</f>
        <v>#REF!</v>
      </c>
      <c r="H73" s="137" t="s">
        <v>30</v>
      </c>
      <c r="I73" s="135" t="s">
        <v>19</v>
      </c>
      <c r="J73" s="135" t="s">
        <v>19</v>
      </c>
      <c r="K73" s="135" t="s">
        <v>31</v>
      </c>
      <c r="L73" s="134" t="s">
        <v>163</v>
      </c>
      <c r="M73" s="212" t="s">
        <v>19</v>
      </c>
      <c r="N73" s="141" t="s">
        <v>808</v>
      </c>
      <c r="O73" s="43"/>
      <c r="P73" s="42"/>
      <c r="Q73" s="395">
        <f>1</f>
        <v>1</v>
      </c>
      <c r="R73" s="133"/>
      <c r="T73" s="448" t="s">
        <v>26</v>
      </c>
      <c r="U73" s="219"/>
      <c r="X73" s="271">
        <v>8</v>
      </c>
      <c r="Y73" s="271">
        <f t="shared" si="11"/>
        <v>8</v>
      </c>
      <c r="Z73" s="133">
        <f>IF(T73="yes",Y73,"")</f>
        <v>8</v>
      </c>
    </row>
    <row r="74" spans="1:16370" s="225" customFormat="1" ht="182.25" customHeight="1" x14ac:dyDescent="0.2">
      <c r="A74" s="38"/>
      <c r="B74" s="227" t="s">
        <v>804</v>
      </c>
      <c r="C74" s="238" t="s">
        <v>805</v>
      </c>
      <c r="D74" s="142" t="s">
        <v>952</v>
      </c>
      <c r="E74" s="135">
        <f>LEN(D74)</f>
        <v>170</v>
      </c>
      <c r="F74" s="426" t="s">
        <v>1216</v>
      </c>
      <c r="G74" s="135">
        <f>LEN(F78)</f>
        <v>297</v>
      </c>
      <c r="H74" s="137" t="s">
        <v>30</v>
      </c>
      <c r="I74" s="135" t="s">
        <v>19</v>
      </c>
      <c r="J74" s="135" t="s">
        <v>19</v>
      </c>
      <c r="K74" s="135" t="s">
        <v>31</v>
      </c>
      <c r="L74" s="134" t="s">
        <v>163</v>
      </c>
      <c r="M74" s="212" t="s">
        <v>19</v>
      </c>
      <c r="N74" s="141" t="s">
        <v>809</v>
      </c>
      <c r="O74" s="43"/>
      <c r="P74" s="42"/>
      <c r="Q74" s="395">
        <f>1</f>
        <v>1</v>
      </c>
      <c r="R74" s="133"/>
      <c r="T74" s="448" t="s">
        <v>26</v>
      </c>
      <c r="U74" s="219"/>
      <c r="X74" s="271">
        <v>8</v>
      </c>
      <c r="Y74" s="271">
        <f t="shared" si="11"/>
        <v>8</v>
      </c>
      <c r="Z74" s="133">
        <f>IF(T74="yes",Y74,"")</f>
        <v>8</v>
      </c>
    </row>
    <row r="75" spans="1:16370" s="138" customFormat="1" ht="182.25" customHeight="1" x14ac:dyDescent="0.2">
      <c r="A75" s="38"/>
      <c r="B75" s="227" t="s">
        <v>806</v>
      </c>
      <c r="C75" s="238" t="s">
        <v>807</v>
      </c>
      <c r="D75" s="142" t="s">
        <v>798</v>
      </c>
      <c r="E75" s="135">
        <f>LEN(D75)</f>
        <v>176</v>
      </c>
      <c r="F75" s="426" t="s">
        <v>1221</v>
      </c>
      <c r="G75" s="135">
        <f>LEN(F79)</f>
        <v>214</v>
      </c>
      <c r="H75" s="137" t="s">
        <v>30</v>
      </c>
      <c r="I75" s="135" t="s">
        <v>19</v>
      </c>
      <c r="J75" s="135" t="s">
        <v>19</v>
      </c>
      <c r="K75" s="135" t="s">
        <v>31</v>
      </c>
      <c r="L75" s="134" t="s">
        <v>163</v>
      </c>
      <c r="M75" s="212" t="s">
        <v>19</v>
      </c>
      <c r="N75" s="141" t="s">
        <v>810</v>
      </c>
      <c r="O75" s="43"/>
      <c r="P75" s="42"/>
      <c r="Q75" s="264">
        <f>1</f>
        <v>1</v>
      </c>
      <c r="R75" s="132"/>
      <c r="T75" s="444" t="s">
        <v>26</v>
      </c>
      <c r="U75" s="139"/>
      <c r="X75" s="267">
        <v>8</v>
      </c>
      <c r="Y75" s="267">
        <f t="shared" si="11"/>
        <v>8</v>
      </c>
      <c r="Z75" s="132">
        <f>IF(T75="yes",Y75,"")</f>
        <v>8</v>
      </c>
    </row>
    <row r="76" spans="1:16370" s="138" customFormat="1" x14ac:dyDescent="0.2">
      <c r="A76" s="90"/>
      <c r="B76" s="255"/>
      <c r="C76" s="260"/>
      <c r="D76" s="261"/>
      <c r="E76" s="97"/>
      <c r="G76" s="97"/>
      <c r="H76" s="91"/>
      <c r="I76" s="97"/>
      <c r="J76" s="97"/>
      <c r="K76" s="97"/>
      <c r="L76" s="78"/>
      <c r="M76" s="51"/>
      <c r="N76" s="166"/>
      <c r="O76" s="166"/>
      <c r="P76" s="42"/>
      <c r="Q76" s="269">
        <f>1</f>
        <v>1</v>
      </c>
      <c r="R76" s="132"/>
      <c r="T76" s="140"/>
      <c r="U76" s="139"/>
      <c r="X76" s="268"/>
      <c r="Y76" s="268" t="str">
        <f t="shared" si="11"/>
        <v/>
      </c>
      <c r="Z76" s="132" t="str">
        <f t="shared" si="10"/>
        <v/>
      </c>
    </row>
    <row r="77" spans="1:16370" s="138" customFormat="1" ht="136" x14ac:dyDescent="0.2">
      <c r="A77" s="6">
        <v>19</v>
      </c>
      <c r="B77" s="228" t="s">
        <v>165</v>
      </c>
      <c r="C77" s="9" t="s">
        <v>165</v>
      </c>
      <c r="D77" s="14" t="s">
        <v>958</v>
      </c>
      <c r="E77" s="12">
        <f>LEN(D77)</f>
        <v>239</v>
      </c>
      <c r="F77" s="465" t="s">
        <v>1093</v>
      </c>
      <c r="G77" s="12">
        <f>LEN(F81)</f>
        <v>0</v>
      </c>
      <c r="H77" s="12" t="s">
        <v>92</v>
      </c>
      <c r="I77" s="12" t="s">
        <v>19</v>
      </c>
      <c r="J77" s="12" t="s">
        <v>19</v>
      </c>
      <c r="K77" s="12" t="s">
        <v>22</v>
      </c>
      <c r="L77" s="23" t="s">
        <v>677</v>
      </c>
      <c r="M77" s="72" t="s">
        <v>19</v>
      </c>
      <c r="N77" s="24" t="s">
        <v>674</v>
      </c>
      <c r="O77" s="24"/>
      <c r="P77" s="614" t="s">
        <v>157</v>
      </c>
      <c r="Q77" s="269">
        <f>1</f>
        <v>1</v>
      </c>
      <c r="R77" s="132"/>
      <c r="T77" s="140" t="s">
        <v>18</v>
      </c>
      <c r="U77" s="139"/>
      <c r="X77" s="268">
        <v>23.200380325317383</v>
      </c>
      <c r="Y77" s="268">
        <f t="shared" si="11"/>
        <v>23.200380325317383</v>
      </c>
      <c r="Z77" s="132" t="str">
        <f t="shared" si="10"/>
        <v/>
      </c>
    </row>
    <row r="78" spans="1:16370" s="138" customFormat="1" ht="119" x14ac:dyDescent="0.2">
      <c r="A78" s="6" t="e">
        <f>#REF!+1</f>
        <v>#REF!</v>
      </c>
      <c r="B78" s="228" t="s">
        <v>166</v>
      </c>
      <c r="C78" s="237" t="s">
        <v>166</v>
      </c>
      <c r="D78" s="14" t="s">
        <v>159</v>
      </c>
      <c r="E78" s="12">
        <f>LEN(D78)</f>
        <v>253</v>
      </c>
      <c r="F78" s="466" t="s">
        <v>1094</v>
      </c>
      <c r="G78" s="12">
        <f>LEN(F82)</f>
        <v>316</v>
      </c>
      <c r="H78" s="25" t="s">
        <v>30</v>
      </c>
      <c r="I78" s="8" t="s">
        <v>19</v>
      </c>
      <c r="J78" s="8" t="s">
        <v>19</v>
      </c>
      <c r="K78" s="8" t="s">
        <v>31</v>
      </c>
      <c r="L78" s="26" t="s">
        <v>678</v>
      </c>
      <c r="M78" s="72" t="s">
        <v>19</v>
      </c>
      <c r="N78" s="26" t="s">
        <v>675</v>
      </c>
      <c r="O78" s="26"/>
      <c r="P78" s="615"/>
      <c r="Q78" s="269">
        <f>1</f>
        <v>1</v>
      </c>
      <c r="R78" s="132"/>
      <c r="T78" s="140" t="s">
        <v>18</v>
      </c>
      <c r="U78" s="139"/>
      <c r="X78" s="268">
        <v>1.9277389049530029</v>
      </c>
      <c r="Y78" s="268">
        <f t="shared" si="11"/>
        <v>1.9277389049530029</v>
      </c>
      <c r="Z78" s="132" t="str">
        <f t="shared" si="10"/>
        <v/>
      </c>
    </row>
    <row r="79" spans="1:16370" s="138" customFormat="1" ht="170" x14ac:dyDescent="0.2">
      <c r="A79" s="49">
        <v>18</v>
      </c>
      <c r="B79" s="379" t="s">
        <v>164</v>
      </c>
      <c r="C79" s="380" t="s">
        <v>164</v>
      </c>
      <c r="D79" s="48" t="s">
        <v>824</v>
      </c>
      <c r="E79" s="8">
        <f>LEN(D79)</f>
        <v>181</v>
      </c>
      <c r="F79" s="466" t="s">
        <v>1098</v>
      </c>
      <c r="G79" s="8">
        <f>LEN(F83)</f>
        <v>0</v>
      </c>
      <c r="H79" s="9" t="s">
        <v>30</v>
      </c>
      <c r="I79" s="8" t="s">
        <v>19</v>
      </c>
      <c r="J79" s="8" t="s">
        <v>19</v>
      </c>
      <c r="K79" s="8" t="s">
        <v>31</v>
      </c>
      <c r="L79" s="26" t="s">
        <v>711</v>
      </c>
      <c r="M79" s="72" t="s">
        <v>19</v>
      </c>
      <c r="N79" s="364" t="s">
        <v>713</v>
      </c>
      <c r="O79" s="365"/>
      <c r="P79" s="42"/>
      <c r="Q79" s="269">
        <f>1</f>
        <v>1</v>
      </c>
      <c r="R79" s="132"/>
      <c r="T79" s="140" t="s">
        <v>18</v>
      </c>
      <c r="U79" s="139"/>
      <c r="X79" s="268">
        <v>4.7874016761779785</v>
      </c>
      <c r="Y79" s="268">
        <f t="shared" si="11"/>
        <v>4.7874016761779785</v>
      </c>
      <c r="Z79" s="132" t="str">
        <f t="shared" si="10"/>
        <v/>
      </c>
    </row>
    <row r="80" spans="1:16370" s="138" customFormat="1" ht="153" x14ac:dyDescent="0.2">
      <c r="A80" s="363"/>
      <c r="B80" s="228" t="s">
        <v>673</v>
      </c>
      <c r="C80" s="237" t="s">
        <v>673</v>
      </c>
      <c r="D80" s="29" t="s">
        <v>899</v>
      </c>
      <c r="E80" s="16">
        <f>LEN(D80)</f>
        <v>215</v>
      </c>
      <c r="F80" s="465" t="s">
        <v>1095</v>
      </c>
      <c r="G80" s="16">
        <f>LEN(F84)</f>
        <v>1290</v>
      </c>
      <c r="H80" s="28" t="s">
        <v>30</v>
      </c>
      <c r="I80" s="12" t="s">
        <v>19</v>
      </c>
      <c r="J80" s="12" t="s">
        <v>19</v>
      </c>
      <c r="K80" s="12" t="s">
        <v>31</v>
      </c>
      <c r="L80" s="381" t="s">
        <v>712</v>
      </c>
      <c r="M80" s="72" t="s">
        <v>19</v>
      </c>
      <c r="N80" s="378" t="s">
        <v>714</v>
      </c>
      <c r="O80" s="366"/>
      <c r="P80" s="2"/>
      <c r="Q80" s="269">
        <f>1</f>
        <v>1</v>
      </c>
      <c r="R80" s="132"/>
      <c r="S80" s="362"/>
      <c r="T80" s="140" t="s">
        <v>18</v>
      </c>
      <c r="U80" s="139"/>
      <c r="V80" s="362"/>
      <c r="W80" s="362"/>
      <c r="X80" s="268">
        <v>20.918367385864258</v>
      </c>
      <c r="Y80" s="268">
        <f t="shared" si="11"/>
        <v>20.918367385864258</v>
      </c>
      <c r="Z80" s="132" t="str">
        <f t="shared" si="10"/>
        <v/>
      </c>
      <c r="AA80" s="362"/>
      <c r="AB80" s="362"/>
      <c r="AC80" s="362"/>
      <c r="AD80" s="362"/>
      <c r="AE80" s="362"/>
      <c r="AF80" s="362"/>
      <c r="AG80" s="362"/>
      <c r="AH80" s="362"/>
      <c r="AI80" s="362"/>
      <c r="AJ80" s="362"/>
      <c r="AK80" s="362"/>
      <c r="AL80" s="362"/>
      <c r="AM80" s="362"/>
      <c r="AN80" s="362"/>
      <c r="AO80" s="362"/>
      <c r="AP80" s="362"/>
      <c r="AQ80" s="362"/>
      <c r="AR80" s="362"/>
      <c r="AS80" s="362"/>
      <c r="AT80" s="362"/>
      <c r="AU80" s="362"/>
      <c r="AV80" s="362"/>
      <c r="AW80" s="362"/>
      <c r="AX80" s="362"/>
      <c r="AY80" s="362"/>
      <c r="AZ80" s="362"/>
      <c r="BA80" s="362"/>
      <c r="BB80" s="362"/>
      <c r="BC80" s="362"/>
      <c r="BD80" s="362"/>
      <c r="BE80" s="362"/>
      <c r="BF80" s="362"/>
      <c r="BG80" s="362"/>
      <c r="BH80" s="362"/>
      <c r="BI80" s="362"/>
      <c r="BJ80" s="362"/>
      <c r="BK80" s="362"/>
      <c r="BL80" s="362"/>
      <c r="BM80" s="362"/>
      <c r="BN80" s="362"/>
      <c r="BO80" s="362"/>
      <c r="BP80" s="362"/>
      <c r="BQ80" s="362"/>
      <c r="BR80" s="362"/>
      <c r="BS80" s="362"/>
      <c r="BT80" s="362"/>
      <c r="BU80" s="362"/>
      <c r="BV80" s="362"/>
      <c r="BW80" s="362"/>
      <c r="BX80" s="362"/>
      <c r="BY80" s="362"/>
      <c r="BZ80" s="362"/>
      <c r="CA80" s="362"/>
      <c r="CB80" s="362"/>
      <c r="CC80" s="362"/>
      <c r="CD80" s="362"/>
      <c r="CE80" s="362"/>
      <c r="CF80" s="362"/>
      <c r="CG80" s="362"/>
      <c r="CH80" s="362"/>
      <c r="CI80" s="362"/>
      <c r="CJ80" s="362"/>
      <c r="CK80" s="362"/>
      <c r="CL80" s="362"/>
      <c r="CM80" s="362"/>
      <c r="CN80" s="362"/>
      <c r="CO80" s="362"/>
      <c r="CP80" s="362"/>
      <c r="CQ80" s="362"/>
      <c r="CR80" s="362"/>
      <c r="CS80" s="362"/>
      <c r="CT80" s="362"/>
      <c r="CU80" s="362"/>
      <c r="CV80" s="362"/>
      <c r="CW80" s="362"/>
      <c r="CX80" s="362"/>
      <c r="CY80" s="362"/>
      <c r="CZ80" s="362"/>
      <c r="DA80" s="362"/>
      <c r="DB80" s="362"/>
      <c r="DC80" s="362"/>
      <c r="DD80" s="362"/>
      <c r="DE80" s="362"/>
      <c r="DF80" s="362"/>
      <c r="DG80" s="362"/>
      <c r="DH80" s="362"/>
      <c r="DI80" s="362"/>
      <c r="DJ80" s="362"/>
      <c r="DK80" s="362"/>
      <c r="DL80" s="362"/>
      <c r="DM80" s="362"/>
      <c r="DN80" s="362"/>
      <c r="DO80" s="362"/>
      <c r="DP80" s="362"/>
      <c r="DQ80" s="362"/>
      <c r="DR80" s="362"/>
      <c r="DS80" s="362"/>
      <c r="DT80" s="362"/>
      <c r="DU80" s="362"/>
      <c r="DV80" s="362"/>
      <c r="DW80" s="362"/>
      <c r="DX80" s="362"/>
      <c r="DY80" s="362"/>
      <c r="DZ80" s="362"/>
      <c r="EA80" s="362"/>
      <c r="EB80" s="362"/>
      <c r="EC80" s="362"/>
      <c r="ED80" s="362"/>
      <c r="EE80" s="362"/>
      <c r="EF80" s="362"/>
      <c r="EG80" s="362"/>
      <c r="EH80" s="362"/>
      <c r="EI80" s="362"/>
      <c r="EJ80" s="362"/>
      <c r="EK80" s="362"/>
      <c r="EL80" s="362"/>
      <c r="EM80" s="362"/>
      <c r="EN80" s="362"/>
      <c r="EO80" s="362"/>
      <c r="EP80" s="362"/>
      <c r="EQ80" s="362"/>
      <c r="ER80" s="362"/>
      <c r="ES80" s="362"/>
      <c r="ET80" s="362"/>
      <c r="EU80" s="362"/>
      <c r="EV80" s="362"/>
      <c r="EW80" s="362"/>
      <c r="EX80" s="362"/>
      <c r="EY80" s="362"/>
      <c r="EZ80" s="362"/>
      <c r="FA80" s="362"/>
      <c r="FB80" s="362"/>
      <c r="FC80" s="362"/>
      <c r="FD80" s="362"/>
      <c r="FE80" s="362"/>
      <c r="FF80" s="362"/>
      <c r="FG80" s="362"/>
      <c r="FH80" s="362"/>
      <c r="FI80" s="362"/>
      <c r="FJ80" s="362"/>
      <c r="FK80" s="362"/>
      <c r="FL80" s="362"/>
      <c r="FM80" s="362"/>
      <c r="FN80" s="362"/>
      <c r="FO80" s="362"/>
      <c r="FP80" s="362"/>
      <c r="FQ80" s="362"/>
      <c r="FR80" s="362"/>
      <c r="FS80" s="362"/>
      <c r="FT80" s="362"/>
      <c r="FU80" s="362"/>
      <c r="FV80" s="362"/>
      <c r="FW80" s="362"/>
      <c r="FX80" s="362"/>
      <c r="FY80" s="362"/>
      <c r="FZ80" s="362"/>
      <c r="GA80" s="362"/>
      <c r="GB80" s="362"/>
      <c r="GC80" s="362"/>
      <c r="GD80" s="362"/>
      <c r="GE80" s="362"/>
      <c r="GF80" s="362"/>
      <c r="GG80" s="362"/>
      <c r="GH80" s="362"/>
      <c r="GI80" s="362"/>
      <c r="GJ80" s="362"/>
      <c r="GK80" s="362"/>
      <c r="GL80" s="362"/>
      <c r="GM80" s="362"/>
      <c r="GN80" s="362"/>
      <c r="GO80" s="362"/>
      <c r="GP80" s="362"/>
      <c r="GQ80" s="362"/>
      <c r="GR80" s="362"/>
      <c r="GS80" s="362"/>
      <c r="GT80" s="362"/>
      <c r="GU80" s="362"/>
      <c r="GV80" s="362"/>
      <c r="GW80" s="362"/>
      <c r="GX80" s="362"/>
      <c r="GY80" s="362"/>
      <c r="GZ80" s="362"/>
      <c r="HA80" s="362"/>
      <c r="HB80" s="362"/>
      <c r="HC80" s="362"/>
      <c r="HD80" s="362"/>
      <c r="HE80" s="362"/>
      <c r="HF80" s="362"/>
      <c r="HG80" s="362"/>
      <c r="HH80" s="362"/>
      <c r="HI80" s="362"/>
      <c r="HJ80" s="362"/>
      <c r="HK80" s="362"/>
      <c r="HL80" s="362"/>
      <c r="HM80" s="362"/>
      <c r="HN80" s="362"/>
      <c r="HO80" s="362"/>
      <c r="HP80" s="362"/>
      <c r="HQ80" s="362"/>
      <c r="HR80" s="362"/>
      <c r="HS80" s="362"/>
      <c r="HT80" s="362"/>
      <c r="HU80" s="362"/>
      <c r="HV80" s="362"/>
      <c r="HW80" s="362"/>
      <c r="HX80" s="362"/>
      <c r="HY80" s="362"/>
      <c r="HZ80" s="362"/>
      <c r="IA80" s="362"/>
      <c r="IB80" s="362"/>
      <c r="IC80" s="362"/>
      <c r="ID80" s="362"/>
      <c r="IE80" s="362"/>
      <c r="IF80" s="362"/>
      <c r="IG80" s="362"/>
      <c r="IH80" s="362"/>
      <c r="II80" s="362"/>
      <c r="IJ80" s="362"/>
      <c r="IK80" s="362"/>
      <c r="IL80" s="362"/>
      <c r="IM80" s="362"/>
      <c r="IN80" s="362"/>
      <c r="IO80" s="362"/>
      <c r="IP80" s="362"/>
      <c r="IQ80" s="362"/>
      <c r="IR80" s="362"/>
      <c r="IS80" s="362"/>
      <c r="IT80" s="362"/>
      <c r="IU80" s="362"/>
      <c r="IV80" s="362"/>
      <c r="IW80" s="362"/>
      <c r="IX80" s="362"/>
      <c r="IY80" s="362"/>
      <c r="IZ80" s="362"/>
      <c r="JA80" s="362"/>
      <c r="JB80" s="362"/>
      <c r="JC80" s="362"/>
      <c r="JD80" s="362"/>
      <c r="JE80" s="362"/>
      <c r="JF80" s="362"/>
      <c r="JG80" s="362"/>
      <c r="JH80" s="362"/>
      <c r="JI80" s="362"/>
      <c r="JJ80" s="362"/>
      <c r="JK80" s="362"/>
      <c r="JL80" s="362"/>
      <c r="JM80" s="362"/>
      <c r="JN80" s="362"/>
      <c r="JO80" s="362"/>
      <c r="JP80" s="362"/>
      <c r="JQ80" s="362"/>
      <c r="JR80" s="362"/>
      <c r="JS80" s="362"/>
      <c r="JT80" s="362"/>
      <c r="JU80" s="362"/>
      <c r="JV80" s="362"/>
      <c r="JW80" s="362"/>
      <c r="JX80" s="362"/>
      <c r="JY80" s="362"/>
      <c r="JZ80" s="362"/>
      <c r="KA80" s="362"/>
      <c r="KB80" s="362"/>
      <c r="KC80" s="362"/>
      <c r="KD80" s="362"/>
      <c r="KE80" s="362"/>
      <c r="KF80" s="362"/>
      <c r="KG80" s="362"/>
      <c r="KH80" s="362"/>
      <c r="KI80" s="362"/>
      <c r="KJ80" s="362"/>
      <c r="KK80" s="362"/>
      <c r="KL80" s="362"/>
      <c r="KM80" s="362"/>
      <c r="KN80" s="362"/>
      <c r="KO80" s="362"/>
      <c r="KP80" s="362"/>
      <c r="KQ80" s="362"/>
      <c r="KR80" s="362"/>
      <c r="KS80" s="362"/>
      <c r="KT80" s="362"/>
      <c r="KU80" s="362"/>
      <c r="KV80" s="362"/>
      <c r="KW80" s="362"/>
      <c r="KX80" s="362"/>
      <c r="KY80" s="362"/>
      <c r="KZ80" s="362"/>
      <c r="LA80" s="362"/>
      <c r="LB80" s="362"/>
      <c r="LC80" s="362"/>
      <c r="LD80" s="362"/>
      <c r="LE80" s="362"/>
      <c r="LF80" s="362"/>
      <c r="LG80" s="362"/>
      <c r="LH80" s="362"/>
      <c r="LI80" s="362"/>
      <c r="LJ80" s="362"/>
      <c r="LK80" s="362"/>
      <c r="LL80" s="362"/>
      <c r="LM80" s="362"/>
      <c r="LN80" s="362"/>
      <c r="LO80" s="362"/>
      <c r="LP80" s="362"/>
      <c r="LQ80" s="362"/>
      <c r="LR80" s="362"/>
      <c r="LS80" s="362"/>
      <c r="LT80" s="362"/>
      <c r="LU80" s="362"/>
      <c r="LV80" s="362"/>
      <c r="LW80" s="362"/>
      <c r="LX80" s="362"/>
      <c r="LY80" s="362"/>
      <c r="LZ80" s="362"/>
      <c r="MA80" s="362"/>
      <c r="MB80" s="362"/>
      <c r="MC80" s="362"/>
      <c r="MD80" s="362"/>
      <c r="ME80" s="362"/>
      <c r="MF80" s="362"/>
      <c r="MG80" s="362"/>
      <c r="MH80" s="362"/>
      <c r="MI80" s="362"/>
      <c r="MJ80" s="362"/>
      <c r="MK80" s="362"/>
      <c r="ML80" s="362"/>
      <c r="MM80" s="362"/>
      <c r="MN80" s="362"/>
      <c r="MO80" s="362"/>
      <c r="MP80" s="362"/>
      <c r="MQ80" s="362"/>
      <c r="MR80" s="362"/>
      <c r="MS80" s="362"/>
      <c r="MT80" s="362"/>
      <c r="MU80" s="362"/>
      <c r="MV80" s="362"/>
      <c r="MW80" s="362"/>
      <c r="MX80" s="362"/>
      <c r="MY80" s="362"/>
      <c r="MZ80" s="362"/>
      <c r="NA80" s="362"/>
      <c r="NB80" s="362"/>
      <c r="NC80" s="362"/>
      <c r="ND80" s="362"/>
      <c r="NE80" s="362"/>
      <c r="NF80" s="362"/>
      <c r="NG80" s="362"/>
      <c r="NH80" s="362"/>
      <c r="NI80" s="362"/>
      <c r="NJ80" s="362"/>
      <c r="NK80" s="362"/>
      <c r="NL80" s="362"/>
      <c r="NM80" s="362"/>
      <c r="NN80" s="362"/>
      <c r="NO80" s="362"/>
      <c r="NP80" s="362"/>
      <c r="NQ80" s="362"/>
      <c r="NR80" s="362"/>
      <c r="NS80" s="362"/>
      <c r="NT80" s="362"/>
      <c r="NU80" s="362"/>
      <c r="NV80" s="362"/>
      <c r="NW80" s="362"/>
      <c r="NX80" s="362"/>
      <c r="NY80" s="362"/>
      <c r="NZ80" s="362"/>
      <c r="OA80" s="362"/>
      <c r="OB80" s="362"/>
      <c r="OC80" s="362"/>
      <c r="OD80" s="362"/>
      <c r="OE80" s="362"/>
      <c r="OF80" s="362"/>
      <c r="OG80" s="362"/>
      <c r="OH80" s="362"/>
      <c r="OI80" s="362"/>
      <c r="OJ80" s="362"/>
      <c r="OK80" s="362"/>
      <c r="OL80" s="362"/>
      <c r="OM80" s="362"/>
      <c r="ON80" s="362"/>
      <c r="OO80" s="362"/>
      <c r="OP80" s="362"/>
      <c r="OQ80" s="362"/>
      <c r="OR80" s="362"/>
      <c r="OS80" s="362"/>
      <c r="OT80" s="362"/>
      <c r="OU80" s="362"/>
      <c r="OV80" s="362"/>
      <c r="OW80" s="362"/>
      <c r="OX80" s="362"/>
      <c r="OY80" s="362"/>
      <c r="OZ80" s="362"/>
      <c r="PA80" s="362"/>
      <c r="PB80" s="362"/>
      <c r="PC80" s="362"/>
      <c r="PD80" s="362"/>
      <c r="PE80" s="362"/>
      <c r="PF80" s="362"/>
      <c r="PG80" s="362"/>
      <c r="PH80" s="362"/>
      <c r="PI80" s="362"/>
      <c r="PJ80" s="362"/>
      <c r="PK80" s="362"/>
      <c r="PL80" s="362"/>
      <c r="PM80" s="362"/>
      <c r="PN80" s="362"/>
      <c r="PO80" s="362"/>
      <c r="PP80" s="362"/>
      <c r="PQ80" s="362"/>
      <c r="PR80" s="362"/>
      <c r="PS80" s="362"/>
      <c r="PT80" s="362"/>
      <c r="PU80" s="362"/>
      <c r="PV80" s="362"/>
      <c r="PW80" s="362"/>
      <c r="PX80" s="362"/>
      <c r="PY80" s="362"/>
      <c r="PZ80" s="362"/>
      <c r="QA80" s="362"/>
      <c r="QB80" s="362"/>
      <c r="QC80" s="362"/>
      <c r="QD80" s="362"/>
      <c r="QE80" s="362"/>
      <c r="QF80" s="362"/>
      <c r="QG80" s="362"/>
      <c r="QH80" s="362"/>
      <c r="QI80" s="362"/>
      <c r="QJ80" s="362"/>
      <c r="QK80" s="362"/>
      <c r="QL80" s="362"/>
      <c r="QM80" s="362"/>
      <c r="QN80" s="362"/>
      <c r="QO80" s="362"/>
      <c r="QP80" s="362"/>
      <c r="QQ80" s="362"/>
      <c r="QR80" s="362"/>
      <c r="QS80" s="362"/>
      <c r="QT80" s="362"/>
      <c r="QU80" s="362"/>
      <c r="QV80" s="362"/>
      <c r="QW80" s="362"/>
      <c r="QX80" s="362"/>
      <c r="QY80" s="362"/>
      <c r="QZ80" s="362"/>
      <c r="RA80" s="362"/>
      <c r="RB80" s="362"/>
      <c r="RC80" s="362"/>
      <c r="RD80" s="362"/>
      <c r="RE80" s="362"/>
      <c r="RF80" s="362"/>
      <c r="RG80" s="362"/>
      <c r="RH80" s="362"/>
      <c r="RI80" s="362"/>
      <c r="RJ80" s="362"/>
      <c r="RK80" s="362"/>
      <c r="RL80" s="362"/>
      <c r="RM80" s="362"/>
      <c r="RN80" s="362"/>
      <c r="RO80" s="362"/>
      <c r="RP80" s="362"/>
      <c r="RQ80" s="362"/>
      <c r="RR80" s="362"/>
      <c r="RS80" s="362"/>
      <c r="RT80" s="362"/>
      <c r="RU80" s="362"/>
      <c r="RV80" s="362"/>
      <c r="RW80" s="362"/>
      <c r="RX80" s="362"/>
      <c r="RY80" s="362"/>
      <c r="RZ80" s="362"/>
      <c r="SA80" s="362"/>
      <c r="SB80" s="362"/>
      <c r="SC80" s="362"/>
      <c r="SD80" s="362"/>
      <c r="SE80" s="362"/>
      <c r="SF80" s="362"/>
      <c r="SG80" s="362"/>
      <c r="SH80" s="362"/>
      <c r="SI80" s="362"/>
      <c r="SJ80" s="362"/>
      <c r="SK80" s="362"/>
      <c r="SL80" s="362"/>
      <c r="SM80" s="362"/>
      <c r="SN80" s="362"/>
      <c r="SO80" s="362"/>
      <c r="SP80" s="362"/>
      <c r="SQ80" s="362"/>
      <c r="SR80" s="362"/>
      <c r="SS80" s="362"/>
      <c r="ST80" s="362"/>
      <c r="SU80" s="362"/>
      <c r="SV80" s="362"/>
      <c r="SW80" s="362"/>
      <c r="SX80" s="362"/>
      <c r="SY80" s="362"/>
      <c r="SZ80" s="362"/>
      <c r="TA80" s="362"/>
      <c r="TB80" s="362"/>
      <c r="TC80" s="362"/>
      <c r="TD80" s="362"/>
      <c r="TE80" s="362"/>
      <c r="TF80" s="362"/>
      <c r="TG80" s="362"/>
      <c r="TH80" s="362"/>
      <c r="TI80" s="362"/>
      <c r="TJ80" s="362"/>
      <c r="TK80" s="362"/>
      <c r="TL80" s="362"/>
      <c r="TM80" s="362"/>
      <c r="TN80" s="362"/>
      <c r="TO80" s="362"/>
      <c r="TP80" s="362"/>
      <c r="TQ80" s="362"/>
      <c r="TR80" s="362"/>
      <c r="TS80" s="362"/>
      <c r="TT80" s="362"/>
      <c r="TU80" s="362"/>
      <c r="TV80" s="362"/>
      <c r="TW80" s="362"/>
      <c r="TX80" s="362"/>
      <c r="TY80" s="362"/>
      <c r="TZ80" s="362"/>
      <c r="UA80" s="362"/>
      <c r="UB80" s="362"/>
      <c r="UC80" s="362"/>
      <c r="UD80" s="362"/>
      <c r="UE80" s="362"/>
      <c r="UF80" s="362"/>
      <c r="UG80" s="362"/>
      <c r="UH80" s="362"/>
      <c r="UI80" s="362"/>
      <c r="UJ80" s="362"/>
      <c r="UK80" s="362"/>
      <c r="UL80" s="362"/>
      <c r="UM80" s="362"/>
      <c r="UN80" s="362"/>
      <c r="UO80" s="362"/>
      <c r="UP80" s="362"/>
      <c r="UQ80" s="362"/>
      <c r="UR80" s="362"/>
      <c r="US80" s="362"/>
      <c r="UT80" s="362"/>
      <c r="UU80" s="362"/>
      <c r="UV80" s="362"/>
      <c r="UW80" s="362"/>
      <c r="UX80" s="362"/>
      <c r="UY80" s="362"/>
      <c r="UZ80" s="362"/>
      <c r="VA80" s="362"/>
      <c r="VB80" s="362"/>
      <c r="VC80" s="362"/>
      <c r="VD80" s="362"/>
      <c r="VE80" s="362"/>
      <c r="VF80" s="362"/>
      <c r="VG80" s="362"/>
      <c r="VH80" s="362"/>
      <c r="VI80" s="362"/>
      <c r="VJ80" s="362"/>
      <c r="VK80" s="362"/>
      <c r="VL80" s="362"/>
      <c r="VM80" s="362"/>
      <c r="VN80" s="362"/>
      <c r="VO80" s="362"/>
      <c r="VP80" s="362"/>
      <c r="VQ80" s="362"/>
      <c r="VR80" s="362"/>
      <c r="VS80" s="362"/>
      <c r="VT80" s="362"/>
      <c r="VU80" s="362"/>
      <c r="VV80" s="362"/>
      <c r="VW80" s="362"/>
      <c r="VX80" s="362"/>
      <c r="VY80" s="362"/>
      <c r="VZ80" s="362"/>
      <c r="WA80" s="362"/>
      <c r="WB80" s="362"/>
      <c r="WC80" s="362"/>
      <c r="WD80" s="362"/>
      <c r="WE80" s="362"/>
      <c r="WF80" s="362"/>
      <c r="WG80" s="362"/>
      <c r="WH80" s="362"/>
      <c r="WI80" s="362"/>
      <c r="WJ80" s="362"/>
      <c r="WK80" s="362"/>
      <c r="WL80" s="362"/>
      <c r="WM80" s="362"/>
      <c r="WN80" s="362"/>
      <c r="WO80" s="362"/>
      <c r="WP80" s="362"/>
      <c r="WQ80" s="362"/>
      <c r="WR80" s="362"/>
      <c r="WS80" s="362"/>
      <c r="WT80" s="362"/>
      <c r="WU80" s="362"/>
      <c r="WV80" s="362"/>
      <c r="WW80" s="362"/>
      <c r="WX80" s="362"/>
      <c r="WY80" s="362"/>
      <c r="WZ80" s="362"/>
      <c r="XA80" s="362"/>
      <c r="XB80" s="362"/>
      <c r="XC80" s="362"/>
      <c r="XD80" s="362"/>
      <c r="XE80" s="362"/>
      <c r="XF80" s="362"/>
      <c r="XG80" s="362"/>
      <c r="XH80" s="362"/>
      <c r="XI80" s="362"/>
      <c r="XJ80" s="362"/>
      <c r="XK80" s="362"/>
      <c r="XL80" s="362"/>
      <c r="XM80" s="362"/>
      <c r="XN80" s="362"/>
      <c r="XO80" s="362"/>
      <c r="XP80" s="362"/>
      <c r="XQ80" s="362"/>
      <c r="XR80" s="362"/>
      <c r="XS80" s="362"/>
      <c r="XT80" s="362"/>
      <c r="XU80" s="362"/>
      <c r="XV80" s="362"/>
      <c r="XW80" s="362"/>
      <c r="XX80" s="362"/>
      <c r="XY80" s="362"/>
      <c r="XZ80" s="362"/>
      <c r="YA80" s="362"/>
      <c r="YB80" s="362"/>
      <c r="YC80" s="362"/>
      <c r="YD80" s="362"/>
      <c r="YE80" s="362"/>
      <c r="YF80" s="362"/>
      <c r="YG80" s="362"/>
      <c r="YH80" s="362"/>
      <c r="YI80" s="362"/>
      <c r="YJ80" s="362"/>
      <c r="YK80" s="362"/>
      <c r="YL80" s="362"/>
      <c r="YM80" s="362"/>
      <c r="YN80" s="362"/>
      <c r="YO80" s="362"/>
      <c r="YP80" s="362"/>
      <c r="YQ80" s="362"/>
      <c r="YR80" s="362"/>
      <c r="YS80" s="362"/>
      <c r="YT80" s="362"/>
      <c r="YU80" s="362"/>
      <c r="YV80" s="362"/>
      <c r="YW80" s="362"/>
      <c r="YX80" s="362"/>
      <c r="YY80" s="362"/>
      <c r="YZ80" s="362"/>
      <c r="ZA80" s="362"/>
      <c r="ZB80" s="362"/>
      <c r="ZC80" s="362"/>
      <c r="ZD80" s="362"/>
      <c r="ZE80" s="362"/>
      <c r="ZF80" s="362"/>
      <c r="ZG80" s="362"/>
      <c r="ZH80" s="362"/>
      <c r="ZI80" s="362"/>
      <c r="ZJ80" s="362"/>
      <c r="ZK80" s="362"/>
      <c r="ZL80" s="362"/>
      <c r="ZM80" s="362"/>
      <c r="ZN80" s="362"/>
      <c r="ZO80" s="362"/>
      <c r="ZP80" s="362"/>
      <c r="ZQ80" s="362"/>
      <c r="ZR80" s="362"/>
      <c r="ZS80" s="362"/>
      <c r="ZT80" s="362"/>
      <c r="ZU80" s="362"/>
      <c r="ZV80" s="362"/>
      <c r="ZW80" s="362"/>
      <c r="ZX80" s="362"/>
      <c r="ZY80" s="362"/>
      <c r="ZZ80" s="362"/>
      <c r="AAA80" s="362"/>
      <c r="AAB80" s="362"/>
      <c r="AAC80" s="362"/>
      <c r="AAD80" s="362"/>
      <c r="AAE80" s="362"/>
      <c r="AAF80" s="362"/>
      <c r="AAG80" s="362"/>
      <c r="AAH80" s="362"/>
      <c r="AAI80" s="362"/>
      <c r="AAJ80" s="362"/>
      <c r="AAK80" s="362"/>
      <c r="AAL80" s="362"/>
      <c r="AAM80" s="362"/>
      <c r="AAN80" s="362"/>
      <c r="AAO80" s="362"/>
      <c r="AAP80" s="362"/>
      <c r="AAQ80" s="362"/>
      <c r="AAR80" s="362"/>
      <c r="AAS80" s="362"/>
      <c r="AAT80" s="362"/>
      <c r="AAU80" s="362"/>
      <c r="AAV80" s="362"/>
      <c r="AAW80" s="362"/>
      <c r="AAX80" s="362"/>
      <c r="AAY80" s="362"/>
      <c r="AAZ80" s="362"/>
      <c r="ABA80" s="362"/>
      <c r="ABB80" s="362"/>
      <c r="ABC80" s="362"/>
      <c r="ABD80" s="362"/>
      <c r="ABE80" s="362"/>
      <c r="ABF80" s="362"/>
      <c r="ABG80" s="362"/>
      <c r="ABH80" s="362"/>
      <c r="ABI80" s="362"/>
      <c r="ABJ80" s="362"/>
      <c r="ABK80" s="362"/>
      <c r="ABL80" s="362"/>
      <c r="ABM80" s="362"/>
      <c r="ABN80" s="362"/>
      <c r="ABO80" s="362"/>
      <c r="ABP80" s="362"/>
      <c r="ABQ80" s="362"/>
      <c r="ABR80" s="362"/>
      <c r="ABS80" s="362"/>
      <c r="ABT80" s="362"/>
      <c r="ABU80" s="362"/>
      <c r="ABV80" s="362"/>
      <c r="ABW80" s="362"/>
      <c r="ABX80" s="362"/>
      <c r="ABY80" s="362"/>
      <c r="ABZ80" s="362"/>
      <c r="ACA80" s="362"/>
      <c r="ACB80" s="362"/>
      <c r="ACC80" s="362"/>
      <c r="ACD80" s="362"/>
      <c r="ACE80" s="362"/>
      <c r="ACF80" s="362"/>
      <c r="ACG80" s="362"/>
      <c r="ACH80" s="362"/>
      <c r="ACI80" s="362"/>
      <c r="ACJ80" s="362"/>
      <c r="ACK80" s="362"/>
      <c r="ACL80" s="362"/>
      <c r="ACM80" s="362"/>
      <c r="ACN80" s="362"/>
      <c r="ACO80" s="362"/>
      <c r="ACP80" s="362"/>
      <c r="ACQ80" s="362"/>
      <c r="ACR80" s="362"/>
      <c r="ACS80" s="362"/>
      <c r="ACT80" s="362"/>
      <c r="ACU80" s="362"/>
      <c r="ACV80" s="362"/>
      <c r="ACW80" s="362"/>
      <c r="ACX80" s="362"/>
      <c r="ACY80" s="362"/>
      <c r="ACZ80" s="362"/>
      <c r="ADA80" s="362"/>
      <c r="ADB80" s="362"/>
      <c r="ADC80" s="362"/>
      <c r="ADD80" s="362"/>
      <c r="ADE80" s="362"/>
      <c r="ADF80" s="362"/>
      <c r="ADG80" s="362"/>
      <c r="ADH80" s="362"/>
      <c r="ADI80" s="362"/>
      <c r="ADJ80" s="362"/>
      <c r="ADK80" s="362"/>
      <c r="ADL80" s="362"/>
      <c r="ADM80" s="362"/>
      <c r="ADN80" s="362"/>
      <c r="ADO80" s="362"/>
      <c r="ADP80" s="362"/>
      <c r="ADQ80" s="362"/>
      <c r="ADR80" s="362"/>
      <c r="ADS80" s="362"/>
      <c r="ADT80" s="362"/>
      <c r="ADU80" s="362"/>
      <c r="ADV80" s="362"/>
      <c r="ADW80" s="362"/>
      <c r="ADX80" s="362"/>
      <c r="ADY80" s="362"/>
      <c r="ADZ80" s="362"/>
      <c r="AEA80" s="362"/>
      <c r="AEB80" s="362"/>
      <c r="AEC80" s="362"/>
      <c r="AED80" s="362"/>
      <c r="AEE80" s="362"/>
      <c r="AEF80" s="362"/>
      <c r="AEG80" s="362"/>
      <c r="AEH80" s="362"/>
      <c r="AEI80" s="362"/>
      <c r="AEJ80" s="362"/>
      <c r="AEK80" s="362"/>
      <c r="AEL80" s="362"/>
      <c r="AEM80" s="362"/>
      <c r="AEN80" s="362"/>
      <c r="AEO80" s="362"/>
      <c r="AEP80" s="362"/>
      <c r="AEQ80" s="362"/>
      <c r="AER80" s="362"/>
      <c r="AES80" s="362"/>
      <c r="AET80" s="362"/>
      <c r="AEU80" s="362"/>
      <c r="AEV80" s="362"/>
      <c r="AEW80" s="362"/>
      <c r="AEX80" s="362"/>
      <c r="AEY80" s="362"/>
      <c r="AEZ80" s="362"/>
      <c r="AFA80" s="362"/>
      <c r="AFB80" s="362"/>
      <c r="AFC80" s="362"/>
      <c r="AFD80" s="362"/>
      <c r="AFE80" s="362"/>
      <c r="AFF80" s="362"/>
      <c r="AFG80" s="362"/>
      <c r="AFH80" s="362"/>
      <c r="AFI80" s="362"/>
      <c r="AFJ80" s="362"/>
      <c r="AFK80" s="362"/>
      <c r="AFL80" s="362"/>
      <c r="AFM80" s="362"/>
      <c r="AFN80" s="362"/>
      <c r="AFO80" s="362"/>
      <c r="AFP80" s="362"/>
      <c r="AFQ80" s="362"/>
      <c r="AFR80" s="362"/>
      <c r="AFS80" s="362"/>
      <c r="AFT80" s="362"/>
      <c r="AFU80" s="362"/>
      <c r="AFV80" s="362"/>
      <c r="AFW80" s="362"/>
      <c r="AFX80" s="362"/>
      <c r="AFY80" s="362"/>
      <c r="AFZ80" s="362"/>
      <c r="AGA80" s="362"/>
      <c r="AGB80" s="362"/>
      <c r="AGC80" s="362"/>
      <c r="AGD80" s="362"/>
      <c r="AGE80" s="362"/>
      <c r="AGF80" s="362"/>
      <c r="AGG80" s="362"/>
      <c r="AGH80" s="362"/>
      <c r="AGI80" s="362"/>
      <c r="AGJ80" s="362"/>
      <c r="AGK80" s="362"/>
      <c r="AGL80" s="362"/>
      <c r="AGM80" s="362"/>
      <c r="AGN80" s="362"/>
      <c r="AGO80" s="362"/>
      <c r="AGP80" s="362"/>
      <c r="AGQ80" s="362"/>
      <c r="AGR80" s="362"/>
      <c r="AGS80" s="362"/>
      <c r="AGT80" s="362"/>
      <c r="AGU80" s="362"/>
      <c r="AGV80" s="362"/>
      <c r="AGW80" s="362"/>
      <c r="AGX80" s="362"/>
      <c r="AGY80" s="362"/>
      <c r="AGZ80" s="362"/>
      <c r="AHA80" s="362"/>
      <c r="AHB80" s="362"/>
      <c r="AHC80" s="362"/>
      <c r="AHD80" s="362"/>
      <c r="AHE80" s="362"/>
      <c r="AHF80" s="362"/>
      <c r="AHG80" s="362"/>
      <c r="AHH80" s="362"/>
      <c r="AHI80" s="362"/>
      <c r="AHJ80" s="362"/>
      <c r="AHK80" s="362"/>
      <c r="AHL80" s="362"/>
      <c r="AHM80" s="362"/>
      <c r="AHN80" s="362"/>
      <c r="AHO80" s="362"/>
      <c r="AHP80" s="362"/>
      <c r="AHQ80" s="362"/>
      <c r="AHR80" s="362"/>
      <c r="AHS80" s="362"/>
      <c r="AHT80" s="362"/>
      <c r="AHU80" s="362"/>
      <c r="AHV80" s="362"/>
      <c r="AHW80" s="362"/>
      <c r="AHX80" s="362"/>
      <c r="AHY80" s="362"/>
      <c r="AHZ80" s="362"/>
      <c r="AIA80" s="362"/>
      <c r="AIB80" s="362"/>
      <c r="AIC80" s="362"/>
      <c r="AID80" s="362"/>
      <c r="AIE80" s="362"/>
      <c r="AIF80" s="362"/>
      <c r="AIG80" s="362"/>
      <c r="AIH80" s="362"/>
      <c r="AII80" s="362"/>
      <c r="AIJ80" s="362"/>
      <c r="AIK80" s="362"/>
      <c r="AIL80" s="362"/>
      <c r="AIM80" s="362"/>
      <c r="AIN80" s="362"/>
      <c r="AIO80" s="362"/>
      <c r="AIP80" s="362"/>
      <c r="AIQ80" s="362"/>
      <c r="AIR80" s="362"/>
      <c r="AIS80" s="362"/>
      <c r="AIT80" s="362"/>
      <c r="AIU80" s="362"/>
      <c r="AIV80" s="362"/>
      <c r="AIW80" s="362"/>
      <c r="AIX80" s="362"/>
      <c r="AIY80" s="362"/>
      <c r="AIZ80" s="362"/>
      <c r="AJA80" s="362"/>
      <c r="AJB80" s="362"/>
      <c r="AJC80" s="362"/>
      <c r="AJD80" s="362"/>
      <c r="AJE80" s="362"/>
      <c r="AJF80" s="362"/>
      <c r="AJG80" s="362"/>
      <c r="AJH80" s="362"/>
      <c r="AJI80" s="362"/>
      <c r="AJJ80" s="362"/>
      <c r="AJK80" s="362"/>
      <c r="AJL80" s="362"/>
      <c r="AJM80" s="362"/>
      <c r="AJN80" s="362"/>
      <c r="AJO80" s="362"/>
      <c r="AJP80" s="362"/>
      <c r="AJQ80" s="362"/>
      <c r="AJR80" s="362"/>
      <c r="AJS80" s="362"/>
      <c r="AJT80" s="362"/>
      <c r="AJU80" s="362"/>
      <c r="AJV80" s="362"/>
      <c r="AJW80" s="362"/>
      <c r="AJX80" s="362"/>
      <c r="AJY80" s="362"/>
      <c r="AJZ80" s="362"/>
      <c r="AKA80" s="362"/>
      <c r="AKB80" s="362"/>
      <c r="AKC80" s="362"/>
      <c r="AKD80" s="362"/>
      <c r="AKE80" s="362"/>
      <c r="AKF80" s="362"/>
      <c r="AKG80" s="362"/>
      <c r="AKH80" s="362"/>
      <c r="AKI80" s="362"/>
      <c r="AKJ80" s="362"/>
      <c r="AKK80" s="362"/>
      <c r="AKL80" s="362"/>
      <c r="AKM80" s="362"/>
      <c r="AKN80" s="362"/>
      <c r="AKO80" s="362"/>
      <c r="AKP80" s="362"/>
      <c r="AKQ80" s="362"/>
      <c r="AKR80" s="362"/>
      <c r="AKS80" s="362"/>
      <c r="AKT80" s="362"/>
      <c r="AKU80" s="362"/>
      <c r="AKV80" s="362"/>
      <c r="AKW80" s="362"/>
      <c r="AKX80" s="362"/>
      <c r="AKY80" s="362"/>
      <c r="AKZ80" s="362"/>
      <c r="ALA80" s="362"/>
      <c r="ALB80" s="362"/>
      <c r="ALC80" s="362"/>
      <c r="ALD80" s="362"/>
      <c r="ALE80" s="362"/>
      <c r="ALF80" s="362"/>
      <c r="ALG80" s="362"/>
      <c r="ALH80" s="362"/>
      <c r="ALI80" s="362"/>
      <c r="ALJ80" s="362"/>
      <c r="ALK80" s="362"/>
      <c r="ALL80" s="362"/>
      <c r="ALM80" s="362"/>
      <c r="ALN80" s="362"/>
      <c r="ALO80" s="362"/>
      <c r="ALP80" s="362"/>
      <c r="ALQ80" s="362"/>
      <c r="ALR80" s="362"/>
      <c r="ALS80" s="362"/>
      <c r="ALT80" s="362"/>
      <c r="ALU80" s="362"/>
      <c r="ALV80" s="362"/>
      <c r="ALW80" s="362"/>
      <c r="ALX80" s="362"/>
      <c r="ALY80" s="362"/>
      <c r="ALZ80" s="362"/>
      <c r="AMA80" s="362"/>
      <c r="AMB80" s="362"/>
      <c r="AMC80" s="362"/>
      <c r="AMD80" s="362"/>
      <c r="AME80" s="362"/>
      <c r="AMF80" s="362"/>
      <c r="AMG80" s="362"/>
      <c r="AMH80" s="362"/>
      <c r="AMI80" s="362"/>
      <c r="AMJ80" s="362"/>
      <c r="AMK80" s="362"/>
      <c r="AML80" s="362"/>
      <c r="AMM80" s="362"/>
      <c r="AMN80" s="362"/>
      <c r="AMO80" s="362"/>
      <c r="AMP80" s="362"/>
      <c r="AMQ80" s="362"/>
      <c r="AMR80" s="362"/>
      <c r="AMS80" s="362"/>
      <c r="AMT80" s="362"/>
      <c r="AMU80" s="362"/>
      <c r="AMV80" s="362"/>
      <c r="AMW80" s="362"/>
      <c r="AMX80" s="362"/>
      <c r="AMY80" s="362"/>
      <c r="AMZ80" s="362"/>
      <c r="ANA80" s="362"/>
      <c r="ANB80" s="362"/>
      <c r="ANC80" s="362"/>
      <c r="AND80" s="362"/>
      <c r="ANE80" s="362"/>
      <c r="ANF80" s="362"/>
      <c r="ANG80" s="362"/>
      <c r="ANH80" s="362"/>
      <c r="ANI80" s="362"/>
      <c r="ANJ80" s="362"/>
      <c r="ANK80" s="362"/>
      <c r="ANL80" s="362"/>
      <c r="ANM80" s="362"/>
      <c r="ANN80" s="362"/>
      <c r="ANO80" s="362"/>
      <c r="ANP80" s="362"/>
      <c r="ANQ80" s="362"/>
      <c r="ANR80" s="362"/>
      <c r="ANS80" s="362"/>
      <c r="ANT80" s="362"/>
      <c r="ANU80" s="362"/>
      <c r="ANV80" s="362"/>
      <c r="ANW80" s="362"/>
      <c r="ANX80" s="362"/>
      <c r="ANY80" s="362"/>
      <c r="ANZ80" s="362"/>
      <c r="AOA80" s="362"/>
      <c r="AOB80" s="362"/>
      <c r="AOC80" s="362"/>
      <c r="AOD80" s="362"/>
      <c r="AOE80" s="362"/>
      <c r="AOF80" s="362"/>
      <c r="AOG80" s="362"/>
      <c r="AOH80" s="362"/>
      <c r="AOI80" s="362"/>
      <c r="AOJ80" s="362"/>
      <c r="AOK80" s="362"/>
      <c r="AOL80" s="362"/>
      <c r="AOM80" s="362"/>
      <c r="AON80" s="362"/>
      <c r="AOO80" s="362"/>
      <c r="AOP80" s="362"/>
      <c r="AOQ80" s="362"/>
      <c r="AOR80" s="362"/>
      <c r="AOS80" s="362"/>
      <c r="AOT80" s="362"/>
      <c r="AOU80" s="362"/>
      <c r="AOV80" s="362"/>
      <c r="AOW80" s="362"/>
      <c r="AOX80" s="362"/>
      <c r="AOY80" s="362"/>
      <c r="AOZ80" s="362"/>
      <c r="APA80" s="362"/>
      <c r="APB80" s="362"/>
      <c r="APC80" s="362"/>
      <c r="APD80" s="362"/>
      <c r="APE80" s="362"/>
      <c r="APF80" s="362"/>
      <c r="APG80" s="362"/>
      <c r="APH80" s="362"/>
      <c r="API80" s="362"/>
      <c r="APJ80" s="362"/>
      <c r="APK80" s="362"/>
      <c r="APL80" s="362"/>
      <c r="APM80" s="362"/>
      <c r="APN80" s="362"/>
      <c r="APO80" s="362"/>
      <c r="APP80" s="362"/>
      <c r="APQ80" s="362"/>
      <c r="APR80" s="362"/>
      <c r="APS80" s="362"/>
      <c r="APT80" s="362"/>
      <c r="APU80" s="362"/>
      <c r="APV80" s="362"/>
      <c r="APW80" s="362"/>
      <c r="APX80" s="362"/>
      <c r="APY80" s="362"/>
      <c r="APZ80" s="362"/>
      <c r="AQA80" s="362"/>
      <c r="AQB80" s="362"/>
      <c r="AQC80" s="362"/>
      <c r="AQD80" s="362"/>
      <c r="AQE80" s="362"/>
      <c r="AQF80" s="362"/>
      <c r="AQG80" s="362"/>
      <c r="AQH80" s="362"/>
      <c r="AQI80" s="362"/>
      <c r="AQJ80" s="362"/>
      <c r="AQK80" s="362"/>
      <c r="AQL80" s="362"/>
      <c r="AQM80" s="362"/>
      <c r="AQN80" s="362"/>
      <c r="AQO80" s="362"/>
      <c r="AQP80" s="362"/>
      <c r="AQQ80" s="362"/>
      <c r="AQR80" s="362"/>
      <c r="AQS80" s="362"/>
      <c r="AQT80" s="362"/>
      <c r="AQU80" s="362"/>
      <c r="AQV80" s="362"/>
      <c r="AQW80" s="362"/>
      <c r="AQX80" s="362"/>
      <c r="AQY80" s="362"/>
      <c r="AQZ80" s="362"/>
      <c r="ARA80" s="362"/>
      <c r="ARB80" s="362"/>
      <c r="ARC80" s="362"/>
      <c r="ARD80" s="362"/>
      <c r="ARE80" s="362"/>
      <c r="ARF80" s="362"/>
      <c r="ARG80" s="362"/>
      <c r="ARH80" s="362"/>
      <c r="ARI80" s="362"/>
      <c r="ARJ80" s="362"/>
      <c r="ARK80" s="362"/>
      <c r="ARL80" s="362"/>
      <c r="ARM80" s="362"/>
      <c r="ARN80" s="362"/>
      <c r="ARO80" s="362"/>
      <c r="ARP80" s="362"/>
      <c r="ARQ80" s="362"/>
      <c r="ARR80" s="362"/>
      <c r="ARS80" s="362"/>
      <c r="ART80" s="362"/>
      <c r="ARU80" s="362"/>
      <c r="ARV80" s="362"/>
      <c r="ARW80" s="362"/>
      <c r="ARX80" s="362"/>
      <c r="ARY80" s="362"/>
      <c r="ARZ80" s="362"/>
      <c r="ASA80" s="362"/>
      <c r="ASB80" s="362"/>
      <c r="ASC80" s="362"/>
      <c r="ASD80" s="362"/>
      <c r="ASE80" s="362"/>
      <c r="ASF80" s="362"/>
      <c r="ASG80" s="362"/>
      <c r="ASH80" s="362"/>
      <c r="ASI80" s="362"/>
      <c r="ASJ80" s="362"/>
      <c r="ASK80" s="362"/>
      <c r="ASL80" s="362"/>
      <c r="ASM80" s="362"/>
      <c r="ASN80" s="362"/>
      <c r="ASO80" s="362"/>
      <c r="ASP80" s="362"/>
      <c r="ASQ80" s="362"/>
      <c r="ASR80" s="362"/>
      <c r="ASS80" s="362"/>
      <c r="AST80" s="362"/>
      <c r="ASU80" s="362"/>
      <c r="ASV80" s="362"/>
      <c r="ASW80" s="362"/>
      <c r="ASX80" s="362"/>
      <c r="ASY80" s="362"/>
      <c r="ASZ80" s="362"/>
      <c r="ATA80" s="362"/>
      <c r="ATB80" s="362"/>
      <c r="ATC80" s="362"/>
      <c r="ATD80" s="362"/>
      <c r="ATE80" s="362"/>
      <c r="ATF80" s="362"/>
      <c r="ATG80" s="362"/>
      <c r="ATH80" s="362"/>
      <c r="ATI80" s="362"/>
      <c r="ATJ80" s="362"/>
      <c r="ATK80" s="362"/>
      <c r="ATL80" s="362"/>
      <c r="ATM80" s="362"/>
      <c r="ATN80" s="362"/>
      <c r="ATO80" s="362"/>
      <c r="ATP80" s="362"/>
      <c r="ATQ80" s="362"/>
      <c r="ATR80" s="362"/>
      <c r="ATS80" s="362"/>
      <c r="ATT80" s="362"/>
      <c r="ATU80" s="362"/>
      <c r="ATV80" s="362"/>
      <c r="ATW80" s="362"/>
      <c r="ATX80" s="362"/>
      <c r="ATY80" s="362"/>
      <c r="ATZ80" s="362"/>
      <c r="AUA80" s="362"/>
      <c r="AUB80" s="362"/>
      <c r="AUC80" s="362"/>
      <c r="AUD80" s="362"/>
      <c r="AUE80" s="362"/>
      <c r="AUF80" s="362"/>
      <c r="AUG80" s="362"/>
      <c r="AUH80" s="362"/>
      <c r="AUI80" s="362"/>
      <c r="AUJ80" s="362"/>
      <c r="AUK80" s="362"/>
      <c r="AUL80" s="362"/>
      <c r="AUM80" s="362"/>
      <c r="AUN80" s="362"/>
      <c r="AUO80" s="362"/>
      <c r="AUP80" s="362"/>
      <c r="AUQ80" s="362"/>
      <c r="AUR80" s="362"/>
      <c r="AUS80" s="362"/>
      <c r="AUT80" s="362"/>
      <c r="AUU80" s="362"/>
      <c r="AUV80" s="362"/>
      <c r="AUW80" s="362"/>
      <c r="AUX80" s="362"/>
      <c r="AUY80" s="362"/>
      <c r="AUZ80" s="362"/>
      <c r="AVA80" s="362"/>
      <c r="AVB80" s="362"/>
      <c r="AVC80" s="362"/>
      <c r="AVD80" s="362"/>
      <c r="AVE80" s="362"/>
      <c r="AVF80" s="362"/>
      <c r="AVG80" s="362"/>
      <c r="AVH80" s="362"/>
      <c r="AVI80" s="362"/>
      <c r="AVJ80" s="362"/>
      <c r="AVK80" s="362"/>
      <c r="AVL80" s="362"/>
      <c r="AVM80" s="362"/>
      <c r="AVN80" s="362"/>
      <c r="AVO80" s="362"/>
      <c r="AVP80" s="362"/>
      <c r="AVQ80" s="362"/>
      <c r="AVR80" s="362"/>
      <c r="AVS80" s="362"/>
      <c r="AVT80" s="362"/>
      <c r="AVU80" s="362"/>
      <c r="AVV80" s="362"/>
      <c r="AVW80" s="362"/>
      <c r="AVX80" s="362"/>
      <c r="AVY80" s="362"/>
      <c r="AVZ80" s="362"/>
      <c r="AWA80" s="362"/>
      <c r="AWB80" s="362"/>
      <c r="AWC80" s="362"/>
      <c r="AWD80" s="362"/>
      <c r="AWE80" s="362"/>
      <c r="AWF80" s="362"/>
      <c r="AWG80" s="362"/>
      <c r="AWH80" s="362"/>
      <c r="AWI80" s="362"/>
      <c r="AWJ80" s="362"/>
      <c r="AWK80" s="362"/>
      <c r="AWL80" s="362"/>
      <c r="AWM80" s="362"/>
      <c r="AWN80" s="362"/>
      <c r="AWO80" s="362"/>
      <c r="AWP80" s="362"/>
      <c r="AWQ80" s="362"/>
      <c r="AWR80" s="362"/>
      <c r="AWS80" s="362"/>
      <c r="AWT80" s="362"/>
      <c r="AWU80" s="362"/>
      <c r="AWV80" s="362"/>
      <c r="AWW80" s="362"/>
      <c r="AWX80" s="362"/>
      <c r="AWY80" s="362"/>
      <c r="AWZ80" s="362"/>
      <c r="AXA80" s="362"/>
      <c r="AXB80" s="362"/>
      <c r="AXC80" s="362"/>
      <c r="AXD80" s="362"/>
      <c r="AXE80" s="362"/>
      <c r="AXF80" s="362"/>
      <c r="AXG80" s="362"/>
      <c r="AXH80" s="362"/>
      <c r="AXI80" s="362"/>
      <c r="AXJ80" s="362"/>
      <c r="AXK80" s="362"/>
      <c r="AXL80" s="362"/>
      <c r="AXM80" s="362"/>
      <c r="AXN80" s="362"/>
      <c r="AXO80" s="362"/>
      <c r="AXP80" s="362"/>
      <c r="AXQ80" s="362"/>
      <c r="AXR80" s="362"/>
      <c r="AXS80" s="362"/>
      <c r="AXT80" s="362"/>
      <c r="AXU80" s="362"/>
      <c r="AXV80" s="362"/>
      <c r="AXW80" s="362"/>
      <c r="AXX80" s="362"/>
      <c r="AXY80" s="362"/>
      <c r="AXZ80" s="362"/>
      <c r="AYA80" s="362"/>
      <c r="AYB80" s="362"/>
      <c r="AYC80" s="362"/>
      <c r="AYD80" s="362"/>
      <c r="AYE80" s="362"/>
      <c r="AYF80" s="362"/>
      <c r="AYG80" s="362"/>
      <c r="AYH80" s="362"/>
      <c r="AYI80" s="362"/>
      <c r="AYJ80" s="362"/>
      <c r="AYK80" s="362"/>
      <c r="AYL80" s="362"/>
      <c r="AYM80" s="362"/>
      <c r="AYN80" s="362"/>
      <c r="AYO80" s="362"/>
      <c r="AYP80" s="362"/>
      <c r="AYQ80" s="362"/>
      <c r="AYR80" s="362"/>
      <c r="AYS80" s="362"/>
      <c r="AYT80" s="362"/>
      <c r="AYU80" s="362"/>
      <c r="AYV80" s="362"/>
      <c r="AYW80" s="362"/>
      <c r="AYX80" s="362"/>
      <c r="AYY80" s="362"/>
      <c r="AYZ80" s="362"/>
      <c r="AZA80" s="362"/>
      <c r="AZB80" s="362"/>
      <c r="AZC80" s="362"/>
      <c r="AZD80" s="362"/>
      <c r="AZE80" s="362"/>
      <c r="AZF80" s="362"/>
      <c r="AZG80" s="362"/>
      <c r="AZH80" s="362"/>
      <c r="AZI80" s="362"/>
      <c r="AZJ80" s="362"/>
      <c r="AZK80" s="362"/>
      <c r="AZL80" s="362"/>
      <c r="AZM80" s="362"/>
      <c r="AZN80" s="362"/>
      <c r="AZO80" s="362"/>
      <c r="AZP80" s="362"/>
      <c r="AZQ80" s="362"/>
      <c r="AZR80" s="362"/>
      <c r="AZS80" s="362"/>
      <c r="AZT80" s="362"/>
      <c r="AZU80" s="362"/>
      <c r="AZV80" s="362"/>
      <c r="AZW80" s="362"/>
      <c r="AZX80" s="362"/>
      <c r="AZY80" s="362"/>
      <c r="AZZ80" s="362"/>
      <c r="BAA80" s="362"/>
      <c r="BAB80" s="362"/>
      <c r="BAC80" s="362"/>
      <c r="BAD80" s="362"/>
      <c r="BAE80" s="362"/>
      <c r="BAF80" s="362"/>
      <c r="BAG80" s="362"/>
      <c r="BAH80" s="362"/>
      <c r="BAI80" s="362"/>
      <c r="BAJ80" s="362"/>
      <c r="BAK80" s="362"/>
      <c r="BAL80" s="362"/>
      <c r="BAM80" s="362"/>
      <c r="BAN80" s="362"/>
      <c r="BAO80" s="362"/>
      <c r="BAP80" s="362"/>
      <c r="BAQ80" s="362"/>
      <c r="BAR80" s="362"/>
      <c r="BAS80" s="362"/>
      <c r="BAT80" s="362"/>
      <c r="BAU80" s="362"/>
      <c r="BAV80" s="362"/>
      <c r="BAW80" s="362"/>
      <c r="BAX80" s="362"/>
      <c r="BAY80" s="362"/>
      <c r="BAZ80" s="362"/>
      <c r="BBA80" s="362"/>
      <c r="BBB80" s="362"/>
      <c r="BBC80" s="362"/>
      <c r="BBD80" s="362"/>
      <c r="BBE80" s="362"/>
      <c r="BBF80" s="362"/>
      <c r="BBG80" s="362"/>
      <c r="BBH80" s="362"/>
      <c r="BBI80" s="362"/>
      <c r="BBJ80" s="362"/>
      <c r="BBK80" s="362"/>
      <c r="BBL80" s="362"/>
      <c r="BBM80" s="362"/>
      <c r="BBN80" s="362"/>
      <c r="BBO80" s="362"/>
      <c r="BBP80" s="362"/>
      <c r="BBQ80" s="362"/>
      <c r="BBR80" s="362"/>
      <c r="BBS80" s="362"/>
      <c r="BBT80" s="362"/>
      <c r="BBU80" s="362"/>
      <c r="BBV80" s="362"/>
      <c r="BBW80" s="362"/>
      <c r="BBX80" s="362"/>
      <c r="BBY80" s="362"/>
      <c r="BBZ80" s="362"/>
      <c r="BCA80" s="362"/>
      <c r="BCB80" s="362"/>
      <c r="BCC80" s="362"/>
      <c r="BCD80" s="362"/>
      <c r="BCE80" s="362"/>
      <c r="BCF80" s="362"/>
      <c r="BCG80" s="362"/>
      <c r="BCH80" s="362"/>
      <c r="BCI80" s="362"/>
      <c r="BCJ80" s="362"/>
      <c r="BCK80" s="362"/>
      <c r="BCL80" s="362"/>
      <c r="BCM80" s="362"/>
      <c r="BCN80" s="362"/>
      <c r="BCO80" s="362"/>
      <c r="BCP80" s="362"/>
      <c r="BCQ80" s="362"/>
      <c r="BCR80" s="362"/>
      <c r="BCS80" s="362"/>
      <c r="BCT80" s="362"/>
      <c r="BCU80" s="362"/>
      <c r="BCV80" s="362"/>
      <c r="BCW80" s="362"/>
      <c r="BCX80" s="362"/>
      <c r="BCY80" s="362"/>
      <c r="BCZ80" s="362"/>
      <c r="BDA80" s="362"/>
      <c r="BDB80" s="362"/>
      <c r="BDC80" s="362"/>
      <c r="BDD80" s="362"/>
      <c r="BDE80" s="362"/>
      <c r="BDF80" s="362"/>
      <c r="BDG80" s="362"/>
      <c r="BDH80" s="362"/>
      <c r="BDI80" s="362"/>
      <c r="BDJ80" s="362"/>
      <c r="BDK80" s="362"/>
      <c r="BDL80" s="362"/>
      <c r="BDM80" s="362"/>
      <c r="BDN80" s="362"/>
      <c r="BDO80" s="362"/>
      <c r="BDP80" s="362"/>
      <c r="BDQ80" s="362"/>
      <c r="BDR80" s="362"/>
      <c r="BDS80" s="362"/>
      <c r="BDT80" s="362"/>
      <c r="BDU80" s="362"/>
      <c r="BDV80" s="362"/>
      <c r="BDW80" s="362"/>
      <c r="BDX80" s="362"/>
      <c r="BDY80" s="362"/>
      <c r="BDZ80" s="362"/>
      <c r="BEA80" s="362"/>
      <c r="BEB80" s="362"/>
      <c r="BEC80" s="362"/>
      <c r="BED80" s="362"/>
      <c r="BEE80" s="362"/>
      <c r="BEF80" s="362"/>
      <c r="BEG80" s="362"/>
      <c r="BEH80" s="362"/>
      <c r="BEI80" s="362"/>
      <c r="BEJ80" s="362"/>
      <c r="BEK80" s="362"/>
      <c r="BEL80" s="362"/>
      <c r="BEM80" s="362"/>
      <c r="BEN80" s="362"/>
      <c r="BEO80" s="362"/>
      <c r="BEP80" s="362"/>
      <c r="BEQ80" s="362"/>
      <c r="BER80" s="362"/>
      <c r="BES80" s="362"/>
      <c r="BET80" s="362"/>
      <c r="BEU80" s="362"/>
      <c r="BEV80" s="362"/>
      <c r="BEW80" s="362"/>
      <c r="BEX80" s="362"/>
      <c r="BEY80" s="362"/>
      <c r="BEZ80" s="362"/>
      <c r="BFA80" s="362"/>
      <c r="BFB80" s="362"/>
      <c r="BFC80" s="362"/>
      <c r="BFD80" s="362"/>
      <c r="BFE80" s="362"/>
      <c r="BFF80" s="362"/>
      <c r="BFG80" s="362"/>
      <c r="BFH80" s="362"/>
      <c r="BFI80" s="362"/>
      <c r="BFJ80" s="362"/>
      <c r="BFK80" s="362"/>
      <c r="BFL80" s="362"/>
      <c r="BFM80" s="362"/>
      <c r="BFN80" s="362"/>
      <c r="BFO80" s="362"/>
      <c r="BFP80" s="362"/>
      <c r="BFQ80" s="362"/>
      <c r="BFR80" s="362"/>
      <c r="BFS80" s="362"/>
      <c r="BFT80" s="362"/>
      <c r="BFU80" s="362"/>
      <c r="BFV80" s="362"/>
      <c r="BFW80" s="362"/>
      <c r="BFX80" s="362"/>
      <c r="BFY80" s="362"/>
      <c r="BFZ80" s="362"/>
      <c r="BGA80" s="362"/>
      <c r="BGB80" s="362"/>
      <c r="BGC80" s="362"/>
      <c r="BGD80" s="362"/>
      <c r="BGE80" s="362"/>
      <c r="BGF80" s="362"/>
      <c r="BGG80" s="362"/>
      <c r="BGH80" s="362"/>
      <c r="BGI80" s="362"/>
      <c r="BGJ80" s="362"/>
      <c r="BGK80" s="362"/>
      <c r="BGL80" s="362"/>
      <c r="BGM80" s="362"/>
      <c r="BGN80" s="362"/>
      <c r="BGO80" s="362"/>
      <c r="BGP80" s="362"/>
      <c r="BGQ80" s="362"/>
      <c r="BGR80" s="362"/>
      <c r="BGS80" s="362"/>
      <c r="BGT80" s="362"/>
      <c r="BGU80" s="362"/>
      <c r="BGV80" s="362"/>
      <c r="BGW80" s="362"/>
      <c r="BGX80" s="362"/>
      <c r="BGY80" s="362"/>
      <c r="BGZ80" s="362"/>
      <c r="BHA80" s="362"/>
      <c r="BHB80" s="362"/>
      <c r="BHC80" s="362"/>
      <c r="BHD80" s="362"/>
      <c r="BHE80" s="362"/>
      <c r="BHF80" s="362"/>
      <c r="BHG80" s="362"/>
      <c r="BHH80" s="362"/>
      <c r="BHI80" s="362"/>
      <c r="BHJ80" s="362"/>
      <c r="BHK80" s="362"/>
      <c r="BHL80" s="362"/>
      <c r="BHM80" s="362"/>
      <c r="BHN80" s="362"/>
      <c r="BHO80" s="362"/>
      <c r="BHP80" s="362"/>
      <c r="BHQ80" s="362"/>
      <c r="BHR80" s="362"/>
      <c r="BHS80" s="362"/>
      <c r="BHT80" s="362"/>
      <c r="BHU80" s="362"/>
      <c r="BHV80" s="362"/>
      <c r="BHW80" s="362"/>
      <c r="BHX80" s="362"/>
      <c r="BHY80" s="362"/>
      <c r="BHZ80" s="362"/>
      <c r="BIA80" s="362"/>
      <c r="BIB80" s="362"/>
      <c r="BIC80" s="362"/>
      <c r="BID80" s="362"/>
      <c r="BIE80" s="362"/>
      <c r="BIF80" s="362"/>
      <c r="BIG80" s="362"/>
      <c r="BIH80" s="362"/>
      <c r="BII80" s="362"/>
      <c r="BIJ80" s="362"/>
      <c r="BIK80" s="362"/>
      <c r="BIL80" s="362"/>
      <c r="BIM80" s="362"/>
      <c r="BIN80" s="362"/>
      <c r="BIO80" s="362"/>
      <c r="BIP80" s="362"/>
      <c r="BIQ80" s="362"/>
      <c r="BIR80" s="362"/>
      <c r="BIS80" s="362"/>
      <c r="BIT80" s="362"/>
      <c r="BIU80" s="362"/>
      <c r="BIV80" s="362"/>
      <c r="BIW80" s="362"/>
      <c r="BIX80" s="362"/>
      <c r="BIY80" s="362"/>
      <c r="BIZ80" s="362"/>
      <c r="BJA80" s="362"/>
      <c r="BJB80" s="362"/>
      <c r="BJC80" s="362"/>
      <c r="BJD80" s="362"/>
      <c r="BJE80" s="362"/>
      <c r="BJF80" s="362"/>
      <c r="BJG80" s="362"/>
      <c r="BJH80" s="362"/>
      <c r="BJI80" s="362"/>
      <c r="BJJ80" s="362"/>
      <c r="BJK80" s="362"/>
      <c r="BJL80" s="362"/>
      <c r="BJM80" s="362"/>
      <c r="BJN80" s="362"/>
      <c r="BJO80" s="362"/>
      <c r="BJP80" s="362"/>
      <c r="BJQ80" s="362"/>
      <c r="BJR80" s="362"/>
      <c r="BJS80" s="362"/>
      <c r="BJT80" s="362"/>
      <c r="BJU80" s="362"/>
      <c r="BJV80" s="362"/>
      <c r="BJW80" s="362"/>
      <c r="BJX80" s="362"/>
      <c r="BJY80" s="362"/>
      <c r="BJZ80" s="362"/>
      <c r="BKA80" s="362"/>
      <c r="BKB80" s="362"/>
      <c r="BKC80" s="362"/>
      <c r="BKD80" s="362"/>
      <c r="BKE80" s="362"/>
      <c r="BKF80" s="362"/>
      <c r="BKG80" s="362"/>
      <c r="BKH80" s="362"/>
      <c r="BKI80" s="362"/>
      <c r="BKJ80" s="362"/>
      <c r="BKK80" s="362"/>
      <c r="BKL80" s="362"/>
      <c r="BKM80" s="362"/>
      <c r="BKN80" s="362"/>
      <c r="BKO80" s="362"/>
      <c r="BKP80" s="362"/>
      <c r="BKQ80" s="362"/>
      <c r="BKR80" s="362"/>
      <c r="BKS80" s="362"/>
      <c r="BKT80" s="362"/>
      <c r="BKU80" s="362"/>
      <c r="BKV80" s="362"/>
      <c r="BKW80" s="362"/>
      <c r="BKX80" s="362"/>
      <c r="BKY80" s="362"/>
      <c r="BKZ80" s="362"/>
      <c r="BLA80" s="362"/>
      <c r="BLB80" s="362"/>
      <c r="BLC80" s="362"/>
      <c r="BLD80" s="362"/>
      <c r="BLE80" s="362"/>
      <c r="BLF80" s="362"/>
      <c r="BLG80" s="362"/>
      <c r="BLH80" s="362"/>
      <c r="BLI80" s="362"/>
      <c r="BLJ80" s="362"/>
      <c r="BLK80" s="362"/>
      <c r="BLL80" s="362"/>
      <c r="BLM80" s="362"/>
      <c r="BLN80" s="362"/>
      <c r="BLO80" s="362"/>
      <c r="BLP80" s="362"/>
      <c r="BLQ80" s="362"/>
      <c r="BLR80" s="362"/>
      <c r="BLS80" s="362"/>
      <c r="BLT80" s="362"/>
      <c r="BLU80" s="362"/>
      <c r="BLV80" s="362"/>
      <c r="BLW80" s="362"/>
      <c r="BLX80" s="362"/>
      <c r="BLY80" s="362"/>
      <c r="BLZ80" s="362"/>
      <c r="BMA80" s="362"/>
      <c r="BMB80" s="362"/>
      <c r="BMC80" s="362"/>
      <c r="BMD80" s="362"/>
      <c r="BME80" s="362"/>
      <c r="BMF80" s="362"/>
      <c r="BMG80" s="362"/>
      <c r="BMH80" s="362"/>
      <c r="BMI80" s="362"/>
      <c r="BMJ80" s="362"/>
      <c r="BMK80" s="362"/>
      <c r="BML80" s="362"/>
      <c r="BMM80" s="362"/>
      <c r="BMN80" s="362"/>
      <c r="BMO80" s="362"/>
      <c r="BMP80" s="362"/>
      <c r="BMQ80" s="362"/>
      <c r="BMR80" s="362"/>
      <c r="BMS80" s="362"/>
      <c r="BMT80" s="362"/>
      <c r="BMU80" s="362"/>
      <c r="BMV80" s="362"/>
      <c r="BMW80" s="362"/>
      <c r="BMX80" s="362"/>
      <c r="BMY80" s="362"/>
      <c r="BMZ80" s="362"/>
      <c r="BNA80" s="362"/>
      <c r="BNB80" s="362"/>
      <c r="BNC80" s="362"/>
      <c r="BND80" s="362"/>
      <c r="BNE80" s="362"/>
      <c r="BNF80" s="362"/>
      <c r="BNG80" s="362"/>
      <c r="BNH80" s="362"/>
      <c r="BNI80" s="362"/>
      <c r="BNJ80" s="362"/>
      <c r="BNK80" s="362"/>
      <c r="BNL80" s="362"/>
      <c r="BNM80" s="362"/>
      <c r="BNN80" s="362"/>
      <c r="BNO80" s="362"/>
      <c r="BNP80" s="362"/>
      <c r="BNQ80" s="362"/>
      <c r="BNR80" s="362"/>
      <c r="BNS80" s="362"/>
      <c r="BNT80" s="362"/>
      <c r="BNU80" s="362"/>
      <c r="BNV80" s="362"/>
      <c r="BNW80" s="362"/>
      <c r="BNX80" s="362"/>
      <c r="BNY80" s="362"/>
      <c r="BNZ80" s="362"/>
      <c r="BOA80" s="362"/>
      <c r="BOB80" s="362"/>
      <c r="BOC80" s="362"/>
      <c r="BOD80" s="362"/>
      <c r="BOE80" s="362"/>
      <c r="BOF80" s="362"/>
      <c r="BOG80" s="362"/>
      <c r="BOH80" s="362"/>
      <c r="BOI80" s="362"/>
      <c r="BOJ80" s="362"/>
      <c r="BOK80" s="362"/>
      <c r="BOL80" s="362"/>
      <c r="BOM80" s="362"/>
      <c r="BON80" s="362"/>
      <c r="BOO80" s="362"/>
      <c r="BOP80" s="362"/>
      <c r="BOQ80" s="362"/>
      <c r="BOR80" s="362"/>
      <c r="BOS80" s="362"/>
      <c r="BOT80" s="362"/>
      <c r="BOU80" s="362"/>
      <c r="BOV80" s="362"/>
      <c r="BOW80" s="362"/>
      <c r="BOX80" s="362"/>
      <c r="BOY80" s="362"/>
      <c r="BOZ80" s="362"/>
      <c r="BPA80" s="362"/>
      <c r="BPB80" s="362"/>
      <c r="BPC80" s="362"/>
      <c r="BPD80" s="362"/>
      <c r="BPE80" s="362"/>
      <c r="BPF80" s="362"/>
      <c r="BPG80" s="362"/>
      <c r="BPH80" s="362"/>
      <c r="BPI80" s="362"/>
      <c r="BPJ80" s="362"/>
      <c r="BPK80" s="362"/>
      <c r="BPL80" s="362"/>
      <c r="BPM80" s="362"/>
      <c r="BPN80" s="362"/>
      <c r="BPO80" s="362"/>
      <c r="BPP80" s="362"/>
      <c r="BPQ80" s="362"/>
      <c r="BPR80" s="362"/>
      <c r="BPS80" s="362"/>
      <c r="BPT80" s="362"/>
      <c r="BPU80" s="362"/>
      <c r="BPV80" s="362"/>
      <c r="BPW80" s="362"/>
      <c r="BPX80" s="362"/>
      <c r="BPY80" s="362"/>
      <c r="BPZ80" s="362"/>
      <c r="BQA80" s="362"/>
      <c r="BQB80" s="362"/>
      <c r="BQC80" s="362"/>
      <c r="BQD80" s="362"/>
      <c r="BQE80" s="362"/>
      <c r="BQF80" s="362"/>
      <c r="BQG80" s="362"/>
      <c r="BQH80" s="362"/>
      <c r="BQI80" s="362"/>
      <c r="BQJ80" s="362"/>
      <c r="BQK80" s="362"/>
      <c r="BQL80" s="362"/>
      <c r="BQM80" s="362"/>
      <c r="BQN80" s="362"/>
      <c r="BQO80" s="362"/>
      <c r="BQP80" s="362"/>
      <c r="BQQ80" s="362"/>
      <c r="BQR80" s="362"/>
      <c r="BQS80" s="362"/>
      <c r="BQT80" s="362"/>
      <c r="BQU80" s="362"/>
      <c r="BQV80" s="362"/>
      <c r="BQW80" s="362"/>
      <c r="BQX80" s="362"/>
      <c r="BQY80" s="362"/>
      <c r="BQZ80" s="362"/>
      <c r="BRA80" s="362"/>
      <c r="BRB80" s="362"/>
      <c r="BRC80" s="362"/>
      <c r="BRD80" s="362"/>
      <c r="BRE80" s="362"/>
      <c r="BRF80" s="362"/>
      <c r="BRG80" s="362"/>
      <c r="BRH80" s="362"/>
      <c r="BRI80" s="362"/>
      <c r="BRJ80" s="362"/>
      <c r="BRK80" s="362"/>
      <c r="BRL80" s="362"/>
      <c r="BRM80" s="362"/>
      <c r="BRN80" s="362"/>
      <c r="BRO80" s="362"/>
      <c r="BRP80" s="362"/>
      <c r="BRQ80" s="362"/>
      <c r="BRR80" s="362"/>
      <c r="BRS80" s="362"/>
      <c r="BRT80" s="362"/>
      <c r="BRU80" s="362"/>
      <c r="BRV80" s="362"/>
      <c r="BRW80" s="362"/>
      <c r="BRX80" s="362"/>
      <c r="BRY80" s="362"/>
      <c r="BRZ80" s="362"/>
      <c r="BSA80" s="362"/>
      <c r="BSB80" s="362"/>
      <c r="BSC80" s="362"/>
      <c r="BSD80" s="362"/>
      <c r="BSE80" s="362"/>
      <c r="BSF80" s="362"/>
      <c r="BSG80" s="362"/>
      <c r="BSH80" s="362"/>
      <c r="BSI80" s="362"/>
      <c r="BSJ80" s="362"/>
      <c r="BSK80" s="362"/>
      <c r="BSL80" s="362"/>
      <c r="BSM80" s="362"/>
      <c r="BSN80" s="362"/>
      <c r="BSO80" s="362"/>
      <c r="BSP80" s="362"/>
      <c r="BSQ80" s="362"/>
      <c r="BSR80" s="362"/>
      <c r="BSS80" s="362"/>
      <c r="BST80" s="362"/>
      <c r="BSU80" s="362"/>
      <c r="BSV80" s="362"/>
      <c r="BSW80" s="362"/>
      <c r="BSX80" s="362"/>
      <c r="BSY80" s="362"/>
      <c r="BSZ80" s="362"/>
      <c r="BTA80" s="362"/>
      <c r="BTB80" s="362"/>
      <c r="BTC80" s="362"/>
      <c r="BTD80" s="362"/>
      <c r="BTE80" s="362"/>
      <c r="BTF80" s="362"/>
      <c r="BTG80" s="362"/>
      <c r="BTH80" s="362"/>
      <c r="BTI80" s="362"/>
      <c r="BTJ80" s="362"/>
      <c r="BTK80" s="362"/>
      <c r="BTL80" s="362"/>
      <c r="BTM80" s="362"/>
      <c r="BTN80" s="362"/>
      <c r="BTO80" s="362"/>
      <c r="BTP80" s="362"/>
      <c r="BTQ80" s="362"/>
      <c r="BTR80" s="362"/>
      <c r="BTS80" s="362"/>
      <c r="BTT80" s="362"/>
      <c r="BTU80" s="362"/>
      <c r="BTV80" s="362"/>
      <c r="BTW80" s="362"/>
      <c r="BTX80" s="362"/>
      <c r="BTY80" s="362"/>
      <c r="BTZ80" s="362"/>
      <c r="BUA80" s="362"/>
      <c r="BUB80" s="362"/>
      <c r="BUC80" s="362"/>
      <c r="BUD80" s="362"/>
      <c r="BUE80" s="362"/>
      <c r="BUF80" s="362"/>
      <c r="BUG80" s="362"/>
      <c r="BUH80" s="362"/>
      <c r="BUI80" s="362"/>
      <c r="BUJ80" s="362"/>
      <c r="BUK80" s="362"/>
      <c r="BUL80" s="362"/>
      <c r="BUM80" s="362"/>
      <c r="BUN80" s="362"/>
      <c r="BUO80" s="362"/>
      <c r="BUP80" s="362"/>
      <c r="BUQ80" s="362"/>
      <c r="BUR80" s="362"/>
      <c r="BUS80" s="362"/>
      <c r="BUT80" s="362"/>
      <c r="BUU80" s="362"/>
      <c r="BUV80" s="362"/>
      <c r="BUW80" s="362"/>
      <c r="BUX80" s="362"/>
      <c r="BUY80" s="362"/>
      <c r="BUZ80" s="362"/>
      <c r="BVA80" s="362"/>
      <c r="BVB80" s="362"/>
      <c r="BVC80" s="362"/>
      <c r="BVD80" s="362"/>
      <c r="BVE80" s="362"/>
      <c r="BVF80" s="362"/>
      <c r="BVG80" s="362"/>
      <c r="BVH80" s="362"/>
      <c r="BVI80" s="362"/>
      <c r="BVJ80" s="362"/>
      <c r="BVK80" s="362"/>
      <c r="BVL80" s="362"/>
      <c r="BVM80" s="362"/>
      <c r="BVN80" s="362"/>
      <c r="BVO80" s="362"/>
      <c r="BVP80" s="362"/>
      <c r="BVQ80" s="362"/>
      <c r="BVR80" s="362"/>
      <c r="BVS80" s="362"/>
      <c r="BVT80" s="362"/>
      <c r="BVU80" s="362"/>
      <c r="BVV80" s="362"/>
      <c r="BVW80" s="362"/>
      <c r="BVX80" s="362"/>
      <c r="BVY80" s="362"/>
      <c r="BVZ80" s="362"/>
      <c r="BWA80" s="362"/>
      <c r="BWB80" s="362"/>
      <c r="BWC80" s="362"/>
      <c r="BWD80" s="362"/>
      <c r="BWE80" s="362"/>
      <c r="BWF80" s="362"/>
      <c r="BWG80" s="362"/>
      <c r="BWH80" s="362"/>
      <c r="BWI80" s="362"/>
      <c r="BWJ80" s="362"/>
      <c r="BWK80" s="362"/>
      <c r="BWL80" s="362"/>
      <c r="BWM80" s="362"/>
      <c r="BWN80" s="362"/>
      <c r="BWO80" s="362"/>
      <c r="BWP80" s="362"/>
      <c r="BWQ80" s="362"/>
      <c r="BWR80" s="362"/>
      <c r="BWS80" s="362"/>
      <c r="BWT80" s="362"/>
      <c r="BWU80" s="362"/>
      <c r="BWV80" s="362"/>
      <c r="BWW80" s="362"/>
      <c r="BWX80" s="362"/>
      <c r="BWY80" s="362"/>
      <c r="BWZ80" s="362"/>
      <c r="BXA80" s="362"/>
      <c r="BXB80" s="362"/>
      <c r="BXC80" s="362"/>
      <c r="BXD80" s="362"/>
      <c r="BXE80" s="362"/>
      <c r="BXF80" s="362"/>
      <c r="BXG80" s="362"/>
      <c r="BXH80" s="362"/>
      <c r="BXI80" s="362"/>
      <c r="BXJ80" s="362"/>
      <c r="BXK80" s="362"/>
      <c r="BXL80" s="362"/>
      <c r="BXM80" s="362"/>
      <c r="BXN80" s="362"/>
      <c r="BXO80" s="362"/>
      <c r="BXP80" s="362"/>
      <c r="BXQ80" s="362"/>
      <c r="BXR80" s="362"/>
      <c r="BXS80" s="362"/>
      <c r="BXT80" s="362"/>
      <c r="BXU80" s="362"/>
      <c r="BXV80" s="362"/>
      <c r="BXW80" s="362"/>
      <c r="BXX80" s="362"/>
      <c r="BXY80" s="362"/>
      <c r="BXZ80" s="362"/>
      <c r="BYA80" s="362"/>
      <c r="BYB80" s="362"/>
      <c r="BYC80" s="362"/>
      <c r="BYD80" s="362"/>
      <c r="BYE80" s="362"/>
      <c r="BYF80" s="362"/>
      <c r="BYG80" s="362"/>
      <c r="BYH80" s="362"/>
      <c r="BYI80" s="362"/>
      <c r="BYJ80" s="362"/>
      <c r="BYK80" s="362"/>
      <c r="BYL80" s="362"/>
      <c r="BYM80" s="362"/>
      <c r="BYN80" s="362"/>
      <c r="BYO80" s="362"/>
      <c r="BYP80" s="362"/>
      <c r="BYQ80" s="362"/>
      <c r="BYR80" s="362"/>
      <c r="BYS80" s="362"/>
      <c r="BYT80" s="362"/>
      <c r="BYU80" s="362"/>
      <c r="BYV80" s="362"/>
      <c r="BYW80" s="362"/>
      <c r="BYX80" s="362"/>
      <c r="BYY80" s="362"/>
      <c r="BYZ80" s="362"/>
      <c r="BZA80" s="362"/>
      <c r="BZB80" s="362"/>
      <c r="BZC80" s="362"/>
      <c r="BZD80" s="362"/>
      <c r="BZE80" s="362"/>
      <c r="BZF80" s="362"/>
      <c r="BZG80" s="362"/>
      <c r="BZH80" s="362"/>
      <c r="BZI80" s="362"/>
      <c r="BZJ80" s="362"/>
      <c r="BZK80" s="362"/>
      <c r="BZL80" s="362"/>
      <c r="BZM80" s="362"/>
      <c r="BZN80" s="362"/>
      <c r="BZO80" s="362"/>
      <c r="BZP80" s="362"/>
      <c r="BZQ80" s="362"/>
      <c r="BZR80" s="362"/>
      <c r="BZS80" s="362"/>
      <c r="BZT80" s="362"/>
      <c r="BZU80" s="362"/>
      <c r="BZV80" s="362"/>
      <c r="BZW80" s="362"/>
      <c r="BZX80" s="362"/>
      <c r="BZY80" s="362"/>
      <c r="BZZ80" s="362"/>
      <c r="CAA80" s="362"/>
      <c r="CAB80" s="362"/>
      <c r="CAC80" s="362"/>
      <c r="CAD80" s="362"/>
      <c r="CAE80" s="362"/>
      <c r="CAF80" s="362"/>
      <c r="CAG80" s="362"/>
      <c r="CAH80" s="362"/>
      <c r="CAI80" s="362"/>
      <c r="CAJ80" s="362"/>
      <c r="CAK80" s="362"/>
      <c r="CAL80" s="362"/>
      <c r="CAM80" s="362"/>
      <c r="CAN80" s="362"/>
      <c r="CAO80" s="362"/>
      <c r="CAP80" s="362"/>
      <c r="CAQ80" s="362"/>
      <c r="CAR80" s="362"/>
      <c r="CAS80" s="362"/>
      <c r="CAT80" s="362"/>
      <c r="CAU80" s="362"/>
      <c r="CAV80" s="362"/>
      <c r="CAW80" s="362"/>
      <c r="CAX80" s="362"/>
      <c r="CAY80" s="362"/>
      <c r="CAZ80" s="362"/>
      <c r="CBA80" s="362"/>
      <c r="CBB80" s="362"/>
      <c r="CBC80" s="362"/>
      <c r="CBD80" s="362"/>
      <c r="CBE80" s="362"/>
      <c r="CBF80" s="362"/>
      <c r="CBG80" s="362"/>
      <c r="CBH80" s="362"/>
      <c r="CBI80" s="362"/>
      <c r="CBJ80" s="362"/>
      <c r="CBK80" s="362"/>
      <c r="CBL80" s="362"/>
      <c r="CBM80" s="362"/>
      <c r="CBN80" s="362"/>
      <c r="CBO80" s="362"/>
      <c r="CBP80" s="362"/>
      <c r="CBQ80" s="362"/>
      <c r="CBR80" s="362"/>
      <c r="CBS80" s="362"/>
      <c r="CBT80" s="362"/>
      <c r="CBU80" s="362"/>
      <c r="CBV80" s="362"/>
      <c r="CBW80" s="362"/>
      <c r="CBX80" s="362"/>
      <c r="CBY80" s="362"/>
      <c r="CBZ80" s="362"/>
      <c r="CCA80" s="362"/>
      <c r="CCB80" s="362"/>
      <c r="CCC80" s="362"/>
      <c r="CCD80" s="362"/>
      <c r="CCE80" s="362"/>
      <c r="CCF80" s="362"/>
      <c r="CCG80" s="362"/>
      <c r="CCH80" s="362"/>
      <c r="CCI80" s="362"/>
      <c r="CCJ80" s="362"/>
      <c r="CCK80" s="362"/>
      <c r="CCL80" s="362"/>
      <c r="CCM80" s="362"/>
      <c r="CCN80" s="362"/>
      <c r="CCO80" s="362"/>
      <c r="CCP80" s="362"/>
      <c r="CCQ80" s="362"/>
      <c r="CCR80" s="362"/>
      <c r="CCS80" s="362"/>
      <c r="CCT80" s="362"/>
      <c r="CCU80" s="362"/>
      <c r="CCV80" s="362"/>
      <c r="CCW80" s="362"/>
      <c r="CCX80" s="362"/>
      <c r="CCY80" s="362"/>
      <c r="CCZ80" s="362"/>
      <c r="CDA80" s="362"/>
      <c r="CDB80" s="362"/>
      <c r="CDC80" s="362"/>
      <c r="CDD80" s="362"/>
      <c r="CDE80" s="362"/>
      <c r="CDF80" s="362"/>
      <c r="CDG80" s="362"/>
      <c r="CDH80" s="362"/>
      <c r="CDI80" s="362"/>
      <c r="CDJ80" s="362"/>
      <c r="CDK80" s="362"/>
      <c r="CDL80" s="362"/>
      <c r="CDM80" s="362"/>
      <c r="CDN80" s="362"/>
      <c r="CDO80" s="362"/>
      <c r="CDP80" s="362"/>
      <c r="CDQ80" s="362"/>
      <c r="CDR80" s="362"/>
      <c r="CDS80" s="362"/>
      <c r="CDT80" s="362"/>
      <c r="CDU80" s="362"/>
      <c r="CDV80" s="362"/>
      <c r="CDW80" s="362"/>
      <c r="CDX80" s="362"/>
      <c r="CDY80" s="362"/>
      <c r="CDZ80" s="362"/>
      <c r="CEA80" s="362"/>
      <c r="CEB80" s="362"/>
      <c r="CEC80" s="362"/>
      <c r="CED80" s="362"/>
      <c r="CEE80" s="362"/>
      <c r="CEF80" s="362"/>
      <c r="CEG80" s="362"/>
      <c r="CEH80" s="362"/>
      <c r="CEI80" s="362"/>
      <c r="CEJ80" s="362"/>
      <c r="CEK80" s="362"/>
      <c r="CEL80" s="362"/>
      <c r="CEM80" s="362"/>
      <c r="CEN80" s="362"/>
      <c r="CEO80" s="362"/>
      <c r="CEP80" s="362"/>
      <c r="CEQ80" s="362"/>
      <c r="CER80" s="362"/>
      <c r="CES80" s="362"/>
      <c r="CET80" s="362"/>
      <c r="CEU80" s="362"/>
      <c r="CEV80" s="362"/>
      <c r="CEW80" s="362"/>
      <c r="CEX80" s="362"/>
      <c r="CEY80" s="362"/>
      <c r="CEZ80" s="362"/>
      <c r="CFA80" s="362"/>
      <c r="CFB80" s="362"/>
      <c r="CFC80" s="362"/>
      <c r="CFD80" s="362"/>
      <c r="CFE80" s="362"/>
      <c r="CFF80" s="362"/>
      <c r="CFG80" s="362"/>
      <c r="CFH80" s="362"/>
      <c r="CFI80" s="362"/>
      <c r="CFJ80" s="362"/>
      <c r="CFK80" s="362"/>
      <c r="CFL80" s="362"/>
      <c r="CFM80" s="362"/>
      <c r="CFN80" s="362"/>
      <c r="CFO80" s="362"/>
      <c r="CFP80" s="362"/>
      <c r="CFQ80" s="362"/>
      <c r="CFR80" s="362"/>
      <c r="CFS80" s="362"/>
      <c r="CFT80" s="362"/>
      <c r="CFU80" s="362"/>
      <c r="CFV80" s="362"/>
      <c r="CFW80" s="362"/>
      <c r="CFX80" s="362"/>
      <c r="CFY80" s="362"/>
      <c r="CFZ80" s="362"/>
      <c r="CGA80" s="362"/>
      <c r="CGB80" s="362"/>
      <c r="CGC80" s="362"/>
      <c r="CGD80" s="362"/>
      <c r="CGE80" s="362"/>
      <c r="CGF80" s="362"/>
      <c r="CGG80" s="362"/>
      <c r="CGH80" s="362"/>
      <c r="CGI80" s="362"/>
      <c r="CGJ80" s="362"/>
      <c r="CGK80" s="362"/>
      <c r="CGL80" s="362"/>
      <c r="CGM80" s="362"/>
      <c r="CGN80" s="362"/>
      <c r="CGO80" s="362"/>
      <c r="CGP80" s="362"/>
      <c r="CGQ80" s="362"/>
      <c r="CGR80" s="362"/>
      <c r="CGS80" s="362"/>
      <c r="CGT80" s="362"/>
      <c r="CGU80" s="362"/>
      <c r="CGV80" s="362"/>
      <c r="CGW80" s="362"/>
      <c r="CGX80" s="362"/>
      <c r="CGY80" s="362"/>
      <c r="CGZ80" s="362"/>
      <c r="CHA80" s="362"/>
      <c r="CHB80" s="362"/>
      <c r="CHC80" s="362"/>
      <c r="CHD80" s="362"/>
      <c r="CHE80" s="362"/>
      <c r="CHF80" s="362"/>
      <c r="CHG80" s="362"/>
      <c r="CHH80" s="362"/>
      <c r="CHI80" s="362"/>
      <c r="CHJ80" s="362"/>
      <c r="CHK80" s="362"/>
      <c r="CHL80" s="362"/>
      <c r="CHM80" s="362"/>
      <c r="CHN80" s="362"/>
      <c r="CHO80" s="362"/>
      <c r="CHP80" s="362"/>
      <c r="CHQ80" s="362"/>
      <c r="CHR80" s="362"/>
      <c r="CHS80" s="362"/>
      <c r="CHT80" s="362"/>
      <c r="CHU80" s="362"/>
      <c r="CHV80" s="362"/>
      <c r="CHW80" s="362"/>
      <c r="CHX80" s="362"/>
      <c r="CHY80" s="362"/>
      <c r="CHZ80" s="362"/>
      <c r="CIA80" s="362"/>
      <c r="CIB80" s="362"/>
      <c r="CIC80" s="362"/>
      <c r="CID80" s="362"/>
      <c r="CIE80" s="362"/>
      <c r="CIF80" s="362"/>
      <c r="CIG80" s="362"/>
      <c r="CIH80" s="362"/>
      <c r="CII80" s="362"/>
      <c r="CIJ80" s="362"/>
      <c r="CIK80" s="362"/>
      <c r="CIL80" s="362"/>
      <c r="CIM80" s="362"/>
      <c r="CIN80" s="362"/>
      <c r="CIO80" s="362"/>
      <c r="CIP80" s="362"/>
      <c r="CIQ80" s="362"/>
      <c r="CIR80" s="362"/>
      <c r="CIS80" s="362"/>
      <c r="CIT80" s="362"/>
      <c r="CIU80" s="362"/>
      <c r="CIV80" s="362"/>
      <c r="CIW80" s="362"/>
      <c r="CIX80" s="362"/>
      <c r="CIY80" s="362"/>
      <c r="CIZ80" s="362"/>
      <c r="CJA80" s="362"/>
      <c r="CJB80" s="362"/>
      <c r="CJC80" s="362"/>
      <c r="CJD80" s="362"/>
      <c r="CJE80" s="362"/>
      <c r="CJF80" s="362"/>
      <c r="CJG80" s="362"/>
      <c r="CJH80" s="362"/>
      <c r="CJI80" s="362"/>
      <c r="CJJ80" s="362"/>
      <c r="CJK80" s="362"/>
      <c r="CJL80" s="362"/>
      <c r="CJM80" s="362"/>
      <c r="CJN80" s="362"/>
      <c r="CJO80" s="362"/>
      <c r="CJP80" s="362"/>
      <c r="CJQ80" s="362"/>
      <c r="CJR80" s="362"/>
      <c r="CJS80" s="362"/>
      <c r="CJT80" s="362"/>
      <c r="CJU80" s="362"/>
      <c r="CJV80" s="362"/>
      <c r="CJW80" s="362"/>
      <c r="CJX80" s="362"/>
      <c r="CJY80" s="362"/>
      <c r="CJZ80" s="362"/>
      <c r="CKA80" s="362"/>
      <c r="CKB80" s="362"/>
      <c r="CKC80" s="362"/>
      <c r="CKD80" s="362"/>
      <c r="CKE80" s="362"/>
      <c r="CKF80" s="362"/>
      <c r="CKG80" s="362"/>
      <c r="CKH80" s="362"/>
      <c r="CKI80" s="362"/>
      <c r="CKJ80" s="362"/>
      <c r="CKK80" s="362"/>
      <c r="CKL80" s="362"/>
      <c r="CKM80" s="362"/>
      <c r="CKN80" s="362"/>
      <c r="CKO80" s="362"/>
      <c r="CKP80" s="362"/>
      <c r="CKQ80" s="362"/>
      <c r="CKR80" s="362"/>
      <c r="CKS80" s="362"/>
      <c r="CKT80" s="362"/>
      <c r="CKU80" s="362"/>
      <c r="CKV80" s="362"/>
      <c r="CKW80" s="362"/>
      <c r="CKX80" s="362"/>
      <c r="CKY80" s="362"/>
      <c r="CKZ80" s="362"/>
      <c r="CLA80" s="362"/>
      <c r="CLB80" s="362"/>
      <c r="CLC80" s="362"/>
      <c r="CLD80" s="362"/>
      <c r="CLE80" s="362"/>
      <c r="CLF80" s="362"/>
      <c r="CLG80" s="362"/>
      <c r="CLH80" s="362"/>
      <c r="CLI80" s="362"/>
      <c r="CLJ80" s="362"/>
      <c r="CLK80" s="362"/>
      <c r="CLL80" s="362"/>
      <c r="CLM80" s="362"/>
      <c r="CLN80" s="362"/>
      <c r="CLO80" s="362"/>
      <c r="CLP80" s="362"/>
      <c r="CLQ80" s="362"/>
      <c r="CLR80" s="362"/>
      <c r="CLS80" s="362"/>
      <c r="CLT80" s="362"/>
      <c r="CLU80" s="362"/>
      <c r="CLV80" s="362"/>
      <c r="CLW80" s="362"/>
      <c r="CLX80" s="362"/>
      <c r="CLY80" s="362"/>
      <c r="CLZ80" s="362"/>
      <c r="CMA80" s="362"/>
      <c r="CMB80" s="362"/>
      <c r="CMC80" s="362"/>
      <c r="CMD80" s="362"/>
      <c r="CME80" s="362"/>
      <c r="CMF80" s="362"/>
      <c r="CMG80" s="362"/>
      <c r="CMH80" s="362"/>
      <c r="CMI80" s="362"/>
      <c r="CMJ80" s="362"/>
      <c r="CMK80" s="362"/>
      <c r="CML80" s="362"/>
      <c r="CMM80" s="362"/>
      <c r="CMN80" s="362"/>
      <c r="CMO80" s="362"/>
      <c r="CMP80" s="362"/>
      <c r="CMQ80" s="362"/>
      <c r="CMR80" s="362"/>
      <c r="CMS80" s="362"/>
      <c r="CMT80" s="362"/>
      <c r="CMU80" s="362"/>
      <c r="CMV80" s="362"/>
      <c r="CMW80" s="362"/>
      <c r="CMX80" s="362"/>
      <c r="CMY80" s="362"/>
      <c r="CMZ80" s="362"/>
      <c r="CNA80" s="362"/>
      <c r="CNB80" s="362"/>
      <c r="CNC80" s="362"/>
      <c r="CND80" s="362"/>
      <c r="CNE80" s="362"/>
      <c r="CNF80" s="362"/>
      <c r="CNG80" s="362"/>
      <c r="CNH80" s="362"/>
      <c r="CNI80" s="362"/>
      <c r="CNJ80" s="362"/>
      <c r="CNK80" s="362"/>
      <c r="CNL80" s="362"/>
      <c r="CNM80" s="362"/>
      <c r="CNN80" s="362"/>
      <c r="CNO80" s="362"/>
      <c r="CNP80" s="362"/>
      <c r="CNQ80" s="362"/>
      <c r="CNR80" s="362"/>
      <c r="CNS80" s="362"/>
      <c r="CNT80" s="362"/>
      <c r="CNU80" s="362"/>
      <c r="CNV80" s="362"/>
      <c r="CNW80" s="362"/>
      <c r="CNX80" s="362"/>
      <c r="CNY80" s="362"/>
      <c r="CNZ80" s="362"/>
      <c r="COA80" s="362"/>
      <c r="COB80" s="362"/>
      <c r="COC80" s="362"/>
      <c r="COD80" s="362"/>
      <c r="COE80" s="362"/>
      <c r="COF80" s="362"/>
      <c r="COG80" s="362"/>
      <c r="COH80" s="362"/>
      <c r="COI80" s="362"/>
      <c r="COJ80" s="362"/>
      <c r="COK80" s="362"/>
      <c r="COL80" s="362"/>
      <c r="COM80" s="362"/>
      <c r="CON80" s="362"/>
      <c r="COO80" s="362"/>
      <c r="COP80" s="362"/>
      <c r="COQ80" s="362"/>
      <c r="COR80" s="362"/>
      <c r="COS80" s="362"/>
      <c r="COT80" s="362"/>
      <c r="COU80" s="362"/>
      <c r="COV80" s="362"/>
      <c r="COW80" s="362"/>
      <c r="COX80" s="362"/>
      <c r="COY80" s="362"/>
      <c r="COZ80" s="362"/>
      <c r="CPA80" s="362"/>
      <c r="CPB80" s="362"/>
      <c r="CPC80" s="362"/>
      <c r="CPD80" s="362"/>
      <c r="CPE80" s="362"/>
      <c r="CPF80" s="362"/>
      <c r="CPG80" s="362"/>
      <c r="CPH80" s="362"/>
      <c r="CPI80" s="362"/>
      <c r="CPJ80" s="362"/>
      <c r="CPK80" s="362"/>
      <c r="CPL80" s="362"/>
      <c r="CPM80" s="362"/>
      <c r="CPN80" s="362"/>
      <c r="CPO80" s="362"/>
      <c r="CPP80" s="362"/>
      <c r="CPQ80" s="362"/>
      <c r="CPR80" s="362"/>
      <c r="CPS80" s="362"/>
      <c r="CPT80" s="362"/>
      <c r="CPU80" s="362"/>
      <c r="CPV80" s="362"/>
      <c r="CPW80" s="362"/>
      <c r="CPX80" s="362"/>
      <c r="CPY80" s="362"/>
      <c r="CPZ80" s="362"/>
      <c r="CQA80" s="362"/>
      <c r="CQB80" s="362"/>
      <c r="CQC80" s="362"/>
      <c r="CQD80" s="362"/>
      <c r="CQE80" s="362"/>
      <c r="CQF80" s="362"/>
      <c r="CQG80" s="362"/>
      <c r="CQH80" s="362"/>
      <c r="CQI80" s="362"/>
      <c r="CQJ80" s="362"/>
      <c r="CQK80" s="362"/>
      <c r="CQL80" s="362"/>
      <c r="CQM80" s="362"/>
      <c r="CQN80" s="362"/>
      <c r="CQO80" s="362"/>
      <c r="CQP80" s="362"/>
      <c r="CQQ80" s="362"/>
      <c r="CQR80" s="362"/>
      <c r="CQS80" s="362"/>
      <c r="CQT80" s="362"/>
      <c r="CQU80" s="362"/>
      <c r="CQV80" s="362"/>
      <c r="CQW80" s="362"/>
      <c r="CQX80" s="362"/>
      <c r="CQY80" s="362"/>
      <c r="CQZ80" s="362"/>
      <c r="CRA80" s="362"/>
      <c r="CRB80" s="362"/>
      <c r="CRC80" s="362"/>
      <c r="CRD80" s="362"/>
      <c r="CRE80" s="362"/>
      <c r="CRF80" s="362"/>
      <c r="CRG80" s="362"/>
      <c r="CRH80" s="362"/>
      <c r="CRI80" s="362"/>
      <c r="CRJ80" s="362"/>
      <c r="CRK80" s="362"/>
      <c r="CRL80" s="362"/>
      <c r="CRM80" s="362"/>
      <c r="CRN80" s="362"/>
      <c r="CRO80" s="362"/>
      <c r="CRP80" s="362"/>
      <c r="CRQ80" s="362"/>
      <c r="CRR80" s="362"/>
      <c r="CRS80" s="362"/>
      <c r="CRT80" s="362"/>
      <c r="CRU80" s="362"/>
      <c r="CRV80" s="362"/>
      <c r="CRW80" s="362"/>
      <c r="CRX80" s="362"/>
      <c r="CRY80" s="362"/>
      <c r="CRZ80" s="362"/>
      <c r="CSA80" s="362"/>
      <c r="CSB80" s="362"/>
      <c r="CSC80" s="362"/>
      <c r="CSD80" s="362"/>
      <c r="CSE80" s="362"/>
      <c r="CSF80" s="362"/>
      <c r="CSG80" s="362"/>
      <c r="CSH80" s="362"/>
      <c r="CSI80" s="362"/>
      <c r="CSJ80" s="362"/>
      <c r="CSK80" s="362"/>
      <c r="CSL80" s="362"/>
      <c r="CSM80" s="362"/>
      <c r="CSN80" s="362"/>
      <c r="CSO80" s="362"/>
      <c r="CSP80" s="362"/>
      <c r="CSQ80" s="362"/>
      <c r="CSR80" s="362"/>
      <c r="CSS80" s="362"/>
      <c r="CST80" s="362"/>
      <c r="CSU80" s="362"/>
      <c r="CSV80" s="362"/>
      <c r="CSW80" s="362"/>
      <c r="CSX80" s="362"/>
      <c r="CSY80" s="362"/>
      <c r="CSZ80" s="362"/>
      <c r="CTA80" s="362"/>
      <c r="CTB80" s="362"/>
      <c r="CTC80" s="362"/>
      <c r="CTD80" s="362"/>
      <c r="CTE80" s="362"/>
      <c r="CTF80" s="362"/>
      <c r="CTG80" s="362"/>
      <c r="CTH80" s="362"/>
      <c r="CTI80" s="362"/>
      <c r="CTJ80" s="362"/>
      <c r="CTK80" s="362"/>
      <c r="CTL80" s="362"/>
      <c r="CTM80" s="362"/>
      <c r="CTN80" s="362"/>
      <c r="CTO80" s="362"/>
      <c r="CTP80" s="362"/>
      <c r="CTQ80" s="362"/>
      <c r="CTR80" s="362"/>
      <c r="CTS80" s="362"/>
      <c r="CTT80" s="362"/>
      <c r="CTU80" s="362"/>
      <c r="CTV80" s="362"/>
      <c r="CTW80" s="362"/>
      <c r="CTX80" s="362"/>
      <c r="CTY80" s="362"/>
      <c r="CTZ80" s="362"/>
      <c r="CUA80" s="362"/>
      <c r="CUB80" s="362"/>
      <c r="CUC80" s="362"/>
      <c r="CUD80" s="362"/>
      <c r="CUE80" s="362"/>
      <c r="CUF80" s="362"/>
      <c r="CUG80" s="362"/>
      <c r="CUH80" s="362"/>
      <c r="CUI80" s="362"/>
      <c r="CUJ80" s="362"/>
      <c r="CUK80" s="362"/>
      <c r="CUL80" s="362"/>
      <c r="CUM80" s="362"/>
      <c r="CUN80" s="362"/>
      <c r="CUO80" s="362"/>
      <c r="CUP80" s="362"/>
      <c r="CUQ80" s="362"/>
      <c r="CUR80" s="362"/>
      <c r="CUS80" s="362"/>
      <c r="CUT80" s="362"/>
      <c r="CUU80" s="362"/>
      <c r="CUV80" s="362"/>
      <c r="CUW80" s="362"/>
      <c r="CUX80" s="362"/>
      <c r="CUY80" s="362"/>
      <c r="CUZ80" s="362"/>
      <c r="CVA80" s="362"/>
      <c r="CVB80" s="362"/>
      <c r="CVC80" s="362"/>
      <c r="CVD80" s="362"/>
      <c r="CVE80" s="362"/>
      <c r="CVF80" s="362"/>
      <c r="CVG80" s="362"/>
      <c r="CVH80" s="362"/>
      <c r="CVI80" s="362"/>
      <c r="CVJ80" s="362"/>
      <c r="CVK80" s="362"/>
      <c r="CVL80" s="362"/>
      <c r="CVM80" s="362"/>
      <c r="CVN80" s="362"/>
      <c r="CVO80" s="362"/>
      <c r="CVP80" s="362"/>
      <c r="CVQ80" s="362"/>
      <c r="CVR80" s="362"/>
      <c r="CVS80" s="362"/>
      <c r="CVT80" s="362"/>
      <c r="CVU80" s="362"/>
      <c r="CVV80" s="362"/>
      <c r="CVW80" s="362"/>
      <c r="CVX80" s="362"/>
      <c r="CVY80" s="362"/>
      <c r="CVZ80" s="362"/>
      <c r="CWA80" s="362"/>
      <c r="CWB80" s="362"/>
      <c r="CWC80" s="362"/>
      <c r="CWD80" s="362"/>
      <c r="CWE80" s="362"/>
      <c r="CWF80" s="362"/>
      <c r="CWG80" s="362"/>
      <c r="CWH80" s="362"/>
      <c r="CWI80" s="362"/>
      <c r="CWJ80" s="362"/>
      <c r="CWK80" s="362"/>
      <c r="CWL80" s="362"/>
      <c r="CWM80" s="362"/>
      <c r="CWN80" s="362"/>
      <c r="CWO80" s="362"/>
      <c r="CWP80" s="362"/>
      <c r="CWQ80" s="362"/>
      <c r="CWR80" s="362"/>
      <c r="CWS80" s="362"/>
      <c r="CWT80" s="362"/>
      <c r="CWU80" s="362"/>
      <c r="CWV80" s="362"/>
      <c r="CWW80" s="362"/>
      <c r="CWX80" s="362"/>
      <c r="CWY80" s="362"/>
      <c r="CWZ80" s="362"/>
      <c r="CXA80" s="362"/>
      <c r="CXB80" s="362"/>
      <c r="CXC80" s="362"/>
      <c r="CXD80" s="362"/>
      <c r="CXE80" s="362"/>
      <c r="CXF80" s="362"/>
      <c r="CXG80" s="362"/>
      <c r="CXH80" s="362"/>
      <c r="CXI80" s="362"/>
      <c r="CXJ80" s="362"/>
      <c r="CXK80" s="362"/>
      <c r="CXL80" s="362"/>
      <c r="CXM80" s="362"/>
      <c r="CXN80" s="362"/>
      <c r="CXO80" s="362"/>
      <c r="CXP80" s="362"/>
      <c r="CXQ80" s="362"/>
      <c r="CXR80" s="362"/>
      <c r="CXS80" s="362"/>
      <c r="CXT80" s="362"/>
      <c r="CXU80" s="362"/>
      <c r="CXV80" s="362"/>
      <c r="CXW80" s="362"/>
      <c r="CXX80" s="362"/>
      <c r="CXY80" s="362"/>
      <c r="CXZ80" s="362"/>
      <c r="CYA80" s="362"/>
      <c r="CYB80" s="362"/>
      <c r="CYC80" s="362"/>
      <c r="CYD80" s="362"/>
      <c r="CYE80" s="362"/>
      <c r="CYF80" s="362"/>
      <c r="CYG80" s="362"/>
      <c r="CYH80" s="362"/>
      <c r="CYI80" s="362"/>
      <c r="CYJ80" s="362"/>
      <c r="CYK80" s="362"/>
      <c r="CYL80" s="362"/>
      <c r="CYM80" s="362"/>
      <c r="CYN80" s="362"/>
      <c r="CYO80" s="362"/>
      <c r="CYP80" s="362"/>
      <c r="CYQ80" s="362"/>
      <c r="CYR80" s="362"/>
      <c r="CYS80" s="362"/>
      <c r="CYT80" s="362"/>
      <c r="CYU80" s="362"/>
      <c r="CYV80" s="362"/>
      <c r="CYW80" s="362"/>
      <c r="CYX80" s="362"/>
      <c r="CYY80" s="362"/>
      <c r="CYZ80" s="362"/>
      <c r="CZA80" s="362"/>
      <c r="CZB80" s="362"/>
      <c r="CZC80" s="362"/>
      <c r="CZD80" s="362"/>
      <c r="CZE80" s="362"/>
      <c r="CZF80" s="362"/>
      <c r="CZG80" s="362"/>
      <c r="CZH80" s="362"/>
      <c r="CZI80" s="362"/>
      <c r="CZJ80" s="362"/>
      <c r="CZK80" s="362"/>
      <c r="CZL80" s="362"/>
      <c r="CZM80" s="362"/>
      <c r="CZN80" s="362"/>
      <c r="CZO80" s="362"/>
      <c r="CZP80" s="362"/>
      <c r="CZQ80" s="362"/>
      <c r="CZR80" s="362"/>
      <c r="CZS80" s="362"/>
      <c r="CZT80" s="362"/>
      <c r="CZU80" s="362"/>
      <c r="CZV80" s="362"/>
      <c r="CZW80" s="362"/>
      <c r="CZX80" s="362"/>
      <c r="CZY80" s="362"/>
      <c r="CZZ80" s="362"/>
      <c r="DAA80" s="362"/>
      <c r="DAB80" s="362"/>
      <c r="DAC80" s="362"/>
      <c r="DAD80" s="362"/>
      <c r="DAE80" s="362"/>
      <c r="DAF80" s="362"/>
      <c r="DAG80" s="362"/>
      <c r="DAH80" s="362"/>
      <c r="DAI80" s="362"/>
      <c r="DAJ80" s="362"/>
      <c r="DAK80" s="362"/>
      <c r="DAL80" s="362"/>
      <c r="DAM80" s="362"/>
      <c r="DAN80" s="362"/>
      <c r="DAO80" s="362"/>
      <c r="DAP80" s="362"/>
      <c r="DAQ80" s="362"/>
      <c r="DAR80" s="362"/>
      <c r="DAS80" s="362"/>
      <c r="DAT80" s="362"/>
      <c r="DAU80" s="362"/>
      <c r="DAV80" s="362"/>
      <c r="DAW80" s="362"/>
      <c r="DAX80" s="362"/>
      <c r="DAY80" s="362"/>
      <c r="DAZ80" s="362"/>
      <c r="DBA80" s="362"/>
      <c r="DBB80" s="362"/>
      <c r="DBC80" s="362"/>
      <c r="DBD80" s="362"/>
      <c r="DBE80" s="362"/>
      <c r="DBF80" s="362"/>
      <c r="DBG80" s="362"/>
      <c r="DBH80" s="362"/>
      <c r="DBI80" s="362"/>
      <c r="DBJ80" s="362"/>
      <c r="DBK80" s="362"/>
      <c r="DBL80" s="362"/>
      <c r="DBM80" s="362"/>
      <c r="DBN80" s="362"/>
      <c r="DBO80" s="362"/>
      <c r="DBP80" s="362"/>
      <c r="DBQ80" s="362"/>
      <c r="DBR80" s="362"/>
      <c r="DBS80" s="362"/>
      <c r="DBT80" s="362"/>
      <c r="DBU80" s="362"/>
      <c r="DBV80" s="362"/>
      <c r="DBW80" s="362"/>
      <c r="DBX80" s="362"/>
      <c r="DBY80" s="362"/>
      <c r="DBZ80" s="362"/>
      <c r="DCA80" s="362"/>
      <c r="DCB80" s="362"/>
      <c r="DCC80" s="362"/>
      <c r="DCD80" s="362"/>
      <c r="DCE80" s="362"/>
      <c r="DCF80" s="362"/>
      <c r="DCG80" s="362"/>
      <c r="DCH80" s="362"/>
      <c r="DCI80" s="362"/>
      <c r="DCJ80" s="362"/>
      <c r="DCK80" s="362"/>
      <c r="DCL80" s="362"/>
      <c r="DCM80" s="362"/>
      <c r="DCN80" s="362"/>
      <c r="DCO80" s="362"/>
      <c r="DCP80" s="362"/>
      <c r="DCQ80" s="362"/>
      <c r="DCR80" s="362"/>
      <c r="DCS80" s="362"/>
      <c r="DCT80" s="362"/>
      <c r="DCU80" s="362"/>
      <c r="DCV80" s="362"/>
      <c r="DCW80" s="362"/>
      <c r="DCX80" s="362"/>
      <c r="DCY80" s="362"/>
      <c r="DCZ80" s="362"/>
      <c r="DDA80" s="362"/>
      <c r="DDB80" s="362"/>
      <c r="DDC80" s="362"/>
      <c r="DDD80" s="362"/>
      <c r="DDE80" s="362"/>
      <c r="DDF80" s="362"/>
      <c r="DDG80" s="362"/>
      <c r="DDH80" s="362"/>
      <c r="DDI80" s="362"/>
      <c r="DDJ80" s="362"/>
      <c r="DDK80" s="362"/>
      <c r="DDL80" s="362"/>
      <c r="DDM80" s="362"/>
      <c r="DDN80" s="362"/>
      <c r="DDO80" s="362"/>
      <c r="DDP80" s="362"/>
      <c r="DDQ80" s="362"/>
      <c r="DDR80" s="362"/>
      <c r="DDS80" s="362"/>
      <c r="DDT80" s="362"/>
      <c r="DDU80" s="362"/>
      <c r="DDV80" s="362"/>
      <c r="DDW80" s="362"/>
      <c r="DDX80" s="362"/>
      <c r="DDY80" s="362"/>
      <c r="DDZ80" s="362"/>
      <c r="DEA80" s="362"/>
      <c r="DEB80" s="362"/>
      <c r="DEC80" s="362"/>
      <c r="DED80" s="362"/>
      <c r="DEE80" s="362"/>
      <c r="DEF80" s="362"/>
      <c r="DEG80" s="362"/>
      <c r="DEH80" s="362"/>
      <c r="DEI80" s="362"/>
      <c r="DEJ80" s="362"/>
      <c r="DEK80" s="362"/>
      <c r="DEL80" s="362"/>
      <c r="DEM80" s="362"/>
      <c r="DEN80" s="362"/>
      <c r="DEO80" s="362"/>
      <c r="DEP80" s="362"/>
      <c r="DEQ80" s="362"/>
      <c r="DER80" s="362"/>
      <c r="DES80" s="362"/>
      <c r="DET80" s="362"/>
      <c r="DEU80" s="362"/>
      <c r="DEV80" s="362"/>
      <c r="DEW80" s="362"/>
      <c r="DEX80" s="362"/>
      <c r="DEY80" s="362"/>
      <c r="DEZ80" s="362"/>
      <c r="DFA80" s="362"/>
      <c r="DFB80" s="362"/>
      <c r="DFC80" s="362"/>
      <c r="DFD80" s="362"/>
      <c r="DFE80" s="362"/>
      <c r="DFF80" s="362"/>
      <c r="DFG80" s="362"/>
      <c r="DFH80" s="362"/>
      <c r="DFI80" s="362"/>
      <c r="DFJ80" s="362"/>
      <c r="DFK80" s="362"/>
      <c r="DFL80" s="362"/>
      <c r="DFM80" s="362"/>
      <c r="DFN80" s="362"/>
      <c r="DFO80" s="362"/>
      <c r="DFP80" s="362"/>
      <c r="DFQ80" s="362"/>
      <c r="DFR80" s="362"/>
      <c r="DFS80" s="362"/>
      <c r="DFT80" s="362"/>
      <c r="DFU80" s="362"/>
      <c r="DFV80" s="362"/>
      <c r="DFW80" s="362"/>
      <c r="DFX80" s="362"/>
      <c r="DFY80" s="362"/>
      <c r="DFZ80" s="362"/>
      <c r="DGA80" s="362"/>
      <c r="DGB80" s="362"/>
      <c r="DGC80" s="362"/>
      <c r="DGD80" s="362"/>
      <c r="DGE80" s="362"/>
      <c r="DGF80" s="362"/>
      <c r="DGG80" s="362"/>
      <c r="DGH80" s="362"/>
      <c r="DGI80" s="362"/>
      <c r="DGJ80" s="362"/>
      <c r="DGK80" s="362"/>
      <c r="DGL80" s="362"/>
      <c r="DGM80" s="362"/>
      <c r="DGN80" s="362"/>
      <c r="DGO80" s="362"/>
      <c r="DGP80" s="362"/>
      <c r="DGQ80" s="362"/>
      <c r="DGR80" s="362"/>
      <c r="DGS80" s="362"/>
      <c r="DGT80" s="362"/>
      <c r="DGU80" s="362"/>
      <c r="DGV80" s="362"/>
      <c r="DGW80" s="362"/>
      <c r="DGX80" s="362"/>
      <c r="DGY80" s="362"/>
      <c r="DGZ80" s="362"/>
      <c r="DHA80" s="362"/>
      <c r="DHB80" s="362"/>
      <c r="DHC80" s="362"/>
      <c r="DHD80" s="362"/>
      <c r="DHE80" s="362"/>
      <c r="DHF80" s="362"/>
      <c r="DHG80" s="362"/>
      <c r="DHH80" s="362"/>
      <c r="DHI80" s="362"/>
      <c r="DHJ80" s="362"/>
      <c r="DHK80" s="362"/>
      <c r="DHL80" s="362"/>
      <c r="DHM80" s="362"/>
      <c r="DHN80" s="362"/>
      <c r="DHO80" s="362"/>
      <c r="DHP80" s="362"/>
      <c r="DHQ80" s="362"/>
      <c r="DHR80" s="362"/>
      <c r="DHS80" s="362"/>
      <c r="DHT80" s="362"/>
      <c r="DHU80" s="362"/>
      <c r="DHV80" s="362"/>
      <c r="DHW80" s="362"/>
      <c r="DHX80" s="362"/>
      <c r="DHY80" s="362"/>
      <c r="DHZ80" s="362"/>
      <c r="DIA80" s="362"/>
      <c r="DIB80" s="362"/>
      <c r="DIC80" s="362"/>
      <c r="DID80" s="362"/>
      <c r="DIE80" s="362"/>
      <c r="DIF80" s="362"/>
      <c r="DIG80" s="362"/>
      <c r="DIH80" s="362"/>
      <c r="DII80" s="362"/>
      <c r="DIJ80" s="362"/>
      <c r="DIK80" s="362"/>
      <c r="DIL80" s="362"/>
      <c r="DIM80" s="362"/>
      <c r="DIN80" s="362"/>
      <c r="DIO80" s="362"/>
      <c r="DIP80" s="362"/>
      <c r="DIQ80" s="362"/>
      <c r="DIR80" s="362"/>
      <c r="DIS80" s="362"/>
      <c r="DIT80" s="362"/>
      <c r="DIU80" s="362"/>
      <c r="DIV80" s="362"/>
      <c r="DIW80" s="362"/>
      <c r="DIX80" s="362"/>
      <c r="DIY80" s="362"/>
      <c r="DIZ80" s="362"/>
      <c r="DJA80" s="362"/>
      <c r="DJB80" s="362"/>
      <c r="DJC80" s="362"/>
      <c r="DJD80" s="362"/>
      <c r="DJE80" s="362"/>
      <c r="DJF80" s="362"/>
      <c r="DJG80" s="362"/>
      <c r="DJH80" s="362"/>
      <c r="DJI80" s="362"/>
      <c r="DJJ80" s="362"/>
      <c r="DJK80" s="362"/>
      <c r="DJL80" s="362"/>
      <c r="DJM80" s="362"/>
      <c r="DJN80" s="362"/>
      <c r="DJO80" s="362"/>
      <c r="DJP80" s="362"/>
      <c r="DJQ80" s="362"/>
      <c r="DJR80" s="362"/>
      <c r="DJS80" s="362"/>
      <c r="DJT80" s="362"/>
      <c r="DJU80" s="362"/>
      <c r="DJV80" s="362"/>
      <c r="DJW80" s="362"/>
      <c r="DJX80" s="362"/>
      <c r="DJY80" s="362"/>
      <c r="DJZ80" s="362"/>
      <c r="DKA80" s="362"/>
      <c r="DKB80" s="362"/>
      <c r="DKC80" s="362"/>
      <c r="DKD80" s="362"/>
      <c r="DKE80" s="362"/>
      <c r="DKF80" s="362"/>
      <c r="DKG80" s="362"/>
      <c r="DKH80" s="362"/>
      <c r="DKI80" s="362"/>
      <c r="DKJ80" s="362"/>
      <c r="DKK80" s="362"/>
      <c r="DKL80" s="362"/>
      <c r="DKM80" s="362"/>
      <c r="DKN80" s="362"/>
      <c r="DKO80" s="362"/>
      <c r="DKP80" s="362"/>
      <c r="DKQ80" s="362"/>
      <c r="DKR80" s="362"/>
      <c r="DKS80" s="362"/>
      <c r="DKT80" s="362"/>
      <c r="DKU80" s="362"/>
      <c r="DKV80" s="362"/>
      <c r="DKW80" s="362"/>
      <c r="DKX80" s="362"/>
      <c r="DKY80" s="362"/>
      <c r="DKZ80" s="362"/>
      <c r="DLA80" s="362"/>
      <c r="DLB80" s="362"/>
      <c r="DLC80" s="362"/>
      <c r="DLD80" s="362"/>
      <c r="DLE80" s="362"/>
      <c r="DLF80" s="362"/>
      <c r="DLG80" s="362"/>
      <c r="DLH80" s="362"/>
      <c r="DLI80" s="362"/>
      <c r="DLJ80" s="362"/>
      <c r="DLK80" s="362"/>
      <c r="DLL80" s="362"/>
      <c r="DLM80" s="362"/>
      <c r="DLN80" s="362"/>
      <c r="DLO80" s="362"/>
      <c r="DLP80" s="362"/>
      <c r="DLQ80" s="362"/>
      <c r="DLR80" s="362"/>
      <c r="DLS80" s="362"/>
      <c r="DLT80" s="362"/>
      <c r="DLU80" s="362"/>
      <c r="DLV80" s="362"/>
      <c r="DLW80" s="362"/>
      <c r="DLX80" s="362"/>
      <c r="DLY80" s="362"/>
      <c r="DLZ80" s="362"/>
      <c r="DMA80" s="362"/>
      <c r="DMB80" s="362"/>
      <c r="DMC80" s="362"/>
      <c r="DMD80" s="362"/>
      <c r="DME80" s="362"/>
      <c r="DMF80" s="362"/>
      <c r="DMG80" s="362"/>
      <c r="DMH80" s="362"/>
      <c r="DMI80" s="362"/>
      <c r="DMJ80" s="362"/>
      <c r="DMK80" s="362"/>
      <c r="DML80" s="362"/>
      <c r="DMM80" s="362"/>
      <c r="DMN80" s="362"/>
      <c r="DMO80" s="362"/>
      <c r="DMP80" s="362"/>
      <c r="DMQ80" s="362"/>
      <c r="DMR80" s="362"/>
      <c r="DMS80" s="362"/>
      <c r="DMT80" s="362"/>
      <c r="DMU80" s="362"/>
      <c r="DMV80" s="362"/>
      <c r="DMW80" s="362"/>
      <c r="DMX80" s="362"/>
      <c r="DMY80" s="362"/>
      <c r="DMZ80" s="362"/>
      <c r="DNA80" s="362"/>
      <c r="DNB80" s="362"/>
      <c r="DNC80" s="362"/>
      <c r="DND80" s="362"/>
      <c r="DNE80" s="362"/>
      <c r="DNF80" s="362"/>
      <c r="DNG80" s="362"/>
      <c r="DNH80" s="362"/>
      <c r="DNI80" s="362"/>
      <c r="DNJ80" s="362"/>
      <c r="DNK80" s="362"/>
      <c r="DNL80" s="362"/>
      <c r="DNM80" s="362"/>
      <c r="DNN80" s="362"/>
      <c r="DNO80" s="362"/>
      <c r="DNP80" s="362"/>
      <c r="DNQ80" s="362"/>
      <c r="DNR80" s="362"/>
      <c r="DNS80" s="362"/>
      <c r="DNT80" s="362"/>
      <c r="DNU80" s="362"/>
      <c r="DNV80" s="362"/>
      <c r="DNW80" s="362"/>
      <c r="DNX80" s="362"/>
      <c r="DNY80" s="362"/>
      <c r="DNZ80" s="362"/>
      <c r="DOA80" s="362"/>
      <c r="DOB80" s="362"/>
      <c r="DOC80" s="362"/>
      <c r="DOD80" s="362"/>
      <c r="DOE80" s="362"/>
      <c r="DOF80" s="362"/>
      <c r="DOG80" s="362"/>
      <c r="DOH80" s="362"/>
      <c r="DOI80" s="362"/>
      <c r="DOJ80" s="362"/>
      <c r="DOK80" s="362"/>
      <c r="DOL80" s="362"/>
      <c r="DOM80" s="362"/>
      <c r="DON80" s="362"/>
      <c r="DOO80" s="362"/>
      <c r="DOP80" s="362"/>
      <c r="DOQ80" s="362"/>
      <c r="DOR80" s="362"/>
      <c r="DOS80" s="362"/>
      <c r="DOT80" s="362"/>
      <c r="DOU80" s="362"/>
      <c r="DOV80" s="362"/>
      <c r="DOW80" s="362"/>
      <c r="DOX80" s="362"/>
      <c r="DOY80" s="362"/>
      <c r="DOZ80" s="362"/>
      <c r="DPA80" s="362"/>
      <c r="DPB80" s="362"/>
      <c r="DPC80" s="362"/>
      <c r="DPD80" s="362"/>
      <c r="DPE80" s="362"/>
      <c r="DPF80" s="362"/>
      <c r="DPG80" s="362"/>
      <c r="DPH80" s="362"/>
      <c r="DPI80" s="362"/>
      <c r="DPJ80" s="362"/>
      <c r="DPK80" s="362"/>
      <c r="DPL80" s="362"/>
      <c r="DPM80" s="362"/>
      <c r="DPN80" s="362"/>
      <c r="DPO80" s="362"/>
      <c r="DPP80" s="362"/>
      <c r="DPQ80" s="362"/>
      <c r="DPR80" s="362"/>
      <c r="DPS80" s="362"/>
      <c r="DPT80" s="362"/>
      <c r="DPU80" s="362"/>
      <c r="DPV80" s="362"/>
      <c r="DPW80" s="362"/>
      <c r="DPX80" s="362"/>
      <c r="DPY80" s="362"/>
      <c r="DPZ80" s="362"/>
      <c r="DQA80" s="362"/>
      <c r="DQB80" s="362"/>
      <c r="DQC80" s="362"/>
      <c r="DQD80" s="362"/>
      <c r="DQE80" s="362"/>
      <c r="DQF80" s="362"/>
      <c r="DQG80" s="362"/>
      <c r="DQH80" s="362"/>
      <c r="DQI80" s="362"/>
      <c r="DQJ80" s="362"/>
      <c r="DQK80" s="362"/>
      <c r="DQL80" s="362"/>
      <c r="DQM80" s="362"/>
      <c r="DQN80" s="362"/>
      <c r="DQO80" s="362"/>
      <c r="DQP80" s="362"/>
      <c r="DQQ80" s="362"/>
      <c r="DQR80" s="362"/>
      <c r="DQS80" s="362"/>
      <c r="DQT80" s="362"/>
      <c r="DQU80" s="362"/>
      <c r="DQV80" s="362"/>
      <c r="DQW80" s="362"/>
      <c r="DQX80" s="362"/>
      <c r="DQY80" s="362"/>
      <c r="DQZ80" s="362"/>
      <c r="DRA80" s="362"/>
      <c r="DRB80" s="362"/>
      <c r="DRC80" s="362"/>
      <c r="DRD80" s="362"/>
      <c r="DRE80" s="362"/>
      <c r="DRF80" s="362"/>
      <c r="DRG80" s="362"/>
      <c r="DRH80" s="362"/>
      <c r="DRI80" s="362"/>
      <c r="DRJ80" s="362"/>
      <c r="DRK80" s="362"/>
      <c r="DRL80" s="362"/>
      <c r="DRM80" s="362"/>
      <c r="DRN80" s="362"/>
      <c r="DRO80" s="362"/>
      <c r="DRP80" s="362"/>
      <c r="DRQ80" s="362"/>
      <c r="DRR80" s="362"/>
      <c r="DRS80" s="362"/>
      <c r="DRT80" s="362"/>
      <c r="DRU80" s="362"/>
      <c r="DRV80" s="362"/>
      <c r="DRW80" s="362"/>
      <c r="DRX80" s="362"/>
      <c r="DRY80" s="362"/>
      <c r="DRZ80" s="362"/>
      <c r="DSA80" s="362"/>
      <c r="DSB80" s="362"/>
      <c r="DSC80" s="362"/>
      <c r="DSD80" s="362"/>
      <c r="DSE80" s="362"/>
      <c r="DSF80" s="362"/>
      <c r="DSG80" s="362"/>
      <c r="DSH80" s="362"/>
      <c r="DSI80" s="362"/>
      <c r="DSJ80" s="362"/>
      <c r="DSK80" s="362"/>
      <c r="DSL80" s="362"/>
      <c r="DSM80" s="362"/>
      <c r="DSN80" s="362"/>
      <c r="DSO80" s="362"/>
      <c r="DSP80" s="362"/>
      <c r="DSQ80" s="362"/>
      <c r="DSR80" s="362"/>
      <c r="DSS80" s="362"/>
      <c r="DST80" s="362"/>
      <c r="DSU80" s="362"/>
      <c r="DSV80" s="362"/>
      <c r="DSW80" s="362"/>
      <c r="DSX80" s="362"/>
      <c r="DSY80" s="362"/>
      <c r="DSZ80" s="362"/>
      <c r="DTA80" s="362"/>
      <c r="DTB80" s="362"/>
      <c r="DTC80" s="362"/>
      <c r="DTD80" s="362"/>
      <c r="DTE80" s="362"/>
      <c r="DTF80" s="362"/>
      <c r="DTG80" s="362"/>
      <c r="DTH80" s="362"/>
      <c r="DTI80" s="362"/>
      <c r="DTJ80" s="362"/>
      <c r="DTK80" s="362"/>
      <c r="DTL80" s="362"/>
      <c r="DTM80" s="362"/>
      <c r="DTN80" s="362"/>
      <c r="DTO80" s="362"/>
      <c r="DTP80" s="362"/>
      <c r="DTQ80" s="362"/>
      <c r="DTR80" s="362"/>
      <c r="DTS80" s="362"/>
      <c r="DTT80" s="362"/>
      <c r="DTU80" s="362"/>
      <c r="DTV80" s="362"/>
      <c r="DTW80" s="362"/>
      <c r="DTX80" s="362"/>
      <c r="DTY80" s="362"/>
      <c r="DTZ80" s="362"/>
      <c r="DUA80" s="362"/>
      <c r="DUB80" s="362"/>
      <c r="DUC80" s="362"/>
      <c r="DUD80" s="362"/>
      <c r="DUE80" s="362"/>
      <c r="DUF80" s="362"/>
      <c r="DUG80" s="362"/>
      <c r="DUH80" s="362"/>
      <c r="DUI80" s="362"/>
      <c r="DUJ80" s="362"/>
      <c r="DUK80" s="362"/>
      <c r="DUL80" s="362"/>
      <c r="DUM80" s="362"/>
      <c r="DUN80" s="362"/>
      <c r="DUO80" s="362"/>
      <c r="DUP80" s="362"/>
      <c r="DUQ80" s="362"/>
      <c r="DUR80" s="362"/>
      <c r="DUS80" s="362"/>
      <c r="DUT80" s="362"/>
      <c r="DUU80" s="362"/>
      <c r="DUV80" s="362"/>
      <c r="DUW80" s="362"/>
      <c r="DUX80" s="362"/>
      <c r="DUY80" s="362"/>
      <c r="DUZ80" s="362"/>
      <c r="DVA80" s="362"/>
      <c r="DVB80" s="362"/>
      <c r="DVC80" s="362"/>
      <c r="DVD80" s="362"/>
      <c r="DVE80" s="362"/>
      <c r="DVF80" s="362"/>
      <c r="DVG80" s="362"/>
      <c r="DVH80" s="362"/>
      <c r="DVI80" s="362"/>
      <c r="DVJ80" s="362"/>
      <c r="DVK80" s="362"/>
      <c r="DVL80" s="362"/>
      <c r="DVM80" s="362"/>
      <c r="DVN80" s="362"/>
      <c r="DVO80" s="362"/>
      <c r="DVP80" s="362"/>
      <c r="DVQ80" s="362"/>
      <c r="DVR80" s="362"/>
      <c r="DVS80" s="362"/>
      <c r="DVT80" s="362"/>
      <c r="DVU80" s="362"/>
      <c r="DVV80" s="362"/>
      <c r="DVW80" s="362"/>
      <c r="DVX80" s="362"/>
      <c r="DVY80" s="362"/>
      <c r="DVZ80" s="362"/>
      <c r="DWA80" s="362"/>
      <c r="DWB80" s="362"/>
      <c r="DWC80" s="362"/>
      <c r="DWD80" s="362"/>
      <c r="DWE80" s="362"/>
      <c r="DWF80" s="362"/>
      <c r="DWG80" s="362"/>
      <c r="DWH80" s="362"/>
      <c r="DWI80" s="362"/>
      <c r="DWJ80" s="362"/>
      <c r="DWK80" s="362"/>
      <c r="DWL80" s="362"/>
      <c r="DWM80" s="362"/>
      <c r="DWN80" s="362"/>
      <c r="DWO80" s="362"/>
      <c r="DWP80" s="362"/>
      <c r="DWQ80" s="362"/>
      <c r="DWR80" s="362"/>
      <c r="DWS80" s="362"/>
      <c r="DWT80" s="362"/>
      <c r="DWU80" s="362"/>
      <c r="DWV80" s="362"/>
      <c r="DWW80" s="362"/>
      <c r="DWX80" s="362"/>
      <c r="DWY80" s="362"/>
      <c r="DWZ80" s="362"/>
      <c r="DXA80" s="362"/>
      <c r="DXB80" s="362"/>
      <c r="DXC80" s="362"/>
      <c r="DXD80" s="362"/>
      <c r="DXE80" s="362"/>
      <c r="DXF80" s="362"/>
      <c r="DXG80" s="362"/>
      <c r="DXH80" s="362"/>
      <c r="DXI80" s="362"/>
      <c r="DXJ80" s="362"/>
      <c r="DXK80" s="362"/>
      <c r="DXL80" s="362"/>
      <c r="DXM80" s="362"/>
      <c r="DXN80" s="362"/>
      <c r="DXO80" s="362"/>
      <c r="DXP80" s="362"/>
      <c r="DXQ80" s="362"/>
      <c r="DXR80" s="362"/>
      <c r="DXS80" s="362"/>
      <c r="DXT80" s="362"/>
      <c r="DXU80" s="362"/>
      <c r="DXV80" s="362"/>
      <c r="DXW80" s="362"/>
      <c r="DXX80" s="362"/>
      <c r="DXY80" s="362"/>
      <c r="DXZ80" s="362"/>
      <c r="DYA80" s="362"/>
      <c r="DYB80" s="362"/>
      <c r="DYC80" s="362"/>
      <c r="DYD80" s="362"/>
      <c r="DYE80" s="362"/>
      <c r="DYF80" s="362"/>
      <c r="DYG80" s="362"/>
      <c r="DYH80" s="362"/>
      <c r="DYI80" s="362"/>
      <c r="DYJ80" s="362"/>
      <c r="DYK80" s="362"/>
      <c r="DYL80" s="362"/>
      <c r="DYM80" s="362"/>
      <c r="DYN80" s="362"/>
      <c r="DYO80" s="362"/>
      <c r="DYP80" s="362"/>
      <c r="DYQ80" s="362"/>
      <c r="DYR80" s="362"/>
      <c r="DYS80" s="362"/>
      <c r="DYT80" s="362"/>
      <c r="DYU80" s="362"/>
      <c r="DYV80" s="362"/>
      <c r="DYW80" s="362"/>
      <c r="DYX80" s="362"/>
      <c r="DYY80" s="362"/>
      <c r="DYZ80" s="362"/>
      <c r="DZA80" s="362"/>
      <c r="DZB80" s="362"/>
      <c r="DZC80" s="362"/>
      <c r="DZD80" s="362"/>
      <c r="DZE80" s="362"/>
      <c r="DZF80" s="362"/>
      <c r="DZG80" s="362"/>
      <c r="DZH80" s="362"/>
      <c r="DZI80" s="362"/>
      <c r="DZJ80" s="362"/>
      <c r="DZK80" s="362"/>
      <c r="DZL80" s="362"/>
      <c r="DZM80" s="362"/>
      <c r="DZN80" s="362"/>
      <c r="DZO80" s="362"/>
      <c r="DZP80" s="362"/>
      <c r="DZQ80" s="362"/>
      <c r="DZR80" s="362"/>
      <c r="DZS80" s="362"/>
      <c r="DZT80" s="362"/>
      <c r="DZU80" s="362"/>
      <c r="DZV80" s="362"/>
      <c r="DZW80" s="362"/>
      <c r="DZX80" s="362"/>
      <c r="DZY80" s="362"/>
      <c r="DZZ80" s="362"/>
      <c r="EAA80" s="362"/>
      <c r="EAB80" s="362"/>
      <c r="EAC80" s="362"/>
      <c r="EAD80" s="362"/>
      <c r="EAE80" s="362"/>
      <c r="EAF80" s="362"/>
      <c r="EAG80" s="362"/>
      <c r="EAH80" s="362"/>
      <c r="EAI80" s="362"/>
      <c r="EAJ80" s="362"/>
      <c r="EAK80" s="362"/>
      <c r="EAL80" s="362"/>
      <c r="EAM80" s="362"/>
      <c r="EAN80" s="362"/>
      <c r="EAO80" s="362"/>
      <c r="EAP80" s="362"/>
      <c r="EAQ80" s="362"/>
      <c r="EAR80" s="362"/>
      <c r="EAS80" s="362"/>
      <c r="EAT80" s="362"/>
      <c r="EAU80" s="362"/>
      <c r="EAV80" s="362"/>
      <c r="EAW80" s="362"/>
      <c r="EAX80" s="362"/>
      <c r="EAY80" s="362"/>
      <c r="EAZ80" s="362"/>
      <c r="EBA80" s="362"/>
      <c r="EBB80" s="362"/>
      <c r="EBC80" s="362"/>
      <c r="EBD80" s="362"/>
      <c r="EBE80" s="362"/>
      <c r="EBF80" s="362"/>
      <c r="EBG80" s="362"/>
      <c r="EBH80" s="362"/>
      <c r="EBI80" s="362"/>
      <c r="EBJ80" s="362"/>
      <c r="EBK80" s="362"/>
      <c r="EBL80" s="362"/>
      <c r="EBM80" s="362"/>
      <c r="EBN80" s="362"/>
      <c r="EBO80" s="362"/>
      <c r="EBP80" s="362"/>
      <c r="EBQ80" s="362"/>
      <c r="EBR80" s="362"/>
      <c r="EBS80" s="362"/>
      <c r="EBT80" s="362"/>
      <c r="EBU80" s="362"/>
      <c r="EBV80" s="362"/>
      <c r="EBW80" s="362"/>
      <c r="EBX80" s="362"/>
      <c r="EBY80" s="362"/>
      <c r="EBZ80" s="362"/>
      <c r="ECA80" s="362"/>
      <c r="ECB80" s="362"/>
      <c r="ECC80" s="362"/>
      <c r="ECD80" s="362"/>
      <c r="ECE80" s="362"/>
      <c r="ECF80" s="362"/>
      <c r="ECG80" s="362"/>
      <c r="ECH80" s="362"/>
      <c r="ECI80" s="362"/>
      <c r="ECJ80" s="362"/>
      <c r="ECK80" s="362"/>
      <c r="ECL80" s="362"/>
      <c r="ECM80" s="362"/>
      <c r="ECN80" s="362"/>
      <c r="ECO80" s="362"/>
      <c r="ECP80" s="362"/>
      <c r="ECQ80" s="362"/>
      <c r="ECR80" s="362"/>
      <c r="ECS80" s="362"/>
      <c r="ECT80" s="362"/>
      <c r="ECU80" s="362"/>
      <c r="ECV80" s="362"/>
      <c r="ECW80" s="362"/>
      <c r="ECX80" s="362"/>
      <c r="ECY80" s="362"/>
      <c r="ECZ80" s="362"/>
      <c r="EDA80" s="362"/>
      <c r="EDB80" s="362"/>
      <c r="EDC80" s="362"/>
      <c r="EDD80" s="362"/>
      <c r="EDE80" s="362"/>
      <c r="EDF80" s="362"/>
      <c r="EDG80" s="362"/>
      <c r="EDH80" s="362"/>
      <c r="EDI80" s="362"/>
      <c r="EDJ80" s="362"/>
      <c r="EDK80" s="362"/>
      <c r="EDL80" s="362"/>
      <c r="EDM80" s="362"/>
      <c r="EDN80" s="362"/>
      <c r="EDO80" s="362"/>
      <c r="EDP80" s="362"/>
      <c r="EDQ80" s="362"/>
      <c r="EDR80" s="362"/>
      <c r="EDS80" s="362"/>
      <c r="EDT80" s="362"/>
      <c r="EDU80" s="362"/>
      <c r="EDV80" s="362"/>
      <c r="EDW80" s="362"/>
      <c r="EDX80" s="362"/>
      <c r="EDY80" s="362"/>
      <c r="EDZ80" s="362"/>
      <c r="EEA80" s="362"/>
      <c r="EEB80" s="362"/>
      <c r="EEC80" s="362"/>
      <c r="EED80" s="362"/>
      <c r="EEE80" s="362"/>
      <c r="EEF80" s="362"/>
      <c r="EEG80" s="362"/>
      <c r="EEH80" s="362"/>
      <c r="EEI80" s="362"/>
      <c r="EEJ80" s="362"/>
      <c r="EEK80" s="362"/>
      <c r="EEL80" s="362"/>
      <c r="EEM80" s="362"/>
      <c r="EEN80" s="362"/>
      <c r="EEO80" s="362"/>
      <c r="EEP80" s="362"/>
      <c r="EEQ80" s="362"/>
      <c r="EER80" s="362"/>
      <c r="EES80" s="362"/>
      <c r="EET80" s="362"/>
      <c r="EEU80" s="362"/>
      <c r="EEV80" s="362"/>
      <c r="EEW80" s="362"/>
      <c r="EEX80" s="362"/>
      <c r="EEY80" s="362"/>
      <c r="EEZ80" s="362"/>
      <c r="EFA80" s="362"/>
      <c r="EFB80" s="362"/>
      <c r="EFC80" s="362"/>
      <c r="EFD80" s="362"/>
      <c r="EFE80" s="362"/>
      <c r="EFF80" s="362"/>
      <c r="EFG80" s="362"/>
      <c r="EFH80" s="362"/>
      <c r="EFI80" s="362"/>
      <c r="EFJ80" s="362"/>
      <c r="EFK80" s="362"/>
      <c r="EFL80" s="362"/>
      <c r="EFM80" s="362"/>
      <c r="EFN80" s="362"/>
      <c r="EFO80" s="362"/>
      <c r="EFP80" s="362"/>
      <c r="EFQ80" s="362"/>
      <c r="EFR80" s="362"/>
      <c r="EFS80" s="362"/>
      <c r="EFT80" s="362"/>
      <c r="EFU80" s="362"/>
      <c r="EFV80" s="362"/>
      <c r="EFW80" s="362"/>
      <c r="EFX80" s="362"/>
      <c r="EFY80" s="362"/>
      <c r="EFZ80" s="362"/>
      <c r="EGA80" s="362"/>
      <c r="EGB80" s="362"/>
      <c r="EGC80" s="362"/>
      <c r="EGD80" s="362"/>
      <c r="EGE80" s="362"/>
      <c r="EGF80" s="362"/>
      <c r="EGG80" s="362"/>
      <c r="EGH80" s="362"/>
      <c r="EGI80" s="362"/>
      <c r="EGJ80" s="362"/>
      <c r="EGK80" s="362"/>
      <c r="EGL80" s="362"/>
      <c r="EGM80" s="362"/>
      <c r="EGN80" s="362"/>
      <c r="EGO80" s="362"/>
      <c r="EGP80" s="362"/>
      <c r="EGQ80" s="362"/>
      <c r="EGR80" s="362"/>
      <c r="EGS80" s="362"/>
      <c r="EGT80" s="362"/>
      <c r="EGU80" s="362"/>
      <c r="EGV80" s="362"/>
      <c r="EGW80" s="362"/>
      <c r="EGX80" s="362"/>
      <c r="EGY80" s="362"/>
      <c r="EGZ80" s="362"/>
      <c r="EHA80" s="362"/>
      <c r="EHB80" s="362"/>
      <c r="EHC80" s="362"/>
      <c r="EHD80" s="362"/>
      <c r="EHE80" s="362"/>
      <c r="EHF80" s="362"/>
      <c r="EHG80" s="362"/>
      <c r="EHH80" s="362"/>
      <c r="EHI80" s="362"/>
      <c r="EHJ80" s="362"/>
      <c r="EHK80" s="362"/>
      <c r="EHL80" s="362"/>
      <c r="EHM80" s="362"/>
      <c r="EHN80" s="362"/>
      <c r="EHO80" s="362"/>
      <c r="EHP80" s="362"/>
      <c r="EHQ80" s="362"/>
      <c r="EHR80" s="362"/>
      <c r="EHS80" s="362"/>
      <c r="EHT80" s="362"/>
      <c r="EHU80" s="362"/>
      <c r="EHV80" s="362"/>
      <c r="EHW80" s="362"/>
      <c r="EHX80" s="362"/>
      <c r="EHY80" s="362"/>
      <c r="EHZ80" s="362"/>
      <c r="EIA80" s="362"/>
      <c r="EIB80" s="362"/>
      <c r="EIC80" s="362"/>
      <c r="EID80" s="362"/>
      <c r="EIE80" s="362"/>
      <c r="EIF80" s="362"/>
      <c r="EIG80" s="362"/>
      <c r="EIH80" s="362"/>
      <c r="EII80" s="362"/>
      <c r="EIJ80" s="362"/>
      <c r="EIK80" s="362"/>
      <c r="EIL80" s="362"/>
      <c r="EIM80" s="362"/>
      <c r="EIN80" s="362"/>
      <c r="EIO80" s="362"/>
      <c r="EIP80" s="362"/>
      <c r="EIQ80" s="362"/>
      <c r="EIR80" s="362"/>
      <c r="EIS80" s="362"/>
      <c r="EIT80" s="362"/>
      <c r="EIU80" s="362"/>
      <c r="EIV80" s="362"/>
      <c r="EIW80" s="362"/>
      <c r="EIX80" s="362"/>
      <c r="EIY80" s="362"/>
      <c r="EIZ80" s="362"/>
      <c r="EJA80" s="362"/>
      <c r="EJB80" s="362"/>
      <c r="EJC80" s="362"/>
      <c r="EJD80" s="362"/>
      <c r="EJE80" s="362"/>
      <c r="EJF80" s="362"/>
      <c r="EJG80" s="362"/>
      <c r="EJH80" s="362"/>
      <c r="EJI80" s="362"/>
      <c r="EJJ80" s="362"/>
      <c r="EJK80" s="362"/>
      <c r="EJL80" s="362"/>
      <c r="EJM80" s="362"/>
      <c r="EJN80" s="362"/>
      <c r="EJO80" s="362"/>
      <c r="EJP80" s="362"/>
      <c r="EJQ80" s="362"/>
      <c r="EJR80" s="362"/>
      <c r="EJS80" s="362"/>
      <c r="EJT80" s="362"/>
      <c r="EJU80" s="362"/>
      <c r="EJV80" s="362"/>
      <c r="EJW80" s="362"/>
      <c r="EJX80" s="362"/>
      <c r="EJY80" s="362"/>
      <c r="EJZ80" s="362"/>
      <c r="EKA80" s="362"/>
      <c r="EKB80" s="362"/>
      <c r="EKC80" s="362"/>
      <c r="EKD80" s="362"/>
      <c r="EKE80" s="362"/>
      <c r="EKF80" s="362"/>
      <c r="EKG80" s="362"/>
      <c r="EKH80" s="362"/>
      <c r="EKI80" s="362"/>
      <c r="EKJ80" s="362"/>
      <c r="EKK80" s="362"/>
      <c r="EKL80" s="362"/>
      <c r="EKM80" s="362"/>
      <c r="EKN80" s="362"/>
      <c r="EKO80" s="362"/>
      <c r="EKP80" s="362"/>
      <c r="EKQ80" s="362"/>
      <c r="EKR80" s="362"/>
      <c r="EKS80" s="362"/>
      <c r="EKT80" s="362"/>
      <c r="EKU80" s="362"/>
      <c r="EKV80" s="362"/>
      <c r="EKW80" s="362"/>
      <c r="EKX80" s="362"/>
      <c r="EKY80" s="362"/>
      <c r="EKZ80" s="362"/>
      <c r="ELA80" s="362"/>
      <c r="ELB80" s="362"/>
      <c r="ELC80" s="362"/>
      <c r="ELD80" s="362"/>
      <c r="ELE80" s="362"/>
      <c r="ELF80" s="362"/>
      <c r="ELG80" s="362"/>
      <c r="ELH80" s="362"/>
      <c r="ELI80" s="362"/>
      <c r="ELJ80" s="362"/>
      <c r="ELK80" s="362"/>
      <c r="ELL80" s="362"/>
      <c r="ELM80" s="362"/>
      <c r="ELN80" s="362"/>
      <c r="ELO80" s="362"/>
      <c r="ELP80" s="362"/>
      <c r="ELQ80" s="362"/>
      <c r="ELR80" s="362"/>
      <c r="ELS80" s="362"/>
      <c r="ELT80" s="362"/>
      <c r="ELU80" s="362"/>
      <c r="ELV80" s="362"/>
      <c r="ELW80" s="362"/>
      <c r="ELX80" s="362"/>
      <c r="ELY80" s="362"/>
      <c r="ELZ80" s="362"/>
      <c r="EMA80" s="362"/>
      <c r="EMB80" s="362"/>
      <c r="EMC80" s="362"/>
      <c r="EMD80" s="362"/>
      <c r="EME80" s="362"/>
      <c r="EMF80" s="362"/>
      <c r="EMG80" s="362"/>
      <c r="EMH80" s="362"/>
      <c r="EMI80" s="362"/>
      <c r="EMJ80" s="362"/>
      <c r="EMK80" s="362"/>
      <c r="EML80" s="362"/>
      <c r="EMM80" s="362"/>
      <c r="EMN80" s="362"/>
      <c r="EMO80" s="362"/>
      <c r="EMP80" s="362"/>
      <c r="EMQ80" s="362"/>
      <c r="EMR80" s="362"/>
      <c r="EMS80" s="362"/>
      <c r="EMT80" s="362"/>
      <c r="EMU80" s="362"/>
      <c r="EMV80" s="362"/>
      <c r="EMW80" s="362"/>
      <c r="EMX80" s="362"/>
      <c r="EMY80" s="362"/>
      <c r="EMZ80" s="362"/>
      <c r="ENA80" s="362"/>
      <c r="ENB80" s="362"/>
      <c r="ENC80" s="362"/>
      <c r="END80" s="362"/>
      <c r="ENE80" s="362"/>
      <c r="ENF80" s="362"/>
      <c r="ENG80" s="362"/>
      <c r="ENH80" s="362"/>
      <c r="ENI80" s="362"/>
      <c r="ENJ80" s="362"/>
      <c r="ENK80" s="362"/>
      <c r="ENL80" s="362"/>
      <c r="ENM80" s="362"/>
      <c r="ENN80" s="362"/>
      <c r="ENO80" s="362"/>
      <c r="ENP80" s="362"/>
      <c r="ENQ80" s="362"/>
      <c r="ENR80" s="362"/>
      <c r="ENS80" s="362"/>
      <c r="ENT80" s="362"/>
      <c r="ENU80" s="362"/>
      <c r="ENV80" s="362"/>
      <c r="ENW80" s="362"/>
      <c r="ENX80" s="362"/>
      <c r="ENY80" s="362"/>
      <c r="ENZ80" s="362"/>
      <c r="EOA80" s="362"/>
      <c r="EOB80" s="362"/>
      <c r="EOC80" s="362"/>
      <c r="EOD80" s="362"/>
      <c r="EOE80" s="362"/>
      <c r="EOF80" s="362"/>
      <c r="EOG80" s="362"/>
      <c r="EOH80" s="362"/>
      <c r="EOI80" s="362"/>
      <c r="EOJ80" s="362"/>
      <c r="EOK80" s="362"/>
      <c r="EOL80" s="362"/>
      <c r="EOM80" s="362"/>
      <c r="EON80" s="362"/>
      <c r="EOO80" s="362"/>
      <c r="EOP80" s="362"/>
      <c r="EOQ80" s="362"/>
      <c r="EOR80" s="362"/>
      <c r="EOS80" s="362"/>
      <c r="EOT80" s="362"/>
      <c r="EOU80" s="362"/>
      <c r="EOV80" s="362"/>
      <c r="EOW80" s="362"/>
      <c r="EOX80" s="362"/>
      <c r="EOY80" s="362"/>
      <c r="EOZ80" s="362"/>
      <c r="EPA80" s="362"/>
      <c r="EPB80" s="362"/>
      <c r="EPC80" s="362"/>
      <c r="EPD80" s="362"/>
      <c r="EPE80" s="362"/>
      <c r="EPF80" s="362"/>
      <c r="EPG80" s="362"/>
      <c r="EPH80" s="362"/>
      <c r="EPI80" s="362"/>
      <c r="EPJ80" s="362"/>
      <c r="EPK80" s="362"/>
      <c r="EPL80" s="362"/>
      <c r="EPM80" s="362"/>
      <c r="EPN80" s="362"/>
      <c r="EPO80" s="362"/>
      <c r="EPP80" s="362"/>
      <c r="EPQ80" s="362"/>
      <c r="EPR80" s="362"/>
      <c r="EPS80" s="362"/>
      <c r="EPT80" s="362"/>
      <c r="EPU80" s="362"/>
      <c r="EPV80" s="362"/>
      <c r="EPW80" s="362"/>
      <c r="EPX80" s="362"/>
      <c r="EPY80" s="362"/>
      <c r="EPZ80" s="362"/>
      <c r="EQA80" s="362"/>
      <c r="EQB80" s="362"/>
      <c r="EQC80" s="362"/>
      <c r="EQD80" s="362"/>
      <c r="EQE80" s="362"/>
      <c r="EQF80" s="362"/>
      <c r="EQG80" s="362"/>
      <c r="EQH80" s="362"/>
      <c r="EQI80" s="362"/>
      <c r="EQJ80" s="362"/>
      <c r="EQK80" s="362"/>
      <c r="EQL80" s="362"/>
      <c r="EQM80" s="362"/>
      <c r="EQN80" s="362"/>
      <c r="EQO80" s="362"/>
      <c r="EQP80" s="362"/>
      <c r="EQQ80" s="362"/>
      <c r="EQR80" s="362"/>
      <c r="EQS80" s="362"/>
      <c r="EQT80" s="362"/>
      <c r="EQU80" s="362"/>
      <c r="EQV80" s="362"/>
      <c r="EQW80" s="362"/>
      <c r="EQX80" s="362"/>
      <c r="EQY80" s="362"/>
      <c r="EQZ80" s="362"/>
      <c r="ERA80" s="362"/>
      <c r="ERB80" s="362"/>
      <c r="ERC80" s="362"/>
      <c r="ERD80" s="362"/>
      <c r="ERE80" s="362"/>
      <c r="ERF80" s="362"/>
      <c r="ERG80" s="362"/>
      <c r="ERH80" s="362"/>
      <c r="ERI80" s="362"/>
      <c r="ERJ80" s="362"/>
      <c r="ERK80" s="362"/>
      <c r="ERL80" s="362"/>
      <c r="ERM80" s="362"/>
      <c r="ERN80" s="362"/>
      <c r="ERO80" s="362"/>
      <c r="ERP80" s="362"/>
      <c r="ERQ80" s="362"/>
      <c r="ERR80" s="362"/>
      <c r="ERS80" s="362"/>
      <c r="ERT80" s="362"/>
      <c r="ERU80" s="362"/>
      <c r="ERV80" s="362"/>
      <c r="ERW80" s="362"/>
      <c r="ERX80" s="362"/>
      <c r="ERY80" s="362"/>
      <c r="ERZ80" s="362"/>
      <c r="ESA80" s="362"/>
      <c r="ESB80" s="362"/>
      <c r="ESC80" s="362"/>
      <c r="ESD80" s="362"/>
      <c r="ESE80" s="362"/>
      <c r="ESF80" s="362"/>
      <c r="ESG80" s="362"/>
      <c r="ESH80" s="362"/>
      <c r="ESI80" s="362"/>
      <c r="ESJ80" s="362"/>
      <c r="ESK80" s="362"/>
      <c r="ESL80" s="362"/>
      <c r="ESM80" s="362"/>
      <c r="ESN80" s="362"/>
      <c r="ESO80" s="362"/>
      <c r="ESP80" s="362"/>
      <c r="ESQ80" s="362"/>
      <c r="ESR80" s="362"/>
      <c r="ESS80" s="362"/>
      <c r="EST80" s="362"/>
      <c r="ESU80" s="362"/>
      <c r="ESV80" s="362"/>
      <c r="ESW80" s="362"/>
      <c r="ESX80" s="362"/>
      <c r="ESY80" s="362"/>
      <c r="ESZ80" s="362"/>
      <c r="ETA80" s="362"/>
      <c r="ETB80" s="362"/>
      <c r="ETC80" s="362"/>
      <c r="ETD80" s="362"/>
      <c r="ETE80" s="362"/>
      <c r="ETF80" s="362"/>
      <c r="ETG80" s="362"/>
      <c r="ETH80" s="362"/>
      <c r="ETI80" s="362"/>
      <c r="ETJ80" s="362"/>
      <c r="ETK80" s="362"/>
      <c r="ETL80" s="362"/>
      <c r="ETM80" s="362"/>
      <c r="ETN80" s="362"/>
      <c r="ETO80" s="362"/>
      <c r="ETP80" s="362"/>
      <c r="ETQ80" s="362"/>
      <c r="ETR80" s="362"/>
      <c r="ETS80" s="362"/>
      <c r="ETT80" s="362"/>
      <c r="ETU80" s="362"/>
      <c r="ETV80" s="362"/>
      <c r="ETW80" s="362"/>
      <c r="ETX80" s="362"/>
      <c r="ETY80" s="362"/>
      <c r="ETZ80" s="362"/>
      <c r="EUA80" s="362"/>
      <c r="EUB80" s="362"/>
      <c r="EUC80" s="362"/>
      <c r="EUD80" s="362"/>
      <c r="EUE80" s="362"/>
      <c r="EUF80" s="362"/>
      <c r="EUG80" s="362"/>
      <c r="EUH80" s="362"/>
      <c r="EUI80" s="362"/>
      <c r="EUJ80" s="362"/>
      <c r="EUK80" s="362"/>
      <c r="EUL80" s="362"/>
      <c r="EUM80" s="362"/>
      <c r="EUN80" s="362"/>
      <c r="EUO80" s="362"/>
      <c r="EUP80" s="362"/>
      <c r="EUQ80" s="362"/>
      <c r="EUR80" s="362"/>
      <c r="EUS80" s="362"/>
      <c r="EUT80" s="362"/>
      <c r="EUU80" s="362"/>
      <c r="EUV80" s="362"/>
      <c r="EUW80" s="362"/>
      <c r="EUX80" s="362"/>
      <c r="EUY80" s="362"/>
      <c r="EUZ80" s="362"/>
      <c r="EVA80" s="362"/>
      <c r="EVB80" s="362"/>
      <c r="EVC80" s="362"/>
      <c r="EVD80" s="362"/>
      <c r="EVE80" s="362"/>
      <c r="EVF80" s="362"/>
      <c r="EVG80" s="362"/>
      <c r="EVH80" s="362"/>
      <c r="EVI80" s="362"/>
      <c r="EVJ80" s="362"/>
      <c r="EVK80" s="362"/>
      <c r="EVL80" s="362"/>
      <c r="EVM80" s="362"/>
      <c r="EVN80" s="362"/>
      <c r="EVO80" s="362"/>
      <c r="EVP80" s="362"/>
      <c r="EVQ80" s="362"/>
      <c r="EVR80" s="362"/>
      <c r="EVS80" s="362"/>
      <c r="EVT80" s="362"/>
      <c r="EVU80" s="362"/>
      <c r="EVV80" s="362"/>
      <c r="EVW80" s="362"/>
      <c r="EVX80" s="362"/>
      <c r="EVY80" s="362"/>
      <c r="EVZ80" s="362"/>
      <c r="EWA80" s="362"/>
      <c r="EWB80" s="362"/>
      <c r="EWC80" s="362"/>
      <c r="EWD80" s="362"/>
      <c r="EWE80" s="362"/>
      <c r="EWF80" s="362"/>
      <c r="EWG80" s="362"/>
      <c r="EWH80" s="362"/>
      <c r="EWI80" s="362"/>
      <c r="EWJ80" s="362"/>
      <c r="EWK80" s="362"/>
      <c r="EWL80" s="362"/>
      <c r="EWM80" s="362"/>
      <c r="EWN80" s="362"/>
      <c r="EWO80" s="362"/>
      <c r="EWP80" s="362"/>
      <c r="EWQ80" s="362"/>
      <c r="EWR80" s="362"/>
      <c r="EWS80" s="362"/>
      <c r="EWT80" s="362"/>
      <c r="EWU80" s="362"/>
      <c r="EWV80" s="362"/>
      <c r="EWW80" s="362"/>
      <c r="EWX80" s="362"/>
      <c r="EWY80" s="362"/>
      <c r="EWZ80" s="362"/>
      <c r="EXA80" s="362"/>
      <c r="EXB80" s="362"/>
      <c r="EXC80" s="362"/>
      <c r="EXD80" s="362"/>
      <c r="EXE80" s="362"/>
      <c r="EXF80" s="362"/>
      <c r="EXG80" s="362"/>
      <c r="EXH80" s="362"/>
      <c r="EXI80" s="362"/>
      <c r="EXJ80" s="362"/>
      <c r="EXK80" s="362"/>
      <c r="EXL80" s="362"/>
      <c r="EXM80" s="362"/>
      <c r="EXN80" s="362"/>
      <c r="EXO80" s="362"/>
      <c r="EXP80" s="362"/>
      <c r="EXQ80" s="362"/>
      <c r="EXR80" s="362"/>
      <c r="EXS80" s="362"/>
      <c r="EXT80" s="362"/>
      <c r="EXU80" s="362"/>
      <c r="EXV80" s="362"/>
      <c r="EXW80" s="362"/>
      <c r="EXX80" s="362"/>
      <c r="EXY80" s="362"/>
      <c r="EXZ80" s="362"/>
      <c r="EYA80" s="362"/>
      <c r="EYB80" s="362"/>
      <c r="EYC80" s="362"/>
      <c r="EYD80" s="362"/>
      <c r="EYE80" s="362"/>
      <c r="EYF80" s="362"/>
      <c r="EYG80" s="362"/>
      <c r="EYH80" s="362"/>
      <c r="EYI80" s="362"/>
      <c r="EYJ80" s="362"/>
      <c r="EYK80" s="362"/>
      <c r="EYL80" s="362"/>
      <c r="EYM80" s="362"/>
      <c r="EYN80" s="362"/>
      <c r="EYO80" s="362"/>
      <c r="EYP80" s="362"/>
      <c r="EYQ80" s="362"/>
      <c r="EYR80" s="362"/>
      <c r="EYS80" s="362"/>
      <c r="EYT80" s="362"/>
      <c r="EYU80" s="362"/>
      <c r="EYV80" s="362"/>
      <c r="EYW80" s="362"/>
      <c r="EYX80" s="362"/>
      <c r="EYY80" s="362"/>
      <c r="EYZ80" s="362"/>
      <c r="EZA80" s="362"/>
      <c r="EZB80" s="362"/>
      <c r="EZC80" s="362"/>
      <c r="EZD80" s="362"/>
      <c r="EZE80" s="362"/>
      <c r="EZF80" s="362"/>
      <c r="EZG80" s="362"/>
      <c r="EZH80" s="362"/>
      <c r="EZI80" s="362"/>
      <c r="EZJ80" s="362"/>
      <c r="EZK80" s="362"/>
      <c r="EZL80" s="362"/>
      <c r="EZM80" s="362"/>
      <c r="EZN80" s="362"/>
      <c r="EZO80" s="362"/>
      <c r="EZP80" s="362"/>
      <c r="EZQ80" s="362"/>
      <c r="EZR80" s="362"/>
      <c r="EZS80" s="362"/>
      <c r="EZT80" s="362"/>
      <c r="EZU80" s="362"/>
      <c r="EZV80" s="362"/>
      <c r="EZW80" s="362"/>
      <c r="EZX80" s="362"/>
      <c r="EZY80" s="362"/>
      <c r="EZZ80" s="362"/>
      <c r="FAA80" s="362"/>
      <c r="FAB80" s="362"/>
      <c r="FAC80" s="362"/>
      <c r="FAD80" s="362"/>
      <c r="FAE80" s="362"/>
      <c r="FAF80" s="362"/>
      <c r="FAG80" s="362"/>
      <c r="FAH80" s="362"/>
      <c r="FAI80" s="362"/>
      <c r="FAJ80" s="362"/>
      <c r="FAK80" s="362"/>
      <c r="FAL80" s="362"/>
      <c r="FAM80" s="362"/>
      <c r="FAN80" s="362"/>
      <c r="FAO80" s="362"/>
      <c r="FAP80" s="362"/>
      <c r="FAQ80" s="362"/>
      <c r="FAR80" s="362"/>
      <c r="FAS80" s="362"/>
      <c r="FAT80" s="362"/>
      <c r="FAU80" s="362"/>
      <c r="FAV80" s="362"/>
      <c r="FAW80" s="362"/>
      <c r="FAX80" s="362"/>
      <c r="FAY80" s="362"/>
      <c r="FAZ80" s="362"/>
      <c r="FBA80" s="362"/>
      <c r="FBB80" s="362"/>
      <c r="FBC80" s="362"/>
      <c r="FBD80" s="362"/>
      <c r="FBE80" s="362"/>
      <c r="FBF80" s="362"/>
      <c r="FBG80" s="362"/>
      <c r="FBH80" s="362"/>
      <c r="FBI80" s="362"/>
      <c r="FBJ80" s="362"/>
      <c r="FBK80" s="362"/>
      <c r="FBL80" s="362"/>
      <c r="FBM80" s="362"/>
      <c r="FBN80" s="362"/>
      <c r="FBO80" s="362"/>
      <c r="FBP80" s="362"/>
      <c r="FBQ80" s="362"/>
      <c r="FBR80" s="362"/>
      <c r="FBS80" s="362"/>
      <c r="FBT80" s="362"/>
      <c r="FBU80" s="362"/>
      <c r="FBV80" s="362"/>
      <c r="FBW80" s="362"/>
      <c r="FBX80" s="362"/>
      <c r="FBY80" s="362"/>
      <c r="FBZ80" s="362"/>
      <c r="FCA80" s="362"/>
      <c r="FCB80" s="362"/>
      <c r="FCC80" s="362"/>
      <c r="FCD80" s="362"/>
      <c r="FCE80" s="362"/>
      <c r="FCF80" s="362"/>
      <c r="FCG80" s="362"/>
      <c r="FCH80" s="362"/>
      <c r="FCI80" s="362"/>
      <c r="FCJ80" s="362"/>
      <c r="FCK80" s="362"/>
      <c r="FCL80" s="362"/>
      <c r="FCM80" s="362"/>
      <c r="FCN80" s="362"/>
      <c r="FCO80" s="362"/>
      <c r="FCP80" s="362"/>
      <c r="FCQ80" s="362"/>
      <c r="FCR80" s="362"/>
      <c r="FCS80" s="362"/>
      <c r="FCT80" s="362"/>
      <c r="FCU80" s="362"/>
      <c r="FCV80" s="362"/>
      <c r="FCW80" s="362"/>
      <c r="FCX80" s="362"/>
      <c r="FCY80" s="362"/>
      <c r="FCZ80" s="362"/>
      <c r="FDA80" s="362"/>
      <c r="FDB80" s="362"/>
      <c r="FDC80" s="362"/>
      <c r="FDD80" s="362"/>
      <c r="FDE80" s="362"/>
      <c r="FDF80" s="362"/>
      <c r="FDG80" s="362"/>
      <c r="FDH80" s="362"/>
      <c r="FDI80" s="362"/>
      <c r="FDJ80" s="362"/>
      <c r="FDK80" s="362"/>
      <c r="FDL80" s="362"/>
      <c r="FDM80" s="362"/>
      <c r="FDN80" s="362"/>
      <c r="FDO80" s="362"/>
      <c r="FDP80" s="362"/>
      <c r="FDQ80" s="362"/>
      <c r="FDR80" s="362"/>
      <c r="FDS80" s="362"/>
      <c r="FDT80" s="362"/>
      <c r="FDU80" s="362"/>
      <c r="FDV80" s="362"/>
      <c r="FDW80" s="362"/>
      <c r="FDX80" s="362"/>
      <c r="FDY80" s="362"/>
      <c r="FDZ80" s="362"/>
      <c r="FEA80" s="362"/>
      <c r="FEB80" s="362"/>
      <c r="FEC80" s="362"/>
      <c r="FED80" s="362"/>
      <c r="FEE80" s="362"/>
      <c r="FEF80" s="362"/>
      <c r="FEG80" s="362"/>
      <c r="FEH80" s="362"/>
      <c r="FEI80" s="362"/>
      <c r="FEJ80" s="362"/>
      <c r="FEK80" s="362"/>
      <c r="FEL80" s="362"/>
      <c r="FEM80" s="362"/>
      <c r="FEN80" s="362"/>
      <c r="FEO80" s="362"/>
      <c r="FEP80" s="362"/>
      <c r="FEQ80" s="362"/>
      <c r="FER80" s="362"/>
      <c r="FES80" s="362"/>
      <c r="FET80" s="362"/>
      <c r="FEU80" s="362"/>
      <c r="FEV80" s="362"/>
      <c r="FEW80" s="362"/>
      <c r="FEX80" s="362"/>
      <c r="FEY80" s="362"/>
      <c r="FEZ80" s="362"/>
      <c r="FFA80" s="362"/>
      <c r="FFB80" s="362"/>
      <c r="FFC80" s="362"/>
      <c r="FFD80" s="362"/>
      <c r="FFE80" s="362"/>
      <c r="FFF80" s="362"/>
      <c r="FFG80" s="362"/>
      <c r="FFH80" s="362"/>
      <c r="FFI80" s="362"/>
      <c r="FFJ80" s="362"/>
      <c r="FFK80" s="362"/>
      <c r="FFL80" s="362"/>
      <c r="FFM80" s="362"/>
      <c r="FFN80" s="362"/>
      <c r="FFO80" s="362"/>
      <c r="FFP80" s="362"/>
      <c r="FFQ80" s="362"/>
      <c r="FFR80" s="362"/>
      <c r="FFS80" s="362"/>
      <c r="FFT80" s="362"/>
      <c r="FFU80" s="362"/>
      <c r="FFV80" s="362"/>
      <c r="FFW80" s="362"/>
      <c r="FFX80" s="362"/>
      <c r="FFY80" s="362"/>
      <c r="FFZ80" s="362"/>
      <c r="FGA80" s="362"/>
      <c r="FGB80" s="362"/>
      <c r="FGC80" s="362"/>
      <c r="FGD80" s="362"/>
      <c r="FGE80" s="362"/>
      <c r="FGF80" s="362"/>
      <c r="FGG80" s="362"/>
      <c r="FGH80" s="362"/>
      <c r="FGI80" s="362"/>
      <c r="FGJ80" s="362"/>
      <c r="FGK80" s="362"/>
      <c r="FGL80" s="362"/>
      <c r="FGM80" s="362"/>
      <c r="FGN80" s="362"/>
      <c r="FGO80" s="362"/>
      <c r="FGP80" s="362"/>
      <c r="FGQ80" s="362"/>
      <c r="FGR80" s="362"/>
      <c r="FGS80" s="362"/>
      <c r="FGT80" s="362"/>
      <c r="FGU80" s="362"/>
      <c r="FGV80" s="362"/>
      <c r="FGW80" s="362"/>
      <c r="FGX80" s="362"/>
      <c r="FGY80" s="362"/>
      <c r="FGZ80" s="362"/>
      <c r="FHA80" s="362"/>
      <c r="FHB80" s="362"/>
      <c r="FHC80" s="362"/>
      <c r="FHD80" s="362"/>
      <c r="FHE80" s="362"/>
      <c r="FHF80" s="362"/>
      <c r="FHG80" s="362"/>
      <c r="FHH80" s="362"/>
      <c r="FHI80" s="362"/>
      <c r="FHJ80" s="362"/>
      <c r="FHK80" s="362"/>
      <c r="FHL80" s="362"/>
      <c r="FHM80" s="362"/>
      <c r="FHN80" s="362"/>
      <c r="FHO80" s="362"/>
      <c r="FHP80" s="362"/>
      <c r="FHQ80" s="362"/>
      <c r="FHR80" s="362"/>
      <c r="FHS80" s="362"/>
      <c r="FHT80" s="362"/>
      <c r="FHU80" s="362"/>
      <c r="FHV80" s="362"/>
      <c r="FHW80" s="362"/>
      <c r="FHX80" s="362"/>
      <c r="FHY80" s="362"/>
      <c r="FHZ80" s="362"/>
      <c r="FIA80" s="362"/>
      <c r="FIB80" s="362"/>
      <c r="FIC80" s="362"/>
      <c r="FID80" s="362"/>
      <c r="FIE80" s="362"/>
      <c r="FIF80" s="362"/>
      <c r="FIG80" s="362"/>
      <c r="FIH80" s="362"/>
      <c r="FII80" s="362"/>
      <c r="FIJ80" s="362"/>
      <c r="FIK80" s="362"/>
      <c r="FIL80" s="362"/>
      <c r="FIM80" s="362"/>
      <c r="FIN80" s="362"/>
      <c r="FIO80" s="362"/>
      <c r="FIP80" s="362"/>
      <c r="FIQ80" s="362"/>
      <c r="FIR80" s="362"/>
      <c r="FIS80" s="362"/>
      <c r="FIT80" s="362"/>
      <c r="FIU80" s="362"/>
      <c r="FIV80" s="362"/>
      <c r="FIW80" s="362"/>
      <c r="FIX80" s="362"/>
      <c r="FIY80" s="362"/>
      <c r="FIZ80" s="362"/>
      <c r="FJA80" s="362"/>
      <c r="FJB80" s="362"/>
      <c r="FJC80" s="362"/>
      <c r="FJD80" s="362"/>
      <c r="FJE80" s="362"/>
      <c r="FJF80" s="362"/>
      <c r="FJG80" s="362"/>
      <c r="FJH80" s="362"/>
      <c r="FJI80" s="362"/>
      <c r="FJJ80" s="362"/>
      <c r="FJK80" s="362"/>
      <c r="FJL80" s="362"/>
      <c r="FJM80" s="362"/>
      <c r="FJN80" s="362"/>
      <c r="FJO80" s="362"/>
      <c r="FJP80" s="362"/>
      <c r="FJQ80" s="362"/>
      <c r="FJR80" s="362"/>
      <c r="FJS80" s="362"/>
      <c r="FJT80" s="362"/>
      <c r="FJU80" s="362"/>
      <c r="FJV80" s="362"/>
      <c r="FJW80" s="362"/>
      <c r="FJX80" s="362"/>
      <c r="FJY80" s="362"/>
      <c r="FJZ80" s="362"/>
      <c r="FKA80" s="362"/>
      <c r="FKB80" s="362"/>
      <c r="FKC80" s="362"/>
      <c r="FKD80" s="362"/>
      <c r="FKE80" s="362"/>
      <c r="FKF80" s="362"/>
      <c r="FKG80" s="362"/>
      <c r="FKH80" s="362"/>
      <c r="FKI80" s="362"/>
      <c r="FKJ80" s="362"/>
      <c r="FKK80" s="362"/>
      <c r="FKL80" s="362"/>
      <c r="FKM80" s="362"/>
      <c r="FKN80" s="362"/>
      <c r="FKO80" s="362"/>
      <c r="FKP80" s="362"/>
      <c r="FKQ80" s="362"/>
      <c r="FKR80" s="362"/>
      <c r="FKS80" s="362"/>
      <c r="FKT80" s="362"/>
      <c r="FKU80" s="362"/>
      <c r="FKV80" s="362"/>
      <c r="FKW80" s="362"/>
      <c r="FKX80" s="362"/>
      <c r="FKY80" s="362"/>
      <c r="FKZ80" s="362"/>
      <c r="FLA80" s="362"/>
      <c r="FLB80" s="362"/>
      <c r="FLC80" s="362"/>
      <c r="FLD80" s="362"/>
      <c r="FLE80" s="362"/>
      <c r="FLF80" s="362"/>
      <c r="FLG80" s="362"/>
      <c r="FLH80" s="362"/>
      <c r="FLI80" s="362"/>
      <c r="FLJ80" s="362"/>
      <c r="FLK80" s="362"/>
      <c r="FLL80" s="362"/>
      <c r="FLM80" s="362"/>
      <c r="FLN80" s="362"/>
      <c r="FLO80" s="362"/>
      <c r="FLP80" s="362"/>
      <c r="FLQ80" s="362"/>
      <c r="FLR80" s="362"/>
      <c r="FLS80" s="362"/>
      <c r="FLT80" s="362"/>
      <c r="FLU80" s="362"/>
      <c r="FLV80" s="362"/>
      <c r="FLW80" s="362"/>
      <c r="FLX80" s="362"/>
      <c r="FLY80" s="362"/>
      <c r="FLZ80" s="362"/>
      <c r="FMA80" s="362"/>
      <c r="FMB80" s="362"/>
      <c r="FMC80" s="362"/>
      <c r="FMD80" s="362"/>
      <c r="FME80" s="362"/>
      <c r="FMF80" s="362"/>
      <c r="FMG80" s="362"/>
      <c r="FMH80" s="362"/>
      <c r="FMI80" s="362"/>
      <c r="FMJ80" s="362"/>
      <c r="FMK80" s="362"/>
      <c r="FML80" s="362"/>
      <c r="FMM80" s="362"/>
      <c r="FMN80" s="362"/>
      <c r="FMO80" s="362"/>
      <c r="FMP80" s="362"/>
      <c r="FMQ80" s="362"/>
      <c r="FMR80" s="362"/>
      <c r="FMS80" s="362"/>
      <c r="FMT80" s="362"/>
      <c r="FMU80" s="362"/>
      <c r="FMV80" s="362"/>
      <c r="FMW80" s="362"/>
      <c r="FMX80" s="362"/>
      <c r="FMY80" s="362"/>
      <c r="FMZ80" s="362"/>
      <c r="FNA80" s="362"/>
      <c r="FNB80" s="362"/>
      <c r="FNC80" s="362"/>
      <c r="FND80" s="362"/>
      <c r="FNE80" s="362"/>
      <c r="FNF80" s="362"/>
      <c r="FNG80" s="362"/>
      <c r="FNH80" s="362"/>
      <c r="FNI80" s="362"/>
      <c r="FNJ80" s="362"/>
      <c r="FNK80" s="362"/>
      <c r="FNL80" s="362"/>
      <c r="FNM80" s="362"/>
      <c r="FNN80" s="362"/>
      <c r="FNO80" s="362"/>
      <c r="FNP80" s="362"/>
      <c r="FNQ80" s="362"/>
      <c r="FNR80" s="362"/>
      <c r="FNS80" s="362"/>
      <c r="FNT80" s="362"/>
      <c r="FNU80" s="362"/>
      <c r="FNV80" s="362"/>
      <c r="FNW80" s="362"/>
      <c r="FNX80" s="362"/>
      <c r="FNY80" s="362"/>
      <c r="FNZ80" s="362"/>
      <c r="FOA80" s="362"/>
      <c r="FOB80" s="362"/>
      <c r="FOC80" s="362"/>
      <c r="FOD80" s="362"/>
      <c r="FOE80" s="362"/>
      <c r="FOF80" s="362"/>
      <c r="FOG80" s="362"/>
      <c r="FOH80" s="362"/>
      <c r="FOI80" s="362"/>
      <c r="FOJ80" s="362"/>
      <c r="FOK80" s="362"/>
      <c r="FOL80" s="362"/>
      <c r="FOM80" s="362"/>
      <c r="FON80" s="362"/>
      <c r="FOO80" s="362"/>
      <c r="FOP80" s="362"/>
      <c r="FOQ80" s="362"/>
      <c r="FOR80" s="362"/>
      <c r="FOS80" s="362"/>
      <c r="FOT80" s="362"/>
      <c r="FOU80" s="362"/>
      <c r="FOV80" s="362"/>
      <c r="FOW80" s="362"/>
      <c r="FOX80" s="362"/>
      <c r="FOY80" s="362"/>
      <c r="FOZ80" s="362"/>
      <c r="FPA80" s="362"/>
      <c r="FPB80" s="362"/>
      <c r="FPC80" s="362"/>
      <c r="FPD80" s="362"/>
      <c r="FPE80" s="362"/>
      <c r="FPF80" s="362"/>
      <c r="FPG80" s="362"/>
      <c r="FPH80" s="362"/>
      <c r="FPI80" s="362"/>
      <c r="FPJ80" s="362"/>
      <c r="FPK80" s="362"/>
      <c r="FPL80" s="362"/>
      <c r="FPM80" s="362"/>
      <c r="FPN80" s="362"/>
      <c r="FPO80" s="362"/>
      <c r="FPP80" s="362"/>
      <c r="FPQ80" s="362"/>
      <c r="FPR80" s="362"/>
      <c r="FPS80" s="362"/>
      <c r="FPT80" s="362"/>
      <c r="FPU80" s="362"/>
      <c r="FPV80" s="362"/>
      <c r="FPW80" s="362"/>
      <c r="FPX80" s="362"/>
      <c r="FPY80" s="362"/>
      <c r="FPZ80" s="362"/>
      <c r="FQA80" s="362"/>
      <c r="FQB80" s="362"/>
      <c r="FQC80" s="362"/>
      <c r="FQD80" s="362"/>
      <c r="FQE80" s="362"/>
      <c r="FQF80" s="362"/>
      <c r="FQG80" s="362"/>
      <c r="FQH80" s="362"/>
      <c r="FQI80" s="362"/>
      <c r="FQJ80" s="362"/>
      <c r="FQK80" s="362"/>
      <c r="FQL80" s="362"/>
      <c r="FQM80" s="362"/>
      <c r="FQN80" s="362"/>
      <c r="FQO80" s="362"/>
      <c r="FQP80" s="362"/>
      <c r="FQQ80" s="362"/>
      <c r="FQR80" s="362"/>
      <c r="FQS80" s="362"/>
      <c r="FQT80" s="362"/>
      <c r="FQU80" s="362"/>
      <c r="FQV80" s="362"/>
      <c r="FQW80" s="362"/>
      <c r="FQX80" s="362"/>
      <c r="FQY80" s="362"/>
      <c r="FQZ80" s="362"/>
      <c r="FRA80" s="362"/>
      <c r="FRB80" s="362"/>
      <c r="FRC80" s="362"/>
      <c r="FRD80" s="362"/>
      <c r="FRE80" s="362"/>
      <c r="FRF80" s="362"/>
      <c r="FRG80" s="362"/>
      <c r="FRH80" s="362"/>
      <c r="FRI80" s="362"/>
      <c r="FRJ80" s="362"/>
      <c r="FRK80" s="362"/>
      <c r="FRL80" s="362"/>
      <c r="FRM80" s="362"/>
      <c r="FRN80" s="362"/>
      <c r="FRO80" s="362"/>
      <c r="FRP80" s="362"/>
      <c r="FRQ80" s="362"/>
      <c r="FRR80" s="362"/>
      <c r="FRS80" s="362"/>
      <c r="FRT80" s="362"/>
      <c r="FRU80" s="362"/>
      <c r="FRV80" s="362"/>
      <c r="FRW80" s="362"/>
      <c r="FRX80" s="362"/>
      <c r="FRY80" s="362"/>
      <c r="FRZ80" s="362"/>
      <c r="FSA80" s="362"/>
      <c r="FSB80" s="362"/>
      <c r="FSC80" s="362"/>
      <c r="FSD80" s="362"/>
      <c r="FSE80" s="362"/>
      <c r="FSF80" s="362"/>
      <c r="FSG80" s="362"/>
      <c r="FSH80" s="362"/>
      <c r="FSI80" s="362"/>
      <c r="FSJ80" s="362"/>
      <c r="FSK80" s="362"/>
      <c r="FSL80" s="362"/>
      <c r="FSM80" s="362"/>
      <c r="FSN80" s="362"/>
      <c r="FSO80" s="362"/>
      <c r="FSP80" s="362"/>
      <c r="FSQ80" s="362"/>
      <c r="FSR80" s="362"/>
      <c r="FSS80" s="362"/>
      <c r="FST80" s="362"/>
      <c r="FSU80" s="362"/>
      <c r="FSV80" s="362"/>
      <c r="FSW80" s="362"/>
      <c r="FSX80" s="362"/>
      <c r="FSY80" s="362"/>
      <c r="FSZ80" s="362"/>
      <c r="FTA80" s="362"/>
      <c r="FTB80" s="362"/>
      <c r="FTC80" s="362"/>
      <c r="FTD80" s="362"/>
      <c r="FTE80" s="362"/>
      <c r="FTF80" s="362"/>
      <c r="FTG80" s="362"/>
      <c r="FTH80" s="362"/>
      <c r="FTI80" s="362"/>
      <c r="FTJ80" s="362"/>
      <c r="FTK80" s="362"/>
      <c r="FTL80" s="362"/>
      <c r="FTM80" s="362"/>
      <c r="FTN80" s="362"/>
      <c r="FTO80" s="362"/>
      <c r="FTP80" s="362"/>
      <c r="FTQ80" s="362"/>
      <c r="FTR80" s="362"/>
      <c r="FTS80" s="362"/>
      <c r="FTT80" s="362"/>
      <c r="FTU80" s="362"/>
      <c r="FTV80" s="362"/>
      <c r="FTW80" s="362"/>
      <c r="FTX80" s="362"/>
      <c r="FTY80" s="362"/>
      <c r="FTZ80" s="362"/>
      <c r="FUA80" s="362"/>
      <c r="FUB80" s="362"/>
      <c r="FUC80" s="362"/>
      <c r="FUD80" s="362"/>
      <c r="FUE80" s="362"/>
      <c r="FUF80" s="362"/>
      <c r="FUG80" s="362"/>
      <c r="FUH80" s="362"/>
      <c r="FUI80" s="362"/>
      <c r="FUJ80" s="362"/>
      <c r="FUK80" s="362"/>
      <c r="FUL80" s="362"/>
      <c r="FUM80" s="362"/>
      <c r="FUN80" s="362"/>
      <c r="FUO80" s="362"/>
      <c r="FUP80" s="362"/>
      <c r="FUQ80" s="362"/>
      <c r="FUR80" s="362"/>
      <c r="FUS80" s="362"/>
      <c r="FUT80" s="362"/>
      <c r="FUU80" s="362"/>
      <c r="FUV80" s="362"/>
      <c r="FUW80" s="362"/>
      <c r="FUX80" s="362"/>
      <c r="FUY80" s="362"/>
      <c r="FUZ80" s="362"/>
      <c r="FVA80" s="362"/>
      <c r="FVB80" s="362"/>
      <c r="FVC80" s="362"/>
      <c r="FVD80" s="362"/>
      <c r="FVE80" s="362"/>
      <c r="FVF80" s="362"/>
      <c r="FVG80" s="362"/>
      <c r="FVH80" s="362"/>
      <c r="FVI80" s="362"/>
      <c r="FVJ80" s="362"/>
      <c r="FVK80" s="362"/>
      <c r="FVL80" s="362"/>
      <c r="FVM80" s="362"/>
      <c r="FVN80" s="362"/>
      <c r="FVO80" s="362"/>
      <c r="FVP80" s="362"/>
      <c r="FVQ80" s="362"/>
      <c r="FVR80" s="362"/>
      <c r="FVS80" s="362"/>
      <c r="FVT80" s="362"/>
      <c r="FVU80" s="362"/>
      <c r="FVV80" s="362"/>
      <c r="FVW80" s="362"/>
      <c r="FVX80" s="362"/>
      <c r="FVY80" s="362"/>
      <c r="FVZ80" s="362"/>
      <c r="FWA80" s="362"/>
      <c r="FWB80" s="362"/>
      <c r="FWC80" s="362"/>
      <c r="FWD80" s="362"/>
      <c r="FWE80" s="362"/>
      <c r="FWF80" s="362"/>
      <c r="FWG80" s="362"/>
      <c r="FWH80" s="362"/>
      <c r="FWI80" s="362"/>
      <c r="FWJ80" s="362"/>
      <c r="FWK80" s="362"/>
      <c r="FWL80" s="362"/>
      <c r="FWM80" s="362"/>
      <c r="FWN80" s="362"/>
      <c r="FWO80" s="362"/>
      <c r="FWP80" s="362"/>
      <c r="FWQ80" s="362"/>
      <c r="FWR80" s="362"/>
      <c r="FWS80" s="362"/>
      <c r="FWT80" s="362"/>
      <c r="FWU80" s="362"/>
      <c r="FWV80" s="362"/>
      <c r="FWW80" s="362"/>
      <c r="FWX80" s="362"/>
      <c r="FWY80" s="362"/>
      <c r="FWZ80" s="362"/>
      <c r="FXA80" s="362"/>
      <c r="FXB80" s="362"/>
      <c r="FXC80" s="362"/>
      <c r="FXD80" s="362"/>
      <c r="FXE80" s="362"/>
      <c r="FXF80" s="362"/>
      <c r="FXG80" s="362"/>
      <c r="FXH80" s="362"/>
      <c r="FXI80" s="362"/>
      <c r="FXJ80" s="362"/>
      <c r="FXK80" s="362"/>
      <c r="FXL80" s="362"/>
      <c r="FXM80" s="362"/>
      <c r="FXN80" s="362"/>
      <c r="FXO80" s="362"/>
      <c r="FXP80" s="362"/>
      <c r="FXQ80" s="362"/>
      <c r="FXR80" s="362"/>
      <c r="FXS80" s="362"/>
      <c r="FXT80" s="362"/>
      <c r="FXU80" s="362"/>
      <c r="FXV80" s="362"/>
      <c r="FXW80" s="362"/>
      <c r="FXX80" s="362"/>
      <c r="FXY80" s="362"/>
      <c r="FXZ80" s="362"/>
      <c r="FYA80" s="362"/>
      <c r="FYB80" s="362"/>
      <c r="FYC80" s="362"/>
      <c r="FYD80" s="362"/>
      <c r="FYE80" s="362"/>
      <c r="FYF80" s="362"/>
      <c r="FYG80" s="362"/>
      <c r="FYH80" s="362"/>
      <c r="FYI80" s="362"/>
      <c r="FYJ80" s="362"/>
      <c r="FYK80" s="362"/>
      <c r="FYL80" s="362"/>
      <c r="FYM80" s="362"/>
      <c r="FYN80" s="362"/>
      <c r="FYO80" s="362"/>
      <c r="FYP80" s="362"/>
      <c r="FYQ80" s="362"/>
      <c r="FYR80" s="362"/>
      <c r="FYS80" s="362"/>
      <c r="FYT80" s="362"/>
      <c r="FYU80" s="362"/>
      <c r="FYV80" s="362"/>
      <c r="FYW80" s="362"/>
      <c r="FYX80" s="362"/>
      <c r="FYY80" s="362"/>
      <c r="FYZ80" s="362"/>
      <c r="FZA80" s="362"/>
      <c r="FZB80" s="362"/>
      <c r="FZC80" s="362"/>
      <c r="FZD80" s="362"/>
      <c r="FZE80" s="362"/>
      <c r="FZF80" s="362"/>
      <c r="FZG80" s="362"/>
      <c r="FZH80" s="362"/>
      <c r="FZI80" s="362"/>
      <c r="FZJ80" s="362"/>
      <c r="FZK80" s="362"/>
      <c r="FZL80" s="362"/>
      <c r="FZM80" s="362"/>
      <c r="FZN80" s="362"/>
      <c r="FZO80" s="362"/>
      <c r="FZP80" s="362"/>
      <c r="FZQ80" s="362"/>
      <c r="FZR80" s="362"/>
      <c r="FZS80" s="362"/>
      <c r="FZT80" s="362"/>
      <c r="FZU80" s="362"/>
      <c r="FZV80" s="362"/>
      <c r="FZW80" s="362"/>
      <c r="FZX80" s="362"/>
      <c r="FZY80" s="362"/>
      <c r="FZZ80" s="362"/>
      <c r="GAA80" s="362"/>
      <c r="GAB80" s="362"/>
      <c r="GAC80" s="362"/>
      <c r="GAD80" s="362"/>
      <c r="GAE80" s="362"/>
      <c r="GAF80" s="362"/>
      <c r="GAG80" s="362"/>
      <c r="GAH80" s="362"/>
      <c r="GAI80" s="362"/>
      <c r="GAJ80" s="362"/>
      <c r="GAK80" s="362"/>
      <c r="GAL80" s="362"/>
      <c r="GAM80" s="362"/>
      <c r="GAN80" s="362"/>
      <c r="GAO80" s="362"/>
      <c r="GAP80" s="362"/>
      <c r="GAQ80" s="362"/>
      <c r="GAR80" s="362"/>
      <c r="GAS80" s="362"/>
      <c r="GAT80" s="362"/>
      <c r="GAU80" s="362"/>
      <c r="GAV80" s="362"/>
      <c r="GAW80" s="362"/>
      <c r="GAX80" s="362"/>
      <c r="GAY80" s="362"/>
      <c r="GAZ80" s="362"/>
      <c r="GBA80" s="362"/>
      <c r="GBB80" s="362"/>
      <c r="GBC80" s="362"/>
      <c r="GBD80" s="362"/>
      <c r="GBE80" s="362"/>
      <c r="GBF80" s="362"/>
      <c r="GBG80" s="362"/>
      <c r="GBH80" s="362"/>
      <c r="GBI80" s="362"/>
      <c r="GBJ80" s="362"/>
      <c r="GBK80" s="362"/>
      <c r="GBL80" s="362"/>
      <c r="GBM80" s="362"/>
      <c r="GBN80" s="362"/>
      <c r="GBO80" s="362"/>
      <c r="GBP80" s="362"/>
      <c r="GBQ80" s="362"/>
      <c r="GBR80" s="362"/>
      <c r="GBS80" s="362"/>
      <c r="GBT80" s="362"/>
      <c r="GBU80" s="362"/>
      <c r="GBV80" s="362"/>
      <c r="GBW80" s="362"/>
      <c r="GBX80" s="362"/>
      <c r="GBY80" s="362"/>
      <c r="GBZ80" s="362"/>
      <c r="GCA80" s="362"/>
      <c r="GCB80" s="362"/>
      <c r="GCC80" s="362"/>
      <c r="GCD80" s="362"/>
      <c r="GCE80" s="362"/>
      <c r="GCF80" s="362"/>
      <c r="GCG80" s="362"/>
      <c r="GCH80" s="362"/>
      <c r="GCI80" s="362"/>
      <c r="GCJ80" s="362"/>
      <c r="GCK80" s="362"/>
      <c r="GCL80" s="362"/>
      <c r="GCM80" s="362"/>
      <c r="GCN80" s="362"/>
      <c r="GCO80" s="362"/>
      <c r="GCP80" s="362"/>
      <c r="GCQ80" s="362"/>
      <c r="GCR80" s="362"/>
      <c r="GCS80" s="362"/>
      <c r="GCT80" s="362"/>
      <c r="GCU80" s="362"/>
      <c r="GCV80" s="362"/>
      <c r="GCW80" s="362"/>
      <c r="GCX80" s="362"/>
      <c r="GCY80" s="362"/>
      <c r="GCZ80" s="362"/>
      <c r="GDA80" s="362"/>
      <c r="GDB80" s="362"/>
      <c r="GDC80" s="362"/>
      <c r="GDD80" s="362"/>
      <c r="GDE80" s="362"/>
      <c r="GDF80" s="362"/>
      <c r="GDG80" s="362"/>
      <c r="GDH80" s="362"/>
      <c r="GDI80" s="362"/>
      <c r="GDJ80" s="362"/>
      <c r="GDK80" s="362"/>
      <c r="GDL80" s="362"/>
      <c r="GDM80" s="362"/>
      <c r="GDN80" s="362"/>
      <c r="GDO80" s="362"/>
      <c r="GDP80" s="362"/>
      <c r="GDQ80" s="362"/>
      <c r="GDR80" s="362"/>
      <c r="GDS80" s="362"/>
      <c r="GDT80" s="362"/>
      <c r="GDU80" s="362"/>
      <c r="GDV80" s="362"/>
      <c r="GDW80" s="362"/>
      <c r="GDX80" s="362"/>
      <c r="GDY80" s="362"/>
      <c r="GDZ80" s="362"/>
      <c r="GEA80" s="362"/>
      <c r="GEB80" s="362"/>
      <c r="GEC80" s="362"/>
      <c r="GED80" s="362"/>
      <c r="GEE80" s="362"/>
      <c r="GEF80" s="362"/>
      <c r="GEG80" s="362"/>
      <c r="GEH80" s="362"/>
      <c r="GEI80" s="362"/>
      <c r="GEJ80" s="362"/>
      <c r="GEK80" s="362"/>
      <c r="GEL80" s="362"/>
      <c r="GEM80" s="362"/>
      <c r="GEN80" s="362"/>
      <c r="GEO80" s="362"/>
      <c r="GEP80" s="362"/>
      <c r="GEQ80" s="362"/>
      <c r="GER80" s="362"/>
      <c r="GES80" s="362"/>
      <c r="GET80" s="362"/>
      <c r="GEU80" s="362"/>
      <c r="GEV80" s="362"/>
      <c r="GEW80" s="362"/>
      <c r="GEX80" s="362"/>
      <c r="GEY80" s="362"/>
      <c r="GEZ80" s="362"/>
      <c r="GFA80" s="362"/>
      <c r="GFB80" s="362"/>
      <c r="GFC80" s="362"/>
      <c r="GFD80" s="362"/>
      <c r="GFE80" s="362"/>
      <c r="GFF80" s="362"/>
      <c r="GFG80" s="362"/>
      <c r="GFH80" s="362"/>
      <c r="GFI80" s="362"/>
      <c r="GFJ80" s="362"/>
      <c r="GFK80" s="362"/>
      <c r="GFL80" s="362"/>
      <c r="GFM80" s="362"/>
      <c r="GFN80" s="362"/>
      <c r="GFO80" s="362"/>
      <c r="GFP80" s="362"/>
      <c r="GFQ80" s="362"/>
      <c r="GFR80" s="362"/>
      <c r="GFS80" s="362"/>
      <c r="GFT80" s="362"/>
      <c r="GFU80" s="362"/>
      <c r="GFV80" s="362"/>
      <c r="GFW80" s="362"/>
      <c r="GFX80" s="362"/>
      <c r="GFY80" s="362"/>
      <c r="GFZ80" s="362"/>
      <c r="GGA80" s="362"/>
      <c r="GGB80" s="362"/>
      <c r="GGC80" s="362"/>
      <c r="GGD80" s="362"/>
      <c r="GGE80" s="362"/>
      <c r="GGF80" s="362"/>
      <c r="GGG80" s="362"/>
      <c r="GGH80" s="362"/>
      <c r="GGI80" s="362"/>
      <c r="GGJ80" s="362"/>
      <c r="GGK80" s="362"/>
      <c r="GGL80" s="362"/>
      <c r="GGM80" s="362"/>
      <c r="GGN80" s="362"/>
      <c r="GGO80" s="362"/>
      <c r="GGP80" s="362"/>
      <c r="GGQ80" s="362"/>
      <c r="GGR80" s="362"/>
      <c r="GGS80" s="362"/>
      <c r="GGT80" s="362"/>
      <c r="GGU80" s="362"/>
      <c r="GGV80" s="362"/>
      <c r="GGW80" s="362"/>
      <c r="GGX80" s="362"/>
      <c r="GGY80" s="362"/>
      <c r="GGZ80" s="362"/>
      <c r="GHA80" s="362"/>
      <c r="GHB80" s="362"/>
      <c r="GHC80" s="362"/>
      <c r="GHD80" s="362"/>
      <c r="GHE80" s="362"/>
      <c r="GHF80" s="362"/>
      <c r="GHG80" s="362"/>
      <c r="GHH80" s="362"/>
      <c r="GHI80" s="362"/>
      <c r="GHJ80" s="362"/>
      <c r="GHK80" s="362"/>
      <c r="GHL80" s="362"/>
      <c r="GHM80" s="362"/>
      <c r="GHN80" s="362"/>
      <c r="GHO80" s="362"/>
      <c r="GHP80" s="362"/>
      <c r="GHQ80" s="362"/>
      <c r="GHR80" s="362"/>
      <c r="GHS80" s="362"/>
      <c r="GHT80" s="362"/>
      <c r="GHU80" s="362"/>
      <c r="GHV80" s="362"/>
      <c r="GHW80" s="362"/>
      <c r="GHX80" s="362"/>
      <c r="GHY80" s="362"/>
      <c r="GHZ80" s="362"/>
      <c r="GIA80" s="362"/>
      <c r="GIB80" s="362"/>
      <c r="GIC80" s="362"/>
      <c r="GID80" s="362"/>
      <c r="GIE80" s="362"/>
      <c r="GIF80" s="362"/>
      <c r="GIG80" s="362"/>
      <c r="GIH80" s="362"/>
      <c r="GII80" s="362"/>
      <c r="GIJ80" s="362"/>
      <c r="GIK80" s="362"/>
      <c r="GIL80" s="362"/>
      <c r="GIM80" s="362"/>
      <c r="GIN80" s="362"/>
      <c r="GIO80" s="362"/>
      <c r="GIP80" s="362"/>
      <c r="GIQ80" s="362"/>
      <c r="GIR80" s="362"/>
      <c r="GIS80" s="362"/>
      <c r="GIT80" s="362"/>
      <c r="GIU80" s="362"/>
      <c r="GIV80" s="362"/>
      <c r="GIW80" s="362"/>
      <c r="GIX80" s="362"/>
      <c r="GIY80" s="362"/>
      <c r="GIZ80" s="362"/>
      <c r="GJA80" s="362"/>
      <c r="GJB80" s="362"/>
      <c r="GJC80" s="362"/>
      <c r="GJD80" s="362"/>
      <c r="GJE80" s="362"/>
      <c r="GJF80" s="362"/>
      <c r="GJG80" s="362"/>
      <c r="GJH80" s="362"/>
      <c r="GJI80" s="362"/>
      <c r="GJJ80" s="362"/>
      <c r="GJK80" s="362"/>
      <c r="GJL80" s="362"/>
      <c r="GJM80" s="362"/>
      <c r="GJN80" s="362"/>
      <c r="GJO80" s="362"/>
      <c r="GJP80" s="362"/>
      <c r="GJQ80" s="362"/>
      <c r="GJR80" s="362"/>
      <c r="GJS80" s="362"/>
      <c r="GJT80" s="362"/>
      <c r="GJU80" s="362"/>
      <c r="GJV80" s="362"/>
      <c r="GJW80" s="362"/>
      <c r="GJX80" s="362"/>
      <c r="GJY80" s="362"/>
      <c r="GJZ80" s="362"/>
      <c r="GKA80" s="362"/>
      <c r="GKB80" s="362"/>
      <c r="GKC80" s="362"/>
      <c r="GKD80" s="362"/>
      <c r="GKE80" s="362"/>
      <c r="GKF80" s="362"/>
      <c r="GKG80" s="362"/>
      <c r="GKH80" s="362"/>
      <c r="GKI80" s="362"/>
      <c r="GKJ80" s="362"/>
      <c r="GKK80" s="362"/>
      <c r="GKL80" s="362"/>
      <c r="GKM80" s="362"/>
      <c r="GKN80" s="362"/>
      <c r="GKO80" s="362"/>
      <c r="GKP80" s="362"/>
      <c r="GKQ80" s="362"/>
      <c r="GKR80" s="362"/>
      <c r="GKS80" s="362"/>
      <c r="GKT80" s="362"/>
      <c r="GKU80" s="362"/>
      <c r="GKV80" s="362"/>
      <c r="GKW80" s="362"/>
      <c r="GKX80" s="362"/>
      <c r="GKY80" s="362"/>
      <c r="GKZ80" s="362"/>
      <c r="GLA80" s="362"/>
      <c r="GLB80" s="362"/>
      <c r="GLC80" s="362"/>
      <c r="GLD80" s="362"/>
      <c r="GLE80" s="362"/>
      <c r="GLF80" s="362"/>
      <c r="GLG80" s="362"/>
      <c r="GLH80" s="362"/>
      <c r="GLI80" s="362"/>
      <c r="GLJ80" s="362"/>
      <c r="GLK80" s="362"/>
      <c r="GLL80" s="362"/>
      <c r="GLM80" s="362"/>
      <c r="GLN80" s="362"/>
      <c r="GLO80" s="362"/>
      <c r="GLP80" s="362"/>
      <c r="GLQ80" s="362"/>
      <c r="GLR80" s="362"/>
      <c r="GLS80" s="362"/>
      <c r="GLT80" s="362"/>
      <c r="GLU80" s="362"/>
      <c r="GLV80" s="362"/>
      <c r="GLW80" s="362"/>
      <c r="GLX80" s="362"/>
      <c r="GLY80" s="362"/>
      <c r="GLZ80" s="362"/>
      <c r="GMA80" s="362"/>
      <c r="GMB80" s="362"/>
      <c r="GMC80" s="362"/>
      <c r="GMD80" s="362"/>
      <c r="GME80" s="362"/>
      <c r="GMF80" s="362"/>
      <c r="GMG80" s="362"/>
      <c r="GMH80" s="362"/>
      <c r="GMI80" s="362"/>
      <c r="GMJ80" s="362"/>
      <c r="GMK80" s="362"/>
      <c r="GML80" s="362"/>
      <c r="GMM80" s="362"/>
      <c r="GMN80" s="362"/>
      <c r="GMO80" s="362"/>
      <c r="GMP80" s="362"/>
      <c r="GMQ80" s="362"/>
      <c r="GMR80" s="362"/>
      <c r="GMS80" s="362"/>
      <c r="GMT80" s="362"/>
      <c r="GMU80" s="362"/>
      <c r="GMV80" s="362"/>
      <c r="GMW80" s="362"/>
      <c r="GMX80" s="362"/>
      <c r="GMY80" s="362"/>
      <c r="GMZ80" s="362"/>
      <c r="GNA80" s="362"/>
      <c r="GNB80" s="362"/>
      <c r="GNC80" s="362"/>
      <c r="GND80" s="362"/>
      <c r="GNE80" s="362"/>
      <c r="GNF80" s="362"/>
      <c r="GNG80" s="362"/>
      <c r="GNH80" s="362"/>
      <c r="GNI80" s="362"/>
      <c r="GNJ80" s="362"/>
      <c r="GNK80" s="362"/>
      <c r="GNL80" s="362"/>
      <c r="GNM80" s="362"/>
      <c r="GNN80" s="362"/>
      <c r="GNO80" s="362"/>
      <c r="GNP80" s="362"/>
      <c r="GNQ80" s="362"/>
      <c r="GNR80" s="362"/>
      <c r="GNS80" s="362"/>
      <c r="GNT80" s="362"/>
      <c r="GNU80" s="362"/>
      <c r="GNV80" s="362"/>
      <c r="GNW80" s="362"/>
      <c r="GNX80" s="362"/>
      <c r="GNY80" s="362"/>
      <c r="GNZ80" s="362"/>
      <c r="GOA80" s="362"/>
      <c r="GOB80" s="362"/>
      <c r="GOC80" s="362"/>
      <c r="GOD80" s="362"/>
      <c r="GOE80" s="362"/>
      <c r="GOF80" s="362"/>
      <c r="GOG80" s="362"/>
      <c r="GOH80" s="362"/>
      <c r="GOI80" s="362"/>
      <c r="GOJ80" s="362"/>
      <c r="GOK80" s="362"/>
      <c r="GOL80" s="362"/>
      <c r="GOM80" s="362"/>
      <c r="GON80" s="362"/>
      <c r="GOO80" s="362"/>
      <c r="GOP80" s="362"/>
      <c r="GOQ80" s="362"/>
      <c r="GOR80" s="362"/>
      <c r="GOS80" s="362"/>
      <c r="GOT80" s="362"/>
      <c r="GOU80" s="362"/>
      <c r="GOV80" s="362"/>
      <c r="GOW80" s="362"/>
      <c r="GOX80" s="362"/>
      <c r="GOY80" s="362"/>
      <c r="GOZ80" s="362"/>
      <c r="GPA80" s="362"/>
      <c r="GPB80" s="362"/>
      <c r="GPC80" s="362"/>
      <c r="GPD80" s="362"/>
      <c r="GPE80" s="362"/>
      <c r="GPF80" s="362"/>
      <c r="GPG80" s="362"/>
      <c r="GPH80" s="362"/>
      <c r="GPI80" s="362"/>
      <c r="GPJ80" s="362"/>
      <c r="GPK80" s="362"/>
      <c r="GPL80" s="362"/>
      <c r="GPM80" s="362"/>
      <c r="GPN80" s="362"/>
      <c r="GPO80" s="362"/>
      <c r="GPP80" s="362"/>
      <c r="GPQ80" s="362"/>
      <c r="GPR80" s="362"/>
      <c r="GPS80" s="362"/>
      <c r="GPT80" s="362"/>
      <c r="GPU80" s="362"/>
      <c r="GPV80" s="362"/>
      <c r="GPW80" s="362"/>
      <c r="GPX80" s="362"/>
      <c r="GPY80" s="362"/>
      <c r="GPZ80" s="362"/>
      <c r="GQA80" s="362"/>
      <c r="GQB80" s="362"/>
      <c r="GQC80" s="362"/>
      <c r="GQD80" s="362"/>
      <c r="GQE80" s="362"/>
      <c r="GQF80" s="362"/>
      <c r="GQG80" s="362"/>
      <c r="GQH80" s="362"/>
      <c r="GQI80" s="362"/>
      <c r="GQJ80" s="362"/>
      <c r="GQK80" s="362"/>
      <c r="GQL80" s="362"/>
      <c r="GQM80" s="362"/>
      <c r="GQN80" s="362"/>
      <c r="GQO80" s="362"/>
      <c r="GQP80" s="362"/>
      <c r="GQQ80" s="362"/>
      <c r="GQR80" s="362"/>
      <c r="GQS80" s="362"/>
      <c r="GQT80" s="362"/>
      <c r="GQU80" s="362"/>
      <c r="GQV80" s="362"/>
      <c r="GQW80" s="362"/>
      <c r="GQX80" s="362"/>
      <c r="GQY80" s="362"/>
      <c r="GQZ80" s="362"/>
      <c r="GRA80" s="362"/>
      <c r="GRB80" s="362"/>
      <c r="GRC80" s="362"/>
      <c r="GRD80" s="362"/>
      <c r="GRE80" s="362"/>
      <c r="GRF80" s="362"/>
      <c r="GRG80" s="362"/>
      <c r="GRH80" s="362"/>
      <c r="GRI80" s="362"/>
      <c r="GRJ80" s="362"/>
      <c r="GRK80" s="362"/>
      <c r="GRL80" s="362"/>
      <c r="GRM80" s="362"/>
      <c r="GRN80" s="362"/>
      <c r="GRO80" s="362"/>
      <c r="GRP80" s="362"/>
      <c r="GRQ80" s="362"/>
      <c r="GRR80" s="362"/>
      <c r="GRS80" s="362"/>
      <c r="GRT80" s="362"/>
      <c r="GRU80" s="362"/>
      <c r="GRV80" s="362"/>
      <c r="GRW80" s="362"/>
      <c r="GRX80" s="362"/>
      <c r="GRY80" s="362"/>
      <c r="GRZ80" s="362"/>
      <c r="GSA80" s="362"/>
      <c r="GSB80" s="362"/>
      <c r="GSC80" s="362"/>
      <c r="GSD80" s="362"/>
      <c r="GSE80" s="362"/>
      <c r="GSF80" s="362"/>
      <c r="GSG80" s="362"/>
      <c r="GSH80" s="362"/>
      <c r="GSI80" s="362"/>
      <c r="GSJ80" s="362"/>
      <c r="GSK80" s="362"/>
      <c r="GSL80" s="362"/>
      <c r="GSM80" s="362"/>
      <c r="GSN80" s="362"/>
      <c r="GSO80" s="362"/>
      <c r="GSP80" s="362"/>
      <c r="GSQ80" s="362"/>
      <c r="GSR80" s="362"/>
      <c r="GSS80" s="362"/>
      <c r="GST80" s="362"/>
      <c r="GSU80" s="362"/>
      <c r="GSV80" s="362"/>
      <c r="GSW80" s="362"/>
      <c r="GSX80" s="362"/>
      <c r="GSY80" s="362"/>
      <c r="GSZ80" s="362"/>
      <c r="GTA80" s="362"/>
      <c r="GTB80" s="362"/>
      <c r="GTC80" s="362"/>
      <c r="GTD80" s="362"/>
      <c r="GTE80" s="362"/>
      <c r="GTF80" s="362"/>
      <c r="GTG80" s="362"/>
      <c r="GTH80" s="362"/>
      <c r="GTI80" s="362"/>
      <c r="GTJ80" s="362"/>
      <c r="GTK80" s="362"/>
      <c r="GTL80" s="362"/>
      <c r="GTM80" s="362"/>
      <c r="GTN80" s="362"/>
      <c r="GTO80" s="362"/>
      <c r="GTP80" s="362"/>
      <c r="GTQ80" s="362"/>
      <c r="GTR80" s="362"/>
      <c r="GTS80" s="362"/>
      <c r="GTT80" s="362"/>
      <c r="GTU80" s="362"/>
      <c r="GTV80" s="362"/>
      <c r="GTW80" s="362"/>
      <c r="GTX80" s="362"/>
      <c r="GTY80" s="362"/>
      <c r="GTZ80" s="362"/>
      <c r="GUA80" s="362"/>
      <c r="GUB80" s="362"/>
      <c r="GUC80" s="362"/>
      <c r="GUD80" s="362"/>
      <c r="GUE80" s="362"/>
      <c r="GUF80" s="362"/>
      <c r="GUG80" s="362"/>
      <c r="GUH80" s="362"/>
      <c r="GUI80" s="362"/>
      <c r="GUJ80" s="362"/>
      <c r="GUK80" s="362"/>
      <c r="GUL80" s="362"/>
      <c r="GUM80" s="362"/>
      <c r="GUN80" s="362"/>
      <c r="GUO80" s="362"/>
      <c r="GUP80" s="362"/>
      <c r="GUQ80" s="362"/>
      <c r="GUR80" s="362"/>
      <c r="GUS80" s="362"/>
      <c r="GUT80" s="362"/>
      <c r="GUU80" s="362"/>
      <c r="GUV80" s="362"/>
      <c r="GUW80" s="362"/>
      <c r="GUX80" s="362"/>
      <c r="GUY80" s="362"/>
      <c r="GUZ80" s="362"/>
      <c r="GVA80" s="362"/>
      <c r="GVB80" s="362"/>
      <c r="GVC80" s="362"/>
      <c r="GVD80" s="362"/>
      <c r="GVE80" s="362"/>
      <c r="GVF80" s="362"/>
      <c r="GVG80" s="362"/>
      <c r="GVH80" s="362"/>
      <c r="GVI80" s="362"/>
      <c r="GVJ80" s="362"/>
      <c r="GVK80" s="362"/>
      <c r="GVL80" s="362"/>
      <c r="GVM80" s="362"/>
      <c r="GVN80" s="362"/>
      <c r="GVO80" s="362"/>
      <c r="GVP80" s="362"/>
      <c r="GVQ80" s="362"/>
      <c r="GVR80" s="362"/>
      <c r="GVS80" s="362"/>
      <c r="GVT80" s="362"/>
      <c r="GVU80" s="362"/>
      <c r="GVV80" s="362"/>
      <c r="GVW80" s="362"/>
      <c r="GVX80" s="362"/>
      <c r="GVY80" s="362"/>
      <c r="GVZ80" s="362"/>
      <c r="GWA80" s="362"/>
      <c r="GWB80" s="362"/>
      <c r="GWC80" s="362"/>
      <c r="GWD80" s="362"/>
      <c r="GWE80" s="362"/>
      <c r="GWF80" s="362"/>
      <c r="GWG80" s="362"/>
      <c r="GWH80" s="362"/>
      <c r="GWI80" s="362"/>
      <c r="GWJ80" s="362"/>
      <c r="GWK80" s="362"/>
      <c r="GWL80" s="362"/>
      <c r="GWM80" s="362"/>
      <c r="GWN80" s="362"/>
      <c r="GWO80" s="362"/>
      <c r="GWP80" s="362"/>
      <c r="GWQ80" s="362"/>
      <c r="GWR80" s="362"/>
      <c r="GWS80" s="362"/>
      <c r="GWT80" s="362"/>
      <c r="GWU80" s="362"/>
      <c r="GWV80" s="362"/>
      <c r="GWW80" s="362"/>
      <c r="GWX80" s="362"/>
      <c r="GWY80" s="362"/>
      <c r="GWZ80" s="362"/>
      <c r="GXA80" s="362"/>
      <c r="GXB80" s="362"/>
      <c r="GXC80" s="362"/>
      <c r="GXD80" s="362"/>
      <c r="GXE80" s="362"/>
      <c r="GXF80" s="362"/>
      <c r="GXG80" s="362"/>
      <c r="GXH80" s="362"/>
      <c r="GXI80" s="362"/>
      <c r="GXJ80" s="362"/>
      <c r="GXK80" s="362"/>
      <c r="GXL80" s="362"/>
      <c r="GXM80" s="362"/>
      <c r="GXN80" s="362"/>
      <c r="GXO80" s="362"/>
      <c r="GXP80" s="362"/>
      <c r="GXQ80" s="362"/>
      <c r="GXR80" s="362"/>
      <c r="GXS80" s="362"/>
      <c r="GXT80" s="362"/>
      <c r="GXU80" s="362"/>
      <c r="GXV80" s="362"/>
      <c r="GXW80" s="362"/>
      <c r="GXX80" s="362"/>
      <c r="GXY80" s="362"/>
      <c r="GXZ80" s="362"/>
      <c r="GYA80" s="362"/>
      <c r="GYB80" s="362"/>
      <c r="GYC80" s="362"/>
      <c r="GYD80" s="362"/>
      <c r="GYE80" s="362"/>
      <c r="GYF80" s="362"/>
      <c r="GYG80" s="362"/>
      <c r="GYH80" s="362"/>
      <c r="GYI80" s="362"/>
      <c r="GYJ80" s="362"/>
      <c r="GYK80" s="362"/>
      <c r="GYL80" s="362"/>
      <c r="GYM80" s="362"/>
      <c r="GYN80" s="362"/>
      <c r="GYO80" s="362"/>
      <c r="GYP80" s="362"/>
      <c r="GYQ80" s="362"/>
      <c r="GYR80" s="362"/>
      <c r="GYS80" s="362"/>
      <c r="GYT80" s="362"/>
      <c r="GYU80" s="362"/>
      <c r="GYV80" s="362"/>
      <c r="GYW80" s="362"/>
      <c r="GYX80" s="362"/>
      <c r="GYY80" s="362"/>
      <c r="GYZ80" s="362"/>
      <c r="GZA80" s="362"/>
      <c r="GZB80" s="362"/>
      <c r="GZC80" s="362"/>
      <c r="GZD80" s="362"/>
      <c r="GZE80" s="362"/>
      <c r="GZF80" s="362"/>
      <c r="GZG80" s="362"/>
      <c r="GZH80" s="362"/>
      <c r="GZI80" s="362"/>
      <c r="GZJ80" s="362"/>
      <c r="GZK80" s="362"/>
      <c r="GZL80" s="362"/>
      <c r="GZM80" s="362"/>
      <c r="GZN80" s="362"/>
      <c r="GZO80" s="362"/>
      <c r="GZP80" s="362"/>
      <c r="GZQ80" s="362"/>
      <c r="GZR80" s="362"/>
      <c r="GZS80" s="362"/>
      <c r="GZT80" s="362"/>
      <c r="GZU80" s="362"/>
      <c r="GZV80" s="362"/>
      <c r="GZW80" s="362"/>
      <c r="GZX80" s="362"/>
      <c r="GZY80" s="362"/>
      <c r="GZZ80" s="362"/>
      <c r="HAA80" s="362"/>
      <c r="HAB80" s="362"/>
      <c r="HAC80" s="362"/>
      <c r="HAD80" s="362"/>
      <c r="HAE80" s="362"/>
      <c r="HAF80" s="362"/>
      <c r="HAG80" s="362"/>
      <c r="HAH80" s="362"/>
      <c r="HAI80" s="362"/>
      <c r="HAJ80" s="362"/>
      <c r="HAK80" s="362"/>
      <c r="HAL80" s="362"/>
      <c r="HAM80" s="362"/>
      <c r="HAN80" s="362"/>
      <c r="HAO80" s="362"/>
      <c r="HAP80" s="362"/>
      <c r="HAQ80" s="362"/>
      <c r="HAR80" s="362"/>
      <c r="HAS80" s="362"/>
      <c r="HAT80" s="362"/>
      <c r="HAU80" s="362"/>
      <c r="HAV80" s="362"/>
      <c r="HAW80" s="362"/>
      <c r="HAX80" s="362"/>
      <c r="HAY80" s="362"/>
      <c r="HAZ80" s="362"/>
      <c r="HBA80" s="362"/>
      <c r="HBB80" s="362"/>
      <c r="HBC80" s="362"/>
      <c r="HBD80" s="362"/>
      <c r="HBE80" s="362"/>
      <c r="HBF80" s="362"/>
      <c r="HBG80" s="362"/>
      <c r="HBH80" s="362"/>
      <c r="HBI80" s="362"/>
      <c r="HBJ80" s="362"/>
      <c r="HBK80" s="362"/>
      <c r="HBL80" s="362"/>
      <c r="HBM80" s="362"/>
      <c r="HBN80" s="362"/>
      <c r="HBO80" s="362"/>
      <c r="HBP80" s="362"/>
      <c r="HBQ80" s="362"/>
      <c r="HBR80" s="362"/>
      <c r="HBS80" s="362"/>
      <c r="HBT80" s="362"/>
      <c r="HBU80" s="362"/>
      <c r="HBV80" s="362"/>
      <c r="HBW80" s="362"/>
      <c r="HBX80" s="362"/>
      <c r="HBY80" s="362"/>
      <c r="HBZ80" s="362"/>
      <c r="HCA80" s="362"/>
      <c r="HCB80" s="362"/>
      <c r="HCC80" s="362"/>
      <c r="HCD80" s="362"/>
      <c r="HCE80" s="362"/>
      <c r="HCF80" s="362"/>
      <c r="HCG80" s="362"/>
      <c r="HCH80" s="362"/>
      <c r="HCI80" s="362"/>
      <c r="HCJ80" s="362"/>
      <c r="HCK80" s="362"/>
      <c r="HCL80" s="362"/>
      <c r="HCM80" s="362"/>
      <c r="HCN80" s="362"/>
      <c r="HCO80" s="362"/>
      <c r="HCP80" s="362"/>
      <c r="HCQ80" s="362"/>
      <c r="HCR80" s="362"/>
      <c r="HCS80" s="362"/>
      <c r="HCT80" s="362"/>
      <c r="HCU80" s="362"/>
      <c r="HCV80" s="362"/>
      <c r="HCW80" s="362"/>
      <c r="HCX80" s="362"/>
      <c r="HCY80" s="362"/>
      <c r="HCZ80" s="362"/>
      <c r="HDA80" s="362"/>
      <c r="HDB80" s="362"/>
      <c r="HDC80" s="362"/>
      <c r="HDD80" s="362"/>
      <c r="HDE80" s="362"/>
      <c r="HDF80" s="362"/>
      <c r="HDG80" s="362"/>
      <c r="HDH80" s="362"/>
      <c r="HDI80" s="362"/>
      <c r="HDJ80" s="362"/>
      <c r="HDK80" s="362"/>
      <c r="HDL80" s="362"/>
      <c r="HDM80" s="362"/>
      <c r="HDN80" s="362"/>
      <c r="HDO80" s="362"/>
      <c r="HDP80" s="362"/>
      <c r="HDQ80" s="362"/>
      <c r="HDR80" s="362"/>
      <c r="HDS80" s="362"/>
      <c r="HDT80" s="362"/>
      <c r="HDU80" s="362"/>
      <c r="HDV80" s="362"/>
      <c r="HDW80" s="362"/>
      <c r="HDX80" s="362"/>
      <c r="HDY80" s="362"/>
      <c r="HDZ80" s="362"/>
      <c r="HEA80" s="362"/>
      <c r="HEB80" s="362"/>
      <c r="HEC80" s="362"/>
      <c r="HED80" s="362"/>
      <c r="HEE80" s="362"/>
      <c r="HEF80" s="362"/>
      <c r="HEG80" s="362"/>
      <c r="HEH80" s="362"/>
      <c r="HEI80" s="362"/>
      <c r="HEJ80" s="362"/>
      <c r="HEK80" s="362"/>
      <c r="HEL80" s="362"/>
      <c r="HEM80" s="362"/>
      <c r="HEN80" s="362"/>
      <c r="HEO80" s="362"/>
      <c r="HEP80" s="362"/>
      <c r="HEQ80" s="362"/>
      <c r="HER80" s="362"/>
      <c r="HES80" s="362"/>
      <c r="HET80" s="362"/>
      <c r="HEU80" s="362"/>
      <c r="HEV80" s="362"/>
      <c r="HEW80" s="362"/>
      <c r="HEX80" s="362"/>
      <c r="HEY80" s="362"/>
      <c r="HEZ80" s="362"/>
      <c r="HFA80" s="362"/>
      <c r="HFB80" s="362"/>
      <c r="HFC80" s="362"/>
      <c r="HFD80" s="362"/>
      <c r="HFE80" s="362"/>
      <c r="HFF80" s="362"/>
      <c r="HFG80" s="362"/>
      <c r="HFH80" s="362"/>
      <c r="HFI80" s="362"/>
      <c r="HFJ80" s="362"/>
      <c r="HFK80" s="362"/>
      <c r="HFL80" s="362"/>
      <c r="HFM80" s="362"/>
      <c r="HFN80" s="362"/>
      <c r="HFO80" s="362"/>
      <c r="HFP80" s="362"/>
      <c r="HFQ80" s="362"/>
      <c r="HFR80" s="362"/>
      <c r="HFS80" s="362"/>
      <c r="HFT80" s="362"/>
      <c r="HFU80" s="362"/>
      <c r="HFV80" s="362"/>
      <c r="HFW80" s="362"/>
      <c r="HFX80" s="362"/>
      <c r="HFY80" s="362"/>
      <c r="HFZ80" s="362"/>
      <c r="HGA80" s="362"/>
      <c r="HGB80" s="362"/>
      <c r="HGC80" s="362"/>
      <c r="HGD80" s="362"/>
      <c r="HGE80" s="362"/>
      <c r="HGF80" s="362"/>
      <c r="HGG80" s="362"/>
      <c r="HGH80" s="362"/>
      <c r="HGI80" s="362"/>
      <c r="HGJ80" s="362"/>
      <c r="HGK80" s="362"/>
      <c r="HGL80" s="362"/>
      <c r="HGM80" s="362"/>
      <c r="HGN80" s="362"/>
      <c r="HGO80" s="362"/>
      <c r="HGP80" s="362"/>
      <c r="HGQ80" s="362"/>
      <c r="HGR80" s="362"/>
      <c r="HGS80" s="362"/>
      <c r="HGT80" s="362"/>
      <c r="HGU80" s="362"/>
      <c r="HGV80" s="362"/>
      <c r="HGW80" s="362"/>
      <c r="HGX80" s="362"/>
      <c r="HGY80" s="362"/>
      <c r="HGZ80" s="362"/>
      <c r="HHA80" s="362"/>
      <c r="HHB80" s="362"/>
      <c r="HHC80" s="362"/>
      <c r="HHD80" s="362"/>
      <c r="HHE80" s="362"/>
      <c r="HHF80" s="362"/>
      <c r="HHG80" s="362"/>
      <c r="HHH80" s="362"/>
      <c r="HHI80" s="362"/>
      <c r="HHJ80" s="362"/>
      <c r="HHK80" s="362"/>
      <c r="HHL80" s="362"/>
      <c r="HHM80" s="362"/>
      <c r="HHN80" s="362"/>
      <c r="HHO80" s="362"/>
      <c r="HHP80" s="362"/>
      <c r="HHQ80" s="362"/>
      <c r="HHR80" s="362"/>
      <c r="HHS80" s="362"/>
      <c r="HHT80" s="362"/>
      <c r="HHU80" s="362"/>
      <c r="HHV80" s="362"/>
      <c r="HHW80" s="362"/>
      <c r="HHX80" s="362"/>
      <c r="HHY80" s="362"/>
      <c r="HHZ80" s="362"/>
      <c r="HIA80" s="362"/>
      <c r="HIB80" s="362"/>
      <c r="HIC80" s="362"/>
      <c r="HID80" s="362"/>
      <c r="HIE80" s="362"/>
      <c r="HIF80" s="362"/>
      <c r="HIG80" s="362"/>
      <c r="HIH80" s="362"/>
      <c r="HII80" s="362"/>
      <c r="HIJ80" s="362"/>
      <c r="HIK80" s="362"/>
      <c r="HIL80" s="362"/>
      <c r="HIM80" s="362"/>
      <c r="HIN80" s="362"/>
      <c r="HIO80" s="362"/>
      <c r="HIP80" s="362"/>
      <c r="HIQ80" s="362"/>
      <c r="HIR80" s="362"/>
      <c r="HIS80" s="362"/>
      <c r="HIT80" s="362"/>
      <c r="HIU80" s="362"/>
      <c r="HIV80" s="362"/>
      <c r="HIW80" s="362"/>
      <c r="HIX80" s="362"/>
      <c r="HIY80" s="362"/>
      <c r="HIZ80" s="362"/>
      <c r="HJA80" s="362"/>
      <c r="HJB80" s="362"/>
      <c r="HJC80" s="362"/>
      <c r="HJD80" s="362"/>
      <c r="HJE80" s="362"/>
      <c r="HJF80" s="362"/>
      <c r="HJG80" s="362"/>
      <c r="HJH80" s="362"/>
      <c r="HJI80" s="362"/>
      <c r="HJJ80" s="362"/>
      <c r="HJK80" s="362"/>
      <c r="HJL80" s="362"/>
      <c r="HJM80" s="362"/>
      <c r="HJN80" s="362"/>
      <c r="HJO80" s="362"/>
      <c r="HJP80" s="362"/>
      <c r="HJQ80" s="362"/>
      <c r="HJR80" s="362"/>
      <c r="HJS80" s="362"/>
      <c r="HJT80" s="362"/>
      <c r="HJU80" s="362"/>
      <c r="HJV80" s="362"/>
      <c r="HJW80" s="362"/>
      <c r="HJX80" s="362"/>
      <c r="HJY80" s="362"/>
      <c r="HJZ80" s="362"/>
      <c r="HKA80" s="362"/>
      <c r="HKB80" s="362"/>
      <c r="HKC80" s="362"/>
      <c r="HKD80" s="362"/>
      <c r="HKE80" s="362"/>
      <c r="HKF80" s="362"/>
      <c r="HKG80" s="362"/>
      <c r="HKH80" s="362"/>
      <c r="HKI80" s="362"/>
      <c r="HKJ80" s="362"/>
      <c r="HKK80" s="362"/>
      <c r="HKL80" s="362"/>
      <c r="HKM80" s="362"/>
      <c r="HKN80" s="362"/>
      <c r="HKO80" s="362"/>
      <c r="HKP80" s="362"/>
      <c r="HKQ80" s="362"/>
      <c r="HKR80" s="362"/>
      <c r="HKS80" s="362"/>
      <c r="HKT80" s="362"/>
      <c r="HKU80" s="362"/>
      <c r="HKV80" s="362"/>
      <c r="HKW80" s="362"/>
      <c r="HKX80" s="362"/>
      <c r="HKY80" s="362"/>
      <c r="HKZ80" s="362"/>
      <c r="HLA80" s="362"/>
      <c r="HLB80" s="362"/>
      <c r="HLC80" s="362"/>
      <c r="HLD80" s="362"/>
      <c r="HLE80" s="362"/>
      <c r="HLF80" s="362"/>
      <c r="HLG80" s="362"/>
      <c r="HLH80" s="362"/>
      <c r="HLI80" s="362"/>
      <c r="HLJ80" s="362"/>
      <c r="HLK80" s="362"/>
      <c r="HLL80" s="362"/>
      <c r="HLM80" s="362"/>
      <c r="HLN80" s="362"/>
      <c r="HLO80" s="362"/>
      <c r="HLP80" s="362"/>
      <c r="HLQ80" s="362"/>
      <c r="HLR80" s="362"/>
      <c r="HLS80" s="362"/>
      <c r="HLT80" s="362"/>
      <c r="HLU80" s="362"/>
      <c r="HLV80" s="362"/>
      <c r="HLW80" s="362"/>
      <c r="HLX80" s="362"/>
      <c r="HLY80" s="362"/>
      <c r="HLZ80" s="362"/>
      <c r="HMA80" s="362"/>
      <c r="HMB80" s="362"/>
      <c r="HMC80" s="362"/>
      <c r="HMD80" s="362"/>
      <c r="HME80" s="362"/>
      <c r="HMF80" s="362"/>
      <c r="HMG80" s="362"/>
      <c r="HMH80" s="362"/>
      <c r="HMI80" s="362"/>
      <c r="HMJ80" s="362"/>
      <c r="HMK80" s="362"/>
      <c r="HML80" s="362"/>
      <c r="HMM80" s="362"/>
      <c r="HMN80" s="362"/>
      <c r="HMO80" s="362"/>
      <c r="HMP80" s="362"/>
      <c r="HMQ80" s="362"/>
      <c r="HMR80" s="362"/>
      <c r="HMS80" s="362"/>
      <c r="HMT80" s="362"/>
      <c r="HMU80" s="362"/>
      <c r="HMV80" s="362"/>
      <c r="HMW80" s="362"/>
      <c r="HMX80" s="362"/>
      <c r="HMY80" s="362"/>
      <c r="HMZ80" s="362"/>
      <c r="HNA80" s="362"/>
      <c r="HNB80" s="362"/>
      <c r="HNC80" s="362"/>
      <c r="HND80" s="362"/>
      <c r="HNE80" s="362"/>
      <c r="HNF80" s="362"/>
      <c r="HNG80" s="362"/>
      <c r="HNH80" s="362"/>
      <c r="HNI80" s="362"/>
      <c r="HNJ80" s="362"/>
      <c r="HNK80" s="362"/>
      <c r="HNL80" s="362"/>
      <c r="HNM80" s="362"/>
      <c r="HNN80" s="362"/>
      <c r="HNO80" s="362"/>
      <c r="HNP80" s="362"/>
      <c r="HNQ80" s="362"/>
      <c r="HNR80" s="362"/>
      <c r="HNS80" s="362"/>
      <c r="HNT80" s="362"/>
      <c r="HNU80" s="362"/>
      <c r="HNV80" s="362"/>
      <c r="HNW80" s="362"/>
      <c r="HNX80" s="362"/>
      <c r="HNY80" s="362"/>
      <c r="HNZ80" s="362"/>
      <c r="HOA80" s="362"/>
      <c r="HOB80" s="362"/>
      <c r="HOC80" s="362"/>
      <c r="HOD80" s="362"/>
      <c r="HOE80" s="362"/>
      <c r="HOF80" s="362"/>
      <c r="HOG80" s="362"/>
      <c r="HOH80" s="362"/>
      <c r="HOI80" s="362"/>
      <c r="HOJ80" s="362"/>
      <c r="HOK80" s="362"/>
      <c r="HOL80" s="362"/>
      <c r="HOM80" s="362"/>
      <c r="HON80" s="362"/>
      <c r="HOO80" s="362"/>
      <c r="HOP80" s="362"/>
      <c r="HOQ80" s="362"/>
      <c r="HOR80" s="362"/>
      <c r="HOS80" s="362"/>
      <c r="HOT80" s="362"/>
      <c r="HOU80" s="362"/>
      <c r="HOV80" s="362"/>
      <c r="HOW80" s="362"/>
      <c r="HOX80" s="362"/>
      <c r="HOY80" s="362"/>
      <c r="HOZ80" s="362"/>
      <c r="HPA80" s="362"/>
      <c r="HPB80" s="362"/>
      <c r="HPC80" s="362"/>
      <c r="HPD80" s="362"/>
      <c r="HPE80" s="362"/>
      <c r="HPF80" s="362"/>
      <c r="HPG80" s="362"/>
      <c r="HPH80" s="362"/>
      <c r="HPI80" s="362"/>
      <c r="HPJ80" s="362"/>
      <c r="HPK80" s="362"/>
      <c r="HPL80" s="362"/>
      <c r="HPM80" s="362"/>
      <c r="HPN80" s="362"/>
      <c r="HPO80" s="362"/>
      <c r="HPP80" s="362"/>
      <c r="HPQ80" s="362"/>
      <c r="HPR80" s="362"/>
      <c r="HPS80" s="362"/>
      <c r="HPT80" s="362"/>
      <c r="HPU80" s="362"/>
      <c r="HPV80" s="362"/>
      <c r="HPW80" s="362"/>
      <c r="HPX80" s="362"/>
      <c r="HPY80" s="362"/>
      <c r="HPZ80" s="362"/>
      <c r="HQA80" s="362"/>
      <c r="HQB80" s="362"/>
      <c r="HQC80" s="362"/>
      <c r="HQD80" s="362"/>
      <c r="HQE80" s="362"/>
      <c r="HQF80" s="362"/>
      <c r="HQG80" s="362"/>
      <c r="HQH80" s="362"/>
      <c r="HQI80" s="362"/>
      <c r="HQJ80" s="362"/>
      <c r="HQK80" s="362"/>
      <c r="HQL80" s="362"/>
      <c r="HQM80" s="362"/>
      <c r="HQN80" s="362"/>
      <c r="HQO80" s="362"/>
      <c r="HQP80" s="362"/>
      <c r="HQQ80" s="362"/>
      <c r="HQR80" s="362"/>
      <c r="HQS80" s="362"/>
      <c r="HQT80" s="362"/>
      <c r="HQU80" s="362"/>
      <c r="HQV80" s="362"/>
      <c r="HQW80" s="362"/>
      <c r="HQX80" s="362"/>
      <c r="HQY80" s="362"/>
      <c r="HQZ80" s="362"/>
      <c r="HRA80" s="362"/>
      <c r="HRB80" s="362"/>
      <c r="HRC80" s="362"/>
      <c r="HRD80" s="362"/>
      <c r="HRE80" s="362"/>
      <c r="HRF80" s="362"/>
      <c r="HRG80" s="362"/>
      <c r="HRH80" s="362"/>
      <c r="HRI80" s="362"/>
      <c r="HRJ80" s="362"/>
      <c r="HRK80" s="362"/>
      <c r="HRL80" s="362"/>
      <c r="HRM80" s="362"/>
      <c r="HRN80" s="362"/>
      <c r="HRO80" s="362"/>
      <c r="HRP80" s="362"/>
      <c r="HRQ80" s="362"/>
      <c r="HRR80" s="362"/>
      <c r="HRS80" s="362"/>
      <c r="HRT80" s="362"/>
      <c r="HRU80" s="362"/>
      <c r="HRV80" s="362"/>
      <c r="HRW80" s="362"/>
      <c r="HRX80" s="362"/>
      <c r="HRY80" s="362"/>
      <c r="HRZ80" s="362"/>
      <c r="HSA80" s="362"/>
      <c r="HSB80" s="362"/>
      <c r="HSC80" s="362"/>
      <c r="HSD80" s="362"/>
      <c r="HSE80" s="362"/>
      <c r="HSF80" s="362"/>
      <c r="HSG80" s="362"/>
      <c r="HSH80" s="362"/>
      <c r="HSI80" s="362"/>
      <c r="HSJ80" s="362"/>
      <c r="HSK80" s="362"/>
      <c r="HSL80" s="362"/>
      <c r="HSM80" s="362"/>
      <c r="HSN80" s="362"/>
      <c r="HSO80" s="362"/>
      <c r="HSP80" s="362"/>
      <c r="HSQ80" s="362"/>
      <c r="HSR80" s="362"/>
      <c r="HSS80" s="362"/>
      <c r="HST80" s="362"/>
      <c r="HSU80" s="362"/>
      <c r="HSV80" s="362"/>
      <c r="HSW80" s="362"/>
      <c r="HSX80" s="362"/>
      <c r="HSY80" s="362"/>
      <c r="HSZ80" s="362"/>
      <c r="HTA80" s="362"/>
      <c r="HTB80" s="362"/>
      <c r="HTC80" s="362"/>
      <c r="HTD80" s="362"/>
      <c r="HTE80" s="362"/>
      <c r="HTF80" s="362"/>
      <c r="HTG80" s="362"/>
      <c r="HTH80" s="362"/>
      <c r="HTI80" s="362"/>
      <c r="HTJ80" s="362"/>
      <c r="HTK80" s="362"/>
      <c r="HTL80" s="362"/>
      <c r="HTM80" s="362"/>
      <c r="HTN80" s="362"/>
      <c r="HTO80" s="362"/>
      <c r="HTP80" s="362"/>
      <c r="HTQ80" s="362"/>
      <c r="HTR80" s="362"/>
      <c r="HTS80" s="362"/>
      <c r="HTT80" s="362"/>
      <c r="HTU80" s="362"/>
      <c r="HTV80" s="362"/>
      <c r="HTW80" s="362"/>
      <c r="HTX80" s="362"/>
      <c r="HTY80" s="362"/>
      <c r="HTZ80" s="362"/>
      <c r="HUA80" s="362"/>
      <c r="HUB80" s="362"/>
      <c r="HUC80" s="362"/>
      <c r="HUD80" s="362"/>
      <c r="HUE80" s="362"/>
      <c r="HUF80" s="362"/>
      <c r="HUG80" s="362"/>
      <c r="HUH80" s="362"/>
      <c r="HUI80" s="362"/>
      <c r="HUJ80" s="362"/>
      <c r="HUK80" s="362"/>
      <c r="HUL80" s="362"/>
      <c r="HUM80" s="362"/>
      <c r="HUN80" s="362"/>
      <c r="HUO80" s="362"/>
      <c r="HUP80" s="362"/>
      <c r="HUQ80" s="362"/>
      <c r="HUR80" s="362"/>
      <c r="HUS80" s="362"/>
      <c r="HUT80" s="362"/>
      <c r="HUU80" s="362"/>
      <c r="HUV80" s="362"/>
      <c r="HUW80" s="362"/>
      <c r="HUX80" s="362"/>
      <c r="HUY80" s="362"/>
      <c r="HUZ80" s="362"/>
      <c r="HVA80" s="362"/>
      <c r="HVB80" s="362"/>
      <c r="HVC80" s="362"/>
      <c r="HVD80" s="362"/>
      <c r="HVE80" s="362"/>
      <c r="HVF80" s="362"/>
      <c r="HVG80" s="362"/>
      <c r="HVH80" s="362"/>
      <c r="HVI80" s="362"/>
      <c r="HVJ80" s="362"/>
      <c r="HVK80" s="362"/>
      <c r="HVL80" s="362"/>
      <c r="HVM80" s="362"/>
      <c r="HVN80" s="362"/>
      <c r="HVO80" s="362"/>
      <c r="HVP80" s="362"/>
      <c r="HVQ80" s="362"/>
      <c r="HVR80" s="362"/>
      <c r="HVS80" s="362"/>
      <c r="HVT80" s="362"/>
      <c r="HVU80" s="362"/>
      <c r="HVV80" s="362"/>
      <c r="HVW80" s="362"/>
      <c r="HVX80" s="362"/>
      <c r="HVY80" s="362"/>
      <c r="HVZ80" s="362"/>
      <c r="HWA80" s="362"/>
      <c r="HWB80" s="362"/>
      <c r="HWC80" s="362"/>
      <c r="HWD80" s="362"/>
      <c r="HWE80" s="362"/>
      <c r="HWF80" s="362"/>
      <c r="HWG80" s="362"/>
      <c r="HWH80" s="362"/>
      <c r="HWI80" s="362"/>
      <c r="HWJ80" s="362"/>
      <c r="HWK80" s="362"/>
      <c r="HWL80" s="362"/>
      <c r="HWM80" s="362"/>
      <c r="HWN80" s="362"/>
      <c r="HWO80" s="362"/>
      <c r="HWP80" s="362"/>
      <c r="HWQ80" s="362"/>
      <c r="HWR80" s="362"/>
      <c r="HWS80" s="362"/>
      <c r="HWT80" s="362"/>
      <c r="HWU80" s="362"/>
      <c r="HWV80" s="362"/>
      <c r="HWW80" s="362"/>
      <c r="HWX80" s="362"/>
      <c r="HWY80" s="362"/>
      <c r="HWZ80" s="362"/>
      <c r="HXA80" s="362"/>
      <c r="HXB80" s="362"/>
      <c r="HXC80" s="362"/>
      <c r="HXD80" s="362"/>
      <c r="HXE80" s="362"/>
      <c r="HXF80" s="362"/>
      <c r="HXG80" s="362"/>
      <c r="HXH80" s="362"/>
      <c r="HXI80" s="362"/>
      <c r="HXJ80" s="362"/>
      <c r="HXK80" s="362"/>
      <c r="HXL80" s="362"/>
      <c r="HXM80" s="362"/>
      <c r="HXN80" s="362"/>
      <c r="HXO80" s="362"/>
      <c r="HXP80" s="362"/>
      <c r="HXQ80" s="362"/>
      <c r="HXR80" s="362"/>
      <c r="HXS80" s="362"/>
      <c r="HXT80" s="362"/>
      <c r="HXU80" s="362"/>
      <c r="HXV80" s="362"/>
      <c r="HXW80" s="362"/>
      <c r="HXX80" s="362"/>
      <c r="HXY80" s="362"/>
      <c r="HXZ80" s="362"/>
      <c r="HYA80" s="362"/>
      <c r="HYB80" s="362"/>
      <c r="HYC80" s="362"/>
      <c r="HYD80" s="362"/>
      <c r="HYE80" s="362"/>
      <c r="HYF80" s="362"/>
      <c r="HYG80" s="362"/>
      <c r="HYH80" s="362"/>
      <c r="HYI80" s="362"/>
      <c r="HYJ80" s="362"/>
      <c r="HYK80" s="362"/>
      <c r="HYL80" s="362"/>
      <c r="HYM80" s="362"/>
      <c r="HYN80" s="362"/>
      <c r="HYO80" s="362"/>
      <c r="HYP80" s="362"/>
      <c r="HYQ80" s="362"/>
      <c r="HYR80" s="362"/>
      <c r="HYS80" s="362"/>
      <c r="HYT80" s="362"/>
      <c r="HYU80" s="362"/>
      <c r="HYV80" s="362"/>
      <c r="HYW80" s="362"/>
      <c r="HYX80" s="362"/>
      <c r="HYY80" s="362"/>
      <c r="HYZ80" s="362"/>
      <c r="HZA80" s="362"/>
      <c r="HZB80" s="362"/>
      <c r="HZC80" s="362"/>
      <c r="HZD80" s="362"/>
      <c r="HZE80" s="362"/>
      <c r="HZF80" s="362"/>
      <c r="HZG80" s="362"/>
      <c r="HZH80" s="362"/>
      <c r="HZI80" s="362"/>
      <c r="HZJ80" s="362"/>
      <c r="HZK80" s="362"/>
      <c r="HZL80" s="362"/>
      <c r="HZM80" s="362"/>
      <c r="HZN80" s="362"/>
      <c r="HZO80" s="362"/>
      <c r="HZP80" s="362"/>
      <c r="HZQ80" s="362"/>
      <c r="HZR80" s="362"/>
      <c r="HZS80" s="362"/>
      <c r="HZT80" s="362"/>
      <c r="HZU80" s="362"/>
      <c r="HZV80" s="362"/>
      <c r="HZW80" s="362"/>
      <c r="HZX80" s="362"/>
      <c r="HZY80" s="362"/>
      <c r="HZZ80" s="362"/>
      <c r="IAA80" s="362"/>
      <c r="IAB80" s="362"/>
      <c r="IAC80" s="362"/>
      <c r="IAD80" s="362"/>
      <c r="IAE80" s="362"/>
      <c r="IAF80" s="362"/>
      <c r="IAG80" s="362"/>
      <c r="IAH80" s="362"/>
      <c r="IAI80" s="362"/>
      <c r="IAJ80" s="362"/>
      <c r="IAK80" s="362"/>
      <c r="IAL80" s="362"/>
      <c r="IAM80" s="362"/>
      <c r="IAN80" s="362"/>
      <c r="IAO80" s="362"/>
      <c r="IAP80" s="362"/>
      <c r="IAQ80" s="362"/>
      <c r="IAR80" s="362"/>
      <c r="IAS80" s="362"/>
      <c r="IAT80" s="362"/>
      <c r="IAU80" s="362"/>
      <c r="IAV80" s="362"/>
      <c r="IAW80" s="362"/>
      <c r="IAX80" s="362"/>
      <c r="IAY80" s="362"/>
      <c r="IAZ80" s="362"/>
      <c r="IBA80" s="362"/>
      <c r="IBB80" s="362"/>
      <c r="IBC80" s="362"/>
      <c r="IBD80" s="362"/>
      <c r="IBE80" s="362"/>
      <c r="IBF80" s="362"/>
      <c r="IBG80" s="362"/>
      <c r="IBH80" s="362"/>
      <c r="IBI80" s="362"/>
      <c r="IBJ80" s="362"/>
      <c r="IBK80" s="362"/>
      <c r="IBL80" s="362"/>
      <c r="IBM80" s="362"/>
      <c r="IBN80" s="362"/>
      <c r="IBO80" s="362"/>
      <c r="IBP80" s="362"/>
      <c r="IBQ80" s="362"/>
      <c r="IBR80" s="362"/>
      <c r="IBS80" s="362"/>
      <c r="IBT80" s="362"/>
      <c r="IBU80" s="362"/>
      <c r="IBV80" s="362"/>
      <c r="IBW80" s="362"/>
      <c r="IBX80" s="362"/>
      <c r="IBY80" s="362"/>
      <c r="IBZ80" s="362"/>
      <c r="ICA80" s="362"/>
      <c r="ICB80" s="362"/>
      <c r="ICC80" s="362"/>
      <c r="ICD80" s="362"/>
      <c r="ICE80" s="362"/>
      <c r="ICF80" s="362"/>
      <c r="ICG80" s="362"/>
      <c r="ICH80" s="362"/>
      <c r="ICI80" s="362"/>
      <c r="ICJ80" s="362"/>
      <c r="ICK80" s="362"/>
      <c r="ICL80" s="362"/>
      <c r="ICM80" s="362"/>
      <c r="ICN80" s="362"/>
      <c r="ICO80" s="362"/>
      <c r="ICP80" s="362"/>
      <c r="ICQ80" s="362"/>
      <c r="ICR80" s="362"/>
      <c r="ICS80" s="362"/>
      <c r="ICT80" s="362"/>
      <c r="ICU80" s="362"/>
      <c r="ICV80" s="362"/>
      <c r="ICW80" s="362"/>
      <c r="ICX80" s="362"/>
      <c r="ICY80" s="362"/>
      <c r="ICZ80" s="362"/>
      <c r="IDA80" s="362"/>
      <c r="IDB80" s="362"/>
      <c r="IDC80" s="362"/>
      <c r="IDD80" s="362"/>
      <c r="IDE80" s="362"/>
      <c r="IDF80" s="362"/>
      <c r="IDG80" s="362"/>
      <c r="IDH80" s="362"/>
      <c r="IDI80" s="362"/>
      <c r="IDJ80" s="362"/>
      <c r="IDK80" s="362"/>
      <c r="IDL80" s="362"/>
      <c r="IDM80" s="362"/>
      <c r="IDN80" s="362"/>
      <c r="IDO80" s="362"/>
      <c r="IDP80" s="362"/>
      <c r="IDQ80" s="362"/>
      <c r="IDR80" s="362"/>
      <c r="IDS80" s="362"/>
      <c r="IDT80" s="362"/>
      <c r="IDU80" s="362"/>
      <c r="IDV80" s="362"/>
      <c r="IDW80" s="362"/>
      <c r="IDX80" s="362"/>
      <c r="IDY80" s="362"/>
      <c r="IDZ80" s="362"/>
      <c r="IEA80" s="362"/>
      <c r="IEB80" s="362"/>
      <c r="IEC80" s="362"/>
      <c r="IED80" s="362"/>
      <c r="IEE80" s="362"/>
      <c r="IEF80" s="362"/>
      <c r="IEG80" s="362"/>
      <c r="IEH80" s="362"/>
      <c r="IEI80" s="362"/>
      <c r="IEJ80" s="362"/>
      <c r="IEK80" s="362"/>
      <c r="IEL80" s="362"/>
      <c r="IEM80" s="362"/>
      <c r="IEN80" s="362"/>
      <c r="IEO80" s="362"/>
      <c r="IEP80" s="362"/>
      <c r="IEQ80" s="362"/>
      <c r="IER80" s="362"/>
      <c r="IES80" s="362"/>
      <c r="IET80" s="362"/>
      <c r="IEU80" s="362"/>
      <c r="IEV80" s="362"/>
      <c r="IEW80" s="362"/>
      <c r="IEX80" s="362"/>
      <c r="IEY80" s="362"/>
      <c r="IEZ80" s="362"/>
      <c r="IFA80" s="362"/>
      <c r="IFB80" s="362"/>
      <c r="IFC80" s="362"/>
      <c r="IFD80" s="362"/>
      <c r="IFE80" s="362"/>
      <c r="IFF80" s="362"/>
      <c r="IFG80" s="362"/>
      <c r="IFH80" s="362"/>
      <c r="IFI80" s="362"/>
      <c r="IFJ80" s="362"/>
      <c r="IFK80" s="362"/>
      <c r="IFL80" s="362"/>
      <c r="IFM80" s="362"/>
      <c r="IFN80" s="362"/>
      <c r="IFO80" s="362"/>
      <c r="IFP80" s="362"/>
      <c r="IFQ80" s="362"/>
      <c r="IFR80" s="362"/>
      <c r="IFS80" s="362"/>
      <c r="IFT80" s="362"/>
      <c r="IFU80" s="362"/>
      <c r="IFV80" s="362"/>
      <c r="IFW80" s="362"/>
      <c r="IFX80" s="362"/>
      <c r="IFY80" s="362"/>
      <c r="IFZ80" s="362"/>
      <c r="IGA80" s="362"/>
      <c r="IGB80" s="362"/>
      <c r="IGC80" s="362"/>
      <c r="IGD80" s="362"/>
      <c r="IGE80" s="362"/>
      <c r="IGF80" s="362"/>
      <c r="IGG80" s="362"/>
      <c r="IGH80" s="362"/>
      <c r="IGI80" s="362"/>
      <c r="IGJ80" s="362"/>
      <c r="IGK80" s="362"/>
      <c r="IGL80" s="362"/>
      <c r="IGM80" s="362"/>
      <c r="IGN80" s="362"/>
      <c r="IGO80" s="362"/>
      <c r="IGP80" s="362"/>
      <c r="IGQ80" s="362"/>
      <c r="IGR80" s="362"/>
      <c r="IGS80" s="362"/>
      <c r="IGT80" s="362"/>
      <c r="IGU80" s="362"/>
      <c r="IGV80" s="362"/>
      <c r="IGW80" s="362"/>
      <c r="IGX80" s="362"/>
      <c r="IGY80" s="362"/>
      <c r="IGZ80" s="362"/>
      <c r="IHA80" s="362"/>
      <c r="IHB80" s="362"/>
      <c r="IHC80" s="362"/>
      <c r="IHD80" s="362"/>
      <c r="IHE80" s="362"/>
      <c r="IHF80" s="362"/>
      <c r="IHG80" s="362"/>
      <c r="IHH80" s="362"/>
      <c r="IHI80" s="362"/>
      <c r="IHJ80" s="362"/>
      <c r="IHK80" s="362"/>
      <c r="IHL80" s="362"/>
      <c r="IHM80" s="362"/>
      <c r="IHN80" s="362"/>
      <c r="IHO80" s="362"/>
      <c r="IHP80" s="362"/>
      <c r="IHQ80" s="362"/>
      <c r="IHR80" s="362"/>
      <c r="IHS80" s="362"/>
      <c r="IHT80" s="362"/>
      <c r="IHU80" s="362"/>
      <c r="IHV80" s="362"/>
      <c r="IHW80" s="362"/>
      <c r="IHX80" s="362"/>
      <c r="IHY80" s="362"/>
      <c r="IHZ80" s="362"/>
      <c r="IIA80" s="362"/>
      <c r="IIB80" s="362"/>
      <c r="IIC80" s="362"/>
      <c r="IID80" s="362"/>
      <c r="IIE80" s="362"/>
      <c r="IIF80" s="362"/>
      <c r="IIG80" s="362"/>
      <c r="IIH80" s="362"/>
      <c r="III80" s="362"/>
      <c r="IIJ80" s="362"/>
      <c r="IIK80" s="362"/>
      <c r="IIL80" s="362"/>
      <c r="IIM80" s="362"/>
      <c r="IIN80" s="362"/>
      <c r="IIO80" s="362"/>
      <c r="IIP80" s="362"/>
      <c r="IIQ80" s="362"/>
      <c r="IIR80" s="362"/>
      <c r="IIS80" s="362"/>
      <c r="IIT80" s="362"/>
      <c r="IIU80" s="362"/>
      <c r="IIV80" s="362"/>
      <c r="IIW80" s="362"/>
      <c r="IIX80" s="362"/>
      <c r="IIY80" s="362"/>
      <c r="IIZ80" s="362"/>
      <c r="IJA80" s="362"/>
      <c r="IJB80" s="362"/>
      <c r="IJC80" s="362"/>
      <c r="IJD80" s="362"/>
      <c r="IJE80" s="362"/>
      <c r="IJF80" s="362"/>
      <c r="IJG80" s="362"/>
      <c r="IJH80" s="362"/>
      <c r="IJI80" s="362"/>
      <c r="IJJ80" s="362"/>
      <c r="IJK80" s="362"/>
      <c r="IJL80" s="362"/>
      <c r="IJM80" s="362"/>
      <c r="IJN80" s="362"/>
      <c r="IJO80" s="362"/>
      <c r="IJP80" s="362"/>
      <c r="IJQ80" s="362"/>
      <c r="IJR80" s="362"/>
      <c r="IJS80" s="362"/>
      <c r="IJT80" s="362"/>
      <c r="IJU80" s="362"/>
      <c r="IJV80" s="362"/>
      <c r="IJW80" s="362"/>
      <c r="IJX80" s="362"/>
      <c r="IJY80" s="362"/>
      <c r="IJZ80" s="362"/>
      <c r="IKA80" s="362"/>
      <c r="IKB80" s="362"/>
      <c r="IKC80" s="362"/>
      <c r="IKD80" s="362"/>
      <c r="IKE80" s="362"/>
      <c r="IKF80" s="362"/>
      <c r="IKG80" s="362"/>
      <c r="IKH80" s="362"/>
      <c r="IKI80" s="362"/>
      <c r="IKJ80" s="362"/>
      <c r="IKK80" s="362"/>
      <c r="IKL80" s="362"/>
      <c r="IKM80" s="362"/>
      <c r="IKN80" s="362"/>
      <c r="IKO80" s="362"/>
      <c r="IKP80" s="362"/>
      <c r="IKQ80" s="362"/>
      <c r="IKR80" s="362"/>
      <c r="IKS80" s="362"/>
      <c r="IKT80" s="362"/>
      <c r="IKU80" s="362"/>
      <c r="IKV80" s="362"/>
      <c r="IKW80" s="362"/>
      <c r="IKX80" s="362"/>
      <c r="IKY80" s="362"/>
      <c r="IKZ80" s="362"/>
      <c r="ILA80" s="362"/>
      <c r="ILB80" s="362"/>
      <c r="ILC80" s="362"/>
      <c r="ILD80" s="362"/>
      <c r="ILE80" s="362"/>
      <c r="ILF80" s="362"/>
      <c r="ILG80" s="362"/>
      <c r="ILH80" s="362"/>
      <c r="ILI80" s="362"/>
      <c r="ILJ80" s="362"/>
      <c r="ILK80" s="362"/>
      <c r="ILL80" s="362"/>
      <c r="ILM80" s="362"/>
      <c r="ILN80" s="362"/>
      <c r="ILO80" s="362"/>
      <c r="ILP80" s="362"/>
      <c r="ILQ80" s="362"/>
      <c r="ILR80" s="362"/>
      <c r="ILS80" s="362"/>
      <c r="ILT80" s="362"/>
      <c r="ILU80" s="362"/>
      <c r="ILV80" s="362"/>
      <c r="ILW80" s="362"/>
      <c r="ILX80" s="362"/>
      <c r="ILY80" s="362"/>
      <c r="ILZ80" s="362"/>
      <c r="IMA80" s="362"/>
      <c r="IMB80" s="362"/>
      <c r="IMC80" s="362"/>
      <c r="IMD80" s="362"/>
      <c r="IME80" s="362"/>
      <c r="IMF80" s="362"/>
      <c r="IMG80" s="362"/>
      <c r="IMH80" s="362"/>
      <c r="IMI80" s="362"/>
      <c r="IMJ80" s="362"/>
      <c r="IMK80" s="362"/>
      <c r="IML80" s="362"/>
      <c r="IMM80" s="362"/>
      <c r="IMN80" s="362"/>
      <c r="IMO80" s="362"/>
      <c r="IMP80" s="362"/>
      <c r="IMQ80" s="362"/>
      <c r="IMR80" s="362"/>
      <c r="IMS80" s="362"/>
      <c r="IMT80" s="362"/>
      <c r="IMU80" s="362"/>
      <c r="IMV80" s="362"/>
      <c r="IMW80" s="362"/>
      <c r="IMX80" s="362"/>
      <c r="IMY80" s="362"/>
      <c r="IMZ80" s="362"/>
      <c r="INA80" s="362"/>
      <c r="INB80" s="362"/>
      <c r="INC80" s="362"/>
      <c r="IND80" s="362"/>
      <c r="INE80" s="362"/>
      <c r="INF80" s="362"/>
      <c r="ING80" s="362"/>
      <c r="INH80" s="362"/>
      <c r="INI80" s="362"/>
      <c r="INJ80" s="362"/>
      <c r="INK80" s="362"/>
      <c r="INL80" s="362"/>
      <c r="INM80" s="362"/>
      <c r="INN80" s="362"/>
      <c r="INO80" s="362"/>
      <c r="INP80" s="362"/>
      <c r="INQ80" s="362"/>
      <c r="INR80" s="362"/>
      <c r="INS80" s="362"/>
      <c r="INT80" s="362"/>
      <c r="INU80" s="362"/>
      <c r="INV80" s="362"/>
      <c r="INW80" s="362"/>
      <c r="INX80" s="362"/>
      <c r="INY80" s="362"/>
      <c r="INZ80" s="362"/>
      <c r="IOA80" s="362"/>
      <c r="IOB80" s="362"/>
      <c r="IOC80" s="362"/>
      <c r="IOD80" s="362"/>
      <c r="IOE80" s="362"/>
      <c r="IOF80" s="362"/>
      <c r="IOG80" s="362"/>
      <c r="IOH80" s="362"/>
      <c r="IOI80" s="362"/>
      <c r="IOJ80" s="362"/>
      <c r="IOK80" s="362"/>
      <c r="IOL80" s="362"/>
      <c r="IOM80" s="362"/>
      <c r="ION80" s="362"/>
      <c r="IOO80" s="362"/>
      <c r="IOP80" s="362"/>
      <c r="IOQ80" s="362"/>
      <c r="IOR80" s="362"/>
      <c r="IOS80" s="362"/>
      <c r="IOT80" s="362"/>
      <c r="IOU80" s="362"/>
      <c r="IOV80" s="362"/>
      <c r="IOW80" s="362"/>
      <c r="IOX80" s="362"/>
      <c r="IOY80" s="362"/>
      <c r="IOZ80" s="362"/>
      <c r="IPA80" s="362"/>
      <c r="IPB80" s="362"/>
      <c r="IPC80" s="362"/>
      <c r="IPD80" s="362"/>
      <c r="IPE80" s="362"/>
      <c r="IPF80" s="362"/>
      <c r="IPG80" s="362"/>
      <c r="IPH80" s="362"/>
      <c r="IPI80" s="362"/>
      <c r="IPJ80" s="362"/>
      <c r="IPK80" s="362"/>
      <c r="IPL80" s="362"/>
      <c r="IPM80" s="362"/>
      <c r="IPN80" s="362"/>
      <c r="IPO80" s="362"/>
      <c r="IPP80" s="362"/>
      <c r="IPQ80" s="362"/>
      <c r="IPR80" s="362"/>
      <c r="IPS80" s="362"/>
      <c r="IPT80" s="362"/>
      <c r="IPU80" s="362"/>
      <c r="IPV80" s="362"/>
      <c r="IPW80" s="362"/>
      <c r="IPX80" s="362"/>
      <c r="IPY80" s="362"/>
      <c r="IPZ80" s="362"/>
      <c r="IQA80" s="362"/>
      <c r="IQB80" s="362"/>
      <c r="IQC80" s="362"/>
      <c r="IQD80" s="362"/>
      <c r="IQE80" s="362"/>
      <c r="IQF80" s="362"/>
      <c r="IQG80" s="362"/>
      <c r="IQH80" s="362"/>
      <c r="IQI80" s="362"/>
      <c r="IQJ80" s="362"/>
      <c r="IQK80" s="362"/>
      <c r="IQL80" s="362"/>
      <c r="IQM80" s="362"/>
      <c r="IQN80" s="362"/>
      <c r="IQO80" s="362"/>
      <c r="IQP80" s="362"/>
      <c r="IQQ80" s="362"/>
      <c r="IQR80" s="362"/>
      <c r="IQS80" s="362"/>
      <c r="IQT80" s="362"/>
      <c r="IQU80" s="362"/>
      <c r="IQV80" s="362"/>
      <c r="IQW80" s="362"/>
      <c r="IQX80" s="362"/>
      <c r="IQY80" s="362"/>
      <c r="IQZ80" s="362"/>
      <c r="IRA80" s="362"/>
      <c r="IRB80" s="362"/>
      <c r="IRC80" s="362"/>
      <c r="IRD80" s="362"/>
      <c r="IRE80" s="362"/>
      <c r="IRF80" s="362"/>
      <c r="IRG80" s="362"/>
      <c r="IRH80" s="362"/>
      <c r="IRI80" s="362"/>
      <c r="IRJ80" s="362"/>
      <c r="IRK80" s="362"/>
      <c r="IRL80" s="362"/>
      <c r="IRM80" s="362"/>
      <c r="IRN80" s="362"/>
      <c r="IRO80" s="362"/>
      <c r="IRP80" s="362"/>
      <c r="IRQ80" s="362"/>
      <c r="IRR80" s="362"/>
      <c r="IRS80" s="362"/>
      <c r="IRT80" s="362"/>
      <c r="IRU80" s="362"/>
      <c r="IRV80" s="362"/>
      <c r="IRW80" s="362"/>
      <c r="IRX80" s="362"/>
      <c r="IRY80" s="362"/>
      <c r="IRZ80" s="362"/>
      <c r="ISA80" s="362"/>
      <c r="ISB80" s="362"/>
      <c r="ISC80" s="362"/>
      <c r="ISD80" s="362"/>
      <c r="ISE80" s="362"/>
      <c r="ISF80" s="362"/>
      <c r="ISG80" s="362"/>
      <c r="ISH80" s="362"/>
      <c r="ISI80" s="362"/>
      <c r="ISJ80" s="362"/>
      <c r="ISK80" s="362"/>
      <c r="ISL80" s="362"/>
      <c r="ISM80" s="362"/>
      <c r="ISN80" s="362"/>
      <c r="ISO80" s="362"/>
      <c r="ISP80" s="362"/>
      <c r="ISQ80" s="362"/>
      <c r="ISR80" s="362"/>
      <c r="ISS80" s="362"/>
      <c r="IST80" s="362"/>
      <c r="ISU80" s="362"/>
      <c r="ISV80" s="362"/>
      <c r="ISW80" s="362"/>
      <c r="ISX80" s="362"/>
      <c r="ISY80" s="362"/>
      <c r="ISZ80" s="362"/>
      <c r="ITA80" s="362"/>
      <c r="ITB80" s="362"/>
      <c r="ITC80" s="362"/>
      <c r="ITD80" s="362"/>
      <c r="ITE80" s="362"/>
      <c r="ITF80" s="362"/>
      <c r="ITG80" s="362"/>
      <c r="ITH80" s="362"/>
      <c r="ITI80" s="362"/>
      <c r="ITJ80" s="362"/>
      <c r="ITK80" s="362"/>
      <c r="ITL80" s="362"/>
      <c r="ITM80" s="362"/>
      <c r="ITN80" s="362"/>
      <c r="ITO80" s="362"/>
      <c r="ITP80" s="362"/>
      <c r="ITQ80" s="362"/>
      <c r="ITR80" s="362"/>
      <c r="ITS80" s="362"/>
      <c r="ITT80" s="362"/>
      <c r="ITU80" s="362"/>
      <c r="ITV80" s="362"/>
      <c r="ITW80" s="362"/>
      <c r="ITX80" s="362"/>
      <c r="ITY80" s="362"/>
      <c r="ITZ80" s="362"/>
      <c r="IUA80" s="362"/>
      <c r="IUB80" s="362"/>
      <c r="IUC80" s="362"/>
      <c r="IUD80" s="362"/>
      <c r="IUE80" s="362"/>
      <c r="IUF80" s="362"/>
      <c r="IUG80" s="362"/>
      <c r="IUH80" s="362"/>
      <c r="IUI80" s="362"/>
      <c r="IUJ80" s="362"/>
      <c r="IUK80" s="362"/>
      <c r="IUL80" s="362"/>
      <c r="IUM80" s="362"/>
      <c r="IUN80" s="362"/>
      <c r="IUO80" s="362"/>
      <c r="IUP80" s="362"/>
      <c r="IUQ80" s="362"/>
      <c r="IUR80" s="362"/>
      <c r="IUS80" s="362"/>
      <c r="IUT80" s="362"/>
      <c r="IUU80" s="362"/>
      <c r="IUV80" s="362"/>
      <c r="IUW80" s="362"/>
      <c r="IUX80" s="362"/>
      <c r="IUY80" s="362"/>
      <c r="IUZ80" s="362"/>
      <c r="IVA80" s="362"/>
      <c r="IVB80" s="362"/>
      <c r="IVC80" s="362"/>
      <c r="IVD80" s="362"/>
      <c r="IVE80" s="362"/>
      <c r="IVF80" s="362"/>
      <c r="IVG80" s="362"/>
      <c r="IVH80" s="362"/>
      <c r="IVI80" s="362"/>
      <c r="IVJ80" s="362"/>
      <c r="IVK80" s="362"/>
      <c r="IVL80" s="362"/>
      <c r="IVM80" s="362"/>
      <c r="IVN80" s="362"/>
      <c r="IVO80" s="362"/>
      <c r="IVP80" s="362"/>
      <c r="IVQ80" s="362"/>
      <c r="IVR80" s="362"/>
      <c r="IVS80" s="362"/>
      <c r="IVT80" s="362"/>
      <c r="IVU80" s="362"/>
      <c r="IVV80" s="362"/>
      <c r="IVW80" s="362"/>
      <c r="IVX80" s="362"/>
      <c r="IVY80" s="362"/>
      <c r="IVZ80" s="362"/>
      <c r="IWA80" s="362"/>
      <c r="IWB80" s="362"/>
      <c r="IWC80" s="362"/>
      <c r="IWD80" s="362"/>
      <c r="IWE80" s="362"/>
      <c r="IWF80" s="362"/>
      <c r="IWG80" s="362"/>
      <c r="IWH80" s="362"/>
      <c r="IWI80" s="362"/>
      <c r="IWJ80" s="362"/>
      <c r="IWK80" s="362"/>
      <c r="IWL80" s="362"/>
      <c r="IWM80" s="362"/>
      <c r="IWN80" s="362"/>
      <c r="IWO80" s="362"/>
      <c r="IWP80" s="362"/>
      <c r="IWQ80" s="362"/>
      <c r="IWR80" s="362"/>
      <c r="IWS80" s="362"/>
      <c r="IWT80" s="362"/>
      <c r="IWU80" s="362"/>
      <c r="IWV80" s="362"/>
      <c r="IWW80" s="362"/>
      <c r="IWX80" s="362"/>
      <c r="IWY80" s="362"/>
      <c r="IWZ80" s="362"/>
      <c r="IXA80" s="362"/>
      <c r="IXB80" s="362"/>
      <c r="IXC80" s="362"/>
      <c r="IXD80" s="362"/>
      <c r="IXE80" s="362"/>
      <c r="IXF80" s="362"/>
      <c r="IXG80" s="362"/>
      <c r="IXH80" s="362"/>
      <c r="IXI80" s="362"/>
      <c r="IXJ80" s="362"/>
      <c r="IXK80" s="362"/>
      <c r="IXL80" s="362"/>
      <c r="IXM80" s="362"/>
      <c r="IXN80" s="362"/>
      <c r="IXO80" s="362"/>
      <c r="IXP80" s="362"/>
      <c r="IXQ80" s="362"/>
      <c r="IXR80" s="362"/>
      <c r="IXS80" s="362"/>
      <c r="IXT80" s="362"/>
      <c r="IXU80" s="362"/>
      <c r="IXV80" s="362"/>
      <c r="IXW80" s="362"/>
      <c r="IXX80" s="362"/>
      <c r="IXY80" s="362"/>
      <c r="IXZ80" s="362"/>
      <c r="IYA80" s="362"/>
      <c r="IYB80" s="362"/>
      <c r="IYC80" s="362"/>
      <c r="IYD80" s="362"/>
      <c r="IYE80" s="362"/>
      <c r="IYF80" s="362"/>
      <c r="IYG80" s="362"/>
      <c r="IYH80" s="362"/>
      <c r="IYI80" s="362"/>
      <c r="IYJ80" s="362"/>
      <c r="IYK80" s="362"/>
      <c r="IYL80" s="362"/>
      <c r="IYM80" s="362"/>
      <c r="IYN80" s="362"/>
      <c r="IYO80" s="362"/>
      <c r="IYP80" s="362"/>
      <c r="IYQ80" s="362"/>
      <c r="IYR80" s="362"/>
      <c r="IYS80" s="362"/>
      <c r="IYT80" s="362"/>
      <c r="IYU80" s="362"/>
      <c r="IYV80" s="362"/>
      <c r="IYW80" s="362"/>
      <c r="IYX80" s="362"/>
      <c r="IYY80" s="362"/>
      <c r="IYZ80" s="362"/>
      <c r="IZA80" s="362"/>
      <c r="IZB80" s="362"/>
      <c r="IZC80" s="362"/>
      <c r="IZD80" s="362"/>
      <c r="IZE80" s="362"/>
      <c r="IZF80" s="362"/>
      <c r="IZG80" s="362"/>
      <c r="IZH80" s="362"/>
      <c r="IZI80" s="362"/>
      <c r="IZJ80" s="362"/>
      <c r="IZK80" s="362"/>
      <c r="IZL80" s="362"/>
      <c r="IZM80" s="362"/>
      <c r="IZN80" s="362"/>
      <c r="IZO80" s="362"/>
      <c r="IZP80" s="362"/>
      <c r="IZQ80" s="362"/>
      <c r="IZR80" s="362"/>
      <c r="IZS80" s="362"/>
      <c r="IZT80" s="362"/>
      <c r="IZU80" s="362"/>
      <c r="IZV80" s="362"/>
      <c r="IZW80" s="362"/>
      <c r="IZX80" s="362"/>
      <c r="IZY80" s="362"/>
      <c r="IZZ80" s="362"/>
      <c r="JAA80" s="362"/>
      <c r="JAB80" s="362"/>
      <c r="JAC80" s="362"/>
      <c r="JAD80" s="362"/>
      <c r="JAE80" s="362"/>
      <c r="JAF80" s="362"/>
      <c r="JAG80" s="362"/>
      <c r="JAH80" s="362"/>
      <c r="JAI80" s="362"/>
      <c r="JAJ80" s="362"/>
      <c r="JAK80" s="362"/>
      <c r="JAL80" s="362"/>
      <c r="JAM80" s="362"/>
      <c r="JAN80" s="362"/>
      <c r="JAO80" s="362"/>
      <c r="JAP80" s="362"/>
      <c r="JAQ80" s="362"/>
      <c r="JAR80" s="362"/>
      <c r="JAS80" s="362"/>
      <c r="JAT80" s="362"/>
      <c r="JAU80" s="362"/>
      <c r="JAV80" s="362"/>
      <c r="JAW80" s="362"/>
      <c r="JAX80" s="362"/>
      <c r="JAY80" s="362"/>
      <c r="JAZ80" s="362"/>
      <c r="JBA80" s="362"/>
      <c r="JBB80" s="362"/>
      <c r="JBC80" s="362"/>
      <c r="JBD80" s="362"/>
      <c r="JBE80" s="362"/>
      <c r="JBF80" s="362"/>
      <c r="JBG80" s="362"/>
      <c r="JBH80" s="362"/>
      <c r="JBI80" s="362"/>
      <c r="JBJ80" s="362"/>
      <c r="JBK80" s="362"/>
      <c r="JBL80" s="362"/>
      <c r="JBM80" s="362"/>
      <c r="JBN80" s="362"/>
      <c r="JBO80" s="362"/>
      <c r="JBP80" s="362"/>
      <c r="JBQ80" s="362"/>
      <c r="JBR80" s="362"/>
      <c r="JBS80" s="362"/>
      <c r="JBT80" s="362"/>
      <c r="JBU80" s="362"/>
      <c r="JBV80" s="362"/>
      <c r="JBW80" s="362"/>
      <c r="JBX80" s="362"/>
      <c r="JBY80" s="362"/>
      <c r="JBZ80" s="362"/>
      <c r="JCA80" s="362"/>
      <c r="JCB80" s="362"/>
      <c r="JCC80" s="362"/>
      <c r="JCD80" s="362"/>
      <c r="JCE80" s="362"/>
      <c r="JCF80" s="362"/>
      <c r="JCG80" s="362"/>
      <c r="JCH80" s="362"/>
      <c r="JCI80" s="362"/>
      <c r="JCJ80" s="362"/>
      <c r="JCK80" s="362"/>
      <c r="JCL80" s="362"/>
      <c r="JCM80" s="362"/>
      <c r="JCN80" s="362"/>
      <c r="JCO80" s="362"/>
      <c r="JCP80" s="362"/>
      <c r="JCQ80" s="362"/>
      <c r="JCR80" s="362"/>
      <c r="JCS80" s="362"/>
      <c r="JCT80" s="362"/>
      <c r="JCU80" s="362"/>
      <c r="JCV80" s="362"/>
      <c r="JCW80" s="362"/>
      <c r="JCX80" s="362"/>
      <c r="JCY80" s="362"/>
      <c r="JCZ80" s="362"/>
      <c r="JDA80" s="362"/>
      <c r="JDB80" s="362"/>
      <c r="JDC80" s="362"/>
      <c r="JDD80" s="362"/>
      <c r="JDE80" s="362"/>
      <c r="JDF80" s="362"/>
      <c r="JDG80" s="362"/>
      <c r="JDH80" s="362"/>
      <c r="JDI80" s="362"/>
      <c r="JDJ80" s="362"/>
      <c r="JDK80" s="362"/>
      <c r="JDL80" s="362"/>
      <c r="JDM80" s="362"/>
      <c r="JDN80" s="362"/>
      <c r="JDO80" s="362"/>
      <c r="JDP80" s="362"/>
      <c r="JDQ80" s="362"/>
      <c r="JDR80" s="362"/>
      <c r="JDS80" s="362"/>
      <c r="JDT80" s="362"/>
      <c r="JDU80" s="362"/>
      <c r="JDV80" s="362"/>
      <c r="JDW80" s="362"/>
      <c r="JDX80" s="362"/>
      <c r="JDY80" s="362"/>
      <c r="JDZ80" s="362"/>
      <c r="JEA80" s="362"/>
      <c r="JEB80" s="362"/>
      <c r="JEC80" s="362"/>
      <c r="JED80" s="362"/>
      <c r="JEE80" s="362"/>
      <c r="JEF80" s="362"/>
      <c r="JEG80" s="362"/>
      <c r="JEH80" s="362"/>
      <c r="JEI80" s="362"/>
      <c r="JEJ80" s="362"/>
      <c r="JEK80" s="362"/>
      <c r="JEL80" s="362"/>
      <c r="JEM80" s="362"/>
      <c r="JEN80" s="362"/>
      <c r="JEO80" s="362"/>
      <c r="JEP80" s="362"/>
      <c r="JEQ80" s="362"/>
      <c r="JER80" s="362"/>
      <c r="JES80" s="362"/>
      <c r="JET80" s="362"/>
      <c r="JEU80" s="362"/>
      <c r="JEV80" s="362"/>
      <c r="JEW80" s="362"/>
      <c r="JEX80" s="362"/>
      <c r="JEY80" s="362"/>
      <c r="JEZ80" s="362"/>
      <c r="JFA80" s="362"/>
      <c r="JFB80" s="362"/>
      <c r="JFC80" s="362"/>
      <c r="JFD80" s="362"/>
      <c r="JFE80" s="362"/>
      <c r="JFF80" s="362"/>
      <c r="JFG80" s="362"/>
      <c r="JFH80" s="362"/>
      <c r="JFI80" s="362"/>
      <c r="JFJ80" s="362"/>
      <c r="JFK80" s="362"/>
      <c r="JFL80" s="362"/>
      <c r="JFM80" s="362"/>
      <c r="JFN80" s="362"/>
      <c r="JFO80" s="362"/>
      <c r="JFP80" s="362"/>
      <c r="JFQ80" s="362"/>
      <c r="JFR80" s="362"/>
      <c r="JFS80" s="362"/>
      <c r="JFT80" s="362"/>
      <c r="JFU80" s="362"/>
      <c r="JFV80" s="362"/>
      <c r="JFW80" s="362"/>
      <c r="JFX80" s="362"/>
      <c r="JFY80" s="362"/>
      <c r="JFZ80" s="362"/>
      <c r="JGA80" s="362"/>
      <c r="JGB80" s="362"/>
      <c r="JGC80" s="362"/>
      <c r="JGD80" s="362"/>
      <c r="JGE80" s="362"/>
      <c r="JGF80" s="362"/>
      <c r="JGG80" s="362"/>
      <c r="JGH80" s="362"/>
      <c r="JGI80" s="362"/>
      <c r="JGJ80" s="362"/>
      <c r="JGK80" s="362"/>
      <c r="JGL80" s="362"/>
      <c r="JGM80" s="362"/>
      <c r="JGN80" s="362"/>
      <c r="JGO80" s="362"/>
      <c r="JGP80" s="362"/>
      <c r="JGQ80" s="362"/>
      <c r="JGR80" s="362"/>
      <c r="JGS80" s="362"/>
      <c r="JGT80" s="362"/>
      <c r="JGU80" s="362"/>
      <c r="JGV80" s="362"/>
      <c r="JGW80" s="362"/>
      <c r="JGX80" s="362"/>
      <c r="JGY80" s="362"/>
      <c r="JGZ80" s="362"/>
      <c r="JHA80" s="362"/>
      <c r="JHB80" s="362"/>
      <c r="JHC80" s="362"/>
      <c r="JHD80" s="362"/>
      <c r="JHE80" s="362"/>
      <c r="JHF80" s="362"/>
      <c r="JHG80" s="362"/>
      <c r="JHH80" s="362"/>
      <c r="JHI80" s="362"/>
      <c r="JHJ80" s="362"/>
      <c r="JHK80" s="362"/>
      <c r="JHL80" s="362"/>
      <c r="JHM80" s="362"/>
      <c r="JHN80" s="362"/>
      <c r="JHO80" s="362"/>
      <c r="JHP80" s="362"/>
      <c r="JHQ80" s="362"/>
      <c r="JHR80" s="362"/>
      <c r="JHS80" s="362"/>
      <c r="JHT80" s="362"/>
      <c r="JHU80" s="362"/>
      <c r="JHV80" s="362"/>
      <c r="JHW80" s="362"/>
      <c r="JHX80" s="362"/>
      <c r="JHY80" s="362"/>
      <c r="JHZ80" s="362"/>
      <c r="JIA80" s="362"/>
      <c r="JIB80" s="362"/>
      <c r="JIC80" s="362"/>
      <c r="JID80" s="362"/>
      <c r="JIE80" s="362"/>
      <c r="JIF80" s="362"/>
      <c r="JIG80" s="362"/>
      <c r="JIH80" s="362"/>
      <c r="JII80" s="362"/>
      <c r="JIJ80" s="362"/>
      <c r="JIK80" s="362"/>
      <c r="JIL80" s="362"/>
      <c r="JIM80" s="362"/>
      <c r="JIN80" s="362"/>
      <c r="JIO80" s="362"/>
      <c r="JIP80" s="362"/>
      <c r="JIQ80" s="362"/>
      <c r="JIR80" s="362"/>
      <c r="JIS80" s="362"/>
      <c r="JIT80" s="362"/>
      <c r="JIU80" s="362"/>
      <c r="JIV80" s="362"/>
      <c r="JIW80" s="362"/>
      <c r="JIX80" s="362"/>
      <c r="JIY80" s="362"/>
      <c r="JIZ80" s="362"/>
      <c r="JJA80" s="362"/>
      <c r="JJB80" s="362"/>
      <c r="JJC80" s="362"/>
      <c r="JJD80" s="362"/>
      <c r="JJE80" s="362"/>
      <c r="JJF80" s="362"/>
      <c r="JJG80" s="362"/>
      <c r="JJH80" s="362"/>
      <c r="JJI80" s="362"/>
      <c r="JJJ80" s="362"/>
      <c r="JJK80" s="362"/>
      <c r="JJL80" s="362"/>
      <c r="JJM80" s="362"/>
      <c r="JJN80" s="362"/>
      <c r="JJO80" s="362"/>
      <c r="JJP80" s="362"/>
      <c r="JJQ80" s="362"/>
      <c r="JJR80" s="362"/>
      <c r="JJS80" s="362"/>
      <c r="JJT80" s="362"/>
      <c r="JJU80" s="362"/>
      <c r="JJV80" s="362"/>
      <c r="JJW80" s="362"/>
      <c r="JJX80" s="362"/>
      <c r="JJY80" s="362"/>
      <c r="JJZ80" s="362"/>
      <c r="JKA80" s="362"/>
      <c r="JKB80" s="362"/>
      <c r="JKC80" s="362"/>
      <c r="JKD80" s="362"/>
      <c r="JKE80" s="362"/>
      <c r="JKF80" s="362"/>
      <c r="JKG80" s="362"/>
      <c r="JKH80" s="362"/>
      <c r="JKI80" s="362"/>
      <c r="JKJ80" s="362"/>
      <c r="JKK80" s="362"/>
      <c r="JKL80" s="362"/>
      <c r="JKM80" s="362"/>
      <c r="JKN80" s="362"/>
      <c r="JKO80" s="362"/>
      <c r="JKP80" s="362"/>
      <c r="JKQ80" s="362"/>
      <c r="JKR80" s="362"/>
      <c r="JKS80" s="362"/>
      <c r="JKT80" s="362"/>
      <c r="JKU80" s="362"/>
      <c r="JKV80" s="362"/>
      <c r="JKW80" s="362"/>
      <c r="JKX80" s="362"/>
      <c r="JKY80" s="362"/>
      <c r="JKZ80" s="362"/>
      <c r="JLA80" s="362"/>
      <c r="JLB80" s="362"/>
      <c r="JLC80" s="362"/>
      <c r="JLD80" s="362"/>
      <c r="JLE80" s="362"/>
      <c r="JLF80" s="362"/>
      <c r="JLG80" s="362"/>
      <c r="JLH80" s="362"/>
      <c r="JLI80" s="362"/>
      <c r="JLJ80" s="362"/>
      <c r="JLK80" s="362"/>
      <c r="JLL80" s="362"/>
      <c r="JLM80" s="362"/>
      <c r="JLN80" s="362"/>
      <c r="JLO80" s="362"/>
      <c r="JLP80" s="362"/>
      <c r="JLQ80" s="362"/>
      <c r="JLR80" s="362"/>
      <c r="JLS80" s="362"/>
      <c r="JLT80" s="362"/>
      <c r="JLU80" s="362"/>
      <c r="JLV80" s="362"/>
      <c r="JLW80" s="362"/>
      <c r="JLX80" s="362"/>
      <c r="JLY80" s="362"/>
      <c r="JLZ80" s="362"/>
      <c r="JMA80" s="362"/>
      <c r="JMB80" s="362"/>
      <c r="JMC80" s="362"/>
      <c r="JMD80" s="362"/>
      <c r="JME80" s="362"/>
      <c r="JMF80" s="362"/>
      <c r="JMG80" s="362"/>
      <c r="JMH80" s="362"/>
      <c r="JMI80" s="362"/>
      <c r="JMJ80" s="362"/>
      <c r="JMK80" s="362"/>
      <c r="JML80" s="362"/>
      <c r="JMM80" s="362"/>
      <c r="JMN80" s="362"/>
      <c r="JMO80" s="362"/>
      <c r="JMP80" s="362"/>
      <c r="JMQ80" s="362"/>
      <c r="JMR80" s="362"/>
      <c r="JMS80" s="362"/>
      <c r="JMT80" s="362"/>
      <c r="JMU80" s="362"/>
      <c r="JMV80" s="362"/>
      <c r="JMW80" s="362"/>
      <c r="JMX80" s="362"/>
      <c r="JMY80" s="362"/>
      <c r="JMZ80" s="362"/>
      <c r="JNA80" s="362"/>
      <c r="JNB80" s="362"/>
      <c r="JNC80" s="362"/>
      <c r="JND80" s="362"/>
      <c r="JNE80" s="362"/>
      <c r="JNF80" s="362"/>
      <c r="JNG80" s="362"/>
      <c r="JNH80" s="362"/>
      <c r="JNI80" s="362"/>
      <c r="JNJ80" s="362"/>
      <c r="JNK80" s="362"/>
      <c r="JNL80" s="362"/>
      <c r="JNM80" s="362"/>
      <c r="JNN80" s="362"/>
      <c r="JNO80" s="362"/>
      <c r="JNP80" s="362"/>
      <c r="JNQ80" s="362"/>
      <c r="JNR80" s="362"/>
      <c r="JNS80" s="362"/>
      <c r="JNT80" s="362"/>
      <c r="JNU80" s="362"/>
      <c r="JNV80" s="362"/>
      <c r="JNW80" s="362"/>
      <c r="JNX80" s="362"/>
      <c r="JNY80" s="362"/>
      <c r="JNZ80" s="362"/>
      <c r="JOA80" s="362"/>
      <c r="JOB80" s="362"/>
      <c r="JOC80" s="362"/>
      <c r="JOD80" s="362"/>
      <c r="JOE80" s="362"/>
      <c r="JOF80" s="362"/>
      <c r="JOG80" s="362"/>
      <c r="JOH80" s="362"/>
      <c r="JOI80" s="362"/>
      <c r="JOJ80" s="362"/>
      <c r="JOK80" s="362"/>
      <c r="JOL80" s="362"/>
      <c r="JOM80" s="362"/>
      <c r="JON80" s="362"/>
      <c r="JOO80" s="362"/>
      <c r="JOP80" s="362"/>
      <c r="JOQ80" s="362"/>
      <c r="JOR80" s="362"/>
      <c r="JOS80" s="362"/>
      <c r="JOT80" s="362"/>
      <c r="JOU80" s="362"/>
      <c r="JOV80" s="362"/>
      <c r="JOW80" s="362"/>
      <c r="JOX80" s="362"/>
      <c r="JOY80" s="362"/>
      <c r="JOZ80" s="362"/>
      <c r="JPA80" s="362"/>
      <c r="JPB80" s="362"/>
      <c r="JPC80" s="362"/>
      <c r="JPD80" s="362"/>
      <c r="JPE80" s="362"/>
      <c r="JPF80" s="362"/>
      <c r="JPG80" s="362"/>
      <c r="JPH80" s="362"/>
      <c r="JPI80" s="362"/>
      <c r="JPJ80" s="362"/>
      <c r="JPK80" s="362"/>
      <c r="JPL80" s="362"/>
      <c r="JPM80" s="362"/>
      <c r="JPN80" s="362"/>
      <c r="JPO80" s="362"/>
      <c r="JPP80" s="362"/>
      <c r="JPQ80" s="362"/>
      <c r="JPR80" s="362"/>
      <c r="JPS80" s="362"/>
      <c r="JPT80" s="362"/>
      <c r="JPU80" s="362"/>
      <c r="JPV80" s="362"/>
      <c r="JPW80" s="362"/>
      <c r="JPX80" s="362"/>
      <c r="JPY80" s="362"/>
      <c r="JPZ80" s="362"/>
      <c r="JQA80" s="362"/>
      <c r="JQB80" s="362"/>
      <c r="JQC80" s="362"/>
      <c r="JQD80" s="362"/>
      <c r="JQE80" s="362"/>
      <c r="JQF80" s="362"/>
      <c r="JQG80" s="362"/>
      <c r="JQH80" s="362"/>
      <c r="JQI80" s="362"/>
      <c r="JQJ80" s="362"/>
      <c r="JQK80" s="362"/>
      <c r="JQL80" s="362"/>
      <c r="JQM80" s="362"/>
      <c r="JQN80" s="362"/>
      <c r="JQO80" s="362"/>
      <c r="JQP80" s="362"/>
      <c r="JQQ80" s="362"/>
      <c r="JQR80" s="362"/>
      <c r="JQS80" s="362"/>
      <c r="JQT80" s="362"/>
      <c r="JQU80" s="362"/>
      <c r="JQV80" s="362"/>
      <c r="JQW80" s="362"/>
      <c r="JQX80" s="362"/>
      <c r="JQY80" s="362"/>
      <c r="JQZ80" s="362"/>
      <c r="JRA80" s="362"/>
      <c r="JRB80" s="362"/>
      <c r="JRC80" s="362"/>
      <c r="JRD80" s="362"/>
      <c r="JRE80" s="362"/>
      <c r="JRF80" s="362"/>
      <c r="JRG80" s="362"/>
      <c r="JRH80" s="362"/>
      <c r="JRI80" s="362"/>
      <c r="JRJ80" s="362"/>
      <c r="JRK80" s="362"/>
      <c r="JRL80" s="362"/>
      <c r="JRM80" s="362"/>
      <c r="JRN80" s="362"/>
      <c r="JRO80" s="362"/>
      <c r="JRP80" s="362"/>
      <c r="JRQ80" s="362"/>
      <c r="JRR80" s="362"/>
      <c r="JRS80" s="362"/>
      <c r="JRT80" s="362"/>
      <c r="JRU80" s="362"/>
      <c r="JRV80" s="362"/>
      <c r="JRW80" s="362"/>
      <c r="JRX80" s="362"/>
      <c r="JRY80" s="362"/>
      <c r="JRZ80" s="362"/>
      <c r="JSA80" s="362"/>
      <c r="JSB80" s="362"/>
      <c r="JSC80" s="362"/>
      <c r="JSD80" s="362"/>
      <c r="JSE80" s="362"/>
      <c r="JSF80" s="362"/>
      <c r="JSG80" s="362"/>
      <c r="JSH80" s="362"/>
      <c r="JSI80" s="362"/>
      <c r="JSJ80" s="362"/>
      <c r="JSK80" s="362"/>
      <c r="JSL80" s="362"/>
      <c r="JSM80" s="362"/>
      <c r="JSN80" s="362"/>
      <c r="JSO80" s="362"/>
      <c r="JSP80" s="362"/>
      <c r="JSQ80" s="362"/>
      <c r="JSR80" s="362"/>
      <c r="JSS80" s="362"/>
      <c r="JST80" s="362"/>
      <c r="JSU80" s="362"/>
      <c r="JSV80" s="362"/>
      <c r="JSW80" s="362"/>
      <c r="JSX80" s="362"/>
      <c r="JSY80" s="362"/>
      <c r="JSZ80" s="362"/>
      <c r="JTA80" s="362"/>
      <c r="JTB80" s="362"/>
      <c r="JTC80" s="362"/>
      <c r="JTD80" s="362"/>
      <c r="JTE80" s="362"/>
      <c r="JTF80" s="362"/>
      <c r="JTG80" s="362"/>
      <c r="JTH80" s="362"/>
      <c r="JTI80" s="362"/>
      <c r="JTJ80" s="362"/>
      <c r="JTK80" s="362"/>
      <c r="JTL80" s="362"/>
      <c r="JTM80" s="362"/>
      <c r="JTN80" s="362"/>
      <c r="JTO80" s="362"/>
      <c r="JTP80" s="362"/>
      <c r="JTQ80" s="362"/>
      <c r="JTR80" s="362"/>
      <c r="JTS80" s="362"/>
      <c r="JTT80" s="362"/>
      <c r="JTU80" s="362"/>
      <c r="JTV80" s="362"/>
      <c r="JTW80" s="362"/>
      <c r="JTX80" s="362"/>
      <c r="JTY80" s="362"/>
      <c r="JTZ80" s="362"/>
      <c r="JUA80" s="362"/>
      <c r="JUB80" s="362"/>
      <c r="JUC80" s="362"/>
      <c r="JUD80" s="362"/>
      <c r="JUE80" s="362"/>
      <c r="JUF80" s="362"/>
      <c r="JUG80" s="362"/>
      <c r="JUH80" s="362"/>
      <c r="JUI80" s="362"/>
      <c r="JUJ80" s="362"/>
      <c r="JUK80" s="362"/>
      <c r="JUL80" s="362"/>
      <c r="JUM80" s="362"/>
      <c r="JUN80" s="362"/>
      <c r="JUO80" s="362"/>
      <c r="JUP80" s="362"/>
      <c r="JUQ80" s="362"/>
      <c r="JUR80" s="362"/>
      <c r="JUS80" s="362"/>
      <c r="JUT80" s="362"/>
      <c r="JUU80" s="362"/>
      <c r="JUV80" s="362"/>
      <c r="JUW80" s="362"/>
      <c r="JUX80" s="362"/>
      <c r="JUY80" s="362"/>
      <c r="JUZ80" s="362"/>
      <c r="JVA80" s="362"/>
      <c r="JVB80" s="362"/>
      <c r="JVC80" s="362"/>
      <c r="JVD80" s="362"/>
      <c r="JVE80" s="362"/>
      <c r="JVF80" s="362"/>
      <c r="JVG80" s="362"/>
      <c r="JVH80" s="362"/>
      <c r="JVI80" s="362"/>
      <c r="JVJ80" s="362"/>
      <c r="JVK80" s="362"/>
      <c r="JVL80" s="362"/>
      <c r="JVM80" s="362"/>
      <c r="JVN80" s="362"/>
      <c r="JVO80" s="362"/>
      <c r="JVP80" s="362"/>
      <c r="JVQ80" s="362"/>
      <c r="JVR80" s="362"/>
      <c r="JVS80" s="362"/>
      <c r="JVT80" s="362"/>
      <c r="JVU80" s="362"/>
      <c r="JVV80" s="362"/>
      <c r="JVW80" s="362"/>
      <c r="JVX80" s="362"/>
      <c r="JVY80" s="362"/>
      <c r="JVZ80" s="362"/>
      <c r="JWA80" s="362"/>
      <c r="JWB80" s="362"/>
      <c r="JWC80" s="362"/>
      <c r="JWD80" s="362"/>
      <c r="JWE80" s="362"/>
      <c r="JWF80" s="362"/>
      <c r="JWG80" s="362"/>
      <c r="JWH80" s="362"/>
      <c r="JWI80" s="362"/>
      <c r="JWJ80" s="362"/>
      <c r="JWK80" s="362"/>
      <c r="JWL80" s="362"/>
      <c r="JWM80" s="362"/>
      <c r="JWN80" s="362"/>
      <c r="JWO80" s="362"/>
      <c r="JWP80" s="362"/>
      <c r="JWQ80" s="362"/>
      <c r="JWR80" s="362"/>
      <c r="JWS80" s="362"/>
      <c r="JWT80" s="362"/>
      <c r="JWU80" s="362"/>
      <c r="JWV80" s="362"/>
      <c r="JWW80" s="362"/>
      <c r="JWX80" s="362"/>
      <c r="JWY80" s="362"/>
      <c r="JWZ80" s="362"/>
      <c r="JXA80" s="362"/>
      <c r="JXB80" s="362"/>
      <c r="JXC80" s="362"/>
      <c r="JXD80" s="362"/>
      <c r="JXE80" s="362"/>
      <c r="JXF80" s="362"/>
      <c r="JXG80" s="362"/>
      <c r="JXH80" s="362"/>
      <c r="JXI80" s="362"/>
      <c r="JXJ80" s="362"/>
      <c r="JXK80" s="362"/>
      <c r="JXL80" s="362"/>
      <c r="JXM80" s="362"/>
      <c r="JXN80" s="362"/>
      <c r="JXO80" s="362"/>
      <c r="JXP80" s="362"/>
      <c r="JXQ80" s="362"/>
      <c r="JXR80" s="362"/>
      <c r="JXS80" s="362"/>
      <c r="JXT80" s="362"/>
      <c r="JXU80" s="362"/>
      <c r="JXV80" s="362"/>
      <c r="JXW80" s="362"/>
      <c r="JXX80" s="362"/>
      <c r="JXY80" s="362"/>
      <c r="JXZ80" s="362"/>
      <c r="JYA80" s="362"/>
      <c r="JYB80" s="362"/>
      <c r="JYC80" s="362"/>
      <c r="JYD80" s="362"/>
      <c r="JYE80" s="362"/>
      <c r="JYF80" s="362"/>
      <c r="JYG80" s="362"/>
      <c r="JYH80" s="362"/>
      <c r="JYI80" s="362"/>
      <c r="JYJ80" s="362"/>
      <c r="JYK80" s="362"/>
      <c r="JYL80" s="362"/>
      <c r="JYM80" s="362"/>
      <c r="JYN80" s="362"/>
      <c r="JYO80" s="362"/>
      <c r="JYP80" s="362"/>
      <c r="JYQ80" s="362"/>
      <c r="JYR80" s="362"/>
      <c r="JYS80" s="362"/>
      <c r="JYT80" s="362"/>
      <c r="JYU80" s="362"/>
      <c r="JYV80" s="362"/>
      <c r="JYW80" s="362"/>
      <c r="JYX80" s="362"/>
      <c r="JYY80" s="362"/>
      <c r="JYZ80" s="362"/>
      <c r="JZA80" s="362"/>
      <c r="JZB80" s="362"/>
      <c r="JZC80" s="362"/>
      <c r="JZD80" s="362"/>
      <c r="JZE80" s="362"/>
      <c r="JZF80" s="362"/>
      <c r="JZG80" s="362"/>
      <c r="JZH80" s="362"/>
      <c r="JZI80" s="362"/>
      <c r="JZJ80" s="362"/>
      <c r="JZK80" s="362"/>
      <c r="JZL80" s="362"/>
      <c r="JZM80" s="362"/>
      <c r="JZN80" s="362"/>
      <c r="JZO80" s="362"/>
      <c r="JZP80" s="362"/>
      <c r="JZQ80" s="362"/>
      <c r="JZR80" s="362"/>
      <c r="JZS80" s="362"/>
      <c r="JZT80" s="362"/>
      <c r="JZU80" s="362"/>
      <c r="JZV80" s="362"/>
      <c r="JZW80" s="362"/>
      <c r="JZX80" s="362"/>
      <c r="JZY80" s="362"/>
      <c r="JZZ80" s="362"/>
      <c r="KAA80" s="362"/>
      <c r="KAB80" s="362"/>
      <c r="KAC80" s="362"/>
      <c r="KAD80" s="362"/>
      <c r="KAE80" s="362"/>
      <c r="KAF80" s="362"/>
      <c r="KAG80" s="362"/>
      <c r="KAH80" s="362"/>
      <c r="KAI80" s="362"/>
      <c r="KAJ80" s="362"/>
      <c r="KAK80" s="362"/>
      <c r="KAL80" s="362"/>
      <c r="KAM80" s="362"/>
      <c r="KAN80" s="362"/>
      <c r="KAO80" s="362"/>
      <c r="KAP80" s="362"/>
      <c r="KAQ80" s="362"/>
      <c r="KAR80" s="362"/>
      <c r="KAS80" s="362"/>
      <c r="KAT80" s="362"/>
      <c r="KAU80" s="362"/>
      <c r="KAV80" s="362"/>
      <c r="KAW80" s="362"/>
      <c r="KAX80" s="362"/>
      <c r="KAY80" s="362"/>
      <c r="KAZ80" s="362"/>
      <c r="KBA80" s="362"/>
      <c r="KBB80" s="362"/>
      <c r="KBC80" s="362"/>
      <c r="KBD80" s="362"/>
      <c r="KBE80" s="362"/>
      <c r="KBF80" s="362"/>
      <c r="KBG80" s="362"/>
      <c r="KBH80" s="362"/>
      <c r="KBI80" s="362"/>
      <c r="KBJ80" s="362"/>
      <c r="KBK80" s="362"/>
      <c r="KBL80" s="362"/>
      <c r="KBM80" s="362"/>
      <c r="KBN80" s="362"/>
      <c r="KBO80" s="362"/>
      <c r="KBP80" s="362"/>
      <c r="KBQ80" s="362"/>
      <c r="KBR80" s="362"/>
      <c r="KBS80" s="362"/>
      <c r="KBT80" s="362"/>
      <c r="KBU80" s="362"/>
      <c r="KBV80" s="362"/>
      <c r="KBW80" s="362"/>
      <c r="KBX80" s="362"/>
      <c r="KBY80" s="362"/>
      <c r="KBZ80" s="362"/>
      <c r="KCA80" s="362"/>
      <c r="KCB80" s="362"/>
      <c r="KCC80" s="362"/>
      <c r="KCD80" s="362"/>
      <c r="KCE80" s="362"/>
      <c r="KCF80" s="362"/>
      <c r="KCG80" s="362"/>
      <c r="KCH80" s="362"/>
      <c r="KCI80" s="362"/>
      <c r="KCJ80" s="362"/>
      <c r="KCK80" s="362"/>
      <c r="KCL80" s="362"/>
      <c r="KCM80" s="362"/>
      <c r="KCN80" s="362"/>
      <c r="KCO80" s="362"/>
      <c r="KCP80" s="362"/>
      <c r="KCQ80" s="362"/>
      <c r="KCR80" s="362"/>
      <c r="KCS80" s="362"/>
      <c r="KCT80" s="362"/>
      <c r="KCU80" s="362"/>
      <c r="KCV80" s="362"/>
      <c r="KCW80" s="362"/>
      <c r="KCX80" s="362"/>
      <c r="KCY80" s="362"/>
      <c r="KCZ80" s="362"/>
      <c r="KDA80" s="362"/>
      <c r="KDB80" s="362"/>
      <c r="KDC80" s="362"/>
      <c r="KDD80" s="362"/>
      <c r="KDE80" s="362"/>
      <c r="KDF80" s="362"/>
      <c r="KDG80" s="362"/>
      <c r="KDH80" s="362"/>
      <c r="KDI80" s="362"/>
      <c r="KDJ80" s="362"/>
      <c r="KDK80" s="362"/>
      <c r="KDL80" s="362"/>
      <c r="KDM80" s="362"/>
      <c r="KDN80" s="362"/>
      <c r="KDO80" s="362"/>
      <c r="KDP80" s="362"/>
      <c r="KDQ80" s="362"/>
      <c r="KDR80" s="362"/>
      <c r="KDS80" s="362"/>
      <c r="KDT80" s="362"/>
      <c r="KDU80" s="362"/>
      <c r="KDV80" s="362"/>
      <c r="KDW80" s="362"/>
      <c r="KDX80" s="362"/>
      <c r="KDY80" s="362"/>
      <c r="KDZ80" s="362"/>
      <c r="KEA80" s="362"/>
      <c r="KEB80" s="362"/>
      <c r="KEC80" s="362"/>
      <c r="KED80" s="362"/>
      <c r="KEE80" s="362"/>
      <c r="KEF80" s="362"/>
      <c r="KEG80" s="362"/>
      <c r="KEH80" s="362"/>
      <c r="KEI80" s="362"/>
      <c r="KEJ80" s="362"/>
      <c r="KEK80" s="362"/>
      <c r="KEL80" s="362"/>
      <c r="KEM80" s="362"/>
      <c r="KEN80" s="362"/>
      <c r="KEO80" s="362"/>
      <c r="KEP80" s="362"/>
      <c r="KEQ80" s="362"/>
      <c r="KER80" s="362"/>
      <c r="KES80" s="362"/>
      <c r="KET80" s="362"/>
      <c r="KEU80" s="362"/>
      <c r="KEV80" s="362"/>
      <c r="KEW80" s="362"/>
      <c r="KEX80" s="362"/>
      <c r="KEY80" s="362"/>
      <c r="KEZ80" s="362"/>
      <c r="KFA80" s="362"/>
      <c r="KFB80" s="362"/>
      <c r="KFC80" s="362"/>
      <c r="KFD80" s="362"/>
      <c r="KFE80" s="362"/>
      <c r="KFF80" s="362"/>
      <c r="KFG80" s="362"/>
      <c r="KFH80" s="362"/>
      <c r="KFI80" s="362"/>
      <c r="KFJ80" s="362"/>
      <c r="KFK80" s="362"/>
      <c r="KFL80" s="362"/>
      <c r="KFM80" s="362"/>
      <c r="KFN80" s="362"/>
      <c r="KFO80" s="362"/>
      <c r="KFP80" s="362"/>
      <c r="KFQ80" s="362"/>
      <c r="KFR80" s="362"/>
      <c r="KFS80" s="362"/>
      <c r="KFT80" s="362"/>
      <c r="KFU80" s="362"/>
      <c r="KFV80" s="362"/>
      <c r="KFW80" s="362"/>
      <c r="KFX80" s="362"/>
      <c r="KFY80" s="362"/>
      <c r="KFZ80" s="362"/>
      <c r="KGA80" s="362"/>
      <c r="KGB80" s="362"/>
      <c r="KGC80" s="362"/>
      <c r="KGD80" s="362"/>
      <c r="KGE80" s="362"/>
      <c r="KGF80" s="362"/>
      <c r="KGG80" s="362"/>
      <c r="KGH80" s="362"/>
      <c r="KGI80" s="362"/>
      <c r="KGJ80" s="362"/>
      <c r="KGK80" s="362"/>
      <c r="KGL80" s="362"/>
      <c r="KGM80" s="362"/>
      <c r="KGN80" s="362"/>
      <c r="KGO80" s="362"/>
      <c r="KGP80" s="362"/>
      <c r="KGQ80" s="362"/>
      <c r="KGR80" s="362"/>
      <c r="KGS80" s="362"/>
      <c r="KGT80" s="362"/>
      <c r="KGU80" s="362"/>
      <c r="KGV80" s="362"/>
      <c r="KGW80" s="362"/>
      <c r="KGX80" s="362"/>
      <c r="KGY80" s="362"/>
      <c r="KGZ80" s="362"/>
      <c r="KHA80" s="362"/>
      <c r="KHB80" s="362"/>
      <c r="KHC80" s="362"/>
      <c r="KHD80" s="362"/>
      <c r="KHE80" s="362"/>
      <c r="KHF80" s="362"/>
      <c r="KHG80" s="362"/>
      <c r="KHH80" s="362"/>
      <c r="KHI80" s="362"/>
      <c r="KHJ80" s="362"/>
      <c r="KHK80" s="362"/>
      <c r="KHL80" s="362"/>
      <c r="KHM80" s="362"/>
      <c r="KHN80" s="362"/>
      <c r="KHO80" s="362"/>
      <c r="KHP80" s="362"/>
      <c r="KHQ80" s="362"/>
      <c r="KHR80" s="362"/>
      <c r="KHS80" s="362"/>
      <c r="KHT80" s="362"/>
      <c r="KHU80" s="362"/>
      <c r="KHV80" s="362"/>
      <c r="KHW80" s="362"/>
      <c r="KHX80" s="362"/>
      <c r="KHY80" s="362"/>
      <c r="KHZ80" s="362"/>
      <c r="KIA80" s="362"/>
      <c r="KIB80" s="362"/>
      <c r="KIC80" s="362"/>
      <c r="KID80" s="362"/>
      <c r="KIE80" s="362"/>
      <c r="KIF80" s="362"/>
      <c r="KIG80" s="362"/>
      <c r="KIH80" s="362"/>
      <c r="KII80" s="362"/>
      <c r="KIJ80" s="362"/>
      <c r="KIK80" s="362"/>
      <c r="KIL80" s="362"/>
      <c r="KIM80" s="362"/>
      <c r="KIN80" s="362"/>
      <c r="KIO80" s="362"/>
      <c r="KIP80" s="362"/>
      <c r="KIQ80" s="362"/>
      <c r="KIR80" s="362"/>
      <c r="KIS80" s="362"/>
      <c r="KIT80" s="362"/>
      <c r="KIU80" s="362"/>
      <c r="KIV80" s="362"/>
      <c r="KIW80" s="362"/>
      <c r="KIX80" s="362"/>
      <c r="KIY80" s="362"/>
      <c r="KIZ80" s="362"/>
      <c r="KJA80" s="362"/>
      <c r="KJB80" s="362"/>
      <c r="KJC80" s="362"/>
      <c r="KJD80" s="362"/>
      <c r="KJE80" s="362"/>
      <c r="KJF80" s="362"/>
      <c r="KJG80" s="362"/>
      <c r="KJH80" s="362"/>
      <c r="KJI80" s="362"/>
      <c r="KJJ80" s="362"/>
      <c r="KJK80" s="362"/>
      <c r="KJL80" s="362"/>
      <c r="KJM80" s="362"/>
      <c r="KJN80" s="362"/>
      <c r="KJO80" s="362"/>
      <c r="KJP80" s="362"/>
      <c r="KJQ80" s="362"/>
      <c r="KJR80" s="362"/>
      <c r="KJS80" s="362"/>
      <c r="KJT80" s="362"/>
      <c r="KJU80" s="362"/>
      <c r="KJV80" s="362"/>
      <c r="KJW80" s="362"/>
      <c r="KJX80" s="362"/>
      <c r="KJY80" s="362"/>
      <c r="KJZ80" s="362"/>
      <c r="KKA80" s="362"/>
      <c r="KKB80" s="362"/>
      <c r="KKC80" s="362"/>
      <c r="KKD80" s="362"/>
      <c r="KKE80" s="362"/>
      <c r="KKF80" s="362"/>
      <c r="KKG80" s="362"/>
      <c r="KKH80" s="362"/>
      <c r="KKI80" s="362"/>
      <c r="KKJ80" s="362"/>
      <c r="KKK80" s="362"/>
      <c r="KKL80" s="362"/>
      <c r="KKM80" s="362"/>
      <c r="KKN80" s="362"/>
      <c r="KKO80" s="362"/>
      <c r="KKP80" s="362"/>
      <c r="KKQ80" s="362"/>
      <c r="KKR80" s="362"/>
      <c r="KKS80" s="362"/>
      <c r="KKT80" s="362"/>
      <c r="KKU80" s="362"/>
      <c r="KKV80" s="362"/>
      <c r="KKW80" s="362"/>
      <c r="KKX80" s="362"/>
      <c r="KKY80" s="362"/>
      <c r="KKZ80" s="362"/>
      <c r="KLA80" s="362"/>
      <c r="KLB80" s="362"/>
      <c r="KLC80" s="362"/>
      <c r="KLD80" s="362"/>
      <c r="KLE80" s="362"/>
      <c r="KLF80" s="362"/>
      <c r="KLG80" s="362"/>
      <c r="KLH80" s="362"/>
      <c r="KLI80" s="362"/>
      <c r="KLJ80" s="362"/>
      <c r="KLK80" s="362"/>
      <c r="KLL80" s="362"/>
      <c r="KLM80" s="362"/>
      <c r="KLN80" s="362"/>
      <c r="KLO80" s="362"/>
      <c r="KLP80" s="362"/>
      <c r="KLQ80" s="362"/>
      <c r="KLR80" s="362"/>
      <c r="KLS80" s="362"/>
      <c r="KLT80" s="362"/>
      <c r="KLU80" s="362"/>
      <c r="KLV80" s="362"/>
      <c r="KLW80" s="362"/>
      <c r="KLX80" s="362"/>
      <c r="KLY80" s="362"/>
      <c r="KLZ80" s="362"/>
      <c r="KMA80" s="362"/>
      <c r="KMB80" s="362"/>
      <c r="KMC80" s="362"/>
      <c r="KMD80" s="362"/>
      <c r="KME80" s="362"/>
      <c r="KMF80" s="362"/>
      <c r="KMG80" s="362"/>
      <c r="KMH80" s="362"/>
      <c r="KMI80" s="362"/>
      <c r="KMJ80" s="362"/>
      <c r="KMK80" s="362"/>
      <c r="KML80" s="362"/>
      <c r="KMM80" s="362"/>
      <c r="KMN80" s="362"/>
      <c r="KMO80" s="362"/>
      <c r="KMP80" s="362"/>
      <c r="KMQ80" s="362"/>
      <c r="KMR80" s="362"/>
      <c r="KMS80" s="362"/>
      <c r="KMT80" s="362"/>
      <c r="KMU80" s="362"/>
      <c r="KMV80" s="362"/>
      <c r="KMW80" s="362"/>
      <c r="KMX80" s="362"/>
      <c r="KMY80" s="362"/>
      <c r="KMZ80" s="362"/>
      <c r="KNA80" s="362"/>
      <c r="KNB80" s="362"/>
      <c r="KNC80" s="362"/>
      <c r="KND80" s="362"/>
      <c r="KNE80" s="362"/>
      <c r="KNF80" s="362"/>
      <c r="KNG80" s="362"/>
      <c r="KNH80" s="362"/>
      <c r="KNI80" s="362"/>
      <c r="KNJ80" s="362"/>
      <c r="KNK80" s="362"/>
      <c r="KNL80" s="362"/>
      <c r="KNM80" s="362"/>
      <c r="KNN80" s="362"/>
      <c r="KNO80" s="362"/>
      <c r="KNP80" s="362"/>
      <c r="KNQ80" s="362"/>
      <c r="KNR80" s="362"/>
      <c r="KNS80" s="362"/>
      <c r="KNT80" s="362"/>
      <c r="KNU80" s="362"/>
      <c r="KNV80" s="362"/>
      <c r="KNW80" s="362"/>
      <c r="KNX80" s="362"/>
      <c r="KNY80" s="362"/>
      <c r="KNZ80" s="362"/>
      <c r="KOA80" s="362"/>
      <c r="KOB80" s="362"/>
      <c r="KOC80" s="362"/>
      <c r="KOD80" s="362"/>
      <c r="KOE80" s="362"/>
      <c r="KOF80" s="362"/>
      <c r="KOG80" s="362"/>
      <c r="KOH80" s="362"/>
      <c r="KOI80" s="362"/>
      <c r="KOJ80" s="362"/>
      <c r="KOK80" s="362"/>
      <c r="KOL80" s="362"/>
      <c r="KOM80" s="362"/>
      <c r="KON80" s="362"/>
      <c r="KOO80" s="362"/>
      <c r="KOP80" s="362"/>
      <c r="KOQ80" s="362"/>
      <c r="KOR80" s="362"/>
      <c r="KOS80" s="362"/>
      <c r="KOT80" s="362"/>
      <c r="KOU80" s="362"/>
      <c r="KOV80" s="362"/>
      <c r="KOW80" s="362"/>
      <c r="KOX80" s="362"/>
      <c r="KOY80" s="362"/>
      <c r="KOZ80" s="362"/>
      <c r="KPA80" s="362"/>
      <c r="KPB80" s="362"/>
      <c r="KPC80" s="362"/>
      <c r="KPD80" s="362"/>
      <c r="KPE80" s="362"/>
      <c r="KPF80" s="362"/>
      <c r="KPG80" s="362"/>
      <c r="KPH80" s="362"/>
      <c r="KPI80" s="362"/>
      <c r="KPJ80" s="362"/>
      <c r="KPK80" s="362"/>
      <c r="KPL80" s="362"/>
      <c r="KPM80" s="362"/>
      <c r="KPN80" s="362"/>
      <c r="KPO80" s="362"/>
      <c r="KPP80" s="362"/>
      <c r="KPQ80" s="362"/>
      <c r="KPR80" s="362"/>
      <c r="KPS80" s="362"/>
      <c r="KPT80" s="362"/>
      <c r="KPU80" s="362"/>
      <c r="KPV80" s="362"/>
      <c r="KPW80" s="362"/>
      <c r="KPX80" s="362"/>
      <c r="KPY80" s="362"/>
      <c r="KPZ80" s="362"/>
      <c r="KQA80" s="362"/>
      <c r="KQB80" s="362"/>
      <c r="KQC80" s="362"/>
      <c r="KQD80" s="362"/>
      <c r="KQE80" s="362"/>
      <c r="KQF80" s="362"/>
      <c r="KQG80" s="362"/>
      <c r="KQH80" s="362"/>
      <c r="KQI80" s="362"/>
      <c r="KQJ80" s="362"/>
      <c r="KQK80" s="362"/>
      <c r="KQL80" s="362"/>
      <c r="KQM80" s="362"/>
      <c r="KQN80" s="362"/>
      <c r="KQO80" s="362"/>
      <c r="KQP80" s="362"/>
      <c r="KQQ80" s="362"/>
      <c r="KQR80" s="362"/>
      <c r="KQS80" s="362"/>
      <c r="KQT80" s="362"/>
      <c r="KQU80" s="362"/>
      <c r="KQV80" s="362"/>
      <c r="KQW80" s="362"/>
      <c r="KQX80" s="362"/>
      <c r="KQY80" s="362"/>
      <c r="KQZ80" s="362"/>
      <c r="KRA80" s="362"/>
      <c r="KRB80" s="362"/>
      <c r="KRC80" s="362"/>
      <c r="KRD80" s="362"/>
      <c r="KRE80" s="362"/>
      <c r="KRF80" s="362"/>
      <c r="KRG80" s="362"/>
      <c r="KRH80" s="362"/>
      <c r="KRI80" s="362"/>
      <c r="KRJ80" s="362"/>
      <c r="KRK80" s="362"/>
      <c r="KRL80" s="362"/>
      <c r="KRM80" s="362"/>
      <c r="KRN80" s="362"/>
      <c r="KRO80" s="362"/>
      <c r="KRP80" s="362"/>
      <c r="KRQ80" s="362"/>
      <c r="KRR80" s="362"/>
      <c r="KRS80" s="362"/>
      <c r="KRT80" s="362"/>
      <c r="KRU80" s="362"/>
      <c r="KRV80" s="362"/>
      <c r="KRW80" s="362"/>
      <c r="KRX80" s="362"/>
      <c r="KRY80" s="362"/>
      <c r="KRZ80" s="362"/>
      <c r="KSA80" s="362"/>
      <c r="KSB80" s="362"/>
      <c r="KSC80" s="362"/>
      <c r="KSD80" s="362"/>
      <c r="KSE80" s="362"/>
      <c r="KSF80" s="362"/>
      <c r="KSG80" s="362"/>
      <c r="KSH80" s="362"/>
      <c r="KSI80" s="362"/>
      <c r="KSJ80" s="362"/>
      <c r="KSK80" s="362"/>
      <c r="KSL80" s="362"/>
      <c r="KSM80" s="362"/>
      <c r="KSN80" s="362"/>
      <c r="KSO80" s="362"/>
      <c r="KSP80" s="362"/>
      <c r="KSQ80" s="362"/>
      <c r="KSR80" s="362"/>
      <c r="KSS80" s="362"/>
      <c r="KST80" s="362"/>
      <c r="KSU80" s="362"/>
      <c r="KSV80" s="362"/>
      <c r="KSW80" s="362"/>
      <c r="KSX80" s="362"/>
      <c r="KSY80" s="362"/>
      <c r="KSZ80" s="362"/>
      <c r="KTA80" s="362"/>
      <c r="KTB80" s="362"/>
      <c r="KTC80" s="362"/>
      <c r="KTD80" s="362"/>
      <c r="KTE80" s="362"/>
      <c r="KTF80" s="362"/>
      <c r="KTG80" s="362"/>
      <c r="KTH80" s="362"/>
      <c r="KTI80" s="362"/>
      <c r="KTJ80" s="362"/>
      <c r="KTK80" s="362"/>
      <c r="KTL80" s="362"/>
      <c r="KTM80" s="362"/>
      <c r="KTN80" s="362"/>
      <c r="KTO80" s="362"/>
      <c r="KTP80" s="362"/>
      <c r="KTQ80" s="362"/>
      <c r="KTR80" s="362"/>
      <c r="KTS80" s="362"/>
      <c r="KTT80" s="362"/>
      <c r="KTU80" s="362"/>
      <c r="KTV80" s="362"/>
      <c r="KTW80" s="362"/>
      <c r="KTX80" s="362"/>
      <c r="KTY80" s="362"/>
      <c r="KTZ80" s="362"/>
      <c r="KUA80" s="362"/>
      <c r="KUB80" s="362"/>
      <c r="KUC80" s="362"/>
      <c r="KUD80" s="362"/>
      <c r="KUE80" s="362"/>
      <c r="KUF80" s="362"/>
      <c r="KUG80" s="362"/>
      <c r="KUH80" s="362"/>
      <c r="KUI80" s="362"/>
      <c r="KUJ80" s="362"/>
      <c r="KUK80" s="362"/>
      <c r="KUL80" s="362"/>
      <c r="KUM80" s="362"/>
      <c r="KUN80" s="362"/>
      <c r="KUO80" s="362"/>
      <c r="KUP80" s="362"/>
      <c r="KUQ80" s="362"/>
      <c r="KUR80" s="362"/>
      <c r="KUS80" s="362"/>
      <c r="KUT80" s="362"/>
      <c r="KUU80" s="362"/>
      <c r="KUV80" s="362"/>
      <c r="KUW80" s="362"/>
      <c r="KUX80" s="362"/>
      <c r="KUY80" s="362"/>
      <c r="KUZ80" s="362"/>
      <c r="KVA80" s="362"/>
      <c r="KVB80" s="362"/>
      <c r="KVC80" s="362"/>
      <c r="KVD80" s="362"/>
      <c r="KVE80" s="362"/>
      <c r="KVF80" s="362"/>
      <c r="KVG80" s="362"/>
      <c r="KVH80" s="362"/>
      <c r="KVI80" s="362"/>
      <c r="KVJ80" s="362"/>
      <c r="KVK80" s="362"/>
      <c r="KVL80" s="362"/>
      <c r="KVM80" s="362"/>
      <c r="KVN80" s="362"/>
      <c r="KVO80" s="362"/>
      <c r="KVP80" s="362"/>
      <c r="KVQ80" s="362"/>
      <c r="KVR80" s="362"/>
      <c r="KVS80" s="362"/>
      <c r="KVT80" s="362"/>
      <c r="KVU80" s="362"/>
      <c r="KVV80" s="362"/>
      <c r="KVW80" s="362"/>
      <c r="KVX80" s="362"/>
      <c r="KVY80" s="362"/>
      <c r="KVZ80" s="362"/>
      <c r="KWA80" s="362"/>
      <c r="KWB80" s="362"/>
      <c r="KWC80" s="362"/>
      <c r="KWD80" s="362"/>
      <c r="KWE80" s="362"/>
      <c r="KWF80" s="362"/>
      <c r="KWG80" s="362"/>
      <c r="KWH80" s="362"/>
      <c r="KWI80" s="362"/>
      <c r="KWJ80" s="362"/>
      <c r="KWK80" s="362"/>
      <c r="KWL80" s="362"/>
      <c r="KWM80" s="362"/>
      <c r="KWN80" s="362"/>
      <c r="KWO80" s="362"/>
      <c r="KWP80" s="362"/>
      <c r="KWQ80" s="362"/>
      <c r="KWR80" s="362"/>
      <c r="KWS80" s="362"/>
      <c r="KWT80" s="362"/>
      <c r="KWU80" s="362"/>
      <c r="KWV80" s="362"/>
      <c r="KWW80" s="362"/>
      <c r="KWX80" s="362"/>
      <c r="KWY80" s="362"/>
      <c r="KWZ80" s="362"/>
      <c r="KXA80" s="362"/>
      <c r="KXB80" s="362"/>
      <c r="KXC80" s="362"/>
      <c r="KXD80" s="362"/>
      <c r="KXE80" s="362"/>
      <c r="KXF80" s="362"/>
      <c r="KXG80" s="362"/>
      <c r="KXH80" s="362"/>
      <c r="KXI80" s="362"/>
      <c r="KXJ80" s="362"/>
      <c r="KXK80" s="362"/>
      <c r="KXL80" s="362"/>
      <c r="KXM80" s="362"/>
      <c r="KXN80" s="362"/>
      <c r="KXO80" s="362"/>
      <c r="KXP80" s="362"/>
      <c r="KXQ80" s="362"/>
      <c r="KXR80" s="362"/>
      <c r="KXS80" s="362"/>
      <c r="KXT80" s="362"/>
      <c r="KXU80" s="362"/>
      <c r="KXV80" s="362"/>
      <c r="KXW80" s="362"/>
      <c r="KXX80" s="362"/>
      <c r="KXY80" s="362"/>
      <c r="KXZ80" s="362"/>
      <c r="KYA80" s="362"/>
      <c r="KYB80" s="362"/>
      <c r="KYC80" s="362"/>
      <c r="KYD80" s="362"/>
      <c r="KYE80" s="362"/>
      <c r="KYF80" s="362"/>
      <c r="KYG80" s="362"/>
      <c r="KYH80" s="362"/>
      <c r="KYI80" s="362"/>
      <c r="KYJ80" s="362"/>
      <c r="KYK80" s="362"/>
      <c r="KYL80" s="362"/>
      <c r="KYM80" s="362"/>
      <c r="KYN80" s="362"/>
      <c r="KYO80" s="362"/>
      <c r="KYP80" s="362"/>
      <c r="KYQ80" s="362"/>
      <c r="KYR80" s="362"/>
      <c r="KYS80" s="362"/>
      <c r="KYT80" s="362"/>
      <c r="KYU80" s="362"/>
      <c r="KYV80" s="362"/>
      <c r="KYW80" s="362"/>
      <c r="KYX80" s="362"/>
      <c r="KYY80" s="362"/>
      <c r="KYZ80" s="362"/>
      <c r="KZA80" s="362"/>
      <c r="KZB80" s="362"/>
      <c r="KZC80" s="362"/>
      <c r="KZD80" s="362"/>
      <c r="KZE80" s="362"/>
      <c r="KZF80" s="362"/>
      <c r="KZG80" s="362"/>
      <c r="KZH80" s="362"/>
      <c r="KZI80" s="362"/>
      <c r="KZJ80" s="362"/>
      <c r="KZK80" s="362"/>
      <c r="KZL80" s="362"/>
      <c r="KZM80" s="362"/>
      <c r="KZN80" s="362"/>
      <c r="KZO80" s="362"/>
      <c r="KZP80" s="362"/>
      <c r="KZQ80" s="362"/>
      <c r="KZR80" s="362"/>
      <c r="KZS80" s="362"/>
      <c r="KZT80" s="362"/>
      <c r="KZU80" s="362"/>
      <c r="KZV80" s="362"/>
      <c r="KZW80" s="362"/>
      <c r="KZX80" s="362"/>
      <c r="KZY80" s="362"/>
      <c r="KZZ80" s="362"/>
      <c r="LAA80" s="362"/>
      <c r="LAB80" s="362"/>
      <c r="LAC80" s="362"/>
      <c r="LAD80" s="362"/>
      <c r="LAE80" s="362"/>
      <c r="LAF80" s="362"/>
      <c r="LAG80" s="362"/>
      <c r="LAH80" s="362"/>
      <c r="LAI80" s="362"/>
      <c r="LAJ80" s="362"/>
      <c r="LAK80" s="362"/>
      <c r="LAL80" s="362"/>
      <c r="LAM80" s="362"/>
      <c r="LAN80" s="362"/>
      <c r="LAO80" s="362"/>
      <c r="LAP80" s="362"/>
      <c r="LAQ80" s="362"/>
      <c r="LAR80" s="362"/>
      <c r="LAS80" s="362"/>
      <c r="LAT80" s="362"/>
      <c r="LAU80" s="362"/>
      <c r="LAV80" s="362"/>
      <c r="LAW80" s="362"/>
      <c r="LAX80" s="362"/>
      <c r="LAY80" s="362"/>
      <c r="LAZ80" s="362"/>
      <c r="LBA80" s="362"/>
      <c r="LBB80" s="362"/>
      <c r="LBC80" s="362"/>
      <c r="LBD80" s="362"/>
      <c r="LBE80" s="362"/>
      <c r="LBF80" s="362"/>
      <c r="LBG80" s="362"/>
      <c r="LBH80" s="362"/>
      <c r="LBI80" s="362"/>
      <c r="LBJ80" s="362"/>
      <c r="LBK80" s="362"/>
      <c r="LBL80" s="362"/>
      <c r="LBM80" s="362"/>
      <c r="LBN80" s="362"/>
      <c r="LBO80" s="362"/>
      <c r="LBP80" s="362"/>
      <c r="LBQ80" s="362"/>
      <c r="LBR80" s="362"/>
      <c r="LBS80" s="362"/>
      <c r="LBT80" s="362"/>
      <c r="LBU80" s="362"/>
      <c r="LBV80" s="362"/>
      <c r="LBW80" s="362"/>
      <c r="LBX80" s="362"/>
      <c r="LBY80" s="362"/>
      <c r="LBZ80" s="362"/>
      <c r="LCA80" s="362"/>
      <c r="LCB80" s="362"/>
      <c r="LCC80" s="362"/>
      <c r="LCD80" s="362"/>
      <c r="LCE80" s="362"/>
      <c r="LCF80" s="362"/>
      <c r="LCG80" s="362"/>
      <c r="LCH80" s="362"/>
      <c r="LCI80" s="362"/>
      <c r="LCJ80" s="362"/>
      <c r="LCK80" s="362"/>
      <c r="LCL80" s="362"/>
      <c r="LCM80" s="362"/>
      <c r="LCN80" s="362"/>
      <c r="LCO80" s="362"/>
      <c r="LCP80" s="362"/>
      <c r="LCQ80" s="362"/>
      <c r="LCR80" s="362"/>
      <c r="LCS80" s="362"/>
      <c r="LCT80" s="362"/>
      <c r="LCU80" s="362"/>
      <c r="LCV80" s="362"/>
      <c r="LCW80" s="362"/>
      <c r="LCX80" s="362"/>
      <c r="LCY80" s="362"/>
      <c r="LCZ80" s="362"/>
      <c r="LDA80" s="362"/>
      <c r="LDB80" s="362"/>
      <c r="LDC80" s="362"/>
      <c r="LDD80" s="362"/>
      <c r="LDE80" s="362"/>
      <c r="LDF80" s="362"/>
      <c r="LDG80" s="362"/>
      <c r="LDH80" s="362"/>
      <c r="LDI80" s="362"/>
      <c r="LDJ80" s="362"/>
      <c r="LDK80" s="362"/>
      <c r="LDL80" s="362"/>
      <c r="LDM80" s="362"/>
      <c r="LDN80" s="362"/>
      <c r="LDO80" s="362"/>
      <c r="LDP80" s="362"/>
      <c r="LDQ80" s="362"/>
      <c r="LDR80" s="362"/>
      <c r="LDS80" s="362"/>
      <c r="LDT80" s="362"/>
      <c r="LDU80" s="362"/>
      <c r="LDV80" s="362"/>
      <c r="LDW80" s="362"/>
      <c r="LDX80" s="362"/>
      <c r="LDY80" s="362"/>
      <c r="LDZ80" s="362"/>
      <c r="LEA80" s="362"/>
      <c r="LEB80" s="362"/>
      <c r="LEC80" s="362"/>
      <c r="LED80" s="362"/>
      <c r="LEE80" s="362"/>
      <c r="LEF80" s="362"/>
      <c r="LEG80" s="362"/>
      <c r="LEH80" s="362"/>
      <c r="LEI80" s="362"/>
      <c r="LEJ80" s="362"/>
      <c r="LEK80" s="362"/>
      <c r="LEL80" s="362"/>
      <c r="LEM80" s="362"/>
      <c r="LEN80" s="362"/>
      <c r="LEO80" s="362"/>
      <c r="LEP80" s="362"/>
      <c r="LEQ80" s="362"/>
      <c r="LER80" s="362"/>
      <c r="LES80" s="362"/>
      <c r="LET80" s="362"/>
      <c r="LEU80" s="362"/>
      <c r="LEV80" s="362"/>
      <c r="LEW80" s="362"/>
      <c r="LEX80" s="362"/>
      <c r="LEY80" s="362"/>
      <c r="LEZ80" s="362"/>
      <c r="LFA80" s="362"/>
      <c r="LFB80" s="362"/>
      <c r="LFC80" s="362"/>
      <c r="LFD80" s="362"/>
      <c r="LFE80" s="362"/>
      <c r="LFF80" s="362"/>
      <c r="LFG80" s="362"/>
      <c r="LFH80" s="362"/>
      <c r="LFI80" s="362"/>
      <c r="LFJ80" s="362"/>
      <c r="LFK80" s="362"/>
      <c r="LFL80" s="362"/>
      <c r="LFM80" s="362"/>
      <c r="LFN80" s="362"/>
      <c r="LFO80" s="362"/>
      <c r="LFP80" s="362"/>
      <c r="LFQ80" s="362"/>
      <c r="LFR80" s="362"/>
      <c r="LFS80" s="362"/>
      <c r="LFT80" s="362"/>
      <c r="LFU80" s="362"/>
      <c r="LFV80" s="362"/>
      <c r="LFW80" s="362"/>
      <c r="LFX80" s="362"/>
      <c r="LFY80" s="362"/>
      <c r="LFZ80" s="362"/>
      <c r="LGA80" s="362"/>
      <c r="LGB80" s="362"/>
      <c r="LGC80" s="362"/>
      <c r="LGD80" s="362"/>
      <c r="LGE80" s="362"/>
      <c r="LGF80" s="362"/>
      <c r="LGG80" s="362"/>
      <c r="LGH80" s="362"/>
      <c r="LGI80" s="362"/>
      <c r="LGJ80" s="362"/>
      <c r="LGK80" s="362"/>
      <c r="LGL80" s="362"/>
      <c r="LGM80" s="362"/>
      <c r="LGN80" s="362"/>
      <c r="LGO80" s="362"/>
      <c r="LGP80" s="362"/>
      <c r="LGQ80" s="362"/>
      <c r="LGR80" s="362"/>
      <c r="LGS80" s="362"/>
      <c r="LGT80" s="362"/>
      <c r="LGU80" s="362"/>
      <c r="LGV80" s="362"/>
      <c r="LGW80" s="362"/>
      <c r="LGX80" s="362"/>
      <c r="LGY80" s="362"/>
      <c r="LGZ80" s="362"/>
      <c r="LHA80" s="362"/>
      <c r="LHB80" s="362"/>
      <c r="LHC80" s="362"/>
      <c r="LHD80" s="362"/>
      <c r="LHE80" s="362"/>
      <c r="LHF80" s="362"/>
      <c r="LHG80" s="362"/>
      <c r="LHH80" s="362"/>
      <c r="LHI80" s="362"/>
      <c r="LHJ80" s="362"/>
      <c r="LHK80" s="362"/>
      <c r="LHL80" s="362"/>
      <c r="LHM80" s="362"/>
      <c r="LHN80" s="362"/>
      <c r="LHO80" s="362"/>
      <c r="LHP80" s="362"/>
      <c r="LHQ80" s="362"/>
      <c r="LHR80" s="362"/>
      <c r="LHS80" s="362"/>
      <c r="LHT80" s="362"/>
      <c r="LHU80" s="362"/>
      <c r="LHV80" s="362"/>
      <c r="LHW80" s="362"/>
      <c r="LHX80" s="362"/>
      <c r="LHY80" s="362"/>
      <c r="LHZ80" s="362"/>
      <c r="LIA80" s="362"/>
      <c r="LIB80" s="362"/>
      <c r="LIC80" s="362"/>
      <c r="LID80" s="362"/>
      <c r="LIE80" s="362"/>
      <c r="LIF80" s="362"/>
      <c r="LIG80" s="362"/>
      <c r="LIH80" s="362"/>
      <c r="LII80" s="362"/>
      <c r="LIJ80" s="362"/>
      <c r="LIK80" s="362"/>
      <c r="LIL80" s="362"/>
      <c r="LIM80" s="362"/>
      <c r="LIN80" s="362"/>
      <c r="LIO80" s="362"/>
      <c r="LIP80" s="362"/>
      <c r="LIQ80" s="362"/>
      <c r="LIR80" s="362"/>
      <c r="LIS80" s="362"/>
      <c r="LIT80" s="362"/>
      <c r="LIU80" s="362"/>
      <c r="LIV80" s="362"/>
      <c r="LIW80" s="362"/>
      <c r="LIX80" s="362"/>
      <c r="LIY80" s="362"/>
      <c r="LIZ80" s="362"/>
      <c r="LJA80" s="362"/>
      <c r="LJB80" s="362"/>
      <c r="LJC80" s="362"/>
      <c r="LJD80" s="362"/>
      <c r="LJE80" s="362"/>
      <c r="LJF80" s="362"/>
      <c r="LJG80" s="362"/>
      <c r="LJH80" s="362"/>
      <c r="LJI80" s="362"/>
      <c r="LJJ80" s="362"/>
      <c r="LJK80" s="362"/>
      <c r="LJL80" s="362"/>
      <c r="LJM80" s="362"/>
      <c r="LJN80" s="362"/>
      <c r="LJO80" s="362"/>
      <c r="LJP80" s="362"/>
      <c r="LJQ80" s="362"/>
      <c r="LJR80" s="362"/>
      <c r="LJS80" s="362"/>
      <c r="LJT80" s="362"/>
      <c r="LJU80" s="362"/>
      <c r="LJV80" s="362"/>
      <c r="LJW80" s="362"/>
      <c r="LJX80" s="362"/>
      <c r="LJY80" s="362"/>
      <c r="LJZ80" s="362"/>
      <c r="LKA80" s="362"/>
      <c r="LKB80" s="362"/>
      <c r="LKC80" s="362"/>
      <c r="LKD80" s="362"/>
      <c r="LKE80" s="362"/>
      <c r="LKF80" s="362"/>
      <c r="LKG80" s="362"/>
      <c r="LKH80" s="362"/>
      <c r="LKI80" s="362"/>
      <c r="LKJ80" s="362"/>
      <c r="LKK80" s="362"/>
      <c r="LKL80" s="362"/>
      <c r="LKM80" s="362"/>
      <c r="LKN80" s="362"/>
      <c r="LKO80" s="362"/>
      <c r="LKP80" s="362"/>
      <c r="LKQ80" s="362"/>
      <c r="LKR80" s="362"/>
      <c r="LKS80" s="362"/>
      <c r="LKT80" s="362"/>
      <c r="LKU80" s="362"/>
      <c r="LKV80" s="362"/>
      <c r="LKW80" s="362"/>
      <c r="LKX80" s="362"/>
      <c r="LKY80" s="362"/>
      <c r="LKZ80" s="362"/>
      <c r="LLA80" s="362"/>
      <c r="LLB80" s="362"/>
      <c r="LLC80" s="362"/>
      <c r="LLD80" s="362"/>
      <c r="LLE80" s="362"/>
      <c r="LLF80" s="362"/>
      <c r="LLG80" s="362"/>
      <c r="LLH80" s="362"/>
      <c r="LLI80" s="362"/>
      <c r="LLJ80" s="362"/>
      <c r="LLK80" s="362"/>
      <c r="LLL80" s="362"/>
      <c r="LLM80" s="362"/>
      <c r="LLN80" s="362"/>
      <c r="LLO80" s="362"/>
      <c r="LLP80" s="362"/>
      <c r="LLQ80" s="362"/>
      <c r="LLR80" s="362"/>
      <c r="LLS80" s="362"/>
      <c r="LLT80" s="362"/>
      <c r="LLU80" s="362"/>
      <c r="LLV80" s="362"/>
      <c r="LLW80" s="362"/>
      <c r="LLX80" s="362"/>
      <c r="LLY80" s="362"/>
      <c r="LLZ80" s="362"/>
      <c r="LMA80" s="362"/>
      <c r="LMB80" s="362"/>
      <c r="LMC80" s="362"/>
      <c r="LMD80" s="362"/>
      <c r="LME80" s="362"/>
      <c r="LMF80" s="362"/>
      <c r="LMG80" s="362"/>
      <c r="LMH80" s="362"/>
      <c r="LMI80" s="362"/>
      <c r="LMJ80" s="362"/>
      <c r="LMK80" s="362"/>
      <c r="LML80" s="362"/>
      <c r="LMM80" s="362"/>
      <c r="LMN80" s="362"/>
      <c r="LMO80" s="362"/>
      <c r="LMP80" s="362"/>
      <c r="LMQ80" s="362"/>
      <c r="LMR80" s="362"/>
      <c r="LMS80" s="362"/>
      <c r="LMT80" s="362"/>
      <c r="LMU80" s="362"/>
      <c r="LMV80" s="362"/>
      <c r="LMW80" s="362"/>
      <c r="LMX80" s="362"/>
      <c r="LMY80" s="362"/>
      <c r="LMZ80" s="362"/>
      <c r="LNA80" s="362"/>
      <c r="LNB80" s="362"/>
      <c r="LNC80" s="362"/>
      <c r="LND80" s="362"/>
      <c r="LNE80" s="362"/>
      <c r="LNF80" s="362"/>
      <c r="LNG80" s="362"/>
      <c r="LNH80" s="362"/>
      <c r="LNI80" s="362"/>
      <c r="LNJ80" s="362"/>
      <c r="LNK80" s="362"/>
      <c r="LNL80" s="362"/>
      <c r="LNM80" s="362"/>
      <c r="LNN80" s="362"/>
      <c r="LNO80" s="362"/>
      <c r="LNP80" s="362"/>
      <c r="LNQ80" s="362"/>
      <c r="LNR80" s="362"/>
      <c r="LNS80" s="362"/>
      <c r="LNT80" s="362"/>
      <c r="LNU80" s="362"/>
      <c r="LNV80" s="362"/>
      <c r="LNW80" s="362"/>
      <c r="LNX80" s="362"/>
      <c r="LNY80" s="362"/>
      <c r="LNZ80" s="362"/>
      <c r="LOA80" s="362"/>
      <c r="LOB80" s="362"/>
      <c r="LOC80" s="362"/>
      <c r="LOD80" s="362"/>
      <c r="LOE80" s="362"/>
      <c r="LOF80" s="362"/>
      <c r="LOG80" s="362"/>
      <c r="LOH80" s="362"/>
      <c r="LOI80" s="362"/>
      <c r="LOJ80" s="362"/>
      <c r="LOK80" s="362"/>
      <c r="LOL80" s="362"/>
      <c r="LOM80" s="362"/>
      <c r="LON80" s="362"/>
      <c r="LOO80" s="362"/>
      <c r="LOP80" s="362"/>
      <c r="LOQ80" s="362"/>
      <c r="LOR80" s="362"/>
      <c r="LOS80" s="362"/>
      <c r="LOT80" s="362"/>
      <c r="LOU80" s="362"/>
      <c r="LOV80" s="362"/>
      <c r="LOW80" s="362"/>
      <c r="LOX80" s="362"/>
      <c r="LOY80" s="362"/>
      <c r="LOZ80" s="362"/>
      <c r="LPA80" s="362"/>
      <c r="LPB80" s="362"/>
      <c r="LPC80" s="362"/>
      <c r="LPD80" s="362"/>
      <c r="LPE80" s="362"/>
      <c r="LPF80" s="362"/>
      <c r="LPG80" s="362"/>
      <c r="LPH80" s="362"/>
      <c r="LPI80" s="362"/>
      <c r="LPJ80" s="362"/>
      <c r="LPK80" s="362"/>
      <c r="LPL80" s="362"/>
      <c r="LPM80" s="362"/>
      <c r="LPN80" s="362"/>
      <c r="LPO80" s="362"/>
      <c r="LPP80" s="362"/>
      <c r="LPQ80" s="362"/>
      <c r="LPR80" s="362"/>
      <c r="LPS80" s="362"/>
      <c r="LPT80" s="362"/>
      <c r="LPU80" s="362"/>
      <c r="LPV80" s="362"/>
      <c r="LPW80" s="362"/>
      <c r="LPX80" s="362"/>
      <c r="LPY80" s="362"/>
      <c r="LPZ80" s="362"/>
      <c r="LQA80" s="362"/>
      <c r="LQB80" s="362"/>
      <c r="LQC80" s="362"/>
      <c r="LQD80" s="362"/>
      <c r="LQE80" s="362"/>
      <c r="LQF80" s="362"/>
      <c r="LQG80" s="362"/>
      <c r="LQH80" s="362"/>
      <c r="LQI80" s="362"/>
      <c r="LQJ80" s="362"/>
      <c r="LQK80" s="362"/>
      <c r="LQL80" s="362"/>
      <c r="LQM80" s="362"/>
      <c r="LQN80" s="362"/>
      <c r="LQO80" s="362"/>
      <c r="LQP80" s="362"/>
      <c r="LQQ80" s="362"/>
      <c r="LQR80" s="362"/>
      <c r="LQS80" s="362"/>
      <c r="LQT80" s="362"/>
      <c r="LQU80" s="362"/>
      <c r="LQV80" s="362"/>
      <c r="LQW80" s="362"/>
      <c r="LQX80" s="362"/>
      <c r="LQY80" s="362"/>
      <c r="LQZ80" s="362"/>
      <c r="LRA80" s="362"/>
      <c r="LRB80" s="362"/>
      <c r="LRC80" s="362"/>
      <c r="LRD80" s="362"/>
      <c r="LRE80" s="362"/>
      <c r="LRF80" s="362"/>
      <c r="LRG80" s="362"/>
      <c r="LRH80" s="362"/>
      <c r="LRI80" s="362"/>
      <c r="LRJ80" s="362"/>
      <c r="LRK80" s="362"/>
      <c r="LRL80" s="362"/>
      <c r="LRM80" s="362"/>
      <c r="LRN80" s="362"/>
      <c r="LRO80" s="362"/>
      <c r="LRP80" s="362"/>
      <c r="LRQ80" s="362"/>
      <c r="LRR80" s="362"/>
      <c r="LRS80" s="362"/>
      <c r="LRT80" s="362"/>
      <c r="LRU80" s="362"/>
      <c r="LRV80" s="362"/>
      <c r="LRW80" s="362"/>
      <c r="LRX80" s="362"/>
      <c r="LRY80" s="362"/>
      <c r="LRZ80" s="362"/>
      <c r="LSA80" s="362"/>
      <c r="LSB80" s="362"/>
      <c r="LSC80" s="362"/>
      <c r="LSD80" s="362"/>
      <c r="LSE80" s="362"/>
      <c r="LSF80" s="362"/>
      <c r="LSG80" s="362"/>
      <c r="LSH80" s="362"/>
      <c r="LSI80" s="362"/>
      <c r="LSJ80" s="362"/>
      <c r="LSK80" s="362"/>
      <c r="LSL80" s="362"/>
      <c r="LSM80" s="362"/>
      <c r="LSN80" s="362"/>
      <c r="LSO80" s="362"/>
      <c r="LSP80" s="362"/>
      <c r="LSQ80" s="362"/>
      <c r="LSR80" s="362"/>
      <c r="LSS80" s="362"/>
      <c r="LST80" s="362"/>
      <c r="LSU80" s="362"/>
      <c r="LSV80" s="362"/>
      <c r="LSW80" s="362"/>
      <c r="LSX80" s="362"/>
      <c r="LSY80" s="362"/>
      <c r="LSZ80" s="362"/>
      <c r="LTA80" s="362"/>
      <c r="LTB80" s="362"/>
      <c r="LTC80" s="362"/>
      <c r="LTD80" s="362"/>
      <c r="LTE80" s="362"/>
      <c r="LTF80" s="362"/>
      <c r="LTG80" s="362"/>
      <c r="LTH80" s="362"/>
      <c r="LTI80" s="362"/>
      <c r="LTJ80" s="362"/>
      <c r="LTK80" s="362"/>
      <c r="LTL80" s="362"/>
      <c r="LTM80" s="362"/>
      <c r="LTN80" s="362"/>
      <c r="LTO80" s="362"/>
      <c r="LTP80" s="362"/>
      <c r="LTQ80" s="362"/>
      <c r="LTR80" s="362"/>
      <c r="LTS80" s="362"/>
      <c r="LTT80" s="362"/>
      <c r="LTU80" s="362"/>
      <c r="LTV80" s="362"/>
      <c r="LTW80" s="362"/>
      <c r="LTX80" s="362"/>
      <c r="LTY80" s="362"/>
      <c r="LTZ80" s="362"/>
      <c r="LUA80" s="362"/>
      <c r="LUB80" s="362"/>
      <c r="LUC80" s="362"/>
      <c r="LUD80" s="362"/>
      <c r="LUE80" s="362"/>
      <c r="LUF80" s="362"/>
      <c r="LUG80" s="362"/>
      <c r="LUH80" s="362"/>
      <c r="LUI80" s="362"/>
      <c r="LUJ80" s="362"/>
      <c r="LUK80" s="362"/>
      <c r="LUL80" s="362"/>
      <c r="LUM80" s="362"/>
      <c r="LUN80" s="362"/>
      <c r="LUO80" s="362"/>
      <c r="LUP80" s="362"/>
      <c r="LUQ80" s="362"/>
      <c r="LUR80" s="362"/>
      <c r="LUS80" s="362"/>
      <c r="LUT80" s="362"/>
      <c r="LUU80" s="362"/>
      <c r="LUV80" s="362"/>
      <c r="LUW80" s="362"/>
      <c r="LUX80" s="362"/>
      <c r="LUY80" s="362"/>
      <c r="LUZ80" s="362"/>
      <c r="LVA80" s="362"/>
      <c r="LVB80" s="362"/>
      <c r="LVC80" s="362"/>
      <c r="LVD80" s="362"/>
      <c r="LVE80" s="362"/>
      <c r="LVF80" s="362"/>
      <c r="LVG80" s="362"/>
      <c r="LVH80" s="362"/>
      <c r="LVI80" s="362"/>
      <c r="LVJ80" s="362"/>
      <c r="LVK80" s="362"/>
      <c r="LVL80" s="362"/>
      <c r="LVM80" s="362"/>
      <c r="LVN80" s="362"/>
      <c r="LVO80" s="362"/>
      <c r="LVP80" s="362"/>
      <c r="LVQ80" s="362"/>
      <c r="LVR80" s="362"/>
      <c r="LVS80" s="362"/>
      <c r="LVT80" s="362"/>
      <c r="LVU80" s="362"/>
      <c r="LVV80" s="362"/>
      <c r="LVW80" s="362"/>
      <c r="LVX80" s="362"/>
      <c r="LVY80" s="362"/>
      <c r="LVZ80" s="362"/>
      <c r="LWA80" s="362"/>
      <c r="LWB80" s="362"/>
      <c r="LWC80" s="362"/>
      <c r="LWD80" s="362"/>
      <c r="LWE80" s="362"/>
      <c r="LWF80" s="362"/>
      <c r="LWG80" s="362"/>
      <c r="LWH80" s="362"/>
      <c r="LWI80" s="362"/>
      <c r="LWJ80" s="362"/>
      <c r="LWK80" s="362"/>
      <c r="LWL80" s="362"/>
      <c r="LWM80" s="362"/>
      <c r="LWN80" s="362"/>
      <c r="LWO80" s="362"/>
      <c r="LWP80" s="362"/>
      <c r="LWQ80" s="362"/>
      <c r="LWR80" s="362"/>
      <c r="LWS80" s="362"/>
      <c r="LWT80" s="362"/>
      <c r="LWU80" s="362"/>
      <c r="LWV80" s="362"/>
      <c r="LWW80" s="362"/>
      <c r="LWX80" s="362"/>
      <c r="LWY80" s="362"/>
      <c r="LWZ80" s="362"/>
      <c r="LXA80" s="362"/>
      <c r="LXB80" s="362"/>
      <c r="LXC80" s="362"/>
      <c r="LXD80" s="362"/>
      <c r="LXE80" s="362"/>
      <c r="LXF80" s="362"/>
      <c r="LXG80" s="362"/>
      <c r="LXH80" s="362"/>
      <c r="LXI80" s="362"/>
      <c r="LXJ80" s="362"/>
      <c r="LXK80" s="362"/>
      <c r="LXL80" s="362"/>
      <c r="LXM80" s="362"/>
      <c r="LXN80" s="362"/>
      <c r="LXO80" s="362"/>
      <c r="LXP80" s="362"/>
      <c r="LXQ80" s="362"/>
      <c r="LXR80" s="362"/>
      <c r="LXS80" s="362"/>
      <c r="LXT80" s="362"/>
      <c r="LXU80" s="362"/>
      <c r="LXV80" s="362"/>
      <c r="LXW80" s="362"/>
      <c r="LXX80" s="362"/>
      <c r="LXY80" s="362"/>
      <c r="LXZ80" s="362"/>
      <c r="LYA80" s="362"/>
      <c r="LYB80" s="362"/>
      <c r="LYC80" s="362"/>
      <c r="LYD80" s="362"/>
      <c r="LYE80" s="362"/>
      <c r="LYF80" s="362"/>
      <c r="LYG80" s="362"/>
      <c r="LYH80" s="362"/>
      <c r="LYI80" s="362"/>
      <c r="LYJ80" s="362"/>
      <c r="LYK80" s="362"/>
      <c r="LYL80" s="362"/>
      <c r="LYM80" s="362"/>
      <c r="LYN80" s="362"/>
      <c r="LYO80" s="362"/>
      <c r="LYP80" s="362"/>
      <c r="LYQ80" s="362"/>
      <c r="LYR80" s="362"/>
      <c r="LYS80" s="362"/>
      <c r="LYT80" s="362"/>
      <c r="LYU80" s="362"/>
      <c r="LYV80" s="362"/>
      <c r="LYW80" s="362"/>
      <c r="LYX80" s="362"/>
      <c r="LYY80" s="362"/>
      <c r="LYZ80" s="362"/>
      <c r="LZA80" s="362"/>
      <c r="LZB80" s="362"/>
      <c r="LZC80" s="362"/>
      <c r="LZD80" s="362"/>
      <c r="LZE80" s="362"/>
      <c r="LZF80" s="362"/>
      <c r="LZG80" s="362"/>
      <c r="LZH80" s="362"/>
      <c r="LZI80" s="362"/>
      <c r="LZJ80" s="362"/>
      <c r="LZK80" s="362"/>
      <c r="LZL80" s="362"/>
      <c r="LZM80" s="362"/>
      <c r="LZN80" s="362"/>
      <c r="LZO80" s="362"/>
      <c r="LZP80" s="362"/>
      <c r="LZQ80" s="362"/>
      <c r="LZR80" s="362"/>
      <c r="LZS80" s="362"/>
      <c r="LZT80" s="362"/>
      <c r="LZU80" s="362"/>
      <c r="LZV80" s="362"/>
      <c r="LZW80" s="362"/>
      <c r="LZX80" s="362"/>
      <c r="LZY80" s="362"/>
      <c r="LZZ80" s="362"/>
      <c r="MAA80" s="362"/>
      <c r="MAB80" s="362"/>
      <c r="MAC80" s="362"/>
      <c r="MAD80" s="362"/>
      <c r="MAE80" s="362"/>
      <c r="MAF80" s="362"/>
      <c r="MAG80" s="362"/>
      <c r="MAH80" s="362"/>
      <c r="MAI80" s="362"/>
      <c r="MAJ80" s="362"/>
      <c r="MAK80" s="362"/>
      <c r="MAL80" s="362"/>
      <c r="MAM80" s="362"/>
      <c r="MAN80" s="362"/>
      <c r="MAO80" s="362"/>
      <c r="MAP80" s="362"/>
      <c r="MAQ80" s="362"/>
      <c r="MAR80" s="362"/>
      <c r="MAS80" s="362"/>
      <c r="MAT80" s="362"/>
      <c r="MAU80" s="362"/>
      <c r="MAV80" s="362"/>
      <c r="MAW80" s="362"/>
      <c r="MAX80" s="362"/>
      <c r="MAY80" s="362"/>
      <c r="MAZ80" s="362"/>
      <c r="MBA80" s="362"/>
      <c r="MBB80" s="362"/>
      <c r="MBC80" s="362"/>
      <c r="MBD80" s="362"/>
      <c r="MBE80" s="362"/>
      <c r="MBF80" s="362"/>
      <c r="MBG80" s="362"/>
      <c r="MBH80" s="362"/>
      <c r="MBI80" s="362"/>
      <c r="MBJ80" s="362"/>
      <c r="MBK80" s="362"/>
      <c r="MBL80" s="362"/>
      <c r="MBM80" s="362"/>
      <c r="MBN80" s="362"/>
      <c r="MBO80" s="362"/>
      <c r="MBP80" s="362"/>
      <c r="MBQ80" s="362"/>
      <c r="MBR80" s="362"/>
      <c r="MBS80" s="362"/>
      <c r="MBT80" s="362"/>
      <c r="MBU80" s="362"/>
      <c r="MBV80" s="362"/>
      <c r="MBW80" s="362"/>
      <c r="MBX80" s="362"/>
      <c r="MBY80" s="362"/>
      <c r="MBZ80" s="362"/>
      <c r="MCA80" s="362"/>
      <c r="MCB80" s="362"/>
      <c r="MCC80" s="362"/>
      <c r="MCD80" s="362"/>
      <c r="MCE80" s="362"/>
      <c r="MCF80" s="362"/>
      <c r="MCG80" s="362"/>
      <c r="MCH80" s="362"/>
      <c r="MCI80" s="362"/>
      <c r="MCJ80" s="362"/>
      <c r="MCK80" s="362"/>
      <c r="MCL80" s="362"/>
      <c r="MCM80" s="362"/>
      <c r="MCN80" s="362"/>
      <c r="MCO80" s="362"/>
      <c r="MCP80" s="362"/>
      <c r="MCQ80" s="362"/>
      <c r="MCR80" s="362"/>
      <c r="MCS80" s="362"/>
      <c r="MCT80" s="362"/>
      <c r="MCU80" s="362"/>
      <c r="MCV80" s="362"/>
      <c r="MCW80" s="362"/>
      <c r="MCX80" s="362"/>
      <c r="MCY80" s="362"/>
      <c r="MCZ80" s="362"/>
      <c r="MDA80" s="362"/>
      <c r="MDB80" s="362"/>
      <c r="MDC80" s="362"/>
      <c r="MDD80" s="362"/>
      <c r="MDE80" s="362"/>
      <c r="MDF80" s="362"/>
      <c r="MDG80" s="362"/>
      <c r="MDH80" s="362"/>
      <c r="MDI80" s="362"/>
      <c r="MDJ80" s="362"/>
      <c r="MDK80" s="362"/>
      <c r="MDL80" s="362"/>
      <c r="MDM80" s="362"/>
      <c r="MDN80" s="362"/>
      <c r="MDO80" s="362"/>
      <c r="MDP80" s="362"/>
      <c r="MDQ80" s="362"/>
      <c r="MDR80" s="362"/>
      <c r="MDS80" s="362"/>
      <c r="MDT80" s="362"/>
      <c r="MDU80" s="362"/>
      <c r="MDV80" s="362"/>
      <c r="MDW80" s="362"/>
      <c r="MDX80" s="362"/>
      <c r="MDY80" s="362"/>
      <c r="MDZ80" s="362"/>
      <c r="MEA80" s="362"/>
      <c r="MEB80" s="362"/>
      <c r="MEC80" s="362"/>
      <c r="MED80" s="362"/>
      <c r="MEE80" s="362"/>
      <c r="MEF80" s="362"/>
      <c r="MEG80" s="362"/>
      <c r="MEH80" s="362"/>
      <c r="MEI80" s="362"/>
      <c r="MEJ80" s="362"/>
      <c r="MEK80" s="362"/>
      <c r="MEL80" s="362"/>
      <c r="MEM80" s="362"/>
      <c r="MEN80" s="362"/>
      <c r="MEO80" s="362"/>
      <c r="MEP80" s="362"/>
      <c r="MEQ80" s="362"/>
      <c r="MER80" s="362"/>
      <c r="MES80" s="362"/>
      <c r="MET80" s="362"/>
      <c r="MEU80" s="362"/>
      <c r="MEV80" s="362"/>
      <c r="MEW80" s="362"/>
      <c r="MEX80" s="362"/>
      <c r="MEY80" s="362"/>
      <c r="MEZ80" s="362"/>
      <c r="MFA80" s="362"/>
      <c r="MFB80" s="362"/>
      <c r="MFC80" s="362"/>
      <c r="MFD80" s="362"/>
      <c r="MFE80" s="362"/>
      <c r="MFF80" s="362"/>
      <c r="MFG80" s="362"/>
      <c r="MFH80" s="362"/>
      <c r="MFI80" s="362"/>
      <c r="MFJ80" s="362"/>
      <c r="MFK80" s="362"/>
      <c r="MFL80" s="362"/>
      <c r="MFM80" s="362"/>
      <c r="MFN80" s="362"/>
      <c r="MFO80" s="362"/>
      <c r="MFP80" s="362"/>
      <c r="MFQ80" s="362"/>
      <c r="MFR80" s="362"/>
      <c r="MFS80" s="362"/>
      <c r="MFT80" s="362"/>
      <c r="MFU80" s="362"/>
      <c r="MFV80" s="362"/>
      <c r="MFW80" s="362"/>
      <c r="MFX80" s="362"/>
      <c r="MFY80" s="362"/>
      <c r="MFZ80" s="362"/>
      <c r="MGA80" s="362"/>
      <c r="MGB80" s="362"/>
      <c r="MGC80" s="362"/>
      <c r="MGD80" s="362"/>
      <c r="MGE80" s="362"/>
      <c r="MGF80" s="362"/>
      <c r="MGG80" s="362"/>
      <c r="MGH80" s="362"/>
      <c r="MGI80" s="362"/>
      <c r="MGJ80" s="362"/>
      <c r="MGK80" s="362"/>
      <c r="MGL80" s="362"/>
      <c r="MGM80" s="362"/>
      <c r="MGN80" s="362"/>
      <c r="MGO80" s="362"/>
      <c r="MGP80" s="362"/>
      <c r="MGQ80" s="362"/>
      <c r="MGR80" s="362"/>
      <c r="MGS80" s="362"/>
      <c r="MGT80" s="362"/>
      <c r="MGU80" s="362"/>
      <c r="MGV80" s="362"/>
      <c r="MGW80" s="362"/>
      <c r="MGX80" s="362"/>
      <c r="MGY80" s="362"/>
      <c r="MGZ80" s="362"/>
      <c r="MHA80" s="362"/>
      <c r="MHB80" s="362"/>
      <c r="MHC80" s="362"/>
      <c r="MHD80" s="362"/>
      <c r="MHE80" s="362"/>
      <c r="MHF80" s="362"/>
      <c r="MHG80" s="362"/>
      <c r="MHH80" s="362"/>
      <c r="MHI80" s="362"/>
      <c r="MHJ80" s="362"/>
      <c r="MHK80" s="362"/>
      <c r="MHL80" s="362"/>
      <c r="MHM80" s="362"/>
      <c r="MHN80" s="362"/>
      <c r="MHO80" s="362"/>
      <c r="MHP80" s="362"/>
      <c r="MHQ80" s="362"/>
      <c r="MHR80" s="362"/>
      <c r="MHS80" s="362"/>
      <c r="MHT80" s="362"/>
      <c r="MHU80" s="362"/>
      <c r="MHV80" s="362"/>
      <c r="MHW80" s="362"/>
      <c r="MHX80" s="362"/>
      <c r="MHY80" s="362"/>
      <c r="MHZ80" s="362"/>
      <c r="MIA80" s="362"/>
      <c r="MIB80" s="362"/>
      <c r="MIC80" s="362"/>
      <c r="MID80" s="362"/>
      <c r="MIE80" s="362"/>
      <c r="MIF80" s="362"/>
      <c r="MIG80" s="362"/>
      <c r="MIH80" s="362"/>
      <c r="MII80" s="362"/>
      <c r="MIJ80" s="362"/>
      <c r="MIK80" s="362"/>
      <c r="MIL80" s="362"/>
      <c r="MIM80" s="362"/>
      <c r="MIN80" s="362"/>
      <c r="MIO80" s="362"/>
      <c r="MIP80" s="362"/>
      <c r="MIQ80" s="362"/>
      <c r="MIR80" s="362"/>
      <c r="MIS80" s="362"/>
      <c r="MIT80" s="362"/>
      <c r="MIU80" s="362"/>
      <c r="MIV80" s="362"/>
      <c r="MIW80" s="362"/>
      <c r="MIX80" s="362"/>
      <c r="MIY80" s="362"/>
      <c r="MIZ80" s="362"/>
      <c r="MJA80" s="362"/>
      <c r="MJB80" s="362"/>
      <c r="MJC80" s="362"/>
      <c r="MJD80" s="362"/>
      <c r="MJE80" s="362"/>
      <c r="MJF80" s="362"/>
      <c r="MJG80" s="362"/>
      <c r="MJH80" s="362"/>
      <c r="MJI80" s="362"/>
      <c r="MJJ80" s="362"/>
      <c r="MJK80" s="362"/>
      <c r="MJL80" s="362"/>
      <c r="MJM80" s="362"/>
      <c r="MJN80" s="362"/>
      <c r="MJO80" s="362"/>
      <c r="MJP80" s="362"/>
      <c r="MJQ80" s="362"/>
      <c r="MJR80" s="362"/>
      <c r="MJS80" s="362"/>
      <c r="MJT80" s="362"/>
      <c r="MJU80" s="362"/>
      <c r="MJV80" s="362"/>
      <c r="MJW80" s="362"/>
      <c r="MJX80" s="362"/>
      <c r="MJY80" s="362"/>
      <c r="MJZ80" s="362"/>
      <c r="MKA80" s="362"/>
      <c r="MKB80" s="362"/>
      <c r="MKC80" s="362"/>
      <c r="MKD80" s="362"/>
      <c r="MKE80" s="362"/>
      <c r="MKF80" s="362"/>
      <c r="MKG80" s="362"/>
      <c r="MKH80" s="362"/>
      <c r="MKI80" s="362"/>
      <c r="MKJ80" s="362"/>
      <c r="MKK80" s="362"/>
      <c r="MKL80" s="362"/>
      <c r="MKM80" s="362"/>
      <c r="MKN80" s="362"/>
      <c r="MKO80" s="362"/>
      <c r="MKP80" s="362"/>
      <c r="MKQ80" s="362"/>
      <c r="MKR80" s="362"/>
      <c r="MKS80" s="362"/>
      <c r="MKT80" s="362"/>
      <c r="MKU80" s="362"/>
      <c r="MKV80" s="362"/>
      <c r="MKW80" s="362"/>
      <c r="MKX80" s="362"/>
      <c r="MKY80" s="362"/>
      <c r="MKZ80" s="362"/>
      <c r="MLA80" s="362"/>
      <c r="MLB80" s="362"/>
      <c r="MLC80" s="362"/>
      <c r="MLD80" s="362"/>
      <c r="MLE80" s="362"/>
      <c r="MLF80" s="362"/>
      <c r="MLG80" s="362"/>
      <c r="MLH80" s="362"/>
      <c r="MLI80" s="362"/>
      <c r="MLJ80" s="362"/>
      <c r="MLK80" s="362"/>
      <c r="MLL80" s="362"/>
      <c r="MLM80" s="362"/>
      <c r="MLN80" s="362"/>
      <c r="MLO80" s="362"/>
      <c r="MLP80" s="362"/>
      <c r="MLQ80" s="362"/>
      <c r="MLR80" s="362"/>
      <c r="MLS80" s="362"/>
      <c r="MLT80" s="362"/>
      <c r="MLU80" s="362"/>
      <c r="MLV80" s="362"/>
      <c r="MLW80" s="362"/>
      <c r="MLX80" s="362"/>
      <c r="MLY80" s="362"/>
      <c r="MLZ80" s="362"/>
      <c r="MMA80" s="362"/>
      <c r="MMB80" s="362"/>
      <c r="MMC80" s="362"/>
      <c r="MMD80" s="362"/>
      <c r="MME80" s="362"/>
      <c r="MMF80" s="362"/>
      <c r="MMG80" s="362"/>
      <c r="MMH80" s="362"/>
      <c r="MMI80" s="362"/>
      <c r="MMJ80" s="362"/>
      <c r="MMK80" s="362"/>
      <c r="MML80" s="362"/>
      <c r="MMM80" s="362"/>
      <c r="MMN80" s="362"/>
      <c r="MMO80" s="362"/>
      <c r="MMP80" s="362"/>
      <c r="MMQ80" s="362"/>
      <c r="MMR80" s="362"/>
      <c r="MMS80" s="362"/>
      <c r="MMT80" s="362"/>
      <c r="MMU80" s="362"/>
      <c r="MMV80" s="362"/>
      <c r="MMW80" s="362"/>
      <c r="MMX80" s="362"/>
      <c r="MMY80" s="362"/>
      <c r="MMZ80" s="362"/>
      <c r="MNA80" s="362"/>
      <c r="MNB80" s="362"/>
      <c r="MNC80" s="362"/>
      <c r="MND80" s="362"/>
      <c r="MNE80" s="362"/>
      <c r="MNF80" s="362"/>
      <c r="MNG80" s="362"/>
      <c r="MNH80" s="362"/>
      <c r="MNI80" s="362"/>
      <c r="MNJ80" s="362"/>
      <c r="MNK80" s="362"/>
      <c r="MNL80" s="362"/>
      <c r="MNM80" s="362"/>
      <c r="MNN80" s="362"/>
      <c r="MNO80" s="362"/>
      <c r="MNP80" s="362"/>
      <c r="MNQ80" s="362"/>
      <c r="MNR80" s="362"/>
      <c r="MNS80" s="362"/>
      <c r="MNT80" s="362"/>
      <c r="MNU80" s="362"/>
      <c r="MNV80" s="362"/>
      <c r="MNW80" s="362"/>
      <c r="MNX80" s="362"/>
      <c r="MNY80" s="362"/>
      <c r="MNZ80" s="362"/>
      <c r="MOA80" s="362"/>
      <c r="MOB80" s="362"/>
      <c r="MOC80" s="362"/>
      <c r="MOD80" s="362"/>
      <c r="MOE80" s="362"/>
      <c r="MOF80" s="362"/>
      <c r="MOG80" s="362"/>
      <c r="MOH80" s="362"/>
      <c r="MOI80" s="362"/>
      <c r="MOJ80" s="362"/>
      <c r="MOK80" s="362"/>
      <c r="MOL80" s="362"/>
      <c r="MOM80" s="362"/>
      <c r="MON80" s="362"/>
      <c r="MOO80" s="362"/>
      <c r="MOP80" s="362"/>
      <c r="MOQ80" s="362"/>
      <c r="MOR80" s="362"/>
      <c r="MOS80" s="362"/>
      <c r="MOT80" s="362"/>
      <c r="MOU80" s="362"/>
      <c r="MOV80" s="362"/>
      <c r="MOW80" s="362"/>
      <c r="MOX80" s="362"/>
      <c r="MOY80" s="362"/>
      <c r="MOZ80" s="362"/>
      <c r="MPA80" s="362"/>
      <c r="MPB80" s="362"/>
      <c r="MPC80" s="362"/>
      <c r="MPD80" s="362"/>
      <c r="MPE80" s="362"/>
      <c r="MPF80" s="362"/>
      <c r="MPG80" s="362"/>
      <c r="MPH80" s="362"/>
      <c r="MPI80" s="362"/>
      <c r="MPJ80" s="362"/>
      <c r="MPK80" s="362"/>
      <c r="MPL80" s="362"/>
      <c r="MPM80" s="362"/>
      <c r="MPN80" s="362"/>
      <c r="MPO80" s="362"/>
      <c r="MPP80" s="362"/>
      <c r="MPQ80" s="362"/>
      <c r="MPR80" s="362"/>
      <c r="MPS80" s="362"/>
      <c r="MPT80" s="362"/>
      <c r="MPU80" s="362"/>
      <c r="MPV80" s="362"/>
      <c r="MPW80" s="362"/>
      <c r="MPX80" s="362"/>
      <c r="MPY80" s="362"/>
      <c r="MPZ80" s="362"/>
      <c r="MQA80" s="362"/>
      <c r="MQB80" s="362"/>
      <c r="MQC80" s="362"/>
      <c r="MQD80" s="362"/>
      <c r="MQE80" s="362"/>
      <c r="MQF80" s="362"/>
      <c r="MQG80" s="362"/>
      <c r="MQH80" s="362"/>
      <c r="MQI80" s="362"/>
      <c r="MQJ80" s="362"/>
      <c r="MQK80" s="362"/>
      <c r="MQL80" s="362"/>
      <c r="MQM80" s="362"/>
      <c r="MQN80" s="362"/>
      <c r="MQO80" s="362"/>
      <c r="MQP80" s="362"/>
      <c r="MQQ80" s="362"/>
      <c r="MQR80" s="362"/>
      <c r="MQS80" s="362"/>
      <c r="MQT80" s="362"/>
      <c r="MQU80" s="362"/>
      <c r="MQV80" s="362"/>
      <c r="MQW80" s="362"/>
      <c r="MQX80" s="362"/>
      <c r="MQY80" s="362"/>
      <c r="MQZ80" s="362"/>
      <c r="MRA80" s="362"/>
      <c r="MRB80" s="362"/>
      <c r="MRC80" s="362"/>
      <c r="MRD80" s="362"/>
      <c r="MRE80" s="362"/>
      <c r="MRF80" s="362"/>
      <c r="MRG80" s="362"/>
      <c r="MRH80" s="362"/>
      <c r="MRI80" s="362"/>
      <c r="MRJ80" s="362"/>
      <c r="MRK80" s="362"/>
      <c r="MRL80" s="362"/>
      <c r="MRM80" s="362"/>
      <c r="MRN80" s="362"/>
      <c r="MRO80" s="362"/>
      <c r="MRP80" s="362"/>
      <c r="MRQ80" s="362"/>
      <c r="MRR80" s="362"/>
      <c r="MRS80" s="362"/>
      <c r="MRT80" s="362"/>
      <c r="MRU80" s="362"/>
      <c r="MRV80" s="362"/>
      <c r="MRW80" s="362"/>
      <c r="MRX80" s="362"/>
      <c r="MRY80" s="362"/>
      <c r="MRZ80" s="362"/>
      <c r="MSA80" s="362"/>
      <c r="MSB80" s="362"/>
      <c r="MSC80" s="362"/>
      <c r="MSD80" s="362"/>
      <c r="MSE80" s="362"/>
      <c r="MSF80" s="362"/>
      <c r="MSG80" s="362"/>
      <c r="MSH80" s="362"/>
      <c r="MSI80" s="362"/>
      <c r="MSJ80" s="362"/>
      <c r="MSK80" s="362"/>
      <c r="MSL80" s="362"/>
      <c r="MSM80" s="362"/>
      <c r="MSN80" s="362"/>
      <c r="MSO80" s="362"/>
      <c r="MSP80" s="362"/>
      <c r="MSQ80" s="362"/>
      <c r="MSR80" s="362"/>
      <c r="MSS80" s="362"/>
      <c r="MST80" s="362"/>
      <c r="MSU80" s="362"/>
      <c r="MSV80" s="362"/>
      <c r="MSW80" s="362"/>
      <c r="MSX80" s="362"/>
      <c r="MSY80" s="362"/>
      <c r="MSZ80" s="362"/>
      <c r="MTA80" s="362"/>
      <c r="MTB80" s="362"/>
      <c r="MTC80" s="362"/>
      <c r="MTD80" s="362"/>
      <c r="MTE80" s="362"/>
      <c r="MTF80" s="362"/>
      <c r="MTG80" s="362"/>
      <c r="MTH80" s="362"/>
      <c r="MTI80" s="362"/>
      <c r="MTJ80" s="362"/>
      <c r="MTK80" s="362"/>
      <c r="MTL80" s="362"/>
      <c r="MTM80" s="362"/>
      <c r="MTN80" s="362"/>
      <c r="MTO80" s="362"/>
      <c r="MTP80" s="362"/>
      <c r="MTQ80" s="362"/>
      <c r="MTR80" s="362"/>
      <c r="MTS80" s="362"/>
      <c r="MTT80" s="362"/>
      <c r="MTU80" s="362"/>
      <c r="MTV80" s="362"/>
      <c r="MTW80" s="362"/>
      <c r="MTX80" s="362"/>
      <c r="MTY80" s="362"/>
      <c r="MTZ80" s="362"/>
      <c r="MUA80" s="362"/>
      <c r="MUB80" s="362"/>
      <c r="MUC80" s="362"/>
      <c r="MUD80" s="362"/>
      <c r="MUE80" s="362"/>
      <c r="MUF80" s="362"/>
      <c r="MUG80" s="362"/>
      <c r="MUH80" s="362"/>
      <c r="MUI80" s="362"/>
      <c r="MUJ80" s="362"/>
      <c r="MUK80" s="362"/>
      <c r="MUL80" s="362"/>
      <c r="MUM80" s="362"/>
      <c r="MUN80" s="362"/>
      <c r="MUO80" s="362"/>
      <c r="MUP80" s="362"/>
      <c r="MUQ80" s="362"/>
      <c r="MUR80" s="362"/>
      <c r="MUS80" s="362"/>
      <c r="MUT80" s="362"/>
      <c r="MUU80" s="362"/>
      <c r="MUV80" s="362"/>
      <c r="MUW80" s="362"/>
      <c r="MUX80" s="362"/>
      <c r="MUY80" s="362"/>
      <c r="MUZ80" s="362"/>
      <c r="MVA80" s="362"/>
      <c r="MVB80" s="362"/>
      <c r="MVC80" s="362"/>
      <c r="MVD80" s="362"/>
      <c r="MVE80" s="362"/>
      <c r="MVF80" s="362"/>
      <c r="MVG80" s="362"/>
      <c r="MVH80" s="362"/>
      <c r="MVI80" s="362"/>
      <c r="MVJ80" s="362"/>
      <c r="MVK80" s="362"/>
      <c r="MVL80" s="362"/>
      <c r="MVM80" s="362"/>
      <c r="MVN80" s="362"/>
      <c r="MVO80" s="362"/>
      <c r="MVP80" s="362"/>
      <c r="MVQ80" s="362"/>
      <c r="MVR80" s="362"/>
      <c r="MVS80" s="362"/>
      <c r="MVT80" s="362"/>
      <c r="MVU80" s="362"/>
      <c r="MVV80" s="362"/>
      <c r="MVW80" s="362"/>
      <c r="MVX80" s="362"/>
      <c r="MVY80" s="362"/>
      <c r="MVZ80" s="362"/>
      <c r="MWA80" s="362"/>
      <c r="MWB80" s="362"/>
      <c r="MWC80" s="362"/>
      <c r="MWD80" s="362"/>
      <c r="MWE80" s="362"/>
      <c r="MWF80" s="362"/>
      <c r="MWG80" s="362"/>
      <c r="MWH80" s="362"/>
      <c r="MWI80" s="362"/>
      <c r="MWJ80" s="362"/>
      <c r="MWK80" s="362"/>
      <c r="MWL80" s="362"/>
      <c r="MWM80" s="362"/>
      <c r="MWN80" s="362"/>
      <c r="MWO80" s="362"/>
      <c r="MWP80" s="362"/>
      <c r="MWQ80" s="362"/>
      <c r="MWR80" s="362"/>
      <c r="MWS80" s="362"/>
      <c r="MWT80" s="362"/>
      <c r="MWU80" s="362"/>
      <c r="MWV80" s="362"/>
      <c r="MWW80" s="362"/>
      <c r="MWX80" s="362"/>
      <c r="MWY80" s="362"/>
      <c r="MWZ80" s="362"/>
      <c r="MXA80" s="362"/>
      <c r="MXB80" s="362"/>
      <c r="MXC80" s="362"/>
      <c r="MXD80" s="362"/>
      <c r="MXE80" s="362"/>
      <c r="MXF80" s="362"/>
      <c r="MXG80" s="362"/>
      <c r="MXH80" s="362"/>
      <c r="MXI80" s="362"/>
      <c r="MXJ80" s="362"/>
      <c r="MXK80" s="362"/>
      <c r="MXL80" s="362"/>
      <c r="MXM80" s="362"/>
      <c r="MXN80" s="362"/>
      <c r="MXO80" s="362"/>
      <c r="MXP80" s="362"/>
      <c r="MXQ80" s="362"/>
      <c r="MXR80" s="362"/>
      <c r="MXS80" s="362"/>
      <c r="MXT80" s="362"/>
      <c r="MXU80" s="362"/>
      <c r="MXV80" s="362"/>
      <c r="MXW80" s="362"/>
      <c r="MXX80" s="362"/>
      <c r="MXY80" s="362"/>
      <c r="MXZ80" s="362"/>
      <c r="MYA80" s="362"/>
      <c r="MYB80" s="362"/>
      <c r="MYC80" s="362"/>
      <c r="MYD80" s="362"/>
      <c r="MYE80" s="362"/>
      <c r="MYF80" s="362"/>
      <c r="MYG80" s="362"/>
      <c r="MYH80" s="362"/>
      <c r="MYI80" s="362"/>
      <c r="MYJ80" s="362"/>
      <c r="MYK80" s="362"/>
      <c r="MYL80" s="362"/>
      <c r="MYM80" s="362"/>
      <c r="MYN80" s="362"/>
      <c r="MYO80" s="362"/>
      <c r="MYP80" s="362"/>
      <c r="MYQ80" s="362"/>
      <c r="MYR80" s="362"/>
      <c r="MYS80" s="362"/>
      <c r="MYT80" s="362"/>
      <c r="MYU80" s="362"/>
      <c r="MYV80" s="362"/>
      <c r="MYW80" s="362"/>
      <c r="MYX80" s="362"/>
      <c r="MYY80" s="362"/>
      <c r="MYZ80" s="362"/>
      <c r="MZA80" s="362"/>
      <c r="MZB80" s="362"/>
      <c r="MZC80" s="362"/>
      <c r="MZD80" s="362"/>
      <c r="MZE80" s="362"/>
      <c r="MZF80" s="362"/>
      <c r="MZG80" s="362"/>
      <c r="MZH80" s="362"/>
      <c r="MZI80" s="362"/>
      <c r="MZJ80" s="362"/>
      <c r="MZK80" s="362"/>
      <c r="MZL80" s="362"/>
      <c r="MZM80" s="362"/>
      <c r="MZN80" s="362"/>
      <c r="MZO80" s="362"/>
      <c r="MZP80" s="362"/>
      <c r="MZQ80" s="362"/>
      <c r="MZR80" s="362"/>
      <c r="MZS80" s="362"/>
      <c r="MZT80" s="362"/>
      <c r="MZU80" s="362"/>
      <c r="MZV80" s="362"/>
      <c r="MZW80" s="362"/>
      <c r="MZX80" s="362"/>
      <c r="MZY80" s="362"/>
      <c r="MZZ80" s="362"/>
      <c r="NAA80" s="362"/>
      <c r="NAB80" s="362"/>
      <c r="NAC80" s="362"/>
      <c r="NAD80" s="362"/>
      <c r="NAE80" s="362"/>
      <c r="NAF80" s="362"/>
      <c r="NAG80" s="362"/>
      <c r="NAH80" s="362"/>
      <c r="NAI80" s="362"/>
      <c r="NAJ80" s="362"/>
      <c r="NAK80" s="362"/>
      <c r="NAL80" s="362"/>
      <c r="NAM80" s="362"/>
      <c r="NAN80" s="362"/>
      <c r="NAO80" s="362"/>
      <c r="NAP80" s="362"/>
      <c r="NAQ80" s="362"/>
      <c r="NAR80" s="362"/>
      <c r="NAS80" s="362"/>
      <c r="NAT80" s="362"/>
      <c r="NAU80" s="362"/>
      <c r="NAV80" s="362"/>
      <c r="NAW80" s="362"/>
      <c r="NAX80" s="362"/>
      <c r="NAY80" s="362"/>
      <c r="NAZ80" s="362"/>
      <c r="NBA80" s="362"/>
      <c r="NBB80" s="362"/>
      <c r="NBC80" s="362"/>
      <c r="NBD80" s="362"/>
      <c r="NBE80" s="362"/>
      <c r="NBF80" s="362"/>
      <c r="NBG80" s="362"/>
      <c r="NBH80" s="362"/>
      <c r="NBI80" s="362"/>
      <c r="NBJ80" s="362"/>
      <c r="NBK80" s="362"/>
      <c r="NBL80" s="362"/>
      <c r="NBM80" s="362"/>
      <c r="NBN80" s="362"/>
      <c r="NBO80" s="362"/>
      <c r="NBP80" s="362"/>
      <c r="NBQ80" s="362"/>
      <c r="NBR80" s="362"/>
      <c r="NBS80" s="362"/>
      <c r="NBT80" s="362"/>
      <c r="NBU80" s="362"/>
      <c r="NBV80" s="362"/>
      <c r="NBW80" s="362"/>
      <c r="NBX80" s="362"/>
      <c r="NBY80" s="362"/>
      <c r="NBZ80" s="362"/>
      <c r="NCA80" s="362"/>
      <c r="NCB80" s="362"/>
      <c r="NCC80" s="362"/>
      <c r="NCD80" s="362"/>
      <c r="NCE80" s="362"/>
      <c r="NCF80" s="362"/>
      <c r="NCG80" s="362"/>
      <c r="NCH80" s="362"/>
      <c r="NCI80" s="362"/>
      <c r="NCJ80" s="362"/>
      <c r="NCK80" s="362"/>
      <c r="NCL80" s="362"/>
      <c r="NCM80" s="362"/>
      <c r="NCN80" s="362"/>
      <c r="NCO80" s="362"/>
      <c r="NCP80" s="362"/>
      <c r="NCQ80" s="362"/>
      <c r="NCR80" s="362"/>
      <c r="NCS80" s="362"/>
      <c r="NCT80" s="362"/>
      <c r="NCU80" s="362"/>
      <c r="NCV80" s="362"/>
      <c r="NCW80" s="362"/>
      <c r="NCX80" s="362"/>
      <c r="NCY80" s="362"/>
      <c r="NCZ80" s="362"/>
      <c r="NDA80" s="362"/>
      <c r="NDB80" s="362"/>
      <c r="NDC80" s="362"/>
      <c r="NDD80" s="362"/>
      <c r="NDE80" s="362"/>
      <c r="NDF80" s="362"/>
      <c r="NDG80" s="362"/>
      <c r="NDH80" s="362"/>
      <c r="NDI80" s="362"/>
      <c r="NDJ80" s="362"/>
      <c r="NDK80" s="362"/>
      <c r="NDL80" s="362"/>
      <c r="NDM80" s="362"/>
      <c r="NDN80" s="362"/>
      <c r="NDO80" s="362"/>
      <c r="NDP80" s="362"/>
      <c r="NDQ80" s="362"/>
      <c r="NDR80" s="362"/>
      <c r="NDS80" s="362"/>
      <c r="NDT80" s="362"/>
      <c r="NDU80" s="362"/>
      <c r="NDV80" s="362"/>
      <c r="NDW80" s="362"/>
      <c r="NDX80" s="362"/>
      <c r="NDY80" s="362"/>
      <c r="NDZ80" s="362"/>
      <c r="NEA80" s="362"/>
      <c r="NEB80" s="362"/>
      <c r="NEC80" s="362"/>
      <c r="NED80" s="362"/>
      <c r="NEE80" s="362"/>
      <c r="NEF80" s="362"/>
      <c r="NEG80" s="362"/>
      <c r="NEH80" s="362"/>
      <c r="NEI80" s="362"/>
      <c r="NEJ80" s="362"/>
      <c r="NEK80" s="362"/>
      <c r="NEL80" s="362"/>
      <c r="NEM80" s="362"/>
      <c r="NEN80" s="362"/>
      <c r="NEO80" s="362"/>
      <c r="NEP80" s="362"/>
      <c r="NEQ80" s="362"/>
      <c r="NER80" s="362"/>
      <c r="NES80" s="362"/>
      <c r="NET80" s="362"/>
      <c r="NEU80" s="362"/>
      <c r="NEV80" s="362"/>
      <c r="NEW80" s="362"/>
      <c r="NEX80" s="362"/>
      <c r="NEY80" s="362"/>
      <c r="NEZ80" s="362"/>
      <c r="NFA80" s="362"/>
      <c r="NFB80" s="362"/>
      <c r="NFC80" s="362"/>
      <c r="NFD80" s="362"/>
      <c r="NFE80" s="362"/>
      <c r="NFF80" s="362"/>
      <c r="NFG80" s="362"/>
      <c r="NFH80" s="362"/>
      <c r="NFI80" s="362"/>
      <c r="NFJ80" s="362"/>
      <c r="NFK80" s="362"/>
      <c r="NFL80" s="362"/>
      <c r="NFM80" s="362"/>
      <c r="NFN80" s="362"/>
      <c r="NFO80" s="362"/>
      <c r="NFP80" s="362"/>
      <c r="NFQ80" s="362"/>
      <c r="NFR80" s="362"/>
      <c r="NFS80" s="362"/>
      <c r="NFT80" s="362"/>
      <c r="NFU80" s="362"/>
      <c r="NFV80" s="362"/>
      <c r="NFW80" s="362"/>
      <c r="NFX80" s="362"/>
      <c r="NFY80" s="362"/>
      <c r="NFZ80" s="362"/>
      <c r="NGA80" s="362"/>
      <c r="NGB80" s="362"/>
      <c r="NGC80" s="362"/>
      <c r="NGD80" s="362"/>
      <c r="NGE80" s="362"/>
      <c r="NGF80" s="362"/>
      <c r="NGG80" s="362"/>
      <c r="NGH80" s="362"/>
      <c r="NGI80" s="362"/>
      <c r="NGJ80" s="362"/>
      <c r="NGK80" s="362"/>
      <c r="NGL80" s="362"/>
      <c r="NGM80" s="362"/>
      <c r="NGN80" s="362"/>
      <c r="NGO80" s="362"/>
      <c r="NGP80" s="362"/>
      <c r="NGQ80" s="362"/>
      <c r="NGR80" s="362"/>
      <c r="NGS80" s="362"/>
      <c r="NGT80" s="362"/>
      <c r="NGU80" s="362"/>
      <c r="NGV80" s="362"/>
      <c r="NGW80" s="362"/>
      <c r="NGX80" s="362"/>
      <c r="NGY80" s="362"/>
      <c r="NGZ80" s="362"/>
      <c r="NHA80" s="362"/>
      <c r="NHB80" s="362"/>
      <c r="NHC80" s="362"/>
      <c r="NHD80" s="362"/>
      <c r="NHE80" s="362"/>
      <c r="NHF80" s="362"/>
      <c r="NHG80" s="362"/>
      <c r="NHH80" s="362"/>
      <c r="NHI80" s="362"/>
      <c r="NHJ80" s="362"/>
      <c r="NHK80" s="362"/>
      <c r="NHL80" s="362"/>
      <c r="NHM80" s="362"/>
      <c r="NHN80" s="362"/>
      <c r="NHO80" s="362"/>
      <c r="NHP80" s="362"/>
      <c r="NHQ80" s="362"/>
      <c r="NHR80" s="362"/>
      <c r="NHS80" s="362"/>
      <c r="NHT80" s="362"/>
      <c r="NHU80" s="362"/>
      <c r="NHV80" s="362"/>
      <c r="NHW80" s="362"/>
      <c r="NHX80" s="362"/>
      <c r="NHY80" s="362"/>
      <c r="NHZ80" s="362"/>
      <c r="NIA80" s="362"/>
      <c r="NIB80" s="362"/>
      <c r="NIC80" s="362"/>
      <c r="NID80" s="362"/>
      <c r="NIE80" s="362"/>
      <c r="NIF80" s="362"/>
      <c r="NIG80" s="362"/>
      <c r="NIH80" s="362"/>
      <c r="NII80" s="362"/>
      <c r="NIJ80" s="362"/>
      <c r="NIK80" s="362"/>
      <c r="NIL80" s="362"/>
      <c r="NIM80" s="362"/>
      <c r="NIN80" s="362"/>
      <c r="NIO80" s="362"/>
      <c r="NIP80" s="362"/>
      <c r="NIQ80" s="362"/>
      <c r="NIR80" s="362"/>
      <c r="NIS80" s="362"/>
      <c r="NIT80" s="362"/>
      <c r="NIU80" s="362"/>
      <c r="NIV80" s="362"/>
      <c r="NIW80" s="362"/>
      <c r="NIX80" s="362"/>
      <c r="NIY80" s="362"/>
      <c r="NIZ80" s="362"/>
      <c r="NJA80" s="362"/>
      <c r="NJB80" s="362"/>
      <c r="NJC80" s="362"/>
      <c r="NJD80" s="362"/>
      <c r="NJE80" s="362"/>
      <c r="NJF80" s="362"/>
      <c r="NJG80" s="362"/>
      <c r="NJH80" s="362"/>
      <c r="NJI80" s="362"/>
      <c r="NJJ80" s="362"/>
      <c r="NJK80" s="362"/>
      <c r="NJL80" s="362"/>
      <c r="NJM80" s="362"/>
      <c r="NJN80" s="362"/>
      <c r="NJO80" s="362"/>
      <c r="NJP80" s="362"/>
      <c r="NJQ80" s="362"/>
      <c r="NJR80" s="362"/>
      <c r="NJS80" s="362"/>
      <c r="NJT80" s="362"/>
      <c r="NJU80" s="362"/>
      <c r="NJV80" s="362"/>
      <c r="NJW80" s="362"/>
      <c r="NJX80" s="362"/>
      <c r="NJY80" s="362"/>
      <c r="NJZ80" s="362"/>
      <c r="NKA80" s="362"/>
      <c r="NKB80" s="362"/>
      <c r="NKC80" s="362"/>
      <c r="NKD80" s="362"/>
      <c r="NKE80" s="362"/>
      <c r="NKF80" s="362"/>
      <c r="NKG80" s="362"/>
      <c r="NKH80" s="362"/>
      <c r="NKI80" s="362"/>
      <c r="NKJ80" s="362"/>
      <c r="NKK80" s="362"/>
      <c r="NKL80" s="362"/>
      <c r="NKM80" s="362"/>
      <c r="NKN80" s="362"/>
      <c r="NKO80" s="362"/>
      <c r="NKP80" s="362"/>
      <c r="NKQ80" s="362"/>
      <c r="NKR80" s="362"/>
      <c r="NKS80" s="362"/>
      <c r="NKT80" s="362"/>
      <c r="NKU80" s="362"/>
      <c r="NKV80" s="362"/>
      <c r="NKW80" s="362"/>
      <c r="NKX80" s="362"/>
      <c r="NKY80" s="362"/>
      <c r="NKZ80" s="362"/>
      <c r="NLA80" s="362"/>
      <c r="NLB80" s="362"/>
      <c r="NLC80" s="362"/>
      <c r="NLD80" s="362"/>
      <c r="NLE80" s="362"/>
      <c r="NLF80" s="362"/>
      <c r="NLG80" s="362"/>
      <c r="NLH80" s="362"/>
      <c r="NLI80" s="362"/>
      <c r="NLJ80" s="362"/>
      <c r="NLK80" s="362"/>
      <c r="NLL80" s="362"/>
      <c r="NLM80" s="362"/>
      <c r="NLN80" s="362"/>
      <c r="NLO80" s="362"/>
      <c r="NLP80" s="362"/>
      <c r="NLQ80" s="362"/>
      <c r="NLR80" s="362"/>
      <c r="NLS80" s="362"/>
      <c r="NLT80" s="362"/>
      <c r="NLU80" s="362"/>
      <c r="NLV80" s="362"/>
      <c r="NLW80" s="362"/>
      <c r="NLX80" s="362"/>
      <c r="NLY80" s="362"/>
      <c r="NLZ80" s="362"/>
      <c r="NMA80" s="362"/>
      <c r="NMB80" s="362"/>
      <c r="NMC80" s="362"/>
      <c r="NMD80" s="362"/>
      <c r="NME80" s="362"/>
      <c r="NMF80" s="362"/>
      <c r="NMG80" s="362"/>
      <c r="NMH80" s="362"/>
      <c r="NMI80" s="362"/>
      <c r="NMJ80" s="362"/>
      <c r="NMK80" s="362"/>
      <c r="NML80" s="362"/>
      <c r="NMM80" s="362"/>
      <c r="NMN80" s="362"/>
      <c r="NMO80" s="362"/>
      <c r="NMP80" s="362"/>
      <c r="NMQ80" s="362"/>
      <c r="NMR80" s="362"/>
      <c r="NMS80" s="362"/>
      <c r="NMT80" s="362"/>
      <c r="NMU80" s="362"/>
      <c r="NMV80" s="362"/>
      <c r="NMW80" s="362"/>
      <c r="NMX80" s="362"/>
      <c r="NMY80" s="362"/>
      <c r="NMZ80" s="362"/>
      <c r="NNA80" s="362"/>
      <c r="NNB80" s="362"/>
      <c r="NNC80" s="362"/>
      <c r="NND80" s="362"/>
      <c r="NNE80" s="362"/>
      <c r="NNF80" s="362"/>
      <c r="NNG80" s="362"/>
      <c r="NNH80" s="362"/>
      <c r="NNI80" s="362"/>
      <c r="NNJ80" s="362"/>
      <c r="NNK80" s="362"/>
      <c r="NNL80" s="362"/>
      <c r="NNM80" s="362"/>
      <c r="NNN80" s="362"/>
      <c r="NNO80" s="362"/>
      <c r="NNP80" s="362"/>
      <c r="NNQ80" s="362"/>
      <c r="NNR80" s="362"/>
      <c r="NNS80" s="362"/>
      <c r="NNT80" s="362"/>
      <c r="NNU80" s="362"/>
      <c r="NNV80" s="362"/>
      <c r="NNW80" s="362"/>
      <c r="NNX80" s="362"/>
      <c r="NNY80" s="362"/>
      <c r="NNZ80" s="362"/>
      <c r="NOA80" s="362"/>
      <c r="NOB80" s="362"/>
      <c r="NOC80" s="362"/>
      <c r="NOD80" s="362"/>
      <c r="NOE80" s="362"/>
      <c r="NOF80" s="362"/>
      <c r="NOG80" s="362"/>
      <c r="NOH80" s="362"/>
      <c r="NOI80" s="362"/>
      <c r="NOJ80" s="362"/>
      <c r="NOK80" s="362"/>
      <c r="NOL80" s="362"/>
      <c r="NOM80" s="362"/>
      <c r="NON80" s="362"/>
      <c r="NOO80" s="362"/>
      <c r="NOP80" s="362"/>
      <c r="NOQ80" s="362"/>
      <c r="NOR80" s="362"/>
      <c r="NOS80" s="362"/>
      <c r="NOT80" s="362"/>
      <c r="NOU80" s="362"/>
      <c r="NOV80" s="362"/>
      <c r="NOW80" s="362"/>
      <c r="NOX80" s="362"/>
      <c r="NOY80" s="362"/>
      <c r="NOZ80" s="362"/>
      <c r="NPA80" s="362"/>
      <c r="NPB80" s="362"/>
      <c r="NPC80" s="362"/>
      <c r="NPD80" s="362"/>
      <c r="NPE80" s="362"/>
      <c r="NPF80" s="362"/>
      <c r="NPG80" s="362"/>
      <c r="NPH80" s="362"/>
      <c r="NPI80" s="362"/>
      <c r="NPJ80" s="362"/>
      <c r="NPK80" s="362"/>
      <c r="NPL80" s="362"/>
      <c r="NPM80" s="362"/>
      <c r="NPN80" s="362"/>
      <c r="NPO80" s="362"/>
      <c r="NPP80" s="362"/>
      <c r="NPQ80" s="362"/>
      <c r="NPR80" s="362"/>
      <c r="NPS80" s="362"/>
      <c r="NPT80" s="362"/>
      <c r="NPU80" s="362"/>
      <c r="NPV80" s="362"/>
      <c r="NPW80" s="362"/>
      <c r="NPX80" s="362"/>
      <c r="NPY80" s="362"/>
      <c r="NPZ80" s="362"/>
      <c r="NQA80" s="362"/>
      <c r="NQB80" s="362"/>
      <c r="NQC80" s="362"/>
      <c r="NQD80" s="362"/>
      <c r="NQE80" s="362"/>
      <c r="NQF80" s="362"/>
      <c r="NQG80" s="362"/>
      <c r="NQH80" s="362"/>
      <c r="NQI80" s="362"/>
      <c r="NQJ80" s="362"/>
      <c r="NQK80" s="362"/>
      <c r="NQL80" s="362"/>
      <c r="NQM80" s="362"/>
      <c r="NQN80" s="362"/>
      <c r="NQO80" s="362"/>
      <c r="NQP80" s="362"/>
      <c r="NQQ80" s="362"/>
      <c r="NQR80" s="362"/>
      <c r="NQS80" s="362"/>
      <c r="NQT80" s="362"/>
      <c r="NQU80" s="362"/>
      <c r="NQV80" s="362"/>
      <c r="NQW80" s="362"/>
      <c r="NQX80" s="362"/>
      <c r="NQY80" s="362"/>
      <c r="NQZ80" s="362"/>
      <c r="NRA80" s="362"/>
      <c r="NRB80" s="362"/>
      <c r="NRC80" s="362"/>
      <c r="NRD80" s="362"/>
      <c r="NRE80" s="362"/>
      <c r="NRF80" s="362"/>
      <c r="NRG80" s="362"/>
      <c r="NRH80" s="362"/>
      <c r="NRI80" s="362"/>
      <c r="NRJ80" s="362"/>
      <c r="NRK80" s="362"/>
      <c r="NRL80" s="362"/>
      <c r="NRM80" s="362"/>
      <c r="NRN80" s="362"/>
      <c r="NRO80" s="362"/>
      <c r="NRP80" s="362"/>
      <c r="NRQ80" s="362"/>
      <c r="NRR80" s="362"/>
      <c r="NRS80" s="362"/>
      <c r="NRT80" s="362"/>
      <c r="NRU80" s="362"/>
      <c r="NRV80" s="362"/>
      <c r="NRW80" s="362"/>
      <c r="NRX80" s="362"/>
      <c r="NRY80" s="362"/>
      <c r="NRZ80" s="362"/>
      <c r="NSA80" s="362"/>
      <c r="NSB80" s="362"/>
      <c r="NSC80" s="362"/>
      <c r="NSD80" s="362"/>
      <c r="NSE80" s="362"/>
      <c r="NSF80" s="362"/>
      <c r="NSG80" s="362"/>
      <c r="NSH80" s="362"/>
      <c r="NSI80" s="362"/>
      <c r="NSJ80" s="362"/>
      <c r="NSK80" s="362"/>
      <c r="NSL80" s="362"/>
      <c r="NSM80" s="362"/>
      <c r="NSN80" s="362"/>
      <c r="NSO80" s="362"/>
      <c r="NSP80" s="362"/>
      <c r="NSQ80" s="362"/>
      <c r="NSR80" s="362"/>
      <c r="NSS80" s="362"/>
      <c r="NST80" s="362"/>
      <c r="NSU80" s="362"/>
      <c r="NSV80" s="362"/>
      <c r="NSW80" s="362"/>
      <c r="NSX80" s="362"/>
      <c r="NSY80" s="362"/>
      <c r="NSZ80" s="362"/>
      <c r="NTA80" s="362"/>
      <c r="NTB80" s="362"/>
      <c r="NTC80" s="362"/>
      <c r="NTD80" s="362"/>
      <c r="NTE80" s="362"/>
      <c r="NTF80" s="362"/>
      <c r="NTG80" s="362"/>
      <c r="NTH80" s="362"/>
      <c r="NTI80" s="362"/>
      <c r="NTJ80" s="362"/>
      <c r="NTK80" s="362"/>
      <c r="NTL80" s="362"/>
      <c r="NTM80" s="362"/>
      <c r="NTN80" s="362"/>
      <c r="NTO80" s="362"/>
      <c r="NTP80" s="362"/>
      <c r="NTQ80" s="362"/>
      <c r="NTR80" s="362"/>
      <c r="NTS80" s="362"/>
      <c r="NTT80" s="362"/>
      <c r="NTU80" s="362"/>
      <c r="NTV80" s="362"/>
      <c r="NTW80" s="362"/>
      <c r="NTX80" s="362"/>
      <c r="NTY80" s="362"/>
      <c r="NTZ80" s="362"/>
      <c r="NUA80" s="362"/>
      <c r="NUB80" s="362"/>
      <c r="NUC80" s="362"/>
      <c r="NUD80" s="362"/>
      <c r="NUE80" s="362"/>
      <c r="NUF80" s="362"/>
      <c r="NUG80" s="362"/>
      <c r="NUH80" s="362"/>
      <c r="NUI80" s="362"/>
      <c r="NUJ80" s="362"/>
      <c r="NUK80" s="362"/>
      <c r="NUL80" s="362"/>
      <c r="NUM80" s="362"/>
      <c r="NUN80" s="362"/>
      <c r="NUO80" s="362"/>
      <c r="NUP80" s="362"/>
      <c r="NUQ80" s="362"/>
      <c r="NUR80" s="362"/>
      <c r="NUS80" s="362"/>
      <c r="NUT80" s="362"/>
      <c r="NUU80" s="362"/>
      <c r="NUV80" s="362"/>
      <c r="NUW80" s="362"/>
      <c r="NUX80" s="362"/>
      <c r="NUY80" s="362"/>
      <c r="NUZ80" s="362"/>
      <c r="NVA80" s="362"/>
      <c r="NVB80" s="362"/>
      <c r="NVC80" s="362"/>
      <c r="NVD80" s="362"/>
      <c r="NVE80" s="362"/>
      <c r="NVF80" s="362"/>
      <c r="NVG80" s="362"/>
      <c r="NVH80" s="362"/>
      <c r="NVI80" s="362"/>
      <c r="NVJ80" s="362"/>
      <c r="NVK80" s="362"/>
      <c r="NVL80" s="362"/>
      <c r="NVM80" s="362"/>
      <c r="NVN80" s="362"/>
      <c r="NVO80" s="362"/>
      <c r="NVP80" s="362"/>
      <c r="NVQ80" s="362"/>
      <c r="NVR80" s="362"/>
      <c r="NVS80" s="362"/>
      <c r="NVT80" s="362"/>
      <c r="NVU80" s="362"/>
      <c r="NVV80" s="362"/>
      <c r="NVW80" s="362"/>
      <c r="NVX80" s="362"/>
      <c r="NVY80" s="362"/>
      <c r="NVZ80" s="362"/>
      <c r="NWA80" s="362"/>
      <c r="NWB80" s="362"/>
      <c r="NWC80" s="362"/>
      <c r="NWD80" s="362"/>
      <c r="NWE80" s="362"/>
      <c r="NWF80" s="362"/>
      <c r="NWG80" s="362"/>
      <c r="NWH80" s="362"/>
      <c r="NWI80" s="362"/>
      <c r="NWJ80" s="362"/>
      <c r="NWK80" s="362"/>
      <c r="NWL80" s="362"/>
      <c r="NWM80" s="362"/>
      <c r="NWN80" s="362"/>
      <c r="NWO80" s="362"/>
      <c r="NWP80" s="362"/>
      <c r="NWQ80" s="362"/>
      <c r="NWR80" s="362"/>
      <c r="NWS80" s="362"/>
      <c r="NWT80" s="362"/>
      <c r="NWU80" s="362"/>
      <c r="NWV80" s="362"/>
      <c r="NWW80" s="362"/>
      <c r="NWX80" s="362"/>
      <c r="NWY80" s="362"/>
      <c r="NWZ80" s="362"/>
      <c r="NXA80" s="362"/>
      <c r="NXB80" s="362"/>
      <c r="NXC80" s="362"/>
      <c r="NXD80" s="362"/>
      <c r="NXE80" s="362"/>
      <c r="NXF80" s="362"/>
      <c r="NXG80" s="362"/>
      <c r="NXH80" s="362"/>
      <c r="NXI80" s="362"/>
      <c r="NXJ80" s="362"/>
      <c r="NXK80" s="362"/>
      <c r="NXL80" s="362"/>
      <c r="NXM80" s="362"/>
      <c r="NXN80" s="362"/>
      <c r="NXO80" s="362"/>
      <c r="NXP80" s="362"/>
      <c r="NXQ80" s="362"/>
      <c r="NXR80" s="362"/>
      <c r="NXS80" s="362"/>
      <c r="NXT80" s="362"/>
      <c r="NXU80" s="362"/>
      <c r="NXV80" s="362"/>
      <c r="NXW80" s="362"/>
      <c r="NXX80" s="362"/>
      <c r="NXY80" s="362"/>
      <c r="NXZ80" s="362"/>
      <c r="NYA80" s="362"/>
      <c r="NYB80" s="362"/>
      <c r="NYC80" s="362"/>
      <c r="NYD80" s="362"/>
      <c r="NYE80" s="362"/>
      <c r="NYF80" s="362"/>
      <c r="NYG80" s="362"/>
      <c r="NYH80" s="362"/>
      <c r="NYI80" s="362"/>
      <c r="NYJ80" s="362"/>
      <c r="NYK80" s="362"/>
      <c r="NYL80" s="362"/>
      <c r="NYM80" s="362"/>
      <c r="NYN80" s="362"/>
      <c r="NYO80" s="362"/>
      <c r="NYP80" s="362"/>
      <c r="NYQ80" s="362"/>
      <c r="NYR80" s="362"/>
      <c r="NYS80" s="362"/>
      <c r="NYT80" s="362"/>
      <c r="NYU80" s="362"/>
      <c r="NYV80" s="362"/>
      <c r="NYW80" s="362"/>
      <c r="NYX80" s="362"/>
      <c r="NYY80" s="362"/>
      <c r="NYZ80" s="362"/>
      <c r="NZA80" s="362"/>
      <c r="NZB80" s="362"/>
      <c r="NZC80" s="362"/>
      <c r="NZD80" s="362"/>
      <c r="NZE80" s="362"/>
      <c r="NZF80" s="362"/>
      <c r="NZG80" s="362"/>
      <c r="NZH80" s="362"/>
      <c r="NZI80" s="362"/>
      <c r="NZJ80" s="362"/>
      <c r="NZK80" s="362"/>
      <c r="NZL80" s="362"/>
      <c r="NZM80" s="362"/>
      <c r="NZN80" s="362"/>
      <c r="NZO80" s="362"/>
      <c r="NZP80" s="362"/>
      <c r="NZQ80" s="362"/>
      <c r="NZR80" s="362"/>
      <c r="NZS80" s="362"/>
      <c r="NZT80" s="362"/>
      <c r="NZU80" s="362"/>
      <c r="NZV80" s="362"/>
      <c r="NZW80" s="362"/>
      <c r="NZX80" s="362"/>
      <c r="NZY80" s="362"/>
      <c r="NZZ80" s="362"/>
      <c r="OAA80" s="362"/>
      <c r="OAB80" s="362"/>
      <c r="OAC80" s="362"/>
      <c r="OAD80" s="362"/>
      <c r="OAE80" s="362"/>
      <c r="OAF80" s="362"/>
      <c r="OAG80" s="362"/>
      <c r="OAH80" s="362"/>
      <c r="OAI80" s="362"/>
      <c r="OAJ80" s="362"/>
      <c r="OAK80" s="362"/>
      <c r="OAL80" s="362"/>
      <c r="OAM80" s="362"/>
      <c r="OAN80" s="362"/>
      <c r="OAO80" s="362"/>
      <c r="OAP80" s="362"/>
      <c r="OAQ80" s="362"/>
      <c r="OAR80" s="362"/>
      <c r="OAS80" s="362"/>
      <c r="OAT80" s="362"/>
      <c r="OAU80" s="362"/>
      <c r="OAV80" s="362"/>
      <c r="OAW80" s="362"/>
      <c r="OAX80" s="362"/>
      <c r="OAY80" s="362"/>
      <c r="OAZ80" s="362"/>
      <c r="OBA80" s="362"/>
      <c r="OBB80" s="362"/>
      <c r="OBC80" s="362"/>
      <c r="OBD80" s="362"/>
      <c r="OBE80" s="362"/>
      <c r="OBF80" s="362"/>
      <c r="OBG80" s="362"/>
      <c r="OBH80" s="362"/>
      <c r="OBI80" s="362"/>
      <c r="OBJ80" s="362"/>
      <c r="OBK80" s="362"/>
      <c r="OBL80" s="362"/>
      <c r="OBM80" s="362"/>
      <c r="OBN80" s="362"/>
      <c r="OBO80" s="362"/>
      <c r="OBP80" s="362"/>
      <c r="OBQ80" s="362"/>
      <c r="OBR80" s="362"/>
      <c r="OBS80" s="362"/>
      <c r="OBT80" s="362"/>
      <c r="OBU80" s="362"/>
      <c r="OBV80" s="362"/>
      <c r="OBW80" s="362"/>
      <c r="OBX80" s="362"/>
      <c r="OBY80" s="362"/>
      <c r="OBZ80" s="362"/>
      <c r="OCA80" s="362"/>
      <c r="OCB80" s="362"/>
      <c r="OCC80" s="362"/>
      <c r="OCD80" s="362"/>
      <c r="OCE80" s="362"/>
      <c r="OCF80" s="362"/>
      <c r="OCG80" s="362"/>
      <c r="OCH80" s="362"/>
      <c r="OCI80" s="362"/>
      <c r="OCJ80" s="362"/>
      <c r="OCK80" s="362"/>
      <c r="OCL80" s="362"/>
      <c r="OCM80" s="362"/>
      <c r="OCN80" s="362"/>
      <c r="OCO80" s="362"/>
      <c r="OCP80" s="362"/>
      <c r="OCQ80" s="362"/>
      <c r="OCR80" s="362"/>
      <c r="OCS80" s="362"/>
      <c r="OCT80" s="362"/>
      <c r="OCU80" s="362"/>
      <c r="OCV80" s="362"/>
      <c r="OCW80" s="362"/>
      <c r="OCX80" s="362"/>
      <c r="OCY80" s="362"/>
      <c r="OCZ80" s="362"/>
      <c r="ODA80" s="362"/>
      <c r="ODB80" s="362"/>
      <c r="ODC80" s="362"/>
      <c r="ODD80" s="362"/>
      <c r="ODE80" s="362"/>
      <c r="ODF80" s="362"/>
      <c r="ODG80" s="362"/>
      <c r="ODH80" s="362"/>
      <c r="ODI80" s="362"/>
      <c r="ODJ80" s="362"/>
      <c r="ODK80" s="362"/>
      <c r="ODL80" s="362"/>
      <c r="ODM80" s="362"/>
      <c r="ODN80" s="362"/>
      <c r="ODO80" s="362"/>
      <c r="ODP80" s="362"/>
      <c r="ODQ80" s="362"/>
      <c r="ODR80" s="362"/>
      <c r="ODS80" s="362"/>
      <c r="ODT80" s="362"/>
      <c r="ODU80" s="362"/>
      <c r="ODV80" s="362"/>
      <c r="ODW80" s="362"/>
      <c r="ODX80" s="362"/>
      <c r="ODY80" s="362"/>
      <c r="ODZ80" s="362"/>
      <c r="OEA80" s="362"/>
      <c r="OEB80" s="362"/>
      <c r="OEC80" s="362"/>
      <c r="OED80" s="362"/>
      <c r="OEE80" s="362"/>
      <c r="OEF80" s="362"/>
      <c r="OEG80" s="362"/>
      <c r="OEH80" s="362"/>
      <c r="OEI80" s="362"/>
      <c r="OEJ80" s="362"/>
      <c r="OEK80" s="362"/>
      <c r="OEL80" s="362"/>
      <c r="OEM80" s="362"/>
      <c r="OEN80" s="362"/>
      <c r="OEO80" s="362"/>
      <c r="OEP80" s="362"/>
      <c r="OEQ80" s="362"/>
      <c r="OER80" s="362"/>
      <c r="OES80" s="362"/>
      <c r="OET80" s="362"/>
      <c r="OEU80" s="362"/>
      <c r="OEV80" s="362"/>
      <c r="OEW80" s="362"/>
      <c r="OEX80" s="362"/>
      <c r="OEY80" s="362"/>
      <c r="OEZ80" s="362"/>
      <c r="OFA80" s="362"/>
      <c r="OFB80" s="362"/>
      <c r="OFC80" s="362"/>
      <c r="OFD80" s="362"/>
      <c r="OFE80" s="362"/>
      <c r="OFF80" s="362"/>
      <c r="OFG80" s="362"/>
      <c r="OFH80" s="362"/>
      <c r="OFI80" s="362"/>
      <c r="OFJ80" s="362"/>
      <c r="OFK80" s="362"/>
      <c r="OFL80" s="362"/>
      <c r="OFM80" s="362"/>
      <c r="OFN80" s="362"/>
      <c r="OFO80" s="362"/>
      <c r="OFP80" s="362"/>
      <c r="OFQ80" s="362"/>
      <c r="OFR80" s="362"/>
      <c r="OFS80" s="362"/>
      <c r="OFT80" s="362"/>
      <c r="OFU80" s="362"/>
      <c r="OFV80" s="362"/>
      <c r="OFW80" s="362"/>
      <c r="OFX80" s="362"/>
      <c r="OFY80" s="362"/>
      <c r="OFZ80" s="362"/>
      <c r="OGA80" s="362"/>
      <c r="OGB80" s="362"/>
      <c r="OGC80" s="362"/>
      <c r="OGD80" s="362"/>
      <c r="OGE80" s="362"/>
      <c r="OGF80" s="362"/>
      <c r="OGG80" s="362"/>
      <c r="OGH80" s="362"/>
      <c r="OGI80" s="362"/>
      <c r="OGJ80" s="362"/>
      <c r="OGK80" s="362"/>
      <c r="OGL80" s="362"/>
      <c r="OGM80" s="362"/>
      <c r="OGN80" s="362"/>
      <c r="OGO80" s="362"/>
      <c r="OGP80" s="362"/>
      <c r="OGQ80" s="362"/>
      <c r="OGR80" s="362"/>
      <c r="OGS80" s="362"/>
      <c r="OGT80" s="362"/>
      <c r="OGU80" s="362"/>
      <c r="OGV80" s="362"/>
      <c r="OGW80" s="362"/>
      <c r="OGX80" s="362"/>
      <c r="OGY80" s="362"/>
      <c r="OGZ80" s="362"/>
      <c r="OHA80" s="362"/>
      <c r="OHB80" s="362"/>
      <c r="OHC80" s="362"/>
      <c r="OHD80" s="362"/>
      <c r="OHE80" s="362"/>
      <c r="OHF80" s="362"/>
      <c r="OHG80" s="362"/>
      <c r="OHH80" s="362"/>
      <c r="OHI80" s="362"/>
      <c r="OHJ80" s="362"/>
      <c r="OHK80" s="362"/>
      <c r="OHL80" s="362"/>
      <c r="OHM80" s="362"/>
      <c r="OHN80" s="362"/>
      <c r="OHO80" s="362"/>
      <c r="OHP80" s="362"/>
      <c r="OHQ80" s="362"/>
      <c r="OHR80" s="362"/>
      <c r="OHS80" s="362"/>
      <c r="OHT80" s="362"/>
      <c r="OHU80" s="362"/>
      <c r="OHV80" s="362"/>
      <c r="OHW80" s="362"/>
      <c r="OHX80" s="362"/>
      <c r="OHY80" s="362"/>
      <c r="OHZ80" s="362"/>
      <c r="OIA80" s="362"/>
      <c r="OIB80" s="362"/>
      <c r="OIC80" s="362"/>
      <c r="OID80" s="362"/>
      <c r="OIE80" s="362"/>
      <c r="OIF80" s="362"/>
      <c r="OIG80" s="362"/>
      <c r="OIH80" s="362"/>
      <c r="OII80" s="362"/>
      <c r="OIJ80" s="362"/>
      <c r="OIK80" s="362"/>
      <c r="OIL80" s="362"/>
      <c r="OIM80" s="362"/>
      <c r="OIN80" s="362"/>
      <c r="OIO80" s="362"/>
      <c r="OIP80" s="362"/>
      <c r="OIQ80" s="362"/>
      <c r="OIR80" s="362"/>
      <c r="OIS80" s="362"/>
      <c r="OIT80" s="362"/>
      <c r="OIU80" s="362"/>
      <c r="OIV80" s="362"/>
      <c r="OIW80" s="362"/>
      <c r="OIX80" s="362"/>
      <c r="OIY80" s="362"/>
      <c r="OIZ80" s="362"/>
      <c r="OJA80" s="362"/>
      <c r="OJB80" s="362"/>
      <c r="OJC80" s="362"/>
      <c r="OJD80" s="362"/>
      <c r="OJE80" s="362"/>
      <c r="OJF80" s="362"/>
      <c r="OJG80" s="362"/>
      <c r="OJH80" s="362"/>
      <c r="OJI80" s="362"/>
      <c r="OJJ80" s="362"/>
      <c r="OJK80" s="362"/>
      <c r="OJL80" s="362"/>
      <c r="OJM80" s="362"/>
      <c r="OJN80" s="362"/>
      <c r="OJO80" s="362"/>
      <c r="OJP80" s="362"/>
      <c r="OJQ80" s="362"/>
      <c r="OJR80" s="362"/>
      <c r="OJS80" s="362"/>
      <c r="OJT80" s="362"/>
      <c r="OJU80" s="362"/>
      <c r="OJV80" s="362"/>
      <c r="OJW80" s="362"/>
      <c r="OJX80" s="362"/>
      <c r="OJY80" s="362"/>
      <c r="OJZ80" s="362"/>
      <c r="OKA80" s="362"/>
      <c r="OKB80" s="362"/>
      <c r="OKC80" s="362"/>
      <c r="OKD80" s="362"/>
      <c r="OKE80" s="362"/>
      <c r="OKF80" s="362"/>
      <c r="OKG80" s="362"/>
      <c r="OKH80" s="362"/>
      <c r="OKI80" s="362"/>
      <c r="OKJ80" s="362"/>
      <c r="OKK80" s="362"/>
      <c r="OKL80" s="362"/>
      <c r="OKM80" s="362"/>
      <c r="OKN80" s="362"/>
      <c r="OKO80" s="362"/>
      <c r="OKP80" s="362"/>
      <c r="OKQ80" s="362"/>
      <c r="OKR80" s="362"/>
      <c r="OKS80" s="362"/>
      <c r="OKT80" s="362"/>
      <c r="OKU80" s="362"/>
      <c r="OKV80" s="362"/>
      <c r="OKW80" s="362"/>
      <c r="OKX80" s="362"/>
      <c r="OKY80" s="362"/>
      <c r="OKZ80" s="362"/>
      <c r="OLA80" s="362"/>
      <c r="OLB80" s="362"/>
      <c r="OLC80" s="362"/>
      <c r="OLD80" s="362"/>
      <c r="OLE80" s="362"/>
      <c r="OLF80" s="362"/>
      <c r="OLG80" s="362"/>
      <c r="OLH80" s="362"/>
      <c r="OLI80" s="362"/>
      <c r="OLJ80" s="362"/>
      <c r="OLK80" s="362"/>
      <c r="OLL80" s="362"/>
      <c r="OLM80" s="362"/>
      <c r="OLN80" s="362"/>
      <c r="OLO80" s="362"/>
      <c r="OLP80" s="362"/>
      <c r="OLQ80" s="362"/>
      <c r="OLR80" s="362"/>
      <c r="OLS80" s="362"/>
      <c r="OLT80" s="362"/>
      <c r="OLU80" s="362"/>
      <c r="OLV80" s="362"/>
      <c r="OLW80" s="362"/>
      <c r="OLX80" s="362"/>
      <c r="OLY80" s="362"/>
      <c r="OLZ80" s="362"/>
      <c r="OMA80" s="362"/>
      <c r="OMB80" s="362"/>
      <c r="OMC80" s="362"/>
      <c r="OMD80" s="362"/>
      <c r="OME80" s="362"/>
      <c r="OMF80" s="362"/>
      <c r="OMG80" s="362"/>
      <c r="OMH80" s="362"/>
      <c r="OMI80" s="362"/>
      <c r="OMJ80" s="362"/>
      <c r="OMK80" s="362"/>
      <c r="OML80" s="362"/>
      <c r="OMM80" s="362"/>
      <c r="OMN80" s="362"/>
      <c r="OMO80" s="362"/>
      <c r="OMP80" s="362"/>
      <c r="OMQ80" s="362"/>
      <c r="OMR80" s="362"/>
      <c r="OMS80" s="362"/>
      <c r="OMT80" s="362"/>
      <c r="OMU80" s="362"/>
      <c r="OMV80" s="362"/>
      <c r="OMW80" s="362"/>
      <c r="OMX80" s="362"/>
      <c r="OMY80" s="362"/>
      <c r="OMZ80" s="362"/>
      <c r="ONA80" s="362"/>
      <c r="ONB80" s="362"/>
      <c r="ONC80" s="362"/>
      <c r="OND80" s="362"/>
      <c r="ONE80" s="362"/>
      <c r="ONF80" s="362"/>
      <c r="ONG80" s="362"/>
      <c r="ONH80" s="362"/>
      <c r="ONI80" s="362"/>
      <c r="ONJ80" s="362"/>
      <c r="ONK80" s="362"/>
      <c r="ONL80" s="362"/>
      <c r="ONM80" s="362"/>
      <c r="ONN80" s="362"/>
      <c r="ONO80" s="362"/>
      <c r="ONP80" s="362"/>
      <c r="ONQ80" s="362"/>
      <c r="ONR80" s="362"/>
      <c r="ONS80" s="362"/>
      <c r="ONT80" s="362"/>
      <c r="ONU80" s="362"/>
      <c r="ONV80" s="362"/>
      <c r="ONW80" s="362"/>
      <c r="ONX80" s="362"/>
      <c r="ONY80" s="362"/>
      <c r="ONZ80" s="362"/>
      <c r="OOA80" s="362"/>
      <c r="OOB80" s="362"/>
      <c r="OOC80" s="362"/>
      <c r="OOD80" s="362"/>
      <c r="OOE80" s="362"/>
      <c r="OOF80" s="362"/>
      <c r="OOG80" s="362"/>
      <c r="OOH80" s="362"/>
      <c r="OOI80" s="362"/>
      <c r="OOJ80" s="362"/>
      <c r="OOK80" s="362"/>
      <c r="OOL80" s="362"/>
      <c r="OOM80" s="362"/>
      <c r="OON80" s="362"/>
      <c r="OOO80" s="362"/>
      <c r="OOP80" s="362"/>
      <c r="OOQ80" s="362"/>
      <c r="OOR80" s="362"/>
      <c r="OOS80" s="362"/>
      <c r="OOT80" s="362"/>
      <c r="OOU80" s="362"/>
      <c r="OOV80" s="362"/>
      <c r="OOW80" s="362"/>
      <c r="OOX80" s="362"/>
      <c r="OOY80" s="362"/>
      <c r="OOZ80" s="362"/>
      <c r="OPA80" s="362"/>
      <c r="OPB80" s="362"/>
      <c r="OPC80" s="362"/>
      <c r="OPD80" s="362"/>
      <c r="OPE80" s="362"/>
      <c r="OPF80" s="362"/>
      <c r="OPG80" s="362"/>
      <c r="OPH80" s="362"/>
      <c r="OPI80" s="362"/>
      <c r="OPJ80" s="362"/>
      <c r="OPK80" s="362"/>
      <c r="OPL80" s="362"/>
      <c r="OPM80" s="362"/>
      <c r="OPN80" s="362"/>
      <c r="OPO80" s="362"/>
      <c r="OPP80" s="362"/>
      <c r="OPQ80" s="362"/>
      <c r="OPR80" s="362"/>
      <c r="OPS80" s="362"/>
      <c r="OPT80" s="362"/>
      <c r="OPU80" s="362"/>
      <c r="OPV80" s="362"/>
      <c r="OPW80" s="362"/>
      <c r="OPX80" s="362"/>
      <c r="OPY80" s="362"/>
      <c r="OPZ80" s="362"/>
      <c r="OQA80" s="362"/>
      <c r="OQB80" s="362"/>
      <c r="OQC80" s="362"/>
      <c r="OQD80" s="362"/>
      <c r="OQE80" s="362"/>
      <c r="OQF80" s="362"/>
      <c r="OQG80" s="362"/>
      <c r="OQH80" s="362"/>
      <c r="OQI80" s="362"/>
      <c r="OQJ80" s="362"/>
      <c r="OQK80" s="362"/>
      <c r="OQL80" s="362"/>
      <c r="OQM80" s="362"/>
      <c r="OQN80" s="362"/>
      <c r="OQO80" s="362"/>
      <c r="OQP80" s="362"/>
      <c r="OQQ80" s="362"/>
      <c r="OQR80" s="362"/>
      <c r="OQS80" s="362"/>
      <c r="OQT80" s="362"/>
      <c r="OQU80" s="362"/>
      <c r="OQV80" s="362"/>
      <c r="OQW80" s="362"/>
      <c r="OQX80" s="362"/>
      <c r="OQY80" s="362"/>
      <c r="OQZ80" s="362"/>
      <c r="ORA80" s="362"/>
      <c r="ORB80" s="362"/>
      <c r="ORC80" s="362"/>
      <c r="ORD80" s="362"/>
      <c r="ORE80" s="362"/>
      <c r="ORF80" s="362"/>
      <c r="ORG80" s="362"/>
      <c r="ORH80" s="362"/>
      <c r="ORI80" s="362"/>
      <c r="ORJ80" s="362"/>
      <c r="ORK80" s="362"/>
      <c r="ORL80" s="362"/>
      <c r="ORM80" s="362"/>
      <c r="ORN80" s="362"/>
      <c r="ORO80" s="362"/>
      <c r="ORP80" s="362"/>
      <c r="ORQ80" s="362"/>
      <c r="ORR80" s="362"/>
      <c r="ORS80" s="362"/>
      <c r="ORT80" s="362"/>
      <c r="ORU80" s="362"/>
      <c r="ORV80" s="362"/>
      <c r="ORW80" s="362"/>
      <c r="ORX80" s="362"/>
      <c r="ORY80" s="362"/>
      <c r="ORZ80" s="362"/>
      <c r="OSA80" s="362"/>
      <c r="OSB80" s="362"/>
      <c r="OSC80" s="362"/>
      <c r="OSD80" s="362"/>
      <c r="OSE80" s="362"/>
      <c r="OSF80" s="362"/>
      <c r="OSG80" s="362"/>
      <c r="OSH80" s="362"/>
      <c r="OSI80" s="362"/>
      <c r="OSJ80" s="362"/>
      <c r="OSK80" s="362"/>
      <c r="OSL80" s="362"/>
      <c r="OSM80" s="362"/>
      <c r="OSN80" s="362"/>
      <c r="OSO80" s="362"/>
      <c r="OSP80" s="362"/>
      <c r="OSQ80" s="362"/>
      <c r="OSR80" s="362"/>
      <c r="OSS80" s="362"/>
      <c r="OST80" s="362"/>
      <c r="OSU80" s="362"/>
      <c r="OSV80" s="362"/>
      <c r="OSW80" s="362"/>
      <c r="OSX80" s="362"/>
      <c r="OSY80" s="362"/>
      <c r="OSZ80" s="362"/>
      <c r="OTA80" s="362"/>
      <c r="OTB80" s="362"/>
      <c r="OTC80" s="362"/>
      <c r="OTD80" s="362"/>
      <c r="OTE80" s="362"/>
      <c r="OTF80" s="362"/>
      <c r="OTG80" s="362"/>
      <c r="OTH80" s="362"/>
      <c r="OTI80" s="362"/>
      <c r="OTJ80" s="362"/>
      <c r="OTK80" s="362"/>
      <c r="OTL80" s="362"/>
      <c r="OTM80" s="362"/>
      <c r="OTN80" s="362"/>
      <c r="OTO80" s="362"/>
      <c r="OTP80" s="362"/>
      <c r="OTQ80" s="362"/>
      <c r="OTR80" s="362"/>
      <c r="OTS80" s="362"/>
      <c r="OTT80" s="362"/>
      <c r="OTU80" s="362"/>
      <c r="OTV80" s="362"/>
      <c r="OTW80" s="362"/>
      <c r="OTX80" s="362"/>
      <c r="OTY80" s="362"/>
      <c r="OTZ80" s="362"/>
      <c r="OUA80" s="362"/>
      <c r="OUB80" s="362"/>
      <c r="OUC80" s="362"/>
      <c r="OUD80" s="362"/>
      <c r="OUE80" s="362"/>
      <c r="OUF80" s="362"/>
      <c r="OUG80" s="362"/>
      <c r="OUH80" s="362"/>
      <c r="OUI80" s="362"/>
      <c r="OUJ80" s="362"/>
      <c r="OUK80" s="362"/>
      <c r="OUL80" s="362"/>
      <c r="OUM80" s="362"/>
      <c r="OUN80" s="362"/>
      <c r="OUO80" s="362"/>
      <c r="OUP80" s="362"/>
      <c r="OUQ80" s="362"/>
      <c r="OUR80" s="362"/>
      <c r="OUS80" s="362"/>
      <c r="OUT80" s="362"/>
      <c r="OUU80" s="362"/>
      <c r="OUV80" s="362"/>
      <c r="OUW80" s="362"/>
      <c r="OUX80" s="362"/>
      <c r="OUY80" s="362"/>
      <c r="OUZ80" s="362"/>
      <c r="OVA80" s="362"/>
      <c r="OVB80" s="362"/>
      <c r="OVC80" s="362"/>
      <c r="OVD80" s="362"/>
      <c r="OVE80" s="362"/>
      <c r="OVF80" s="362"/>
      <c r="OVG80" s="362"/>
      <c r="OVH80" s="362"/>
      <c r="OVI80" s="362"/>
      <c r="OVJ80" s="362"/>
      <c r="OVK80" s="362"/>
      <c r="OVL80" s="362"/>
      <c r="OVM80" s="362"/>
      <c r="OVN80" s="362"/>
      <c r="OVO80" s="362"/>
      <c r="OVP80" s="362"/>
      <c r="OVQ80" s="362"/>
      <c r="OVR80" s="362"/>
      <c r="OVS80" s="362"/>
      <c r="OVT80" s="362"/>
      <c r="OVU80" s="362"/>
      <c r="OVV80" s="362"/>
      <c r="OVW80" s="362"/>
      <c r="OVX80" s="362"/>
      <c r="OVY80" s="362"/>
      <c r="OVZ80" s="362"/>
      <c r="OWA80" s="362"/>
      <c r="OWB80" s="362"/>
      <c r="OWC80" s="362"/>
      <c r="OWD80" s="362"/>
      <c r="OWE80" s="362"/>
      <c r="OWF80" s="362"/>
      <c r="OWG80" s="362"/>
      <c r="OWH80" s="362"/>
      <c r="OWI80" s="362"/>
      <c r="OWJ80" s="362"/>
      <c r="OWK80" s="362"/>
      <c r="OWL80" s="362"/>
      <c r="OWM80" s="362"/>
      <c r="OWN80" s="362"/>
      <c r="OWO80" s="362"/>
      <c r="OWP80" s="362"/>
      <c r="OWQ80" s="362"/>
      <c r="OWR80" s="362"/>
      <c r="OWS80" s="362"/>
      <c r="OWT80" s="362"/>
      <c r="OWU80" s="362"/>
      <c r="OWV80" s="362"/>
      <c r="OWW80" s="362"/>
      <c r="OWX80" s="362"/>
      <c r="OWY80" s="362"/>
      <c r="OWZ80" s="362"/>
      <c r="OXA80" s="362"/>
      <c r="OXB80" s="362"/>
      <c r="OXC80" s="362"/>
      <c r="OXD80" s="362"/>
      <c r="OXE80" s="362"/>
      <c r="OXF80" s="362"/>
      <c r="OXG80" s="362"/>
      <c r="OXH80" s="362"/>
      <c r="OXI80" s="362"/>
      <c r="OXJ80" s="362"/>
      <c r="OXK80" s="362"/>
      <c r="OXL80" s="362"/>
      <c r="OXM80" s="362"/>
      <c r="OXN80" s="362"/>
      <c r="OXO80" s="362"/>
      <c r="OXP80" s="362"/>
      <c r="OXQ80" s="362"/>
      <c r="OXR80" s="362"/>
      <c r="OXS80" s="362"/>
      <c r="OXT80" s="362"/>
      <c r="OXU80" s="362"/>
      <c r="OXV80" s="362"/>
      <c r="OXW80" s="362"/>
      <c r="OXX80" s="362"/>
      <c r="OXY80" s="362"/>
      <c r="OXZ80" s="362"/>
      <c r="OYA80" s="362"/>
      <c r="OYB80" s="362"/>
      <c r="OYC80" s="362"/>
      <c r="OYD80" s="362"/>
      <c r="OYE80" s="362"/>
      <c r="OYF80" s="362"/>
      <c r="OYG80" s="362"/>
      <c r="OYH80" s="362"/>
      <c r="OYI80" s="362"/>
      <c r="OYJ80" s="362"/>
      <c r="OYK80" s="362"/>
      <c r="OYL80" s="362"/>
      <c r="OYM80" s="362"/>
      <c r="OYN80" s="362"/>
      <c r="OYO80" s="362"/>
      <c r="OYP80" s="362"/>
      <c r="OYQ80" s="362"/>
      <c r="OYR80" s="362"/>
      <c r="OYS80" s="362"/>
      <c r="OYT80" s="362"/>
      <c r="OYU80" s="362"/>
      <c r="OYV80" s="362"/>
      <c r="OYW80" s="362"/>
      <c r="OYX80" s="362"/>
      <c r="OYY80" s="362"/>
      <c r="OYZ80" s="362"/>
      <c r="OZA80" s="362"/>
      <c r="OZB80" s="362"/>
      <c r="OZC80" s="362"/>
      <c r="OZD80" s="362"/>
      <c r="OZE80" s="362"/>
      <c r="OZF80" s="362"/>
      <c r="OZG80" s="362"/>
      <c r="OZH80" s="362"/>
      <c r="OZI80" s="362"/>
      <c r="OZJ80" s="362"/>
      <c r="OZK80" s="362"/>
      <c r="OZL80" s="362"/>
      <c r="OZM80" s="362"/>
      <c r="OZN80" s="362"/>
      <c r="OZO80" s="362"/>
      <c r="OZP80" s="362"/>
      <c r="OZQ80" s="362"/>
      <c r="OZR80" s="362"/>
      <c r="OZS80" s="362"/>
      <c r="OZT80" s="362"/>
      <c r="OZU80" s="362"/>
      <c r="OZV80" s="362"/>
      <c r="OZW80" s="362"/>
      <c r="OZX80" s="362"/>
      <c r="OZY80" s="362"/>
      <c r="OZZ80" s="362"/>
      <c r="PAA80" s="362"/>
      <c r="PAB80" s="362"/>
      <c r="PAC80" s="362"/>
      <c r="PAD80" s="362"/>
      <c r="PAE80" s="362"/>
      <c r="PAF80" s="362"/>
      <c r="PAG80" s="362"/>
      <c r="PAH80" s="362"/>
      <c r="PAI80" s="362"/>
      <c r="PAJ80" s="362"/>
      <c r="PAK80" s="362"/>
      <c r="PAL80" s="362"/>
      <c r="PAM80" s="362"/>
      <c r="PAN80" s="362"/>
      <c r="PAO80" s="362"/>
      <c r="PAP80" s="362"/>
      <c r="PAQ80" s="362"/>
      <c r="PAR80" s="362"/>
      <c r="PAS80" s="362"/>
      <c r="PAT80" s="362"/>
      <c r="PAU80" s="362"/>
      <c r="PAV80" s="362"/>
      <c r="PAW80" s="362"/>
      <c r="PAX80" s="362"/>
      <c r="PAY80" s="362"/>
      <c r="PAZ80" s="362"/>
      <c r="PBA80" s="362"/>
      <c r="PBB80" s="362"/>
      <c r="PBC80" s="362"/>
      <c r="PBD80" s="362"/>
      <c r="PBE80" s="362"/>
      <c r="PBF80" s="362"/>
      <c r="PBG80" s="362"/>
      <c r="PBH80" s="362"/>
      <c r="PBI80" s="362"/>
      <c r="PBJ80" s="362"/>
      <c r="PBK80" s="362"/>
      <c r="PBL80" s="362"/>
      <c r="PBM80" s="362"/>
      <c r="PBN80" s="362"/>
      <c r="PBO80" s="362"/>
      <c r="PBP80" s="362"/>
      <c r="PBQ80" s="362"/>
      <c r="PBR80" s="362"/>
      <c r="PBS80" s="362"/>
      <c r="PBT80" s="362"/>
      <c r="PBU80" s="362"/>
      <c r="PBV80" s="362"/>
      <c r="PBW80" s="362"/>
      <c r="PBX80" s="362"/>
      <c r="PBY80" s="362"/>
      <c r="PBZ80" s="362"/>
      <c r="PCA80" s="362"/>
      <c r="PCB80" s="362"/>
      <c r="PCC80" s="362"/>
      <c r="PCD80" s="362"/>
      <c r="PCE80" s="362"/>
      <c r="PCF80" s="362"/>
      <c r="PCG80" s="362"/>
      <c r="PCH80" s="362"/>
      <c r="PCI80" s="362"/>
      <c r="PCJ80" s="362"/>
      <c r="PCK80" s="362"/>
      <c r="PCL80" s="362"/>
      <c r="PCM80" s="362"/>
      <c r="PCN80" s="362"/>
      <c r="PCO80" s="362"/>
      <c r="PCP80" s="362"/>
      <c r="PCQ80" s="362"/>
      <c r="PCR80" s="362"/>
      <c r="PCS80" s="362"/>
      <c r="PCT80" s="362"/>
      <c r="PCU80" s="362"/>
      <c r="PCV80" s="362"/>
      <c r="PCW80" s="362"/>
      <c r="PCX80" s="362"/>
      <c r="PCY80" s="362"/>
      <c r="PCZ80" s="362"/>
      <c r="PDA80" s="362"/>
      <c r="PDB80" s="362"/>
      <c r="PDC80" s="362"/>
      <c r="PDD80" s="362"/>
      <c r="PDE80" s="362"/>
      <c r="PDF80" s="362"/>
      <c r="PDG80" s="362"/>
      <c r="PDH80" s="362"/>
      <c r="PDI80" s="362"/>
      <c r="PDJ80" s="362"/>
      <c r="PDK80" s="362"/>
      <c r="PDL80" s="362"/>
      <c r="PDM80" s="362"/>
      <c r="PDN80" s="362"/>
      <c r="PDO80" s="362"/>
      <c r="PDP80" s="362"/>
      <c r="PDQ80" s="362"/>
      <c r="PDR80" s="362"/>
      <c r="PDS80" s="362"/>
      <c r="PDT80" s="362"/>
      <c r="PDU80" s="362"/>
      <c r="PDV80" s="362"/>
      <c r="PDW80" s="362"/>
      <c r="PDX80" s="362"/>
      <c r="PDY80" s="362"/>
      <c r="PDZ80" s="362"/>
      <c r="PEA80" s="362"/>
      <c r="PEB80" s="362"/>
      <c r="PEC80" s="362"/>
      <c r="PED80" s="362"/>
      <c r="PEE80" s="362"/>
      <c r="PEF80" s="362"/>
      <c r="PEG80" s="362"/>
      <c r="PEH80" s="362"/>
      <c r="PEI80" s="362"/>
      <c r="PEJ80" s="362"/>
      <c r="PEK80" s="362"/>
      <c r="PEL80" s="362"/>
      <c r="PEM80" s="362"/>
      <c r="PEN80" s="362"/>
      <c r="PEO80" s="362"/>
      <c r="PEP80" s="362"/>
      <c r="PEQ80" s="362"/>
      <c r="PER80" s="362"/>
      <c r="PES80" s="362"/>
      <c r="PET80" s="362"/>
      <c r="PEU80" s="362"/>
      <c r="PEV80" s="362"/>
      <c r="PEW80" s="362"/>
      <c r="PEX80" s="362"/>
      <c r="PEY80" s="362"/>
      <c r="PEZ80" s="362"/>
      <c r="PFA80" s="362"/>
      <c r="PFB80" s="362"/>
      <c r="PFC80" s="362"/>
      <c r="PFD80" s="362"/>
      <c r="PFE80" s="362"/>
      <c r="PFF80" s="362"/>
      <c r="PFG80" s="362"/>
      <c r="PFH80" s="362"/>
      <c r="PFI80" s="362"/>
      <c r="PFJ80" s="362"/>
      <c r="PFK80" s="362"/>
      <c r="PFL80" s="362"/>
      <c r="PFM80" s="362"/>
      <c r="PFN80" s="362"/>
      <c r="PFO80" s="362"/>
      <c r="PFP80" s="362"/>
      <c r="PFQ80" s="362"/>
      <c r="PFR80" s="362"/>
      <c r="PFS80" s="362"/>
      <c r="PFT80" s="362"/>
      <c r="PFU80" s="362"/>
      <c r="PFV80" s="362"/>
      <c r="PFW80" s="362"/>
      <c r="PFX80" s="362"/>
      <c r="PFY80" s="362"/>
      <c r="PFZ80" s="362"/>
      <c r="PGA80" s="362"/>
      <c r="PGB80" s="362"/>
      <c r="PGC80" s="362"/>
      <c r="PGD80" s="362"/>
      <c r="PGE80" s="362"/>
      <c r="PGF80" s="362"/>
      <c r="PGG80" s="362"/>
      <c r="PGH80" s="362"/>
      <c r="PGI80" s="362"/>
      <c r="PGJ80" s="362"/>
      <c r="PGK80" s="362"/>
      <c r="PGL80" s="362"/>
      <c r="PGM80" s="362"/>
      <c r="PGN80" s="362"/>
      <c r="PGO80" s="362"/>
      <c r="PGP80" s="362"/>
      <c r="PGQ80" s="362"/>
      <c r="PGR80" s="362"/>
      <c r="PGS80" s="362"/>
      <c r="PGT80" s="362"/>
      <c r="PGU80" s="362"/>
      <c r="PGV80" s="362"/>
      <c r="PGW80" s="362"/>
      <c r="PGX80" s="362"/>
      <c r="PGY80" s="362"/>
      <c r="PGZ80" s="362"/>
      <c r="PHA80" s="362"/>
      <c r="PHB80" s="362"/>
      <c r="PHC80" s="362"/>
      <c r="PHD80" s="362"/>
      <c r="PHE80" s="362"/>
      <c r="PHF80" s="362"/>
      <c r="PHG80" s="362"/>
      <c r="PHH80" s="362"/>
      <c r="PHI80" s="362"/>
      <c r="PHJ80" s="362"/>
      <c r="PHK80" s="362"/>
      <c r="PHL80" s="362"/>
      <c r="PHM80" s="362"/>
      <c r="PHN80" s="362"/>
      <c r="PHO80" s="362"/>
      <c r="PHP80" s="362"/>
      <c r="PHQ80" s="362"/>
      <c r="PHR80" s="362"/>
      <c r="PHS80" s="362"/>
      <c r="PHT80" s="362"/>
      <c r="PHU80" s="362"/>
      <c r="PHV80" s="362"/>
      <c r="PHW80" s="362"/>
      <c r="PHX80" s="362"/>
      <c r="PHY80" s="362"/>
      <c r="PHZ80" s="362"/>
      <c r="PIA80" s="362"/>
      <c r="PIB80" s="362"/>
      <c r="PIC80" s="362"/>
      <c r="PID80" s="362"/>
      <c r="PIE80" s="362"/>
      <c r="PIF80" s="362"/>
      <c r="PIG80" s="362"/>
      <c r="PIH80" s="362"/>
      <c r="PII80" s="362"/>
      <c r="PIJ80" s="362"/>
      <c r="PIK80" s="362"/>
      <c r="PIL80" s="362"/>
      <c r="PIM80" s="362"/>
      <c r="PIN80" s="362"/>
      <c r="PIO80" s="362"/>
      <c r="PIP80" s="362"/>
      <c r="PIQ80" s="362"/>
      <c r="PIR80" s="362"/>
      <c r="PIS80" s="362"/>
      <c r="PIT80" s="362"/>
      <c r="PIU80" s="362"/>
      <c r="PIV80" s="362"/>
      <c r="PIW80" s="362"/>
      <c r="PIX80" s="362"/>
      <c r="PIY80" s="362"/>
      <c r="PIZ80" s="362"/>
      <c r="PJA80" s="362"/>
      <c r="PJB80" s="362"/>
      <c r="PJC80" s="362"/>
      <c r="PJD80" s="362"/>
      <c r="PJE80" s="362"/>
      <c r="PJF80" s="362"/>
      <c r="PJG80" s="362"/>
      <c r="PJH80" s="362"/>
      <c r="PJI80" s="362"/>
      <c r="PJJ80" s="362"/>
      <c r="PJK80" s="362"/>
      <c r="PJL80" s="362"/>
      <c r="PJM80" s="362"/>
      <c r="PJN80" s="362"/>
      <c r="PJO80" s="362"/>
      <c r="PJP80" s="362"/>
      <c r="PJQ80" s="362"/>
      <c r="PJR80" s="362"/>
      <c r="PJS80" s="362"/>
      <c r="PJT80" s="362"/>
      <c r="PJU80" s="362"/>
      <c r="PJV80" s="362"/>
      <c r="PJW80" s="362"/>
      <c r="PJX80" s="362"/>
      <c r="PJY80" s="362"/>
      <c r="PJZ80" s="362"/>
      <c r="PKA80" s="362"/>
      <c r="PKB80" s="362"/>
      <c r="PKC80" s="362"/>
      <c r="PKD80" s="362"/>
      <c r="PKE80" s="362"/>
      <c r="PKF80" s="362"/>
      <c r="PKG80" s="362"/>
      <c r="PKH80" s="362"/>
      <c r="PKI80" s="362"/>
      <c r="PKJ80" s="362"/>
      <c r="PKK80" s="362"/>
      <c r="PKL80" s="362"/>
      <c r="PKM80" s="362"/>
      <c r="PKN80" s="362"/>
      <c r="PKO80" s="362"/>
      <c r="PKP80" s="362"/>
      <c r="PKQ80" s="362"/>
      <c r="PKR80" s="362"/>
      <c r="PKS80" s="362"/>
      <c r="PKT80" s="362"/>
      <c r="PKU80" s="362"/>
      <c r="PKV80" s="362"/>
      <c r="PKW80" s="362"/>
      <c r="PKX80" s="362"/>
      <c r="PKY80" s="362"/>
      <c r="PKZ80" s="362"/>
      <c r="PLA80" s="362"/>
      <c r="PLB80" s="362"/>
      <c r="PLC80" s="362"/>
      <c r="PLD80" s="362"/>
      <c r="PLE80" s="362"/>
      <c r="PLF80" s="362"/>
      <c r="PLG80" s="362"/>
      <c r="PLH80" s="362"/>
      <c r="PLI80" s="362"/>
      <c r="PLJ80" s="362"/>
      <c r="PLK80" s="362"/>
      <c r="PLL80" s="362"/>
      <c r="PLM80" s="362"/>
      <c r="PLN80" s="362"/>
      <c r="PLO80" s="362"/>
      <c r="PLP80" s="362"/>
      <c r="PLQ80" s="362"/>
      <c r="PLR80" s="362"/>
      <c r="PLS80" s="362"/>
      <c r="PLT80" s="362"/>
      <c r="PLU80" s="362"/>
      <c r="PLV80" s="362"/>
      <c r="PLW80" s="362"/>
      <c r="PLX80" s="362"/>
      <c r="PLY80" s="362"/>
      <c r="PLZ80" s="362"/>
      <c r="PMA80" s="362"/>
      <c r="PMB80" s="362"/>
      <c r="PMC80" s="362"/>
      <c r="PMD80" s="362"/>
      <c r="PME80" s="362"/>
      <c r="PMF80" s="362"/>
      <c r="PMG80" s="362"/>
      <c r="PMH80" s="362"/>
      <c r="PMI80" s="362"/>
      <c r="PMJ80" s="362"/>
      <c r="PMK80" s="362"/>
      <c r="PML80" s="362"/>
      <c r="PMM80" s="362"/>
      <c r="PMN80" s="362"/>
      <c r="PMO80" s="362"/>
      <c r="PMP80" s="362"/>
      <c r="PMQ80" s="362"/>
      <c r="PMR80" s="362"/>
      <c r="PMS80" s="362"/>
      <c r="PMT80" s="362"/>
      <c r="PMU80" s="362"/>
      <c r="PMV80" s="362"/>
      <c r="PMW80" s="362"/>
      <c r="PMX80" s="362"/>
      <c r="PMY80" s="362"/>
      <c r="PMZ80" s="362"/>
      <c r="PNA80" s="362"/>
      <c r="PNB80" s="362"/>
      <c r="PNC80" s="362"/>
      <c r="PND80" s="362"/>
      <c r="PNE80" s="362"/>
      <c r="PNF80" s="362"/>
      <c r="PNG80" s="362"/>
      <c r="PNH80" s="362"/>
      <c r="PNI80" s="362"/>
      <c r="PNJ80" s="362"/>
      <c r="PNK80" s="362"/>
      <c r="PNL80" s="362"/>
      <c r="PNM80" s="362"/>
      <c r="PNN80" s="362"/>
      <c r="PNO80" s="362"/>
      <c r="PNP80" s="362"/>
      <c r="PNQ80" s="362"/>
      <c r="PNR80" s="362"/>
      <c r="PNS80" s="362"/>
      <c r="PNT80" s="362"/>
      <c r="PNU80" s="362"/>
      <c r="PNV80" s="362"/>
      <c r="PNW80" s="362"/>
      <c r="PNX80" s="362"/>
      <c r="PNY80" s="362"/>
      <c r="PNZ80" s="362"/>
      <c r="POA80" s="362"/>
      <c r="POB80" s="362"/>
      <c r="POC80" s="362"/>
      <c r="POD80" s="362"/>
      <c r="POE80" s="362"/>
      <c r="POF80" s="362"/>
      <c r="POG80" s="362"/>
      <c r="POH80" s="362"/>
      <c r="POI80" s="362"/>
      <c r="POJ80" s="362"/>
      <c r="POK80" s="362"/>
      <c r="POL80" s="362"/>
      <c r="POM80" s="362"/>
      <c r="PON80" s="362"/>
      <c r="POO80" s="362"/>
      <c r="POP80" s="362"/>
      <c r="POQ80" s="362"/>
      <c r="POR80" s="362"/>
      <c r="POS80" s="362"/>
      <c r="POT80" s="362"/>
      <c r="POU80" s="362"/>
      <c r="POV80" s="362"/>
      <c r="POW80" s="362"/>
      <c r="POX80" s="362"/>
      <c r="POY80" s="362"/>
      <c r="POZ80" s="362"/>
      <c r="PPA80" s="362"/>
      <c r="PPB80" s="362"/>
      <c r="PPC80" s="362"/>
      <c r="PPD80" s="362"/>
      <c r="PPE80" s="362"/>
      <c r="PPF80" s="362"/>
      <c r="PPG80" s="362"/>
      <c r="PPH80" s="362"/>
      <c r="PPI80" s="362"/>
      <c r="PPJ80" s="362"/>
      <c r="PPK80" s="362"/>
      <c r="PPL80" s="362"/>
      <c r="PPM80" s="362"/>
      <c r="PPN80" s="362"/>
      <c r="PPO80" s="362"/>
      <c r="PPP80" s="362"/>
      <c r="PPQ80" s="362"/>
      <c r="PPR80" s="362"/>
      <c r="PPS80" s="362"/>
      <c r="PPT80" s="362"/>
      <c r="PPU80" s="362"/>
      <c r="PPV80" s="362"/>
      <c r="PPW80" s="362"/>
      <c r="PPX80" s="362"/>
      <c r="PPY80" s="362"/>
      <c r="PPZ80" s="362"/>
      <c r="PQA80" s="362"/>
      <c r="PQB80" s="362"/>
      <c r="PQC80" s="362"/>
      <c r="PQD80" s="362"/>
      <c r="PQE80" s="362"/>
      <c r="PQF80" s="362"/>
      <c r="PQG80" s="362"/>
      <c r="PQH80" s="362"/>
      <c r="PQI80" s="362"/>
      <c r="PQJ80" s="362"/>
      <c r="PQK80" s="362"/>
      <c r="PQL80" s="362"/>
      <c r="PQM80" s="362"/>
      <c r="PQN80" s="362"/>
      <c r="PQO80" s="362"/>
      <c r="PQP80" s="362"/>
      <c r="PQQ80" s="362"/>
      <c r="PQR80" s="362"/>
      <c r="PQS80" s="362"/>
      <c r="PQT80" s="362"/>
      <c r="PQU80" s="362"/>
      <c r="PQV80" s="362"/>
      <c r="PQW80" s="362"/>
      <c r="PQX80" s="362"/>
      <c r="PQY80" s="362"/>
      <c r="PQZ80" s="362"/>
      <c r="PRA80" s="362"/>
      <c r="PRB80" s="362"/>
      <c r="PRC80" s="362"/>
      <c r="PRD80" s="362"/>
      <c r="PRE80" s="362"/>
      <c r="PRF80" s="362"/>
      <c r="PRG80" s="362"/>
      <c r="PRH80" s="362"/>
      <c r="PRI80" s="362"/>
      <c r="PRJ80" s="362"/>
      <c r="PRK80" s="362"/>
      <c r="PRL80" s="362"/>
      <c r="PRM80" s="362"/>
      <c r="PRN80" s="362"/>
      <c r="PRO80" s="362"/>
      <c r="PRP80" s="362"/>
      <c r="PRQ80" s="362"/>
      <c r="PRR80" s="362"/>
      <c r="PRS80" s="362"/>
      <c r="PRT80" s="362"/>
      <c r="PRU80" s="362"/>
      <c r="PRV80" s="362"/>
      <c r="PRW80" s="362"/>
      <c r="PRX80" s="362"/>
      <c r="PRY80" s="362"/>
      <c r="PRZ80" s="362"/>
      <c r="PSA80" s="362"/>
      <c r="PSB80" s="362"/>
      <c r="PSC80" s="362"/>
      <c r="PSD80" s="362"/>
      <c r="PSE80" s="362"/>
      <c r="PSF80" s="362"/>
      <c r="PSG80" s="362"/>
      <c r="PSH80" s="362"/>
      <c r="PSI80" s="362"/>
      <c r="PSJ80" s="362"/>
      <c r="PSK80" s="362"/>
      <c r="PSL80" s="362"/>
      <c r="PSM80" s="362"/>
      <c r="PSN80" s="362"/>
      <c r="PSO80" s="362"/>
      <c r="PSP80" s="362"/>
      <c r="PSQ80" s="362"/>
      <c r="PSR80" s="362"/>
      <c r="PSS80" s="362"/>
      <c r="PST80" s="362"/>
      <c r="PSU80" s="362"/>
      <c r="PSV80" s="362"/>
      <c r="PSW80" s="362"/>
      <c r="PSX80" s="362"/>
      <c r="PSY80" s="362"/>
      <c r="PSZ80" s="362"/>
      <c r="PTA80" s="362"/>
      <c r="PTB80" s="362"/>
      <c r="PTC80" s="362"/>
      <c r="PTD80" s="362"/>
      <c r="PTE80" s="362"/>
      <c r="PTF80" s="362"/>
      <c r="PTG80" s="362"/>
      <c r="PTH80" s="362"/>
      <c r="PTI80" s="362"/>
      <c r="PTJ80" s="362"/>
      <c r="PTK80" s="362"/>
      <c r="PTL80" s="362"/>
      <c r="PTM80" s="362"/>
      <c r="PTN80" s="362"/>
      <c r="PTO80" s="362"/>
      <c r="PTP80" s="362"/>
      <c r="PTQ80" s="362"/>
      <c r="PTR80" s="362"/>
      <c r="PTS80" s="362"/>
      <c r="PTT80" s="362"/>
      <c r="PTU80" s="362"/>
      <c r="PTV80" s="362"/>
      <c r="PTW80" s="362"/>
      <c r="PTX80" s="362"/>
      <c r="PTY80" s="362"/>
      <c r="PTZ80" s="362"/>
      <c r="PUA80" s="362"/>
      <c r="PUB80" s="362"/>
      <c r="PUC80" s="362"/>
      <c r="PUD80" s="362"/>
      <c r="PUE80" s="362"/>
      <c r="PUF80" s="362"/>
      <c r="PUG80" s="362"/>
      <c r="PUH80" s="362"/>
      <c r="PUI80" s="362"/>
      <c r="PUJ80" s="362"/>
      <c r="PUK80" s="362"/>
      <c r="PUL80" s="362"/>
      <c r="PUM80" s="362"/>
      <c r="PUN80" s="362"/>
      <c r="PUO80" s="362"/>
      <c r="PUP80" s="362"/>
      <c r="PUQ80" s="362"/>
      <c r="PUR80" s="362"/>
      <c r="PUS80" s="362"/>
      <c r="PUT80" s="362"/>
      <c r="PUU80" s="362"/>
      <c r="PUV80" s="362"/>
      <c r="PUW80" s="362"/>
      <c r="PUX80" s="362"/>
      <c r="PUY80" s="362"/>
      <c r="PUZ80" s="362"/>
      <c r="PVA80" s="362"/>
      <c r="PVB80" s="362"/>
      <c r="PVC80" s="362"/>
      <c r="PVD80" s="362"/>
      <c r="PVE80" s="362"/>
      <c r="PVF80" s="362"/>
      <c r="PVG80" s="362"/>
      <c r="PVH80" s="362"/>
      <c r="PVI80" s="362"/>
      <c r="PVJ80" s="362"/>
      <c r="PVK80" s="362"/>
      <c r="PVL80" s="362"/>
      <c r="PVM80" s="362"/>
      <c r="PVN80" s="362"/>
      <c r="PVO80" s="362"/>
      <c r="PVP80" s="362"/>
      <c r="PVQ80" s="362"/>
      <c r="PVR80" s="362"/>
      <c r="PVS80" s="362"/>
      <c r="PVT80" s="362"/>
      <c r="PVU80" s="362"/>
      <c r="PVV80" s="362"/>
      <c r="PVW80" s="362"/>
      <c r="PVX80" s="362"/>
      <c r="PVY80" s="362"/>
      <c r="PVZ80" s="362"/>
      <c r="PWA80" s="362"/>
      <c r="PWB80" s="362"/>
      <c r="PWC80" s="362"/>
      <c r="PWD80" s="362"/>
      <c r="PWE80" s="362"/>
      <c r="PWF80" s="362"/>
      <c r="PWG80" s="362"/>
      <c r="PWH80" s="362"/>
      <c r="PWI80" s="362"/>
      <c r="PWJ80" s="362"/>
      <c r="PWK80" s="362"/>
      <c r="PWL80" s="362"/>
      <c r="PWM80" s="362"/>
      <c r="PWN80" s="362"/>
      <c r="PWO80" s="362"/>
      <c r="PWP80" s="362"/>
      <c r="PWQ80" s="362"/>
      <c r="PWR80" s="362"/>
      <c r="PWS80" s="362"/>
      <c r="PWT80" s="362"/>
      <c r="PWU80" s="362"/>
      <c r="PWV80" s="362"/>
      <c r="PWW80" s="362"/>
      <c r="PWX80" s="362"/>
      <c r="PWY80" s="362"/>
      <c r="PWZ80" s="362"/>
      <c r="PXA80" s="362"/>
      <c r="PXB80" s="362"/>
      <c r="PXC80" s="362"/>
      <c r="PXD80" s="362"/>
      <c r="PXE80" s="362"/>
      <c r="PXF80" s="362"/>
      <c r="PXG80" s="362"/>
      <c r="PXH80" s="362"/>
      <c r="PXI80" s="362"/>
      <c r="PXJ80" s="362"/>
      <c r="PXK80" s="362"/>
      <c r="PXL80" s="362"/>
      <c r="PXM80" s="362"/>
      <c r="PXN80" s="362"/>
      <c r="PXO80" s="362"/>
      <c r="PXP80" s="362"/>
      <c r="PXQ80" s="362"/>
      <c r="PXR80" s="362"/>
      <c r="PXS80" s="362"/>
      <c r="PXT80" s="362"/>
      <c r="PXU80" s="362"/>
      <c r="PXV80" s="362"/>
      <c r="PXW80" s="362"/>
      <c r="PXX80" s="362"/>
      <c r="PXY80" s="362"/>
      <c r="PXZ80" s="362"/>
      <c r="PYA80" s="362"/>
      <c r="PYB80" s="362"/>
      <c r="PYC80" s="362"/>
      <c r="PYD80" s="362"/>
      <c r="PYE80" s="362"/>
      <c r="PYF80" s="362"/>
      <c r="PYG80" s="362"/>
      <c r="PYH80" s="362"/>
      <c r="PYI80" s="362"/>
      <c r="PYJ80" s="362"/>
      <c r="PYK80" s="362"/>
      <c r="PYL80" s="362"/>
      <c r="PYM80" s="362"/>
      <c r="PYN80" s="362"/>
      <c r="PYO80" s="362"/>
      <c r="PYP80" s="362"/>
      <c r="PYQ80" s="362"/>
      <c r="PYR80" s="362"/>
      <c r="PYS80" s="362"/>
      <c r="PYT80" s="362"/>
      <c r="PYU80" s="362"/>
      <c r="PYV80" s="362"/>
      <c r="PYW80" s="362"/>
      <c r="PYX80" s="362"/>
      <c r="PYY80" s="362"/>
      <c r="PYZ80" s="362"/>
      <c r="PZA80" s="362"/>
      <c r="PZB80" s="362"/>
      <c r="PZC80" s="362"/>
      <c r="PZD80" s="362"/>
      <c r="PZE80" s="362"/>
      <c r="PZF80" s="362"/>
      <c r="PZG80" s="362"/>
      <c r="PZH80" s="362"/>
      <c r="PZI80" s="362"/>
      <c r="PZJ80" s="362"/>
      <c r="PZK80" s="362"/>
      <c r="PZL80" s="362"/>
      <c r="PZM80" s="362"/>
      <c r="PZN80" s="362"/>
      <c r="PZO80" s="362"/>
      <c r="PZP80" s="362"/>
      <c r="PZQ80" s="362"/>
      <c r="PZR80" s="362"/>
      <c r="PZS80" s="362"/>
      <c r="PZT80" s="362"/>
      <c r="PZU80" s="362"/>
      <c r="PZV80" s="362"/>
      <c r="PZW80" s="362"/>
      <c r="PZX80" s="362"/>
      <c r="PZY80" s="362"/>
      <c r="PZZ80" s="362"/>
      <c r="QAA80" s="362"/>
      <c r="QAB80" s="362"/>
      <c r="QAC80" s="362"/>
      <c r="QAD80" s="362"/>
      <c r="QAE80" s="362"/>
      <c r="QAF80" s="362"/>
      <c r="QAG80" s="362"/>
      <c r="QAH80" s="362"/>
      <c r="QAI80" s="362"/>
      <c r="QAJ80" s="362"/>
      <c r="QAK80" s="362"/>
      <c r="QAL80" s="362"/>
      <c r="QAM80" s="362"/>
      <c r="QAN80" s="362"/>
      <c r="QAO80" s="362"/>
      <c r="QAP80" s="362"/>
      <c r="QAQ80" s="362"/>
      <c r="QAR80" s="362"/>
      <c r="QAS80" s="362"/>
      <c r="QAT80" s="362"/>
      <c r="QAU80" s="362"/>
      <c r="QAV80" s="362"/>
      <c r="QAW80" s="362"/>
      <c r="QAX80" s="362"/>
      <c r="QAY80" s="362"/>
      <c r="QAZ80" s="362"/>
      <c r="QBA80" s="362"/>
      <c r="QBB80" s="362"/>
      <c r="QBC80" s="362"/>
      <c r="QBD80" s="362"/>
      <c r="QBE80" s="362"/>
      <c r="QBF80" s="362"/>
      <c r="QBG80" s="362"/>
      <c r="QBH80" s="362"/>
      <c r="QBI80" s="362"/>
      <c r="QBJ80" s="362"/>
      <c r="QBK80" s="362"/>
      <c r="QBL80" s="362"/>
      <c r="QBM80" s="362"/>
      <c r="QBN80" s="362"/>
      <c r="QBO80" s="362"/>
      <c r="QBP80" s="362"/>
      <c r="QBQ80" s="362"/>
      <c r="QBR80" s="362"/>
      <c r="QBS80" s="362"/>
      <c r="QBT80" s="362"/>
      <c r="QBU80" s="362"/>
      <c r="QBV80" s="362"/>
      <c r="QBW80" s="362"/>
      <c r="QBX80" s="362"/>
      <c r="QBY80" s="362"/>
      <c r="QBZ80" s="362"/>
      <c r="QCA80" s="362"/>
      <c r="QCB80" s="362"/>
      <c r="QCC80" s="362"/>
      <c r="QCD80" s="362"/>
      <c r="QCE80" s="362"/>
      <c r="QCF80" s="362"/>
      <c r="QCG80" s="362"/>
      <c r="QCH80" s="362"/>
      <c r="QCI80" s="362"/>
      <c r="QCJ80" s="362"/>
      <c r="QCK80" s="362"/>
      <c r="QCL80" s="362"/>
      <c r="QCM80" s="362"/>
      <c r="QCN80" s="362"/>
      <c r="QCO80" s="362"/>
      <c r="QCP80" s="362"/>
      <c r="QCQ80" s="362"/>
      <c r="QCR80" s="362"/>
      <c r="QCS80" s="362"/>
      <c r="QCT80" s="362"/>
      <c r="QCU80" s="362"/>
      <c r="QCV80" s="362"/>
      <c r="QCW80" s="362"/>
      <c r="QCX80" s="362"/>
      <c r="QCY80" s="362"/>
      <c r="QCZ80" s="362"/>
      <c r="QDA80" s="362"/>
      <c r="QDB80" s="362"/>
      <c r="QDC80" s="362"/>
      <c r="QDD80" s="362"/>
      <c r="QDE80" s="362"/>
      <c r="QDF80" s="362"/>
      <c r="QDG80" s="362"/>
      <c r="QDH80" s="362"/>
      <c r="QDI80" s="362"/>
      <c r="QDJ80" s="362"/>
      <c r="QDK80" s="362"/>
      <c r="QDL80" s="362"/>
      <c r="QDM80" s="362"/>
      <c r="QDN80" s="362"/>
      <c r="QDO80" s="362"/>
      <c r="QDP80" s="362"/>
      <c r="QDQ80" s="362"/>
      <c r="QDR80" s="362"/>
      <c r="QDS80" s="362"/>
      <c r="QDT80" s="362"/>
      <c r="QDU80" s="362"/>
      <c r="QDV80" s="362"/>
      <c r="QDW80" s="362"/>
      <c r="QDX80" s="362"/>
      <c r="QDY80" s="362"/>
      <c r="QDZ80" s="362"/>
      <c r="QEA80" s="362"/>
      <c r="QEB80" s="362"/>
      <c r="QEC80" s="362"/>
      <c r="QED80" s="362"/>
      <c r="QEE80" s="362"/>
      <c r="QEF80" s="362"/>
      <c r="QEG80" s="362"/>
      <c r="QEH80" s="362"/>
      <c r="QEI80" s="362"/>
      <c r="QEJ80" s="362"/>
      <c r="QEK80" s="362"/>
      <c r="QEL80" s="362"/>
      <c r="QEM80" s="362"/>
      <c r="QEN80" s="362"/>
      <c r="QEO80" s="362"/>
      <c r="QEP80" s="362"/>
      <c r="QEQ80" s="362"/>
      <c r="QER80" s="362"/>
      <c r="QES80" s="362"/>
      <c r="QET80" s="362"/>
      <c r="QEU80" s="362"/>
      <c r="QEV80" s="362"/>
      <c r="QEW80" s="362"/>
      <c r="QEX80" s="362"/>
      <c r="QEY80" s="362"/>
      <c r="QEZ80" s="362"/>
      <c r="QFA80" s="362"/>
      <c r="QFB80" s="362"/>
      <c r="QFC80" s="362"/>
      <c r="QFD80" s="362"/>
      <c r="QFE80" s="362"/>
      <c r="QFF80" s="362"/>
      <c r="QFG80" s="362"/>
      <c r="QFH80" s="362"/>
      <c r="QFI80" s="362"/>
      <c r="QFJ80" s="362"/>
      <c r="QFK80" s="362"/>
      <c r="QFL80" s="362"/>
      <c r="QFM80" s="362"/>
      <c r="QFN80" s="362"/>
      <c r="QFO80" s="362"/>
      <c r="QFP80" s="362"/>
      <c r="QFQ80" s="362"/>
      <c r="QFR80" s="362"/>
      <c r="QFS80" s="362"/>
      <c r="QFT80" s="362"/>
      <c r="QFU80" s="362"/>
      <c r="QFV80" s="362"/>
      <c r="QFW80" s="362"/>
      <c r="QFX80" s="362"/>
      <c r="QFY80" s="362"/>
      <c r="QFZ80" s="362"/>
      <c r="QGA80" s="362"/>
      <c r="QGB80" s="362"/>
      <c r="QGC80" s="362"/>
      <c r="QGD80" s="362"/>
      <c r="QGE80" s="362"/>
      <c r="QGF80" s="362"/>
      <c r="QGG80" s="362"/>
      <c r="QGH80" s="362"/>
      <c r="QGI80" s="362"/>
      <c r="QGJ80" s="362"/>
      <c r="QGK80" s="362"/>
      <c r="QGL80" s="362"/>
      <c r="QGM80" s="362"/>
      <c r="QGN80" s="362"/>
      <c r="QGO80" s="362"/>
      <c r="QGP80" s="362"/>
      <c r="QGQ80" s="362"/>
      <c r="QGR80" s="362"/>
      <c r="QGS80" s="362"/>
      <c r="QGT80" s="362"/>
      <c r="QGU80" s="362"/>
      <c r="QGV80" s="362"/>
      <c r="QGW80" s="362"/>
      <c r="QGX80" s="362"/>
      <c r="QGY80" s="362"/>
      <c r="QGZ80" s="362"/>
      <c r="QHA80" s="362"/>
      <c r="QHB80" s="362"/>
      <c r="QHC80" s="362"/>
      <c r="QHD80" s="362"/>
      <c r="QHE80" s="362"/>
      <c r="QHF80" s="362"/>
      <c r="QHG80" s="362"/>
      <c r="QHH80" s="362"/>
      <c r="QHI80" s="362"/>
      <c r="QHJ80" s="362"/>
      <c r="QHK80" s="362"/>
      <c r="QHL80" s="362"/>
      <c r="QHM80" s="362"/>
      <c r="QHN80" s="362"/>
      <c r="QHO80" s="362"/>
      <c r="QHP80" s="362"/>
      <c r="QHQ80" s="362"/>
      <c r="QHR80" s="362"/>
      <c r="QHS80" s="362"/>
      <c r="QHT80" s="362"/>
      <c r="QHU80" s="362"/>
      <c r="QHV80" s="362"/>
      <c r="QHW80" s="362"/>
      <c r="QHX80" s="362"/>
      <c r="QHY80" s="362"/>
      <c r="QHZ80" s="362"/>
      <c r="QIA80" s="362"/>
      <c r="QIB80" s="362"/>
      <c r="QIC80" s="362"/>
      <c r="QID80" s="362"/>
      <c r="QIE80" s="362"/>
      <c r="QIF80" s="362"/>
      <c r="QIG80" s="362"/>
      <c r="QIH80" s="362"/>
      <c r="QII80" s="362"/>
      <c r="QIJ80" s="362"/>
      <c r="QIK80" s="362"/>
      <c r="QIL80" s="362"/>
      <c r="QIM80" s="362"/>
      <c r="QIN80" s="362"/>
      <c r="QIO80" s="362"/>
      <c r="QIP80" s="362"/>
      <c r="QIQ80" s="362"/>
      <c r="QIR80" s="362"/>
      <c r="QIS80" s="362"/>
      <c r="QIT80" s="362"/>
      <c r="QIU80" s="362"/>
      <c r="QIV80" s="362"/>
      <c r="QIW80" s="362"/>
      <c r="QIX80" s="362"/>
      <c r="QIY80" s="362"/>
      <c r="QIZ80" s="362"/>
      <c r="QJA80" s="362"/>
      <c r="QJB80" s="362"/>
      <c r="QJC80" s="362"/>
      <c r="QJD80" s="362"/>
      <c r="QJE80" s="362"/>
      <c r="QJF80" s="362"/>
      <c r="QJG80" s="362"/>
      <c r="QJH80" s="362"/>
      <c r="QJI80" s="362"/>
      <c r="QJJ80" s="362"/>
      <c r="QJK80" s="362"/>
      <c r="QJL80" s="362"/>
      <c r="QJM80" s="362"/>
      <c r="QJN80" s="362"/>
      <c r="QJO80" s="362"/>
      <c r="QJP80" s="362"/>
      <c r="QJQ80" s="362"/>
      <c r="QJR80" s="362"/>
      <c r="QJS80" s="362"/>
      <c r="QJT80" s="362"/>
      <c r="QJU80" s="362"/>
      <c r="QJV80" s="362"/>
      <c r="QJW80" s="362"/>
      <c r="QJX80" s="362"/>
      <c r="QJY80" s="362"/>
      <c r="QJZ80" s="362"/>
      <c r="QKA80" s="362"/>
      <c r="QKB80" s="362"/>
      <c r="QKC80" s="362"/>
      <c r="QKD80" s="362"/>
      <c r="QKE80" s="362"/>
      <c r="QKF80" s="362"/>
      <c r="QKG80" s="362"/>
      <c r="QKH80" s="362"/>
      <c r="QKI80" s="362"/>
      <c r="QKJ80" s="362"/>
      <c r="QKK80" s="362"/>
      <c r="QKL80" s="362"/>
      <c r="QKM80" s="362"/>
      <c r="QKN80" s="362"/>
      <c r="QKO80" s="362"/>
      <c r="QKP80" s="362"/>
      <c r="QKQ80" s="362"/>
      <c r="QKR80" s="362"/>
      <c r="QKS80" s="362"/>
      <c r="QKT80" s="362"/>
      <c r="QKU80" s="362"/>
      <c r="QKV80" s="362"/>
      <c r="QKW80" s="362"/>
      <c r="QKX80" s="362"/>
      <c r="QKY80" s="362"/>
      <c r="QKZ80" s="362"/>
      <c r="QLA80" s="362"/>
      <c r="QLB80" s="362"/>
      <c r="QLC80" s="362"/>
      <c r="QLD80" s="362"/>
      <c r="QLE80" s="362"/>
      <c r="QLF80" s="362"/>
      <c r="QLG80" s="362"/>
      <c r="QLH80" s="362"/>
      <c r="QLI80" s="362"/>
      <c r="QLJ80" s="362"/>
      <c r="QLK80" s="362"/>
      <c r="QLL80" s="362"/>
      <c r="QLM80" s="362"/>
      <c r="QLN80" s="362"/>
      <c r="QLO80" s="362"/>
      <c r="QLP80" s="362"/>
      <c r="QLQ80" s="362"/>
      <c r="QLR80" s="362"/>
      <c r="QLS80" s="362"/>
      <c r="QLT80" s="362"/>
      <c r="QLU80" s="362"/>
      <c r="QLV80" s="362"/>
      <c r="QLW80" s="362"/>
      <c r="QLX80" s="362"/>
      <c r="QLY80" s="362"/>
      <c r="QLZ80" s="362"/>
      <c r="QMA80" s="362"/>
      <c r="QMB80" s="362"/>
      <c r="QMC80" s="362"/>
      <c r="QMD80" s="362"/>
      <c r="QME80" s="362"/>
      <c r="QMF80" s="362"/>
      <c r="QMG80" s="362"/>
      <c r="QMH80" s="362"/>
      <c r="QMI80" s="362"/>
      <c r="QMJ80" s="362"/>
      <c r="QMK80" s="362"/>
      <c r="QML80" s="362"/>
      <c r="QMM80" s="362"/>
      <c r="QMN80" s="362"/>
      <c r="QMO80" s="362"/>
      <c r="QMP80" s="362"/>
      <c r="QMQ80" s="362"/>
      <c r="QMR80" s="362"/>
      <c r="QMS80" s="362"/>
      <c r="QMT80" s="362"/>
      <c r="QMU80" s="362"/>
      <c r="QMV80" s="362"/>
      <c r="QMW80" s="362"/>
      <c r="QMX80" s="362"/>
      <c r="QMY80" s="362"/>
      <c r="QMZ80" s="362"/>
      <c r="QNA80" s="362"/>
      <c r="QNB80" s="362"/>
      <c r="QNC80" s="362"/>
      <c r="QND80" s="362"/>
      <c r="QNE80" s="362"/>
      <c r="QNF80" s="362"/>
      <c r="QNG80" s="362"/>
      <c r="QNH80" s="362"/>
      <c r="QNI80" s="362"/>
      <c r="QNJ80" s="362"/>
      <c r="QNK80" s="362"/>
      <c r="QNL80" s="362"/>
      <c r="QNM80" s="362"/>
      <c r="QNN80" s="362"/>
      <c r="QNO80" s="362"/>
      <c r="QNP80" s="362"/>
      <c r="QNQ80" s="362"/>
      <c r="QNR80" s="362"/>
      <c r="QNS80" s="362"/>
      <c r="QNT80" s="362"/>
      <c r="QNU80" s="362"/>
      <c r="QNV80" s="362"/>
      <c r="QNW80" s="362"/>
      <c r="QNX80" s="362"/>
      <c r="QNY80" s="362"/>
      <c r="QNZ80" s="362"/>
      <c r="QOA80" s="362"/>
      <c r="QOB80" s="362"/>
      <c r="QOC80" s="362"/>
      <c r="QOD80" s="362"/>
      <c r="QOE80" s="362"/>
      <c r="QOF80" s="362"/>
      <c r="QOG80" s="362"/>
      <c r="QOH80" s="362"/>
      <c r="QOI80" s="362"/>
      <c r="QOJ80" s="362"/>
      <c r="QOK80" s="362"/>
      <c r="QOL80" s="362"/>
      <c r="QOM80" s="362"/>
      <c r="QON80" s="362"/>
      <c r="QOO80" s="362"/>
      <c r="QOP80" s="362"/>
      <c r="QOQ80" s="362"/>
      <c r="QOR80" s="362"/>
      <c r="QOS80" s="362"/>
      <c r="QOT80" s="362"/>
      <c r="QOU80" s="362"/>
      <c r="QOV80" s="362"/>
      <c r="QOW80" s="362"/>
      <c r="QOX80" s="362"/>
      <c r="QOY80" s="362"/>
      <c r="QOZ80" s="362"/>
      <c r="QPA80" s="362"/>
      <c r="QPB80" s="362"/>
      <c r="QPC80" s="362"/>
      <c r="QPD80" s="362"/>
      <c r="QPE80" s="362"/>
      <c r="QPF80" s="362"/>
      <c r="QPG80" s="362"/>
      <c r="QPH80" s="362"/>
      <c r="QPI80" s="362"/>
      <c r="QPJ80" s="362"/>
      <c r="QPK80" s="362"/>
      <c r="QPL80" s="362"/>
      <c r="QPM80" s="362"/>
      <c r="QPN80" s="362"/>
      <c r="QPO80" s="362"/>
      <c r="QPP80" s="362"/>
      <c r="QPQ80" s="362"/>
      <c r="QPR80" s="362"/>
      <c r="QPS80" s="362"/>
      <c r="QPT80" s="362"/>
      <c r="QPU80" s="362"/>
      <c r="QPV80" s="362"/>
      <c r="QPW80" s="362"/>
      <c r="QPX80" s="362"/>
      <c r="QPY80" s="362"/>
      <c r="QPZ80" s="362"/>
      <c r="QQA80" s="362"/>
      <c r="QQB80" s="362"/>
      <c r="QQC80" s="362"/>
      <c r="QQD80" s="362"/>
      <c r="QQE80" s="362"/>
      <c r="QQF80" s="362"/>
      <c r="QQG80" s="362"/>
      <c r="QQH80" s="362"/>
      <c r="QQI80" s="362"/>
      <c r="QQJ80" s="362"/>
      <c r="QQK80" s="362"/>
      <c r="QQL80" s="362"/>
      <c r="QQM80" s="362"/>
      <c r="QQN80" s="362"/>
      <c r="QQO80" s="362"/>
      <c r="QQP80" s="362"/>
      <c r="QQQ80" s="362"/>
      <c r="QQR80" s="362"/>
      <c r="QQS80" s="362"/>
      <c r="QQT80" s="362"/>
      <c r="QQU80" s="362"/>
      <c r="QQV80" s="362"/>
      <c r="QQW80" s="362"/>
      <c r="QQX80" s="362"/>
      <c r="QQY80" s="362"/>
      <c r="QQZ80" s="362"/>
      <c r="QRA80" s="362"/>
      <c r="QRB80" s="362"/>
      <c r="QRC80" s="362"/>
      <c r="QRD80" s="362"/>
      <c r="QRE80" s="362"/>
      <c r="QRF80" s="362"/>
      <c r="QRG80" s="362"/>
      <c r="QRH80" s="362"/>
      <c r="QRI80" s="362"/>
      <c r="QRJ80" s="362"/>
      <c r="QRK80" s="362"/>
      <c r="QRL80" s="362"/>
      <c r="QRM80" s="362"/>
      <c r="QRN80" s="362"/>
      <c r="QRO80" s="362"/>
      <c r="QRP80" s="362"/>
      <c r="QRQ80" s="362"/>
      <c r="QRR80" s="362"/>
      <c r="QRS80" s="362"/>
      <c r="QRT80" s="362"/>
      <c r="QRU80" s="362"/>
      <c r="QRV80" s="362"/>
      <c r="QRW80" s="362"/>
      <c r="QRX80" s="362"/>
      <c r="QRY80" s="362"/>
      <c r="QRZ80" s="362"/>
      <c r="QSA80" s="362"/>
      <c r="QSB80" s="362"/>
      <c r="QSC80" s="362"/>
      <c r="QSD80" s="362"/>
      <c r="QSE80" s="362"/>
      <c r="QSF80" s="362"/>
      <c r="QSG80" s="362"/>
      <c r="QSH80" s="362"/>
      <c r="QSI80" s="362"/>
      <c r="QSJ80" s="362"/>
      <c r="QSK80" s="362"/>
      <c r="QSL80" s="362"/>
      <c r="QSM80" s="362"/>
      <c r="QSN80" s="362"/>
      <c r="QSO80" s="362"/>
      <c r="QSP80" s="362"/>
      <c r="QSQ80" s="362"/>
      <c r="QSR80" s="362"/>
      <c r="QSS80" s="362"/>
      <c r="QST80" s="362"/>
      <c r="QSU80" s="362"/>
      <c r="QSV80" s="362"/>
      <c r="QSW80" s="362"/>
      <c r="QSX80" s="362"/>
      <c r="QSY80" s="362"/>
      <c r="QSZ80" s="362"/>
      <c r="QTA80" s="362"/>
      <c r="QTB80" s="362"/>
      <c r="QTC80" s="362"/>
      <c r="QTD80" s="362"/>
      <c r="QTE80" s="362"/>
      <c r="QTF80" s="362"/>
      <c r="QTG80" s="362"/>
      <c r="QTH80" s="362"/>
      <c r="QTI80" s="362"/>
      <c r="QTJ80" s="362"/>
      <c r="QTK80" s="362"/>
      <c r="QTL80" s="362"/>
      <c r="QTM80" s="362"/>
      <c r="QTN80" s="362"/>
      <c r="QTO80" s="362"/>
      <c r="QTP80" s="362"/>
      <c r="QTQ80" s="362"/>
      <c r="QTR80" s="362"/>
      <c r="QTS80" s="362"/>
      <c r="QTT80" s="362"/>
      <c r="QTU80" s="362"/>
      <c r="QTV80" s="362"/>
      <c r="QTW80" s="362"/>
      <c r="QTX80" s="362"/>
      <c r="QTY80" s="362"/>
      <c r="QTZ80" s="362"/>
      <c r="QUA80" s="362"/>
      <c r="QUB80" s="362"/>
      <c r="QUC80" s="362"/>
      <c r="QUD80" s="362"/>
      <c r="QUE80" s="362"/>
      <c r="QUF80" s="362"/>
      <c r="QUG80" s="362"/>
      <c r="QUH80" s="362"/>
      <c r="QUI80" s="362"/>
      <c r="QUJ80" s="362"/>
      <c r="QUK80" s="362"/>
      <c r="QUL80" s="362"/>
      <c r="QUM80" s="362"/>
      <c r="QUN80" s="362"/>
      <c r="QUO80" s="362"/>
      <c r="QUP80" s="362"/>
      <c r="QUQ80" s="362"/>
      <c r="QUR80" s="362"/>
      <c r="QUS80" s="362"/>
      <c r="QUT80" s="362"/>
      <c r="QUU80" s="362"/>
      <c r="QUV80" s="362"/>
      <c r="QUW80" s="362"/>
      <c r="QUX80" s="362"/>
      <c r="QUY80" s="362"/>
      <c r="QUZ80" s="362"/>
      <c r="QVA80" s="362"/>
      <c r="QVB80" s="362"/>
      <c r="QVC80" s="362"/>
      <c r="QVD80" s="362"/>
      <c r="QVE80" s="362"/>
      <c r="QVF80" s="362"/>
      <c r="QVG80" s="362"/>
      <c r="QVH80" s="362"/>
      <c r="QVI80" s="362"/>
      <c r="QVJ80" s="362"/>
      <c r="QVK80" s="362"/>
      <c r="QVL80" s="362"/>
      <c r="QVM80" s="362"/>
      <c r="QVN80" s="362"/>
      <c r="QVO80" s="362"/>
      <c r="QVP80" s="362"/>
      <c r="QVQ80" s="362"/>
      <c r="QVR80" s="362"/>
      <c r="QVS80" s="362"/>
      <c r="QVT80" s="362"/>
      <c r="QVU80" s="362"/>
      <c r="QVV80" s="362"/>
      <c r="QVW80" s="362"/>
      <c r="QVX80" s="362"/>
      <c r="QVY80" s="362"/>
      <c r="QVZ80" s="362"/>
      <c r="QWA80" s="362"/>
      <c r="QWB80" s="362"/>
      <c r="QWC80" s="362"/>
      <c r="QWD80" s="362"/>
      <c r="QWE80" s="362"/>
      <c r="QWF80" s="362"/>
      <c r="QWG80" s="362"/>
      <c r="QWH80" s="362"/>
      <c r="QWI80" s="362"/>
      <c r="QWJ80" s="362"/>
      <c r="QWK80" s="362"/>
      <c r="QWL80" s="362"/>
      <c r="QWM80" s="362"/>
      <c r="QWN80" s="362"/>
      <c r="QWO80" s="362"/>
      <c r="QWP80" s="362"/>
      <c r="QWQ80" s="362"/>
      <c r="QWR80" s="362"/>
      <c r="QWS80" s="362"/>
      <c r="QWT80" s="362"/>
      <c r="QWU80" s="362"/>
      <c r="QWV80" s="362"/>
      <c r="QWW80" s="362"/>
      <c r="QWX80" s="362"/>
      <c r="QWY80" s="362"/>
      <c r="QWZ80" s="362"/>
      <c r="QXA80" s="362"/>
      <c r="QXB80" s="362"/>
      <c r="QXC80" s="362"/>
      <c r="QXD80" s="362"/>
      <c r="QXE80" s="362"/>
      <c r="QXF80" s="362"/>
      <c r="QXG80" s="362"/>
      <c r="QXH80" s="362"/>
      <c r="QXI80" s="362"/>
      <c r="QXJ80" s="362"/>
      <c r="QXK80" s="362"/>
      <c r="QXL80" s="362"/>
      <c r="QXM80" s="362"/>
      <c r="QXN80" s="362"/>
      <c r="QXO80" s="362"/>
      <c r="QXP80" s="362"/>
      <c r="QXQ80" s="362"/>
      <c r="QXR80" s="362"/>
      <c r="QXS80" s="362"/>
      <c r="QXT80" s="362"/>
      <c r="QXU80" s="362"/>
      <c r="QXV80" s="362"/>
      <c r="QXW80" s="362"/>
      <c r="QXX80" s="362"/>
      <c r="QXY80" s="362"/>
      <c r="QXZ80" s="362"/>
      <c r="QYA80" s="362"/>
      <c r="QYB80" s="362"/>
      <c r="QYC80" s="362"/>
      <c r="QYD80" s="362"/>
      <c r="QYE80" s="362"/>
      <c r="QYF80" s="362"/>
      <c r="QYG80" s="362"/>
      <c r="QYH80" s="362"/>
      <c r="QYI80" s="362"/>
      <c r="QYJ80" s="362"/>
      <c r="QYK80" s="362"/>
      <c r="QYL80" s="362"/>
      <c r="QYM80" s="362"/>
      <c r="QYN80" s="362"/>
      <c r="QYO80" s="362"/>
      <c r="QYP80" s="362"/>
      <c r="QYQ80" s="362"/>
      <c r="QYR80" s="362"/>
      <c r="QYS80" s="362"/>
      <c r="QYT80" s="362"/>
      <c r="QYU80" s="362"/>
      <c r="QYV80" s="362"/>
      <c r="QYW80" s="362"/>
      <c r="QYX80" s="362"/>
      <c r="QYY80" s="362"/>
      <c r="QYZ80" s="362"/>
      <c r="QZA80" s="362"/>
      <c r="QZB80" s="362"/>
      <c r="QZC80" s="362"/>
      <c r="QZD80" s="362"/>
      <c r="QZE80" s="362"/>
      <c r="QZF80" s="362"/>
      <c r="QZG80" s="362"/>
      <c r="QZH80" s="362"/>
      <c r="QZI80" s="362"/>
      <c r="QZJ80" s="362"/>
      <c r="QZK80" s="362"/>
      <c r="QZL80" s="362"/>
      <c r="QZM80" s="362"/>
      <c r="QZN80" s="362"/>
      <c r="QZO80" s="362"/>
      <c r="QZP80" s="362"/>
      <c r="QZQ80" s="362"/>
      <c r="QZR80" s="362"/>
      <c r="QZS80" s="362"/>
      <c r="QZT80" s="362"/>
      <c r="QZU80" s="362"/>
      <c r="QZV80" s="362"/>
      <c r="QZW80" s="362"/>
      <c r="QZX80" s="362"/>
      <c r="QZY80" s="362"/>
      <c r="QZZ80" s="362"/>
      <c r="RAA80" s="362"/>
      <c r="RAB80" s="362"/>
      <c r="RAC80" s="362"/>
      <c r="RAD80" s="362"/>
      <c r="RAE80" s="362"/>
      <c r="RAF80" s="362"/>
      <c r="RAG80" s="362"/>
      <c r="RAH80" s="362"/>
      <c r="RAI80" s="362"/>
      <c r="RAJ80" s="362"/>
      <c r="RAK80" s="362"/>
      <c r="RAL80" s="362"/>
      <c r="RAM80" s="362"/>
      <c r="RAN80" s="362"/>
      <c r="RAO80" s="362"/>
      <c r="RAP80" s="362"/>
      <c r="RAQ80" s="362"/>
      <c r="RAR80" s="362"/>
      <c r="RAS80" s="362"/>
      <c r="RAT80" s="362"/>
      <c r="RAU80" s="362"/>
      <c r="RAV80" s="362"/>
      <c r="RAW80" s="362"/>
      <c r="RAX80" s="362"/>
      <c r="RAY80" s="362"/>
      <c r="RAZ80" s="362"/>
      <c r="RBA80" s="362"/>
      <c r="RBB80" s="362"/>
      <c r="RBC80" s="362"/>
      <c r="RBD80" s="362"/>
      <c r="RBE80" s="362"/>
      <c r="RBF80" s="362"/>
      <c r="RBG80" s="362"/>
      <c r="RBH80" s="362"/>
      <c r="RBI80" s="362"/>
      <c r="RBJ80" s="362"/>
      <c r="RBK80" s="362"/>
      <c r="RBL80" s="362"/>
      <c r="RBM80" s="362"/>
      <c r="RBN80" s="362"/>
      <c r="RBO80" s="362"/>
      <c r="RBP80" s="362"/>
      <c r="RBQ80" s="362"/>
      <c r="RBR80" s="362"/>
      <c r="RBS80" s="362"/>
      <c r="RBT80" s="362"/>
      <c r="RBU80" s="362"/>
      <c r="RBV80" s="362"/>
      <c r="RBW80" s="362"/>
      <c r="RBX80" s="362"/>
      <c r="RBY80" s="362"/>
      <c r="RBZ80" s="362"/>
      <c r="RCA80" s="362"/>
      <c r="RCB80" s="362"/>
      <c r="RCC80" s="362"/>
      <c r="RCD80" s="362"/>
      <c r="RCE80" s="362"/>
      <c r="RCF80" s="362"/>
      <c r="RCG80" s="362"/>
      <c r="RCH80" s="362"/>
      <c r="RCI80" s="362"/>
      <c r="RCJ80" s="362"/>
      <c r="RCK80" s="362"/>
      <c r="RCL80" s="362"/>
      <c r="RCM80" s="362"/>
      <c r="RCN80" s="362"/>
      <c r="RCO80" s="362"/>
      <c r="RCP80" s="362"/>
      <c r="RCQ80" s="362"/>
      <c r="RCR80" s="362"/>
      <c r="RCS80" s="362"/>
      <c r="RCT80" s="362"/>
      <c r="RCU80" s="362"/>
      <c r="RCV80" s="362"/>
      <c r="RCW80" s="362"/>
      <c r="RCX80" s="362"/>
      <c r="RCY80" s="362"/>
      <c r="RCZ80" s="362"/>
      <c r="RDA80" s="362"/>
      <c r="RDB80" s="362"/>
      <c r="RDC80" s="362"/>
      <c r="RDD80" s="362"/>
      <c r="RDE80" s="362"/>
      <c r="RDF80" s="362"/>
      <c r="RDG80" s="362"/>
      <c r="RDH80" s="362"/>
      <c r="RDI80" s="362"/>
      <c r="RDJ80" s="362"/>
      <c r="RDK80" s="362"/>
      <c r="RDL80" s="362"/>
      <c r="RDM80" s="362"/>
      <c r="RDN80" s="362"/>
      <c r="RDO80" s="362"/>
      <c r="RDP80" s="362"/>
      <c r="RDQ80" s="362"/>
      <c r="RDR80" s="362"/>
      <c r="RDS80" s="362"/>
      <c r="RDT80" s="362"/>
      <c r="RDU80" s="362"/>
      <c r="RDV80" s="362"/>
      <c r="RDW80" s="362"/>
      <c r="RDX80" s="362"/>
      <c r="RDY80" s="362"/>
      <c r="RDZ80" s="362"/>
      <c r="REA80" s="362"/>
      <c r="REB80" s="362"/>
      <c r="REC80" s="362"/>
      <c r="RED80" s="362"/>
      <c r="REE80" s="362"/>
      <c r="REF80" s="362"/>
      <c r="REG80" s="362"/>
      <c r="REH80" s="362"/>
      <c r="REI80" s="362"/>
      <c r="REJ80" s="362"/>
      <c r="REK80" s="362"/>
      <c r="REL80" s="362"/>
      <c r="REM80" s="362"/>
      <c r="REN80" s="362"/>
      <c r="REO80" s="362"/>
      <c r="REP80" s="362"/>
      <c r="REQ80" s="362"/>
      <c r="RER80" s="362"/>
      <c r="RES80" s="362"/>
      <c r="RET80" s="362"/>
      <c r="REU80" s="362"/>
      <c r="REV80" s="362"/>
      <c r="REW80" s="362"/>
      <c r="REX80" s="362"/>
      <c r="REY80" s="362"/>
      <c r="REZ80" s="362"/>
      <c r="RFA80" s="362"/>
      <c r="RFB80" s="362"/>
      <c r="RFC80" s="362"/>
      <c r="RFD80" s="362"/>
      <c r="RFE80" s="362"/>
      <c r="RFF80" s="362"/>
      <c r="RFG80" s="362"/>
      <c r="RFH80" s="362"/>
      <c r="RFI80" s="362"/>
      <c r="RFJ80" s="362"/>
      <c r="RFK80" s="362"/>
      <c r="RFL80" s="362"/>
      <c r="RFM80" s="362"/>
      <c r="RFN80" s="362"/>
      <c r="RFO80" s="362"/>
      <c r="RFP80" s="362"/>
      <c r="RFQ80" s="362"/>
      <c r="RFR80" s="362"/>
      <c r="RFS80" s="362"/>
      <c r="RFT80" s="362"/>
      <c r="RFU80" s="362"/>
      <c r="RFV80" s="362"/>
      <c r="RFW80" s="362"/>
      <c r="RFX80" s="362"/>
      <c r="RFY80" s="362"/>
      <c r="RFZ80" s="362"/>
      <c r="RGA80" s="362"/>
      <c r="RGB80" s="362"/>
      <c r="RGC80" s="362"/>
      <c r="RGD80" s="362"/>
      <c r="RGE80" s="362"/>
      <c r="RGF80" s="362"/>
      <c r="RGG80" s="362"/>
      <c r="RGH80" s="362"/>
      <c r="RGI80" s="362"/>
      <c r="RGJ80" s="362"/>
      <c r="RGK80" s="362"/>
      <c r="RGL80" s="362"/>
      <c r="RGM80" s="362"/>
      <c r="RGN80" s="362"/>
      <c r="RGO80" s="362"/>
      <c r="RGP80" s="362"/>
      <c r="RGQ80" s="362"/>
      <c r="RGR80" s="362"/>
      <c r="RGS80" s="362"/>
      <c r="RGT80" s="362"/>
      <c r="RGU80" s="362"/>
      <c r="RGV80" s="362"/>
      <c r="RGW80" s="362"/>
      <c r="RGX80" s="362"/>
      <c r="RGY80" s="362"/>
      <c r="RGZ80" s="362"/>
      <c r="RHA80" s="362"/>
      <c r="RHB80" s="362"/>
      <c r="RHC80" s="362"/>
      <c r="RHD80" s="362"/>
      <c r="RHE80" s="362"/>
      <c r="RHF80" s="362"/>
      <c r="RHG80" s="362"/>
      <c r="RHH80" s="362"/>
      <c r="RHI80" s="362"/>
      <c r="RHJ80" s="362"/>
      <c r="RHK80" s="362"/>
      <c r="RHL80" s="362"/>
      <c r="RHM80" s="362"/>
      <c r="RHN80" s="362"/>
      <c r="RHO80" s="362"/>
      <c r="RHP80" s="362"/>
      <c r="RHQ80" s="362"/>
      <c r="RHR80" s="362"/>
      <c r="RHS80" s="362"/>
      <c r="RHT80" s="362"/>
      <c r="RHU80" s="362"/>
      <c r="RHV80" s="362"/>
      <c r="RHW80" s="362"/>
      <c r="RHX80" s="362"/>
      <c r="RHY80" s="362"/>
      <c r="RHZ80" s="362"/>
      <c r="RIA80" s="362"/>
      <c r="RIB80" s="362"/>
      <c r="RIC80" s="362"/>
      <c r="RID80" s="362"/>
      <c r="RIE80" s="362"/>
      <c r="RIF80" s="362"/>
      <c r="RIG80" s="362"/>
      <c r="RIH80" s="362"/>
      <c r="RII80" s="362"/>
      <c r="RIJ80" s="362"/>
      <c r="RIK80" s="362"/>
      <c r="RIL80" s="362"/>
      <c r="RIM80" s="362"/>
      <c r="RIN80" s="362"/>
      <c r="RIO80" s="362"/>
      <c r="RIP80" s="362"/>
      <c r="RIQ80" s="362"/>
      <c r="RIR80" s="362"/>
      <c r="RIS80" s="362"/>
      <c r="RIT80" s="362"/>
      <c r="RIU80" s="362"/>
      <c r="RIV80" s="362"/>
      <c r="RIW80" s="362"/>
      <c r="RIX80" s="362"/>
      <c r="RIY80" s="362"/>
      <c r="RIZ80" s="362"/>
      <c r="RJA80" s="362"/>
      <c r="RJB80" s="362"/>
      <c r="RJC80" s="362"/>
      <c r="RJD80" s="362"/>
      <c r="RJE80" s="362"/>
      <c r="RJF80" s="362"/>
      <c r="RJG80" s="362"/>
      <c r="RJH80" s="362"/>
      <c r="RJI80" s="362"/>
      <c r="RJJ80" s="362"/>
      <c r="RJK80" s="362"/>
      <c r="RJL80" s="362"/>
      <c r="RJM80" s="362"/>
      <c r="RJN80" s="362"/>
      <c r="RJO80" s="362"/>
      <c r="RJP80" s="362"/>
      <c r="RJQ80" s="362"/>
      <c r="RJR80" s="362"/>
      <c r="RJS80" s="362"/>
      <c r="RJT80" s="362"/>
      <c r="RJU80" s="362"/>
      <c r="RJV80" s="362"/>
      <c r="RJW80" s="362"/>
      <c r="RJX80" s="362"/>
      <c r="RJY80" s="362"/>
      <c r="RJZ80" s="362"/>
      <c r="RKA80" s="362"/>
      <c r="RKB80" s="362"/>
      <c r="RKC80" s="362"/>
      <c r="RKD80" s="362"/>
      <c r="RKE80" s="362"/>
      <c r="RKF80" s="362"/>
      <c r="RKG80" s="362"/>
      <c r="RKH80" s="362"/>
      <c r="RKI80" s="362"/>
      <c r="RKJ80" s="362"/>
      <c r="RKK80" s="362"/>
      <c r="RKL80" s="362"/>
      <c r="RKM80" s="362"/>
      <c r="RKN80" s="362"/>
      <c r="RKO80" s="362"/>
      <c r="RKP80" s="362"/>
      <c r="RKQ80" s="362"/>
      <c r="RKR80" s="362"/>
      <c r="RKS80" s="362"/>
      <c r="RKT80" s="362"/>
      <c r="RKU80" s="362"/>
      <c r="RKV80" s="362"/>
      <c r="RKW80" s="362"/>
      <c r="RKX80" s="362"/>
      <c r="RKY80" s="362"/>
      <c r="RKZ80" s="362"/>
      <c r="RLA80" s="362"/>
      <c r="RLB80" s="362"/>
      <c r="RLC80" s="362"/>
      <c r="RLD80" s="362"/>
      <c r="RLE80" s="362"/>
      <c r="RLF80" s="362"/>
      <c r="RLG80" s="362"/>
      <c r="RLH80" s="362"/>
      <c r="RLI80" s="362"/>
      <c r="RLJ80" s="362"/>
      <c r="RLK80" s="362"/>
      <c r="RLL80" s="362"/>
      <c r="RLM80" s="362"/>
      <c r="RLN80" s="362"/>
      <c r="RLO80" s="362"/>
      <c r="RLP80" s="362"/>
      <c r="RLQ80" s="362"/>
      <c r="RLR80" s="362"/>
      <c r="RLS80" s="362"/>
      <c r="RLT80" s="362"/>
      <c r="RLU80" s="362"/>
      <c r="RLV80" s="362"/>
      <c r="RLW80" s="362"/>
      <c r="RLX80" s="362"/>
      <c r="RLY80" s="362"/>
      <c r="RLZ80" s="362"/>
      <c r="RMA80" s="362"/>
      <c r="RMB80" s="362"/>
      <c r="RMC80" s="362"/>
      <c r="RMD80" s="362"/>
      <c r="RME80" s="362"/>
      <c r="RMF80" s="362"/>
      <c r="RMG80" s="362"/>
      <c r="RMH80" s="362"/>
      <c r="RMI80" s="362"/>
      <c r="RMJ80" s="362"/>
      <c r="RMK80" s="362"/>
      <c r="RML80" s="362"/>
      <c r="RMM80" s="362"/>
      <c r="RMN80" s="362"/>
      <c r="RMO80" s="362"/>
      <c r="RMP80" s="362"/>
      <c r="RMQ80" s="362"/>
      <c r="RMR80" s="362"/>
      <c r="RMS80" s="362"/>
      <c r="RMT80" s="362"/>
      <c r="RMU80" s="362"/>
      <c r="RMV80" s="362"/>
      <c r="RMW80" s="362"/>
      <c r="RMX80" s="362"/>
      <c r="RMY80" s="362"/>
      <c r="RMZ80" s="362"/>
      <c r="RNA80" s="362"/>
      <c r="RNB80" s="362"/>
      <c r="RNC80" s="362"/>
      <c r="RND80" s="362"/>
      <c r="RNE80" s="362"/>
      <c r="RNF80" s="362"/>
      <c r="RNG80" s="362"/>
      <c r="RNH80" s="362"/>
      <c r="RNI80" s="362"/>
      <c r="RNJ80" s="362"/>
      <c r="RNK80" s="362"/>
      <c r="RNL80" s="362"/>
      <c r="RNM80" s="362"/>
      <c r="RNN80" s="362"/>
      <c r="RNO80" s="362"/>
      <c r="RNP80" s="362"/>
      <c r="RNQ80" s="362"/>
      <c r="RNR80" s="362"/>
      <c r="RNS80" s="362"/>
      <c r="RNT80" s="362"/>
      <c r="RNU80" s="362"/>
      <c r="RNV80" s="362"/>
      <c r="RNW80" s="362"/>
      <c r="RNX80" s="362"/>
      <c r="RNY80" s="362"/>
      <c r="RNZ80" s="362"/>
      <c r="ROA80" s="362"/>
      <c r="ROB80" s="362"/>
      <c r="ROC80" s="362"/>
      <c r="ROD80" s="362"/>
      <c r="ROE80" s="362"/>
      <c r="ROF80" s="362"/>
      <c r="ROG80" s="362"/>
      <c r="ROH80" s="362"/>
      <c r="ROI80" s="362"/>
      <c r="ROJ80" s="362"/>
      <c r="ROK80" s="362"/>
      <c r="ROL80" s="362"/>
      <c r="ROM80" s="362"/>
      <c r="RON80" s="362"/>
      <c r="ROO80" s="362"/>
      <c r="ROP80" s="362"/>
      <c r="ROQ80" s="362"/>
      <c r="ROR80" s="362"/>
      <c r="ROS80" s="362"/>
      <c r="ROT80" s="362"/>
      <c r="ROU80" s="362"/>
      <c r="ROV80" s="362"/>
      <c r="ROW80" s="362"/>
      <c r="ROX80" s="362"/>
      <c r="ROY80" s="362"/>
      <c r="ROZ80" s="362"/>
      <c r="RPA80" s="362"/>
      <c r="RPB80" s="362"/>
      <c r="RPC80" s="362"/>
      <c r="RPD80" s="362"/>
      <c r="RPE80" s="362"/>
      <c r="RPF80" s="362"/>
      <c r="RPG80" s="362"/>
      <c r="RPH80" s="362"/>
      <c r="RPI80" s="362"/>
      <c r="RPJ80" s="362"/>
      <c r="RPK80" s="362"/>
      <c r="RPL80" s="362"/>
      <c r="RPM80" s="362"/>
      <c r="RPN80" s="362"/>
      <c r="RPO80" s="362"/>
      <c r="RPP80" s="362"/>
      <c r="RPQ80" s="362"/>
      <c r="RPR80" s="362"/>
      <c r="RPS80" s="362"/>
      <c r="RPT80" s="362"/>
      <c r="RPU80" s="362"/>
      <c r="RPV80" s="362"/>
      <c r="RPW80" s="362"/>
      <c r="RPX80" s="362"/>
      <c r="RPY80" s="362"/>
      <c r="RPZ80" s="362"/>
      <c r="RQA80" s="362"/>
      <c r="RQB80" s="362"/>
      <c r="RQC80" s="362"/>
      <c r="RQD80" s="362"/>
      <c r="RQE80" s="362"/>
      <c r="RQF80" s="362"/>
      <c r="RQG80" s="362"/>
      <c r="RQH80" s="362"/>
      <c r="RQI80" s="362"/>
      <c r="RQJ80" s="362"/>
      <c r="RQK80" s="362"/>
      <c r="RQL80" s="362"/>
      <c r="RQM80" s="362"/>
      <c r="RQN80" s="362"/>
      <c r="RQO80" s="362"/>
      <c r="RQP80" s="362"/>
      <c r="RQQ80" s="362"/>
      <c r="RQR80" s="362"/>
      <c r="RQS80" s="362"/>
      <c r="RQT80" s="362"/>
      <c r="RQU80" s="362"/>
      <c r="RQV80" s="362"/>
      <c r="RQW80" s="362"/>
      <c r="RQX80" s="362"/>
      <c r="RQY80" s="362"/>
      <c r="RQZ80" s="362"/>
      <c r="RRA80" s="362"/>
      <c r="RRB80" s="362"/>
      <c r="RRC80" s="362"/>
      <c r="RRD80" s="362"/>
      <c r="RRE80" s="362"/>
      <c r="RRF80" s="362"/>
      <c r="RRG80" s="362"/>
      <c r="RRH80" s="362"/>
      <c r="RRI80" s="362"/>
      <c r="RRJ80" s="362"/>
      <c r="RRK80" s="362"/>
      <c r="RRL80" s="362"/>
      <c r="RRM80" s="362"/>
      <c r="RRN80" s="362"/>
      <c r="RRO80" s="362"/>
      <c r="RRP80" s="362"/>
      <c r="RRQ80" s="362"/>
      <c r="RRR80" s="362"/>
      <c r="RRS80" s="362"/>
      <c r="RRT80" s="362"/>
      <c r="RRU80" s="362"/>
      <c r="RRV80" s="362"/>
      <c r="RRW80" s="362"/>
      <c r="RRX80" s="362"/>
      <c r="RRY80" s="362"/>
      <c r="RRZ80" s="362"/>
      <c r="RSA80" s="362"/>
      <c r="RSB80" s="362"/>
      <c r="RSC80" s="362"/>
      <c r="RSD80" s="362"/>
      <c r="RSE80" s="362"/>
      <c r="RSF80" s="362"/>
      <c r="RSG80" s="362"/>
      <c r="RSH80" s="362"/>
      <c r="RSI80" s="362"/>
      <c r="RSJ80" s="362"/>
      <c r="RSK80" s="362"/>
      <c r="RSL80" s="362"/>
      <c r="RSM80" s="362"/>
      <c r="RSN80" s="362"/>
      <c r="RSO80" s="362"/>
      <c r="RSP80" s="362"/>
      <c r="RSQ80" s="362"/>
      <c r="RSR80" s="362"/>
      <c r="RSS80" s="362"/>
      <c r="RST80" s="362"/>
      <c r="RSU80" s="362"/>
      <c r="RSV80" s="362"/>
      <c r="RSW80" s="362"/>
      <c r="RSX80" s="362"/>
      <c r="RSY80" s="362"/>
      <c r="RSZ80" s="362"/>
      <c r="RTA80" s="362"/>
      <c r="RTB80" s="362"/>
      <c r="RTC80" s="362"/>
      <c r="RTD80" s="362"/>
      <c r="RTE80" s="362"/>
      <c r="RTF80" s="362"/>
      <c r="RTG80" s="362"/>
      <c r="RTH80" s="362"/>
      <c r="RTI80" s="362"/>
      <c r="RTJ80" s="362"/>
      <c r="RTK80" s="362"/>
      <c r="RTL80" s="362"/>
      <c r="RTM80" s="362"/>
      <c r="RTN80" s="362"/>
      <c r="RTO80" s="362"/>
      <c r="RTP80" s="362"/>
      <c r="RTQ80" s="362"/>
      <c r="RTR80" s="362"/>
      <c r="RTS80" s="362"/>
      <c r="RTT80" s="362"/>
      <c r="RTU80" s="362"/>
      <c r="RTV80" s="362"/>
      <c r="RTW80" s="362"/>
      <c r="RTX80" s="362"/>
      <c r="RTY80" s="362"/>
      <c r="RTZ80" s="362"/>
      <c r="RUA80" s="362"/>
      <c r="RUB80" s="362"/>
      <c r="RUC80" s="362"/>
      <c r="RUD80" s="362"/>
      <c r="RUE80" s="362"/>
      <c r="RUF80" s="362"/>
      <c r="RUG80" s="362"/>
      <c r="RUH80" s="362"/>
      <c r="RUI80" s="362"/>
      <c r="RUJ80" s="362"/>
      <c r="RUK80" s="362"/>
      <c r="RUL80" s="362"/>
      <c r="RUM80" s="362"/>
      <c r="RUN80" s="362"/>
      <c r="RUO80" s="362"/>
      <c r="RUP80" s="362"/>
      <c r="RUQ80" s="362"/>
      <c r="RUR80" s="362"/>
      <c r="RUS80" s="362"/>
      <c r="RUT80" s="362"/>
      <c r="RUU80" s="362"/>
      <c r="RUV80" s="362"/>
      <c r="RUW80" s="362"/>
      <c r="RUX80" s="362"/>
      <c r="RUY80" s="362"/>
      <c r="RUZ80" s="362"/>
      <c r="RVA80" s="362"/>
      <c r="RVB80" s="362"/>
      <c r="RVC80" s="362"/>
      <c r="RVD80" s="362"/>
      <c r="RVE80" s="362"/>
      <c r="RVF80" s="362"/>
      <c r="RVG80" s="362"/>
      <c r="RVH80" s="362"/>
      <c r="RVI80" s="362"/>
      <c r="RVJ80" s="362"/>
      <c r="RVK80" s="362"/>
      <c r="RVL80" s="362"/>
      <c r="RVM80" s="362"/>
      <c r="RVN80" s="362"/>
      <c r="RVO80" s="362"/>
      <c r="RVP80" s="362"/>
      <c r="RVQ80" s="362"/>
      <c r="RVR80" s="362"/>
      <c r="RVS80" s="362"/>
      <c r="RVT80" s="362"/>
      <c r="RVU80" s="362"/>
      <c r="RVV80" s="362"/>
      <c r="RVW80" s="362"/>
      <c r="RVX80" s="362"/>
      <c r="RVY80" s="362"/>
      <c r="RVZ80" s="362"/>
      <c r="RWA80" s="362"/>
      <c r="RWB80" s="362"/>
      <c r="RWC80" s="362"/>
      <c r="RWD80" s="362"/>
      <c r="RWE80" s="362"/>
      <c r="RWF80" s="362"/>
      <c r="RWG80" s="362"/>
      <c r="RWH80" s="362"/>
      <c r="RWI80" s="362"/>
      <c r="RWJ80" s="362"/>
      <c r="RWK80" s="362"/>
      <c r="RWL80" s="362"/>
      <c r="RWM80" s="362"/>
      <c r="RWN80" s="362"/>
      <c r="RWO80" s="362"/>
      <c r="RWP80" s="362"/>
      <c r="RWQ80" s="362"/>
      <c r="RWR80" s="362"/>
      <c r="RWS80" s="362"/>
      <c r="RWT80" s="362"/>
      <c r="RWU80" s="362"/>
      <c r="RWV80" s="362"/>
      <c r="RWW80" s="362"/>
      <c r="RWX80" s="362"/>
      <c r="RWY80" s="362"/>
      <c r="RWZ80" s="362"/>
      <c r="RXA80" s="362"/>
      <c r="RXB80" s="362"/>
      <c r="RXC80" s="362"/>
      <c r="RXD80" s="362"/>
      <c r="RXE80" s="362"/>
      <c r="RXF80" s="362"/>
      <c r="RXG80" s="362"/>
      <c r="RXH80" s="362"/>
      <c r="RXI80" s="362"/>
      <c r="RXJ80" s="362"/>
      <c r="RXK80" s="362"/>
      <c r="RXL80" s="362"/>
      <c r="RXM80" s="362"/>
      <c r="RXN80" s="362"/>
      <c r="RXO80" s="362"/>
      <c r="RXP80" s="362"/>
      <c r="RXQ80" s="362"/>
      <c r="RXR80" s="362"/>
      <c r="RXS80" s="362"/>
      <c r="RXT80" s="362"/>
      <c r="RXU80" s="362"/>
      <c r="RXV80" s="362"/>
      <c r="RXW80" s="362"/>
      <c r="RXX80" s="362"/>
      <c r="RXY80" s="362"/>
      <c r="RXZ80" s="362"/>
      <c r="RYA80" s="362"/>
      <c r="RYB80" s="362"/>
      <c r="RYC80" s="362"/>
      <c r="RYD80" s="362"/>
      <c r="RYE80" s="362"/>
      <c r="RYF80" s="362"/>
      <c r="RYG80" s="362"/>
      <c r="RYH80" s="362"/>
      <c r="RYI80" s="362"/>
      <c r="RYJ80" s="362"/>
      <c r="RYK80" s="362"/>
      <c r="RYL80" s="362"/>
      <c r="RYM80" s="362"/>
      <c r="RYN80" s="362"/>
      <c r="RYO80" s="362"/>
      <c r="RYP80" s="362"/>
      <c r="RYQ80" s="362"/>
      <c r="RYR80" s="362"/>
      <c r="RYS80" s="362"/>
      <c r="RYT80" s="362"/>
      <c r="RYU80" s="362"/>
      <c r="RYV80" s="362"/>
      <c r="RYW80" s="362"/>
      <c r="RYX80" s="362"/>
      <c r="RYY80" s="362"/>
      <c r="RYZ80" s="362"/>
      <c r="RZA80" s="362"/>
      <c r="RZB80" s="362"/>
      <c r="RZC80" s="362"/>
      <c r="RZD80" s="362"/>
      <c r="RZE80" s="362"/>
      <c r="RZF80" s="362"/>
      <c r="RZG80" s="362"/>
      <c r="RZH80" s="362"/>
      <c r="RZI80" s="362"/>
      <c r="RZJ80" s="362"/>
      <c r="RZK80" s="362"/>
      <c r="RZL80" s="362"/>
      <c r="RZM80" s="362"/>
      <c r="RZN80" s="362"/>
      <c r="RZO80" s="362"/>
      <c r="RZP80" s="362"/>
      <c r="RZQ80" s="362"/>
      <c r="RZR80" s="362"/>
      <c r="RZS80" s="362"/>
      <c r="RZT80" s="362"/>
      <c r="RZU80" s="362"/>
      <c r="RZV80" s="362"/>
      <c r="RZW80" s="362"/>
      <c r="RZX80" s="362"/>
      <c r="RZY80" s="362"/>
      <c r="RZZ80" s="362"/>
      <c r="SAA80" s="362"/>
      <c r="SAB80" s="362"/>
      <c r="SAC80" s="362"/>
      <c r="SAD80" s="362"/>
      <c r="SAE80" s="362"/>
      <c r="SAF80" s="362"/>
      <c r="SAG80" s="362"/>
      <c r="SAH80" s="362"/>
      <c r="SAI80" s="362"/>
      <c r="SAJ80" s="362"/>
      <c r="SAK80" s="362"/>
      <c r="SAL80" s="362"/>
      <c r="SAM80" s="362"/>
      <c r="SAN80" s="362"/>
      <c r="SAO80" s="362"/>
      <c r="SAP80" s="362"/>
      <c r="SAQ80" s="362"/>
      <c r="SAR80" s="362"/>
      <c r="SAS80" s="362"/>
      <c r="SAT80" s="362"/>
      <c r="SAU80" s="362"/>
      <c r="SAV80" s="362"/>
      <c r="SAW80" s="362"/>
      <c r="SAX80" s="362"/>
      <c r="SAY80" s="362"/>
      <c r="SAZ80" s="362"/>
      <c r="SBA80" s="362"/>
      <c r="SBB80" s="362"/>
      <c r="SBC80" s="362"/>
      <c r="SBD80" s="362"/>
      <c r="SBE80" s="362"/>
      <c r="SBF80" s="362"/>
      <c r="SBG80" s="362"/>
      <c r="SBH80" s="362"/>
      <c r="SBI80" s="362"/>
      <c r="SBJ80" s="362"/>
      <c r="SBK80" s="362"/>
      <c r="SBL80" s="362"/>
      <c r="SBM80" s="362"/>
      <c r="SBN80" s="362"/>
      <c r="SBO80" s="362"/>
      <c r="SBP80" s="362"/>
      <c r="SBQ80" s="362"/>
      <c r="SBR80" s="362"/>
      <c r="SBS80" s="362"/>
      <c r="SBT80" s="362"/>
      <c r="SBU80" s="362"/>
      <c r="SBV80" s="362"/>
      <c r="SBW80" s="362"/>
      <c r="SBX80" s="362"/>
      <c r="SBY80" s="362"/>
      <c r="SBZ80" s="362"/>
      <c r="SCA80" s="362"/>
      <c r="SCB80" s="362"/>
      <c r="SCC80" s="362"/>
      <c r="SCD80" s="362"/>
      <c r="SCE80" s="362"/>
      <c r="SCF80" s="362"/>
      <c r="SCG80" s="362"/>
      <c r="SCH80" s="362"/>
      <c r="SCI80" s="362"/>
      <c r="SCJ80" s="362"/>
      <c r="SCK80" s="362"/>
      <c r="SCL80" s="362"/>
      <c r="SCM80" s="362"/>
      <c r="SCN80" s="362"/>
      <c r="SCO80" s="362"/>
      <c r="SCP80" s="362"/>
      <c r="SCQ80" s="362"/>
      <c r="SCR80" s="362"/>
      <c r="SCS80" s="362"/>
      <c r="SCT80" s="362"/>
      <c r="SCU80" s="362"/>
      <c r="SCV80" s="362"/>
      <c r="SCW80" s="362"/>
      <c r="SCX80" s="362"/>
      <c r="SCY80" s="362"/>
      <c r="SCZ80" s="362"/>
      <c r="SDA80" s="362"/>
      <c r="SDB80" s="362"/>
      <c r="SDC80" s="362"/>
      <c r="SDD80" s="362"/>
      <c r="SDE80" s="362"/>
      <c r="SDF80" s="362"/>
      <c r="SDG80" s="362"/>
      <c r="SDH80" s="362"/>
      <c r="SDI80" s="362"/>
      <c r="SDJ80" s="362"/>
      <c r="SDK80" s="362"/>
      <c r="SDL80" s="362"/>
      <c r="SDM80" s="362"/>
      <c r="SDN80" s="362"/>
      <c r="SDO80" s="362"/>
      <c r="SDP80" s="362"/>
      <c r="SDQ80" s="362"/>
      <c r="SDR80" s="362"/>
      <c r="SDS80" s="362"/>
      <c r="SDT80" s="362"/>
      <c r="SDU80" s="362"/>
      <c r="SDV80" s="362"/>
      <c r="SDW80" s="362"/>
      <c r="SDX80" s="362"/>
      <c r="SDY80" s="362"/>
      <c r="SDZ80" s="362"/>
      <c r="SEA80" s="362"/>
      <c r="SEB80" s="362"/>
      <c r="SEC80" s="362"/>
      <c r="SED80" s="362"/>
      <c r="SEE80" s="362"/>
      <c r="SEF80" s="362"/>
      <c r="SEG80" s="362"/>
      <c r="SEH80" s="362"/>
      <c r="SEI80" s="362"/>
      <c r="SEJ80" s="362"/>
      <c r="SEK80" s="362"/>
      <c r="SEL80" s="362"/>
      <c r="SEM80" s="362"/>
      <c r="SEN80" s="362"/>
      <c r="SEO80" s="362"/>
      <c r="SEP80" s="362"/>
      <c r="SEQ80" s="362"/>
      <c r="SER80" s="362"/>
      <c r="SES80" s="362"/>
      <c r="SET80" s="362"/>
      <c r="SEU80" s="362"/>
      <c r="SEV80" s="362"/>
      <c r="SEW80" s="362"/>
      <c r="SEX80" s="362"/>
      <c r="SEY80" s="362"/>
      <c r="SEZ80" s="362"/>
      <c r="SFA80" s="362"/>
      <c r="SFB80" s="362"/>
      <c r="SFC80" s="362"/>
      <c r="SFD80" s="362"/>
      <c r="SFE80" s="362"/>
      <c r="SFF80" s="362"/>
      <c r="SFG80" s="362"/>
      <c r="SFH80" s="362"/>
      <c r="SFI80" s="362"/>
      <c r="SFJ80" s="362"/>
      <c r="SFK80" s="362"/>
      <c r="SFL80" s="362"/>
      <c r="SFM80" s="362"/>
      <c r="SFN80" s="362"/>
      <c r="SFO80" s="362"/>
      <c r="SFP80" s="362"/>
      <c r="SFQ80" s="362"/>
      <c r="SFR80" s="362"/>
      <c r="SFS80" s="362"/>
      <c r="SFT80" s="362"/>
      <c r="SFU80" s="362"/>
      <c r="SFV80" s="362"/>
      <c r="SFW80" s="362"/>
      <c r="SFX80" s="362"/>
      <c r="SFY80" s="362"/>
      <c r="SFZ80" s="362"/>
      <c r="SGA80" s="362"/>
      <c r="SGB80" s="362"/>
      <c r="SGC80" s="362"/>
      <c r="SGD80" s="362"/>
      <c r="SGE80" s="362"/>
      <c r="SGF80" s="362"/>
      <c r="SGG80" s="362"/>
      <c r="SGH80" s="362"/>
      <c r="SGI80" s="362"/>
      <c r="SGJ80" s="362"/>
      <c r="SGK80" s="362"/>
      <c r="SGL80" s="362"/>
      <c r="SGM80" s="362"/>
      <c r="SGN80" s="362"/>
      <c r="SGO80" s="362"/>
      <c r="SGP80" s="362"/>
      <c r="SGQ80" s="362"/>
      <c r="SGR80" s="362"/>
      <c r="SGS80" s="362"/>
      <c r="SGT80" s="362"/>
      <c r="SGU80" s="362"/>
      <c r="SGV80" s="362"/>
      <c r="SGW80" s="362"/>
      <c r="SGX80" s="362"/>
      <c r="SGY80" s="362"/>
      <c r="SGZ80" s="362"/>
      <c r="SHA80" s="362"/>
      <c r="SHB80" s="362"/>
      <c r="SHC80" s="362"/>
      <c r="SHD80" s="362"/>
      <c r="SHE80" s="362"/>
      <c r="SHF80" s="362"/>
      <c r="SHG80" s="362"/>
      <c r="SHH80" s="362"/>
      <c r="SHI80" s="362"/>
      <c r="SHJ80" s="362"/>
      <c r="SHK80" s="362"/>
      <c r="SHL80" s="362"/>
      <c r="SHM80" s="362"/>
      <c r="SHN80" s="362"/>
      <c r="SHO80" s="362"/>
      <c r="SHP80" s="362"/>
      <c r="SHQ80" s="362"/>
      <c r="SHR80" s="362"/>
      <c r="SHS80" s="362"/>
      <c r="SHT80" s="362"/>
      <c r="SHU80" s="362"/>
      <c r="SHV80" s="362"/>
      <c r="SHW80" s="362"/>
      <c r="SHX80" s="362"/>
      <c r="SHY80" s="362"/>
      <c r="SHZ80" s="362"/>
      <c r="SIA80" s="362"/>
      <c r="SIB80" s="362"/>
      <c r="SIC80" s="362"/>
      <c r="SID80" s="362"/>
      <c r="SIE80" s="362"/>
      <c r="SIF80" s="362"/>
      <c r="SIG80" s="362"/>
      <c r="SIH80" s="362"/>
      <c r="SII80" s="362"/>
      <c r="SIJ80" s="362"/>
      <c r="SIK80" s="362"/>
      <c r="SIL80" s="362"/>
      <c r="SIM80" s="362"/>
      <c r="SIN80" s="362"/>
      <c r="SIO80" s="362"/>
      <c r="SIP80" s="362"/>
      <c r="SIQ80" s="362"/>
      <c r="SIR80" s="362"/>
      <c r="SIS80" s="362"/>
      <c r="SIT80" s="362"/>
      <c r="SIU80" s="362"/>
      <c r="SIV80" s="362"/>
      <c r="SIW80" s="362"/>
      <c r="SIX80" s="362"/>
      <c r="SIY80" s="362"/>
      <c r="SIZ80" s="362"/>
      <c r="SJA80" s="362"/>
      <c r="SJB80" s="362"/>
      <c r="SJC80" s="362"/>
      <c r="SJD80" s="362"/>
      <c r="SJE80" s="362"/>
      <c r="SJF80" s="362"/>
      <c r="SJG80" s="362"/>
      <c r="SJH80" s="362"/>
      <c r="SJI80" s="362"/>
      <c r="SJJ80" s="362"/>
      <c r="SJK80" s="362"/>
      <c r="SJL80" s="362"/>
      <c r="SJM80" s="362"/>
      <c r="SJN80" s="362"/>
      <c r="SJO80" s="362"/>
      <c r="SJP80" s="362"/>
      <c r="SJQ80" s="362"/>
      <c r="SJR80" s="362"/>
      <c r="SJS80" s="362"/>
      <c r="SJT80" s="362"/>
      <c r="SJU80" s="362"/>
      <c r="SJV80" s="362"/>
      <c r="SJW80" s="362"/>
      <c r="SJX80" s="362"/>
      <c r="SJY80" s="362"/>
      <c r="SJZ80" s="362"/>
      <c r="SKA80" s="362"/>
      <c r="SKB80" s="362"/>
      <c r="SKC80" s="362"/>
      <c r="SKD80" s="362"/>
      <c r="SKE80" s="362"/>
      <c r="SKF80" s="362"/>
      <c r="SKG80" s="362"/>
      <c r="SKH80" s="362"/>
      <c r="SKI80" s="362"/>
      <c r="SKJ80" s="362"/>
      <c r="SKK80" s="362"/>
      <c r="SKL80" s="362"/>
      <c r="SKM80" s="362"/>
      <c r="SKN80" s="362"/>
      <c r="SKO80" s="362"/>
      <c r="SKP80" s="362"/>
      <c r="SKQ80" s="362"/>
      <c r="SKR80" s="362"/>
      <c r="SKS80" s="362"/>
      <c r="SKT80" s="362"/>
      <c r="SKU80" s="362"/>
      <c r="SKV80" s="362"/>
      <c r="SKW80" s="362"/>
      <c r="SKX80" s="362"/>
      <c r="SKY80" s="362"/>
      <c r="SKZ80" s="362"/>
      <c r="SLA80" s="362"/>
      <c r="SLB80" s="362"/>
      <c r="SLC80" s="362"/>
      <c r="SLD80" s="362"/>
      <c r="SLE80" s="362"/>
      <c r="SLF80" s="362"/>
      <c r="SLG80" s="362"/>
      <c r="SLH80" s="362"/>
      <c r="SLI80" s="362"/>
      <c r="SLJ80" s="362"/>
      <c r="SLK80" s="362"/>
      <c r="SLL80" s="362"/>
      <c r="SLM80" s="362"/>
      <c r="SLN80" s="362"/>
      <c r="SLO80" s="362"/>
      <c r="SLP80" s="362"/>
      <c r="SLQ80" s="362"/>
      <c r="SLR80" s="362"/>
      <c r="SLS80" s="362"/>
      <c r="SLT80" s="362"/>
      <c r="SLU80" s="362"/>
      <c r="SLV80" s="362"/>
      <c r="SLW80" s="362"/>
      <c r="SLX80" s="362"/>
      <c r="SLY80" s="362"/>
      <c r="SLZ80" s="362"/>
      <c r="SMA80" s="362"/>
      <c r="SMB80" s="362"/>
      <c r="SMC80" s="362"/>
      <c r="SMD80" s="362"/>
      <c r="SME80" s="362"/>
      <c r="SMF80" s="362"/>
      <c r="SMG80" s="362"/>
      <c r="SMH80" s="362"/>
      <c r="SMI80" s="362"/>
      <c r="SMJ80" s="362"/>
      <c r="SMK80" s="362"/>
      <c r="SML80" s="362"/>
      <c r="SMM80" s="362"/>
      <c r="SMN80" s="362"/>
      <c r="SMO80" s="362"/>
      <c r="SMP80" s="362"/>
      <c r="SMQ80" s="362"/>
      <c r="SMR80" s="362"/>
      <c r="SMS80" s="362"/>
      <c r="SMT80" s="362"/>
      <c r="SMU80" s="362"/>
      <c r="SMV80" s="362"/>
      <c r="SMW80" s="362"/>
      <c r="SMX80" s="362"/>
      <c r="SMY80" s="362"/>
      <c r="SMZ80" s="362"/>
      <c r="SNA80" s="362"/>
      <c r="SNB80" s="362"/>
      <c r="SNC80" s="362"/>
      <c r="SND80" s="362"/>
      <c r="SNE80" s="362"/>
      <c r="SNF80" s="362"/>
      <c r="SNG80" s="362"/>
      <c r="SNH80" s="362"/>
      <c r="SNI80" s="362"/>
      <c r="SNJ80" s="362"/>
      <c r="SNK80" s="362"/>
      <c r="SNL80" s="362"/>
      <c r="SNM80" s="362"/>
      <c r="SNN80" s="362"/>
      <c r="SNO80" s="362"/>
      <c r="SNP80" s="362"/>
      <c r="SNQ80" s="362"/>
      <c r="SNR80" s="362"/>
      <c r="SNS80" s="362"/>
      <c r="SNT80" s="362"/>
      <c r="SNU80" s="362"/>
      <c r="SNV80" s="362"/>
      <c r="SNW80" s="362"/>
      <c r="SNX80" s="362"/>
      <c r="SNY80" s="362"/>
      <c r="SNZ80" s="362"/>
      <c r="SOA80" s="362"/>
      <c r="SOB80" s="362"/>
      <c r="SOC80" s="362"/>
      <c r="SOD80" s="362"/>
      <c r="SOE80" s="362"/>
      <c r="SOF80" s="362"/>
      <c r="SOG80" s="362"/>
      <c r="SOH80" s="362"/>
      <c r="SOI80" s="362"/>
      <c r="SOJ80" s="362"/>
      <c r="SOK80" s="362"/>
      <c r="SOL80" s="362"/>
      <c r="SOM80" s="362"/>
      <c r="SON80" s="362"/>
      <c r="SOO80" s="362"/>
      <c r="SOP80" s="362"/>
      <c r="SOQ80" s="362"/>
      <c r="SOR80" s="362"/>
      <c r="SOS80" s="362"/>
      <c r="SOT80" s="362"/>
      <c r="SOU80" s="362"/>
      <c r="SOV80" s="362"/>
      <c r="SOW80" s="362"/>
      <c r="SOX80" s="362"/>
      <c r="SOY80" s="362"/>
      <c r="SOZ80" s="362"/>
      <c r="SPA80" s="362"/>
      <c r="SPB80" s="362"/>
      <c r="SPC80" s="362"/>
      <c r="SPD80" s="362"/>
      <c r="SPE80" s="362"/>
      <c r="SPF80" s="362"/>
      <c r="SPG80" s="362"/>
      <c r="SPH80" s="362"/>
      <c r="SPI80" s="362"/>
      <c r="SPJ80" s="362"/>
      <c r="SPK80" s="362"/>
      <c r="SPL80" s="362"/>
      <c r="SPM80" s="362"/>
      <c r="SPN80" s="362"/>
      <c r="SPO80" s="362"/>
      <c r="SPP80" s="362"/>
      <c r="SPQ80" s="362"/>
      <c r="SPR80" s="362"/>
      <c r="SPS80" s="362"/>
      <c r="SPT80" s="362"/>
      <c r="SPU80" s="362"/>
      <c r="SPV80" s="362"/>
      <c r="SPW80" s="362"/>
      <c r="SPX80" s="362"/>
      <c r="SPY80" s="362"/>
      <c r="SPZ80" s="362"/>
      <c r="SQA80" s="362"/>
      <c r="SQB80" s="362"/>
      <c r="SQC80" s="362"/>
      <c r="SQD80" s="362"/>
      <c r="SQE80" s="362"/>
      <c r="SQF80" s="362"/>
      <c r="SQG80" s="362"/>
      <c r="SQH80" s="362"/>
      <c r="SQI80" s="362"/>
      <c r="SQJ80" s="362"/>
      <c r="SQK80" s="362"/>
      <c r="SQL80" s="362"/>
      <c r="SQM80" s="362"/>
      <c r="SQN80" s="362"/>
      <c r="SQO80" s="362"/>
      <c r="SQP80" s="362"/>
      <c r="SQQ80" s="362"/>
      <c r="SQR80" s="362"/>
      <c r="SQS80" s="362"/>
      <c r="SQT80" s="362"/>
      <c r="SQU80" s="362"/>
      <c r="SQV80" s="362"/>
      <c r="SQW80" s="362"/>
      <c r="SQX80" s="362"/>
      <c r="SQY80" s="362"/>
      <c r="SQZ80" s="362"/>
      <c r="SRA80" s="362"/>
      <c r="SRB80" s="362"/>
      <c r="SRC80" s="362"/>
      <c r="SRD80" s="362"/>
      <c r="SRE80" s="362"/>
      <c r="SRF80" s="362"/>
      <c r="SRG80" s="362"/>
      <c r="SRH80" s="362"/>
      <c r="SRI80" s="362"/>
      <c r="SRJ80" s="362"/>
      <c r="SRK80" s="362"/>
      <c r="SRL80" s="362"/>
      <c r="SRM80" s="362"/>
      <c r="SRN80" s="362"/>
      <c r="SRO80" s="362"/>
      <c r="SRP80" s="362"/>
      <c r="SRQ80" s="362"/>
      <c r="SRR80" s="362"/>
      <c r="SRS80" s="362"/>
      <c r="SRT80" s="362"/>
      <c r="SRU80" s="362"/>
      <c r="SRV80" s="362"/>
      <c r="SRW80" s="362"/>
      <c r="SRX80" s="362"/>
      <c r="SRY80" s="362"/>
      <c r="SRZ80" s="362"/>
      <c r="SSA80" s="362"/>
      <c r="SSB80" s="362"/>
      <c r="SSC80" s="362"/>
      <c r="SSD80" s="362"/>
      <c r="SSE80" s="362"/>
      <c r="SSF80" s="362"/>
      <c r="SSG80" s="362"/>
      <c r="SSH80" s="362"/>
      <c r="SSI80" s="362"/>
      <c r="SSJ80" s="362"/>
      <c r="SSK80" s="362"/>
      <c r="SSL80" s="362"/>
      <c r="SSM80" s="362"/>
      <c r="SSN80" s="362"/>
      <c r="SSO80" s="362"/>
      <c r="SSP80" s="362"/>
      <c r="SSQ80" s="362"/>
      <c r="SSR80" s="362"/>
      <c r="SSS80" s="362"/>
      <c r="SST80" s="362"/>
      <c r="SSU80" s="362"/>
      <c r="SSV80" s="362"/>
      <c r="SSW80" s="362"/>
      <c r="SSX80" s="362"/>
      <c r="SSY80" s="362"/>
      <c r="SSZ80" s="362"/>
      <c r="STA80" s="362"/>
      <c r="STB80" s="362"/>
      <c r="STC80" s="362"/>
      <c r="STD80" s="362"/>
      <c r="STE80" s="362"/>
      <c r="STF80" s="362"/>
      <c r="STG80" s="362"/>
      <c r="STH80" s="362"/>
      <c r="STI80" s="362"/>
      <c r="STJ80" s="362"/>
      <c r="STK80" s="362"/>
      <c r="STL80" s="362"/>
      <c r="STM80" s="362"/>
      <c r="STN80" s="362"/>
      <c r="STO80" s="362"/>
      <c r="STP80" s="362"/>
      <c r="STQ80" s="362"/>
      <c r="STR80" s="362"/>
      <c r="STS80" s="362"/>
      <c r="STT80" s="362"/>
      <c r="STU80" s="362"/>
      <c r="STV80" s="362"/>
      <c r="STW80" s="362"/>
      <c r="STX80" s="362"/>
      <c r="STY80" s="362"/>
      <c r="STZ80" s="362"/>
      <c r="SUA80" s="362"/>
      <c r="SUB80" s="362"/>
      <c r="SUC80" s="362"/>
      <c r="SUD80" s="362"/>
      <c r="SUE80" s="362"/>
      <c r="SUF80" s="362"/>
      <c r="SUG80" s="362"/>
      <c r="SUH80" s="362"/>
      <c r="SUI80" s="362"/>
      <c r="SUJ80" s="362"/>
      <c r="SUK80" s="362"/>
      <c r="SUL80" s="362"/>
      <c r="SUM80" s="362"/>
      <c r="SUN80" s="362"/>
      <c r="SUO80" s="362"/>
      <c r="SUP80" s="362"/>
      <c r="SUQ80" s="362"/>
      <c r="SUR80" s="362"/>
      <c r="SUS80" s="362"/>
      <c r="SUT80" s="362"/>
      <c r="SUU80" s="362"/>
      <c r="SUV80" s="362"/>
      <c r="SUW80" s="362"/>
      <c r="SUX80" s="362"/>
      <c r="SUY80" s="362"/>
      <c r="SUZ80" s="362"/>
      <c r="SVA80" s="362"/>
      <c r="SVB80" s="362"/>
      <c r="SVC80" s="362"/>
      <c r="SVD80" s="362"/>
      <c r="SVE80" s="362"/>
      <c r="SVF80" s="362"/>
      <c r="SVG80" s="362"/>
      <c r="SVH80" s="362"/>
      <c r="SVI80" s="362"/>
      <c r="SVJ80" s="362"/>
      <c r="SVK80" s="362"/>
      <c r="SVL80" s="362"/>
      <c r="SVM80" s="362"/>
      <c r="SVN80" s="362"/>
      <c r="SVO80" s="362"/>
      <c r="SVP80" s="362"/>
      <c r="SVQ80" s="362"/>
      <c r="SVR80" s="362"/>
      <c r="SVS80" s="362"/>
      <c r="SVT80" s="362"/>
      <c r="SVU80" s="362"/>
      <c r="SVV80" s="362"/>
      <c r="SVW80" s="362"/>
      <c r="SVX80" s="362"/>
      <c r="SVY80" s="362"/>
      <c r="SVZ80" s="362"/>
      <c r="SWA80" s="362"/>
      <c r="SWB80" s="362"/>
      <c r="SWC80" s="362"/>
      <c r="SWD80" s="362"/>
      <c r="SWE80" s="362"/>
      <c r="SWF80" s="362"/>
      <c r="SWG80" s="362"/>
      <c r="SWH80" s="362"/>
      <c r="SWI80" s="362"/>
      <c r="SWJ80" s="362"/>
      <c r="SWK80" s="362"/>
      <c r="SWL80" s="362"/>
      <c r="SWM80" s="362"/>
      <c r="SWN80" s="362"/>
      <c r="SWO80" s="362"/>
      <c r="SWP80" s="362"/>
      <c r="SWQ80" s="362"/>
      <c r="SWR80" s="362"/>
      <c r="SWS80" s="362"/>
      <c r="SWT80" s="362"/>
      <c r="SWU80" s="362"/>
      <c r="SWV80" s="362"/>
      <c r="SWW80" s="362"/>
      <c r="SWX80" s="362"/>
      <c r="SWY80" s="362"/>
      <c r="SWZ80" s="362"/>
      <c r="SXA80" s="362"/>
      <c r="SXB80" s="362"/>
      <c r="SXC80" s="362"/>
      <c r="SXD80" s="362"/>
      <c r="SXE80" s="362"/>
      <c r="SXF80" s="362"/>
      <c r="SXG80" s="362"/>
      <c r="SXH80" s="362"/>
      <c r="SXI80" s="362"/>
      <c r="SXJ80" s="362"/>
      <c r="SXK80" s="362"/>
      <c r="SXL80" s="362"/>
      <c r="SXM80" s="362"/>
      <c r="SXN80" s="362"/>
      <c r="SXO80" s="362"/>
      <c r="SXP80" s="362"/>
      <c r="SXQ80" s="362"/>
      <c r="SXR80" s="362"/>
      <c r="SXS80" s="362"/>
      <c r="SXT80" s="362"/>
      <c r="SXU80" s="362"/>
      <c r="SXV80" s="362"/>
      <c r="SXW80" s="362"/>
      <c r="SXX80" s="362"/>
      <c r="SXY80" s="362"/>
      <c r="SXZ80" s="362"/>
      <c r="SYA80" s="362"/>
      <c r="SYB80" s="362"/>
      <c r="SYC80" s="362"/>
      <c r="SYD80" s="362"/>
      <c r="SYE80" s="362"/>
      <c r="SYF80" s="362"/>
      <c r="SYG80" s="362"/>
      <c r="SYH80" s="362"/>
      <c r="SYI80" s="362"/>
      <c r="SYJ80" s="362"/>
      <c r="SYK80" s="362"/>
      <c r="SYL80" s="362"/>
      <c r="SYM80" s="362"/>
      <c r="SYN80" s="362"/>
      <c r="SYO80" s="362"/>
      <c r="SYP80" s="362"/>
      <c r="SYQ80" s="362"/>
      <c r="SYR80" s="362"/>
      <c r="SYS80" s="362"/>
      <c r="SYT80" s="362"/>
      <c r="SYU80" s="362"/>
      <c r="SYV80" s="362"/>
      <c r="SYW80" s="362"/>
      <c r="SYX80" s="362"/>
      <c r="SYY80" s="362"/>
      <c r="SYZ80" s="362"/>
      <c r="SZA80" s="362"/>
      <c r="SZB80" s="362"/>
      <c r="SZC80" s="362"/>
      <c r="SZD80" s="362"/>
      <c r="SZE80" s="362"/>
      <c r="SZF80" s="362"/>
      <c r="SZG80" s="362"/>
      <c r="SZH80" s="362"/>
      <c r="SZI80" s="362"/>
      <c r="SZJ80" s="362"/>
      <c r="SZK80" s="362"/>
      <c r="SZL80" s="362"/>
      <c r="SZM80" s="362"/>
      <c r="SZN80" s="362"/>
      <c r="SZO80" s="362"/>
      <c r="SZP80" s="362"/>
      <c r="SZQ80" s="362"/>
      <c r="SZR80" s="362"/>
      <c r="SZS80" s="362"/>
      <c r="SZT80" s="362"/>
      <c r="SZU80" s="362"/>
      <c r="SZV80" s="362"/>
      <c r="SZW80" s="362"/>
      <c r="SZX80" s="362"/>
      <c r="SZY80" s="362"/>
      <c r="SZZ80" s="362"/>
      <c r="TAA80" s="362"/>
      <c r="TAB80" s="362"/>
      <c r="TAC80" s="362"/>
      <c r="TAD80" s="362"/>
      <c r="TAE80" s="362"/>
      <c r="TAF80" s="362"/>
      <c r="TAG80" s="362"/>
      <c r="TAH80" s="362"/>
      <c r="TAI80" s="362"/>
      <c r="TAJ80" s="362"/>
      <c r="TAK80" s="362"/>
      <c r="TAL80" s="362"/>
      <c r="TAM80" s="362"/>
      <c r="TAN80" s="362"/>
      <c r="TAO80" s="362"/>
      <c r="TAP80" s="362"/>
      <c r="TAQ80" s="362"/>
      <c r="TAR80" s="362"/>
      <c r="TAS80" s="362"/>
      <c r="TAT80" s="362"/>
      <c r="TAU80" s="362"/>
      <c r="TAV80" s="362"/>
      <c r="TAW80" s="362"/>
      <c r="TAX80" s="362"/>
      <c r="TAY80" s="362"/>
      <c r="TAZ80" s="362"/>
      <c r="TBA80" s="362"/>
      <c r="TBB80" s="362"/>
      <c r="TBC80" s="362"/>
      <c r="TBD80" s="362"/>
      <c r="TBE80" s="362"/>
      <c r="TBF80" s="362"/>
      <c r="TBG80" s="362"/>
      <c r="TBH80" s="362"/>
      <c r="TBI80" s="362"/>
      <c r="TBJ80" s="362"/>
      <c r="TBK80" s="362"/>
      <c r="TBL80" s="362"/>
      <c r="TBM80" s="362"/>
      <c r="TBN80" s="362"/>
      <c r="TBO80" s="362"/>
      <c r="TBP80" s="362"/>
      <c r="TBQ80" s="362"/>
      <c r="TBR80" s="362"/>
      <c r="TBS80" s="362"/>
      <c r="TBT80" s="362"/>
      <c r="TBU80" s="362"/>
      <c r="TBV80" s="362"/>
      <c r="TBW80" s="362"/>
      <c r="TBX80" s="362"/>
      <c r="TBY80" s="362"/>
      <c r="TBZ80" s="362"/>
      <c r="TCA80" s="362"/>
      <c r="TCB80" s="362"/>
      <c r="TCC80" s="362"/>
      <c r="TCD80" s="362"/>
      <c r="TCE80" s="362"/>
      <c r="TCF80" s="362"/>
      <c r="TCG80" s="362"/>
      <c r="TCH80" s="362"/>
      <c r="TCI80" s="362"/>
      <c r="TCJ80" s="362"/>
      <c r="TCK80" s="362"/>
      <c r="TCL80" s="362"/>
      <c r="TCM80" s="362"/>
      <c r="TCN80" s="362"/>
      <c r="TCO80" s="362"/>
      <c r="TCP80" s="362"/>
      <c r="TCQ80" s="362"/>
      <c r="TCR80" s="362"/>
      <c r="TCS80" s="362"/>
      <c r="TCT80" s="362"/>
      <c r="TCU80" s="362"/>
      <c r="TCV80" s="362"/>
      <c r="TCW80" s="362"/>
      <c r="TCX80" s="362"/>
      <c r="TCY80" s="362"/>
      <c r="TCZ80" s="362"/>
      <c r="TDA80" s="362"/>
      <c r="TDB80" s="362"/>
      <c r="TDC80" s="362"/>
      <c r="TDD80" s="362"/>
      <c r="TDE80" s="362"/>
      <c r="TDF80" s="362"/>
      <c r="TDG80" s="362"/>
      <c r="TDH80" s="362"/>
      <c r="TDI80" s="362"/>
      <c r="TDJ80" s="362"/>
      <c r="TDK80" s="362"/>
      <c r="TDL80" s="362"/>
      <c r="TDM80" s="362"/>
      <c r="TDN80" s="362"/>
      <c r="TDO80" s="362"/>
      <c r="TDP80" s="362"/>
      <c r="TDQ80" s="362"/>
      <c r="TDR80" s="362"/>
      <c r="TDS80" s="362"/>
      <c r="TDT80" s="362"/>
      <c r="TDU80" s="362"/>
      <c r="TDV80" s="362"/>
      <c r="TDW80" s="362"/>
      <c r="TDX80" s="362"/>
      <c r="TDY80" s="362"/>
      <c r="TDZ80" s="362"/>
      <c r="TEA80" s="362"/>
      <c r="TEB80" s="362"/>
      <c r="TEC80" s="362"/>
      <c r="TED80" s="362"/>
      <c r="TEE80" s="362"/>
      <c r="TEF80" s="362"/>
      <c r="TEG80" s="362"/>
      <c r="TEH80" s="362"/>
      <c r="TEI80" s="362"/>
      <c r="TEJ80" s="362"/>
      <c r="TEK80" s="362"/>
      <c r="TEL80" s="362"/>
      <c r="TEM80" s="362"/>
      <c r="TEN80" s="362"/>
      <c r="TEO80" s="362"/>
      <c r="TEP80" s="362"/>
      <c r="TEQ80" s="362"/>
      <c r="TER80" s="362"/>
      <c r="TES80" s="362"/>
      <c r="TET80" s="362"/>
      <c r="TEU80" s="362"/>
      <c r="TEV80" s="362"/>
      <c r="TEW80" s="362"/>
      <c r="TEX80" s="362"/>
      <c r="TEY80" s="362"/>
      <c r="TEZ80" s="362"/>
      <c r="TFA80" s="362"/>
      <c r="TFB80" s="362"/>
      <c r="TFC80" s="362"/>
      <c r="TFD80" s="362"/>
      <c r="TFE80" s="362"/>
      <c r="TFF80" s="362"/>
      <c r="TFG80" s="362"/>
      <c r="TFH80" s="362"/>
      <c r="TFI80" s="362"/>
      <c r="TFJ80" s="362"/>
      <c r="TFK80" s="362"/>
      <c r="TFL80" s="362"/>
      <c r="TFM80" s="362"/>
      <c r="TFN80" s="362"/>
      <c r="TFO80" s="362"/>
      <c r="TFP80" s="362"/>
      <c r="TFQ80" s="362"/>
      <c r="TFR80" s="362"/>
      <c r="TFS80" s="362"/>
      <c r="TFT80" s="362"/>
      <c r="TFU80" s="362"/>
      <c r="TFV80" s="362"/>
      <c r="TFW80" s="362"/>
      <c r="TFX80" s="362"/>
      <c r="TFY80" s="362"/>
      <c r="TFZ80" s="362"/>
      <c r="TGA80" s="362"/>
      <c r="TGB80" s="362"/>
      <c r="TGC80" s="362"/>
      <c r="TGD80" s="362"/>
      <c r="TGE80" s="362"/>
      <c r="TGF80" s="362"/>
      <c r="TGG80" s="362"/>
      <c r="TGH80" s="362"/>
      <c r="TGI80" s="362"/>
      <c r="TGJ80" s="362"/>
      <c r="TGK80" s="362"/>
      <c r="TGL80" s="362"/>
      <c r="TGM80" s="362"/>
      <c r="TGN80" s="362"/>
      <c r="TGO80" s="362"/>
      <c r="TGP80" s="362"/>
      <c r="TGQ80" s="362"/>
      <c r="TGR80" s="362"/>
      <c r="TGS80" s="362"/>
      <c r="TGT80" s="362"/>
      <c r="TGU80" s="362"/>
      <c r="TGV80" s="362"/>
      <c r="TGW80" s="362"/>
      <c r="TGX80" s="362"/>
      <c r="TGY80" s="362"/>
      <c r="TGZ80" s="362"/>
      <c r="THA80" s="362"/>
      <c r="THB80" s="362"/>
      <c r="THC80" s="362"/>
      <c r="THD80" s="362"/>
      <c r="THE80" s="362"/>
      <c r="THF80" s="362"/>
      <c r="THG80" s="362"/>
      <c r="THH80" s="362"/>
      <c r="THI80" s="362"/>
      <c r="THJ80" s="362"/>
      <c r="THK80" s="362"/>
      <c r="THL80" s="362"/>
      <c r="THM80" s="362"/>
      <c r="THN80" s="362"/>
      <c r="THO80" s="362"/>
      <c r="THP80" s="362"/>
      <c r="THQ80" s="362"/>
      <c r="THR80" s="362"/>
      <c r="THS80" s="362"/>
      <c r="THT80" s="362"/>
      <c r="THU80" s="362"/>
      <c r="THV80" s="362"/>
      <c r="THW80" s="362"/>
      <c r="THX80" s="362"/>
      <c r="THY80" s="362"/>
      <c r="THZ80" s="362"/>
      <c r="TIA80" s="362"/>
      <c r="TIB80" s="362"/>
      <c r="TIC80" s="362"/>
      <c r="TID80" s="362"/>
      <c r="TIE80" s="362"/>
      <c r="TIF80" s="362"/>
      <c r="TIG80" s="362"/>
      <c r="TIH80" s="362"/>
      <c r="TII80" s="362"/>
      <c r="TIJ80" s="362"/>
      <c r="TIK80" s="362"/>
      <c r="TIL80" s="362"/>
      <c r="TIM80" s="362"/>
      <c r="TIN80" s="362"/>
      <c r="TIO80" s="362"/>
      <c r="TIP80" s="362"/>
      <c r="TIQ80" s="362"/>
      <c r="TIR80" s="362"/>
      <c r="TIS80" s="362"/>
      <c r="TIT80" s="362"/>
      <c r="TIU80" s="362"/>
      <c r="TIV80" s="362"/>
      <c r="TIW80" s="362"/>
      <c r="TIX80" s="362"/>
      <c r="TIY80" s="362"/>
      <c r="TIZ80" s="362"/>
      <c r="TJA80" s="362"/>
      <c r="TJB80" s="362"/>
      <c r="TJC80" s="362"/>
      <c r="TJD80" s="362"/>
      <c r="TJE80" s="362"/>
      <c r="TJF80" s="362"/>
      <c r="TJG80" s="362"/>
      <c r="TJH80" s="362"/>
      <c r="TJI80" s="362"/>
      <c r="TJJ80" s="362"/>
      <c r="TJK80" s="362"/>
      <c r="TJL80" s="362"/>
      <c r="TJM80" s="362"/>
      <c r="TJN80" s="362"/>
      <c r="TJO80" s="362"/>
      <c r="TJP80" s="362"/>
      <c r="TJQ80" s="362"/>
      <c r="TJR80" s="362"/>
      <c r="TJS80" s="362"/>
      <c r="TJT80" s="362"/>
      <c r="TJU80" s="362"/>
      <c r="TJV80" s="362"/>
      <c r="TJW80" s="362"/>
      <c r="TJX80" s="362"/>
      <c r="TJY80" s="362"/>
      <c r="TJZ80" s="362"/>
      <c r="TKA80" s="362"/>
      <c r="TKB80" s="362"/>
      <c r="TKC80" s="362"/>
      <c r="TKD80" s="362"/>
      <c r="TKE80" s="362"/>
      <c r="TKF80" s="362"/>
      <c r="TKG80" s="362"/>
      <c r="TKH80" s="362"/>
      <c r="TKI80" s="362"/>
      <c r="TKJ80" s="362"/>
      <c r="TKK80" s="362"/>
      <c r="TKL80" s="362"/>
      <c r="TKM80" s="362"/>
      <c r="TKN80" s="362"/>
      <c r="TKO80" s="362"/>
      <c r="TKP80" s="362"/>
      <c r="TKQ80" s="362"/>
      <c r="TKR80" s="362"/>
      <c r="TKS80" s="362"/>
      <c r="TKT80" s="362"/>
      <c r="TKU80" s="362"/>
      <c r="TKV80" s="362"/>
      <c r="TKW80" s="362"/>
      <c r="TKX80" s="362"/>
      <c r="TKY80" s="362"/>
      <c r="TKZ80" s="362"/>
      <c r="TLA80" s="362"/>
      <c r="TLB80" s="362"/>
      <c r="TLC80" s="362"/>
      <c r="TLD80" s="362"/>
      <c r="TLE80" s="362"/>
      <c r="TLF80" s="362"/>
      <c r="TLG80" s="362"/>
      <c r="TLH80" s="362"/>
      <c r="TLI80" s="362"/>
      <c r="TLJ80" s="362"/>
      <c r="TLK80" s="362"/>
      <c r="TLL80" s="362"/>
      <c r="TLM80" s="362"/>
      <c r="TLN80" s="362"/>
      <c r="TLO80" s="362"/>
      <c r="TLP80" s="362"/>
      <c r="TLQ80" s="362"/>
      <c r="TLR80" s="362"/>
      <c r="TLS80" s="362"/>
      <c r="TLT80" s="362"/>
      <c r="TLU80" s="362"/>
      <c r="TLV80" s="362"/>
      <c r="TLW80" s="362"/>
      <c r="TLX80" s="362"/>
      <c r="TLY80" s="362"/>
      <c r="TLZ80" s="362"/>
      <c r="TMA80" s="362"/>
      <c r="TMB80" s="362"/>
      <c r="TMC80" s="362"/>
      <c r="TMD80" s="362"/>
      <c r="TME80" s="362"/>
      <c r="TMF80" s="362"/>
      <c r="TMG80" s="362"/>
      <c r="TMH80" s="362"/>
      <c r="TMI80" s="362"/>
      <c r="TMJ80" s="362"/>
      <c r="TMK80" s="362"/>
      <c r="TML80" s="362"/>
      <c r="TMM80" s="362"/>
      <c r="TMN80" s="362"/>
      <c r="TMO80" s="362"/>
      <c r="TMP80" s="362"/>
      <c r="TMQ80" s="362"/>
      <c r="TMR80" s="362"/>
      <c r="TMS80" s="362"/>
      <c r="TMT80" s="362"/>
      <c r="TMU80" s="362"/>
      <c r="TMV80" s="362"/>
      <c r="TMW80" s="362"/>
      <c r="TMX80" s="362"/>
      <c r="TMY80" s="362"/>
      <c r="TMZ80" s="362"/>
      <c r="TNA80" s="362"/>
      <c r="TNB80" s="362"/>
      <c r="TNC80" s="362"/>
      <c r="TND80" s="362"/>
      <c r="TNE80" s="362"/>
      <c r="TNF80" s="362"/>
      <c r="TNG80" s="362"/>
      <c r="TNH80" s="362"/>
      <c r="TNI80" s="362"/>
      <c r="TNJ80" s="362"/>
      <c r="TNK80" s="362"/>
      <c r="TNL80" s="362"/>
      <c r="TNM80" s="362"/>
      <c r="TNN80" s="362"/>
      <c r="TNO80" s="362"/>
      <c r="TNP80" s="362"/>
      <c r="TNQ80" s="362"/>
      <c r="TNR80" s="362"/>
      <c r="TNS80" s="362"/>
      <c r="TNT80" s="362"/>
      <c r="TNU80" s="362"/>
      <c r="TNV80" s="362"/>
      <c r="TNW80" s="362"/>
      <c r="TNX80" s="362"/>
      <c r="TNY80" s="362"/>
      <c r="TNZ80" s="362"/>
      <c r="TOA80" s="362"/>
      <c r="TOB80" s="362"/>
      <c r="TOC80" s="362"/>
      <c r="TOD80" s="362"/>
      <c r="TOE80" s="362"/>
      <c r="TOF80" s="362"/>
      <c r="TOG80" s="362"/>
      <c r="TOH80" s="362"/>
      <c r="TOI80" s="362"/>
      <c r="TOJ80" s="362"/>
      <c r="TOK80" s="362"/>
      <c r="TOL80" s="362"/>
      <c r="TOM80" s="362"/>
      <c r="TON80" s="362"/>
      <c r="TOO80" s="362"/>
      <c r="TOP80" s="362"/>
      <c r="TOQ80" s="362"/>
      <c r="TOR80" s="362"/>
      <c r="TOS80" s="362"/>
      <c r="TOT80" s="362"/>
      <c r="TOU80" s="362"/>
      <c r="TOV80" s="362"/>
      <c r="TOW80" s="362"/>
      <c r="TOX80" s="362"/>
      <c r="TOY80" s="362"/>
      <c r="TOZ80" s="362"/>
      <c r="TPA80" s="362"/>
      <c r="TPB80" s="362"/>
      <c r="TPC80" s="362"/>
      <c r="TPD80" s="362"/>
      <c r="TPE80" s="362"/>
      <c r="TPF80" s="362"/>
      <c r="TPG80" s="362"/>
      <c r="TPH80" s="362"/>
      <c r="TPI80" s="362"/>
      <c r="TPJ80" s="362"/>
      <c r="TPK80" s="362"/>
      <c r="TPL80" s="362"/>
      <c r="TPM80" s="362"/>
      <c r="TPN80" s="362"/>
      <c r="TPO80" s="362"/>
      <c r="TPP80" s="362"/>
      <c r="TPQ80" s="362"/>
      <c r="TPR80" s="362"/>
      <c r="TPS80" s="362"/>
      <c r="TPT80" s="362"/>
      <c r="TPU80" s="362"/>
      <c r="TPV80" s="362"/>
      <c r="TPW80" s="362"/>
      <c r="TPX80" s="362"/>
      <c r="TPY80" s="362"/>
      <c r="TPZ80" s="362"/>
      <c r="TQA80" s="362"/>
      <c r="TQB80" s="362"/>
      <c r="TQC80" s="362"/>
      <c r="TQD80" s="362"/>
      <c r="TQE80" s="362"/>
      <c r="TQF80" s="362"/>
      <c r="TQG80" s="362"/>
      <c r="TQH80" s="362"/>
      <c r="TQI80" s="362"/>
      <c r="TQJ80" s="362"/>
      <c r="TQK80" s="362"/>
      <c r="TQL80" s="362"/>
      <c r="TQM80" s="362"/>
      <c r="TQN80" s="362"/>
      <c r="TQO80" s="362"/>
      <c r="TQP80" s="362"/>
      <c r="TQQ80" s="362"/>
      <c r="TQR80" s="362"/>
      <c r="TQS80" s="362"/>
      <c r="TQT80" s="362"/>
      <c r="TQU80" s="362"/>
      <c r="TQV80" s="362"/>
      <c r="TQW80" s="362"/>
      <c r="TQX80" s="362"/>
      <c r="TQY80" s="362"/>
      <c r="TQZ80" s="362"/>
      <c r="TRA80" s="362"/>
      <c r="TRB80" s="362"/>
      <c r="TRC80" s="362"/>
      <c r="TRD80" s="362"/>
      <c r="TRE80" s="362"/>
      <c r="TRF80" s="362"/>
      <c r="TRG80" s="362"/>
      <c r="TRH80" s="362"/>
      <c r="TRI80" s="362"/>
      <c r="TRJ80" s="362"/>
      <c r="TRK80" s="362"/>
      <c r="TRL80" s="362"/>
      <c r="TRM80" s="362"/>
      <c r="TRN80" s="362"/>
      <c r="TRO80" s="362"/>
      <c r="TRP80" s="362"/>
      <c r="TRQ80" s="362"/>
      <c r="TRR80" s="362"/>
      <c r="TRS80" s="362"/>
      <c r="TRT80" s="362"/>
      <c r="TRU80" s="362"/>
      <c r="TRV80" s="362"/>
      <c r="TRW80" s="362"/>
      <c r="TRX80" s="362"/>
      <c r="TRY80" s="362"/>
      <c r="TRZ80" s="362"/>
      <c r="TSA80" s="362"/>
      <c r="TSB80" s="362"/>
      <c r="TSC80" s="362"/>
      <c r="TSD80" s="362"/>
      <c r="TSE80" s="362"/>
      <c r="TSF80" s="362"/>
      <c r="TSG80" s="362"/>
      <c r="TSH80" s="362"/>
      <c r="TSI80" s="362"/>
      <c r="TSJ80" s="362"/>
      <c r="TSK80" s="362"/>
      <c r="TSL80" s="362"/>
      <c r="TSM80" s="362"/>
      <c r="TSN80" s="362"/>
      <c r="TSO80" s="362"/>
      <c r="TSP80" s="362"/>
      <c r="TSQ80" s="362"/>
      <c r="TSR80" s="362"/>
      <c r="TSS80" s="362"/>
      <c r="TST80" s="362"/>
      <c r="TSU80" s="362"/>
      <c r="TSV80" s="362"/>
      <c r="TSW80" s="362"/>
      <c r="TSX80" s="362"/>
      <c r="TSY80" s="362"/>
      <c r="TSZ80" s="362"/>
      <c r="TTA80" s="362"/>
      <c r="TTB80" s="362"/>
      <c r="TTC80" s="362"/>
      <c r="TTD80" s="362"/>
      <c r="TTE80" s="362"/>
      <c r="TTF80" s="362"/>
      <c r="TTG80" s="362"/>
      <c r="TTH80" s="362"/>
      <c r="TTI80" s="362"/>
      <c r="TTJ80" s="362"/>
      <c r="TTK80" s="362"/>
      <c r="TTL80" s="362"/>
      <c r="TTM80" s="362"/>
      <c r="TTN80" s="362"/>
      <c r="TTO80" s="362"/>
      <c r="TTP80" s="362"/>
      <c r="TTQ80" s="362"/>
      <c r="TTR80" s="362"/>
      <c r="TTS80" s="362"/>
      <c r="TTT80" s="362"/>
      <c r="TTU80" s="362"/>
      <c r="TTV80" s="362"/>
      <c r="TTW80" s="362"/>
      <c r="TTX80" s="362"/>
      <c r="TTY80" s="362"/>
      <c r="TTZ80" s="362"/>
      <c r="TUA80" s="362"/>
      <c r="TUB80" s="362"/>
      <c r="TUC80" s="362"/>
      <c r="TUD80" s="362"/>
      <c r="TUE80" s="362"/>
      <c r="TUF80" s="362"/>
      <c r="TUG80" s="362"/>
      <c r="TUH80" s="362"/>
      <c r="TUI80" s="362"/>
      <c r="TUJ80" s="362"/>
      <c r="TUK80" s="362"/>
      <c r="TUL80" s="362"/>
      <c r="TUM80" s="362"/>
      <c r="TUN80" s="362"/>
      <c r="TUO80" s="362"/>
      <c r="TUP80" s="362"/>
      <c r="TUQ80" s="362"/>
      <c r="TUR80" s="362"/>
      <c r="TUS80" s="362"/>
      <c r="TUT80" s="362"/>
      <c r="TUU80" s="362"/>
      <c r="TUV80" s="362"/>
      <c r="TUW80" s="362"/>
      <c r="TUX80" s="362"/>
      <c r="TUY80" s="362"/>
      <c r="TUZ80" s="362"/>
      <c r="TVA80" s="362"/>
      <c r="TVB80" s="362"/>
      <c r="TVC80" s="362"/>
      <c r="TVD80" s="362"/>
      <c r="TVE80" s="362"/>
      <c r="TVF80" s="362"/>
      <c r="TVG80" s="362"/>
      <c r="TVH80" s="362"/>
      <c r="TVI80" s="362"/>
      <c r="TVJ80" s="362"/>
      <c r="TVK80" s="362"/>
      <c r="TVL80" s="362"/>
      <c r="TVM80" s="362"/>
      <c r="TVN80" s="362"/>
      <c r="TVO80" s="362"/>
      <c r="TVP80" s="362"/>
      <c r="TVQ80" s="362"/>
      <c r="TVR80" s="362"/>
      <c r="TVS80" s="362"/>
      <c r="TVT80" s="362"/>
      <c r="TVU80" s="362"/>
      <c r="TVV80" s="362"/>
      <c r="TVW80" s="362"/>
      <c r="TVX80" s="362"/>
      <c r="TVY80" s="362"/>
      <c r="TVZ80" s="362"/>
      <c r="TWA80" s="362"/>
      <c r="TWB80" s="362"/>
      <c r="TWC80" s="362"/>
      <c r="TWD80" s="362"/>
      <c r="TWE80" s="362"/>
      <c r="TWF80" s="362"/>
      <c r="TWG80" s="362"/>
      <c r="TWH80" s="362"/>
      <c r="TWI80" s="362"/>
      <c r="TWJ80" s="362"/>
      <c r="TWK80" s="362"/>
      <c r="TWL80" s="362"/>
      <c r="TWM80" s="362"/>
      <c r="TWN80" s="362"/>
      <c r="TWO80" s="362"/>
      <c r="TWP80" s="362"/>
      <c r="TWQ80" s="362"/>
      <c r="TWR80" s="362"/>
      <c r="TWS80" s="362"/>
      <c r="TWT80" s="362"/>
      <c r="TWU80" s="362"/>
      <c r="TWV80" s="362"/>
      <c r="TWW80" s="362"/>
      <c r="TWX80" s="362"/>
      <c r="TWY80" s="362"/>
      <c r="TWZ80" s="362"/>
      <c r="TXA80" s="362"/>
      <c r="TXB80" s="362"/>
      <c r="TXC80" s="362"/>
      <c r="TXD80" s="362"/>
      <c r="TXE80" s="362"/>
      <c r="TXF80" s="362"/>
      <c r="TXG80" s="362"/>
      <c r="TXH80" s="362"/>
      <c r="TXI80" s="362"/>
      <c r="TXJ80" s="362"/>
      <c r="TXK80" s="362"/>
      <c r="TXL80" s="362"/>
      <c r="TXM80" s="362"/>
      <c r="TXN80" s="362"/>
      <c r="TXO80" s="362"/>
      <c r="TXP80" s="362"/>
      <c r="TXQ80" s="362"/>
      <c r="TXR80" s="362"/>
      <c r="TXS80" s="362"/>
      <c r="TXT80" s="362"/>
      <c r="TXU80" s="362"/>
      <c r="TXV80" s="362"/>
      <c r="TXW80" s="362"/>
      <c r="TXX80" s="362"/>
      <c r="TXY80" s="362"/>
      <c r="TXZ80" s="362"/>
      <c r="TYA80" s="362"/>
      <c r="TYB80" s="362"/>
      <c r="TYC80" s="362"/>
      <c r="TYD80" s="362"/>
      <c r="TYE80" s="362"/>
      <c r="TYF80" s="362"/>
      <c r="TYG80" s="362"/>
      <c r="TYH80" s="362"/>
      <c r="TYI80" s="362"/>
      <c r="TYJ80" s="362"/>
      <c r="TYK80" s="362"/>
      <c r="TYL80" s="362"/>
      <c r="TYM80" s="362"/>
      <c r="TYN80" s="362"/>
      <c r="TYO80" s="362"/>
      <c r="TYP80" s="362"/>
      <c r="TYQ80" s="362"/>
      <c r="TYR80" s="362"/>
      <c r="TYS80" s="362"/>
      <c r="TYT80" s="362"/>
      <c r="TYU80" s="362"/>
      <c r="TYV80" s="362"/>
      <c r="TYW80" s="362"/>
      <c r="TYX80" s="362"/>
      <c r="TYY80" s="362"/>
      <c r="TYZ80" s="362"/>
      <c r="TZA80" s="362"/>
      <c r="TZB80" s="362"/>
      <c r="TZC80" s="362"/>
      <c r="TZD80" s="362"/>
      <c r="TZE80" s="362"/>
      <c r="TZF80" s="362"/>
      <c r="TZG80" s="362"/>
      <c r="TZH80" s="362"/>
      <c r="TZI80" s="362"/>
      <c r="TZJ80" s="362"/>
      <c r="TZK80" s="362"/>
      <c r="TZL80" s="362"/>
      <c r="TZM80" s="362"/>
      <c r="TZN80" s="362"/>
      <c r="TZO80" s="362"/>
      <c r="TZP80" s="362"/>
      <c r="TZQ80" s="362"/>
      <c r="TZR80" s="362"/>
      <c r="TZS80" s="362"/>
      <c r="TZT80" s="362"/>
      <c r="TZU80" s="362"/>
      <c r="TZV80" s="362"/>
      <c r="TZW80" s="362"/>
      <c r="TZX80" s="362"/>
      <c r="TZY80" s="362"/>
      <c r="TZZ80" s="362"/>
      <c r="UAA80" s="362"/>
      <c r="UAB80" s="362"/>
      <c r="UAC80" s="362"/>
      <c r="UAD80" s="362"/>
      <c r="UAE80" s="362"/>
      <c r="UAF80" s="362"/>
      <c r="UAG80" s="362"/>
      <c r="UAH80" s="362"/>
      <c r="UAI80" s="362"/>
      <c r="UAJ80" s="362"/>
      <c r="UAK80" s="362"/>
      <c r="UAL80" s="362"/>
      <c r="UAM80" s="362"/>
      <c r="UAN80" s="362"/>
      <c r="UAO80" s="362"/>
      <c r="UAP80" s="362"/>
      <c r="UAQ80" s="362"/>
      <c r="UAR80" s="362"/>
      <c r="UAS80" s="362"/>
      <c r="UAT80" s="362"/>
      <c r="UAU80" s="362"/>
      <c r="UAV80" s="362"/>
      <c r="UAW80" s="362"/>
      <c r="UAX80" s="362"/>
      <c r="UAY80" s="362"/>
      <c r="UAZ80" s="362"/>
      <c r="UBA80" s="362"/>
      <c r="UBB80" s="362"/>
      <c r="UBC80" s="362"/>
      <c r="UBD80" s="362"/>
      <c r="UBE80" s="362"/>
      <c r="UBF80" s="362"/>
      <c r="UBG80" s="362"/>
      <c r="UBH80" s="362"/>
      <c r="UBI80" s="362"/>
      <c r="UBJ80" s="362"/>
      <c r="UBK80" s="362"/>
      <c r="UBL80" s="362"/>
      <c r="UBM80" s="362"/>
      <c r="UBN80" s="362"/>
      <c r="UBO80" s="362"/>
      <c r="UBP80" s="362"/>
      <c r="UBQ80" s="362"/>
      <c r="UBR80" s="362"/>
      <c r="UBS80" s="362"/>
      <c r="UBT80" s="362"/>
      <c r="UBU80" s="362"/>
      <c r="UBV80" s="362"/>
      <c r="UBW80" s="362"/>
      <c r="UBX80" s="362"/>
      <c r="UBY80" s="362"/>
      <c r="UBZ80" s="362"/>
      <c r="UCA80" s="362"/>
      <c r="UCB80" s="362"/>
      <c r="UCC80" s="362"/>
      <c r="UCD80" s="362"/>
      <c r="UCE80" s="362"/>
      <c r="UCF80" s="362"/>
      <c r="UCG80" s="362"/>
      <c r="UCH80" s="362"/>
      <c r="UCI80" s="362"/>
      <c r="UCJ80" s="362"/>
      <c r="UCK80" s="362"/>
      <c r="UCL80" s="362"/>
      <c r="UCM80" s="362"/>
      <c r="UCN80" s="362"/>
      <c r="UCO80" s="362"/>
      <c r="UCP80" s="362"/>
      <c r="UCQ80" s="362"/>
      <c r="UCR80" s="362"/>
      <c r="UCS80" s="362"/>
      <c r="UCT80" s="362"/>
      <c r="UCU80" s="362"/>
      <c r="UCV80" s="362"/>
      <c r="UCW80" s="362"/>
      <c r="UCX80" s="362"/>
      <c r="UCY80" s="362"/>
      <c r="UCZ80" s="362"/>
      <c r="UDA80" s="362"/>
      <c r="UDB80" s="362"/>
      <c r="UDC80" s="362"/>
      <c r="UDD80" s="362"/>
      <c r="UDE80" s="362"/>
      <c r="UDF80" s="362"/>
      <c r="UDG80" s="362"/>
      <c r="UDH80" s="362"/>
      <c r="UDI80" s="362"/>
      <c r="UDJ80" s="362"/>
      <c r="UDK80" s="362"/>
      <c r="UDL80" s="362"/>
      <c r="UDM80" s="362"/>
      <c r="UDN80" s="362"/>
      <c r="UDO80" s="362"/>
      <c r="UDP80" s="362"/>
      <c r="UDQ80" s="362"/>
      <c r="UDR80" s="362"/>
      <c r="UDS80" s="362"/>
      <c r="UDT80" s="362"/>
      <c r="UDU80" s="362"/>
      <c r="UDV80" s="362"/>
      <c r="UDW80" s="362"/>
      <c r="UDX80" s="362"/>
      <c r="UDY80" s="362"/>
      <c r="UDZ80" s="362"/>
      <c r="UEA80" s="362"/>
      <c r="UEB80" s="362"/>
      <c r="UEC80" s="362"/>
      <c r="UED80" s="362"/>
      <c r="UEE80" s="362"/>
      <c r="UEF80" s="362"/>
      <c r="UEG80" s="362"/>
      <c r="UEH80" s="362"/>
      <c r="UEI80" s="362"/>
      <c r="UEJ80" s="362"/>
      <c r="UEK80" s="362"/>
      <c r="UEL80" s="362"/>
      <c r="UEM80" s="362"/>
      <c r="UEN80" s="362"/>
      <c r="UEO80" s="362"/>
      <c r="UEP80" s="362"/>
      <c r="UEQ80" s="362"/>
      <c r="UER80" s="362"/>
      <c r="UES80" s="362"/>
      <c r="UET80" s="362"/>
      <c r="UEU80" s="362"/>
      <c r="UEV80" s="362"/>
      <c r="UEW80" s="362"/>
      <c r="UEX80" s="362"/>
      <c r="UEY80" s="362"/>
      <c r="UEZ80" s="362"/>
      <c r="UFA80" s="362"/>
      <c r="UFB80" s="362"/>
      <c r="UFC80" s="362"/>
      <c r="UFD80" s="362"/>
      <c r="UFE80" s="362"/>
      <c r="UFF80" s="362"/>
      <c r="UFG80" s="362"/>
      <c r="UFH80" s="362"/>
      <c r="UFI80" s="362"/>
      <c r="UFJ80" s="362"/>
      <c r="UFK80" s="362"/>
      <c r="UFL80" s="362"/>
      <c r="UFM80" s="362"/>
      <c r="UFN80" s="362"/>
      <c r="UFO80" s="362"/>
      <c r="UFP80" s="362"/>
      <c r="UFQ80" s="362"/>
      <c r="UFR80" s="362"/>
      <c r="UFS80" s="362"/>
      <c r="UFT80" s="362"/>
      <c r="UFU80" s="362"/>
      <c r="UFV80" s="362"/>
      <c r="UFW80" s="362"/>
      <c r="UFX80" s="362"/>
      <c r="UFY80" s="362"/>
      <c r="UFZ80" s="362"/>
      <c r="UGA80" s="362"/>
      <c r="UGB80" s="362"/>
      <c r="UGC80" s="362"/>
      <c r="UGD80" s="362"/>
      <c r="UGE80" s="362"/>
      <c r="UGF80" s="362"/>
      <c r="UGG80" s="362"/>
      <c r="UGH80" s="362"/>
      <c r="UGI80" s="362"/>
      <c r="UGJ80" s="362"/>
      <c r="UGK80" s="362"/>
      <c r="UGL80" s="362"/>
      <c r="UGM80" s="362"/>
      <c r="UGN80" s="362"/>
      <c r="UGO80" s="362"/>
      <c r="UGP80" s="362"/>
      <c r="UGQ80" s="362"/>
      <c r="UGR80" s="362"/>
      <c r="UGS80" s="362"/>
      <c r="UGT80" s="362"/>
      <c r="UGU80" s="362"/>
      <c r="UGV80" s="362"/>
      <c r="UGW80" s="362"/>
      <c r="UGX80" s="362"/>
      <c r="UGY80" s="362"/>
      <c r="UGZ80" s="362"/>
      <c r="UHA80" s="362"/>
      <c r="UHB80" s="362"/>
      <c r="UHC80" s="362"/>
      <c r="UHD80" s="362"/>
      <c r="UHE80" s="362"/>
      <c r="UHF80" s="362"/>
      <c r="UHG80" s="362"/>
      <c r="UHH80" s="362"/>
      <c r="UHI80" s="362"/>
      <c r="UHJ80" s="362"/>
      <c r="UHK80" s="362"/>
      <c r="UHL80" s="362"/>
      <c r="UHM80" s="362"/>
      <c r="UHN80" s="362"/>
      <c r="UHO80" s="362"/>
      <c r="UHP80" s="362"/>
      <c r="UHQ80" s="362"/>
      <c r="UHR80" s="362"/>
      <c r="UHS80" s="362"/>
      <c r="UHT80" s="362"/>
      <c r="UHU80" s="362"/>
      <c r="UHV80" s="362"/>
      <c r="UHW80" s="362"/>
      <c r="UHX80" s="362"/>
      <c r="UHY80" s="362"/>
      <c r="UHZ80" s="362"/>
      <c r="UIA80" s="362"/>
      <c r="UIB80" s="362"/>
      <c r="UIC80" s="362"/>
      <c r="UID80" s="362"/>
      <c r="UIE80" s="362"/>
      <c r="UIF80" s="362"/>
      <c r="UIG80" s="362"/>
      <c r="UIH80" s="362"/>
      <c r="UII80" s="362"/>
      <c r="UIJ80" s="362"/>
      <c r="UIK80" s="362"/>
      <c r="UIL80" s="362"/>
      <c r="UIM80" s="362"/>
      <c r="UIN80" s="362"/>
      <c r="UIO80" s="362"/>
      <c r="UIP80" s="362"/>
      <c r="UIQ80" s="362"/>
      <c r="UIR80" s="362"/>
      <c r="UIS80" s="362"/>
      <c r="UIT80" s="362"/>
      <c r="UIU80" s="362"/>
      <c r="UIV80" s="362"/>
      <c r="UIW80" s="362"/>
      <c r="UIX80" s="362"/>
      <c r="UIY80" s="362"/>
      <c r="UIZ80" s="362"/>
      <c r="UJA80" s="362"/>
      <c r="UJB80" s="362"/>
      <c r="UJC80" s="362"/>
      <c r="UJD80" s="362"/>
      <c r="UJE80" s="362"/>
      <c r="UJF80" s="362"/>
      <c r="UJG80" s="362"/>
      <c r="UJH80" s="362"/>
      <c r="UJI80" s="362"/>
      <c r="UJJ80" s="362"/>
      <c r="UJK80" s="362"/>
      <c r="UJL80" s="362"/>
      <c r="UJM80" s="362"/>
      <c r="UJN80" s="362"/>
      <c r="UJO80" s="362"/>
      <c r="UJP80" s="362"/>
      <c r="UJQ80" s="362"/>
      <c r="UJR80" s="362"/>
      <c r="UJS80" s="362"/>
      <c r="UJT80" s="362"/>
      <c r="UJU80" s="362"/>
      <c r="UJV80" s="362"/>
      <c r="UJW80" s="362"/>
      <c r="UJX80" s="362"/>
      <c r="UJY80" s="362"/>
      <c r="UJZ80" s="362"/>
      <c r="UKA80" s="362"/>
      <c r="UKB80" s="362"/>
      <c r="UKC80" s="362"/>
      <c r="UKD80" s="362"/>
      <c r="UKE80" s="362"/>
      <c r="UKF80" s="362"/>
      <c r="UKG80" s="362"/>
      <c r="UKH80" s="362"/>
      <c r="UKI80" s="362"/>
      <c r="UKJ80" s="362"/>
      <c r="UKK80" s="362"/>
      <c r="UKL80" s="362"/>
      <c r="UKM80" s="362"/>
      <c r="UKN80" s="362"/>
      <c r="UKO80" s="362"/>
      <c r="UKP80" s="362"/>
      <c r="UKQ80" s="362"/>
      <c r="UKR80" s="362"/>
      <c r="UKS80" s="362"/>
      <c r="UKT80" s="362"/>
      <c r="UKU80" s="362"/>
      <c r="UKV80" s="362"/>
      <c r="UKW80" s="362"/>
      <c r="UKX80" s="362"/>
      <c r="UKY80" s="362"/>
      <c r="UKZ80" s="362"/>
      <c r="ULA80" s="362"/>
      <c r="ULB80" s="362"/>
      <c r="ULC80" s="362"/>
      <c r="ULD80" s="362"/>
      <c r="ULE80" s="362"/>
      <c r="ULF80" s="362"/>
      <c r="ULG80" s="362"/>
      <c r="ULH80" s="362"/>
      <c r="ULI80" s="362"/>
      <c r="ULJ80" s="362"/>
      <c r="ULK80" s="362"/>
      <c r="ULL80" s="362"/>
      <c r="ULM80" s="362"/>
      <c r="ULN80" s="362"/>
      <c r="ULO80" s="362"/>
      <c r="ULP80" s="362"/>
      <c r="ULQ80" s="362"/>
      <c r="ULR80" s="362"/>
      <c r="ULS80" s="362"/>
      <c r="ULT80" s="362"/>
      <c r="ULU80" s="362"/>
      <c r="ULV80" s="362"/>
      <c r="ULW80" s="362"/>
      <c r="ULX80" s="362"/>
      <c r="ULY80" s="362"/>
      <c r="ULZ80" s="362"/>
      <c r="UMA80" s="362"/>
      <c r="UMB80" s="362"/>
      <c r="UMC80" s="362"/>
      <c r="UMD80" s="362"/>
      <c r="UME80" s="362"/>
      <c r="UMF80" s="362"/>
      <c r="UMG80" s="362"/>
      <c r="UMH80" s="362"/>
      <c r="UMI80" s="362"/>
      <c r="UMJ80" s="362"/>
      <c r="UMK80" s="362"/>
      <c r="UML80" s="362"/>
      <c r="UMM80" s="362"/>
      <c r="UMN80" s="362"/>
      <c r="UMO80" s="362"/>
      <c r="UMP80" s="362"/>
      <c r="UMQ80" s="362"/>
      <c r="UMR80" s="362"/>
      <c r="UMS80" s="362"/>
      <c r="UMT80" s="362"/>
      <c r="UMU80" s="362"/>
      <c r="UMV80" s="362"/>
      <c r="UMW80" s="362"/>
      <c r="UMX80" s="362"/>
      <c r="UMY80" s="362"/>
      <c r="UMZ80" s="362"/>
      <c r="UNA80" s="362"/>
      <c r="UNB80" s="362"/>
      <c r="UNC80" s="362"/>
      <c r="UND80" s="362"/>
      <c r="UNE80" s="362"/>
      <c r="UNF80" s="362"/>
      <c r="UNG80" s="362"/>
      <c r="UNH80" s="362"/>
      <c r="UNI80" s="362"/>
      <c r="UNJ80" s="362"/>
      <c r="UNK80" s="362"/>
      <c r="UNL80" s="362"/>
      <c r="UNM80" s="362"/>
      <c r="UNN80" s="362"/>
      <c r="UNO80" s="362"/>
      <c r="UNP80" s="362"/>
      <c r="UNQ80" s="362"/>
      <c r="UNR80" s="362"/>
      <c r="UNS80" s="362"/>
      <c r="UNT80" s="362"/>
      <c r="UNU80" s="362"/>
      <c r="UNV80" s="362"/>
      <c r="UNW80" s="362"/>
      <c r="UNX80" s="362"/>
      <c r="UNY80" s="362"/>
      <c r="UNZ80" s="362"/>
      <c r="UOA80" s="362"/>
      <c r="UOB80" s="362"/>
      <c r="UOC80" s="362"/>
      <c r="UOD80" s="362"/>
      <c r="UOE80" s="362"/>
      <c r="UOF80" s="362"/>
      <c r="UOG80" s="362"/>
      <c r="UOH80" s="362"/>
      <c r="UOI80" s="362"/>
      <c r="UOJ80" s="362"/>
      <c r="UOK80" s="362"/>
      <c r="UOL80" s="362"/>
      <c r="UOM80" s="362"/>
      <c r="UON80" s="362"/>
      <c r="UOO80" s="362"/>
      <c r="UOP80" s="362"/>
      <c r="UOQ80" s="362"/>
      <c r="UOR80" s="362"/>
      <c r="UOS80" s="362"/>
      <c r="UOT80" s="362"/>
      <c r="UOU80" s="362"/>
      <c r="UOV80" s="362"/>
      <c r="UOW80" s="362"/>
      <c r="UOX80" s="362"/>
      <c r="UOY80" s="362"/>
      <c r="UOZ80" s="362"/>
      <c r="UPA80" s="362"/>
      <c r="UPB80" s="362"/>
      <c r="UPC80" s="362"/>
      <c r="UPD80" s="362"/>
      <c r="UPE80" s="362"/>
      <c r="UPF80" s="362"/>
      <c r="UPG80" s="362"/>
      <c r="UPH80" s="362"/>
      <c r="UPI80" s="362"/>
      <c r="UPJ80" s="362"/>
      <c r="UPK80" s="362"/>
      <c r="UPL80" s="362"/>
      <c r="UPM80" s="362"/>
      <c r="UPN80" s="362"/>
      <c r="UPO80" s="362"/>
      <c r="UPP80" s="362"/>
      <c r="UPQ80" s="362"/>
      <c r="UPR80" s="362"/>
      <c r="UPS80" s="362"/>
      <c r="UPT80" s="362"/>
      <c r="UPU80" s="362"/>
      <c r="UPV80" s="362"/>
      <c r="UPW80" s="362"/>
      <c r="UPX80" s="362"/>
      <c r="UPY80" s="362"/>
      <c r="UPZ80" s="362"/>
      <c r="UQA80" s="362"/>
      <c r="UQB80" s="362"/>
      <c r="UQC80" s="362"/>
      <c r="UQD80" s="362"/>
      <c r="UQE80" s="362"/>
      <c r="UQF80" s="362"/>
      <c r="UQG80" s="362"/>
      <c r="UQH80" s="362"/>
      <c r="UQI80" s="362"/>
      <c r="UQJ80" s="362"/>
      <c r="UQK80" s="362"/>
      <c r="UQL80" s="362"/>
      <c r="UQM80" s="362"/>
      <c r="UQN80" s="362"/>
      <c r="UQO80" s="362"/>
      <c r="UQP80" s="362"/>
      <c r="UQQ80" s="362"/>
      <c r="UQR80" s="362"/>
      <c r="UQS80" s="362"/>
      <c r="UQT80" s="362"/>
      <c r="UQU80" s="362"/>
      <c r="UQV80" s="362"/>
      <c r="UQW80" s="362"/>
      <c r="UQX80" s="362"/>
      <c r="UQY80" s="362"/>
      <c r="UQZ80" s="362"/>
      <c r="URA80" s="362"/>
      <c r="URB80" s="362"/>
      <c r="URC80" s="362"/>
      <c r="URD80" s="362"/>
      <c r="URE80" s="362"/>
      <c r="URF80" s="362"/>
      <c r="URG80" s="362"/>
      <c r="URH80" s="362"/>
      <c r="URI80" s="362"/>
      <c r="URJ80" s="362"/>
      <c r="URK80" s="362"/>
      <c r="URL80" s="362"/>
      <c r="URM80" s="362"/>
      <c r="URN80" s="362"/>
      <c r="URO80" s="362"/>
      <c r="URP80" s="362"/>
      <c r="URQ80" s="362"/>
      <c r="URR80" s="362"/>
      <c r="URS80" s="362"/>
      <c r="URT80" s="362"/>
      <c r="URU80" s="362"/>
      <c r="URV80" s="362"/>
      <c r="URW80" s="362"/>
      <c r="URX80" s="362"/>
      <c r="URY80" s="362"/>
      <c r="URZ80" s="362"/>
      <c r="USA80" s="362"/>
      <c r="USB80" s="362"/>
      <c r="USC80" s="362"/>
      <c r="USD80" s="362"/>
      <c r="USE80" s="362"/>
      <c r="USF80" s="362"/>
      <c r="USG80" s="362"/>
      <c r="USH80" s="362"/>
      <c r="USI80" s="362"/>
      <c r="USJ80" s="362"/>
      <c r="USK80" s="362"/>
      <c r="USL80" s="362"/>
      <c r="USM80" s="362"/>
      <c r="USN80" s="362"/>
      <c r="USO80" s="362"/>
      <c r="USP80" s="362"/>
      <c r="USQ80" s="362"/>
      <c r="USR80" s="362"/>
      <c r="USS80" s="362"/>
      <c r="UST80" s="362"/>
      <c r="USU80" s="362"/>
      <c r="USV80" s="362"/>
      <c r="USW80" s="362"/>
      <c r="USX80" s="362"/>
      <c r="USY80" s="362"/>
      <c r="USZ80" s="362"/>
      <c r="UTA80" s="362"/>
      <c r="UTB80" s="362"/>
      <c r="UTC80" s="362"/>
      <c r="UTD80" s="362"/>
      <c r="UTE80" s="362"/>
      <c r="UTF80" s="362"/>
      <c r="UTG80" s="362"/>
      <c r="UTH80" s="362"/>
      <c r="UTI80" s="362"/>
      <c r="UTJ80" s="362"/>
      <c r="UTK80" s="362"/>
      <c r="UTL80" s="362"/>
      <c r="UTM80" s="362"/>
      <c r="UTN80" s="362"/>
      <c r="UTO80" s="362"/>
      <c r="UTP80" s="362"/>
      <c r="UTQ80" s="362"/>
      <c r="UTR80" s="362"/>
      <c r="UTS80" s="362"/>
      <c r="UTT80" s="362"/>
      <c r="UTU80" s="362"/>
      <c r="UTV80" s="362"/>
      <c r="UTW80" s="362"/>
      <c r="UTX80" s="362"/>
      <c r="UTY80" s="362"/>
      <c r="UTZ80" s="362"/>
      <c r="UUA80" s="362"/>
      <c r="UUB80" s="362"/>
      <c r="UUC80" s="362"/>
      <c r="UUD80" s="362"/>
      <c r="UUE80" s="362"/>
      <c r="UUF80" s="362"/>
      <c r="UUG80" s="362"/>
      <c r="UUH80" s="362"/>
      <c r="UUI80" s="362"/>
      <c r="UUJ80" s="362"/>
      <c r="UUK80" s="362"/>
      <c r="UUL80" s="362"/>
      <c r="UUM80" s="362"/>
      <c r="UUN80" s="362"/>
      <c r="UUO80" s="362"/>
      <c r="UUP80" s="362"/>
      <c r="UUQ80" s="362"/>
      <c r="UUR80" s="362"/>
      <c r="UUS80" s="362"/>
      <c r="UUT80" s="362"/>
      <c r="UUU80" s="362"/>
      <c r="UUV80" s="362"/>
      <c r="UUW80" s="362"/>
      <c r="UUX80" s="362"/>
      <c r="UUY80" s="362"/>
      <c r="UUZ80" s="362"/>
      <c r="UVA80" s="362"/>
      <c r="UVB80" s="362"/>
      <c r="UVC80" s="362"/>
      <c r="UVD80" s="362"/>
      <c r="UVE80" s="362"/>
      <c r="UVF80" s="362"/>
      <c r="UVG80" s="362"/>
      <c r="UVH80" s="362"/>
      <c r="UVI80" s="362"/>
      <c r="UVJ80" s="362"/>
      <c r="UVK80" s="362"/>
      <c r="UVL80" s="362"/>
      <c r="UVM80" s="362"/>
      <c r="UVN80" s="362"/>
      <c r="UVO80" s="362"/>
      <c r="UVP80" s="362"/>
      <c r="UVQ80" s="362"/>
      <c r="UVR80" s="362"/>
      <c r="UVS80" s="362"/>
      <c r="UVT80" s="362"/>
      <c r="UVU80" s="362"/>
      <c r="UVV80" s="362"/>
      <c r="UVW80" s="362"/>
      <c r="UVX80" s="362"/>
      <c r="UVY80" s="362"/>
      <c r="UVZ80" s="362"/>
      <c r="UWA80" s="362"/>
      <c r="UWB80" s="362"/>
      <c r="UWC80" s="362"/>
      <c r="UWD80" s="362"/>
      <c r="UWE80" s="362"/>
      <c r="UWF80" s="362"/>
      <c r="UWG80" s="362"/>
      <c r="UWH80" s="362"/>
      <c r="UWI80" s="362"/>
      <c r="UWJ80" s="362"/>
      <c r="UWK80" s="362"/>
      <c r="UWL80" s="362"/>
      <c r="UWM80" s="362"/>
      <c r="UWN80" s="362"/>
      <c r="UWO80" s="362"/>
      <c r="UWP80" s="362"/>
      <c r="UWQ80" s="362"/>
      <c r="UWR80" s="362"/>
      <c r="UWS80" s="362"/>
      <c r="UWT80" s="362"/>
      <c r="UWU80" s="362"/>
      <c r="UWV80" s="362"/>
      <c r="UWW80" s="362"/>
      <c r="UWX80" s="362"/>
      <c r="UWY80" s="362"/>
      <c r="UWZ80" s="362"/>
      <c r="UXA80" s="362"/>
      <c r="UXB80" s="362"/>
      <c r="UXC80" s="362"/>
      <c r="UXD80" s="362"/>
      <c r="UXE80" s="362"/>
      <c r="UXF80" s="362"/>
      <c r="UXG80" s="362"/>
      <c r="UXH80" s="362"/>
      <c r="UXI80" s="362"/>
      <c r="UXJ80" s="362"/>
      <c r="UXK80" s="362"/>
      <c r="UXL80" s="362"/>
      <c r="UXM80" s="362"/>
      <c r="UXN80" s="362"/>
      <c r="UXO80" s="362"/>
      <c r="UXP80" s="362"/>
      <c r="UXQ80" s="362"/>
      <c r="UXR80" s="362"/>
      <c r="UXS80" s="362"/>
      <c r="UXT80" s="362"/>
      <c r="UXU80" s="362"/>
      <c r="UXV80" s="362"/>
      <c r="UXW80" s="362"/>
      <c r="UXX80" s="362"/>
      <c r="UXY80" s="362"/>
      <c r="UXZ80" s="362"/>
      <c r="UYA80" s="362"/>
      <c r="UYB80" s="362"/>
      <c r="UYC80" s="362"/>
      <c r="UYD80" s="362"/>
      <c r="UYE80" s="362"/>
      <c r="UYF80" s="362"/>
      <c r="UYG80" s="362"/>
      <c r="UYH80" s="362"/>
      <c r="UYI80" s="362"/>
      <c r="UYJ80" s="362"/>
      <c r="UYK80" s="362"/>
      <c r="UYL80" s="362"/>
      <c r="UYM80" s="362"/>
      <c r="UYN80" s="362"/>
      <c r="UYO80" s="362"/>
      <c r="UYP80" s="362"/>
      <c r="UYQ80" s="362"/>
      <c r="UYR80" s="362"/>
      <c r="UYS80" s="362"/>
      <c r="UYT80" s="362"/>
      <c r="UYU80" s="362"/>
      <c r="UYV80" s="362"/>
      <c r="UYW80" s="362"/>
      <c r="UYX80" s="362"/>
      <c r="UYY80" s="362"/>
      <c r="UYZ80" s="362"/>
      <c r="UZA80" s="362"/>
      <c r="UZB80" s="362"/>
      <c r="UZC80" s="362"/>
      <c r="UZD80" s="362"/>
      <c r="UZE80" s="362"/>
      <c r="UZF80" s="362"/>
      <c r="UZG80" s="362"/>
      <c r="UZH80" s="362"/>
      <c r="UZI80" s="362"/>
      <c r="UZJ80" s="362"/>
      <c r="UZK80" s="362"/>
      <c r="UZL80" s="362"/>
      <c r="UZM80" s="362"/>
      <c r="UZN80" s="362"/>
      <c r="UZO80" s="362"/>
      <c r="UZP80" s="362"/>
      <c r="UZQ80" s="362"/>
      <c r="UZR80" s="362"/>
      <c r="UZS80" s="362"/>
      <c r="UZT80" s="362"/>
      <c r="UZU80" s="362"/>
      <c r="UZV80" s="362"/>
      <c r="UZW80" s="362"/>
      <c r="UZX80" s="362"/>
      <c r="UZY80" s="362"/>
      <c r="UZZ80" s="362"/>
      <c r="VAA80" s="362"/>
      <c r="VAB80" s="362"/>
      <c r="VAC80" s="362"/>
      <c r="VAD80" s="362"/>
      <c r="VAE80" s="362"/>
      <c r="VAF80" s="362"/>
      <c r="VAG80" s="362"/>
      <c r="VAH80" s="362"/>
      <c r="VAI80" s="362"/>
      <c r="VAJ80" s="362"/>
      <c r="VAK80" s="362"/>
      <c r="VAL80" s="362"/>
      <c r="VAM80" s="362"/>
      <c r="VAN80" s="362"/>
      <c r="VAO80" s="362"/>
      <c r="VAP80" s="362"/>
      <c r="VAQ80" s="362"/>
      <c r="VAR80" s="362"/>
      <c r="VAS80" s="362"/>
      <c r="VAT80" s="362"/>
      <c r="VAU80" s="362"/>
      <c r="VAV80" s="362"/>
      <c r="VAW80" s="362"/>
      <c r="VAX80" s="362"/>
      <c r="VAY80" s="362"/>
      <c r="VAZ80" s="362"/>
      <c r="VBA80" s="362"/>
      <c r="VBB80" s="362"/>
      <c r="VBC80" s="362"/>
      <c r="VBD80" s="362"/>
      <c r="VBE80" s="362"/>
      <c r="VBF80" s="362"/>
      <c r="VBG80" s="362"/>
      <c r="VBH80" s="362"/>
      <c r="VBI80" s="362"/>
      <c r="VBJ80" s="362"/>
      <c r="VBK80" s="362"/>
      <c r="VBL80" s="362"/>
      <c r="VBM80" s="362"/>
      <c r="VBN80" s="362"/>
      <c r="VBO80" s="362"/>
      <c r="VBP80" s="362"/>
      <c r="VBQ80" s="362"/>
      <c r="VBR80" s="362"/>
      <c r="VBS80" s="362"/>
      <c r="VBT80" s="362"/>
      <c r="VBU80" s="362"/>
      <c r="VBV80" s="362"/>
      <c r="VBW80" s="362"/>
      <c r="VBX80" s="362"/>
      <c r="VBY80" s="362"/>
      <c r="VBZ80" s="362"/>
      <c r="VCA80" s="362"/>
      <c r="VCB80" s="362"/>
      <c r="VCC80" s="362"/>
      <c r="VCD80" s="362"/>
      <c r="VCE80" s="362"/>
      <c r="VCF80" s="362"/>
      <c r="VCG80" s="362"/>
      <c r="VCH80" s="362"/>
      <c r="VCI80" s="362"/>
      <c r="VCJ80" s="362"/>
      <c r="VCK80" s="362"/>
      <c r="VCL80" s="362"/>
      <c r="VCM80" s="362"/>
      <c r="VCN80" s="362"/>
      <c r="VCO80" s="362"/>
      <c r="VCP80" s="362"/>
      <c r="VCQ80" s="362"/>
      <c r="VCR80" s="362"/>
      <c r="VCS80" s="362"/>
      <c r="VCT80" s="362"/>
      <c r="VCU80" s="362"/>
      <c r="VCV80" s="362"/>
      <c r="VCW80" s="362"/>
      <c r="VCX80" s="362"/>
      <c r="VCY80" s="362"/>
      <c r="VCZ80" s="362"/>
      <c r="VDA80" s="362"/>
      <c r="VDB80" s="362"/>
      <c r="VDC80" s="362"/>
      <c r="VDD80" s="362"/>
      <c r="VDE80" s="362"/>
      <c r="VDF80" s="362"/>
      <c r="VDG80" s="362"/>
      <c r="VDH80" s="362"/>
      <c r="VDI80" s="362"/>
      <c r="VDJ80" s="362"/>
      <c r="VDK80" s="362"/>
      <c r="VDL80" s="362"/>
      <c r="VDM80" s="362"/>
      <c r="VDN80" s="362"/>
      <c r="VDO80" s="362"/>
      <c r="VDP80" s="362"/>
      <c r="VDQ80" s="362"/>
      <c r="VDR80" s="362"/>
      <c r="VDS80" s="362"/>
      <c r="VDT80" s="362"/>
      <c r="VDU80" s="362"/>
      <c r="VDV80" s="362"/>
      <c r="VDW80" s="362"/>
      <c r="VDX80" s="362"/>
      <c r="VDY80" s="362"/>
      <c r="VDZ80" s="362"/>
      <c r="VEA80" s="362"/>
      <c r="VEB80" s="362"/>
      <c r="VEC80" s="362"/>
      <c r="VED80" s="362"/>
      <c r="VEE80" s="362"/>
      <c r="VEF80" s="362"/>
      <c r="VEG80" s="362"/>
      <c r="VEH80" s="362"/>
      <c r="VEI80" s="362"/>
      <c r="VEJ80" s="362"/>
      <c r="VEK80" s="362"/>
      <c r="VEL80" s="362"/>
      <c r="VEM80" s="362"/>
      <c r="VEN80" s="362"/>
      <c r="VEO80" s="362"/>
      <c r="VEP80" s="362"/>
      <c r="VEQ80" s="362"/>
      <c r="VER80" s="362"/>
      <c r="VES80" s="362"/>
      <c r="VET80" s="362"/>
      <c r="VEU80" s="362"/>
      <c r="VEV80" s="362"/>
      <c r="VEW80" s="362"/>
      <c r="VEX80" s="362"/>
      <c r="VEY80" s="362"/>
      <c r="VEZ80" s="362"/>
      <c r="VFA80" s="362"/>
      <c r="VFB80" s="362"/>
      <c r="VFC80" s="362"/>
      <c r="VFD80" s="362"/>
      <c r="VFE80" s="362"/>
      <c r="VFF80" s="362"/>
      <c r="VFG80" s="362"/>
      <c r="VFH80" s="362"/>
      <c r="VFI80" s="362"/>
      <c r="VFJ80" s="362"/>
      <c r="VFK80" s="362"/>
      <c r="VFL80" s="362"/>
      <c r="VFM80" s="362"/>
      <c r="VFN80" s="362"/>
      <c r="VFO80" s="362"/>
      <c r="VFP80" s="362"/>
      <c r="VFQ80" s="362"/>
      <c r="VFR80" s="362"/>
      <c r="VFS80" s="362"/>
      <c r="VFT80" s="362"/>
      <c r="VFU80" s="362"/>
      <c r="VFV80" s="362"/>
      <c r="VFW80" s="362"/>
      <c r="VFX80" s="362"/>
      <c r="VFY80" s="362"/>
      <c r="VFZ80" s="362"/>
      <c r="VGA80" s="362"/>
      <c r="VGB80" s="362"/>
      <c r="VGC80" s="362"/>
      <c r="VGD80" s="362"/>
      <c r="VGE80" s="362"/>
      <c r="VGF80" s="362"/>
      <c r="VGG80" s="362"/>
      <c r="VGH80" s="362"/>
      <c r="VGI80" s="362"/>
      <c r="VGJ80" s="362"/>
      <c r="VGK80" s="362"/>
      <c r="VGL80" s="362"/>
      <c r="VGM80" s="362"/>
      <c r="VGN80" s="362"/>
      <c r="VGO80" s="362"/>
      <c r="VGP80" s="362"/>
      <c r="VGQ80" s="362"/>
      <c r="VGR80" s="362"/>
      <c r="VGS80" s="362"/>
      <c r="VGT80" s="362"/>
      <c r="VGU80" s="362"/>
      <c r="VGV80" s="362"/>
      <c r="VGW80" s="362"/>
      <c r="VGX80" s="362"/>
      <c r="VGY80" s="362"/>
      <c r="VGZ80" s="362"/>
      <c r="VHA80" s="362"/>
      <c r="VHB80" s="362"/>
      <c r="VHC80" s="362"/>
      <c r="VHD80" s="362"/>
      <c r="VHE80" s="362"/>
      <c r="VHF80" s="362"/>
      <c r="VHG80" s="362"/>
      <c r="VHH80" s="362"/>
      <c r="VHI80" s="362"/>
      <c r="VHJ80" s="362"/>
      <c r="VHK80" s="362"/>
      <c r="VHL80" s="362"/>
      <c r="VHM80" s="362"/>
      <c r="VHN80" s="362"/>
      <c r="VHO80" s="362"/>
      <c r="VHP80" s="362"/>
      <c r="VHQ80" s="362"/>
      <c r="VHR80" s="362"/>
      <c r="VHS80" s="362"/>
      <c r="VHT80" s="362"/>
      <c r="VHU80" s="362"/>
      <c r="VHV80" s="362"/>
      <c r="VHW80" s="362"/>
      <c r="VHX80" s="362"/>
      <c r="VHY80" s="362"/>
      <c r="VHZ80" s="362"/>
      <c r="VIA80" s="362"/>
      <c r="VIB80" s="362"/>
      <c r="VIC80" s="362"/>
      <c r="VID80" s="362"/>
      <c r="VIE80" s="362"/>
      <c r="VIF80" s="362"/>
      <c r="VIG80" s="362"/>
      <c r="VIH80" s="362"/>
      <c r="VII80" s="362"/>
      <c r="VIJ80" s="362"/>
      <c r="VIK80" s="362"/>
      <c r="VIL80" s="362"/>
      <c r="VIM80" s="362"/>
      <c r="VIN80" s="362"/>
      <c r="VIO80" s="362"/>
      <c r="VIP80" s="362"/>
      <c r="VIQ80" s="362"/>
      <c r="VIR80" s="362"/>
      <c r="VIS80" s="362"/>
      <c r="VIT80" s="362"/>
      <c r="VIU80" s="362"/>
      <c r="VIV80" s="362"/>
      <c r="VIW80" s="362"/>
      <c r="VIX80" s="362"/>
      <c r="VIY80" s="362"/>
      <c r="VIZ80" s="362"/>
      <c r="VJA80" s="362"/>
      <c r="VJB80" s="362"/>
      <c r="VJC80" s="362"/>
      <c r="VJD80" s="362"/>
      <c r="VJE80" s="362"/>
      <c r="VJF80" s="362"/>
      <c r="VJG80" s="362"/>
      <c r="VJH80" s="362"/>
      <c r="VJI80" s="362"/>
      <c r="VJJ80" s="362"/>
      <c r="VJK80" s="362"/>
      <c r="VJL80" s="362"/>
      <c r="VJM80" s="362"/>
      <c r="VJN80" s="362"/>
      <c r="VJO80" s="362"/>
      <c r="VJP80" s="362"/>
      <c r="VJQ80" s="362"/>
      <c r="VJR80" s="362"/>
      <c r="VJS80" s="362"/>
      <c r="VJT80" s="362"/>
      <c r="VJU80" s="362"/>
      <c r="VJV80" s="362"/>
      <c r="VJW80" s="362"/>
      <c r="VJX80" s="362"/>
      <c r="VJY80" s="362"/>
      <c r="VJZ80" s="362"/>
      <c r="VKA80" s="362"/>
      <c r="VKB80" s="362"/>
      <c r="VKC80" s="362"/>
      <c r="VKD80" s="362"/>
      <c r="VKE80" s="362"/>
      <c r="VKF80" s="362"/>
      <c r="VKG80" s="362"/>
      <c r="VKH80" s="362"/>
      <c r="VKI80" s="362"/>
      <c r="VKJ80" s="362"/>
      <c r="VKK80" s="362"/>
      <c r="VKL80" s="362"/>
      <c r="VKM80" s="362"/>
      <c r="VKN80" s="362"/>
      <c r="VKO80" s="362"/>
      <c r="VKP80" s="362"/>
      <c r="VKQ80" s="362"/>
      <c r="VKR80" s="362"/>
      <c r="VKS80" s="362"/>
      <c r="VKT80" s="362"/>
      <c r="VKU80" s="362"/>
      <c r="VKV80" s="362"/>
      <c r="VKW80" s="362"/>
      <c r="VKX80" s="362"/>
      <c r="VKY80" s="362"/>
      <c r="VKZ80" s="362"/>
      <c r="VLA80" s="362"/>
      <c r="VLB80" s="362"/>
      <c r="VLC80" s="362"/>
      <c r="VLD80" s="362"/>
      <c r="VLE80" s="362"/>
      <c r="VLF80" s="362"/>
      <c r="VLG80" s="362"/>
      <c r="VLH80" s="362"/>
      <c r="VLI80" s="362"/>
      <c r="VLJ80" s="362"/>
      <c r="VLK80" s="362"/>
      <c r="VLL80" s="362"/>
      <c r="VLM80" s="362"/>
      <c r="VLN80" s="362"/>
      <c r="VLO80" s="362"/>
      <c r="VLP80" s="362"/>
      <c r="VLQ80" s="362"/>
      <c r="VLR80" s="362"/>
      <c r="VLS80" s="362"/>
      <c r="VLT80" s="362"/>
      <c r="VLU80" s="362"/>
      <c r="VLV80" s="362"/>
      <c r="VLW80" s="362"/>
      <c r="VLX80" s="362"/>
      <c r="VLY80" s="362"/>
      <c r="VLZ80" s="362"/>
      <c r="VMA80" s="362"/>
      <c r="VMB80" s="362"/>
      <c r="VMC80" s="362"/>
      <c r="VMD80" s="362"/>
      <c r="VME80" s="362"/>
      <c r="VMF80" s="362"/>
      <c r="VMG80" s="362"/>
      <c r="VMH80" s="362"/>
      <c r="VMI80" s="362"/>
      <c r="VMJ80" s="362"/>
      <c r="VMK80" s="362"/>
      <c r="VML80" s="362"/>
      <c r="VMM80" s="362"/>
      <c r="VMN80" s="362"/>
      <c r="VMO80" s="362"/>
      <c r="VMP80" s="362"/>
      <c r="VMQ80" s="362"/>
      <c r="VMR80" s="362"/>
      <c r="VMS80" s="362"/>
      <c r="VMT80" s="362"/>
      <c r="VMU80" s="362"/>
      <c r="VMV80" s="362"/>
      <c r="VMW80" s="362"/>
      <c r="VMX80" s="362"/>
      <c r="VMY80" s="362"/>
      <c r="VMZ80" s="362"/>
      <c r="VNA80" s="362"/>
      <c r="VNB80" s="362"/>
      <c r="VNC80" s="362"/>
      <c r="VND80" s="362"/>
      <c r="VNE80" s="362"/>
      <c r="VNF80" s="362"/>
      <c r="VNG80" s="362"/>
      <c r="VNH80" s="362"/>
      <c r="VNI80" s="362"/>
      <c r="VNJ80" s="362"/>
      <c r="VNK80" s="362"/>
      <c r="VNL80" s="362"/>
      <c r="VNM80" s="362"/>
      <c r="VNN80" s="362"/>
      <c r="VNO80" s="362"/>
      <c r="VNP80" s="362"/>
      <c r="VNQ80" s="362"/>
      <c r="VNR80" s="362"/>
      <c r="VNS80" s="362"/>
      <c r="VNT80" s="362"/>
      <c r="VNU80" s="362"/>
      <c r="VNV80" s="362"/>
      <c r="VNW80" s="362"/>
      <c r="VNX80" s="362"/>
      <c r="VNY80" s="362"/>
      <c r="VNZ80" s="362"/>
      <c r="VOA80" s="362"/>
      <c r="VOB80" s="362"/>
      <c r="VOC80" s="362"/>
      <c r="VOD80" s="362"/>
      <c r="VOE80" s="362"/>
      <c r="VOF80" s="362"/>
      <c r="VOG80" s="362"/>
      <c r="VOH80" s="362"/>
      <c r="VOI80" s="362"/>
      <c r="VOJ80" s="362"/>
      <c r="VOK80" s="362"/>
      <c r="VOL80" s="362"/>
      <c r="VOM80" s="362"/>
      <c r="VON80" s="362"/>
      <c r="VOO80" s="362"/>
      <c r="VOP80" s="362"/>
      <c r="VOQ80" s="362"/>
      <c r="VOR80" s="362"/>
      <c r="VOS80" s="362"/>
      <c r="VOT80" s="362"/>
      <c r="VOU80" s="362"/>
      <c r="VOV80" s="362"/>
      <c r="VOW80" s="362"/>
      <c r="VOX80" s="362"/>
      <c r="VOY80" s="362"/>
      <c r="VOZ80" s="362"/>
      <c r="VPA80" s="362"/>
      <c r="VPB80" s="362"/>
      <c r="VPC80" s="362"/>
      <c r="VPD80" s="362"/>
      <c r="VPE80" s="362"/>
      <c r="VPF80" s="362"/>
      <c r="VPG80" s="362"/>
      <c r="VPH80" s="362"/>
      <c r="VPI80" s="362"/>
      <c r="VPJ80" s="362"/>
      <c r="VPK80" s="362"/>
      <c r="VPL80" s="362"/>
      <c r="VPM80" s="362"/>
      <c r="VPN80" s="362"/>
      <c r="VPO80" s="362"/>
      <c r="VPP80" s="362"/>
      <c r="VPQ80" s="362"/>
      <c r="VPR80" s="362"/>
      <c r="VPS80" s="362"/>
      <c r="VPT80" s="362"/>
      <c r="VPU80" s="362"/>
      <c r="VPV80" s="362"/>
      <c r="VPW80" s="362"/>
      <c r="VPX80" s="362"/>
      <c r="VPY80" s="362"/>
      <c r="VPZ80" s="362"/>
      <c r="VQA80" s="362"/>
      <c r="VQB80" s="362"/>
      <c r="VQC80" s="362"/>
      <c r="VQD80" s="362"/>
      <c r="VQE80" s="362"/>
      <c r="VQF80" s="362"/>
      <c r="VQG80" s="362"/>
      <c r="VQH80" s="362"/>
      <c r="VQI80" s="362"/>
      <c r="VQJ80" s="362"/>
      <c r="VQK80" s="362"/>
      <c r="VQL80" s="362"/>
      <c r="VQM80" s="362"/>
      <c r="VQN80" s="362"/>
      <c r="VQO80" s="362"/>
      <c r="VQP80" s="362"/>
      <c r="VQQ80" s="362"/>
      <c r="VQR80" s="362"/>
      <c r="VQS80" s="362"/>
      <c r="VQT80" s="362"/>
      <c r="VQU80" s="362"/>
      <c r="VQV80" s="362"/>
      <c r="VQW80" s="362"/>
      <c r="VQX80" s="362"/>
      <c r="VQY80" s="362"/>
      <c r="VQZ80" s="362"/>
      <c r="VRA80" s="362"/>
      <c r="VRB80" s="362"/>
      <c r="VRC80" s="362"/>
      <c r="VRD80" s="362"/>
      <c r="VRE80" s="362"/>
      <c r="VRF80" s="362"/>
      <c r="VRG80" s="362"/>
      <c r="VRH80" s="362"/>
      <c r="VRI80" s="362"/>
      <c r="VRJ80" s="362"/>
      <c r="VRK80" s="362"/>
      <c r="VRL80" s="362"/>
      <c r="VRM80" s="362"/>
      <c r="VRN80" s="362"/>
      <c r="VRO80" s="362"/>
      <c r="VRP80" s="362"/>
      <c r="VRQ80" s="362"/>
      <c r="VRR80" s="362"/>
      <c r="VRS80" s="362"/>
      <c r="VRT80" s="362"/>
      <c r="VRU80" s="362"/>
      <c r="VRV80" s="362"/>
      <c r="VRW80" s="362"/>
      <c r="VRX80" s="362"/>
      <c r="VRY80" s="362"/>
      <c r="VRZ80" s="362"/>
      <c r="VSA80" s="362"/>
      <c r="VSB80" s="362"/>
      <c r="VSC80" s="362"/>
      <c r="VSD80" s="362"/>
      <c r="VSE80" s="362"/>
      <c r="VSF80" s="362"/>
      <c r="VSG80" s="362"/>
      <c r="VSH80" s="362"/>
      <c r="VSI80" s="362"/>
      <c r="VSJ80" s="362"/>
      <c r="VSK80" s="362"/>
      <c r="VSL80" s="362"/>
      <c r="VSM80" s="362"/>
      <c r="VSN80" s="362"/>
      <c r="VSO80" s="362"/>
      <c r="VSP80" s="362"/>
      <c r="VSQ80" s="362"/>
      <c r="VSR80" s="362"/>
      <c r="VSS80" s="362"/>
      <c r="VST80" s="362"/>
      <c r="VSU80" s="362"/>
      <c r="VSV80" s="362"/>
      <c r="VSW80" s="362"/>
      <c r="VSX80" s="362"/>
      <c r="VSY80" s="362"/>
      <c r="VSZ80" s="362"/>
      <c r="VTA80" s="362"/>
      <c r="VTB80" s="362"/>
      <c r="VTC80" s="362"/>
      <c r="VTD80" s="362"/>
      <c r="VTE80" s="362"/>
      <c r="VTF80" s="362"/>
      <c r="VTG80" s="362"/>
      <c r="VTH80" s="362"/>
      <c r="VTI80" s="362"/>
      <c r="VTJ80" s="362"/>
      <c r="VTK80" s="362"/>
      <c r="VTL80" s="362"/>
      <c r="VTM80" s="362"/>
      <c r="VTN80" s="362"/>
      <c r="VTO80" s="362"/>
      <c r="VTP80" s="362"/>
      <c r="VTQ80" s="362"/>
      <c r="VTR80" s="362"/>
      <c r="VTS80" s="362"/>
      <c r="VTT80" s="362"/>
      <c r="VTU80" s="362"/>
      <c r="VTV80" s="362"/>
      <c r="VTW80" s="362"/>
      <c r="VTX80" s="362"/>
      <c r="VTY80" s="362"/>
      <c r="VTZ80" s="362"/>
      <c r="VUA80" s="362"/>
      <c r="VUB80" s="362"/>
      <c r="VUC80" s="362"/>
      <c r="VUD80" s="362"/>
      <c r="VUE80" s="362"/>
      <c r="VUF80" s="362"/>
      <c r="VUG80" s="362"/>
      <c r="VUH80" s="362"/>
      <c r="VUI80" s="362"/>
      <c r="VUJ80" s="362"/>
      <c r="VUK80" s="362"/>
      <c r="VUL80" s="362"/>
      <c r="VUM80" s="362"/>
      <c r="VUN80" s="362"/>
      <c r="VUO80" s="362"/>
      <c r="VUP80" s="362"/>
      <c r="VUQ80" s="362"/>
      <c r="VUR80" s="362"/>
      <c r="VUS80" s="362"/>
      <c r="VUT80" s="362"/>
      <c r="VUU80" s="362"/>
      <c r="VUV80" s="362"/>
      <c r="VUW80" s="362"/>
      <c r="VUX80" s="362"/>
      <c r="VUY80" s="362"/>
      <c r="VUZ80" s="362"/>
      <c r="VVA80" s="362"/>
      <c r="VVB80" s="362"/>
      <c r="VVC80" s="362"/>
      <c r="VVD80" s="362"/>
      <c r="VVE80" s="362"/>
      <c r="VVF80" s="362"/>
      <c r="VVG80" s="362"/>
      <c r="VVH80" s="362"/>
      <c r="VVI80" s="362"/>
      <c r="VVJ80" s="362"/>
      <c r="VVK80" s="362"/>
      <c r="VVL80" s="362"/>
      <c r="VVM80" s="362"/>
      <c r="VVN80" s="362"/>
      <c r="VVO80" s="362"/>
      <c r="VVP80" s="362"/>
      <c r="VVQ80" s="362"/>
      <c r="VVR80" s="362"/>
      <c r="VVS80" s="362"/>
      <c r="VVT80" s="362"/>
      <c r="VVU80" s="362"/>
      <c r="VVV80" s="362"/>
      <c r="VVW80" s="362"/>
      <c r="VVX80" s="362"/>
      <c r="VVY80" s="362"/>
      <c r="VVZ80" s="362"/>
      <c r="VWA80" s="362"/>
      <c r="VWB80" s="362"/>
      <c r="VWC80" s="362"/>
      <c r="VWD80" s="362"/>
      <c r="VWE80" s="362"/>
      <c r="VWF80" s="362"/>
      <c r="VWG80" s="362"/>
      <c r="VWH80" s="362"/>
      <c r="VWI80" s="362"/>
      <c r="VWJ80" s="362"/>
      <c r="VWK80" s="362"/>
      <c r="VWL80" s="362"/>
      <c r="VWM80" s="362"/>
      <c r="VWN80" s="362"/>
      <c r="VWO80" s="362"/>
      <c r="VWP80" s="362"/>
      <c r="VWQ80" s="362"/>
      <c r="VWR80" s="362"/>
      <c r="VWS80" s="362"/>
      <c r="VWT80" s="362"/>
      <c r="VWU80" s="362"/>
      <c r="VWV80" s="362"/>
      <c r="VWW80" s="362"/>
      <c r="VWX80" s="362"/>
      <c r="VWY80" s="362"/>
      <c r="VWZ80" s="362"/>
      <c r="VXA80" s="362"/>
      <c r="VXB80" s="362"/>
      <c r="VXC80" s="362"/>
      <c r="VXD80" s="362"/>
      <c r="VXE80" s="362"/>
      <c r="VXF80" s="362"/>
      <c r="VXG80" s="362"/>
      <c r="VXH80" s="362"/>
      <c r="VXI80" s="362"/>
      <c r="VXJ80" s="362"/>
      <c r="VXK80" s="362"/>
      <c r="VXL80" s="362"/>
      <c r="VXM80" s="362"/>
      <c r="VXN80" s="362"/>
      <c r="VXO80" s="362"/>
      <c r="VXP80" s="362"/>
      <c r="VXQ80" s="362"/>
      <c r="VXR80" s="362"/>
      <c r="VXS80" s="362"/>
      <c r="VXT80" s="362"/>
      <c r="VXU80" s="362"/>
      <c r="VXV80" s="362"/>
      <c r="VXW80" s="362"/>
      <c r="VXX80" s="362"/>
      <c r="VXY80" s="362"/>
      <c r="VXZ80" s="362"/>
      <c r="VYA80" s="362"/>
      <c r="VYB80" s="362"/>
      <c r="VYC80" s="362"/>
      <c r="VYD80" s="362"/>
      <c r="VYE80" s="362"/>
      <c r="VYF80" s="362"/>
      <c r="VYG80" s="362"/>
      <c r="VYH80" s="362"/>
      <c r="VYI80" s="362"/>
      <c r="VYJ80" s="362"/>
      <c r="VYK80" s="362"/>
      <c r="VYL80" s="362"/>
      <c r="VYM80" s="362"/>
      <c r="VYN80" s="362"/>
      <c r="VYO80" s="362"/>
      <c r="VYP80" s="362"/>
      <c r="VYQ80" s="362"/>
      <c r="VYR80" s="362"/>
      <c r="VYS80" s="362"/>
      <c r="VYT80" s="362"/>
      <c r="VYU80" s="362"/>
      <c r="VYV80" s="362"/>
      <c r="VYW80" s="362"/>
      <c r="VYX80" s="362"/>
      <c r="VYY80" s="362"/>
      <c r="VYZ80" s="362"/>
      <c r="VZA80" s="362"/>
      <c r="VZB80" s="362"/>
      <c r="VZC80" s="362"/>
      <c r="VZD80" s="362"/>
      <c r="VZE80" s="362"/>
      <c r="VZF80" s="362"/>
      <c r="VZG80" s="362"/>
      <c r="VZH80" s="362"/>
      <c r="VZI80" s="362"/>
      <c r="VZJ80" s="362"/>
      <c r="VZK80" s="362"/>
      <c r="VZL80" s="362"/>
      <c r="VZM80" s="362"/>
      <c r="VZN80" s="362"/>
      <c r="VZO80" s="362"/>
      <c r="VZP80" s="362"/>
      <c r="VZQ80" s="362"/>
      <c r="VZR80" s="362"/>
      <c r="VZS80" s="362"/>
      <c r="VZT80" s="362"/>
      <c r="VZU80" s="362"/>
      <c r="VZV80" s="362"/>
      <c r="VZW80" s="362"/>
      <c r="VZX80" s="362"/>
      <c r="VZY80" s="362"/>
      <c r="VZZ80" s="362"/>
      <c r="WAA80" s="362"/>
      <c r="WAB80" s="362"/>
      <c r="WAC80" s="362"/>
      <c r="WAD80" s="362"/>
      <c r="WAE80" s="362"/>
      <c r="WAF80" s="362"/>
      <c r="WAG80" s="362"/>
      <c r="WAH80" s="362"/>
      <c r="WAI80" s="362"/>
      <c r="WAJ80" s="362"/>
      <c r="WAK80" s="362"/>
      <c r="WAL80" s="362"/>
      <c r="WAM80" s="362"/>
      <c r="WAN80" s="362"/>
      <c r="WAO80" s="362"/>
      <c r="WAP80" s="362"/>
      <c r="WAQ80" s="362"/>
      <c r="WAR80" s="362"/>
      <c r="WAS80" s="362"/>
      <c r="WAT80" s="362"/>
      <c r="WAU80" s="362"/>
      <c r="WAV80" s="362"/>
      <c r="WAW80" s="362"/>
      <c r="WAX80" s="362"/>
      <c r="WAY80" s="362"/>
      <c r="WAZ80" s="362"/>
      <c r="WBA80" s="362"/>
      <c r="WBB80" s="362"/>
      <c r="WBC80" s="362"/>
      <c r="WBD80" s="362"/>
      <c r="WBE80" s="362"/>
      <c r="WBF80" s="362"/>
      <c r="WBG80" s="362"/>
      <c r="WBH80" s="362"/>
      <c r="WBI80" s="362"/>
      <c r="WBJ80" s="362"/>
      <c r="WBK80" s="362"/>
      <c r="WBL80" s="362"/>
      <c r="WBM80" s="362"/>
      <c r="WBN80" s="362"/>
      <c r="WBO80" s="362"/>
      <c r="WBP80" s="362"/>
      <c r="WBQ80" s="362"/>
      <c r="WBR80" s="362"/>
      <c r="WBS80" s="362"/>
      <c r="WBT80" s="362"/>
      <c r="WBU80" s="362"/>
      <c r="WBV80" s="362"/>
      <c r="WBW80" s="362"/>
      <c r="WBX80" s="362"/>
      <c r="WBY80" s="362"/>
      <c r="WBZ80" s="362"/>
      <c r="WCA80" s="362"/>
      <c r="WCB80" s="362"/>
      <c r="WCC80" s="362"/>
      <c r="WCD80" s="362"/>
      <c r="WCE80" s="362"/>
      <c r="WCF80" s="362"/>
      <c r="WCG80" s="362"/>
      <c r="WCH80" s="362"/>
      <c r="WCI80" s="362"/>
      <c r="WCJ80" s="362"/>
      <c r="WCK80" s="362"/>
      <c r="WCL80" s="362"/>
      <c r="WCM80" s="362"/>
      <c r="WCN80" s="362"/>
      <c r="WCO80" s="362"/>
      <c r="WCP80" s="362"/>
      <c r="WCQ80" s="362"/>
      <c r="WCR80" s="362"/>
      <c r="WCS80" s="362"/>
      <c r="WCT80" s="362"/>
      <c r="WCU80" s="362"/>
      <c r="WCV80" s="362"/>
      <c r="WCW80" s="362"/>
      <c r="WCX80" s="362"/>
      <c r="WCY80" s="362"/>
      <c r="WCZ80" s="362"/>
      <c r="WDA80" s="362"/>
      <c r="WDB80" s="362"/>
      <c r="WDC80" s="362"/>
      <c r="WDD80" s="362"/>
      <c r="WDE80" s="362"/>
      <c r="WDF80" s="362"/>
      <c r="WDG80" s="362"/>
      <c r="WDH80" s="362"/>
      <c r="WDI80" s="362"/>
      <c r="WDJ80" s="362"/>
      <c r="WDK80" s="362"/>
      <c r="WDL80" s="362"/>
      <c r="WDM80" s="362"/>
      <c r="WDN80" s="362"/>
      <c r="WDO80" s="362"/>
      <c r="WDP80" s="362"/>
      <c r="WDQ80" s="362"/>
      <c r="WDR80" s="362"/>
      <c r="WDS80" s="362"/>
      <c r="WDT80" s="362"/>
      <c r="WDU80" s="362"/>
      <c r="WDV80" s="362"/>
      <c r="WDW80" s="362"/>
      <c r="WDX80" s="362"/>
      <c r="WDY80" s="362"/>
      <c r="WDZ80" s="362"/>
      <c r="WEA80" s="362"/>
      <c r="WEB80" s="362"/>
      <c r="WEC80" s="362"/>
      <c r="WED80" s="362"/>
      <c r="WEE80" s="362"/>
      <c r="WEF80" s="362"/>
      <c r="WEG80" s="362"/>
      <c r="WEH80" s="362"/>
      <c r="WEI80" s="362"/>
      <c r="WEJ80" s="362"/>
      <c r="WEK80" s="362"/>
      <c r="WEL80" s="362"/>
      <c r="WEM80" s="362"/>
      <c r="WEN80" s="362"/>
      <c r="WEO80" s="362"/>
      <c r="WEP80" s="362"/>
      <c r="WEQ80" s="362"/>
      <c r="WER80" s="362"/>
      <c r="WES80" s="362"/>
      <c r="WET80" s="362"/>
      <c r="WEU80" s="362"/>
      <c r="WEV80" s="362"/>
      <c r="WEW80" s="362"/>
      <c r="WEX80" s="362"/>
      <c r="WEY80" s="362"/>
      <c r="WEZ80" s="362"/>
      <c r="WFA80" s="362"/>
      <c r="WFB80" s="362"/>
      <c r="WFC80" s="362"/>
      <c r="WFD80" s="362"/>
      <c r="WFE80" s="362"/>
      <c r="WFF80" s="362"/>
      <c r="WFG80" s="362"/>
      <c r="WFH80" s="362"/>
      <c r="WFI80" s="362"/>
      <c r="WFJ80" s="362"/>
      <c r="WFK80" s="362"/>
      <c r="WFL80" s="362"/>
      <c r="WFM80" s="362"/>
      <c r="WFN80" s="362"/>
      <c r="WFO80" s="362"/>
      <c r="WFP80" s="362"/>
      <c r="WFQ80" s="362"/>
      <c r="WFR80" s="362"/>
      <c r="WFS80" s="362"/>
      <c r="WFT80" s="362"/>
      <c r="WFU80" s="362"/>
      <c r="WFV80" s="362"/>
      <c r="WFW80" s="362"/>
      <c r="WFX80" s="362"/>
      <c r="WFY80" s="362"/>
      <c r="WFZ80" s="362"/>
      <c r="WGA80" s="362"/>
      <c r="WGB80" s="362"/>
      <c r="WGC80" s="362"/>
      <c r="WGD80" s="362"/>
      <c r="WGE80" s="362"/>
      <c r="WGF80" s="362"/>
      <c r="WGG80" s="362"/>
      <c r="WGH80" s="362"/>
      <c r="WGI80" s="362"/>
      <c r="WGJ80" s="362"/>
      <c r="WGK80" s="362"/>
      <c r="WGL80" s="362"/>
      <c r="WGM80" s="362"/>
      <c r="WGN80" s="362"/>
      <c r="WGO80" s="362"/>
      <c r="WGP80" s="362"/>
      <c r="WGQ80" s="362"/>
      <c r="WGR80" s="362"/>
      <c r="WGS80" s="362"/>
      <c r="WGT80" s="362"/>
      <c r="WGU80" s="362"/>
      <c r="WGV80" s="362"/>
      <c r="WGW80" s="362"/>
      <c r="WGX80" s="362"/>
      <c r="WGY80" s="362"/>
      <c r="WGZ80" s="362"/>
      <c r="WHA80" s="362"/>
      <c r="WHB80" s="362"/>
      <c r="WHC80" s="362"/>
      <c r="WHD80" s="362"/>
      <c r="WHE80" s="362"/>
      <c r="WHF80" s="362"/>
      <c r="WHG80" s="362"/>
      <c r="WHH80" s="362"/>
      <c r="WHI80" s="362"/>
      <c r="WHJ80" s="362"/>
      <c r="WHK80" s="362"/>
      <c r="WHL80" s="362"/>
      <c r="WHM80" s="362"/>
      <c r="WHN80" s="362"/>
      <c r="WHO80" s="362"/>
      <c r="WHP80" s="362"/>
      <c r="WHQ80" s="362"/>
      <c r="WHR80" s="362"/>
      <c r="WHS80" s="362"/>
      <c r="WHT80" s="362"/>
      <c r="WHU80" s="362"/>
      <c r="WHV80" s="362"/>
      <c r="WHW80" s="362"/>
      <c r="WHX80" s="362"/>
      <c r="WHY80" s="362"/>
      <c r="WHZ80" s="362"/>
      <c r="WIA80" s="362"/>
      <c r="WIB80" s="362"/>
      <c r="WIC80" s="362"/>
      <c r="WID80" s="362"/>
      <c r="WIE80" s="362"/>
      <c r="WIF80" s="362"/>
      <c r="WIG80" s="362"/>
      <c r="WIH80" s="362"/>
      <c r="WII80" s="362"/>
      <c r="WIJ80" s="362"/>
      <c r="WIK80" s="362"/>
      <c r="WIL80" s="362"/>
      <c r="WIM80" s="362"/>
      <c r="WIN80" s="362"/>
      <c r="WIO80" s="362"/>
      <c r="WIP80" s="362"/>
      <c r="WIQ80" s="362"/>
      <c r="WIR80" s="362"/>
      <c r="WIS80" s="362"/>
      <c r="WIT80" s="362"/>
      <c r="WIU80" s="362"/>
      <c r="WIV80" s="362"/>
      <c r="WIW80" s="362"/>
      <c r="WIX80" s="362"/>
      <c r="WIY80" s="362"/>
      <c r="WIZ80" s="362"/>
      <c r="WJA80" s="362"/>
      <c r="WJB80" s="362"/>
      <c r="WJC80" s="362"/>
      <c r="WJD80" s="362"/>
      <c r="WJE80" s="362"/>
      <c r="WJF80" s="362"/>
      <c r="WJG80" s="362"/>
      <c r="WJH80" s="362"/>
      <c r="WJI80" s="362"/>
      <c r="WJJ80" s="362"/>
      <c r="WJK80" s="362"/>
      <c r="WJL80" s="362"/>
      <c r="WJM80" s="362"/>
      <c r="WJN80" s="362"/>
      <c r="WJO80" s="362"/>
      <c r="WJP80" s="362"/>
      <c r="WJQ80" s="362"/>
      <c r="WJR80" s="362"/>
      <c r="WJS80" s="362"/>
      <c r="WJT80" s="362"/>
      <c r="WJU80" s="362"/>
      <c r="WJV80" s="362"/>
      <c r="WJW80" s="362"/>
      <c r="WJX80" s="362"/>
      <c r="WJY80" s="362"/>
      <c r="WJZ80" s="362"/>
      <c r="WKA80" s="362"/>
      <c r="WKB80" s="362"/>
      <c r="WKC80" s="362"/>
      <c r="WKD80" s="362"/>
      <c r="WKE80" s="362"/>
      <c r="WKF80" s="362"/>
      <c r="WKG80" s="362"/>
      <c r="WKH80" s="362"/>
      <c r="WKI80" s="362"/>
      <c r="WKJ80" s="362"/>
      <c r="WKK80" s="362"/>
      <c r="WKL80" s="362"/>
      <c r="WKM80" s="362"/>
      <c r="WKN80" s="362"/>
      <c r="WKO80" s="362"/>
      <c r="WKP80" s="362"/>
      <c r="WKQ80" s="362"/>
      <c r="WKR80" s="362"/>
      <c r="WKS80" s="362"/>
      <c r="WKT80" s="362"/>
      <c r="WKU80" s="362"/>
      <c r="WKV80" s="362"/>
      <c r="WKW80" s="362"/>
      <c r="WKX80" s="362"/>
      <c r="WKY80" s="362"/>
      <c r="WKZ80" s="362"/>
      <c r="WLA80" s="362"/>
      <c r="WLB80" s="362"/>
      <c r="WLC80" s="362"/>
      <c r="WLD80" s="362"/>
      <c r="WLE80" s="362"/>
      <c r="WLF80" s="362"/>
      <c r="WLG80" s="362"/>
      <c r="WLH80" s="362"/>
      <c r="WLI80" s="362"/>
      <c r="WLJ80" s="362"/>
      <c r="WLK80" s="362"/>
      <c r="WLL80" s="362"/>
      <c r="WLM80" s="362"/>
      <c r="WLN80" s="362"/>
      <c r="WLO80" s="362"/>
      <c r="WLP80" s="362"/>
      <c r="WLQ80" s="362"/>
      <c r="WLR80" s="362"/>
      <c r="WLS80" s="362"/>
      <c r="WLT80" s="362"/>
      <c r="WLU80" s="362"/>
      <c r="WLV80" s="362"/>
      <c r="WLW80" s="362"/>
      <c r="WLX80" s="362"/>
      <c r="WLY80" s="362"/>
      <c r="WLZ80" s="362"/>
      <c r="WMA80" s="362"/>
      <c r="WMB80" s="362"/>
      <c r="WMC80" s="362"/>
      <c r="WMD80" s="362"/>
      <c r="WME80" s="362"/>
      <c r="WMF80" s="362"/>
      <c r="WMG80" s="362"/>
      <c r="WMH80" s="362"/>
      <c r="WMI80" s="362"/>
      <c r="WMJ80" s="362"/>
      <c r="WMK80" s="362"/>
      <c r="WML80" s="362"/>
      <c r="WMM80" s="362"/>
      <c r="WMN80" s="362"/>
      <c r="WMO80" s="362"/>
      <c r="WMP80" s="362"/>
      <c r="WMQ80" s="362"/>
      <c r="WMR80" s="362"/>
      <c r="WMS80" s="362"/>
      <c r="WMT80" s="362"/>
      <c r="WMU80" s="362"/>
      <c r="WMV80" s="362"/>
      <c r="WMW80" s="362"/>
      <c r="WMX80" s="362"/>
      <c r="WMY80" s="362"/>
      <c r="WMZ80" s="362"/>
      <c r="WNA80" s="362"/>
      <c r="WNB80" s="362"/>
      <c r="WNC80" s="362"/>
      <c r="WND80" s="362"/>
      <c r="WNE80" s="362"/>
      <c r="WNF80" s="362"/>
      <c r="WNG80" s="362"/>
      <c r="WNH80" s="362"/>
      <c r="WNI80" s="362"/>
      <c r="WNJ80" s="362"/>
      <c r="WNK80" s="362"/>
      <c r="WNL80" s="362"/>
      <c r="WNM80" s="362"/>
      <c r="WNN80" s="362"/>
      <c r="WNO80" s="362"/>
      <c r="WNP80" s="362"/>
      <c r="WNQ80" s="362"/>
      <c r="WNR80" s="362"/>
      <c r="WNS80" s="362"/>
      <c r="WNT80" s="362"/>
      <c r="WNU80" s="362"/>
      <c r="WNV80" s="362"/>
      <c r="WNW80" s="362"/>
      <c r="WNX80" s="362"/>
      <c r="WNY80" s="362"/>
      <c r="WNZ80" s="362"/>
      <c r="WOA80" s="362"/>
      <c r="WOB80" s="362"/>
      <c r="WOC80" s="362"/>
      <c r="WOD80" s="362"/>
      <c r="WOE80" s="362"/>
      <c r="WOF80" s="362"/>
      <c r="WOG80" s="362"/>
      <c r="WOH80" s="362"/>
      <c r="WOI80" s="362"/>
      <c r="WOJ80" s="362"/>
      <c r="WOK80" s="362"/>
      <c r="WOL80" s="362"/>
      <c r="WOM80" s="362"/>
      <c r="WON80" s="362"/>
      <c r="WOO80" s="362"/>
      <c r="WOP80" s="362"/>
      <c r="WOQ80" s="362"/>
      <c r="WOR80" s="362"/>
      <c r="WOS80" s="362"/>
      <c r="WOT80" s="362"/>
      <c r="WOU80" s="362"/>
      <c r="WOV80" s="362"/>
      <c r="WOW80" s="362"/>
      <c r="WOX80" s="362"/>
      <c r="WOY80" s="362"/>
      <c r="WOZ80" s="362"/>
      <c r="WPA80" s="362"/>
      <c r="WPB80" s="362"/>
      <c r="WPC80" s="362"/>
      <c r="WPD80" s="362"/>
      <c r="WPE80" s="362"/>
      <c r="WPF80" s="362"/>
      <c r="WPG80" s="362"/>
      <c r="WPH80" s="362"/>
      <c r="WPI80" s="362"/>
      <c r="WPJ80" s="362"/>
      <c r="WPK80" s="362"/>
      <c r="WPL80" s="362"/>
      <c r="WPM80" s="362"/>
      <c r="WPN80" s="362"/>
      <c r="WPO80" s="362"/>
      <c r="WPP80" s="362"/>
      <c r="WPQ80" s="362"/>
      <c r="WPR80" s="362"/>
      <c r="WPS80" s="362"/>
      <c r="WPT80" s="362"/>
      <c r="WPU80" s="362"/>
      <c r="WPV80" s="362"/>
      <c r="WPW80" s="362"/>
      <c r="WPX80" s="362"/>
      <c r="WPY80" s="362"/>
      <c r="WPZ80" s="362"/>
      <c r="WQA80" s="362"/>
      <c r="WQB80" s="362"/>
      <c r="WQC80" s="362"/>
      <c r="WQD80" s="362"/>
      <c r="WQE80" s="362"/>
      <c r="WQF80" s="362"/>
      <c r="WQG80" s="362"/>
      <c r="WQH80" s="362"/>
      <c r="WQI80" s="362"/>
      <c r="WQJ80" s="362"/>
      <c r="WQK80" s="362"/>
      <c r="WQL80" s="362"/>
      <c r="WQM80" s="362"/>
      <c r="WQN80" s="362"/>
      <c r="WQO80" s="362"/>
      <c r="WQP80" s="362"/>
      <c r="WQQ80" s="362"/>
      <c r="WQR80" s="362"/>
      <c r="WQS80" s="362"/>
      <c r="WQT80" s="362"/>
      <c r="WQU80" s="362"/>
      <c r="WQV80" s="362"/>
      <c r="WQW80" s="362"/>
      <c r="WQX80" s="362"/>
      <c r="WQY80" s="362"/>
      <c r="WQZ80" s="362"/>
      <c r="WRA80" s="362"/>
      <c r="WRB80" s="362"/>
      <c r="WRC80" s="362"/>
      <c r="WRD80" s="362"/>
      <c r="WRE80" s="362"/>
      <c r="WRF80" s="362"/>
      <c r="WRG80" s="362"/>
      <c r="WRH80" s="362"/>
      <c r="WRI80" s="362"/>
      <c r="WRJ80" s="362"/>
      <c r="WRK80" s="362"/>
      <c r="WRL80" s="362"/>
      <c r="WRM80" s="362"/>
      <c r="WRN80" s="362"/>
      <c r="WRO80" s="362"/>
      <c r="WRP80" s="362"/>
      <c r="WRQ80" s="362"/>
      <c r="WRR80" s="362"/>
      <c r="WRS80" s="362"/>
      <c r="WRT80" s="362"/>
      <c r="WRU80" s="362"/>
      <c r="WRV80" s="362"/>
      <c r="WRW80" s="362"/>
      <c r="WRX80" s="362"/>
      <c r="WRY80" s="362"/>
      <c r="WRZ80" s="362"/>
      <c r="WSA80" s="362"/>
      <c r="WSB80" s="362"/>
      <c r="WSC80" s="362"/>
      <c r="WSD80" s="362"/>
      <c r="WSE80" s="362"/>
      <c r="WSF80" s="362"/>
      <c r="WSG80" s="362"/>
      <c r="WSH80" s="362"/>
      <c r="WSI80" s="362"/>
      <c r="WSJ80" s="362"/>
      <c r="WSK80" s="362"/>
      <c r="WSL80" s="362"/>
      <c r="WSM80" s="362"/>
      <c r="WSN80" s="362"/>
      <c r="WSO80" s="362"/>
      <c r="WSP80" s="362"/>
      <c r="WSQ80" s="362"/>
      <c r="WSR80" s="362"/>
      <c r="WSS80" s="362"/>
      <c r="WST80" s="362"/>
      <c r="WSU80" s="362"/>
      <c r="WSV80" s="362"/>
      <c r="WSW80" s="362"/>
      <c r="WSX80" s="362"/>
      <c r="WSY80" s="362"/>
      <c r="WSZ80" s="362"/>
      <c r="WTA80" s="362"/>
      <c r="WTB80" s="362"/>
      <c r="WTC80" s="362"/>
      <c r="WTD80" s="362"/>
      <c r="WTE80" s="362"/>
      <c r="WTF80" s="362"/>
      <c r="WTG80" s="362"/>
      <c r="WTH80" s="362"/>
      <c r="WTI80" s="362"/>
      <c r="WTJ80" s="362"/>
      <c r="WTK80" s="362"/>
      <c r="WTL80" s="362"/>
      <c r="WTM80" s="362"/>
      <c r="WTN80" s="362"/>
      <c r="WTO80" s="362"/>
      <c r="WTP80" s="362"/>
      <c r="WTQ80" s="362"/>
      <c r="WTR80" s="362"/>
      <c r="WTS80" s="362"/>
      <c r="WTT80" s="362"/>
      <c r="WTU80" s="362"/>
      <c r="WTV80" s="362"/>
      <c r="WTW80" s="362"/>
      <c r="WTX80" s="362"/>
      <c r="WTY80" s="362"/>
      <c r="WTZ80" s="362"/>
      <c r="WUA80" s="362"/>
      <c r="WUB80" s="362"/>
      <c r="WUC80" s="362"/>
      <c r="WUD80" s="362"/>
      <c r="WUE80" s="362"/>
      <c r="WUF80" s="362"/>
      <c r="WUG80" s="362"/>
      <c r="WUH80" s="362"/>
      <c r="WUI80" s="362"/>
      <c r="WUJ80" s="362"/>
      <c r="WUK80" s="362"/>
      <c r="WUL80" s="362"/>
      <c r="WUM80" s="362"/>
      <c r="WUN80" s="362"/>
      <c r="WUO80" s="362"/>
      <c r="WUP80" s="362"/>
      <c r="WUQ80" s="362"/>
      <c r="WUR80" s="362"/>
      <c r="WUS80" s="362"/>
      <c r="WUT80" s="362"/>
      <c r="WUU80" s="362"/>
      <c r="WUV80" s="362"/>
      <c r="WUW80" s="362"/>
      <c r="WUX80" s="362"/>
      <c r="WUY80" s="362"/>
      <c r="WUZ80" s="362"/>
      <c r="WVA80" s="362"/>
      <c r="WVB80" s="362"/>
      <c r="WVC80" s="362"/>
      <c r="WVD80" s="362"/>
      <c r="WVE80" s="362"/>
      <c r="WVF80" s="362"/>
      <c r="WVG80" s="362"/>
      <c r="WVH80" s="362"/>
      <c r="WVI80" s="362"/>
      <c r="WVJ80" s="362"/>
      <c r="WVK80" s="362"/>
      <c r="WVL80" s="362"/>
      <c r="WVM80" s="362"/>
      <c r="WVN80" s="362"/>
      <c r="WVO80" s="362"/>
      <c r="WVP80" s="362"/>
      <c r="WVQ80" s="362"/>
      <c r="WVR80" s="362"/>
      <c r="WVS80" s="362"/>
      <c r="WVT80" s="362"/>
      <c r="WVU80" s="362"/>
      <c r="WVV80" s="362"/>
      <c r="WVW80" s="362"/>
      <c r="WVX80" s="362"/>
      <c r="WVY80" s="362"/>
      <c r="WVZ80" s="362"/>
      <c r="WWA80" s="362"/>
      <c r="WWB80" s="362"/>
      <c r="WWC80" s="362"/>
      <c r="WWD80" s="362"/>
      <c r="WWE80" s="362"/>
      <c r="WWF80" s="362"/>
      <c r="WWG80" s="362"/>
      <c r="WWH80" s="362"/>
      <c r="WWI80" s="362"/>
      <c r="WWJ80" s="362"/>
      <c r="WWK80" s="362"/>
      <c r="WWL80" s="362"/>
      <c r="WWM80" s="362"/>
      <c r="WWN80" s="362"/>
      <c r="WWO80" s="362"/>
      <c r="WWP80" s="362"/>
      <c r="WWQ80" s="362"/>
      <c r="WWR80" s="362"/>
      <c r="WWS80" s="362"/>
      <c r="WWT80" s="362"/>
      <c r="WWU80" s="362"/>
      <c r="WWV80" s="362"/>
      <c r="WWW80" s="362"/>
      <c r="WWX80" s="362"/>
      <c r="WWY80" s="362"/>
      <c r="WWZ80" s="362"/>
      <c r="WXA80" s="362"/>
      <c r="WXB80" s="362"/>
      <c r="WXC80" s="362"/>
      <c r="WXD80" s="362"/>
      <c r="WXE80" s="362"/>
      <c r="WXF80" s="362"/>
      <c r="WXG80" s="362"/>
      <c r="WXH80" s="362"/>
      <c r="WXI80" s="362"/>
      <c r="WXJ80" s="362"/>
      <c r="WXK80" s="362"/>
      <c r="WXL80" s="362"/>
      <c r="WXM80" s="362"/>
      <c r="WXN80" s="362"/>
      <c r="WXO80" s="362"/>
      <c r="WXP80" s="362"/>
      <c r="WXQ80" s="362"/>
      <c r="WXR80" s="362"/>
      <c r="WXS80" s="362"/>
      <c r="WXT80" s="362"/>
      <c r="WXU80" s="362"/>
      <c r="WXV80" s="362"/>
      <c r="WXW80" s="362"/>
      <c r="WXX80" s="362"/>
      <c r="WXY80" s="362"/>
      <c r="WXZ80" s="362"/>
      <c r="WYA80" s="362"/>
      <c r="WYB80" s="362"/>
      <c r="WYC80" s="362"/>
      <c r="WYD80" s="362"/>
      <c r="WYE80" s="362"/>
      <c r="WYF80" s="362"/>
      <c r="WYG80" s="362"/>
      <c r="WYH80" s="362"/>
      <c r="WYI80" s="362"/>
      <c r="WYJ80" s="362"/>
      <c r="WYK80" s="362"/>
      <c r="WYL80" s="362"/>
      <c r="WYM80" s="362"/>
      <c r="WYN80" s="362"/>
      <c r="WYO80" s="362"/>
      <c r="WYP80" s="362"/>
      <c r="WYQ80" s="362"/>
      <c r="WYR80" s="362"/>
      <c r="WYS80" s="362"/>
      <c r="WYT80" s="362"/>
      <c r="WYU80" s="362"/>
      <c r="WYV80" s="362"/>
      <c r="WYW80" s="362"/>
      <c r="WYX80" s="362"/>
      <c r="WYY80" s="362"/>
      <c r="WYZ80" s="362"/>
      <c r="WZA80" s="362"/>
      <c r="WZB80" s="362"/>
      <c r="WZC80" s="362"/>
      <c r="WZD80" s="362"/>
      <c r="WZE80" s="362"/>
      <c r="WZF80" s="362"/>
      <c r="WZG80" s="362"/>
      <c r="WZH80" s="362"/>
      <c r="WZI80" s="362"/>
      <c r="WZJ80" s="362"/>
      <c r="WZK80" s="362"/>
      <c r="WZL80" s="362"/>
      <c r="WZM80" s="362"/>
      <c r="WZN80" s="362"/>
      <c r="WZO80" s="362"/>
      <c r="WZP80" s="362"/>
      <c r="WZQ80" s="362"/>
      <c r="WZR80" s="362"/>
      <c r="WZS80" s="362"/>
      <c r="WZT80" s="362"/>
      <c r="WZU80" s="362"/>
      <c r="WZV80" s="362"/>
      <c r="WZW80" s="362"/>
      <c r="WZX80" s="362"/>
      <c r="WZY80" s="362"/>
      <c r="WZZ80" s="362"/>
      <c r="XAA80" s="362"/>
      <c r="XAB80" s="362"/>
      <c r="XAC80" s="362"/>
      <c r="XAD80" s="362"/>
      <c r="XAE80" s="362"/>
      <c r="XAF80" s="362"/>
      <c r="XAG80" s="362"/>
      <c r="XAH80" s="362"/>
      <c r="XAI80" s="362"/>
      <c r="XAJ80" s="362"/>
      <c r="XAK80" s="362"/>
      <c r="XAL80" s="362"/>
      <c r="XAM80" s="362"/>
      <c r="XAN80" s="362"/>
      <c r="XAO80" s="362"/>
      <c r="XAP80" s="362"/>
      <c r="XAQ80" s="362"/>
      <c r="XAR80" s="362"/>
      <c r="XAS80" s="362"/>
      <c r="XAT80" s="362"/>
      <c r="XAU80" s="362"/>
      <c r="XAV80" s="362"/>
      <c r="XAW80" s="362"/>
      <c r="XAX80" s="362"/>
      <c r="XAY80" s="362"/>
      <c r="XAZ80" s="362"/>
      <c r="XBA80" s="362"/>
      <c r="XBB80" s="362"/>
      <c r="XBC80" s="362"/>
      <c r="XBD80" s="362"/>
      <c r="XBE80" s="362"/>
      <c r="XBF80" s="362"/>
      <c r="XBG80" s="362"/>
      <c r="XBH80" s="362"/>
      <c r="XBI80" s="362"/>
      <c r="XBJ80" s="362"/>
      <c r="XBK80" s="362"/>
      <c r="XBL80" s="362"/>
      <c r="XBM80" s="362"/>
      <c r="XBN80" s="362"/>
      <c r="XBO80" s="362"/>
      <c r="XBP80" s="362"/>
      <c r="XBQ80" s="362"/>
      <c r="XBR80" s="362"/>
      <c r="XBS80" s="362"/>
      <c r="XBT80" s="362"/>
      <c r="XBU80" s="362"/>
      <c r="XBV80" s="362"/>
      <c r="XBW80" s="362"/>
      <c r="XBX80" s="362"/>
      <c r="XBY80" s="362"/>
      <c r="XBZ80" s="362"/>
      <c r="XCA80" s="362"/>
      <c r="XCB80" s="362"/>
      <c r="XCC80" s="362"/>
      <c r="XCD80" s="362"/>
      <c r="XCE80" s="362"/>
      <c r="XCF80" s="362"/>
      <c r="XCG80" s="362"/>
      <c r="XCH80" s="362"/>
      <c r="XCI80" s="362"/>
      <c r="XCJ80" s="362"/>
      <c r="XCK80" s="362"/>
      <c r="XCL80" s="362"/>
      <c r="XCM80" s="362"/>
      <c r="XCN80" s="362"/>
      <c r="XCO80" s="362"/>
      <c r="XCP80" s="362"/>
      <c r="XCQ80" s="362"/>
      <c r="XCR80" s="362"/>
      <c r="XCS80" s="362"/>
      <c r="XCT80" s="362"/>
      <c r="XCU80" s="362"/>
      <c r="XCV80" s="362"/>
      <c r="XCW80" s="362"/>
      <c r="XCX80" s="362"/>
      <c r="XCY80" s="362"/>
      <c r="XCZ80" s="362"/>
      <c r="XDA80" s="362"/>
      <c r="XDB80" s="362"/>
      <c r="XDC80" s="362"/>
      <c r="XDD80" s="362"/>
      <c r="XDE80" s="362"/>
      <c r="XDF80" s="362"/>
      <c r="XDG80" s="362"/>
      <c r="XDH80" s="362"/>
      <c r="XDI80" s="362"/>
      <c r="XDJ80" s="362"/>
      <c r="XDK80" s="362"/>
      <c r="XDL80" s="362"/>
      <c r="XDM80" s="362"/>
      <c r="XDN80" s="362"/>
      <c r="XDO80" s="362"/>
      <c r="XDP80" s="362"/>
      <c r="XDQ80" s="362"/>
      <c r="XDR80" s="362"/>
      <c r="XDS80" s="362"/>
      <c r="XDT80" s="362"/>
      <c r="XDU80" s="362"/>
      <c r="XDV80" s="362"/>
      <c r="XDW80" s="362"/>
      <c r="XDX80" s="362"/>
      <c r="XDY80" s="362"/>
      <c r="XDZ80" s="362"/>
      <c r="XEA80" s="362"/>
      <c r="XEB80" s="362"/>
      <c r="XEC80" s="362"/>
      <c r="XED80" s="362"/>
      <c r="XEE80" s="362"/>
      <c r="XEF80" s="362"/>
      <c r="XEG80" s="362"/>
      <c r="XEH80" s="362"/>
      <c r="XEI80" s="362"/>
      <c r="XEJ80" s="362"/>
      <c r="XEK80" s="362"/>
      <c r="XEL80" s="362"/>
      <c r="XEM80" s="362"/>
      <c r="XEN80" s="362"/>
      <c r="XEO80" s="362"/>
      <c r="XEP80" s="362"/>
    </row>
    <row r="81" spans="1:16370" s="138" customFormat="1" x14ac:dyDescent="0.2">
      <c r="A81" s="38"/>
      <c r="B81" s="175"/>
      <c r="C81" s="260"/>
      <c r="D81" s="71"/>
      <c r="E81" s="40"/>
      <c r="F81" s="97"/>
      <c r="G81" s="40"/>
      <c r="H81" s="100"/>
      <c r="I81" s="97"/>
      <c r="J81" s="97"/>
      <c r="K81" s="97"/>
      <c r="L81" s="78"/>
      <c r="M81" s="51"/>
      <c r="N81" s="78"/>
      <c r="O81" s="78"/>
      <c r="P81" s="346"/>
      <c r="Q81" s="269">
        <f>1</f>
        <v>1</v>
      </c>
      <c r="R81" s="132"/>
      <c r="T81" s="140"/>
      <c r="U81" s="139"/>
      <c r="X81" s="268"/>
      <c r="Y81" s="268" t="str">
        <f t="shared" si="11"/>
        <v/>
      </c>
      <c r="Z81" s="132" t="str">
        <f t="shared" si="10"/>
        <v/>
      </c>
    </row>
    <row r="82" spans="1:16370" s="138" customFormat="1" ht="204" x14ac:dyDescent="0.2">
      <c r="A82" s="38" t="e">
        <f>#REF!+1</f>
        <v>#REF!</v>
      </c>
      <c r="B82" s="177" t="s">
        <v>167</v>
      </c>
      <c r="C82" s="137" t="s">
        <v>167</v>
      </c>
      <c r="D82" s="157" t="s">
        <v>884</v>
      </c>
      <c r="E82" s="143">
        <f>LEN(D82)</f>
        <v>297</v>
      </c>
      <c r="F82" s="157" t="s">
        <v>1096</v>
      </c>
      <c r="G82" s="143">
        <f>LEN(F86)</f>
        <v>178</v>
      </c>
      <c r="H82" s="152" t="s">
        <v>30</v>
      </c>
      <c r="I82" s="143" t="s">
        <v>19</v>
      </c>
      <c r="J82" s="143" t="s">
        <v>19</v>
      </c>
      <c r="K82" s="143" t="s">
        <v>31</v>
      </c>
      <c r="L82" s="167" t="s">
        <v>168</v>
      </c>
      <c r="M82" s="212" t="s">
        <v>19</v>
      </c>
      <c r="N82" s="167" t="s">
        <v>169</v>
      </c>
      <c r="O82" s="51"/>
      <c r="P82" s="2"/>
      <c r="Q82" s="264">
        <f>1</f>
        <v>1</v>
      </c>
      <c r="R82" s="132"/>
      <c r="T82" s="444" t="s">
        <v>26</v>
      </c>
      <c r="U82" s="139"/>
      <c r="X82" s="267">
        <v>17.261402130126953</v>
      </c>
      <c r="Y82" s="267">
        <f t="shared" si="11"/>
        <v>17.261402130126953</v>
      </c>
      <c r="Z82" s="132">
        <f t="shared" si="10"/>
        <v>17.261402130126953</v>
      </c>
    </row>
    <row r="83" spans="1:16370" s="138" customFormat="1" x14ac:dyDescent="0.2">
      <c r="A83" s="38"/>
      <c r="B83" s="175"/>
      <c r="C83" s="91"/>
      <c r="D83" s="173"/>
      <c r="E83" s="40"/>
      <c r="F83" s="40"/>
      <c r="G83" s="40"/>
      <c r="H83" s="92"/>
      <c r="I83" s="40"/>
      <c r="J83" s="40"/>
      <c r="K83" s="40"/>
      <c r="L83" s="82"/>
      <c r="M83" s="51"/>
      <c r="N83" s="82"/>
      <c r="O83" s="82"/>
      <c r="P83" s="2"/>
      <c r="Q83" s="269">
        <f>1</f>
        <v>1</v>
      </c>
      <c r="R83" s="132"/>
      <c r="T83" s="140"/>
      <c r="U83" s="139"/>
      <c r="X83" s="268"/>
      <c r="Y83" s="268" t="str">
        <f t="shared" si="11"/>
        <v/>
      </c>
      <c r="Z83" s="132" t="str">
        <f t="shared" si="10"/>
        <v/>
      </c>
    </row>
    <row r="84" spans="1:16370" s="138" customFormat="1" ht="409.6" x14ac:dyDescent="0.2">
      <c r="A84" s="38" t="e">
        <f>A82+1</f>
        <v>#REF!</v>
      </c>
      <c r="B84" s="177" t="s">
        <v>170</v>
      </c>
      <c r="C84" s="137" t="s">
        <v>170</v>
      </c>
      <c r="D84" s="157" t="s">
        <v>901</v>
      </c>
      <c r="E84" s="143">
        <f>LEN(D84)</f>
        <v>1225</v>
      </c>
      <c r="F84" s="457" t="s">
        <v>1303</v>
      </c>
      <c r="G84" s="143">
        <f>LEN(F90)</f>
        <v>297</v>
      </c>
      <c r="H84" s="152" t="s">
        <v>30</v>
      </c>
      <c r="I84" s="143" t="s">
        <v>19</v>
      </c>
      <c r="J84" s="143" t="s">
        <v>19</v>
      </c>
      <c r="K84" s="143" t="s">
        <v>823</v>
      </c>
      <c r="L84" s="134" t="s">
        <v>955</v>
      </c>
      <c r="M84" s="212" t="s">
        <v>19</v>
      </c>
      <c r="N84" s="141" t="s">
        <v>956</v>
      </c>
      <c r="O84" s="43"/>
      <c r="P84" s="2"/>
      <c r="Q84" s="264">
        <f>1</f>
        <v>1</v>
      </c>
      <c r="R84" s="132"/>
      <c r="T84" s="444" t="s">
        <v>26</v>
      </c>
      <c r="U84" s="139"/>
      <c r="X84" s="267">
        <v>14.47539234161377</v>
      </c>
      <c r="Y84" s="267">
        <f t="shared" si="11"/>
        <v>14.47539234161377</v>
      </c>
      <c r="Z84" s="132">
        <f t="shared" si="10"/>
        <v>14.47539234161377</v>
      </c>
    </row>
    <row r="85" spans="1:16370" s="225" customFormat="1" ht="182.25" customHeight="1" x14ac:dyDescent="0.2">
      <c r="A85" s="330"/>
      <c r="B85" s="227" t="s">
        <v>811</v>
      </c>
      <c r="C85" s="238" t="s">
        <v>812</v>
      </c>
      <c r="D85" s="142" t="s">
        <v>797</v>
      </c>
      <c r="E85" s="135">
        <f>LEN(D85)</f>
        <v>143</v>
      </c>
      <c r="F85" s="426" t="s">
        <v>1220</v>
      </c>
      <c r="G85" s="135">
        <f>LEN(F91)</f>
        <v>214</v>
      </c>
      <c r="H85" s="137" t="s">
        <v>30</v>
      </c>
      <c r="I85" s="135" t="s">
        <v>19</v>
      </c>
      <c r="J85" s="135" t="s">
        <v>19</v>
      </c>
      <c r="K85" s="135" t="s">
        <v>31</v>
      </c>
      <c r="L85" s="134" t="s">
        <v>171</v>
      </c>
      <c r="M85" s="212" t="s">
        <v>19</v>
      </c>
      <c r="N85" s="141" t="s">
        <v>817</v>
      </c>
      <c r="O85" s="43"/>
      <c r="P85" s="42"/>
      <c r="Q85" s="395">
        <f>1</f>
        <v>1</v>
      </c>
      <c r="R85" s="133"/>
      <c r="T85" s="448" t="s">
        <v>26</v>
      </c>
      <c r="U85" s="219"/>
      <c r="X85" s="271">
        <v>8</v>
      </c>
      <c r="Y85" s="271">
        <f t="shared" si="11"/>
        <v>8</v>
      </c>
      <c r="Z85" s="133">
        <f>IF(T85="yes",Y85,"")</f>
        <v>8</v>
      </c>
    </row>
    <row r="86" spans="1:16370" s="225" customFormat="1" ht="182.25" customHeight="1" x14ac:dyDescent="0.2">
      <c r="A86" s="330"/>
      <c r="B86" s="227" t="s">
        <v>813</v>
      </c>
      <c r="C86" s="238" t="s">
        <v>814</v>
      </c>
      <c r="D86" s="142" t="s">
        <v>952</v>
      </c>
      <c r="E86" s="135">
        <f>LEN(D86)</f>
        <v>170</v>
      </c>
      <c r="F86" s="426" t="s">
        <v>1216</v>
      </c>
      <c r="G86" s="135">
        <f>LEN(F92)</f>
        <v>232</v>
      </c>
      <c r="H86" s="137" t="s">
        <v>30</v>
      </c>
      <c r="I86" s="135" t="s">
        <v>19</v>
      </c>
      <c r="J86" s="135" t="s">
        <v>19</v>
      </c>
      <c r="K86" s="135" t="s">
        <v>31</v>
      </c>
      <c r="L86" s="134" t="s">
        <v>171</v>
      </c>
      <c r="M86" s="212" t="s">
        <v>19</v>
      </c>
      <c r="N86" s="141" t="s">
        <v>818</v>
      </c>
      <c r="O86" s="43"/>
      <c r="P86" s="42"/>
      <c r="Q86" s="395">
        <f>1</f>
        <v>1</v>
      </c>
      <c r="R86" s="133"/>
      <c r="T86" s="448" t="s">
        <v>26</v>
      </c>
      <c r="U86" s="219"/>
      <c r="X86" s="271">
        <v>8</v>
      </c>
      <c r="Y86" s="271">
        <f t="shared" si="11"/>
        <v>8</v>
      </c>
      <c r="Z86" s="133">
        <f>IF(T86="yes",Y86,"")</f>
        <v>8</v>
      </c>
    </row>
    <row r="87" spans="1:16370" s="138" customFormat="1" ht="182.25" customHeight="1" x14ac:dyDescent="0.2">
      <c r="A87" s="330"/>
      <c r="B87" s="227" t="s">
        <v>815</v>
      </c>
      <c r="C87" s="238" t="s">
        <v>816</v>
      </c>
      <c r="D87" s="142" t="s">
        <v>798</v>
      </c>
      <c r="E87" s="135">
        <f>LEN(D87)</f>
        <v>176</v>
      </c>
      <c r="F87" s="426" t="s">
        <v>1217</v>
      </c>
      <c r="G87" s="135">
        <f>LEN(F93)</f>
        <v>0</v>
      </c>
      <c r="H87" s="137" t="s">
        <v>30</v>
      </c>
      <c r="I87" s="135" t="s">
        <v>19</v>
      </c>
      <c r="J87" s="135" t="s">
        <v>19</v>
      </c>
      <c r="K87" s="135" t="s">
        <v>31</v>
      </c>
      <c r="L87" s="134" t="s">
        <v>171</v>
      </c>
      <c r="M87" s="212" t="s">
        <v>19</v>
      </c>
      <c r="N87" s="141" t="s">
        <v>819</v>
      </c>
      <c r="O87" s="43"/>
      <c r="P87" s="42"/>
      <c r="Q87" s="264">
        <f>1</f>
        <v>1</v>
      </c>
      <c r="R87" s="132"/>
      <c r="T87" s="444" t="s">
        <v>26</v>
      </c>
      <c r="U87" s="139"/>
      <c r="X87" s="267">
        <v>8</v>
      </c>
      <c r="Y87" s="267">
        <f t="shared" si="11"/>
        <v>8</v>
      </c>
      <c r="Z87" s="132">
        <f>IF(T87="yes",Y87,"")</f>
        <v>8</v>
      </c>
    </row>
    <row r="88" spans="1:16370" s="138" customFormat="1" x14ac:dyDescent="0.2">
      <c r="A88" s="90"/>
      <c r="B88" s="255"/>
      <c r="C88" s="260"/>
      <c r="D88" s="261"/>
      <c r="E88" s="97"/>
      <c r="G88" s="97"/>
      <c r="H88" s="91"/>
      <c r="I88" s="97"/>
      <c r="J88" s="97"/>
      <c r="K88" s="97"/>
      <c r="L88" s="78"/>
      <c r="M88" s="51"/>
      <c r="N88" s="166"/>
      <c r="O88" s="166"/>
      <c r="P88" s="42"/>
      <c r="Q88" s="269">
        <f>1</f>
        <v>1</v>
      </c>
      <c r="R88" s="132"/>
      <c r="T88" s="140"/>
      <c r="U88" s="139"/>
      <c r="X88" s="268"/>
      <c r="Y88" s="268" t="str">
        <f t="shared" si="11"/>
        <v/>
      </c>
      <c r="Z88" s="132" t="str">
        <f t="shared" si="10"/>
        <v/>
      </c>
    </row>
    <row r="89" spans="1:16370" s="138" customFormat="1" ht="136" x14ac:dyDescent="0.2">
      <c r="A89" s="6" t="e">
        <f>A84+1</f>
        <v>#REF!</v>
      </c>
      <c r="B89" s="228" t="s">
        <v>173</v>
      </c>
      <c r="C89" s="9" t="s">
        <v>173</v>
      </c>
      <c r="D89" s="14" t="s">
        <v>957</v>
      </c>
      <c r="E89" s="12">
        <f>LEN(D89)</f>
        <v>243</v>
      </c>
      <c r="F89" s="465" t="s">
        <v>1097</v>
      </c>
      <c r="G89" s="12">
        <f>LEN(F95)</f>
        <v>0</v>
      </c>
      <c r="H89" s="28" t="s">
        <v>92</v>
      </c>
      <c r="I89" s="12" t="s">
        <v>19</v>
      </c>
      <c r="J89" s="12" t="s">
        <v>19</v>
      </c>
      <c r="K89" s="12" t="s">
        <v>22</v>
      </c>
      <c r="L89" s="382" t="s">
        <v>679</v>
      </c>
      <c r="M89" s="72" t="s">
        <v>19</v>
      </c>
      <c r="N89" s="383" t="s">
        <v>681</v>
      </c>
      <c r="O89" s="24"/>
      <c r="P89" s="614" t="s">
        <v>157</v>
      </c>
      <c r="Q89" s="269">
        <f>1</f>
        <v>1</v>
      </c>
      <c r="R89" s="132"/>
      <c r="T89" s="140" t="s">
        <v>18</v>
      </c>
      <c r="U89" s="139"/>
      <c r="X89" s="268">
        <v>24.401098251342773</v>
      </c>
      <c r="Y89" s="268">
        <f t="shared" si="11"/>
        <v>24.401098251342773</v>
      </c>
      <c r="Z89" s="132" t="str">
        <f t="shared" si="10"/>
        <v/>
      </c>
    </row>
    <row r="90" spans="1:16370" s="138" customFormat="1" ht="119" x14ac:dyDescent="0.2">
      <c r="A90" s="6" t="e">
        <f>A89+1</f>
        <v>#REF!</v>
      </c>
      <c r="B90" s="228" t="s">
        <v>174</v>
      </c>
      <c r="C90" s="237" t="s">
        <v>174</v>
      </c>
      <c r="D90" s="14" t="s">
        <v>159</v>
      </c>
      <c r="E90" s="12">
        <f>LEN(D90)</f>
        <v>253</v>
      </c>
      <c r="F90" s="466" t="s">
        <v>1091</v>
      </c>
      <c r="G90" s="12">
        <f>LEN(F96)</f>
        <v>1701</v>
      </c>
      <c r="H90" s="25" t="s">
        <v>30</v>
      </c>
      <c r="I90" s="8" t="s">
        <v>19</v>
      </c>
      <c r="J90" s="8" t="s">
        <v>19</v>
      </c>
      <c r="K90" s="8" t="s">
        <v>31</v>
      </c>
      <c r="L90" s="26" t="s">
        <v>680</v>
      </c>
      <c r="M90" s="72" t="s">
        <v>19</v>
      </c>
      <c r="N90" s="26" t="s">
        <v>682</v>
      </c>
      <c r="O90" s="26"/>
      <c r="P90" s="615"/>
      <c r="Q90" s="269">
        <f>1</f>
        <v>1</v>
      </c>
      <c r="R90" s="132"/>
      <c r="T90" s="140" t="s">
        <v>18</v>
      </c>
      <c r="U90" s="139"/>
      <c r="X90" s="268">
        <v>2.4700000000000002</v>
      </c>
      <c r="Y90" s="268">
        <f t="shared" si="11"/>
        <v>2.4700000000000002</v>
      </c>
      <c r="Z90" s="132" t="str">
        <f t="shared" si="10"/>
        <v/>
      </c>
    </row>
    <row r="91" spans="1:16370" s="138" customFormat="1" ht="170" x14ac:dyDescent="0.2">
      <c r="A91" s="49">
        <v>18</v>
      </c>
      <c r="B91" s="379" t="s">
        <v>172</v>
      </c>
      <c r="C91" s="380" t="s">
        <v>172</v>
      </c>
      <c r="D91" s="48" t="s">
        <v>824</v>
      </c>
      <c r="E91" s="8">
        <f>LEN(D91)</f>
        <v>181</v>
      </c>
      <c r="F91" s="466" t="s">
        <v>1098</v>
      </c>
      <c r="G91" s="8">
        <f>LEN(F97)</f>
        <v>377</v>
      </c>
      <c r="H91" s="9" t="s">
        <v>30</v>
      </c>
      <c r="I91" s="8" t="s">
        <v>19</v>
      </c>
      <c r="J91" s="8" t="s">
        <v>19</v>
      </c>
      <c r="K91" s="8" t="s">
        <v>31</v>
      </c>
      <c r="L91" s="26" t="s">
        <v>784</v>
      </c>
      <c r="M91" s="72" t="s">
        <v>19</v>
      </c>
      <c r="N91" s="364" t="s">
        <v>715</v>
      </c>
      <c r="O91" s="364"/>
      <c r="P91" s="42"/>
      <c r="Q91" s="269">
        <f>1</f>
        <v>1</v>
      </c>
      <c r="R91" s="132"/>
      <c r="T91" s="140" t="s">
        <v>18</v>
      </c>
      <c r="U91" s="139"/>
      <c r="X91" s="268">
        <v>4.7874016761779785</v>
      </c>
      <c r="Y91" s="268">
        <f t="shared" si="11"/>
        <v>4.7874016761779785</v>
      </c>
      <c r="Z91" s="132" t="str">
        <f>IF(T91="yes",Y91,"")</f>
        <v/>
      </c>
    </row>
    <row r="92" spans="1:16370" s="138" customFormat="1" ht="153" x14ac:dyDescent="0.2">
      <c r="A92" s="18"/>
      <c r="B92" s="228" t="s">
        <v>683</v>
      </c>
      <c r="C92" s="237" t="s">
        <v>683</v>
      </c>
      <c r="D92" s="29" t="s">
        <v>899</v>
      </c>
      <c r="E92" s="16">
        <f>LEN(D92)</f>
        <v>215</v>
      </c>
      <c r="F92" s="465" t="s">
        <v>1095</v>
      </c>
      <c r="G92" s="16">
        <f>LEN(F98)</f>
        <v>822</v>
      </c>
      <c r="H92" s="28" t="s">
        <v>30</v>
      </c>
      <c r="I92" s="12" t="s">
        <v>19</v>
      </c>
      <c r="J92" s="12" t="s">
        <v>19</v>
      </c>
      <c r="K92" s="12" t="s">
        <v>31</v>
      </c>
      <c r="L92" s="23" t="s">
        <v>717</v>
      </c>
      <c r="M92" s="72" t="s">
        <v>19</v>
      </c>
      <c r="N92" s="378" t="s">
        <v>716</v>
      </c>
      <c r="O92" s="361"/>
      <c r="P92" s="2"/>
      <c r="Q92" s="269">
        <f>1</f>
        <v>1</v>
      </c>
      <c r="R92" s="132"/>
      <c r="S92" s="362"/>
      <c r="T92" s="140" t="s">
        <v>18</v>
      </c>
      <c r="U92" s="139"/>
      <c r="V92" s="362"/>
      <c r="W92" s="362"/>
      <c r="X92" s="268">
        <v>20.918367385864258</v>
      </c>
      <c r="Y92" s="268">
        <f t="shared" si="11"/>
        <v>20.918367385864258</v>
      </c>
      <c r="Z92" s="132" t="str">
        <f>IF(T92="yes",Y92,"")</f>
        <v/>
      </c>
      <c r="AA92" s="362"/>
      <c r="AB92" s="362"/>
      <c r="AC92" s="362"/>
      <c r="AD92" s="362"/>
      <c r="AE92" s="362"/>
      <c r="AF92" s="362"/>
      <c r="AG92" s="362"/>
      <c r="AH92" s="362"/>
      <c r="AI92" s="362"/>
      <c r="AJ92" s="362"/>
      <c r="AK92" s="362"/>
      <c r="AL92" s="362"/>
      <c r="AM92" s="362"/>
      <c r="AN92" s="362"/>
      <c r="AO92" s="362"/>
      <c r="AP92" s="362"/>
      <c r="AQ92" s="362"/>
      <c r="AR92" s="362"/>
      <c r="AS92" s="362"/>
      <c r="AT92" s="362"/>
      <c r="AU92" s="362"/>
      <c r="AV92" s="362"/>
      <c r="AW92" s="362"/>
      <c r="AX92" s="362"/>
      <c r="AY92" s="362"/>
      <c r="AZ92" s="362"/>
      <c r="BA92" s="362"/>
      <c r="BB92" s="362"/>
      <c r="BC92" s="362"/>
      <c r="BD92" s="362"/>
      <c r="BE92" s="362"/>
      <c r="BF92" s="362"/>
      <c r="BG92" s="362"/>
      <c r="BH92" s="362"/>
      <c r="BI92" s="362"/>
      <c r="BJ92" s="362"/>
      <c r="BK92" s="362"/>
      <c r="BL92" s="362"/>
      <c r="BM92" s="362"/>
      <c r="BN92" s="362"/>
      <c r="BO92" s="362"/>
      <c r="BP92" s="362"/>
      <c r="BQ92" s="362"/>
      <c r="BR92" s="362"/>
      <c r="BS92" s="362"/>
      <c r="BT92" s="362"/>
      <c r="BU92" s="362"/>
      <c r="BV92" s="362"/>
      <c r="BW92" s="362"/>
      <c r="BX92" s="362"/>
      <c r="BY92" s="362"/>
      <c r="BZ92" s="362"/>
      <c r="CA92" s="362"/>
      <c r="CB92" s="362"/>
      <c r="CC92" s="362"/>
      <c r="CD92" s="362"/>
      <c r="CE92" s="362"/>
      <c r="CF92" s="362"/>
      <c r="CG92" s="362"/>
      <c r="CH92" s="362"/>
      <c r="CI92" s="362"/>
      <c r="CJ92" s="362"/>
      <c r="CK92" s="362"/>
      <c r="CL92" s="362"/>
      <c r="CM92" s="362"/>
      <c r="CN92" s="362"/>
      <c r="CO92" s="362"/>
      <c r="CP92" s="362"/>
      <c r="CQ92" s="362"/>
      <c r="CR92" s="362"/>
      <c r="CS92" s="362"/>
      <c r="CT92" s="362"/>
      <c r="CU92" s="362"/>
      <c r="CV92" s="362"/>
      <c r="CW92" s="362"/>
      <c r="CX92" s="362"/>
      <c r="CY92" s="362"/>
      <c r="CZ92" s="362"/>
      <c r="DA92" s="362"/>
      <c r="DB92" s="362"/>
      <c r="DC92" s="362"/>
      <c r="DD92" s="362"/>
      <c r="DE92" s="362"/>
      <c r="DF92" s="362"/>
      <c r="DG92" s="362"/>
      <c r="DH92" s="362"/>
      <c r="DI92" s="362"/>
      <c r="DJ92" s="362"/>
      <c r="DK92" s="362"/>
      <c r="DL92" s="362"/>
      <c r="DM92" s="362"/>
      <c r="DN92" s="362"/>
      <c r="DO92" s="362"/>
      <c r="DP92" s="362"/>
      <c r="DQ92" s="362"/>
      <c r="DR92" s="362"/>
      <c r="DS92" s="362"/>
      <c r="DT92" s="362"/>
      <c r="DU92" s="362"/>
      <c r="DV92" s="362"/>
      <c r="DW92" s="362"/>
      <c r="DX92" s="362"/>
      <c r="DY92" s="362"/>
      <c r="DZ92" s="362"/>
      <c r="EA92" s="362"/>
      <c r="EB92" s="362"/>
      <c r="EC92" s="362"/>
      <c r="ED92" s="362"/>
      <c r="EE92" s="362"/>
      <c r="EF92" s="362"/>
      <c r="EG92" s="362"/>
      <c r="EH92" s="362"/>
      <c r="EI92" s="362"/>
      <c r="EJ92" s="362"/>
      <c r="EK92" s="362"/>
      <c r="EL92" s="362"/>
      <c r="EM92" s="362"/>
      <c r="EN92" s="362"/>
      <c r="EO92" s="362"/>
      <c r="EP92" s="362"/>
      <c r="EQ92" s="362"/>
      <c r="ER92" s="362"/>
      <c r="ES92" s="362"/>
      <c r="ET92" s="362"/>
      <c r="EU92" s="362"/>
      <c r="EV92" s="362"/>
      <c r="EW92" s="362"/>
      <c r="EX92" s="362"/>
      <c r="EY92" s="362"/>
      <c r="EZ92" s="362"/>
      <c r="FA92" s="362"/>
      <c r="FB92" s="362"/>
      <c r="FC92" s="362"/>
      <c r="FD92" s="362"/>
      <c r="FE92" s="362"/>
      <c r="FF92" s="362"/>
      <c r="FG92" s="362"/>
      <c r="FH92" s="362"/>
      <c r="FI92" s="362"/>
      <c r="FJ92" s="362"/>
      <c r="FK92" s="362"/>
      <c r="FL92" s="362"/>
      <c r="FM92" s="362"/>
      <c r="FN92" s="362"/>
      <c r="FO92" s="362"/>
      <c r="FP92" s="362"/>
      <c r="FQ92" s="362"/>
      <c r="FR92" s="362"/>
      <c r="FS92" s="362"/>
      <c r="FT92" s="362"/>
      <c r="FU92" s="362"/>
      <c r="FV92" s="362"/>
      <c r="FW92" s="362"/>
      <c r="FX92" s="362"/>
      <c r="FY92" s="362"/>
      <c r="FZ92" s="362"/>
      <c r="GA92" s="362"/>
      <c r="GB92" s="362"/>
      <c r="GC92" s="362"/>
      <c r="GD92" s="362"/>
      <c r="GE92" s="362"/>
      <c r="GF92" s="362"/>
      <c r="GG92" s="362"/>
      <c r="GH92" s="362"/>
      <c r="GI92" s="362"/>
      <c r="GJ92" s="362"/>
      <c r="GK92" s="362"/>
      <c r="GL92" s="362"/>
      <c r="GM92" s="362"/>
      <c r="GN92" s="362"/>
      <c r="GO92" s="362"/>
      <c r="GP92" s="362"/>
      <c r="GQ92" s="362"/>
      <c r="GR92" s="362"/>
      <c r="GS92" s="362"/>
      <c r="GT92" s="362"/>
      <c r="GU92" s="362"/>
      <c r="GV92" s="362"/>
      <c r="GW92" s="362"/>
      <c r="GX92" s="362"/>
      <c r="GY92" s="362"/>
      <c r="GZ92" s="362"/>
      <c r="HA92" s="362"/>
      <c r="HB92" s="362"/>
      <c r="HC92" s="362"/>
      <c r="HD92" s="362"/>
      <c r="HE92" s="362"/>
      <c r="HF92" s="362"/>
      <c r="HG92" s="362"/>
      <c r="HH92" s="362"/>
      <c r="HI92" s="362"/>
      <c r="HJ92" s="362"/>
      <c r="HK92" s="362"/>
      <c r="HL92" s="362"/>
      <c r="HM92" s="362"/>
      <c r="HN92" s="362"/>
      <c r="HO92" s="362"/>
      <c r="HP92" s="362"/>
      <c r="HQ92" s="362"/>
      <c r="HR92" s="362"/>
      <c r="HS92" s="362"/>
      <c r="HT92" s="362"/>
      <c r="HU92" s="362"/>
      <c r="HV92" s="362"/>
      <c r="HW92" s="362"/>
      <c r="HX92" s="362"/>
      <c r="HY92" s="362"/>
      <c r="HZ92" s="362"/>
      <c r="IA92" s="362"/>
      <c r="IB92" s="362"/>
      <c r="IC92" s="362"/>
      <c r="ID92" s="362"/>
      <c r="IE92" s="362"/>
      <c r="IF92" s="362"/>
      <c r="IG92" s="362"/>
      <c r="IH92" s="362"/>
      <c r="II92" s="362"/>
      <c r="IJ92" s="362"/>
      <c r="IK92" s="362"/>
      <c r="IL92" s="362"/>
      <c r="IM92" s="362"/>
      <c r="IN92" s="362"/>
      <c r="IO92" s="362"/>
      <c r="IP92" s="362"/>
      <c r="IQ92" s="362"/>
      <c r="IR92" s="362"/>
      <c r="IS92" s="362"/>
      <c r="IT92" s="362"/>
      <c r="IU92" s="362"/>
      <c r="IV92" s="362"/>
      <c r="IW92" s="362"/>
      <c r="IX92" s="362"/>
      <c r="IY92" s="362"/>
      <c r="IZ92" s="362"/>
      <c r="JA92" s="362"/>
      <c r="JB92" s="362"/>
      <c r="JC92" s="362"/>
      <c r="JD92" s="362"/>
      <c r="JE92" s="362"/>
      <c r="JF92" s="362"/>
      <c r="JG92" s="362"/>
      <c r="JH92" s="362"/>
      <c r="JI92" s="362"/>
      <c r="JJ92" s="362"/>
      <c r="JK92" s="362"/>
      <c r="JL92" s="362"/>
      <c r="JM92" s="362"/>
      <c r="JN92" s="362"/>
      <c r="JO92" s="362"/>
      <c r="JP92" s="362"/>
      <c r="JQ92" s="362"/>
      <c r="JR92" s="362"/>
      <c r="JS92" s="362"/>
      <c r="JT92" s="362"/>
      <c r="JU92" s="362"/>
      <c r="JV92" s="362"/>
      <c r="JW92" s="362"/>
      <c r="JX92" s="362"/>
      <c r="JY92" s="362"/>
      <c r="JZ92" s="362"/>
      <c r="KA92" s="362"/>
      <c r="KB92" s="362"/>
      <c r="KC92" s="362"/>
      <c r="KD92" s="362"/>
      <c r="KE92" s="362"/>
      <c r="KF92" s="362"/>
      <c r="KG92" s="362"/>
      <c r="KH92" s="362"/>
      <c r="KI92" s="362"/>
      <c r="KJ92" s="362"/>
      <c r="KK92" s="362"/>
      <c r="KL92" s="362"/>
      <c r="KM92" s="362"/>
      <c r="KN92" s="362"/>
      <c r="KO92" s="362"/>
      <c r="KP92" s="362"/>
      <c r="KQ92" s="362"/>
      <c r="KR92" s="362"/>
      <c r="KS92" s="362"/>
      <c r="KT92" s="362"/>
      <c r="KU92" s="362"/>
      <c r="KV92" s="362"/>
      <c r="KW92" s="362"/>
      <c r="KX92" s="362"/>
      <c r="KY92" s="362"/>
      <c r="KZ92" s="362"/>
      <c r="LA92" s="362"/>
      <c r="LB92" s="362"/>
      <c r="LC92" s="362"/>
      <c r="LD92" s="362"/>
      <c r="LE92" s="362"/>
      <c r="LF92" s="362"/>
      <c r="LG92" s="362"/>
      <c r="LH92" s="362"/>
      <c r="LI92" s="362"/>
      <c r="LJ92" s="362"/>
      <c r="LK92" s="362"/>
      <c r="LL92" s="362"/>
      <c r="LM92" s="362"/>
      <c r="LN92" s="362"/>
      <c r="LO92" s="362"/>
      <c r="LP92" s="362"/>
      <c r="LQ92" s="362"/>
      <c r="LR92" s="362"/>
      <c r="LS92" s="362"/>
      <c r="LT92" s="362"/>
      <c r="LU92" s="362"/>
      <c r="LV92" s="362"/>
      <c r="LW92" s="362"/>
      <c r="LX92" s="362"/>
      <c r="LY92" s="362"/>
      <c r="LZ92" s="362"/>
      <c r="MA92" s="362"/>
      <c r="MB92" s="362"/>
      <c r="MC92" s="362"/>
      <c r="MD92" s="362"/>
      <c r="ME92" s="362"/>
      <c r="MF92" s="362"/>
      <c r="MG92" s="362"/>
      <c r="MH92" s="362"/>
      <c r="MI92" s="362"/>
      <c r="MJ92" s="362"/>
      <c r="MK92" s="362"/>
      <c r="ML92" s="362"/>
      <c r="MM92" s="362"/>
      <c r="MN92" s="362"/>
      <c r="MO92" s="362"/>
      <c r="MP92" s="362"/>
      <c r="MQ92" s="362"/>
      <c r="MR92" s="362"/>
      <c r="MS92" s="362"/>
      <c r="MT92" s="362"/>
      <c r="MU92" s="362"/>
      <c r="MV92" s="362"/>
      <c r="MW92" s="362"/>
      <c r="MX92" s="362"/>
      <c r="MY92" s="362"/>
      <c r="MZ92" s="362"/>
      <c r="NA92" s="362"/>
      <c r="NB92" s="362"/>
      <c r="NC92" s="362"/>
      <c r="ND92" s="362"/>
      <c r="NE92" s="362"/>
      <c r="NF92" s="362"/>
      <c r="NG92" s="362"/>
      <c r="NH92" s="362"/>
      <c r="NI92" s="362"/>
      <c r="NJ92" s="362"/>
      <c r="NK92" s="362"/>
      <c r="NL92" s="362"/>
      <c r="NM92" s="362"/>
      <c r="NN92" s="362"/>
      <c r="NO92" s="362"/>
      <c r="NP92" s="362"/>
      <c r="NQ92" s="362"/>
      <c r="NR92" s="362"/>
      <c r="NS92" s="362"/>
      <c r="NT92" s="362"/>
      <c r="NU92" s="362"/>
      <c r="NV92" s="362"/>
      <c r="NW92" s="362"/>
      <c r="NX92" s="362"/>
      <c r="NY92" s="362"/>
      <c r="NZ92" s="362"/>
      <c r="OA92" s="362"/>
      <c r="OB92" s="362"/>
      <c r="OC92" s="362"/>
      <c r="OD92" s="362"/>
      <c r="OE92" s="362"/>
      <c r="OF92" s="362"/>
      <c r="OG92" s="362"/>
      <c r="OH92" s="362"/>
      <c r="OI92" s="362"/>
      <c r="OJ92" s="362"/>
      <c r="OK92" s="362"/>
      <c r="OL92" s="362"/>
      <c r="OM92" s="362"/>
      <c r="ON92" s="362"/>
      <c r="OO92" s="362"/>
      <c r="OP92" s="362"/>
      <c r="OQ92" s="362"/>
      <c r="OR92" s="362"/>
      <c r="OS92" s="362"/>
      <c r="OT92" s="362"/>
      <c r="OU92" s="362"/>
      <c r="OV92" s="362"/>
      <c r="OW92" s="362"/>
      <c r="OX92" s="362"/>
      <c r="OY92" s="362"/>
      <c r="OZ92" s="362"/>
      <c r="PA92" s="362"/>
      <c r="PB92" s="362"/>
      <c r="PC92" s="362"/>
      <c r="PD92" s="362"/>
      <c r="PE92" s="362"/>
      <c r="PF92" s="362"/>
      <c r="PG92" s="362"/>
      <c r="PH92" s="362"/>
      <c r="PI92" s="362"/>
      <c r="PJ92" s="362"/>
      <c r="PK92" s="362"/>
      <c r="PL92" s="362"/>
      <c r="PM92" s="362"/>
      <c r="PN92" s="362"/>
      <c r="PO92" s="362"/>
      <c r="PP92" s="362"/>
      <c r="PQ92" s="362"/>
      <c r="PR92" s="362"/>
      <c r="PS92" s="362"/>
      <c r="PT92" s="362"/>
      <c r="PU92" s="362"/>
      <c r="PV92" s="362"/>
      <c r="PW92" s="362"/>
      <c r="PX92" s="362"/>
      <c r="PY92" s="362"/>
      <c r="PZ92" s="362"/>
      <c r="QA92" s="362"/>
      <c r="QB92" s="362"/>
      <c r="QC92" s="362"/>
      <c r="QD92" s="362"/>
      <c r="QE92" s="362"/>
      <c r="QF92" s="362"/>
      <c r="QG92" s="362"/>
      <c r="QH92" s="362"/>
      <c r="QI92" s="362"/>
      <c r="QJ92" s="362"/>
      <c r="QK92" s="362"/>
      <c r="QL92" s="362"/>
      <c r="QM92" s="362"/>
      <c r="QN92" s="362"/>
      <c r="QO92" s="362"/>
      <c r="QP92" s="362"/>
      <c r="QQ92" s="362"/>
      <c r="QR92" s="362"/>
      <c r="QS92" s="362"/>
      <c r="QT92" s="362"/>
      <c r="QU92" s="362"/>
      <c r="QV92" s="362"/>
      <c r="QW92" s="362"/>
      <c r="QX92" s="362"/>
      <c r="QY92" s="362"/>
      <c r="QZ92" s="362"/>
      <c r="RA92" s="362"/>
      <c r="RB92" s="362"/>
      <c r="RC92" s="362"/>
      <c r="RD92" s="362"/>
      <c r="RE92" s="362"/>
      <c r="RF92" s="362"/>
      <c r="RG92" s="362"/>
      <c r="RH92" s="362"/>
      <c r="RI92" s="362"/>
      <c r="RJ92" s="362"/>
      <c r="RK92" s="362"/>
      <c r="RL92" s="362"/>
      <c r="RM92" s="362"/>
      <c r="RN92" s="362"/>
      <c r="RO92" s="362"/>
      <c r="RP92" s="362"/>
      <c r="RQ92" s="362"/>
      <c r="RR92" s="362"/>
      <c r="RS92" s="362"/>
      <c r="RT92" s="362"/>
      <c r="RU92" s="362"/>
      <c r="RV92" s="362"/>
      <c r="RW92" s="362"/>
      <c r="RX92" s="362"/>
      <c r="RY92" s="362"/>
      <c r="RZ92" s="362"/>
      <c r="SA92" s="362"/>
      <c r="SB92" s="362"/>
      <c r="SC92" s="362"/>
      <c r="SD92" s="362"/>
      <c r="SE92" s="362"/>
      <c r="SF92" s="362"/>
      <c r="SG92" s="362"/>
      <c r="SH92" s="362"/>
      <c r="SI92" s="362"/>
      <c r="SJ92" s="362"/>
      <c r="SK92" s="362"/>
      <c r="SL92" s="362"/>
      <c r="SM92" s="362"/>
      <c r="SN92" s="362"/>
      <c r="SO92" s="362"/>
      <c r="SP92" s="362"/>
      <c r="SQ92" s="362"/>
      <c r="SR92" s="362"/>
      <c r="SS92" s="362"/>
      <c r="ST92" s="362"/>
      <c r="SU92" s="362"/>
      <c r="SV92" s="362"/>
      <c r="SW92" s="362"/>
      <c r="SX92" s="362"/>
      <c r="SY92" s="362"/>
      <c r="SZ92" s="362"/>
      <c r="TA92" s="362"/>
      <c r="TB92" s="362"/>
      <c r="TC92" s="362"/>
      <c r="TD92" s="362"/>
      <c r="TE92" s="362"/>
      <c r="TF92" s="362"/>
      <c r="TG92" s="362"/>
      <c r="TH92" s="362"/>
      <c r="TI92" s="362"/>
      <c r="TJ92" s="362"/>
      <c r="TK92" s="362"/>
      <c r="TL92" s="362"/>
      <c r="TM92" s="362"/>
      <c r="TN92" s="362"/>
      <c r="TO92" s="362"/>
      <c r="TP92" s="362"/>
      <c r="TQ92" s="362"/>
      <c r="TR92" s="362"/>
      <c r="TS92" s="362"/>
      <c r="TT92" s="362"/>
      <c r="TU92" s="362"/>
      <c r="TV92" s="362"/>
      <c r="TW92" s="362"/>
      <c r="TX92" s="362"/>
      <c r="TY92" s="362"/>
      <c r="TZ92" s="362"/>
      <c r="UA92" s="362"/>
      <c r="UB92" s="362"/>
      <c r="UC92" s="362"/>
      <c r="UD92" s="362"/>
      <c r="UE92" s="362"/>
      <c r="UF92" s="362"/>
      <c r="UG92" s="362"/>
      <c r="UH92" s="362"/>
      <c r="UI92" s="362"/>
      <c r="UJ92" s="362"/>
      <c r="UK92" s="362"/>
      <c r="UL92" s="362"/>
      <c r="UM92" s="362"/>
      <c r="UN92" s="362"/>
      <c r="UO92" s="362"/>
      <c r="UP92" s="362"/>
      <c r="UQ92" s="362"/>
      <c r="UR92" s="362"/>
      <c r="US92" s="362"/>
      <c r="UT92" s="362"/>
      <c r="UU92" s="362"/>
      <c r="UV92" s="362"/>
      <c r="UW92" s="362"/>
      <c r="UX92" s="362"/>
      <c r="UY92" s="362"/>
      <c r="UZ92" s="362"/>
      <c r="VA92" s="362"/>
      <c r="VB92" s="362"/>
      <c r="VC92" s="362"/>
      <c r="VD92" s="362"/>
      <c r="VE92" s="362"/>
      <c r="VF92" s="362"/>
      <c r="VG92" s="362"/>
      <c r="VH92" s="362"/>
      <c r="VI92" s="362"/>
      <c r="VJ92" s="362"/>
      <c r="VK92" s="362"/>
      <c r="VL92" s="362"/>
      <c r="VM92" s="362"/>
      <c r="VN92" s="362"/>
      <c r="VO92" s="362"/>
      <c r="VP92" s="362"/>
      <c r="VQ92" s="362"/>
      <c r="VR92" s="362"/>
      <c r="VS92" s="362"/>
      <c r="VT92" s="362"/>
      <c r="VU92" s="362"/>
      <c r="VV92" s="362"/>
      <c r="VW92" s="362"/>
      <c r="VX92" s="362"/>
      <c r="VY92" s="362"/>
      <c r="VZ92" s="362"/>
      <c r="WA92" s="362"/>
      <c r="WB92" s="362"/>
      <c r="WC92" s="362"/>
      <c r="WD92" s="362"/>
      <c r="WE92" s="362"/>
      <c r="WF92" s="362"/>
      <c r="WG92" s="362"/>
      <c r="WH92" s="362"/>
      <c r="WI92" s="362"/>
      <c r="WJ92" s="362"/>
      <c r="WK92" s="362"/>
      <c r="WL92" s="362"/>
      <c r="WM92" s="362"/>
      <c r="WN92" s="362"/>
      <c r="WO92" s="362"/>
      <c r="WP92" s="362"/>
      <c r="WQ92" s="362"/>
      <c r="WR92" s="362"/>
      <c r="WS92" s="362"/>
      <c r="WT92" s="362"/>
      <c r="WU92" s="362"/>
      <c r="WV92" s="362"/>
      <c r="WW92" s="362"/>
      <c r="WX92" s="362"/>
      <c r="WY92" s="362"/>
      <c r="WZ92" s="362"/>
      <c r="XA92" s="362"/>
      <c r="XB92" s="362"/>
      <c r="XC92" s="362"/>
      <c r="XD92" s="362"/>
      <c r="XE92" s="362"/>
      <c r="XF92" s="362"/>
      <c r="XG92" s="362"/>
      <c r="XH92" s="362"/>
      <c r="XI92" s="362"/>
      <c r="XJ92" s="362"/>
      <c r="XK92" s="362"/>
      <c r="XL92" s="362"/>
      <c r="XM92" s="362"/>
      <c r="XN92" s="362"/>
      <c r="XO92" s="362"/>
      <c r="XP92" s="362"/>
      <c r="XQ92" s="362"/>
      <c r="XR92" s="362"/>
      <c r="XS92" s="362"/>
      <c r="XT92" s="362"/>
      <c r="XU92" s="362"/>
      <c r="XV92" s="362"/>
      <c r="XW92" s="362"/>
      <c r="XX92" s="362"/>
      <c r="XY92" s="362"/>
      <c r="XZ92" s="362"/>
      <c r="YA92" s="362"/>
      <c r="YB92" s="362"/>
      <c r="YC92" s="362"/>
      <c r="YD92" s="362"/>
      <c r="YE92" s="362"/>
      <c r="YF92" s="362"/>
      <c r="YG92" s="362"/>
      <c r="YH92" s="362"/>
      <c r="YI92" s="362"/>
      <c r="YJ92" s="362"/>
      <c r="YK92" s="362"/>
      <c r="YL92" s="362"/>
      <c r="YM92" s="362"/>
      <c r="YN92" s="362"/>
      <c r="YO92" s="362"/>
      <c r="YP92" s="362"/>
      <c r="YQ92" s="362"/>
      <c r="YR92" s="362"/>
      <c r="YS92" s="362"/>
      <c r="YT92" s="362"/>
      <c r="YU92" s="362"/>
      <c r="YV92" s="362"/>
      <c r="YW92" s="362"/>
      <c r="YX92" s="362"/>
      <c r="YY92" s="362"/>
      <c r="YZ92" s="362"/>
      <c r="ZA92" s="362"/>
      <c r="ZB92" s="362"/>
      <c r="ZC92" s="362"/>
      <c r="ZD92" s="362"/>
      <c r="ZE92" s="362"/>
      <c r="ZF92" s="362"/>
      <c r="ZG92" s="362"/>
      <c r="ZH92" s="362"/>
      <c r="ZI92" s="362"/>
      <c r="ZJ92" s="362"/>
      <c r="ZK92" s="362"/>
      <c r="ZL92" s="362"/>
      <c r="ZM92" s="362"/>
      <c r="ZN92" s="362"/>
      <c r="ZO92" s="362"/>
      <c r="ZP92" s="362"/>
      <c r="ZQ92" s="362"/>
      <c r="ZR92" s="362"/>
      <c r="ZS92" s="362"/>
      <c r="ZT92" s="362"/>
      <c r="ZU92" s="362"/>
      <c r="ZV92" s="362"/>
      <c r="ZW92" s="362"/>
      <c r="ZX92" s="362"/>
      <c r="ZY92" s="362"/>
      <c r="ZZ92" s="362"/>
      <c r="AAA92" s="362"/>
      <c r="AAB92" s="362"/>
      <c r="AAC92" s="362"/>
      <c r="AAD92" s="362"/>
      <c r="AAE92" s="362"/>
      <c r="AAF92" s="362"/>
      <c r="AAG92" s="362"/>
      <c r="AAH92" s="362"/>
      <c r="AAI92" s="362"/>
      <c r="AAJ92" s="362"/>
      <c r="AAK92" s="362"/>
      <c r="AAL92" s="362"/>
      <c r="AAM92" s="362"/>
      <c r="AAN92" s="362"/>
      <c r="AAO92" s="362"/>
      <c r="AAP92" s="362"/>
      <c r="AAQ92" s="362"/>
      <c r="AAR92" s="362"/>
      <c r="AAS92" s="362"/>
      <c r="AAT92" s="362"/>
      <c r="AAU92" s="362"/>
      <c r="AAV92" s="362"/>
      <c r="AAW92" s="362"/>
      <c r="AAX92" s="362"/>
      <c r="AAY92" s="362"/>
      <c r="AAZ92" s="362"/>
      <c r="ABA92" s="362"/>
      <c r="ABB92" s="362"/>
      <c r="ABC92" s="362"/>
      <c r="ABD92" s="362"/>
      <c r="ABE92" s="362"/>
      <c r="ABF92" s="362"/>
      <c r="ABG92" s="362"/>
      <c r="ABH92" s="362"/>
      <c r="ABI92" s="362"/>
      <c r="ABJ92" s="362"/>
      <c r="ABK92" s="362"/>
      <c r="ABL92" s="362"/>
      <c r="ABM92" s="362"/>
      <c r="ABN92" s="362"/>
      <c r="ABO92" s="362"/>
      <c r="ABP92" s="362"/>
      <c r="ABQ92" s="362"/>
      <c r="ABR92" s="362"/>
      <c r="ABS92" s="362"/>
      <c r="ABT92" s="362"/>
      <c r="ABU92" s="362"/>
      <c r="ABV92" s="362"/>
      <c r="ABW92" s="362"/>
      <c r="ABX92" s="362"/>
      <c r="ABY92" s="362"/>
      <c r="ABZ92" s="362"/>
      <c r="ACA92" s="362"/>
      <c r="ACB92" s="362"/>
      <c r="ACC92" s="362"/>
      <c r="ACD92" s="362"/>
      <c r="ACE92" s="362"/>
      <c r="ACF92" s="362"/>
      <c r="ACG92" s="362"/>
      <c r="ACH92" s="362"/>
      <c r="ACI92" s="362"/>
      <c r="ACJ92" s="362"/>
      <c r="ACK92" s="362"/>
      <c r="ACL92" s="362"/>
      <c r="ACM92" s="362"/>
      <c r="ACN92" s="362"/>
      <c r="ACO92" s="362"/>
      <c r="ACP92" s="362"/>
      <c r="ACQ92" s="362"/>
      <c r="ACR92" s="362"/>
      <c r="ACS92" s="362"/>
      <c r="ACT92" s="362"/>
      <c r="ACU92" s="362"/>
      <c r="ACV92" s="362"/>
      <c r="ACW92" s="362"/>
      <c r="ACX92" s="362"/>
      <c r="ACY92" s="362"/>
      <c r="ACZ92" s="362"/>
      <c r="ADA92" s="362"/>
      <c r="ADB92" s="362"/>
      <c r="ADC92" s="362"/>
      <c r="ADD92" s="362"/>
      <c r="ADE92" s="362"/>
      <c r="ADF92" s="362"/>
      <c r="ADG92" s="362"/>
      <c r="ADH92" s="362"/>
      <c r="ADI92" s="362"/>
      <c r="ADJ92" s="362"/>
      <c r="ADK92" s="362"/>
      <c r="ADL92" s="362"/>
      <c r="ADM92" s="362"/>
      <c r="ADN92" s="362"/>
      <c r="ADO92" s="362"/>
      <c r="ADP92" s="362"/>
      <c r="ADQ92" s="362"/>
      <c r="ADR92" s="362"/>
      <c r="ADS92" s="362"/>
      <c r="ADT92" s="362"/>
      <c r="ADU92" s="362"/>
      <c r="ADV92" s="362"/>
      <c r="ADW92" s="362"/>
      <c r="ADX92" s="362"/>
      <c r="ADY92" s="362"/>
      <c r="ADZ92" s="362"/>
      <c r="AEA92" s="362"/>
      <c r="AEB92" s="362"/>
      <c r="AEC92" s="362"/>
      <c r="AED92" s="362"/>
      <c r="AEE92" s="362"/>
      <c r="AEF92" s="362"/>
      <c r="AEG92" s="362"/>
      <c r="AEH92" s="362"/>
      <c r="AEI92" s="362"/>
      <c r="AEJ92" s="362"/>
      <c r="AEK92" s="362"/>
      <c r="AEL92" s="362"/>
      <c r="AEM92" s="362"/>
      <c r="AEN92" s="362"/>
      <c r="AEO92" s="362"/>
      <c r="AEP92" s="362"/>
      <c r="AEQ92" s="362"/>
      <c r="AER92" s="362"/>
      <c r="AES92" s="362"/>
      <c r="AET92" s="362"/>
      <c r="AEU92" s="362"/>
      <c r="AEV92" s="362"/>
      <c r="AEW92" s="362"/>
      <c r="AEX92" s="362"/>
      <c r="AEY92" s="362"/>
      <c r="AEZ92" s="362"/>
      <c r="AFA92" s="362"/>
      <c r="AFB92" s="362"/>
      <c r="AFC92" s="362"/>
      <c r="AFD92" s="362"/>
      <c r="AFE92" s="362"/>
      <c r="AFF92" s="362"/>
      <c r="AFG92" s="362"/>
      <c r="AFH92" s="362"/>
      <c r="AFI92" s="362"/>
      <c r="AFJ92" s="362"/>
      <c r="AFK92" s="362"/>
      <c r="AFL92" s="362"/>
      <c r="AFM92" s="362"/>
      <c r="AFN92" s="362"/>
      <c r="AFO92" s="362"/>
      <c r="AFP92" s="362"/>
      <c r="AFQ92" s="362"/>
      <c r="AFR92" s="362"/>
      <c r="AFS92" s="362"/>
      <c r="AFT92" s="362"/>
      <c r="AFU92" s="362"/>
      <c r="AFV92" s="362"/>
      <c r="AFW92" s="362"/>
      <c r="AFX92" s="362"/>
      <c r="AFY92" s="362"/>
      <c r="AFZ92" s="362"/>
      <c r="AGA92" s="362"/>
      <c r="AGB92" s="362"/>
      <c r="AGC92" s="362"/>
      <c r="AGD92" s="362"/>
      <c r="AGE92" s="362"/>
      <c r="AGF92" s="362"/>
      <c r="AGG92" s="362"/>
      <c r="AGH92" s="362"/>
      <c r="AGI92" s="362"/>
      <c r="AGJ92" s="362"/>
      <c r="AGK92" s="362"/>
      <c r="AGL92" s="362"/>
      <c r="AGM92" s="362"/>
      <c r="AGN92" s="362"/>
      <c r="AGO92" s="362"/>
      <c r="AGP92" s="362"/>
      <c r="AGQ92" s="362"/>
      <c r="AGR92" s="362"/>
      <c r="AGS92" s="362"/>
      <c r="AGT92" s="362"/>
      <c r="AGU92" s="362"/>
      <c r="AGV92" s="362"/>
      <c r="AGW92" s="362"/>
      <c r="AGX92" s="362"/>
      <c r="AGY92" s="362"/>
      <c r="AGZ92" s="362"/>
      <c r="AHA92" s="362"/>
      <c r="AHB92" s="362"/>
      <c r="AHC92" s="362"/>
      <c r="AHD92" s="362"/>
      <c r="AHE92" s="362"/>
      <c r="AHF92" s="362"/>
      <c r="AHG92" s="362"/>
      <c r="AHH92" s="362"/>
      <c r="AHI92" s="362"/>
      <c r="AHJ92" s="362"/>
      <c r="AHK92" s="362"/>
      <c r="AHL92" s="362"/>
      <c r="AHM92" s="362"/>
      <c r="AHN92" s="362"/>
      <c r="AHO92" s="362"/>
      <c r="AHP92" s="362"/>
      <c r="AHQ92" s="362"/>
      <c r="AHR92" s="362"/>
      <c r="AHS92" s="362"/>
      <c r="AHT92" s="362"/>
      <c r="AHU92" s="362"/>
      <c r="AHV92" s="362"/>
      <c r="AHW92" s="362"/>
      <c r="AHX92" s="362"/>
      <c r="AHY92" s="362"/>
      <c r="AHZ92" s="362"/>
      <c r="AIA92" s="362"/>
      <c r="AIB92" s="362"/>
      <c r="AIC92" s="362"/>
      <c r="AID92" s="362"/>
      <c r="AIE92" s="362"/>
      <c r="AIF92" s="362"/>
      <c r="AIG92" s="362"/>
      <c r="AIH92" s="362"/>
      <c r="AII92" s="362"/>
      <c r="AIJ92" s="362"/>
      <c r="AIK92" s="362"/>
      <c r="AIL92" s="362"/>
      <c r="AIM92" s="362"/>
      <c r="AIN92" s="362"/>
      <c r="AIO92" s="362"/>
      <c r="AIP92" s="362"/>
      <c r="AIQ92" s="362"/>
      <c r="AIR92" s="362"/>
      <c r="AIS92" s="362"/>
      <c r="AIT92" s="362"/>
      <c r="AIU92" s="362"/>
      <c r="AIV92" s="362"/>
      <c r="AIW92" s="362"/>
      <c r="AIX92" s="362"/>
      <c r="AIY92" s="362"/>
      <c r="AIZ92" s="362"/>
      <c r="AJA92" s="362"/>
      <c r="AJB92" s="362"/>
      <c r="AJC92" s="362"/>
      <c r="AJD92" s="362"/>
      <c r="AJE92" s="362"/>
      <c r="AJF92" s="362"/>
      <c r="AJG92" s="362"/>
      <c r="AJH92" s="362"/>
      <c r="AJI92" s="362"/>
      <c r="AJJ92" s="362"/>
      <c r="AJK92" s="362"/>
      <c r="AJL92" s="362"/>
      <c r="AJM92" s="362"/>
      <c r="AJN92" s="362"/>
      <c r="AJO92" s="362"/>
      <c r="AJP92" s="362"/>
      <c r="AJQ92" s="362"/>
      <c r="AJR92" s="362"/>
      <c r="AJS92" s="362"/>
      <c r="AJT92" s="362"/>
      <c r="AJU92" s="362"/>
      <c r="AJV92" s="362"/>
      <c r="AJW92" s="362"/>
      <c r="AJX92" s="362"/>
      <c r="AJY92" s="362"/>
      <c r="AJZ92" s="362"/>
      <c r="AKA92" s="362"/>
      <c r="AKB92" s="362"/>
      <c r="AKC92" s="362"/>
      <c r="AKD92" s="362"/>
      <c r="AKE92" s="362"/>
      <c r="AKF92" s="362"/>
      <c r="AKG92" s="362"/>
      <c r="AKH92" s="362"/>
      <c r="AKI92" s="362"/>
      <c r="AKJ92" s="362"/>
      <c r="AKK92" s="362"/>
      <c r="AKL92" s="362"/>
      <c r="AKM92" s="362"/>
      <c r="AKN92" s="362"/>
      <c r="AKO92" s="362"/>
      <c r="AKP92" s="362"/>
      <c r="AKQ92" s="362"/>
      <c r="AKR92" s="362"/>
      <c r="AKS92" s="362"/>
      <c r="AKT92" s="362"/>
      <c r="AKU92" s="362"/>
      <c r="AKV92" s="362"/>
      <c r="AKW92" s="362"/>
      <c r="AKX92" s="362"/>
      <c r="AKY92" s="362"/>
      <c r="AKZ92" s="362"/>
      <c r="ALA92" s="362"/>
      <c r="ALB92" s="362"/>
      <c r="ALC92" s="362"/>
      <c r="ALD92" s="362"/>
      <c r="ALE92" s="362"/>
      <c r="ALF92" s="362"/>
      <c r="ALG92" s="362"/>
      <c r="ALH92" s="362"/>
      <c r="ALI92" s="362"/>
      <c r="ALJ92" s="362"/>
      <c r="ALK92" s="362"/>
      <c r="ALL92" s="362"/>
      <c r="ALM92" s="362"/>
      <c r="ALN92" s="362"/>
      <c r="ALO92" s="362"/>
      <c r="ALP92" s="362"/>
      <c r="ALQ92" s="362"/>
      <c r="ALR92" s="362"/>
      <c r="ALS92" s="362"/>
      <c r="ALT92" s="362"/>
      <c r="ALU92" s="362"/>
      <c r="ALV92" s="362"/>
      <c r="ALW92" s="362"/>
      <c r="ALX92" s="362"/>
      <c r="ALY92" s="362"/>
      <c r="ALZ92" s="362"/>
      <c r="AMA92" s="362"/>
      <c r="AMB92" s="362"/>
      <c r="AMC92" s="362"/>
      <c r="AMD92" s="362"/>
      <c r="AME92" s="362"/>
      <c r="AMF92" s="362"/>
      <c r="AMG92" s="362"/>
      <c r="AMH92" s="362"/>
      <c r="AMI92" s="362"/>
      <c r="AMJ92" s="362"/>
      <c r="AMK92" s="362"/>
      <c r="AML92" s="362"/>
      <c r="AMM92" s="362"/>
      <c r="AMN92" s="362"/>
      <c r="AMO92" s="362"/>
      <c r="AMP92" s="362"/>
      <c r="AMQ92" s="362"/>
      <c r="AMR92" s="362"/>
      <c r="AMS92" s="362"/>
      <c r="AMT92" s="362"/>
      <c r="AMU92" s="362"/>
      <c r="AMV92" s="362"/>
      <c r="AMW92" s="362"/>
      <c r="AMX92" s="362"/>
      <c r="AMY92" s="362"/>
      <c r="AMZ92" s="362"/>
      <c r="ANA92" s="362"/>
      <c r="ANB92" s="362"/>
      <c r="ANC92" s="362"/>
      <c r="AND92" s="362"/>
      <c r="ANE92" s="362"/>
      <c r="ANF92" s="362"/>
      <c r="ANG92" s="362"/>
      <c r="ANH92" s="362"/>
      <c r="ANI92" s="362"/>
      <c r="ANJ92" s="362"/>
      <c r="ANK92" s="362"/>
      <c r="ANL92" s="362"/>
      <c r="ANM92" s="362"/>
      <c r="ANN92" s="362"/>
      <c r="ANO92" s="362"/>
      <c r="ANP92" s="362"/>
      <c r="ANQ92" s="362"/>
      <c r="ANR92" s="362"/>
      <c r="ANS92" s="362"/>
      <c r="ANT92" s="362"/>
      <c r="ANU92" s="362"/>
      <c r="ANV92" s="362"/>
      <c r="ANW92" s="362"/>
      <c r="ANX92" s="362"/>
      <c r="ANY92" s="362"/>
      <c r="ANZ92" s="362"/>
      <c r="AOA92" s="362"/>
      <c r="AOB92" s="362"/>
      <c r="AOC92" s="362"/>
      <c r="AOD92" s="362"/>
      <c r="AOE92" s="362"/>
      <c r="AOF92" s="362"/>
      <c r="AOG92" s="362"/>
      <c r="AOH92" s="362"/>
      <c r="AOI92" s="362"/>
      <c r="AOJ92" s="362"/>
      <c r="AOK92" s="362"/>
      <c r="AOL92" s="362"/>
      <c r="AOM92" s="362"/>
      <c r="AON92" s="362"/>
      <c r="AOO92" s="362"/>
      <c r="AOP92" s="362"/>
      <c r="AOQ92" s="362"/>
      <c r="AOR92" s="362"/>
      <c r="AOS92" s="362"/>
      <c r="AOT92" s="362"/>
      <c r="AOU92" s="362"/>
      <c r="AOV92" s="362"/>
      <c r="AOW92" s="362"/>
      <c r="AOX92" s="362"/>
      <c r="AOY92" s="362"/>
      <c r="AOZ92" s="362"/>
      <c r="APA92" s="362"/>
      <c r="APB92" s="362"/>
      <c r="APC92" s="362"/>
      <c r="APD92" s="362"/>
      <c r="APE92" s="362"/>
      <c r="APF92" s="362"/>
      <c r="APG92" s="362"/>
      <c r="APH92" s="362"/>
      <c r="API92" s="362"/>
      <c r="APJ92" s="362"/>
      <c r="APK92" s="362"/>
      <c r="APL92" s="362"/>
      <c r="APM92" s="362"/>
      <c r="APN92" s="362"/>
      <c r="APO92" s="362"/>
      <c r="APP92" s="362"/>
      <c r="APQ92" s="362"/>
      <c r="APR92" s="362"/>
      <c r="APS92" s="362"/>
      <c r="APT92" s="362"/>
      <c r="APU92" s="362"/>
      <c r="APV92" s="362"/>
      <c r="APW92" s="362"/>
      <c r="APX92" s="362"/>
      <c r="APY92" s="362"/>
      <c r="APZ92" s="362"/>
      <c r="AQA92" s="362"/>
      <c r="AQB92" s="362"/>
      <c r="AQC92" s="362"/>
      <c r="AQD92" s="362"/>
      <c r="AQE92" s="362"/>
      <c r="AQF92" s="362"/>
      <c r="AQG92" s="362"/>
      <c r="AQH92" s="362"/>
      <c r="AQI92" s="362"/>
      <c r="AQJ92" s="362"/>
      <c r="AQK92" s="362"/>
      <c r="AQL92" s="362"/>
      <c r="AQM92" s="362"/>
      <c r="AQN92" s="362"/>
      <c r="AQO92" s="362"/>
      <c r="AQP92" s="362"/>
      <c r="AQQ92" s="362"/>
      <c r="AQR92" s="362"/>
      <c r="AQS92" s="362"/>
      <c r="AQT92" s="362"/>
      <c r="AQU92" s="362"/>
      <c r="AQV92" s="362"/>
      <c r="AQW92" s="362"/>
      <c r="AQX92" s="362"/>
      <c r="AQY92" s="362"/>
      <c r="AQZ92" s="362"/>
      <c r="ARA92" s="362"/>
      <c r="ARB92" s="362"/>
      <c r="ARC92" s="362"/>
      <c r="ARD92" s="362"/>
      <c r="ARE92" s="362"/>
      <c r="ARF92" s="362"/>
      <c r="ARG92" s="362"/>
      <c r="ARH92" s="362"/>
      <c r="ARI92" s="362"/>
      <c r="ARJ92" s="362"/>
      <c r="ARK92" s="362"/>
      <c r="ARL92" s="362"/>
      <c r="ARM92" s="362"/>
      <c r="ARN92" s="362"/>
      <c r="ARO92" s="362"/>
      <c r="ARP92" s="362"/>
      <c r="ARQ92" s="362"/>
      <c r="ARR92" s="362"/>
      <c r="ARS92" s="362"/>
      <c r="ART92" s="362"/>
      <c r="ARU92" s="362"/>
      <c r="ARV92" s="362"/>
      <c r="ARW92" s="362"/>
      <c r="ARX92" s="362"/>
      <c r="ARY92" s="362"/>
      <c r="ARZ92" s="362"/>
      <c r="ASA92" s="362"/>
      <c r="ASB92" s="362"/>
      <c r="ASC92" s="362"/>
      <c r="ASD92" s="362"/>
      <c r="ASE92" s="362"/>
      <c r="ASF92" s="362"/>
      <c r="ASG92" s="362"/>
      <c r="ASH92" s="362"/>
      <c r="ASI92" s="362"/>
      <c r="ASJ92" s="362"/>
      <c r="ASK92" s="362"/>
      <c r="ASL92" s="362"/>
      <c r="ASM92" s="362"/>
      <c r="ASN92" s="362"/>
      <c r="ASO92" s="362"/>
      <c r="ASP92" s="362"/>
      <c r="ASQ92" s="362"/>
      <c r="ASR92" s="362"/>
      <c r="ASS92" s="362"/>
      <c r="AST92" s="362"/>
      <c r="ASU92" s="362"/>
      <c r="ASV92" s="362"/>
      <c r="ASW92" s="362"/>
      <c r="ASX92" s="362"/>
      <c r="ASY92" s="362"/>
      <c r="ASZ92" s="362"/>
      <c r="ATA92" s="362"/>
      <c r="ATB92" s="362"/>
      <c r="ATC92" s="362"/>
      <c r="ATD92" s="362"/>
      <c r="ATE92" s="362"/>
      <c r="ATF92" s="362"/>
      <c r="ATG92" s="362"/>
      <c r="ATH92" s="362"/>
      <c r="ATI92" s="362"/>
      <c r="ATJ92" s="362"/>
      <c r="ATK92" s="362"/>
      <c r="ATL92" s="362"/>
      <c r="ATM92" s="362"/>
      <c r="ATN92" s="362"/>
      <c r="ATO92" s="362"/>
      <c r="ATP92" s="362"/>
      <c r="ATQ92" s="362"/>
      <c r="ATR92" s="362"/>
      <c r="ATS92" s="362"/>
      <c r="ATT92" s="362"/>
      <c r="ATU92" s="362"/>
      <c r="ATV92" s="362"/>
      <c r="ATW92" s="362"/>
      <c r="ATX92" s="362"/>
      <c r="ATY92" s="362"/>
      <c r="ATZ92" s="362"/>
      <c r="AUA92" s="362"/>
      <c r="AUB92" s="362"/>
      <c r="AUC92" s="362"/>
      <c r="AUD92" s="362"/>
      <c r="AUE92" s="362"/>
      <c r="AUF92" s="362"/>
      <c r="AUG92" s="362"/>
      <c r="AUH92" s="362"/>
      <c r="AUI92" s="362"/>
      <c r="AUJ92" s="362"/>
      <c r="AUK92" s="362"/>
      <c r="AUL92" s="362"/>
      <c r="AUM92" s="362"/>
      <c r="AUN92" s="362"/>
      <c r="AUO92" s="362"/>
      <c r="AUP92" s="362"/>
      <c r="AUQ92" s="362"/>
      <c r="AUR92" s="362"/>
      <c r="AUS92" s="362"/>
      <c r="AUT92" s="362"/>
      <c r="AUU92" s="362"/>
      <c r="AUV92" s="362"/>
      <c r="AUW92" s="362"/>
      <c r="AUX92" s="362"/>
      <c r="AUY92" s="362"/>
      <c r="AUZ92" s="362"/>
      <c r="AVA92" s="362"/>
      <c r="AVB92" s="362"/>
      <c r="AVC92" s="362"/>
      <c r="AVD92" s="362"/>
      <c r="AVE92" s="362"/>
      <c r="AVF92" s="362"/>
      <c r="AVG92" s="362"/>
      <c r="AVH92" s="362"/>
      <c r="AVI92" s="362"/>
      <c r="AVJ92" s="362"/>
      <c r="AVK92" s="362"/>
      <c r="AVL92" s="362"/>
      <c r="AVM92" s="362"/>
      <c r="AVN92" s="362"/>
      <c r="AVO92" s="362"/>
      <c r="AVP92" s="362"/>
      <c r="AVQ92" s="362"/>
      <c r="AVR92" s="362"/>
      <c r="AVS92" s="362"/>
      <c r="AVT92" s="362"/>
      <c r="AVU92" s="362"/>
      <c r="AVV92" s="362"/>
      <c r="AVW92" s="362"/>
      <c r="AVX92" s="362"/>
      <c r="AVY92" s="362"/>
      <c r="AVZ92" s="362"/>
      <c r="AWA92" s="362"/>
      <c r="AWB92" s="362"/>
      <c r="AWC92" s="362"/>
      <c r="AWD92" s="362"/>
      <c r="AWE92" s="362"/>
      <c r="AWF92" s="362"/>
      <c r="AWG92" s="362"/>
      <c r="AWH92" s="362"/>
      <c r="AWI92" s="362"/>
      <c r="AWJ92" s="362"/>
      <c r="AWK92" s="362"/>
      <c r="AWL92" s="362"/>
      <c r="AWM92" s="362"/>
      <c r="AWN92" s="362"/>
      <c r="AWO92" s="362"/>
      <c r="AWP92" s="362"/>
      <c r="AWQ92" s="362"/>
      <c r="AWR92" s="362"/>
      <c r="AWS92" s="362"/>
      <c r="AWT92" s="362"/>
      <c r="AWU92" s="362"/>
      <c r="AWV92" s="362"/>
      <c r="AWW92" s="362"/>
      <c r="AWX92" s="362"/>
      <c r="AWY92" s="362"/>
      <c r="AWZ92" s="362"/>
      <c r="AXA92" s="362"/>
      <c r="AXB92" s="362"/>
      <c r="AXC92" s="362"/>
      <c r="AXD92" s="362"/>
      <c r="AXE92" s="362"/>
      <c r="AXF92" s="362"/>
      <c r="AXG92" s="362"/>
      <c r="AXH92" s="362"/>
      <c r="AXI92" s="362"/>
      <c r="AXJ92" s="362"/>
      <c r="AXK92" s="362"/>
      <c r="AXL92" s="362"/>
      <c r="AXM92" s="362"/>
      <c r="AXN92" s="362"/>
      <c r="AXO92" s="362"/>
      <c r="AXP92" s="362"/>
      <c r="AXQ92" s="362"/>
      <c r="AXR92" s="362"/>
      <c r="AXS92" s="362"/>
      <c r="AXT92" s="362"/>
      <c r="AXU92" s="362"/>
      <c r="AXV92" s="362"/>
      <c r="AXW92" s="362"/>
      <c r="AXX92" s="362"/>
      <c r="AXY92" s="362"/>
      <c r="AXZ92" s="362"/>
      <c r="AYA92" s="362"/>
      <c r="AYB92" s="362"/>
      <c r="AYC92" s="362"/>
      <c r="AYD92" s="362"/>
      <c r="AYE92" s="362"/>
      <c r="AYF92" s="362"/>
      <c r="AYG92" s="362"/>
      <c r="AYH92" s="362"/>
      <c r="AYI92" s="362"/>
      <c r="AYJ92" s="362"/>
      <c r="AYK92" s="362"/>
      <c r="AYL92" s="362"/>
      <c r="AYM92" s="362"/>
      <c r="AYN92" s="362"/>
      <c r="AYO92" s="362"/>
      <c r="AYP92" s="362"/>
      <c r="AYQ92" s="362"/>
      <c r="AYR92" s="362"/>
      <c r="AYS92" s="362"/>
      <c r="AYT92" s="362"/>
      <c r="AYU92" s="362"/>
      <c r="AYV92" s="362"/>
      <c r="AYW92" s="362"/>
      <c r="AYX92" s="362"/>
      <c r="AYY92" s="362"/>
      <c r="AYZ92" s="362"/>
      <c r="AZA92" s="362"/>
      <c r="AZB92" s="362"/>
      <c r="AZC92" s="362"/>
      <c r="AZD92" s="362"/>
      <c r="AZE92" s="362"/>
      <c r="AZF92" s="362"/>
      <c r="AZG92" s="362"/>
      <c r="AZH92" s="362"/>
      <c r="AZI92" s="362"/>
      <c r="AZJ92" s="362"/>
      <c r="AZK92" s="362"/>
      <c r="AZL92" s="362"/>
      <c r="AZM92" s="362"/>
      <c r="AZN92" s="362"/>
      <c r="AZO92" s="362"/>
      <c r="AZP92" s="362"/>
      <c r="AZQ92" s="362"/>
      <c r="AZR92" s="362"/>
      <c r="AZS92" s="362"/>
      <c r="AZT92" s="362"/>
      <c r="AZU92" s="362"/>
      <c r="AZV92" s="362"/>
      <c r="AZW92" s="362"/>
      <c r="AZX92" s="362"/>
      <c r="AZY92" s="362"/>
      <c r="AZZ92" s="362"/>
      <c r="BAA92" s="362"/>
      <c r="BAB92" s="362"/>
      <c r="BAC92" s="362"/>
      <c r="BAD92" s="362"/>
      <c r="BAE92" s="362"/>
      <c r="BAF92" s="362"/>
      <c r="BAG92" s="362"/>
      <c r="BAH92" s="362"/>
      <c r="BAI92" s="362"/>
      <c r="BAJ92" s="362"/>
      <c r="BAK92" s="362"/>
      <c r="BAL92" s="362"/>
      <c r="BAM92" s="362"/>
      <c r="BAN92" s="362"/>
      <c r="BAO92" s="362"/>
      <c r="BAP92" s="362"/>
      <c r="BAQ92" s="362"/>
      <c r="BAR92" s="362"/>
      <c r="BAS92" s="362"/>
      <c r="BAT92" s="362"/>
      <c r="BAU92" s="362"/>
      <c r="BAV92" s="362"/>
      <c r="BAW92" s="362"/>
      <c r="BAX92" s="362"/>
      <c r="BAY92" s="362"/>
      <c r="BAZ92" s="362"/>
      <c r="BBA92" s="362"/>
      <c r="BBB92" s="362"/>
      <c r="BBC92" s="362"/>
      <c r="BBD92" s="362"/>
      <c r="BBE92" s="362"/>
      <c r="BBF92" s="362"/>
      <c r="BBG92" s="362"/>
      <c r="BBH92" s="362"/>
      <c r="BBI92" s="362"/>
      <c r="BBJ92" s="362"/>
      <c r="BBK92" s="362"/>
      <c r="BBL92" s="362"/>
      <c r="BBM92" s="362"/>
      <c r="BBN92" s="362"/>
      <c r="BBO92" s="362"/>
      <c r="BBP92" s="362"/>
      <c r="BBQ92" s="362"/>
      <c r="BBR92" s="362"/>
      <c r="BBS92" s="362"/>
      <c r="BBT92" s="362"/>
      <c r="BBU92" s="362"/>
      <c r="BBV92" s="362"/>
      <c r="BBW92" s="362"/>
      <c r="BBX92" s="362"/>
      <c r="BBY92" s="362"/>
      <c r="BBZ92" s="362"/>
      <c r="BCA92" s="362"/>
      <c r="BCB92" s="362"/>
      <c r="BCC92" s="362"/>
      <c r="BCD92" s="362"/>
      <c r="BCE92" s="362"/>
      <c r="BCF92" s="362"/>
      <c r="BCG92" s="362"/>
      <c r="BCH92" s="362"/>
      <c r="BCI92" s="362"/>
      <c r="BCJ92" s="362"/>
      <c r="BCK92" s="362"/>
      <c r="BCL92" s="362"/>
      <c r="BCM92" s="362"/>
      <c r="BCN92" s="362"/>
      <c r="BCO92" s="362"/>
      <c r="BCP92" s="362"/>
      <c r="BCQ92" s="362"/>
      <c r="BCR92" s="362"/>
      <c r="BCS92" s="362"/>
      <c r="BCT92" s="362"/>
      <c r="BCU92" s="362"/>
      <c r="BCV92" s="362"/>
      <c r="BCW92" s="362"/>
      <c r="BCX92" s="362"/>
      <c r="BCY92" s="362"/>
      <c r="BCZ92" s="362"/>
      <c r="BDA92" s="362"/>
      <c r="BDB92" s="362"/>
      <c r="BDC92" s="362"/>
      <c r="BDD92" s="362"/>
      <c r="BDE92" s="362"/>
      <c r="BDF92" s="362"/>
      <c r="BDG92" s="362"/>
      <c r="BDH92" s="362"/>
      <c r="BDI92" s="362"/>
      <c r="BDJ92" s="362"/>
      <c r="BDK92" s="362"/>
      <c r="BDL92" s="362"/>
      <c r="BDM92" s="362"/>
      <c r="BDN92" s="362"/>
      <c r="BDO92" s="362"/>
      <c r="BDP92" s="362"/>
      <c r="BDQ92" s="362"/>
      <c r="BDR92" s="362"/>
      <c r="BDS92" s="362"/>
      <c r="BDT92" s="362"/>
      <c r="BDU92" s="362"/>
      <c r="BDV92" s="362"/>
      <c r="BDW92" s="362"/>
      <c r="BDX92" s="362"/>
      <c r="BDY92" s="362"/>
      <c r="BDZ92" s="362"/>
      <c r="BEA92" s="362"/>
      <c r="BEB92" s="362"/>
      <c r="BEC92" s="362"/>
      <c r="BED92" s="362"/>
      <c r="BEE92" s="362"/>
      <c r="BEF92" s="362"/>
      <c r="BEG92" s="362"/>
      <c r="BEH92" s="362"/>
      <c r="BEI92" s="362"/>
      <c r="BEJ92" s="362"/>
      <c r="BEK92" s="362"/>
      <c r="BEL92" s="362"/>
      <c r="BEM92" s="362"/>
      <c r="BEN92" s="362"/>
      <c r="BEO92" s="362"/>
      <c r="BEP92" s="362"/>
      <c r="BEQ92" s="362"/>
      <c r="BER92" s="362"/>
      <c r="BES92" s="362"/>
      <c r="BET92" s="362"/>
      <c r="BEU92" s="362"/>
      <c r="BEV92" s="362"/>
      <c r="BEW92" s="362"/>
      <c r="BEX92" s="362"/>
      <c r="BEY92" s="362"/>
      <c r="BEZ92" s="362"/>
      <c r="BFA92" s="362"/>
      <c r="BFB92" s="362"/>
      <c r="BFC92" s="362"/>
      <c r="BFD92" s="362"/>
      <c r="BFE92" s="362"/>
      <c r="BFF92" s="362"/>
      <c r="BFG92" s="362"/>
      <c r="BFH92" s="362"/>
      <c r="BFI92" s="362"/>
      <c r="BFJ92" s="362"/>
      <c r="BFK92" s="362"/>
      <c r="BFL92" s="362"/>
      <c r="BFM92" s="362"/>
      <c r="BFN92" s="362"/>
      <c r="BFO92" s="362"/>
      <c r="BFP92" s="362"/>
      <c r="BFQ92" s="362"/>
      <c r="BFR92" s="362"/>
      <c r="BFS92" s="362"/>
      <c r="BFT92" s="362"/>
      <c r="BFU92" s="362"/>
      <c r="BFV92" s="362"/>
      <c r="BFW92" s="362"/>
      <c r="BFX92" s="362"/>
      <c r="BFY92" s="362"/>
      <c r="BFZ92" s="362"/>
      <c r="BGA92" s="362"/>
      <c r="BGB92" s="362"/>
      <c r="BGC92" s="362"/>
      <c r="BGD92" s="362"/>
      <c r="BGE92" s="362"/>
      <c r="BGF92" s="362"/>
      <c r="BGG92" s="362"/>
      <c r="BGH92" s="362"/>
      <c r="BGI92" s="362"/>
      <c r="BGJ92" s="362"/>
      <c r="BGK92" s="362"/>
      <c r="BGL92" s="362"/>
      <c r="BGM92" s="362"/>
      <c r="BGN92" s="362"/>
      <c r="BGO92" s="362"/>
      <c r="BGP92" s="362"/>
      <c r="BGQ92" s="362"/>
      <c r="BGR92" s="362"/>
      <c r="BGS92" s="362"/>
      <c r="BGT92" s="362"/>
      <c r="BGU92" s="362"/>
      <c r="BGV92" s="362"/>
      <c r="BGW92" s="362"/>
      <c r="BGX92" s="362"/>
      <c r="BGY92" s="362"/>
      <c r="BGZ92" s="362"/>
      <c r="BHA92" s="362"/>
      <c r="BHB92" s="362"/>
      <c r="BHC92" s="362"/>
      <c r="BHD92" s="362"/>
      <c r="BHE92" s="362"/>
      <c r="BHF92" s="362"/>
      <c r="BHG92" s="362"/>
      <c r="BHH92" s="362"/>
      <c r="BHI92" s="362"/>
      <c r="BHJ92" s="362"/>
      <c r="BHK92" s="362"/>
      <c r="BHL92" s="362"/>
      <c r="BHM92" s="362"/>
      <c r="BHN92" s="362"/>
      <c r="BHO92" s="362"/>
      <c r="BHP92" s="362"/>
      <c r="BHQ92" s="362"/>
      <c r="BHR92" s="362"/>
      <c r="BHS92" s="362"/>
      <c r="BHT92" s="362"/>
      <c r="BHU92" s="362"/>
      <c r="BHV92" s="362"/>
      <c r="BHW92" s="362"/>
      <c r="BHX92" s="362"/>
      <c r="BHY92" s="362"/>
      <c r="BHZ92" s="362"/>
      <c r="BIA92" s="362"/>
      <c r="BIB92" s="362"/>
      <c r="BIC92" s="362"/>
      <c r="BID92" s="362"/>
      <c r="BIE92" s="362"/>
      <c r="BIF92" s="362"/>
      <c r="BIG92" s="362"/>
      <c r="BIH92" s="362"/>
      <c r="BII92" s="362"/>
      <c r="BIJ92" s="362"/>
      <c r="BIK92" s="362"/>
      <c r="BIL92" s="362"/>
      <c r="BIM92" s="362"/>
      <c r="BIN92" s="362"/>
      <c r="BIO92" s="362"/>
      <c r="BIP92" s="362"/>
      <c r="BIQ92" s="362"/>
      <c r="BIR92" s="362"/>
      <c r="BIS92" s="362"/>
      <c r="BIT92" s="362"/>
      <c r="BIU92" s="362"/>
      <c r="BIV92" s="362"/>
      <c r="BIW92" s="362"/>
      <c r="BIX92" s="362"/>
      <c r="BIY92" s="362"/>
      <c r="BIZ92" s="362"/>
      <c r="BJA92" s="362"/>
      <c r="BJB92" s="362"/>
      <c r="BJC92" s="362"/>
      <c r="BJD92" s="362"/>
      <c r="BJE92" s="362"/>
      <c r="BJF92" s="362"/>
      <c r="BJG92" s="362"/>
      <c r="BJH92" s="362"/>
      <c r="BJI92" s="362"/>
      <c r="BJJ92" s="362"/>
      <c r="BJK92" s="362"/>
      <c r="BJL92" s="362"/>
      <c r="BJM92" s="362"/>
      <c r="BJN92" s="362"/>
      <c r="BJO92" s="362"/>
      <c r="BJP92" s="362"/>
      <c r="BJQ92" s="362"/>
      <c r="BJR92" s="362"/>
      <c r="BJS92" s="362"/>
      <c r="BJT92" s="362"/>
      <c r="BJU92" s="362"/>
      <c r="BJV92" s="362"/>
      <c r="BJW92" s="362"/>
      <c r="BJX92" s="362"/>
      <c r="BJY92" s="362"/>
      <c r="BJZ92" s="362"/>
      <c r="BKA92" s="362"/>
      <c r="BKB92" s="362"/>
      <c r="BKC92" s="362"/>
      <c r="BKD92" s="362"/>
      <c r="BKE92" s="362"/>
      <c r="BKF92" s="362"/>
      <c r="BKG92" s="362"/>
      <c r="BKH92" s="362"/>
      <c r="BKI92" s="362"/>
      <c r="BKJ92" s="362"/>
      <c r="BKK92" s="362"/>
      <c r="BKL92" s="362"/>
      <c r="BKM92" s="362"/>
      <c r="BKN92" s="362"/>
      <c r="BKO92" s="362"/>
      <c r="BKP92" s="362"/>
      <c r="BKQ92" s="362"/>
      <c r="BKR92" s="362"/>
      <c r="BKS92" s="362"/>
      <c r="BKT92" s="362"/>
      <c r="BKU92" s="362"/>
      <c r="BKV92" s="362"/>
      <c r="BKW92" s="362"/>
      <c r="BKX92" s="362"/>
      <c r="BKY92" s="362"/>
      <c r="BKZ92" s="362"/>
      <c r="BLA92" s="362"/>
      <c r="BLB92" s="362"/>
      <c r="BLC92" s="362"/>
      <c r="BLD92" s="362"/>
      <c r="BLE92" s="362"/>
      <c r="BLF92" s="362"/>
      <c r="BLG92" s="362"/>
      <c r="BLH92" s="362"/>
      <c r="BLI92" s="362"/>
      <c r="BLJ92" s="362"/>
      <c r="BLK92" s="362"/>
      <c r="BLL92" s="362"/>
      <c r="BLM92" s="362"/>
      <c r="BLN92" s="362"/>
      <c r="BLO92" s="362"/>
      <c r="BLP92" s="362"/>
      <c r="BLQ92" s="362"/>
      <c r="BLR92" s="362"/>
      <c r="BLS92" s="362"/>
      <c r="BLT92" s="362"/>
      <c r="BLU92" s="362"/>
      <c r="BLV92" s="362"/>
      <c r="BLW92" s="362"/>
      <c r="BLX92" s="362"/>
      <c r="BLY92" s="362"/>
      <c r="BLZ92" s="362"/>
      <c r="BMA92" s="362"/>
      <c r="BMB92" s="362"/>
      <c r="BMC92" s="362"/>
      <c r="BMD92" s="362"/>
      <c r="BME92" s="362"/>
      <c r="BMF92" s="362"/>
      <c r="BMG92" s="362"/>
      <c r="BMH92" s="362"/>
      <c r="BMI92" s="362"/>
      <c r="BMJ92" s="362"/>
      <c r="BMK92" s="362"/>
      <c r="BML92" s="362"/>
      <c r="BMM92" s="362"/>
      <c r="BMN92" s="362"/>
      <c r="BMO92" s="362"/>
      <c r="BMP92" s="362"/>
      <c r="BMQ92" s="362"/>
      <c r="BMR92" s="362"/>
      <c r="BMS92" s="362"/>
      <c r="BMT92" s="362"/>
      <c r="BMU92" s="362"/>
      <c r="BMV92" s="362"/>
      <c r="BMW92" s="362"/>
      <c r="BMX92" s="362"/>
      <c r="BMY92" s="362"/>
      <c r="BMZ92" s="362"/>
      <c r="BNA92" s="362"/>
      <c r="BNB92" s="362"/>
      <c r="BNC92" s="362"/>
      <c r="BND92" s="362"/>
      <c r="BNE92" s="362"/>
      <c r="BNF92" s="362"/>
      <c r="BNG92" s="362"/>
      <c r="BNH92" s="362"/>
      <c r="BNI92" s="362"/>
      <c r="BNJ92" s="362"/>
      <c r="BNK92" s="362"/>
      <c r="BNL92" s="362"/>
      <c r="BNM92" s="362"/>
      <c r="BNN92" s="362"/>
      <c r="BNO92" s="362"/>
      <c r="BNP92" s="362"/>
      <c r="BNQ92" s="362"/>
      <c r="BNR92" s="362"/>
      <c r="BNS92" s="362"/>
      <c r="BNT92" s="362"/>
      <c r="BNU92" s="362"/>
      <c r="BNV92" s="362"/>
      <c r="BNW92" s="362"/>
      <c r="BNX92" s="362"/>
      <c r="BNY92" s="362"/>
      <c r="BNZ92" s="362"/>
      <c r="BOA92" s="362"/>
      <c r="BOB92" s="362"/>
      <c r="BOC92" s="362"/>
      <c r="BOD92" s="362"/>
      <c r="BOE92" s="362"/>
      <c r="BOF92" s="362"/>
      <c r="BOG92" s="362"/>
      <c r="BOH92" s="362"/>
      <c r="BOI92" s="362"/>
      <c r="BOJ92" s="362"/>
      <c r="BOK92" s="362"/>
      <c r="BOL92" s="362"/>
      <c r="BOM92" s="362"/>
      <c r="BON92" s="362"/>
      <c r="BOO92" s="362"/>
      <c r="BOP92" s="362"/>
      <c r="BOQ92" s="362"/>
      <c r="BOR92" s="362"/>
      <c r="BOS92" s="362"/>
      <c r="BOT92" s="362"/>
      <c r="BOU92" s="362"/>
      <c r="BOV92" s="362"/>
      <c r="BOW92" s="362"/>
      <c r="BOX92" s="362"/>
      <c r="BOY92" s="362"/>
      <c r="BOZ92" s="362"/>
      <c r="BPA92" s="362"/>
      <c r="BPB92" s="362"/>
      <c r="BPC92" s="362"/>
      <c r="BPD92" s="362"/>
      <c r="BPE92" s="362"/>
      <c r="BPF92" s="362"/>
      <c r="BPG92" s="362"/>
      <c r="BPH92" s="362"/>
      <c r="BPI92" s="362"/>
      <c r="BPJ92" s="362"/>
      <c r="BPK92" s="362"/>
      <c r="BPL92" s="362"/>
      <c r="BPM92" s="362"/>
      <c r="BPN92" s="362"/>
      <c r="BPO92" s="362"/>
      <c r="BPP92" s="362"/>
      <c r="BPQ92" s="362"/>
      <c r="BPR92" s="362"/>
      <c r="BPS92" s="362"/>
      <c r="BPT92" s="362"/>
      <c r="BPU92" s="362"/>
      <c r="BPV92" s="362"/>
      <c r="BPW92" s="362"/>
      <c r="BPX92" s="362"/>
      <c r="BPY92" s="362"/>
      <c r="BPZ92" s="362"/>
      <c r="BQA92" s="362"/>
      <c r="BQB92" s="362"/>
      <c r="BQC92" s="362"/>
      <c r="BQD92" s="362"/>
      <c r="BQE92" s="362"/>
      <c r="BQF92" s="362"/>
      <c r="BQG92" s="362"/>
      <c r="BQH92" s="362"/>
      <c r="BQI92" s="362"/>
      <c r="BQJ92" s="362"/>
      <c r="BQK92" s="362"/>
      <c r="BQL92" s="362"/>
      <c r="BQM92" s="362"/>
      <c r="BQN92" s="362"/>
      <c r="BQO92" s="362"/>
      <c r="BQP92" s="362"/>
      <c r="BQQ92" s="362"/>
      <c r="BQR92" s="362"/>
      <c r="BQS92" s="362"/>
      <c r="BQT92" s="362"/>
      <c r="BQU92" s="362"/>
      <c r="BQV92" s="362"/>
      <c r="BQW92" s="362"/>
      <c r="BQX92" s="362"/>
      <c r="BQY92" s="362"/>
      <c r="BQZ92" s="362"/>
      <c r="BRA92" s="362"/>
      <c r="BRB92" s="362"/>
      <c r="BRC92" s="362"/>
      <c r="BRD92" s="362"/>
      <c r="BRE92" s="362"/>
      <c r="BRF92" s="362"/>
      <c r="BRG92" s="362"/>
      <c r="BRH92" s="362"/>
      <c r="BRI92" s="362"/>
      <c r="BRJ92" s="362"/>
      <c r="BRK92" s="362"/>
      <c r="BRL92" s="362"/>
      <c r="BRM92" s="362"/>
      <c r="BRN92" s="362"/>
      <c r="BRO92" s="362"/>
      <c r="BRP92" s="362"/>
      <c r="BRQ92" s="362"/>
      <c r="BRR92" s="362"/>
      <c r="BRS92" s="362"/>
      <c r="BRT92" s="362"/>
      <c r="BRU92" s="362"/>
      <c r="BRV92" s="362"/>
      <c r="BRW92" s="362"/>
      <c r="BRX92" s="362"/>
      <c r="BRY92" s="362"/>
      <c r="BRZ92" s="362"/>
      <c r="BSA92" s="362"/>
      <c r="BSB92" s="362"/>
      <c r="BSC92" s="362"/>
      <c r="BSD92" s="362"/>
      <c r="BSE92" s="362"/>
      <c r="BSF92" s="362"/>
      <c r="BSG92" s="362"/>
      <c r="BSH92" s="362"/>
      <c r="BSI92" s="362"/>
      <c r="BSJ92" s="362"/>
      <c r="BSK92" s="362"/>
      <c r="BSL92" s="362"/>
      <c r="BSM92" s="362"/>
      <c r="BSN92" s="362"/>
      <c r="BSO92" s="362"/>
      <c r="BSP92" s="362"/>
      <c r="BSQ92" s="362"/>
      <c r="BSR92" s="362"/>
      <c r="BSS92" s="362"/>
      <c r="BST92" s="362"/>
      <c r="BSU92" s="362"/>
      <c r="BSV92" s="362"/>
      <c r="BSW92" s="362"/>
      <c r="BSX92" s="362"/>
      <c r="BSY92" s="362"/>
      <c r="BSZ92" s="362"/>
      <c r="BTA92" s="362"/>
      <c r="BTB92" s="362"/>
      <c r="BTC92" s="362"/>
      <c r="BTD92" s="362"/>
      <c r="BTE92" s="362"/>
      <c r="BTF92" s="362"/>
      <c r="BTG92" s="362"/>
      <c r="BTH92" s="362"/>
      <c r="BTI92" s="362"/>
      <c r="BTJ92" s="362"/>
      <c r="BTK92" s="362"/>
      <c r="BTL92" s="362"/>
      <c r="BTM92" s="362"/>
      <c r="BTN92" s="362"/>
      <c r="BTO92" s="362"/>
      <c r="BTP92" s="362"/>
      <c r="BTQ92" s="362"/>
      <c r="BTR92" s="362"/>
      <c r="BTS92" s="362"/>
      <c r="BTT92" s="362"/>
      <c r="BTU92" s="362"/>
      <c r="BTV92" s="362"/>
      <c r="BTW92" s="362"/>
      <c r="BTX92" s="362"/>
      <c r="BTY92" s="362"/>
      <c r="BTZ92" s="362"/>
      <c r="BUA92" s="362"/>
      <c r="BUB92" s="362"/>
      <c r="BUC92" s="362"/>
      <c r="BUD92" s="362"/>
      <c r="BUE92" s="362"/>
      <c r="BUF92" s="362"/>
      <c r="BUG92" s="362"/>
      <c r="BUH92" s="362"/>
      <c r="BUI92" s="362"/>
      <c r="BUJ92" s="362"/>
      <c r="BUK92" s="362"/>
      <c r="BUL92" s="362"/>
      <c r="BUM92" s="362"/>
      <c r="BUN92" s="362"/>
      <c r="BUO92" s="362"/>
      <c r="BUP92" s="362"/>
      <c r="BUQ92" s="362"/>
      <c r="BUR92" s="362"/>
      <c r="BUS92" s="362"/>
      <c r="BUT92" s="362"/>
      <c r="BUU92" s="362"/>
      <c r="BUV92" s="362"/>
      <c r="BUW92" s="362"/>
      <c r="BUX92" s="362"/>
      <c r="BUY92" s="362"/>
      <c r="BUZ92" s="362"/>
      <c r="BVA92" s="362"/>
      <c r="BVB92" s="362"/>
      <c r="BVC92" s="362"/>
      <c r="BVD92" s="362"/>
      <c r="BVE92" s="362"/>
      <c r="BVF92" s="362"/>
      <c r="BVG92" s="362"/>
      <c r="BVH92" s="362"/>
      <c r="BVI92" s="362"/>
      <c r="BVJ92" s="362"/>
      <c r="BVK92" s="362"/>
      <c r="BVL92" s="362"/>
      <c r="BVM92" s="362"/>
      <c r="BVN92" s="362"/>
      <c r="BVO92" s="362"/>
      <c r="BVP92" s="362"/>
      <c r="BVQ92" s="362"/>
      <c r="BVR92" s="362"/>
      <c r="BVS92" s="362"/>
      <c r="BVT92" s="362"/>
      <c r="BVU92" s="362"/>
      <c r="BVV92" s="362"/>
      <c r="BVW92" s="362"/>
      <c r="BVX92" s="362"/>
      <c r="BVY92" s="362"/>
      <c r="BVZ92" s="362"/>
      <c r="BWA92" s="362"/>
      <c r="BWB92" s="362"/>
      <c r="BWC92" s="362"/>
      <c r="BWD92" s="362"/>
      <c r="BWE92" s="362"/>
      <c r="BWF92" s="362"/>
      <c r="BWG92" s="362"/>
      <c r="BWH92" s="362"/>
      <c r="BWI92" s="362"/>
      <c r="BWJ92" s="362"/>
      <c r="BWK92" s="362"/>
      <c r="BWL92" s="362"/>
      <c r="BWM92" s="362"/>
      <c r="BWN92" s="362"/>
      <c r="BWO92" s="362"/>
      <c r="BWP92" s="362"/>
      <c r="BWQ92" s="362"/>
      <c r="BWR92" s="362"/>
      <c r="BWS92" s="362"/>
      <c r="BWT92" s="362"/>
      <c r="BWU92" s="362"/>
      <c r="BWV92" s="362"/>
      <c r="BWW92" s="362"/>
      <c r="BWX92" s="362"/>
      <c r="BWY92" s="362"/>
      <c r="BWZ92" s="362"/>
      <c r="BXA92" s="362"/>
      <c r="BXB92" s="362"/>
      <c r="BXC92" s="362"/>
      <c r="BXD92" s="362"/>
      <c r="BXE92" s="362"/>
      <c r="BXF92" s="362"/>
      <c r="BXG92" s="362"/>
      <c r="BXH92" s="362"/>
      <c r="BXI92" s="362"/>
      <c r="BXJ92" s="362"/>
      <c r="BXK92" s="362"/>
      <c r="BXL92" s="362"/>
      <c r="BXM92" s="362"/>
      <c r="BXN92" s="362"/>
      <c r="BXO92" s="362"/>
      <c r="BXP92" s="362"/>
      <c r="BXQ92" s="362"/>
      <c r="BXR92" s="362"/>
      <c r="BXS92" s="362"/>
      <c r="BXT92" s="362"/>
      <c r="BXU92" s="362"/>
      <c r="BXV92" s="362"/>
      <c r="BXW92" s="362"/>
      <c r="BXX92" s="362"/>
      <c r="BXY92" s="362"/>
      <c r="BXZ92" s="362"/>
      <c r="BYA92" s="362"/>
      <c r="BYB92" s="362"/>
      <c r="BYC92" s="362"/>
      <c r="BYD92" s="362"/>
      <c r="BYE92" s="362"/>
      <c r="BYF92" s="362"/>
      <c r="BYG92" s="362"/>
      <c r="BYH92" s="362"/>
      <c r="BYI92" s="362"/>
      <c r="BYJ92" s="362"/>
      <c r="BYK92" s="362"/>
      <c r="BYL92" s="362"/>
      <c r="BYM92" s="362"/>
      <c r="BYN92" s="362"/>
      <c r="BYO92" s="362"/>
      <c r="BYP92" s="362"/>
      <c r="BYQ92" s="362"/>
      <c r="BYR92" s="362"/>
      <c r="BYS92" s="362"/>
      <c r="BYT92" s="362"/>
      <c r="BYU92" s="362"/>
      <c r="BYV92" s="362"/>
      <c r="BYW92" s="362"/>
      <c r="BYX92" s="362"/>
      <c r="BYY92" s="362"/>
      <c r="BYZ92" s="362"/>
      <c r="BZA92" s="362"/>
      <c r="BZB92" s="362"/>
      <c r="BZC92" s="362"/>
      <c r="BZD92" s="362"/>
      <c r="BZE92" s="362"/>
      <c r="BZF92" s="362"/>
      <c r="BZG92" s="362"/>
      <c r="BZH92" s="362"/>
      <c r="BZI92" s="362"/>
      <c r="BZJ92" s="362"/>
      <c r="BZK92" s="362"/>
      <c r="BZL92" s="362"/>
      <c r="BZM92" s="362"/>
      <c r="BZN92" s="362"/>
      <c r="BZO92" s="362"/>
      <c r="BZP92" s="362"/>
      <c r="BZQ92" s="362"/>
      <c r="BZR92" s="362"/>
      <c r="BZS92" s="362"/>
      <c r="BZT92" s="362"/>
      <c r="BZU92" s="362"/>
      <c r="BZV92" s="362"/>
      <c r="BZW92" s="362"/>
      <c r="BZX92" s="362"/>
      <c r="BZY92" s="362"/>
      <c r="BZZ92" s="362"/>
      <c r="CAA92" s="362"/>
      <c r="CAB92" s="362"/>
      <c r="CAC92" s="362"/>
      <c r="CAD92" s="362"/>
      <c r="CAE92" s="362"/>
      <c r="CAF92" s="362"/>
      <c r="CAG92" s="362"/>
      <c r="CAH92" s="362"/>
      <c r="CAI92" s="362"/>
      <c r="CAJ92" s="362"/>
      <c r="CAK92" s="362"/>
      <c r="CAL92" s="362"/>
      <c r="CAM92" s="362"/>
      <c r="CAN92" s="362"/>
      <c r="CAO92" s="362"/>
      <c r="CAP92" s="362"/>
      <c r="CAQ92" s="362"/>
      <c r="CAR92" s="362"/>
      <c r="CAS92" s="362"/>
      <c r="CAT92" s="362"/>
      <c r="CAU92" s="362"/>
      <c r="CAV92" s="362"/>
      <c r="CAW92" s="362"/>
      <c r="CAX92" s="362"/>
      <c r="CAY92" s="362"/>
      <c r="CAZ92" s="362"/>
      <c r="CBA92" s="362"/>
      <c r="CBB92" s="362"/>
      <c r="CBC92" s="362"/>
      <c r="CBD92" s="362"/>
      <c r="CBE92" s="362"/>
      <c r="CBF92" s="362"/>
      <c r="CBG92" s="362"/>
      <c r="CBH92" s="362"/>
      <c r="CBI92" s="362"/>
      <c r="CBJ92" s="362"/>
      <c r="CBK92" s="362"/>
      <c r="CBL92" s="362"/>
      <c r="CBM92" s="362"/>
      <c r="CBN92" s="362"/>
      <c r="CBO92" s="362"/>
      <c r="CBP92" s="362"/>
      <c r="CBQ92" s="362"/>
      <c r="CBR92" s="362"/>
      <c r="CBS92" s="362"/>
      <c r="CBT92" s="362"/>
      <c r="CBU92" s="362"/>
      <c r="CBV92" s="362"/>
      <c r="CBW92" s="362"/>
      <c r="CBX92" s="362"/>
      <c r="CBY92" s="362"/>
      <c r="CBZ92" s="362"/>
      <c r="CCA92" s="362"/>
      <c r="CCB92" s="362"/>
      <c r="CCC92" s="362"/>
      <c r="CCD92" s="362"/>
      <c r="CCE92" s="362"/>
      <c r="CCF92" s="362"/>
      <c r="CCG92" s="362"/>
      <c r="CCH92" s="362"/>
      <c r="CCI92" s="362"/>
      <c r="CCJ92" s="362"/>
      <c r="CCK92" s="362"/>
      <c r="CCL92" s="362"/>
      <c r="CCM92" s="362"/>
      <c r="CCN92" s="362"/>
      <c r="CCO92" s="362"/>
      <c r="CCP92" s="362"/>
      <c r="CCQ92" s="362"/>
      <c r="CCR92" s="362"/>
      <c r="CCS92" s="362"/>
      <c r="CCT92" s="362"/>
      <c r="CCU92" s="362"/>
      <c r="CCV92" s="362"/>
      <c r="CCW92" s="362"/>
      <c r="CCX92" s="362"/>
      <c r="CCY92" s="362"/>
      <c r="CCZ92" s="362"/>
      <c r="CDA92" s="362"/>
      <c r="CDB92" s="362"/>
      <c r="CDC92" s="362"/>
      <c r="CDD92" s="362"/>
      <c r="CDE92" s="362"/>
      <c r="CDF92" s="362"/>
      <c r="CDG92" s="362"/>
      <c r="CDH92" s="362"/>
      <c r="CDI92" s="362"/>
      <c r="CDJ92" s="362"/>
      <c r="CDK92" s="362"/>
      <c r="CDL92" s="362"/>
      <c r="CDM92" s="362"/>
      <c r="CDN92" s="362"/>
      <c r="CDO92" s="362"/>
      <c r="CDP92" s="362"/>
      <c r="CDQ92" s="362"/>
      <c r="CDR92" s="362"/>
      <c r="CDS92" s="362"/>
      <c r="CDT92" s="362"/>
      <c r="CDU92" s="362"/>
      <c r="CDV92" s="362"/>
      <c r="CDW92" s="362"/>
      <c r="CDX92" s="362"/>
      <c r="CDY92" s="362"/>
      <c r="CDZ92" s="362"/>
      <c r="CEA92" s="362"/>
      <c r="CEB92" s="362"/>
      <c r="CEC92" s="362"/>
      <c r="CED92" s="362"/>
      <c r="CEE92" s="362"/>
      <c r="CEF92" s="362"/>
      <c r="CEG92" s="362"/>
      <c r="CEH92" s="362"/>
      <c r="CEI92" s="362"/>
      <c r="CEJ92" s="362"/>
      <c r="CEK92" s="362"/>
      <c r="CEL92" s="362"/>
      <c r="CEM92" s="362"/>
      <c r="CEN92" s="362"/>
      <c r="CEO92" s="362"/>
      <c r="CEP92" s="362"/>
      <c r="CEQ92" s="362"/>
      <c r="CER92" s="362"/>
      <c r="CES92" s="362"/>
      <c r="CET92" s="362"/>
      <c r="CEU92" s="362"/>
      <c r="CEV92" s="362"/>
      <c r="CEW92" s="362"/>
      <c r="CEX92" s="362"/>
      <c r="CEY92" s="362"/>
      <c r="CEZ92" s="362"/>
      <c r="CFA92" s="362"/>
      <c r="CFB92" s="362"/>
      <c r="CFC92" s="362"/>
      <c r="CFD92" s="362"/>
      <c r="CFE92" s="362"/>
      <c r="CFF92" s="362"/>
      <c r="CFG92" s="362"/>
      <c r="CFH92" s="362"/>
      <c r="CFI92" s="362"/>
      <c r="CFJ92" s="362"/>
      <c r="CFK92" s="362"/>
      <c r="CFL92" s="362"/>
      <c r="CFM92" s="362"/>
      <c r="CFN92" s="362"/>
      <c r="CFO92" s="362"/>
      <c r="CFP92" s="362"/>
      <c r="CFQ92" s="362"/>
      <c r="CFR92" s="362"/>
      <c r="CFS92" s="362"/>
      <c r="CFT92" s="362"/>
      <c r="CFU92" s="362"/>
      <c r="CFV92" s="362"/>
      <c r="CFW92" s="362"/>
      <c r="CFX92" s="362"/>
      <c r="CFY92" s="362"/>
      <c r="CFZ92" s="362"/>
      <c r="CGA92" s="362"/>
      <c r="CGB92" s="362"/>
      <c r="CGC92" s="362"/>
      <c r="CGD92" s="362"/>
      <c r="CGE92" s="362"/>
      <c r="CGF92" s="362"/>
      <c r="CGG92" s="362"/>
      <c r="CGH92" s="362"/>
      <c r="CGI92" s="362"/>
      <c r="CGJ92" s="362"/>
      <c r="CGK92" s="362"/>
      <c r="CGL92" s="362"/>
      <c r="CGM92" s="362"/>
      <c r="CGN92" s="362"/>
      <c r="CGO92" s="362"/>
      <c r="CGP92" s="362"/>
      <c r="CGQ92" s="362"/>
      <c r="CGR92" s="362"/>
      <c r="CGS92" s="362"/>
      <c r="CGT92" s="362"/>
      <c r="CGU92" s="362"/>
      <c r="CGV92" s="362"/>
      <c r="CGW92" s="362"/>
      <c r="CGX92" s="362"/>
      <c r="CGY92" s="362"/>
      <c r="CGZ92" s="362"/>
      <c r="CHA92" s="362"/>
      <c r="CHB92" s="362"/>
      <c r="CHC92" s="362"/>
      <c r="CHD92" s="362"/>
      <c r="CHE92" s="362"/>
      <c r="CHF92" s="362"/>
      <c r="CHG92" s="362"/>
      <c r="CHH92" s="362"/>
      <c r="CHI92" s="362"/>
      <c r="CHJ92" s="362"/>
      <c r="CHK92" s="362"/>
      <c r="CHL92" s="362"/>
      <c r="CHM92" s="362"/>
      <c r="CHN92" s="362"/>
      <c r="CHO92" s="362"/>
      <c r="CHP92" s="362"/>
      <c r="CHQ92" s="362"/>
      <c r="CHR92" s="362"/>
      <c r="CHS92" s="362"/>
      <c r="CHT92" s="362"/>
      <c r="CHU92" s="362"/>
      <c r="CHV92" s="362"/>
      <c r="CHW92" s="362"/>
      <c r="CHX92" s="362"/>
      <c r="CHY92" s="362"/>
      <c r="CHZ92" s="362"/>
      <c r="CIA92" s="362"/>
      <c r="CIB92" s="362"/>
      <c r="CIC92" s="362"/>
      <c r="CID92" s="362"/>
      <c r="CIE92" s="362"/>
      <c r="CIF92" s="362"/>
      <c r="CIG92" s="362"/>
      <c r="CIH92" s="362"/>
      <c r="CII92" s="362"/>
      <c r="CIJ92" s="362"/>
      <c r="CIK92" s="362"/>
      <c r="CIL92" s="362"/>
      <c r="CIM92" s="362"/>
      <c r="CIN92" s="362"/>
      <c r="CIO92" s="362"/>
      <c r="CIP92" s="362"/>
      <c r="CIQ92" s="362"/>
      <c r="CIR92" s="362"/>
      <c r="CIS92" s="362"/>
      <c r="CIT92" s="362"/>
      <c r="CIU92" s="362"/>
      <c r="CIV92" s="362"/>
      <c r="CIW92" s="362"/>
      <c r="CIX92" s="362"/>
      <c r="CIY92" s="362"/>
      <c r="CIZ92" s="362"/>
      <c r="CJA92" s="362"/>
      <c r="CJB92" s="362"/>
      <c r="CJC92" s="362"/>
      <c r="CJD92" s="362"/>
      <c r="CJE92" s="362"/>
      <c r="CJF92" s="362"/>
      <c r="CJG92" s="362"/>
      <c r="CJH92" s="362"/>
      <c r="CJI92" s="362"/>
      <c r="CJJ92" s="362"/>
      <c r="CJK92" s="362"/>
      <c r="CJL92" s="362"/>
      <c r="CJM92" s="362"/>
      <c r="CJN92" s="362"/>
      <c r="CJO92" s="362"/>
      <c r="CJP92" s="362"/>
      <c r="CJQ92" s="362"/>
      <c r="CJR92" s="362"/>
      <c r="CJS92" s="362"/>
      <c r="CJT92" s="362"/>
      <c r="CJU92" s="362"/>
      <c r="CJV92" s="362"/>
      <c r="CJW92" s="362"/>
      <c r="CJX92" s="362"/>
      <c r="CJY92" s="362"/>
      <c r="CJZ92" s="362"/>
      <c r="CKA92" s="362"/>
      <c r="CKB92" s="362"/>
      <c r="CKC92" s="362"/>
      <c r="CKD92" s="362"/>
      <c r="CKE92" s="362"/>
      <c r="CKF92" s="362"/>
      <c r="CKG92" s="362"/>
      <c r="CKH92" s="362"/>
      <c r="CKI92" s="362"/>
      <c r="CKJ92" s="362"/>
      <c r="CKK92" s="362"/>
      <c r="CKL92" s="362"/>
      <c r="CKM92" s="362"/>
      <c r="CKN92" s="362"/>
      <c r="CKO92" s="362"/>
      <c r="CKP92" s="362"/>
      <c r="CKQ92" s="362"/>
      <c r="CKR92" s="362"/>
      <c r="CKS92" s="362"/>
      <c r="CKT92" s="362"/>
      <c r="CKU92" s="362"/>
      <c r="CKV92" s="362"/>
      <c r="CKW92" s="362"/>
      <c r="CKX92" s="362"/>
      <c r="CKY92" s="362"/>
      <c r="CKZ92" s="362"/>
      <c r="CLA92" s="362"/>
      <c r="CLB92" s="362"/>
      <c r="CLC92" s="362"/>
      <c r="CLD92" s="362"/>
      <c r="CLE92" s="362"/>
      <c r="CLF92" s="362"/>
      <c r="CLG92" s="362"/>
      <c r="CLH92" s="362"/>
      <c r="CLI92" s="362"/>
      <c r="CLJ92" s="362"/>
      <c r="CLK92" s="362"/>
      <c r="CLL92" s="362"/>
      <c r="CLM92" s="362"/>
      <c r="CLN92" s="362"/>
      <c r="CLO92" s="362"/>
      <c r="CLP92" s="362"/>
      <c r="CLQ92" s="362"/>
      <c r="CLR92" s="362"/>
      <c r="CLS92" s="362"/>
      <c r="CLT92" s="362"/>
      <c r="CLU92" s="362"/>
      <c r="CLV92" s="362"/>
      <c r="CLW92" s="362"/>
      <c r="CLX92" s="362"/>
      <c r="CLY92" s="362"/>
      <c r="CLZ92" s="362"/>
      <c r="CMA92" s="362"/>
      <c r="CMB92" s="362"/>
      <c r="CMC92" s="362"/>
      <c r="CMD92" s="362"/>
      <c r="CME92" s="362"/>
      <c r="CMF92" s="362"/>
      <c r="CMG92" s="362"/>
      <c r="CMH92" s="362"/>
      <c r="CMI92" s="362"/>
      <c r="CMJ92" s="362"/>
      <c r="CMK92" s="362"/>
      <c r="CML92" s="362"/>
      <c r="CMM92" s="362"/>
      <c r="CMN92" s="362"/>
      <c r="CMO92" s="362"/>
      <c r="CMP92" s="362"/>
      <c r="CMQ92" s="362"/>
      <c r="CMR92" s="362"/>
      <c r="CMS92" s="362"/>
      <c r="CMT92" s="362"/>
      <c r="CMU92" s="362"/>
      <c r="CMV92" s="362"/>
      <c r="CMW92" s="362"/>
      <c r="CMX92" s="362"/>
      <c r="CMY92" s="362"/>
      <c r="CMZ92" s="362"/>
      <c r="CNA92" s="362"/>
      <c r="CNB92" s="362"/>
      <c r="CNC92" s="362"/>
      <c r="CND92" s="362"/>
      <c r="CNE92" s="362"/>
      <c r="CNF92" s="362"/>
      <c r="CNG92" s="362"/>
      <c r="CNH92" s="362"/>
      <c r="CNI92" s="362"/>
      <c r="CNJ92" s="362"/>
      <c r="CNK92" s="362"/>
      <c r="CNL92" s="362"/>
      <c r="CNM92" s="362"/>
      <c r="CNN92" s="362"/>
      <c r="CNO92" s="362"/>
      <c r="CNP92" s="362"/>
      <c r="CNQ92" s="362"/>
      <c r="CNR92" s="362"/>
      <c r="CNS92" s="362"/>
      <c r="CNT92" s="362"/>
      <c r="CNU92" s="362"/>
      <c r="CNV92" s="362"/>
      <c r="CNW92" s="362"/>
      <c r="CNX92" s="362"/>
      <c r="CNY92" s="362"/>
      <c r="CNZ92" s="362"/>
      <c r="COA92" s="362"/>
      <c r="COB92" s="362"/>
      <c r="COC92" s="362"/>
      <c r="COD92" s="362"/>
      <c r="COE92" s="362"/>
      <c r="COF92" s="362"/>
      <c r="COG92" s="362"/>
      <c r="COH92" s="362"/>
      <c r="COI92" s="362"/>
      <c r="COJ92" s="362"/>
      <c r="COK92" s="362"/>
      <c r="COL92" s="362"/>
      <c r="COM92" s="362"/>
      <c r="CON92" s="362"/>
      <c r="COO92" s="362"/>
      <c r="COP92" s="362"/>
      <c r="COQ92" s="362"/>
      <c r="COR92" s="362"/>
      <c r="COS92" s="362"/>
      <c r="COT92" s="362"/>
      <c r="COU92" s="362"/>
      <c r="COV92" s="362"/>
      <c r="COW92" s="362"/>
      <c r="COX92" s="362"/>
      <c r="COY92" s="362"/>
      <c r="COZ92" s="362"/>
      <c r="CPA92" s="362"/>
      <c r="CPB92" s="362"/>
      <c r="CPC92" s="362"/>
      <c r="CPD92" s="362"/>
      <c r="CPE92" s="362"/>
      <c r="CPF92" s="362"/>
      <c r="CPG92" s="362"/>
      <c r="CPH92" s="362"/>
      <c r="CPI92" s="362"/>
      <c r="CPJ92" s="362"/>
      <c r="CPK92" s="362"/>
      <c r="CPL92" s="362"/>
      <c r="CPM92" s="362"/>
      <c r="CPN92" s="362"/>
      <c r="CPO92" s="362"/>
      <c r="CPP92" s="362"/>
      <c r="CPQ92" s="362"/>
      <c r="CPR92" s="362"/>
      <c r="CPS92" s="362"/>
      <c r="CPT92" s="362"/>
      <c r="CPU92" s="362"/>
      <c r="CPV92" s="362"/>
      <c r="CPW92" s="362"/>
      <c r="CPX92" s="362"/>
      <c r="CPY92" s="362"/>
      <c r="CPZ92" s="362"/>
      <c r="CQA92" s="362"/>
      <c r="CQB92" s="362"/>
      <c r="CQC92" s="362"/>
      <c r="CQD92" s="362"/>
      <c r="CQE92" s="362"/>
      <c r="CQF92" s="362"/>
      <c r="CQG92" s="362"/>
      <c r="CQH92" s="362"/>
      <c r="CQI92" s="362"/>
      <c r="CQJ92" s="362"/>
      <c r="CQK92" s="362"/>
      <c r="CQL92" s="362"/>
      <c r="CQM92" s="362"/>
      <c r="CQN92" s="362"/>
      <c r="CQO92" s="362"/>
      <c r="CQP92" s="362"/>
      <c r="CQQ92" s="362"/>
      <c r="CQR92" s="362"/>
      <c r="CQS92" s="362"/>
      <c r="CQT92" s="362"/>
      <c r="CQU92" s="362"/>
      <c r="CQV92" s="362"/>
      <c r="CQW92" s="362"/>
      <c r="CQX92" s="362"/>
      <c r="CQY92" s="362"/>
      <c r="CQZ92" s="362"/>
      <c r="CRA92" s="362"/>
      <c r="CRB92" s="362"/>
      <c r="CRC92" s="362"/>
      <c r="CRD92" s="362"/>
      <c r="CRE92" s="362"/>
      <c r="CRF92" s="362"/>
      <c r="CRG92" s="362"/>
      <c r="CRH92" s="362"/>
      <c r="CRI92" s="362"/>
      <c r="CRJ92" s="362"/>
      <c r="CRK92" s="362"/>
      <c r="CRL92" s="362"/>
      <c r="CRM92" s="362"/>
      <c r="CRN92" s="362"/>
      <c r="CRO92" s="362"/>
      <c r="CRP92" s="362"/>
      <c r="CRQ92" s="362"/>
      <c r="CRR92" s="362"/>
      <c r="CRS92" s="362"/>
      <c r="CRT92" s="362"/>
      <c r="CRU92" s="362"/>
      <c r="CRV92" s="362"/>
      <c r="CRW92" s="362"/>
      <c r="CRX92" s="362"/>
      <c r="CRY92" s="362"/>
      <c r="CRZ92" s="362"/>
      <c r="CSA92" s="362"/>
      <c r="CSB92" s="362"/>
      <c r="CSC92" s="362"/>
      <c r="CSD92" s="362"/>
      <c r="CSE92" s="362"/>
      <c r="CSF92" s="362"/>
      <c r="CSG92" s="362"/>
      <c r="CSH92" s="362"/>
      <c r="CSI92" s="362"/>
      <c r="CSJ92" s="362"/>
      <c r="CSK92" s="362"/>
      <c r="CSL92" s="362"/>
      <c r="CSM92" s="362"/>
      <c r="CSN92" s="362"/>
      <c r="CSO92" s="362"/>
      <c r="CSP92" s="362"/>
      <c r="CSQ92" s="362"/>
      <c r="CSR92" s="362"/>
      <c r="CSS92" s="362"/>
      <c r="CST92" s="362"/>
      <c r="CSU92" s="362"/>
      <c r="CSV92" s="362"/>
      <c r="CSW92" s="362"/>
      <c r="CSX92" s="362"/>
      <c r="CSY92" s="362"/>
      <c r="CSZ92" s="362"/>
      <c r="CTA92" s="362"/>
      <c r="CTB92" s="362"/>
      <c r="CTC92" s="362"/>
      <c r="CTD92" s="362"/>
      <c r="CTE92" s="362"/>
      <c r="CTF92" s="362"/>
      <c r="CTG92" s="362"/>
      <c r="CTH92" s="362"/>
      <c r="CTI92" s="362"/>
      <c r="CTJ92" s="362"/>
      <c r="CTK92" s="362"/>
      <c r="CTL92" s="362"/>
      <c r="CTM92" s="362"/>
      <c r="CTN92" s="362"/>
      <c r="CTO92" s="362"/>
      <c r="CTP92" s="362"/>
      <c r="CTQ92" s="362"/>
      <c r="CTR92" s="362"/>
      <c r="CTS92" s="362"/>
      <c r="CTT92" s="362"/>
      <c r="CTU92" s="362"/>
      <c r="CTV92" s="362"/>
      <c r="CTW92" s="362"/>
      <c r="CTX92" s="362"/>
      <c r="CTY92" s="362"/>
      <c r="CTZ92" s="362"/>
      <c r="CUA92" s="362"/>
      <c r="CUB92" s="362"/>
      <c r="CUC92" s="362"/>
      <c r="CUD92" s="362"/>
      <c r="CUE92" s="362"/>
      <c r="CUF92" s="362"/>
      <c r="CUG92" s="362"/>
      <c r="CUH92" s="362"/>
      <c r="CUI92" s="362"/>
      <c r="CUJ92" s="362"/>
      <c r="CUK92" s="362"/>
      <c r="CUL92" s="362"/>
      <c r="CUM92" s="362"/>
      <c r="CUN92" s="362"/>
      <c r="CUO92" s="362"/>
      <c r="CUP92" s="362"/>
      <c r="CUQ92" s="362"/>
      <c r="CUR92" s="362"/>
      <c r="CUS92" s="362"/>
      <c r="CUT92" s="362"/>
      <c r="CUU92" s="362"/>
      <c r="CUV92" s="362"/>
      <c r="CUW92" s="362"/>
      <c r="CUX92" s="362"/>
      <c r="CUY92" s="362"/>
      <c r="CUZ92" s="362"/>
      <c r="CVA92" s="362"/>
      <c r="CVB92" s="362"/>
      <c r="CVC92" s="362"/>
      <c r="CVD92" s="362"/>
      <c r="CVE92" s="362"/>
      <c r="CVF92" s="362"/>
      <c r="CVG92" s="362"/>
      <c r="CVH92" s="362"/>
      <c r="CVI92" s="362"/>
      <c r="CVJ92" s="362"/>
      <c r="CVK92" s="362"/>
      <c r="CVL92" s="362"/>
      <c r="CVM92" s="362"/>
      <c r="CVN92" s="362"/>
      <c r="CVO92" s="362"/>
      <c r="CVP92" s="362"/>
      <c r="CVQ92" s="362"/>
      <c r="CVR92" s="362"/>
      <c r="CVS92" s="362"/>
      <c r="CVT92" s="362"/>
      <c r="CVU92" s="362"/>
      <c r="CVV92" s="362"/>
      <c r="CVW92" s="362"/>
      <c r="CVX92" s="362"/>
      <c r="CVY92" s="362"/>
      <c r="CVZ92" s="362"/>
      <c r="CWA92" s="362"/>
      <c r="CWB92" s="362"/>
      <c r="CWC92" s="362"/>
      <c r="CWD92" s="362"/>
      <c r="CWE92" s="362"/>
      <c r="CWF92" s="362"/>
      <c r="CWG92" s="362"/>
      <c r="CWH92" s="362"/>
      <c r="CWI92" s="362"/>
      <c r="CWJ92" s="362"/>
      <c r="CWK92" s="362"/>
      <c r="CWL92" s="362"/>
      <c r="CWM92" s="362"/>
      <c r="CWN92" s="362"/>
      <c r="CWO92" s="362"/>
      <c r="CWP92" s="362"/>
      <c r="CWQ92" s="362"/>
      <c r="CWR92" s="362"/>
      <c r="CWS92" s="362"/>
      <c r="CWT92" s="362"/>
      <c r="CWU92" s="362"/>
      <c r="CWV92" s="362"/>
      <c r="CWW92" s="362"/>
      <c r="CWX92" s="362"/>
      <c r="CWY92" s="362"/>
      <c r="CWZ92" s="362"/>
      <c r="CXA92" s="362"/>
      <c r="CXB92" s="362"/>
      <c r="CXC92" s="362"/>
      <c r="CXD92" s="362"/>
      <c r="CXE92" s="362"/>
      <c r="CXF92" s="362"/>
      <c r="CXG92" s="362"/>
      <c r="CXH92" s="362"/>
      <c r="CXI92" s="362"/>
      <c r="CXJ92" s="362"/>
      <c r="CXK92" s="362"/>
      <c r="CXL92" s="362"/>
      <c r="CXM92" s="362"/>
      <c r="CXN92" s="362"/>
      <c r="CXO92" s="362"/>
      <c r="CXP92" s="362"/>
      <c r="CXQ92" s="362"/>
      <c r="CXR92" s="362"/>
      <c r="CXS92" s="362"/>
      <c r="CXT92" s="362"/>
      <c r="CXU92" s="362"/>
      <c r="CXV92" s="362"/>
      <c r="CXW92" s="362"/>
      <c r="CXX92" s="362"/>
      <c r="CXY92" s="362"/>
      <c r="CXZ92" s="362"/>
      <c r="CYA92" s="362"/>
      <c r="CYB92" s="362"/>
      <c r="CYC92" s="362"/>
      <c r="CYD92" s="362"/>
      <c r="CYE92" s="362"/>
      <c r="CYF92" s="362"/>
      <c r="CYG92" s="362"/>
      <c r="CYH92" s="362"/>
      <c r="CYI92" s="362"/>
      <c r="CYJ92" s="362"/>
      <c r="CYK92" s="362"/>
      <c r="CYL92" s="362"/>
      <c r="CYM92" s="362"/>
      <c r="CYN92" s="362"/>
      <c r="CYO92" s="362"/>
      <c r="CYP92" s="362"/>
      <c r="CYQ92" s="362"/>
      <c r="CYR92" s="362"/>
      <c r="CYS92" s="362"/>
      <c r="CYT92" s="362"/>
      <c r="CYU92" s="362"/>
      <c r="CYV92" s="362"/>
      <c r="CYW92" s="362"/>
      <c r="CYX92" s="362"/>
      <c r="CYY92" s="362"/>
      <c r="CYZ92" s="362"/>
      <c r="CZA92" s="362"/>
      <c r="CZB92" s="362"/>
      <c r="CZC92" s="362"/>
      <c r="CZD92" s="362"/>
      <c r="CZE92" s="362"/>
      <c r="CZF92" s="362"/>
      <c r="CZG92" s="362"/>
      <c r="CZH92" s="362"/>
      <c r="CZI92" s="362"/>
      <c r="CZJ92" s="362"/>
      <c r="CZK92" s="362"/>
      <c r="CZL92" s="362"/>
      <c r="CZM92" s="362"/>
      <c r="CZN92" s="362"/>
      <c r="CZO92" s="362"/>
      <c r="CZP92" s="362"/>
      <c r="CZQ92" s="362"/>
      <c r="CZR92" s="362"/>
      <c r="CZS92" s="362"/>
      <c r="CZT92" s="362"/>
      <c r="CZU92" s="362"/>
      <c r="CZV92" s="362"/>
      <c r="CZW92" s="362"/>
      <c r="CZX92" s="362"/>
      <c r="CZY92" s="362"/>
      <c r="CZZ92" s="362"/>
      <c r="DAA92" s="362"/>
      <c r="DAB92" s="362"/>
      <c r="DAC92" s="362"/>
      <c r="DAD92" s="362"/>
      <c r="DAE92" s="362"/>
      <c r="DAF92" s="362"/>
      <c r="DAG92" s="362"/>
      <c r="DAH92" s="362"/>
      <c r="DAI92" s="362"/>
      <c r="DAJ92" s="362"/>
      <c r="DAK92" s="362"/>
      <c r="DAL92" s="362"/>
      <c r="DAM92" s="362"/>
      <c r="DAN92" s="362"/>
      <c r="DAO92" s="362"/>
      <c r="DAP92" s="362"/>
      <c r="DAQ92" s="362"/>
      <c r="DAR92" s="362"/>
      <c r="DAS92" s="362"/>
      <c r="DAT92" s="362"/>
      <c r="DAU92" s="362"/>
      <c r="DAV92" s="362"/>
      <c r="DAW92" s="362"/>
      <c r="DAX92" s="362"/>
      <c r="DAY92" s="362"/>
      <c r="DAZ92" s="362"/>
      <c r="DBA92" s="362"/>
      <c r="DBB92" s="362"/>
      <c r="DBC92" s="362"/>
      <c r="DBD92" s="362"/>
      <c r="DBE92" s="362"/>
      <c r="DBF92" s="362"/>
      <c r="DBG92" s="362"/>
      <c r="DBH92" s="362"/>
      <c r="DBI92" s="362"/>
      <c r="DBJ92" s="362"/>
      <c r="DBK92" s="362"/>
      <c r="DBL92" s="362"/>
      <c r="DBM92" s="362"/>
      <c r="DBN92" s="362"/>
      <c r="DBO92" s="362"/>
      <c r="DBP92" s="362"/>
      <c r="DBQ92" s="362"/>
      <c r="DBR92" s="362"/>
      <c r="DBS92" s="362"/>
      <c r="DBT92" s="362"/>
      <c r="DBU92" s="362"/>
      <c r="DBV92" s="362"/>
      <c r="DBW92" s="362"/>
      <c r="DBX92" s="362"/>
      <c r="DBY92" s="362"/>
      <c r="DBZ92" s="362"/>
      <c r="DCA92" s="362"/>
      <c r="DCB92" s="362"/>
      <c r="DCC92" s="362"/>
      <c r="DCD92" s="362"/>
      <c r="DCE92" s="362"/>
      <c r="DCF92" s="362"/>
      <c r="DCG92" s="362"/>
      <c r="DCH92" s="362"/>
      <c r="DCI92" s="362"/>
      <c r="DCJ92" s="362"/>
      <c r="DCK92" s="362"/>
      <c r="DCL92" s="362"/>
      <c r="DCM92" s="362"/>
      <c r="DCN92" s="362"/>
      <c r="DCO92" s="362"/>
      <c r="DCP92" s="362"/>
      <c r="DCQ92" s="362"/>
      <c r="DCR92" s="362"/>
      <c r="DCS92" s="362"/>
      <c r="DCT92" s="362"/>
      <c r="DCU92" s="362"/>
      <c r="DCV92" s="362"/>
      <c r="DCW92" s="362"/>
      <c r="DCX92" s="362"/>
      <c r="DCY92" s="362"/>
      <c r="DCZ92" s="362"/>
      <c r="DDA92" s="362"/>
      <c r="DDB92" s="362"/>
      <c r="DDC92" s="362"/>
      <c r="DDD92" s="362"/>
      <c r="DDE92" s="362"/>
      <c r="DDF92" s="362"/>
      <c r="DDG92" s="362"/>
      <c r="DDH92" s="362"/>
      <c r="DDI92" s="362"/>
      <c r="DDJ92" s="362"/>
      <c r="DDK92" s="362"/>
      <c r="DDL92" s="362"/>
      <c r="DDM92" s="362"/>
      <c r="DDN92" s="362"/>
      <c r="DDO92" s="362"/>
      <c r="DDP92" s="362"/>
      <c r="DDQ92" s="362"/>
      <c r="DDR92" s="362"/>
      <c r="DDS92" s="362"/>
      <c r="DDT92" s="362"/>
      <c r="DDU92" s="362"/>
      <c r="DDV92" s="362"/>
      <c r="DDW92" s="362"/>
      <c r="DDX92" s="362"/>
      <c r="DDY92" s="362"/>
      <c r="DDZ92" s="362"/>
      <c r="DEA92" s="362"/>
      <c r="DEB92" s="362"/>
      <c r="DEC92" s="362"/>
      <c r="DED92" s="362"/>
      <c r="DEE92" s="362"/>
      <c r="DEF92" s="362"/>
      <c r="DEG92" s="362"/>
      <c r="DEH92" s="362"/>
      <c r="DEI92" s="362"/>
      <c r="DEJ92" s="362"/>
      <c r="DEK92" s="362"/>
      <c r="DEL92" s="362"/>
      <c r="DEM92" s="362"/>
      <c r="DEN92" s="362"/>
      <c r="DEO92" s="362"/>
      <c r="DEP92" s="362"/>
      <c r="DEQ92" s="362"/>
      <c r="DER92" s="362"/>
      <c r="DES92" s="362"/>
      <c r="DET92" s="362"/>
      <c r="DEU92" s="362"/>
      <c r="DEV92" s="362"/>
      <c r="DEW92" s="362"/>
      <c r="DEX92" s="362"/>
      <c r="DEY92" s="362"/>
      <c r="DEZ92" s="362"/>
      <c r="DFA92" s="362"/>
      <c r="DFB92" s="362"/>
      <c r="DFC92" s="362"/>
      <c r="DFD92" s="362"/>
      <c r="DFE92" s="362"/>
      <c r="DFF92" s="362"/>
      <c r="DFG92" s="362"/>
      <c r="DFH92" s="362"/>
      <c r="DFI92" s="362"/>
      <c r="DFJ92" s="362"/>
      <c r="DFK92" s="362"/>
      <c r="DFL92" s="362"/>
      <c r="DFM92" s="362"/>
      <c r="DFN92" s="362"/>
      <c r="DFO92" s="362"/>
      <c r="DFP92" s="362"/>
      <c r="DFQ92" s="362"/>
      <c r="DFR92" s="362"/>
      <c r="DFS92" s="362"/>
      <c r="DFT92" s="362"/>
      <c r="DFU92" s="362"/>
      <c r="DFV92" s="362"/>
      <c r="DFW92" s="362"/>
      <c r="DFX92" s="362"/>
      <c r="DFY92" s="362"/>
      <c r="DFZ92" s="362"/>
      <c r="DGA92" s="362"/>
      <c r="DGB92" s="362"/>
      <c r="DGC92" s="362"/>
      <c r="DGD92" s="362"/>
      <c r="DGE92" s="362"/>
      <c r="DGF92" s="362"/>
      <c r="DGG92" s="362"/>
      <c r="DGH92" s="362"/>
      <c r="DGI92" s="362"/>
      <c r="DGJ92" s="362"/>
      <c r="DGK92" s="362"/>
      <c r="DGL92" s="362"/>
      <c r="DGM92" s="362"/>
      <c r="DGN92" s="362"/>
      <c r="DGO92" s="362"/>
      <c r="DGP92" s="362"/>
      <c r="DGQ92" s="362"/>
      <c r="DGR92" s="362"/>
      <c r="DGS92" s="362"/>
      <c r="DGT92" s="362"/>
      <c r="DGU92" s="362"/>
      <c r="DGV92" s="362"/>
      <c r="DGW92" s="362"/>
      <c r="DGX92" s="362"/>
      <c r="DGY92" s="362"/>
      <c r="DGZ92" s="362"/>
      <c r="DHA92" s="362"/>
      <c r="DHB92" s="362"/>
      <c r="DHC92" s="362"/>
      <c r="DHD92" s="362"/>
      <c r="DHE92" s="362"/>
      <c r="DHF92" s="362"/>
      <c r="DHG92" s="362"/>
      <c r="DHH92" s="362"/>
      <c r="DHI92" s="362"/>
      <c r="DHJ92" s="362"/>
      <c r="DHK92" s="362"/>
      <c r="DHL92" s="362"/>
      <c r="DHM92" s="362"/>
      <c r="DHN92" s="362"/>
      <c r="DHO92" s="362"/>
      <c r="DHP92" s="362"/>
      <c r="DHQ92" s="362"/>
      <c r="DHR92" s="362"/>
      <c r="DHS92" s="362"/>
      <c r="DHT92" s="362"/>
      <c r="DHU92" s="362"/>
      <c r="DHV92" s="362"/>
      <c r="DHW92" s="362"/>
      <c r="DHX92" s="362"/>
      <c r="DHY92" s="362"/>
      <c r="DHZ92" s="362"/>
      <c r="DIA92" s="362"/>
      <c r="DIB92" s="362"/>
      <c r="DIC92" s="362"/>
      <c r="DID92" s="362"/>
      <c r="DIE92" s="362"/>
      <c r="DIF92" s="362"/>
      <c r="DIG92" s="362"/>
      <c r="DIH92" s="362"/>
      <c r="DII92" s="362"/>
      <c r="DIJ92" s="362"/>
      <c r="DIK92" s="362"/>
      <c r="DIL92" s="362"/>
      <c r="DIM92" s="362"/>
      <c r="DIN92" s="362"/>
      <c r="DIO92" s="362"/>
      <c r="DIP92" s="362"/>
      <c r="DIQ92" s="362"/>
      <c r="DIR92" s="362"/>
      <c r="DIS92" s="362"/>
      <c r="DIT92" s="362"/>
      <c r="DIU92" s="362"/>
      <c r="DIV92" s="362"/>
      <c r="DIW92" s="362"/>
      <c r="DIX92" s="362"/>
      <c r="DIY92" s="362"/>
      <c r="DIZ92" s="362"/>
      <c r="DJA92" s="362"/>
      <c r="DJB92" s="362"/>
      <c r="DJC92" s="362"/>
      <c r="DJD92" s="362"/>
      <c r="DJE92" s="362"/>
      <c r="DJF92" s="362"/>
      <c r="DJG92" s="362"/>
      <c r="DJH92" s="362"/>
      <c r="DJI92" s="362"/>
      <c r="DJJ92" s="362"/>
      <c r="DJK92" s="362"/>
      <c r="DJL92" s="362"/>
      <c r="DJM92" s="362"/>
      <c r="DJN92" s="362"/>
      <c r="DJO92" s="362"/>
      <c r="DJP92" s="362"/>
      <c r="DJQ92" s="362"/>
      <c r="DJR92" s="362"/>
      <c r="DJS92" s="362"/>
      <c r="DJT92" s="362"/>
      <c r="DJU92" s="362"/>
      <c r="DJV92" s="362"/>
      <c r="DJW92" s="362"/>
      <c r="DJX92" s="362"/>
      <c r="DJY92" s="362"/>
      <c r="DJZ92" s="362"/>
      <c r="DKA92" s="362"/>
      <c r="DKB92" s="362"/>
      <c r="DKC92" s="362"/>
      <c r="DKD92" s="362"/>
      <c r="DKE92" s="362"/>
      <c r="DKF92" s="362"/>
      <c r="DKG92" s="362"/>
      <c r="DKH92" s="362"/>
      <c r="DKI92" s="362"/>
      <c r="DKJ92" s="362"/>
      <c r="DKK92" s="362"/>
      <c r="DKL92" s="362"/>
      <c r="DKM92" s="362"/>
      <c r="DKN92" s="362"/>
      <c r="DKO92" s="362"/>
      <c r="DKP92" s="362"/>
      <c r="DKQ92" s="362"/>
      <c r="DKR92" s="362"/>
      <c r="DKS92" s="362"/>
      <c r="DKT92" s="362"/>
      <c r="DKU92" s="362"/>
      <c r="DKV92" s="362"/>
      <c r="DKW92" s="362"/>
      <c r="DKX92" s="362"/>
      <c r="DKY92" s="362"/>
      <c r="DKZ92" s="362"/>
      <c r="DLA92" s="362"/>
      <c r="DLB92" s="362"/>
      <c r="DLC92" s="362"/>
      <c r="DLD92" s="362"/>
      <c r="DLE92" s="362"/>
      <c r="DLF92" s="362"/>
      <c r="DLG92" s="362"/>
      <c r="DLH92" s="362"/>
      <c r="DLI92" s="362"/>
      <c r="DLJ92" s="362"/>
      <c r="DLK92" s="362"/>
      <c r="DLL92" s="362"/>
      <c r="DLM92" s="362"/>
      <c r="DLN92" s="362"/>
      <c r="DLO92" s="362"/>
      <c r="DLP92" s="362"/>
      <c r="DLQ92" s="362"/>
      <c r="DLR92" s="362"/>
      <c r="DLS92" s="362"/>
      <c r="DLT92" s="362"/>
      <c r="DLU92" s="362"/>
      <c r="DLV92" s="362"/>
      <c r="DLW92" s="362"/>
      <c r="DLX92" s="362"/>
      <c r="DLY92" s="362"/>
      <c r="DLZ92" s="362"/>
      <c r="DMA92" s="362"/>
      <c r="DMB92" s="362"/>
      <c r="DMC92" s="362"/>
      <c r="DMD92" s="362"/>
      <c r="DME92" s="362"/>
      <c r="DMF92" s="362"/>
      <c r="DMG92" s="362"/>
      <c r="DMH92" s="362"/>
      <c r="DMI92" s="362"/>
      <c r="DMJ92" s="362"/>
      <c r="DMK92" s="362"/>
      <c r="DML92" s="362"/>
      <c r="DMM92" s="362"/>
      <c r="DMN92" s="362"/>
      <c r="DMO92" s="362"/>
      <c r="DMP92" s="362"/>
      <c r="DMQ92" s="362"/>
      <c r="DMR92" s="362"/>
      <c r="DMS92" s="362"/>
      <c r="DMT92" s="362"/>
      <c r="DMU92" s="362"/>
      <c r="DMV92" s="362"/>
      <c r="DMW92" s="362"/>
      <c r="DMX92" s="362"/>
      <c r="DMY92" s="362"/>
      <c r="DMZ92" s="362"/>
      <c r="DNA92" s="362"/>
      <c r="DNB92" s="362"/>
      <c r="DNC92" s="362"/>
      <c r="DND92" s="362"/>
      <c r="DNE92" s="362"/>
      <c r="DNF92" s="362"/>
      <c r="DNG92" s="362"/>
      <c r="DNH92" s="362"/>
      <c r="DNI92" s="362"/>
      <c r="DNJ92" s="362"/>
      <c r="DNK92" s="362"/>
      <c r="DNL92" s="362"/>
      <c r="DNM92" s="362"/>
      <c r="DNN92" s="362"/>
      <c r="DNO92" s="362"/>
      <c r="DNP92" s="362"/>
      <c r="DNQ92" s="362"/>
      <c r="DNR92" s="362"/>
      <c r="DNS92" s="362"/>
      <c r="DNT92" s="362"/>
      <c r="DNU92" s="362"/>
      <c r="DNV92" s="362"/>
      <c r="DNW92" s="362"/>
      <c r="DNX92" s="362"/>
      <c r="DNY92" s="362"/>
      <c r="DNZ92" s="362"/>
      <c r="DOA92" s="362"/>
      <c r="DOB92" s="362"/>
      <c r="DOC92" s="362"/>
      <c r="DOD92" s="362"/>
      <c r="DOE92" s="362"/>
      <c r="DOF92" s="362"/>
      <c r="DOG92" s="362"/>
      <c r="DOH92" s="362"/>
      <c r="DOI92" s="362"/>
      <c r="DOJ92" s="362"/>
      <c r="DOK92" s="362"/>
      <c r="DOL92" s="362"/>
      <c r="DOM92" s="362"/>
      <c r="DON92" s="362"/>
      <c r="DOO92" s="362"/>
      <c r="DOP92" s="362"/>
      <c r="DOQ92" s="362"/>
      <c r="DOR92" s="362"/>
      <c r="DOS92" s="362"/>
      <c r="DOT92" s="362"/>
      <c r="DOU92" s="362"/>
      <c r="DOV92" s="362"/>
      <c r="DOW92" s="362"/>
      <c r="DOX92" s="362"/>
      <c r="DOY92" s="362"/>
      <c r="DOZ92" s="362"/>
      <c r="DPA92" s="362"/>
      <c r="DPB92" s="362"/>
      <c r="DPC92" s="362"/>
      <c r="DPD92" s="362"/>
      <c r="DPE92" s="362"/>
      <c r="DPF92" s="362"/>
      <c r="DPG92" s="362"/>
      <c r="DPH92" s="362"/>
      <c r="DPI92" s="362"/>
      <c r="DPJ92" s="362"/>
      <c r="DPK92" s="362"/>
      <c r="DPL92" s="362"/>
      <c r="DPM92" s="362"/>
      <c r="DPN92" s="362"/>
      <c r="DPO92" s="362"/>
      <c r="DPP92" s="362"/>
      <c r="DPQ92" s="362"/>
      <c r="DPR92" s="362"/>
      <c r="DPS92" s="362"/>
      <c r="DPT92" s="362"/>
      <c r="DPU92" s="362"/>
      <c r="DPV92" s="362"/>
      <c r="DPW92" s="362"/>
      <c r="DPX92" s="362"/>
      <c r="DPY92" s="362"/>
      <c r="DPZ92" s="362"/>
      <c r="DQA92" s="362"/>
      <c r="DQB92" s="362"/>
      <c r="DQC92" s="362"/>
      <c r="DQD92" s="362"/>
      <c r="DQE92" s="362"/>
      <c r="DQF92" s="362"/>
      <c r="DQG92" s="362"/>
      <c r="DQH92" s="362"/>
      <c r="DQI92" s="362"/>
      <c r="DQJ92" s="362"/>
      <c r="DQK92" s="362"/>
      <c r="DQL92" s="362"/>
      <c r="DQM92" s="362"/>
      <c r="DQN92" s="362"/>
      <c r="DQO92" s="362"/>
      <c r="DQP92" s="362"/>
      <c r="DQQ92" s="362"/>
      <c r="DQR92" s="362"/>
      <c r="DQS92" s="362"/>
      <c r="DQT92" s="362"/>
      <c r="DQU92" s="362"/>
      <c r="DQV92" s="362"/>
      <c r="DQW92" s="362"/>
      <c r="DQX92" s="362"/>
      <c r="DQY92" s="362"/>
      <c r="DQZ92" s="362"/>
      <c r="DRA92" s="362"/>
      <c r="DRB92" s="362"/>
      <c r="DRC92" s="362"/>
      <c r="DRD92" s="362"/>
      <c r="DRE92" s="362"/>
      <c r="DRF92" s="362"/>
      <c r="DRG92" s="362"/>
      <c r="DRH92" s="362"/>
      <c r="DRI92" s="362"/>
      <c r="DRJ92" s="362"/>
      <c r="DRK92" s="362"/>
      <c r="DRL92" s="362"/>
      <c r="DRM92" s="362"/>
      <c r="DRN92" s="362"/>
      <c r="DRO92" s="362"/>
      <c r="DRP92" s="362"/>
      <c r="DRQ92" s="362"/>
      <c r="DRR92" s="362"/>
      <c r="DRS92" s="362"/>
      <c r="DRT92" s="362"/>
      <c r="DRU92" s="362"/>
      <c r="DRV92" s="362"/>
      <c r="DRW92" s="362"/>
      <c r="DRX92" s="362"/>
      <c r="DRY92" s="362"/>
      <c r="DRZ92" s="362"/>
      <c r="DSA92" s="362"/>
      <c r="DSB92" s="362"/>
      <c r="DSC92" s="362"/>
      <c r="DSD92" s="362"/>
      <c r="DSE92" s="362"/>
      <c r="DSF92" s="362"/>
      <c r="DSG92" s="362"/>
      <c r="DSH92" s="362"/>
      <c r="DSI92" s="362"/>
      <c r="DSJ92" s="362"/>
      <c r="DSK92" s="362"/>
      <c r="DSL92" s="362"/>
      <c r="DSM92" s="362"/>
      <c r="DSN92" s="362"/>
      <c r="DSO92" s="362"/>
      <c r="DSP92" s="362"/>
      <c r="DSQ92" s="362"/>
      <c r="DSR92" s="362"/>
      <c r="DSS92" s="362"/>
      <c r="DST92" s="362"/>
      <c r="DSU92" s="362"/>
      <c r="DSV92" s="362"/>
      <c r="DSW92" s="362"/>
      <c r="DSX92" s="362"/>
      <c r="DSY92" s="362"/>
      <c r="DSZ92" s="362"/>
      <c r="DTA92" s="362"/>
      <c r="DTB92" s="362"/>
      <c r="DTC92" s="362"/>
      <c r="DTD92" s="362"/>
      <c r="DTE92" s="362"/>
      <c r="DTF92" s="362"/>
      <c r="DTG92" s="362"/>
      <c r="DTH92" s="362"/>
      <c r="DTI92" s="362"/>
      <c r="DTJ92" s="362"/>
      <c r="DTK92" s="362"/>
      <c r="DTL92" s="362"/>
      <c r="DTM92" s="362"/>
      <c r="DTN92" s="362"/>
      <c r="DTO92" s="362"/>
      <c r="DTP92" s="362"/>
      <c r="DTQ92" s="362"/>
      <c r="DTR92" s="362"/>
      <c r="DTS92" s="362"/>
      <c r="DTT92" s="362"/>
      <c r="DTU92" s="362"/>
      <c r="DTV92" s="362"/>
      <c r="DTW92" s="362"/>
      <c r="DTX92" s="362"/>
      <c r="DTY92" s="362"/>
      <c r="DTZ92" s="362"/>
      <c r="DUA92" s="362"/>
      <c r="DUB92" s="362"/>
      <c r="DUC92" s="362"/>
      <c r="DUD92" s="362"/>
      <c r="DUE92" s="362"/>
      <c r="DUF92" s="362"/>
      <c r="DUG92" s="362"/>
      <c r="DUH92" s="362"/>
      <c r="DUI92" s="362"/>
      <c r="DUJ92" s="362"/>
      <c r="DUK92" s="362"/>
      <c r="DUL92" s="362"/>
      <c r="DUM92" s="362"/>
      <c r="DUN92" s="362"/>
      <c r="DUO92" s="362"/>
      <c r="DUP92" s="362"/>
      <c r="DUQ92" s="362"/>
      <c r="DUR92" s="362"/>
      <c r="DUS92" s="362"/>
      <c r="DUT92" s="362"/>
      <c r="DUU92" s="362"/>
      <c r="DUV92" s="362"/>
      <c r="DUW92" s="362"/>
      <c r="DUX92" s="362"/>
      <c r="DUY92" s="362"/>
      <c r="DUZ92" s="362"/>
      <c r="DVA92" s="362"/>
      <c r="DVB92" s="362"/>
      <c r="DVC92" s="362"/>
      <c r="DVD92" s="362"/>
      <c r="DVE92" s="362"/>
      <c r="DVF92" s="362"/>
      <c r="DVG92" s="362"/>
      <c r="DVH92" s="362"/>
      <c r="DVI92" s="362"/>
      <c r="DVJ92" s="362"/>
      <c r="DVK92" s="362"/>
      <c r="DVL92" s="362"/>
      <c r="DVM92" s="362"/>
      <c r="DVN92" s="362"/>
      <c r="DVO92" s="362"/>
      <c r="DVP92" s="362"/>
      <c r="DVQ92" s="362"/>
      <c r="DVR92" s="362"/>
      <c r="DVS92" s="362"/>
      <c r="DVT92" s="362"/>
      <c r="DVU92" s="362"/>
      <c r="DVV92" s="362"/>
      <c r="DVW92" s="362"/>
      <c r="DVX92" s="362"/>
      <c r="DVY92" s="362"/>
      <c r="DVZ92" s="362"/>
      <c r="DWA92" s="362"/>
      <c r="DWB92" s="362"/>
      <c r="DWC92" s="362"/>
      <c r="DWD92" s="362"/>
      <c r="DWE92" s="362"/>
      <c r="DWF92" s="362"/>
      <c r="DWG92" s="362"/>
      <c r="DWH92" s="362"/>
      <c r="DWI92" s="362"/>
      <c r="DWJ92" s="362"/>
      <c r="DWK92" s="362"/>
      <c r="DWL92" s="362"/>
      <c r="DWM92" s="362"/>
      <c r="DWN92" s="362"/>
      <c r="DWO92" s="362"/>
      <c r="DWP92" s="362"/>
      <c r="DWQ92" s="362"/>
      <c r="DWR92" s="362"/>
      <c r="DWS92" s="362"/>
      <c r="DWT92" s="362"/>
      <c r="DWU92" s="362"/>
      <c r="DWV92" s="362"/>
      <c r="DWW92" s="362"/>
      <c r="DWX92" s="362"/>
      <c r="DWY92" s="362"/>
      <c r="DWZ92" s="362"/>
      <c r="DXA92" s="362"/>
      <c r="DXB92" s="362"/>
      <c r="DXC92" s="362"/>
      <c r="DXD92" s="362"/>
      <c r="DXE92" s="362"/>
      <c r="DXF92" s="362"/>
      <c r="DXG92" s="362"/>
      <c r="DXH92" s="362"/>
      <c r="DXI92" s="362"/>
      <c r="DXJ92" s="362"/>
      <c r="DXK92" s="362"/>
      <c r="DXL92" s="362"/>
      <c r="DXM92" s="362"/>
      <c r="DXN92" s="362"/>
      <c r="DXO92" s="362"/>
      <c r="DXP92" s="362"/>
      <c r="DXQ92" s="362"/>
      <c r="DXR92" s="362"/>
      <c r="DXS92" s="362"/>
      <c r="DXT92" s="362"/>
      <c r="DXU92" s="362"/>
      <c r="DXV92" s="362"/>
      <c r="DXW92" s="362"/>
      <c r="DXX92" s="362"/>
      <c r="DXY92" s="362"/>
      <c r="DXZ92" s="362"/>
      <c r="DYA92" s="362"/>
      <c r="DYB92" s="362"/>
      <c r="DYC92" s="362"/>
      <c r="DYD92" s="362"/>
      <c r="DYE92" s="362"/>
      <c r="DYF92" s="362"/>
      <c r="DYG92" s="362"/>
      <c r="DYH92" s="362"/>
      <c r="DYI92" s="362"/>
      <c r="DYJ92" s="362"/>
      <c r="DYK92" s="362"/>
      <c r="DYL92" s="362"/>
      <c r="DYM92" s="362"/>
      <c r="DYN92" s="362"/>
      <c r="DYO92" s="362"/>
      <c r="DYP92" s="362"/>
      <c r="DYQ92" s="362"/>
      <c r="DYR92" s="362"/>
      <c r="DYS92" s="362"/>
      <c r="DYT92" s="362"/>
      <c r="DYU92" s="362"/>
      <c r="DYV92" s="362"/>
      <c r="DYW92" s="362"/>
      <c r="DYX92" s="362"/>
      <c r="DYY92" s="362"/>
      <c r="DYZ92" s="362"/>
      <c r="DZA92" s="362"/>
      <c r="DZB92" s="362"/>
      <c r="DZC92" s="362"/>
      <c r="DZD92" s="362"/>
      <c r="DZE92" s="362"/>
      <c r="DZF92" s="362"/>
      <c r="DZG92" s="362"/>
      <c r="DZH92" s="362"/>
      <c r="DZI92" s="362"/>
      <c r="DZJ92" s="362"/>
      <c r="DZK92" s="362"/>
      <c r="DZL92" s="362"/>
      <c r="DZM92" s="362"/>
      <c r="DZN92" s="362"/>
      <c r="DZO92" s="362"/>
      <c r="DZP92" s="362"/>
      <c r="DZQ92" s="362"/>
      <c r="DZR92" s="362"/>
      <c r="DZS92" s="362"/>
      <c r="DZT92" s="362"/>
      <c r="DZU92" s="362"/>
      <c r="DZV92" s="362"/>
      <c r="DZW92" s="362"/>
      <c r="DZX92" s="362"/>
      <c r="DZY92" s="362"/>
      <c r="DZZ92" s="362"/>
      <c r="EAA92" s="362"/>
      <c r="EAB92" s="362"/>
      <c r="EAC92" s="362"/>
      <c r="EAD92" s="362"/>
      <c r="EAE92" s="362"/>
      <c r="EAF92" s="362"/>
      <c r="EAG92" s="362"/>
      <c r="EAH92" s="362"/>
      <c r="EAI92" s="362"/>
      <c r="EAJ92" s="362"/>
      <c r="EAK92" s="362"/>
      <c r="EAL92" s="362"/>
      <c r="EAM92" s="362"/>
      <c r="EAN92" s="362"/>
      <c r="EAO92" s="362"/>
      <c r="EAP92" s="362"/>
      <c r="EAQ92" s="362"/>
      <c r="EAR92" s="362"/>
      <c r="EAS92" s="362"/>
      <c r="EAT92" s="362"/>
      <c r="EAU92" s="362"/>
      <c r="EAV92" s="362"/>
      <c r="EAW92" s="362"/>
      <c r="EAX92" s="362"/>
      <c r="EAY92" s="362"/>
      <c r="EAZ92" s="362"/>
      <c r="EBA92" s="362"/>
      <c r="EBB92" s="362"/>
      <c r="EBC92" s="362"/>
      <c r="EBD92" s="362"/>
      <c r="EBE92" s="362"/>
      <c r="EBF92" s="362"/>
      <c r="EBG92" s="362"/>
      <c r="EBH92" s="362"/>
      <c r="EBI92" s="362"/>
      <c r="EBJ92" s="362"/>
      <c r="EBK92" s="362"/>
      <c r="EBL92" s="362"/>
      <c r="EBM92" s="362"/>
      <c r="EBN92" s="362"/>
      <c r="EBO92" s="362"/>
      <c r="EBP92" s="362"/>
      <c r="EBQ92" s="362"/>
      <c r="EBR92" s="362"/>
      <c r="EBS92" s="362"/>
      <c r="EBT92" s="362"/>
      <c r="EBU92" s="362"/>
      <c r="EBV92" s="362"/>
      <c r="EBW92" s="362"/>
      <c r="EBX92" s="362"/>
      <c r="EBY92" s="362"/>
      <c r="EBZ92" s="362"/>
      <c r="ECA92" s="362"/>
      <c r="ECB92" s="362"/>
      <c r="ECC92" s="362"/>
      <c r="ECD92" s="362"/>
      <c r="ECE92" s="362"/>
      <c r="ECF92" s="362"/>
      <c r="ECG92" s="362"/>
      <c r="ECH92" s="362"/>
      <c r="ECI92" s="362"/>
      <c r="ECJ92" s="362"/>
      <c r="ECK92" s="362"/>
      <c r="ECL92" s="362"/>
      <c r="ECM92" s="362"/>
      <c r="ECN92" s="362"/>
      <c r="ECO92" s="362"/>
      <c r="ECP92" s="362"/>
      <c r="ECQ92" s="362"/>
      <c r="ECR92" s="362"/>
      <c r="ECS92" s="362"/>
      <c r="ECT92" s="362"/>
      <c r="ECU92" s="362"/>
      <c r="ECV92" s="362"/>
      <c r="ECW92" s="362"/>
      <c r="ECX92" s="362"/>
      <c r="ECY92" s="362"/>
      <c r="ECZ92" s="362"/>
      <c r="EDA92" s="362"/>
      <c r="EDB92" s="362"/>
      <c r="EDC92" s="362"/>
      <c r="EDD92" s="362"/>
      <c r="EDE92" s="362"/>
      <c r="EDF92" s="362"/>
      <c r="EDG92" s="362"/>
      <c r="EDH92" s="362"/>
      <c r="EDI92" s="362"/>
      <c r="EDJ92" s="362"/>
      <c r="EDK92" s="362"/>
      <c r="EDL92" s="362"/>
      <c r="EDM92" s="362"/>
      <c r="EDN92" s="362"/>
      <c r="EDO92" s="362"/>
      <c r="EDP92" s="362"/>
      <c r="EDQ92" s="362"/>
      <c r="EDR92" s="362"/>
      <c r="EDS92" s="362"/>
      <c r="EDT92" s="362"/>
      <c r="EDU92" s="362"/>
      <c r="EDV92" s="362"/>
      <c r="EDW92" s="362"/>
      <c r="EDX92" s="362"/>
      <c r="EDY92" s="362"/>
      <c r="EDZ92" s="362"/>
      <c r="EEA92" s="362"/>
      <c r="EEB92" s="362"/>
      <c r="EEC92" s="362"/>
      <c r="EED92" s="362"/>
      <c r="EEE92" s="362"/>
      <c r="EEF92" s="362"/>
      <c r="EEG92" s="362"/>
      <c r="EEH92" s="362"/>
      <c r="EEI92" s="362"/>
      <c r="EEJ92" s="362"/>
      <c r="EEK92" s="362"/>
      <c r="EEL92" s="362"/>
      <c r="EEM92" s="362"/>
      <c r="EEN92" s="362"/>
      <c r="EEO92" s="362"/>
      <c r="EEP92" s="362"/>
      <c r="EEQ92" s="362"/>
      <c r="EER92" s="362"/>
      <c r="EES92" s="362"/>
      <c r="EET92" s="362"/>
      <c r="EEU92" s="362"/>
      <c r="EEV92" s="362"/>
      <c r="EEW92" s="362"/>
      <c r="EEX92" s="362"/>
      <c r="EEY92" s="362"/>
      <c r="EEZ92" s="362"/>
      <c r="EFA92" s="362"/>
      <c r="EFB92" s="362"/>
      <c r="EFC92" s="362"/>
      <c r="EFD92" s="362"/>
      <c r="EFE92" s="362"/>
      <c r="EFF92" s="362"/>
      <c r="EFG92" s="362"/>
      <c r="EFH92" s="362"/>
      <c r="EFI92" s="362"/>
      <c r="EFJ92" s="362"/>
      <c r="EFK92" s="362"/>
      <c r="EFL92" s="362"/>
      <c r="EFM92" s="362"/>
      <c r="EFN92" s="362"/>
      <c r="EFO92" s="362"/>
      <c r="EFP92" s="362"/>
      <c r="EFQ92" s="362"/>
      <c r="EFR92" s="362"/>
      <c r="EFS92" s="362"/>
      <c r="EFT92" s="362"/>
      <c r="EFU92" s="362"/>
      <c r="EFV92" s="362"/>
      <c r="EFW92" s="362"/>
      <c r="EFX92" s="362"/>
      <c r="EFY92" s="362"/>
      <c r="EFZ92" s="362"/>
      <c r="EGA92" s="362"/>
      <c r="EGB92" s="362"/>
      <c r="EGC92" s="362"/>
      <c r="EGD92" s="362"/>
      <c r="EGE92" s="362"/>
      <c r="EGF92" s="362"/>
      <c r="EGG92" s="362"/>
      <c r="EGH92" s="362"/>
      <c r="EGI92" s="362"/>
      <c r="EGJ92" s="362"/>
      <c r="EGK92" s="362"/>
      <c r="EGL92" s="362"/>
      <c r="EGM92" s="362"/>
      <c r="EGN92" s="362"/>
      <c r="EGO92" s="362"/>
      <c r="EGP92" s="362"/>
      <c r="EGQ92" s="362"/>
      <c r="EGR92" s="362"/>
      <c r="EGS92" s="362"/>
      <c r="EGT92" s="362"/>
      <c r="EGU92" s="362"/>
      <c r="EGV92" s="362"/>
      <c r="EGW92" s="362"/>
      <c r="EGX92" s="362"/>
      <c r="EGY92" s="362"/>
      <c r="EGZ92" s="362"/>
      <c r="EHA92" s="362"/>
      <c r="EHB92" s="362"/>
      <c r="EHC92" s="362"/>
      <c r="EHD92" s="362"/>
      <c r="EHE92" s="362"/>
      <c r="EHF92" s="362"/>
      <c r="EHG92" s="362"/>
      <c r="EHH92" s="362"/>
      <c r="EHI92" s="362"/>
      <c r="EHJ92" s="362"/>
      <c r="EHK92" s="362"/>
      <c r="EHL92" s="362"/>
      <c r="EHM92" s="362"/>
      <c r="EHN92" s="362"/>
      <c r="EHO92" s="362"/>
      <c r="EHP92" s="362"/>
      <c r="EHQ92" s="362"/>
      <c r="EHR92" s="362"/>
      <c r="EHS92" s="362"/>
      <c r="EHT92" s="362"/>
      <c r="EHU92" s="362"/>
      <c r="EHV92" s="362"/>
      <c r="EHW92" s="362"/>
      <c r="EHX92" s="362"/>
      <c r="EHY92" s="362"/>
      <c r="EHZ92" s="362"/>
      <c r="EIA92" s="362"/>
      <c r="EIB92" s="362"/>
      <c r="EIC92" s="362"/>
      <c r="EID92" s="362"/>
      <c r="EIE92" s="362"/>
      <c r="EIF92" s="362"/>
      <c r="EIG92" s="362"/>
      <c r="EIH92" s="362"/>
      <c r="EII92" s="362"/>
      <c r="EIJ92" s="362"/>
      <c r="EIK92" s="362"/>
      <c r="EIL92" s="362"/>
      <c r="EIM92" s="362"/>
      <c r="EIN92" s="362"/>
      <c r="EIO92" s="362"/>
      <c r="EIP92" s="362"/>
      <c r="EIQ92" s="362"/>
      <c r="EIR92" s="362"/>
      <c r="EIS92" s="362"/>
      <c r="EIT92" s="362"/>
      <c r="EIU92" s="362"/>
      <c r="EIV92" s="362"/>
      <c r="EIW92" s="362"/>
      <c r="EIX92" s="362"/>
      <c r="EIY92" s="362"/>
      <c r="EIZ92" s="362"/>
      <c r="EJA92" s="362"/>
      <c r="EJB92" s="362"/>
      <c r="EJC92" s="362"/>
      <c r="EJD92" s="362"/>
      <c r="EJE92" s="362"/>
      <c r="EJF92" s="362"/>
      <c r="EJG92" s="362"/>
      <c r="EJH92" s="362"/>
      <c r="EJI92" s="362"/>
      <c r="EJJ92" s="362"/>
      <c r="EJK92" s="362"/>
      <c r="EJL92" s="362"/>
      <c r="EJM92" s="362"/>
      <c r="EJN92" s="362"/>
      <c r="EJO92" s="362"/>
      <c r="EJP92" s="362"/>
      <c r="EJQ92" s="362"/>
      <c r="EJR92" s="362"/>
      <c r="EJS92" s="362"/>
      <c r="EJT92" s="362"/>
      <c r="EJU92" s="362"/>
      <c r="EJV92" s="362"/>
      <c r="EJW92" s="362"/>
      <c r="EJX92" s="362"/>
      <c r="EJY92" s="362"/>
      <c r="EJZ92" s="362"/>
      <c r="EKA92" s="362"/>
      <c r="EKB92" s="362"/>
      <c r="EKC92" s="362"/>
      <c r="EKD92" s="362"/>
      <c r="EKE92" s="362"/>
      <c r="EKF92" s="362"/>
      <c r="EKG92" s="362"/>
      <c r="EKH92" s="362"/>
      <c r="EKI92" s="362"/>
      <c r="EKJ92" s="362"/>
      <c r="EKK92" s="362"/>
      <c r="EKL92" s="362"/>
      <c r="EKM92" s="362"/>
      <c r="EKN92" s="362"/>
      <c r="EKO92" s="362"/>
      <c r="EKP92" s="362"/>
      <c r="EKQ92" s="362"/>
      <c r="EKR92" s="362"/>
      <c r="EKS92" s="362"/>
      <c r="EKT92" s="362"/>
      <c r="EKU92" s="362"/>
      <c r="EKV92" s="362"/>
      <c r="EKW92" s="362"/>
      <c r="EKX92" s="362"/>
      <c r="EKY92" s="362"/>
      <c r="EKZ92" s="362"/>
      <c r="ELA92" s="362"/>
      <c r="ELB92" s="362"/>
      <c r="ELC92" s="362"/>
      <c r="ELD92" s="362"/>
      <c r="ELE92" s="362"/>
      <c r="ELF92" s="362"/>
      <c r="ELG92" s="362"/>
      <c r="ELH92" s="362"/>
      <c r="ELI92" s="362"/>
      <c r="ELJ92" s="362"/>
      <c r="ELK92" s="362"/>
      <c r="ELL92" s="362"/>
      <c r="ELM92" s="362"/>
      <c r="ELN92" s="362"/>
      <c r="ELO92" s="362"/>
      <c r="ELP92" s="362"/>
      <c r="ELQ92" s="362"/>
      <c r="ELR92" s="362"/>
      <c r="ELS92" s="362"/>
      <c r="ELT92" s="362"/>
      <c r="ELU92" s="362"/>
      <c r="ELV92" s="362"/>
      <c r="ELW92" s="362"/>
      <c r="ELX92" s="362"/>
      <c r="ELY92" s="362"/>
      <c r="ELZ92" s="362"/>
      <c r="EMA92" s="362"/>
      <c r="EMB92" s="362"/>
      <c r="EMC92" s="362"/>
      <c r="EMD92" s="362"/>
      <c r="EME92" s="362"/>
      <c r="EMF92" s="362"/>
      <c r="EMG92" s="362"/>
      <c r="EMH92" s="362"/>
      <c r="EMI92" s="362"/>
      <c r="EMJ92" s="362"/>
      <c r="EMK92" s="362"/>
      <c r="EML92" s="362"/>
      <c r="EMM92" s="362"/>
      <c r="EMN92" s="362"/>
      <c r="EMO92" s="362"/>
      <c r="EMP92" s="362"/>
      <c r="EMQ92" s="362"/>
      <c r="EMR92" s="362"/>
      <c r="EMS92" s="362"/>
      <c r="EMT92" s="362"/>
      <c r="EMU92" s="362"/>
      <c r="EMV92" s="362"/>
      <c r="EMW92" s="362"/>
      <c r="EMX92" s="362"/>
      <c r="EMY92" s="362"/>
      <c r="EMZ92" s="362"/>
      <c r="ENA92" s="362"/>
      <c r="ENB92" s="362"/>
      <c r="ENC92" s="362"/>
      <c r="END92" s="362"/>
      <c r="ENE92" s="362"/>
      <c r="ENF92" s="362"/>
      <c r="ENG92" s="362"/>
      <c r="ENH92" s="362"/>
      <c r="ENI92" s="362"/>
      <c r="ENJ92" s="362"/>
      <c r="ENK92" s="362"/>
      <c r="ENL92" s="362"/>
      <c r="ENM92" s="362"/>
      <c r="ENN92" s="362"/>
      <c r="ENO92" s="362"/>
      <c r="ENP92" s="362"/>
      <c r="ENQ92" s="362"/>
      <c r="ENR92" s="362"/>
      <c r="ENS92" s="362"/>
      <c r="ENT92" s="362"/>
      <c r="ENU92" s="362"/>
      <c r="ENV92" s="362"/>
      <c r="ENW92" s="362"/>
      <c r="ENX92" s="362"/>
      <c r="ENY92" s="362"/>
      <c r="ENZ92" s="362"/>
      <c r="EOA92" s="362"/>
      <c r="EOB92" s="362"/>
      <c r="EOC92" s="362"/>
      <c r="EOD92" s="362"/>
      <c r="EOE92" s="362"/>
      <c r="EOF92" s="362"/>
      <c r="EOG92" s="362"/>
      <c r="EOH92" s="362"/>
      <c r="EOI92" s="362"/>
      <c r="EOJ92" s="362"/>
      <c r="EOK92" s="362"/>
      <c r="EOL92" s="362"/>
      <c r="EOM92" s="362"/>
      <c r="EON92" s="362"/>
      <c r="EOO92" s="362"/>
      <c r="EOP92" s="362"/>
      <c r="EOQ92" s="362"/>
      <c r="EOR92" s="362"/>
      <c r="EOS92" s="362"/>
      <c r="EOT92" s="362"/>
      <c r="EOU92" s="362"/>
      <c r="EOV92" s="362"/>
      <c r="EOW92" s="362"/>
      <c r="EOX92" s="362"/>
      <c r="EOY92" s="362"/>
      <c r="EOZ92" s="362"/>
      <c r="EPA92" s="362"/>
      <c r="EPB92" s="362"/>
      <c r="EPC92" s="362"/>
      <c r="EPD92" s="362"/>
      <c r="EPE92" s="362"/>
      <c r="EPF92" s="362"/>
      <c r="EPG92" s="362"/>
      <c r="EPH92" s="362"/>
      <c r="EPI92" s="362"/>
      <c r="EPJ92" s="362"/>
      <c r="EPK92" s="362"/>
      <c r="EPL92" s="362"/>
      <c r="EPM92" s="362"/>
      <c r="EPN92" s="362"/>
      <c r="EPO92" s="362"/>
      <c r="EPP92" s="362"/>
      <c r="EPQ92" s="362"/>
      <c r="EPR92" s="362"/>
      <c r="EPS92" s="362"/>
      <c r="EPT92" s="362"/>
      <c r="EPU92" s="362"/>
      <c r="EPV92" s="362"/>
      <c r="EPW92" s="362"/>
      <c r="EPX92" s="362"/>
      <c r="EPY92" s="362"/>
      <c r="EPZ92" s="362"/>
      <c r="EQA92" s="362"/>
      <c r="EQB92" s="362"/>
      <c r="EQC92" s="362"/>
      <c r="EQD92" s="362"/>
      <c r="EQE92" s="362"/>
      <c r="EQF92" s="362"/>
      <c r="EQG92" s="362"/>
      <c r="EQH92" s="362"/>
      <c r="EQI92" s="362"/>
      <c r="EQJ92" s="362"/>
      <c r="EQK92" s="362"/>
      <c r="EQL92" s="362"/>
      <c r="EQM92" s="362"/>
      <c r="EQN92" s="362"/>
      <c r="EQO92" s="362"/>
      <c r="EQP92" s="362"/>
      <c r="EQQ92" s="362"/>
      <c r="EQR92" s="362"/>
      <c r="EQS92" s="362"/>
      <c r="EQT92" s="362"/>
      <c r="EQU92" s="362"/>
      <c r="EQV92" s="362"/>
      <c r="EQW92" s="362"/>
      <c r="EQX92" s="362"/>
      <c r="EQY92" s="362"/>
      <c r="EQZ92" s="362"/>
      <c r="ERA92" s="362"/>
      <c r="ERB92" s="362"/>
      <c r="ERC92" s="362"/>
      <c r="ERD92" s="362"/>
      <c r="ERE92" s="362"/>
      <c r="ERF92" s="362"/>
      <c r="ERG92" s="362"/>
      <c r="ERH92" s="362"/>
      <c r="ERI92" s="362"/>
      <c r="ERJ92" s="362"/>
      <c r="ERK92" s="362"/>
      <c r="ERL92" s="362"/>
      <c r="ERM92" s="362"/>
      <c r="ERN92" s="362"/>
      <c r="ERO92" s="362"/>
      <c r="ERP92" s="362"/>
      <c r="ERQ92" s="362"/>
      <c r="ERR92" s="362"/>
      <c r="ERS92" s="362"/>
      <c r="ERT92" s="362"/>
      <c r="ERU92" s="362"/>
      <c r="ERV92" s="362"/>
      <c r="ERW92" s="362"/>
      <c r="ERX92" s="362"/>
      <c r="ERY92" s="362"/>
      <c r="ERZ92" s="362"/>
      <c r="ESA92" s="362"/>
      <c r="ESB92" s="362"/>
      <c r="ESC92" s="362"/>
      <c r="ESD92" s="362"/>
      <c r="ESE92" s="362"/>
      <c r="ESF92" s="362"/>
      <c r="ESG92" s="362"/>
      <c r="ESH92" s="362"/>
      <c r="ESI92" s="362"/>
      <c r="ESJ92" s="362"/>
      <c r="ESK92" s="362"/>
      <c r="ESL92" s="362"/>
      <c r="ESM92" s="362"/>
      <c r="ESN92" s="362"/>
      <c r="ESO92" s="362"/>
      <c r="ESP92" s="362"/>
      <c r="ESQ92" s="362"/>
      <c r="ESR92" s="362"/>
      <c r="ESS92" s="362"/>
      <c r="EST92" s="362"/>
      <c r="ESU92" s="362"/>
      <c r="ESV92" s="362"/>
      <c r="ESW92" s="362"/>
      <c r="ESX92" s="362"/>
      <c r="ESY92" s="362"/>
      <c r="ESZ92" s="362"/>
      <c r="ETA92" s="362"/>
      <c r="ETB92" s="362"/>
      <c r="ETC92" s="362"/>
      <c r="ETD92" s="362"/>
      <c r="ETE92" s="362"/>
      <c r="ETF92" s="362"/>
      <c r="ETG92" s="362"/>
      <c r="ETH92" s="362"/>
      <c r="ETI92" s="362"/>
      <c r="ETJ92" s="362"/>
      <c r="ETK92" s="362"/>
      <c r="ETL92" s="362"/>
      <c r="ETM92" s="362"/>
      <c r="ETN92" s="362"/>
      <c r="ETO92" s="362"/>
      <c r="ETP92" s="362"/>
      <c r="ETQ92" s="362"/>
      <c r="ETR92" s="362"/>
      <c r="ETS92" s="362"/>
      <c r="ETT92" s="362"/>
      <c r="ETU92" s="362"/>
      <c r="ETV92" s="362"/>
      <c r="ETW92" s="362"/>
      <c r="ETX92" s="362"/>
      <c r="ETY92" s="362"/>
      <c r="ETZ92" s="362"/>
      <c r="EUA92" s="362"/>
      <c r="EUB92" s="362"/>
      <c r="EUC92" s="362"/>
      <c r="EUD92" s="362"/>
      <c r="EUE92" s="362"/>
      <c r="EUF92" s="362"/>
      <c r="EUG92" s="362"/>
      <c r="EUH92" s="362"/>
      <c r="EUI92" s="362"/>
      <c r="EUJ92" s="362"/>
      <c r="EUK92" s="362"/>
      <c r="EUL92" s="362"/>
      <c r="EUM92" s="362"/>
      <c r="EUN92" s="362"/>
      <c r="EUO92" s="362"/>
      <c r="EUP92" s="362"/>
      <c r="EUQ92" s="362"/>
      <c r="EUR92" s="362"/>
      <c r="EUS92" s="362"/>
      <c r="EUT92" s="362"/>
      <c r="EUU92" s="362"/>
      <c r="EUV92" s="362"/>
      <c r="EUW92" s="362"/>
      <c r="EUX92" s="362"/>
      <c r="EUY92" s="362"/>
      <c r="EUZ92" s="362"/>
      <c r="EVA92" s="362"/>
      <c r="EVB92" s="362"/>
      <c r="EVC92" s="362"/>
      <c r="EVD92" s="362"/>
      <c r="EVE92" s="362"/>
      <c r="EVF92" s="362"/>
      <c r="EVG92" s="362"/>
      <c r="EVH92" s="362"/>
      <c r="EVI92" s="362"/>
      <c r="EVJ92" s="362"/>
      <c r="EVK92" s="362"/>
      <c r="EVL92" s="362"/>
      <c r="EVM92" s="362"/>
      <c r="EVN92" s="362"/>
      <c r="EVO92" s="362"/>
      <c r="EVP92" s="362"/>
      <c r="EVQ92" s="362"/>
      <c r="EVR92" s="362"/>
      <c r="EVS92" s="362"/>
      <c r="EVT92" s="362"/>
      <c r="EVU92" s="362"/>
      <c r="EVV92" s="362"/>
      <c r="EVW92" s="362"/>
      <c r="EVX92" s="362"/>
      <c r="EVY92" s="362"/>
      <c r="EVZ92" s="362"/>
      <c r="EWA92" s="362"/>
      <c r="EWB92" s="362"/>
      <c r="EWC92" s="362"/>
      <c r="EWD92" s="362"/>
      <c r="EWE92" s="362"/>
      <c r="EWF92" s="362"/>
      <c r="EWG92" s="362"/>
      <c r="EWH92" s="362"/>
      <c r="EWI92" s="362"/>
      <c r="EWJ92" s="362"/>
      <c r="EWK92" s="362"/>
      <c r="EWL92" s="362"/>
      <c r="EWM92" s="362"/>
      <c r="EWN92" s="362"/>
      <c r="EWO92" s="362"/>
      <c r="EWP92" s="362"/>
      <c r="EWQ92" s="362"/>
      <c r="EWR92" s="362"/>
      <c r="EWS92" s="362"/>
      <c r="EWT92" s="362"/>
      <c r="EWU92" s="362"/>
      <c r="EWV92" s="362"/>
      <c r="EWW92" s="362"/>
      <c r="EWX92" s="362"/>
      <c r="EWY92" s="362"/>
      <c r="EWZ92" s="362"/>
      <c r="EXA92" s="362"/>
      <c r="EXB92" s="362"/>
      <c r="EXC92" s="362"/>
      <c r="EXD92" s="362"/>
      <c r="EXE92" s="362"/>
      <c r="EXF92" s="362"/>
      <c r="EXG92" s="362"/>
      <c r="EXH92" s="362"/>
      <c r="EXI92" s="362"/>
      <c r="EXJ92" s="362"/>
      <c r="EXK92" s="362"/>
      <c r="EXL92" s="362"/>
      <c r="EXM92" s="362"/>
      <c r="EXN92" s="362"/>
      <c r="EXO92" s="362"/>
      <c r="EXP92" s="362"/>
      <c r="EXQ92" s="362"/>
      <c r="EXR92" s="362"/>
      <c r="EXS92" s="362"/>
      <c r="EXT92" s="362"/>
      <c r="EXU92" s="362"/>
      <c r="EXV92" s="362"/>
      <c r="EXW92" s="362"/>
      <c r="EXX92" s="362"/>
      <c r="EXY92" s="362"/>
      <c r="EXZ92" s="362"/>
      <c r="EYA92" s="362"/>
      <c r="EYB92" s="362"/>
      <c r="EYC92" s="362"/>
      <c r="EYD92" s="362"/>
      <c r="EYE92" s="362"/>
      <c r="EYF92" s="362"/>
      <c r="EYG92" s="362"/>
      <c r="EYH92" s="362"/>
      <c r="EYI92" s="362"/>
      <c r="EYJ92" s="362"/>
      <c r="EYK92" s="362"/>
      <c r="EYL92" s="362"/>
      <c r="EYM92" s="362"/>
      <c r="EYN92" s="362"/>
      <c r="EYO92" s="362"/>
      <c r="EYP92" s="362"/>
      <c r="EYQ92" s="362"/>
      <c r="EYR92" s="362"/>
      <c r="EYS92" s="362"/>
      <c r="EYT92" s="362"/>
      <c r="EYU92" s="362"/>
      <c r="EYV92" s="362"/>
      <c r="EYW92" s="362"/>
      <c r="EYX92" s="362"/>
      <c r="EYY92" s="362"/>
      <c r="EYZ92" s="362"/>
      <c r="EZA92" s="362"/>
      <c r="EZB92" s="362"/>
      <c r="EZC92" s="362"/>
      <c r="EZD92" s="362"/>
      <c r="EZE92" s="362"/>
      <c r="EZF92" s="362"/>
      <c r="EZG92" s="362"/>
      <c r="EZH92" s="362"/>
      <c r="EZI92" s="362"/>
      <c r="EZJ92" s="362"/>
      <c r="EZK92" s="362"/>
      <c r="EZL92" s="362"/>
      <c r="EZM92" s="362"/>
      <c r="EZN92" s="362"/>
      <c r="EZO92" s="362"/>
      <c r="EZP92" s="362"/>
      <c r="EZQ92" s="362"/>
      <c r="EZR92" s="362"/>
      <c r="EZS92" s="362"/>
      <c r="EZT92" s="362"/>
      <c r="EZU92" s="362"/>
      <c r="EZV92" s="362"/>
      <c r="EZW92" s="362"/>
      <c r="EZX92" s="362"/>
      <c r="EZY92" s="362"/>
      <c r="EZZ92" s="362"/>
      <c r="FAA92" s="362"/>
      <c r="FAB92" s="362"/>
      <c r="FAC92" s="362"/>
      <c r="FAD92" s="362"/>
      <c r="FAE92" s="362"/>
      <c r="FAF92" s="362"/>
      <c r="FAG92" s="362"/>
      <c r="FAH92" s="362"/>
      <c r="FAI92" s="362"/>
      <c r="FAJ92" s="362"/>
      <c r="FAK92" s="362"/>
      <c r="FAL92" s="362"/>
      <c r="FAM92" s="362"/>
      <c r="FAN92" s="362"/>
      <c r="FAO92" s="362"/>
      <c r="FAP92" s="362"/>
      <c r="FAQ92" s="362"/>
      <c r="FAR92" s="362"/>
      <c r="FAS92" s="362"/>
      <c r="FAT92" s="362"/>
      <c r="FAU92" s="362"/>
      <c r="FAV92" s="362"/>
      <c r="FAW92" s="362"/>
      <c r="FAX92" s="362"/>
      <c r="FAY92" s="362"/>
      <c r="FAZ92" s="362"/>
      <c r="FBA92" s="362"/>
      <c r="FBB92" s="362"/>
      <c r="FBC92" s="362"/>
      <c r="FBD92" s="362"/>
      <c r="FBE92" s="362"/>
      <c r="FBF92" s="362"/>
      <c r="FBG92" s="362"/>
      <c r="FBH92" s="362"/>
      <c r="FBI92" s="362"/>
      <c r="FBJ92" s="362"/>
      <c r="FBK92" s="362"/>
      <c r="FBL92" s="362"/>
      <c r="FBM92" s="362"/>
      <c r="FBN92" s="362"/>
      <c r="FBO92" s="362"/>
      <c r="FBP92" s="362"/>
      <c r="FBQ92" s="362"/>
      <c r="FBR92" s="362"/>
      <c r="FBS92" s="362"/>
      <c r="FBT92" s="362"/>
      <c r="FBU92" s="362"/>
      <c r="FBV92" s="362"/>
      <c r="FBW92" s="362"/>
      <c r="FBX92" s="362"/>
      <c r="FBY92" s="362"/>
      <c r="FBZ92" s="362"/>
      <c r="FCA92" s="362"/>
      <c r="FCB92" s="362"/>
      <c r="FCC92" s="362"/>
      <c r="FCD92" s="362"/>
      <c r="FCE92" s="362"/>
      <c r="FCF92" s="362"/>
      <c r="FCG92" s="362"/>
      <c r="FCH92" s="362"/>
      <c r="FCI92" s="362"/>
      <c r="FCJ92" s="362"/>
      <c r="FCK92" s="362"/>
      <c r="FCL92" s="362"/>
      <c r="FCM92" s="362"/>
      <c r="FCN92" s="362"/>
      <c r="FCO92" s="362"/>
      <c r="FCP92" s="362"/>
      <c r="FCQ92" s="362"/>
      <c r="FCR92" s="362"/>
      <c r="FCS92" s="362"/>
      <c r="FCT92" s="362"/>
      <c r="FCU92" s="362"/>
      <c r="FCV92" s="362"/>
      <c r="FCW92" s="362"/>
      <c r="FCX92" s="362"/>
      <c r="FCY92" s="362"/>
      <c r="FCZ92" s="362"/>
      <c r="FDA92" s="362"/>
      <c r="FDB92" s="362"/>
      <c r="FDC92" s="362"/>
      <c r="FDD92" s="362"/>
      <c r="FDE92" s="362"/>
      <c r="FDF92" s="362"/>
      <c r="FDG92" s="362"/>
      <c r="FDH92" s="362"/>
      <c r="FDI92" s="362"/>
      <c r="FDJ92" s="362"/>
      <c r="FDK92" s="362"/>
      <c r="FDL92" s="362"/>
      <c r="FDM92" s="362"/>
      <c r="FDN92" s="362"/>
      <c r="FDO92" s="362"/>
      <c r="FDP92" s="362"/>
      <c r="FDQ92" s="362"/>
      <c r="FDR92" s="362"/>
      <c r="FDS92" s="362"/>
      <c r="FDT92" s="362"/>
      <c r="FDU92" s="362"/>
      <c r="FDV92" s="362"/>
      <c r="FDW92" s="362"/>
      <c r="FDX92" s="362"/>
      <c r="FDY92" s="362"/>
      <c r="FDZ92" s="362"/>
      <c r="FEA92" s="362"/>
      <c r="FEB92" s="362"/>
      <c r="FEC92" s="362"/>
      <c r="FED92" s="362"/>
      <c r="FEE92" s="362"/>
      <c r="FEF92" s="362"/>
      <c r="FEG92" s="362"/>
      <c r="FEH92" s="362"/>
      <c r="FEI92" s="362"/>
      <c r="FEJ92" s="362"/>
      <c r="FEK92" s="362"/>
      <c r="FEL92" s="362"/>
      <c r="FEM92" s="362"/>
      <c r="FEN92" s="362"/>
      <c r="FEO92" s="362"/>
      <c r="FEP92" s="362"/>
      <c r="FEQ92" s="362"/>
      <c r="FER92" s="362"/>
      <c r="FES92" s="362"/>
      <c r="FET92" s="362"/>
      <c r="FEU92" s="362"/>
      <c r="FEV92" s="362"/>
      <c r="FEW92" s="362"/>
      <c r="FEX92" s="362"/>
      <c r="FEY92" s="362"/>
      <c r="FEZ92" s="362"/>
      <c r="FFA92" s="362"/>
      <c r="FFB92" s="362"/>
      <c r="FFC92" s="362"/>
      <c r="FFD92" s="362"/>
      <c r="FFE92" s="362"/>
      <c r="FFF92" s="362"/>
      <c r="FFG92" s="362"/>
      <c r="FFH92" s="362"/>
      <c r="FFI92" s="362"/>
      <c r="FFJ92" s="362"/>
      <c r="FFK92" s="362"/>
      <c r="FFL92" s="362"/>
      <c r="FFM92" s="362"/>
      <c r="FFN92" s="362"/>
      <c r="FFO92" s="362"/>
      <c r="FFP92" s="362"/>
      <c r="FFQ92" s="362"/>
      <c r="FFR92" s="362"/>
      <c r="FFS92" s="362"/>
      <c r="FFT92" s="362"/>
      <c r="FFU92" s="362"/>
      <c r="FFV92" s="362"/>
      <c r="FFW92" s="362"/>
      <c r="FFX92" s="362"/>
      <c r="FFY92" s="362"/>
      <c r="FFZ92" s="362"/>
      <c r="FGA92" s="362"/>
      <c r="FGB92" s="362"/>
      <c r="FGC92" s="362"/>
      <c r="FGD92" s="362"/>
      <c r="FGE92" s="362"/>
      <c r="FGF92" s="362"/>
      <c r="FGG92" s="362"/>
      <c r="FGH92" s="362"/>
      <c r="FGI92" s="362"/>
      <c r="FGJ92" s="362"/>
      <c r="FGK92" s="362"/>
      <c r="FGL92" s="362"/>
      <c r="FGM92" s="362"/>
      <c r="FGN92" s="362"/>
      <c r="FGO92" s="362"/>
      <c r="FGP92" s="362"/>
      <c r="FGQ92" s="362"/>
      <c r="FGR92" s="362"/>
      <c r="FGS92" s="362"/>
      <c r="FGT92" s="362"/>
      <c r="FGU92" s="362"/>
      <c r="FGV92" s="362"/>
      <c r="FGW92" s="362"/>
      <c r="FGX92" s="362"/>
      <c r="FGY92" s="362"/>
      <c r="FGZ92" s="362"/>
      <c r="FHA92" s="362"/>
      <c r="FHB92" s="362"/>
      <c r="FHC92" s="362"/>
      <c r="FHD92" s="362"/>
      <c r="FHE92" s="362"/>
      <c r="FHF92" s="362"/>
      <c r="FHG92" s="362"/>
      <c r="FHH92" s="362"/>
      <c r="FHI92" s="362"/>
      <c r="FHJ92" s="362"/>
      <c r="FHK92" s="362"/>
      <c r="FHL92" s="362"/>
      <c r="FHM92" s="362"/>
      <c r="FHN92" s="362"/>
      <c r="FHO92" s="362"/>
      <c r="FHP92" s="362"/>
      <c r="FHQ92" s="362"/>
      <c r="FHR92" s="362"/>
      <c r="FHS92" s="362"/>
      <c r="FHT92" s="362"/>
      <c r="FHU92" s="362"/>
      <c r="FHV92" s="362"/>
      <c r="FHW92" s="362"/>
      <c r="FHX92" s="362"/>
      <c r="FHY92" s="362"/>
      <c r="FHZ92" s="362"/>
      <c r="FIA92" s="362"/>
      <c r="FIB92" s="362"/>
      <c r="FIC92" s="362"/>
      <c r="FID92" s="362"/>
      <c r="FIE92" s="362"/>
      <c r="FIF92" s="362"/>
      <c r="FIG92" s="362"/>
      <c r="FIH92" s="362"/>
      <c r="FII92" s="362"/>
      <c r="FIJ92" s="362"/>
      <c r="FIK92" s="362"/>
      <c r="FIL92" s="362"/>
      <c r="FIM92" s="362"/>
      <c r="FIN92" s="362"/>
      <c r="FIO92" s="362"/>
      <c r="FIP92" s="362"/>
      <c r="FIQ92" s="362"/>
      <c r="FIR92" s="362"/>
      <c r="FIS92" s="362"/>
      <c r="FIT92" s="362"/>
      <c r="FIU92" s="362"/>
      <c r="FIV92" s="362"/>
      <c r="FIW92" s="362"/>
      <c r="FIX92" s="362"/>
      <c r="FIY92" s="362"/>
      <c r="FIZ92" s="362"/>
      <c r="FJA92" s="362"/>
      <c r="FJB92" s="362"/>
      <c r="FJC92" s="362"/>
      <c r="FJD92" s="362"/>
      <c r="FJE92" s="362"/>
      <c r="FJF92" s="362"/>
      <c r="FJG92" s="362"/>
      <c r="FJH92" s="362"/>
      <c r="FJI92" s="362"/>
      <c r="FJJ92" s="362"/>
      <c r="FJK92" s="362"/>
      <c r="FJL92" s="362"/>
      <c r="FJM92" s="362"/>
      <c r="FJN92" s="362"/>
      <c r="FJO92" s="362"/>
      <c r="FJP92" s="362"/>
      <c r="FJQ92" s="362"/>
      <c r="FJR92" s="362"/>
      <c r="FJS92" s="362"/>
      <c r="FJT92" s="362"/>
      <c r="FJU92" s="362"/>
      <c r="FJV92" s="362"/>
      <c r="FJW92" s="362"/>
      <c r="FJX92" s="362"/>
      <c r="FJY92" s="362"/>
      <c r="FJZ92" s="362"/>
      <c r="FKA92" s="362"/>
      <c r="FKB92" s="362"/>
      <c r="FKC92" s="362"/>
      <c r="FKD92" s="362"/>
      <c r="FKE92" s="362"/>
      <c r="FKF92" s="362"/>
      <c r="FKG92" s="362"/>
      <c r="FKH92" s="362"/>
      <c r="FKI92" s="362"/>
      <c r="FKJ92" s="362"/>
      <c r="FKK92" s="362"/>
      <c r="FKL92" s="362"/>
      <c r="FKM92" s="362"/>
      <c r="FKN92" s="362"/>
      <c r="FKO92" s="362"/>
      <c r="FKP92" s="362"/>
      <c r="FKQ92" s="362"/>
      <c r="FKR92" s="362"/>
      <c r="FKS92" s="362"/>
      <c r="FKT92" s="362"/>
      <c r="FKU92" s="362"/>
      <c r="FKV92" s="362"/>
      <c r="FKW92" s="362"/>
      <c r="FKX92" s="362"/>
      <c r="FKY92" s="362"/>
      <c r="FKZ92" s="362"/>
      <c r="FLA92" s="362"/>
      <c r="FLB92" s="362"/>
      <c r="FLC92" s="362"/>
      <c r="FLD92" s="362"/>
      <c r="FLE92" s="362"/>
      <c r="FLF92" s="362"/>
      <c r="FLG92" s="362"/>
      <c r="FLH92" s="362"/>
      <c r="FLI92" s="362"/>
      <c r="FLJ92" s="362"/>
      <c r="FLK92" s="362"/>
      <c r="FLL92" s="362"/>
      <c r="FLM92" s="362"/>
      <c r="FLN92" s="362"/>
      <c r="FLO92" s="362"/>
      <c r="FLP92" s="362"/>
      <c r="FLQ92" s="362"/>
      <c r="FLR92" s="362"/>
      <c r="FLS92" s="362"/>
      <c r="FLT92" s="362"/>
      <c r="FLU92" s="362"/>
      <c r="FLV92" s="362"/>
      <c r="FLW92" s="362"/>
      <c r="FLX92" s="362"/>
      <c r="FLY92" s="362"/>
      <c r="FLZ92" s="362"/>
      <c r="FMA92" s="362"/>
      <c r="FMB92" s="362"/>
      <c r="FMC92" s="362"/>
      <c r="FMD92" s="362"/>
      <c r="FME92" s="362"/>
      <c r="FMF92" s="362"/>
      <c r="FMG92" s="362"/>
      <c r="FMH92" s="362"/>
      <c r="FMI92" s="362"/>
      <c r="FMJ92" s="362"/>
      <c r="FMK92" s="362"/>
      <c r="FML92" s="362"/>
      <c r="FMM92" s="362"/>
      <c r="FMN92" s="362"/>
      <c r="FMO92" s="362"/>
      <c r="FMP92" s="362"/>
      <c r="FMQ92" s="362"/>
      <c r="FMR92" s="362"/>
      <c r="FMS92" s="362"/>
      <c r="FMT92" s="362"/>
      <c r="FMU92" s="362"/>
      <c r="FMV92" s="362"/>
      <c r="FMW92" s="362"/>
      <c r="FMX92" s="362"/>
      <c r="FMY92" s="362"/>
      <c r="FMZ92" s="362"/>
      <c r="FNA92" s="362"/>
      <c r="FNB92" s="362"/>
      <c r="FNC92" s="362"/>
      <c r="FND92" s="362"/>
      <c r="FNE92" s="362"/>
      <c r="FNF92" s="362"/>
      <c r="FNG92" s="362"/>
      <c r="FNH92" s="362"/>
      <c r="FNI92" s="362"/>
      <c r="FNJ92" s="362"/>
      <c r="FNK92" s="362"/>
      <c r="FNL92" s="362"/>
      <c r="FNM92" s="362"/>
      <c r="FNN92" s="362"/>
      <c r="FNO92" s="362"/>
      <c r="FNP92" s="362"/>
      <c r="FNQ92" s="362"/>
      <c r="FNR92" s="362"/>
      <c r="FNS92" s="362"/>
      <c r="FNT92" s="362"/>
      <c r="FNU92" s="362"/>
      <c r="FNV92" s="362"/>
      <c r="FNW92" s="362"/>
      <c r="FNX92" s="362"/>
      <c r="FNY92" s="362"/>
      <c r="FNZ92" s="362"/>
      <c r="FOA92" s="362"/>
      <c r="FOB92" s="362"/>
      <c r="FOC92" s="362"/>
      <c r="FOD92" s="362"/>
      <c r="FOE92" s="362"/>
      <c r="FOF92" s="362"/>
      <c r="FOG92" s="362"/>
      <c r="FOH92" s="362"/>
      <c r="FOI92" s="362"/>
      <c r="FOJ92" s="362"/>
      <c r="FOK92" s="362"/>
      <c r="FOL92" s="362"/>
      <c r="FOM92" s="362"/>
      <c r="FON92" s="362"/>
      <c r="FOO92" s="362"/>
      <c r="FOP92" s="362"/>
      <c r="FOQ92" s="362"/>
      <c r="FOR92" s="362"/>
      <c r="FOS92" s="362"/>
      <c r="FOT92" s="362"/>
      <c r="FOU92" s="362"/>
      <c r="FOV92" s="362"/>
      <c r="FOW92" s="362"/>
      <c r="FOX92" s="362"/>
      <c r="FOY92" s="362"/>
      <c r="FOZ92" s="362"/>
      <c r="FPA92" s="362"/>
      <c r="FPB92" s="362"/>
      <c r="FPC92" s="362"/>
      <c r="FPD92" s="362"/>
      <c r="FPE92" s="362"/>
      <c r="FPF92" s="362"/>
      <c r="FPG92" s="362"/>
      <c r="FPH92" s="362"/>
      <c r="FPI92" s="362"/>
      <c r="FPJ92" s="362"/>
      <c r="FPK92" s="362"/>
      <c r="FPL92" s="362"/>
      <c r="FPM92" s="362"/>
      <c r="FPN92" s="362"/>
      <c r="FPO92" s="362"/>
      <c r="FPP92" s="362"/>
      <c r="FPQ92" s="362"/>
      <c r="FPR92" s="362"/>
      <c r="FPS92" s="362"/>
      <c r="FPT92" s="362"/>
      <c r="FPU92" s="362"/>
      <c r="FPV92" s="362"/>
      <c r="FPW92" s="362"/>
      <c r="FPX92" s="362"/>
      <c r="FPY92" s="362"/>
      <c r="FPZ92" s="362"/>
      <c r="FQA92" s="362"/>
      <c r="FQB92" s="362"/>
      <c r="FQC92" s="362"/>
      <c r="FQD92" s="362"/>
      <c r="FQE92" s="362"/>
      <c r="FQF92" s="362"/>
      <c r="FQG92" s="362"/>
      <c r="FQH92" s="362"/>
      <c r="FQI92" s="362"/>
      <c r="FQJ92" s="362"/>
      <c r="FQK92" s="362"/>
      <c r="FQL92" s="362"/>
      <c r="FQM92" s="362"/>
      <c r="FQN92" s="362"/>
      <c r="FQO92" s="362"/>
      <c r="FQP92" s="362"/>
      <c r="FQQ92" s="362"/>
      <c r="FQR92" s="362"/>
      <c r="FQS92" s="362"/>
      <c r="FQT92" s="362"/>
      <c r="FQU92" s="362"/>
      <c r="FQV92" s="362"/>
      <c r="FQW92" s="362"/>
      <c r="FQX92" s="362"/>
      <c r="FQY92" s="362"/>
      <c r="FQZ92" s="362"/>
      <c r="FRA92" s="362"/>
      <c r="FRB92" s="362"/>
      <c r="FRC92" s="362"/>
      <c r="FRD92" s="362"/>
      <c r="FRE92" s="362"/>
      <c r="FRF92" s="362"/>
      <c r="FRG92" s="362"/>
      <c r="FRH92" s="362"/>
      <c r="FRI92" s="362"/>
      <c r="FRJ92" s="362"/>
      <c r="FRK92" s="362"/>
      <c r="FRL92" s="362"/>
      <c r="FRM92" s="362"/>
      <c r="FRN92" s="362"/>
      <c r="FRO92" s="362"/>
      <c r="FRP92" s="362"/>
      <c r="FRQ92" s="362"/>
      <c r="FRR92" s="362"/>
      <c r="FRS92" s="362"/>
      <c r="FRT92" s="362"/>
      <c r="FRU92" s="362"/>
      <c r="FRV92" s="362"/>
      <c r="FRW92" s="362"/>
      <c r="FRX92" s="362"/>
      <c r="FRY92" s="362"/>
      <c r="FRZ92" s="362"/>
      <c r="FSA92" s="362"/>
      <c r="FSB92" s="362"/>
      <c r="FSC92" s="362"/>
      <c r="FSD92" s="362"/>
      <c r="FSE92" s="362"/>
      <c r="FSF92" s="362"/>
      <c r="FSG92" s="362"/>
      <c r="FSH92" s="362"/>
      <c r="FSI92" s="362"/>
      <c r="FSJ92" s="362"/>
      <c r="FSK92" s="362"/>
      <c r="FSL92" s="362"/>
      <c r="FSM92" s="362"/>
      <c r="FSN92" s="362"/>
      <c r="FSO92" s="362"/>
      <c r="FSP92" s="362"/>
      <c r="FSQ92" s="362"/>
      <c r="FSR92" s="362"/>
      <c r="FSS92" s="362"/>
      <c r="FST92" s="362"/>
      <c r="FSU92" s="362"/>
      <c r="FSV92" s="362"/>
      <c r="FSW92" s="362"/>
      <c r="FSX92" s="362"/>
      <c r="FSY92" s="362"/>
      <c r="FSZ92" s="362"/>
      <c r="FTA92" s="362"/>
      <c r="FTB92" s="362"/>
      <c r="FTC92" s="362"/>
      <c r="FTD92" s="362"/>
      <c r="FTE92" s="362"/>
      <c r="FTF92" s="362"/>
      <c r="FTG92" s="362"/>
      <c r="FTH92" s="362"/>
      <c r="FTI92" s="362"/>
      <c r="FTJ92" s="362"/>
      <c r="FTK92" s="362"/>
      <c r="FTL92" s="362"/>
      <c r="FTM92" s="362"/>
      <c r="FTN92" s="362"/>
      <c r="FTO92" s="362"/>
      <c r="FTP92" s="362"/>
      <c r="FTQ92" s="362"/>
      <c r="FTR92" s="362"/>
      <c r="FTS92" s="362"/>
      <c r="FTT92" s="362"/>
      <c r="FTU92" s="362"/>
      <c r="FTV92" s="362"/>
      <c r="FTW92" s="362"/>
      <c r="FTX92" s="362"/>
      <c r="FTY92" s="362"/>
      <c r="FTZ92" s="362"/>
      <c r="FUA92" s="362"/>
      <c r="FUB92" s="362"/>
      <c r="FUC92" s="362"/>
      <c r="FUD92" s="362"/>
      <c r="FUE92" s="362"/>
      <c r="FUF92" s="362"/>
      <c r="FUG92" s="362"/>
      <c r="FUH92" s="362"/>
      <c r="FUI92" s="362"/>
      <c r="FUJ92" s="362"/>
      <c r="FUK92" s="362"/>
      <c r="FUL92" s="362"/>
      <c r="FUM92" s="362"/>
      <c r="FUN92" s="362"/>
      <c r="FUO92" s="362"/>
      <c r="FUP92" s="362"/>
      <c r="FUQ92" s="362"/>
      <c r="FUR92" s="362"/>
      <c r="FUS92" s="362"/>
      <c r="FUT92" s="362"/>
      <c r="FUU92" s="362"/>
      <c r="FUV92" s="362"/>
      <c r="FUW92" s="362"/>
      <c r="FUX92" s="362"/>
      <c r="FUY92" s="362"/>
      <c r="FUZ92" s="362"/>
      <c r="FVA92" s="362"/>
      <c r="FVB92" s="362"/>
      <c r="FVC92" s="362"/>
      <c r="FVD92" s="362"/>
      <c r="FVE92" s="362"/>
      <c r="FVF92" s="362"/>
      <c r="FVG92" s="362"/>
      <c r="FVH92" s="362"/>
      <c r="FVI92" s="362"/>
      <c r="FVJ92" s="362"/>
      <c r="FVK92" s="362"/>
      <c r="FVL92" s="362"/>
      <c r="FVM92" s="362"/>
      <c r="FVN92" s="362"/>
      <c r="FVO92" s="362"/>
      <c r="FVP92" s="362"/>
      <c r="FVQ92" s="362"/>
      <c r="FVR92" s="362"/>
      <c r="FVS92" s="362"/>
      <c r="FVT92" s="362"/>
      <c r="FVU92" s="362"/>
      <c r="FVV92" s="362"/>
      <c r="FVW92" s="362"/>
      <c r="FVX92" s="362"/>
      <c r="FVY92" s="362"/>
      <c r="FVZ92" s="362"/>
      <c r="FWA92" s="362"/>
      <c r="FWB92" s="362"/>
      <c r="FWC92" s="362"/>
      <c r="FWD92" s="362"/>
      <c r="FWE92" s="362"/>
      <c r="FWF92" s="362"/>
      <c r="FWG92" s="362"/>
      <c r="FWH92" s="362"/>
      <c r="FWI92" s="362"/>
      <c r="FWJ92" s="362"/>
      <c r="FWK92" s="362"/>
      <c r="FWL92" s="362"/>
      <c r="FWM92" s="362"/>
      <c r="FWN92" s="362"/>
      <c r="FWO92" s="362"/>
      <c r="FWP92" s="362"/>
      <c r="FWQ92" s="362"/>
      <c r="FWR92" s="362"/>
      <c r="FWS92" s="362"/>
      <c r="FWT92" s="362"/>
      <c r="FWU92" s="362"/>
      <c r="FWV92" s="362"/>
      <c r="FWW92" s="362"/>
      <c r="FWX92" s="362"/>
      <c r="FWY92" s="362"/>
      <c r="FWZ92" s="362"/>
      <c r="FXA92" s="362"/>
      <c r="FXB92" s="362"/>
      <c r="FXC92" s="362"/>
      <c r="FXD92" s="362"/>
      <c r="FXE92" s="362"/>
      <c r="FXF92" s="362"/>
      <c r="FXG92" s="362"/>
      <c r="FXH92" s="362"/>
      <c r="FXI92" s="362"/>
      <c r="FXJ92" s="362"/>
      <c r="FXK92" s="362"/>
      <c r="FXL92" s="362"/>
      <c r="FXM92" s="362"/>
      <c r="FXN92" s="362"/>
      <c r="FXO92" s="362"/>
      <c r="FXP92" s="362"/>
      <c r="FXQ92" s="362"/>
      <c r="FXR92" s="362"/>
      <c r="FXS92" s="362"/>
      <c r="FXT92" s="362"/>
      <c r="FXU92" s="362"/>
      <c r="FXV92" s="362"/>
      <c r="FXW92" s="362"/>
      <c r="FXX92" s="362"/>
      <c r="FXY92" s="362"/>
      <c r="FXZ92" s="362"/>
      <c r="FYA92" s="362"/>
      <c r="FYB92" s="362"/>
      <c r="FYC92" s="362"/>
      <c r="FYD92" s="362"/>
      <c r="FYE92" s="362"/>
      <c r="FYF92" s="362"/>
      <c r="FYG92" s="362"/>
      <c r="FYH92" s="362"/>
      <c r="FYI92" s="362"/>
      <c r="FYJ92" s="362"/>
      <c r="FYK92" s="362"/>
      <c r="FYL92" s="362"/>
      <c r="FYM92" s="362"/>
      <c r="FYN92" s="362"/>
      <c r="FYO92" s="362"/>
      <c r="FYP92" s="362"/>
      <c r="FYQ92" s="362"/>
      <c r="FYR92" s="362"/>
      <c r="FYS92" s="362"/>
      <c r="FYT92" s="362"/>
      <c r="FYU92" s="362"/>
      <c r="FYV92" s="362"/>
      <c r="FYW92" s="362"/>
      <c r="FYX92" s="362"/>
      <c r="FYY92" s="362"/>
      <c r="FYZ92" s="362"/>
      <c r="FZA92" s="362"/>
      <c r="FZB92" s="362"/>
      <c r="FZC92" s="362"/>
      <c r="FZD92" s="362"/>
      <c r="FZE92" s="362"/>
      <c r="FZF92" s="362"/>
      <c r="FZG92" s="362"/>
      <c r="FZH92" s="362"/>
      <c r="FZI92" s="362"/>
      <c r="FZJ92" s="362"/>
      <c r="FZK92" s="362"/>
      <c r="FZL92" s="362"/>
      <c r="FZM92" s="362"/>
      <c r="FZN92" s="362"/>
      <c r="FZO92" s="362"/>
      <c r="FZP92" s="362"/>
      <c r="FZQ92" s="362"/>
      <c r="FZR92" s="362"/>
      <c r="FZS92" s="362"/>
      <c r="FZT92" s="362"/>
      <c r="FZU92" s="362"/>
      <c r="FZV92" s="362"/>
      <c r="FZW92" s="362"/>
      <c r="FZX92" s="362"/>
      <c r="FZY92" s="362"/>
      <c r="FZZ92" s="362"/>
      <c r="GAA92" s="362"/>
      <c r="GAB92" s="362"/>
      <c r="GAC92" s="362"/>
      <c r="GAD92" s="362"/>
      <c r="GAE92" s="362"/>
      <c r="GAF92" s="362"/>
      <c r="GAG92" s="362"/>
      <c r="GAH92" s="362"/>
      <c r="GAI92" s="362"/>
      <c r="GAJ92" s="362"/>
      <c r="GAK92" s="362"/>
      <c r="GAL92" s="362"/>
      <c r="GAM92" s="362"/>
      <c r="GAN92" s="362"/>
      <c r="GAO92" s="362"/>
      <c r="GAP92" s="362"/>
      <c r="GAQ92" s="362"/>
      <c r="GAR92" s="362"/>
      <c r="GAS92" s="362"/>
      <c r="GAT92" s="362"/>
      <c r="GAU92" s="362"/>
      <c r="GAV92" s="362"/>
      <c r="GAW92" s="362"/>
      <c r="GAX92" s="362"/>
      <c r="GAY92" s="362"/>
      <c r="GAZ92" s="362"/>
      <c r="GBA92" s="362"/>
      <c r="GBB92" s="362"/>
      <c r="GBC92" s="362"/>
      <c r="GBD92" s="362"/>
      <c r="GBE92" s="362"/>
      <c r="GBF92" s="362"/>
      <c r="GBG92" s="362"/>
      <c r="GBH92" s="362"/>
      <c r="GBI92" s="362"/>
      <c r="GBJ92" s="362"/>
      <c r="GBK92" s="362"/>
      <c r="GBL92" s="362"/>
      <c r="GBM92" s="362"/>
      <c r="GBN92" s="362"/>
      <c r="GBO92" s="362"/>
      <c r="GBP92" s="362"/>
      <c r="GBQ92" s="362"/>
      <c r="GBR92" s="362"/>
      <c r="GBS92" s="362"/>
      <c r="GBT92" s="362"/>
      <c r="GBU92" s="362"/>
      <c r="GBV92" s="362"/>
      <c r="GBW92" s="362"/>
      <c r="GBX92" s="362"/>
      <c r="GBY92" s="362"/>
      <c r="GBZ92" s="362"/>
      <c r="GCA92" s="362"/>
      <c r="GCB92" s="362"/>
      <c r="GCC92" s="362"/>
      <c r="GCD92" s="362"/>
      <c r="GCE92" s="362"/>
      <c r="GCF92" s="362"/>
      <c r="GCG92" s="362"/>
      <c r="GCH92" s="362"/>
      <c r="GCI92" s="362"/>
      <c r="GCJ92" s="362"/>
      <c r="GCK92" s="362"/>
      <c r="GCL92" s="362"/>
      <c r="GCM92" s="362"/>
      <c r="GCN92" s="362"/>
      <c r="GCO92" s="362"/>
      <c r="GCP92" s="362"/>
      <c r="GCQ92" s="362"/>
      <c r="GCR92" s="362"/>
      <c r="GCS92" s="362"/>
      <c r="GCT92" s="362"/>
      <c r="GCU92" s="362"/>
      <c r="GCV92" s="362"/>
      <c r="GCW92" s="362"/>
      <c r="GCX92" s="362"/>
      <c r="GCY92" s="362"/>
      <c r="GCZ92" s="362"/>
      <c r="GDA92" s="362"/>
      <c r="GDB92" s="362"/>
      <c r="GDC92" s="362"/>
      <c r="GDD92" s="362"/>
      <c r="GDE92" s="362"/>
      <c r="GDF92" s="362"/>
      <c r="GDG92" s="362"/>
      <c r="GDH92" s="362"/>
      <c r="GDI92" s="362"/>
      <c r="GDJ92" s="362"/>
      <c r="GDK92" s="362"/>
      <c r="GDL92" s="362"/>
      <c r="GDM92" s="362"/>
      <c r="GDN92" s="362"/>
      <c r="GDO92" s="362"/>
      <c r="GDP92" s="362"/>
      <c r="GDQ92" s="362"/>
      <c r="GDR92" s="362"/>
      <c r="GDS92" s="362"/>
      <c r="GDT92" s="362"/>
      <c r="GDU92" s="362"/>
      <c r="GDV92" s="362"/>
      <c r="GDW92" s="362"/>
      <c r="GDX92" s="362"/>
      <c r="GDY92" s="362"/>
      <c r="GDZ92" s="362"/>
      <c r="GEA92" s="362"/>
      <c r="GEB92" s="362"/>
      <c r="GEC92" s="362"/>
      <c r="GED92" s="362"/>
      <c r="GEE92" s="362"/>
      <c r="GEF92" s="362"/>
      <c r="GEG92" s="362"/>
      <c r="GEH92" s="362"/>
      <c r="GEI92" s="362"/>
      <c r="GEJ92" s="362"/>
      <c r="GEK92" s="362"/>
      <c r="GEL92" s="362"/>
      <c r="GEM92" s="362"/>
      <c r="GEN92" s="362"/>
      <c r="GEO92" s="362"/>
      <c r="GEP92" s="362"/>
      <c r="GEQ92" s="362"/>
      <c r="GER92" s="362"/>
      <c r="GES92" s="362"/>
      <c r="GET92" s="362"/>
      <c r="GEU92" s="362"/>
      <c r="GEV92" s="362"/>
      <c r="GEW92" s="362"/>
      <c r="GEX92" s="362"/>
      <c r="GEY92" s="362"/>
      <c r="GEZ92" s="362"/>
      <c r="GFA92" s="362"/>
      <c r="GFB92" s="362"/>
      <c r="GFC92" s="362"/>
      <c r="GFD92" s="362"/>
      <c r="GFE92" s="362"/>
      <c r="GFF92" s="362"/>
      <c r="GFG92" s="362"/>
      <c r="GFH92" s="362"/>
      <c r="GFI92" s="362"/>
      <c r="GFJ92" s="362"/>
      <c r="GFK92" s="362"/>
      <c r="GFL92" s="362"/>
      <c r="GFM92" s="362"/>
      <c r="GFN92" s="362"/>
      <c r="GFO92" s="362"/>
      <c r="GFP92" s="362"/>
      <c r="GFQ92" s="362"/>
      <c r="GFR92" s="362"/>
      <c r="GFS92" s="362"/>
      <c r="GFT92" s="362"/>
      <c r="GFU92" s="362"/>
      <c r="GFV92" s="362"/>
      <c r="GFW92" s="362"/>
      <c r="GFX92" s="362"/>
      <c r="GFY92" s="362"/>
      <c r="GFZ92" s="362"/>
      <c r="GGA92" s="362"/>
      <c r="GGB92" s="362"/>
      <c r="GGC92" s="362"/>
      <c r="GGD92" s="362"/>
      <c r="GGE92" s="362"/>
      <c r="GGF92" s="362"/>
      <c r="GGG92" s="362"/>
      <c r="GGH92" s="362"/>
      <c r="GGI92" s="362"/>
      <c r="GGJ92" s="362"/>
      <c r="GGK92" s="362"/>
      <c r="GGL92" s="362"/>
      <c r="GGM92" s="362"/>
      <c r="GGN92" s="362"/>
      <c r="GGO92" s="362"/>
      <c r="GGP92" s="362"/>
      <c r="GGQ92" s="362"/>
      <c r="GGR92" s="362"/>
      <c r="GGS92" s="362"/>
      <c r="GGT92" s="362"/>
      <c r="GGU92" s="362"/>
      <c r="GGV92" s="362"/>
      <c r="GGW92" s="362"/>
      <c r="GGX92" s="362"/>
      <c r="GGY92" s="362"/>
      <c r="GGZ92" s="362"/>
      <c r="GHA92" s="362"/>
      <c r="GHB92" s="362"/>
      <c r="GHC92" s="362"/>
      <c r="GHD92" s="362"/>
      <c r="GHE92" s="362"/>
      <c r="GHF92" s="362"/>
      <c r="GHG92" s="362"/>
      <c r="GHH92" s="362"/>
      <c r="GHI92" s="362"/>
      <c r="GHJ92" s="362"/>
      <c r="GHK92" s="362"/>
      <c r="GHL92" s="362"/>
      <c r="GHM92" s="362"/>
      <c r="GHN92" s="362"/>
      <c r="GHO92" s="362"/>
      <c r="GHP92" s="362"/>
      <c r="GHQ92" s="362"/>
      <c r="GHR92" s="362"/>
      <c r="GHS92" s="362"/>
      <c r="GHT92" s="362"/>
      <c r="GHU92" s="362"/>
      <c r="GHV92" s="362"/>
      <c r="GHW92" s="362"/>
      <c r="GHX92" s="362"/>
      <c r="GHY92" s="362"/>
      <c r="GHZ92" s="362"/>
      <c r="GIA92" s="362"/>
      <c r="GIB92" s="362"/>
      <c r="GIC92" s="362"/>
      <c r="GID92" s="362"/>
      <c r="GIE92" s="362"/>
      <c r="GIF92" s="362"/>
      <c r="GIG92" s="362"/>
      <c r="GIH92" s="362"/>
      <c r="GII92" s="362"/>
      <c r="GIJ92" s="362"/>
      <c r="GIK92" s="362"/>
      <c r="GIL92" s="362"/>
      <c r="GIM92" s="362"/>
      <c r="GIN92" s="362"/>
      <c r="GIO92" s="362"/>
      <c r="GIP92" s="362"/>
      <c r="GIQ92" s="362"/>
      <c r="GIR92" s="362"/>
      <c r="GIS92" s="362"/>
      <c r="GIT92" s="362"/>
      <c r="GIU92" s="362"/>
      <c r="GIV92" s="362"/>
      <c r="GIW92" s="362"/>
      <c r="GIX92" s="362"/>
      <c r="GIY92" s="362"/>
      <c r="GIZ92" s="362"/>
      <c r="GJA92" s="362"/>
      <c r="GJB92" s="362"/>
      <c r="GJC92" s="362"/>
      <c r="GJD92" s="362"/>
      <c r="GJE92" s="362"/>
      <c r="GJF92" s="362"/>
      <c r="GJG92" s="362"/>
      <c r="GJH92" s="362"/>
      <c r="GJI92" s="362"/>
      <c r="GJJ92" s="362"/>
      <c r="GJK92" s="362"/>
      <c r="GJL92" s="362"/>
      <c r="GJM92" s="362"/>
      <c r="GJN92" s="362"/>
      <c r="GJO92" s="362"/>
      <c r="GJP92" s="362"/>
      <c r="GJQ92" s="362"/>
      <c r="GJR92" s="362"/>
      <c r="GJS92" s="362"/>
      <c r="GJT92" s="362"/>
      <c r="GJU92" s="362"/>
      <c r="GJV92" s="362"/>
      <c r="GJW92" s="362"/>
      <c r="GJX92" s="362"/>
      <c r="GJY92" s="362"/>
      <c r="GJZ92" s="362"/>
      <c r="GKA92" s="362"/>
      <c r="GKB92" s="362"/>
      <c r="GKC92" s="362"/>
      <c r="GKD92" s="362"/>
      <c r="GKE92" s="362"/>
      <c r="GKF92" s="362"/>
      <c r="GKG92" s="362"/>
      <c r="GKH92" s="362"/>
      <c r="GKI92" s="362"/>
      <c r="GKJ92" s="362"/>
      <c r="GKK92" s="362"/>
      <c r="GKL92" s="362"/>
      <c r="GKM92" s="362"/>
      <c r="GKN92" s="362"/>
      <c r="GKO92" s="362"/>
      <c r="GKP92" s="362"/>
      <c r="GKQ92" s="362"/>
      <c r="GKR92" s="362"/>
      <c r="GKS92" s="362"/>
      <c r="GKT92" s="362"/>
      <c r="GKU92" s="362"/>
      <c r="GKV92" s="362"/>
      <c r="GKW92" s="362"/>
      <c r="GKX92" s="362"/>
      <c r="GKY92" s="362"/>
      <c r="GKZ92" s="362"/>
      <c r="GLA92" s="362"/>
      <c r="GLB92" s="362"/>
      <c r="GLC92" s="362"/>
      <c r="GLD92" s="362"/>
      <c r="GLE92" s="362"/>
      <c r="GLF92" s="362"/>
      <c r="GLG92" s="362"/>
      <c r="GLH92" s="362"/>
      <c r="GLI92" s="362"/>
      <c r="GLJ92" s="362"/>
      <c r="GLK92" s="362"/>
      <c r="GLL92" s="362"/>
      <c r="GLM92" s="362"/>
      <c r="GLN92" s="362"/>
      <c r="GLO92" s="362"/>
      <c r="GLP92" s="362"/>
      <c r="GLQ92" s="362"/>
      <c r="GLR92" s="362"/>
      <c r="GLS92" s="362"/>
      <c r="GLT92" s="362"/>
      <c r="GLU92" s="362"/>
      <c r="GLV92" s="362"/>
      <c r="GLW92" s="362"/>
      <c r="GLX92" s="362"/>
      <c r="GLY92" s="362"/>
      <c r="GLZ92" s="362"/>
      <c r="GMA92" s="362"/>
      <c r="GMB92" s="362"/>
      <c r="GMC92" s="362"/>
      <c r="GMD92" s="362"/>
      <c r="GME92" s="362"/>
      <c r="GMF92" s="362"/>
      <c r="GMG92" s="362"/>
      <c r="GMH92" s="362"/>
      <c r="GMI92" s="362"/>
      <c r="GMJ92" s="362"/>
      <c r="GMK92" s="362"/>
      <c r="GML92" s="362"/>
      <c r="GMM92" s="362"/>
      <c r="GMN92" s="362"/>
      <c r="GMO92" s="362"/>
      <c r="GMP92" s="362"/>
      <c r="GMQ92" s="362"/>
      <c r="GMR92" s="362"/>
      <c r="GMS92" s="362"/>
      <c r="GMT92" s="362"/>
      <c r="GMU92" s="362"/>
      <c r="GMV92" s="362"/>
      <c r="GMW92" s="362"/>
      <c r="GMX92" s="362"/>
      <c r="GMY92" s="362"/>
      <c r="GMZ92" s="362"/>
      <c r="GNA92" s="362"/>
      <c r="GNB92" s="362"/>
      <c r="GNC92" s="362"/>
      <c r="GND92" s="362"/>
      <c r="GNE92" s="362"/>
      <c r="GNF92" s="362"/>
      <c r="GNG92" s="362"/>
      <c r="GNH92" s="362"/>
      <c r="GNI92" s="362"/>
      <c r="GNJ92" s="362"/>
      <c r="GNK92" s="362"/>
      <c r="GNL92" s="362"/>
      <c r="GNM92" s="362"/>
      <c r="GNN92" s="362"/>
      <c r="GNO92" s="362"/>
      <c r="GNP92" s="362"/>
      <c r="GNQ92" s="362"/>
      <c r="GNR92" s="362"/>
      <c r="GNS92" s="362"/>
      <c r="GNT92" s="362"/>
      <c r="GNU92" s="362"/>
      <c r="GNV92" s="362"/>
      <c r="GNW92" s="362"/>
      <c r="GNX92" s="362"/>
      <c r="GNY92" s="362"/>
      <c r="GNZ92" s="362"/>
      <c r="GOA92" s="362"/>
      <c r="GOB92" s="362"/>
      <c r="GOC92" s="362"/>
      <c r="GOD92" s="362"/>
      <c r="GOE92" s="362"/>
      <c r="GOF92" s="362"/>
      <c r="GOG92" s="362"/>
      <c r="GOH92" s="362"/>
      <c r="GOI92" s="362"/>
      <c r="GOJ92" s="362"/>
      <c r="GOK92" s="362"/>
      <c r="GOL92" s="362"/>
      <c r="GOM92" s="362"/>
      <c r="GON92" s="362"/>
      <c r="GOO92" s="362"/>
      <c r="GOP92" s="362"/>
      <c r="GOQ92" s="362"/>
      <c r="GOR92" s="362"/>
      <c r="GOS92" s="362"/>
      <c r="GOT92" s="362"/>
      <c r="GOU92" s="362"/>
      <c r="GOV92" s="362"/>
      <c r="GOW92" s="362"/>
      <c r="GOX92" s="362"/>
      <c r="GOY92" s="362"/>
      <c r="GOZ92" s="362"/>
      <c r="GPA92" s="362"/>
      <c r="GPB92" s="362"/>
      <c r="GPC92" s="362"/>
      <c r="GPD92" s="362"/>
      <c r="GPE92" s="362"/>
      <c r="GPF92" s="362"/>
      <c r="GPG92" s="362"/>
      <c r="GPH92" s="362"/>
      <c r="GPI92" s="362"/>
      <c r="GPJ92" s="362"/>
      <c r="GPK92" s="362"/>
      <c r="GPL92" s="362"/>
      <c r="GPM92" s="362"/>
      <c r="GPN92" s="362"/>
      <c r="GPO92" s="362"/>
      <c r="GPP92" s="362"/>
      <c r="GPQ92" s="362"/>
      <c r="GPR92" s="362"/>
      <c r="GPS92" s="362"/>
      <c r="GPT92" s="362"/>
      <c r="GPU92" s="362"/>
      <c r="GPV92" s="362"/>
      <c r="GPW92" s="362"/>
      <c r="GPX92" s="362"/>
      <c r="GPY92" s="362"/>
      <c r="GPZ92" s="362"/>
      <c r="GQA92" s="362"/>
      <c r="GQB92" s="362"/>
      <c r="GQC92" s="362"/>
      <c r="GQD92" s="362"/>
      <c r="GQE92" s="362"/>
      <c r="GQF92" s="362"/>
      <c r="GQG92" s="362"/>
      <c r="GQH92" s="362"/>
      <c r="GQI92" s="362"/>
      <c r="GQJ92" s="362"/>
      <c r="GQK92" s="362"/>
      <c r="GQL92" s="362"/>
      <c r="GQM92" s="362"/>
      <c r="GQN92" s="362"/>
      <c r="GQO92" s="362"/>
      <c r="GQP92" s="362"/>
      <c r="GQQ92" s="362"/>
      <c r="GQR92" s="362"/>
      <c r="GQS92" s="362"/>
      <c r="GQT92" s="362"/>
      <c r="GQU92" s="362"/>
      <c r="GQV92" s="362"/>
      <c r="GQW92" s="362"/>
      <c r="GQX92" s="362"/>
      <c r="GQY92" s="362"/>
      <c r="GQZ92" s="362"/>
      <c r="GRA92" s="362"/>
      <c r="GRB92" s="362"/>
      <c r="GRC92" s="362"/>
      <c r="GRD92" s="362"/>
      <c r="GRE92" s="362"/>
      <c r="GRF92" s="362"/>
      <c r="GRG92" s="362"/>
      <c r="GRH92" s="362"/>
      <c r="GRI92" s="362"/>
      <c r="GRJ92" s="362"/>
      <c r="GRK92" s="362"/>
      <c r="GRL92" s="362"/>
      <c r="GRM92" s="362"/>
      <c r="GRN92" s="362"/>
      <c r="GRO92" s="362"/>
      <c r="GRP92" s="362"/>
      <c r="GRQ92" s="362"/>
      <c r="GRR92" s="362"/>
      <c r="GRS92" s="362"/>
      <c r="GRT92" s="362"/>
      <c r="GRU92" s="362"/>
      <c r="GRV92" s="362"/>
      <c r="GRW92" s="362"/>
      <c r="GRX92" s="362"/>
      <c r="GRY92" s="362"/>
      <c r="GRZ92" s="362"/>
      <c r="GSA92" s="362"/>
      <c r="GSB92" s="362"/>
      <c r="GSC92" s="362"/>
      <c r="GSD92" s="362"/>
      <c r="GSE92" s="362"/>
      <c r="GSF92" s="362"/>
      <c r="GSG92" s="362"/>
      <c r="GSH92" s="362"/>
      <c r="GSI92" s="362"/>
      <c r="GSJ92" s="362"/>
      <c r="GSK92" s="362"/>
      <c r="GSL92" s="362"/>
      <c r="GSM92" s="362"/>
      <c r="GSN92" s="362"/>
      <c r="GSO92" s="362"/>
      <c r="GSP92" s="362"/>
      <c r="GSQ92" s="362"/>
      <c r="GSR92" s="362"/>
      <c r="GSS92" s="362"/>
      <c r="GST92" s="362"/>
      <c r="GSU92" s="362"/>
      <c r="GSV92" s="362"/>
      <c r="GSW92" s="362"/>
      <c r="GSX92" s="362"/>
      <c r="GSY92" s="362"/>
      <c r="GSZ92" s="362"/>
      <c r="GTA92" s="362"/>
      <c r="GTB92" s="362"/>
      <c r="GTC92" s="362"/>
      <c r="GTD92" s="362"/>
      <c r="GTE92" s="362"/>
      <c r="GTF92" s="362"/>
      <c r="GTG92" s="362"/>
      <c r="GTH92" s="362"/>
      <c r="GTI92" s="362"/>
      <c r="GTJ92" s="362"/>
      <c r="GTK92" s="362"/>
      <c r="GTL92" s="362"/>
      <c r="GTM92" s="362"/>
      <c r="GTN92" s="362"/>
      <c r="GTO92" s="362"/>
      <c r="GTP92" s="362"/>
      <c r="GTQ92" s="362"/>
      <c r="GTR92" s="362"/>
      <c r="GTS92" s="362"/>
      <c r="GTT92" s="362"/>
      <c r="GTU92" s="362"/>
      <c r="GTV92" s="362"/>
      <c r="GTW92" s="362"/>
      <c r="GTX92" s="362"/>
      <c r="GTY92" s="362"/>
      <c r="GTZ92" s="362"/>
      <c r="GUA92" s="362"/>
      <c r="GUB92" s="362"/>
      <c r="GUC92" s="362"/>
      <c r="GUD92" s="362"/>
      <c r="GUE92" s="362"/>
      <c r="GUF92" s="362"/>
      <c r="GUG92" s="362"/>
      <c r="GUH92" s="362"/>
      <c r="GUI92" s="362"/>
      <c r="GUJ92" s="362"/>
      <c r="GUK92" s="362"/>
      <c r="GUL92" s="362"/>
      <c r="GUM92" s="362"/>
      <c r="GUN92" s="362"/>
      <c r="GUO92" s="362"/>
      <c r="GUP92" s="362"/>
      <c r="GUQ92" s="362"/>
      <c r="GUR92" s="362"/>
      <c r="GUS92" s="362"/>
      <c r="GUT92" s="362"/>
      <c r="GUU92" s="362"/>
      <c r="GUV92" s="362"/>
      <c r="GUW92" s="362"/>
      <c r="GUX92" s="362"/>
      <c r="GUY92" s="362"/>
      <c r="GUZ92" s="362"/>
      <c r="GVA92" s="362"/>
      <c r="GVB92" s="362"/>
      <c r="GVC92" s="362"/>
      <c r="GVD92" s="362"/>
      <c r="GVE92" s="362"/>
      <c r="GVF92" s="362"/>
      <c r="GVG92" s="362"/>
      <c r="GVH92" s="362"/>
      <c r="GVI92" s="362"/>
      <c r="GVJ92" s="362"/>
      <c r="GVK92" s="362"/>
      <c r="GVL92" s="362"/>
      <c r="GVM92" s="362"/>
      <c r="GVN92" s="362"/>
      <c r="GVO92" s="362"/>
      <c r="GVP92" s="362"/>
      <c r="GVQ92" s="362"/>
      <c r="GVR92" s="362"/>
      <c r="GVS92" s="362"/>
      <c r="GVT92" s="362"/>
      <c r="GVU92" s="362"/>
      <c r="GVV92" s="362"/>
      <c r="GVW92" s="362"/>
      <c r="GVX92" s="362"/>
      <c r="GVY92" s="362"/>
      <c r="GVZ92" s="362"/>
      <c r="GWA92" s="362"/>
      <c r="GWB92" s="362"/>
      <c r="GWC92" s="362"/>
      <c r="GWD92" s="362"/>
      <c r="GWE92" s="362"/>
      <c r="GWF92" s="362"/>
      <c r="GWG92" s="362"/>
      <c r="GWH92" s="362"/>
      <c r="GWI92" s="362"/>
      <c r="GWJ92" s="362"/>
      <c r="GWK92" s="362"/>
      <c r="GWL92" s="362"/>
      <c r="GWM92" s="362"/>
      <c r="GWN92" s="362"/>
      <c r="GWO92" s="362"/>
      <c r="GWP92" s="362"/>
      <c r="GWQ92" s="362"/>
      <c r="GWR92" s="362"/>
      <c r="GWS92" s="362"/>
      <c r="GWT92" s="362"/>
      <c r="GWU92" s="362"/>
      <c r="GWV92" s="362"/>
      <c r="GWW92" s="362"/>
      <c r="GWX92" s="362"/>
      <c r="GWY92" s="362"/>
      <c r="GWZ92" s="362"/>
      <c r="GXA92" s="362"/>
      <c r="GXB92" s="362"/>
      <c r="GXC92" s="362"/>
      <c r="GXD92" s="362"/>
      <c r="GXE92" s="362"/>
      <c r="GXF92" s="362"/>
      <c r="GXG92" s="362"/>
      <c r="GXH92" s="362"/>
      <c r="GXI92" s="362"/>
      <c r="GXJ92" s="362"/>
      <c r="GXK92" s="362"/>
      <c r="GXL92" s="362"/>
      <c r="GXM92" s="362"/>
      <c r="GXN92" s="362"/>
      <c r="GXO92" s="362"/>
      <c r="GXP92" s="362"/>
      <c r="GXQ92" s="362"/>
      <c r="GXR92" s="362"/>
      <c r="GXS92" s="362"/>
      <c r="GXT92" s="362"/>
      <c r="GXU92" s="362"/>
      <c r="GXV92" s="362"/>
      <c r="GXW92" s="362"/>
      <c r="GXX92" s="362"/>
      <c r="GXY92" s="362"/>
      <c r="GXZ92" s="362"/>
      <c r="GYA92" s="362"/>
      <c r="GYB92" s="362"/>
      <c r="GYC92" s="362"/>
      <c r="GYD92" s="362"/>
      <c r="GYE92" s="362"/>
      <c r="GYF92" s="362"/>
      <c r="GYG92" s="362"/>
      <c r="GYH92" s="362"/>
      <c r="GYI92" s="362"/>
      <c r="GYJ92" s="362"/>
      <c r="GYK92" s="362"/>
      <c r="GYL92" s="362"/>
      <c r="GYM92" s="362"/>
      <c r="GYN92" s="362"/>
      <c r="GYO92" s="362"/>
      <c r="GYP92" s="362"/>
      <c r="GYQ92" s="362"/>
      <c r="GYR92" s="362"/>
      <c r="GYS92" s="362"/>
      <c r="GYT92" s="362"/>
      <c r="GYU92" s="362"/>
      <c r="GYV92" s="362"/>
      <c r="GYW92" s="362"/>
      <c r="GYX92" s="362"/>
      <c r="GYY92" s="362"/>
      <c r="GYZ92" s="362"/>
      <c r="GZA92" s="362"/>
      <c r="GZB92" s="362"/>
      <c r="GZC92" s="362"/>
      <c r="GZD92" s="362"/>
      <c r="GZE92" s="362"/>
      <c r="GZF92" s="362"/>
      <c r="GZG92" s="362"/>
      <c r="GZH92" s="362"/>
      <c r="GZI92" s="362"/>
      <c r="GZJ92" s="362"/>
      <c r="GZK92" s="362"/>
      <c r="GZL92" s="362"/>
      <c r="GZM92" s="362"/>
      <c r="GZN92" s="362"/>
      <c r="GZO92" s="362"/>
      <c r="GZP92" s="362"/>
      <c r="GZQ92" s="362"/>
      <c r="GZR92" s="362"/>
      <c r="GZS92" s="362"/>
      <c r="GZT92" s="362"/>
      <c r="GZU92" s="362"/>
      <c r="GZV92" s="362"/>
      <c r="GZW92" s="362"/>
      <c r="GZX92" s="362"/>
      <c r="GZY92" s="362"/>
      <c r="GZZ92" s="362"/>
      <c r="HAA92" s="362"/>
      <c r="HAB92" s="362"/>
      <c r="HAC92" s="362"/>
      <c r="HAD92" s="362"/>
      <c r="HAE92" s="362"/>
      <c r="HAF92" s="362"/>
      <c r="HAG92" s="362"/>
      <c r="HAH92" s="362"/>
      <c r="HAI92" s="362"/>
      <c r="HAJ92" s="362"/>
      <c r="HAK92" s="362"/>
      <c r="HAL92" s="362"/>
      <c r="HAM92" s="362"/>
      <c r="HAN92" s="362"/>
      <c r="HAO92" s="362"/>
      <c r="HAP92" s="362"/>
      <c r="HAQ92" s="362"/>
      <c r="HAR92" s="362"/>
      <c r="HAS92" s="362"/>
      <c r="HAT92" s="362"/>
      <c r="HAU92" s="362"/>
      <c r="HAV92" s="362"/>
      <c r="HAW92" s="362"/>
      <c r="HAX92" s="362"/>
      <c r="HAY92" s="362"/>
      <c r="HAZ92" s="362"/>
      <c r="HBA92" s="362"/>
      <c r="HBB92" s="362"/>
      <c r="HBC92" s="362"/>
      <c r="HBD92" s="362"/>
      <c r="HBE92" s="362"/>
      <c r="HBF92" s="362"/>
      <c r="HBG92" s="362"/>
      <c r="HBH92" s="362"/>
      <c r="HBI92" s="362"/>
      <c r="HBJ92" s="362"/>
      <c r="HBK92" s="362"/>
      <c r="HBL92" s="362"/>
      <c r="HBM92" s="362"/>
      <c r="HBN92" s="362"/>
      <c r="HBO92" s="362"/>
      <c r="HBP92" s="362"/>
      <c r="HBQ92" s="362"/>
      <c r="HBR92" s="362"/>
      <c r="HBS92" s="362"/>
      <c r="HBT92" s="362"/>
      <c r="HBU92" s="362"/>
      <c r="HBV92" s="362"/>
      <c r="HBW92" s="362"/>
      <c r="HBX92" s="362"/>
      <c r="HBY92" s="362"/>
      <c r="HBZ92" s="362"/>
      <c r="HCA92" s="362"/>
      <c r="HCB92" s="362"/>
      <c r="HCC92" s="362"/>
      <c r="HCD92" s="362"/>
      <c r="HCE92" s="362"/>
      <c r="HCF92" s="362"/>
      <c r="HCG92" s="362"/>
      <c r="HCH92" s="362"/>
      <c r="HCI92" s="362"/>
      <c r="HCJ92" s="362"/>
      <c r="HCK92" s="362"/>
      <c r="HCL92" s="362"/>
      <c r="HCM92" s="362"/>
      <c r="HCN92" s="362"/>
      <c r="HCO92" s="362"/>
      <c r="HCP92" s="362"/>
      <c r="HCQ92" s="362"/>
      <c r="HCR92" s="362"/>
      <c r="HCS92" s="362"/>
      <c r="HCT92" s="362"/>
      <c r="HCU92" s="362"/>
      <c r="HCV92" s="362"/>
      <c r="HCW92" s="362"/>
      <c r="HCX92" s="362"/>
      <c r="HCY92" s="362"/>
      <c r="HCZ92" s="362"/>
      <c r="HDA92" s="362"/>
      <c r="HDB92" s="362"/>
      <c r="HDC92" s="362"/>
      <c r="HDD92" s="362"/>
      <c r="HDE92" s="362"/>
      <c r="HDF92" s="362"/>
      <c r="HDG92" s="362"/>
      <c r="HDH92" s="362"/>
      <c r="HDI92" s="362"/>
      <c r="HDJ92" s="362"/>
      <c r="HDK92" s="362"/>
      <c r="HDL92" s="362"/>
      <c r="HDM92" s="362"/>
      <c r="HDN92" s="362"/>
      <c r="HDO92" s="362"/>
      <c r="HDP92" s="362"/>
      <c r="HDQ92" s="362"/>
      <c r="HDR92" s="362"/>
      <c r="HDS92" s="362"/>
      <c r="HDT92" s="362"/>
      <c r="HDU92" s="362"/>
      <c r="HDV92" s="362"/>
      <c r="HDW92" s="362"/>
      <c r="HDX92" s="362"/>
      <c r="HDY92" s="362"/>
      <c r="HDZ92" s="362"/>
      <c r="HEA92" s="362"/>
      <c r="HEB92" s="362"/>
      <c r="HEC92" s="362"/>
      <c r="HED92" s="362"/>
      <c r="HEE92" s="362"/>
      <c r="HEF92" s="362"/>
      <c r="HEG92" s="362"/>
      <c r="HEH92" s="362"/>
      <c r="HEI92" s="362"/>
      <c r="HEJ92" s="362"/>
      <c r="HEK92" s="362"/>
      <c r="HEL92" s="362"/>
      <c r="HEM92" s="362"/>
      <c r="HEN92" s="362"/>
      <c r="HEO92" s="362"/>
      <c r="HEP92" s="362"/>
      <c r="HEQ92" s="362"/>
      <c r="HER92" s="362"/>
      <c r="HES92" s="362"/>
      <c r="HET92" s="362"/>
      <c r="HEU92" s="362"/>
      <c r="HEV92" s="362"/>
      <c r="HEW92" s="362"/>
      <c r="HEX92" s="362"/>
      <c r="HEY92" s="362"/>
      <c r="HEZ92" s="362"/>
      <c r="HFA92" s="362"/>
      <c r="HFB92" s="362"/>
      <c r="HFC92" s="362"/>
      <c r="HFD92" s="362"/>
      <c r="HFE92" s="362"/>
      <c r="HFF92" s="362"/>
      <c r="HFG92" s="362"/>
      <c r="HFH92" s="362"/>
      <c r="HFI92" s="362"/>
      <c r="HFJ92" s="362"/>
      <c r="HFK92" s="362"/>
      <c r="HFL92" s="362"/>
      <c r="HFM92" s="362"/>
      <c r="HFN92" s="362"/>
      <c r="HFO92" s="362"/>
      <c r="HFP92" s="362"/>
      <c r="HFQ92" s="362"/>
      <c r="HFR92" s="362"/>
      <c r="HFS92" s="362"/>
      <c r="HFT92" s="362"/>
      <c r="HFU92" s="362"/>
      <c r="HFV92" s="362"/>
      <c r="HFW92" s="362"/>
      <c r="HFX92" s="362"/>
      <c r="HFY92" s="362"/>
      <c r="HFZ92" s="362"/>
      <c r="HGA92" s="362"/>
      <c r="HGB92" s="362"/>
      <c r="HGC92" s="362"/>
      <c r="HGD92" s="362"/>
      <c r="HGE92" s="362"/>
      <c r="HGF92" s="362"/>
      <c r="HGG92" s="362"/>
      <c r="HGH92" s="362"/>
      <c r="HGI92" s="362"/>
      <c r="HGJ92" s="362"/>
      <c r="HGK92" s="362"/>
      <c r="HGL92" s="362"/>
      <c r="HGM92" s="362"/>
      <c r="HGN92" s="362"/>
      <c r="HGO92" s="362"/>
      <c r="HGP92" s="362"/>
      <c r="HGQ92" s="362"/>
      <c r="HGR92" s="362"/>
      <c r="HGS92" s="362"/>
      <c r="HGT92" s="362"/>
      <c r="HGU92" s="362"/>
      <c r="HGV92" s="362"/>
      <c r="HGW92" s="362"/>
      <c r="HGX92" s="362"/>
      <c r="HGY92" s="362"/>
      <c r="HGZ92" s="362"/>
      <c r="HHA92" s="362"/>
      <c r="HHB92" s="362"/>
      <c r="HHC92" s="362"/>
      <c r="HHD92" s="362"/>
      <c r="HHE92" s="362"/>
      <c r="HHF92" s="362"/>
      <c r="HHG92" s="362"/>
      <c r="HHH92" s="362"/>
      <c r="HHI92" s="362"/>
      <c r="HHJ92" s="362"/>
      <c r="HHK92" s="362"/>
      <c r="HHL92" s="362"/>
      <c r="HHM92" s="362"/>
      <c r="HHN92" s="362"/>
      <c r="HHO92" s="362"/>
      <c r="HHP92" s="362"/>
      <c r="HHQ92" s="362"/>
      <c r="HHR92" s="362"/>
      <c r="HHS92" s="362"/>
      <c r="HHT92" s="362"/>
      <c r="HHU92" s="362"/>
      <c r="HHV92" s="362"/>
      <c r="HHW92" s="362"/>
      <c r="HHX92" s="362"/>
      <c r="HHY92" s="362"/>
      <c r="HHZ92" s="362"/>
      <c r="HIA92" s="362"/>
      <c r="HIB92" s="362"/>
      <c r="HIC92" s="362"/>
      <c r="HID92" s="362"/>
      <c r="HIE92" s="362"/>
      <c r="HIF92" s="362"/>
      <c r="HIG92" s="362"/>
      <c r="HIH92" s="362"/>
      <c r="HII92" s="362"/>
      <c r="HIJ92" s="362"/>
      <c r="HIK92" s="362"/>
      <c r="HIL92" s="362"/>
      <c r="HIM92" s="362"/>
      <c r="HIN92" s="362"/>
      <c r="HIO92" s="362"/>
      <c r="HIP92" s="362"/>
      <c r="HIQ92" s="362"/>
      <c r="HIR92" s="362"/>
      <c r="HIS92" s="362"/>
      <c r="HIT92" s="362"/>
      <c r="HIU92" s="362"/>
      <c r="HIV92" s="362"/>
      <c r="HIW92" s="362"/>
      <c r="HIX92" s="362"/>
      <c r="HIY92" s="362"/>
      <c r="HIZ92" s="362"/>
      <c r="HJA92" s="362"/>
      <c r="HJB92" s="362"/>
      <c r="HJC92" s="362"/>
      <c r="HJD92" s="362"/>
      <c r="HJE92" s="362"/>
      <c r="HJF92" s="362"/>
      <c r="HJG92" s="362"/>
      <c r="HJH92" s="362"/>
      <c r="HJI92" s="362"/>
      <c r="HJJ92" s="362"/>
      <c r="HJK92" s="362"/>
      <c r="HJL92" s="362"/>
      <c r="HJM92" s="362"/>
      <c r="HJN92" s="362"/>
      <c r="HJO92" s="362"/>
      <c r="HJP92" s="362"/>
      <c r="HJQ92" s="362"/>
      <c r="HJR92" s="362"/>
      <c r="HJS92" s="362"/>
      <c r="HJT92" s="362"/>
      <c r="HJU92" s="362"/>
      <c r="HJV92" s="362"/>
      <c r="HJW92" s="362"/>
      <c r="HJX92" s="362"/>
      <c r="HJY92" s="362"/>
      <c r="HJZ92" s="362"/>
      <c r="HKA92" s="362"/>
      <c r="HKB92" s="362"/>
      <c r="HKC92" s="362"/>
      <c r="HKD92" s="362"/>
      <c r="HKE92" s="362"/>
      <c r="HKF92" s="362"/>
      <c r="HKG92" s="362"/>
      <c r="HKH92" s="362"/>
      <c r="HKI92" s="362"/>
      <c r="HKJ92" s="362"/>
      <c r="HKK92" s="362"/>
      <c r="HKL92" s="362"/>
      <c r="HKM92" s="362"/>
      <c r="HKN92" s="362"/>
      <c r="HKO92" s="362"/>
      <c r="HKP92" s="362"/>
      <c r="HKQ92" s="362"/>
      <c r="HKR92" s="362"/>
      <c r="HKS92" s="362"/>
      <c r="HKT92" s="362"/>
      <c r="HKU92" s="362"/>
      <c r="HKV92" s="362"/>
      <c r="HKW92" s="362"/>
      <c r="HKX92" s="362"/>
      <c r="HKY92" s="362"/>
      <c r="HKZ92" s="362"/>
      <c r="HLA92" s="362"/>
      <c r="HLB92" s="362"/>
      <c r="HLC92" s="362"/>
      <c r="HLD92" s="362"/>
      <c r="HLE92" s="362"/>
      <c r="HLF92" s="362"/>
      <c r="HLG92" s="362"/>
      <c r="HLH92" s="362"/>
      <c r="HLI92" s="362"/>
      <c r="HLJ92" s="362"/>
      <c r="HLK92" s="362"/>
      <c r="HLL92" s="362"/>
      <c r="HLM92" s="362"/>
      <c r="HLN92" s="362"/>
      <c r="HLO92" s="362"/>
      <c r="HLP92" s="362"/>
      <c r="HLQ92" s="362"/>
      <c r="HLR92" s="362"/>
      <c r="HLS92" s="362"/>
      <c r="HLT92" s="362"/>
      <c r="HLU92" s="362"/>
      <c r="HLV92" s="362"/>
      <c r="HLW92" s="362"/>
      <c r="HLX92" s="362"/>
      <c r="HLY92" s="362"/>
      <c r="HLZ92" s="362"/>
      <c r="HMA92" s="362"/>
      <c r="HMB92" s="362"/>
      <c r="HMC92" s="362"/>
      <c r="HMD92" s="362"/>
      <c r="HME92" s="362"/>
      <c r="HMF92" s="362"/>
      <c r="HMG92" s="362"/>
      <c r="HMH92" s="362"/>
      <c r="HMI92" s="362"/>
      <c r="HMJ92" s="362"/>
      <c r="HMK92" s="362"/>
      <c r="HML92" s="362"/>
      <c r="HMM92" s="362"/>
      <c r="HMN92" s="362"/>
      <c r="HMO92" s="362"/>
      <c r="HMP92" s="362"/>
      <c r="HMQ92" s="362"/>
      <c r="HMR92" s="362"/>
      <c r="HMS92" s="362"/>
      <c r="HMT92" s="362"/>
      <c r="HMU92" s="362"/>
      <c r="HMV92" s="362"/>
      <c r="HMW92" s="362"/>
      <c r="HMX92" s="362"/>
      <c r="HMY92" s="362"/>
      <c r="HMZ92" s="362"/>
      <c r="HNA92" s="362"/>
      <c r="HNB92" s="362"/>
      <c r="HNC92" s="362"/>
      <c r="HND92" s="362"/>
      <c r="HNE92" s="362"/>
      <c r="HNF92" s="362"/>
      <c r="HNG92" s="362"/>
      <c r="HNH92" s="362"/>
      <c r="HNI92" s="362"/>
      <c r="HNJ92" s="362"/>
      <c r="HNK92" s="362"/>
      <c r="HNL92" s="362"/>
      <c r="HNM92" s="362"/>
      <c r="HNN92" s="362"/>
      <c r="HNO92" s="362"/>
      <c r="HNP92" s="362"/>
      <c r="HNQ92" s="362"/>
      <c r="HNR92" s="362"/>
      <c r="HNS92" s="362"/>
      <c r="HNT92" s="362"/>
      <c r="HNU92" s="362"/>
      <c r="HNV92" s="362"/>
      <c r="HNW92" s="362"/>
      <c r="HNX92" s="362"/>
      <c r="HNY92" s="362"/>
      <c r="HNZ92" s="362"/>
      <c r="HOA92" s="362"/>
      <c r="HOB92" s="362"/>
      <c r="HOC92" s="362"/>
      <c r="HOD92" s="362"/>
      <c r="HOE92" s="362"/>
      <c r="HOF92" s="362"/>
      <c r="HOG92" s="362"/>
      <c r="HOH92" s="362"/>
      <c r="HOI92" s="362"/>
      <c r="HOJ92" s="362"/>
      <c r="HOK92" s="362"/>
      <c r="HOL92" s="362"/>
      <c r="HOM92" s="362"/>
      <c r="HON92" s="362"/>
      <c r="HOO92" s="362"/>
      <c r="HOP92" s="362"/>
      <c r="HOQ92" s="362"/>
      <c r="HOR92" s="362"/>
      <c r="HOS92" s="362"/>
      <c r="HOT92" s="362"/>
      <c r="HOU92" s="362"/>
      <c r="HOV92" s="362"/>
      <c r="HOW92" s="362"/>
      <c r="HOX92" s="362"/>
      <c r="HOY92" s="362"/>
      <c r="HOZ92" s="362"/>
      <c r="HPA92" s="362"/>
      <c r="HPB92" s="362"/>
      <c r="HPC92" s="362"/>
      <c r="HPD92" s="362"/>
      <c r="HPE92" s="362"/>
      <c r="HPF92" s="362"/>
      <c r="HPG92" s="362"/>
      <c r="HPH92" s="362"/>
      <c r="HPI92" s="362"/>
      <c r="HPJ92" s="362"/>
      <c r="HPK92" s="362"/>
      <c r="HPL92" s="362"/>
      <c r="HPM92" s="362"/>
      <c r="HPN92" s="362"/>
      <c r="HPO92" s="362"/>
      <c r="HPP92" s="362"/>
      <c r="HPQ92" s="362"/>
      <c r="HPR92" s="362"/>
      <c r="HPS92" s="362"/>
      <c r="HPT92" s="362"/>
      <c r="HPU92" s="362"/>
      <c r="HPV92" s="362"/>
      <c r="HPW92" s="362"/>
      <c r="HPX92" s="362"/>
      <c r="HPY92" s="362"/>
      <c r="HPZ92" s="362"/>
      <c r="HQA92" s="362"/>
      <c r="HQB92" s="362"/>
      <c r="HQC92" s="362"/>
      <c r="HQD92" s="362"/>
      <c r="HQE92" s="362"/>
      <c r="HQF92" s="362"/>
      <c r="HQG92" s="362"/>
      <c r="HQH92" s="362"/>
      <c r="HQI92" s="362"/>
      <c r="HQJ92" s="362"/>
      <c r="HQK92" s="362"/>
      <c r="HQL92" s="362"/>
      <c r="HQM92" s="362"/>
      <c r="HQN92" s="362"/>
      <c r="HQO92" s="362"/>
      <c r="HQP92" s="362"/>
      <c r="HQQ92" s="362"/>
      <c r="HQR92" s="362"/>
      <c r="HQS92" s="362"/>
      <c r="HQT92" s="362"/>
      <c r="HQU92" s="362"/>
      <c r="HQV92" s="362"/>
      <c r="HQW92" s="362"/>
      <c r="HQX92" s="362"/>
      <c r="HQY92" s="362"/>
      <c r="HQZ92" s="362"/>
      <c r="HRA92" s="362"/>
      <c r="HRB92" s="362"/>
      <c r="HRC92" s="362"/>
      <c r="HRD92" s="362"/>
      <c r="HRE92" s="362"/>
      <c r="HRF92" s="362"/>
      <c r="HRG92" s="362"/>
      <c r="HRH92" s="362"/>
      <c r="HRI92" s="362"/>
      <c r="HRJ92" s="362"/>
      <c r="HRK92" s="362"/>
      <c r="HRL92" s="362"/>
      <c r="HRM92" s="362"/>
      <c r="HRN92" s="362"/>
      <c r="HRO92" s="362"/>
      <c r="HRP92" s="362"/>
      <c r="HRQ92" s="362"/>
      <c r="HRR92" s="362"/>
      <c r="HRS92" s="362"/>
      <c r="HRT92" s="362"/>
      <c r="HRU92" s="362"/>
      <c r="HRV92" s="362"/>
      <c r="HRW92" s="362"/>
      <c r="HRX92" s="362"/>
      <c r="HRY92" s="362"/>
      <c r="HRZ92" s="362"/>
      <c r="HSA92" s="362"/>
      <c r="HSB92" s="362"/>
      <c r="HSC92" s="362"/>
      <c r="HSD92" s="362"/>
      <c r="HSE92" s="362"/>
      <c r="HSF92" s="362"/>
      <c r="HSG92" s="362"/>
      <c r="HSH92" s="362"/>
      <c r="HSI92" s="362"/>
      <c r="HSJ92" s="362"/>
      <c r="HSK92" s="362"/>
      <c r="HSL92" s="362"/>
      <c r="HSM92" s="362"/>
      <c r="HSN92" s="362"/>
      <c r="HSO92" s="362"/>
      <c r="HSP92" s="362"/>
      <c r="HSQ92" s="362"/>
      <c r="HSR92" s="362"/>
      <c r="HSS92" s="362"/>
      <c r="HST92" s="362"/>
      <c r="HSU92" s="362"/>
      <c r="HSV92" s="362"/>
      <c r="HSW92" s="362"/>
      <c r="HSX92" s="362"/>
      <c r="HSY92" s="362"/>
      <c r="HSZ92" s="362"/>
      <c r="HTA92" s="362"/>
      <c r="HTB92" s="362"/>
      <c r="HTC92" s="362"/>
      <c r="HTD92" s="362"/>
      <c r="HTE92" s="362"/>
      <c r="HTF92" s="362"/>
      <c r="HTG92" s="362"/>
      <c r="HTH92" s="362"/>
      <c r="HTI92" s="362"/>
      <c r="HTJ92" s="362"/>
      <c r="HTK92" s="362"/>
      <c r="HTL92" s="362"/>
      <c r="HTM92" s="362"/>
      <c r="HTN92" s="362"/>
      <c r="HTO92" s="362"/>
      <c r="HTP92" s="362"/>
      <c r="HTQ92" s="362"/>
      <c r="HTR92" s="362"/>
      <c r="HTS92" s="362"/>
      <c r="HTT92" s="362"/>
      <c r="HTU92" s="362"/>
      <c r="HTV92" s="362"/>
      <c r="HTW92" s="362"/>
      <c r="HTX92" s="362"/>
      <c r="HTY92" s="362"/>
      <c r="HTZ92" s="362"/>
      <c r="HUA92" s="362"/>
      <c r="HUB92" s="362"/>
      <c r="HUC92" s="362"/>
      <c r="HUD92" s="362"/>
      <c r="HUE92" s="362"/>
      <c r="HUF92" s="362"/>
      <c r="HUG92" s="362"/>
      <c r="HUH92" s="362"/>
      <c r="HUI92" s="362"/>
      <c r="HUJ92" s="362"/>
      <c r="HUK92" s="362"/>
      <c r="HUL92" s="362"/>
      <c r="HUM92" s="362"/>
      <c r="HUN92" s="362"/>
      <c r="HUO92" s="362"/>
      <c r="HUP92" s="362"/>
      <c r="HUQ92" s="362"/>
      <c r="HUR92" s="362"/>
      <c r="HUS92" s="362"/>
      <c r="HUT92" s="362"/>
      <c r="HUU92" s="362"/>
      <c r="HUV92" s="362"/>
      <c r="HUW92" s="362"/>
      <c r="HUX92" s="362"/>
      <c r="HUY92" s="362"/>
      <c r="HUZ92" s="362"/>
      <c r="HVA92" s="362"/>
      <c r="HVB92" s="362"/>
      <c r="HVC92" s="362"/>
      <c r="HVD92" s="362"/>
      <c r="HVE92" s="362"/>
      <c r="HVF92" s="362"/>
      <c r="HVG92" s="362"/>
      <c r="HVH92" s="362"/>
      <c r="HVI92" s="362"/>
      <c r="HVJ92" s="362"/>
      <c r="HVK92" s="362"/>
      <c r="HVL92" s="362"/>
      <c r="HVM92" s="362"/>
      <c r="HVN92" s="362"/>
      <c r="HVO92" s="362"/>
      <c r="HVP92" s="362"/>
      <c r="HVQ92" s="362"/>
      <c r="HVR92" s="362"/>
      <c r="HVS92" s="362"/>
      <c r="HVT92" s="362"/>
      <c r="HVU92" s="362"/>
      <c r="HVV92" s="362"/>
      <c r="HVW92" s="362"/>
      <c r="HVX92" s="362"/>
      <c r="HVY92" s="362"/>
      <c r="HVZ92" s="362"/>
      <c r="HWA92" s="362"/>
      <c r="HWB92" s="362"/>
      <c r="HWC92" s="362"/>
      <c r="HWD92" s="362"/>
      <c r="HWE92" s="362"/>
      <c r="HWF92" s="362"/>
      <c r="HWG92" s="362"/>
      <c r="HWH92" s="362"/>
      <c r="HWI92" s="362"/>
      <c r="HWJ92" s="362"/>
      <c r="HWK92" s="362"/>
      <c r="HWL92" s="362"/>
      <c r="HWM92" s="362"/>
      <c r="HWN92" s="362"/>
      <c r="HWO92" s="362"/>
      <c r="HWP92" s="362"/>
      <c r="HWQ92" s="362"/>
      <c r="HWR92" s="362"/>
      <c r="HWS92" s="362"/>
      <c r="HWT92" s="362"/>
      <c r="HWU92" s="362"/>
      <c r="HWV92" s="362"/>
      <c r="HWW92" s="362"/>
      <c r="HWX92" s="362"/>
      <c r="HWY92" s="362"/>
      <c r="HWZ92" s="362"/>
      <c r="HXA92" s="362"/>
      <c r="HXB92" s="362"/>
      <c r="HXC92" s="362"/>
      <c r="HXD92" s="362"/>
      <c r="HXE92" s="362"/>
      <c r="HXF92" s="362"/>
      <c r="HXG92" s="362"/>
      <c r="HXH92" s="362"/>
      <c r="HXI92" s="362"/>
      <c r="HXJ92" s="362"/>
      <c r="HXK92" s="362"/>
      <c r="HXL92" s="362"/>
      <c r="HXM92" s="362"/>
      <c r="HXN92" s="362"/>
      <c r="HXO92" s="362"/>
      <c r="HXP92" s="362"/>
      <c r="HXQ92" s="362"/>
      <c r="HXR92" s="362"/>
      <c r="HXS92" s="362"/>
      <c r="HXT92" s="362"/>
      <c r="HXU92" s="362"/>
      <c r="HXV92" s="362"/>
      <c r="HXW92" s="362"/>
      <c r="HXX92" s="362"/>
      <c r="HXY92" s="362"/>
      <c r="HXZ92" s="362"/>
      <c r="HYA92" s="362"/>
      <c r="HYB92" s="362"/>
      <c r="HYC92" s="362"/>
      <c r="HYD92" s="362"/>
      <c r="HYE92" s="362"/>
      <c r="HYF92" s="362"/>
      <c r="HYG92" s="362"/>
      <c r="HYH92" s="362"/>
      <c r="HYI92" s="362"/>
      <c r="HYJ92" s="362"/>
      <c r="HYK92" s="362"/>
      <c r="HYL92" s="362"/>
      <c r="HYM92" s="362"/>
      <c r="HYN92" s="362"/>
      <c r="HYO92" s="362"/>
      <c r="HYP92" s="362"/>
      <c r="HYQ92" s="362"/>
      <c r="HYR92" s="362"/>
      <c r="HYS92" s="362"/>
      <c r="HYT92" s="362"/>
      <c r="HYU92" s="362"/>
      <c r="HYV92" s="362"/>
      <c r="HYW92" s="362"/>
      <c r="HYX92" s="362"/>
      <c r="HYY92" s="362"/>
      <c r="HYZ92" s="362"/>
      <c r="HZA92" s="362"/>
      <c r="HZB92" s="362"/>
      <c r="HZC92" s="362"/>
      <c r="HZD92" s="362"/>
      <c r="HZE92" s="362"/>
      <c r="HZF92" s="362"/>
      <c r="HZG92" s="362"/>
      <c r="HZH92" s="362"/>
      <c r="HZI92" s="362"/>
      <c r="HZJ92" s="362"/>
      <c r="HZK92" s="362"/>
      <c r="HZL92" s="362"/>
      <c r="HZM92" s="362"/>
      <c r="HZN92" s="362"/>
      <c r="HZO92" s="362"/>
      <c r="HZP92" s="362"/>
      <c r="HZQ92" s="362"/>
      <c r="HZR92" s="362"/>
      <c r="HZS92" s="362"/>
      <c r="HZT92" s="362"/>
      <c r="HZU92" s="362"/>
      <c r="HZV92" s="362"/>
      <c r="HZW92" s="362"/>
      <c r="HZX92" s="362"/>
      <c r="HZY92" s="362"/>
      <c r="HZZ92" s="362"/>
      <c r="IAA92" s="362"/>
      <c r="IAB92" s="362"/>
      <c r="IAC92" s="362"/>
      <c r="IAD92" s="362"/>
      <c r="IAE92" s="362"/>
      <c r="IAF92" s="362"/>
      <c r="IAG92" s="362"/>
      <c r="IAH92" s="362"/>
      <c r="IAI92" s="362"/>
      <c r="IAJ92" s="362"/>
      <c r="IAK92" s="362"/>
      <c r="IAL92" s="362"/>
      <c r="IAM92" s="362"/>
      <c r="IAN92" s="362"/>
      <c r="IAO92" s="362"/>
      <c r="IAP92" s="362"/>
      <c r="IAQ92" s="362"/>
      <c r="IAR92" s="362"/>
      <c r="IAS92" s="362"/>
      <c r="IAT92" s="362"/>
      <c r="IAU92" s="362"/>
      <c r="IAV92" s="362"/>
      <c r="IAW92" s="362"/>
      <c r="IAX92" s="362"/>
      <c r="IAY92" s="362"/>
      <c r="IAZ92" s="362"/>
      <c r="IBA92" s="362"/>
      <c r="IBB92" s="362"/>
      <c r="IBC92" s="362"/>
      <c r="IBD92" s="362"/>
      <c r="IBE92" s="362"/>
      <c r="IBF92" s="362"/>
      <c r="IBG92" s="362"/>
      <c r="IBH92" s="362"/>
      <c r="IBI92" s="362"/>
      <c r="IBJ92" s="362"/>
      <c r="IBK92" s="362"/>
      <c r="IBL92" s="362"/>
      <c r="IBM92" s="362"/>
      <c r="IBN92" s="362"/>
      <c r="IBO92" s="362"/>
      <c r="IBP92" s="362"/>
      <c r="IBQ92" s="362"/>
      <c r="IBR92" s="362"/>
      <c r="IBS92" s="362"/>
      <c r="IBT92" s="362"/>
      <c r="IBU92" s="362"/>
      <c r="IBV92" s="362"/>
      <c r="IBW92" s="362"/>
      <c r="IBX92" s="362"/>
      <c r="IBY92" s="362"/>
      <c r="IBZ92" s="362"/>
      <c r="ICA92" s="362"/>
      <c r="ICB92" s="362"/>
      <c r="ICC92" s="362"/>
      <c r="ICD92" s="362"/>
      <c r="ICE92" s="362"/>
      <c r="ICF92" s="362"/>
      <c r="ICG92" s="362"/>
      <c r="ICH92" s="362"/>
      <c r="ICI92" s="362"/>
      <c r="ICJ92" s="362"/>
      <c r="ICK92" s="362"/>
      <c r="ICL92" s="362"/>
      <c r="ICM92" s="362"/>
      <c r="ICN92" s="362"/>
      <c r="ICO92" s="362"/>
      <c r="ICP92" s="362"/>
      <c r="ICQ92" s="362"/>
      <c r="ICR92" s="362"/>
      <c r="ICS92" s="362"/>
      <c r="ICT92" s="362"/>
      <c r="ICU92" s="362"/>
      <c r="ICV92" s="362"/>
      <c r="ICW92" s="362"/>
      <c r="ICX92" s="362"/>
      <c r="ICY92" s="362"/>
      <c r="ICZ92" s="362"/>
      <c r="IDA92" s="362"/>
      <c r="IDB92" s="362"/>
      <c r="IDC92" s="362"/>
      <c r="IDD92" s="362"/>
      <c r="IDE92" s="362"/>
      <c r="IDF92" s="362"/>
      <c r="IDG92" s="362"/>
      <c r="IDH92" s="362"/>
      <c r="IDI92" s="362"/>
      <c r="IDJ92" s="362"/>
      <c r="IDK92" s="362"/>
      <c r="IDL92" s="362"/>
      <c r="IDM92" s="362"/>
      <c r="IDN92" s="362"/>
      <c r="IDO92" s="362"/>
      <c r="IDP92" s="362"/>
      <c r="IDQ92" s="362"/>
      <c r="IDR92" s="362"/>
      <c r="IDS92" s="362"/>
      <c r="IDT92" s="362"/>
      <c r="IDU92" s="362"/>
      <c r="IDV92" s="362"/>
      <c r="IDW92" s="362"/>
      <c r="IDX92" s="362"/>
      <c r="IDY92" s="362"/>
      <c r="IDZ92" s="362"/>
      <c r="IEA92" s="362"/>
      <c r="IEB92" s="362"/>
      <c r="IEC92" s="362"/>
      <c r="IED92" s="362"/>
      <c r="IEE92" s="362"/>
      <c r="IEF92" s="362"/>
      <c r="IEG92" s="362"/>
      <c r="IEH92" s="362"/>
      <c r="IEI92" s="362"/>
      <c r="IEJ92" s="362"/>
      <c r="IEK92" s="362"/>
      <c r="IEL92" s="362"/>
      <c r="IEM92" s="362"/>
      <c r="IEN92" s="362"/>
      <c r="IEO92" s="362"/>
      <c r="IEP92" s="362"/>
      <c r="IEQ92" s="362"/>
      <c r="IER92" s="362"/>
      <c r="IES92" s="362"/>
      <c r="IET92" s="362"/>
      <c r="IEU92" s="362"/>
      <c r="IEV92" s="362"/>
      <c r="IEW92" s="362"/>
      <c r="IEX92" s="362"/>
      <c r="IEY92" s="362"/>
      <c r="IEZ92" s="362"/>
      <c r="IFA92" s="362"/>
      <c r="IFB92" s="362"/>
      <c r="IFC92" s="362"/>
      <c r="IFD92" s="362"/>
      <c r="IFE92" s="362"/>
      <c r="IFF92" s="362"/>
      <c r="IFG92" s="362"/>
      <c r="IFH92" s="362"/>
      <c r="IFI92" s="362"/>
      <c r="IFJ92" s="362"/>
      <c r="IFK92" s="362"/>
      <c r="IFL92" s="362"/>
      <c r="IFM92" s="362"/>
      <c r="IFN92" s="362"/>
      <c r="IFO92" s="362"/>
      <c r="IFP92" s="362"/>
      <c r="IFQ92" s="362"/>
      <c r="IFR92" s="362"/>
      <c r="IFS92" s="362"/>
      <c r="IFT92" s="362"/>
      <c r="IFU92" s="362"/>
      <c r="IFV92" s="362"/>
      <c r="IFW92" s="362"/>
      <c r="IFX92" s="362"/>
      <c r="IFY92" s="362"/>
      <c r="IFZ92" s="362"/>
      <c r="IGA92" s="362"/>
      <c r="IGB92" s="362"/>
      <c r="IGC92" s="362"/>
      <c r="IGD92" s="362"/>
      <c r="IGE92" s="362"/>
      <c r="IGF92" s="362"/>
      <c r="IGG92" s="362"/>
      <c r="IGH92" s="362"/>
      <c r="IGI92" s="362"/>
      <c r="IGJ92" s="362"/>
      <c r="IGK92" s="362"/>
      <c r="IGL92" s="362"/>
      <c r="IGM92" s="362"/>
      <c r="IGN92" s="362"/>
      <c r="IGO92" s="362"/>
      <c r="IGP92" s="362"/>
      <c r="IGQ92" s="362"/>
      <c r="IGR92" s="362"/>
      <c r="IGS92" s="362"/>
      <c r="IGT92" s="362"/>
      <c r="IGU92" s="362"/>
      <c r="IGV92" s="362"/>
      <c r="IGW92" s="362"/>
      <c r="IGX92" s="362"/>
      <c r="IGY92" s="362"/>
      <c r="IGZ92" s="362"/>
      <c r="IHA92" s="362"/>
      <c r="IHB92" s="362"/>
      <c r="IHC92" s="362"/>
      <c r="IHD92" s="362"/>
      <c r="IHE92" s="362"/>
      <c r="IHF92" s="362"/>
      <c r="IHG92" s="362"/>
      <c r="IHH92" s="362"/>
      <c r="IHI92" s="362"/>
      <c r="IHJ92" s="362"/>
      <c r="IHK92" s="362"/>
      <c r="IHL92" s="362"/>
      <c r="IHM92" s="362"/>
      <c r="IHN92" s="362"/>
      <c r="IHO92" s="362"/>
      <c r="IHP92" s="362"/>
      <c r="IHQ92" s="362"/>
      <c r="IHR92" s="362"/>
      <c r="IHS92" s="362"/>
      <c r="IHT92" s="362"/>
      <c r="IHU92" s="362"/>
      <c r="IHV92" s="362"/>
      <c r="IHW92" s="362"/>
      <c r="IHX92" s="362"/>
      <c r="IHY92" s="362"/>
      <c r="IHZ92" s="362"/>
      <c r="IIA92" s="362"/>
      <c r="IIB92" s="362"/>
      <c r="IIC92" s="362"/>
      <c r="IID92" s="362"/>
      <c r="IIE92" s="362"/>
      <c r="IIF92" s="362"/>
      <c r="IIG92" s="362"/>
      <c r="IIH92" s="362"/>
      <c r="III92" s="362"/>
      <c r="IIJ92" s="362"/>
      <c r="IIK92" s="362"/>
      <c r="IIL92" s="362"/>
      <c r="IIM92" s="362"/>
      <c r="IIN92" s="362"/>
      <c r="IIO92" s="362"/>
      <c r="IIP92" s="362"/>
      <c r="IIQ92" s="362"/>
      <c r="IIR92" s="362"/>
      <c r="IIS92" s="362"/>
      <c r="IIT92" s="362"/>
      <c r="IIU92" s="362"/>
      <c r="IIV92" s="362"/>
      <c r="IIW92" s="362"/>
      <c r="IIX92" s="362"/>
      <c r="IIY92" s="362"/>
      <c r="IIZ92" s="362"/>
      <c r="IJA92" s="362"/>
      <c r="IJB92" s="362"/>
      <c r="IJC92" s="362"/>
      <c r="IJD92" s="362"/>
      <c r="IJE92" s="362"/>
      <c r="IJF92" s="362"/>
      <c r="IJG92" s="362"/>
      <c r="IJH92" s="362"/>
      <c r="IJI92" s="362"/>
      <c r="IJJ92" s="362"/>
      <c r="IJK92" s="362"/>
      <c r="IJL92" s="362"/>
      <c r="IJM92" s="362"/>
      <c r="IJN92" s="362"/>
      <c r="IJO92" s="362"/>
      <c r="IJP92" s="362"/>
      <c r="IJQ92" s="362"/>
      <c r="IJR92" s="362"/>
      <c r="IJS92" s="362"/>
      <c r="IJT92" s="362"/>
      <c r="IJU92" s="362"/>
      <c r="IJV92" s="362"/>
      <c r="IJW92" s="362"/>
      <c r="IJX92" s="362"/>
      <c r="IJY92" s="362"/>
      <c r="IJZ92" s="362"/>
      <c r="IKA92" s="362"/>
      <c r="IKB92" s="362"/>
      <c r="IKC92" s="362"/>
      <c r="IKD92" s="362"/>
      <c r="IKE92" s="362"/>
      <c r="IKF92" s="362"/>
      <c r="IKG92" s="362"/>
      <c r="IKH92" s="362"/>
      <c r="IKI92" s="362"/>
      <c r="IKJ92" s="362"/>
      <c r="IKK92" s="362"/>
      <c r="IKL92" s="362"/>
      <c r="IKM92" s="362"/>
      <c r="IKN92" s="362"/>
      <c r="IKO92" s="362"/>
      <c r="IKP92" s="362"/>
      <c r="IKQ92" s="362"/>
      <c r="IKR92" s="362"/>
      <c r="IKS92" s="362"/>
      <c r="IKT92" s="362"/>
      <c r="IKU92" s="362"/>
      <c r="IKV92" s="362"/>
      <c r="IKW92" s="362"/>
      <c r="IKX92" s="362"/>
      <c r="IKY92" s="362"/>
      <c r="IKZ92" s="362"/>
      <c r="ILA92" s="362"/>
      <c r="ILB92" s="362"/>
      <c r="ILC92" s="362"/>
      <c r="ILD92" s="362"/>
      <c r="ILE92" s="362"/>
      <c r="ILF92" s="362"/>
      <c r="ILG92" s="362"/>
      <c r="ILH92" s="362"/>
      <c r="ILI92" s="362"/>
      <c r="ILJ92" s="362"/>
      <c r="ILK92" s="362"/>
      <c r="ILL92" s="362"/>
      <c r="ILM92" s="362"/>
      <c r="ILN92" s="362"/>
      <c r="ILO92" s="362"/>
      <c r="ILP92" s="362"/>
      <c r="ILQ92" s="362"/>
      <c r="ILR92" s="362"/>
      <c r="ILS92" s="362"/>
      <c r="ILT92" s="362"/>
      <c r="ILU92" s="362"/>
      <c r="ILV92" s="362"/>
      <c r="ILW92" s="362"/>
      <c r="ILX92" s="362"/>
      <c r="ILY92" s="362"/>
      <c r="ILZ92" s="362"/>
      <c r="IMA92" s="362"/>
      <c r="IMB92" s="362"/>
      <c r="IMC92" s="362"/>
      <c r="IMD92" s="362"/>
      <c r="IME92" s="362"/>
      <c r="IMF92" s="362"/>
      <c r="IMG92" s="362"/>
      <c r="IMH92" s="362"/>
      <c r="IMI92" s="362"/>
      <c r="IMJ92" s="362"/>
      <c r="IMK92" s="362"/>
      <c r="IML92" s="362"/>
      <c r="IMM92" s="362"/>
      <c r="IMN92" s="362"/>
      <c r="IMO92" s="362"/>
      <c r="IMP92" s="362"/>
      <c r="IMQ92" s="362"/>
      <c r="IMR92" s="362"/>
      <c r="IMS92" s="362"/>
      <c r="IMT92" s="362"/>
      <c r="IMU92" s="362"/>
      <c r="IMV92" s="362"/>
      <c r="IMW92" s="362"/>
      <c r="IMX92" s="362"/>
      <c r="IMY92" s="362"/>
      <c r="IMZ92" s="362"/>
      <c r="INA92" s="362"/>
      <c r="INB92" s="362"/>
      <c r="INC92" s="362"/>
      <c r="IND92" s="362"/>
      <c r="INE92" s="362"/>
      <c r="INF92" s="362"/>
      <c r="ING92" s="362"/>
      <c r="INH92" s="362"/>
      <c r="INI92" s="362"/>
      <c r="INJ92" s="362"/>
      <c r="INK92" s="362"/>
      <c r="INL92" s="362"/>
      <c r="INM92" s="362"/>
      <c r="INN92" s="362"/>
      <c r="INO92" s="362"/>
      <c r="INP92" s="362"/>
      <c r="INQ92" s="362"/>
      <c r="INR92" s="362"/>
      <c r="INS92" s="362"/>
      <c r="INT92" s="362"/>
      <c r="INU92" s="362"/>
      <c r="INV92" s="362"/>
      <c r="INW92" s="362"/>
      <c r="INX92" s="362"/>
      <c r="INY92" s="362"/>
      <c r="INZ92" s="362"/>
      <c r="IOA92" s="362"/>
      <c r="IOB92" s="362"/>
      <c r="IOC92" s="362"/>
      <c r="IOD92" s="362"/>
      <c r="IOE92" s="362"/>
      <c r="IOF92" s="362"/>
      <c r="IOG92" s="362"/>
      <c r="IOH92" s="362"/>
      <c r="IOI92" s="362"/>
      <c r="IOJ92" s="362"/>
      <c r="IOK92" s="362"/>
      <c r="IOL92" s="362"/>
      <c r="IOM92" s="362"/>
      <c r="ION92" s="362"/>
      <c r="IOO92" s="362"/>
      <c r="IOP92" s="362"/>
      <c r="IOQ92" s="362"/>
      <c r="IOR92" s="362"/>
      <c r="IOS92" s="362"/>
      <c r="IOT92" s="362"/>
      <c r="IOU92" s="362"/>
      <c r="IOV92" s="362"/>
      <c r="IOW92" s="362"/>
      <c r="IOX92" s="362"/>
      <c r="IOY92" s="362"/>
      <c r="IOZ92" s="362"/>
      <c r="IPA92" s="362"/>
      <c r="IPB92" s="362"/>
      <c r="IPC92" s="362"/>
      <c r="IPD92" s="362"/>
      <c r="IPE92" s="362"/>
      <c r="IPF92" s="362"/>
      <c r="IPG92" s="362"/>
      <c r="IPH92" s="362"/>
      <c r="IPI92" s="362"/>
      <c r="IPJ92" s="362"/>
      <c r="IPK92" s="362"/>
      <c r="IPL92" s="362"/>
      <c r="IPM92" s="362"/>
      <c r="IPN92" s="362"/>
      <c r="IPO92" s="362"/>
      <c r="IPP92" s="362"/>
      <c r="IPQ92" s="362"/>
      <c r="IPR92" s="362"/>
      <c r="IPS92" s="362"/>
      <c r="IPT92" s="362"/>
      <c r="IPU92" s="362"/>
      <c r="IPV92" s="362"/>
      <c r="IPW92" s="362"/>
      <c r="IPX92" s="362"/>
      <c r="IPY92" s="362"/>
      <c r="IPZ92" s="362"/>
      <c r="IQA92" s="362"/>
      <c r="IQB92" s="362"/>
      <c r="IQC92" s="362"/>
      <c r="IQD92" s="362"/>
      <c r="IQE92" s="362"/>
      <c r="IQF92" s="362"/>
      <c r="IQG92" s="362"/>
      <c r="IQH92" s="362"/>
      <c r="IQI92" s="362"/>
      <c r="IQJ92" s="362"/>
      <c r="IQK92" s="362"/>
      <c r="IQL92" s="362"/>
      <c r="IQM92" s="362"/>
      <c r="IQN92" s="362"/>
      <c r="IQO92" s="362"/>
      <c r="IQP92" s="362"/>
      <c r="IQQ92" s="362"/>
      <c r="IQR92" s="362"/>
      <c r="IQS92" s="362"/>
      <c r="IQT92" s="362"/>
      <c r="IQU92" s="362"/>
      <c r="IQV92" s="362"/>
      <c r="IQW92" s="362"/>
      <c r="IQX92" s="362"/>
      <c r="IQY92" s="362"/>
      <c r="IQZ92" s="362"/>
      <c r="IRA92" s="362"/>
      <c r="IRB92" s="362"/>
      <c r="IRC92" s="362"/>
      <c r="IRD92" s="362"/>
      <c r="IRE92" s="362"/>
      <c r="IRF92" s="362"/>
      <c r="IRG92" s="362"/>
      <c r="IRH92" s="362"/>
      <c r="IRI92" s="362"/>
      <c r="IRJ92" s="362"/>
      <c r="IRK92" s="362"/>
      <c r="IRL92" s="362"/>
      <c r="IRM92" s="362"/>
      <c r="IRN92" s="362"/>
      <c r="IRO92" s="362"/>
      <c r="IRP92" s="362"/>
      <c r="IRQ92" s="362"/>
      <c r="IRR92" s="362"/>
      <c r="IRS92" s="362"/>
      <c r="IRT92" s="362"/>
      <c r="IRU92" s="362"/>
      <c r="IRV92" s="362"/>
      <c r="IRW92" s="362"/>
      <c r="IRX92" s="362"/>
      <c r="IRY92" s="362"/>
      <c r="IRZ92" s="362"/>
      <c r="ISA92" s="362"/>
      <c r="ISB92" s="362"/>
      <c r="ISC92" s="362"/>
      <c r="ISD92" s="362"/>
      <c r="ISE92" s="362"/>
      <c r="ISF92" s="362"/>
      <c r="ISG92" s="362"/>
      <c r="ISH92" s="362"/>
      <c r="ISI92" s="362"/>
      <c r="ISJ92" s="362"/>
      <c r="ISK92" s="362"/>
      <c r="ISL92" s="362"/>
      <c r="ISM92" s="362"/>
      <c r="ISN92" s="362"/>
      <c r="ISO92" s="362"/>
      <c r="ISP92" s="362"/>
      <c r="ISQ92" s="362"/>
      <c r="ISR92" s="362"/>
      <c r="ISS92" s="362"/>
      <c r="IST92" s="362"/>
      <c r="ISU92" s="362"/>
      <c r="ISV92" s="362"/>
      <c r="ISW92" s="362"/>
      <c r="ISX92" s="362"/>
      <c r="ISY92" s="362"/>
      <c r="ISZ92" s="362"/>
      <c r="ITA92" s="362"/>
      <c r="ITB92" s="362"/>
      <c r="ITC92" s="362"/>
      <c r="ITD92" s="362"/>
      <c r="ITE92" s="362"/>
      <c r="ITF92" s="362"/>
      <c r="ITG92" s="362"/>
      <c r="ITH92" s="362"/>
      <c r="ITI92" s="362"/>
      <c r="ITJ92" s="362"/>
      <c r="ITK92" s="362"/>
      <c r="ITL92" s="362"/>
      <c r="ITM92" s="362"/>
      <c r="ITN92" s="362"/>
      <c r="ITO92" s="362"/>
      <c r="ITP92" s="362"/>
      <c r="ITQ92" s="362"/>
      <c r="ITR92" s="362"/>
      <c r="ITS92" s="362"/>
      <c r="ITT92" s="362"/>
      <c r="ITU92" s="362"/>
      <c r="ITV92" s="362"/>
      <c r="ITW92" s="362"/>
      <c r="ITX92" s="362"/>
      <c r="ITY92" s="362"/>
      <c r="ITZ92" s="362"/>
      <c r="IUA92" s="362"/>
      <c r="IUB92" s="362"/>
      <c r="IUC92" s="362"/>
      <c r="IUD92" s="362"/>
      <c r="IUE92" s="362"/>
      <c r="IUF92" s="362"/>
      <c r="IUG92" s="362"/>
      <c r="IUH92" s="362"/>
      <c r="IUI92" s="362"/>
      <c r="IUJ92" s="362"/>
      <c r="IUK92" s="362"/>
      <c r="IUL92" s="362"/>
      <c r="IUM92" s="362"/>
      <c r="IUN92" s="362"/>
      <c r="IUO92" s="362"/>
      <c r="IUP92" s="362"/>
      <c r="IUQ92" s="362"/>
      <c r="IUR92" s="362"/>
      <c r="IUS92" s="362"/>
      <c r="IUT92" s="362"/>
      <c r="IUU92" s="362"/>
      <c r="IUV92" s="362"/>
      <c r="IUW92" s="362"/>
      <c r="IUX92" s="362"/>
      <c r="IUY92" s="362"/>
      <c r="IUZ92" s="362"/>
      <c r="IVA92" s="362"/>
      <c r="IVB92" s="362"/>
      <c r="IVC92" s="362"/>
      <c r="IVD92" s="362"/>
      <c r="IVE92" s="362"/>
      <c r="IVF92" s="362"/>
      <c r="IVG92" s="362"/>
      <c r="IVH92" s="362"/>
      <c r="IVI92" s="362"/>
      <c r="IVJ92" s="362"/>
      <c r="IVK92" s="362"/>
      <c r="IVL92" s="362"/>
      <c r="IVM92" s="362"/>
      <c r="IVN92" s="362"/>
      <c r="IVO92" s="362"/>
      <c r="IVP92" s="362"/>
      <c r="IVQ92" s="362"/>
      <c r="IVR92" s="362"/>
      <c r="IVS92" s="362"/>
      <c r="IVT92" s="362"/>
      <c r="IVU92" s="362"/>
      <c r="IVV92" s="362"/>
      <c r="IVW92" s="362"/>
      <c r="IVX92" s="362"/>
      <c r="IVY92" s="362"/>
      <c r="IVZ92" s="362"/>
      <c r="IWA92" s="362"/>
      <c r="IWB92" s="362"/>
      <c r="IWC92" s="362"/>
      <c r="IWD92" s="362"/>
      <c r="IWE92" s="362"/>
      <c r="IWF92" s="362"/>
      <c r="IWG92" s="362"/>
      <c r="IWH92" s="362"/>
      <c r="IWI92" s="362"/>
      <c r="IWJ92" s="362"/>
      <c r="IWK92" s="362"/>
      <c r="IWL92" s="362"/>
      <c r="IWM92" s="362"/>
      <c r="IWN92" s="362"/>
      <c r="IWO92" s="362"/>
      <c r="IWP92" s="362"/>
      <c r="IWQ92" s="362"/>
      <c r="IWR92" s="362"/>
      <c r="IWS92" s="362"/>
      <c r="IWT92" s="362"/>
      <c r="IWU92" s="362"/>
      <c r="IWV92" s="362"/>
      <c r="IWW92" s="362"/>
      <c r="IWX92" s="362"/>
      <c r="IWY92" s="362"/>
      <c r="IWZ92" s="362"/>
      <c r="IXA92" s="362"/>
      <c r="IXB92" s="362"/>
      <c r="IXC92" s="362"/>
      <c r="IXD92" s="362"/>
      <c r="IXE92" s="362"/>
      <c r="IXF92" s="362"/>
      <c r="IXG92" s="362"/>
      <c r="IXH92" s="362"/>
      <c r="IXI92" s="362"/>
      <c r="IXJ92" s="362"/>
      <c r="IXK92" s="362"/>
      <c r="IXL92" s="362"/>
      <c r="IXM92" s="362"/>
      <c r="IXN92" s="362"/>
      <c r="IXO92" s="362"/>
      <c r="IXP92" s="362"/>
      <c r="IXQ92" s="362"/>
      <c r="IXR92" s="362"/>
      <c r="IXS92" s="362"/>
      <c r="IXT92" s="362"/>
      <c r="IXU92" s="362"/>
      <c r="IXV92" s="362"/>
      <c r="IXW92" s="362"/>
      <c r="IXX92" s="362"/>
      <c r="IXY92" s="362"/>
      <c r="IXZ92" s="362"/>
      <c r="IYA92" s="362"/>
      <c r="IYB92" s="362"/>
      <c r="IYC92" s="362"/>
      <c r="IYD92" s="362"/>
      <c r="IYE92" s="362"/>
      <c r="IYF92" s="362"/>
      <c r="IYG92" s="362"/>
      <c r="IYH92" s="362"/>
      <c r="IYI92" s="362"/>
      <c r="IYJ92" s="362"/>
      <c r="IYK92" s="362"/>
      <c r="IYL92" s="362"/>
      <c r="IYM92" s="362"/>
      <c r="IYN92" s="362"/>
      <c r="IYO92" s="362"/>
      <c r="IYP92" s="362"/>
      <c r="IYQ92" s="362"/>
      <c r="IYR92" s="362"/>
      <c r="IYS92" s="362"/>
      <c r="IYT92" s="362"/>
      <c r="IYU92" s="362"/>
      <c r="IYV92" s="362"/>
      <c r="IYW92" s="362"/>
      <c r="IYX92" s="362"/>
      <c r="IYY92" s="362"/>
      <c r="IYZ92" s="362"/>
      <c r="IZA92" s="362"/>
      <c r="IZB92" s="362"/>
      <c r="IZC92" s="362"/>
      <c r="IZD92" s="362"/>
      <c r="IZE92" s="362"/>
      <c r="IZF92" s="362"/>
      <c r="IZG92" s="362"/>
      <c r="IZH92" s="362"/>
      <c r="IZI92" s="362"/>
      <c r="IZJ92" s="362"/>
      <c r="IZK92" s="362"/>
      <c r="IZL92" s="362"/>
      <c r="IZM92" s="362"/>
      <c r="IZN92" s="362"/>
      <c r="IZO92" s="362"/>
      <c r="IZP92" s="362"/>
      <c r="IZQ92" s="362"/>
      <c r="IZR92" s="362"/>
      <c r="IZS92" s="362"/>
      <c r="IZT92" s="362"/>
      <c r="IZU92" s="362"/>
      <c r="IZV92" s="362"/>
      <c r="IZW92" s="362"/>
      <c r="IZX92" s="362"/>
      <c r="IZY92" s="362"/>
      <c r="IZZ92" s="362"/>
      <c r="JAA92" s="362"/>
      <c r="JAB92" s="362"/>
      <c r="JAC92" s="362"/>
      <c r="JAD92" s="362"/>
      <c r="JAE92" s="362"/>
      <c r="JAF92" s="362"/>
      <c r="JAG92" s="362"/>
      <c r="JAH92" s="362"/>
      <c r="JAI92" s="362"/>
      <c r="JAJ92" s="362"/>
      <c r="JAK92" s="362"/>
      <c r="JAL92" s="362"/>
      <c r="JAM92" s="362"/>
      <c r="JAN92" s="362"/>
      <c r="JAO92" s="362"/>
      <c r="JAP92" s="362"/>
      <c r="JAQ92" s="362"/>
      <c r="JAR92" s="362"/>
      <c r="JAS92" s="362"/>
      <c r="JAT92" s="362"/>
      <c r="JAU92" s="362"/>
      <c r="JAV92" s="362"/>
      <c r="JAW92" s="362"/>
      <c r="JAX92" s="362"/>
      <c r="JAY92" s="362"/>
      <c r="JAZ92" s="362"/>
      <c r="JBA92" s="362"/>
      <c r="JBB92" s="362"/>
      <c r="JBC92" s="362"/>
      <c r="JBD92" s="362"/>
      <c r="JBE92" s="362"/>
      <c r="JBF92" s="362"/>
      <c r="JBG92" s="362"/>
      <c r="JBH92" s="362"/>
      <c r="JBI92" s="362"/>
      <c r="JBJ92" s="362"/>
      <c r="JBK92" s="362"/>
      <c r="JBL92" s="362"/>
      <c r="JBM92" s="362"/>
      <c r="JBN92" s="362"/>
      <c r="JBO92" s="362"/>
      <c r="JBP92" s="362"/>
      <c r="JBQ92" s="362"/>
      <c r="JBR92" s="362"/>
      <c r="JBS92" s="362"/>
      <c r="JBT92" s="362"/>
      <c r="JBU92" s="362"/>
      <c r="JBV92" s="362"/>
      <c r="JBW92" s="362"/>
      <c r="JBX92" s="362"/>
      <c r="JBY92" s="362"/>
      <c r="JBZ92" s="362"/>
      <c r="JCA92" s="362"/>
      <c r="JCB92" s="362"/>
      <c r="JCC92" s="362"/>
      <c r="JCD92" s="362"/>
      <c r="JCE92" s="362"/>
      <c r="JCF92" s="362"/>
      <c r="JCG92" s="362"/>
      <c r="JCH92" s="362"/>
      <c r="JCI92" s="362"/>
      <c r="JCJ92" s="362"/>
      <c r="JCK92" s="362"/>
      <c r="JCL92" s="362"/>
      <c r="JCM92" s="362"/>
      <c r="JCN92" s="362"/>
      <c r="JCO92" s="362"/>
      <c r="JCP92" s="362"/>
      <c r="JCQ92" s="362"/>
      <c r="JCR92" s="362"/>
      <c r="JCS92" s="362"/>
      <c r="JCT92" s="362"/>
      <c r="JCU92" s="362"/>
      <c r="JCV92" s="362"/>
      <c r="JCW92" s="362"/>
      <c r="JCX92" s="362"/>
      <c r="JCY92" s="362"/>
      <c r="JCZ92" s="362"/>
      <c r="JDA92" s="362"/>
      <c r="JDB92" s="362"/>
      <c r="JDC92" s="362"/>
      <c r="JDD92" s="362"/>
      <c r="JDE92" s="362"/>
      <c r="JDF92" s="362"/>
      <c r="JDG92" s="362"/>
      <c r="JDH92" s="362"/>
      <c r="JDI92" s="362"/>
      <c r="JDJ92" s="362"/>
      <c r="JDK92" s="362"/>
      <c r="JDL92" s="362"/>
      <c r="JDM92" s="362"/>
      <c r="JDN92" s="362"/>
      <c r="JDO92" s="362"/>
      <c r="JDP92" s="362"/>
      <c r="JDQ92" s="362"/>
      <c r="JDR92" s="362"/>
      <c r="JDS92" s="362"/>
      <c r="JDT92" s="362"/>
      <c r="JDU92" s="362"/>
      <c r="JDV92" s="362"/>
      <c r="JDW92" s="362"/>
      <c r="JDX92" s="362"/>
      <c r="JDY92" s="362"/>
      <c r="JDZ92" s="362"/>
      <c r="JEA92" s="362"/>
      <c r="JEB92" s="362"/>
      <c r="JEC92" s="362"/>
      <c r="JED92" s="362"/>
      <c r="JEE92" s="362"/>
      <c r="JEF92" s="362"/>
      <c r="JEG92" s="362"/>
      <c r="JEH92" s="362"/>
      <c r="JEI92" s="362"/>
      <c r="JEJ92" s="362"/>
      <c r="JEK92" s="362"/>
      <c r="JEL92" s="362"/>
      <c r="JEM92" s="362"/>
      <c r="JEN92" s="362"/>
      <c r="JEO92" s="362"/>
      <c r="JEP92" s="362"/>
      <c r="JEQ92" s="362"/>
      <c r="JER92" s="362"/>
      <c r="JES92" s="362"/>
      <c r="JET92" s="362"/>
      <c r="JEU92" s="362"/>
      <c r="JEV92" s="362"/>
      <c r="JEW92" s="362"/>
      <c r="JEX92" s="362"/>
      <c r="JEY92" s="362"/>
      <c r="JEZ92" s="362"/>
      <c r="JFA92" s="362"/>
      <c r="JFB92" s="362"/>
      <c r="JFC92" s="362"/>
      <c r="JFD92" s="362"/>
      <c r="JFE92" s="362"/>
      <c r="JFF92" s="362"/>
      <c r="JFG92" s="362"/>
      <c r="JFH92" s="362"/>
      <c r="JFI92" s="362"/>
      <c r="JFJ92" s="362"/>
      <c r="JFK92" s="362"/>
      <c r="JFL92" s="362"/>
      <c r="JFM92" s="362"/>
      <c r="JFN92" s="362"/>
      <c r="JFO92" s="362"/>
      <c r="JFP92" s="362"/>
      <c r="JFQ92" s="362"/>
      <c r="JFR92" s="362"/>
      <c r="JFS92" s="362"/>
      <c r="JFT92" s="362"/>
      <c r="JFU92" s="362"/>
      <c r="JFV92" s="362"/>
      <c r="JFW92" s="362"/>
      <c r="JFX92" s="362"/>
      <c r="JFY92" s="362"/>
      <c r="JFZ92" s="362"/>
      <c r="JGA92" s="362"/>
      <c r="JGB92" s="362"/>
      <c r="JGC92" s="362"/>
      <c r="JGD92" s="362"/>
      <c r="JGE92" s="362"/>
      <c r="JGF92" s="362"/>
      <c r="JGG92" s="362"/>
      <c r="JGH92" s="362"/>
      <c r="JGI92" s="362"/>
      <c r="JGJ92" s="362"/>
      <c r="JGK92" s="362"/>
      <c r="JGL92" s="362"/>
      <c r="JGM92" s="362"/>
      <c r="JGN92" s="362"/>
      <c r="JGO92" s="362"/>
      <c r="JGP92" s="362"/>
      <c r="JGQ92" s="362"/>
      <c r="JGR92" s="362"/>
      <c r="JGS92" s="362"/>
      <c r="JGT92" s="362"/>
      <c r="JGU92" s="362"/>
      <c r="JGV92" s="362"/>
      <c r="JGW92" s="362"/>
      <c r="JGX92" s="362"/>
      <c r="JGY92" s="362"/>
      <c r="JGZ92" s="362"/>
      <c r="JHA92" s="362"/>
      <c r="JHB92" s="362"/>
      <c r="JHC92" s="362"/>
      <c r="JHD92" s="362"/>
      <c r="JHE92" s="362"/>
      <c r="JHF92" s="362"/>
      <c r="JHG92" s="362"/>
      <c r="JHH92" s="362"/>
      <c r="JHI92" s="362"/>
      <c r="JHJ92" s="362"/>
      <c r="JHK92" s="362"/>
      <c r="JHL92" s="362"/>
      <c r="JHM92" s="362"/>
      <c r="JHN92" s="362"/>
      <c r="JHO92" s="362"/>
      <c r="JHP92" s="362"/>
      <c r="JHQ92" s="362"/>
      <c r="JHR92" s="362"/>
      <c r="JHS92" s="362"/>
      <c r="JHT92" s="362"/>
      <c r="JHU92" s="362"/>
      <c r="JHV92" s="362"/>
      <c r="JHW92" s="362"/>
      <c r="JHX92" s="362"/>
      <c r="JHY92" s="362"/>
      <c r="JHZ92" s="362"/>
      <c r="JIA92" s="362"/>
      <c r="JIB92" s="362"/>
      <c r="JIC92" s="362"/>
      <c r="JID92" s="362"/>
      <c r="JIE92" s="362"/>
      <c r="JIF92" s="362"/>
      <c r="JIG92" s="362"/>
      <c r="JIH92" s="362"/>
      <c r="JII92" s="362"/>
      <c r="JIJ92" s="362"/>
      <c r="JIK92" s="362"/>
      <c r="JIL92" s="362"/>
      <c r="JIM92" s="362"/>
      <c r="JIN92" s="362"/>
      <c r="JIO92" s="362"/>
      <c r="JIP92" s="362"/>
      <c r="JIQ92" s="362"/>
      <c r="JIR92" s="362"/>
      <c r="JIS92" s="362"/>
      <c r="JIT92" s="362"/>
      <c r="JIU92" s="362"/>
      <c r="JIV92" s="362"/>
      <c r="JIW92" s="362"/>
      <c r="JIX92" s="362"/>
      <c r="JIY92" s="362"/>
      <c r="JIZ92" s="362"/>
      <c r="JJA92" s="362"/>
      <c r="JJB92" s="362"/>
      <c r="JJC92" s="362"/>
      <c r="JJD92" s="362"/>
      <c r="JJE92" s="362"/>
      <c r="JJF92" s="362"/>
      <c r="JJG92" s="362"/>
      <c r="JJH92" s="362"/>
      <c r="JJI92" s="362"/>
      <c r="JJJ92" s="362"/>
      <c r="JJK92" s="362"/>
      <c r="JJL92" s="362"/>
      <c r="JJM92" s="362"/>
      <c r="JJN92" s="362"/>
      <c r="JJO92" s="362"/>
      <c r="JJP92" s="362"/>
      <c r="JJQ92" s="362"/>
      <c r="JJR92" s="362"/>
      <c r="JJS92" s="362"/>
      <c r="JJT92" s="362"/>
      <c r="JJU92" s="362"/>
      <c r="JJV92" s="362"/>
      <c r="JJW92" s="362"/>
      <c r="JJX92" s="362"/>
      <c r="JJY92" s="362"/>
      <c r="JJZ92" s="362"/>
      <c r="JKA92" s="362"/>
      <c r="JKB92" s="362"/>
      <c r="JKC92" s="362"/>
      <c r="JKD92" s="362"/>
      <c r="JKE92" s="362"/>
      <c r="JKF92" s="362"/>
      <c r="JKG92" s="362"/>
      <c r="JKH92" s="362"/>
      <c r="JKI92" s="362"/>
      <c r="JKJ92" s="362"/>
      <c r="JKK92" s="362"/>
      <c r="JKL92" s="362"/>
      <c r="JKM92" s="362"/>
      <c r="JKN92" s="362"/>
      <c r="JKO92" s="362"/>
      <c r="JKP92" s="362"/>
      <c r="JKQ92" s="362"/>
      <c r="JKR92" s="362"/>
      <c r="JKS92" s="362"/>
      <c r="JKT92" s="362"/>
      <c r="JKU92" s="362"/>
      <c r="JKV92" s="362"/>
      <c r="JKW92" s="362"/>
      <c r="JKX92" s="362"/>
      <c r="JKY92" s="362"/>
      <c r="JKZ92" s="362"/>
      <c r="JLA92" s="362"/>
      <c r="JLB92" s="362"/>
      <c r="JLC92" s="362"/>
      <c r="JLD92" s="362"/>
      <c r="JLE92" s="362"/>
      <c r="JLF92" s="362"/>
      <c r="JLG92" s="362"/>
      <c r="JLH92" s="362"/>
      <c r="JLI92" s="362"/>
      <c r="JLJ92" s="362"/>
      <c r="JLK92" s="362"/>
      <c r="JLL92" s="362"/>
      <c r="JLM92" s="362"/>
      <c r="JLN92" s="362"/>
      <c r="JLO92" s="362"/>
      <c r="JLP92" s="362"/>
      <c r="JLQ92" s="362"/>
      <c r="JLR92" s="362"/>
      <c r="JLS92" s="362"/>
      <c r="JLT92" s="362"/>
      <c r="JLU92" s="362"/>
      <c r="JLV92" s="362"/>
      <c r="JLW92" s="362"/>
      <c r="JLX92" s="362"/>
      <c r="JLY92" s="362"/>
      <c r="JLZ92" s="362"/>
      <c r="JMA92" s="362"/>
      <c r="JMB92" s="362"/>
      <c r="JMC92" s="362"/>
      <c r="JMD92" s="362"/>
      <c r="JME92" s="362"/>
      <c r="JMF92" s="362"/>
      <c r="JMG92" s="362"/>
      <c r="JMH92" s="362"/>
      <c r="JMI92" s="362"/>
      <c r="JMJ92" s="362"/>
      <c r="JMK92" s="362"/>
      <c r="JML92" s="362"/>
      <c r="JMM92" s="362"/>
      <c r="JMN92" s="362"/>
      <c r="JMO92" s="362"/>
      <c r="JMP92" s="362"/>
      <c r="JMQ92" s="362"/>
      <c r="JMR92" s="362"/>
      <c r="JMS92" s="362"/>
      <c r="JMT92" s="362"/>
      <c r="JMU92" s="362"/>
      <c r="JMV92" s="362"/>
      <c r="JMW92" s="362"/>
      <c r="JMX92" s="362"/>
      <c r="JMY92" s="362"/>
      <c r="JMZ92" s="362"/>
      <c r="JNA92" s="362"/>
      <c r="JNB92" s="362"/>
      <c r="JNC92" s="362"/>
      <c r="JND92" s="362"/>
      <c r="JNE92" s="362"/>
      <c r="JNF92" s="362"/>
      <c r="JNG92" s="362"/>
      <c r="JNH92" s="362"/>
      <c r="JNI92" s="362"/>
      <c r="JNJ92" s="362"/>
      <c r="JNK92" s="362"/>
      <c r="JNL92" s="362"/>
      <c r="JNM92" s="362"/>
      <c r="JNN92" s="362"/>
      <c r="JNO92" s="362"/>
      <c r="JNP92" s="362"/>
      <c r="JNQ92" s="362"/>
      <c r="JNR92" s="362"/>
      <c r="JNS92" s="362"/>
      <c r="JNT92" s="362"/>
      <c r="JNU92" s="362"/>
      <c r="JNV92" s="362"/>
      <c r="JNW92" s="362"/>
      <c r="JNX92" s="362"/>
      <c r="JNY92" s="362"/>
      <c r="JNZ92" s="362"/>
      <c r="JOA92" s="362"/>
      <c r="JOB92" s="362"/>
      <c r="JOC92" s="362"/>
      <c r="JOD92" s="362"/>
      <c r="JOE92" s="362"/>
      <c r="JOF92" s="362"/>
      <c r="JOG92" s="362"/>
      <c r="JOH92" s="362"/>
      <c r="JOI92" s="362"/>
      <c r="JOJ92" s="362"/>
      <c r="JOK92" s="362"/>
      <c r="JOL92" s="362"/>
      <c r="JOM92" s="362"/>
      <c r="JON92" s="362"/>
      <c r="JOO92" s="362"/>
      <c r="JOP92" s="362"/>
      <c r="JOQ92" s="362"/>
      <c r="JOR92" s="362"/>
      <c r="JOS92" s="362"/>
      <c r="JOT92" s="362"/>
      <c r="JOU92" s="362"/>
      <c r="JOV92" s="362"/>
      <c r="JOW92" s="362"/>
      <c r="JOX92" s="362"/>
      <c r="JOY92" s="362"/>
      <c r="JOZ92" s="362"/>
      <c r="JPA92" s="362"/>
      <c r="JPB92" s="362"/>
      <c r="JPC92" s="362"/>
      <c r="JPD92" s="362"/>
      <c r="JPE92" s="362"/>
      <c r="JPF92" s="362"/>
      <c r="JPG92" s="362"/>
      <c r="JPH92" s="362"/>
      <c r="JPI92" s="362"/>
      <c r="JPJ92" s="362"/>
      <c r="JPK92" s="362"/>
      <c r="JPL92" s="362"/>
      <c r="JPM92" s="362"/>
      <c r="JPN92" s="362"/>
      <c r="JPO92" s="362"/>
      <c r="JPP92" s="362"/>
      <c r="JPQ92" s="362"/>
      <c r="JPR92" s="362"/>
      <c r="JPS92" s="362"/>
      <c r="JPT92" s="362"/>
      <c r="JPU92" s="362"/>
      <c r="JPV92" s="362"/>
      <c r="JPW92" s="362"/>
      <c r="JPX92" s="362"/>
      <c r="JPY92" s="362"/>
      <c r="JPZ92" s="362"/>
      <c r="JQA92" s="362"/>
      <c r="JQB92" s="362"/>
      <c r="JQC92" s="362"/>
      <c r="JQD92" s="362"/>
      <c r="JQE92" s="362"/>
      <c r="JQF92" s="362"/>
      <c r="JQG92" s="362"/>
      <c r="JQH92" s="362"/>
      <c r="JQI92" s="362"/>
      <c r="JQJ92" s="362"/>
      <c r="JQK92" s="362"/>
      <c r="JQL92" s="362"/>
      <c r="JQM92" s="362"/>
      <c r="JQN92" s="362"/>
      <c r="JQO92" s="362"/>
      <c r="JQP92" s="362"/>
      <c r="JQQ92" s="362"/>
      <c r="JQR92" s="362"/>
      <c r="JQS92" s="362"/>
      <c r="JQT92" s="362"/>
      <c r="JQU92" s="362"/>
      <c r="JQV92" s="362"/>
      <c r="JQW92" s="362"/>
      <c r="JQX92" s="362"/>
      <c r="JQY92" s="362"/>
      <c r="JQZ92" s="362"/>
      <c r="JRA92" s="362"/>
      <c r="JRB92" s="362"/>
      <c r="JRC92" s="362"/>
      <c r="JRD92" s="362"/>
      <c r="JRE92" s="362"/>
      <c r="JRF92" s="362"/>
      <c r="JRG92" s="362"/>
      <c r="JRH92" s="362"/>
      <c r="JRI92" s="362"/>
      <c r="JRJ92" s="362"/>
      <c r="JRK92" s="362"/>
      <c r="JRL92" s="362"/>
      <c r="JRM92" s="362"/>
      <c r="JRN92" s="362"/>
      <c r="JRO92" s="362"/>
      <c r="JRP92" s="362"/>
      <c r="JRQ92" s="362"/>
      <c r="JRR92" s="362"/>
      <c r="JRS92" s="362"/>
      <c r="JRT92" s="362"/>
      <c r="JRU92" s="362"/>
      <c r="JRV92" s="362"/>
      <c r="JRW92" s="362"/>
      <c r="JRX92" s="362"/>
      <c r="JRY92" s="362"/>
      <c r="JRZ92" s="362"/>
      <c r="JSA92" s="362"/>
      <c r="JSB92" s="362"/>
      <c r="JSC92" s="362"/>
      <c r="JSD92" s="362"/>
      <c r="JSE92" s="362"/>
      <c r="JSF92" s="362"/>
      <c r="JSG92" s="362"/>
      <c r="JSH92" s="362"/>
      <c r="JSI92" s="362"/>
      <c r="JSJ92" s="362"/>
      <c r="JSK92" s="362"/>
      <c r="JSL92" s="362"/>
      <c r="JSM92" s="362"/>
      <c r="JSN92" s="362"/>
      <c r="JSO92" s="362"/>
      <c r="JSP92" s="362"/>
      <c r="JSQ92" s="362"/>
      <c r="JSR92" s="362"/>
      <c r="JSS92" s="362"/>
      <c r="JST92" s="362"/>
      <c r="JSU92" s="362"/>
      <c r="JSV92" s="362"/>
      <c r="JSW92" s="362"/>
      <c r="JSX92" s="362"/>
      <c r="JSY92" s="362"/>
      <c r="JSZ92" s="362"/>
      <c r="JTA92" s="362"/>
      <c r="JTB92" s="362"/>
      <c r="JTC92" s="362"/>
      <c r="JTD92" s="362"/>
      <c r="JTE92" s="362"/>
      <c r="JTF92" s="362"/>
      <c r="JTG92" s="362"/>
      <c r="JTH92" s="362"/>
      <c r="JTI92" s="362"/>
      <c r="JTJ92" s="362"/>
      <c r="JTK92" s="362"/>
      <c r="JTL92" s="362"/>
      <c r="JTM92" s="362"/>
      <c r="JTN92" s="362"/>
      <c r="JTO92" s="362"/>
      <c r="JTP92" s="362"/>
      <c r="JTQ92" s="362"/>
      <c r="JTR92" s="362"/>
      <c r="JTS92" s="362"/>
      <c r="JTT92" s="362"/>
      <c r="JTU92" s="362"/>
      <c r="JTV92" s="362"/>
      <c r="JTW92" s="362"/>
      <c r="JTX92" s="362"/>
      <c r="JTY92" s="362"/>
      <c r="JTZ92" s="362"/>
      <c r="JUA92" s="362"/>
      <c r="JUB92" s="362"/>
      <c r="JUC92" s="362"/>
      <c r="JUD92" s="362"/>
      <c r="JUE92" s="362"/>
      <c r="JUF92" s="362"/>
      <c r="JUG92" s="362"/>
      <c r="JUH92" s="362"/>
      <c r="JUI92" s="362"/>
      <c r="JUJ92" s="362"/>
      <c r="JUK92" s="362"/>
      <c r="JUL92" s="362"/>
      <c r="JUM92" s="362"/>
      <c r="JUN92" s="362"/>
      <c r="JUO92" s="362"/>
      <c r="JUP92" s="362"/>
      <c r="JUQ92" s="362"/>
      <c r="JUR92" s="362"/>
      <c r="JUS92" s="362"/>
      <c r="JUT92" s="362"/>
      <c r="JUU92" s="362"/>
      <c r="JUV92" s="362"/>
      <c r="JUW92" s="362"/>
      <c r="JUX92" s="362"/>
      <c r="JUY92" s="362"/>
      <c r="JUZ92" s="362"/>
      <c r="JVA92" s="362"/>
      <c r="JVB92" s="362"/>
      <c r="JVC92" s="362"/>
      <c r="JVD92" s="362"/>
      <c r="JVE92" s="362"/>
      <c r="JVF92" s="362"/>
      <c r="JVG92" s="362"/>
      <c r="JVH92" s="362"/>
      <c r="JVI92" s="362"/>
      <c r="JVJ92" s="362"/>
      <c r="JVK92" s="362"/>
      <c r="JVL92" s="362"/>
      <c r="JVM92" s="362"/>
      <c r="JVN92" s="362"/>
      <c r="JVO92" s="362"/>
      <c r="JVP92" s="362"/>
      <c r="JVQ92" s="362"/>
      <c r="JVR92" s="362"/>
      <c r="JVS92" s="362"/>
      <c r="JVT92" s="362"/>
      <c r="JVU92" s="362"/>
      <c r="JVV92" s="362"/>
      <c r="JVW92" s="362"/>
      <c r="JVX92" s="362"/>
      <c r="JVY92" s="362"/>
      <c r="JVZ92" s="362"/>
      <c r="JWA92" s="362"/>
      <c r="JWB92" s="362"/>
      <c r="JWC92" s="362"/>
      <c r="JWD92" s="362"/>
      <c r="JWE92" s="362"/>
      <c r="JWF92" s="362"/>
      <c r="JWG92" s="362"/>
      <c r="JWH92" s="362"/>
      <c r="JWI92" s="362"/>
      <c r="JWJ92" s="362"/>
      <c r="JWK92" s="362"/>
      <c r="JWL92" s="362"/>
      <c r="JWM92" s="362"/>
      <c r="JWN92" s="362"/>
      <c r="JWO92" s="362"/>
      <c r="JWP92" s="362"/>
      <c r="JWQ92" s="362"/>
      <c r="JWR92" s="362"/>
      <c r="JWS92" s="362"/>
      <c r="JWT92" s="362"/>
      <c r="JWU92" s="362"/>
      <c r="JWV92" s="362"/>
      <c r="JWW92" s="362"/>
      <c r="JWX92" s="362"/>
      <c r="JWY92" s="362"/>
      <c r="JWZ92" s="362"/>
      <c r="JXA92" s="362"/>
      <c r="JXB92" s="362"/>
      <c r="JXC92" s="362"/>
      <c r="JXD92" s="362"/>
      <c r="JXE92" s="362"/>
      <c r="JXF92" s="362"/>
      <c r="JXG92" s="362"/>
      <c r="JXH92" s="362"/>
      <c r="JXI92" s="362"/>
      <c r="JXJ92" s="362"/>
      <c r="JXK92" s="362"/>
      <c r="JXL92" s="362"/>
      <c r="JXM92" s="362"/>
      <c r="JXN92" s="362"/>
      <c r="JXO92" s="362"/>
      <c r="JXP92" s="362"/>
      <c r="JXQ92" s="362"/>
      <c r="JXR92" s="362"/>
      <c r="JXS92" s="362"/>
      <c r="JXT92" s="362"/>
      <c r="JXU92" s="362"/>
      <c r="JXV92" s="362"/>
      <c r="JXW92" s="362"/>
      <c r="JXX92" s="362"/>
      <c r="JXY92" s="362"/>
      <c r="JXZ92" s="362"/>
      <c r="JYA92" s="362"/>
      <c r="JYB92" s="362"/>
      <c r="JYC92" s="362"/>
      <c r="JYD92" s="362"/>
      <c r="JYE92" s="362"/>
      <c r="JYF92" s="362"/>
      <c r="JYG92" s="362"/>
      <c r="JYH92" s="362"/>
      <c r="JYI92" s="362"/>
      <c r="JYJ92" s="362"/>
      <c r="JYK92" s="362"/>
      <c r="JYL92" s="362"/>
      <c r="JYM92" s="362"/>
      <c r="JYN92" s="362"/>
      <c r="JYO92" s="362"/>
      <c r="JYP92" s="362"/>
      <c r="JYQ92" s="362"/>
      <c r="JYR92" s="362"/>
      <c r="JYS92" s="362"/>
      <c r="JYT92" s="362"/>
      <c r="JYU92" s="362"/>
      <c r="JYV92" s="362"/>
      <c r="JYW92" s="362"/>
      <c r="JYX92" s="362"/>
      <c r="JYY92" s="362"/>
      <c r="JYZ92" s="362"/>
      <c r="JZA92" s="362"/>
      <c r="JZB92" s="362"/>
      <c r="JZC92" s="362"/>
      <c r="JZD92" s="362"/>
      <c r="JZE92" s="362"/>
      <c r="JZF92" s="362"/>
      <c r="JZG92" s="362"/>
      <c r="JZH92" s="362"/>
      <c r="JZI92" s="362"/>
      <c r="JZJ92" s="362"/>
      <c r="JZK92" s="362"/>
      <c r="JZL92" s="362"/>
      <c r="JZM92" s="362"/>
      <c r="JZN92" s="362"/>
      <c r="JZO92" s="362"/>
      <c r="JZP92" s="362"/>
      <c r="JZQ92" s="362"/>
      <c r="JZR92" s="362"/>
      <c r="JZS92" s="362"/>
      <c r="JZT92" s="362"/>
      <c r="JZU92" s="362"/>
      <c r="JZV92" s="362"/>
      <c r="JZW92" s="362"/>
      <c r="JZX92" s="362"/>
      <c r="JZY92" s="362"/>
      <c r="JZZ92" s="362"/>
      <c r="KAA92" s="362"/>
      <c r="KAB92" s="362"/>
      <c r="KAC92" s="362"/>
      <c r="KAD92" s="362"/>
      <c r="KAE92" s="362"/>
      <c r="KAF92" s="362"/>
      <c r="KAG92" s="362"/>
      <c r="KAH92" s="362"/>
      <c r="KAI92" s="362"/>
      <c r="KAJ92" s="362"/>
      <c r="KAK92" s="362"/>
      <c r="KAL92" s="362"/>
      <c r="KAM92" s="362"/>
      <c r="KAN92" s="362"/>
      <c r="KAO92" s="362"/>
      <c r="KAP92" s="362"/>
      <c r="KAQ92" s="362"/>
      <c r="KAR92" s="362"/>
      <c r="KAS92" s="362"/>
      <c r="KAT92" s="362"/>
      <c r="KAU92" s="362"/>
      <c r="KAV92" s="362"/>
      <c r="KAW92" s="362"/>
      <c r="KAX92" s="362"/>
      <c r="KAY92" s="362"/>
      <c r="KAZ92" s="362"/>
      <c r="KBA92" s="362"/>
      <c r="KBB92" s="362"/>
      <c r="KBC92" s="362"/>
      <c r="KBD92" s="362"/>
      <c r="KBE92" s="362"/>
      <c r="KBF92" s="362"/>
      <c r="KBG92" s="362"/>
      <c r="KBH92" s="362"/>
      <c r="KBI92" s="362"/>
      <c r="KBJ92" s="362"/>
      <c r="KBK92" s="362"/>
      <c r="KBL92" s="362"/>
      <c r="KBM92" s="362"/>
      <c r="KBN92" s="362"/>
      <c r="KBO92" s="362"/>
      <c r="KBP92" s="362"/>
      <c r="KBQ92" s="362"/>
      <c r="KBR92" s="362"/>
      <c r="KBS92" s="362"/>
      <c r="KBT92" s="362"/>
      <c r="KBU92" s="362"/>
      <c r="KBV92" s="362"/>
      <c r="KBW92" s="362"/>
      <c r="KBX92" s="362"/>
      <c r="KBY92" s="362"/>
      <c r="KBZ92" s="362"/>
      <c r="KCA92" s="362"/>
      <c r="KCB92" s="362"/>
      <c r="KCC92" s="362"/>
      <c r="KCD92" s="362"/>
      <c r="KCE92" s="362"/>
      <c r="KCF92" s="362"/>
      <c r="KCG92" s="362"/>
      <c r="KCH92" s="362"/>
      <c r="KCI92" s="362"/>
      <c r="KCJ92" s="362"/>
      <c r="KCK92" s="362"/>
      <c r="KCL92" s="362"/>
      <c r="KCM92" s="362"/>
      <c r="KCN92" s="362"/>
      <c r="KCO92" s="362"/>
      <c r="KCP92" s="362"/>
      <c r="KCQ92" s="362"/>
      <c r="KCR92" s="362"/>
      <c r="KCS92" s="362"/>
      <c r="KCT92" s="362"/>
      <c r="KCU92" s="362"/>
      <c r="KCV92" s="362"/>
      <c r="KCW92" s="362"/>
      <c r="KCX92" s="362"/>
      <c r="KCY92" s="362"/>
      <c r="KCZ92" s="362"/>
      <c r="KDA92" s="362"/>
      <c r="KDB92" s="362"/>
      <c r="KDC92" s="362"/>
      <c r="KDD92" s="362"/>
      <c r="KDE92" s="362"/>
      <c r="KDF92" s="362"/>
      <c r="KDG92" s="362"/>
      <c r="KDH92" s="362"/>
      <c r="KDI92" s="362"/>
      <c r="KDJ92" s="362"/>
      <c r="KDK92" s="362"/>
      <c r="KDL92" s="362"/>
      <c r="KDM92" s="362"/>
      <c r="KDN92" s="362"/>
      <c r="KDO92" s="362"/>
      <c r="KDP92" s="362"/>
      <c r="KDQ92" s="362"/>
      <c r="KDR92" s="362"/>
      <c r="KDS92" s="362"/>
      <c r="KDT92" s="362"/>
      <c r="KDU92" s="362"/>
      <c r="KDV92" s="362"/>
      <c r="KDW92" s="362"/>
      <c r="KDX92" s="362"/>
      <c r="KDY92" s="362"/>
      <c r="KDZ92" s="362"/>
      <c r="KEA92" s="362"/>
      <c r="KEB92" s="362"/>
      <c r="KEC92" s="362"/>
      <c r="KED92" s="362"/>
      <c r="KEE92" s="362"/>
      <c r="KEF92" s="362"/>
      <c r="KEG92" s="362"/>
      <c r="KEH92" s="362"/>
      <c r="KEI92" s="362"/>
      <c r="KEJ92" s="362"/>
      <c r="KEK92" s="362"/>
      <c r="KEL92" s="362"/>
      <c r="KEM92" s="362"/>
      <c r="KEN92" s="362"/>
      <c r="KEO92" s="362"/>
      <c r="KEP92" s="362"/>
      <c r="KEQ92" s="362"/>
      <c r="KER92" s="362"/>
      <c r="KES92" s="362"/>
      <c r="KET92" s="362"/>
      <c r="KEU92" s="362"/>
      <c r="KEV92" s="362"/>
      <c r="KEW92" s="362"/>
      <c r="KEX92" s="362"/>
      <c r="KEY92" s="362"/>
      <c r="KEZ92" s="362"/>
      <c r="KFA92" s="362"/>
      <c r="KFB92" s="362"/>
      <c r="KFC92" s="362"/>
      <c r="KFD92" s="362"/>
      <c r="KFE92" s="362"/>
      <c r="KFF92" s="362"/>
      <c r="KFG92" s="362"/>
      <c r="KFH92" s="362"/>
      <c r="KFI92" s="362"/>
      <c r="KFJ92" s="362"/>
      <c r="KFK92" s="362"/>
      <c r="KFL92" s="362"/>
      <c r="KFM92" s="362"/>
      <c r="KFN92" s="362"/>
      <c r="KFO92" s="362"/>
      <c r="KFP92" s="362"/>
      <c r="KFQ92" s="362"/>
      <c r="KFR92" s="362"/>
      <c r="KFS92" s="362"/>
      <c r="KFT92" s="362"/>
      <c r="KFU92" s="362"/>
      <c r="KFV92" s="362"/>
      <c r="KFW92" s="362"/>
      <c r="KFX92" s="362"/>
      <c r="KFY92" s="362"/>
      <c r="KFZ92" s="362"/>
      <c r="KGA92" s="362"/>
      <c r="KGB92" s="362"/>
      <c r="KGC92" s="362"/>
      <c r="KGD92" s="362"/>
      <c r="KGE92" s="362"/>
      <c r="KGF92" s="362"/>
      <c r="KGG92" s="362"/>
      <c r="KGH92" s="362"/>
      <c r="KGI92" s="362"/>
      <c r="KGJ92" s="362"/>
      <c r="KGK92" s="362"/>
      <c r="KGL92" s="362"/>
      <c r="KGM92" s="362"/>
      <c r="KGN92" s="362"/>
      <c r="KGO92" s="362"/>
      <c r="KGP92" s="362"/>
      <c r="KGQ92" s="362"/>
      <c r="KGR92" s="362"/>
      <c r="KGS92" s="362"/>
      <c r="KGT92" s="362"/>
      <c r="KGU92" s="362"/>
      <c r="KGV92" s="362"/>
      <c r="KGW92" s="362"/>
      <c r="KGX92" s="362"/>
      <c r="KGY92" s="362"/>
      <c r="KGZ92" s="362"/>
      <c r="KHA92" s="362"/>
      <c r="KHB92" s="362"/>
      <c r="KHC92" s="362"/>
      <c r="KHD92" s="362"/>
      <c r="KHE92" s="362"/>
      <c r="KHF92" s="362"/>
      <c r="KHG92" s="362"/>
      <c r="KHH92" s="362"/>
      <c r="KHI92" s="362"/>
      <c r="KHJ92" s="362"/>
      <c r="KHK92" s="362"/>
      <c r="KHL92" s="362"/>
      <c r="KHM92" s="362"/>
      <c r="KHN92" s="362"/>
      <c r="KHO92" s="362"/>
      <c r="KHP92" s="362"/>
      <c r="KHQ92" s="362"/>
      <c r="KHR92" s="362"/>
      <c r="KHS92" s="362"/>
      <c r="KHT92" s="362"/>
      <c r="KHU92" s="362"/>
      <c r="KHV92" s="362"/>
      <c r="KHW92" s="362"/>
      <c r="KHX92" s="362"/>
      <c r="KHY92" s="362"/>
      <c r="KHZ92" s="362"/>
      <c r="KIA92" s="362"/>
      <c r="KIB92" s="362"/>
      <c r="KIC92" s="362"/>
      <c r="KID92" s="362"/>
      <c r="KIE92" s="362"/>
      <c r="KIF92" s="362"/>
      <c r="KIG92" s="362"/>
      <c r="KIH92" s="362"/>
      <c r="KII92" s="362"/>
      <c r="KIJ92" s="362"/>
      <c r="KIK92" s="362"/>
      <c r="KIL92" s="362"/>
      <c r="KIM92" s="362"/>
      <c r="KIN92" s="362"/>
      <c r="KIO92" s="362"/>
      <c r="KIP92" s="362"/>
      <c r="KIQ92" s="362"/>
      <c r="KIR92" s="362"/>
      <c r="KIS92" s="362"/>
      <c r="KIT92" s="362"/>
      <c r="KIU92" s="362"/>
      <c r="KIV92" s="362"/>
      <c r="KIW92" s="362"/>
      <c r="KIX92" s="362"/>
      <c r="KIY92" s="362"/>
      <c r="KIZ92" s="362"/>
      <c r="KJA92" s="362"/>
      <c r="KJB92" s="362"/>
      <c r="KJC92" s="362"/>
      <c r="KJD92" s="362"/>
      <c r="KJE92" s="362"/>
      <c r="KJF92" s="362"/>
      <c r="KJG92" s="362"/>
      <c r="KJH92" s="362"/>
      <c r="KJI92" s="362"/>
      <c r="KJJ92" s="362"/>
      <c r="KJK92" s="362"/>
      <c r="KJL92" s="362"/>
      <c r="KJM92" s="362"/>
      <c r="KJN92" s="362"/>
      <c r="KJO92" s="362"/>
      <c r="KJP92" s="362"/>
      <c r="KJQ92" s="362"/>
      <c r="KJR92" s="362"/>
      <c r="KJS92" s="362"/>
      <c r="KJT92" s="362"/>
      <c r="KJU92" s="362"/>
      <c r="KJV92" s="362"/>
      <c r="KJW92" s="362"/>
      <c r="KJX92" s="362"/>
      <c r="KJY92" s="362"/>
      <c r="KJZ92" s="362"/>
      <c r="KKA92" s="362"/>
      <c r="KKB92" s="362"/>
      <c r="KKC92" s="362"/>
      <c r="KKD92" s="362"/>
      <c r="KKE92" s="362"/>
      <c r="KKF92" s="362"/>
      <c r="KKG92" s="362"/>
      <c r="KKH92" s="362"/>
      <c r="KKI92" s="362"/>
      <c r="KKJ92" s="362"/>
      <c r="KKK92" s="362"/>
      <c r="KKL92" s="362"/>
      <c r="KKM92" s="362"/>
      <c r="KKN92" s="362"/>
      <c r="KKO92" s="362"/>
      <c r="KKP92" s="362"/>
      <c r="KKQ92" s="362"/>
      <c r="KKR92" s="362"/>
      <c r="KKS92" s="362"/>
      <c r="KKT92" s="362"/>
      <c r="KKU92" s="362"/>
      <c r="KKV92" s="362"/>
      <c r="KKW92" s="362"/>
      <c r="KKX92" s="362"/>
      <c r="KKY92" s="362"/>
      <c r="KKZ92" s="362"/>
      <c r="KLA92" s="362"/>
      <c r="KLB92" s="362"/>
      <c r="KLC92" s="362"/>
      <c r="KLD92" s="362"/>
      <c r="KLE92" s="362"/>
      <c r="KLF92" s="362"/>
      <c r="KLG92" s="362"/>
      <c r="KLH92" s="362"/>
      <c r="KLI92" s="362"/>
      <c r="KLJ92" s="362"/>
      <c r="KLK92" s="362"/>
      <c r="KLL92" s="362"/>
      <c r="KLM92" s="362"/>
      <c r="KLN92" s="362"/>
      <c r="KLO92" s="362"/>
      <c r="KLP92" s="362"/>
      <c r="KLQ92" s="362"/>
      <c r="KLR92" s="362"/>
      <c r="KLS92" s="362"/>
      <c r="KLT92" s="362"/>
      <c r="KLU92" s="362"/>
      <c r="KLV92" s="362"/>
      <c r="KLW92" s="362"/>
      <c r="KLX92" s="362"/>
      <c r="KLY92" s="362"/>
      <c r="KLZ92" s="362"/>
      <c r="KMA92" s="362"/>
      <c r="KMB92" s="362"/>
      <c r="KMC92" s="362"/>
      <c r="KMD92" s="362"/>
      <c r="KME92" s="362"/>
      <c r="KMF92" s="362"/>
      <c r="KMG92" s="362"/>
      <c r="KMH92" s="362"/>
      <c r="KMI92" s="362"/>
      <c r="KMJ92" s="362"/>
      <c r="KMK92" s="362"/>
      <c r="KML92" s="362"/>
      <c r="KMM92" s="362"/>
      <c r="KMN92" s="362"/>
      <c r="KMO92" s="362"/>
      <c r="KMP92" s="362"/>
      <c r="KMQ92" s="362"/>
      <c r="KMR92" s="362"/>
      <c r="KMS92" s="362"/>
      <c r="KMT92" s="362"/>
      <c r="KMU92" s="362"/>
      <c r="KMV92" s="362"/>
      <c r="KMW92" s="362"/>
      <c r="KMX92" s="362"/>
      <c r="KMY92" s="362"/>
      <c r="KMZ92" s="362"/>
      <c r="KNA92" s="362"/>
      <c r="KNB92" s="362"/>
      <c r="KNC92" s="362"/>
      <c r="KND92" s="362"/>
      <c r="KNE92" s="362"/>
      <c r="KNF92" s="362"/>
      <c r="KNG92" s="362"/>
      <c r="KNH92" s="362"/>
      <c r="KNI92" s="362"/>
      <c r="KNJ92" s="362"/>
      <c r="KNK92" s="362"/>
      <c r="KNL92" s="362"/>
      <c r="KNM92" s="362"/>
      <c r="KNN92" s="362"/>
      <c r="KNO92" s="362"/>
      <c r="KNP92" s="362"/>
      <c r="KNQ92" s="362"/>
      <c r="KNR92" s="362"/>
      <c r="KNS92" s="362"/>
      <c r="KNT92" s="362"/>
      <c r="KNU92" s="362"/>
      <c r="KNV92" s="362"/>
      <c r="KNW92" s="362"/>
      <c r="KNX92" s="362"/>
      <c r="KNY92" s="362"/>
      <c r="KNZ92" s="362"/>
      <c r="KOA92" s="362"/>
      <c r="KOB92" s="362"/>
      <c r="KOC92" s="362"/>
      <c r="KOD92" s="362"/>
      <c r="KOE92" s="362"/>
      <c r="KOF92" s="362"/>
      <c r="KOG92" s="362"/>
      <c r="KOH92" s="362"/>
      <c r="KOI92" s="362"/>
      <c r="KOJ92" s="362"/>
      <c r="KOK92" s="362"/>
      <c r="KOL92" s="362"/>
      <c r="KOM92" s="362"/>
      <c r="KON92" s="362"/>
      <c r="KOO92" s="362"/>
      <c r="KOP92" s="362"/>
      <c r="KOQ92" s="362"/>
      <c r="KOR92" s="362"/>
      <c r="KOS92" s="362"/>
      <c r="KOT92" s="362"/>
      <c r="KOU92" s="362"/>
      <c r="KOV92" s="362"/>
      <c r="KOW92" s="362"/>
      <c r="KOX92" s="362"/>
      <c r="KOY92" s="362"/>
      <c r="KOZ92" s="362"/>
      <c r="KPA92" s="362"/>
      <c r="KPB92" s="362"/>
      <c r="KPC92" s="362"/>
      <c r="KPD92" s="362"/>
      <c r="KPE92" s="362"/>
      <c r="KPF92" s="362"/>
      <c r="KPG92" s="362"/>
      <c r="KPH92" s="362"/>
      <c r="KPI92" s="362"/>
      <c r="KPJ92" s="362"/>
      <c r="KPK92" s="362"/>
      <c r="KPL92" s="362"/>
      <c r="KPM92" s="362"/>
      <c r="KPN92" s="362"/>
      <c r="KPO92" s="362"/>
      <c r="KPP92" s="362"/>
      <c r="KPQ92" s="362"/>
      <c r="KPR92" s="362"/>
      <c r="KPS92" s="362"/>
      <c r="KPT92" s="362"/>
      <c r="KPU92" s="362"/>
      <c r="KPV92" s="362"/>
      <c r="KPW92" s="362"/>
      <c r="KPX92" s="362"/>
      <c r="KPY92" s="362"/>
      <c r="KPZ92" s="362"/>
      <c r="KQA92" s="362"/>
      <c r="KQB92" s="362"/>
      <c r="KQC92" s="362"/>
      <c r="KQD92" s="362"/>
      <c r="KQE92" s="362"/>
      <c r="KQF92" s="362"/>
      <c r="KQG92" s="362"/>
      <c r="KQH92" s="362"/>
      <c r="KQI92" s="362"/>
      <c r="KQJ92" s="362"/>
      <c r="KQK92" s="362"/>
      <c r="KQL92" s="362"/>
      <c r="KQM92" s="362"/>
      <c r="KQN92" s="362"/>
      <c r="KQO92" s="362"/>
      <c r="KQP92" s="362"/>
      <c r="KQQ92" s="362"/>
      <c r="KQR92" s="362"/>
      <c r="KQS92" s="362"/>
      <c r="KQT92" s="362"/>
      <c r="KQU92" s="362"/>
      <c r="KQV92" s="362"/>
      <c r="KQW92" s="362"/>
      <c r="KQX92" s="362"/>
      <c r="KQY92" s="362"/>
      <c r="KQZ92" s="362"/>
      <c r="KRA92" s="362"/>
      <c r="KRB92" s="362"/>
      <c r="KRC92" s="362"/>
      <c r="KRD92" s="362"/>
      <c r="KRE92" s="362"/>
      <c r="KRF92" s="362"/>
      <c r="KRG92" s="362"/>
      <c r="KRH92" s="362"/>
      <c r="KRI92" s="362"/>
      <c r="KRJ92" s="362"/>
      <c r="KRK92" s="362"/>
      <c r="KRL92" s="362"/>
      <c r="KRM92" s="362"/>
      <c r="KRN92" s="362"/>
      <c r="KRO92" s="362"/>
      <c r="KRP92" s="362"/>
      <c r="KRQ92" s="362"/>
      <c r="KRR92" s="362"/>
      <c r="KRS92" s="362"/>
      <c r="KRT92" s="362"/>
      <c r="KRU92" s="362"/>
      <c r="KRV92" s="362"/>
      <c r="KRW92" s="362"/>
      <c r="KRX92" s="362"/>
      <c r="KRY92" s="362"/>
      <c r="KRZ92" s="362"/>
      <c r="KSA92" s="362"/>
      <c r="KSB92" s="362"/>
      <c r="KSC92" s="362"/>
      <c r="KSD92" s="362"/>
      <c r="KSE92" s="362"/>
      <c r="KSF92" s="362"/>
      <c r="KSG92" s="362"/>
      <c r="KSH92" s="362"/>
      <c r="KSI92" s="362"/>
      <c r="KSJ92" s="362"/>
      <c r="KSK92" s="362"/>
      <c r="KSL92" s="362"/>
      <c r="KSM92" s="362"/>
      <c r="KSN92" s="362"/>
      <c r="KSO92" s="362"/>
      <c r="KSP92" s="362"/>
      <c r="KSQ92" s="362"/>
      <c r="KSR92" s="362"/>
      <c r="KSS92" s="362"/>
      <c r="KST92" s="362"/>
      <c r="KSU92" s="362"/>
      <c r="KSV92" s="362"/>
      <c r="KSW92" s="362"/>
      <c r="KSX92" s="362"/>
      <c r="KSY92" s="362"/>
      <c r="KSZ92" s="362"/>
      <c r="KTA92" s="362"/>
      <c r="KTB92" s="362"/>
      <c r="KTC92" s="362"/>
      <c r="KTD92" s="362"/>
      <c r="KTE92" s="362"/>
      <c r="KTF92" s="362"/>
      <c r="KTG92" s="362"/>
      <c r="KTH92" s="362"/>
      <c r="KTI92" s="362"/>
      <c r="KTJ92" s="362"/>
      <c r="KTK92" s="362"/>
      <c r="KTL92" s="362"/>
      <c r="KTM92" s="362"/>
      <c r="KTN92" s="362"/>
      <c r="KTO92" s="362"/>
      <c r="KTP92" s="362"/>
      <c r="KTQ92" s="362"/>
      <c r="KTR92" s="362"/>
      <c r="KTS92" s="362"/>
      <c r="KTT92" s="362"/>
      <c r="KTU92" s="362"/>
      <c r="KTV92" s="362"/>
      <c r="KTW92" s="362"/>
      <c r="KTX92" s="362"/>
      <c r="KTY92" s="362"/>
      <c r="KTZ92" s="362"/>
      <c r="KUA92" s="362"/>
      <c r="KUB92" s="362"/>
      <c r="KUC92" s="362"/>
      <c r="KUD92" s="362"/>
      <c r="KUE92" s="362"/>
      <c r="KUF92" s="362"/>
      <c r="KUG92" s="362"/>
      <c r="KUH92" s="362"/>
      <c r="KUI92" s="362"/>
      <c r="KUJ92" s="362"/>
      <c r="KUK92" s="362"/>
      <c r="KUL92" s="362"/>
      <c r="KUM92" s="362"/>
      <c r="KUN92" s="362"/>
      <c r="KUO92" s="362"/>
      <c r="KUP92" s="362"/>
      <c r="KUQ92" s="362"/>
      <c r="KUR92" s="362"/>
      <c r="KUS92" s="362"/>
      <c r="KUT92" s="362"/>
      <c r="KUU92" s="362"/>
      <c r="KUV92" s="362"/>
      <c r="KUW92" s="362"/>
      <c r="KUX92" s="362"/>
      <c r="KUY92" s="362"/>
      <c r="KUZ92" s="362"/>
      <c r="KVA92" s="362"/>
      <c r="KVB92" s="362"/>
      <c r="KVC92" s="362"/>
      <c r="KVD92" s="362"/>
      <c r="KVE92" s="362"/>
      <c r="KVF92" s="362"/>
      <c r="KVG92" s="362"/>
      <c r="KVH92" s="362"/>
      <c r="KVI92" s="362"/>
      <c r="KVJ92" s="362"/>
      <c r="KVK92" s="362"/>
      <c r="KVL92" s="362"/>
      <c r="KVM92" s="362"/>
      <c r="KVN92" s="362"/>
      <c r="KVO92" s="362"/>
      <c r="KVP92" s="362"/>
      <c r="KVQ92" s="362"/>
      <c r="KVR92" s="362"/>
      <c r="KVS92" s="362"/>
      <c r="KVT92" s="362"/>
      <c r="KVU92" s="362"/>
      <c r="KVV92" s="362"/>
      <c r="KVW92" s="362"/>
      <c r="KVX92" s="362"/>
      <c r="KVY92" s="362"/>
      <c r="KVZ92" s="362"/>
      <c r="KWA92" s="362"/>
      <c r="KWB92" s="362"/>
      <c r="KWC92" s="362"/>
      <c r="KWD92" s="362"/>
      <c r="KWE92" s="362"/>
      <c r="KWF92" s="362"/>
      <c r="KWG92" s="362"/>
      <c r="KWH92" s="362"/>
      <c r="KWI92" s="362"/>
      <c r="KWJ92" s="362"/>
      <c r="KWK92" s="362"/>
      <c r="KWL92" s="362"/>
      <c r="KWM92" s="362"/>
      <c r="KWN92" s="362"/>
      <c r="KWO92" s="362"/>
      <c r="KWP92" s="362"/>
      <c r="KWQ92" s="362"/>
      <c r="KWR92" s="362"/>
      <c r="KWS92" s="362"/>
      <c r="KWT92" s="362"/>
      <c r="KWU92" s="362"/>
      <c r="KWV92" s="362"/>
      <c r="KWW92" s="362"/>
      <c r="KWX92" s="362"/>
      <c r="KWY92" s="362"/>
      <c r="KWZ92" s="362"/>
      <c r="KXA92" s="362"/>
      <c r="KXB92" s="362"/>
      <c r="KXC92" s="362"/>
      <c r="KXD92" s="362"/>
      <c r="KXE92" s="362"/>
      <c r="KXF92" s="362"/>
      <c r="KXG92" s="362"/>
      <c r="KXH92" s="362"/>
      <c r="KXI92" s="362"/>
      <c r="KXJ92" s="362"/>
      <c r="KXK92" s="362"/>
      <c r="KXL92" s="362"/>
      <c r="KXM92" s="362"/>
      <c r="KXN92" s="362"/>
      <c r="KXO92" s="362"/>
      <c r="KXP92" s="362"/>
      <c r="KXQ92" s="362"/>
      <c r="KXR92" s="362"/>
      <c r="KXS92" s="362"/>
      <c r="KXT92" s="362"/>
      <c r="KXU92" s="362"/>
      <c r="KXV92" s="362"/>
      <c r="KXW92" s="362"/>
      <c r="KXX92" s="362"/>
      <c r="KXY92" s="362"/>
      <c r="KXZ92" s="362"/>
      <c r="KYA92" s="362"/>
      <c r="KYB92" s="362"/>
      <c r="KYC92" s="362"/>
      <c r="KYD92" s="362"/>
      <c r="KYE92" s="362"/>
      <c r="KYF92" s="362"/>
      <c r="KYG92" s="362"/>
      <c r="KYH92" s="362"/>
      <c r="KYI92" s="362"/>
      <c r="KYJ92" s="362"/>
      <c r="KYK92" s="362"/>
      <c r="KYL92" s="362"/>
      <c r="KYM92" s="362"/>
      <c r="KYN92" s="362"/>
      <c r="KYO92" s="362"/>
      <c r="KYP92" s="362"/>
      <c r="KYQ92" s="362"/>
      <c r="KYR92" s="362"/>
      <c r="KYS92" s="362"/>
      <c r="KYT92" s="362"/>
      <c r="KYU92" s="362"/>
      <c r="KYV92" s="362"/>
      <c r="KYW92" s="362"/>
      <c r="KYX92" s="362"/>
      <c r="KYY92" s="362"/>
      <c r="KYZ92" s="362"/>
      <c r="KZA92" s="362"/>
      <c r="KZB92" s="362"/>
      <c r="KZC92" s="362"/>
      <c r="KZD92" s="362"/>
      <c r="KZE92" s="362"/>
      <c r="KZF92" s="362"/>
      <c r="KZG92" s="362"/>
      <c r="KZH92" s="362"/>
      <c r="KZI92" s="362"/>
      <c r="KZJ92" s="362"/>
      <c r="KZK92" s="362"/>
      <c r="KZL92" s="362"/>
      <c r="KZM92" s="362"/>
      <c r="KZN92" s="362"/>
      <c r="KZO92" s="362"/>
      <c r="KZP92" s="362"/>
      <c r="KZQ92" s="362"/>
      <c r="KZR92" s="362"/>
      <c r="KZS92" s="362"/>
      <c r="KZT92" s="362"/>
      <c r="KZU92" s="362"/>
      <c r="KZV92" s="362"/>
      <c r="KZW92" s="362"/>
      <c r="KZX92" s="362"/>
      <c r="KZY92" s="362"/>
      <c r="KZZ92" s="362"/>
      <c r="LAA92" s="362"/>
      <c r="LAB92" s="362"/>
      <c r="LAC92" s="362"/>
      <c r="LAD92" s="362"/>
      <c r="LAE92" s="362"/>
      <c r="LAF92" s="362"/>
      <c r="LAG92" s="362"/>
      <c r="LAH92" s="362"/>
      <c r="LAI92" s="362"/>
      <c r="LAJ92" s="362"/>
      <c r="LAK92" s="362"/>
      <c r="LAL92" s="362"/>
      <c r="LAM92" s="362"/>
      <c r="LAN92" s="362"/>
      <c r="LAO92" s="362"/>
      <c r="LAP92" s="362"/>
      <c r="LAQ92" s="362"/>
      <c r="LAR92" s="362"/>
      <c r="LAS92" s="362"/>
      <c r="LAT92" s="362"/>
      <c r="LAU92" s="362"/>
      <c r="LAV92" s="362"/>
      <c r="LAW92" s="362"/>
      <c r="LAX92" s="362"/>
      <c r="LAY92" s="362"/>
      <c r="LAZ92" s="362"/>
      <c r="LBA92" s="362"/>
      <c r="LBB92" s="362"/>
      <c r="LBC92" s="362"/>
      <c r="LBD92" s="362"/>
      <c r="LBE92" s="362"/>
      <c r="LBF92" s="362"/>
      <c r="LBG92" s="362"/>
      <c r="LBH92" s="362"/>
      <c r="LBI92" s="362"/>
      <c r="LBJ92" s="362"/>
      <c r="LBK92" s="362"/>
      <c r="LBL92" s="362"/>
      <c r="LBM92" s="362"/>
      <c r="LBN92" s="362"/>
      <c r="LBO92" s="362"/>
      <c r="LBP92" s="362"/>
      <c r="LBQ92" s="362"/>
      <c r="LBR92" s="362"/>
      <c r="LBS92" s="362"/>
      <c r="LBT92" s="362"/>
      <c r="LBU92" s="362"/>
      <c r="LBV92" s="362"/>
      <c r="LBW92" s="362"/>
      <c r="LBX92" s="362"/>
      <c r="LBY92" s="362"/>
      <c r="LBZ92" s="362"/>
      <c r="LCA92" s="362"/>
      <c r="LCB92" s="362"/>
      <c r="LCC92" s="362"/>
      <c r="LCD92" s="362"/>
      <c r="LCE92" s="362"/>
      <c r="LCF92" s="362"/>
      <c r="LCG92" s="362"/>
      <c r="LCH92" s="362"/>
      <c r="LCI92" s="362"/>
      <c r="LCJ92" s="362"/>
      <c r="LCK92" s="362"/>
      <c r="LCL92" s="362"/>
      <c r="LCM92" s="362"/>
      <c r="LCN92" s="362"/>
      <c r="LCO92" s="362"/>
      <c r="LCP92" s="362"/>
      <c r="LCQ92" s="362"/>
      <c r="LCR92" s="362"/>
      <c r="LCS92" s="362"/>
      <c r="LCT92" s="362"/>
      <c r="LCU92" s="362"/>
      <c r="LCV92" s="362"/>
      <c r="LCW92" s="362"/>
      <c r="LCX92" s="362"/>
      <c r="LCY92" s="362"/>
      <c r="LCZ92" s="362"/>
      <c r="LDA92" s="362"/>
      <c r="LDB92" s="362"/>
      <c r="LDC92" s="362"/>
      <c r="LDD92" s="362"/>
      <c r="LDE92" s="362"/>
      <c r="LDF92" s="362"/>
      <c r="LDG92" s="362"/>
      <c r="LDH92" s="362"/>
      <c r="LDI92" s="362"/>
      <c r="LDJ92" s="362"/>
      <c r="LDK92" s="362"/>
      <c r="LDL92" s="362"/>
      <c r="LDM92" s="362"/>
      <c r="LDN92" s="362"/>
      <c r="LDO92" s="362"/>
      <c r="LDP92" s="362"/>
      <c r="LDQ92" s="362"/>
      <c r="LDR92" s="362"/>
      <c r="LDS92" s="362"/>
      <c r="LDT92" s="362"/>
      <c r="LDU92" s="362"/>
      <c r="LDV92" s="362"/>
      <c r="LDW92" s="362"/>
      <c r="LDX92" s="362"/>
      <c r="LDY92" s="362"/>
      <c r="LDZ92" s="362"/>
      <c r="LEA92" s="362"/>
      <c r="LEB92" s="362"/>
      <c r="LEC92" s="362"/>
      <c r="LED92" s="362"/>
      <c r="LEE92" s="362"/>
      <c r="LEF92" s="362"/>
      <c r="LEG92" s="362"/>
      <c r="LEH92" s="362"/>
      <c r="LEI92" s="362"/>
      <c r="LEJ92" s="362"/>
      <c r="LEK92" s="362"/>
      <c r="LEL92" s="362"/>
      <c r="LEM92" s="362"/>
      <c r="LEN92" s="362"/>
      <c r="LEO92" s="362"/>
      <c r="LEP92" s="362"/>
      <c r="LEQ92" s="362"/>
      <c r="LER92" s="362"/>
      <c r="LES92" s="362"/>
      <c r="LET92" s="362"/>
      <c r="LEU92" s="362"/>
      <c r="LEV92" s="362"/>
      <c r="LEW92" s="362"/>
      <c r="LEX92" s="362"/>
      <c r="LEY92" s="362"/>
      <c r="LEZ92" s="362"/>
      <c r="LFA92" s="362"/>
      <c r="LFB92" s="362"/>
      <c r="LFC92" s="362"/>
      <c r="LFD92" s="362"/>
      <c r="LFE92" s="362"/>
      <c r="LFF92" s="362"/>
      <c r="LFG92" s="362"/>
      <c r="LFH92" s="362"/>
      <c r="LFI92" s="362"/>
      <c r="LFJ92" s="362"/>
      <c r="LFK92" s="362"/>
      <c r="LFL92" s="362"/>
      <c r="LFM92" s="362"/>
      <c r="LFN92" s="362"/>
      <c r="LFO92" s="362"/>
      <c r="LFP92" s="362"/>
      <c r="LFQ92" s="362"/>
      <c r="LFR92" s="362"/>
      <c r="LFS92" s="362"/>
      <c r="LFT92" s="362"/>
      <c r="LFU92" s="362"/>
      <c r="LFV92" s="362"/>
      <c r="LFW92" s="362"/>
      <c r="LFX92" s="362"/>
      <c r="LFY92" s="362"/>
      <c r="LFZ92" s="362"/>
      <c r="LGA92" s="362"/>
      <c r="LGB92" s="362"/>
      <c r="LGC92" s="362"/>
      <c r="LGD92" s="362"/>
      <c r="LGE92" s="362"/>
      <c r="LGF92" s="362"/>
      <c r="LGG92" s="362"/>
      <c r="LGH92" s="362"/>
      <c r="LGI92" s="362"/>
      <c r="LGJ92" s="362"/>
      <c r="LGK92" s="362"/>
      <c r="LGL92" s="362"/>
      <c r="LGM92" s="362"/>
      <c r="LGN92" s="362"/>
      <c r="LGO92" s="362"/>
      <c r="LGP92" s="362"/>
      <c r="LGQ92" s="362"/>
      <c r="LGR92" s="362"/>
      <c r="LGS92" s="362"/>
      <c r="LGT92" s="362"/>
      <c r="LGU92" s="362"/>
      <c r="LGV92" s="362"/>
      <c r="LGW92" s="362"/>
      <c r="LGX92" s="362"/>
      <c r="LGY92" s="362"/>
      <c r="LGZ92" s="362"/>
      <c r="LHA92" s="362"/>
      <c r="LHB92" s="362"/>
      <c r="LHC92" s="362"/>
      <c r="LHD92" s="362"/>
      <c r="LHE92" s="362"/>
      <c r="LHF92" s="362"/>
      <c r="LHG92" s="362"/>
      <c r="LHH92" s="362"/>
      <c r="LHI92" s="362"/>
      <c r="LHJ92" s="362"/>
      <c r="LHK92" s="362"/>
      <c r="LHL92" s="362"/>
      <c r="LHM92" s="362"/>
      <c r="LHN92" s="362"/>
      <c r="LHO92" s="362"/>
      <c r="LHP92" s="362"/>
      <c r="LHQ92" s="362"/>
      <c r="LHR92" s="362"/>
      <c r="LHS92" s="362"/>
      <c r="LHT92" s="362"/>
      <c r="LHU92" s="362"/>
      <c r="LHV92" s="362"/>
      <c r="LHW92" s="362"/>
      <c r="LHX92" s="362"/>
      <c r="LHY92" s="362"/>
      <c r="LHZ92" s="362"/>
      <c r="LIA92" s="362"/>
      <c r="LIB92" s="362"/>
      <c r="LIC92" s="362"/>
      <c r="LID92" s="362"/>
      <c r="LIE92" s="362"/>
      <c r="LIF92" s="362"/>
      <c r="LIG92" s="362"/>
      <c r="LIH92" s="362"/>
      <c r="LII92" s="362"/>
      <c r="LIJ92" s="362"/>
      <c r="LIK92" s="362"/>
      <c r="LIL92" s="362"/>
      <c r="LIM92" s="362"/>
      <c r="LIN92" s="362"/>
      <c r="LIO92" s="362"/>
      <c r="LIP92" s="362"/>
      <c r="LIQ92" s="362"/>
      <c r="LIR92" s="362"/>
      <c r="LIS92" s="362"/>
      <c r="LIT92" s="362"/>
      <c r="LIU92" s="362"/>
      <c r="LIV92" s="362"/>
      <c r="LIW92" s="362"/>
      <c r="LIX92" s="362"/>
      <c r="LIY92" s="362"/>
      <c r="LIZ92" s="362"/>
      <c r="LJA92" s="362"/>
      <c r="LJB92" s="362"/>
      <c r="LJC92" s="362"/>
      <c r="LJD92" s="362"/>
      <c r="LJE92" s="362"/>
      <c r="LJF92" s="362"/>
      <c r="LJG92" s="362"/>
      <c r="LJH92" s="362"/>
      <c r="LJI92" s="362"/>
      <c r="LJJ92" s="362"/>
      <c r="LJK92" s="362"/>
      <c r="LJL92" s="362"/>
      <c r="LJM92" s="362"/>
      <c r="LJN92" s="362"/>
      <c r="LJO92" s="362"/>
      <c r="LJP92" s="362"/>
      <c r="LJQ92" s="362"/>
      <c r="LJR92" s="362"/>
      <c r="LJS92" s="362"/>
      <c r="LJT92" s="362"/>
      <c r="LJU92" s="362"/>
      <c r="LJV92" s="362"/>
      <c r="LJW92" s="362"/>
      <c r="LJX92" s="362"/>
      <c r="LJY92" s="362"/>
      <c r="LJZ92" s="362"/>
      <c r="LKA92" s="362"/>
      <c r="LKB92" s="362"/>
      <c r="LKC92" s="362"/>
      <c r="LKD92" s="362"/>
      <c r="LKE92" s="362"/>
      <c r="LKF92" s="362"/>
      <c r="LKG92" s="362"/>
      <c r="LKH92" s="362"/>
      <c r="LKI92" s="362"/>
      <c r="LKJ92" s="362"/>
      <c r="LKK92" s="362"/>
      <c r="LKL92" s="362"/>
      <c r="LKM92" s="362"/>
      <c r="LKN92" s="362"/>
      <c r="LKO92" s="362"/>
      <c r="LKP92" s="362"/>
      <c r="LKQ92" s="362"/>
      <c r="LKR92" s="362"/>
      <c r="LKS92" s="362"/>
      <c r="LKT92" s="362"/>
      <c r="LKU92" s="362"/>
      <c r="LKV92" s="362"/>
      <c r="LKW92" s="362"/>
      <c r="LKX92" s="362"/>
      <c r="LKY92" s="362"/>
      <c r="LKZ92" s="362"/>
      <c r="LLA92" s="362"/>
      <c r="LLB92" s="362"/>
      <c r="LLC92" s="362"/>
      <c r="LLD92" s="362"/>
      <c r="LLE92" s="362"/>
      <c r="LLF92" s="362"/>
      <c r="LLG92" s="362"/>
      <c r="LLH92" s="362"/>
      <c r="LLI92" s="362"/>
      <c r="LLJ92" s="362"/>
      <c r="LLK92" s="362"/>
      <c r="LLL92" s="362"/>
      <c r="LLM92" s="362"/>
      <c r="LLN92" s="362"/>
      <c r="LLO92" s="362"/>
      <c r="LLP92" s="362"/>
      <c r="LLQ92" s="362"/>
      <c r="LLR92" s="362"/>
      <c r="LLS92" s="362"/>
      <c r="LLT92" s="362"/>
      <c r="LLU92" s="362"/>
      <c r="LLV92" s="362"/>
      <c r="LLW92" s="362"/>
      <c r="LLX92" s="362"/>
      <c r="LLY92" s="362"/>
      <c r="LLZ92" s="362"/>
      <c r="LMA92" s="362"/>
      <c r="LMB92" s="362"/>
      <c r="LMC92" s="362"/>
      <c r="LMD92" s="362"/>
      <c r="LME92" s="362"/>
      <c r="LMF92" s="362"/>
      <c r="LMG92" s="362"/>
      <c r="LMH92" s="362"/>
      <c r="LMI92" s="362"/>
      <c r="LMJ92" s="362"/>
      <c r="LMK92" s="362"/>
      <c r="LML92" s="362"/>
      <c r="LMM92" s="362"/>
      <c r="LMN92" s="362"/>
      <c r="LMO92" s="362"/>
      <c r="LMP92" s="362"/>
      <c r="LMQ92" s="362"/>
      <c r="LMR92" s="362"/>
      <c r="LMS92" s="362"/>
      <c r="LMT92" s="362"/>
      <c r="LMU92" s="362"/>
      <c r="LMV92" s="362"/>
      <c r="LMW92" s="362"/>
      <c r="LMX92" s="362"/>
      <c r="LMY92" s="362"/>
      <c r="LMZ92" s="362"/>
      <c r="LNA92" s="362"/>
      <c r="LNB92" s="362"/>
      <c r="LNC92" s="362"/>
      <c r="LND92" s="362"/>
      <c r="LNE92" s="362"/>
      <c r="LNF92" s="362"/>
      <c r="LNG92" s="362"/>
      <c r="LNH92" s="362"/>
      <c r="LNI92" s="362"/>
      <c r="LNJ92" s="362"/>
      <c r="LNK92" s="362"/>
      <c r="LNL92" s="362"/>
      <c r="LNM92" s="362"/>
      <c r="LNN92" s="362"/>
      <c r="LNO92" s="362"/>
      <c r="LNP92" s="362"/>
      <c r="LNQ92" s="362"/>
      <c r="LNR92" s="362"/>
      <c r="LNS92" s="362"/>
      <c r="LNT92" s="362"/>
      <c r="LNU92" s="362"/>
      <c r="LNV92" s="362"/>
      <c r="LNW92" s="362"/>
      <c r="LNX92" s="362"/>
      <c r="LNY92" s="362"/>
      <c r="LNZ92" s="362"/>
      <c r="LOA92" s="362"/>
      <c r="LOB92" s="362"/>
      <c r="LOC92" s="362"/>
      <c r="LOD92" s="362"/>
      <c r="LOE92" s="362"/>
      <c r="LOF92" s="362"/>
      <c r="LOG92" s="362"/>
      <c r="LOH92" s="362"/>
      <c r="LOI92" s="362"/>
      <c r="LOJ92" s="362"/>
      <c r="LOK92" s="362"/>
      <c r="LOL92" s="362"/>
      <c r="LOM92" s="362"/>
      <c r="LON92" s="362"/>
      <c r="LOO92" s="362"/>
      <c r="LOP92" s="362"/>
      <c r="LOQ92" s="362"/>
      <c r="LOR92" s="362"/>
      <c r="LOS92" s="362"/>
      <c r="LOT92" s="362"/>
      <c r="LOU92" s="362"/>
      <c r="LOV92" s="362"/>
      <c r="LOW92" s="362"/>
      <c r="LOX92" s="362"/>
      <c r="LOY92" s="362"/>
      <c r="LOZ92" s="362"/>
      <c r="LPA92" s="362"/>
      <c r="LPB92" s="362"/>
      <c r="LPC92" s="362"/>
      <c r="LPD92" s="362"/>
      <c r="LPE92" s="362"/>
      <c r="LPF92" s="362"/>
      <c r="LPG92" s="362"/>
      <c r="LPH92" s="362"/>
      <c r="LPI92" s="362"/>
      <c r="LPJ92" s="362"/>
      <c r="LPK92" s="362"/>
      <c r="LPL92" s="362"/>
      <c r="LPM92" s="362"/>
      <c r="LPN92" s="362"/>
      <c r="LPO92" s="362"/>
      <c r="LPP92" s="362"/>
      <c r="LPQ92" s="362"/>
      <c r="LPR92" s="362"/>
      <c r="LPS92" s="362"/>
      <c r="LPT92" s="362"/>
      <c r="LPU92" s="362"/>
      <c r="LPV92" s="362"/>
      <c r="LPW92" s="362"/>
      <c r="LPX92" s="362"/>
      <c r="LPY92" s="362"/>
      <c r="LPZ92" s="362"/>
      <c r="LQA92" s="362"/>
      <c r="LQB92" s="362"/>
      <c r="LQC92" s="362"/>
      <c r="LQD92" s="362"/>
      <c r="LQE92" s="362"/>
      <c r="LQF92" s="362"/>
      <c r="LQG92" s="362"/>
      <c r="LQH92" s="362"/>
      <c r="LQI92" s="362"/>
      <c r="LQJ92" s="362"/>
      <c r="LQK92" s="362"/>
      <c r="LQL92" s="362"/>
      <c r="LQM92" s="362"/>
      <c r="LQN92" s="362"/>
      <c r="LQO92" s="362"/>
      <c r="LQP92" s="362"/>
      <c r="LQQ92" s="362"/>
      <c r="LQR92" s="362"/>
      <c r="LQS92" s="362"/>
      <c r="LQT92" s="362"/>
      <c r="LQU92" s="362"/>
      <c r="LQV92" s="362"/>
      <c r="LQW92" s="362"/>
      <c r="LQX92" s="362"/>
      <c r="LQY92" s="362"/>
      <c r="LQZ92" s="362"/>
      <c r="LRA92" s="362"/>
      <c r="LRB92" s="362"/>
      <c r="LRC92" s="362"/>
      <c r="LRD92" s="362"/>
      <c r="LRE92" s="362"/>
      <c r="LRF92" s="362"/>
      <c r="LRG92" s="362"/>
      <c r="LRH92" s="362"/>
      <c r="LRI92" s="362"/>
      <c r="LRJ92" s="362"/>
      <c r="LRK92" s="362"/>
      <c r="LRL92" s="362"/>
      <c r="LRM92" s="362"/>
      <c r="LRN92" s="362"/>
      <c r="LRO92" s="362"/>
      <c r="LRP92" s="362"/>
      <c r="LRQ92" s="362"/>
      <c r="LRR92" s="362"/>
      <c r="LRS92" s="362"/>
      <c r="LRT92" s="362"/>
      <c r="LRU92" s="362"/>
      <c r="LRV92" s="362"/>
      <c r="LRW92" s="362"/>
      <c r="LRX92" s="362"/>
      <c r="LRY92" s="362"/>
      <c r="LRZ92" s="362"/>
      <c r="LSA92" s="362"/>
      <c r="LSB92" s="362"/>
      <c r="LSC92" s="362"/>
      <c r="LSD92" s="362"/>
      <c r="LSE92" s="362"/>
      <c r="LSF92" s="362"/>
      <c r="LSG92" s="362"/>
      <c r="LSH92" s="362"/>
      <c r="LSI92" s="362"/>
      <c r="LSJ92" s="362"/>
      <c r="LSK92" s="362"/>
      <c r="LSL92" s="362"/>
      <c r="LSM92" s="362"/>
      <c r="LSN92" s="362"/>
      <c r="LSO92" s="362"/>
      <c r="LSP92" s="362"/>
      <c r="LSQ92" s="362"/>
      <c r="LSR92" s="362"/>
      <c r="LSS92" s="362"/>
      <c r="LST92" s="362"/>
      <c r="LSU92" s="362"/>
      <c r="LSV92" s="362"/>
      <c r="LSW92" s="362"/>
      <c r="LSX92" s="362"/>
      <c r="LSY92" s="362"/>
      <c r="LSZ92" s="362"/>
      <c r="LTA92" s="362"/>
      <c r="LTB92" s="362"/>
      <c r="LTC92" s="362"/>
      <c r="LTD92" s="362"/>
      <c r="LTE92" s="362"/>
      <c r="LTF92" s="362"/>
      <c r="LTG92" s="362"/>
      <c r="LTH92" s="362"/>
      <c r="LTI92" s="362"/>
      <c r="LTJ92" s="362"/>
      <c r="LTK92" s="362"/>
      <c r="LTL92" s="362"/>
      <c r="LTM92" s="362"/>
      <c r="LTN92" s="362"/>
      <c r="LTO92" s="362"/>
      <c r="LTP92" s="362"/>
      <c r="LTQ92" s="362"/>
      <c r="LTR92" s="362"/>
      <c r="LTS92" s="362"/>
      <c r="LTT92" s="362"/>
      <c r="LTU92" s="362"/>
      <c r="LTV92" s="362"/>
      <c r="LTW92" s="362"/>
      <c r="LTX92" s="362"/>
      <c r="LTY92" s="362"/>
      <c r="LTZ92" s="362"/>
      <c r="LUA92" s="362"/>
      <c r="LUB92" s="362"/>
      <c r="LUC92" s="362"/>
      <c r="LUD92" s="362"/>
      <c r="LUE92" s="362"/>
      <c r="LUF92" s="362"/>
      <c r="LUG92" s="362"/>
      <c r="LUH92" s="362"/>
      <c r="LUI92" s="362"/>
      <c r="LUJ92" s="362"/>
      <c r="LUK92" s="362"/>
      <c r="LUL92" s="362"/>
      <c r="LUM92" s="362"/>
      <c r="LUN92" s="362"/>
      <c r="LUO92" s="362"/>
      <c r="LUP92" s="362"/>
      <c r="LUQ92" s="362"/>
      <c r="LUR92" s="362"/>
      <c r="LUS92" s="362"/>
      <c r="LUT92" s="362"/>
      <c r="LUU92" s="362"/>
      <c r="LUV92" s="362"/>
      <c r="LUW92" s="362"/>
      <c r="LUX92" s="362"/>
      <c r="LUY92" s="362"/>
      <c r="LUZ92" s="362"/>
      <c r="LVA92" s="362"/>
      <c r="LVB92" s="362"/>
      <c r="LVC92" s="362"/>
      <c r="LVD92" s="362"/>
      <c r="LVE92" s="362"/>
      <c r="LVF92" s="362"/>
      <c r="LVG92" s="362"/>
      <c r="LVH92" s="362"/>
      <c r="LVI92" s="362"/>
      <c r="LVJ92" s="362"/>
      <c r="LVK92" s="362"/>
      <c r="LVL92" s="362"/>
      <c r="LVM92" s="362"/>
      <c r="LVN92" s="362"/>
      <c r="LVO92" s="362"/>
      <c r="LVP92" s="362"/>
      <c r="LVQ92" s="362"/>
      <c r="LVR92" s="362"/>
      <c r="LVS92" s="362"/>
      <c r="LVT92" s="362"/>
      <c r="LVU92" s="362"/>
      <c r="LVV92" s="362"/>
      <c r="LVW92" s="362"/>
      <c r="LVX92" s="362"/>
      <c r="LVY92" s="362"/>
      <c r="LVZ92" s="362"/>
      <c r="LWA92" s="362"/>
      <c r="LWB92" s="362"/>
      <c r="LWC92" s="362"/>
      <c r="LWD92" s="362"/>
      <c r="LWE92" s="362"/>
      <c r="LWF92" s="362"/>
      <c r="LWG92" s="362"/>
      <c r="LWH92" s="362"/>
      <c r="LWI92" s="362"/>
      <c r="LWJ92" s="362"/>
      <c r="LWK92" s="362"/>
      <c r="LWL92" s="362"/>
      <c r="LWM92" s="362"/>
      <c r="LWN92" s="362"/>
      <c r="LWO92" s="362"/>
      <c r="LWP92" s="362"/>
      <c r="LWQ92" s="362"/>
      <c r="LWR92" s="362"/>
      <c r="LWS92" s="362"/>
      <c r="LWT92" s="362"/>
      <c r="LWU92" s="362"/>
      <c r="LWV92" s="362"/>
      <c r="LWW92" s="362"/>
      <c r="LWX92" s="362"/>
      <c r="LWY92" s="362"/>
      <c r="LWZ92" s="362"/>
      <c r="LXA92" s="362"/>
      <c r="LXB92" s="362"/>
      <c r="LXC92" s="362"/>
      <c r="LXD92" s="362"/>
      <c r="LXE92" s="362"/>
      <c r="LXF92" s="362"/>
      <c r="LXG92" s="362"/>
      <c r="LXH92" s="362"/>
      <c r="LXI92" s="362"/>
      <c r="LXJ92" s="362"/>
      <c r="LXK92" s="362"/>
      <c r="LXL92" s="362"/>
      <c r="LXM92" s="362"/>
      <c r="LXN92" s="362"/>
      <c r="LXO92" s="362"/>
      <c r="LXP92" s="362"/>
      <c r="LXQ92" s="362"/>
      <c r="LXR92" s="362"/>
      <c r="LXS92" s="362"/>
      <c r="LXT92" s="362"/>
      <c r="LXU92" s="362"/>
      <c r="LXV92" s="362"/>
      <c r="LXW92" s="362"/>
      <c r="LXX92" s="362"/>
      <c r="LXY92" s="362"/>
      <c r="LXZ92" s="362"/>
      <c r="LYA92" s="362"/>
      <c r="LYB92" s="362"/>
      <c r="LYC92" s="362"/>
      <c r="LYD92" s="362"/>
      <c r="LYE92" s="362"/>
      <c r="LYF92" s="362"/>
      <c r="LYG92" s="362"/>
      <c r="LYH92" s="362"/>
      <c r="LYI92" s="362"/>
      <c r="LYJ92" s="362"/>
      <c r="LYK92" s="362"/>
      <c r="LYL92" s="362"/>
      <c r="LYM92" s="362"/>
      <c r="LYN92" s="362"/>
      <c r="LYO92" s="362"/>
      <c r="LYP92" s="362"/>
      <c r="LYQ92" s="362"/>
      <c r="LYR92" s="362"/>
      <c r="LYS92" s="362"/>
      <c r="LYT92" s="362"/>
      <c r="LYU92" s="362"/>
      <c r="LYV92" s="362"/>
      <c r="LYW92" s="362"/>
      <c r="LYX92" s="362"/>
      <c r="LYY92" s="362"/>
      <c r="LYZ92" s="362"/>
      <c r="LZA92" s="362"/>
      <c r="LZB92" s="362"/>
      <c r="LZC92" s="362"/>
      <c r="LZD92" s="362"/>
      <c r="LZE92" s="362"/>
      <c r="LZF92" s="362"/>
      <c r="LZG92" s="362"/>
      <c r="LZH92" s="362"/>
      <c r="LZI92" s="362"/>
      <c r="LZJ92" s="362"/>
      <c r="LZK92" s="362"/>
      <c r="LZL92" s="362"/>
      <c r="LZM92" s="362"/>
      <c r="LZN92" s="362"/>
      <c r="LZO92" s="362"/>
      <c r="LZP92" s="362"/>
      <c r="LZQ92" s="362"/>
      <c r="LZR92" s="362"/>
      <c r="LZS92" s="362"/>
      <c r="LZT92" s="362"/>
      <c r="LZU92" s="362"/>
      <c r="LZV92" s="362"/>
      <c r="LZW92" s="362"/>
      <c r="LZX92" s="362"/>
      <c r="LZY92" s="362"/>
      <c r="LZZ92" s="362"/>
      <c r="MAA92" s="362"/>
      <c r="MAB92" s="362"/>
      <c r="MAC92" s="362"/>
      <c r="MAD92" s="362"/>
      <c r="MAE92" s="362"/>
      <c r="MAF92" s="362"/>
      <c r="MAG92" s="362"/>
      <c r="MAH92" s="362"/>
      <c r="MAI92" s="362"/>
      <c r="MAJ92" s="362"/>
      <c r="MAK92" s="362"/>
      <c r="MAL92" s="362"/>
      <c r="MAM92" s="362"/>
      <c r="MAN92" s="362"/>
      <c r="MAO92" s="362"/>
      <c r="MAP92" s="362"/>
      <c r="MAQ92" s="362"/>
      <c r="MAR92" s="362"/>
      <c r="MAS92" s="362"/>
      <c r="MAT92" s="362"/>
      <c r="MAU92" s="362"/>
      <c r="MAV92" s="362"/>
      <c r="MAW92" s="362"/>
      <c r="MAX92" s="362"/>
      <c r="MAY92" s="362"/>
      <c r="MAZ92" s="362"/>
      <c r="MBA92" s="362"/>
      <c r="MBB92" s="362"/>
      <c r="MBC92" s="362"/>
      <c r="MBD92" s="362"/>
      <c r="MBE92" s="362"/>
      <c r="MBF92" s="362"/>
      <c r="MBG92" s="362"/>
      <c r="MBH92" s="362"/>
      <c r="MBI92" s="362"/>
      <c r="MBJ92" s="362"/>
      <c r="MBK92" s="362"/>
      <c r="MBL92" s="362"/>
      <c r="MBM92" s="362"/>
      <c r="MBN92" s="362"/>
      <c r="MBO92" s="362"/>
      <c r="MBP92" s="362"/>
      <c r="MBQ92" s="362"/>
      <c r="MBR92" s="362"/>
      <c r="MBS92" s="362"/>
      <c r="MBT92" s="362"/>
      <c r="MBU92" s="362"/>
      <c r="MBV92" s="362"/>
      <c r="MBW92" s="362"/>
      <c r="MBX92" s="362"/>
      <c r="MBY92" s="362"/>
      <c r="MBZ92" s="362"/>
      <c r="MCA92" s="362"/>
      <c r="MCB92" s="362"/>
      <c r="MCC92" s="362"/>
      <c r="MCD92" s="362"/>
      <c r="MCE92" s="362"/>
      <c r="MCF92" s="362"/>
      <c r="MCG92" s="362"/>
      <c r="MCH92" s="362"/>
      <c r="MCI92" s="362"/>
      <c r="MCJ92" s="362"/>
      <c r="MCK92" s="362"/>
      <c r="MCL92" s="362"/>
      <c r="MCM92" s="362"/>
      <c r="MCN92" s="362"/>
      <c r="MCO92" s="362"/>
      <c r="MCP92" s="362"/>
      <c r="MCQ92" s="362"/>
      <c r="MCR92" s="362"/>
      <c r="MCS92" s="362"/>
      <c r="MCT92" s="362"/>
      <c r="MCU92" s="362"/>
      <c r="MCV92" s="362"/>
      <c r="MCW92" s="362"/>
      <c r="MCX92" s="362"/>
      <c r="MCY92" s="362"/>
      <c r="MCZ92" s="362"/>
      <c r="MDA92" s="362"/>
      <c r="MDB92" s="362"/>
      <c r="MDC92" s="362"/>
      <c r="MDD92" s="362"/>
      <c r="MDE92" s="362"/>
      <c r="MDF92" s="362"/>
      <c r="MDG92" s="362"/>
      <c r="MDH92" s="362"/>
      <c r="MDI92" s="362"/>
      <c r="MDJ92" s="362"/>
      <c r="MDK92" s="362"/>
      <c r="MDL92" s="362"/>
      <c r="MDM92" s="362"/>
      <c r="MDN92" s="362"/>
      <c r="MDO92" s="362"/>
      <c r="MDP92" s="362"/>
      <c r="MDQ92" s="362"/>
      <c r="MDR92" s="362"/>
      <c r="MDS92" s="362"/>
      <c r="MDT92" s="362"/>
      <c r="MDU92" s="362"/>
      <c r="MDV92" s="362"/>
      <c r="MDW92" s="362"/>
      <c r="MDX92" s="362"/>
      <c r="MDY92" s="362"/>
      <c r="MDZ92" s="362"/>
      <c r="MEA92" s="362"/>
      <c r="MEB92" s="362"/>
      <c r="MEC92" s="362"/>
      <c r="MED92" s="362"/>
      <c r="MEE92" s="362"/>
      <c r="MEF92" s="362"/>
      <c r="MEG92" s="362"/>
      <c r="MEH92" s="362"/>
      <c r="MEI92" s="362"/>
      <c r="MEJ92" s="362"/>
      <c r="MEK92" s="362"/>
      <c r="MEL92" s="362"/>
      <c r="MEM92" s="362"/>
      <c r="MEN92" s="362"/>
      <c r="MEO92" s="362"/>
      <c r="MEP92" s="362"/>
      <c r="MEQ92" s="362"/>
      <c r="MER92" s="362"/>
      <c r="MES92" s="362"/>
      <c r="MET92" s="362"/>
      <c r="MEU92" s="362"/>
      <c r="MEV92" s="362"/>
      <c r="MEW92" s="362"/>
      <c r="MEX92" s="362"/>
      <c r="MEY92" s="362"/>
      <c r="MEZ92" s="362"/>
      <c r="MFA92" s="362"/>
      <c r="MFB92" s="362"/>
      <c r="MFC92" s="362"/>
      <c r="MFD92" s="362"/>
      <c r="MFE92" s="362"/>
      <c r="MFF92" s="362"/>
      <c r="MFG92" s="362"/>
      <c r="MFH92" s="362"/>
      <c r="MFI92" s="362"/>
      <c r="MFJ92" s="362"/>
      <c r="MFK92" s="362"/>
      <c r="MFL92" s="362"/>
      <c r="MFM92" s="362"/>
      <c r="MFN92" s="362"/>
      <c r="MFO92" s="362"/>
      <c r="MFP92" s="362"/>
      <c r="MFQ92" s="362"/>
      <c r="MFR92" s="362"/>
      <c r="MFS92" s="362"/>
      <c r="MFT92" s="362"/>
      <c r="MFU92" s="362"/>
      <c r="MFV92" s="362"/>
      <c r="MFW92" s="362"/>
      <c r="MFX92" s="362"/>
      <c r="MFY92" s="362"/>
      <c r="MFZ92" s="362"/>
      <c r="MGA92" s="362"/>
      <c r="MGB92" s="362"/>
      <c r="MGC92" s="362"/>
      <c r="MGD92" s="362"/>
      <c r="MGE92" s="362"/>
      <c r="MGF92" s="362"/>
      <c r="MGG92" s="362"/>
      <c r="MGH92" s="362"/>
      <c r="MGI92" s="362"/>
      <c r="MGJ92" s="362"/>
      <c r="MGK92" s="362"/>
      <c r="MGL92" s="362"/>
      <c r="MGM92" s="362"/>
      <c r="MGN92" s="362"/>
      <c r="MGO92" s="362"/>
      <c r="MGP92" s="362"/>
      <c r="MGQ92" s="362"/>
      <c r="MGR92" s="362"/>
      <c r="MGS92" s="362"/>
      <c r="MGT92" s="362"/>
      <c r="MGU92" s="362"/>
      <c r="MGV92" s="362"/>
      <c r="MGW92" s="362"/>
      <c r="MGX92" s="362"/>
      <c r="MGY92" s="362"/>
      <c r="MGZ92" s="362"/>
      <c r="MHA92" s="362"/>
      <c r="MHB92" s="362"/>
      <c r="MHC92" s="362"/>
      <c r="MHD92" s="362"/>
      <c r="MHE92" s="362"/>
      <c r="MHF92" s="362"/>
      <c r="MHG92" s="362"/>
      <c r="MHH92" s="362"/>
      <c r="MHI92" s="362"/>
      <c r="MHJ92" s="362"/>
      <c r="MHK92" s="362"/>
      <c r="MHL92" s="362"/>
      <c r="MHM92" s="362"/>
      <c r="MHN92" s="362"/>
      <c r="MHO92" s="362"/>
      <c r="MHP92" s="362"/>
      <c r="MHQ92" s="362"/>
      <c r="MHR92" s="362"/>
      <c r="MHS92" s="362"/>
      <c r="MHT92" s="362"/>
      <c r="MHU92" s="362"/>
      <c r="MHV92" s="362"/>
      <c r="MHW92" s="362"/>
      <c r="MHX92" s="362"/>
      <c r="MHY92" s="362"/>
      <c r="MHZ92" s="362"/>
      <c r="MIA92" s="362"/>
      <c r="MIB92" s="362"/>
      <c r="MIC92" s="362"/>
      <c r="MID92" s="362"/>
      <c r="MIE92" s="362"/>
      <c r="MIF92" s="362"/>
      <c r="MIG92" s="362"/>
      <c r="MIH92" s="362"/>
      <c r="MII92" s="362"/>
      <c r="MIJ92" s="362"/>
      <c r="MIK92" s="362"/>
      <c r="MIL92" s="362"/>
      <c r="MIM92" s="362"/>
      <c r="MIN92" s="362"/>
      <c r="MIO92" s="362"/>
      <c r="MIP92" s="362"/>
      <c r="MIQ92" s="362"/>
      <c r="MIR92" s="362"/>
      <c r="MIS92" s="362"/>
      <c r="MIT92" s="362"/>
      <c r="MIU92" s="362"/>
      <c r="MIV92" s="362"/>
      <c r="MIW92" s="362"/>
      <c r="MIX92" s="362"/>
      <c r="MIY92" s="362"/>
      <c r="MIZ92" s="362"/>
      <c r="MJA92" s="362"/>
      <c r="MJB92" s="362"/>
      <c r="MJC92" s="362"/>
      <c r="MJD92" s="362"/>
      <c r="MJE92" s="362"/>
      <c r="MJF92" s="362"/>
      <c r="MJG92" s="362"/>
      <c r="MJH92" s="362"/>
      <c r="MJI92" s="362"/>
      <c r="MJJ92" s="362"/>
      <c r="MJK92" s="362"/>
      <c r="MJL92" s="362"/>
      <c r="MJM92" s="362"/>
      <c r="MJN92" s="362"/>
      <c r="MJO92" s="362"/>
      <c r="MJP92" s="362"/>
      <c r="MJQ92" s="362"/>
      <c r="MJR92" s="362"/>
      <c r="MJS92" s="362"/>
      <c r="MJT92" s="362"/>
      <c r="MJU92" s="362"/>
      <c r="MJV92" s="362"/>
      <c r="MJW92" s="362"/>
      <c r="MJX92" s="362"/>
      <c r="MJY92" s="362"/>
      <c r="MJZ92" s="362"/>
      <c r="MKA92" s="362"/>
      <c r="MKB92" s="362"/>
      <c r="MKC92" s="362"/>
      <c r="MKD92" s="362"/>
      <c r="MKE92" s="362"/>
      <c r="MKF92" s="362"/>
      <c r="MKG92" s="362"/>
      <c r="MKH92" s="362"/>
      <c r="MKI92" s="362"/>
      <c r="MKJ92" s="362"/>
      <c r="MKK92" s="362"/>
      <c r="MKL92" s="362"/>
      <c r="MKM92" s="362"/>
      <c r="MKN92" s="362"/>
      <c r="MKO92" s="362"/>
      <c r="MKP92" s="362"/>
      <c r="MKQ92" s="362"/>
      <c r="MKR92" s="362"/>
      <c r="MKS92" s="362"/>
      <c r="MKT92" s="362"/>
      <c r="MKU92" s="362"/>
      <c r="MKV92" s="362"/>
      <c r="MKW92" s="362"/>
      <c r="MKX92" s="362"/>
      <c r="MKY92" s="362"/>
      <c r="MKZ92" s="362"/>
      <c r="MLA92" s="362"/>
      <c r="MLB92" s="362"/>
      <c r="MLC92" s="362"/>
      <c r="MLD92" s="362"/>
      <c r="MLE92" s="362"/>
      <c r="MLF92" s="362"/>
      <c r="MLG92" s="362"/>
      <c r="MLH92" s="362"/>
      <c r="MLI92" s="362"/>
      <c r="MLJ92" s="362"/>
      <c r="MLK92" s="362"/>
      <c r="MLL92" s="362"/>
      <c r="MLM92" s="362"/>
      <c r="MLN92" s="362"/>
      <c r="MLO92" s="362"/>
      <c r="MLP92" s="362"/>
      <c r="MLQ92" s="362"/>
      <c r="MLR92" s="362"/>
      <c r="MLS92" s="362"/>
      <c r="MLT92" s="362"/>
      <c r="MLU92" s="362"/>
      <c r="MLV92" s="362"/>
      <c r="MLW92" s="362"/>
      <c r="MLX92" s="362"/>
      <c r="MLY92" s="362"/>
      <c r="MLZ92" s="362"/>
      <c r="MMA92" s="362"/>
      <c r="MMB92" s="362"/>
      <c r="MMC92" s="362"/>
      <c r="MMD92" s="362"/>
      <c r="MME92" s="362"/>
      <c r="MMF92" s="362"/>
      <c r="MMG92" s="362"/>
      <c r="MMH92" s="362"/>
      <c r="MMI92" s="362"/>
      <c r="MMJ92" s="362"/>
      <c r="MMK92" s="362"/>
      <c r="MML92" s="362"/>
      <c r="MMM92" s="362"/>
      <c r="MMN92" s="362"/>
      <c r="MMO92" s="362"/>
      <c r="MMP92" s="362"/>
      <c r="MMQ92" s="362"/>
      <c r="MMR92" s="362"/>
      <c r="MMS92" s="362"/>
      <c r="MMT92" s="362"/>
      <c r="MMU92" s="362"/>
      <c r="MMV92" s="362"/>
      <c r="MMW92" s="362"/>
      <c r="MMX92" s="362"/>
      <c r="MMY92" s="362"/>
      <c r="MMZ92" s="362"/>
      <c r="MNA92" s="362"/>
      <c r="MNB92" s="362"/>
      <c r="MNC92" s="362"/>
      <c r="MND92" s="362"/>
      <c r="MNE92" s="362"/>
      <c r="MNF92" s="362"/>
      <c r="MNG92" s="362"/>
      <c r="MNH92" s="362"/>
      <c r="MNI92" s="362"/>
      <c r="MNJ92" s="362"/>
      <c r="MNK92" s="362"/>
      <c r="MNL92" s="362"/>
      <c r="MNM92" s="362"/>
      <c r="MNN92" s="362"/>
      <c r="MNO92" s="362"/>
      <c r="MNP92" s="362"/>
      <c r="MNQ92" s="362"/>
      <c r="MNR92" s="362"/>
      <c r="MNS92" s="362"/>
      <c r="MNT92" s="362"/>
      <c r="MNU92" s="362"/>
      <c r="MNV92" s="362"/>
      <c r="MNW92" s="362"/>
      <c r="MNX92" s="362"/>
      <c r="MNY92" s="362"/>
      <c r="MNZ92" s="362"/>
      <c r="MOA92" s="362"/>
      <c r="MOB92" s="362"/>
      <c r="MOC92" s="362"/>
      <c r="MOD92" s="362"/>
      <c r="MOE92" s="362"/>
      <c r="MOF92" s="362"/>
      <c r="MOG92" s="362"/>
      <c r="MOH92" s="362"/>
      <c r="MOI92" s="362"/>
      <c r="MOJ92" s="362"/>
      <c r="MOK92" s="362"/>
      <c r="MOL92" s="362"/>
      <c r="MOM92" s="362"/>
      <c r="MON92" s="362"/>
      <c r="MOO92" s="362"/>
      <c r="MOP92" s="362"/>
      <c r="MOQ92" s="362"/>
      <c r="MOR92" s="362"/>
      <c r="MOS92" s="362"/>
      <c r="MOT92" s="362"/>
      <c r="MOU92" s="362"/>
      <c r="MOV92" s="362"/>
      <c r="MOW92" s="362"/>
      <c r="MOX92" s="362"/>
      <c r="MOY92" s="362"/>
      <c r="MOZ92" s="362"/>
      <c r="MPA92" s="362"/>
      <c r="MPB92" s="362"/>
      <c r="MPC92" s="362"/>
      <c r="MPD92" s="362"/>
      <c r="MPE92" s="362"/>
      <c r="MPF92" s="362"/>
      <c r="MPG92" s="362"/>
      <c r="MPH92" s="362"/>
      <c r="MPI92" s="362"/>
      <c r="MPJ92" s="362"/>
      <c r="MPK92" s="362"/>
      <c r="MPL92" s="362"/>
      <c r="MPM92" s="362"/>
      <c r="MPN92" s="362"/>
      <c r="MPO92" s="362"/>
      <c r="MPP92" s="362"/>
      <c r="MPQ92" s="362"/>
      <c r="MPR92" s="362"/>
      <c r="MPS92" s="362"/>
      <c r="MPT92" s="362"/>
      <c r="MPU92" s="362"/>
      <c r="MPV92" s="362"/>
      <c r="MPW92" s="362"/>
      <c r="MPX92" s="362"/>
      <c r="MPY92" s="362"/>
      <c r="MPZ92" s="362"/>
      <c r="MQA92" s="362"/>
      <c r="MQB92" s="362"/>
      <c r="MQC92" s="362"/>
      <c r="MQD92" s="362"/>
      <c r="MQE92" s="362"/>
      <c r="MQF92" s="362"/>
      <c r="MQG92" s="362"/>
      <c r="MQH92" s="362"/>
      <c r="MQI92" s="362"/>
      <c r="MQJ92" s="362"/>
      <c r="MQK92" s="362"/>
      <c r="MQL92" s="362"/>
      <c r="MQM92" s="362"/>
      <c r="MQN92" s="362"/>
      <c r="MQO92" s="362"/>
      <c r="MQP92" s="362"/>
      <c r="MQQ92" s="362"/>
      <c r="MQR92" s="362"/>
      <c r="MQS92" s="362"/>
      <c r="MQT92" s="362"/>
      <c r="MQU92" s="362"/>
      <c r="MQV92" s="362"/>
      <c r="MQW92" s="362"/>
      <c r="MQX92" s="362"/>
      <c r="MQY92" s="362"/>
      <c r="MQZ92" s="362"/>
      <c r="MRA92" s="362"/>
      <c r="MRB92" s="362"/>
      <c r="MRC92" s="362"/>
      <c r="MRD92" s="362"/>
      <c r="MRE92" s="362"/>
      <c r="MRF92" s="362"/>
      <c r="MRG92" s="362"/>
      <c r="MRH92" s="362"/>
      <c r="MRI92" s="362"/>
      <c r="MRJ92" s="362"/>
      <c r="MRK92" s="362"/>
      <c r="MRL92" s="362"/>
      <c r="MRM92" s="362"/>
      <c r="MRN92" s="362"/>
      <c r="MRO92" s="362"/>
      <c r="MRP92" s="362"/>
      <c r="MRQ92" s="362"/>
      <c r="MRR92" s="362"/>
      <c r="MRS92" s="362"/>
      <c r="MRT92" s="362"/>
      <c r="MRU92" s="362"/>
      <c r="MRV92" s="362"/>
      <c r="MRW92" s="362"/>
      <c r="MRX92" s="362"/>
      <c r="MRY92" s="362"/>
      <c r="MRZ92" s="362"/>
      <c r="MSA92" s="362"/>
      <c r="MSB92" s="362"/>
      <c r="MSC92" s="362"/>
      <c r="MSD92" s="362"/>
      <c r="MSE92" s="362"/>
      <c r="MSF92" s="362"/>
      <c r="MSG92" s="362"/>
      <c r="MSH92" s="362"/>
      <c r="MSI92" s="362"/>
      <c r="MSJ92" s="362"/>
      <c r="MSK92" s="362"/>
      <c r="MSL92" s="362"/>
      <c r="MSM92" s="362"/>
      <c r="MSN92" s="362"/>
      <c r="MSO92" s="362"/>
      <c r="MSP92" s="362"/>
      <c r="MSQ92" s="362"/>
      <c r="MSR92" s="362"/>
      <c r="MSS92" s="362"/>
      <c r="MST92" s="362"/>
      <c r="MSU92" s="362"/>
      <c r="MSV92" s="362"/>
      <c r="MSW92" s="362"/>
      <c r="MSX92" s="362"/>
      <c r="MSY92" s="362"/>
      <c r="MSZ92" s="362"/>
      <c r="MTA92" s="362"/>
      <c r="MTB92" s="362"/>
      <c r="MTC92" s="362"/>
      <c r="MTD92" s="362"/>
      <c r="MTE92" s="362"/>
      <c r="MTF92" s="362"/>
      <c r="MTG92" s="362"/>
      <c r="MTH92" s="362"/>
      <c r="MTI92" s="362"/>
      <c r="MTJ92" s="362"/>
      <c r="MTK92" s="362"/>
      <c r="MTL92" s="362"/>
      <c r="MTM92" s="362"/>
      <c r="MTN92" s="362"/>
      <c r="MTO92" s="362"/>
      <c r="MTP92" s="362"/>
      <c r="MTQ92" s="362"/>
      <c r="MTR92" s="362"/>
      <c r="MTS92" s="362"/>
      <c r="MTT92" s="362"/>
      <c r="MTU92" s="362"/>
      <c r="MTV92" s="362"/>
      <c r="MTW92" s="362"/>
      <c r="MTX92" s="362"/>
      <c r="MTY92" s="362"/>
      <c r="MTZ92" s="362"/>
      <c r="MUA92" s="362"/>
      <c r="MUB92" s="362"/>
      <c r="MUC92" s="362"/>
      <c r="MUD92" s="362"/>
      <c r="MUE92" s="362"/>
      <c r="MUF92" s="362"/>
      <c r="MUG92" s="362"/>
      <c r="MUH92" s="362"/>
      <c r="MUI92" s="362"/>
      <c r="MUJ92" s="362"/>
      <c r="MUK92" s="362"/>
      <c r="MUL92" s="362"/>
      <c r="MUM92" s="362"/>
      <c r="MUN92" s="362"/>
      <c r="MUO92" s="362"/>
      <c r="MUP92" s="362"/>
      <c r="MUQ92" s="362"/>
      <c r="MUR92" s="362"/>
      <c r="MUS92" s="362"/>
      <c r="MUT92" s="362"/>
      <c r="MUU92" s="362"/>
      <c r="MUV92" s="362"/>
      <c r="MUW92" s="362"/>
      <c r="MUX92" s="362"/>
      <c r="MUY92" s="362"/>
      <c r="MUZ92" s="362"/>
      <c r="MVA92" s="362"/>
      <c r="MVB92" s="362"/>
      <c r="MVC92" s="362"/>
      <c r="MVD92" s="362"/>
      <c r="MVE92" s="362"/>
      <c r="MVF92" s="362"/>
      <c r="MVG92" s="362"/>
      <c r="MVH92" s="362"/>
      <c r="MVI92" s="362"/>
      <c r="MVJ92" s="362"/>
      <c r="MVK92" s="362"/>
      <c r="MVL92" s="362"/>
      <c r="MVM92" s="362"/>
      <c r="MVN92" s="362"/>
      <c r="MVO92" s="362"/>
      <c r="MVP92" s="362"/>
      <c r="MVQ92" s="362"/>
      <c r="MVR92" s="362"/>
      <c r="MVS92" s="362"/>
      <c r="MVT92" s="362"/>
      <c r="MVU92" s="362"/>
      <c r="MVV92" s="362"/>
      <c r="MVW92" s="362"/>
      <c r="MVX92" s="362"/>
      <c r="MVY92" s="362"/>
      <c r="MVZ92" s="362"/>
      <c r="MWA92" s="362"/>
      <c r="MWB92" s="362"/>
      <c r="MWC92" s="362"/>
      <c r="MWD92" s="362"/>
      <c r="MWE92" s="362"/>
      <c r="MWF92" s="362"/>
      <c r="MWG92" s="362"/>
      <c r="MWH92" s="362"/>
      <c r="MWI92" s="362"/>
      <c r="MWJ92" s="362"/>
      <c r="MWK92" s="362"/>
      <c r="MWL92" s="362"/>
      <c r="MWM92" s="362"/>
      <c r="MWN92" s="362"/>
      <c r="MWO92" s="362"/>
      <c r="MWP92" s="362"/>
      <c r="MWQ92" s="362"/>
      <c r="MWR92" s="362"/>
      <c r="MWS92" s="362"/>
      <c r="MWT92" s="362"/>
      <c r="MWU92" s="362"/>
      <c r="MWV92" s="362"/>
      <c r="MWW92" s="362"/>
      <c r="MWX92" s="362"/>
      <c r="MWY92" s="362"/>
      <c r="MWZ92" s="362"/>
      <c r="MXA92" s="362"/>
      <c r="MXB92" s="362"/>
      <c r="MXC92" s="362"/>
      <c r="MXD92" s="362"/>
      <c r="MXE92" s="362"/>
      <c r="MXF92" s="362"/>
      <c r="MXG92" s="362"/>
      <c r="MXH92" s="362"/>
      <c r="MXI92" s="362"/>
      <c r="MXJ92" s="362"/>
      <c r="MXK92" s="362"/>
      <c r="MXL92" s="362"/>
      <c r="MXM92" s="362"/>
      <c r="MXN92" s="362"/>
      <c r="MXO92" s="362"/>
      <c r="MXP92" s="362"/>
      <c r="MXQ92" s="362"/>
      <c r="MXR92" s="362"/>
      <c r="MXS92" s="362"/>
      <c r="MXT92" s="362"/>
      <c r="MXU92" s="362"/>
      <c r="MXV92" s="362"/>
      <c r="MXW92" s="362"/>
      <c r="MXX92" s="362"/>
      <c r="MXY92" s="362"/>
      <c r="MXZ92" s="362"/>
      <c r="MYA92" s="362"/>
      <c r="MYB92" s="362"/>
      <c r="MYC92" s="362"/>
      <c r="MYD92" s="362"/>
      <c r="MYE92" s="362"/>
      <c r="MYF92" s="362"/>
      <c r="MYG92" s="362"/>
      <c r="MYH92" s="362"/>
      <c r="MYI92" s="362"/>
      <c r="MYJ92" s="362"/>
      <c r="MYK92" s="362"/>
      <c r="MYL92" s="362"/>
      <c r="MYM92" s="362"/>
      <c r="MYN92" s="362"/>
      <c r="MYO92" s="362"/>
      <c r="MYP92" s="362"/>
      <c r="MYQ92" s="362"/>
      <c r="MYR92" s="362"/>
      <c r="MYS92" s="362"/>
      <c r="MYT92" s="362"/>
      <c r="MYU92" s="362"/>
      <c r="MYV92" s="362"/>
      <c r="MYW92" s="362"/>
      <c r="MYX92" s="362"/>
      <c r="MYY92" s="362"/>
      <c r="MYZ92" s="362"/>
      <c r="MZA92" s="362"/>
      <c r="MZB92" s="362"/>
      <c r="MZC92" s="362"/>
      <c r="MZD92" s="362"/>
      <c r="MZE92" s="362"/>
      <c r="MZF92" s="362"/>
      <c r="MZG92" s="362"/>
      <c r="MZH92" s="362"/>
      <c r="MZI92" s="362"/>
      <c r="MZJ92" s="362"/>
      <c r="MZK92" s="362"/>
      <c r="MZL92" s="362"/>
      <c r="MZM92" s="362"/>
      <c r="MZN92" s="362"/>
      <c r="MZO92" s="362"/>
      <c r="MZP92" s="362"/>
      <c r="MZQ92" s="362"/>
      <c r="MZR92" s="362"/>
      <c r="MZS92" s="362"/>
      <c r="MZT92" s="362"/>
      <c r="MZU92" s="362"/>
      <c r="MZV92" s="362"/>
      <c r="MZW92" s="362"/>
      <c r="MZX92" s="362"/>
      <c r="MZY92" s="362"/>
      <c r="MZZ92" s="362"/>
      <c r="NAA92" s="362"/>
      <c r="NAB92" s="362"/>
      <c r="NAC92" s="362"/>
      <c r="NAD92" s="362"/>
      <c r="NAE92" s="362"/>
      <c r="NAF92" s="362"/>
      <c r="NAG92" s="362"/>
      <c r="NAH92" s="362"/>
      <c r="NAI92" s="362"/>
      <c r="NAJ92" s="362"/>
      <c r="NAK92" s="362"/>
      <c r="NAL92" s="362"/>
      <c r="NAM92" s="362"/>
      <c r="NAN92" s="362"/>
      <c r="NAO92" s="362"/>
      <c r="NAP92" s="362"/>
      <c r="NAQ92" s="362"/>
      <c r="NAR92" s="362"/>
      <c r="NAS92" s="362"/>
      <c r="NAT92" s="362"/>
      <c r="NAU92" s="362"/>
      <c r="NAV92" s="362"/>
      <c r="NAW92" s="362"/>
      <c r="NAX92" s="362"/>
      <c r="NAY92" s="362"/>
      <c r="NAZ92" s="362"/>
      <c r="NBA92" s="362"/>
      <c r="NBB92" s="362"/>
      <c r="NBC92" s="362"/>
      <c r="NBD92" s="362"/>
      <c r="NBE92" s="362"/>
      <c r="NBF92" s="362"/>
      <c r="NBG92" s="362"/>
      <c r="NBH92" s="362"/>
      <c r="NBI92" s="362"/>
      <c r="NBJ92" s="362"/>
      <c r="NBK92" s="362"/>
      <c r="NBL92" s="362"/>
      <c r="NBM92" s="362"/>
      <c r="NBN92" s="362"/>
      <c r="NBO92" s="362"/>
      <c r="NBP92" s="362"/>
      <c r="NBQ92" s="362"/>
      <c r="NBR92" s="362"/>
      <c r="NBS92" s="362"/>
      <c r="NBT92" s="362"/>
      <c r="NBU92" s="362"/>
      <c r="NBV92" s="362"/>
      <c r="NBW92" s="362"/>
      <c r="NBX92" s="362"/>
      <c r="NBY92" s="362"/>
      <c r="NBZ92" s="362"/>
      <c r="NCA92" s="362"/>
      <c r="NCB92" s="362"/>
      <c r="NCC92" s="362"/>
      <c r="NCD92" s="362"/>
      <c r="NCE92" s="362"/>
      <c r="NCF92" s="362"/>
      <c r="NCG92" s="362"/>
      <c r="NCH92" s="362"/>
      <c r="NCI92" s="362"/>
      <c r="NCJ92" s="362"/>
      <c r="NCK92" s="362"/>
      <c r="NCL92" s="362"/>
      <c r="NCM92" s="362"/>
      <c r="NCN92" s="362"/>
      <c r="NCO92" s="362"/>
      <c r="NCP92" s="362"/>
      <c r="NCQ92" s="362"/>
      <c r="NCR92" s="362"/>
      <c r="NCS92" s="362"/>
      <c r="NCT92" s="362"/>
      <c r="NCU92" s="362"/>
      <c r="NCV92" s="362"/>
      <c r="NCW92" s="362"/>
      <c r="NCX92" s="362"/>
      <c r="NCY92" s="362"/>
      <c r="NCZ92" s="362"/>
      <c r="NDA92" s="362"/>
      <c r="NDB92" s="362"/>
      <c r="NDC92" s="362"/>
      <c r="NDD92" s="362"/>
      <c r="NDE92" s="362"/>
      <c r="NDF92" s="362"/>
      <c r="NDG92" s="362"/>
      <c r="NDH92" s="362"/>
      <c r="NDI92" s="362"/>
      <c r="NDJ92" s="362"/>
      <c r="NDK92" s="362"/>
      <c r="NDL92" s="362"/>
      <c r="NDM92" s="362"/>
      <c r="NDN92" s="362"/>
      <c r="NDO92" s="362"/>
      <c r="NDP92" s="362"/>
      <c r="NDQ92" s="362"/>
      <c r="NDR92" s="362"/>
      <c r="NDS92" s="362"/>
      <c r="NDT92" s="362"/>
      <c r="NDU92" s="362"/>
      <c r="NDV92" s="362"/>
      <c r="NDW92" s="362"/>
      <c r="NDX92" s="362"/>
      <c r="NDY92" s="362"/>
      <c r="NDZ92" s="362"/>
      <c r="NEA92" s="362"/>
      <c r="NEB92" s="362"/>
      <c r="NEC92" s="362"/>
      <c r="NED92" s="362"/>
      <c r="NEE92" s="362"/>
      <c r="NEF92" s="362"/>
      <c r="NEG92" s="362"/>
      <c r="NEH92" s="362"/>
      <c r="NEI92" s="362"/>
      <c r="NEJ92" s="362"/>
      <c r="NEK92" s="362"/>
      <c r="NEL92" s="362"/>
      <c r="NEM92" s="362"/>
      <c r="NEN92" s="362"/>
      <c r="NEO92" s="362"/>
      <c r="NEP92" s="362"/>
      <c r="NEQ92" s="362"/>
      <c r="NER92" s="362"/>
      <c r="NES92" s="362"/>
      <c r="NET92" s="362"/>
      <c r="NEU92" s="362"/>
      <c r="NEV92" s="362"/>
      <c r="NEW92" s="362"/>
      <c r="NEX92" s="362"/>
      <c r="NEY92" s="362"/>
      <c r="NEZ92" s="362"/>
      <c r="NFA92" s="362"/>
      <c r="NFB92" s="362"/>
      <c r="NFC92" s="362"/>
      <c r="NFD92" s="362"/>
      <c r="NFE92" s="362"/>
      <c r="NFF92" s="362"/>
      <c r="NFG92" s="362"/>
      <c r="NFH92" s="362"/>
      <c r="NFI92" s="362"/>
      <c r="NFJ92" s="362"/>
      <c r="NFK92" s="362"/>
      <c r="NFL92" s="362"/>
      <c r="NFM92" s="362"/>
      <c r="NFN92" s="362"/>
      <c r="NFO92" s="362"/>
      <c r="NFP92" s="362"/>
      <c r="NFQ92" s="362"/>
      <c r="NFR92" s="362"/>
      <c r="NFS92" s="362"/>
      <c r="NFT92" s="362"/>
      <c r="NFU92" s="362"/>
      <c r="NFV92" s="362"/>
      <c r="NFW92" s="362"/>
      <c r="NFX92" s="362"/>
      <c r="NFY92" s="362"/>
      <c r="NFZ92" s="362"/>
      <c r="NGA92" s="362"/>
      <c r="NGB92" s="362"/>
      <c r="NGC92" s="362"/>
      <c r="NGD92" s="362"/>
      <c r="NGE92" s="362"/>
      <c r="NGF92" s="362"/>
      <c r="NGG92" s="362"/>
      <c r="NGH92" s="362"/>
      <c r="NGI92" s="362"/>
      <c r="NGJ92" s="362"/>
      <c r="NGK92" s="362"/>
      <c r="NGL92" s="362"/>
      <c r="NGM92" s="362"/>
      <c r="NGN92" s="362"/>
      <c r="NGO92" s="362"/>
      <c r="NGP92" s="362"/>
      <c r="NGQ92" s="362"/>
      <c r="NGR92" s="362"/>
      <c r="NGS92" s="362"/>
      <c r="NGT92" s="362"/>
      <c r="NGU92" s="362"/>
      <c r="NGV92" s="362"/>
      <c r="NGW92" s="362"/>
      <c r="NGX92" s="362"/>
      <c r="NGY92" s="362"/>
      <c r="NGZ92" s="362"/>
      <c r="NHA92" s="362"/>
      <c r="NHB92" s="362"/>
      <c r="NHC92" s="362"/>
      <c r="NHD92" s="362"/>
      <c r="NHE92" s="362"/>
      <c r="NHF92" s="362"/>
      <c r="NHG92" s="362"/>
      <c r="NHH92" s="362"/>
      <c r="NHI92" s="362"/>
      <c r="NHJ92" s="362"/>
      <c r="NHK92" s="362"/>
      <c r="NHL92" s="362"/>
      <c r="NHM92" s="362"/>
      <c r="NHN92" s="362"/>
      <c r="NHO92" s="362"/>
      <c r="NHP92" s="362"/>
      <c r="NHQ92" s="362"/>
      <c r="NHR92" s="362"/>
      <c r="NHS92" s="362"/>
      <c r="NHT92" s="362"/>
      <c r="NHU92" s="362"/>
      <c r="NHV92" s="362"/>
      <c r="NHW92" s="362"/>
      <c r="NHX92" s="362"/>
      <c r="NHY92" s="362"/>
      <c r="NHZ92" s="362"/>
      <c r="NIA92" s="362"/>
      <c r="NIB92" s="362"/>
      <c r="NIC92" s="362"/>
      <c r="NID92" s="362"/>
      <c r="NIE92" s="362"/>
      <c r="NIF92" s="362"/>
      <c r="NIG92" s="362"/>
      <c r="NIH92" s="362"/>
      <c r="NII92" s="362"/>
      <c r="NIJ92" s="362"/>
      <c r="NIK92" s="362"/>
      <c r="NIL92" s="362"/>
      <c r="NIM92" s="362"/>
      <c r="NIN92" s="362"/>
      <c r="NIO92" s="362"/>
      <c r="NIP92" s="362"/>
      <c r="NIQ92" s="362"/>
      <c r="NIR92" s="362"/>
      <c r="NIS92" s="362"/>
      <c r="NIT92" s="362"/>
      <c r="NIU92" s="362"/>
      <c r="NIV92" s="362"/>
      <c r="NIW92" s="362"/>
      <c r="NIX92" s="362"/>
      <c r="NIY92" s="362"/>
      <c r="NIZ92" s="362"/>
      <c r="NJA92" s="362"/>
      <c r="NJB92" s="362"/>
      <c r="NJC92" s="362"/>
      <c r="NJD92" s="362"/>
      <c r="NJE92" s="362"/>
      <c r="NJF92" s="362"/>
      <c r="NJG92" s="362"/>
      <c r="NJH92" s="362"/>
      <c r="NJI92" s="362"/>
      <c r="NJJ92" s="362"/>
      <c r="NJK92" s="362"/>
      <c r="NJL92" s="362"/>
      <c r="NJM92" s="362"/>
      <c r="NJN92" s="362"/>
      <c r="NJO92" s="362"/>
      <c r="NJP92" s="362"/>
      <c r="NJQ92" s="362"/>
      <c r="NJR92" s="362"/>
      <c r="NJS92" s="362"/>
      <c r="NJT92" s="362"/>
      <c r="NJU92" s="362"/>
      <c r="NJV92" s="362"/>
      <c r="NJW92" s="362"/>
      <c r="NJX92" s="362"/>
      <c r="NJY92" s="362"/>
      <c r="NJZ92" s="362"/>
      <c r="NKA92" s="362"/>
      <c r="NKB92" s="362"/>
      <c r="NKC92" s="362"/>
      <c r="NKD92" s="362"/>
      <c r="NKE92" s="362"/>
      <c r="NKF92" s="362"/>
      <c r="NKG92" s="362"/>
      <c r="NKH92" s="362"/>
      <c r="NKI92" s="362"/>
      <c r="NKJ92" s="362"/>
      <c r="NKK92" s="362"/>
      <c r="NKL92" s="362"/>
      <c r="NKM92" s="362"/>
      <c r="NKN92" s="362"/>
      <c r="NKO92" s="362"/>
      <c r="NKP92" s="362"/>
      <c r="NKQ92" s="362"/>
      <c r="NKR92" s="362"/>
      <c r="NKS92" s="362"/>
      <c r="NKT92" s="362"/>
      <c r="NKU92" s="362"/>
      <c r="NKV92" s="362"/>
      <c r="NKW92" s="362"/>
      <c r="NKX92" s="362"/>
      <c r="NKY92" s="362"/>
      <c r="NKZ92" s="362"/>
      <c r="NLA92" s="362"/>
      <c r="NLB92" s="362"/>
      <c r="NLC92" s="362"/>
      <c r="NLD92" s="362"/>
      <c r="NLE92" s="362"/>
      <c r="NLF92" s="362"/>
      <c r="NLG92" s="362"/>
      <c r="NLH92" s="362"/>
      <c r="NLI92" s="362"/>
      <c r="NLJ92" s="362"/>
      <c r="NLK92" s="362"/>
      <c r="NLL92" s="362"/>
      <c r="NLM92" s="362"/>
      <c r="NLN92" s="362"/>
      <c r="NLO92" s="362"/>
      <c r="NLP92" s="362"/>
      <c r="NLQ92" s="362"/>
      <c r="NLR92" s="362"/>
      <c r="NLS92" s="362"/>
      <c r="NLT92" s="362"/>
      <c r="NLU92" s="362"/>
      <c r="NLV92" s="362"/>
      <c r="NLW92" s="362"/>
      <c r="NLX92" s="362"/>
      <c r="NLY92" s="362"/>
      <c r="NLZ92" s="362"/>
      <c r="NMA92" s="362"/>
      <c r="NMB92" s="362"/>
      <c r="NMC92" s="362"/>
      <c r="NMD92" s="362"/>
      <c r="NME92" s="362"/>
      <c r="NMF92" s="362"/>
      <c r="NMG92" s="362"/>
      <c r="NMH92" s="362"/>
      <c r="NMI92" s="362"/>
      <c r="NMJ92" s="362"/>
      <c r="NMK92" s="362"/>
      <c r="NML92" s="362"/>
      <c r="NMM92" s="362"/>
      <c r="NMN92" s="362"/>
      <c r="NMO92" s="362"/>
      <c r="NMP92" s="362"/>
      <c r="NMQ92" s="362"/>
      <c r="NMR92" s="362"/>
      <c r="NMS92" s="362"/>
      <c r="NMT92" s="362"/>
      <c r="NMU92" s="362"/>
      <c r="NMV92" s="362"/>
      <c r="NMW92" s="362"/>
      <c r="NMX92" s="362"/>
      <c r="NMY92" s="362"/>
      <c r="NMZ92" s="362"/>
      <c r="NNA92" s="362"/>
      <c r="NNB92" s="362"/>
      <c r="NNC92" s="362"/>
      <c r="NND92" s="362"/>
      <c r="NNE92" s="362"/>
      <c r="NNF92" s="362"/>
      <c r="NNG92" s="362"/>
      <c r="NNH92" s="362"/>
      <c r="NNI92" s="362"/>
      <c r="NNJ92" s="362"/>
      <c r="NNK92" s="362"/>
      <c r="NNL92" s="362"/>
      <c r="NNM92" s="362"/>
      <c r="NNN92" s="362"/>
      <c r="NNO92" s="362"/>
      <c r="NNP92" s="362"/>
      <c r="NNQ92" s="362"/>
      <c r="NNR92" s="362"/>
      <c r="NNS92" s="362"/>
      <c r="NNT92" s="362"/>
      <c r="NNU92" s="362"/>
      <c r="NNV92" s="362"/>
      <c r="NNW92" s="362"/>
      <c r="NNX92" s="362"/>
      <c r="NNY92" s="362"/>
      <c r="NNZ92" s="362"/>
      <c r="NOA92" s="362"/>
      <c r="NOB92" s="362"/>
      <c r="NOC92" s="362"/>
      <c r="NOD92" s="362"/>
      <c r="NOE92" s="362"/>
      <c r="NOF92" s="362"/>
      <c r="NOG92" s="362"/>
      <c r="NOH92" s="362"/>
      <c r="NOI92" s="362"/>
      <c r="NOJ92" s="362"/>
      <c r="NOK92" s="362"/>
      <c r="NOL92" s="362"/>
      <c r="NOM92" s="362"/>
      <c r="NON92" s="362"/>
      <c r="NOO92" s="362"/>
      <c r="NOP92" s="362"/>
      <c r="NOQ92" s="362"/>
      <c r="NOR92" s="362"/>
      <c r="NOS92" s="362"/>
      <c r="NOT92" s="362"/>
      <c r="NOU92" s="362"/>
      <c r="NOV92" s="362"/>
      <c r="NOW92" s="362"/>
      <c r="NOX92" s="362"/>
      <c r="NOY92" s="362"/>
      <c r="NOZ92" s="362"/>
      <c r="NPA92" s="362"/>
      <c r="NPB92" s="362"/>
      <c r="NPC92" s="362"/>
      <c r="NPD92" s="362"/>
      <c r="NPE92" s="362"/>
      <c r="NPF92" s="362"/>
      <c r="NPG92" s="362"/>
      <c r="NPH92" s="362"/>
      <c r="NPI92" s="362"/>
      <c r="NPJ92" s="362"/>
      <c r="NPK92" s="362"/>
      <c r="NPL92" s="362"/>
      <c r="NPM92" s="362"/>
      <c r="NPN92" s="362"/>
      <c r="NPO92" s="362"/>
      <c r="NPP92" s="362"/>
      <c r="NPQ92" s="362"/>
      <c r="NPR92" s="362"/>
      <c r="NPS92" s="362"/>
      <c r="NPT92" s="362"/>
      <c r="NPU92" s="362"/>
      <c r="NPV92" s="362"/>
      <c r="NPW92" s="362"/>
      <c r="NPX92" s="362"/>
      <c r="NPY92" s="362"/>
      <c r="NPZ92" s="362"/>
      <c r="NQA92" s="362"/>
      <c r="NQB92" s="362"/>
      <c r="NQC92" s="362"/>
      <c r="NQD92" s="362"/>
      <c r="NQE92" s="362"/>
      <c r="NQF92" s="362"/>
      <c r="NQG92" s="362"/>
      <c r="NQH92" s="362"/>
      <c r="NQI92" s="362"/>
      <c r="NQJ92" s="362"/>
      <c r="NQK92" s="362"/>
      <c r="NQL92" s="362"/>
      <c r="NQM92" s="362"/>
      <c r="NQN92" s="362"/>
      <c r="NQO92" s="362"/>
      <c r="NQP92" s="362"/>
      <c r="NQQ92" s="362"/>
      <c r="NQR92" s="362"/>
      <c r="NQS92" s="362"/>
      <c r="NQT92" s="362"/>
      <c r="NQU92" s="362"/>
      <c r="NQV92" s="362"/>
      <c r="NQW92" s="362"/>
      <c r="NQX92" s="362"/>
      <c r="NQY92" s="362"/>
      <c r="NQZ92" s="362"/>
      <c r="NRA92" s="362"/>
      <c r="NRB92" s="362"/>
      <c r="NRC92" s="362"/>
      <c r="NRD92" s="362"/>
      <c r="NRE92" s="362"/>
      <c r="NRF92" s="362"/>
      <c r="NRG92" s="362"/>
      <c r="NRH92" s="362"/>
      <c r="NRI92" s="362"/>
      <c r="NRJ92" s="362"/>
      <c r="NRK92" s="362"/>
      <c r="NRL92" s="362"/>
      <c r="NRM92" s="362"/>
      <c r="NRN92" s="362"/>
      <c r="NRO92" s="362"/>
      <c r="NRP92" s="362"/>
      <c r="NRQ92" s="362"/>
      <c r="NRR92" s="362"/>
      <c r="NRS92" s="362"/>
      <c r="NRT92" s="362"/>
      <c r="NRU92" s="362"/>
      <c r="NRV92" s="362"/>
      <c r="NRW92" s="362"/>
      <c r="NRX92" s="362"/>
      <c r="NRY92" s="362"/>
      <c r="NRZ92" s="362"/>
      <c r="NSA92" s="362"/>
      <c r="NSB92" s="362"/>
      <c r="NSC92" s="362"/>
      <c r="NSD92" s="362"/>
      <c r="NSE92" s="362"/>
      <c r="NSF92" s="362"/>
      <c r="NSG92" s="362"/>
      <c r="NSH92" s="362"/>
      <c r="NSI92" s="362"/>
      <c r="NSJ92" s="362"/>
      <c r="NSK92" s="362"/>
      <c r="NSL92" s="362"/>
      <c r="NSM92" s="362"/>
      <c r="NSN92" s="362"/>
      <c r="NSO92" s="362"/>
      <c r="NSP92" s="362"/>
      <c r="NSQ92" s="362"/>
      <c r="NSR92" s="362"/>
      <c r="NSS92" s="362"/>
      <c r="NST92" s="362"/>
      <c r="NSU92" s="362"/>
      <c r="NSV92" s="362"/>
      <c r="NSW92" s="362"/>
      <c r="NSX92" s="362"/>
      <c r="NSY92" s="362"/>
      <c r="NSZ92" s="362"/>
      <c r="NTA92" s="362"/>
      <c r="NTB92" s="362"/>
      <c r="NTC92" s="362"/>
      <c r="NTD92" s="362"/>
      <c r="NTE92" s="362"/>
      <c r="NTF92" s="362"/>
      <c r="NTG92" s="362"/>
      <c r="NTH92" s="362"/>
      <c r="NTI92" s="362"/>
      <c r="NTJ92" s="362"/>
      <c r="NTK92" s="362"/>
      <c r="NTL92" s="362"/>
      <c r="NTM92" s="362"/>
      <c r="NTN92" s="362"/>
      <c r="NTO92" s="362"/>
      <c r="NTP92" s="362"/>
      <c r="NTQ92" s="362"/>
      <c r="NTR92" s="362"/>
      <c r="NTS92" s="362"/>
      <c r="NTT92" s="362"/>
      <c r="NTU92" s="362"/>
      <c r="NTV92" s="362"/>
      <c r="NTW92" s="362"/>
      <c r="NTX92" s="362"/>
      <c r="NTY92" s="362"/>
      <c r="NTZ92" s="362"/>
      <c r="NUA92" s="362"/>
      <c r="NUB92" s="362"/>
      <c r="NUC92" s="362"/>
      <c r="NUD92" s="362"/>
      <c r="NUE92" s="362"/>
      <c r="NUF92" s="362"/>
      <c r="NUG92" s="362"/>
      <c r="NUH92" s="362"/>
      <c r="NUI92" s="362"/>
      <c r="NUJ92" s="362"/>
      <c r="NUK92" s="362"/>
      <c r="NUL92" s="362"/>
      <c r="NUM92" s="362"/>
      <c r="NUN92" s="362"/>
      <c r="NUO92" s="362"/>
      <c r="NUP92" s="362"/>
      <c r="NUQ92" s="362"/>
      <c r="NUR92" s="362"/>
      <c r="NUS92" s="362"/>
      <c r="NUT92" s="362"/>
      <c r="NUU92" s="362"/>
      <c r="NUV92" s="362"/>
      <c r="NUW92" s="362"/>
      <c r="NUX92" s="362"/>
      <c r="NUY92" s="362"/>
      <c r="NUZ92" s="362"/>
      <c r="NVA92" s="362"/>
      <c r="NVB92" s="362"/>
      <c r="NVC92" s="362"/>
      <c r="NVD92" s="362"/>
      <c r="NVE92" s="362"/>
      <c r="NVF92" s="362"/>
      <c r="NVG92" s="362"/>
      <c r="NVH92" s="362"/>
      <c r="NVI92" s="362"/>
      <c r="NVJ92" s="362"/>
      <c r="NVK92" s="362"/>
      <c r="NVL92" s="362"/>
      <c r="NVM92" s="362"/>
      <c r="NVN92" s="362"/>
      <c r="NVO92" s="362"/>
      <c r="NVP92" s="362"/>
      <c r="NVQ92" s="362"/>
      <c r="NVR92" s="362"/>
      <c r="NVS92" s="362"/>
      <c r="NVT92" s="362"/>
      <c r="NVU92" s="362"/>
      <c r="NVV92" s="362"/>
      <c r="NVW92" s="362"/>
      <c r="NVX92" s="362"/>
      <c r="NVY92" s="362"/>
      <c r="NVZ92" s="362"/>
      <c r="NWA92" s="362"/>
      <c r="NWB92" s="362"/>
      <c r="NWC92" s="362"/>
      <c r="NWD92" s="362"/>
      <c r="NWE92" s="362"/>
      <c r="NWF92" s="362"/>
      <c r="NWG92" s="362"/>
      <c r="NWH92" s="362"/>
      <c r="NWI92" s="362"/>
      <c r="NWJ92" s="362"/>
      <c r="NWK92" s="362"/>
      <c r="NWL92" s="362"/>
      <c r="NWM92" s="362"/>
      <c r="NWN92" s="362"/>
      <c r="NWO92" s="362"/>
      <c r="NWP92" s="362"/>
      <c r="NWQ92" s="362"/>
      <c r="NWR92" s="362"/>
      <c r="NWS92" s="362"/>
      <c r="NWT92" s="362"/>
      <c r="NWU92" s="362"/>
      <c r="NWV92" s="362"/>
      <c r="NWW92" s="362"/>
      <c r="NWX92" s="362"/>
      <c r="NWY92" s="362"/>
      <c r="NWZ92" s="362"/>
      <c r="NXA92" s="362"/>
      <c r="NXB92" s="362"/>
      <c r="NXC92" s="362"/>
      <c r="NXD92" s="362"/>
      <c r="NXE92" s="362"/>
      <c r="NXF92" s="362"/>
      <c r="NXG92" s="362"/>
      <c r="NXH92" s="362"/>
      <c r="NXI92" s="362"/>
      <c r="NXJ92" s="362"/>
      <c r="NXK92" s="362"/>
      <c r="NXL92" s="362"/>
      <c r="NXM92" s="362"/>
      <c r="NXN92" s="362"/>
      <c r="NXO92" s="362"/>
      <c r="NXP92" s="362"/>
      <c r="NXQ92" s="362"/>
      <c r="NXR92" s="362"/>
      <c r="NXS92" s="362"/>
      <c r="NXT92" s="362"/>
      <c r="NXU92" s="362"/>
      <c r="NXV92" s="362"/>
      <c r="NXW92" s="362"/>
      <c r="NXX92" s="362"/>
      <c r="NXY92" s="362"/>
      <c r="NXZ92" s="362"/>
      <c r="NYA92" s="362"/>
      <c r="NYB92" s="362"/>
      <c r="NYC92" s="362"/>
      <c r="NYD92" s="362"/>
      <c r="NYE92" s="362"/>
      <c r="NYF92" s="362"/>
      <c r="NYG92" s="362"/>
      <c r="NYH92" s="362"/>
      <c r="NYI92" s="362"/>
      <c r="NYJ92" s="362"/>
      <c r="NYK92" s="362"/>
      <c r="NYL92" s="362"/>
      <c r="NYM92" s="362"/>
      <c r="NYN92" s="362"/>
      <c r="NYO92" s="362"/>
      <c r="NYP92" s="362"/>
      <c r="NYQ92" s="362"/>
      <c r="NYR92" s="362"/>
      <c r="NYS92" s="362"/>
      <c r="NYT92" s="362"/>
      <c r="NYU92" s="362"/>
      <c r="NYV92" s="362"/>
      <c r="NYW92" s="362"/>
      <c r="NYX92" s="362"/>
      <c r="NYY92" s="362"/>
      <c r="NYZ92" s="362"/>
      <c r="NZA92" s="362"/>
      <c r="NZB92" s="362"/>
      <c r="NZC92" s="362"/>
      <c r="NZD92" s="362"/>
      <c r="NZE92" s="362"/>
      <c r="NZF92" s="362"/>
      <c r="NZG92" s="362"/>
      <c r="NZH92" s="362"/>
      <c r="NZI92" s="362"/>
      <c r="NZJ92" s="362"/>
      <c r="NZK92" s="362"/>
      <c r="NZL92" s="362"/>
      <c r="NZM92" s="362"/>
      <c r="NZN92" s="362"/>
      <c r="NZO92" s="362"/>
      <c r="NZP92" s="362"/>
      <c r="NZQ92" s="362"/>
      <c r="NZR92" s="362"/>
      <c r="NZS92" s="362"/>
      <c r="NZT92" s="362"/>
      <c r="NZU92" s="362"/>
      <c r="NZV92" s="362"/>
      <c r="NZW92" s="362"/>
      <c r="NZX92" s="362"/>
      <c r="NZY92" s="362"/>
      <c r="NZZ92" s="362"/>
      <c r="OAA92" s="362"/>
      <c r="OAB92" s="362"/>
      <c r="OAC92" s="362"/>
      <c r="OAD92" s="362"/>
      <c r="OAE92" s="362"/>
      <c r="OAF92" s="362"/>
      <c r="OAG92" s="362"/>
      <c r="OAH92" s="362"/>
      <c r="OAI92" s="362"/>
      <c r="OAJ92" s="362"/>
      <c r="OAK92" s="362"/>
      <c r="OAL92" s="362"/>
      <c r="OAM92" s="362"/>
      <c r="OAN92" s="362"/>
      <c r="OAO92" s="362"/>
      <c r="OAP92" s="362"/>
      <c r="OAQ92" s="362"/>
      <c r="OAR92" s="362"/>
      <c r="OAS92" s="362"/>
      <c r="OAT92" s="362"/>
      <c r="OAU92" s="362"/>
      <c r="OAV92" s="362"/>
      <c r="OAW92" s="362"/>
      <c r="OAX92" s="362"/>
      <c r="OAY92" s="362"/>
      <c r="OAZ92" s="362"/>
      <c r="OBA92" s="362"/>
      <c r="OBB92" s="362"/>
      <c r="OBC92" s="362"/>
      <c r="OBD92" s="362"/>
      <c r="OBE92" s="362"/>
      <c r="OBF92" s="362"/>
      <c r="OBG92" s="362"/>
      <c r="OBH92" s="362"/>
      <c r="OBI92" s="362"/>
      <c r="OBJ92" s="362"/>
      <c r="OBK92" s="362"/>
      <c r="OBL92" s="362"/>
      <c r="OBM92" s="362"/>
      <c r="OBN92" s="362"/>
      <c r="OBO92" s="362"/>
      <c r="OBP92" s="362"/>
      <c r="OBQ92" s="362"/>
      <c r="OBR92" s="362"/>
      <c r="OBS92" s="362"/>
      <c r="OBT92" s="362"/>
      <c r="OBU92" s="362"/>
      <c r="OBV92" s="362"/>
      <c r="OBW92" s="362"/>
      <c r="OBX92" s="362"/>
      <c r="OBY92" s="362"/>
      <c r="OBZ92" s="362"/>
      <c r="OCA92" s="362"/>
      <c r="OCB92" s="362"/>
      <c r="OCC92" s="362"/>
      <c r="OCD92" s="362"/>
      <c r="OCE92" s="362"/>
      <c r="OCF92" s="362"/>
      <c r="OCG92" s="362"/>
      <c r="OCH92" s="362"/>
      <c r="OCI92" s="362"/>
      <c r="OCJ92" s="362"/>
      <c r="OCK92" s="362"/>
      <c r="OCL92" s="362"/>
      <c r="OCM92" s="362"/>
      <c r="OCN92" s="362"/>
      <c r="OCO92" s="362"/>
      <c r="OCP92" s="362"/>
      <c r="OCQ92" s="362"/>
      <c r="OCR92" s="362"/>
      <c r="OCS92" s="362"/>
      <c r="OCT92" s="362"/>
      <c r="OCU92" s="362"/>
      <c r="OCV92" s="362"/>
      <c r="OCW92" s="362"/>
      <c r="OCX92" s="362"/>
      <c r="OCY92" s="362"/>
      <c r="OCZ92" s="362"/>
      <c r="ODA92" s="362"/>
      <c r="ODB92" s="362"/>
      <c r="ODC92" s="362"/>
      <c r="ODD92" s="362"/>
      <c r="ODE92" s="362"/>
      <c r="ODF92" s="362"/>
      <c r="ODG92" s="362"/>
      <c r="ODH92" s="362"/>
      <c r="ODI92" s="362"/>
      <c r="ODJ92" s="362"/>
      <c r="ODK92" s="362"/>
      <c r="ODL92" s="362"/>
      <c r="ODM92" s="362"/>
      <c r="ODN92" s="362"/>
      <c r="ODO92" s="362"/>
      <c r="ODP92" s="362"/>
      <c r="ODQ92" s="362"/>
      <c r="ODR92" s="362"/>
      <c r="ODS92" s="362"/>
      <c r="ODT92" s="362"/>
      <c r="ODU92" s="362"/>
      <c r="ODV92" s="362"/>
      <c r="ODW92" s="362"/>
      <c r="ODX92" s="362"/>
      <c r="ODY92" s="362"/>
      <c r="ODZ92" s="362"/>
      <c r="OEA92" s="362"/>
      <c r="OEB92" s="362"/>
      <c r="OEC92" s="362"/>
      <c r="OED92" s="362"/>
      <c r="OEE92" s="362"/>
      <c r="OEF92" s="362"/>
      <c r="OEG92" s="362"/>
      <c r="OEH92" s="362"/>
      <c r="OEI92" s="362"/>
      <c r="OEJ92" s="362"/>
      <c r="OEK92" s="362"/>
      <c r="OEL92" s="362"/>
      <c r="OEM92" s="362"/>
      <c r="OEN92" s="362"/>
      <c r="OEO92" s="362"/>
      <c r="OEP92" s="362"/>
      <c r="OEQ92" s="362"/>
      <c r="OER92" s="362"/>
      <c r="OES92" s="362"/>
      <c r="OET92" s="362"/>
      <c r="OEU92" s="362"/>
      <c r="OEV92" s="362"/>
      <c r="OEW92" s="362"/>
      <c r="OEX92" s="362"/>
      <c r="OEY92" s="362"/>
      <c r="OEZ92" s="362"/>
      <c r="OFA92" s="362"/>
      <c r="OFB92" s="362"/>
      <c r="OFC92" s="362"/>
      <c r="OFD92" s="362"/>
      <c r="OFE92" s="362"/>
      <c r="OFF92" s="362"/>
      <c r="OFG92" s="362"/>
      <c r="OFH92" s="362"/>
      <c r="OFI92" s="362"/>
      <c r="OFJ92" s="362"/>
      <c r="OFK92" s="362"/>
      <c r="OFL92" s="362"/>
      <c r="OFM92" s="362"/>
      <c r="OFN92" s="362"/>
      <c r="OFO92" s="362"/>
      <c r="OFP92" s="362"/>
      <c r="OFQ92" s="362"/>
      <c r="OFR92" s="362"/>
      <c r="OFS92" s="362"/>
      <c r="OFT92" s="362"/>
      <c r="OFU92" s="362"/>
      <c r="OFV92" s="362"/>
      <c r="OFW92" s="362"/>
      <c r="OFX92" s="362"/>
      <c r="OFY92" s="362"/>
      <c r="OFZ92" s="362"/>
      <c r="OGA92" s="362"/>
      <c r="OGB92" s="362"/>
      <c r="OGC92" s="362"/>
      <c r="OGD92" s="362"/>
      <c r="OGE92" s="362"/>
      <c r="OGF92" s="362"/>
      <c r="OGG92" s="362"/>
      <c r="OGH92" s="362"/>
      <c r="OGI92" s="362"/>
      <c r="OGJ92" s="362"/>
      <c r="OGK92" s="362"/>
      <c r="OGL92" s="362"/>
      <c r="OGM92" s="362"/>
      <c r="OGN92" s="362"/>
      <c r="OGO92" s="362"/>
      <c r="OGP92" s="362"/>
      <c r="OGQ92" s="362"/>
      <c r="OGR92" s="362"/>
      <c r="OGS92" s="362"/>
      <c r="OGT92" s="362"/>
      <c r="OGU92" s="362"/>
      <c r="OGV92" s="362"/>
      <c r="OGW92" s="362"/>
      <c r="OGX92" s="362"/>
      <c r="OGY92" s="362"/>
      <c r="OGZ92" s="362"/>
      <c r="OHA92" s="362"/>
      <c r="OHB92" s="362"/>
      <c r="OHC92" s="362"/>
      <c r="OHD92" s="362"/>
      <c r="OHE92" s="362"/>
      <c r="OHF92" s="362"/>
      <c r="OHG92" s="362"/>
      <c r="OHH92" s="362"/>
      <c r="OHI92" s="362"/>
      <c r="OHJ92" s="362"/>
      <c r="OHK92" s="362"/>
      <c r="OHL92" s="362"/>
      <c r="OHM92" s="362"/>
      <c r="OHN92" s="362"/>
      <c r="OHO92" s="362"/>
      <c r="OHP92" s="362"/>
      <c r="OHQ92" s="362"/>
      <c r="OHR92" s="362"/>
      <c r="OHS92" s="362"/>
      <c r="OHT92" s="362"/>
      <c r="OHU92" s="362"/>
      <c r="OHV92" s="362"/>
      <c r="OHW92" s="362"/>
      <c r="OHX92" s="362"/>
      <c r="OHY92" s="362"/>
      <c r="OHZ92" s="362"/>
      <c r="OIA92" s="362"/>
      <c r="OIB92" s="362"/>
      <c r="OIC92" s="362"/>
      <c r="OID92" s="362"/>
      <c r="OIE92" s="362"/>
      <c r="OIF92" s="362"/>
      <c r="OIG92" s="362"/>
      <c r="OIH92" s="362"/>
      <c r="OII92" s="362"/>
      <c r="OIJ92" s="362"/>
      <c r="OIK92" s="362"/>
      <c r="OIL92" s="362"/>
      <c r="OIM92" s="362"/>
      <c r="OIN92" s="362"/>
      <c r="OIO92" s="362"/>
      <c r="OIP92" s="362"/>
      <c r="OIQ92" s="362"/>
      <c r="OIR92" s="362"/>
      <c r="OIS92" s="362"/>
      <c r="OIT92" s="362"/>
      <c r="OIU92" s="362"/>
      <c r="OIV92" s="362"/>
      <c r="OIW92" s="362"/>
      <c r="OIX92" s="362"/>
      <c r="OIY92" s="362"/>
      <c r="OIZ92" s="362"/>
      <c r="OJA92" s="362"/>
      <c r="OJB92" s="362"/>
      <c r="OJC92" s="362"/>
      <c r="OJD92" s="362"/>
      <c r="OJE92" s="362"/>
      <c r="OJF92" s="362"/>
      <c r="OJG92" s="362"/>
      <c r="OJH92" s="362"/>
      <c r="OJI92" s="362"/>
      <c r="OJJ92" s="362"/>
      <c r="OJK92" s="362"/>
      <c r="OJL92" s="362"/>
      <c r="OJM92" s="362"/>
      <c r="OJN92" s="362"/>
      <c r="OJO92" s="362"/>
      <c r="OJP92" s="362"/>
      <c r="OJQ92" s="362"/>
      <c r="OJR92" s="362"/>
      <c r="OJS92" s="362"/>
      <c r="OJT92" s="362"/>
      <c r="OJU92" s="362"/>
      <c r="OJV92" s="362"/>
      <c r="OJW92" s="362"/>
      <c r="OJX92" s="362"/>
      <c r="OJY92" s="362"/>
      <c r="OJZ92" s="362"/>
      <c r="OKA92" s="362"/>
      <c r="OKB92" s="362"/>
      <c r="OKC92" s="362"/>
      <c r="OKD92" s="362"/>
      <c r="OKE92" s="362"/>
      <c r="OKF92" s="362"/>
      <c r="OKG92" s="362"/>
      <c r="OKH92" s="362"/>
      <c r="OKI92" s="362"/>
      <c r="OKJ92" s="362"/>
      <c r="OKK92" s="362"/>
      <c r="OKL92" s="362"/>
      <c r="OKM92" s="362"/>
      <c r="OKN92" s="362"/>
      <c r="OKO92" s="362"/>
      <c r="OKP92" s="362"/>
      <c r="OKQ92" s="362"/>
      <c r="OKR92" s="362"/>
      <c r="OKS92" s="362"/>
      <c r="OKT92" s="362"/>
      <c r="OKU92" s="362"/>
      <c r="OKV92" s="362"/>
      <c r="OKW92" s="362"/>
      <c r="OKX92" s="362"/>
      <c r="OKY92" s="362"/>
      <c r="OKZ92" s="362"/>
      <c r="OLA92" s="362"/>
      <c r="OLB92" s="362"/>
      <c r="OLC92" s="362"/>
      <c r="OLD92" s="362"/>
      <c r="OLE92" s="362"/>
      <c r="OLF92" s="362"/>
      <c r="OLG92" s="362"/>
      <c r="OLH92" s="362"/>
      <c r="OLI92" s="362"/>
      <c r="OLJ92" s="362"/>
      <c r="OLK92" s="362"/>
      <c r="OLL92" s="362"/>
      <c r="OLM92" s="362"/>
      <c r="OLN92" s="362"/>
      <c r="OLO92" s="362"/>
      <c r="OLP92" s="362"/>
      <c r="OLQ92" s="362"/>
      <c r="OLR92" s="362"/>
      <c r="OLS92" s="362"/>
      <c r="OLT92" s="362"/>
      <c r="OLU92" s="362"/>
      <c r="OLV92" s="362"/>
      <c r="OLW92" s="362"/>
      <c r="OLX92" s="362"/>
      <c r="OLY92" s="362"/>
      <c r="OLZ92" s="362"/>
      <c r="OMA92" s="362"/>
      <c r="OMB92" s="362"/>
      <c r="OMC92" s="362"/>
      <c r="OMD92" s="362"/>
      <c r="OME92" s="362"/>
      <c r="OMF92" s="362"/>
      <c r="OMG92" s="362"/>
      <c r="OMH92" s="362"/>
      <c r="OMI92" s="362"/>
      <c r="OMJ92" s="362"/>
      <c r="OMK92" s="362"/>
      <c r="OML92" s="362"/>
      <c r="OMM92" s="362"/>
      <c r="OMN92" s="362"/>
      <c r="OMO92" s="362"/>
      <c r="OMP92" s="362"/>
      <c r="OMQ92" s="362"/>
      <c r="OMR92" s="362"/>
      <c r="OMS92" s="362"/>
      <c r="OMT92" s="362"/>
      <c r="OMU92" s="362"/>
      <c r="OMV92" s="362"/>
      <c r="OMW92" s="362"/>
      <c r="OMX92" s="362"/>
      <c r="OMY92" s="362"/>
      <c r="OMZ92" s="362"/>
      <c r="ONA92" s="362"/>
      <c r="ONB92" s="362"/>
      <c r="ONC92" s="362"/>
      <c r="OND92" s="362"/>
      <c r="ONE92" s="362"/>
      <c r="ONF92" s="362"/>
      <c r="ONG92" s="362"/>
      <c r="ONH92" s="362"/>
      <c r="ONI92" s="362"/>
      <c r="ONJ92" s="362"/>
      <c r="ONK92" s="362"/>
      <c r="ONL92" s="362"/>
      <c r="ONM92" s="362"/>
      <c r="ONN92" s="362"/>
      <c r="ONO92" s="362"/>
      <c r="ONP92" s="362"/>
      <c r="ONQ92" s="362"/>
      <c r="ONR92" s="362"/>
      <c r="ONS92" s="362"/>
      <c r="ONT92" s="362"/>
      <c r="ONU92" s="362"/>
      <c r="ONV92" s="362"/>
      <c r="ONW92" s="362"/>
      <c r="ONX92" s="362"/>
      <c r="ONY92" s="362"/>
      <c r="ONZ92" s="362"/>
      <c r="OOA92" s="362"/>
      <c r="OOB92" s="362"/>
      <c r="OOC92" s="362"/>
      <c r="OOD92" s="362"/>
      <c r="OOE92" s="362"/>
      <c r="OOF92" s="362"/>
      <c r="OOG92" s="362"/>
      <c r="OOH92" s="362"/>
      <c r="OOI92" s="362"/>
      <c r="OOJ92" s="362"/>
      <c r="OOK92" s="362"/>
      <c r="OOL92" s="362"/>
      <c r="OOM92" s="362"/>
      <c r="OON92" s="362"/>
      <c r="OOO92" s="362"/>
      <c r="OOP92" s="362"/>
      <c r="OOQ92" s="362"/>
      <c r="OOR92" s="362"/>
      <c r="OOS92" s="362"/>
      <c r="OOT92" s="362"/>
      <c r="OOU92" s="362"/>
      <c r="OOV92" s="362"/>
      <c r="OOW92" s="362"/>
      <c r="OOX92" s="362"/>
      <c r="OOY92" s="362"/>
      <c r="OOZ92" s="362"/>
      <c r="OPA92" s="362"/>
      <c r="OPB92" s="362"/>
      <c r="OPC92" s="362"/>
      <c r="OPD92" s="362"/>
      <c r="OPE92" s="362"/>
      <c r="OPF92" s="362"/>
      <c r="OPG92" s="362"/>
      <c r="OPH92" s="362"/>
      <c r="OPI92" s="362"/>
      <c r="OPJ92" s="362"/>
      <c r="OPK92" s="362"/>
      <c r="OPL92" s="362"/>
      <c r="OPM92" s="362"/>
      <c r="OPN92" s="362"/>
      <c r="OPO92" s="362"/>
      <c r="OPP92" s="362"/>
      <c r="OPQ92" s="362"/>
      <c r="OPR92" s="362"/>
      <c r="OPS92" s="362"/>
      <c r="OPT92" s="362"/>
      <c r="OPU92" s="362"/>
      <c r="OPV92" s="362"/>
      <c r="OPW92" s="362"/>
      <c r="OPX92" s="362"/>
      <c r="OPY92" s="362"/>
      <c r="OPZ92" s="362"/>
      <c r="OQA92" s="362"/>
      <c r="OQB92" s="362"/>
      <c r="OQC92" s="362"/>
      <c r="OQD92" s="362"/>
      <c r="OQE92" s="362"/>
      <c r="OQF92" s="362"/>
      <c r="OQG92" s="362"/>
      <c r="OQH92" s="362"/>
      <c r="OQI92" s="362"/>
      <c r="OQJ92" s="362"/>
      <c r="OQK92" s="362"/>
      <c r="OQL92" s="362"/>
      <c r="OQM92" s="362"/>
      <c r="OQN92" s="362"/>
      <c r="OQO92" s="362"/>
      <c r="OQP92" s="362"/>
      <c r="OQQ92" s="362"/>
      <c r="OQR92" s="362"/>
      <c r="OQS92" s="362"/>
      <c r="OQT92" s="362"/>
      <c r="OQU92" s="362"/>
      <c r="OQV92" s="362"/>
      <c r="OQW92" s="362"/>
      <c r="OQX92" s="362"/>
      <c r="OQY92" s="362"/>
      <c r="OQZ92" s="362"/>
      <c r="ORA92" s="362"/>
      <c r="ORB92" s="362"/>
      <c r="ORC92" s="362"/>
      <c r="ORD92" s="362"/>
      <c r="ORE92" s="362"/>
      <c r="ORF92" s="362"/>
      <c r="ORG92" s="362"/>
      <c r="ORH92" s="362"/>
      <c r="ORI92" s="362"/>
      <c r="ORJ92" s="362"/>
      <c r="ORK92" s="362"/>
      <c r="ORL92" s="362"/>
      <c r="ORM92" s="362"/>
      <c r="ORN92" s="362"/>
      <c r="ORO92" s="362"/>
      <c r="ORP92" s="362"/>
      <c r="ORQ92" s="362"/>
      <c r="ORR92" s="362"/>
      <c r="ORS92" s="362"/>
      <c r="ORT92" s="362"/>
      <c r="ORU92" s="362"/>
      <c r="ORV92" s="362"/>
      <c r="ORW92" s="362"/>
      <c r="ORX92" s="362"/>
      <c r="ORY92" s="362"/>
      <c r="ORZ92" s="362"/>
      <c r="OSA92" s="362"/>
      <c r="OSB92" s="362"/>
      <c r="OSC92" s="362"/>
      <c r="OSD92" s="362"/>
      <c r="OSE92" s="362"/>
      <c r="OSF92" s="362"/>
      <c r="OSG92" s="362"/>
      <c r="OSH92" s="362"/>
      <c r="OSI92" s="362"/>
      <c r="OSJ92" s="362"/>
      <c r="OSK92" s="362"/>
      <c r="OSL92" s="362"/>
      <c r="OSM92" s="362"/>
      <c r="OSN92" s="362"/>
      <c r="OSO92" s="362"/>
      <c r="OSP92" s="362"/>
      <c r="OSQ92" s="362"/>
      <c r="OSR92" s="362"/>
      <c r="OSS92" s="362"/>
      <c r="OST92" s="362"/>
      <c r="OSU92" s="362"/>
      <c r="OSV92" s="362"/>
      <c r="OSW92" s="362"/>
      <c r="OSX92" s="362"/>
      <c r="OSY92" s="362"/>
      <c r="OSZ92" s="362"/>
      <c r="OTA92" s="362"/>
      <c r="OTB92" s="362"/>
      <c r="OTC92" s="362"/>
      <c r="OTD92" s="362"/>
      <c r="OTE92" s="362"/>
      <c r="OTF92" s="362"/>
      <c r="OTG92" s="362"/>
      <c r="OTH92" s="362"/>
      <c r="OTI92" s="362"/>
      <c r="OTJ92" s="362"/>
      <c r="OTK92" s="362"/>
      <c r="OTL92" s="362"/>
      <c r="OTM92" s="362"/>
      <c r="OTN92" s="362"/>
      <c r="OTO92" s="362"/>
      <c r="OTP92" s="362"/>
      <c r="OTQ92" s="362"/>
      <c r="OTR92" s="362"/>
      <c r="OTS92" s="362"/>
      <c r="OTT92" s="362"/>
      <c r="OTU92" s="362"/>
      <c r="OTV92" s="362"/>
      <c r="OTW92" s="362"/>
      <c r="OTX92" s="362"/>
      <c r="OTY92" s="362"/>
      <c r="OTZ92" s="362"/>
      <c r="OUA92" s="362"/>
      <c r="OUB92" s="362"/>
      <c r="OUC92" s="362"/>
      <c r="OUD92" s="362"/>
      <c r="OUE92" s="362"/>
      <c r="OUF92" s="362"/>
      <c r="OUG92" s="362"/>
      <c r="OUH92" s="362"/>
      <c r="OUI92" s="362"/>
      <c r="OUJ92" s="362"/>
      <c r="OUK92" s="362"/>
      <c r="OUL92" s="362"/>
      <c r="OUM92" s="362"/>
      <c r="OUN92" s="362"/>
      <c r="OUO92" s="362"/>
      <c r="OUP92" s="362"/>
      <c r="OUQ92" s="362"/>
      <c r="OUR92" s="362"/>
      <c r="OUS92" s="362"/>
      <c r="OUT92" s="362"/>
      <c r="OUU92" s="362"/>
      <c r="OUV92" s="362"/>
      <c r="OUW92" s="362"/>
      <c r="OUX92" s="362"/>
      <c r="OUY92" s="362"/>
      <c r="OUZ92" s="362"/>
      <c r="OVA92" s="362"/>
      <c r="OVB92" s="362"/>
      <c r="OVC92" s="362"/>
      <c r="OVD92" s="362"/>
      <c r="OVE92" s="362"/>
      <c r="OVF92" s="362"/>
      <c r="OVG92" s="362"/>
      <c r="OVH92" s="362"/>
      <c r="OVI92" s="362"/>
      <c r="OVJ92" s="362"/>
      <c r="OVK92" s="362"/>
      <c r="OVL92" s="362"/>
      <c r="OVM92" s="362"/>
      <c r="OVN92" s="362"/>
      <c r="OVO92" s="362"/>
      <c r="OVP92" s="362"/>
      <c r="OVQ92" s="362"/>
      <c r="OVR92" s="362"/>
      <c r="OVS92" s="362"/>
      <c r="OVT92" s="362"/>
      <c r="OVU92" s="362"/>
      <c r="OVV92" s="362"/>
      <c r="OVW92" s="362"/>
      <c r="OVX92" s="362"/>
      <c r="OVY92" s="362"/>
      <c r="OVZ92" s="362"/>
      <c r="OWA92" s="362"/>
      <c r="OWB92" s="362"/>
      <c r="OWC92" s="362"/>
      <c r="OWD92" s="362"/>
      <c r="OWE92" s="362"/>
      <c r="OWF92" s="362"/>
      <c r="OWG92" s="362"/>
      <c r="OWH92" s="362"/>
      <c r="OWI92" s="362"/>
      <c r="OWJ92" s="362"/>
      <c r="OWK92" s="362"/>
      <c r="OWL92" s="362"/>
      <c r="OWM92" s="362"/>
      <c r="OWN92" s="362"/>
      <c r="OWO92" s="362"/>
      <c r="OWP92" s="362"/>
      <c r="OWQ92" s="362"/>
      <c r="OWR92" s="362"/>
      <c r="OWS92" s="362"/>
      <c r="OWT92" s="362"/>
      <c r="OWU92" s="362"/>
      <c r="OWV92" s="362"/>
      <c r="OWW92" s="362"/>
      <c r="OWX92" s="362"/>
      <c r="OWY92" s="362"/>
      <c r="OWZ92" s="362"/>
      <c r="OXA92" s="362"/>
      <c r="OXB92" s="362"/>
      <c r="OXC92" s="362"/>
      <c r="OXD92" s="362"/>
      <c r="OXE92" s="362"/>
      <c r="OXF92" s="362"/>
      <c r="OXG92" s="362"/>
      <c r="OXH92" s="362"/>
      <c r="OXI92" s="362"/>
      <c r="OXJ92" s="362"/>
      <c r="OXK92" s="362"/>
      <c r="OXL92" s="362"/>
      <c r="OXM92" s="362"/>
      <c r="OXN92" s="362"/>
      <c r="OXO92" s="362"/>
      <c r="OXP92" s="362"/>
      <c r="OXQ92" s="362"/>
      <c r="OXR92" s="362"/>
      <c r="OXS92" s="362"/>
      <c r="OXT92" s="362"/>
      <c r="OXU92" s="362"/>
      <c r="OXV92" s="362"/>
      <c r="OXW92" s="362"/>
      <c r="OXX92" s="362"/>
      <c r="OXY92" s="362"/>
      <c r="OXZ92" s="362"/>
      <c r="OYA92" s="362"/>
      <c r="OYB92" s="362"/>
      <c r="OYC92" s="362"/>
      <c r="OYD92" s="362"/>
      <c r="OYE92" s="362"/>
      <c r="OYF92" s="362"/>
      <c r="OYG92" s="362"/>
      <c r="OYH92" s="362"/>
      <c r="OYI92" s="362"/>
      <c r="OYJ92" s="362"/>
      <c r="OYK92" s="362"/>
      <c r="OYL92" s="362"/>
      <c r="OYM92" s="362"/>
      <c r="OYN92" s="362"/>
      <c r="OYO92" s="362"/>
      <c r="OYP92" s="362"/>
      <c r="OYQ92" s="362"/>
      <c r="OYR92" s="362"/>
      <c r="OYS92" s="362"/>
      <c r="OYT92" s="362"/>
      <c r="OYU92" s="362"/>
      <c r="OYV92" s="362"/>
      <c r="OYW92" s="362"/>
      <c r="OYX92" s="362"/>
      <c r="OYY92" s="362"/>
      <c r="OYZ92" s="362"/>
      <c r="OZA92" s="362"/>
      <c r="OZB92" s="362"/>
      <c r="OZC92" s="362"/>
      <c r="OZD92" s="362"/>
      <c r="OZE92" s="362"/>
      <c r="OZF92" s="362"/>
      <c r="OZG92" s="362"/>
      <c r="OZH92" s="362"/>
      <c r="OZI92" s="362"/>
      <c r="OZJ92" s="362"/>
      <c r="OZK92" s="362"/>
      <c r="OZL92" s="362"/>
      <c r="OZM92" s="362"/>
      <c r="OZN92" s="362"/>
      <c r="OZO92" s="362"/>
      <c r="OZP92" s="362"/>
      <c r="OZQ92" s="362"/>
      <c r="OZR92" s="362"/>
      <c r="OZS92" s="362"/>
      <c r="OZT92" s="362"/>
      <c r="OZU92" s="362"/>
      <c r="OZV92" s="362"/>
      <c r="OZW92" s="362"/>
      <c r="OZX92" s="362"/>
      <c r="OZY92" s="362"/>
      <c r="OZZ92" s="362"/>
      <c r="PAA92" s="362"/>
      <c r="PAB92" s="362"/>
      <c r="PAC92" s="362"/>
      <c r="PAD92" s="362"/>
      <c r="PAE92" s="362"/>
      <c r="PAF92" s="362"/>
      <c r="PAG92" s="362"/>
      <c r="PAH92" s="362"/>
      <c r="PAI92" s="362"/>
      <c r="PAJ92" s="362"/>
      <c r="PAK92" s="362"/>
      <c r="PAL92" s="362"/>
      <c r="PAM92" s="362"/>
      <c r="PAN92" s="362"/>
      <c r="PAO92" s="362"/>
      <c r="PAP92" s="362"/>
      <c r="PAQ92" s="362"/>
      <c r="PAR92" s="362"/>
      <c r="PAS92" s="362"/>
      <c r="PAT92" s="362"/>
      <c r="PAU92" s="362"/>
      <c r="PAV92" s="362"/>
      <c r="PAW92" s="362"/>
      <c r="PAX92" s="362"/>
      <c r="PAY92" s="362"/>
      <c r="PAZ92" s="362"/>
      <c r="PBA92" s="362"/>
      <c r="PBB92" s="362"/>
      <c r="PBC92" s="362"/>
      <c r="PBD92" s="362"/>
      <c r="PBE92" s="362"/>
      <c r="PBF92" s="362"/>
      <c r="PBG92" s="362"/>
      <c r="PBH92" s="362"/>
      <c r="PBI92" s="362"/>
      <c r="PBJ92" s="362"/>
      <c r="PBK92" s="362"/>
      <c r="PBL92" s="362"/>
      <c r="PBM92" s="362"/>
      <c r="PBN92" s="362"/>
      <c r="PBO92" s="362"/>
      <c r="PBP92" s="362"/>
      <c r="PBQ92" s="362"/>
      <c r="PBR92" s="362"/>
      <c r="PBS92" s="362"/>
      <c r="PBT92" s="362"/>
      <c r="PBU92" s="362"/>
      <c r="PBV92" s="362"/>
      <c r="PBW92" s="362"/>
      <c r="PBX92" s="362"/>
      <c r="PBY92" s="362"/>
      <c r="PBZ92" s="362"/>
      <c r="PCA92" s="362"/>
      <c r="PCB92" s="362"/>
      <c r="PCC92" s="362"/>
      <c r="PCD92" s="362"/>
      <c r="PCE92" s="362"/>
      <c r="PCF92" s="362"/>
      <c r="PCG92" s="362"/>
      <c r="PCH92" s="362"/>
      <c r="PCI92" s="362"/>
      <c r="PCJ92" s="362"/>
      <c r="PCK92" s="362"/>
      <c r="PCL92" s="362"/>
      <c r="PCM92" s="362"/>
      <c r="PCN92" s="362"/>
      <c r="PCO92" s="362"/>
      <c r="PCP92" s="362"/>
      <c r="PCQ92" s="362"/>
      <c r="PCR92" s="362"/>
      <c r="PCS92" s="362"/>
      <c r="PCT92" s="362"/>
      <c r="PCU92" s="362"/>
      <c r="PCV92" s="362"/>
      <c r="PCW92" s="362"/>
      <c r="PCX92" s="362"/>
      <c r="PCY92" s="362"/>
      <c r="PCZ92" s="362"/>
      <c r="PDA92" s="362"/>
      <c r="PDB92" s="362"/>
      <c r="PDC92" s="362"/>
      <c r="PDD92" s="362"/>
      <c r="PDE92" s="362"/>
      <c r="PDF92" s="362"/>
      <c r="PDG92" s="362"/>
      <c r="PDH92" s="362"/>
      <c r="PDI92" s="362"/>
      <c r="PDJ92" s="362"/>
      <c r="PDK92" s="362"/>
      <c r="PDL92" s="362"/>
      <c r="PDM92" s="362"/>
      <c r="PDN92" s="362"/>
      <c r="PDO92" s="362"/>
      <c r="PDP92" s="362"/>
      <c r="PDQ92" s="362"/>
      <c r="PDR92" s="362"/>
      <c r="PDS92" s="362"/>
      <c r="PDT92" s="362"/>
      <c r="PDU92" s="362"/>
      <c r="PDV92" s="362"/>
      <c r="PDW92" s="362"/>
      <c r="PDX92" s="362"/>
      <c r="PDY92" s="362"/>
      <c r="PDZ92" s="362"/>
      <c r="PEA92" s="362"/>
      <c r="PEB92" s="362"/>
      <c r="PEC92" s="362"/>
      <c r="PED92" s="362"/>
      <c r="PEE92" s="362"/>
      <c r="PEF92" s="362"/>
      <c r="PEG92" s="362"/>
      <c r="PEH92" s="362"/>
      <c r="PEI92" s="362"/>
      <c r="PEJ92" s="362"/>
      <c r="PEK92" s="362"/>
      <c r="PEL92" s="362"/>
      <c r="PEM92" s="362"/>
      <c r="PEN92" s="362"/>
      <c r="PEO92" s="362"/>
      <c r="PEP92" s="362"/>
      <c r="PEQ92" s="362"/>
      <c r="PER92" s="362"/>
      <c r="PES92" s="362"/>
      <c r="PET92" s="362"/>
      <c r="PEU92" s="362"/>
      <c r="PEV92" s="362"/>
      <c r="PEW92" s="362"/>
      <c r="PEX92" s="362"/>
      <c r="PEY92" s="362"/>
      <c r="PEZ92" s="362"/>
      <c r="PFA92" s="362"/>
      <c r="PFB92" s="362"/>
      <c r="PFC92" s="362"/>
      <c r="PFD92" s="362"/>
      <c r="PFE92" s="362"/>
      <c r="PFF92" s="362"/>
      <c r="PFG92" s="362"/>
      <c r="PFH92" s="362"/>
      <c r="PFI92" s="362"/>
      <c r="PFJ92" s="362"/>
      <c r="PFK92" s="362"/>
      <c r="PFL92" s="362"/>
      <c r="PFM92" s="362"/>
      <c r="PFN92" s="362"/>
      <c r="PFO92" s="362"/>
      <c r="PFP92" s="362"/>
      <c r="PFQ92" s="362"/>
      <c r="PFR92" s="362"/>
      <c r="PFS92" s="362"/>
      <c r="PFT92" s="362"/>
      <c r="PFU92" s="362"/>
      <c r="PFV92" s="362"/>
      <c r="PFW92" s="362"/>
      <c r="PFX92" s="362"/>
      <c r="PFY92" s="362"/>
      <c r="PFZ92" s="362"/>
      <c r="PGA92" s="362"/>
      <c r="PGB92" s="362"/>
      <c r="PGC92" s="362"/>
      <c r="PGD92" s="362"/>
      <c r="PGE92" s="362"/>
      <c r="PGF92" s="362"/>
      <c r="PGG92" s="362"/>
      <c r="PGH92" s="362"/>
      <c r="PGI92" s="362"/>
      <c r="PGJ92" s="362"/>
      <c r="PGK92" s="362"/>
      <c r="PGL92" s="362"/>
      <c r="PGM92" s="362"/>
      <c r="PGN92" s="362"/>
      <c r="PGO92" s="362"/>
      <c r="PGP92" s="362"/>
      <c r="PGQ92" s="362"/>
      <c r="PGR92" s="362"/>
      <c r="PGS92" s="362"/>
      <c r="PGT92" s="362"/>
      <c r="PGU92" s="362"/>
      <c r="PGV92" s="362"/>
      <c r="PGW92" s="362"/>
      <c r="PGX92" s="362"/>
      <c r="PGY92" s="362"/>
      <c r="PGZ92" s="362"/>
      <c r="PHA92" s="362"/>
      <c r="PHB92" s="362"/>
      <c r="PHC92" s="362"/>
      <c r="PHD92" s="362"/>
      <c r="PHE92" s="362"/>
      <c r="PHF92" s="362"/>
      <c r="PHG92" s="362"/>
      <c r="PHH92" s="362"/>
      <c r="PHI92" s="362"/>
      <c r="PHJ92" s="362"/>
      <c r="PHK92" s="362"/>
      <c r="PHL92" s="362"/>
      <c r="PHM92" s="362"/>
      <c r="PHN92" s="362"/>
      <c r="PHO92" s="362"/>
      <c r="PHP92" s="362"/>
      <c r="PHQ92" s="362"/>
      <c r="PHR92" s="362"/>
      <c r="PHS92" s="362"/>
      <c r="PHT92" s="362"/>
      <c r="PHU92" s="362"/>
      <c r="PHV92" s="362"/>
      <c r="PHW92" s="362"/>
      <c r="PHX92" s="362"/>
      <c r="PHY92" s="362"/>
      <c r="PHZ92" s="362"/>
      <c r="PIA92" s="362"/>
      <c r="PIB92" s="362"/>
      <c r="PIC92" s="362"/>
      <c r="PID92" s="362"/>
      <c r="PIE92" s="362"/>
      <c r="PIF92" s="362"/>
      <c r="PIG92" s="362"/>
      <c r="PIH92" s="362"/>
      <c r="PII92" s="362"/>
      <c r="PIJ92" s="362"/>
      <c r="PIK92" s="362"/>
      <c r="PIL92" s="362"/>
      <c r="PIM92" s="362"/>
      <c r="PIN92" s="362"/>
      <c r="PIO92" s="362"/>
      <c r="PIP92" s="362"/>
      <c r="PIQ92" s="362"/>
      <c r="PIR92" s="362"/>
      <c r="PIS92" s="362"/>
      <c r="PIT92" s="362"/>
      <c r="PIU92" s="362"/>
      <c r="PIV92" s="362"/>
      <c r="PIW92" s="362"/>
      <c r="PIX92" s="362"/>
      <c r="PIY92" s="362"/>
      <c r="PIZ92" s="362"/>
      <c r="PJA92" s="362"/>
      <c r="PJB92" s="362"/>
      <c r="PJC92" s="362"/>
      <c r="PJD92" s="362"/>
      <c r="PJE92" s="362"/>
      <c r="PJF92" s="362"/>
      <c r="PJG92" s="362"/>
      <c r="PJH92" s="362"/>
      <c r="PJI92" s="362"/>
      <c r="PJJ92" s="362"/>
      <c r="PJK92" s="362"/>
      <c r="PJL92" s="362"/>
      <c r="PJM92" s="362"/>
      <c r="PJN92" s="362"/>
      <c r="PJO92" s="362"/>
      <c r="PJP92" s="362"/>
      <c r="PJQ92" s="362"/>
      <c r="PJR92" s="362"/>
      <c r="PJS92" s="362"/>
      <c r="PJT92" s="362"/>
      <c r="PJU92" s="362"/>
      <c r="PJV92" s="362"/>
      <c r="PJW92" s="362"/>
      <c r="PJX92" s="362"/>
      <c r="PJY92" s="362"/>
      <c r="PJZ92" s="362"/>
      <c r="PKA92" s="362"/>
      <c r="PKB92" s="362"/>
      <c r="PKC92" s="362"/>
      <c r="PKD92" s="362"/>
      <c r="PKE92" s="362"/>
      <c r="PKF92" s="362"/>
      <c r="PKG92" s="362"/>
      <c r="PKH92" s="362"/>
      <c r="PKI92" s="362"/>
      <c r="PKJ92" s="362"/>
      <c r="PKK92" s="362"/>
      <c r="PKL92" s="362"/>
      <c r="PKM92" s="362"/>
      <c r="PKN92" s="362"/>
      <c r="PKO92" s="362"/>
      <c r="PKP92" s="362"/>
      <c r="PKQ92" s="362"/>
      <c r="PKR92" s="362"/>
      <c r="PKS92" s="362"/>
      <c r="PKT92" s="362"/>
      <c r="PKU92" s="362"/>
      <c r="PKV92" s="362"/>
      <c r="PKW92" s="362"/>
      <c r="PKX92" s="362"/>
      <c r="PKY92" s="362"/>
      <c r="PKZ92" s="362"/>
      <c r="PLA92" s="362"/>
      <c r="PLB92" s="362"/>
      <c r="PLC92" s="362"/>
      <c r="PLD92" s="362"/>
      <c r="PLE92" s="362"/>
      <c r="PLF92" s="362"/>
      <c r="PLG92" s="362"/>
      <c r="PLH92" s="362"/>
      <c r="PLI92" s="362"/>
      <c r="PLJ92" s="362"/>
      <c r="PLK92" s="362"/>
      <c r="PLL92" s="362"/>
      <c r="PLM92" s="362"/>
      <c r="PLN92" s="362"/>
      <c r="PLO92" s="362"/>
      <c r="PLP92" s="362"/>
      <c r="PLQ92" s="362"/>
      <c r="PLR92" s="362"/>
      <c r="PLS92" s="362"/>
      <c r="PLT92" s="362"/>
      <c r="PLU92" s="362"/>
      <c r="PLV92" s="362"/>
      <c r="PLW92" s="362"/>
      <c r="PLX92" s="362"/>
      <c r="PLY92" s="362"/>
      <c r="PLZ92" s="362"/>
      <c r="PMA92" s="362"/>
      <c r="PMB92" s="362"/>
      <c r="PMC92" s="362"/>
      <c r="PMD92" s="362"/>
      <c r="PME92" s="362"/>
      <c r="PMF92" s="362"/>
      <c r="PMG92" s="362"/>
      <c r="PMH92" s="362"/>
      <c r="PMI92" s="362"/>
      <c r="PMJ92" s="362"/>
      <c r="PMK92" s="362"/>
      <c r="PML92" s="362"/>
      <c r="PMM92" s="362"/>
      <c r="PMN92" s="362"/>
      <c r="PMO92" s="362"/>
      <c r="PMP92" s="362"/>
      <c r="PMQ92" s="362"/>
      <c r="PMR92" s="362"/>
      <c r="PMS92" s="362"/>
      <c r="PMT92" s="362"/>
      <c r="PMU92" s="362"/>
      <c r="PMV92" s="362"/>
      <c r="PMW92" s="362"/>
      <c r="PMX92" s="362"/>
      <c r="PMY92" s="362"/>
      <c r="PMZ92" s="362"/>
      <c r="PNA92" s="362"/>
      <c r="PNB92" s="362"/>
      <c r="PNC92" s="362"/>
      <c r="PND92" s="362"/>
      <c r="PNE92" s="362"/>
      <c r="PNF92" s="362"/>
      <c r="PNG92" s="362"/>
      <c r="PNH92" s="362"/>
      <c r="PNI92" s="362"/>
      <c r="PNJ92" s="362"/>
      <c r="PNK92" s="362"/>
      <c r="PNL92" s="362"/>
      <c r="PNM92" s="362"/>
      <c r="PNN92" s="362"/>
      <c r="PNO92" s="362"/>
      <c r="PNP92" s="362"/>
      <c r="PNQ92" s="362"/>
      <c r="PNR92" s="362"/>
      <c r="PNS92" s="362"/>
      <c r="PNT92" s="362"/>
      <c r="PNU92" s="362"/>
      <c r="PNV92" s="362"/>
      <c r="PNW92" s="362"/>
      <c r="PNX92" s="362"/>
      <c r="PNY92" s="362"/>
      <c r="PNZ92" s="362"/>
      <c r="POA92" s="362"/>
      <c r="POB92" s="362"/>
      <c r="POC92" s="362"/>
      <c r="POD92" s="362"/>
      <c r="POE92" s="362"/>
      <c r="POF92" s="362"/>
      <c r="POG92" s="362"/>
      <c r="POH92" s="362"/>
      <c r="POI92" s="362"/>
      <c r="POJ92" s="362"/>
      <c r="POK92" s="362"/>
      <c r="POL92" s="362"/>
      <c r="POM92" s="362"/>
      <c r="PON92" s="362"/>
      <c r="POO92" s="362"/>
      <c r="POP92" s="362"/>
      <c r="POQ92" s="362"/>
      <c r="POR92" s="362"/>
      <c r="POS92" s="362"/>
      <c r="POT92" s="362"/>
      <c r="POU92" s="362"/>
      <c r="POV92" s="362"/>
      <c r="POW92" s="362"/>
      <c r="POX92" s="362"/>
      <c r="POY92" s="362"/>
      <c r="POZ92" s="362"/>
      <c r="PPA92" s="362"/>
      <c r="PPB92" s="362"/>
      <c r="PPC92" s="362"/>
      <c r="PPD92" s="362"/>
      <c r="PPE92" s="362"/>
      <c r="PPF92" s="362"/>
      <c r="PPG92" s="362"/>
      <c r="PPH92" s="362"/>
      <c r="PPI92" s="362"/>
      <c r="PPJ92" s="362"/>
      <c r="PPK92" s="362"/>
      <c r="PPL92" s="362"/>
      <c r="PPM92" s="362"/>
      <c r="PPN92" s="362"/>
      <c r="PPO92" s="362"/>
      <c r="PPP92" s="362"/>
      <c r="PPQ92" s="362"/>
      <c r="PPR92" s="362"/>
      <c r="PPS92" s="362"/>
      <c r="PPT92" s="362"/>
      <c r="PPU92" s="362"/>
      <c r="PPV92" s="362"/>
      <c r="PPW92" s="362"/>
      <c r="PPX92" s="362"/>
      <c r="PPY92" s="362"/>
      <c r="PPZ92" s="362"/>
      <c r="PQA92" s="362"/>
      <c r="PQB92" s="362"/>
      <c r="PQC92" s="362"/>
      <c r="PQD92" s="362"/>
      <c r="PQE92" s="362"/>
      <c r="PQF92" s="362"/>
      <c r="PQG92" s="362"/>
      <c r="PQH92" s="362"/>
      <c r="PQI92" s="362"/>
      <c r="PQJ92" s="362"/>
      <c r="PQK92" s="362"/>
      <c r="PQL92" s="362"/>
      <c r="PQM92" s="362"/>
      <c r="PQN92" s="362"/>
      <c r="PQO92" s="362"/>
      <c r="PQP92" s="362"/>
      <c r="PQQ92" s="362"/>
      <c r="PQR92" s="362"/>
      <c r="PQS92" s="362"/>
      <c r="PQT92" s="362"/>
      <c r="PQU92" s="362"/>
      <c r="PQV92" s="362"/>
      <c r="PQW92" s="362"/>
      <c r="PQX92" s="362"/>
      <c r="PQY92" s="362"/>
      <c r="PQZ92" s="362"/>
      <c r="PRA92" s="362"/>
      <c r="PRB92" s="362"/>
      <c r="PRC92" s="362"/>
      <c r="PRD92" s="362"/>
      <c r="PRE92" s="362"/>
      <c r="PRF92" s="362"/>
      <c r="PRG92" s="362"/>
      <c r="PRH92" s="362"/>
      <c r="PRI92" s="362"/>
      <c r="PRJ92" s="362"/>
      <c r="PRK92" s="362"/>
      <c r="PRL92" s="362"/>
      <c r="PRM92" s="362"/>
      <c r="PRN92" s="362"/>
      <c r="PRO92" s="362"/>
      <c r="PRP92" s="362"/>
      <c r="PRQ92" s="362"/>
      <c r="PRR92" s="362"/>
      <c r="PRS92" s="362"/>
      <c r="PRT92" s="362"/>
      <c r="PRU92" s="362"/>
      <c r="PRV92" s="362"/>
      <c r="PRW92" s="362"/>
      <c r="PRX92" s="362"/>
      <c r="PRY92" s="362"/>
      <c r="PRZ92" s="362"/>
      <c r="PSA92" s="362"/>
      <c r="PSB92" s="362"/>
      <c r="PSC92" s="362"/>
      <c r="PSD92" s="362"/>
      <c r="PSE92" s="362"/>
      <c r="PSF92" s="362"/>
      <c r="PSG92" s="362"/>
      <c r="PSH92" s="362"/>
      <c r="PSI92" s="362"/>
      <c r="PSJ92" s="362"/>
      <c r="PSK92" s="362"/>
      <c r="PSL92" s="362"/>
      <c r="PSM92" s="362"/>
      <c r="PSN92" s="362"/>
      <c r="PSO92" s="362"/>
      <c r="PSP92" s="362"/>
      <c r="PSQ92" s="362"/>
      <c r="PSR92" s="362"/>
      <c r="PSS92" s="362"/>
      <c r="PST92" s="362"/>
      <c r="PSU92" s="362"/>
      <c r="PSV92" s="362"/>
      <c r="PSW92" s="362"/>
      <c r="PSX92" s="362"/>
      <c r="PSY92" s="362"/>
      <c r="PSZ92" s="362"/>
      <c r="PTA92" s="362"/>
      <c r="PTB92" s="362"/>
      <c r="PTC92" s="362"/>
      <c r="PTD92" s="362"/>
      <c r="PTE92" s="362"/>
      <c r="PTF92" s="362"/>
      <c r="PTG92" s="362"/>
      <c r="PTH92" s="362"/>
      <c r="PTI92" s="362"/>
      <c r="PTJ92" s="362"/>
      <c r="PTK92" s="362"/>
      <c r="PTL92" s="362"/>
      <c r="PTM92" s="362"/>
      <c r="PTN92" s="362"/>
      <c r="PTO92" s="362"/>
      <c r="PTP92" s="362"/>
      <c r="PTQ92" s="362"/>
      <c r="PTR92" s="362"/>
      <c r="PTS92" s="362"/>
      <c r="PTT92" s="362"/>
      <c r="PTU92" s="362"/>
      <c r="PTV92" s="362"/>
      <c r="PTW92" s="362"/>
      <c r="PTX92" s="362"/>
      <c r="PTY92" s="362"/>
      <c r="PTZ92" s="362"/>
      <c r="PUA92" s="362"/>
      <c r="PUB92" s="362"/>
      <c r="PUC92" s="362"/>
      <c r="PUD92" s="362"/>
      <c r="PUE92" s="362"/>
      <c r="PUF92" s="362"/>
      <c r="PUG92" s="362"/>
      <c r="PUH92" s="362"/>
      <c r="PUI92" s="362"/>
      <c r="PUJ92" s="362"/>
      <c r="PUK92" s="362"/>
      <c r="PUL92" s="362"/>
      <c r="PUM92" s="362"/>
      <c r="PUN92" s="362"/>
      <c r="PUO92" s="362"/>
      <c r="PUP92" s="362"/>
      <c r="PUQ92" s="362"/>
      <c r="PUR92" s="362"/>
      <c r="PUS92" s="362"/>
      <c r="PUT92" s="362"/>
      <c r="PUU92" s="362"/>
      <c r="PUV92" s="362"/>
      <c r="PUW92" s="362"/>
      <c r="PUX92" s="362"/>
      <c r="PUY92" s="362"/>
      <c r="PUZ92" s="362"/>
      <c r="PVA92" s="362"/>
      <c r="PVB92" s="362"/>
      <c r="PVC92" s="362"/>
      <c r="PVD92" s="362"/>
      <c r="PVE92" s="362"/>
      <c r="PVF92" s="362"/>
      <c r="PVG92" s="362"/>
      <c r="PVH92" s="362"/>
      <c r="PVI92" s="362"/>
      <c r="PVJ92" s="362"/>
      <c r="PVK92" s="362"/>
      <c r="PVL92" s="362"/>
      <c r="PVM92" s="362"/>
      <c r="PVN92" s="362"/>
      <c r="PVO92" s="362"/>
      <c r="PVP92" s="362"/>
      <c r="PVQ92" s="362"/>
      <c r="PVR92" s="362"/>
      <c r="PVS92" s="362"/>
      <c r="PVT92" s="362"/>
      <c r="PVU92" s="362"/>
      <c r="PVV92" s="362"/>
      <c r="PVW92" s="362"/>
      <c r="PVX92" s="362"/>
      <c r="PVY92" s="362"/>
      <c r="PVZ92" s="362"/>
      <c r="PWA92" s="362"/>
      <c r="PWB92" s="362"/>
      <c r="PWC92" s="362"/>
      <c r="PWD92" s="362"/>
      <c r="PWE92" s="362"/>
      <c r="PWF92" s="362"/>
      <c r="PWG92" s="362"/>
      <c r="PWH92" s="362"/>
      <c r="PWI92" s="362"/>
      <c r="PWJ92" s="362"/>
      <c r="PWK92" s="362"/>
      <c r="PWL92" s="362"/>
      <c r="PWM92" s="362"/>
      <c r="PWN92" s="362"/>
      <c r="PWO92" s="362"/>
      <c r="PWP92" s="362"/>
      <c r="PWQ92" s="362"/>
      <c r="PWR92" s="362"/>
      <c r="PWS92" s="362"/>
      <c r="PWT92" s="362"/>
      <c r="PWU92" s="362"/>
      <c r="PWV92" s="362"/>
      <c r="PWW92" s="362"/>
      <c r="PWX92" s="362"/>
      <c r="PWY92" s="362"/>
      <c r="PWZ92" s="362"/>
      <c r="PXA92" s="362"/>
      <c r="PXB92" s="362"/>
      <c r="PXC92" s="362"/>
      <c r="PXD92" s="362"/>
      <c r="PXE92" s="362"/>
      <c r="PXF92" s="362"/>
      <c r="PXG92" s="362"/>
      <c r="PXH92" s="362"/>
      <c r="PXI92" s="362"/>
      <c r="PXJ92" s="362"/>
      <c r="PXK92" s="362"/>
      <c r="PXL92" s="362"/>
      <c r="PXM92" s="362"/>
      <c r="PXN92" s="362"/>
      <c r="PXO92" s="362"/>
      <c r="PXP92" s="362"/>
      <c r="PXQ92" s="362"/>
      <c r="PXR92" s="362"/>
      <c r="PXS92" s="362"/>
      <c r="PXT92" s="362"/>
      <c r="PXU92" s="362"/>
      <c r="PXV92" s="362"/>
      <c r="PXW92" s="362"/>
      <c r="PXX92" s="362"/>
      <c r="PXY92" s="362"/>
      <c r="PXZ92" s="362"/>
      <c r="PYA92" s="362"/>
      <c r="PYB92" s="362"/>
      <c r="PYC92" s="362"/>
      <c r="PYD92" s="362"/>
      <c r="PYE92" s="362"/>
      <c r="PYF92" s="362"/>
      <c r="PYG92" s="362"/>
      <c r="PYH92" s="362"/>
      <c r="PYI92" s="362"/>
      <c r="PYJ92" s="362"/>
      <c r="PYK92" s="362"/>
      <c r="PYL92" s="362"/>
      <c r="PYM92" s="362"/>
      <c r="PYN92" s="362"/>
      <c r="PYO92" s="362"/>
      <c r="PYP92" s="362"/>
      <c r="PYQ92" s="362"/>
      <c r="PYR92" s="362"/>
      <c r="PYS92" s="362"/>
      <c r="PYT92" s="362"/>
      <c r="PYU92" s="362"/>
      <c r="PYV92" s="362"/>
      <c r="PYW92" s="362"/>
      <c r="PYX92" s="362"/>
      <c r="PYY92" s="362"/>
      <c r="PYZ92" s="362"/>
      <c r="PZA92" s="362"/>
      <c r="PZB92" s="362"/>
      <c r="PZC92" s="362"/>
      <c r="PZD92" s="362"/>
      <c r="PZE92" s="362"/>
      <c r="PZF92" s="362"/>
      <c r="PZG92" s="362"/>
      <c r="PZH92" s="362"/>
      <c r="PZI92" s="362"/>
      <c r="PZJ92" s="362"/>
      <c r="PZK92" s="362"/>
      <c r="PZL92" s="362"/>
      <c r="PZM92" s="362"/>
      <c r="PZN92" s="362"/>
      <c r="PZO92" s="362"/>
      <c r="PZP92" s="362"/>
      <c r="PZQ92" s="362"/>
      <c r="PZR92" s="362"/>
      <c r="PZS92" s="362"/>
      <c r="PZT92" s="362"/>
      <c r="PZU92" s="362"/>
      <c r="PZV92" s="362"/>
      <c r="PZW92" s="362"/>
      <c r="PZX92" s="362"/>
      <c r="PZY92" s="362"/>
      <c r="PZZ92" s="362"/>
      <c r="QAA92" s="362"/>
      <c r="QAB92" s="362"/>
      <c r="QAC92" s="362"/>
      <c r="QAD92" s="362"/>
      <c r="QAE92" s="362"/>
      <c r="QAF92" s="362"/>
      <c r="QAG92" s="362"/>
      <c r="QAH92" s="362"/>
      <c r="QAI92" s="362"/>
      <c r="QAJ92" s="362"/>
      <c r="QAK92" s="362"/>
      <c r="QAL92" s="362"/>
      <c r="QAM92" s="362"/>
      <c r="QAN92" s="362"/>
      <c r="QAO92" s="362"/>
      <c r="QAP92" s="362"/>
      <c r="QAQ92" s="362"/>
      <c r="QAR92" s="362"/>
      <c r="QAS92" s="362"/>
      <c r="QAT92" s="362"/>
      <c r="QAU92" s="362"/>
      <c r="QAV92" s="362"/>
      <c r="QAW92" s="362"/>
      <c r="QAX92" s="362"/>
      <c r="QAY92" s="362"/>
      <c r="QAZ92" s="362"/>
      <c r="QBA92" s="362"/>
      <c r="QBB92" s="362"/>
      <c r="QBC92" s="362"/>
      <c r="QBD92" s="362"/>
      <c r="QBE92" s="362"/>
      <c r="QBF92" s="362"/>
      <c r="QBG92" s="362"/>
      <c r="QBH92" s="362"/>
      <c r="QBI92" s="362"/>
      <c r="QBJ92" s="362"/>
      <c r="QBK92" s="362"/>
      <c r="QBL92" s="362"/>
      <c r="QBM92" s="362"/>
      <c r="QBN92" s="362"/>
      <c r="QBO92" s="362"/>
      <c r="QBP92" s="362"/>
      <c r="QBQ92" s="362"/>
      <c r="QBR92" s="362"/>
      <c r="QBS92" s="362"/>
      <c r="QBT92" s="362"/>
      <c r="QBU92" s="362"/>
      <c r="QBV92" s="362"/>
      <c r="QBW92" s="362"/>
      <c r="QBX92" s="362"/>
      <c r="QBY92" s="362"/>
      <c r="QBZ92" s="362"/>
      <c r="QCA92" s="362"/>
      <c r="QCB92" s="362"/>
      <c r="QCC92" s="362"/>
      <c r="QCD92" s="362"/>
      <c r="QCE92" s="362"/>
      <c r="QCF92" s="362"/>
      <c r="QCG92" s="362"/>
      <c r="QCH92" s="362"/>
      <c r="QCI92" s="362"/>
      <c r="QCJ92" s="362"/>
      <c r="QCK92" s="362"/>
      <c r="QCL92" s="362"/>
      <c r="QCM92" s="362"/>
      <c r="QCN92" s="362"/>
      <c r="QCO92" s="362"/>
      <c r="QCP92" s="362"/>
      <c r="QCQ92" s="362"/>
      <c r="QCR92" s="362"/>
      <c r="QCS92" s="362"/>
      <c r="QCT92" s="362"/>
      <c r="QCU92" s="362"/>
      <c r="QCV92" s="362"/>
      <c r="QCW92" s="362"/>
      <c r="QCX92" s="362"/>
      <c r="QCY92" s="362"/>
      <c r="QCZ92" s="362"/>
      <c r="QDA92" s="362"/>
      <c r="QDB92" s="362"/>
      <c r="QDC92" s="362"/>
      <c r="QDD92" s="362"/>
      <c r="QDE92" s="362"/>
      <c r="QDF92" s="362"/>
      <c r="QDG92" s="362"/>
      <c r="QDH92" s="362"/>
      <c r="QDI92" s="362"/>
      <c r="QDJ92" s="362"/>
      <c r="QDK92" s="362"/>
      <c r="QDL92" s="362"/>
      <c r="QDM92" s="362"/>
      <c r="QDN92" s="362"/>
      <c r="QDO92" s="362"/>
      <c r="QDP92" s="362"/>
      <c r="QDQ92" s="362"/>
      <c r="QDR92" s="362"/>
      <c r="QDS92" s="362"/>
      <c r="QDT92" s="362"/>
      <c r="QDU92" s="362"/>
      <c r="QDV92" s="362"/>
      <c r="QDW92" s="362"/>
      <c r="QDX92" s="362"/>
      <c r="QDY92" s="362"/>
      <c r="QDZ92" s="362"/>
      <c r="QEA92" s="362"/>
      <c r="QEB92" s="362"/>
      <c r="QEC92" s="362"/>
      <c r="QED92" s="362"/>
      <c r="QEE92" s="362"/>
      <c r="QEF92" s="362"/>
      <c r="QEG92" s="362"/>
      <c r="QEH92" s="362"/>
      <c r="QEI92" s="362"/>
      <c r="QEJ92" s="362"/>
      <c r="QEK92" s="362"/>
      <c r="QEL92" s="362"/>
      <c r="QEM92" s="362"/>
      <c r="QEN92" s="362"/>
      <c r="QEO92" s="362"/>
      <c r="QEP92" s="362"/>
      <c r="QEQ92" s="362"/>
      <c r="QER92" s="362"/>
      <c r="QES92" s="362"/>
      <c r="QET92" s="362"/>
      <c r="QEU92" s="362"/>
      <c r="QEV92" s="362"/>
      <c r="QEW92" s="362"/>
      <c r="QEX92" s="362"/>
      <c r="QEY92" s="362"/>
      <c r="QEZ92" s="362"/>
      <c r="QFA92" s="362"/>
      <c r="QFB92" s="362"/>
      <c r="QFC92" s="362"/>
      <c r="QFD92" s="362"/>
      <c r="QFE92" s="362"/>
      <c r="QFF92" s="362"/>
      <c r="QFG92" s="362"/>
      <c r="QFH92" s="362"/>
      <c r="QFI92" s="362"/>
      <c r="QFJ92" s="362"/>
      <c r="QFK92" s="362"/>
      <c r="QFL92" s="362"/>
      <c r="QFM92" s="362"/>
      <c r="QFN92" s="362"/>
      <c r="QFO92" s="362"/>
      <c r="QFP92" s="362"/>
      <c r="QFQ92" s="362"/>
      <c r="QFR92" s="362"/>
      <c r="QFS92" s="362"/>
      <c r="QFT92" s="362"/>
      <c r="QFU92" s="362"/>
      <c r="QFV92" s="362"/>
      <c r="QFW92" s="362"/>
      <c r="QFX92" s="362"/>
      <c r="QFY92" s="362"/>
      <c r="QFZ92" s="362"/>
      <c r="QGA92" s="362"/>
      <c r="QGB92" s="362"/>
      <c r="QGC92" s="362"/>
      <c r="QGD92" s="362"/>
      <c r="QGE92" s="362"/>
      <c r="QGF92" s="362"/>
      <c r="QGG92" s="362"/>
      <c r="QGH92" s="362"/>
      <c r="QGI92" s="362"/>
      <c r="QGJ92" s="362"/>
      <c r="QGK92" s="362"/>
      <c r="QGL92" s="362"/>
      <c r="QGM92" s="362"/>
      <c r="QGN92" s="362"/>
      <c r="QGO92" s="362"/>
      <c r="QGP92" s="362"/>
      <c r="QGQ92" s="362"/>
      <c r="QGR92" s="362"/>
      <c r="QGS92" s="362"/>
      <c r="QGT92" s="362"/>
      <c r="QGU92" s="362"/>
      <c r="QGV92" s="362"/>
      <c r="QGW92" s="362"/>
      <c r="QGX92" s="362"/>
      <c r="QGY92" s="362"/>
      <c r="QGZ92" s="362"/>
      <c r="QHA92" s="362"/>
      <c r="QHB92" s="362"/>
      <c r="QHC92" s="362"/>
      <c r="QHD92" s="362"/>
      <c r="QHE92" s="362"/>
      <c r="QHF92" s="362"/>
      <c r="QHG92" s="362"/>
      <c r="QHH92" s="362"/>
      <c r="QHI92" s="362"/>
      <c r="QHJ92" s="362"/>
      <c r="QHK92" s="362"/>
      <c r="QHL92" s="362"/>
      <c r="QHM92" s="362"/>
      <c r="QHN92" s="362"/>
      <c r="QHO92" s="362"/>
      <c r="QHP92" s="362"/>
      <c r="QHQ92" s="362"/>
      <c r="QHR92" s="362"/>
      <c r="QHS92" s="362"/>
      <c r="QHT92" s="362"/>
      <c r="QHU92" s="362"/>
      <c r="QHV92" s="362"/>
      <c r="QHW92" s="362"/>
      <c r="QHX92" s="362"/>
      <c r="QHY92" s="362"/>
      <c r="QHZ92" s="362"/>
      <c r="QIA92" s="362"/>
      <c r="QIB92" s="362"/>
      <c r="QIC92" s="362"/>
      <c r="QID92" s="362"/>
      <c r="QIE92" s="362"/>
      <c r="QIF92" s="362"/>
      <c r="QIG92" s="362"/>
      <c r="QIH92" s="362"/>
      <c r="QII92" s="362"/>
      <c r="QIJ92" s="362"/>
      <c r="QIK92" s="362"/>
      <c r="QIL92" s="362"/>
      <c r="QIM92" s="362"/>
      <c r="QIN92" s="362"/>
      <c r="QIO92" s="362"/>
      <c r="QIP92" s="362"/>
      <c r="QIQ92" s="362"/>
      <c r="QIR92" s="362"/>
      <c r="QIS92" s="362"/>
      <c r="QIT92" s="362"/>
      <c r="QIU92" s="362"/>
      <c r="QIV92" s="362"/>
      <c r="QIW92" s="362"/>
      <c r="QIX92" s="362"/>
      <c r="QIY92" s="362"/>
      <c r="QIZ92" s="362"/>
      <c r="QJA92" s="362"/>
      <c r="QJB92" s="362"/>
      <c r="QJC92" s="362"/>
      <c r="QJD92" s="362"/>
      <c r="QJE92" s="362"/>
      <c r="QJF92" s="362"/>
      <c r="QJG92" s="362"/>
      <c r="QJH92" s="362"/>
      <c r="QJI92" s="362"/>
      <c r="QJJ92" s="362"/>
      <c r="QJK92" s="362"/>
      <c r="QJL92" s="362"/>
      <c r="QJM92" s="362"/>
      <c r="QJN92" s="362"/>
      <c r="QJO92" s="362"/>
      <c r="QJP92" s="362"/>
      <c r="QJQ92" s="362"/>
      <c r="QJR92" s="362"/>
      <c r="QJS92" s="362"/>
      <c r="QJT92" s="362"/>
      <c r="QJU92" s="362"/>
      <c r="QJV92" s="362"/>
      <c r="QJW92" s="362"/>
      <c r="QJX92" s="362"/>
      <c r="QJY92" s="362"/>
      <c r="QJZ92" s="362"/>
      <c r="QKA92" s="362"/>
      <c r="QKB92" s="362"/>
      <c r="QKC92" s="362"/>
      <c r="QKD92" s="362"/>
      <c r="QKE92" s="362"/>
      <c r="QKF92" s="362"/>
      <c r="QKG92" s="362"/>
      <c r="QKH92" s="362"/>
      <c r="QKI92" s="362"/>
      <c r="QKJ92" s="362"/>
      <c r="QKK92" s="362"/>
      <c r="QKL92" s="362"/>
      <c r="QKM92" s="362"/>
      <c r="QKN92" s="362"/>
      <c r="QKO92" s="362"/>
      <c r="QKP92" s="362"/>
      <c r="QKQ92" s="362"/>
      <c r="QKR92" s="362"/>
      <c r="QKS92" s="362"/>
      <c r="QKT92" s="362"/>
      <c r="QKU92" s="362"/>
      <c r="QKV92" s="362"/>
      <c r="QKW92" s="362"/>
      <c r="QKX92" s="362"/>
      <c r="QKY92" s="362"/>
      <c r="QKZ92" s="362"/>
      <c r="QLA92" s="362"/>
      <c r="QLB92" s="362"/>
      <c r="QLC92" s="362"/>
      <c r="QLD92" s="362"/>
      <c r="QLE92" s="362"/>
      <c r="QLF92" s="362"/>
      <c r="QLG92" s="362"/>
      <c r="QLH92" s="362"/>
      <c r="QLI92" s="362"/>
      <c r="QLJ92" s="362"/>
      <c r="QLK92" s="362"/>
      <c r="QLL92" s="362"/>
      <c r="QLM92" s="362"/>
      <c r="QLN92" s="362"/>
      <c r="QLO92" s="362"/>
      <c r="QLP92" s="362"/>
      <c r="QLQ92" s="362"/>
      <c r="QLR92" s="362"/>
      <c r="QLS92" s="362"/>
      <c r="QLT92" s="362"/>
      <c r="QLU92" s="362"/>
      <c r="QLV92" s="362"/>
      <c r="QLW92" s="362"/>
      <c r="QLX92" s="362"/>
      <c r="QLY92" s="362"/>
      <c r="QLZ92" s="362"/>
      <c r="QMA92" s="362"/>
      <c r="QMB92" s="362"/>
      <c r="QMC92" s="362"/>
      <c r="QMD92" s="362"/>
      <c r="QME92" s="362"/>
      <c r="QMF92" s="362"/>
      <c r="QMG92" s="362"/>
      <c r="QMH92" s="362"/>
      <c r="QMI92" s="362"/>
      <c r="QMJ92" s="362"/>
      <c r="QMK92" s="362"/>
      <c r="QML92" s="362"/>
      <c r="QMM92" s="362"/>
      <c r="QMN92" s="362"/>
      <c r="QMO92" s="362"/>
      <c r="QMP92" s="362"/>
      <c r="QMQ92" s="362"/>
      <c r="QMR92" s="362"/>
      <c r="QMS92" s="362"/>
      <c r="QMT92" s="362"/>
      <c r="QMU92" s="362"/>
      <c r="QMV92" s="362"/>
      <c r="QMW92" s="362"/>
      <c r="QMX92" s="362"/>
      <c r="QMY92" s="362"/>
      <c r="QMZ92" s="362"/>
      <c r="QNA92" s="362"/>
      <c r="QNB92" s="362"/>
      <c r="QNC92" s="362"/>
      <c r="QND92" s="362"/>
      <c r="QNE92" s="362"/>
      <c r="QNF92" s="362"/>
      <c r="QNG92" s="362"/>
      <c r="QNH92" s="362"/>
      <c r="QNI92" s="362"/>
      <c r="QNJ92" s="362"/>
      <c r="QNK92" s="362"/>
      <c r="QNL92" s="362"/>
      <c r="QNM92" s="362"/>
      <c r="QNN92" s="362"/>
      <c r="QNO92" s="362"/>
      <c r="QNP92" s="362"/>
      <c r="QNQ92" s="362"/>
      <c r="QNR92" s="362"/>
      <c r="QNS92" s="362"/>
      <c r="QNT92" s="362"/>
      <c r="QNU92" s="362"/>
      <c r="QNV92" s="362"/>
      <c r="QNW92" s="362"/>
      <c r="QNX92" s="362"/>
      <c r="QNY92" s="362"/>
      <c r="QNZ92" s="362"/>
      <c r="QOA92" s="362"/>
      <c r="QOB92" s="362"/>
      <c r="QOC92" s="362"/>
      <c r="QOD92" s="362"/>
      <c r="QOE92" s="362"/>
      <c r="QOF92" s="362"/>
      <c r="QOG92" s="362"/>
      <c r="QOH92" s="362"/>
      <c r="QOI92" s="362"/>
      <c r="QOJ92" s="362"/>
      <c r="QOK92" s="362"/>
      <c r="QOL92" s="362"/>
      <c r="QOM92" s="362"/>
      <c r="QON92" s="362"/>
      <c r="QOO92" s="362"/>
      <c r="QOP92" s="362"/>
      <c r="QOQ92" s="362"/>
      <c r="QOR92" s="362"/>
      <c r="QOS92" s="362"/>
      <c r="QOT92" s="362"/>
      <c r="QOU92" s="362"/>
      <c r="QOV92" s="362"/>
      <c r="QOW92" s="362"/>
      <c r="QOX92" s="362"/>
      <c r="QOY92" s="362"/>
      <c r="QOZ92" s="362"/>
      <c r="QPA92" s="362"/>
      <c r="QPB92" s="362"/>
      <c r="QPC92" s="362"/>
      <c r="QPD92" s="362"/>
      <c r="QPE92" s="362"/>
      <c r="QPF92" s="362"/>
      <c r="QPG92" s="362"/>
      <c r="QPH92" s="362"/>
      <c r="QPI92" s="362"/>
      <c r="QPJ92" s="362"/>
      <c r="QPK92" s="362"/>
      <c r="QPL92" s="362"/>
      <c r="QPM92" s="362"/>
      <c r="QPN92" s="362"/>
      <c r="QPO92" s="362"/>
      <c r="QPP92" s="362"/>
      <c r="QPQ92" s="362"/>
      <c r="QPR92" s="362"/>
      <c r="QPS92" s="362"/>
      <c r="QPT92" s="362"/>
      <c r="QPU92" s="362"/>
      <c r="QPV92" s="362"/>
      <c r="QPW92" s="362"/>
      <c r="QPX92" s="362"/>
      <c r="QPY92" s="362"/>
      <c r="QPZ92" s="362"/>
      <c r="QQA92" s="362"/>
      <c r="QQB92" s="362"/>
      <c r="QQC92" s="362"/>
      <c r="QQD92" s="362"/>
      <c r="QQE92" s="362"/>
      <c r="QQF92" s="362"/>
      <c r="QQG92" s="362"/>
      <c r="QQH92" s="362"/>
      <c r="QQI92" s="362"/>
      <c r="QQJ92" s="362"/>
      <c r="QQK92" s="362"/>
      <c r="QQL92" s="362"/>
      <c r="QQM92" s="362"/>
      <c r="QQN92" s="362"/>
      <c r="QQO92" s="362"/>
      <c r="QQP92" s="362"/>
      <c r="QQQ92" s="362"/>
      <c r="QQR92" s="362"/>
      <c r="QQS92" s="362"/>
      <c r="QQT92" s="362"/>
      <c r="QQU92" s="362"/>
      <c r="QQV92" s="362"/>
      <c r="QQW92" s="362"/>
      <c r="QQX92" s="362"/>
      <c r="QQY92" s="362"/>
      <c r="QQZ92" s="362"/>
      <c r="QRA92" s="362"/>
      <c r="QRB92" s="362"/>
      <c r="QRC92" s="362"/>
      <c r="QRD92" s="362"/>
      <c r="QRE92" s="362"/>
      <c r="QRF92" s="362"/>
      <c r="QRG92" s="362"/>
      <c r="QRH92" s="362"/>
      <c r="QRI92" s="362"/>
      <c r="QRJ92" s="362"/>
      <c r="QRK92" s="362"/>
      <c r="QRL92" s="362"/>
      <c r="QRM92" s="362"/>
      <c r="QRN92" s="362"/>
      <c r="QRO92" s="362"/>
      <c r="QRP92" s="362"/>
      <c r="QRQ92" s="362"/>
      <c r="QRR92" s="362"/>
      <c r="QRS92" s="362"/>
      <c r="QRT92" s="362"/>
      <c r="QRU92" s="362"/>
      <c r="QRV92" s="362"/>
      <c r="QRW92" s="362"/>
      <c r="QRX92" s="362"/>
      <c r="QRY92" s="362"/>
      <c r="QRZ92" s="362"/>
      <c r="QSA92" s="362"/>
      <c r="QSB92" s="362"/>
      <c r="QSC92" s="362"/>
      <c r="QSD92" s="362"/>
      <c r="QSE92" s="362"/>
      <c r="QSF92" s="362"/>
      <c r="QSG92" s="362"/>
      <c r="QSH92" s="362"/>
      <c r="QSI92" s="362"/>
      <c r="QSJ92" s="362"/>
      <c r="QSK92" s="362"/>
      <c r="QSL92" s="362"/>
      <c r="QSM92" s="362"/>
      <c r="QSN92" s="362"/>
      <c r="QSO92" s="362"/>
      <c r="QSP92" s="362"/>
      <c r="QSQ92" s="362"/>
      <c r="QSR92" s="362"/>
      <c r="QSS92" s="362"/>
      <c r="QST92" s="362"/>
      <c r="QSU92" s="362"/>
      <c r="QSV92" s="362"/>
      <c r="QSW92" s="362"/>
      <c r="QSX92" s="362"/>
      <c r="QSY92" s="362"/>
      <c r="QSZ92" s="362"/>
      <c r="QTA92" s="362"/>
      <c r="QTB92" s="362"/>
      <c r="QTC92" s="362"/>
      <c r="QTD92" s="362"/>
      <c r="QTE92" s="362"/>
      <c r="QTF92" s="362"/>
      <c r="QTG92" s="362"/>
      <c r="QTH92" s="362"/>
      <c r="QTI92" s="362"/>
      <c r="QTJ92" s="362"/>
      <c r="QTK92" s="362"/>
      <c r="QTL92" s="362"/>
      <c r="QTM92" s="362"/>
      <c r="QTN92" s="362"/>
      <c r="QTO92" s="362"/>
      <c r="QTP92" s="362"/>
      <c r="QTQ92" s="362"/>
      <c r="QTR92" s="362"/>
      <c r="QTS92" s="362"/>
      <c r="QTT92" s="362"/>
      <c r="QTU92" s="362"/>
      <c r="QTV92" s="362"/>
      <c r="QTW92" s="362"/>
      <c r="QTX92" s="362"/>
      <c r="QTY92" s="362"/>
      <c r="QTZ92" s="362"/>
      <c r="QUA92" s="362"/>
      <c r="QUB92" s="362"/>
      <c r="QUC92" s="362"/>
      <c r="QUD92" s="362"/>
      <c r="QUE92" s="362"/>
      <c r="QUF92" s="362"/>
      <c r="QUG92" s="362"/>
      <c r="QUH92" s="362"/>
      <c r="QUI92" s="362"/>
      <c r="QUJ92" s="362"/>
      <c r="QUK92" s="362"/>
      <c r="QUL92" s="362"/>
      <c r="QUM92" s="362"/>
      <c r="QUN92" s="362"/>
      <c r="QUO92" s="362"/>
      <c r="QUP92" s="362"/>
      <c r="QUQ92" s="362"/>
      <c r="QUR92" s="362"/>
      <c r="QUS92" s="362"/>
      <c r="QUT92" s="362"/>
      <c r="QUU92" s="362"/>
      <c r="QUV92" s="362"/>
      <c r="QUW92" s="362"/>
      <c r="QUX92" s="362"/>
      <c r="QUY92" s="362"/>
      <c r="QUZ92" s="362"/>
      <c r="QVA92" s="362"/>
      <c r="QVB92" s="362"/>
      <c r="QVC92" s="362"/>
      <c r="QVD92" s="362"/>
      <c r="QVE92" s="362"/>
      <c r="QVF92" s="362"/>
      <c r="QVG92" s="362"/>
      <c r="QVH92" s="362"/>
      <c r="QVI92" s="362"/>
      <c r="QVJ92" s="362"/>
      <c r="QVK92" s="362"/>
      <c r="QVL92" s="362"/>
      <c r="QVM92" s="362"/>
      <c r="QVN92" s="362"/>
      <c r="QVO92" s="362"/>
      <c r="QVP92" s="362"/>
      <c r="QVQ92" s="362"/>
      <c r="QVR92" s="362"/>
      <c r="QVS92" s="362"/>
      <c r="QVT92" s="362"/>
      <c r="QVU92" s="362"/>
      <c r="QVV92" s="362"/>
      <c r="QVW92" s="362"/>
      <c r="QVX92" s="362"/>
      <c r="QVY92" s="362"/>
      <c r="QVZ92" s="362"/>
      <c r="QWA92" s="362"/>
      <c r="QWB92" s="362"/>
      <c r="QWC92" s="362"/>
      <c r="QWD92" s="362"/>
      <c r="QWE92" s="362"/>
      <c r="QWF92" s="362"/>
      <c r="QWG92" s="362"/>
      <c r="QWH92" s="362"/>
      <c r="QWI92" s="362"/>
      <c r="QWJ92" s="362"/>
      <c r="QWK92" s="362"/>
      <c r="QWL92" s="362"/>
      <c r="QWM92" s="362"/>
      <c r="QWN92" s="362"/>
      <c r="QWO92" s="362"/>
      <c r="QWP92" s="362"/>
      <c r="QWQ92" s="362"/>
      <c r="QWR92" s="362"/>
      <c r="QWS92" s="362"/>
      <c r="QWT92" s="362"/>
      <c r="QWU92" s="362"/>
      <c r="QWV92" s="362"/>
      <c r="QWW92" s="362"/>
      <c r="QWX92" s="362"/>
      <c r="QWY92" s="362"/>
      <c r="QWZ92" s="362"/>
      <c r="QXA92" s="362"/>
      <c r="QXB92" s="362"/>
      <c r="QXC92" s="362"/>
      <c r="QXD92" s="362"/>
      <c r="QXE92" s="362"/>
      <c r="QXF92" s="362"/>
      <c r="QXG92" s="362"/>
      <c r="QXH92" s="362"/>
      <c r="QXI92" s="362"/>
      <c r="QXJ92" s="362"/>
      <c r="QXK92" s="362"/>
      <c r="QXL92" s="362"/>
      <c r="QXM92" s="362"/>
      <c r="QXN92" s="362"/>
      <c r="QXO92" s="362"/>
      <c r="QXP92" s="362"/>
      <c r="QXQ92" s="362"/>
      <c r="QXR92" s="362"/>
      <c r="QXS92" s="362"/>
      <c r="QXT92" s="362"/>
      <c r="QXU92" s="362"/>
      <c r="QXV92" s="362"/>
      <c r="QXW92" s="362"/>
      <c r="QXX92" s="362"/>
      <c r="QXY92" s="362"/>
      <c r="QXZ92" s="362"/>
      <c r="QYA92" s="362"/>
      <c r="QYB92" s="362"/>
      <c r="QYC92" s="362"/>
      <c r="QYD92" s="362"/>
      <c r="QYE92" s="362"/>
      <c r="QYF92" s="362"/>
      <c r="QYG92" s="362"/>
      <c r="QYH92" s="362"/>
      <c r="QYI92" s="362"/>
      <c r="QYJ92" s="362"/>
      <c r="QYK92" s="362"/>
      <c r="QYL92" s="362"/>
      <c r="QYM92" s="362"/>
      <c r="QYN92" s="362"/>
      <c r="QYO92" s="362"/>
      <c r="QYP92" s="362"/>
      <c r="QYQ92" s="362"/>
      <c r="QYR92" s="362"/>
      <c r="QYS92" s="362"/>
      <c r="QYT92" s="362"/>
      <c r="QYU92" s="362"/>
      <c r="QYV92" s="362"/>
      <c r="QYW92" s="362"/>
      <c r="QYX92" s="362"/>
      <c r="QYY92" s="362"/>
      <c r="QYZ92" s="362"/>
      <c r="QZA92" s="362"/>
      <c r="QZB92" s="362"/>
      <c r="QZC92" s="362"/>
      <c r="QZD92" s="362"/>
      <c r="QZE92" s="362"/>
      <c r="QZF92" s="362"/>
      <c r="QZG92" s="362"/>
      <c r="QZH92" s="362"/>
      <c r="QZI92" s="362"/>
      <c r="QZJ92" s="362"/>
      <c r="QZK92" s="362"/>
      <c r="QZL92" s="362"/>
      <c r="QZM92" s="362"/>
      <c r="QZN92" s="362"/>
      <c r="QZO92" s="362"/>
      <c r="QZP92" s="362"/>
      <c r="QZQ92" s="362"/>
      <c r="QZR92" s="362"/>
      <c r="QZS92" s="362"/>
      <c r="QZT92" s="362"/>
      <c r="QZU92" s="362"/>
      <c r="QZV92" s="362"/>
      <c r="QZW92" s="362"/>
      <c r="QZX92" s="362"/>
      <c r="QZY92" s="362"/>
      <c r="QZZ92" s="362"/>
      <c r="RAA92" s="362"/>
      <c r="RAB92" s="362"/>
      <c r="RAC92" s="362"/>
      <c r="RAD92" s="362"/>
      <c r="RAE92" s="362"/>
      <c r="RAF92" s="362"/>
      <c r="RAG92" s="362"/>
      <c r="RAH92" s="362"/>
      <c r="RAI92" s="362"/>
      <c r="RAJ92" s="362"/>
      <c r="RAK92" s="362"/>
      <c r="RAL92" s="362"/>
      <c r="RAM92" s="362"/>
      <c r="RAN92" s="362"/>
      <c r="RAO92" s="362"/>
      <c r="RAP92" s="362"/>
      <c r="RAQ92" s="362"/>
      <c r="RAR92" s="362"/>
      <c r="RAS92" s="362"/>
      <c r="RAT92" s="362"/>
      <c r="RAU92" s="362"/>
      <c r="RAV92" s="362"/>
      <c r="RAW92" s="362"/>
      <c r="RAX92" s="362"/>
      <c r="RAY92" s="362"/>
      <c r="RAZ92" s="362"/>
      <c r="RBA92" s="362"/>
      <c r="RBB92" s="362"/>
      <c r="RBC92" s="362"/>
      <c r="RBD92" s="362"/>
      <c r="RBE92" s="362"/>
      <c r="RBF92" s="362"/>
      <c r="RBG92" s="362"/>
      <c r="RBH92" s="362"/>
      <c r="RBI92" s="362"/>
      <c r="RBJ92" s="362"/>
      <c r="RBK92" s="362"/>
      <c r="RBL92" s="362"/>
      <c r="RBM92" s="362"/>
      <c r="RBN92" s="362"/>
      <c r="RBO92" s="362"/>
      <c r="RBP92" s="362"/>
      <c r="RBQ92" s="362"/>
      <c r="RBR92" s="362"/>
      <c r="RBS92" s="362"/>
      <c r="RBT92" s="362"/>
      <c r="RBU92" s="362"/>
      <c r="RBV92" s="362"/>
      <c r="RBW92" s="362"/>
      <c r="RBX92" s="362"/>
      <c r="RBY92" s="362"/>
      <c r="RBZ92" s="362"/>
      <c r="RCA92" s="362"/>
      <c r="RCB92" s="362"/>
      <c r="RCC92" s="362"/>
      <c r="RCD92" s="362"/>
      <c r="RCE92" s="362"/>
      <c r="RCF92" s="362"/>
      <c r="RCG92" s="362"/>
      <c r="RCH92" s="362"/>
      <c r="RCI92" s="362"/>
      <c r="RCJ92" s="362"/>
      <c r="RCK92" s="362"/>
      <c r="RCL92" s="362"/>
      <c r="RCM92" s="362"/>
      <c r="RCN92" s="362"/>
      <c r="RCO92" s="362"/>
      <c r="RCP92" s="362"/>
      <c r="RCQ92" s="362"/>
      <c r="RCR92" s="362"/>
      <c r="RCS92" s="362"/>
      <c r="RCT92" s="362"/>
      <c r="RCU92" s="362"/>
      <c r="RCV92" s="362"/>
      <c r="RCW92" s="362"/>
      <c r="RCX92" s="362"/>
      <c r="RCY92" s="362"/>
      <c r="RCZ92" s="362"/>
      <c r="RDA92" s="362"/>
      <c r="RDB92" s="362"/>
      <c r="RDC92" s="362"/>
      <c r="RDD92" s="362"/>
      <c r="RDE92" s="362"/>
      <c r="RDF92" s="362"/>
      <c r="RDG92" s="362"/>
      <c r="RDH92" s="362"/>
      <c r="RDI92" s="362"/>
      <c r="RDJ92" s="362"/>
      <c r="RDK92" s="362"/>
      <c r="RDL92" s="362"/>
      <c r="RDM92" s="362"/>
      <c r="RDN92" s="362"/>
      <c r="RDO92" s="362"/>
      <c r="RDP92" s="362"/>
      <c r="RDQ92" s="362"/>
      <c r="RDR92" s="362"/>
      <c r="RDS92" s="362"/>
      <c r="RDT92" s="362"/>
      <c r="RDU92" s="362"/>
      <c r="RDV92" s="362"/>
      <c r="RDW92" s="362"/>
      <c r="RDX92" s="362"/>
      <c r="RDY92" s="362"/>
      <c r="RDZ92" s="362"/>
      <c r="REA92" s="362"/>
      <c r="REB92" s="362"/>
      <c r="REC92" s="362"/>
      <c r="RED92" s="362"/>
      <c r="REE92" s="362"/>
      <c r="REF92" s="362"/>
      <c r="REG92" s="362"/>
      <c r="REH92" s="362"/>
      <c r="REI92" s="362"/>
      <c r="REJ92" s="362"/>
      <c r="REK92" s="362"/>
      <c r="REL92" s="362"/>
      <c r="REM92" s="362"/>
      <c r="REN92" s="362"/>
      <c r="REO92" s="362"/>
      <c r="REP92" s="362"/>
      <c r="REQ92" s="362"/>
      <c r="RER92" s="362"/>
      <c r="RES92" s="362"/>
      <c r="RET92" s="362"/>
      <c r="REU92" s="362"/>
      <c r="REV92" s="362"/>
      <c r="REW92" s="362"/>
      <c r="REX92" s="362"/>
      <c r="REY92" s="362"/>
      <c r="REZ92" s="362"/>
      <c r="RFA92" s="362"/>
      <c r="RFB92" s="362"/>
      <c r="RFC92" s="362"/>
      <c r="RFD92" s="362"/>
      <c r="RFE92" s="362"/>
      <c r="RFF92" s="362"/>
      <c r="RFG92" s="362"/>
      <c r="RFH92" s="362"/>
      <c r="RFI92" s="362"/>
      <c r="RFJ92" s="362"/>
      <c r="RFK92" s="362"/>
      <c r="RFL92" s="362"/>
      <c r="RFM92" s="362"/>
      <c r="RFN92" s="362"/>
      <c r="RFO92" s="362"/>
      <c r="RFP92" s="362"/>
      <c r="RFQ92" s="362"/>
      <c r="RFR92" s="362"/>
      <c r="RFS92" s="362"/>
      <c r="RFT92" s="362"/>
      <c r="RFU92" s="362"/>
      <c r="RFV92" s="362"/>
      <c r="RFW92" s="362"/>
      <c r="RFX92" s="362"/>
      <c r="RFY92" s="362"/>
      <c r="RFZ92" s="362"/>
      <c r="RGA92" s="362"/>
      <c r="RGB92" s="362"/>
      <c r="RGC92" s="362"/>
      <c r="RGD92" s="362"/>
      <c r="RGE92" s="362"/>
      <c r="RGF92" s="362"/>
      <c r="RGG92" s="362"/>
      <c r="RGH92" s="362"/>
      <c r="RGI92" s="362"/>
      <c r="RGJ92" s="362"/>
      <c r="RGK92" s="362"/>
      <c r="RGL92" s="362"/>
      <c r="RGM92" s="362"/>
      <c r="RGN92" s="362"/>
      <c r="RGO92" s="362"/>
      <c r="RGP92" s="362"/>
      <c r="RGQ92" s="362"/>
      <c r="RGR92" s="362"/>
      <c r="RGS92" s="362"/>
      <c r="RGT92" s="362"/>
      <c r="RGU92" s="362"/>
      <c r="RGV92" s="362"/>
      <c r="RGW92" s="362"/>
      <c r="RGX92" s="362"/>
      <c r="RGY92" s="362"/>
      <c r="RGZ92" s="362"/>
      <c r="RHA92" s="362"/>
      <c r="RHB92" s="362"/>
      <c r="RHC92" s="362"/>
      <c r="RHD92" s="362"/>
      <c r="RHE92" s="362"/>
      <c r="RHF92" s="362"/>
      <c r="RHG92" s="362"/>
      <c r="RHH92" s="362"/>
      <c r="RHI92" s="362"/>
      <c r="RHJ92" s="362"/>
      <c r="RHK92" s="362"/>
      <c r="RHL92" s="362"/>
      <c r="RHM92" s="362"/>
      <c r="RHN92" s="362"/>
      <c r="RHO92" s="362"/>
      <c r="RHP92" s="362"/>
      <c r="RHQ92" s="362"/>
      <c r="RHR92" s="362"/>
      <c r="RHS92" s="362"/>
      <c r="RHT92" s="362"/>
      <c r="RHU92" s="362"/>
      <c r="RHV92" s="362"/>
      <c r="RHW92" s="362"/>
      <c r="RHX92" s="362"/>
      <c r="RHY92" s="362"/>
      <c r="RHZ92" s="362"/>
      <c r="RIA92" s="362"/>
      <c r="RIB92" s="362"/>
      <c r="RIC92" s="362"/>
      <c r="RID92" s="362"/>
      <c r="RIE92" s="362"/>
      <c r="RIF92" s="362"/>
      <c r="RIG92" s="362"/>
      <c r="RIH92" s="362"/>
      <c r="RII92" s="362"/>
      <c r="RIJ92" s="362"/>
      <c r="RIK92" s="362"/>
      <c r="RIL92" s="362"/>
      <c r="RIM92" s="362"/>
      <c r="RIN92" s="362"/>
      <c r="RIO92" s="362"/>
      <c r="RIP92" s="362"/>
      <c r="RIQ92" s="362"/>
      <c r="RIR92" s="362"/>
      <c r="RIS92" s="362"/>
      <c r="RIT92" s="362"/>
      <c r="RIU92" s="362"/>
      <c r="RIV92" s="362"/>
      <c r="RIW92" s="362"/>
      <c r="RIX92" s="362"/>
      <c r="RIY92" s="362"/>
      <c r="RIZ92" s="362"/>
      <c r="RJA92" s="362"/>
      <c r="RJB92" s="362"/>
      <c r="RJC92" s="362"/>
      <c r="RJD92" s="362"/>
      <c r="RJE92" s="362"/>
      <c r="RJF92" s="362"/>
      <c r="RJG92" s="362"/>
      <c r="RJH92" s="362"/>
      <c r="RJI92" s="362"/>
      <c r="RJJ92" s="362"/>
      <c r="RJK92" s="362"/>
      <c r="RJL92" s="362"/>
      <c r="RJM92" s="362"/>
      <c r="RJN92" s="362"/>
      <c r="RJO92" s="362"/>
      <c r="RJP92" s="362"/>
      <c r="RJQ92" s="362"/>
      <c r="RJR92" s="362"/>
      <c r="RJS92" s="362"/>
      <c r="RJT92" s="362"/>
      <c r="RJU92" s="362"/>
      <c r="RJV92" s="362"/>
      <c r="RJW92" s="362"/>
      <c r="RJX92" s="362"/>
      <c r="RJY92" s="362"/>
      <c r="RJZ92" s="362"/>
      <c r="RKA92" s="362"/>
      <c r="RKB92" s="362"/>
      <c r="RKC92" s="362"/>
      <c r="RKD92" s="362"/>
      <c r="RKE92" s="362"/>
      <c r="RKF92" s="362"/>
      <c r="RKG92" s="362"/>
      <c r="RKH92" s="362"/>
      <c r="RKI92" s="362"/>
      <c r="RKJ92" s="362"/>
      <c r="RKK92" s="362"/>
      <c r="RKL92" s="362"/>
      <c r="RKM92" s="362"/>
      <c r="RKN92" s="362"/>
      <c r="RKO92" s="362"/>
      <c r="RKP92" s="362"/>
      <c r="RKQ92" s="362"/>
      <c r="RKR92" s="362"/>
      <c r="RKS92" s="362"/>
      <c r="RKT92" s="362"/>
      <c r="RKU92" s="362"/>
      <c r="RKV92" s="362"/>
      <c r="RKW92" s="362"/>
      <c r="RKX92" s="362"/>
      <c r="RKY92" s="362"/>
      <c r="RKZ92" s="362"/>
      <c r="RLA92" s="362"/>
      <c r="RLB92" s="362"/>
      <c r="RLC92" s="362"/>
      <c r="RLD92" s="362"/>
      <c r="RLE92" s="362"/>
      <c r="RLF92" s="362"/>
      <c r="RLG92" s="362"/>
      <c r="RLH92" s="362"/>
      <c r="RLI92" s="362"/>
      <c r="RLJ92" s="362"/>
      <c r="RLK92" s="362"/>
      <c r="RLL92" s="362"/>
      <c r="RLM92" s="362"/>
      <c r="RLN92" s="362"/>
      <c r="RLO92" s="362"/>
      <c r="RLP92" s="362"/>
      <c r="RLQ92" s="362"/>
      <c r="RLR92" s="362"/>
      <c r="RLS92" s="362"/>
      <c r="RLT92" s="362"/>
      <c r="RLU92" s="362"/>
      <c r="RLV92" s="362"/>
      <c r="RLW92" s="362"/>
      <c r="RLX92" s="362"/>
      <c r="RLY92" s="362"/>
      <c r="RLZ92" s="362"/>
      <c r="RMA92" s="362"/>
      <c r="RMB92" s="362"/>
      <c r="RMC92" s="362"/>
      <c r="RMD92" s="362"/>
      <c r="RME92" s="362"/>
      <c r="RMF92" s="362"/>
      <c r="RMG92" s="362"/>
      <c r="RMH92" s="362"/>
      <c r="RMI92" s="362"/>
      <c r="RMJ92" s="362"/>
      <c r="RMK92" s="362"/>
      <c r="RML92" s="362"/>
      <c r="RMM92" s="362"/>
      <c r="RMN92" s="362"/>
      <c r="RMO92" s="362"/>
      <c r="RMP92" s="362"/>
      <c r="RMQ92" s="362"/>
      <c r="RMR92" s="362"/>
      <c r="RMS92" s="362"/>
      <c r="RMT92" s="362"/>
      <c r="RMU92" s="362"/>
      <c r="RMV92" s="362"/>
      <c r="RMW92" s="362"/>
      <c r="RMX92" s="362"/>
      <c r="RMY92" s="362"/>
      <c r="RMZ92" s="362"/>
      <c r="RNA92" s="362"/>
      <c r="RNB92" s="362"/>
      <c r="RNC92" s="362"/>
      <c r="RND92" s="362"/>
      <c r="RNE92" s="362"/>
      <c r="RNF92" s="362"/>
      <c r="RNG92" s="362"/>
      <c r="RNH92" s="362"/>
      <c r="RNI92" s="362"/>
      <c r="RNJ92" s="362"/>
      <c r="RNK92" s="362"/>
      <c r="RNL92" s="362"/>
      <c r="RNM92" s="362"/>
      <c r="RNN92" s="362"/>
      <c r="RNO92" s="362"/>
      <c r="RNP92" s="362"/>
      <c r="RNQ92" s="362"/>
      <c r="RNR92" s="362"/>
      <c r="RNS92" s="362"/>
      <c r="RNT92" s="362"/>
      <c r="RNU92" s="362"/>
      <c r="RNV92" s="362"/>
      <c r="RNW92" s="362"/>
      <c r="RNX92" s="362"/>
      <c r="RNY92" s="362"/>
      <c r="RNZ92" s="362"/>
      <c r="ROA92" s="362"/>
      <c r="ROB92" s="362"/>
      <c r="ROC92" s="362"/>
      <c r="ROD92" s="362"/>
      <c r="ROE92" s="362"/>
      <c r="ROF92" s="362"/>
      <c r="ROG92" s="362"/>
      <c r="ROH92" s="362"/>
      <c r="ROI92" s="362"/>
      <c r="ROJ92" s="362"/>
      <c r="ROK92" s="362"/>
      <c r="ROL92" s="362"/>
      <c r="ROM92" s="362"/>
      <c r="RON92" s="362"/>
      <c r="ROO92" s="362"/>
      <c r="ROP92" s="362"/>
      <c r="ROQ92" s="362"/>
      <c r="ROR92" s="362"/>
      <c r="ROS92" s="362"/>
      <c r="ROT92" s="362"/>
      <c r="ROU92" s="362"/>
      <c r="ROV92" s="362"/>
      <c r="ROW92" s="362"/>
      <c r="ROX92" s="362"/>
      <c r="ROY92" s="362"/>
      <c r="ROZ92" s="362"/>
      <c r="RPA92" s="362"/>
      <c r="RPB92" s="362"/>
      <c r="RPC92" s="362"/>
      <c r="RPD92" s="362"/>
      <c r="RPE92" s="362"/>
      <c r="RPF92" s="362"/>
      <c r="RPG92" s="362"/>
      <c r="RPH92" s="362"/>
      <c r="RPI92" s="362"/>
      <c r="RPJ92" s="362"/>
      <c r="RPK92" s="362"/>
      <c r="RPL92" s="362"/>
      <c r="RPM92" s="362"/>
      <c r="RPN92" s="362"/>
      <c r="RPO92" s="362"/>
      <c r="RPP92" s="362"/>
      <c r="RPQ92" s="362"/>
      <c r="RPR92" s="362"/>
      <c r="RPS92" s="362"/>
      <c r="RPT92" s="362"/>
      <c r="RPU92" s="362"/>
      <c r="RPV92" s="362"/>
      <c r="RPW92" s="362"/>
      <c r="RPX92" s="362"/>
      <c r="RPY92" s="362"/>
      <c r="RPZ92" s="362"/>
      <c r="RQA92" s="362"/>
      <c r="RQB92" s="362"/>
      <c r="RQC92" s="362"/>
      <c r="RQD92" s="362"/>
      <c r="RQE92" s="362"/>
      <c r="RQF92" s="362"/>
      <c r="RQG92" s="362"/>
      <c r="RQH92" s="362"/>
      <c r="RQI92" s="362"/>
      <c r="RQJ92" s="362"/>
      <c r="RQK92" s="362"/>
      <c r="RQL92" s="362"/>
      <c r="RQM92" s="362"/>
      <c r="RQN92" s="362"/>
      <c r="RQO92" s="362"/>
      <c r="RQP92" s="362"/>
      <c r="RQQ92" s="362"/>
      <c r="RQR92" s="362"/>
      <c r="RQS92" s="362"/>
      <c r="RQT92" s="362"/>
      <c r="RQU92" s="362"/>
      <c r="RQV92" s="362"/>
      <c r="RQW92" s="362"/>
      <c r="RQX92" s="362"/>
      <c r="RQY92" s="362"/>
      <c r="RQZ92" s="362"/>
      <c r="RRA92" s="362"/>
      <c r="RRB92" s="362"/>
      <c r="RRC92" s="362"/>
      <c r="RRD92" s="362"/>
      <c r="RRE92" s="362"/>
      <c r="RRF92" s="362"/>
      <c r="RRG92" s="362"/>
      <c r="RRH92" s="362"/>
      <c r="RRI92" s="362"/>
      <c r="RRJ92" s="362"/>
      <c r="RRK92" s="362"/>
      <c r="RRL92" s="362"/>
      <c r="RRM92" s="362"/>
      <c r="RRN92" s="362"/>
      <c r="RRO92" s="362"/>
      <c r="RRP92" s="362"/>
      <c r="RRQ92" s="362"/>
      <c r="RRR92" s="362"/>
      <c r="RRS92" s="362"/>
      <c r="RRT92" s="362"/>
      <c r="RRU92" s="362"/>
      <c r="RRV92" s="362"/>
      <c r="RRW92" s="362"/>
      <c r="RRX92" s="362"/>
      <c r="RRY92" s="362"/>
      <c r="RRZ92" s="362"/>
      <c r="RSA92" s="362"/>
      <c r="RSB92" s="362"/>
      <c r="RSC92" s="362"/>
      <c r="RSD92" s="362"/>
      <c r="RSE92" s="362"/>
      <c r="RSF92" s="362"/>
      <c r="RSG92" s="362"/>
      <c r="RSH92" s="362"/>
      <c r="RSI92" s="362"/>
      <c r="RSJ92" s="362"/>
      <c r="RSK92" s="362"/>
      <c r="RSL92" s="362"/>
      <c r="RSM92" s="362"/>
      <c r="RSN92" s="362"/>
      <c r="RSO92" s="362"/>
      <c r="RSP92" s="362"/>
      <c r="RSQ92" s="362"/>
      <c r="RSR92" s="362"/>
      <c r="RSS92" s="362"/>
      <c r="RST92" s="362"/>
      <c r="RSU92" s="362"/>
      <c r="RSV92" s="362"/>
      <c r="RSW92" s="362"/>
      <c r="RSX92" s="362"/>
      <c r="RSY92" s="362"/>
      <c r="RSZ92" s="362"/>
      <c r="RTA92" s="362"/>
      <c r="RTB92" s="362"/>
      <c r="RTC92" s="362"/>
      <c r="RTD92" s="362"/>
      <c r="RTE92" s="362"/>
      <c r="RTF92" s="362"/>
      <c r="RTG92" s="362"/>
      <c r="RTH92" s="362"/>
      <c r="RTI92" s="362"/>
      <c r="RTJ92" s="362"/>
      <c r="RTK92" s="362"/>
      <c r="RTL92" s="362"/>
      <c r="RTM92" s="362"/>
      <c r="RTN92" s="362"/>
      <c r="RTO92" s="362"/>
      <c r="RTP92" s="362"/>
      <c r="RTQ92" s="362"/>
      <c r="RTR92" s="362"/>
      <c r="RTS92" s="362"/>
      <c r="RTT92" s="362"/>
      <c r="RTU92" s="362"/>
      <c r="RTV92" s="362"/>
      <c r="RTW92" s="362"/>
      <c r="RTX92" s="362"/>
      <c r="RTY92" s="362"/>
      <c r="RTZ92" s="362"/>
      <c r="RUA92" s="362"/>
      <c r="RUB92" s="362"/>
      <c r="RUC92" s="362"/>
      <c r="RUD92" s="362"/>
      <c r="RUE92" s="362"/>
      <c r="RUF92" s="362"/>
      <c r="RUG92" s="362"/>
      <c r="RUH92" s="362"/>
      <c r="RUI92" s="362"/>
      <c r="RUJ92" s="362"/>
      <c r="RUK92" s="362"/>
      <c r="RUL92" s="362"/>
      <c r="RUM92" s="362"/>
      <c r="RUN92" s="362"/>
      <c r="RUO92" s="362"/>
      <c r="RUP92" s="362"/>
      <c r="RUQ92" s="362"/>
      <c r="RUR92" s="362"/>
      <c r="RUS92" s="362"/>
      <c r="RUT92" s="362"/>
      <c r="RUU92" s="362"/>
      <c r="RUV92" s="362"/>
      <c r="RUW92" s="362"/>
      <c r="RUX92" s="362"/>
      <c r="RUY92" s="362"/>
      <c r="RUZ92" s="362"/>
      <c r="RVA92" s="362"/>
      <c r="RVB92" s="362"/>
      <c r="RVC92" s="362"/>
      <c r="RVD92" s="362"/>
      <c r="RVE92" s="362"/>
      <c r="RVF92" s="362"/>
      <c r="RVG92" s="362"/>
      <c r="RVH92" s="362"/>
      <c r="RVI92" s="362"/>
      <c r="RVJ92" s="362"/>
      <c r="RVK92" s="362"/>
      <c r="RVL92" s="362"/>
      <c r="RVM92" s="362"/>
      <c r="RVN92" s="362"/>
      <c r="RVO92" s="362"/>
      <c r="RVP92" s="362"/>
      <c r="RVQ92" s="362"/>
      <c r="RVR92" s="362"/>
      <c r="RVS92" s="362"/>
      <c r="RVT92" s="362"/>
      <c r="RVU92" s="362"/>
      <c r="RVV92" s="362"/>
      <c r="RVW92" s="362"/>
      <c r="RVX92" s="362"/>
      <c r="RVY92" s="362"/>
      <c r="RVZ92" s="362"/>
      <c r="RWA92" s="362"/>
      <c r="RWB92" s="362"/>
      <c r="RWC92" s="362"/>
      <c r="RWD92" s="362"/>
      <c r="RWE92" s="362"/>
      <c r="RWF92" s="362"/>
      <c r="RWG92" s="362"/>
      <c r="RWH92" s="362"/>
      <c r="RWI92" s="362"/>
      <c r="RWJ92" s="362"/>
      <c r="RWK92" s="362"/>
      <c r="RWL92" s="362"/>
      <c r="RWM92" s="362"/>
      <c r="RWN92" s="362"/>
      <c r="RWO92" s="362"/>
      <c r="RWP92" s="362"/>
      <c r="RWQ92" s="362"/>
      <c r="RWR92" s="362"/>
      <c r="RWS92" s="362"/>
      <c r="RWT92" s="362"/>
      <c r="RWU92" s="362"/>
      <c r="RWV92" s="362"/>
      <c r="RWW92" s="362"/>
      <c r="RWX92" s="362"/>
      <c r="RWY92" s="362"/>
      <c r="RWZ92" s="362"/>
      <c r="RXA92" s="362"/>
      <c r="RXB92" s="362"/>
      <c r="RXC92" s="362"/>
      <c r="RXD92" s="362"/>
      <c r="RXE92" s="362"/>
      <c r="RXF92" s="362"/>
      <c r="RXG92" s="362"/>
      <c r="RXH92" s="362"/>
      <c r="RXI92" s="362"/>
      <c r="RXJ92" s="362"/>
      <c r="RXK92" s="362"/>
      <c r="RXL92" s="362"/>
      <c r="RXM92" s="362"/>
      <c r="RXN92" s="362"/>
      <c r="RXO92" s="362"/>
      <c r="RXP92" s="362"/>
      <c r="RXQ92" s="362"/>
      <c r="RXR92" s="362"/>
      <c r="RXS92" s="362"/>
      <c r="RXT92" s="362"/>
      <c r="RXU92" s="362"/>
      <c r="RXV92" s="362"/>
      <c r="RXW92" s="362"/>
      <c r="RXX92" s="362"/>
      <c r="RXY92" s="362"/>
      <c r="RXZ92" s="362"/>
      <c r="RYA92" s="362"/>
      <c r="RYB92" s="362"/>
      <c r="RYC92" s="362"/>
      <c r="RYD92" s="362"/>
      <c r="RYE92" s="362"/>
      <c r="RYF92" s="362"/>
      <c r="RYG92" s="362"/>
      <c r="RYH92" s="362"/>
      <c r="RYI92" s="362"/>
      <c r="RYJ92" s="362"/>
      <c r="RYK92" s="362"/>
      <c r="RYL92" s="362"/>
      <c r="RYM92" s="362"/>
      <c r="RYN92" s="362"/>
      <c r="RYO92" s="362"/>
      <c r="RYP92" s="362"/>
      <c r="RYQ92" s="362"/>
      <c r="RYR92" s="362"/>
      <c r="RYS92" s="362"/>
      <c r="RYT92" s="362"/>
      <c r="RYU92" s="362"/>
      <c r="RYV92" s="362"/>
      <c r="RYW92" s="362"/>
      <c r="RYX92" s="362"/>
      <c r="RYY92" s="362"/>
      <c r="RYZ92" s="362"/>
      <c r="RZA92" s="362"/>
      <c r="RZB92" s="362"/>
      <c r="RZC92" s="362"/>
      <c r="RZD92" s="362"/>
      <c r="RZE92" s="362"/>
      <c r="RZF92" s="362"/>
      <c r="RZG92" s="362"/>
      <c r="RZH92" s="362"/>
      <c r="RZI92" s="362"/>
      <c r="RZJ92" s="362"/>
      <c r="RZK92" s="362"/>
      <c r="RZL92" s="362"/>
      <c r="RZM92" s="362"/>
      <c r="RZN92" s="362"/>
      <c r="RZO92" s="362"/>
      <c r="RZP92" s="362"/>
      <c r="RZQ92" s="362"/>
      <c r="RZR92" s="362"/>
      <c r="RZS92" s="362"/>
      <c r="RZT92" s="362"/>
      <c r="RZU92" s="362"/>
      <c r="RZV92" s="362"/>
      <c r="RZW92" s="362"/>
      <c r="RZX92" s="362"/>
      <c r="RZY92" s="362"/>
      <c r="RZZ92" s="362"/>
      <c r="SAA92" s="362"/>
      <c r="SAB92" s="362"/>
      <c r="SAC92" s="362"/>
      <c r="SAD92" s="362"/>
      <c r="SAE92" s="362"/>
      <c r="SAF92" s="362"/>
      <c r="SAG92" s="362"/>
      <c r="SAH92" s="362"/>
      <c r="SAI92" s="362"/>
      <c r="SAJ92" s="362"/>
      <c r="SAK92" s="362"/>
      <c r="SAL92" s="362"/>
      <c r="SAM92" s="362"/>
      <c r="SAN92" s="362"/>
      <c r="SAO92" s="362"/>
      <c r="SAP92" s="362"/>
      <c r="SAQ92" s="362"/>
      <c r="SAR92" s="362"/>
      <c r="SAS92" s="362"/>
      <c r="SAT92" s="362"/>
      <c r="SAU92" s="362"/>
      <c r="SAV92" s="362"/>
      <c r="SAW92" s="362"/>
      <c r="SAX92" s="362"/>
      <c r="SAY92" s="362"/>
      <c r="SAZ92" s="362"/>
      <c r="SBA92" s="362"/>
      <c r="SBB92" s="362"/>
      <c r="SBC92" s="362"/>
      <c r="SBD92" s="362"/>
      <c r="SBE92" s="362"/>
      <c r="SBF92" s="362"/>
      <c r="SBG92" s="362"/>
      <c r="SBH92" s="362"/>
      <c r="SBI92" s="362"/>
      <c r="SBJ92" s="362"/>
      <c r="SBK92" s="362"/>
      <c r="SBL92" s="362"/>
      <c r="SBM92" s="362"/>
      <c r="SBN92" s="362"/>
      <c r="SBO92" s="362"/>
      <c r="SBP92" s="362"/>
      <c r="SBQ92" s="362"/>
      <c r="SBR92" s="362"/>
      <c r="SBS92" s="362"/>
      <c r="SBT92" s="362"/>
      <c r="SBU92" s="362"/>
      <c r="SBV92" s="362"/>
      <c r="SBW92" s="362"/>
      <c r="SBX92" s="362"/>
      <c r="SBY92" s="362"/>
      <c r="SBZ92" s="362"/>
      <c r="SCA92" s="362"/>
      <c r="SCB92" s="362"/>
      <c r="SCC92" s="362"/>
      <c r="SCD92" s="362"/>
      <c r="SCE92" s="362"/>
      <c r="SCF92" s="362"/>
      <c r="SCG92" s="362"/>
      <c r="SCH92" s="362"/>
      <c r="SCI92" s="362"/>
      <c r="SCJ92" s="362"/>
      <c r="SCK92" s="362"/>
      <c r="SCL92" s="362"/>
      <c r="SCM92" s="362"/>
      <c r="SCN92" s="362"/>
      <c r="SCO92" s="362"/>
      <c r="SCP92" s="362"/>
      <c r="SCQ92" s="362"/>
      <c r="SCR92" s="362"/>
      <c r="SCS92" s="362"/>
      <c r="SCT92" s="362"/>
      <c r="SCU92" s="362"/>
      <c r="SCV92" s="362"/>
      <c r="SCW92" s="362"/>
      <c r="SCX92" s="362"/>
      <c r="SCY92" s="362"/>
      <c r="SCZ92" s="362"/>
      <c r="SDA92" s="362"/>
      <c r="SDB92" s="362"/>
      <c r="SDC92" s="362"/>
      <c r="SDD92" s="362"/>
      <c r="SDE92" s="362"/>
      <c r="SDF92" s="362"/>
      <c r="SDG92" s="362"/>
      <c r="SDH92" s="362"/>
      <c r="SDI92" s="362"/>
      <c r="SDJ92" s="362"/>
      <c r="SDK92" s="362"/>
      <c r="SDL92" s="362"/>
      <c r="SDM92" s="362"/>
      <c r="SDN92" s="362"/>
      <c r="SDO92" s="362"/>
      <c r="SDP92" s="362"/>
      <c r="SDQ92" s="362"/>
      <c r="SDR92" s="362"/>
      <c r="SDS92" s="362"/>
      <c r="SDT92" s="362"/>
      <c r="SDU92" s="362"/>
      <c r="SDV92" s="362"/>
      <c r="SDW92" s="362"/>
      <c r="SDX92" s="362"/>
      <c r="SDY92" s="362"/>
      <c r="SDZ92" s="362"/>
      <c r="SEA92" s="362"/>
      <c r="SEB92" s="362"/>
      <c r="SEC92" s="362"/>
      <c r="SED92" s="362"/>
      <c r="SEE92" s="362"/>
      <c r="SEF92" s="362"/>
      <c r="SEG92" s="362"/>
      <c r="SEH92" s="362"/>
      <c r="SEI92" s="362"/>
      <c r="SEJ92" s="362"/>
      <c r="SEK92" s="362"/>
      <c r="SEL92" s="362"/>
      <c r="SEM92" s="362"/>
      <c r="SEN92" s="362"/>
      <c r="SEO92" s="362"/>
      <c r="SEP92" s="362"/>
      <c r="SEQ92" s="362"/>
      <c r="SER92" s="362"/>
      <c r="SES92" s="362"/>
      <c r="SET92" s="362"/>
      <c r="SEU92" s="362"/>
      <c r="SEV92" s="362"/>
      <c r="SEW92" s="362"/>
      <c r="SEX92" s="362"/>
      <c r="SEY92" s="362"/>
      <c r="SEZ92" s="362"/>
      <c r="SFA92" s="362"/>
      <c r="SFB92" s="362"/>
      <c r="SFC92" s="362"/>
      <c r="SFD92" s="362"/>
      <c r="SFE92" s="362"/>
      <c r="SFF92" s="362"/>
      <c r="SFG92" s="362"/>
      <c r="SFH92" s="362"/>
      <c r="SFI92" s="362"/>
      <c r="SFJ92" s="362"/>
      <c r="SFK92" s="362"/>
      <c r="SFL92" s="362"/>
      <c r="SFM92" s="362"/>
      <c r="SFN92" s="362"/>
      <c r="SFO92" s="362"/>
      <c r="SFP92" s="362"/>
      <c r="SFQ92" s="362"/>
      <c r="SFR92" s="362"/>
      <c r="SFS92" s="362"/>
      <c r="SFT92" s="362"/>
      <c r="SFU92" s="362"/>
      <c r="SFV92" s="362"/>
      <c r="SFW92" s="362"/>
      <c r="SFX92" s="362"/>
      <c r="SFY92" s="362"/>
      <c r="SFZ92" s="362"/>
      <c r="SGA92" s="362"/>
      <c r="SGB92" s="362"/>
      <c r="SGC92" s="362"/>
      <c r="SGD92" s="362"/>
      <c r="SGE92" s="362"/>
      <c r="SGF92" s="362"/>
      <c r="SGG92" s="362"/>
      <c r="SGH92" s="362"/>
      <c r="SGI92" s="362"/>
      <c r="SGJ92" s="362"/>
      <c r="SGK92" s="362"/>
      <c r="SGL92" s="362"/>
      <c r="SGM92" s="362"/>
      <c r="SGN92" s="362"/>
      <c r="SGO92" s="362"/>
      <c r="SGP92" s="362"/>
      <c r="SGQ92" s="362"/>
      <c r="SGR92" s="362"/>
      <c r="SGS92" s="362"/>
      <c r="SGT92" s="362"/>
      <c r="SGU92" s="362"/>
      <c r="SGV92" s="362"/>
      <c r="SGW92" s="362"/>
      <c r="SGX92" s="362"/>
      <c r="SGY92" s="362"/>
      <c r="SGZ92" s="362"/>
      <c r="SHA92" s="362"/>
      <c r="SHB92" s="362"/>
      <c r="SHC92" s="362"/>
      <c r="SHD92" s="362"/>
      <c r="SHE92" s="362"/>
      <c r="SHF92" s="362"/>
      <c r="SHG92" s="362"/>
      <c r="SHH92" s="362"/>
      <c r="SHI92" s="362"/>
      <c r="SHJ92" s="362"/>
      <c r="SHK92" s="362"/>
      <c r="SHL92" s="362"/>
      <c r="SHM92" s="362"/>
      <c r="SHN92" s="362"/>
      <c r="SHO92" s="362"/>
      <c r="SHP92" s="362"/>
      <c r="SHQ92" s="362"/>
      <c r="SHR92" s="362"/>
      <c r="SHS92" s="362"/>
      <c r="SHT92" s="362"/>
      <c r="SHU92" s="362"/>
      <c r="SHV92" s="362"/>
      <c r="SHW92" s="362"/>
      <c r="SHX92" s="362"/>
      <c r="SHY92" s="362"/>
      <c r="SHZ92" s="362"/>
      <c r="SIA92" s="362"/>
      <c r="SIB92" s="362"/>
      <c r="SIC92" s="362"/>
      <c r="SID92" s="362"/>
      <c r="SIE92" s="362"/>
      <c r="SIF92" s="362"/>
      <c r="SIG92" s="362"/>
      <c r="SIH92" s="362"/>
      <c r="SII92" s="362"/>
      <c r="SIJ92" s="362"/>
      <c r="SIK92" s="362"/>
      <c r="SIL92" s="362"/>
      <c r="SIM92" s="362"/>
      <c r="SIN92" s="362"/>
      <c r="SIO92" s="362"/>
      <c r="SIP92" s="362"/>
      <c r="SIQ92" s="362"/>
      <c r="SIR92" s="362"/>
      <c r="SIS92" s="362"/>
      <c r="SIT92" s="362"/>
      <c r="SIU92" s="362"/>
      <c r="SIV92" s="362"/>
      <c r="SIW92" s="362"/>
      <c r="SIX92" s="362"/>
      <c r="SIY92" s="362"/>
      <c r="SIZ92" s="362"/>
      <c r="SJA92" s="362"/>
      <c r="SJB92" s="362"/>
      <c r="SJC92" s="362"/>
      <c r="SJD92" s="362"/>
      <c r="SJE92" s="362"/>
      <c r="SJF92" s="362"/>
      <c r="SJG92" s="362"/>
      <c r="SJH92" s="362"/>
      <c r="SJI92" s="362"/>
      <c r="SJJ92" s="362"/>
      <c r="SJK92" s="362"/>
      <c r="SJL92" s="362"/>
      <c r="SJM92" s="362"/>
      <c r="SJN92" s="362"/>
      <c r="SJO92" s="362"/>
      <c r="SJP92" s="362"/>
      <c r="SJQ92" s="362"/>
      <c r="SJR92" s="362"/>
      <c r="SJS92" s="362"/>
      <c r="SJT92" s="362"/>
      <c r="SJU92" s="362"/>
      <c r="SJV92" s="362"/>
      <c r="SJW92" s="362"/>
      <c r="SJX92" s="362"/>
      <c r="SJY92" s="362"/>
      <c r="SJZ92" s="362"/>
      <c r="SKA92" s="362"/>
      <c r="SKB92" s="362"/>
      <c r="SKC92" s="362"/>
      <c r="SKD92" s="362"/>
      <c r="SKE92" s="362"/>
      <c r="SKF92" s="362"/>
      <c r="SKG92" s="362"/>
      <c r="SKH92" s="362"/>
      <c r="SKI92" s="362"/>
      <c r="SKJ92" s="362"/>
      <c r="SKK92" s="362"/>
      <c r="SKL92" s="362"/>
      <c r="SKM92" s="362"/>
      <c r="SKN92" s="362"/>
      <c r="SKO92" s="362"/>
      <c r="SKP92" s="362"/>
      <c r="SKQ92" s="362"/>
      <c r="SKR92" s="362"/>
      <c r="SKS92" s="362"/>
      <c r="SKT92" s="362"/>
      <c r="SKU92" s="362"/>
      <c r="SKV92" s="362"/>
      <c r="SKW92" s="362"/>
      <c r="SKX92" s="362"/>
      <c r="SKY92" s="362"/>
      <c r="SKZ92" s="362"/>
      <c r="SLA92" s="362"/>
      <c r="SLB92" s="362"/>
      <c r="SLC92" s="362"/>
      <c r="SLD92" s="362"/>
      <c r="SLE92" s="362"/>
      <c r="SLF92" s="362"/>
      <c r="SLG92" s="362"/>
      <c r="SLH92" s="362"/>
      <c r="SLI92" s="362"/>
      <c r="SLJ92" s="362"/>
      <c r="SLK92" s="362"/>
      <c r="SLL92" s="362"/>
      <c r="SLM92" s="362"/>
      <c r="SLN92" s="362"/>
      <c r="SLO92" s="362"/>
      <c r="SLP92" s="362"/>
      <c r="SLQ92" s="362"/>
      <c r="SLR92" s="362"/>
      <c r="SLS92" s="362"/>
      <c r="SLT92" s="362"/>
      <c r="SLU92" s="362"/>
      <c r="SLV92" s="362"/>
      <c r="SLW92" s="362"/>
      <c r="SLX92" s="362"/>
      <c r="SLY92" s="362"/>
      <c r="SLZ92" s="362"/>
      <c r="SMA92" s="362"/>
      <c r="SMB92" s="362"/>
      <c r="SMC92" s="362"/>
      <c r="SMD92" s="362"/>
      <c r="SME92" s="362"/>
      <c r="SMF92" s="362"/>
      <c r="SMG92" s="362"/>
      <c r="SMH92" s="362"/>
      <c r="SMI92" s="362"/>
      <c r="SMJ92" s="362"/>
      <c r="SMK92" s="362"/>
      <c r="SML92" s="362"/>
      <c r="SMM92" s="362"/>
      <c r="SMN92" s="362"/>
      <c r="SMO92" s="362"/>
      <c r="SMP92" s="362"/>
      <c r="SMQ92" s="362"/>
      <c r="SMR92" s="362"/>
      <c r="SMS92" s="362"/>
      <c r="SMT92" s="362"/>
      <c r="SMU92" s="362"/>
      <c r="SMV92" s="362"/>
      <c r="SMW92" s="362"/>
      <c r="SMX92" s="362"/>
      <c r="SMY92" s="362"/>
      <c r="SMZ92" s="362"/>
      <c r="SNA92" s="362"/>
      <c r="SNB92" s="362"/>
      <c r="SNC92" s="362"/>
      <c r="SND92" s="362"/>
      <c r="SNE92" s="362"/>
      <c r="SNF92" s="362"/>
      <c r="SNG92" s="362"/>
      <c r="SNH92" s="362"/>
      <c r="SNI92" s="362"/>
      <c r="SNJ92" s="362"/>
      <c r="SNK92" s="362"/>
      <c r="SNL92" s="362"/>
      <c r="SNM92" s="362"/>
      <c r="SNN92" s="362"/>
      <c r="SNO92" s="362"/>
      <c r="SNP92" s="362"/>
      <c r="SNQ92" s="362"/>
      <c r="SNR92" s="362"/>
      <c r="SNS92" s="362"/>
      <c r="SNT92" s="362"/>
      <c r="SNU92" s="362"/>
      <c r="SNV92" s="362"/>
      <c r="SNW92" s="362"/>
      <c r="SNX92" s="362"/>
      <c r="SNY92" s="362"/>
      <c r="SNZ92" s="362"/>
      <c r="SOA92" s="362"/>
      <c r="SOB92" s="362"/>
      <c r="SOC92" s="362"/>
      <c r="SOD92" s="362"/>
      <c r="SOE92" s="362"/>
      <c r="SOF92" s="362"/>
      <c r="SOG92" s="362"/>
      <c r="SOH92" s="362"/>
      <c r="SOI92" s="362"/>
      <c r="SOJ92" s="362"/>
      <c r="SOK92" s="362"/>
      <c r="SOL92" s="362"/>
      <c r="SOM92" s="362"/>
      <c r="SON92" s="362"/>
      <c r="SOO92" s="362"/>
      <c r="SOP92" s="362"/>
      <c r="SOQ92" s="362"/>
      <c r="SOR92" s="362"/>
      <c r="SOS92" s="362"/>
      <c r="SOT92" s="362"/>
      <c r="SOU92" s="362"/>
      <c r="SOV92" s="362"/>
      <c r="SOW92" s="362"/>
      <c r="SOX92" s="362"/>
      <c r="SOY92" s="362"/>
      <c r="SOZ92" s="362"/>
      <c r="SPA92" s="362"/>
      <c r="SPB92" s="362"/>
      <c r="SPC92" s="362"/>
      <c r="SPD92" s="362"/>
      <c r="SPE92" s="362"/>
      <c r="SPF92" s="362"/>
      <c r="SPG92" s="362"/>
      <c r="SPH92" s="362"/>
      <c r="SPI92" s="362"/>
      <c r="SPJ92" s="362"/>
      <c r="SPK92" s="362"/>
      <c r="SPL92" s="362"/>
      <c r="SPM92" s="362"/>
      <c r="SPN92" s="362"/>
      <c r="SPO92" s="362"/>
      <c r="SPP92" s="362"/>
      <c r="SPQ92" s="362"/>
      <c r="SPR92" s="362"/>
      <c r="SPS92" s="362"/>
      <c r="SPT92" s="362"/>
      <c r="SPU92" s="362"/>
      <c r="SPV92" s="362"/>
      <c r="SPW92" s="362"/>
      <c r="SPX92" s="362"/>
      <c r="SPY92" s="362"/>
      <c r="SPZ92" s="362"/>
      <c r="SQA92" s="362"/>
      <c r="SQB92" s="362"/>
      <c r="SQC92" s="362"/>
      <c r="SQD92" s="362"/>
      <c r="SQE92" s="362"/>
      <c r="SQF92" s="362"/>
      <c r="SQG92" s="362"/>
      <c r="SQH92" s="362"/>
      <c r="SQI92" s="362"/>
      <c r="SQJ92" s="362"/>
      <c r="SQK92" s="362"/>
      <c r="SQL92" s="362"/>
      <c r="SQM92" s="362"/>
      <c r="SQN92" s="362"/>
      <c r="SQO92" s="362"/>
      <c r="SQP92" s="362"/>
      <c r="SQQ92" s="362"/>
      <c r="SQR92" s="362"/>
      <c r="SQS92" s="362"/>
      <c r="SQT92" s="362"/>
      <c r="SQU92" s="362"/>
      <c r="SQV92" s="362"/>
      <c r="SQW92" s="362"/>
      <c r="SQX92" s="362"/>
      <c r="SQY92" s="362"/>
      <c r="SQZ92" s="362"/>
      <c r="SRA92" s="362"/>
      <c r="SRB92" s="362"/>
      <c r="SRC92" s="362"/>
      <c r="SRD92" s="362"/>
      <c r="SRE92" s="362"/>
      <c r="SRF92" s="362"/>
      <c r="SRG92" s="362"/>
      <c r="SRH92" s="362"/>
      <c r="SRI92" s="362"/>
      <c r="SRJ92" s="362"/>
      <c r="SRK92" s="362"/>
      <c r="SRL92" s="362"/>
      <c r="SRM92" s="362"/>
      <c r="SRN92" s="362"/>
      <c r="SRO92" s="362"/>
      <c r="SRP92" s="362"/>
      <c r="SRQ92" s="362"/>
      <c r="SRR92" s="362"/>
      <c r="SRS92" s="362"/>
      <c r="SRT92" s="362"/>
      <c r="SRU92" s="362"/>
      <c r="SRV92" s="362"/>
      <c r="SRW92" s="362"/>
      <c r="SRX92" s="362"/>
      <c r="SRY92" s="362"/>
      <c r="SRZ92" s="362"/>
      <c r="SSA92" s="362"/>
      <c r="SSB92" s="362"/>
      <c r="SSC92" s="362"/>
      <c r="SSD92" s="362"/>
      <c r="SSE92" s="362"/>
      <c r="SSF92" s="362"/>
      <c r="SSG92" s="362"/>
      <c r="SSH92" s="362"/>
      <c r="SSI92" s="362"/>
      <c r="SSJ92" s="362"/>
      <c r="SSK92" s="362"/>
      <c r="SSL92" s="362"/>
      <c r="SSM92" s="362"/>
      <c r="SSN92" s="362"/>
      <c r="SSO92" s="362"/>
      <c r="SSP92" s="362"/>
      <c r="SSQ92" s="362"/>
      <c r="SSR92" s="362"/>
      <c r="SSS92" s="362"/>
      <c r="SST92" s="362"/>
      <c r="SSU92" s="362"/>
      <c r="SSV92" s="362"/>
      <c r="SSW92" s="362"/>
      <c r="SSX92" s="362"/>
      <c r="SSY92" s="362"/>
      <c r="SSZ92" s="362"/>
      <c r="STA92" s="362"/>
      <c r="STB92" s="362"/>
      <c r="STC92" s="362"/>
      <c r="STD92" s="362"/>
      <c r="STE92" s="362"/>
      <c r="STF92" s="362"/>
      <c r="STG92" s="362"/>
      <c r="STH92" s="362"/>
      <c r="STI92" s="362"/>
      <c r="STJ92" s="362"/>
      <c r="STK92" s="362"/>
      <c r="STL92" s="362"/>
      <c r="STM92" s="362"/>
      <c r="STN92" s="362"/>
      <c r="STO92" s="362"/>
      <c r="STP92" s="362"/>
      <c r="STQ92" s="362"/>
      <c r="STR92" s="362"/>
      <c r="STS92" s="362"/>
      <c r="STT92" s="362"/>
      <c r="STU92" s="362"/>
      <c r="STV92" s="362"/>
      <c r="STW92" s="362"/>
      <c r="STX92" s="362"/>
      <c r="STY92" s="362"/>
      <c r="STZ92" s="362"/>
      <c r="SUA92" s="362"/>
      <c r="SUB92" s="362"/>
      <c r="SUC92" s="362"/>
      <c r="SUD92" s="362"/>
      <c r="SUE92" s="362"/>
      <c r="SUF92" s="362"/>
      <c r="SUG92" s="362"/>
      <c r="SUH92" s="362"/>
      <c r="SUI92" s="362"/>
      <c r="SUJ92" s="362"/>
      <c r="SUK92" s="362"/>
      <c r="SUL92" s="362"/>
      <c r="SUM92" s="362"/>
      <c r="SUN92" s="362"/>
      <c r="SUO92" s="362"/>
      <c r="SUP92" s="362"/>
      <c r="SUQ92" s="362"/>
      <c r="SUR92" s="362"/>
      <c r="SUS92" s="362"/>
      <c r="SUT92" s="362"/>
      <c r="SUU92" s="362"/>
      <c r="SUV92" s="362"/>
      <c r="SUW92" s="362"/>
      <c r="SUX92" s="362"/>
      <c r="SUY92" s="362"/>
      <c r="SUZ92" s="362"/>
      <c r="SVA92" s="362"/>
      <c r="SVB92" s="362"/>
      <c r="SVC92" s="362"/>
      <c r="SVD92" s="362"/>
      <c r="SVE92" s="362"/>
      <c r="SVF92" s="362"/>
      <c r="SVG92" s="362"/>
      <c r="SVH92" s="362"/>
      <c r="SVI92" s="362"/>
      <c r="SVJ92" s="362"/>
      <c r="SVK92" s="362"/>
      <c r="SVL92" s="362"/>
      <c r="SVM92" s="362"/>
      <c r="SVN92" s="362"/>
      <c r="SVO92" s="362"/>
      <c r="SVP92" s="362"/>
      <c r="SVQ92" s="362"/>
      <c r="SVR92" s="362"/>
      <c r="SVS92" s="362"/>
      <c r="SVT92" s="362"/>
      <c r="SVU92" s="362"/>
      <c r="SVV92" s="362"/>
      <c r="SVW92" s="362"/>
      <c r="SVX92" s="362"/>
      <c r="SVY92" s="362"/>
      <c r="SVZ92" s="362"/>
      <c r="SWA92" s="362"/>
      <c r="SWB92" s="362"/>
      <c r="SWC92" s="362"/>
      <c r="SWD92" s="362"/>
      <c r="SWE92" s="362"/>
      <c r="SWF92" s="362"/>
      <c r="SWG92" s="362"/>
      <c r="SWH92" s="362"/>
      <c r="SWI92" s="362"/>
      <c r="SWJ92" s="362"/>
      <c r="SWK92" s="362"/>
      <c r="SWL92" s="362"/>
      <c r="SWM92" s="362"/>
      <c r="SWN92" s="362"/>
      <c r="SWO92" s="362"/>
      <c r="SWP92" s="362"/>
      <c r="SWQ92" s="362"/>
      <c r="SWR92" s="362"/>
      <c r="SWS92" s="362"/>
      <c r="SWT92" s="362"/>
      <c r="SWU92" s="362"/>
      <c r="SWV92" s="362"/>
      <c r="SWW92" s="362"/>
      <c r="SWX92" s="362"/>
      <c r="SWY92" s="362"/>
      <c r="SWZ92" s="362"/>
      <c r="SXA92" s="362"/>
      <c r="SXB92" s="362"/>
      <c r="SXC92" s="362"/>
      <c r="SXD92" s="362"/>
      <c r="SXE92" s="362"/>
      <c r="SXF92" s="362"/>
      <c r="SXG92" s="362"/>
      <c r="SXH92" s="362"/>
      <c r="SXI92" s="362"/>
      <c r="SXJ92" s="362"/>
      <c r="SXK92" s="362"/>
      <c r="SXL92" s="362"/>
      <c r="SXM92" s="362"/>
      <c r="SXN92" s="362"/>
      <c r="SXO92" s="362"/>
      <c r="SXP92" s="362"/>
      <c r="SXQ92" s="362"/>
      <c r="SXR92" s="362"/>
      <c r="SXS92" s="362"/>
      <c r="SXT92" s="362"/>
      <c r="SXU92" s="362"/>
      <c r="SXV92" s="362"/>
      <c r="SXW92" s="362"/>
      <c r="SXX92" s="362"/>
      <c r="SXY92" s="362"/>
      <c r="SXZ92" s="362"/>
      <c r="SYA92" s="362"/>
      <c r="SYB92" s="362"/>
      <c r="SYC92" s="362"/>
      <c r="SYD92" s="362"/>
      <c r="SYE92" s="362"/>
      <c r="SYF92" s="362"/>
      <c r="SYG92" s="362"/>
      <c r="SYH92" s="362"/>
      <c r="SYI92" s="362"/>
      <c r="SYJ92" s="362"/>
      <c r="SYK92" s="362"/>
      <c r="SYL92" s="362"/>
      <c r="SYM92" s="362"/>
      <c r="SYN92" s="362"/>
      <c r="SYO92" s="362"/>
      <c r="SYP92" s="362"/>
      <c r="SYQ92" s="362"/>
      <c r="SYR92" s="362"/>
      <c r="SYS92" s="362"/>
      <c r="SYT92" s="362"/>
      <c r="SYU92" s="362"/>
      <c r="SYV92" s="362"/>
      <c r="SYW92" s="362"/>
      <c r="SYX92" s="362"/>
      <c r="SYY92" s="362"/>
      <c r="SYZ92" s="362"/>
      <c r="SZA92" s="362"/>
      <c r="SZB92" s="362"/>
      <c r="SZC92" s="362"/>
      <c r="SZD92" s="362"/>
      <c r="SZE92" s="362"/>
      <c r="SZF92" s="362"/>
      <c r="SZG92" s="362"/>
      <c r="SZH92" s="362"/>
      <c r="SZI92" s="362"/>
      <c r="SZJ92" s="362"/>
      <c r="SZK92" s="362"/>
      <c r="SZL92" s="362"/>
      <c r="SZM92" s="362"/>
      <c r="SZN92" s="362"/>
      <c r="SZO92" s="362"/>
      <c r="SZP92" s="362"/>
      <c r="SZQ92" s="362"/>
      <c r="SZR92" s="362"/>
      <c r="SZS92" s="362"/>
      <c r="SZT92" s="362"/>
      <c r="SZU92" s="362"/>
      <c r="SZV92" s="362"/>
      <c r="SZW92" s="362"/>
      <c r="SZX92" s="362"/>
      <c r="SZY92" s="362"/>
      <c r="SZZ92" s="362"/>
      <c r="TAA92" s="362"/>
      <c r="TAB92" s="362"/>
      <c r="TAC92" s="362"/>
      <c r="TAD92" s="362"/>
      <c r="TAE92" s="362"/>
      <c r="TAF92" s="362"/>
      <c r="TAG92" s="362"/>
      <c r="TAH92" s="362"/>
      <c r="TAI92" s="362"/>
      <c r="TAJ92" s="362"/>
      <c r="TAK92" s="362"/>
      <c r="TAL92" s="362"/>
      <c r="TAM92" s="362"/>
      <c r="TAN92" s="362"/>
      <c r="TAO92" s="362"/>
      <c r="TAP92" s="362"/>
      <c r="TAQ92" s="362"/>
      <c r="TAR92" s="362"/>
      <c r="TAS92" s="362"/>
      <c r="TAT92" s="362"/>
      <c r="TAU92" s="362"/>
      <c r="TAV92" s="362"/>
      <c r="TAW92" s="362"/>
      <c r="TAX92" s="362"/>
      <c r="TAY92" s="362"/>
      <c r="TAZ92" s="362"/>
      <c r="TBA92" s="362"/>
      <c r="TBB92" s="362"/>
      <c r="TBC92" s="362"/>
      <c r="TBD92" s="362"/>
      <c r="TBE92" s="362"/>
      <c r="TBF92" s="362"/>
      <c r="TBG92" s="362"/>
      <c r="TBH92" s="362"/>
      <c r="TBI92" s="362"/>
      <c r="TBJ92" s="362"/>
      <c r="TBK92" s="362"/>
      <c r="TBL92" s="362"/>
      <c r="TBM92" s="362"/>
      <c r="TBN92" s="362"/>
      <c r="TBO92" s="362"/>
      <c r="TBP92" s="362"/>
      <c r="TBQ92" s="362"/>
      <c r="TBR92" s="362"/>
      <c r="TBS92" s="362"/>
      <c r="TBT92" s="362"/>
      <c r="TBU92" s="362"/>
      <c r="TBV92" s="362"/>
      <c r="TBW92" s="362"/>
      <c r="TBX92" s="362"/>
      <c r="TBY92" s="362"/>
      <c r="TBZ92" s="362"/>
      <c r="TCA92" s="362"/>
      <c r="TCB92" s="362"/>
      <c r="TCC92" s="362"/>
      <c r="TCD92" s="362"/>
      <c r="TCE92" s="362"/>
      <c r="TCF92" s="362"/>
      <c r="TCG92" s="362"/>
      <c r="TCH92" s="362"/>
      <c r="TCI92" s="362"/>
      <c r="TCJ92" s="362"/>
      <c r="TCK92" s="362"/>
      <c r="TCL92" s="362"/>
      <c r="TCM92" s="362"/>
      <c r="TCN92" s="362"/>
      <c r="TCO92" s="362"/>
      <c r="TCP92" s="362"/>
      <c r="TCQ92" s="362"/>
      <c r="TCR92" s="362"/>
      <c r="TCS92" s="362"/>
      <c r="TCT92" s="362"/>
      <c r="TCU92" s="362"/>
      <c r="TCV92" s="362"/>
      <c r="TCW92" s="362"/>
      <c r="TCX92" s="362"/>
      <c r="TCY92" s="362"/>
      <c r="TCZ92" s="362"/>
      <c r="TDA92" s="362"/>
      <c r="TDB92" s="362"/>
      <c r="TDC92" s="362"/>
      <c r="TDD92" s="362"/>
      <c r="TDE92" s="362"/>
      <c r="TDF92" s="362"/>
      <c r="TDG92" s="362"/>
      <c r="TDH92" s="362"/>
      <c r="TDI92" s="362"/>
      <c r="TDJ92" s="362"/>
      <c r="TDK92" s="362"/>
      <c r="TDL92" s="362"/>
      <c r="TDM92" s="362"/>
      <c r="TDN92" s="362"/>
      <c r="TDO92" s="362"/>
      <c r="TDP92" s="362"/>
      <c r="TDQ92" s="362"/>
      <c r="TDR92" s="362"/>
      <c r="TDS92" s="362"/>
      <c r="TDT92" s="362"/>
      <c r="TDU92" s="362"/>
      <c r="TDV92" s="362"/>
      <c r="TDW92" s="362"/>
      <c r="TDX92" s="362"/>
      <c r="TDY92" s="362"/>
      <c r="TDZ92" s="362"/>
      <c r="TEA92" s="362"/>
      <c r="TEB92" s="362"/>
      <c r="TEC92" s="362"/>
      <c r="TED92" s="362"/>
      <c r="TEE92" s="362"/>
      <c r="TEF92" s="362"/>
      <c r="TEG92" s="362"/>
      <c r="TEH92" s="362"/>
      <c r="TEI92" s="362"/>
      <c r="TEJ92" s="362"/>
      <c r="TEK92" s="362"/>
      <c r="TEL92" s="362"/>
      <c r="TEM92" s="362"/>
      <c r="TEN92" s="362"/>
      <c r="TEO92" s="362"/>
      <c r="TEP92" s="362"/>
      <c r="TEQ92" s="362"/>
      <c r="TER92" s="362"/>
      <c r="TES92" s="362"/>
      <c r="TET92" s="362"/>
      <c r="TEU92" s="362"/>
      <c r="TEV92" s="362"/>
      <c r="TEW92" s="362"/>
      <c r="TEX92" s="362"/>
      <c r="TEY92" s="362"/>
      <c r="TEZ92" s="362"/>
      <c r="TFA92" s="362"/>
      <c r="TFB92" s="362"/>
      <c r="TFC92" s="362"/>
      <c r="TFD92" s="362"/>
      <c r="TFE92" s="362"/>
      <c r="TFF92" s="362"/>
      <c r="TFG92" s="362"/>
      <c r="TFH92" s="362"/>
      <c r="TFI92" s="362"/>
      <c r="TFJ92" s="362"/>
      <c r="TFK92" s="362"/>
      <c r="TFL92" s="362"/>
      <c r="TFM92" s="362"/>
      <c r="TFN92" s="362"/>
      <c r="TFO92" s="362"/>
      <c r="TFP92" s="362"/>
      <c r="TFQ92" s="362"/>
      <c r="TFR92" s="362"/>
      <c r="TFS92" s="362"/>
      <c r="TFT92" s="362"/>
      <c r="TFU92" s="362"/>
      <c r="TFV92" s="362"/>
      <c r="TFW92" s="362"/>
      <c r="TFX92" s="362"/>
      <c r="TFY92" s="362"/>
      <c r="TFZ92" s="362"/>
      <c r="TGA92" s="362"/>
      <c r="TGB92" s="362"/>
      <c r="TGC92" s="362"/>
      <c r="TGD92" s="362"/>
      <c r="TGE92" s="362"/>
      <c r="TGF92" s="362"/>
      <c r="TGG92" s="362"/>
      <c r="TGH92" s="362"/>
      <c r="TGI92" s="362"/>
      <c r="TGJ92" s="362"/>
      <c r="TGK92" s="362"/>
      <c r="TGL92" s="362"/>
      <c r="TGM92" s="362"/>
      <c r="TGN92" s="362"/>
      <c r="TGO92" s="362"/>
      <c r="TGP92" s="362"/>
      <c r="TGQ92" s="362"/>
      <c r="TGR92" s="362"/>
      <c r="TGS92" s="362"/>
      <c r="TGT92" s="362"/>
      <c r="TGU92" s="362"/>
      <c r="TGV92" s="362"/>
      <c r="TGW92" s="362"/>
      <c r="TGX92" s="362"/>
      <c r="TGY92" s="362"/>
      <c r="TGZ92" s="362"/>
      <c r="THA92" s="362"/>
      <c r="THB92" s="362"/>
      <c r="THC92" s="362"/>
      <c r="THD92" s="362"/>
      <c r="THE92" s="362"/>
      <c r="THF92" s="362"/>
      <c r="THG92" s="362"/>
      <c r="THH92" s="362"/>
      <c r="THI92" s="362"/>
      <c r="THJ92" s="362"/>
      <c r="THK92" s="362"/>
      <c r="THL92" s="362"/>
      <c r="THM92" s="362"/>
      <c r="THN92" s="362"/>
      <c r="THO92" s="362"/>
      <c r="THP92" s="362"/>
      <c r="THQ92" s="362"/>
      <c r="THR92" s="362"/>
      <c r="THS92" s="362"/>
      <c r="THT92" s="362"/>
      <c r="THU92" s="362"/>
      <c r="THV92" s="362"/>
      <c r="THW92" s="362"/>
      <c r="THX92" s="362"/>
      <c r="THY92" s="362"/>
      <c r="THZ92" s="362"/>
      <c r="TIA92" s="362"/>
      <c r="TIB92" s="362"/>
      <c r="TIC92" s="362"/>
      <c r="TID92" s="362"/>
      <c r="TIE92" s="362"/>
      <c r="TIF92" s="362"/>
      <c r="TIG92" s="362"/>
      <c r="TIH92" s="362"/>
      <c r="TII92" s="362"/>
      <c r="TIJ92" s="362"/>
      <c r="TIK92" s="362"/>
      <c r="TIL92" s="362"/>
      <c r="TIM92" s="362"/>
      <c r="TIN92" s="362"/>
      <c r="TIO92" s="362"/>
      <c r="TIP92" s="362"/>
      <c r="TIQ92" s="362"/>
      <c r="TIR92" s="362"/>
      <c r="TIS92" s="362"/>
      <c r="TIT92" s="362"/>
      <c r="TIU92" s="362"/>
      <c r="TIV92" s="362"/>
      <c r="TIW92" s="362"/>
      <c r="TIX92" s="362"/>
      <c r="TIY92" s="362"/>
      <c r="TIZ92" s="362"/>
      <c r="TJA92" s="362"/>
      <c r="TJB92" s="362"/>
      <c r="TJC92" s="362"/>
      <c r="TJD92" s="362"/>
      <c r="TJE92" s="362"/>
      <c r="TJF92" s="362"/>
      <c r="TJG92" s="362"/>
      <c r="TJH92" s="362"/>
      <c r="TJI92" s="362"/>
      <c r="TJJ92" s="362"/>
      <c r="TJK92" s="362"/>
      <c r="TJL92" s="362"/>
      <c r="TJM92" s="362"/>
      <c r="TJN92" s="362"/>
      <c r="TJO92" s="362"/>
      <c r="TJP92" s="362"/>
      <c r="TJQ92" s="362"/>
      <c r="TJR92" s="362"/>
      <c r="TJS92" s="362"/>
      <c r="TJT92" s="362"/>
      <c r="TJU92" s="362"/>
      <c r="TJV92" s="362"/>
      <c r="TJW92" s="362"/>
      <c r="TJX92" s="362"/>
      <c r="TJY92" s="362"/>
      <c r="TJZ92" s="362"/>
      <c r="TKA92" s="362"/>
      <c r="TKB92" s="362"/>
      <c r="TKC92" s="362"/>
      <c r="TKD92" s="362"/>
      <c r="TKE92" s="362"/>
      <c r="TKF92" s="362"/>
      <c r="TKG92" s="362"/>
      <c r="TKH92" s="362"/>
      <c r="TKI92" s="362"/>
      <c r="TKJ92" s="362"/>
      <c r="TKK92" s="362"/>
      <c r="TKL92" s="362"/>
      <c r="TKM92" s="362"/>
      <c r="TKN92" s="362"/>
      <c r="TKO92" s="362"/>
      <c r="TKP92" s="362"/>
      <c r="TKQ92" s="362"/>
      <c r="TKR92" s="362"/>
      <c r="TKS92" s="362"/>
      <c r="TKT92" s="362"/>
      <c r="TKU92" s="362"/>
      <c r="TKV92" s="362"/>
      <c r="TKW92" s="362"/>
      <c r="TKX92" s="362"/>
      <c r="TKY92" s="362"/>
      <c r="TKZ92" s="362"/>
      <c r="TLA92" s="362"/>
      <c r="TLB92" s="362"/>
      <c r="TLC92" s="362"/>
      <c r="TLD92" s="362"/>
      <c r="TLE92" s="362"/>
      <c r="TLF92" s="362"/>
      <c r="TLG92" s="362"/>
      <c r="TLH92" s="362"/>
      <c r="TLI92" s="362"/>
      <c r="TLJ92" s="362"/>
      <c r="TLK92" s="362"/>
      <c r="TLL92" s="362"/>
      <c r="TLM92" s="362"/>
      <c r="TLN92" s="362"/>
      <c r="TLO92" s="362"/>
      <c r="TLP92" s="362"/>
      <c r="TLQ92" s="362"/>
      <c r="TLR92" s="362"/>
      <c r="TLS92" s="362"/>
      <c r="TLT92" s="362"/>
      <c r="TLU92" s="362"/>
      <c r="TLV92" s="362"/>
      <c r="TLW92" s="362"/>
      <c r="TLX92" s="362"/>
      <c r="TLY92" s="362"/>
      <c r="TLZ92" s="362"/>
      <c r="TMA92" s="362"/>
      <c r="TMB92" s="362"/>
      <c r="TMC92" s="362"/>
      <c r="TMD92" s="362"/>
      <c r="TME92" s="362"/>
      <c r="TMF92" s="362"/>
      <c r="TMG92" s="362"/>
      <c r="TMH92" s="362"/>
      <c r="TMI92" s="362"/>
      <c r="TMJ92" s="362"/>
      <c r="TMK92" s="362"/>
      <c r="TML92" s="362"/>
      <c r="TMM92" s="362"/>
      <c r="TMN92" s="362"/>
      <c r="TMO92" s="362"/>
      <c r="TMP92" s="362"/>
      <c r="TMQ92" s="362"/>
      <c r="TMR92" s="362"/>
      <c r="TMS92" s="362"/>
      <c r="TMT92" s="362"/>
      <c r="TMU92" s="362"/>
      <c r="TMV92" s="362"/>
      <c r="TMW92" s="362"/>
      <c r="TMX92" s="362"/>
      <c r="TMY92" s="362"/>
      <c r="TMZ92" s="362"/>
      <c r="TNA92" s="362"/>
      <c r="TNB92" s="362"/>
      <c r="TNC92" s="362"/>
      <c r="TND92" s="362"/>
      <c r="TNE92" s="362"/>
      <c r="TNF92" s="362"/>
      <c r="TNG92" s="362"/>
      <c r="TNH92" s="362"/>
      <c r="TNI92" s="362"/>
      <c r="TNJ92" s="362"/>
      <c r="TNK92" s="362"/>
      <c r="TNL92" s="362"/>
      <c r="TNM92" s="362"/>
      <c r="TNN92" s="362"/>
      <c r="TNO92" s="362"/>
      <c r="TNP92" s="362"/>
      <c r="TNQ92" s="362"/>
      <c r="TNR92" s="362"/>
      <c r="TNS92" s="362"/>
      <c r="TNT92" s="362"/>
      <c r="TNU92" s="362"/>
      <c r="TNV92" s="362"/>
      <c r="TNW92" s="362"/>
      <c r="TNX92" s="362"/>
      <c r="TNY92" s="362"/>
      <c r="TNZ92" s="362"/>
      <c r="TOA92" s="362"/>
      <c r="TOB92" s="362"/>
      <c r="TOC92" s="362"/>
      <c r="TOD92" s="362"/>
      <c r="TOE92" s="362"/>
      <c r="TOF92" s="362"/>
      <c r="TOG92" s="362"/>
      <c r="TOH92" s="362"/>
      <c r="TOI92" s="362"/>
      <c r="TOJ92" s="362"/>
      <c r="TOK92" s="362"/>
      <c r="TOL92" s="362"/>
      <c r="TOM92" s="362"/>
      <c r="TON92" s="362"/>
      <c r="TOO92" s="362"/>
      <c r="TOP92" s="362"/>
      <c r="TOQ92" s="362"/>
      <c r="TOR92" s="362"/>
      <c r="TOS92" s="362"/>
      <c r="TOT92" s="362"/>
      <c r="TOU92" s="362"/>
      <c r="TOV92" s="362"/>
      <c r="TOW92" s="362"/>
      <c r="TOX92" s="362"/>
      <c r="TOY92" s="362"/>
      <c r="TOZ92" s="362"/>
      <c r="TPA92" s="362"/>
      <c r="TPB92" s="362"/>
      <c r="TPC92" s="362"/>
      <c r="TPD92" s="362"/>
      <c r="TPE92" s="362"/>
      <c r="TPF92" s="362"/>
      <c r="TPG92" s="362"/>
      <c r="TPH92" s="362"/>
      <c r="TPI92" s="362"/>
      <c r="TPJ92" s="362"/>
      <c r="TPK92" s="362"/>
      <c r="TPL92" s="362"/>
      <c r="TPM92" s="362"/>
      <c r="TPN92" s="362"/>
      <c r="TPO92" s="362"/>
      <c r="TPP92" s="362"/>
      <c r="TPQ92" s="362"/>
      <c r="TPR92" s="362"/>
      <c r="TPS92" s="362"/>
      <c r="TPT92" s="362"/>
      <c r="TPU92" s="362"/>
      <c r="TPV92" s="362"/>
      <c r="TPW92" s="362"/>
      <c r="TPX92" s="362"/>
      <c r="TPY92" s="362"/>
      <c r="TPZ92" s="362"/>
      <c r="TQA92" s="362"/>
      <c r="TQB92" s="362"/>
      <c r="TQC92" s="362"/>
      <c r="TQD92" s="362"/>
      <c r="TQE92" s="362"/>
      <c r="TQF92" s="362"/>
      <c r="TQG92" s="362"/>
      <c r="TQH92" s="362"/>
      <c r="TQI92" s="362"/>
      <c r="TQJ92" s="362"/>
      <c r="TQK92" s="362"/>
      <c r="TQL92" s="362"/>
      <c r="TQM92" s="362"/>
      <c r="TQN92" s="362"/>
      <c r="TQO92" s="362"/>
      <c r="TQP92" s="362"/>
      <c r="TQQ92" s="362"/>
      <c r="TQR92" s="362"/>
      <c r="TQS92" s="362"/>
      <c r="TQT92" s="362"/>
      <c r="TQU92" s="362"/>
      <c r="TQV92" s="362"/>
      <c r="TQW92" s="362"/>
      <c r="TQX92" s="362"/>
      <c r="TQY92" s="362"/>
      <c r="TQZ92" s="362"/>
      <c r="TRA92" s="362"/>
      <c r="TRB92" s="362"/>
      <c r="TRC92" s="362"/>
      <c r="TRD92" s="362"/>
      <c r="TRE92" s="362"/>
      <c r="TRF92" s="362"/>
      <c r="TRG92" s="362"/>
      <c r="TRH92" s="362"/>
      <c r="TRI92" s="362"/>
      <c r="TRJ92" s="362"/>
      <c r="TRK92" s="362"/>
      <c r="TRL92" s="362"/>
      <c r="TRM92" s="362"/>
      <c r="TRN92" s="362"/>
      <c r="TRO92" s="362"/>
      <c r="TRP92" s="362"/>
      <c r="TRQ92" s="362"/>
      <c r="TRR92" s="362"/>
      <c r="TRS92" s="362"/>
      <c r="TRT92" s="362"/>
      <c r="TRU92" s="362"/>
      <c r="TRV92" s="362"/>
      <c r="TRW92" s="362"/>
      <c r="TRX92" s="362"/>
      <c r="TRY92" s="362"/>
      <c r="TRZ92" s="362"/>
      <c r="TSA92" s="362"/>
      <c r="TSB92" s="362"/>
      <c r="TSC92" s="362"/>
      <c r="TSD92" s="362"/>
      <c r="TSE92" s="362"/>
      <c r="TSF92" s="362"/>
      <c r="TSG92" s="362"/>
      <c r="TSH92" s="362"/>
      <c r="TSI92" s="362"/>
      <c r="TSJ92" s="362"/>
      <c r="TSK92" s="362"/>
      <c r="TSL92" s="362"/>
      <c r="TSM92" s="362"/>
      <c r="TSN92" s="362"/>
      <c r="TSO92" s="362"/>
      <c r="TSP92" s="362"/>
      <c r="TSQ92" s="362"/>
      <c r="TSR92" s="362"/>
      <c r="TSS92" s="362"/>
      <c r="TST92" s="362"/>
      <c r="TSU92" s="362"/>
      <c r="TSV92" s="362"/>
      <c r="TSW92" s="362"/>
      <c r="TSX92" s="362"/>
      <c r="TSY92" s="362"/>
      <c r="TSZ92" s="362"/>
      <c r="TTA92" s="362"/>
      <c r="TTB92" s="362"/>
      <c r="TTC92" s="362"/>
      <c r="TTD92" s="362"/>
      <c r="TTE92" s="362"/>
      <c r="TTF92" s="362"/>
      <c r="TTG92" s="362"/>
      <c r="TTH92" s="362"/>
      <c r="TTI92" s="362"/>
      <c r="TTJ92" s="362"/>
      <c r="TTK92" s="362"/>
      <c r="TTL92" s="362"/>
      <c r="TTM92" s="362"/>
      <c r="TTN92" s="362"/>
      <c r="TTO92" s="362"/>
      <c r="TTP92" s="362"/>
      <c r="TTQ92" s="362"/>
      <c r="TTR92" s="362"/>
      <c r="TTS92" s="362"/>
      <c r="TTT92" s="362"/>
      <c r="TTU92" s="362"/>
      <c r="TTV92" s="362"/>
      <c r="TTW92" s="362"/>
      <c r="TTX92" s="362"/>
      <c r="TTY92" s="362"/>
      <c r="TTZ92" s="362"/>
      <c r="TUA92" s="362"/>
      <c r="TUB92" s="362"/>
      <c r="TUC92" s="362"/>
      <c r="TUD92" s="362"/>
      <c r="TUE92" s="362"/>
      <c r="TUF92" s="362"/>
      <c r="TUG92" s="362"/>
      <c r="TUH92" s="362"/>
      <c r="TUI92" s="362"/>
      <c r="TUJ92" s="362"/>
      <c r="TUK92" s="362"/>
      <c r="TUL92" s="362"/>
      <c r="TUM92" s="362"/>
      <c r="TUN92" s="362"/>
      <c r="TUO92" s="362"/>
      <c r="TUP92" s="362"/>
      <c r="TUQ92" s="362"/>
      <c r="TUR92" s="362"/>
      <c r="TUS92" s="362"/>
      <c r="TUT92" s="362"/>
      <c r="TUU92" s="362"/>
      <c r="TUV92" s="362"/>
      <c r="TUW92" s="362"/>
      <c r="TUX92" s="362"/>
      <c r="TUY92" s="362"/>
      <c r="TUZ92" s="362"/>
      <c r="TVA92" s="362"/>
      <c r="TVB92" s="362"/>
      <c r="TVC92" s="362"/>
      <c r="TVD92" s="362"/>
      <c r="TVE92" s="362"/>
      <c r="TVF92" s="362"/>
      <c r="TVG92" s="362"/>
      <c r="TVH92" s="362"/>
      <c r="TVI92" s="362"/>
      <c r="TVJ92" s="362"/>
      <c r="TVK92" s="362"/>
      <c r="TVL92" s="362"/>
      <c r="TVM92" s="362"/>
      <c r="TVN92" s="362"/>
      <c r="TVO92" s="362"/>
      <c r="TVP92" s="362"/>
      <c r="TVQ92" s="362"/>
      <c r="TVR92" s="362"/>
      <c r="TVS92" s="362"/>
      <c r="TVT92" s="362"/>
      <c r="TVU92" s="362"/>
      <c r="TVV92" s="362"/>
      <c r="TVW92" s="362"/>
      <c r="TVX92" s="362"/>
      <c r="TVY92" s="362"/>
      <c r="TVZ92" s="362"/>
      <c r="TWA92" s="362"/>
      <c r="TWB92" s="362"/>
      <c r="TWC92" s="362"/>
      <c r="TWD92" s="362"/>
      <c r="TWE92" s="362"/>
      <c r="TWF92" s="362"/>
      <c r="TWG92" s="362"/>
      <c r="TWH92" s="362"/>
      <c r="TWI92" s="362"/>
      <c r="TWJ92" s="362"/>
      <c r="TWK92" s="362"/>
      <c r="TWL92" s="362"/>
      <c r="TWM92" s="362"/>
      <c r="TWN92" s="362"/>
      <c r="TWO92" s="362"/>
      <c r="TWP92" s="362"/>
      <c r="TWQ92" s="362"/>
      <c r="TWR92" s="362"/>
      <c r="TWS92" s="362"/>
      <c r="TWT92" s="362"/>
      <c r="TWU92" s="362"/>
      <c r="TWV92" s="362"/>
      <c r="TWW92" s="362"/>
      <c r="TWX92" s="362"/>
      <c r="TWY92" s="362"/>
      <c r="TWZ92" s="362"/>
      <c r="TXA92" s="362"/>
      <c r="TXB92" s="362"/>
      <c r="TXC92" s="362"/>
      <c r="TXD92" s="362"/>
      <c r="TXE92" s="362"/>
      <c r="TXF92" s="362"/>
      <c r="TXG92" s="362"/>
      <c r="TXH92" s="362"/>
      <c r="TXI92" s="362"/>
      <c r="TXJ92" s="362"/>
      <c r="TXK92" s="362"/>
      <c r="TXL92" s="362"/>
      <c r="TXM92" s="362"/>
      <c r="TXN92" s="362"/>
      <c r="TXO92" s="362"/>
      <c r="TXP92" s="362"/>
      <c r="TXQ92" s="362"/>
      <c r="TXR92" s="362"/>
      <c r="TXS92" s="362"/>
      <c r="TXT92" s="362"/>
      <c r="TXU92" s="362"/>
      <c r="TXV92" s="362"/>
      <c r="TXW92" s="362"/>
      <c r="TXX92" s="362"/>
      <c r="TXY92" s="362"/>
      <c r="TXZ92" s="362"/>
      <c r="TYA92" s="362"/>
      <c r="TYB92" s="362"/>
      <c r="TYC92" s="362"/>
      <c r="TYD92" s="362"/>
      <c r="TYE92" s="362"/>
      <c r="TYF92" s="362"/>
      <c r="TYG92" s="362"/>
      <c r="TYH92" s="362"/>
      <c r="TYI92" s="362"/>
      <c r="TYJ92" s="362"/>
      <c r="TYK92" s="362"/>
      <c r="TYL92" s="362"/>
      <c r="TYM92" s="362"/>
      <c r="TYN92" s="362"/>
      <c r="TYO92" s="362"/>
      <c r="TYP92" s="362"/>
      <c r="TYQ92" s="362"/>
      <c r="TYR92" s="362"/>
      <c r="TYS92" s="362"/>
      <c r="TYT92" s="362"/>
      <c r="TYU92" s="362"/>
      <c r="TYV92" s="362"/>
      <c r="TYW92" s="362"/>
      <c r="TYX92" s="362"/>
      <c r="TYY92" s="362"/>
      <c r="TYZ92" s="362"/>
      <c r="TZA92" s="362"/>
      <c r="TZB92" s="362"/>
      <c r="TZC92" s="362"/>
      <c r="TZD92" s="362"/>
      <c r="TZE92" s="362"/>
      <c r="TZF92" s="362"/>
      <c r="TZG92" s="362"/>
      <c r="TZH92" s="362"/>
      <c r="TZI92" s="362"/>
      <c r="TZJ92" s="362"/>
      <c r="TZK92" s="362"/>
      <c r="TZL92" s="362"/>
      <c r="TZM92" s="362"/>
      <c r="TZN92" s="362"/>
      <c r="TZO92" s="362"/>
      <c r="TZP92" s="362"/>
      <c r="TZQ92" s="362"/>
      <c r="TZR92" s="362"/>
      <c r="TZS92" s="362"/>
      <c r="TZT92" s="362"/>
      <c r="TZU92" s="362"/>
      <c r="TZV92" s="362"/>
      <c r="TZW92" s="362"/>
      <c r="TZX92" s="362"/>
      <c r="TZY92" s="362"/>
      <c r="TZZ92" s="362"/>
      <c r="UAA92" s="362"/>
      <c r="UAB92" s="362"/>
      <c r="UAC92" s="362"/>
      <c r="UAD92" s="362"/>
      <c r="UAE92" s="362"/>
      <c r="UAF92" s="362"/>
      <c r="UAG92" s="362"/>
      <c r="UAH92" s="362"/>
      <c r="UAI92" s="362"/>
      <c r="UAJ92" s="362"/>
      <c r="UAK92" s="362"/>
      <c r="UAL92" s="362"/>
      <c r="UAM92" s="362"/>
      <c r="UAN92" s="362"/>
      <c r="UAO92" s="362"/>
      <c r="UAP92" s="362"/>
      <c r="UAQ92" s="362"/>
      <c r="UAR92" s="362"/>
      <c r="UAS92" s="362"/>
      <c r="UAT92" s="362"/>
      <c r="UAU92" s="362"/>
      <c r="UAV92" s="362"/>
      <c r="UAW92" s="362"/>
      <c r="UAX92" s="362"/>
      <c r="UAY92" s="362"/>
      <c r="UAZ92" s="362"/>
      <c r="UBA92" s="362"/>
      <c r="UBB92" s="362"/>
      <c r="UBC92" s="362"/>
      <c r="UBD92" s="362"/>
      <c r="UBE92" s="362"/>
      <c r="UBF92" s="362"/>
      <c r="UBG92" s="362"/>
      <c r="UBH92" s="362"/>
      <c r="UBI92" s="362"/>
      <c r="UBJ92" s="362"/>
      <c r="UBK92" s="362"/>
      <c r="UBL92" s="362"/>
      <c r="UBM92" s="362"/>
      <c r="UBN92" s="362"/>
      <c r="UBO92" s="362"/>
      <c r="UBP92" s="362"/>
      <c r="UBQ92" s="362"/>
      <c r="UBR92" s="362"/>
      <c r="UBS92" s="362"/>
      <c r="UBT92" s="362"/>
      <c r="UBU92" s="362"/>
      <c r="UBV92" s="362"/>
      <c r="UBW92" s="362"/>
      <c r="UBX92" s="362"/>
      <c r="UBY92" s="362"/>
      <c r="UBZ92" s="362"/>
      <c r="UCA92" s="362"/>
      <c r="UCB92" s="362"/>
      <c r="UCC92" s="362"/>
      <c r="UCD92" s="362"/>
      <c r="UCE92" s="362"/>
      <c r="UCF92" s="362"/>
      <c r="UCG92" s="362"/>
      <c r="UCH92" s="362"/>
      <c r="UCI92" s="362"/>
      <c r="UCJ92" s="362"/>
      <c r="UCK92" s="362"/>
      <c r="UCL92" s="362"/>
      <c r="UCM92" s="362"/>
      <c r="UCN92" s="362"/>
      <c r="UCO92" s="362"/>
      <c r="UCP92" s="362"/>
      <c r="UCQ92" s="362"/>
      <c r="UCR92" s="362"/>
      <c r="UCS92" s="362"/>
      <c r="UCT92" s="362"/>
      <c r="UCU92" s="362"/>
      <c r="UCV92" s="362"/>
      <c r="UCW92" s="362"/>
      <c r="UCX92" s="362"/>
      <c r="UCY92" s="362"/>
      <c r="UCZ92" s="362"/>
      <c r="UDA92" s="362"/>
      <c r="UDB92" s="362"/>
      <c r="UDC92" s="362"/>
      <c r="UDD92" s="362"/>
      <c r="UDE92" s="362"/>
      <c r="UDF92" s="362"/>
      <c r="UDG92" s="362"/>
      <c r="UDH92" s="362"/>
      <c r="UDI92" s="362"/>
      <c r="UDJ92" s="362"/>
      <c r="UDK92" s="362"/>
      <c r="UDL92" s="362"/>
      <c r="UDM92" s="362"/>
      <c r="UDN92" s="362"/>
      <c r="UDO92" s="362"/>
      <c r="UDP92" s="362"/>
      <c r="UDQ92" s="362"/>
      <c r="UDR92" s="362"/>
      <c r="UDS92" s="362"/>
      <c r="UDT92" s="362"/>
      <c r="UDU92" s="362"/>
      <c r="UDV92" s="362"/>
      <c r="UDW92" s="362"/>
      <c r="UDX92" s="362"/>
      <c r="UDY92" s="362"/>
      <c r="UDZ92" s="362"/>
      <c r="UEA92" s="362"/>
      <c r="UEB92" s="362"/>
      <c r="UEC92" s="362"/>
      <c r="UED92" s="362"/>
      <c r="UEE92" s="362"/>
      <c r="UEF92" s="362"/>
      <c r="UEG92" s="362"/>
      <c r="UEH92" s="362"/>
      <c r="UEI92" s="362"/>
      <c r="UEJ92" s="362"/>
      <c r="UEK92" s="362"/>
      <c r="UEL92" s="362"/>
      <c r="UEM92" s="362"/>
      <c r="UEN92" s="362"/>
      <c r="UEO92" s="362"/>
      <c r="UEP92" s="362"/>
      <c r="UEQ92" s="362"/>
      <c r="UER92" s="362"/>
      <c r="UES92" s="362"/>
      <c r="UET92" s="362"/>
      <c r="UEU92" s="362"/>
      <c r="UEV92" s="362"/>
      <c r="UEW92" s="362"/>
      <c r="UEX92" s="362"/>
      <c r="UEY92" s="362"/>
      <c r="UEZ92" s="362"/>
      <c r="UFA92" s="362"/>
      <c r="UFB92" s="362"/>
      <c r="UFC92" s="362"/>
      <c r="UFD92" s="362"/>
      <c r="UFE92" s="362"/>
      <c r="UFF92" s="362"/>
      <c r="UFG92" s="362"/>
      <c r="UFH92" s="362"/>
      <c r="UFI92" s="362"/>
      <c r="UFJ92" s="362"/>
      <c r="UFK92" s="362"/>
      <c r="UFL92" s="362"/>
      <c r="UFM92" s="362"/>
      <c r="UFN92" s="362"/>
      <c r="UFO92" s="362"/>
      <c r="UFP92" s="362"/>
      <c r="UFQ92" s="362"/>
      <c r="UFR92" s="362"/>
      <c r="UFS92" s="362"/>
      <c r="UFT92" s="362"/>
      <c r="UFU92" s="362"/>
      <c r="UFV92" s="362"/>
      <c r="UFW92" s="362"/>
      <c r="UFX92" s="362"/>
      <c r="UFY92" s="362"/>
      <c r="UFZ92" s="362"/>
      <c r="UGA92" s="362"/>
      <c r="UGB92" s="362"/>
      <c r="UGC92" s="362"/>
      <c r="UGD92" s="362"/>
      <c r="UGE92" s="362"/>
      <c r="UGF92" s="362"/>
      <c r="UGG92" s="362"/>
      <c r="UGH92" s="362"/>
      <c r="UGI92" s="362"/>
      <c r="UGJ92" s="362"/>
      <c r="UGK92" s="362"/>
      <c r="UGL92" s="362"/>
      <c r="UGM92" s="362"/>
      <c r="UGN92" s="362"/>
      <c r="UGO92" s="362"/>
      <c r="UGP92" s="362"/>
      <c r="UGQ92" s="362"/>
      <c r="UGR92" s="362"/>
      <c r="UGS92" s="362"/>
      <c r="UGT92" s="362"/>
      <c r="UGU92" s="362"/>
      <c r="UGV92" s="362"/>
      <c r="UGW92" s="362"/>
      <c r="UGX92" s="362"/>
      <c r="UGY92" s="362"/>
      <c r="UGZ92" s="362"/>
      <c r="UHA92" s="362"/>
      <c r="UHB92" s="362"/>
      <c r="UHC92" s="362"/>
      <c r="UHD92" s="362"/>
      <c r="UHE92" s="362"/>
      <c r="UHF92" s="362"/>
      <c r="UHG92" s="362"/>
      <c r="UHH92" s="362"/>
      <c r="UHI92" s="362"/>
      <c r="UHJ92" s="362"/>
      <c r="UHK92" s="362"/>
      <c r="UHL92" s="362"/>
      <c r="UHM92" s="362"/>
      <c r="UHN92" s="362"/>
      <c r="UHO92" s="362"/>
      <c r="UHP92" s="362"/>
      <c r="UHQ92" s="362"/>
      <c r="UHR92" s="362"/>
      <c r="UHS92" s="362"/>
      <c r="UHT92" s="362"/>
      <c r="UHU92" s="362"/>
      <c r="UHV92" s="362"/>
      <c r="UHW92" s="362"/>
      <c r="UHX92" s="362"/>
      <c r="UHY92" s="362"/>
      <c r="UHZ92" s="362"/>
      <c r="UIA92" s="362"/>
      <c r="UIB92" s="362"/>
      <c r="UIC92" s="362"/>
      <c r="UID92" s="362"/>
      <c r="UIE92" s="362"/>
      <c r="UIF92" s="362"/>
      <c r="UIG92" s="362"/>
      <c r="UIH92" s="362"/>
      <c r="UII92" s="362"/>
      <c r="UIJ92" s="362"/>
      <c r="UIK92" s="362"/>
      <c r="UIL92" s="362"/>
      <c r="UIM92" s="362"/>
      <c r="UIN92" s="362"/>
      <c r="UIO92" s="362"/>
      <c r="UIP92" s="362"/>
      <c r="UIQ92" s="362"/>
      <c r="UIR92" s="362"/>
      <c r="UIS92" s="362"/>
      <c r="UIT92" s="362"/>
      <c r="UIU92" s="362"/>
      <c r="UIV92" s="362"/>
      <c r="UIW92" s="362"/>
      <c r="UIX92" s="362"/>
      <c r="UIY92" s="362"/>
      <c r="UIZ92" s="362"/>
      <c r="UJA92" s="362"/>
      <c r="UJB92" s="362"/>
      <c r="UJC92" s="362"/>
      <c r="UJD92" s="362"/>
      <c r="UJE92" s="362"/>
      <c r="UJF92" s="362"/>
      <c r="UJG92" s="362"/>
      <c r="UJH92" s="362"/>
      <c r="UJI92" s="362"/>
      <c r="UJJ92" s="362"/>
      <c r="UJK92" s="362"/>
      <c r="UJL92" s="362"/>
      <c r="UJM92" s="362"/>
      <c r="UJN92" s="362"/>
      <c r="UJO92" s="362"/>
      <c r="UJP92" s="362"/>
      <c r="UJQ92" s="362"/>
      <c r="UJR92" s="362"/>
      <c r="UJS92" s="362"/>
      <c r="UJT92" s="362"/>
      <c r="UJU92" s="362"/>
      <c r="UJV92" s="362"/>
      <c r="UJW92" s="362"/>
      <c r="UJX92" s="362"/>
      <c r="UJY92" s="362"/>
      <c r="UJZ92" s="362"/>
      <c r="UKA92" s="362"/>
      <c r="UKB92" s="362"/>
      <c r="UKC92" s="362"/>
      <c r="UKD92" s="362"/>
      <c r="UKE92" s="362"/>
      <c r="UKF92" s="362"/>
      <c r="UKG92" s="362"/>
      <c r="UKH92" s="362"/>
      <c r="UKI92" s="362"/>
      <c r="UKJ92" s="362"/>
      <c r="UKK92" s="362"/>
      <c r="UKL92" s="362"/>
      <c r="UKM92" s="362"/>
      <c r="UKN92" s="362"/>
      <c r="UKO92" s="362"/>
      <c r="UKP92" s="362"/>
      <c r="UKQ92" s="362"/>
      <c r="UKR92" s="362"/>
      <c r="UKS92" s="362"/>
      <c r="UKT92" s="362"/>
      <c r="UKU92" s="362"/>
      <c r="UKV92" s="362"/>
      <c r="UKW92" s="362"/>
      <c r="UKX92" s="362"/>
      <c r="UKY92" s="362"/>
      <c r="UKZ92" s="362"/>
      <c r="ULA92" s="362"/>
      <c r="ULB92" s="362"/>
      <c r="ULC92" s="362"/>
      <c r="ULD92" s="362"/>
      <c r="ULE92" s="362"/>
      <c r="ULF92" s="362"/>
      <c r="ULG92" s="362"/>
      <c r="ULH92" s="362"/>
      <c r="ULI92" s="362"/>
      <c r="ULJ92" s="362"/>
      <c r="ULK92" s="362"/>
      <c r="ULL92" s="362"/>
      <c r="ULM92" s="362"/>
      <c r="ULN92" s="362"/>
      <c r="ULO92" s="362"/>
      <c r="ULP92" s="362"/>
      <c r="ULQ92" s="362"/>
      <c r="ULR92" s="362"/>
      <c r="ULS92" s="362"/>
      <c r="ULT92" s="362"/>
      <c r="ULU92" s="362"/>
      <c r="ULV92" s="362"/>
      <c r="ULW92" s="362"/>
      <c r="ULX92" s="362"/>
      <c r="ULY92" s="362"/>
      <c r="ULZ92" s="362"/>
      <c r="UMA92" s="362"/>
      <c r="UMB92" s="362"/>
      <c r="UMC92" s="362"/>
      <c r="UMD92" s="362"/>
      <c r="UME92" s="362"/>
      <c r="UMF92" s="362"/>
      <c r="UMG92" s="362"/>
      <c r="UMH92" s="362"/>
      <c r="UMI92" s="362"/>
      <c r="UMJ92" s="362"/>
      <c r="UMK92" s="362"/>
      <c r="UML92" s="362"/>
      <c r="UMM92" s="362"/>
      <c r="UMN92" s="362"/>
      <c r="UMO92" s="362"/>
      <c r="UMP92" s="362"/>
      <c r="UMQ92" s="362"/>
      <c r="UMR92" s="362"/>
      <c r="UMS92" s="362"/>
      <c r="UMT92" s="362"/>
      <c r="UMU92" s="362"/>
      <c r="UMV92" s="362"/>
      <c r="UMW92" s="362"/>
      <c r="UMX92" s="362"/>
      <c r="UMY92" s="362"/>
      <c r="UMZ92" s="362"/>
      <c r="UNA92" s="362"/>
      <c r="UNB92" s="362"/>
      <c r="UNC92" s="362"/>
      <c r="UND92" s="362"/>
      <c r="UNE92" s="362"/>
      <c r="UNF92" s="362"/>
      <c r="UNG92" s="362"/>
      <c r="UNH92" s="362"/>
      <c r="UNI92" s="362"/>
      <c r="UNJ92" s="362"/>
      <c r="UNK92" s="362"/>
      <c r="UNL92" s="362"/>
      <c r="UNM92" s="362"/>
      <c r="UNN92" s="362"/>
      <c r="UNO92" s="362"/>
      <c r="UNP92" s="362"/>
      <c r="UNQ92" s="362"/>
      <c r="UNR92" s="362"/>
      <c r="UNS92" s="362"/>
      <c r="UNT92" s="362"/>
      <c r="UNU92" s="362"/>
      <c r="UNV92" s="362"/>
      <c r="UNW92" s="362"/>
      <c r="UNX92" s="362"/>
      <c r="UNY92" s="362"/>
      <c r="UNZ92" s="362"/>
      <c r="UOA92" s="362"/>
      <c r="UOB92" s="362"/>
      <c r="UOC92" s="362"/>
      <c r="UOD92" s="362"/>
      <c r="UOE92" s="362"/>
      <c r="UOF92" s="362"/>
      <c r="UOG92" s="362"/>
      <c r="UOH92" s="362"/>
      <c r="UOI92" s="362"/>
      <c r="UOJ92" s="362"/>
      <c r="UOK92" s="362"/>
      <c r="UOL92" s="362"/>
      <c r="UOM92" s="362"/>
      <c r="UON92" s="362"/>
      <c r="UOO92" s="362"/>
      <c r="UOP92" s="362"/>
      <c r="UOQ92" s="362"/>
      <c r="UOR92" s="362"/>
      <c r="UOS92" s="362"/>
      <c r="UOT92" s="362"/>
      <c r="UOU92" s="362"/>
      <c r="UOV92" s="362"/>
      <c r="UOW92" s="362"/>
      <c r="UOX92" s="362"/>
      <c r="UOY92" s="362"/>
      <c r="UOZ92" s="362"/>
      <c r="UPA92" s="362"/>
      <c r="UPB92" s="362"/>
      <c r="UPC92" s="362"/>
      <c r="UPD92" s="362"/>
      <c r="UPE92" s="362"/>
      <c r="UPF92" s="362"/>
      <c r="UPG92" s="362"/>
      <c r="UPH92" s="362"/>
      <c r="UPI92" s="362"/>
      <c r="UPJ92" s="362"/>
      <c r="UPK92" s="362"/>
      <c r="UPL92" s="362"/>
      <c r="UPM92" s="362"/>
      <c r="UPN92" s="362"/>
      <c r="UPO92" s="362"/>
      <c r="UPP92" s="362"/>
      <c r="UPQ92" s="362"/>
      <c r="UPR92" s="362"/>
      <c r="UPS92" s="362"/>
      <c r="UPT92" s="362"/>
      <c r="UPU92" s="362"/>
      <c r="UPV92" s="362"/>
      <c r="UPW92" s="362"/>
      <c r="UPX92" s="362"/>
      <c r="UPY92" s="362"/>
      <c r="UPZ92" s="362"/>
      <c r="UQA92" s="362"/>
      <c r="UQB92" s="362"/>
      <c r="UQC92" s="362"/>
      <c r="UQD92" s="362"/>
      <c r="UQE92" s="362"/>
      <c r="UQF92" s="362"/>
      <c r="UQG92" s="362"/>
      <c r="UQH92" s="362"/>
      <c r="UQI92" s="362"/>
      <c r="UQJ92" s="362"/>
      <c r="UQK92" s="362"/>
      <c r="UQL92" s="362"/>
      <c r="UQM92" s="362"/>
      <c r="UQN92" s="362"/>
      <c r="UQO92" s="362"/>
      <c r="UQP92" s="362"/>
      <c r="UQQ92" s="362"/>
      <c r="UQR92" s="362"/>
      <c r="UQS92" s="362"/>
      <c r="UQT92" s="362"/>
      <c r="UQU92" s="362"/>
      <c r="UQV92" s="362"/>
      <c r="UQW92" s="362"/>
      <c r="UQX92" s="362"/>
      <c r="UQY92" s="362"/>
      <c r="UQZ92" s="362"/>
      <c r="URA92" s="362"/>
      <c r="URB92" s="362"/>
      <c r="URC92" s="362"/>
      <c r="URD92" s="362"/>
      <c r="URE92" s="362"/>
      <c r="URF92" s="362"/>
      <c r="URG92" s="362"/>
      <c r="URH92" s="362"/>
      <c r="URI92" s="362"/>
      <c r="URJ92" s="362"/>
      <c r="URK92" s="362"/>
      <c r="URL92" s="362"/>
      <c r="URM92" s="362"/>
      <c r="URN92" s="362"/>
      <c r="URO92" s="362"/>
      <c r="URP92" s="362"/>
      <c r="URQ92" s="362"/>
      <c r="URR92" s="362"/>
      <c r="URS92" s="362"/>
      <c r="URT92" s="362"/>
      <c r="URU92" s="362"/>
      <c r="URV92" s="362"/>
      <c r="URW92" s="362"/>
      <c r="URX92" s="362"/>
      <c r="URY92" s="362"/>
      <c r="URZ92" s="362"/>
      <c r="USA92" s="362"/>
      <c r="USB92" s="362"/>
      <c r="USC92" s="362"/>
      <c r="USD92" s="362"/>
      <c r="USE92" s="362"/>
      <c r="USF92" s="362"/>
      <c r="USG92" s="362"/>
      <c r="USH92" s="362"/>
      <c r="USI92" s="362"/>
      <c r="USJ92" s="362"/>
      <c r="USK92" s="362"/>
      <c r="USL92" s="362"/>
      <c r="USM92" s="362"/>
      <c r="USN92" s="362"/>
      <c r="USO92" s="362"/>
      <c r="USP92" s="362"/>
      <c r="USQ92" s="362"/>
      <c r="USR92" s="362"/>
      <c r="USS92" s="362"/>
      <c r="UST92" s="362"/>
      <c r="USU92" s="362"/>
      <c r="USV92" s="362"/>
      <c r="USW92" s="362"/>
      <c r="USX92" s="362"/>
      <c r="USY92" s="362"/>
      <c r="USZ92" s="362"/>
      <c r="UTA92" s="362"/>
      <c r="UTB92" s="362"/>
      <c r="UTC92" s="362"/>
      <c r="UTD92" s="362"/>
      <c r="UTE92" s="362"/>
      <c r="UTF92" s="362"/>
      <c r="UTG92" s="362"/>
      <c r="UTH92" s="362"/>
      <c r="UTI92" s="362"/>
      <c r="UTJ92" s="362"/>
      <c r="UTK92" s="362"/>
      <c r="UTL92" s="362"/>
      <c r="UTM92" s="362"/>
      <c r="UTN92" s="362"/>
      <c r="UTO92" s="362"/>
      <c r="UTP92" s="362"/>
      <c r="UTQ92" s="362"/>
      <c r="UTR92" s="362"/>
      <c r="UTS92" s="362"/>
      <c r="UTT92" s="362"/>
      <c r="UTU92" s="362"/>
      <c r="UTV92" s="362"/>
      <c r="UTW92" s="362"/>
      <c r="UTX92" s="362"/>
      <c r="UTY92" s="362"/>
      <c r="UTZ92" s="362"/>
      <c r="UUA92" s="362"/>
      <c r="UUB92" s="362"/>
      <c r="UUC92" s="362"/>
      <c r="UUD92" s="362"/>
      <c r="UUE92" s="362"/>
      <c r="UUF92" s="362"/>
      <c r="UUG92" s="362"/>
      <c r="UUH92" s="362"/>
      <c r="UUI92" s="362"/>
      <c r="UUJ92" s="362"/>
      <c r="UUK92" s="362"/>
      <c r="UUL92" s="362"/>
      <c r="UUM92" s="362"/>
      <c r="UUN92" s="362"/>
      <c r="UUO92" s="362"/>
      <c r="UUP92" s="362"/>
      <c r="UUQ92" s="362"/>
      <c r="UUR92" s="362"/>
      <c r="UUS92" s="362"/>
      <c r="UUT92" s="362"/>
      <c r="UUU92" s="362"/>
      <c r="UUV92" s="362"/>
      <c r="UUW92" s="362"/>
      <c r="UUX92" s="362"/>
      <c r="UUY92" s="362"/>
      <c r="UUZ92" s="362"/>
      <c r="UVA92" s="362"/>
      <c r="UVB92" s="362"/>
      <c r="UVC92" s="362"/>
      <c r="UVD92" s="362"/>
      <c r="UVE92" s="362"/>
      <c r="UVF92" s="362"/>
      <c r="UVG92" s="362"/>
      <c r="UVH92" s="362"/>
      <c r="UVI92" s="362"/>
      <c r="UVJ92" s="362"/>
      <c r="UVK92" s="362"/>
      <c r="UVL92" s="362"/>
      <c r="UVM92" s="362"/>
      <c r="UVN92" s="362"/>
      <c r="UVO92" s="362"/>
      <c r="UVP92" s="362"/>
      <c r="UVQ92" s="362"/>
      <c r="UVR92" s="362"/>
      <c r="UVS92" s="362"/>
      <c r="UVT92" s="362"/>
      <c r="UVU92" s="362"/>
      <c r="UVV92" s="362"/>
      <c r="UVW92" s="362"/>
      <c r="UVX92" s="362"/>
      <c r="UVY92" s="362"/>
      <c r="UVZ92" s="362"/>
      <c r="UWA92" s="362"/>
      <c r="UWB92" s="362"/>
      <c r="UWC92" s="362"/>
      <c r="UWD92" s="362"/>
      <c r="UWE92" s="362"/>
      <c r="UWF92" s="362"/>
      <c r="UWG92" s="362"/>
      <c r="UWH92" s="362"/>
      <c r="UWI92" s="362"/>
      <c r="UWJ92" s="362"/>
      <c r="UWK92" s="362"/>
      <c r="UWL92" s="362"/>
      <c r="UWM92" s="362"/>
      <c r="UWN92" s="362"/>
      <c r="UWO92" s="362"/>
      <c r="UWP92" s="362"/>
      <c r="UWQ92" s="362"/>
      <c r="UWR92" s="362"/>
      <c r="UWS92" s="362"/>
      <c r="UWT92" s="362"/>
      <c r="UWU92" s="362"/>
      <c r="UWV92" s="362"/>
      <c r="UWW92" s="362"/>
      <c r="UWX92" s="362"/>
      <c r="UWY92" s="362"/>
      <c r="UWZ92" s="362"/>
      <c r="UXA92" s="362"/>
      <c r="UXB92" s="362"/>
      <c r="UXC92" s="362"/>
      <c r="UXD92" s="362"/>
      <c r="UXE92" s="362"/>
      <c r="UXF92" s="362"/>
      <c r="UXG92" s="362"/>
      <c r="UXH92" s="362"/>
      <c r="UXI92" s="362"/>
      <c r="UXJ92" s="362"/>
      <c r="UXK92" s="362"/>
      <c r="UXL92" s="362"/>
      <c r="UXM92" s="362"/>
      <c r="UXN92" s="362"/>
      <c r="UXO92" s="362"/>
      <c r="UXP92" s="362"/>
      <c r="UXQ92" s="362"/>
      <c r="UXR92" s="362"/>
      <c r="UXS92" s="362"/>
      <c r="UXT92" s="362"/>
      <c r="UXU92" s="362"/>
      <c r="UXV92" s="362"/>
      <c r="UXW92" s="362"/>
      <c r="UXX92" s="362"/>
      <c r="UXY92" s="362"/>
      <c r="UXZ92" s="362"/>
      <c r="UYA92" s="362"/>
      <c r="UYB92" s="362"/>
      <c r="UYC92" s="362"/>
      <c r="UYD92" s="362"/>
      <c r="UYE92" s="362"/>
      <c r="UYF92" s="362"/>
      <c r="UYG92" s="362"/>
      <c r="UYH92" s="362"/>
      <c r="UYI92" s="362"/>
      <c r="UYJ92" s="362"/>
      <c r="UYK92" s="362"/>
      <c r="UYL92" s="362"/>
      <c r="UYM92" s="362"/>
      <c r="UYN92" s="362"/>
      <c r="UYO92" s="362"/>
      <c r="UYP92" s="362"/>
      <c r="UYQ92" s="362"/>
      <c r="UYR92" s="362"/>
      <c r="UYS92" s="362"/>
      <c r="UYT92" s="362"/>
      <c r="UYU92" s="362"/>
      <c r="UYV92" s="362"/>
      <c r="UYW92" s="362"/>
      <c r="UYX92" s="362"/>
      <c r="UYY92" s="362"/>
      <c r="UYZ92" s="362"/>
      <c r="UZA92" s="362"/>
      <c r="UZB92" s="362"/>
      <c r="UZC92" s="362"/>
      <c r="UZD92" s="362"/>
      <c r="UZE92" s="362"/>
      <c r="UZF92" s="362"/>
      <c r="UZG92" s="362"/>
      <c r="UZH92" s="362"/>
      <c r="UZI92" s="362"/>
      <c r="UZJ92" s="362"/>
      <c r="UZK92" s="362"/>
      <c r="UZL92" s="362"/>
      <c r="UZM92" s="362"/>
      <c r="UZN92" s="362"/>
      <c r="UZO92" s="362"/>
      <c r="UZP92" s="362"/>
      <c r="UZQ92" s="362"/>
      <c r="UZR92" s="362"/>
      <c r="UZS92" s="362"/>
      <c r="UZT92" s="362"/>
      <c r="UZU92" s="362"/>
      <c r="UZV92" s="362"/>
      <c r="UZW92" s="362"/>
      <c r="UZX92" s="362"/>
      <c r="UZY92" s="362"/>
      <c r="UZZ92" s="362"/>
      <c r="VAA92" s="362"/>
      <c r="VAB92" s="362"/>
      <c r="VAC92" s="362"/>
      <c r="VAD92" s="362"/>
      <c r="VAE92" s="362"/>
      <c r="VAF92" s="362"/>
      <c r="VAG92" s="362"/>
      <c r="VAH92" s="362"/>
      <c r="VAI92" s="362"/>
      <c r="VAJ92" s="362"/>
      <c r="VAK92" s="362"/>
      <c r="VAL92" s="362"/>
      <c r="VAM92" s="362"/>
      <c r="VAN92" s="362"/>
      <c r="VAO92" s="362"/>
      <c r="VAP92" s="362"/>
      <c r="VAQ92" s="362"/>
      <c r="VAR92" s="362"/>
      <c r="VAS92" s="362"/>
      <c r="VAT92" s="362"/>
      <c r="VAU92" s="362"/>
      <c r="VAV92" s="362"/>
      <c r="VAW92" s="362"/>
      <c r="VAX92" s="362"/>
      <c r="VAY92" s="362"/>
      <c r="VAZ92" s="362"/>
      <c r="VBA92" s="362"/>
      <c r="VBB92" s="362"/>
      <c r="VBC92" s="362"/>
      <c r="VBD92" s="362"/>
      <c r="VBE92" s="362"/>
      <c r="VBF92" s="362"/>
      <c r="VBG92" s="362"/>
      <c r="VBH92" s="362"/>
      <c r="VBI92" s="362"/>
      <c r="VBJ92" s="362"/>
      <c r="VBK92" s="362"/>
      <c r="VBL92" s="362"/>
      <c r="VBM92" s="362"/>
      <c r="VBN92" s="362"/>
      <c r="VBO92" s="362"/>
      <c r="VBP92" s="362"/>
      <c r="VBQ92" s="362"/>
      <c r="VBR92" s="362"/>
      <c r="VBS92" s="362"/>
      <c r="VBT92" s="362"/>
      <c r="VBU92" s="362"/>
      <c r="VBV92" s="362"/>
      <c r="VBW92" s="362"/>
      <c r="VBX92" s="362"/>
      <c r="VBY92" s="362"/>
      <c r="VBZ92" s="362"/>
      <c r="VCA92" s="362"/>
      <c r="VCB92" s="362"/>
      <c r="VCC92" s="362"/>
      <c r="VCD92" s="362"/>
      <c r="VCE92" s="362"/>
      <c r="VCF92" s="362"/>
      <c r="VCG92" s="362"/>
      <c r="VCH92" s="362"/>
      <c r="VCI92" s="362"/>
      <c r="VCJ92" s="362"/>
      <c r="VCK92" s="362"/>
      <c r="VCL92" s="362"/>
      <c r="VCM92" s="362"/>
      <c r="VCN92" s="362"/>
      <c r="VCO92" s="362"/>
      <c r="VCP92" s="362"/>
      <c r="VCQ92" s="362"/>
      <c r="VCR92" s="362"/>
      <c r="VCS92" s="362"/>
      <c r="VCT92" s="362"/>
      <c r="VCU92" s="362"/>
      <c r="VCV92" s="362"/>
      <c r="VCW92" s="362"/>
      <c r="VCX92" s="362"/>
      <c r="VCY92" s="362"/>
      <c r="VCZ92" s="362"/>
      <c r="VDA92" s="362"/>
      <c r="VDB92" s="362"/>
      <c r="VDC92" s="362"/>
      <c r="VDD92" s="362"/>
      <c r="VDE92" s="362"/>
      <c r="VDF92" s="362"/>
      <c r="VDG92" s="362"/>
      <c r="VDH92" s="362"/>
      <c r="VDI92" s="362"/>
      <c r="VDJ92" s="362"/>
      <c r="VDK92" s="362"/>
      <c r="VDL92" s="362"/>
      <c r="VDM92" s="362"/>
      <c r="VDN92" s="362"/>
      <c r="VDO92" s="362"/>
      <c r="VDP92" s="362"/>
      <c r="VDQ92" s="362"/>
      <c r="VDR92" s="362"/>
      <c r="VDS92" s="362"/>
      <c r="VDT92" s="362"/>
      <c r="VDU92" s="362"/>
      <c r="VDV92" s="362"/>
      <c r="VDW92" s="362"/>
      <c r="VDX92" s="362"/>
      <c r="VDY92" s="362"/>
      <c r="VDZ92" s="362"/>
      <c r="VEA92" s="362"/>
      <c r="VEB92" s="362"/>
      <c r="VEC92" s="362"/>
      <c r="VED92" s="362"/>
      <c r="VEE92" s="362"/>
      <c r="VEF92" s="362"/>
      <c r="VEG92" s="362"/>
      <c r="VEH92" s="362"/>
      <c r="VEI92" s="362"/>
      <c r="VEJ92" s="362"/>
      <c r="VEK92" s="362"/>
      <c r="VEL92" s="362"/>
      <c r="VEM92" s="362"/>
      <c r="VEN92" s="362"/>
      <c r="VEO92" s="362"/>
      <c r="VEP92" s="362"/>
      <c r="VEQ92" s="362"/>
      <c r="VER92" s="362"/>
      <c r="VES92" s="362"/>
      <c r="VET92" s="362"/>
      <c r="VEU92" s="362"/>
      <c r="VEV92" s="362"/>
      <c r="VEW92" s="362"/>
      <c r="VEX92" s="362"/>
      <c r="VEY92" s="362"/>
      <c r="VEZ92" s="362"/>
      <c r="VFA92" s="362"/>
      <c r="VFB92" s="362"/>
      <c r="VFC92" s="362"/>
      <c r="VFD92" s="362"/>
      <c r="VFE92" s="362"/>
      <c r="VFF92" s="362"/>
      <c r="VFG92" s="362"/>
      <c r="VFH92" s="362"/>
      <c r="VFI92" s="362"/>
      <c r="VFJ92" s="362"/>
      <c r="VFK92" s="362"/>
      <c r="VFL92" s="362"/>
      <c r="VFM92" s="362"/>
      <c r="VFN92" s="362"/>
      <c r="VFO92" s="362"/>
      <c r="VFP92" s="362"/>
      <c r="VFQ92" s="362"/>
      <c r="VFR92" s="362"/>
      <c r="VFS92" s="362"/>
      <c r="VFT92" s="362"/>
      <c r="VFU92" s="362"/>
      <c r="VFV92" s="362"/>
      <c r="VFW92" s="362"/>
      <c r="VFX92" s="362"/>
      <c r="VFY92" s="362"/>
      <c r="VFZ92" s="362"/>
      <c r="VGA92" s="362"/>
      <c r="VGB92" s="362"/>
      <c r="VGC92" s="362"/>
      <c r="VGD92" s="362"/>
      <c r="VGE92" s="362"/>
      <c r="VGF92" s="362"/>
      <c r="VGG92" s="362"/>
      <c r="VGH92" s="362"/>
      <c r="VGI92" s="362"/>
      <c r="VGJ92" s="362"/>
      <c r="VGK92" s="362"/>
      <c r="VGL92" s="362"/>
      <c r="VGM92" s="362"/>
      <c r="VGN92" s="362"/>
      <c r="VGO92" s="362"/>
      <c r="VGP92" s="362"/>
      <c r="VGQ92" s="362"/>
      <c r="VGR92" s="362"/>
      <c r="VGS92" s="362"/>
      <c r="VGT92" s="362"/>
      <c r="VGU92" s="362"/>
      <c r="VGV92" s="362"/>
      <c r="VGW92" s="362"/>
      <c r="VGX92" s="362"/>
      <c r="VGY92" s="362"/>
      <c r="VGZ92" s="362"/>
      <c r="VHA92" s="362"/>
      <c r="VHB92" s="362"/>
      <c r="VHC92" s="362"/>
      <c r="VHD92" s="362"/>
      <c r="VHE92" s="362"/>
      <c r="VHF92" s="362"/>
      <c r="VHG92" s="362"/>
      <c r="VHH92" s="362"/>
      <c r="VHI92" s="362"/>
      <c r="VHJ92" s="362"/>
      <c r="VHK92" s="362"/>
      <c r="VHL92" s="362"/>
      <c r="VHM92" s="362"/>
      <c r="VHN92" s="362"/>
      <c r="VHO92" s="362"/>
      <c r="VHP92" s="362"/>
      <c r="VHQ92" s="362"/>
      <c r="VHR92" s="362"/>
      <c r="VHS92" s="362"/>
      <c r="VHT92" s="362"/>
      <c r="VHU92" s="362"/>
      <c r="VHV92" s="362"/>
      <c r="VHW92" s="362"/>
      <c r="VHX92" s="362"/>
      <c r="VHY92" s="362"/>
      <c r="VHZ92" s="362"/>
      <c r="VIA92" s="362"/>
      <c r="VIB92" s="362"/>
      <c r="VIC92" s="362"/>
      <c r="VID92" s="362"/>
      <c r="VIE92" s="362"/>
      <c r="VIF92" s="362"/>
      <c r="VIG92" s="362"/>
      <c r="VIH92" s="362"/>
      <c r="VII92" s="362"/>
      <c r="VIJ92" s="362"/>
      <c r="VIK92" s="362"/>
      <c r="VIL92" s="362"/>
      <c r="VIM92" s="362"/>
      <c r="VIN92" s="362"/>
      <c r="VIO92" s="362"/>
      <c r="VIP92" s="362"/>
      <c r="VIQ92" s="362"/>
      <c r="VIR92" s="362"/>
      <c r="VIS92" s="362"/>
      <c r="VIT92" s="362"/>
      <c r="VIU92" s="362"/>
      <c r="VIV92" s="362"/>
      <c r="VIW92" s="362"/>
      <c r="VIX92" s="362"/>
      <c r="VIY92" s="362"/>
      <c r="VIZ92" s="362"/>
      <c r="VJA92" s="362"/>
      <c r="VJB92" s="362"/>
      <c r="VJC92" s="362"/>
      <c r="VJD92" s="362"/>
      <c r="VJE92" s="362"/>
      <c r="VJF92" s="362"/>
      <c r="VJG92" s="362"/>
      <c r="VJH92" s="362"/>
      <c r="VJI92" s="362"/>
      <c r="VJJ92" s="362"/>
      <c r="VJK92" s="362"/>
      <c r="VJL92" s="362"/>
      <c r="VJM92" s="362"/>
      <c r="VJN92" s="362"/>
      <c r="VJO92" s="362"/>
      <c r="VJP92" s="362"/>
      <c r="VJQ92" s="362"/>
      <c r="VJR92" s="362"/>
      <c r="VJS92" s="362"/>
      <c r="VJT92" s="362"/>
      <c r="VJU92" s="362"/>
      <c r="VJV92" s="362"/>
      <c r="VJW92" s="362"/>
      <c r="VJX92" s="362"/>
      <c r="VJY92" s="362"/>
      <c r="VJZ92" s="362"/>
      <c r="VKA92" s="362"/>
      <c r="VKB92" s="362"/>
      <c r="VKC92" s="362"/>
      <c r="VKD92" s="362"/>
      <c r="VKE92" s="362"/>
      <c r="VKF92" s="362"/>
      <c r="VKG92" s="362"/>
      <c r="VKH92" s="362"/>
      <c r="VKI92" s="362"/>
      <c r="VKJ92" s="362"/>
      <c r="VKK92" s="362"/>
      <c r="VKL92" s="362"/>
      <c r="VKM92" s="362"/>
      <c r="VKN92" s="362"/>
      <c r="VKO92" s="362"/>
      <c r="VKP92" s="362"/>
      <c r="VKQ92" s="362"/>
      <c r="VKR92" s="362"/>
      <c r="VKS92" s="362"/>
      <c r="VKT92" s="362"/>
      <c r="VKU92" s="362"/>
      <c r="VKV92" s="362"/>
      <c r="VKW92" s="362"/>
      <c r="VKX92" s="362"/>
      <c r="VKY92" s="362"/>
      <c r="VKZ92" s="362"/>
      <c r="VLA92" s="362"/>
      <c r="VLB92" s="362"/>
      <c r="VLC92" s="362"/>
      <c r="VLD92" s="362"/>
      <c r="VLE92" s="362"/>
      <c r="VLF92" s="362"/>
      <c r="VLG92" s="362"/>
      <c r="VLH92" s="362"/>
      <c r="VLI92" s="362"/>
      <c r="VLJ92" s="362"/>
      <c r="VLK92" s="362"/>
      <c r="VLL92" s="362"/>
      <c r="VLM92" s="362"/>
      <c r="VLN92" s="362"/>
      <c r="VLO92" s="362"/>
      <c r="VLP92" s="362"/>
      <c r="VLQ92" s="362"/>
      <c r="VLR92" s="362"/>
      <c r="VLS92" s="362"/>
      <c r="VLT92" s="362"/>
      <c r="VLU92" s="362"/>
      <c r="VLV92" s="362"/>
      <c r="VLW92" s="362"/>
      <c r="VLX92" s="362"/>
      <c r="VLY92" s="362"/>
      <c r="VLZ92" s="362"/>
      <c r="VMA92" s="362"/>
      <c r="VMB92" s="362"/>
      <c r="VMC92" s="362"/>
      <c r="VMD92" s="362"/>
      <c r="VME92" s="362"/>
      <c r="VMF92" s="362"/>
      <c r="VMG92" s="362"/>
      <c r="VMH92" s="362"/>
      <c r="VMI92" s="362"/>
      <c r="VMJ92" s="362"/>
      <c r="VMK92" s="362"/>
      <c r="VML92" s="362"/>
      <c r="VMM92" s="362"/>
      <c r="VMN92" s="362"/>
      <c r="VMO92" s="362"/>
      <c r="VMP92" s="362"/>
      <c r="VMQ92" s="362"/>
      <c r="VMR92" s="362"/>
      <c r="VMS92" s="362"/>
      <c r="VMT92" s="362"/>
      <c r="VMU92" s="362"/>
      <c r="VMV92" s="362"/>
      <c r="VMW92" s="362"/>
      <c r="VMX92" s="362"/>
      <c r="VMY92" s="362"/>
      <c r="VMZ92" s="362"/>
      <c r="VNA92" s="362"/>
      <c r="VNB92" s="362"/>
      <c r="VNC92" s="362"/>
      <c r="VND92" s="362"/>
      <c r="VNE92" s="362"/>
      <c r="VNF92" s="362"/>
      <c r="VNG92" s="362"/>
      <c r="VNH92" s="362"/>
      <c r="VNI92" s="362"/>
      <c r="VNJ92" s="362"/>
      <c r="VNK92" s="362"/>
      <c r="VNL92" s="362"/>
      <c r="VNM92" s="362"/>
      <c r="VNN92" s="362"/>
      <c r="VNO92" s="362"/>
      <c r="VNP92" s="362"/>
      <c r="VNQ92" s="362"/>
      <c r="VNR92" s="362"/>
      <c r="VNS92" s="362"/>
      <c r="VNT92" s="362"/>
      <c r="VNU92" s="362"/>
      <c r="VNV92" s="362"/>
      <c r="VNW92" s="362"/>
      <c r="VNX92" s="362"/>
      <c r="VNY92" s="362"/>
      <c r="VNZ92" s="362"/>
      <c r="VOA92" s="362"/>
      <c r="VOB92" s="362"/>
      <c r="VOC92" s="362"/>
      <c r="VOD92" s="362"/>
      <c r="VOE92" s="362"/>
      <c r="VOF92" s="362"/>
      <c r="VOG92" s="362"/>
      <c r="VOH92" s="362"/>
      <c r="VOI92" s="362"/>
      <c r="VOJ92" s="362"/>
      <c r="VOK92" s="362"/>
      <c r="VOL92" s="362"/>
      <c r="VOM92" s="362"/>
      <c r="VON92" s="362"/>
      <c r="VOO92" s="362"/>
      <c r="VOP92" s="362"/>
      <c r="VOQ92" s="362"/>
      <c r="VOR92" s="362"/>
      <c r="VOS92" s="362"/>
      <c r="VOT92" s="362"/>
      <c r="VOU92" s="362"/>
      <c r="VOV92" s="362"/>
      <c r="VOW92" s="362"/>
      <c r="VOX92" s="362"/>
      <c r="VOY92" s="362"/>
      <c r="VOZ92" s="362"/>
      <c r="VPA92" s="362"/>
      <c r="VPB92" s="362"/>
      <c r="VPC92" s="362"/>
      <c r="VPD92" s="362"/>
      <c r="VPE92" s="362"/>
      <c r="VPF92" s="362"/>
      <c r="VPG92" s="362"/>
      <c r="VPH92" s="362"/>
      <c r="VPI92" s="362"/>
      <c r="VPJ92" s="362"/>
      <c r="VPK92" s="362"/>
      <c r="VPL92" s="362"/>
      <c r="VPM92" s="362"/>
      <c r="VPN92" s="362"/>
      <c r="VPO92" s="362"/>
      <c r="VPP92" s="362"/>
      <c r="VPQ92" s="362"/>
      <c r="VPR92" s="362"/>
      <c r="VPS92" s="362"/>
      <c r="VPT92" s="362"/>
      <c r="VPU92" s="362"/>
      <c r="VPV92" s="362"/>
      <c r="VPW92" s="362"/>
      <c r="VPX92" s="362"/>
      <c r="VPY92" s="362"/>
      <c r="VPZ92" s="362"/>
      <c r="VQA92" s="362"/>
      <c r="VQB92" s="362"/>
      <c r="VQC92" s="362"/>
      <c r="VQD92" s="362"/>
      <c r="VQE92" s="362"/>
      <c r="VQF92" s="362"/>
      <c r="VQG92" s="362"/>
      <c r="VQH92" s="362"/>
      <c r="VQI92" s="362"/>
      <c r="VQJ92" s="362"/>
      <c r="VQK92" s="362"/>
      <c r="VQL92" s="362"/>
      <c r="VQM92" s="362"/>
      <c r="VQN92" s="362"/>
      <c r="VQO92" s="362"/>
      <c r="VQP92" s="362"/>
      <c r="VQQ92" s="362"/>
      <c r="VQR92" s="362"/>
      <c r="VQS92" s="362"/>
      <c r="VQT92" s="362"/>
      <c r="VQU92" s="362"/>
      <c r="VQV92" s="362"/>
      <c r="VQW92" s="362"/>
      <c r="VQX92" s="362"/>
      <c r="VQY92" s="362"/>
      <c r="VQZ92" s="362"/>
      <c r="VRA92" s="362"/>
      <c r="VRB92" s="362"/>
      <c r="VRC92" s="362"/>
      <c r="VRD92" s="362"/>
      <c r="VRE92" s="362"/>
      <c r="VRF92" s="362"/>
      <c r="VRG92" s="362"/>
      <c r="VRH92" s="362"/>
      <c r="VRI92" s="362"/>
      <c r="VRJ92" s="362"/>
      <c r="VRK92" s="362"/>
      <c r="VRL92" s="362"/>
      <c r="VRM92" s="362"/>
      <c r="VRN92" s="362"/>
      <c r="VRO92" s="362"/>
      <c r="VRP92" s="362"/>
      <c r="VRQ92" s="362"/>
      <c r="VRR92" s="362"/>
      <c r="VRS92" s="362"/>
      <c r="VRT92" s="362"/>
      <c r="VRU92" s="362"/>
      <c r="VRV92" s="362"/>
      <c r="VRW92" s="362"/>
      <c r="VRX92" s="362"/>
      <c r="VRY92" s="362"/>
      <c r="VRZ92" s="362"/>
      <c r="VSA92" s="362"/>
      <c r="VSB92" s="362"/>
      <c r="VSC92" s="362"/>
      <c r="VSD92" s="362"/>
      <c r="VSE92" s="362"/>
      <c r="VSF92" s="362"/>
      <c r="VSG92" s="362"/>
      <c r="VSH92" s="362"/>
      <c r="VSI92" s="362"/>
      <c r="VSJ92" s="362"/>
      <c r="VSK92" s="362"/>
      <c r="VSL92" s="362"/>
      <c r="VSM92" s="362"/>
      <c r="VSN92" s="362"/>
      <c r="VSO92" s="362"/>
      <c r="VSP92" s="362"/>
      <c r="VSQ92" s="362"/>
      <c r="VSR92" s="362"/>
      <c r="VSS92" s="362"/>
      <c r="VST92" s="362"/>
      <c r="VSU92" s="362"/>
      <c r="VSV92" s="362"/>
      <c r="VSW92" s="362"/>
      <c r="VSX92" s="362"/>
      <c r="VSY92" s="362"/>
      <c r="VSZ92" s="362"/>
      <c r="VTA92" s="362"/>
      <c r="VTB92" s="362"/>
      <c r="VTC92" s="362"/>
      <c r="VTD92" s="362"/>
      <c r="VTE92" s="362"/>
      <c r="VTF92" s="362"/>
      <c r="VTG92" s="362"/>
      <c r="VTH92" s="362"/>
      <c r="VTI92" s="362"/>
      <c r="VTJ92" s="362"/>
      <c r="VTK92" s="362"/>
      <c r="VTL92" s="362"/>
      <c r="VTM92" s="362"/>
      <c r="VTN92" s="362"/>
      <c r="VTO92" s="362"/>
      <c r="VTP92" s="362"/>
      <c r="VTQ92" s="362"/>
      <c r="VTR92" s="362"/>
      <c r="VTS92" s="362"/>
      <c r="VTT92" s="362"/>
      <c r="VTU92" s="362"/>
      <c r="VTV92" s="362"/>
      <c r="VTW92" s="362"/>
      <c r="VTX92" s="362"/>
      <c r="VTY92" s="362"/>
      <c r="VTZ92" s="362"/>
      <c r="VUA92" s="362"/>
      <c r="VUB92" s="362"/>
      <c r="VUC92" s="362"/>
      <c r="VUD92" s="362"/>
      <c r="VUE92" s="362"/>
      <c r="VUF92" s="362"/>
      <c r="VUG92" s="362"/>
      <c r="VUH92" s="362"/>
      <c r="VUI92" s="362"/>
      <c r="VUJ92" s="362"/>
      <c r="VUK92" s="362"/>
      <c r="VUL92" s="362"/>
      <c r="VUM92" s="362"/>
      <c r="VUN92" s="362"/>
      <c r="VUO92" s="362"/>
      <c r="VUP92" s="362"/>
      <c r="VUQ92" s="362"/>
      <c r="VUR92" s="362"/>
      <c r="VUS92" s="362"/>
      <c r="VUT92" s="362"/>
      <c r="VUU92" s="362"/>
      <c r="VUV92" s="362"/>
      <c r="VUW92" s="362"/>
      <c r="VUX92" s="362"/>
      <c r="VUY92" s="362"/>
      <c r="VUZ92" s="362"/>
      <c r="VVA92" s="362"/>
      <c r="VVB92" s="362"/>
      <c r="VVC92" s="362"/>
      <c r="VVD92" s="362"/>
      <c r="VVE92" s="362"/>
      <c r="VVF92" s="362"/>
      <c r="VVG92" s="362"/>
      <c r="VVH92" s="362"/>
      <c r="VVI92" s="362"/>
      <c r="VVJ92" s="362"/>
      <c r="VVK92" s="362"/>
      <c r="VVL92" s="362"/>
      <c r="VVM92" s="362"/>
      <c r="VVN92" s="362"/>
      <c r="VVO92" s="362"/>
      <c r="VVP92" s="362"/>
      <c r="VVQ92" s="362"/>
      <c r="VVR92" s="362"/>
      <c r="VVS92" s="362"/>
      <c r="VVT92" s="362"/>
      <c r="VVU92" s="362"/>
      <c r="VVV92" s="362"/>
      <c r="VVW92" s="362"/>
      <c r="VVX92" s="362"/>
      <c r="VVY92" s="362"/>
      <c r="VVZ92" s="362"/>
      <c r="VWA92" s="362"/>
      <c r="VWB92" s="362"/>
      <c r="VWC92" s="362"/>
      <c r="VWD92" s="362"/>
      <c r="VWE92" s="362"/>
      <c r="VWF92" s="362"/>
      <c r="VWG92" s="362"/>
      <c r="VWH92" s="362"/>
      <c r="VWI92" s="362"/>
      <c r="VWJ92" s="362"/>
      <c r="VWK92" s="362"/>
      <c r="VWL92" s="362"/>
      <c r="VWM92" s="362"/>
      <c r="VWN92" s="362"/>
      <c r="VWO92" s="362"/>
      <c r="VWP92" s="362"/>
      <c r="VWQ92" s="362"/>
      <c r="VWR92" s="362"/>
      <c r="VWS92" s="362"/>
      <c r="VWT92" s="362"/>
      <c r="VWU92" s="362"/>
      <c r="VWV92" s="362"/>
      <c r="VWW92" s="362"/>
      <c r="VWX92" s="362"/>
      <c r="VWY92" s="362"/>
      <c r="VWZ92" s="362"/>
      <c r="VXA92" s="362"/>
      <c r="VXB92" s="362"/>
      <c r="VXC92" s="362"/>
      <c r="VXD92" s="362"/>
      <c r="VXE92" s="362"/>
      <c r="VXF92" s="362"/>
      <c r="VXG92" s="362"/>
      <c r="VXH92" s="362"/>
      <c r="VXI92" s="362"/>
      <c r="VXJ92" s="362"/>
      <c r="VXK92" s="362"/>
      <c r="VXL92" s="362"/>
      <c r="VXM92" s="362"/>
      <c r="VXN92" s="362"/>
      <c r="VXO92" s="362"/>
      <c r="VXP92" s="362"/>
      <c r="VXQ92" s="362"/>
      <c r="VXR92" s="362"/>
      <c r="VXS92" s="362"/>
      <c r="VXT92" s="362"/>
      <c r="VXU92" s="362"/>
      <c r="VXV92" s="362"/>
      <c r="VXW92" s="362"/>
      <c r="VXX92" s="362"/>
      <c r="VXY92" s="362"/>
      <c r="VXZ92" s="362"/>
      <c r="VYA92" s="362"/>
      <c r="VYB92" s="362"/>
      <c r="VYC92" s="362"/>
      <c r="VYD92" s="362"/>
      <c r="VYE92" s="362"/>
      <c r="VYF92" s="362"/>
      <c r="VYG92" s="362"/>
      <c r="VYH92" s="362"/>
      <c r="VYI92" s="362"/>
      <c r="VYJ92" s="362"/>
      <c r="VYK92" s="362"/>
      <c r="VYL92" s="362"/>
      <c r="VYM92" s="362"/>
      <c r="VYN92" s="362"/>
      <c r="VYO92" s="362"/>
      <c r="VYP92" s="362"/>
      <c r="VYQ92" s="362"/>
      <c r="VYR92" s="362"/>
      <c r="VYS92" s="362"/>
      <c r="VYT92" s="362"/>
      <c r="VYU92" s="362"/>
      <c r="VYV92" s="362"/>
      <c r="VYW92" s="362"/>
      <c r="VYX92" s="362"/>
      <c r="VYY92" s="362"/>
      <c r="VYZ92" s="362"/>
      <c r="VZA92" s="362"/>
      <c r="VZB92" s="362"/>
      <c r="VZC92" s="362"/>
      <c r="VZD92" s="362"/>
      <c r="VZE92" s="362"/>
      <c r="VZF92" s="362"/>
      <c r="VZG92" s="362"/>
      <c r="VZH92" s="362"/>
      <c r="VZI92" s="362"/>
      <c r="VZJ92" s="362"/>
      <c r="VZK92" s="362"/>
      <c r="VZL92" s="362"/>
      <c r="VZM92" s="362"/>
      <c r="VZN92" s="362"/>
      <c r="VZO92" s="362"/>
      <c r="VZP92" s="362"/>
      <c r="VZQ92" s="362"/>
      <c r="VZR92" s="362"/>
      <c r="VZS92" s="362"/>
      <c r="VZT92" s="362"/>
      <c r="VZU92" s="362"/>
      <c r="VZV92" s="362"/>
      <c r="VZW92" s="362"/>
      <c r="VZX92" s="362"/>
      <c r="VZY92" s="362"/>
      <c r="VZZ92" s="362"/>
      <c r="WAA92" s="362"/>
      <c r="WAB92" s="362"/>
      <c r="WAC92" s="362"/>
      <c r="WAD92" s="362"/>
      <c r="WAE92" s="362"/>
      <c r="WAF92" s="362"/>
      <c r="WAG92" s="362"/>
      <c r="WAH92" s="362"/>
      <c r="WAI92" s="362"/>
      <c r="WAJ92" s="362"/>
      <c r="WAK92" s="362"/>
      <c r="WAL92" s="362"/>
      <c r="WAM92" s="362"/>
      <c r="WAN92" s="362"/>
      <c r="WAO92" s="362"/>
      <c r="WAP92" s="362"/>
      <c r="WAQ92" s="362"/>
      <c r="WAR92" s="362"/>
      <c r="WAS92" s="362"/>
      <c r="WAT92" s="362"/>
      <c r="WAU92" s="362"/>
      <c r="WAV92" s="362"/>
      <c r="WAW92" s="362"/>
      <c r="WAX92" s="362"/>
      <c r="WAY92" s="362"/>
      <c r="WAZ92" s="362"/>
      <c r="WBA92" s="362"/>
      <c r="WBB92" s="362"/>
      <c r="WBC92" s="362"/>
      <c r="WBD92" s="362"/>
      <c r="WBE92" s="362"/>
      <c r="WBF92" s="362"/>
      <c r="WBG92" s="362"/>
      <c r="WBH92" s="362"/>
      <c r="WBI92" s="362"/>
      <c r="WBJ92" s="362"/>
      <c r="WBK92" s="362"/>
      <c r="WBL92" s="362"/>
      <c r="WBM92" s="362"/>
      <c r="WBN92" s="362"/>
      <c r="WBO92" s="362"/>
      <c r="WBP92" s="362"/>
      <c r="WBQ92" s="362"/>
      <c r="WBR92" s="362"/>
      <c r="WBS92" s="362"/>
      <c r="WBT92" s="362"/>
      <c r="WBU92" s="362"/>
      <c r="WBV92" s="362"/>
      <c r="WBW92" s="362"/>
      <c r="WBX92" s="362"/>
      <c r="WBY92" s="362"/>
      <c r="WBZ92" s="362"/>
      <c r="WCA92" s="362"/>
      <c r="WCB92" s="362"/>
      <c r="WCC92" s="362"/>
      <c r="WCD92" s="362"/>
      <c r="WCE92" s="362"/>
      <c r="WCF92" s="362"/>
      <c r="WCG92" s="362"/>
      <c r="WCH92" s="362"/>
      <c r="WCI92" s="362"/>
      <c r="WCJ92" s="362"/>
      <c r="WCK92" s="362"/>
      <c r="WCL92" s="362"/>
      <c r="WCM92" s="362"/>
      <c r="WCN92" s="362"/>
      <c r="WCO92" s="362"/>
      <c r="WCP92" s="362"/>
      <c r="WCQ92" s="362"/>
      <c r="WCR92" s="362"/>
      <c r="WCS92" s="362"/>
      <c r="WCT92" s="362"/>
      <c r="WCU92" s="362"/>
      <c r="WCV92" s="362"/>
      <c r="WCW92" s="362"/>
      <c r="WCX92" s="362"/>
      <c r="WCY92" s="362"/>
      <c r="WCZ92" s="362"/>
      <c r="WDA92" s="362"/>
      <c r="WDB92" s="362"/>
      <c r="WDC92" s="362"/>
      <c r="WDD92" s="362"/>
      <c r="WDE92" s="362"/>
      <c r="WDF92" s="362"/>
      <c r="WDG92" s="362"/>
      <c r="WDH92" s="362"/>
      <c r="WDI92" s="362"/>
      <c r="WDJ92" s="362"/>
      <c r="WDK92" s="362"/>
      <c r="WDL92" s="362"/>
      <c r="WDM92" s="362"/>
      <c r="WDN92" s="362"/>
      <c r="WDO92" s="362"/>
      <c r="WDP92" s="362"/>
      <c r="WDQ92" s="362"/>
      <c r="WDR92" s="362"/>
      <c r="WDS92" s="362"/>
      <c r="WDT92" s="362"/>
      <c r="WDU92" s="362"/>
      <c r="WDV92" s="362"/>
      <c r="WDW92" s="362"/>
      <c r="WDX92" s="362"/>
      <c r="WDY92" s="362"/>
      <c r="WDZ92" s="362"/>
      <c r="WEA92" s="362"/>
      <c r="WEB92" s="362"/>
      <c r="WEC92" s="362"/>
      <c r="WED92" s="362"/>
      <c r="WEE92" s="362"/>
      <c r="WEF92" s="362"/>
      <c r="WEG92" s="362"/>
      <c r="WEH92" s="362"/>
      <c r="WEI92" s="362"/>
      <c r="WEJ92" s="362"/>
      <c r="WEK92" s="362"/>
      <c r="WEL92" s="362"/>
      <c r="WEM92" s="362"/>
      <c r="WEN92" s="362"/>
      <c r="WEO92" s="362"/>
      <c r="WEP92" s="362"/>
      <c r="WEQ92" s="362"/>
      <c r="WER92" s="362"/>
      <c r="WES92" s="362"/>
      <c r="WET92" s="362"/>
      <c r="WEU92" s="362"/>
      <c r="WEV92" s="362"/>
      <c r="WEW92" s="362"/>
      <c r="WEX92" s="362"/>
      <c r="WEY92" s="362"/>
      <c r="WEZ92" s="362"/>
      <c r="WFA92" s="362"/>
      <c r="WFB92" s="362"/>
      <c r="WFC92" s="362"/>
      <c r="WFD92" s="362"/>
      <c r="WFE92" s="362"/>
      <c r="WFF92" s="362"/>
      <c r="WFG92" s="362"/>
      <c r="WFH92" s="362"/>
      <c r="WFI92" s="362"/>
      <c r="WFJ92" s="362"/>
      <c r="WFK92" s="362"/>
      <c r="WFL92" s="362"/>
      <c r="WFM92" s="362"/>
      <c r="WFN92" s="362"/>
      <c r="WFO92" s="362"/>
      <c r="WFP92" s="362"/>
      <c r="WFQ92" s="362"/>
      <c r="WFR92" s="362"/>
      <c r="WFS92" s="362"/>
      <c r="WFT92" s="362"/>
      <c r="WFU92" s="362"/>
      <c r="WFV92" s="362"/>
      <c r="WFW92" s="362"/>
      <c r="WFX92" s="362"/>
      <c r="WFY92" s="362"/>
      <c r="WFZ92" s="362"/>
      <c r="WGA92" s="362"/>
      <c r="WGB92" s="362"/>
      <c r="WGC92" s="362"/>
      <c r="WGD92" s="362"/>
      <c r="WGE92" s="362"/>
      <c r="WGF92" s="362"/>
      <c r="WGG92" s="362"/>
      <c r="WGH92" s="362"/>
      <c r="WGI92" s="362"/>
      <c r="WGJ92" s="362"/>
      <c r="WGK92" s="362"/>
      <c r="WGL92" s="362"/>
      <c r="WGM92" s="362"/>
      <c r="WGN92" s="362"/>
      <c r="WGO92" s="362"/>
      <c r="WGP92" s="362"/>
      <c r="WGQ92" s="362"/>
      <c r="WGR92" s="362"/>
      <c r="WGS92" s="362"/>
      <c r="WGT92" s="362"/>
      <c r="WGU92" s="362"/>
      <c r="WGV92" s="362"/>
      <c r="WGW92" s="362"/>
      <c r="WGX92" s="362"/>
      <c r="WGY92" s="362"/>
      <c r="WGZ92" s="362"/>
      <c r="WHA92" s="362"/>
      <c r="WHB92" s="362"/>
      <c r="WHC92" s="362"/>
      <c r="WHD92" s="362"/>
      <c r="WHE92" s="362"/>
      <c r="WHF92" s="362"/>
      <c r="WHG92" s="362"/>
      <c r="WHH92" s="362"/>
      <c r="WHI92" s="362"/>
      <c r="WHJ92" s="362"/>
      <c r="WHK92" s="362"/>
      <c r="WHL92" s="362"/>
      <c r="WHM92" s="362"/>
      <c r="WHN92" s="362"/>
      <c r="WHO92" s="362"/>
      <c r="WHP92" s="362"/>
      <c r="WHQ92" s="362"/>
      <c r="WHR92" s="362"/>
      <c r="WHS92" s="362"/>
      <c r="WHT92" s="362"/>
      <c r="WHU92" s="362"/>
      <c r="WHV92" s="362"/>
      <c r="WHW92" s="362"/>
      <c r="WHX92" s="362"/>
      <c r="WHY92" s="362"/>
      <c r="WHZ92" s="362"/>
      <c r="WIA92" s="362"/>
      <c r="WIB92" s="362"/>
      <c r="WIC92" s="362"/>
      <c r="WID92" s="362"/>
      <c r="WIE92" s="362"/>
      <c r="WIF92" s="362"/>
      <c r="WIG92" s="362"/>
      <c r="WIH92" s="362"/>
      <c r="WII92" s="362"/>
      <c r="WIJ92" s="362"/>
      <c r="WIK92" s="362"/>
      <c r="WIL92" s="362"/>
      <c r="WIM92" s="362"/>
      <c r="WIN92" s="362"/>
      <c r="WIO92" s="362"/>
      <c r="WIP92" s="362"/>
      <c r="WIQ92" s="362"/>
      <c r="WIR92" s="362"/>
      <c r="WIS92" s="362"/>
      <c r="WIT92" s="362"/>
      <c r="WIU92" s="362"/>
      <c r="WIV92" s="362"/>
      <c r="WIW92" s="362"/>
      <c r="WIX92" s="362"/>
      <c r="WIY92" s="362"/>
      <c r="WIZ92" s="362"/>
      <c r="WJA92" s="362"/>
      <c r="WJB92" s="362"/>
      <c r="WJC92" s="362"/>
      <c r="WJD92" s="362"/>
      <c r="WJE92" s="362"/>
      <c r="WJF92" s="362"/>
      <c r="WJG92" s="362"/>
      <c r="WJH92" s="362"/>
      <c r="WJI92" s="362"/>
      <c r="WJJ92" s="362"/>
      <c r="WJK92" s="362"/>
      <c r="WJL92" s="362"/>
      <c r="WJM92" s="362"/>
      <c r="WJN92" s="362"/>
      <c r="WJO92" s="362"/>
      <c r="WJP92" s="362"/>
      <c r="WJQ92" s="362"/>
      <c r="WJR92" s="362"/>
      <c r="WJS92" s="362"/>
      <c r="WJT92" s="362"/>
      <c r="WJU92" s="362"/>
      <c r="WJV92" s="362"/>
      <c r="WJW92" s="362"/>
      <c r="WJX92" s="362"/>
      <c r="WJY92" s="362"/>
      <c r="WJZ92" s="362"/>
      <c r="WKA92" s="362"/>
      <c r="WKB92" s="362"/>
      <c r="WKC92" s="362"/>
      <c r="WKD92" s="362"/>
      <c r="WKE92" s="362"/>
      <c r="WKF92" s="362"/>
      <c r="WKG92" s="362"/>
      <c r="WKH92" s="362"/>
      <c r="WKI92" s="362"/>
      <c r="WKJ92" s="362"/>
      <c r="WKK92" s="362"/>
      <c r="WKL92" s="362"/>
      <c r="WKM92" s="362"/>
      <c r="WKN92" s="362"/>
      <c r="WKO92" s="362"/>
      <c r="WKP92" s="362"/>
      <c r="WKQ92" s="362"/>
      <c r="WKR92" s="362"/>
      <c r="WKS92" s="362"/>
      <c r="WKT92" s="362"/>
      <c r="WKU92" s="362"/>
      <c r="WKV92" s="362"/>
      <c r="WKW92" s="362"/>
      <c r="WKX92" s="362"/>
      <c r="WKY92" s="362"/>
      <c r="WKZ92" s="362"/>
      <c r="WLA92" s="362"/>
      <c r="WLB92" s="362"/>
      <c r="WLC92" s="362"/>
      <c r="WLD92" s="362"/>
      <c r="WLE92" s="362"/>
      <c r="WLF92" s="362"/>
      <c r="WLG92" s="362"/>
      <c r="WLH92" s="362"/>
      <c r="WLI92" s="362"/>
      <c r="WLJ92" s="362"/>
      <c r="WLK92" s="362"/>
      <c r="WLL92" s="362"/>
      <c r="WLM92" s="362"/>
      <c r="WLN92" s="362"/>
      <c r="WLO92" s="362"/>
      <c r="WLP92" s="362"/>
      <c r="WLQ92" s="362"/>
      <c r="WLR92" s="362"/>
      <c r="WLS92" s="362"/>
      <c r="WLT92" s="362"/>
      <c r="WLU92" s="362"/>
      <c r="WLV92" s="362"/>
      <c r="WLW92" s="362"/>
      <c r="WLX92" s="362"/>
      <c r="WLY92" s="362"/>
      <c r="WLZ92" s="362"/>
      <c r="WMA92" s="362"/>
      <c r="WMB92" s="362"/>
      <c r="WMC92" s="362"/>
      <c r="WMD92" s="362"/>
      <c r="WME92" s="362"/>
      <c r="WMF92" s="362"/>
      <c r="WMG92" s="362"/>
      <c r="WMH92" s="362"/>
      <c r="WMI92" s="362"/>
      <c r="WMJ92" s="362"/>
      <c r="WMK92" s="362"/>
      <c r="WML92" s="362"/>
      <c r="WMM92" s="362"/>
      <c r="WMN92" s="362"/>
      <c r="WMO92" s="362"/>
      <c r="WMP92" s="362"/>
      <c r="WMQ92" s="362"/>
      <c r="WMR92" s="362"/>
      <c r="WMS92" s="362"/>
      <c r="WMT92" s="362"/>
      <c r="WMU92" s="362"/>
      <c r="WMV92" s="362"/>
      <c r="WMW92" s="362"/>
      <c r="WMX92" s="362"/>
      <c r="WMY92" s="362"/>
      <c r="WMZ92" s="362"/>
      <c r="WNA92" s="362"/>
      <c r="WNB92" s="362"/>
      <c r="WNC92" s="362"/>
      <c r="WND92" s="362"/>
      <c r="WNE92" s="362"/>
      <c r="WNF92" s="362"/>
      <c r="WNG92" s="362"/>
      <c r="WNH92" s="362"/>
      <c r="WNI92" s="362"/>
      <c r="WNJ92" s="362"/>
      <c r="WNK92" s="362"/>
      <c r="WNL92" s="362"/>
      <c r="WNM92" s="362"/>
      <c r="WNN92" s="362"/>
      <c r="WNO92" s="362"/>
      <c r="WNP92" s="362"/>
      <c r="WNQ92" s="362"/>
      <c r="WNR92" s="362"/>
      <c r="WNS92" s="362"/>
      <c r="WNT92" s="362"/>
      <c r="WNU92" s="362"/>
      <c r="WNV92" s="362"/>
      <c r="WNW92" s="362"/>
      <c r="WNX92" s="362"/>
      <c r="WNY92" s="362"/>
      <c r="WNZ92" s="362"/>
      <c r="WOA92" s="362"/>
      <c r="WOB92" s="362"/>
      <c r="WOC92" s="362"/>
      <c r="WOD92" s="362"/>
      <c r="WOE92" s="362"/>
      <c r="WOF92" s="362"/>
      <c r="WOG92" s="362"/>
      <c r="WOH92" s="362"/>
      <c r="WOI92" s="362"/>
      <c r="WOJ92" s="362"/>
      <c r="WOK92" s="362"/>
      <c r="WOL92" s="362"/>
      <c r="WOM92" s="362"/>
      <c r="WON92" s="362"/>
      <c r="WOO92" s="362"/>
      <c r="WOP92" s="362"/>
      <c r="WOQ92" s="362"/>
      <c r="WOR92" s="362"/>
      <c r="WOS92" s="362"/>
      <c r="WOT92" s="362"/>
      <c r="WOU92" s="362"/>
      <c r="WOV92" s="362"/>
      <c r="WOW92" s="362"/>
      <c r="WOX92" s="362"/>
      <c r="WOY92" s="362"/>
      <c r="WOZ92" s="362"/>
      <c r="WPA92" s="362"/>
      <c r="WPB92" s="362"/>
      <c r="WPC92" s="362"/>
      <c r="WPD92" s="362"/>
      <c r="WPE92" s="362"/>
      <c r="WPF92" s="362"/>
      <c r="WPG92" s="362"/>
      <c r="WPH92" s="362"/>
      <c r="WPI92" s="362"/>
      <c r="WPJ92" s="362"/>
      <c r="WPK92" s="362"/>
      <c r="WPL92" s="362"/>
      <c r="WPM92" s="362"/>
      <c r="WPN92" s="362"/>
      <c r="WPO92" s="362"/>
      <c r="WPP92" s="362"/>
      <c r="WPQ92" s="362"/>
      <c r="WPR92" s="362"/>
      <c r="WPS92" s="362"/>
      <c r="WPT92" s="362"/>
      <c r="WPU92" s="362"/>
      <c r="WPV92" s="362"/>
      <c r="WPW92" s="362"/>
      <c r="WPX92" s="362"/>
      <c r="WPY92" s="362"/>
      <c r="WPZ92" s="362"/>
      <c r="WQA92" s="362"/>
      <c r="WQB92" s="362"/>
      <c r="WQC92" s="362"/>
      <c r="WQD92" s="362"/>
      <c r="WQE92" s="362"/>
      <c r="WQF92" s="362"/>
      <c r="WQG92" s="362"/>
      <c r="WQH92" s="362"/>
      <c r="WQI92" s="362"/>
      <c r="WQJ92" s="362"/>
      <c r="WQK92" s="362"/>
      <c r="WQL92" s="362"/>
      <c r="WQM92" s="362"/>
      <c r="WQN92" s="362"/>
      <c r="WQO92" s="362"/>
      <c r="WQP92" s="362"/>
      <c r="WQQ92" s="362"/>
      <c r="WQR92" s="362"/>
      <c r="WQS92" s="362"/>
      <c r="WQT92" s="362"/>
      <c r="WQU92" s="362"/>
      <c r="WQV92" s="362"/>
      <c r="WQW92" s="362"/>
      <c r="WQX92" s="362"/>
      <c r="WQY92" s="362"/>
      <c r="WQZ92" s="362"/>
      <c r="WRA92" s="362"/>
      <c r="WRB92" s="362"/>
      <c r="WRC92" s="362"/>
      <c r="WRD92" s="362"/>
      <c r="WRE92" s="362"/>
      <c r="WRF92" s="362"/>
      <c r="WRG92" s="362"/>
      <c r="WRH92" s="362"/>
      <c r="WRI92" s="362"/>
      <c r="WRJ92" s="362"/>
      <c r="WRK92" s="362"/>
      <c r="WRL92" s="362"/>
      <c r="WRM92" s="362"/>
      <c r="WRN92" s="362"/>
      <c r="WRO92" s="362"/>
      <c r="WRP92" s="362"/>
      <c r="WRQ92" s="362"/>
      <c r="WRR92" s="362"/>
      <c r="WRS92" s="362"/>
      <c r="WRT92" s="362"/>
      <c r="WRU92" s="362"/>
      <c r="WRV92" s="362"/>
      <c r="WRW92" s="362"/>
      <c r="WRX92" s="362"/>
      <c r="WRY92" s="362"/>
      <c r="WRZ92" s="362"/>
      <c r="WSA92" s="362"/>
      <c r="WSB92" s="362"/>
      <c r="WSC92" s="362"/>
      <c r="WSD92" s="362"/>
      <c r="WSE92" s="362"/>
      <c r="WSF92" s="362"/>
      <c r="WSG92" s="362"/>
      <c r="WSH92" s="362"/>
      <c r="WSI92" s="362"/>
      <c r="WSJ92" s="362"/>
      <c r="WSK92" s="362"/>
      <c r="WSL92" s="362"/>
      <c r="WSM92" s="362"/>
      <c r="WSN92" s="362"/>
      <c r="WSO92" s="362"/>
      <c r="WSP92" s="362"/>
      <c r="WSQ92" s="362"/>
      <c r="WSR92" s="362"/>
      <c r="WSS92" s="362"/>
      <c r="WST92" s="362"/>
      <c r="WSU92" s="362"/>
      <c r="WSV92" s="362"/>
      <c r="WSW92" s="362"/>
      <c r="WSX92" s="362"/>
      <c r="WSY92" s="362"/>
      <c r="WSZ92" s="362"/>
      <c r="WTA92" s="362"/>
      <c r="WTB92" s="362"/>
      <c r="WTC92" s="362"/>
      <c r="WTD92" s="362"/>
      <c r="WTE92" s="362"/>
      <c r="WTF92" s="362"/>
      <c r="WTG92" s="362"/>
      <c r="WTH92" s="362"/>
      <c r="WTI92" s="362"/>
      <c r="WTJ92" s="362"/>
      <c r="WTK92" s="362"/>
      <c r="WTL92" s="362"/>
      <c r="WTM92" s="362"/>
      <c r="WTN92" s="362"/>
      <c r="WTO92" s="362"/>
      <c r="WTP92" s="362"/>
      <c r="WTQ92" s="362"/>
      <c r="WTR92" s="362"/>
      <c r="WTS92" s="362"/>
      <c r="WTT92" s="362"/>
      <c r="WTU92" s="362"/>
      <c r="WTV92" s="362"/>
      <c r="WTW92" s="362"/>
      <c r="WTX92" s="362"/>
      <c r="WTY92" s="362"/>
      <c r="WTZ92" s="362"/>
      <c r="WUA92" s="362"/>
      <c r="WUB92" s="362"/>
      <c r="WUC92" s="362"/>
      <c r="WUD92" s="362"/>
      <c r="WUE92" s="362"/>
      <c r="WUF92" s="362"/>
      <c r="WUG92" s="362"/>
      <c r="WUH92" s="362"/>
      <c r="WUI92" s="362"/>
      <c r="WUJ92" s="362"/>
      <c r="WUK92" s="362"/>
      <c r="WUL92" s="362"/>
      <c r="WUM92" s="362"/>
      <c r="WUN92" s="362"/>
      <c r="WUO92" s="362"/>
      <c r="WUP92" s="362"/>
      <c r="WUQ92" s="362"/>
      <c r="WUR92" s="362"/>
      <c r="WUS92" s="362"/>
      <c r="WUT92" s="362"/>
      <c r="WUU92" s="362"/>
      <c r="WUV92" s="362"/>
      <c r="WUW92" s="362"/>
      <c r="WUX92" s="362"/>
      <c r="WUY92" s="362"/>
      <c r="WUZ92" s="362"/>
      <c r="WVA92" s="362"/>
      <c r="WVB92" s="362"/>
      <c r="WVC92" s="362"/>
      <c r="WVD92" s="362"/>
      <c r="WVE92" s="362"/>
      <c r="WVF92" s="362"/>
      <c r="WVG92" s="362"/>
      <c r="WVH92" s="362"/>
      <c r="WVI92" s="362"/>
      <c r="WVJ92" s="362"/>
      <c r="WVK92" s="362"/>
      <c r="WVL92" s="362"/>
      <c r="WVM92" s="362"/>
      <c r="WVN92" s="362"/>
      <c r="WVO92" s="362"/>
      <c r="WVP92" s="362"/>
      <c r="WVQ92" s="362"/>
      <c r="WVR92" s="362"/>
      <c r="WVS92" s="362"/>
      <c r="WVT92" s="362"/>
      <c r="WVU92" s="362"/>
      <c r="WVV92" s="362"/>
      <c r="WVW92" s="362"/>
      <c r="WVX92" s="362"/>
      <c r="WVY92" s="362"/>
      <c r="WVZ92" s="362"/>
      <c r="WWA92" s="362"/>
      <c r="WWB92" s="362"/>
      <c r="WWC92" s="362"/>
      <c r="WWD92" s="362"/>
      <c r="WWE92" s="362"/>
      <c r="WWF92" s="362"/>
      <c r="WWG92" s="362"/>
      <c r="WWH92" s="362"/>
      <c r="WWI92" s="362"/>
      <c r="WWJ92" s="362"/>
      <c r="WWK92" s="362"/>
      <c r="WWL92" s="362"/>
      <c r="WWM92" s="362"/>
      <c r="WWN92" s="362"/>
      <c r="WWO92" s="362"/>
      <c r="WWP92" s="362"/>
      <c r="WWQ92" s="362"/>
      <c r="WWR92" s="362"/>
      <c r="WWS92" s="362"/>
      <c r="WWT92" s="362"/>
      <c r="WWU92" s="362"/>
      <c r="WWV92" s="362"/>
      <c r="WWW92" s="362"/>
      <c r="WWX92" s="362"/>
      <c r="WWY92" s="362"/>
      <c r="WWZ92" s="362"/>
      <c r="WXA92" s="362"/>
      <c r="WXB92" s="362"/>
      <c r="WXC92" s="362"/>
      <c r="WXD92" s="362"/>
      <c r="WXE92" s="362"/>
      <c r="WXF92" s="362"/>
      <c r="WXG92" s="362"/>
      <c r="WXH92" s="362"/>
      <c r="WXI92" s="362"/>
      <c r="WXJ92" s="362"/>
      <c r="WXK92" s="362"/>
      <c r="WXL92" s="362"/>
      <c r="WXM92" s="362"/>
      <c r="WXN92" s="362"/>
      <c r="WXO92" s="362"/>
      <c r="WXP92" s="362"/>
      <c r="WXQ92" s="362"/>
      <c r="WXR92" s="362"/>
      <c r="WXS92" s="362"/>
      <c r="WXT92" s="362"/>
      <c r="WXU92" s="362"/>
      <c r="WXV92" s="362"/>
      <c r="WXW92" s="362"/>
      <c r="WXX92" s="362"/>
      <c r="WXY92" s="362"/>
      <c r="WXZ92" s="362"/>
      <c r="WYA92" s="362"/>
      <c r="WYB92" s="362"/>
      <c r="WYC92" s="362"/>
      <c r="WYD92" s="362"/>
      <c r="WYE92" s="362"/>
      <c r="WYF92" s="362"/>
      <c r="WYG92" s="362"/>
      <c r="WYH92" s="362"/>
      <c r="WYI92" s="362"/>
      <c r="WYJ92" s="362"/>
      <c r="WYK92" s="362"/>
      <c r="WYL92" s="362"/>
      <c r="WYM92" s="362"/>
      <c r="WYN92" s="362"/>
      <c r="WYO92" s="362"/>
      <c r="WYP92" s="362"/>
      <c r="WYQ92" s="362"/>
      <c r="WYR92" s="362"/>
      <c r="WYS92" s="362"/>
      <c r="WYT92" s="362"/>
      <c r="WYU92" s="362"/>
      <c r="WYV92" s="362"/>
      <c r="WYW92" s="362"/>
      <c r="WYX92" s="362"/>
      <c r="WYY92" s="362"/>
      <c r="WYZ92" s="362"/>
      <c r="WZA92" s="362"/>
      <c r="WZB92" s="362"/>
      <c r="WZC92" s="362"/>
      <c r="WZD92" s="362"/>
      <c r="WZE92" s="362"/>
      <c r="WZF92" s="362"/>
      <c r="WZG92" s="362"/>
      <c r="WZH92" s="362"/>
      <c r="WZI92" s="362"/>
      <c r="WZJ92" s="362"/>
      <c r="WZK92" s="362"/>
      <c r="WZL92" s="362"/>
      <c r="WZM92" s="362"/>
      <c r="WZN92" s="362"/>
      <c r="WZO92" s="362"/>
      <c r="WZP92" s="362"/>
      <c r="WZQ92" s="362"/>
      <c r="WZR92" s="362"/>
      <c r="WZS92" s="362"/>
      <c r="WZT92" s="362"/>
      <c r="WZU92" s="362"/>
      <c r="WZV92" s="362"/>
      <c r="WZW92" s="362"/>
      <c r="WZX92" s="362"/>
      <c r="WZY92" s="362"/>
      <c r="WZZ92" s="362"/>
      <c r="XAA92" s="362"/>
      <c r="XAB92" s="362"/>
      <c r="XAC92" s="362"/>
      <c r="XAD92" s="362"/>
      <c r="XAE92" s="362"/>
      <c r="XAF92" s="362"/>
      <c r="XAG92" s="362"/>
      <c r="XAH92" s="362"/>
      <c r="XAI92" s="362"/>
      <c r="XAJ92" s="362"/>
      <c r="XAK92" s="362"/>
      <c r="XAL92" s="362"/>
      <c r="XAM92" s="362"/>
      <c r="XAN92" s="362"/>
      <c r="XAO92" s="362"/>
      <c r="XAP92" s="362"/>
      <c r="XAQ92" s="362"/>
      <c r="XAR92" s="362"/>
      <c r="XAS92" s="362"/>
      <c r="XAT92" s="362"/>
      <c r="XAU92" s="362"/>
      <c r="XAV92" s="362"/>
      <c r="XAW92" s="362"/>
      <c r="XAX92" s="362"/>
      <c r="XAY92" s="362"/>
      <c r="XAZ92" s="362"/>
      <c r="XBA92" s="362"/>
      <c r="XBB92" s="362"/>
      <c r="XBC92" s="362"/>
      <c r="XBD92" s="362"/>
      <c r="XBE92" s="362"/>
      <c r="XBF92" s="362"/>
      <c r="XBG92" s="362"/>
      <c r="XBH92" s="362"/>
      <c r="XBI92" s="362"/>
      <c r="XBJ92" s="362"/>
      <c r="XBK92" s="362"/>
      <c r="XBL92" s="362"/>
      <c r="XBM92" s="362"/>
      <c r="XBN92" s="362"/>
      <c r="XBO92" s="362"/>
      <c r="XBP92" s="362"/>
      <c r="XBQ92" s="362"/>
      <c r="XBR92" s="362"/>
      <c r="XBS92" s="362"/>
      <c r="XBT92" s="362"/>
      <c r="XBU92" s="362"/>
      <c r="XBV92" s="362"/>
      <c r="XBW92" s="362"/>
      <c r="XBX92" s="362"/>
      <c r="XBY92" s="362"/>
      <c r="XBZ92" s="362"/>
      <c r="XCA92" s="362"/>
      <c r="XCB92" s="362"/>
      <c r="XCC92" s="362"/>
      <c r="XCD92" s="362"/>
      <c r="XCE92" s="362"/>
      <c r="XCF92" s="362"/>
      <c r="XCG92" s="362"/>
      <c r="XCH92" s="362"/>
      <c r="XCI92" s="362"/>
      <c r="XCJ92" s="362"/>
      <c r="XCK92" s="362"/>
      <c r="XCL92" s="362"/>
      <c r="XCM92" s="362"/>
      <c r="XCN92" s="362"/>
      <c r="XCO92" s="362"/>
      <c r="XCP92" s="362"/>
      <c r="XCQ92" s="362"/>
      <c r="XCR92" s="362"/>
      <c r="XCS92" s="362"/>
      <c r="XCT92" s="362"/>
      <c r="XCU92" s="362"/>
      <c r="XCV92" s="362"/>
      <c r="XCW92" s="362"/>
      <c r="XCX92" s="362"/>
      <c r="XCY92" s="362"/>
      <c r="XCZ92" s="362"/>
      <c r="XDA92" s="362"/>
      <c r="XDB92" s="362"/>
      <c r="XDC92" s="362"/>
      <c r="XDD92" s="362"/>
      <c r="XDE92" s="362"/>
      <c r="XDF92" s="362"/>
      <c r="XDG92" s="362"/>
      <c r="XDH92" s="362"/>
      <c r="XDI92" s="362"/>
      <c r="XDJ92" s="362"/>
      <c r="XDK92" s="362"/>
      <c r="XDL92" s="362"/>
      <c r="XDM92" s="362"/>
      <c r="XDN92" s="362"/>
      <c r="XDO92" s="362"/>
      <c r="XDP92" s="362"/>
      <c r="XDQ92" s="362"/>
      <c r="XDR92" s="362"/>
      <c r="XDS92" s="362"/>
      <c r="XDT92" s="362"/>
      <c r="XDU92" s="362"/>
      <c r="XDV92" s="362"/>
      <c r="XDW92" s="362"/>
      <c r="XDX92" s="362"/>
      <c r="XDY92" s="362"/>
      <c r="XDZ92" s="362"/>
      <c r="XEA92" s="362"/>
      <c r="XEB92" s="362"/>
      <c r="XEC92" s="362"/>
      <c r="XED92" s="362"/>
      <c r="XEE92" s="362"/>
      <c r="XEF92" s="362"/>
      <c r="XEG92" s="362"/>
      <c r="XEH92" s="362"/>
      <c r="XEI92" s="362"/>
      <c r="XEJ92" s="362"/>
      <c r="XEK92" s="362"/>
      <c r="XEL92" s="362"/>
      <c r="XEM92" s="362"/>
      <c r="XEN92" s="362"/>
      <c r="XEO92" s="362"/>
      <c r="XEP92" s="362"/>
    </row>
    <row r="93" spans="1:16370" s="138" customFormat="1" x14ac:dyDescent="0.2">
      <c r="A93" s="38"/>
      <c r="B93" s="175"/>
      <c r="C93" s="260"/>
      <c r="D93" s="71"/>
      <c r="E93" s="40"/>
      <c r="F93" s="97"/>
      <c r="G93" s="40"/>
      <c r="H93" s="100"/>
      <c r="I93" s="97"/>
      <c r="J93" s="97"/>
      <c r="K93" s="97"/>
      <c r="L93" s="78"/>
      <c r="M93" s="51"/>
      <c r="N93" s="78"/>
      <c r="O93" s="78"/>
      <c r="P93" s="346"/>
      <c r="Q93" s="269">
        <f>1</f>
        <v>1</v>
      </c>
      <c r="R93" s="132"/>
      <c r="T93" s="140"/>
      <c r="U93" s="139"/>
      <c r="X93" s="268"/>
      <c r="Y93" s="268" t="str">
        <f t="shared" si="11"/>
        <v/>
      </c>
      <c r="Z93" s="132" t="str">
        <f>IF(T93="yes",Y93,"")</f>
        <v/>
      </c>
    </row>
    <row r="94" spans="1:16370" s="138" customFormat="1" ht="204" x14ac:dyDescent="0.2">
      <c r="A94" s="38">
        <f>A92+1</f>
        <v>1</v>
      </c>
      <c r="B94" s="177" t="s">
        <v>175</v>
      </c>
      <c r="C94" s="137" t="s">
        <v>175</v>
      </c>
      <c r="D94" s="186" t="s">
        <v>885</v>
      </c>
      <c r="E94" s="143">
        <f>LEN(D94)</f>
        <v>298</v>
      </c>
      <c r="F94" s="157" t="s">
        <v>1100</v>
      </c>
      <c r="G94" s="143" t="e">
        <f>LEN(#REF!)</f>
        <v>#REF!</v>
      </c>
      <c r="H94" s="152" t="s">
        <v>30</v>
      </c>
      <c r="I94" s="143" t="s">
        <v>19</v>
      </c>
      <c r="J94" s="143" t="s">
        <v>19</v>
      </c>
      <c r="K94" s="143" t="s">
        <v>31</v>
      </c>
      <c r="L94" s="167" t="s">
        <v>684</v>
      </c>
      <c r="M94" s="212" t="s">
        <v>19</v>
      </c>
      <c r="N94" s="167" t="s">
        <v>685</v>
      </c>
      <c r="O94" s="51"/>
      <c r="P94" s="2"/>
      <c r="Q94" s="264">
        <f>1</f>
        <v>1</v>
      </c>
      <c r="R94" s="132"/>
      <c r="T94" s="444" t="s">
        <v>26</v>
      </c>
      <c r="U94" s="139"/>
      <c r="X94" s="267">
        <v>15.876502990722656</v>
      </c>
      <c r="Y94" s="267">
        <f t="shared" si="11"/>
        <v>15.876502990722656</v>
      </c>
      <c r="Z94" s="132">
        <f>IF(T94="yes",Y94,"")</f>
        <v>15.876502990722656</v>
      </c>
    </row>
    <row r="95" spans="1:16370" s="138" customFormat="1" x14ac:dyDescent="0.2">
      <c r="A95" s="38"/>
      <c r="B95" s="175"/>
      <c r="C95" s="91"/>
      <c r="D95" s="259"/>
      <c r="E95" s="40"/>
      <c r="F95" s="40"/>
      <c r="G95" s="40"/>
      <c r="H95" s="92"/>
      <c r="I95" s="40"/>
      <c r="J95" s="40"/>
      <c r="K95" s="40"/>
      <c r="L95" s="51"/>
      <c r="M95" s="51"/>
      <c r="N95" s="51"/>
      <c r="O95" s="51"/>
      <c r="P95" s="2"/>
      <c r="Q95" s="269">
        <f>1</f>
        <v>1</v>
      </c>
      <c r="R95" s="132"/>
      <c r="T95" s="140"/>
      <c r="U95" s="139"/>
      <c r="X95" s="268"/>
      <c r="Y95" s="268" t="str">
        <f t="shared" si="11"/>
        <v/>
      </c>
      <c r="Z95" s="132" t="str">
        <f t="shared" si="10"/>
        <v/>
      </c>
    </row>
    <row r="96" spans="1:16370" s="138" customFormat="1" ht="409.5" customHeight="1" x14ac:dyDescent="0.2">
      <c r="A96" s="38">
        <f>A98+1</f>
        <v>2</v>
      </c>
      <c r="B96" s="177" t="s">
        <v>176</v>
      </c>
      <c r="C96" s="384" t="s">
        <v>1290</v>
      </c>
      <c r="D96" s="385" t="s">
        <v>930</v>
      </c>
      <c r="E96" s="143">
        <f>LEN(D96)</f>
        <v>1440</v>
      </c>
      <c r="F96" s="467" t="s">
        <v>1304</v>
      </c>
      <c r="G96" s="143" t="e">
        <f>LEN(#REF!)</f>
        <v>#REF!</v>
      </c>
      <c r="H96" s="152" t="s">
        <v>141</v>
      </c>
      <c r="I96" s="143" t="s">
        <v>19</v>
      </c>
      <c r="J96" s="143" t="s">
        <v>19</v>
      </c>
      <c r="K96" s="359" t="s">
        <v>919</v>
      </c>
      <c r="L96" s="167" t="s">
        <v>665</v>
      </c>
      <c r="M96" s="212" t="s">
        <v>863</v>
      </c>
      <c r="N96" s="167" t="s">
        <v>1289</v>
      </c>
      <c r="O96" s="81"/>
      <c r="P96" s="2"/>
      <c r="Q96" s="264">
        <f>1</f>
        <v>1</v>
      </c>
      <c r="R96" s="132"/>
      <c r="T96" s="444" t="s">
        <v>26</v>
      </c>
      <c r="U96" s="139"/>
      <c r="X96" s="267">
        <v>37.853630065917969</v>
      </c>
      <c r="Y96" s="267">
        <f t="shared" si="11"/>
        <v>37.853630065917969</v>
      </c>
      <c r="Z96" s="132">
        <f t="shared" si="10"/>
        <v>37.853630065917969</v>
      </c>
    </row>
    <row r="97" spans="1:26" s="138" customFormat="1" ht="119" x14ac:dyDescent="0.2">
      <c r="A97" s="18">
        <v>28</v>
      </c>
      <c r="B97" s="233" t="s">
        <v>177</v>
      </c>
      <c r="C97" s="237" t="s">
        <v>177</v>
      </c>
      <c r="D97" s="29" t="s">
        <v>924</v>
      </c>
      <c r="E97" s="16">
        <f>LEN(D97)</f>
        <v>331</v>
      </c>
      <c r="F97" s="29" t="s">
        <v>1222</v>
      </c>
      <c r="G97" s="16" t="e">
        <f>LEN(#REF!)</f>
        <v>#REF!</v>
      </c>
      <c r="H97" s="28" t="s">
        <v>21</v>
      </c>
      <c r="I97" s="12" t="s">
        <v>19</v>
      </c>
      <c r="J97" s="12" t="s">
        <v>19</v>
      </c>
      <c r="K97" s="12" t="s">
        <v>22</v>
      </c>
      <c r="L97" s="21" t="s">
        <v>666</v>
      </c>
      <c r="M97" s="72" t="s">
        <v>19</v>
      </c>
      <c r="N97" s="21" t="s">
        <v>178</v>
      </c>
      <c r="O97" s="14"/>
      <c r="P97" s="2"/>
      <c r="Q97" s="269">
        <f>1</f>
        <v>1</v>
      </c>
      <c r="R97" s="132"/>
      <c r="T97" s="140" t="s">
        <v>18</v>
      </c>
      <c r="U97" s="139"/>
      <c r="X97" s="268"/>
      <c r="Y97" s="268" t="str">
        <f t="shared" si="11"/>
        <v/>
      </c>
      <c r="Z97" s="132" t="str">
        <f t="shared" si="10"/>
        <v/>
      </c>
    </row>
    <row r="98" spans="1:26" s="138" customFormat="1" ht="372" x14ac:dyDescent="0.2">
      <c r="A98" s="6">
        <f>A92+1</f>
        <v>1</v>
      </c>
      <c r="B98" s="228" t="s">
        <v>179</v>
      </c>
      <c r="C98" s="9" t="s">
        <v>718</v>
      </c>
      <c r="D98" s="14" t="s">
        <v>902</v>
      </c>
      <c r="E98" s="12">
        <f>LEN(D98)</f>
        <v>685</v>
      </c>
      <c r="F98" s="465" t="s">
        <v>1305</v>
      </c>
      <c r="G98" s="12" t="e">
        <f>LEN(#REF!)</f>
        <v>#REF!</v>
      </c>
      <c r="H98" s="28" t="s">
        <v>180</v>
      </c>
      <c r="I98" s="12" t="s">
        <v>19</v>
      </c>
      <c r="J98" s="386" t="s">
        <v>719</v>
      </c>
      <c r="K98" s="12" t="s">
        <v>720</v>
      </c>
      <c r="L98" s="387" t="s">
        <v>721</v>
      </c>
      <c r="M98" s="72" t="s">
        <v>864</v>
      </c>
      <c r="N98" s="387" t="s">
        <v>1288</v>
      </c>
      <c r="O98" s="117"/>
      <c r="P98" s="42"/>
      <c r="Q98" s="269">
        <f>1</f>
        <v>1</v>
      </c>
      <c r="R98" s="132"/>
      <c r="T98" s="140" t="s">
        <v>18</v>
      </c>
      <c r="U98" s="139"/>
      <c r="X98" s="268">
        <v>24.773489999999999</v>
      </c>
      <c r="Y98" s="268">
        <f t="shared" si="11"/>
        <v>24.773489999999999</v>
      </c>
      <c r="Z98" s="132" t="str">
        <f t="shared" si="10"/>
        <v/>
      </c>
    </row>
    <row r="99" spans="1:26" s="138" customFormat="1" ht="17" thickBot="1" x14ac:dyDescent="0.25">
      <c r="A99" s="38"/>
      <c r="B99" s="175"/>
      <c r="C99" s="91"/>
      <c r="D99" s="71"/>
      <c r="E99" s="40"/>
      <c r="F99" s="71"/>
      <c r="G99" s="40"/>
      <c r="H99" s="92"/>
      <c r="I99" s="40"/>
      <c r="J99" s="40"/>
      <c r="K99" s="40"/>
      <c r="L99" s="51"/>
      <c r="M99" s="51"/>
      <c r="N99" s="51"/>
      <c r="O99" s="82"/>
      <c r="P99" s="42"/>
      <c r="Q99" s="269">
        <f>1</f>
        <v>1</v>
      </c>
      <c r="R99" s="132"/>
      <c r="T99" s="140"/>
      <c r="U99" s="139"/>
      <c r="X99" s="268"/>
      <c r="Y99" s="268" t="str">
        <f t="shared" si="11"/>
        <v/>
      </c>
      <c r="Z99" s="132" t="str">
        <f t="shared" si="10"/>
        <v/>
      </c>
    </row>
    <row r="100" spans="1:26" s="435" customFormat="1" ht="17" thickBot="1" x14ac:dyDescent="0.25">
      <c r="A100" s="608" t="s">
        <v>181</v>
      </c>
      <c r="B100" s="609"/>
      <c r="C100" s="609"/>
      <c r="D100" s="609"/>
      <c r="E100" s="609"/>
      <c r="F100" s="609"/>
      <c r="G100" s="609"/>
      <c r="H100" s="609"/>
      <c r="I100" s="609"/>
      <c r="J100" s="609"/>
      <c r="K100" s="609"/>
      <c r="L100" s="609"/>
      <c r="M100" s="609"/>
      <c r="N100" s="609"/>
      <c r="O100" s="609"/>
      <c r="P100" s="610"/>
      <c r="Q100" s="264"/>
      <c r="R100" s="446"/>
      <c r="T100" s="444"/>
      <c r="U100" s="447"/>
      <c r="X100" s="267"/>
      <c r="Y100" s="267" t="str">
        <f t="shared" si="11"/>
        <v/>
      </c>
      <c r="Z100" s="446" t="str">
        <f t="shared" si="10"/>
        <v/>
      </c>
    </row>
    <row r="101" spans="1:26" s="138" customFormat="1" ht="153" x14ac:dyDescent="0.2">
      <c r="A101" s="90">
        <f>A97+1</f>
        <v>29</v>
      </c>
      <c r="B101" s="185" t="s">
        <v>182</v>
      </c>
      <c r="C101" s="137" t="s">
        <v>182</v>
      </c>
      <c r="D101" s="161" t="s">
        <v>183</v>
      </c>
      <c r="E101" s="135">
        <f>LEN(D101)</f>
        <v>218</v>
      </c>
      <c r="F101" s="161" t="s">
        <v>1223</v>
      </c>
      <c r="G101" s="135">
        <f>LEN(F101)</f>
        <v>275</v>
      </c>
      <c r="H101" s="145" t="s">
        <v>30</v>
      </c>
      <c r="I101" s="135" t="s">
        <v>19</v>
      </c>
      <c r="J101" s="135" t="s">
        <v>825</v>
      </c>
      <c r="K101" s="143" t="s">
        <v>31</v>
      </c>
      <c r="L101" s="160" t="s">
        <v>184</v>
      </c>
      <c r="M101" s="212" t="s">
        <v>19</v>
      </c>
      <c r="N101" s="141" t="s">
        <v>826</v>
      </c>
      <c r="O101" s="166"/>
      <c r="P101" s="184"/>
      <c r="Q101" s="269">
        <f>'Additional information'!$D$17</f>
        <v>0.91</v>
      </c>
      <c r="R101" s="132"/>
      <c r="T101" s="444" t="s">
        <v>26</v>
      </c>
      <c r="U101" s="139"/>
      <c r="X101" s="267">
        <v>7.3040728569030762</v>
      </c>
      <c r="Y101" s="267">
        <f t="shared" si="11"/>
        <v>6.6467062997817994</v>
      </c>
      <c r="Z101" s="132">
        <f t="shared" si="10"/>
        <v>6.6467062997817994</v>
      </c>
    </row>
    <row r="102" spans="1:26" s="138" customFormat="1" x14ac:dyDescent="0.2">
      <c r="A102" s="90"/>
      <c r="B102" s="98"/>
      <c r="C102" s="91"/>
      <c r="D102" s="99"/>
      <c r="E102" s="97"/>
      <c r="F102" s="99"/>
      <c r="G102" s="97"/>
      <c r="H102" s="100"/>
      <c r="I102" s="97"/>
      <c r="J102" s="97"/>
      <c r="K102" s="40"/>
      <c r="L102" s="82"/>
      <c r="M102" s="71"/>
      <c r="N102" s="166"/>
      <c r="O102" s="166"/>
      <c r="P102" s="184"/>
      <c r="Q102" s="269">
        <f>'Additional information'!$D$17</f>
        <v>0.91</v>
      </c>
      <c r="R102" s="132"/>
      <c r="T102" s="140"/>
      <c r="U102" s="139"/>
      <c r="X102" s="268"/>
      <c r="Y102" s="268" t="str">
        <f t="shared" si="11"/>
        <v/>
      </c>
      <c r="Z102" s="132" t="str">
        <f t="shared" si="10"/>
        <v/>
      </c>
    </row>
    <row r="103" spans="1:26" s="235" customFormat="1" ht="85" x14ac:dyDescent="0.2">
      <c r="A103" s="316"/>
      <c r="B103" s="159" t="s">
        <v>185</v>
      </c>
      <c r="C103" s="143" t="s">
        <v>185</v>
      </c>
      <c r="D103" s="157" t="s">
        <v>186</v>
      </c>
      <c r="E103" s="143">
        <f>LEN(D103)</f>
        <v>237</v>
      </c>
      <c r="F103" s="199" t="s">
        <v>1101</v>
      </c>
      <c r="G103" s="143">
        <f>LEN(F103)</f>
        <v>245</v>
      </c>
      <c r="H103" s="144" t="s">
        <v>92</v>
      </c>
      <c r="I103" s="143" t="s">
        <v>19</v>
      </c>
      <c r="J103" s="143" t="s">
        <v>19</v>
      </c>
      <c r="K103" s="143" t="s">
        <v>22</v>
      </c>
      <c r="L103" s="167" t="s">
        <v>187</v>
      </c>
      <c r="M103" s="212" t="s">
        <v>19</v>
      </c>
      <c r="N103" s="141" t="s">
        <v>188</v>
      </c>
      <c r="O103" s="183"/>
      <c r="P103" s="182"/>
      <c r="Q103" s="269">
        <f>'Additional information'!$D$17</f>
        <v>0.91</v>
      </c>
      <c r="R103" s="132"/>
      <c r="T103" s="444" t="s">
        <v>26</v>
      </c>
      <c r="U103" s="139"/>
      <c r="X103" s="267">
        <v>23.939905166625977</v>
      </c>
      <c r="Y103" s="267">
        <f t="shared" ref="Y103:Y110" si="12">IF(X103="","",X103*Q103)</f>
        <v>21.78531370162964</v>
      </c>
      <c r="Z103" s="132">
        <f t="shared" si="10"/>
        <v>21.78531370162964</v>
      </c>
    </row>
    <row r="104" spans="1:26" s="235" customFormat="1" ht="187" x14ac:dyDescent="0.2">
      <c r="A104" s="316"/>
      <c r="B104" s="159" t="s">
        <v>189</v>
      </c>
      <c r="C104" s="143" t="s">
        <v>189</v>
      </c>
      <c r="D104" s="157" t="s">
        <v>190</v>
      </c>
      <c r="E104" s="143">
        <f>LEN(D104)</f>
        <v>157</v>
      </c>
      <c r="F104" s="157" t="s">
        <v>1102</v>
      </c>
      <c r="G104" s="143">
        <f>LEN(F104)</f>
        <v>186</v>
      </c>
      <c r="H104" s="144" t="s">
        <v>30</v>
      </c>
      <c r="I104" s="143" t="s">
        <v>19</v>
      </c>
      <c r="J104" s="143" t="s">
        <v>19</v>
      </c>
      <c r="K104" s="143" t="s">
        <v>31</v>
      </c>
      <c r="L104" s="167" t="s">
        <v>191</v>
      </c>
      <c r="M104" s="212" t="s">
        <v>19</v>
      </c>
      <c r="N104" s="141" t="s">
        <v>192</v>
      </c>
      <c r="O104" s="166"/>
      <c r="P104" s="180"/>
      <c r="Q104" s="269">
        <f>'Additional information'!$D$17</f>
        <v>0.91</v>
      </c>
      <c r="R104" s="132"/>
      <c r="T104" s="444" t="s">
        <v>26</v>
      </c>
      <c r="U104" s="139"/>
      <c r="X104" s="267">
        <v>2.2494626045227051</v>
      </c>
      <c r="Y104" s="267">
        <f t="shared" si="12"/>
        <v>2.0470109701156618</v>
      </c>
      <c r="Z104" s="132">
        <f t="shared" si="10"/>
        <v>2.0470109701156618</v>
      </c>
    </row>
    <row r="105" spans="1:26" s="235" customFormat="1" x14ac:dyDescent="0.2">
      <c r="A105" s="116"/>
      <c r="B105" s="258"/>
      <c r="C105" s="97"/>
      <c r="D105" s="99"/>
      <c r="E105" s="97"/>
      <c r="F105" s="99"/>
      <c r="G105" s="97"/>
      <c r="H105" s="91"/>
      <c r="I105" s="97"/>
      <c r="J105" s="97"/>
      <c r="K105" s="97"/>
      <c r="L105" s="82"/>
      <c r="M105" s="71"/>
      <c r="N105" s="236"/>
      <c r="O105" s="181"/>
      <c r="P105" s="180"/>
      <c r="Q105" s="269">
        <f>'Additional information'!$D$17</f>
        <v>0.91</v>
      </c>
      <c r="R105" s="132"/>
      <c r="T105" s="140"/>
      <c r="U105" s="139"/>
      <c r="X105" s="268"/>
      <c r="Y105" s="268" t="str">
        <f t="shared" si="12"/>
        <v/>
      </c>
      <c r="Z105" s="132" t="str">
        <f t="shared" si="10"/>
        <v/>
      </c>
    </row>
    <row r="106" spans="1:26" s="138" customFormat="1" ht="119" x14ac:dyDescent="0.2">
      <c r="A106" s="90">
        <f>A101+1</f>
        <v>30</v>
      </c>
      <c r="B106" s="227" t="s">
        <v>193</v>
      </c>
      <c r="C106" s="137" t="s">
        <v>193</v>
      </c>
      <c r="D106" s="161" t="s">
        <v>1338</v>
      </c>
      <c r="E106" s="135">
        <f>LEN(D106)</f>
        <v>216</v>
      </c>
      <c r="F106" s="199" t="s">
        <v>1339</v>
      </c>
      <c r="G106" s="135">
        <f>LEN(F106)</f>
        <v>297</v>
      </c>
      <c r="H106" s="145" t="s">
        <v>30</v>
      </c>
      <c r="I106" s="135" t="s">
        <v>19</v>
      </c>
      <c r="J106" s="135" t="s">
        <v>19</v>
      </c>
      <c r="K106" s="137" t="s">
        <v>829</v>
      </c>
      <c r="L106" s="160" t="s">
        <v>759</v>
      </c>
      <c r="M106" s="398" t="s">
        <v>865</v>
      </c>
      <c r="N106" s="393" t="s">
        <v>760</v>
      </c>
      <c r="O106" s="178"/>
      <c r="P106" s="42"/>
      <c r="Q106" s="269">
        <f>'Additional information'!$D$17</f>
        <v>0.91</v>
      </c>
      <c r="R106" s="132"/>
      <c r="T106" s="444" t="s">
        <v>26</v>
      </c>
      <c r="U106" s="139"/>
      <c r="X106" s="267">
        <v>23.440116882324219</v>
      </c>
      <c r="Y106" s="267">
        <f t="shared" si="12"/>
        <v>21.330506362915038</v>
      </c>
      <c r="Z106" s="132">
        <f t="shared" si="10"/>
        <v>21.330506362915038</v>
      </c>
    </row>
    <row r="107" spans="1:26" s="138" customFormat="1" ht="102" x14ac:dyDescent="0.2">
      <c r="A107" s="90"/>
      <c r="B107" s="227" t="s">
        <v>194</v>
      </c>
      <c r="C107" s="137" t="s">
        <v>194</v>
      </c>
      <c r="D107" s="161" t="s">
        <v>845</v>
      </c>
      <c r="E107" s="135">
        <f>LEN(D107)</f>
        <v>173</v>
      </c>
      <c r="F107" s="161" t="s">
        <v>1103</v>
      </c>
      <c r="G107" s="135">
        <f>LEN(F107)</f>
        <v>175</v>
      </c>
      <c r="H107" s="145" t="s">
        <v>30</v>
      </c>
      <c r="I107" s="135" t="s">
        <v>19</v>
      </c>
      <c r="J107" s="135" t="s">
        <v>19</v>
      </c>
      <c r="K107" s="137" t="s">
        <v>31</v>
      </c>
      <c r="L107" s="160" t="s">
        <v>1287</v>
      </c>
      <c r="M107" s="212" t="s">
        <v>19</v>
      </c>
      <c r="N107" s="179" t="s">
        <v>1286</v>
      </c>
      <c r="O107" s="178"/>
      <c r="P107" s="42"/>
      <c r="Q107" s="269">
        <f>'Additional information'!$D$17</f>
        <v>0.91</v>
      </c>
      <c r="R107" s="132"/>
      <c r="T107" s="444" t="s">
        <v>26</v>
      </c>
      <c r="U107" s="139"/>
      <c r="X107" s="267">
        <v>7.7659573554992676</v>
      </c>
      <c r="Y107" s="267">
        <f t="shared" si="12"/>
        <v>7.0670211935043339</v>
      </c>
      <c r="Z107" s="132">
        <f t="shared" si="10"/>
        <v>7.0670211935043339</v>
      </c>
    </row>
    <row r="108" spans="1:26" s="138" customFormat="1" x14ac:dyDescent="0.2">
      <c r="A108" s="90"/>
      <c r="B108" s="255"/>
      <c r="C108" s="91"/>
      <c r="D108" s="99"/>
      <c r="E108" s="97"/>
      <c r="F108" s="97"/>
      <c r="G108" s="97"/>
      <c r="H108" s="100"/>
      <c r="I108" s="97"/>
      <c r="J108" s="97"/>
      <c r="K108" s="91"/>
      <c r="L108" s="82"/>
      <c r="M108" s="71"/>
      <c r="N108" s="315"/>
      <c r="O108" s="178"/>
      <c r="P108" s="42"/>
      <c r="Q108" s="269">
        <f>'Additional information'!$D$17</f>
        <v>0.91</v>
      </c>
      <c r="R108" s="132"/>
      <c r="T108" s="140"/>
      <c r="U108" s="139"/>
      <c r="X108" s="268"/>
      <c r="Y108" s="268" t="str">
        <f t="shared" si="12"/>
        <v/>
      </c>
      <c r="Z108" s="132" t="str">
        <f t="shared" si="10"/>
        <v/>
      </c>
    </row>
    <row r="109" spans="1:26" s="138" customFormat="1" ht="221" x14ac:dyDescent="0.2">
      <c r="A109" s="38">
        <f>A106+1</f>
        <v>31</v>
      </c>
      <c r="B109" s="159" t="s">
        <v>758</v>
      </c>
      <c r="C109" s="143" t="s">
        <v>756</v>
      </c>
      <c r="D109" s="157" t="s">
        <v>920</v>
      </c>
      <c r="E109" s="143">
        <f>LEN(D109)</f>
        <v>331</v>
      </c>
      <c r="F109" s="457" t="s">
        <v>1306</v>
      </c>
      <c r="G109" s="143">
        <f>LEN(F109)</f>
        <v>398</v>
      </c>
      <c r="H109" s="144" t="s">
        <v>64</v>
      </c>
      <c r="I109" s="143" t="s">
        <v>19</v>
      </c>
      <c r="J109" s="143" t="s">
        <v>19</v>
      </c>
      <c r="K109" s="143" t="s">
        <v>65</v>
      </c>
      <c r="L109" s="167" t="s">
        <v>689</v>
      </c>
      <c r="M109" s="212" t="s">
        <v>19</v>
      </c>
      <c r="N109" s="179" t="s">
        <v>761</v>
      </c>
      <c r="O109" s="60"/>
      <c r="P109" s="2"/>
      <c r="Q109" s="269">
        <f>'Additional information'!$D$17</f>
        <v>0.91</v>
      </c>
      <c r="R109" s="132"/>
      <c r="T109" s="444" t="s">
        <v>26</v>
      </c>
      <c r="U109" s="139"/>
      <c r="X109" s="267">
        <v>16.481756210327148</v>
      </c>
      <c r="Y109" s="267">
        <f t="shared" si="12"/>
        <v>14.998398151397705</v>
      </c>
      <c r="Z109" s="132">
        <f t="shared" si="10"/>
        <v>14.998398151397705</v>
      </c>
    </row>
    <row r="110" spans="1:26" s="138" customFormat="1" ht="14.25" customHeight="1" x14ac:dyDescent="0.2">
      <c r="A110" s="38"/>
      <c r="B110" s="175"/>
      <c r="C110" s="174"/>
      <c r="D110" s="173"/>
      <c r="E110" s="40"/>
      <c r="F110" s="40"/>
      <c r="G110" s="40"/>
      <c r="H110" s="92"/>
      <c r="I110" s="40"/>
      <c r="J110" s="40"/>
      <c r="K110" s="40"/>
      <c r="L110" s="171"/>
      <c r="M110" s="71"/>
      <c r="N110" s="257"/>
      <c r="O110" s="171"/>
      <c r="P110" s="2"/>
      <c r="Q110" s="269">
        <f>'Additional information'!$D$17</f>
        <v>0.91</v>
      </c>
      <c r="R110" s="132"/>
      <c r="T110" s="140"/>
      <c r="U110" s="139"/>
      <c r="X110" s="268"/>
      <c r="Y110" s="268" t="str">
        <f t="shared" si="12"/>
        <v/>
      </c>
      <c r="Z110" s="132" t="str">
        <f t="shared" si="10"/>
        <v/>
      </c>
    </row>
    <row r="111" spans="1:26" s="138" customFormat="1" ht="204" x14ac:dyDescent="0.2">
      <c r="A111" s="6"/>
      <c r="B111" s="31" t="s">
        <v>755</v>
      </c>
      <c r="C111" s="12" t="s">
        <v>755</v>
      </c>
      <c r="D111" s="30" t="s">
        <v>846</v>
      </c>
      <c r="E111" s="12">
        <f>LEN(D111)</f>
        <v>335</v>
      </c>
      <c r="F111" s="466" t="s">
        <v>1104</v>
      </c>
      <c r="G111" s="12">
        <f>LEN(F111)</f>
        <v>417</v>
      </c>
      <c r="H111" s="9" t="s">
        <v>30</v>
      </c>
      <c r="I111" s="8" t="s">
        <v>19</v>
      </c>
      <c r="J111" s="377" t="s">
        <v>921</v>
      </c>
      <c r="K111" s="8" t="s">
        <v>31</v>
      </c>
      <c r="L111" s="387" t="s">
        <v>726</v>
      </c>
      <c r="M111" s="72" t="s">
        <v>19</v>
      </c>
      <c r="N111" s="413" t="s">
        <v>762</v>
      </c>
      <c r="O111" s="54"/>
      <c r="P111" s="2"/>
      <c r="Q111" s="269"/>
      <c r="R111" s="132"/>
      <c r="T111" s="140" t="s">
        <v>18</v>
      </c>
      <c r="U111" s="139"/>
      <c r="X111" s="268"/>
      <c r="Y111" s="268"/>
      <c r="Z111" s="132"/>
    </row>
    <row r="112" spans="1:26" s="138" customFormat="1" ht="170" x14ac:dyDescent="0.2">
      <c r="A112" s="6"/>
      <c r="B112" s="31" t="s">
        <v>757</v>
      </c>
      <c r="C112" s="12" t="s">
        <v>757</v>
      </c>
      <c r="D112" s="30" t="s">
        <v>847</v>
      </c>
      <c r="E112" s="12">
        <f>LEN(D112)</f>
        <v>188</v>
      </c>
      <c r="F112" s="466" t="s">
        <v>1307</v>
      </c>
      <c r="G112" s="12">
        <f>LEN(F112)</f>
        <v>232</v>
      </c>
      <c r="H112" s="9" t="s">
        <v>30</v>
      </c>
      <c r="I112" s="8" t="s">
        <v>19</v>
      </c>
      <c r="J112" s="8" t="s">
        <v>19</v>
      </c>
      <c r="K112" s="8" t="s">
        <v>31</v>
      </c>
      <c r="L112" s="387" t="s">
        <v>727</v>
      </c>
      <c r="M112" s="72" t="s">
        <v>19</v>
      </c>
      <c r="N112" s="413" t="s">
        <v>763</v>
      </c>
      <c r="O112" s="54"/>
      <c r="P112" s="2"/>
      <c r="Q112" s="269"/>
      <c r="R112" s="132"/>
      <c r="T112" s="140" t="s">
        <v>18</v>
      </c>
      <c r="U112" s="139"/>
      <c r="X112" s="268"/>
      <c r="Y112" s="268"/>
      <c r="Z112" s="132"/>
    </row>
    <row r="113" spans="1:26" s="138" customFormat="1" ht="255" x14ac:dyDescent="0.2">
      <c r="A113" s="6">
        <f>A109+1</f>
        <v>32</v>
      </c>
      <c r="B113" s="31" t="s">
        <v>195</v>
      </c>
      <c r="C113" s="12" t="s">
        <v>774</v>
      </c>
      <c r="D113" s="30" t="s">
        <v>848</v>
      </c>
      <c r="E113" s="12">
        <f>LEN(D113)</f>
        <v>326</v>
      </c>
      <c r="F113" s="465" t="s">
        <v>1105</v>
      </c>
      <c r="G113" s="12">
        <f>LEN(F113)</f>
        <v>403</v>
      </c>
      <c r="H113" s="9" t="s">
        <v>725</v>
      </c>
      <c r="I113" s="8" t="s">
        <v>19</v>
      </c>
      <c r="J113" s="8" t="s">
        <v>19</v>
      </c>
      <c r="K113" s="8" t="s">
        <v>724</v>
      </c>
      <c r="L113" s="117" t="s">
        <v>723</v>
      </c>
      <c r="M113" s="72" t="s">
        <v>866</v>
      </c>
      <c r="N113" s="115" t="s">
        <v>722</v>
      </c>
      <c r="O113" s="54"/>
      <c r="P113" s="2"/>
      <c r="Q113" s="269">
        <f>'Additional information'!$D$17</f>
        <v>0.91</v>
      </c>
      <c r="R113" s="132"/>
      <c r="T113" s="140" t="s">
        <v>18</v>
      </c>
      <c r="U113" s="139"/>
      <c r="X113" s="268">
        <v>18.511110305786133</v>
      </c>
      <c r="Y113" s="268">
        <f t="shared" ref="Y113:Y144" si="13">IF(X113="","",X113*Q113)</f>
        <v>16.845110378265382</v>
      </c>
      <c r="Z113" s="132" t="str">
        <f t="shared" si="10"/>
        <v/>
      </c>
    </row>
    <row r="114" spans="1:26" s="138" customFormat="1" x14ac:dyDescent="0.2">
      <c r="A114" s="38"/>
      <c r="B114" s="175"/>
      <c r="C114" s="174"/>
      <c r="D114" s="173"/>
      <c r="E114" s="40"/>
      <c r="F114" s="40"/>
      <c r="G114" s="40"/>
      <c r="H114" s="92"/>
      <c r="I114" s="40"/>
      <c r="J114" s="40"/>
      <c r="K114" s="40"/>
      <c r="L114" s="171"/>
      <c r="M114" s="71"/>
      <c r="N114" s="172"/>
      <c r="O114" s="171"/>
      <c r="P114" s="2"/>
      <c r="Q114" s="269">
        <f>'Additional information'!$D$17</f>
        <v>0.91</v>
      </c>
      <c r="R114" s="132"/>
      <c r="T114" s="140"/>
      <c r="U114" s="139"/>
      <c r="X114" s="268"/>
      <c r="Y114" s="268" t="str">
        <f t="shared" si="13"/>
        <v/>
      </c>
      <c r="Z114" s="132" t="str">
        <f t="shared" si="10"/>
        <v/>
      </c>
    </row>
    <row r="115" spans="1:26" s="138" customFormat="1" ht="204" x14ac:dyDescent="0.2">
      <c r="A115" s="38">
        <f>A113+1</f>
        <v>33</v>
      </c>
      <c r="B115" s="177" t="s">
        <v>196</v>
      </c>
      <c r="C115" s="176" t="s">
        <v>196</v>
      </c>
      <c r="D115" s="157" t="s">
        <v>886</v>
      </c>
      <c r="E115" s="143">
        <f>LEN(D115)</f>
        <v>255</v>
      </c>
      <c r="F115" s="457" t="s">
        <v>1308</v>
      </c>
      <c r="G115" s="143">
        <f>LEN(F115)</f>
        <v>267</v>
      </c>
      <c r="H115" s="152" t="s">
        <v>30</v>
      </c>
      <c r="I115" s="143" t="s">
        <v>19</v>
      </c>
      <c r="J115" s="143" t="s">
        <v>19</v>
      </c>
      <c r="K115" s="143" t="s">
        <v>31</v>
      </c>
      <c r="L115" s="167" t="s">
        <v>197</v>
      </c>
      <c r="M115" s="212" t="s">
        <v>19</v>
      </c>
      <c r="N115" s="167" t="s">
        <v>198</v>
      </c>
      <c r="O115" s="51"/>
      <c r="P115" s="2"/>
      <c r="Q115" s="269">
        <f>'Additional information'!$D$17</f>
        <v>0.91</v>
      </c>
      <c r="R115" s="132"/>
      <c r="T115" s="444" t="s">
        <v>26</v>
      </c>
      <c r="U115" s="139"/>
      <c r="X115" s="267">
        <v>20.308681488037109</v>
      </c>
      <c r="Y115" s="267">
        <f t="shared" si="13"/>
        <v>18.480900154113769</v>
      </c>
      <c r="Z115" s="132">
        <f t="shared" si="10"/>
        <v>18.480900154113769</v>
      </c>
    </row>
    <row r="116" spans="1:26" s="138" customFormat="1" x14ac:dyDescent="0.2">
      <c r="A116" s="38"/>
      <c r="B116" s="175"/>
      <c r="C116" s="174"/>
      <c r="D116" s="173"/>
      <c r="E116" s="40"/>
      <c r="F116" s="173"/>
      <c r="G116" s="40"/>
      <c r="H116" s="92"/>
      <c r="I116" s="40"/>
      <c r="J116" s="40"/>
      <c r="K116" s="40"/>
      <c r="L116" s="171"/>
      <c r="M116" s="71"/>
      <c r="N116" s="172"/>
      <c r="O116" s="171"/>
      <c r="P116" s="2"/>
      <c r="Q116" s="269">
        <f>'Additional information'!$D$17</f>
        <v>0.91</v>
      </c>
      <c r="R116" s="132"/>
      <c r="T116" s="140"/>
      <c r="U116" s="139"/>
      <c r="X116" s="268"/>
      <c r="Y116" s="268" t="str">
        <f t="shared" si="13"/>
        <v/>
      </c>
      <c r="Z116" s="132" t="str">
        <f t="shared" si="10"/>
        <v/>
      </c>
    </row>
    <row r="117" spans="1:26" s="138" customFormat="1" ht="204" x14ac:dyDescent="0.2">
      <c r="A117" s="38">
        <f>A115+1</f>
        <v>34</v>
      </c>
      <c r="B117" s="159" t="s">
        <v>199</v>
      </c>
      <c r="C117" s="143" t="s">
        <v>199</v>
      </c>
      <c r="D117" s="157" t="s">
        <v>887</v>
      </c>
      <c r="E117" s="143">
        <f>LEN(D117)</f>
        <v>275</v>
      </c>
      <c r="F117" s="457" t="s">
        <v>1224</v>
      </c>
      <c r="G117" s="143">
        <f>LEN(F117)</f>
        <v>287</v>
      </c>
      <c r="H117" s="152" t="s">
        <v>30</v>
      </c>
      <c r="I117" s="143" t="s">
        <v>19</v>
      </c>
      <c r="J117" s="143" t="s">
        <v>19</v>
      </c>
      <c r="K117" s="143" t="s">
        <v>31</v>
      </c>
      <c r="L117" s="142" t="s">
        <v>1285</v>
      </c>
      <c r="M117" s="212" t="s">
        <v>19</v>
      </c>
      <c r="N117" s="170" t="s">
        <v>1284</v>
      </c>
      <c r="O117" s="169"/>
      <c r="P117" s="118"/>
      <c r="Q117" s="269">
        <f>'Additional information'!$D$17</f>
        <v>0.91</v>
      </c>
      <c r="R117" s="132"/>
      <c r="T117" s="444" t="s">
        <v>26</v>
      </c>
      <c r="U117" s="139"/>
      <c r="X117" s="267">
        <v>15.448612213134766</v>
      </c>
      <c r="Y117" s="267">
        <f t="shared" si="13"/>
        <v>14.058237113952638</v>
      </c>
      <c r="Z117" s="132">
        <f t="shared" si="10"/>
        <v>14.058237113952638</v>
      </c>
    </row>
    <row r="118" spans="1:26" s="138" customFormat="1" ht="102" x14ac:dyDescent="0.2">
      <c r="A118" s="6">
        <f>A117+1</f>
        <v>35</v>
      </c>
      <c r="B118" s="44" t="s">
        <v>200</v>
      </c>
      <c r="C118" s="45" t="s">
        <v>200</v>
      </c>
      <c r="D118" s="11" t="s">
        <v>888</v>
      </c>
      <c r="E118" s="12">
        <f>LEN(D118)</f>
        <v>234</v>
      </c>
      <c r="F118" s="11" t="s">
        <v>1106</v>
      </c>
      <c r="G118" s="12">
        <f>LEN(F118)</f>
        <v>274</v>
      </c>
      <c r="H118" s="46" t="s">
        <v>92</v>
      </c>
      <c r="I118" s="12" t="s">
        <v>19</v>
      </c>
      <c r="J118" s="12" t="s">
        <v>19</v>
      </c>
      <c r="K118" s="12" t="s">
        <v>22</v>
      </c>
      <c r="L118" s="14" t="s">
        <v>1283</v>
      </c>
      <c r="M118" s="72" t="s">
        <v>19</v>
      </c>
      <c r="N118" s="47" t="s">
        <v>1282</v>
      </c>
      <c r="O118" s="58"/>
      <c r="P118" s="611" t="s">
        <v>201</v>
      </c>
      <c r="Q118" s="269">
        <f>'Additional information'!$D$17</f>
        <v>0.91</v>
      </c>
      <c r="R118" s="132"/>
      <c r="T118" s="140" t="s">
        <v>18</v>
      </c>
      <c r="U118" s="139"/>
      <c r="X118" s="268">
        <v>30.343915939331055</v>
      </c>
      <c r="Y118" s="268">
        <f t="shared" si="13"/>
        <v>27.61296350479126</v>
      </c>
      <c r="Z118" s="132" t="str">
        <f t="shared" si="10"/>
        <v/>
      </c>
    </row>
    <row r="119" spans="1:26" s="138" customFormat="1" ht="221" x14ac:dyDescent="0.2">
      <c r="A119" s="6">
        <f>A118+1</f>
        <v>36</v>
      </c>
      <c r="B119" s="44" t="s">
        <v>202</v>
      </c>
      <c r="C119" s="45" t="s">
        <v>202</v>
      </c>
      <c r="D119" s="50" t="s">
        <v>903</v>
      </c>
      <c r="E119" s="12">
        <f>LEN(D119)</f>
        <v>175</v>
      </c>
      <c r="F119" s="50" t="s">
        <v>1225</v>
      </c>
      <c r="G119" s="12">
        <f>LEN(F119)</f>
        <v>218</v>
      </c>
      <c r="H119" s="46" t="s">
        <v>728</v>
      </c>
      <c r="I119" s="12" t="s">
        <v>19</v>
      </c>
      <c r="J119" s="12" t="s">
        <v>19</v>
      </c>
      <c r="K119" s="12" t="s">
        <v>830</v>
      </c>
      <c r="L119" s="14" t="s">
        <v>203</v>
      </c>
      <c r="M119" s="72" t="s">
        <v>19</v>
      </c>
      <c r="N119" s="47" t="s">
        <v>204</v>
      </c>
      <c r="O119" s="58"/>
      <c r="P119" s="612"/>
      <c r="Q119" s="269">
        <f>'Additional information'!$D$17</f>
        <v>0.91</v>
      </c>
      <c r="R119" s="132"/>
      <c r="T119" s="140" t="s">
        <v>18</v>
      </c>
      <c r="U119" s="139"/>
      <c r="X119" s="268">
        <v>5.4708995819091797</v>
      </c>
      <c r="Y119" s="268">
        <f t="shared" si="13"/>
        <v>4.9785186195373541</v>
      </c>
      <c r="Z119" s="132" t="str">
        <f t="shared" si="10"/>
        <v/>
      </c>
    </row>
    <row r="120" spans="1:26" s="138" customFormat="1" ht="68" x14ac:dyDescent="0.2">
      <c r="A120" s="6">
        <f>A119+1</f>
        <v>37</v>
      </c>
      <c r="B120" s="44" t="s">
        <v>205</v>
      </c>
      <c r="C120" s="45" t="s">
        <v>205</v>
      </c>
      <c r="D120" s="50" t="s">
        <v>206</v>
      </c>
      <c r="E120" s="12">
        <f>LEN(D120)</f>
        <v>123</v>
      </c>
      <c r="F120" s="50" t="s">
        <v>1107</v>
      </c>
      <c r="G120" s="12">
        <f>LEN(F120)</f>
        <v>138</v>
      </c>
      <c r="H120" s="46" t="s">
        <v>92</v>
      </c>
      <c r="I120" s="12" t="s">
        <v>19</v>
      </c>
      <c r="J120" s="12" t="s">
        <v>19</v>
      </c>
      <c r="K120" s="12" t="s">
        <v>22</v>
      </c>
      <c r="L120" s="14" t="s">
        <v>207</v>
      </c>
      <c r="M120" s="72" t="s">
        <v>19</v>
      </c>
      <c r="N120" s="47" t="s">
        <v>208</v>
      </c>
      <c r="O120" s="58"/>
      <c r="P120" s="612"/>
      <c r="Q120" s="269">
        <f>'Additional information'!$D$17</f>
        <v>0.91</v>
      </c>
      <c r="R120" s="132"/>
      <c r="T120" s="140" t="s">
        <v>18</v>
      </c>
      <c r="U120" s="139"/>
      <c r="X120" s="268">
        <v>7.9054727554321289</v>
      </c>
      <c r="Y120" s="268">
        <f t="shared" si="13"/>
        <v>7.1939802074432375</v>
      </c>
      <c r="Z120" s="132" t="str">
        <f t="shared" si="10"/>
        <v/>
      </c>
    </row>
    <row r="121" spans="1:26" s="138" customFormat="1" ht="102" x14ac:dyDescent="0.2">
      <c r="A121" s="6">
        <f>A120+1</f>
        <v>38</v>
      </c>
      <c r="B121" s="44" t="s">
        <v>209</v>
      </c>
      <c r="C121" s="45" t="s">
        <v>209</v>
      </c>
      <c r="D121" s="48" t="s">
        <v>896</v>
      </c>
      <c r="E121" s="12">
        <f>LEN(D121)</f>
        <v>218</v>
      </c>
      <c r="F121" s="48" t="s">
        <v>1108</v>
      </c>
      <c r="G121" s="12">
        <f>LEN(F121)</f>
        <v>214</v>
      </c>
      <c r="H121" s="46" t="s">
        <v>92</v>
      </c>
      <c r="I121" s="12" t="s">
        <v>19</v>
      </c>
      <c r="J121" s="12" t="s">
        <v>19</v>
      </c>
      <c r="K121" s="12" t="s">
        <v>22</v>
      </c>
      <c r="L121" s="14" t="s">
        <v>1281</v>
      </c>
      <c r="M121" s="72" t="s">
        <v>19</v>
      </c>
      <c r="N121" s="47" t="s">
        <v>1280</v>
      </c>
      <c r="O121" s="58"/>
      <c r="P121" s="613"/>
      <c r="Q121" s="269">
        <f>'Additional information'!$D$17</f>
        <v>0.91</v>
      </c>
      <c r="R121" s="132"/>
      <c r="T121" s="140" t="s">
        <v>18</v>
      </c>
      <c r="U121" s="139"/>
      <c r="X121" s="268">
        <v>16.435977935791016</v>
      </c>
      <c r="Y121" s="268">
        <f t="shared" si="13"/>
        <v>14.956739921569826</v>
      </c>
      <c r="Z121" s="132" t="str">
        <f t="shared" si="10"/>
        <v/>
      </c>
    </row>
    <row r="122" spans="1:26" s="138" customFormat="1" x14ac:dyDescent="0.2">
      <c r="A122" s="38"/>
      <c r="B122" s="234"/>
      <c r="C122" s="91"/>
      <c r="D122" s="71"/>
      <c r="E122" s="40"/>
      <c r="F122" s="40"/>
      <c r="G122" s="40"/>
      <c r="H122" s="92"/>
      <c r="I122" s="40"/>
      <c r="J122" s="40"/>
      <c r="K122" s="40"/>
      <c r="L122" s="76"/>
      <c r="M122" s="76"/>
      <c r="N122" s="76"/>
      <c r="O122" s="76"/>
      <c r="P122" s="2"/>
      <c r="Q122" s="269">
        <f>'Additional information'!$D$17</f>
        <v>0.91</v>
      </c>
      <c r="R122" s="132"/>
      <c r="T122" s="140"/>
      <c r="U122" s="139"/>
      <c r="X122" s="268"/>
      <c r="Y122" s="268" t="str">
        <f t="shared" si="13"/>
        <v/>
      </c>
      <c r="Z122" s="132" t="str">
        <f t="shared" si="10"/>
        <v/>
      </c>
    </row>
    <row r="123" spans="1:26" s="138" customFormat="1" ht="153" x14ac:dyDescent="0.2">
      <c r="A123" s="38">
        <f>A121+1</f>
        <v>39</v>
      </c>
      <c r="B123" s="159" t="s">
        <v>210</v>
      </c>
      <c r="C123" s="137" t="s">
        <v>210</v>
      </c>
      <c r="D123" s="158" t="s">
        <v>729</v>
      </c>
      <c r="E123" s="143">
        <f>LEN(D123)</f>
        <v>157</v>
      </c>
      <c r="F123" s="457" t="s">
        <v>1309</v>
      </c>
      <c r="G123" s="143">
        <f>LEN(F123)</f>
        <v>166</v>
      </c>
      <c r="H123" s="152" t="s">
        <v>30</v>
      </c>
      <c r="I123" s="143" t="s">
        <v>19</v>
      </c>
      <c r="J123" s="143" t="s">
        <v>19</v>
      </c>
      <c r="K123" s="143" t="s">
        <v>31</v>
      </c>
      <c r="L123" s="142" t="s">
        <v>211</v>
      </c>
      <c r="M123" s="212" t="s">
        <v>19</v>
      </c>
      <c r="N123" s="142" t="s">
        <v>1279</v>
      </c>
      <c r="O123" s="52"/>
      <c r="P123" s="2"/>
      <c r="Q123" s="269">
        <f>'Additional information'!$D$17</f>
        <v>0.91</v>
      </c>
      <c r="R123" s="132"/>
      <c r="T123" s="444" t="s">
        <v>26</v>
      </c>
      <c r="U123" s="139"/>
      <c r="X123" s="267">
        <v>11.375329971313477</v>
      </c>
      <c r="Y123" s="267">
        <f t="shared" si="13"/>
        <v>10.351550273895263</v>
      </c>
      <c r="Z123" s="132">
        <f t="shared" si="10"/>
        <v>10.351550273895263</v>
      </c>
    </row>
    <row r="124" spans="1:26" s="138" customFormat="1" ht="409.6" x14ac:dyDescent="0.2">
      <c r="A124" s="104">
        <f>A123+1</f>
        <v>40</v>
      </c>
      <c r="B124" s="229" t="s">
        <v>212</v>
      </c>
      <c r="C124" s="144" t="s">
        <v>772</v>
      </c>
      <c r="D124" s="414" t="s">
        <v>783</v>
      </c>
      <c r="E124" s="126">
        <f>LEN(D124)</f>
        <v>773</v>
      </c>
      <c r="F124" s="457" t="s">
        <v>1109</v>
      </c>
      <c r="G124" s="126">
        <f>LEN(F124)</f>
        <v>870</v>
      </c>
      <c r="H124" s="137" t="s">
        <v>725</v>
      </c>
      <c r="I124" s="126" t="s">
        <v>19</v>
      </c>
      <c r="J124" s="126" t="s">
        <v>19</v>
      </c>
      <c r="K124" s="126" t="s">
        <v>780</v>
      </c>
      <c r="L124" s="409" t="s">
        <v>781</v>
      </c>
      <c r="M124" s="212" t="s">
        <v>867</v>
      </c>
      <c r="N124" s="158" t="s">
        <v>782</v>
      </c>
      <c r="O124" s="52"/>
      <c r="P124" s="2"/>
      <c r="Q124" s="269">
        <f>'Additional information'!$D$17</f>
        <v>0.91</v>
      </c>
      <c r="R124" s="132"/>
      <c r="T124" s="444" t="s">
        <v>26</v>
      </c>
      <c r="U124" s="139"/>
      <c r="X124" s="267">
        <v>25.844999313354492</v>
      </c>
      <c r="Y124" s="267">
        <f t="shared" si="13"/>
        <v>23.518949375152587</v>
      </c>
      <c r="Z124" s="132">
        <f t="shared" si="10"/>
        <v>23.518949375152587</v>
      </c>
    </row>
    <row r="125" spans="1:26" s="138" customFormat="1" x14ac:dyDescent="0.2">
      <c r="A125" s="38"/>
      <c r="B125" s="234"/>
      <c r="C125" s="91"/>
      <c r="D125" s="71"/>
      <c r="E125" s="40"/>
      <c r="F125" s="40"/>
      <c r="G125" s="40"/>
      <c r="H125" s="92"/>
      <c r="I125" s="40"/>
      <c r="J125" s="40"/>
      <c r="K125" s="40"/>
      <c r="L125" s="76"/>
      <c r="M125" s="76"/>
      <c r="N125" s="76"/>
      <c r="O125" s="76"/>
      <c r="P125" s="2"/>
      <c r="Q125" s="269">
        <f>'Additional information'!$D$17</f>
        <v>0.91</v>
      </c>
      <c r="R125" s="132"/>
      <c r="T125" s="140"/>
      <c r="U125" s="139"/>
      <c r="X125" s="268"/>
      <c r="Y125" s="268" t="str">
        <f t="shared" si="13"/>
        <v/>
      </c>
      <c r="Z125" s="132" t="str">
        <f t="shared" si="10"/>
        <v/>
      </c>
    </row>
    <row r="126" spans="1:26" s="138" customFormat="1" ht="221" x14ac:dyDescent="0.2">
      <c r="A126" s="101">
        <f>A124+1</f>
        <v>41</v>
      </c>
      <c r="B126" s="228" t="s">
        <v>213</v>
      </c>
      <c r="C126" s="237" t="s">
        <v>213</v>
      </c>
      <c r="D126" s="14" t="s">
        <v>889</v>
      </c>
      <c r="E126" s="12">
        <f>LEN(D126)</f>
        <v>296</v>
      </c>
      <c r="F126" s="14" t="s">
        <v>1226</v>
      </c>
      <c r="G126" s="12">
        <f>LEN(F126)</f>
        <v>291</v>
      </c>
      <c r="H126" s="13" t="s">
        <v>30</v>
      </c>
      <c r="I126" s="12" t="s">
        <v>19</v>
      </c>
      <c r="J126" s="411" t="s">
        <v>831</v>
      </c>
      <c r="K126" s="12" t="s">
        <v>31</v>
      </c>
      <c r="L126" s="14" t="s">
        <v>832</v>
      </c>
      <c r="M126" s="72" t="s">
        <v>19</v>
      </c>
      <c r="N126" s="14" t="s">
        <v>1278</v>
      </c>
      <c r="O126" s="23"/>
      <c r="P126" s="2"/>
      <c r="Q126" s="269">
        <f>'Additional information'!$D$17</f>
        <v>0.91</v>
      </c>
      <c r="R126" s="132"/>
      <c r="T126" s="140" t="s">
        <v>18</v>
      </c>
      <c r="U126" s="139"/>
      <c r="X126" s="268">
        <v>12.186037063598633</v>
      </c>
      <c r="Y126" s="268">
        <f t="shared" si="13"/>
        <v>11.089293727874756</v>
      </c>
      <c r="Z126" s="132" t="str">
        <f t="shared" si="10"/>
        <v/>
      </c>
    </row>
    <row r="127" spans="1:26" s="138" customFormat="1" ht="136" x14ac:dyDescent="0.2">
      <c r="A127" s="49"/>
      <c r="B127" s="233" t="s">
        <v>214</v>
      </c>
      <c r="C127" s="232" t="s">
        <v>215</v>
      </c>
      <c r="D127" s="7" t="s">
        <v>882</v>
      </c>
      <c r="E127" s="16">
        <f>LEN(D127)</f>
        <v>233</v>
      </c>
      <c r="F127" s="7" t="s">
        <v>1227</v>
      </c>
      <c r="G127" s="16">
        <f>LEN(F127)</f>
        <v>245</v>
      </c>
      <c r="H127" s="20" t="s">
        <v>141</v>
      </c>
      <c r="I127" s="16" t="s">
        <v>19</v>
      </c>
      <c r="J127" s="412" t="s">
        <v>19</v>
      </c>
      <c r="K127" s="16" t="s">
        <v>833</v>
      </c>
      <c r="L127" s="21" t="s">
        <v>216</v>
      </c>
      <c r="M127" s="72" t="s">
        <v>19</v>
      </c>
      <c r="N127" s="55" t="s">
        <v>217</v>
      </c>
      <c r="O127" s="55"/>
      <c r="P127" s="118"/>
      <c r="Q127" s="269">
        <f>'Additional information'!$D$17</f>
        <v>0.91</v>
      </c>
      <c r="R127" s="132"/>
      <c r="T127" s="140" t="s">
        <v>18</v>
      </c>
      <c r="U127" s="139"/>
      <c r="X127" s="268">
        <v>18.744722366333008</v>
      </c>
      <c r="Y127" s="268">
        <f t="shared" si="13"/>
        <v>17.057697353363039</v>
      </c>
      <c r="Z127" s="132" t="str">
        <f t="shared" si="10"/>
        <v/>
      </c>
    </row>
    <row r="128" spans="1:26" s="138" customFormat="1" ht="17" thickBot="1" x14ac:dyDescent="0.25">
      <c r="A128" s="104"/>
      <c r="B128" s="256"/>
      <c r="C128" s="105"/>
      <c r="D128" s="80"/>
      <c r="E128" s="94"/>
      <c r="F128" s="94"/>
      <c r="G128" s="94"/>
      <c r="H128" s="105"/>
      <c r="I128" s="94"/>
      <c r="J128" s="94"/>
      <c r="K128" s="94"/>
      <c r="L128" s="86"/>
      <c r="M128" s="76"/>
      <c r="N128" s="80"/>
      <c r="O128" s="86"/>
      <c r="P128" s="63"/>
      <c r="Q128" s="269">
        <f>'Additional information'!$D$17</f>
        <v>0.91</v>
      </c>
      <c r="R128" s="132"/>
      <c r="T128" s="140"/>
      <c r="U128" s="139"/>
      <c r="X128" s="268"/>
      <c r="Y128" s="268" t="str">
        <f t="shared" si="13"/>
        <v/>
      </c>
      <c r="Z128" s="132" t="str">
        <f t="shared" si="10"/>
        <v/>
      </c>
    </row>
    <row r="129" spans="1:26" s="435" customFormat="1" ht="17" thickBot="1" x14ac:dyDescent="0.25">
      <c r="A129" s="608" t="s">
        <v>218</v>
      </c>
      <c r="B129" s="609"/>
      <c r="C129" s="609"/>
      <c r="D129" s="609"/>
      <c r="E129" s="609"/>
      <c r="F129" s="609"/>
      <c r="G129" s="609"/>
      <c r="H129" s="609"/>
      <c r="I129" s="609"/>
      <c r="J129" s="609"/>
      <c r="K129" s="609"/>
      <c r="L129" s="609"/>
      <c r="M129" s="609"/>
      <c r="N129" s="609"/>
      <c r="O129" s="609"/>
      <c r="P129" s="610"/>
      <c r="Q129" s="264"/>
      <c r="R129" s="446"/>
      <c r="T129" s="444"/>
      <c r="U129" s="447"/>
      <c r="X129" s="267"/>
      <c r="Y129" s="267" t="str">
        <f t="shared" si="13"/>
        <v/>
      </c>
      <c r="Z129" s="446" t="str">
        <f t="shared" si="10"/>
        <v/>
      </c>
    </row>
    <row r="130" spans="1:26" s="138" customFormat="1" ht="255" x14ac:dyDescent="0.2">
      <c r="A130" s="38"/>
      <c r="B130" s="177" t="s">
        <v>219</v>
      </c>
      <c r="C130" s="176" t="s">
        <v>219</v>
      </c>
      <c r="D130" s="580" t="s">
        <v>960</v>
      </c>
      <c r="E130" s="135">
        <f>LEN(D130)</f>
        <v>104</v>
      </c>
      <c r="F130" s="468" t="s">
        <v>1110</v>
      </c>
      <c r="G130" s="135">
        <f>LEN(F130)</f>
        <v>126</v>
      </c>
      <c r="H130" s="145" t="s">
        <v>30</v>
      </c>
      <c r="I130" s="143" t="s">
        <v>19</v>
      </c>
      <c r="J130" s="137" t="s">
        <v>220</v>
      </c>
      <c r="K130" s="135" t="s">
        <v>31</v>
      </c>
      <c r="L130" s="142" t="s">
        <v>1277</v>
      </c>
      <c r="M130" s="398" t="s">
        <v>868</v>
      </c>
      <c r="N130" s="142" t="s">
        <v>1276</v>
      </c>
      <c r="O130" s="76"/>
      <c r="P130" s="2"/>
      <c r="Q130" s="269">
        <f>'Additional information'!$D$17</f>
        <v>0.91</v>
      </c>
      <c r="R130" s="132"/>
      <c r="T130" s="444" t="s">
        <v>26</v>
      </c>
      <c r="U130" s="139"/>
      <c r="X130" s="267">
        <v>17.612014770507812</v>
      </c>
      <c r="Y130" s="267">
        <f t="shared" si="13"/>
        <v>16.026933441162111</v>
      </c>
      <c r="Z130" s="132">
        <f t="shared" si="10"/>
        <v>16.026933441162111</v>
      </c>
    </row>
    <row r="131" spans="1:26" s="138" customFormat="1" x14ac:dyDescent="0.2">
      <c r="A131" s="38"/>
      <c r="B131" s="175"/>
      <c r="C131" s="91"/>
      <c r="D131" s="349"/>
      <c r="E131" s="97"/>
      <c r="F131" s="469"/>
      <c r="G131" s="97"/>
      <c r="H131" s="41"/>
      <c r="I131" s="40"/>
      <c r="J131" s="103"/>
      <c r="K131" s="40"/>
      <c r="L131" s="76"/>
      <c r="M131" s="76"/>
      <c r="N131" s="78"/>
      <c r="O131" s="78"/>
      <c r="P131" s="2"/>
      <c r="Q131" s="269">
        <f>'Additional information'!$D$17</f>
        <v>0.91</v>
      </c>
      <c r="R131" s="140"/>
      <c r="S131" s="139"/>
      <c r="V131" s="146"/>
      <c r="W131" s="191"/>
      <c r="X131" s="268"/>
      <c r="Y131" s="268" t="str">
        <f t="shared" si="13"/>
        <v/>
      </c>
      <c r="Z131" s="132" t="str">
        <f t="shared" si="10"/>
        <v/>
      </c>
    </row>
    <row r="132" spans="1:26" s="138" customFormat="1" ht="222" customHeight="1" x14ac:dyDescent="0.2">
      <c r="A132" s="90">
        <f>A124+1</f>
        <v>41</v>
      </c>
      <c r="B132" s="415" t="s">
        <v>221</v>
      </c>
      <c r="C132" s="137" t="s">
        <v>221</v>
      </c>
      <c r="D132" s="136" t="s">
        <v>909</v>
      </c>
      <c r="E132" s="135">
        <f>LEN(D132)</f>
        <v>167</v>
      </c>
      <c r="F132" s="457" t="s">
        <v>1111</v>
      </c>
      <c r="G132" s="135">
        <f>LEN(F132)</f>
        <v>177</v>
      </c>
      <c r="H132" s="145" t="s">
        <v>30</v>
      </c>
      <c r="I132" s="135" t="s">
        <v>19</v>
      </c>
      <c r="J132" s="137" t="s">
        <v>19</v>
      </c>
      <c r="K132" s="135" t="s">
        <v>31</v>
      </c>
      <c r="L132" s="134" t="s">
        <v>222</v>
      </c>
      <c r="M132" s="212" t="s">
        <v>19</v>
      </c>
      <c r="N132" s="134" t="s">
        <v>1275</v>
      </c>
      <c r="O132" s="78"/>
      <c r="P132" s="42"/>
      <c r="Q132" s="269">
        <f>'Additional information'!$D$17</f>
        <v>0.91</v>
      </c>
      <c r="R132" s="132"/>
      <c r="T132" s="444" t="s">
        <v>26</v>
      </c>
      <c r="U132" s="139"/>
      <c r="X132" s="267">
        <v>10.457156181335449</v>
      </c>
      <c r="Y132" s="267">
        <f t="shared" si="13"/>
        <v>9.5160121250152585</v>
      </c>
      <c r="Z132" s="132">
        <f t="shared" si="10"/>
        <v>9.5160121250152585</v>
      </c>
    </row>
    <row r="133" spans="1:26" s="138" customFormat="1" ht="323" x14ac:dyDescent="0.2">
      <c r="A133" s="38">
        <f>A132+1</f>
        <v>42</v>
      </c>
      <c r="B133" s="177" t="s">
        <v>223</v>
      </c>
      <c r="C133" s="137" t="s">
        <v>773</v>
      </c>
      <c r="D133" s="414" t="s">
        <v>910</v>
      </c>
      <c r="E133" s="135">
        <f>LEN(D133)</f>
        <v>684</v>
      </c>
      <c r="F133" s="457" t="s">
        <v>1112</v>
      </c>
      <c r="G133" s="135">
        <f>LEN(F133)</f>
        <v>827</v>
      </c>
      <c r="H133" s="137" t="s">
        <v>725</v>
      </c>
      <c r="I133" s="143" t="s">
        <v>19</v>
      </c>
      <c r="J133" s="168" t="s">
        <v>19</v>
      </c>
      <c r="K133" s="143" t="s">
        <v>743</v>
      </c>
      <c r="L133" s="142" t="s">
        <v>753</v>
      </c>
      <c r="M133" s="212" t="s">
        <v>869</v>
      </c>
      <c r="N133" s="142" t="s">
        <v>754</v>
      </c>
      <c r="O133" s="76"/>
      <c r="P133" s="2"/>
      <c r="Q133" s="269">
        <f>'Additional information'!$D$17</f>
        <v>0.91</v>
      </c>
      <c r="R133" s="132"/>
      <c r="T133" s="444" t="s">
        <v>26</v>
      </c>
      <c r="U133" s="139"/>
      <c r="X133" s="267">
        <v>20.769962310791016</v>
      </c>
      <c r="Y133" s="267">
        <f t="shared" si="13"/>
        <v>18.900665702819825</v>
      </c>
      <c r="Z133" s="132">
        <f t="shared" ref="Z133:Z196" si="14">IF(T133="yes",Y133,"")</f>
        <v>18.900665702819825</v>
      </c>
    </row>
    <row r="134" spans="1:26" s="138" customFormat="1" x14ac:dyDescent="0.2">
      <c r="A134" s="38"/>
      <c r="B134" s="175"/>
      <c r="C134" s="91"/>
      <c r="D134" s="349"/>
      <c r="E134" s="97"/>
      <c r="F134" s="457"/>
      <c r="G134" s="97"/>
      <c r="H134" s="41"/>
      <c r="I134" s="40"/>
      <c r="J134" s="102"/>
      <c r="K134" s="40"/>
      <c r="L134" s="76"/>
      <c r="M134" s="76"/>
      <c r="N134" s="78"/>
      <c r="O134" s="78"/>
      <c r="P134" s="2"/>
      <c r="Q134" s="269">
        <f>'Additional information'!$D$17</f>
        <v>0.91</v>
      </c>
      <c r="R134" s="132"/>
      <c r="T134" s="140"/>
      <c r="U134" s="139"/>
      <c r="X134" s="268"/>
      <c r="Y134" s="268" t="str">
        <f t="shared" si="13"/>
        <v/>
      </c>
      <c r="Z134" s="132" t="str">
        <f>IF(T134="yes",Y134,"")</f>
        <v/>
      </c>
    </row>
    <row r="135" spans="1:26" s="138" customFormat="1" ht="261" customHeight="1" x14ac:dyDescent="0.2">
      <c r="A135" s="38">
        <f>A133+1</f>
        <v>43</v>
      </c>
      <c r="B135" s="177" t="s">
        <v>224</v>
      </c>
      <c r="C135" s="137" t="s">
        <v>224</v>
      </c>
      <c r="D135" s="158" t="s">
        <v>890</v>
      </c>
      <c r="E135" s="143">
        <f>LEN(D135)</f>
        <v>343</v>
      </c>
      <c r="F135" s="457" t="s">
        <v>1113</v>
      </c>
      <c r="G135" s="143">
        <f>LEN(F135)</f>
        <v>347</v>
      </c>
      <c r="H135" s="152" t="s">
        <v>30</v>
      </c>
      <c r="I135" s="143" t="s">
        <v>19</v>
      </c>
      <c r="J135" s="143" t="s">
        <v>19</v>
      </c>
      <c r="K135" s="143" t="s">
        <v>31</v>
      </c>
      <c r="L135" s="167" t="s">
        <v>225</v>
      </c>
      <c r="M135" s="212" t="s">
        <v>19</v>
      </c>
      <c r="N135" s="141" t="s">
        <v>226</v>
      </c>
      <c r="O135" s="166"/>
      <c r="P135" s="2"/>
      <c r="Q135" s="269">
        <f>'Additional information'!$D$17</f>
        <v>0.91</v>
      </c>
      <c r="R135" s="132"/>
      <c r="T135" s="444" t="s">
        <v>26</v>
      </c>
      <c r="U135" s="139"/>
      <c r="X135" s="267">
        <v>23.569721221923828</v>
      </c>
      <c r="Y135" s="267">
        <f t="shared" si="13"/>
        <v>21.448446311950683</v>
      </c>
      <c r="Z135" s="132">
        <f t="shared" si="14"/>
        <v>21.448446311950683</v>
      </c>
    </row>
    <row r="136" spans="1:26" s="138" customFormat="1" ht="17" thickBot="1" x14ac:dyDescent="0.25">
      <c r="A136" s="38"/>
      <c r="B136" s="175"/>
      <c r="C136" s="91"/>
      <c r="D136" s="349"/>
      <c r="E136" s="97"/>
      <c r="F136" s="349"/>
      <c r="G136" s="97"/>
      <c r="H136" s="41"/>
      <c r="I136" s="40"/>
      <c r="J136" s="102"/>
      <c r="K136" s="40"/>
      <c r="L136" s="76"/>
      <c r="M136" s="76"/>
      <c r="N136" s="78"/>
      <c r="O136" s="78"/>
      <c r="P136" s="2"/>
      <c r="Q136" s="269">
        <f>'Additional information'!$D$17</f>
        <v>0.91</v>
      </c>
      <c r="R136" s="132"/>
      <c r="T136" s="140"/>
      <c r="U136" s="139"/>
      <c r="X136" s="268"/>
      <c r="Y136" s="268" t="str">
        <f t="shared" si="13"/>
        <v/>
      </c>
      <c r="Z136" s="132" t="str">
        <f>IF(T136="yes",Y136,"")</f>
        <v/>
      </c>
    </row>
    <row r="137" spans="1:26" s="435" customFormat="1" ht="17" thickBot="1" x14ac:dyDescent="0.25">
      <c r="A137" s="608" t="s">
        <v>227</v>
      </c>
      <c r="B137" s="609"/>
      <c r="C137" s="609"/>
      <c r="D137" s="609"/>
      <c r="E137" s="609"/>
      <c r="F137" s="609"/>
      <c r="G137" s="609"/>
      <c r="H137" s="609"/>
      <c r="I137" s="609"/>
      <c r="J137" s="609"/>
      <c r="K137" s="609"/>
      <c r="L137" s="609"/>
      <c r="M137" s="609"/>
      <c r="N137" s="609"/>
      <c r="O137" s="609"/>
      <c r="P137" s="610"/>
      <c r="Q137" s="264"/>
      <c r="R137" s="446"/>
      <c r="T137" s="444"/>
      <c r="U137" s="447"/>
      <c r="X137" s="267"/>
      <c r="Y137" s="267" t="str">
        <f t="shared" si="13"/>
        <v/>
      </c>
      <c r="Z137" s="446" t="str">
        <f t="shared" si="14"/>
        <v/>
      </c>
    </row>
    <row r="138" spans="1:26" s="138" customFormat="1" ht="136" x14ac:dyDescent="0.2">
      <c r="A138" s="90">
        <f>A135+1</f>
        <v>44</v>
      </c>
      <c r="B138" s="417" t="s">
        <v>228</v>
      </c>
      <c r="C138" s="418" t="s">
        <v>228</v>
      </c>
      <c r="D138" s="419" t="s">
        <v>229</v>
      </c>
      <c r="E138" s="135">
        <f>LEN(D138)</f>
        <v>173</v>
      </c>
      <c r="F138" s="470" t="s">
        <v>1114</v>
      </c>
      <c r="G138" s="135">
        <f>LEN(F138)</f>
        <v>217</v>
      </c>
      <c r="H138" s="135" t="s">
        <v>30</v>
      </c>
      <c r="I138" s="135" t="s">
        <v>19</v>
      </c>
      <c r="J138" s="135" t="s">
        <v>834</v>
      </c>
      <c r="K138" s="135" t="s">
        <v>31</v>
      </c>
      <c r="L138" s="134" t="s">
        <v>230</v>
      </c>
      <c r="M138" s="212" t="s">
        <v>19</v>
      </c>
      <c r="N138" s="141" t="s">
        <v>231</v>
      </c>
      <c r="O138" s="166"/>
      <c r="P138" s="1"/>
      <c r="Q138" s="264">
        <f>'Additional information'!$D$18</f>
        <v>0.91</v>
      </c>
      <c r="R138" s="132"/>
      <c r="T138" s="444" t="s">
        <v>26</v>
      </c>
      <c r="U138" s="139"/>
      <c r="X138" s="267">
        <v>4.5019583702087402</v>
      </c>
      <c r="Y138" s="267">
        <f t="shared" si="13"/>
        <v>4.0967821168899539</v>
      </c>
      <c r="Z138" s="132">
        <f t="shared" si="14"/>
        <v>4.0967821168899539</v>
      </c>
    </row>
    <row r="139" spans="1:26" s="138" customFormat="1" x14ac:dyDescent="0.2">
      <c r="A139" s="38"/>
      <c r="B139" s="175"/>
      <c r="C139" s="91"/>
      <c r="D139" s="349"/>
      <c r="E139" s="97"/>
      <c r="F139" s="471"/>
      <c r="G139" s="97"/>
      <c r="H139" s="41"/>
      <c r="I139" s="40"/>
      <c r="J139" s="103"/>
      <c r="K139" s="40"/>
      <c r="L139" s="76"/>
      <c r="M139" s="76"/>
      <c r="N139" s="78"/>
      <c r="O139" s="78"/>
      <c r="P139" s="2"/>
      <c r="Q139" s="269">
        <f>'Additional information'!$D$18</f>
        <v>0.91</v>
      </c>
      <c r="R139" s="132"/>
      <c r="T139" s="140"/>
      <c r="U139" s="139"/>
      <c r="X139" s="268"/>
      <c r="Y139" s="268" t="str">
        <f t="shared" si="13"/>
        <v/>
      </c>
      <c r="Z139" s="132" t="str">
        <f t="shared" si="14"/>
        <v/>
      </c>
    </row>
    <row r="140" spans="1:26" s="138" customFormat="1" ht="340" x14ac:dyDescent="0.2">
      <c r="A140" s="90">
        <f>A138+1</f>
        <v>45</v>
      </c>
      <c r="B140" s="227" t="s">
        <v>232</v>
      </c>
      <c r="C140" s="137" t="s">
        <v>232</v>
      </c>
      <c r="D140" s="136" t="s">
        <v>967</v>
      </c>
      <c r="E140" s="135">
        <f>LEN(D140)</f>
        <v>579</v>
      </c>
      <c r="F140" s="189" t="s">
        <v>1310</v>
      </c>
      <c r="G140" s="135">
        <f>LEN(F140)</f>
        <v>746</v>
      </c>
      <c r="H140" s="135" t="s">
        <v>30</v>
      </c>
      <c r="I140" s="135" t="s">
        <v>19</v>
      </c>
      <c r="J140" s="135" t="s">
        <v>19</v>
      </c>
      <c r="K140" s="137" t="s">
        <v>153</v>
      </c>
      <c r="L140" s="134" t="s">
        <v>1274</v>
      </c>
      <c r="M140" s="212" t="s">
        <v>19</v>
      </c>
      <c r="N140" s="141" t="s">
        <v>1273</v>
      </c>
      <c r="O140" s="166"/>
      <c r="P140" s="42"/>
      <c r="Q140" s="264">
        <f>'Additional information'!$D$18</f>
        <v>0.91</v>
      </c>
      <c r="R140" s="132"/>
      <c r="T140" s="444" t="s">
        <v>26</v>
      </c>
      <c r="U140" s="139"/>
      <c r="X140" s="267">
        <v>17.402484893798828</v>
      </c>
      <c r="Y140" s="267">
        <f t="shared" si="13"/>
        <v>15.836261253356934</v>
      </c>
      <c r="Z140" s="132">
        <f t="shared" si="14"/>
        <v>15.836261253356934</v>
      </c>
    </row>
    <row r="141" spans="1:26" s="138" customFormat="1" x14ac:dyDescent="0.2">
      <c r="A141" s="90"/>
      <c r="B141" s="255"/>
      <c r="C141" s="91"/>
      <c r="D141" s="164"/>
      <c r="E141" s="97"/>
      <c r="F141" s="96"/>
      <c r="G141" s="97"/>
      <c r="H141" s="97"/>
      <c r="I141" s="97"/>
      <c r="J141" s="97"/>
      <c r="K141" s="91"/>
      <c r="L141" s="78"/>
      <c r="M141" s="76"/>
      <c r="N141" s="166"/>
      <c r="O141" s="166"/>
      <c r="P141" s="42"/>
      <c r="Q141" s="269">
        <f>'Additional information'!$D$18</f>
        <v>0.91</v>
      </c>
      <c r="R141" s="132"/>
      <c r="T141" s="140"/>
      <c r="U141" s="139"/>
      <c r="X141" s="268"/>
      <c r="Y141" s="268" t="str">
        <f t="shared" si="13"/>
        <v/>
      </c>
      <c r="Z141" s="132" t="str">
        <f t="shared" si="14"/>
        <v/>
      </c>
    </row>
    <row r="142" spans="1:26" s="138" customFormat="1" ht="68" x14ac:dyDescent="0.2">
      <c r="A142" s="38">
        <f>A140+1</f>
        <v>46</v>
      </c>
      <c r="B142" s="177" t="s">
        <v>233</v>
      </c>
      <c r="C142" s="137" t="s">
        <v>233</v>
      </c>
      <c r="D142" s="158" t="s">
        <v>891</v>
      </c>
      <c r="E142" s="143">
        <f>LEN(D142)</f>
        <v>152</v>
      </c>
      <c r="F142" s="189" t="s">
        <v>1115</v>
      </c>
      <c r="G142" s="143">
        <f>LEN(F142)</f>
        <v>162</v>
      </c>
      <c r="H142" s="152" t="s">
        <v>92</v>
      </c>
      <c r="I142" s="143" t="s">
        <v>19</v>
      </c>
      <c r="J142" s="143" t="s">
        <v>19</v>
      </c>
      <c r="K142" s="143" t="s">
        <v>22</v>
      </c>
      <c r="L142" s="142" t="s">
        <v>234</v>
      </c>
      <c r="M142" s="212" t="s">
        <v>19</v>
      </c>
      <c r="N142" s="142" t="s">
        <v>235</v>
      </c>
      <c r="O142" s="78"/>
      <c r="P142" s="2"/>
      <c r="Q142" s="264">
        <f>'Additional information'!$D$18</f>
        <v>0.91</v>
      </c>
      <c r="R142" s="132"/>
      <c r="T142" s="444" t="s">
        <v>26</v>
      </c>
      <c r="U142" s="139"/>
      <c r="X142" s="267">
        <v>16.332881927490234</v>
      </c>
      <c r="Y142" s="267">
        <f t="shared" si="13"/>
        <v>14.862922554016114</v>
      </c>
      <c r="Z142" s="132">
        <f t="shared" si="14"/>
        <v>14.862922554016114</v>
      </c>
    </row>
    <row r="143" spans="1:26" s="138" customFormat="1" ht="68" x14ac:dyDescent="0.2">
      <c r="A143" s="38">
        <f>A142+1</f>
        <v>47</v>
      </c>
      <c r="B143" s="177" t="s">
        <v>236</v>
      </c>
      <c r="C143" s="137" t="s">
        <v>236</v>
      </c>
      <c r="D143" s="157" t="s">
        <v>892</v>
      </c>
      <c r="E143" s="143">
        <f>LEN(D143)</f>
        <v>128</v>
      </c>
      <c r="F143" s="189" t="s">
        <v>1116</v>
      </c>
      <c r="G143" s="143">
        <f>LEN(F143)</f>
        <v>138</v>
      </c>
      <c r="H143" s="152" t="s">
        <v>92</v>
      </c>
      <c r="I143" s="143" t="s">
        <v>19</v>
      </c>
      <c r="J143" s="143" t="s">
        <v>19</v>
      </c>
      <c r="K143" s="143" t="s">
        <v>22</v>
      </c>
      <c r="L143" s="142" t="s">
        <v>237</v>
      </c>
      <c r="M143" s="212" t="s">
        <v>19</v>
      </c>
      <c r="N143" s="142" t="s">
        <v>238</v>
      </c>
      <c r="O143" s="78"/>
      <c r="P143" s="2"/>
      <c r="Q143" s="264">
        <f>'Additional information'!$D$18</f>
        <v>0.91</v>
      </c>
      <c r="R143" s="132"/>
      <c r="T143" s="444" t="s">
        <v>26</v>
      </c>
      <c r="U143" s="139"/>
      <c r="X143" s="267">
        <v>7.4144525527954102</v>
      </c>
      <c r="Y143" s="267">
        <f t="shared" si="13"/>
        <v>6.7471518230438239</v>
      </c>
      <c r="Z143" s="132">
        <f t="shared" si="14"/>
        <v>6.7471518230438239</v>
      </c>
    </row>
    <row r="144" spans="1:26" s="138" customFormat="1" ht="400" customHeight="1" x14ac:dyDescent="0.2">
      <c r="A144" s="38">
        <v>44</v>
      </c>
      <c r="B144" s="177" t="s">
        <v>239</v>
      </c>
      <c r="C144" s="137" t="s">
        <v>1272</v>
      </c>
      <c r="D144" s="414" t="s">
        <v>932</v>
      </c>
      <c r="E144" s="143">
        <f>LEN(D144)</f>
        <v>787</v>
      </c>
      <c r="F144" s="457" t="s">
        <v>1117</v>
      </c>
      <c r="G144" s="143">
        <f>LEN(F144)</f>
        <v>988</v>
      </c>
      <c r="H144" s="137" t="s">
        <v>725</v>
      </c>
      <c r="I144" s="143" t="s">
        <v>19</v>
      </c>
      <c r="J144" s="143" t="s">
        <v>19</v>
      </c>
      <c r="K144" s="143" t="s">
        <v>835</v>
      </c>
      <c r="L144" s="142" t="s">
        <v>1271</v>
      </c>
      <c r="M144" s="212" t="s">
        <v>870</v>
      </c>
      <c r="N144" s="141" t="s">
        <v>1270</v>
      </c>
      <c r="O144" s="22"/>
      <c r="P144" s="2"/>
      <c r="Q144" s="264">
        <f>'Additional information'!$D$18</f>
        <v>0.91</v>
      </c>
      <c r="R144" s="132"/>
      <c r="T144" s="444" t="s">
        <v>26</v>
      </c>
      <c r="U144" s="139"/>
      <c r="X144" s="267">
        <v>17.791135787963867</v>
      </c>
      <c r="Y144" s="267">
        <f t="shared" si="13"/>
        <v>16.18993356704712</v>
      </c>
      <c r="Z144" s="132">
        <f t="shared" si="14"/>
        <v>16.18993356704712</v>
      </c>
    </row>
    <row r="145" spans="1:26" s="138" customFormat="1" ht="238" customHeight="1" x14ac:dyDescent="0.2">
      <c r="A145" s="6">
        <v>45</v>
      </c>
      <c r="B145" s="228" t="s">
        <v>765</v>
      </c>
      <c r="C145" s="9" t="s">
        <v>766</v>
      </c>
      <c r="D145" s="14" t="s">
        <v>1269</v>
      </c>
      <c r="E145" s="12">
        <f>LEN(D145)</f>
        <v>285</v>
      </c>
      <c r="F145" s="472" t="s">
        <v>1228</v>
      </c>
      <c r="G145" s="12">
        <f>LEN(F145)</f>
        <v>359</v>
      </c>
      <c r="H145" s="388" t="s">
        <v>725</v>
      </c>
      <c r="I145" s="12" t="s">
        <v>19</v>
      </c>
      <c r="J145" s="12" t="s">
        <v>1326</v>
      </c>
      <c r="K145" s="12" t="s">
        <v>730</v>
      </c>
      <c r="L145" s="23" t="s">
        <v>1293</v>
      </c>
      <c r="M145" s="72" t="s">
        <v>871</v>
      </c>
      <c r="N145" s="115" t="s">
        <v>1294</v>
      </c>
      <c r="O145" s="54"/>
      <c r="P145" s="2"/>
      <c r="Q145" s="269">
        <f>'Additional information'!$D$18</f>
        <v>0.91</v>
      </c>
      <c r="R145" s="132"/>
      <c r="T145" s="140" t="s">
        <v>18</v>
      </c>
      <c r="U145" s="139"/>
      <c r="X145" s="268">
        <v>18.086816787719727</v>
      </c>
      <c r="Y145" s="268">
        <f t="shared" ref="Y145:Y176" si="15">IF(X145="","",X145*Q145)</f>
        <v>16.459003276824951</v>
      </c>
      <c r="Z145" s="132" t="str">
        <f t="shared" si="14"/>
        <v/>
      </c>
    </row>
    <row r="146" spans="1:26" s="138" customFormat="1" x14ac:dyDescent="0.2">
      <c r="A146" s="38"/>
      <c r="B146" s="175"/>
      <c r="C146" s="91"/>
      <c r="D146" s="71"/>
      <c r="E146" s="40"/>
      <c r="G146" s="40"/>
      <c r="H146" s="92"/>
      <c r="I146" s="40"/>
      <c r="J146" s="40"/>
      <c r="K146" s="40"/>
      <c r="L146" s="76"/>
      <c r="M146" s="76"/>
      <c r="N146" s="76"/>
      <c r="O146" s="78"/>
      <c r="P146" s="2"/>
      <c r="Q146" s="269">
        <f>'Additional information'!$D$18</f>
        <v>0.91</v>
      </c>
      <c r="R146" s="132"/>
      <c r="T146" s="140"/>
      <c r="U146" s="139"/>
      <c r="X146" s="268"/>
      <c r="Y146" s="268" t="str">
        <f t="shared" si="15"/>
        <v/>
      </c>
      <c r="Z146" s="132" t="str">
        <f t="shared" si="14"/>
        <v/>
      </c>
    </row>
    <row r="147" spans="1:26" s="138" customFormat="1" ht="153" x14ac:dyDescent="0.2">
      <c r="A147" s="38">
        <f>A145+1</f>
        <v>46</v>
      </c>
      <c r="B147" s="177" t="s">
        <v>240</v>
      </c>
      <c r="C147" s="137" t="s">
        <v>240</v>
      </c>
      <c r="D147" s="158" t="s">
        <v>735</v>
      </c>
      <c r="E147" s="143">
        <f>LEN(D147)</f>
        <v>167</v>
      </c>
      <c r="F147" s="457" t="s">
        <v>1118</v>
      </c>
      <c r="G147" s="143">
        <f>LEN(F147)</f>
        <v>180</v>
      </c>
      <c r="H147" s="152" t="s">
        <v>30</v>
      </c>
      <c r="I147" s="143" t="s">
        <v>19</v>
      </c>
      <c r="J147" s="143" t="s">
        <v>19</v>
      </c>
      <c r="K147" s="143" t="s">
        <v>31</v>
      </c>
      <c r="L147" s="142" t="s">
        <v>241</v>
      </c>
      <c r="M147" s="212" t="s">
        <v>19</v>
      </c>
      <c r="N147" s="142" t="s">
        <v>1268</v>
      </c>
      <c r="O147" s="36"/>
      <c r="P147" s="2"/>
      <c r="Q147" s="264">
        <f>'Additional information'!$D$18</f>
        <v>0.91</v>
      </c>
      <c r="R147" s="132"/>
      <c r="T147" s="444" t="s">
        <v>26</v>
      </c>
      <c r="U147" s="139"/>
      <c r="X147" s="267">
        <v>10.37455940246582</v>
      </c>
      <c r="Y147" s="267">
        <f t="shared" si="15"/>
        <v>9.4408490562438967</v>
      </c>
      <c r="Z147" s="132">
        <f t="shared" si="14"/>
        <v>9.4408490562438967</v>
      </c>
    </row>
    <row r="148" spans="1:26" s="138" customFormat="1" ht="404" x14ac:dyDescent="0.2">
      <c r="A148" s="104">
        <f>A147+1</f>
        <v>47</v>
      </c>
      <c r="B148" s="229" t="s">
        <v>242</v>
      </c>
      <c r="C148" s="128" t="s">
        <v>767</v>
      </c>
      <c r="D148" s="158" t="s">
        <v>931</v>
      </c>
      <c r="E148" s="143">
        <f>LEN(D148)</f>
        <v>662</v>
      </c>
      <c r="F148" s="457" t="s">
        <v>1119</v>
      </c>
      <c r="G148" s="143">
        <f>LEN(F148)</f>
        <v>990</v>
      </c>
      <c r="H148" s="137" t="s">
        <v>725</v>
      </c>
      <c r="I148" s="143" t="s">
        <v>19</v>
      </c>
      <c r="J148" s="143" t="s">
        <v>19</v>
      </c>
      <c r="K148" s="143" t="s">
        <v>732</v>
      </c>
      <c r="L148" s="416" t="s">
        <v>734</v>
      </c>
      <c r="M148" s="212" t="s">
        <v>872</v>
      </c>
      <c r="N148" s="158" t="s">
        <v>733</v>
      </c>
      <c r="O148" s="52"/>
      <c r="P148" s="2"/>
      <c r="Q148" s="264">
        <f>'Additional information'!$D$18</f>
        <v>0.91</v>
      </c>
      <c r="R148" s="132"/>
      <c r="T148" s="444" t="s">
        <v>26</v>
      </c>
      <c r="U148" s="139"/>
      <c r="X148" s="267">
        <v>19.616762161254883</v>
      </c>
      <c r="Y148" s="267">
        <f t="shared" si="15"/>
        <v>17.851253566741946</v>
      </c>
      <c r="Z148" s="132">
        <f t="shared" si="14"/>
        <v>17.851253566741946</v>
      </c>
    </row>
    <row r="149" spans="1:26" s="138" customFormat="1" ht="238" x14ac:dyDescent="0.2">
      <c r="A149" s="6"/>
      <c r="B149" s="230" t="s">
        <v>243</v>
      </c>
      <c r="C149" s="237" t="s">
        <v>244</v>
      </c>
      <c r="D149" s="7" t="s">
        <v>893</v>
      </c>
      <c r="E149" s="16">
        <f>LEN(D149)</f>
        <v>241</v>
      </c>
      <c r="F149" s="7" t="s">
        <v>1120</v>
      </c>
      <c r="G149" s="16">
        <f>LEN(F149)</f>
        <v>218</v>
      </c>
      <c r="H149" s="20" t="s">
        <v>141</v>
      </c>
      <c r="I149" s="16" t="s">
        <v>19</v>
      </c>
      <c r="J149" s="16" t="s">
        <v>19</v>
      </c>
      <c r="K149" s="16" t="s">
        <v>836</v>
      </c>
      <c r="L149" s="21" t="s">
        <v>245</v>
      </c>
      <c r="M149" s="72" t="s">
        <v>873</v>
      </c>
      <c r="N149" s="55" t="s">
        <v>731</v>
      </c>
      <c r="O149" s="55"/>
      <c r="P149" s="118"/>
      <c r="Q149" s="269">
        <f>'Additional information'!$D$18</f>
        <v>0.91</v>
      </c>
      <c r="R149" s="132"/>
      <c r="T149" s="140" t="s">
        <v>18</v>
      </c>
      <c r="U149" s="139"/>
      <c r="X149" s="268">
        <v>7.2497549057006836</v>
      </c>
      <c r="Y149" s="268">
        <f t="shared" si="15"/>
        <v>6.5972769641876221</v>
      </c>
      <c r="Z149" s="132" t="str">
        <f t="shared" si="14"/>
        <v/>
      </c>
    </row>
    <row r="150" spans="1:26" s="138" customFormat="1" ht="17" thickBot="1" x14ac:dyDescent="0.25">
      <c r="A150" s="38"/>
      <c r="B150" s="175"/>
      <c r="C150" s="91"/>
      <c r="D150" s="71"/>
      <c r="E150" s="40"/>
      <c r="F150" s="40"/>
      <c r="G150" s="40"/>
      <c r="H150" s="92"/>
      <c r="I150" s="40"/>
      <c r="J150" s="40"/>
      <c r="K150" s="40"/>
      <c r="L150" s="76"/>
      <c r="M150" s="76"/>
      <c r="N150" s="76"/>
      <c r="O150" s="78"/>
      <c r="P150" s="42"/>
      <c r="Q150" s="269">
        <f>'Additional information'!$D$18</f>
        <v>0.91</v>
      </c>
      <c r="R150" s="132"/>
      <c r="T150" s="140"/>
      <c r="U150" s="139"/>
      <c r="X150" s="268"/>
      <c r="Y150" s="268" t="str">
        <f t="shared" si="15"/>
        <v/>
      </c>
      <c r="Z150" s="132" t="str">
        <f t="shared" si="14"/>
        <v/>
      </c>
    </row>
    <row r="151" spans="1:26" s="435" customFormat="1" ht="17" thickBot="1" x14ac:dyDescent="0.25">
      <c r="A151" s="608" t="s">
        <v>246</v>
      </c>
      <c r="B151" s="609"/>
      <c r="C151" s="609"/>
      <c r="D151" s="609"/>
      <c r="E151" s="609"/>
      <c r="F151" s="609"/>
      <c r="G151" s="609"/>
      <c r="H151" s="609"/>
      <c r="I151" s="609"/>
      <c r="J151" s="609"/>
      <c r="K151" s="609"/>
      <c r="L151" s="609"/>
      <c r="M151" s="609"/>
      <c r="N151" s="609"/>
      <c r="O151" s="609"/>
      <c r="P151" s="610"/>
      <c r="Q151" s="264"/>
      <c r="R151" s="446"/>
      <c r="T151" s="444"/>
      <c r="U151" s="447"/>
      <c r="X151" s="267"/>
      <c r="Y151" s="267" t="str">
        <f t="shared" si="15"/>
        <v/>
      </c>
      <c r="Z151" s="446" t="str">
        <f t="shared" si="14"/>
        <v/>
      </c>
    </row>
    <row r="152" spans="1:26" s="138" customFormat="1" ht="323" x14ac:dyDescent="0.2">
      <c r="A152" s="90">
        <f>A148+1</f>
        <v>48</v>
      </c>
      <c r="B152" s="227" t="s">
        <v>247</v>
      </c>
      <c r="C152" s="137" t="s">
        <v>247</v>
      </c>
      <c r="D152" s="161" t="s">
        <v>947</v>
      </c>
      <c r="E152" s="135">
        <f>LEN(D152)</f>
        <v>503</v>
      </c>
      <c r="F152" s="457" t="s">
        <v>1311</v>
      </c>
      <c r="G152" s="135">
        <f>LEN(F152)</f>
        <v>566</v>
      </c>
      <c r="H152" s="145" t="s">
        <v>30</v>
      </c>
      <c r="I152" s="135" t="s">
        <v>19</v>
      </c>
      <c r="J152" s="135" t="s">
        <v>248</v>
      </c>
      <c r="K152" s="137" t="s">
        <v>837</v>
      </c>
      <c r="L152" s="134" t="s">
        <v>1267</v>
      </c>
      <c r="M152" s="212" t="s">
        <v>19</v>
      </c>
      <c r="N152" s="134" t="s">
        <v>1266</v>
      </c>
      <c r="O152" s="78"/>
      <c r="P152" s="1"/>
      <c r="Q152" s="264">
        <f>'Additional information'!$D$18</f>
        <v>0.91</v>
      </c>
      <c r="R152" s="132"/>
      <c r="T152" s="444" t="s">
        <v>26</v>
      </c>
      <c r="U152" s="139"/>
      <c r="X152" s="267">
        <v>12.992362976074219</v>
      </c>
      <c r="Y152" s="267">
        <f t="shared" si="15"/>
        <v>11.82305030822754</v>
      </c>
      <c r="Z152" s="132">
        <f t="shared" si="14"/>
        <v>11.82305030822754</v>
      </c>
    </row>
    <row r="153" spans="1:26" s="138" customFormat="1" x14ac:dyDescent="0.2">
      <c r="A153" s="90"/>
      <c r="B153" s="255"/>
      <c r="C153" s="91"/>
      <c r="D153" s="99"/>
      <c r="E153" s="97"/>
      <c r="F153" s="97"/>
      <c r="G153" s="97"/>
      <c r="H153" s="100"/>
      <c r="I153" s="97"/>
      <c r="J153" s="97"/>
      <c r="K153" s="91"/>
      <c r="L153" s="78"/>
      <c r="M153" s="76"/>
      <c r="N153" s="78"/>
      <c r="O153" s="78"/>
      <c r="P153" s="42"/>
      <c r="Q153" s="269">
        <f>'Additional information'!$D$18</f>
        <v>0.91</v>
      </c>
      <c r="R153" s="132"/>
      <c r="T153" s="140"/>
      <c r="U153" s="139"/>
      <c r="X153" s="268"/>
      <c r="Y153" s="268" t="str">
        <f t="shared" si="15"/>
        <v/>
      </c>
      <c r="Z153" s="132" t="str">
        <f t="shared" si="14"/>
        <v/>
      </c>
    </row>
    <row r="154" spans="1:26" s="138" customFormat="1" ht="153" x14ac:dyDescent="0.2">
      <c r="A154" s="38">
        <f>A152+1</f>
        <v>49</v>
      </c>
      <c r="B154" s="159" t="s">
        <v>249</v>
      </c>
      <c r="C154" s="137" t="s">
        <v>249</v>
      </c>
      <c r="D154" s="158" t="s">
        <v>904</v>
      </c>
      <c r="E154" s="143">
        <f>LEN(D154)</f>
        <v>166</v>
      </c>
      <c r="F154" s="457" t="s">
        <v>1121</v>
      </c>
      <c r="G154" s="143">
        <f>LEN(F154)</f>
        <v>184</v>
      </c>
      <c r="H154" s="152" t="s">
        <v>30</v>
      </c>
      <c r="I154" s="143" t="s">
        <v>19</v>
      </c>
      <c r="J154" s="143" t="s">
        <v>19</v>
      </c>
      <c r="K154" s="143" t="s">
        <v>31</v>
      </c>
      <c r="L154" s="142" t="s">
        <v>838</v>
      </c>
      <c r="M154" s="212" t="s">
        <v>19</v>
      </c>
      <c r="N154" s="142" t="s">
        <v>1265</v>
      </c>
      <c r="O154" s="76"/>
      <c r="P154" s="2"/>
      <c r="Q154" s="264">
        <f>'Additional information'!$D$18</f>
        <v>0.91</v>
      </c>
      <c r="R154" s="132"/>
      <c r="T154" s="444" t="s">
        <v>26</v>
      </c>
      <c r="U154" s="139"/>
      <c r="X154" s="267">
        <v>8.6295709609985352</v>
      </c>
      <c r="Y154" s="267">
        <f t="shared" si="15"/>
        <v>7.8529095745086677</v>
      </c>
      <c r="Z154" s="132">
        <f t="shared" si="14"/>
        <v>7.8529095745086677</v>
      </c>
    </row>
    <row r="155" spans="1:26" s="138" customFormat="1" ht="340" x14ac:dyDescent="0.2">
      <c r="A155" s="38">
        <f>A154+1</f>
        <v>50</v>
      </c>
      <c r="B155" s="177" t="s">
        <v>250</v>
      </c>
      <c r="C155" s="137" t="s">
        <v>1295</v>
      </c>
      <c r="D155" s="414" t="s">
        <v>905</v>
      </c>
      <c r="E155" s="143">
        <f>LEN(D155)</f>
        <v>751</v>
      </c>
      <c r="F155" s="457" t="s">
        <v>1122</v>
      </c>
      <c r="G155" s="143">
        <f>LEN(F155)</f>
        <v>919</v>
      </c>
      <c r="H155" s="137" t="s">
        <v>725</v>
      </c>
      <c r="I155" s="143" t="s">
        <v>19</v>
      </c>
      <c r="J155" s="143" t="s">
        <v>19</v>
      </c>
      <c r="K155" s="143" t="s">
        <v>736</v>
      </c>
      <c r="L155" s="142" t="s">
        <v>737</v>
      </c>
      <c r="M155" s="212" t="s">
        <v>874</v>
      </c>
      <c r="N155" s="142" t="s">
        <v>738</v>
      </c>
      <c r="O155" s="76"/>
      <c r="P155" s="2"/>
      <c r="Q155" s="264">
        <f>'Additional information'!$D$18</f>
        <v>0.91</v>
      </c>
      <c r="R155" s="132"/>
      <c r="T155" s="444" t="s">
        <v>26</v>
      </c>
      <c r="U155" s="139"/>
      <c r="X155" s="267">
        <v>18.256172180175781</v>
      </c>
      <c r="Y155" s="267">
        <f t="shared" si="15"/>
        <v>16.613116683959962</v>
      </c>
      <c r="Z155" s="132">
        <f t="shared" si="14"/>
        <v>16.613116683959962</v>
      </c>
    </row>
    <row r="156" spans="1:26" s="138" customFormat="1" x14ac:dyDescent="0.2">
      <c r="A156" s="38"/>
      <c r="B156" s="175"/>
      <c r="C156" s="91"/>
      <c r="D156" s="120"/>
      <c r="E156" s="40"/>
      <c r="F156" s="40"/>
      <c r="G156" s="40"/>
      <c r="H156" s="41"/>
      <c r="I156" s="40"/>
      <c r="J156" s="40"/>
      <c r="K156" s="40"/>
      <c r="L156" s="76"/>
      <c r="M156" s="76"/>
      <c r="N156" s="76"/>
      <c r="O156" s="76"/>
      <c r="P156" s="2"/>
      <c r="Q156" s="269">
        <f>'Additional information'!$D$18</f>
        <v>0.91</v>
      </c>
      <c r="R156" s="132"/>
      <c r="T156" s="140"/>
      <c r="U156" s="139"/>
      <c r="X156" s="268"/>
      <c r="Y156" s="268" t="str">
        <f t="shared" si="15"/>
        <v/>
      </c>
      <c r="Z156" s="132" t="str">
        <f t="shared" si="14"/>
        <v/>
      </c>
    </row>
    <row r="157" spans="1:26" s="138" customFormat="1" ht="221" x14ac:dyDescent="0.2">
      <c r="A157" s="38">
        <f>A155+1</f>
        <v>51</v>
      </c>
      <c r="B157" s="177" t="s">
        <v>251</v>
      </c>
      <c r="C157" s="137" t="s">
        <v>251</v>
      </c>
      <c r="D157" s="158" t="s">
        <v>894</v>
      </c>
      <c r="E157" s="143">
        <f>LEN(D157)</f>
        <v>341</v>
      </c>
      <c r="F157" s="457" t="s">
        <v>1128</v>
      </c>
      <c r="G157" s="143">
        <f>LEN(F157)</f>
        <v>341</v>
      </c>
      <c r="H157" s="152" t="s">
        <v>30</v>
      </c>
      <c r="I157" s="143" t="s">
        <v>19</v>
      </c>
      <c r="J157" s="143" t="s">
        <v>19</v>
      </c>
      <c r="K157" s="143" t="s">
        <v>31</v>
      </c>
      <c r="L157" s="167" t="s">
        <v>252</v>
      </c>
      <c r="M157" s="212" t="s">
        <v>19</v>
      </c>
      <c r="N157" s="167" t="s">
        <v>253</v>
      </c>
      <c r="O157" s="51"/>
      <c r="P157" s="2"/>
      <c r="Q157" s="264">
        <f>'Additional information'!$D$18</f>
        <v>0.91</v>
      </c>
      <c r="R157" s="132"/>
      <c r="T157" s="444" t="s">
        <v>26</v>
      </c>
      <c r="U157" s="139"/>
      <c r="X157" s="267">
        <v>15.456279754638672</v>
      </c>
      <c r="Y157" s="267">
        <f t="shared" si="15"/>
        <v>14.065214576721193</v>
      </c>
      <c r="Z157" s="132">
        <f t="shared" si="14"/>
        <v>14.065214576721193</v>
      </c>
    </row>
    <row r="158" spans="1:26" s="138" customFormat="1" ht="17" thickBot="1" x14ac:dyDescent="0.25">
      <c r="A158" s="38"/>
      <c r="B158" s="175"/>
      <c r="C158" s="91"/>
      <c r="D158" s="71"/>
      <c r="E158" s="40"/>
      <c r="F158" s="40"/>
      <c r="G158" s="40"/>
      <c r="H158" s="92"/>
      <c r="I158" s="40"/>
      <c r="J158" s="40"/>
      <c r="K158" s="40"/>
      <c r="L158" s="51"/>
      <c r="M158" s="76"/>
      <c r="N158" s="51"/>
      <c r="O158" s="51"/>
      <c r="P158" s="2"/>
      <c r="Q158" s="269">
        <f>'Additional information'!$D$18</f>
        <v>0.91</v>
      </c>
      <c r="R158" s="132"/>
      <c r="T158" s="140"/>
      <c r="U158" s="139"/>
      <c r="X158" s="268"/>
      <c r="Y158" s="268" t="str">
        <f t="shared" si="15"/>
        <v/>
      </c>
      <c r="Z158" s="132" t="str">
        <f t="shared" si="14"/>
        <v/>
      </c>
    </row>
    <row r="159" spans="1:26" s="435" customFormat="1" ht="17" thickBot="1" x14ac:dyDescent="0.25">
      <c r="A159" s="608" t="s">
        <v>254</v>
      </c>
      <c r="B159" s="609"/>
      <c r="C159" s="609"/>
      <c r="D159" s="609"/>
      <c r="E159" s="609"/>
      <c r="F159" s="609"/>
      <c r="G159" s="609"/>
      <c r="H159" s="609"/>
      <c r="I159" s="609"/>
      <c r="J159" s="609"/>
      <c r="K159" s="609"/>
      <c r="L159" s="609"/>
      <c r="M159" s="609"/>
      <c r="N159" s="609"/>
      <c r="O159" s="609"/>
      <c r="P159" s="610"/>
      <c r="Q159" s="264"/>
      <c r="R159" s="446"/>
      <c r="T159" s="444"/>
      <c r="U159" s="447"/>
      <c r="X159" s="267"/>
      <c r="Y159" s="267" t="str">
        <f t="shared" si="15"/>
        <v/>
      </c>
      <c r="Z159" s="446" t="str">
        <f t="shared" si="14"/>
        <v/>
      </c>
    </row>
    <row r="160" spans="1:26" s="138" customFormat="1" ht="120" customHeight="1" x14ac:dyDescent="0.2">
      <c r="A160" s="90">
        <f>A157+1</f>
        <v>52</v>
      </c>
      <c r="B160" s="227" t="s">
        <v>255</v>
      </c>
      <c r="C160" s="137" t="s">
        <v>255</v>
      </c>
      <c r="D160" s="420" t="s">
        <v>739</v>
      </c>
      <c r="E160" s="135">
        <f>LEN(D160)</f>
        <v>206</v>
      </c>
      <c r="F160" s="136" t="s">
        <v>1229</v>
      </c>
      <c r="G160" s="135">
        <f>LEN(F160)</f>
        <v>228</v>
      </c>
      <c r="H160" s="135" t="s">
        <v>30</v>
      </c>
      <c r="I160" s="135" t="s">
        <v>19</v>
      </c>
      <c r="J160" s="135" t="s">
        <v>839</v>
      </c>
      <c r="K160" s="143" t="s">
        <v>31</v>
      </c>
      <c r="L160" s="134" t="s">
        <v>256</v>
      </c>
      <c r="M160" s="212" t="s">
        <v>19</v>
      </c>
      <c r="N160" s="141" t="s">
        <v>257</v>
      </c>
      <c r="O160" s="166"/>
      <c r="P160" s="1"/>
      <c r="Q160" s="264">
        <f>'Additional information'!$D$19</f>
        <v>0.05</v>
      </c>
      <c r="R160" s="132"/>
      <c r="T160" s="444" t="s">
        <v>26</v>
      </c>
      <c r="U160" s="139"/>
      <c r="X160" s="267">
        <v>2.4801323413848877</v>
      </c>
      <c r="Y160" s="267">
        <f t="shared" si="15"/>
        <v>0.12400661706924439</v>
      </c>
      <c r="Z160" s="132">
        <f t="shared" si="14"/>
        <v>0.12400661706924439</v>
      </c>
    </row>
    <row r="161" spans="1:26" s="138" customFormat="1" x14ac:dyDescent="0.2">
      <c r="A161" s="38"/>
      <c r="B161" s="175"/>
      <c r="C161" s="91"/>
      <c r="D161" s="71"/>
      <c r="E161" s="40"/>
      <c r="F161" s="71"/>
      <c r="G161" s="40"/>
      <c r="H161" s="92"/>
      <c r="I161" s="40"/>
      <c r="J161" s="40"/>
      <c r="K161" s="40"/>
      <c r="L161" s="51"/>
      <c r="M161" s="83"/>
      <c r="N161" s="51"/>
      <c r="O161" s="51"/>
      <c r="P161" s="2"/>
      <c r="Q161" s="269">
        <f>'Additional information'!$D$19</f>
        <v>0.05</v>
      </c>
      <c r="R161" s="132"/>
      <c r="T161" s="140"/>
      <c r="U161" s="139"/>
      <c r="X161" s="268"/>
      <c r="Y161" s="268" t="str">
        <f t="shared" si="15"/>
        <v/>
      </c>
      <c r="Z161" s="132" t="str">
        <f t="shared" si="14"/>
        <v/>
      </c>
    </row>
    <row r="162" spans="1:26" s="138" customFormat="1" ht="170" x14ac:dyDescent="0.2">
      <c r="A162" s="90">
        <f>A160+1</f>
        <v>53</v>
      </c>
      <c r="B162" s="227" t="s">
        <v>258</v>
      </c>
      <c r="C162" s="421" t="s">
        <v>1264</v>
      </c>
      <c r="D162" s="414" t="s">
        <v>849</v>
      </c>
      <c r="E162" s="135">
        <f>LEN(D162)</f>
        <v>282</v>
      </c>
      <c r="F162" s="199" t="s">
        <v>1230</v>
      </c>
      <c r="G162" s="135">
        <f>LEN(F162)</f>
        <v>288</v>
      </c>
      <c r="H162" s="137" t="s">
        <v>141</v>
      </c>
      <c r="I162" s="135" t="s">
        <v>19</v>
      </c>
      <c r="J162" s="135" t="s">
        <v>19</v>
      </c>
      <c r="K162" s="135" t="s">
        <v>259</v>
      </c>
      <c r="L162" s="134" t="s">
        <v>260</v>
      </c>
      <c r="M162" s="212" t="s">
        <v>875</v>
      </c>
      <c r="N162" s="134" t="s">
        <v>261</v>
      </c>
      <c r="O162" s="78"/>
      <c r="P162" s="42"/>
      <c r="Q162" s="264">
        <f>'Additional information'!$D$19</f>
        <v>0.05</v>
      </c>
      <c r="R162" s="132"/>
      <c r="T162" s="444" t="s">
        <v>26</v>
      </c>
      <c r="U162" s="139"/>
      <c r="X162" s="267">
        <v>12.71689510345459</v>
      </c>
      <c r="Y162" s="267">
        <f t="shared" si="15"/>
        <v>0.63584475517272954</v>
      </c>
      <c r="Z162" s="132">
        <f t="shared" si="14"/>
        <v>0.63584475517272954</v>
      </c>
    </row>
    <row r="163" spans="1:26" s="138" customFormat="1" x14ac:dyDescent="0.2">
      <c r="A163" s="90"/>
      <c r="B163" s="255"/>
      <c r="C163" s="91"/>
      <c r="D163" s="350"/>
      <c r="E163" s="97"/>
      <c r="F163" s="473"/>
      <c r="G163" s="97"/>
      <c r="H163" s="91"/>
      <c r="I163" s="97"/>
      <c r="J163" s="97"/>
      <c r="K163" s="97"/>
      <c r="L163" s="78"/>
      <c r="M163" s="83"/>
      <c r="N163" s="78"/>
      <c r="O163" s="78"/>
      <c r="P163" s="42"/>
      <c r="Q163" s="269">
        <f>'Additional information'!$D$19</f>
        <v>0.05</v>
      </c>
      <c r="R163" s="132"/>
      <c r="T163" s="140"/>
      <c r="U163" s="139"/>
      <c r="X163" s="268"/>
      <c r="Y163" s="268" t="str">
        <f t="shared" si="15"/>
        <v/>
      </c>
      <c r="Z163" s="132" t="str">
        <f t="shared" si="14"/>
        <v/>
      </c>
    </row>
    <row r="164" spans="1:26" ht="204" x14ac:dyDescent="0.2">
      <c r="A164" s="90">
        <f>A162+1</f>
        <v>54</v>
      </c>
      <c r="B164" s="422" t="s">
        <v>262</v>
      </c>
      <c r="C164" s="423" t="s">
        <v>262</v>
      </c>
      <c r="D164" s="414" t="s">
        <v>856</v>
      </c>
      <c r="E164" s="135">
        <f>LEN(D164)</f>
        <v>302</v>
      </c>
      <c r="F164" s="199" t="s">
        <v>1231</v>
      </c>
      <c r="G164" s="135">
        <f>LEN(F164)</f>
        <v>303</v>
      </c>
      <c r="H164" s="423" t="s">
        <v>30</v>
      </c>
      <c r="I164" s="423" t="s">
        <v>19</v>
      </c>
      <c r="J164" s="423" t="s">
        <v>19</v>
      </c>
      <c r="K164" s="423" t="s">
        <v>31</v>
      </c>
      <c r="L164" s="424" t="s">
        <v>1263</v>
      </c>
      <c r="M164" s="212" t="s">
        <v>19</v>
      </c>
      <c r="N164" s="424" t="s">
        <v>1262</v>
      </c>
      <c r="O164" s="83"/>
      <c r="P164" s="2"/>
      <c r="Q164" s="264">
        <f>'Additional information'!$D$19</f>
        <v>0.05</v>
      </c>
      <c r="R164" s="132"/>
      <c r="T164" s="444" t="s">
        <v>26</v>
      </c>
      <c r="X164" s="267">
        <v>10.51750373840332</v>
      </c>
      <c r="Y164" s="267">
        <f t="shared" si="15"/>
        <v>0.52587518692016599</v>
      </c>
      <c r="Z164" s="132">
        <f t="shared" si="14"/>
        <v>0.52587518692016599</v>
      </c>
    </row>
    <row r="165" spans="1:26" x14ac:dyDescent="0.2">
      <c r="A165" s="90"/>
      <c r="B165" s="165"/>
      <c r="C165" s="163"/>
      <c r="D165" s="164"/>
      <c r="E165" s="97"/>
      <c r="F165" s="164"/>
      <c r="G165" s="97"/>
      <c r="H165" s="163"/>
      <c r="I165" s="163"/>
      <c r="J165" s="163"/>
      <c r="K165" s="163"/>
      <c r="L165" s="83"/>
      <c r="M165" s="83"/>
      <c r="N165" s="162"/>
      <c r="O165" s="83"/>
      <c r="P165" s="2"/>
      <c r="Q165" s="269">
        <f>'Additional information'!$D$19</f>
        <v>0.05</v>
      </c>
      <c r="R165" s="132"/>
      <c r="T165" s="140"/>
      <c r="X165" s="268"/>
      <c r="Y165" s="268" t="str">
        <f t="shared" si="15"/>
        <v/>
      </c>
      <c r="Z165" s="132" t="str">
        <f t="shared" si="14"/>
        <v/>
      </c>
    </row>
    <row r="166" spans="1:26" s="138" customFormat="1" ht="153" x14ac:dyDescent="0.2">
      <c r="A166" s="90">
        <f>A164+1</f>
        <v>55</v>
      </c>
      <c r="B166" s="227" t="s">
        <v>263</v>
      </c>
      <c r="C166" s="137" t="s">
        <v>263</v>
      </c>
      <c r="D166" s="414" t="s">
        <v>1261</v>
      </c>
      <c r="E166" s="135">
        <f>LEN(D166)</f>
        <v>169</v>
      </c>
      <c r="F166" s="199" t="s">
        <v>1296</v>
      </c>
      <c r="G166" s="135">
        <f>LEN(F166)</f>
        <v>196</v>
      </c>
      <c r="H166" s="145" t="s">
        <v>30</v>
      </c>
      <c r="I166" s="135" t="s">
        <v>19</v>
      </c>
      <c r="J166" s="135" t="s">
        <v>19</v>
      </c>
      <c r="K166" s="135" t="s">
        <v>31</v>
      </c>
      <c r="L166" s="134" t="s">
        <v>264</v>
      </c>
      <c r="M166" s="212" t="s">
        <v>19</v>
      </c>
      <c r="N166" s="142" t="s">
        <v>1260</v>
      </c>
      <c r="O166" s="36"/>
      <c r="P166" s="2"/>
      <c r="Q166" s="264">
        <f>'Additional information'!$D$19</f>
        <v>0.05</v>
      </c>
      <c r="R166" s="132"/>
      <c r="T166" s="444" t="s">
        <v>26</v>
      </c>
      <c r="U166" s="139"/>
      <c r="X166" s="267">
        <v>6.4824962615966797</v>
      </c>
      <c r="Y166" s="267">
        <f t="shared" si="15"/>
        <v>0.32412481307983398</v>
      </c>
      <c r="Z166" s="132">
        <f t="shared" si="14"/>
        <v>0.32412481307983398</v>
      </c>
    </row>
    <row r="167" spans="1:26" s="138" customFormat="1" ht="388" x14ac:dyDescent="0.2">
      <c r="A167" s="38">
        <f>A166+1</f>
        <v>56</v>
      </c>
      <c r="B167" s="227" t="s">
        <v>265</v>
      </c>
      <c r="C167" s="137" t="s">
        <v>764</v>
      </c>
      <c r="D167" s="414" t="s">
        <v>1259</v>
      </c>
      <c r="E167" s="143">
        <f>LEN(D167)</f>
        <v>762</v>
      </c>
      <c r="F167" s="457" t="s">
        <v>1297</v>
      </c>
      <c r="G167" s="143">
        <f>LEN(F167)</f>
        <v>998</v>
      </c>
      <c r="H167" s="137" t="s">
        <v>725</v>
      </c>
      <c r="I167" s="143" t="s">
        <v>19</v>
      </c>
      <c r="J167" s="143" t="s">
        <v>19</v>
      </c>
      <c r="K167" s="143" t="s">
        <v>736</v>
      </c>
      <c r="L167" s="425" t="s">
        <v>740</v>
      </c>
      <c r="M167" s="212" t="s">
        <v>876</v>
      </c>
      <c r="N167" s="142" t="s">
        <v>1258</v>
      </c>
      <c r="O167" s="52"/>
      <c r="P167" s="2"/>
      <c r="Q167" s="264">
        <f>'Additional information'!$D$19</f>
        <v>0.05</v>
      </c>
      <c r="R167" s="132"/>
      <c r="T167" s="444" t="s">
        <v>26</v>
      </c>
      <c r="U167" s="139"/>
      <c r="X167" s="267">
        <v>23.642156600952148</v>
      </c>
      <c r="Y167" s="267">
        <f t="shared" si="15"/>
        <v>1.1821078300476076</v>
      </c>
      <c r="Z167" s="132">
        <f t="shared" si="14"/>
        <v>1.1821078300476076</v>
      </c>
    </row>
    <row r="168" spans="1:26" s="138" customFormat="1" ht="255" x14ac:dyDescent="0.2">
      <c r="A168" s="6">
        <f>A167+1</f>
        <v>57</v>
      </c>
      <c r="B168" s="228" t="s">
        <v>266</v>
      </c>
      <c r="C168" s="13" t="s">
        <v>771</v>
      </c>
      <c r="D168" s="389" t="s">
        <v>906</v>
      </c>
      <c r="E168" s="12">
        <f>LEN(D168)</f>
        <v>334</v>
      </c>
      <c r="F168" s="465" t="s">
        <v>1123</v>
      </c>
      <c r="G168" s="12">
        <f>LEN(F168)</f>
        <v>426</v>
      </c>
      <c r="H168" s="13" t="s">
        <v>180</v>
      </c>
      <c r="I168" s="12" t="s">
        <v>19</v>
      </c>
      <c r="J168" s="12" t="s">
        <v>840</v>
      </c>
      <c r="K168" s="12" t="s">
        <v>742</v>
      </c>
      <c r="L168" s="23" t="s">
        <v>741</v>
      </c>
      <c r="M168" s="72" t="s">
        <v>877</v>
      </c>
      <c r="N168" s="23" t="s">
        <v>841</v>
      </c>
      <c r="O168" s="23"/>
      <c r="P168" s="396"/>
      <c r="Q168" s="269">
        <f>'Additional information'!$D$19</f>
        <v>0.05</v>
      </c>
      <c r="R168" s="132"/>
      <c r="T168" s="140" t="s">
        <v>18</v>
      </c>
      <c r="U168" s="139"/>
      <c r="X168" s="268">
        <v>19.200000762939453</v>
      </c>
      <c r="Y168" s="268">
        <f t="shared" si="15"/>
        <v>0.96000003814697266</v>
      </c>
      <c r="Z168" s="132" t="str">
        <f t="shared" si="14"/>
        <v/>
      </c>
    </row>
    <row r="169" spans="1:26" s="138" customFormat="1" ht="17" thickBot="1" x14ac:dyDescent="0.25">
      <c r="A169" s="90"/>
      <c r="B169" s="255"/>
      <c r="C169" s="91"/>
      <c r="D169" s="164"/>
      <c r="E169" s="97"/>
      <c r="F169" s="97"/>
      <c r="G169" s="97"/>
      <c r="H169" s="100"/>
      <c r="I169" s="97"/>
      <c r="J169" s="97"/>
      <c r="K169" s="97"/>
      <c r="L169" s="78"/>
      <c r="M169" s="83"/>
      <c r="N169" s="78"/>
      <c r="O169" s="78"/>
      <c r="P169" s="42"/>
      <c r="Q169" s="269">
        <f>'Additional information'!$D$19</f>
        <v>0.05</v>
      </c>
      <c r="R169" s="132"/>
      <c r="T169" s="140"/>
      <c r="U169" s="139"/>
      <c r="X169" s="268"/>
      <c r="Y169" s="268" t="str">
        <f t="shared" si="15"/>
        <v/>
      </c>
      <c r="Z169" s="132" t="str">
        <f t="shared" si="14"/>
        <v/>
      </c>
    </row>
    <row r="170" spans="1:26" s="435" customFormat="1" ht="17" thickBot="1" x14ac:dyDescent="0.25">
      <c r="A170" s="608" t="s">
        <v>267</v>
      </c>
      <c r="B170" s="609"/>
      <c r="C170" s="609"/>
      <c r="D170" s="609"/>
      <c r="E170" s="609"/>
      <c r="F170" s="609"/>
      <c r="G170" s="609"/>
      <c r="H170" s="609"/>
      <c r="I170" s="609"/>
      <c r="J170" s="609"/>
      <c r="K170" s="609"/>
      <c r="L170" s="609"/>
      <c r="M170" s="609"/>
      <c r="N170" s="609"/>
      <c r="O170" s="609"/>
      <c r="P170" s="610"/>
      <c r="Q170" s="264"/>
      <c r="R170" s="446"/>
      <c r="T170" s="444"/>
      <c r="U170" s="447"/>
      <c r="X170" s="267"/>
      <c r="Y170" s="267" t="str">
        <f t="shared" si="15"/>
        <v/>
      </c>
      <c r="Z170" s="446" t="str">
        <f t="shared" si="14"/>
        <v/>
      </c>
    </row>
    <row r="171" spans="1:26" s="138" customFormat="1" ht="221" x14ac:dyDescent="0.2">
      <c r="A171" s="90">
        <f>A168+1</f>
        <v>58</v>
      </c>
      <c r="B171" s="227" t="s">
        <v>268</v>
      </c>
      <c r="C171" s="137" t="s">
        <v>268</v>
      </c>
      <c r="D171" s="426" t="s">
        <v>907</v>
      </c>
      <c r="E171" s="135">
        <f>LEN(D171)</f>
        <v>302</v>
      </c>
      <c r="F171" s="457" t="s">
        <v>1124</v>
      </c>
      <c r="G171" s="135">
        <f>LEN(F171)</f>
        <v>382</v>
      </c>
      <c r="H171" s="145" t="s">
        <v>64</v>
      </c>
      <c r="I171" s="135" t="s">
        <v>19</v>
      </c>
      <c r="J171" s="135" t="s">
        <v>19</v>
      </c>
      <c r="K171" s="135" t="s">
        <v>830</v>
      </c>
      <c r="L171" s="160" t="s">
        <v>1257</v>
      </c>
      <c r="M171" s="212" t="s">
        <v>19</v>
      </c>
      <c r="N171" s="427" t="s">
        <v>1256</v>
      </c>
      <c r="O171" s="84"/>
      <c r="P171" s="1"/>
      <c r="Q171" s="264">
        <f>'Additional information'!$D$19</f>
        <v>0.05</v>
      </c>
      <c r="R171" s="132"/>
      <c r="T171" s="444" t="s">
        <v>26</v>
      </c>
      <c r="U171" s="139"/>
      <c r="X171" s="267">
        <v>9.2754945755004883</v>
      </c>
      <c r="Y171" s="267">
        <f t="shared" si="15"/>
        <v>0.46377472877502446</v>
      </c>
      <c r="Z171" s="132">
        <f t="shared" si="14"/>
        <v>0.46377472877502446</v>
      </c>
    </row>
    <row r="172" spans="1:26" s="138" customFormat="1" x14ac:dyDescent="0.2">
      <c r="A172" s="90"/>
      <c r="B172" s="255"/>
      <c r="C172" s="91"/>
      <c r="D172" s="99"/>
      <c r="E172" s="97"/>
      <c r="F172" s="99"/>
      <c r="G172" s="97"/>
      <c r="H172" s="100"/>
      <c r="I172" s="97"/>
      <c r="J172" s="97"/>
      <c r="K172" s="97"/>
      <c r="L172" s="82"/>
      <c r="M172" s="71"/>
      <c r="N172" s="79"/>
      <c r="O172" s="79"/>
      <c r="P172" s="42"/>
      <c r="Q172" s="269">
        <f>'Additional information'!$D$19</f>
        <v>0.05</v>
      </c>
      <c r="R172" s="132"/>
      <c r="T172" s="140"/>
      <c r="U172" s="139"/>
      <c r="X172" s="268"/>
      <c r="Y172" s="268" t="str">
        <f t="shared" si="15"/>
        <v/>
      </c>
      <c r="Z172" s="132" t="str">
        <f t="shared" si="14"/>
        <v/>
      </c>
    </row>
    <row r="173" spans="1:26" s="138" customFormat="1" ht="153" x14ac:dyDescent="0.2">
      <c r="A173" s="38">
        <f>A171+1</f>
        <v>59</v>
      </c>
      <c r="B173" s="159" t="s">
        <v>269</v>
      </c>
      <c r="C173" s="143" t="s">
        <v>269</v>
      </c>
      <c r="D173" s="414" t="s">
        <v>908</v>
      </c>
      <c r="E173" s="143">
        <f>LEN(D173)</f>
        <v>179</v>
      </c>
      <c r="F173" s="457" t="s">
        <v>1125</v>
      </c>
      <c r="G173" s="143">
        <f>LEN(F173)</f>
        <v>204</v>
      </c>
      <c r="H173" s="152" t="s">
        <v>30</v>
      </c>
      <c r="I173" s="143" t="s">
        <v>19</v>
      </c>
      <c r="J173" s="143" t="s">
        <v>19</v>
      </c>
      <c r="K173" s="143" t="s">
        <v>31</v>
      </c>
      <c r="L173" s="142" t="s">
        <v>1255</v>
      </c>
      <c r="M173" s="212" t="s">
        <v>19</v>
      </c>
      <c r="N173" s="428" t="s">
        <v>1254</v>
      </c>
      <c r="O173" s="85"/>
      <c r="P173" s="2"/>
      <c r="Q173" s="264">
        <f>'Additional information'!$D$19</f>
        <v>0.05</v>
      </c>
      <c r="R173" s="132"/>
      <c r="T173" s="444" t="s">
        <v>26</v>
      </c>
      <c r="U173" s="139"/>
      <c r="X173" s="267">
        <v>6.4158415794372559</v>
      </c>
      <c r="Y173" s="267">
        <f t="shared" si="15"/>
        <v>0.32079207897186279</v>
      </c>
      <c r="Z173" s="132">
        <f t="shared" si="14"/>
        <v>0.32079207897186279</v>
      </c>
    </row>
    <row r="174" spans="1:26" s="138" customFormat="1" ht="340" x14ac:dyDescent="0.2">
      <c r="A174" s="38">
        <f>A173+1</f>
        <v>60</v>
      </c>
      <c r="B174" s="177" t="s">
        <v>961</v>
      </c>
      <c r="C174" s="137" t="s">
        <v>1253</v>
      </c>
      <c r="D174" s="414" t="s">
        <v>911</v>
      </c>
      <c r="E174" s="143">
        <f>LEN(D174)</f>
        <v>666</v>
      </c>
      <c r="F174" s="457" t="s">
        <v>1126</v>
      </c>
      <c r="G174" s="143">
        <f>LEN(F174)</f>
        <v>887</v>
      </c>
      <c r="H174" s="137" t="s">
        <v>725</v>
      </c>
      <c r="I174" s="143" t="s">
        <v>19</v>
      </c>
      <c r="J174" s="143" t="s">
        <v>19</v>
      </c>
      <c r="K174" s="143" t="s">
        <v>743</v>
      </c>
      <c r="L174" s="142" t="s">
        <v>744</v>
      </c>
      <c r="M174" s="212" t="s">
        <v>878</v>
      </c>
      <c r="N174" s="409" t="s">
        <v>745</v>
      </c>
      <c r="O174" s="86"/>
      <c r="P174" s="2"/>
      <c r="Q174" s="264">
        <f>'Additional information'!$D$19</f>
        <v>0.05</v>
      </c>
      <c r="R174" s="132"/>
      <c r="T174" s="444" t="s">
        <v>26</v>
      </c>
      <c r="U174" s="139"/>
      <c r="X174" s="267">
        <v>20.534351348876953</v>
      </c>
      <c r="Y174" s="267">
        <f t="shared" si="15"/>
        <v>1.0267175674438478</v>
      </c>
      <c r="Z174" s="132">
        <f t="shared" si="14"/>
        <v>1.0267175674438478</v>
      </c>
    </row>
    <row r="175" spans="1:26" s="138" customFormat="1" x14ac:dyDescent="0.2">
      <c r="A175" s="104"/>
      <c r="B175" s="256"/>
      <c r="C175" s="41"/>
      <c r="D175" s="351"/>
      <c r="E175" s="94"/>
      <c r="F175" s="94"/>
      <c r="G175" s="94"/>
      <c r="H175" s="105"/>
      <c r="I175" s="94"/>
      <c r="J175" s="94"/>
      <c r="K175" s="94"/>
      <c r="L175" s="86"/>
      <c r="M175" s="71"/>
      <c r="N175" s="86"/>
      <c r="O175" s="86"/>
      <c r="P175" s="17"/>
      <c r="Q175" s="269">
        <f>'Additional information'!$D$19</f>
        <v>0.05</v>
      </c>
      <c r="R175" s="132"/>
      <c r="T175" s="140"/>
      <c r="U175" s="139"/>
      <c r="X175" s="268"/>
      <c r="Y175" s="268" t="str">
        <f t="shared" si="15"/>
        <v/>
      </c>
      <c r="Z175" s="132" t="str">
        <f t="shared" si="14"/>
        <v/>
      </c>
    </row>
    <row r="176" spans="1:26" s="138" customFormat="1" ht="238" x14ac:dyDescent="0.2">
      <c r="A176" s="104">
        <f>A174+1</f>
        <v>61</v>
      </c>
      <c r="B176" s="229" t="s">
        <v>270</v>
      </c>
      <c r="C176" s="144" t="s">
        <v>270</v>
      </c>
      <c r="D176" s="429" t="s">
        <v>933</v>
      </c>
      <c r="E176" s="126">
        <f>LEN(D176)</f>
        <v>357</v>
      </c>
      <c r="F176" s="460" t="s">
        <v>1127</v>
      </c>
      <c r="G176" s="126">
        <f>LEN(F176)</f>
        <v>380</v>
      </c>
      <c r="H176" s="408" t="s">
        <v>30</v>
      </c>
      <c r="I176" s="126" t="s">
        <v>19</v>
      </c>
      <c r="J176" s="126" t="s">
        <v>19</v>
      </c>
      <c r="K176" s="126" t="s">
        <v>31</v>
      </c>
      <c r="L176" s="409" t="s">
        <v>271</v>
      </c>
      <c r="M176" s="212" t="s">
        <v>19</v>
      </c>
      <c r="N176" s="409" t="s">
        <v>272</v>
      </c>
      <c r="O176" s="86"/>
      <c r="P176" s="2"/>
      <c r="Q176" s="264">
        <f>'Additional information'!$D$19</f>
        <v>0.05</v>
      </c>
      <c r="R176" s="132"/>
      <c r="T176" s="444" t="s">
        <v>26</v>
      </c>
      <c r="U176" s="139"/>
      <c r="X176" s="267">
        <v>8.3069305419921875</v>
      </c>
      <c r="Y176" s="267">
        <f t="shared" si="15"/>
        <v>0.4153465270996094</v>
      </c>
      <c r="Z176" s="132">
        <f t="shared" si="14"/>
        <v>0.4153465270996094</v>
      </c>
    </row>
    <row r="177" spans="1:26" s="138" customFormat="1" ht="17" thickBot="1" x14ac:dyDescent="0.25">
      <c r="A177" s="104"/>
      <c r="B177" s="256"/>
      <c r="C177" s="106"/>
      <c r="D177" s="351"/>
      <c r="E177" s="94"/>
      <c r="F177" s="94"/>
      <c r="G177" s="94"/>
      <c r="H177" s="105"/>
      <c r="I177" s="94"/>
      <c r="J177" s="94"/>
      <c r="K177" s="94"/>
      <c r="L177" s="86"/>
      <c r="M177" s="86"/>
      <c r="N177" s="86"/>
      <c r="O177" s="86"/>
      <c r="P177" s="63"/>
      <c r="Q177" s="269">
        <f>'Additional information'!$D$19</f>
        <v>0.05</v>
      </c>
      <c r="R177" s="132"/>
      <c r="T177" s="140"/>
      <c r="U177" s="139"/>
      <c r="X177" s="268"/>
      <c r="Y177" s="268" t="str">
        <f t="shared" ref="Y177:Y208" si="16">IF(X177="","",X177*Q177)</f>
        <v/>
      </c>
      <c r="Z177" s="132" t="str">
        <f t="shared" si="14"/>
        <v/>
      </c>
    </row>
    <row r="178" spans="1:26" s="435" customFormat="1" ht="17" thickBot="1" x14ac:dyDescent="0.25">
      <c r="A178" s="608" t="s">
        <v>273</v>
      </c>
      <c r="B178" s="609"/>
      <c r="C178" s="609"/>
      <c r="D178" s="609"/>
      <c r="E178" s="609"/>
      <c r="F178" s="609"/>
      <c r="G178" s="609"/>
      <c r="H178" s="609"/>
      <c r="I178" s="609"/>
      <c r="J178" s="609"/>
      <c r="K178" s="609"/>
      <c r="L178" s="609"/>
      <c r="M178" s="609"/>
      <c r="N178" s="609"/>
      <c r="O178" s="609"/>
      <c r="P178" s="610"/>
      <c r="Q178" s="264"/>
      <c r="R178" s="446"/>
      <c r="T178" s="444"/>
      <c r="U178" s="447"/>
      <c r="X178" s="267"/>
      <c r="Y178" s="267" t="str">
        <f t="shared" si="16"/>
        <v/>
      </c>
      <c r="Z178" s="446" t="str">
        <f t="shared" si="14"/>
        <v/>
      </c>
    </row>
    <row r="179" spans="1:26" s="138" customFormat="1" ht="153" x14ac:dyDescent="0.2">
      <c r="A179" s="90">
        <f>A176+1</f>
        <v>62</v>
      </c>
      <c r="B179" s="227" t="s">
        <v>966</v>
      </c>
      <c r="C179" s="238" t="s">
        <v>966</v>
      </c>
      <c r="D179" s="136" t="s">
        <v>274</v>
      </c>
      <c r="E179" s="135">
        <f t="shared" ref="E179:E210" si="17">LEN(D179)</f>
        <v>335</v>
      </c>
      <c r="F179" s="136" t="s">
        <v>1129</v>
      </c>
      <c r="G179" s="135">
        <f t="shared" ref="G179:G210" si="18">LEN(F179)</f>
        <v>420</v>
      </c>
      <c r="H179" s="145" t="s">
        <v>30</v>
      </c>
      <c r="I179" s="135" t="s">
        <v>19</v>
      </c>
      <c r="J179" s="135" t="s">
        <v>19</v>
      </c>
      <c r="K179" s="135" t="s">
        <v>31</v>
      </c>
      <c r="L179" s="134" t="s">
        <v>275</v>
      </c>
      <c r="M179" s="212" t="s">
        <v>19</v>
      </c>
      <c r="N179" s="134" t="s">
        <v>276</v>
      </c>
      <c r="O179" s="78"/>
      <c r="P179" s="390" t="s">
        <v>277</v>
      </c>
      <c r="Q179" s="264">
        <v>1</v>
      </c>
      <c r="R179" s="132"/>
      <c r="T179" s="444" t="s">
        <v>26</v>
      </c>
      <c r="U179" s="139"/>
      <c r="X179" s="267">
        <v>8.0881662368774414</v>
      </c>
      <c r="Y179" s="267">
        <f t="shared" si="16"/>
        <v>8.0881662368774414</v>
      </c>
      <c r="Z179" s="132">
        <f t="shared" si="14"/>
        <v>8.0881662368774414</v>
      </c>
    </row>
    <row r="180" spans="1:26" s="138" customFormat="1" ht="170" x14ac:dyDescent="0.2">
      <c r="A180" s="38">
        <f t="shared" ref="A180:A221" si="19">A179+1</f>
        <v>63</v>
      </c>
      <c r="B180" s="177" t="s">
        <v>278</v>
      </c>
      <c r="C180" s="137" t="s">
        <v>278</v>
      </c>
      <c r="D180" s="157" t="s">
        <v>279</v>
      </c>
      <c r="E180" s="143">
        <f t="shared" si="17"/>
        <v>236</v>
      </c>
      <c r="F180" s="460" t="s">
        <v>1130</v>
      </c>
      <c r="G180" s="143">
        <f t="shared" si="18"/>
        <v>278</v>
      </c>
      <c r="H180" s="152" t="s">
        <v>30</v>
      </c>
      <c r="I180" s="143" t="s">
        <v>19</v>
      </c>
      <c r="J180" s="143" t="s">
        <v>19</v>
      </c>
      <c r="K180" s="143" t="s">
        <v>31</v>
      </c>
      <c r="L180" s="142" t="s">
        <v>280</v>
      </c>
      <c r="M180" s="212" t="s">
        <v>19</v>
      </c>
      <c r="N180" s="154" t="s">
        <v>281</v>
      </c>
      <c r="O180" s="87"/>
      <c r="P180" s="2"/>
      <c r="Q180" s="264">
        <v>1</v>
      </c>
      <c r="R180" s="132"/>
      <c r="T180" s="444" t="s">
        <v>26</v>
      </c>
      <c r="U180" s="139"/>
      <c r="X180" s="267">
        <v>20.224567413330078</v>
      </c>
      <c r="Y180" s="267">
        <f t="shared" si="16"/>
        <v>20.224567413330078</v>
      </c>
      <c r="Z180" s="132">
        <f t="shared" si="14"/>
        <v>20.224567413330078</v>
      </c>
    </row>
    <row r="181" spans="1:26" s="138" customFormat="1" ht="170" x14ac:dyDescent="0.2">
      <c r="A181" s="38">
        <f t="shared" si="19"/>
        <v>64</v>
      </c>
      <c r="B181" s="177" t="s">
        <v>282</v>
      </c>
      <c r="C181" s="137" t="s">
        <v>282</v>
      </c>
      <c r="D181" s="157" t="s">
        <v>283</v>
      </c>
      <c r="E181" s="143">
        <f t="shared" si="17"/>
        <v>234</v>
      </c>
      <c r="F181" s="460" t="s">
        <v>1131</v>
      </c>
      <c r="G181" s="143">
        <f t="shared" si="18"/>
        <v>261</v>
      </c>
      <c r="H181" s="152" t="s">
        <v>30</v>
      </c>
      <c r="I181" s="143" t="s">
        <v>19</v>
      </c>
      <c r="J181" s="143" t="s">
        <v>19</v>
      </c>
      <c r="K181" s="143" t="s">
        <v>31</v>
      </c>
      <c r="L181" s="142" t="s">
        <v>284</v>
      </c>
      <c r="M181" s="212" t="s">
        <v>19</v>
      </c>
      <c r="N181" s="154" t="s">
        <v>285</v>
      </c>
      <c r="O181" s="87"/>
      <c r="P181" s="2"/>
      <c r="Q181" s="264">
        <v>1</v>
      </c>
      <c r="R181" s="132"/>
      <c r="T181" s="444" t="s">
        <v>26</v>
      </c>
      <c r="U181" s="139"/>
      <c r="X181" s="267">
        <v>14.026061058044434</v>
      </c>
      <c r="Y181" s="267">
        <f t="shared" si="16"/>
        <v>14.026061058044434</v>
      </c>
      <c r="Z181" s="132">
        <f t="shared" si="14"/>
        <v>14.026061058044434</v>
      </c>
    </row>
    <row r="182" spans="1:26" s="138" customFormat="1" ht="170" x14ac:dyDescent="0.2">
      <c r="A182" s="38">
        <f t="shared" si="19"/>
        <v>65</v>
      </c>
      <c r="B182" s="177" t="s">
        <v>286</v>
      </c>
      <c r="C182" s="137" t="s">
        <v>286</v>
      </c>
      <c r="D182" s="157" t="s">
        <v>287</v>
      </c>
      <c r="E182" s="143">
        <f t="shared" si="17"/>
        <v>217</v>
      </c>
      <c r="F182" s="460" t="s">
        <v>1132</v>
      </c>
      <c r="G182" s="143">
        <f t="shared" si="18"/>
        <v>258</v>
      </c>
      <c r="H182" s="152" t="s">
        <v>30</v>
      </c>
      <c r="I182" s="143" t="s">
        <v>19</v>
      </c>
      <c r="J182" s="143" t="s">
        <v>19</v>
      </c>
      <c r="K182" s="143" t="s">
        <v>31</v>
      </c>
      <c r="L182" s="142" t="s">
        <v>288</v>
      </c>
      <c r="M182" s="212" t="s">
        <v>19</v>
      </c>
      <c r="N182" s="154" t="s">
        <v>289</v>
      </c>
      <c r="O182" s="87"/>
      <c r="P182" s="2"/>
      <c r="Q182" s="264">
        <v>1</v>
      </c>
      <c r="R182" s="132"/>
      <c r="T182" s="444" t="s">
        <v>26</v>
      </c>
      <c r="U182" s="139"/>
      <c r="X182" s="267">
        <v>11.558505058288574</v>
      </c>
      <c r="Y182" s="267">
        <f t="shared" si="16"/>
        <v>11.558505058288574</v>
      </c>
      <c r="Z182" s="132">
        <f t="shared" si="14"/>
        <v>11.558505058288574</v>
      </c>
    </row>
    <row r="183" spans="1:26" s="138" customFormat="1" ht="170" x14ac:dyDescent="0.2">
      <c r="A183" s="38">
        <f t="shared" si="19"/>
        <v>66</v>
      </c>
      <c r="B183" s="177" t="s">
        <v>290</v>
      </c>
      <c r="C183" s="137" t="s">
        <v>290</v>
      </c>
      <c r="D183" s="157" t="s">
        <v>291</v>
      </c>
      <c r="E183" s="143">
        <f t="shared" si="17"/>
        <v>218</v>
      </c>
      <c r="F183" s="460" t="s">
        <v>1133</v>
      </c>
      <c r="G183" s="143">
        <f t="shared" si="18"/>
        <v>267</v>
      </c>
      <c r="H183" s="152" t="s">
        <v>30</v>
      </c>
      <c r="I183" s="143" t="s">
        <v>19</v>
      </c>
      <c r="J183" s="143" t="s">
        <v>19</v>
      </c>
      <c r="K183" s="143" t="s">
        <v>31</v>
      </c>
      <c r="L183" s="142" t="s">
        <v>292</v>
      </c>
      <c r="M183" s="212" t="s">
        <v>19</v>
      </c>
      <c r="N183" s="142" t="s">
        <v>293</v>
      </c>
      <c r="O183" s="76"/>
      <c r="P183" s="2"/>
      <c r="Q183" s="264">
        <v>1</v>
      </c>
      <c r="R183" s="132"/>
      <c r="T183" s="444" t="s">
        <v>26</v>
      </c>
      <c r="U183" s="139"/>
      <c r="X183" s="267">
        <v>11.379257202148438</v>
      </c>
      <c r="Y183" s="267">
        <f t="shared" si="16"/>
        <v>11.379257202148438</v>
      </c>
      <c r="Z183" s="132">
        <f t="shared" si="14"/>
        <v>11.379257202148438</v>
      </c>
    </row>
    <row r="184" spans="1:26" s="138" customFormat="1" ht="170" x14ac:dyDescent="0.2">
      <c r="A184" s="38">
        <f t="shared" si="19"/>
        <v>67</v>
      </c>
      <c r="B184" s="177" t="s">
        <v>294</v>
      </c>
      <c r="C184" s="137" t="s">
        <v>294</v>
      </c>
      <c r="D184" s="157" t="s">
        <v>295</v>
      </c>
      <c r="E184" s="143">
        <f t="shared" si="17"/>
        <v>224</v>
      </c>
      <c r="F184" s="460" t="s">
        <v>1134</v>
      </c>
      <c r="G184" s="143">
        <f t="shared" si="18"/>
        <v>254</v>
      </c>
      <c r="H184" s="152" t="s">
        <v>30</v>
      </c>
      <c r="I184" s="143" t="s">
        <v>19</v>
      </c>
      <c r="J184" s="143" t="s">
        <v>19</v>
      </c>
      <c r="K184" s="143" t="s">
        <v>31</v>
      </c>
      <c r="L184" s="142" t="s">
        <v>296</v>
      </c>
      <c r="M184" s="212" t="s">
        <v>19</v>
      </c>
      <c r="N184" s="142" t="s">
        <v>297</v>
      </c>
      <c r="O184" s="76"/>
      <c r="P184" s="2"/>
      <c r="Q184" s="264">
        <v>1</v>
      </c>
      <c r="R184" s="132"/>
      <c r="T184" s="444" t="s">
        <v>26</v>
      </c>
      <c r="U184" s="139"/>
      <c r="X184" s="267">
        <v>10.443217277526855</v>
      </c>
      <c r="Y184" s="267">
        <f t="shared" si="16"/>
        <v>10.443217277526855</v>
      </c>
      <c r="Z184" s="132">
        <f t="shared" si="14"/>
        <v>10.443217277526855</v>
      </c>
    </row>
    <row r="185" spans="1:26" s="138" customFormat="1" ht="170" x14ac:dyDescent="0.2">
      <c r="A185" s="38">
        <f t="shared" si="19"/>
        <v>68</v>
      </c>
      <c r="B185" s="177" t="s">
        <v>298</v>
      </c>
      <c r="C185" s="176" t="s">
        <v>298</v>
      </c>
      <c r="D185" s="156" t="s">
        <v>299</v>
      </c>
      <c r="E185" s="143">
        <f t="shared" si="17"/>
        <v>182</v>
      </c>
      <c r="F185" s="426" t="s">
        <v>1135</v>
      </c>
      <c r="G185" s="143">
        <f t="shared" si="18"/>
        <v>250</v>
      </c>
      <c r="H185" s="152" t="s">
        <v>30</v>
      </c>
      <c r="I185" s="143" t="s">
        <v>19</v>
      </c>
      <c r="J185" s="143" t="s">
        <v>19</v>
      </c>
      <c r="K185" s="143" t="s">
        <v>31</v>
      </c>
      <c r="L185" s="142" t="s">
        <v>300</v>
      </c>
      <c r="M185" s="212" t="s">
        <v>19</v>
      </c>
      <c r="N185" s="154" t="s">
        <v>301</v>
      </c>
      <c r="O185" s="87"/>
      <c r="P185" s="2"/>
      <c r="Q185" s="264">
        <v>1</v>
      </c>
      <c r="R185" s="132"/>
      <c r="T185" s="444" t="s">
        <v>26</v>
      </c>
      <c r="U185" s="139"/>
      <c r="X185" s="267">
        <v>10.732010841369629</v>
      </c>
      <c r="Y185" s="267">
        <f t="shared" si="16"/>
        <v>10.732010841369629</v>
      </c>
      <c r="Z185" s="132">
        <f t="shared" si="14"/>
        <v>10.732010841369629</v>
      </c>
    </row>
    <row r="186" spans="1:26" s="332" customFormat="1" ht="153" x14ac:dyDescent="0.2">
      <c r="A186" s="38">
        <f t="shared" si="19"/>
        <v>69</v>
      </c>
      <c r="B186" s="177" t="s">
        <v>302</v>
      </c>
      <c r="C186" s="176" t="s">
        <v>302</v>
      </c>
      <c r="D186" s="155" t="s">
        <v>857</v>
      </c>
      <c r="E186" s="143">
        <f t="shared" si="17"/>
        <v>214</v>
      </c>
      <c r="F186" s="457" t="s">
        <v>1136</v>
      </c>
      <c r="G186" s="143">
        <f t="shared" si="18"/>
        <v>235</v>
      </c>
      <c r="H186" s="152" t="s">
        <v>30</v>
      </c>
      <c r="I186" s="143" t="s">
        <v>19</v>
      </c>
      <c r="J186" s="143" t="s">
        <v>19</v>
      </c>
      <c r="K186" s="143" t="s">
        <v>31</v>
      </c>
      <c r="L186" s="142" t="s">
        <v>303</v>
      </c>
      <c r="M186" s="212" t="s">
        <v>19</v>
      </c>
      <c r="N186" s="142" t="s">
        <v>304</v>
      </c>
      <c r="O186" s="76"/>
      <c r="P186" s="2"/>
      <c r="Q186" s="264">
        <v>1</v>
      </c>
      <c r="R186" s="132"/>
      <c r="T186" s="444" t="s">
        <v>26</v>
      </c>
      <c r="U186" s="139"/>
      <c r="X186" s="267">
        <v>11.586139678955078</v>
      </c>
      <c r="Y186" s="267">
        <f t="shared" si="16"/>
        <v>11.586139678955078</v>
      </c>
      <c r="Z186" s="132">
        <f t="shared" si="14"/>
        <v>11.586139678955078</v>
      </c>
    </row>
    <row r="187" spans="1:26" s="138" customFormat="1" ht="170" x14ac:dyDescent="0.2">
      <c r="A187" s="38">
        <f t="shared" si="19"/>
        <v>70</v>
      </c>
      <c r="B187" s="177" t="s">
        <v>305</v>
      </c>
      <c r="C187" s="137" t="s">
        <v>305</v>
      </c>
      <c r="D187" s="156" t="s">
        <v>306</v>
      </c>
      <c r="E187" s="143">
        <f t="shared" si="17"/>
        <v>184</v>
      </c>
      <c r="F187" s="426" t="s">
        <v>1137</v>
      </c>
      <c r="G187" s="143">
        <f t="shared" si="18"/>
        <v>225</v>
      </c>
      <c r="H187" s="152" t="s">
        <v>30</v>
      </c>
      <c r="I187" s="143" t="s">
        <v>19</v>
      </c>
      <c r="J187" s="143" t="s">
        <v>19</v>
      </c>
      <c r="K187" s="143" t="s">
        <v>31</v>
      </c>
      <c r="L187" s="142" t="s">
        <v>307</v>
      </c>
      <c r="M187" s="212" t="s">
        <v>19</v>
      </c>
      <c r="N187" s="154" t="s">
        <v>308</v>
      </c>
      <c r="O187" s="87"/>
      <c r="P187" s="2"/>
      <c r="Q187" s="264">
        <v>1</v>
      </c>
      <c r="R187" s="132"/>
      <c r="T187" s="444" t="s">
        <v>26</v>
      </c>
      <c r="U187" s="139"/>
      <c r="X187" s="267">
        <v>9.7552013397216797</v>
      </c>
      <c r="Y187" s="267">
        <f t="shared" si="16"/>
        <v>9.7552013397216797</v>
      </c>
      <c r="Z187" s="132">
        <f t="shared" si="14"/>
        <v>9.7552013397216797</v>
      </c>
    </row>
    <row r="188" spans="1:26" s="138" customFormat="1" ht="153" x14ac:dyDescent="0.2">
      <c r="A188" s="38">
        <f t="shared" si="19"/>
        <v>71</v>
      </c>
      <c r="B188" s="177" t="s">
        <v>309</v>
      </c>
      <c r="C188" s="176" t="s">
        <v>309</v>
      </c>
      <c r="D188" s="155" t="s">
        <v>857</v>
      </c>
      <c r="E188" s="143">
        <f t="shared" si="17"/>
        <v>214</v>
      </c>
      <c r="F188" s="457" t="s">
        <v>1136</v>
      </c>
      <c r="G188" s="143">
        <f t="shared" si="18"/>
        <v>235</v>
      </c>
      <c r="H188" s="152" t="s">
        <v>30</v>
      </c>
      <c r="I188" s="143" t="s">
        <v>19</v>
      </c>
      <c r="J188" s="143" t="s">
        <v>19</v>
      </c>
      <c r="K188" s="143" t="s">
        <v>31</v>
      </c>
      <c r="L188" s="142" t="s">
        <v>310</v>
      </c>
      <c r="M188" s="212" t="s">
        <v>19</v>
      </c>
      <c r="N188" s="142" t="s">
        <v>311</v>
      </c>
      <c r="O188" s="76"/>
      <c r="P188" s="2"/>
      <c r="Q188" s="264">
        <v>1</v>
      </c>
      <c r="R188" s="132"/>
      <c r="T188" s="444" t="s">
        <v>26</v>
      </c>
      <c r="U188" s="139"/>
      <c r="X188" s="267">
        <v>7.9447951316833496</v>
      </c>
      <c r="Y188" s="267">
        <f t="shared" si="16"/>
        <v>7.9447951316833496</v>
      </c>
      <c r="Z188" s="132">
        <f t="shared" si="14"/>
        <v>7.9447951316833496</v>
      </c>
    </row>
    <row r="189" spans="1:26" s="138" customFormat="1" ht="170" x14ac:dyDescent="0.2">
      <c r="A189" s="38">
        <f t="shared" si="19"/>
        <v>72</v>
      </c>
      <c r="B189" s="177" t="s">
        <v>312</v>
      </c>
      <c r="C189" s="137" t="s">
        <v>312</v>
      </c>
      <c r="D189" s="156" t="s">
        <v>313</v>
      </c>
      <c r="E189" s="143">
        <f t="shared" si="17"/>
        <v>212</v>
      </c>
      <c r="F189" s="426" t="s">
        <v>1138</v>
      </c>
      <c r="G189" s="143">
        <f t="shared" si="18"/>
        <v>236</v>
      </c>
      <c r="H189" s="152" t="s">
        <v>30</v>
      </c>
      <c r="I189" s="143" t="s">
        <v>19</v>
      </c>
      <c r="J189" s="143" t="s">
        <v>19</v>
      </c>
      <c r="K189" s="143" t="s">
        <v>31</v>
      </c>
      <c r="L189" s="142" t="s">
        <v>1252</v>
      </c>
      <c r="M189" s="212" t="s">
        <v>19</v>
      </c>
      <c r="N189" s="154" t="s">
        <v>1251</v>
      </c>
      <c r="O189" s="35"/>
      <c r="P189" s="2"/>
      <c r="Q189" s="264">
        <v>1</v>
      </c>
      <c r="R189" s="132"/>
      <c r="T189" s="444" t="s">
        <v>26</v>
      </c>
      <c r="U189" s="139"/>
      <c r="X189" s="267">
        <v>7.9312248229980469</v>
      </c>
      <c r="Y189" s="267">
        <f t="shared" si="16"/>
        <v>7.9312248229980469</v>
      </c>
      <c r="Z189" s="132">
        <f t="shared" si="14"/>
        <v>7.9312248229980469</v>
      </c>
    </row>
    <row r="190" spans="1:26" s="138" customFormat="1" ht="153" x14ac:dyDescent="0.2">
      <c r="A190" s="38">
        <f t="shared" si="19"/>
        <v>73</v>
      </c>
      <c r="B190" s="177" t="s">
        <v>314</v>
      </c>
      <c r="C190" s="176" t="s">
        <v>314</v>
      </c>
      <c r="D190" s="155" t="s">
        <v>857</v>
      </c>
      <c r="E190" s="143">
        <f t="shared" si="17"/>
        <v>214</v>
      </c>
      <c r="F190" s="457" t="s">
        <v>1136</v>
      </c>
      <c r="G190" s="143">
        <f t="shared" si="18"/>
        <v>235</v>
      </c>
      <c r="H190" s="152" t="s">
        <v>30</v>
      </c>
      <c r="I190" s="143" t="s">
        <v>19</v>
      </c>
      <c r="J190" s="143" t="s">
        <v>19</v>
      </c>
      <c r="K190" s="143" t="s">
        <v>31</v>
      </c>
      <c r="L190" s="142" t="s">
        <v>1250</v>
      </c>
      <c r="M190" s="212" t="s">
        <v>19</v>
      </c>
      <c r="N190" s="154" t="s">
        <v>1249</v>
      </c>
      <c r="O190" s="35"/>
      <c r="P190" s="2"/>
      <c r="Q190" s="264">
        <v>1</v>
      </c>
      <c r="R190" s="132"/>
      <c r="T190" s="444" t="s">
        <v>26</v>
      </c>
      <c r="U190" s="139"/>
      <c r="X190" s="267">
        <v>5.3390059471130371</v>
      </c>
      <c r="Y190" s="267">
        <f t="shared" si="16"/>
        <v>5.3390059471130371</v>
      </c>
      <c r="Z190" s="132">
        <f t="shared" si="14"/>
        <v>5.3390059471130371</v>
      </c>
    </row>
    <row r="191" spans="1:26" s="138" customFormat="1" ht="153" x14ac:dyDescent="0.2">
      <c r="A191" s="6">
        <f t="shared" si="19"/>
        <v>74</v>
      </c>
      <c r="B191" s="228" t="s">
        <v>965</v>
      </c>
      <c r="C191" s="9" t="s">
        <v>965</v>
      </c>
      <c r="D191" s="30" t="s">
        <v>970</v>
      </c>
      <c r="E191" s="12">
        <f t="shared" si="17"/>
        <v>142</v>
      </c>
      <c r="F191" s="465" t="s">
        <v>1139</v>
      </c>
      <c r="G191" s="12">
        <f t="shared" si="18"/>
        <v>186</v>
      </c>
      <c r="H191" s="28" t="s">
        <v>30</v>
      </c>
      <c r="I191" s="12" t="s">
        <v>19</v>
      </c>
      <c r="J191" s="12" t="s">
        <v>19</v>
      </c>
      <c r="K191" s="12" t="s">
        <v>31</v>
      </c>
      <c r="L191" s="23" t="s">
        <v>1248</v>
      </c>
      <c r="M191" s="72" t="s">
        <v>19</v>
      </c>
      <c r="N191" s="339"/>
      <c r="O191" s="340"/>
      <c r="P191" s="114" t="s">
        <v>315</v>
      </c>
      <c r="Q191" s="269">
        <v>1</v>
      </c>
      <c r="R191" s="132"/>
      <c r="T191" s="140" t="s">
        <v>18</v>
      </c>
      <c r="U191" s="139"/>
      <c r="X191" s="268">
        <v>3.8165555000305176</v>
      </c>
      <c r="Y191" s="268">
        <f t="shared" si="16"/>
        <v>3.8165555000305176</v>
      </c>
      <c r="Z191" s="132" t="str">
        <f t="shared" si="14"/>
        <v/>
      </c>
    </row>
    <row r="192" spans="1:26" s="138" customFormat="1" ht="221" x14ac:dyDescent="0.2">
      <c r="A192" s="6">
        <f t="shared" si="19"/>
        <v>75</v>
      </c>
      <c r="B192" s="341" t="s">
        <v>316</v>
      </c>
      <c r="C192" s="9" t="s">
        <v>317</v>
      </c>
      <c r="D192" s="14" t="s">
        <v>850</v>
      </c>
      <c r="E192" s="12">
        <f t="shared" si="17"/>
        <v>406</v>
      </c>
      <c r="F192" s="14" t="s">
        <v>1140</v>
      </c>
      <c r="G192" s="12">
        <f t="shared" si="18"/>
        <v>440</v>
      </c>
      <c r="H192" s="28" t="s">
        <v>30</v>
      </c>
      <c r="I192" s="12" t="s">
        <v>19</v>
      </c>
      <c r="J192" s="12" t="s">
        <v>19</v>
      </c>
      <c r="K192" s="12" t="s">
        <v>31</v>
      </c>
      <c r="L192" s="23" t="s">
        <v>318</v>
      </c>
      <c r="M192" s="72" t="s">
        <v>19</v>
      </c>
      <c r="N192" s="34"/>
      <c r="O192" s="34"/>
      <c r="P192" s="2"/>
      <c r="Q192" s="269">
        <v>1</v>
      </c>
      <c r="R192" s="132"/>
      <c r="T192" s="140" t="s">
        <v>18</v>
      </c>
      <c r="U192" s="139"/>
      <c r="X192" s="268">
        <v>16.827030181884766</v>
      </c>
      <c r="Y192" s="268">
        <f t="shared" si="16"/>
        <v>16.827030181884766</v>
      </c>
      <c r="Z192" s="132" t="str">
        <f t="shared" si="14"/>
        <v/>
      </c>
    </row>
    <row r="193" spans="1:26" s="138" customFormat="1" ht="221" x14ac:dyDescent="0.2">
      <c r="A193" s="6">
        <f t="shared" si="19"/>
        <v>76</v>
      </c>
      <c r="B193" s="341" t="s">
        <v>319</v>
      </c>
      <c r="C193" s="9" t="s">
        <v>320</v>
      </c>
      <c r="D193" s="14" t="s">
        <v>321</v>
      </c>
      <c r="E193" s="12">
        <f t="shared" si="17"/>
        <v>344</v>
      </c>
      <c r="F193" s="14" t="s">
        <v>1141</v>
      </c>
      <c r="G193" s="12">
        <f t="shared" si="18"/>
        <v>382</v>
      </c>
      <c r="H193" s="28" t="s">
        <v>30</v>
      </c>
      <c r="I193" s="12" t="s">
        <v>19</v>
      </c>
      <c r="J193" s="12" t="s">
        <v>19</v>
      </c>
      <c r="K193" s="12" t="s">
        <v>31</v>
      </c>
      <c r="L193" s="23" t="s">
        <v>318</v>
      </c>
      <c r="M193" s="72" t="s">
        <v>19</v>
      </c>
      <c r="N193" s="34"/>
      <c r="O193" s="34"/>
      <c r="P193" s="2"/>
      <c r="Q193" s="269">
        <v>1</v>
      </c>
      <c r="R193" s="132"/>
      <c r="T193" s="140" t="s">
        <v>18</v>
      </c>
      <c r="U193" s="139"/>
      <c r="X193" s="268">
        <v>12.211404800415039</v>
      </c>
      <c r="Y193" s="268">
        <f t="shared" si="16"/>
        <v>12.211404800415039</v>
      </c>
      <c r="Z193" s="132" t="str">
        <f t="shared" si="14"/>
        <v/>
      </c>
    </row>
    <row r="194" spans="1:26" s="138" customFormat="1" ht="221" x14ac:dyDescent="0.2">
      <c r="A194" s="6">
        <f t="shared" si="19"/>
        <v>77</v>
      </c>
      <c r="B194" s="341" t="s">
        <v>322</v>
      </c>
      <c r="C194" s="9" t="s">
        <v>322</v>
      </c>
      <c r="D194" s="14" t="s">
        <v>851</v>
      </c>
      <c r="E194" s="12">
        <f t="shared" si="17"/>
        <v>378</v>
      </c>
      <c r="F194" s="14" t="s">
        <v>1142</v>
      </c>
      <c r="G194" s="12">
        <f t="shared" si="18"/>
        <v>414</v>
      </c>
      <c r="H194" s="28" t="s">
        <v>30</v>
      </c>
      <c r="I194" s="12" t="s">
        <v>19</v>
      </c>
      <c r="J194" s="12" t="s">
        <v>19</v>
      </c>
      <c r="K194" s="12" t="s">
        <v>31</v>
      </c>
      <c r="L194" s="23" t="s">
        <v>318</v>
      </c>
      <c r="M194" s="72" t="s">
        <v>19</v>
      </c>
      <c r="N194" s="34"/>
      <c r="O194" s="34"/>
      <c r="P194" s="2"/>
      <c r="Q194" s="269">
        <v>1</v>
      </c>
      <c r="R194" s="132"/>
      <c r="T194" s="140" t="s">
        <v>18</v>
      </c>
      <c r="U194" s="139"/>
      <c r="X194" s="268">
        <v>10.392949104309082</v>
      </c>
      <c r="Y194" s="268">
        <f t="shared" si="16"/>
        <v>10.392949104309082</v>
      </c>
      <c r="Z194" s="132" t="str">
        <f t="shared" si="14"/>
        <v/>
      </c>
    </row>
    <row r="195" spans="1:26" s="138" customFormat="1" ht="221" x14ac:dyDescent="0.2">
      <c r="A195" s="6">
        <f t="shared" si="19"/>
        <v>78</v>
      </c>
      <c r="B195" s="341" t="s">
        <v>323</v>
      </c>
      <c r="C195" s="9" t="s">
        <v>323</v>
      </c>
      <c r="D195" s="14" t="s">
        <v>324</v>
      </c>
      <c r="E195" s="12">
        <f t="shared" si="17"/>
        <v>370</v>
      </c>
      <c r="F195" s="14" t="s">
        <v>1143</v>
      </c>
      <c r="G195" s="12">
        <f t="shared" si="18"/>
        <v>416</v>
      </c>
      <c r="H195" s="28" t="s">
        <v>30</v>
      </c>
      <c r="I195" s="12" t="s">
        <v>19</v>
      </c>
      <c r="J195" s="12" t="s">
        <v>19</v>
      </c>
      <c r="K195" s="12" t="s">
        <v>31</v>
      </c>
      <c r="L195" s="23" t="s">
        <v>318</v>
      </c>
      <c r="M195" s="72" t="s">
        <v>19</v>
      </c>
      <c r="N195" s="34"/>
      <c r="O195" s="34"/>
      <c r="P195" s="2"/>
      <c r="Q195" s="269">
        <v>1</v>
      </c>
      <c r="R195" s="132"/>
      <c r="T195" s="140" t="s">
        <v>18</v>
      </c>
      <c r="U195" s="139"/>
      <c r="X195" s="268">
        <v>11.913414001464844</v>
      </c>
      <c r="Y195" s="268">
        <f t="shared" si="16"/>
        <v>11.913414001464844</v>
      </c>
      <c r="Z195" s="132" t="str">
        <f t="shared" si="14"/>
        <v/>
      </c>
    </row>
    <row r="196" spans="1:26" s="138" customFormat="1" ht="221" x14ac:dyDescent="0.2">
      <c r="A196" s="6">
        <f t="shared" si="19"/>
        <v>79</v>
      </c>
      <c r="B196" s="341" t="s">
        <v>325</v>
      </c>
      <c r="C196" s="9" t="s">
        <v>325</v>
      </c>
      <c r="D196" s="14" t="s">
        <v>326</v>
      </c>
      <c r="E196" s="12">
        <f t="shared" si="17"/>
        <v>384</v>
      </c>
      <c r="F196" s="14" t="s">
        <v>1144</v>
      </c>
      <c r="G196" s="12">
        <f t="shared" si="18"/>
        <v>434</v>
      </c>
      <c r="H196" s="28" t="s">
        <v>30</v>
      </c>
      <c r="I196" s="12" t="s">
        <v>19</v>
      </c>
      <c r="J196" s="12" t="s">
        <v>19</v>
      </c>
      <c r="K196" s="12" t="s">
        <v>31</v>
      </c>
      <c r="L196" s="23" t="s">
        <v>318</v>
      </c>
      <c r="M196" s="72" t="s">
        <v>19</v>
      </c>
      <c r="N196" s="34"/>
      <c r="O196" s="34"/>
      <c r="P196" s="2"/>
      <c r="Q196" s="269">
        <v>1</v>
      </c>
      <c r="R196" s="132"/>
      <c r="T196" s="140" t="s">
        <v>18</v>
      </c>
      <c r="U196" s="139"/>
      <c r="X196" s="268">
        <v>11.458892822265625</v>
      </c>
      <c r="Y196" s="268">
        <f t="shared" si="16"/>
        <v>11.458892822265625</v>
      </c>
      <c r="Z196" s="132" t="str">
        <f t="shared" si="14"/>
        <v/>
      </c>
    </row>
    <row r="197" spans="1:26" s="138" customFormat="1" ht="221" x14ac:dyDescent="0.2">
      <c r="A197" s="6">
        <f t="shared" si="19"/>
        <v>80</v>
      </c>
      <c r="B197" s="341" t="s">
        <v>327</v>
      </c>
      <c r="C197" s="9" t="s">
        <v>327</v>
      </c>
      <c r="D197" s="14" t="s">
        <v>328</v>
      </c>
      <c r="E197" s="12">
        <f t="shared" si="17"/>
        <v>371</v>
      </c>
      <c r="F197" s="14" t="s">
        <v>1146</v>
      </c>
      <c r="G197" s="12">
        <f t="shared" si="18"/>
        <v>415</v>
      </c>
      <c r="H197" s="28" t="s">
        <v>30</v>
      </c>
      <c r="I197" s="12" t="s">
        <v>19</v>
      </c>
      <c r="J197" s="12" t="s">
        <v>19</v>
      </c>
      <c r="K197" s="12" t="s">
        <v>31</v>
      </c>
      <c r="L197" s="23" t="s">
        <v>318</v>
      </c>
      <c r="M197" s="72" t="s">
        <v>19</v>
      </c>
      <c r="N197" s="34"/>
      <c r="O197" s="34"/>
      <c r="P197" s="2"/>
      <c r="Q197" s="269">
        <v>1</v>
      </c>
      <c r="R197" s="132"/>
      <c r="T197" s="140" t="s">
        <v>18</v>
      </c>
      <c r="U197" s="139"/>
      <c r="X197" s="268">
        <v>10.843878746032715</v>
      </c>
      <c r="Y197" s="268">
        <f t="shared" si="16"/>
        <v>10.843878746032715</v>
      </c>
      <c r="Z197" s="132" t="str">
        <f t="shared" ref="Z197:Z248" si="20">IF(T197="yes",Y197,"")</f>
        <v/>
      </c>
    </row>
    <row r="198" spans="1:26" s="138" customFormat="1" ht="221" x14ac:dyDescent="0.2">
      <c r="A198" s="6">
        <f t="shared" si="19"/>
        <v>81</v>
      </c>
      <c r="B198" s="341" t="s">
        <v>329</v>
      </c>
      <c r="C198" s="9" t="s">
        <v>329</v>
      </c>
      <c r="D198" s="14" t="s">
        <v>330</v>
      </c>
      <c r="E198" s="12">
        <f t="shared" si="17"/>
        <v>345</v>
      </c>
      <c r="F198" s="14" t="s">
        <v>1145</v>
      </c>
      <c r="G198" s="12">
        <f t="shared" si="18"/>
        <v>385</v>
      </c>
      <c r="H198" s="28" t="s">
        <v>30</v>
      </c>
      <c r="I198" s="12" t="s">
        <v>19</v>
      </c>
      <c r="J198" s="12" t="s">
        <v>19</v>
      </c>
      <c r="K198" s="12" t="s">
        <v>31</v>
      </c>
      <c r="L198" s="23" t="s">
        <v>318</v>
      </c>
      <c r="M198" s="72" t="s">
        <v>19</v>
      </c>
      <c r="N198" s="34"/>
      <c r="O198" s="34"/>
      <c r="P198" s="2"/>
      <c r="Q198" s="269">
        <v>1</v>
      </c>
      <c r="R198" s="132"/>
      <c r="T198" s="140" t="s">
        <v>18</v>
      </c>
      <c r="U198" s="139"/>
      <c r="X198" s="268">
        <v>8.2318143844604492</v>
      </c>
      <c r="Y198" s="268">
        <f t="shared" si="16"/>
        <v>8.2318143844604492</v>
      </c>
      <c r="Z198" s="132" t="str">
        <f t="shared" si="20"/>
        <v/>
      </c>
    </row>
    <row r="199" spans="1:26" s="138" customFormat="1" ht="221" x14ac:dyDescent="0.2">
      <c r="A199" s="6">
        <f t="shared" si="19"/>
        <v>82</v>
      </c>
      <c r="B199" s="341" t="s">
        <v>331</v>
      </c>
      <c r="C199" s="9" t="s">
        <v>331</v>
      </c>
      <c r="D199" s="14" t="s">
        <v>912</v>
      </c>
      <c r="E199" s="12">
        <f t="shared" si="17"/>
        <v>370</v>
      </c>
      <c r="F199" s="14" t="s">
        <v>1147</v>
      </c>
      <c r="G199" s="12">
        <f t="shared" si="18"/>
        <v>409</v>
      </c>
      <c r="H199" s="28" t="s">
        <v>30</v>
      </c>
      <c r="I199" s="12" t="s">
        <v>19</v>
      </c>
      <c r="J199" s="12" t="s">
        <v>19</v>
      </c>
      <c r="K199" s="12" t="s">
        <v>31</v>
      </c>
      <c r="L199" s="23" t="s">
        <v>318</v>
      </c>
      <c r="M199" s="72" t="s">
        <v>19</v>
      </c>
      <c r="N199" s="34"/>
      <c r="O199" s="34"/>
      <c r="P199" s="2"/>
      <c r="Q199" s="269">
        <v>1</v>
      </c>
      <c r="R199" s="132"/>
      <c r="T199" s="140" t="s">
        <v>18</v>
      </c>
      <c r="U199" s="139"/>
      <c r="X199" s="268">
        <v>12.454976081848145</v>
      </c>
      <c r="Y199" s="268">
        <f t="shared" si="16"/>
        <v>12.454976081848145</v>
      </c>
      <c r="Z199" s="132" t="str">
        <f t="shared" si="20"/>
        <v/>
      </c>
    </row>
    <row r="200" spans="1:26" s="138" customFormat="1" ht="238" x14ac:dyDescent="0.2">
      <c r="A200" s="6">
        <f t="shared" si="19"/>
        <v>83</v>
      </c>
      <c r="B200" s="341" t="s">
        <v>332</v>
      </c>
      <c r="C200" s="9" t="s">
        <v>332</v>
      </c>
      <c r="D200" s="14" t="s">
        <v>852</v>
      </c>
      <c r="E200" s="12">
        <f t="shared" si="17"/>
        <v>425</v>
      </c>
      <c r="F200" s="14" t="s">
        <v>1148</v>
      </c>
      <c r="G200" s="12">
        <f t="shared" si="18"/>
        <v>467</v>
      </c>
      <c r="H200" s="28" t="s">
        <v>30</v>
      </c>
      <c r="I200" s="12" t="s">
        <v>19</v>
      </c>
      <c r="J200" s="12" t="s">
        <v>19</v>
      </c>
      <c r="K200" s="12" t="s">
        <v>31</v>
      </c>
      <c r="L200" s="23" t="s">
        <v>318</v>
      </c>
      <c r="M200" s="72" t="s">
        <v>19</v>
      </c>
      <c r="N200" s="34"/>
      <c r="O200" s="34"/>
      <c r="P200" s="2"/>
      <c r="Q200" s="269">
        <v>1</v>
      </c>
      <c r="R200" s="132"/>
      <c r="T200" s="140" t="s">
        <v>18</v>
      </c>
      <c r="U200" s="139"/>
      <c r="X200" s="268">
        <v>11.934056282043457</v>
      </c>
      <c r="Y200" s="268">
        <f t="shared" si="16"/>
        <v>11.934056282043457</v>
      </c>
      <c r="Z200" s="132" t="str">
        <f t="shared" si="20"/>
        <v/>
      </c>
    </row>
    <row r="201" spans="1:26" s="138" customFormat="1" ht="221" x14ac:dyDescent="0.2">
      <c r="A201" s="6">
        <f t="shared" si="19"/>
        <v>84</v>
      </c>
      <c r="B201" s="341" t="s">
        <v>333</v>
      </c>
      <c r="C201" s="9" t="s">
        <v>333</v>
      </c>
      <c r="D201" s="14" t="s">
        <v>334</v>
      </c>
      <c r="E201" s="12">
        <f t="shared" si="17"/>
        <v>360</v>
      </c>
      <c r="F201" s="14" t="s">
        <v>1149</v>
      </c>
      <c r="G201" s="12">
        <f t="shared" si="18"/>
        <v>397</v>
      </c>
      <c r="H201" s="28" t="s">
        <v>30</v>
      </c>
      <c r="I201" s="12" t="s">
        <v>19</v>
      </c>
      <c r="J201" s="12" t="s">
        <v>19</v>
      </c>
      <c r="K201" s="12" t="s">
        <v>31</v>
      </c>
      <c r="L201" s="23" t="s">
        <v>318</v>
      </c>
      <c r="M201" s="72" t="s">
        <v>19</v>
      </c>
      <c r="N201" s="14"/>
      <c r="O201" s="23"/>
      <c r="P201" s="2"/>
      <c r="Q201" s="269">
        <v>1</v>
      </c>
      <c r="R201" s="132"/>
      <c r="T201" s="140" t="s">
        <v>18</v>
      </c>
      <c r="U201" s="139"/>
      <c r="X201" s="268">
        <v>11.360984802246094</v>
      </c>
      <c r="Y201" s="268">
        <f t="shared" si="16"/>
        <v>11.360984802246094</v>
      </c>
      <c r="Z201" s="132" t="str">
        <f t="shared" si="20"/>
        <v/>
      </c>
    </row>
    <row r="202" spans="1:26" s="138" customFormat="1" ht="221" x14ac:dyDescent="0.2">
      <c r="A202" s="6">
        <f t="shared" si="19"/>
        <v>85</v>
      </c>
      <c r="B202" s="341" t="s">
        <v>335</v>
      </c>
      <c r="C202" s="9" t="s">
        <v>335</v>
      </c>
      <c r="D202" s="14" t="s">
        <v>853</v>
      </c>
      <c r="E202" s="12">
        <f t="shared" si="17"/>
        <v>374</v>
      </c>
      <c r="F202" s="14" t="s">
        <v>1150</v>
      </c>
      <c r="G202" s="12">
        <f t="shared" si="18"/>
        <v>417</v>
      </c>
      <c r="H202" s="28" t="s">
        <v>30</v>
      </c>
      <c r="I202" s="12" t="s">
        <v>19</v>
      </c>
      <c r="J202" s="12" t="s">
        <v>19</v>
      </c>
      <c r="K202" s="12" t="s">
        <v>31</v>
      </c>
      <c r="L202" s="23" t="s">
        <v>318</v>
      </c>
      <c r="M202" s="72" t="s">
        <v>19</v>
      </c>
      <c r="N202" s="342"/>
      <c r="O202" s="343"/>
      <c r="P202" s="2"/>
      <c r="Q202" s="269">
        <v>1</v>
      </c>
      <c r="R202" s="132"/>
      <c r="T202" s="140" t="s">
        <v>18</v>
      </c>
      <c r="U202" s="139"/>
      <c r="X202" s="268">
        <v>12.756719589233398</v>
      </c>
      <c r="Y202" s="268">
        <f t="shared" si="16"/>
        <v>12.756719589233398</v>
      </c>
      <c r="Z202" s="132" t="str">
        <f t="shared" si="20"/>
        <v/>
      </c>
    </row>
    <row r="203" spans="1:26" s="138" customFormat="1" ht="221" x14ac:dyDescent="0.2">
      <c r="A203" s="6">
        <f t="shared" si="19"/>
        <v>86</v>
      </c>
      <c r="B203" s="341" t="s">
        <v>336</v>
      </c>
      <c r="C203" s="9" t="s">
        <v>336</v>
      </c>
      <c r="D203" s="14" t="s">
        <v>854</v>
      </c>
      <c r="E203" s="12">
        <f t="shared" si="17"/>
        <v>379</v>
      </c>
      <c r="F203" s="14" t="s">
        <v>1151</v>
      </c>
      <c r="G203" s="12">
        <f t="shared" si="18"/>
        <v>419</v>
      </c>
      <c r="H203" s="28" t="s">
        <v>30</v>
      </c>
      <c r="I203" s="12" t="s">
        <v>19</v>
      </c>
      <c r="J203" s="12" t="s">
        <v>19</v>
      </c>
      <c r="K203" s="12" t="s">
        <v>31</v>
      </c>
      <c r="L203" s="23" t="s">
        <v>318</v>
      </c>
      <c r="M203" s="72" t="s">
        <v>19</v>
      </c>
      <c r="N203" s="344"/>
      <c r="O203" s="345"/>
      <c r="P203" s="2"/>
      <c r="Q203" s="269">
        <v>1</v>
      </c>
      <c r="R203" s="132"/>
      <c r="T203" s="140" t="s">
        <v>18</v>
      </c>
      <c r="U203" s="139"/>
      <c r="X203" s="268">
        <v>7.8922214508056641</v>
      </c>
      <c r="Y203" s="268">
        <f t="shared" si="16"/>
        <v>7.8922214508056641</v>
      </c>
      <c r="Z203" s="132" t="str">
        <f t="shared" si="20"/>
        <v/>
      </c>
    </row>
    <row r="204" spans="1:26" s="138" customFormat="1" ht="221" x14ac:dyDescent="0.2">
      <c r="A204" s="6">
        <f t="shared" si="19"/>
        <v>87</v>
      </c>
      <c r="B204" s="341" t="s">
        <v>770</v>
      </c>
      <c r="C204" s="9" t="s">
        <v>770</v>
      </c>
      <c r="D204" s="14" t="s">
        <v>337</v>
      </c>
      <c r="E204" s="12">
        <f t="shared" si="17"/>
        <v>398</v>
      </c>
      <c r="F204" s="14" t="s">
        <v>1152</v>
      </c>
      <c r="G204" s="12">
        <f t="shared" si="18"/>
        <v>448</v>
      </c>
      <c r="H204" s="28" t="s">
        <v>30</v>
      </c>
      <c r="I204" s="12" t="s">
        <v>19</v>
      </c>
      <c r="J204" s="12" t="s">
        <v>19</v>
      </c>
      <c r="K204" s="12" t="s">
        <v>31</v>
      </c>
      <c r="L204" s="23" t="s">
        <v>318</v>
      </c>
      <c r="M204" s="72" t="s">
        <v>19</v>
      </c>
      <c r="N204" s="344"/>
      <c r="O204" s="345"/>
      <c r="P204" s="2"/>
      <c r="Q204" s="269">
        <v>1</v>
      </c>
      <c r="R204" s="132"/>
      <c r="T204" s="140" t="s">
        <v>18</v>
      </c>
      <c r="U204" s="139"/>
      <c r="X204" s="268">
        <v>9.5187292098999023</v>
      </c>
      <c r="Y204" s="268">
        <f t="shared" si="16"/>
        <v>9.5187292098999023</v>
      </c>
      <c r="Z204" s="132" t="str">
        <f t="shared" si="20"/>
        <v/>
      </c>
    </row>
    <row r="205" spans="1:26" s="138" customFormat="1" ht="238" x14ac:dyDescent="0.2">
      <c r="A205" s="6">
        <f t="shared" si="19"/>
        <v>88</v>
      </c>
      <c r="B205" s="341" t="s">
        <v>769</v>
      </c>
      <c r="C205" s="9" t="s">
        <v>769</v>
      </c>
      <c r="D205" s="14" t="s">
        <v>338</v>
      </c>
      <c r="E205" s="12">
        <f t="shared" si="17"/>
        <v>421</v>
      </c>
      <c r="F205" s="14" t="s">
        <v>1153</v>
      </c>
      <c r="G205" s="12">
        <f t="shared" si="18"/>
        <v>474</v>
      </c>
      <c r="H205" s="28" t="s">
        <v>30</v>
      </c>
      <c r="I205" s="12" t="s">
        <v>19</v>
      </c>
      <c r="J205" s="12" t="s">
        <v>19</v>
      </c>
      <c r="K205" s="12" t="s">
        <v>31</v>
      </c>
      <c r="L205" s="23" t="s">
        <v>318</v>
      </c>
      <c r="M205" s="72" t="s">
        <v>19</v>
      </c>
      <c r="N205" s="344"/>
      <c r="O205" s="345"/>
      <c r="P205" s="2"/>
      <c r="Q205" s="269">
        <v>1</v>
      </c>
      <c r="R205" s="132"/>
      <c r="T205" s="140" t="s">
        <v>18</v>
      </c>
      <c r="U205" s="139"/>
      <c r="X205" s="268">
        <v>9.0232686996459961</v>
      </c>
      <c r="Y205" s="268">
        <f t="shared" si="16"/>
        <v>9.0232686996459961</v>
      </c>
      <c r="Z205" s="132" t="str">
        <f t="shared" si="20"/>
        <v/>
      </c>
    </row>
    <row r="206" spans="1:26" s="138" customFormat="1" ht="221" x14ac:dyDescent="0.2">
      <c r="A206" s="6">
        <f t="shared" si="19"/>
        <v>89</v>
      </c>
      <c r="B206" s="341" t="s">
        <v>339</v>
      </c>
      <c r="C206" s="9" t="s">
        <v>339</v>
      </c>
      <c r="D206" s="14" t="s">
        <v>913</v>
      </c>
      <c r="E206" s="12">
        <f t="shared" si="17"/>
        <v>351</v>
      </c>
      <c r="F206" s="14" t="s">
        <v>1154</v>
      </c>
      <c r="G206" s="12">
        <f t="shared" si="18"/>
        <v>392</v>
      </c>
      <c r="H206" s="28" t="s">
        <v>30</v>
      </c>
      <c r="I206" s="12" t="s">
        <v>19</v>
      </c>
      <c r="J206" s="12" t="s">
        <v>19</v>
      </c>
      <c r="K206" s="12" t="s">
        <v>31</v>
      </c>
      <c r="L206" s="23" t="s">
        <v>318</v>
      </c>
      <c r="M206" s="72" t="s">
        <v>19</v>
      </c>
      <c r="N206" s="344"/>
      <c r="O206" s="345"/>
      <c r="P206" s="2"/>
      <c r="Q206" s="269">
        <v>1</v>
      </c>
      <c r="R206" s="132"/>
      <c r="T206" s="140" t="s">
        <v>18</v>
      </c>
      <c r="U206" s="139"/>
      <c r="X206" s="268">
        <v>9.0632390975952148</v>
      </c>
      <c r="Y206" s="268">
        <f t="shared" si="16"/>
        <v>9.0632390975952148</v>
      </c>
      <c r="Z206" s="132" t="str">
        <f t="shared" si="20"/>
        <v/>
      </c>
    </row>
    <row r="207" spans="1:26" s="138" customFormat="1" ht="204" x14ac:dyDescent="0.2">
      <c r="A207" s="6">
        <f t="shared" si="19"/>
        <v>90</v>
      </c>
      <c r="B207" s="341" t="s">
        <v>340</v>
      </c>
      <c r="C207" s="9" t="s">
        <v>340</v>
      </c>
      <c r="D207" s="14" t="s">
        <v>341</v>
      </c>
      <c r="E207" s="12">
        <f t="shared" si="17"/>
        <v>334</v>
      </c>
      <c r="F207" s="14" t="s">
        <v>1155</v>
      </c>
      <c r="G207" s="12">
        <f t="shared" si="18"/>
        <v>372</v>
      </c>
      <c r="H207" s="28" t="s">
        <v>30</v>
      </c>
      <c r="I207" s="12" t="s">
        <v>19</v>
      </c>
      <c r="J207" s="12" t="s">
        <v>19</v>
      </c>
      <c r="K207" s="12" t="s">
        <v>31</v>
      </c>
      <c r="L207" s="23" t="s">
        <v>318</v>
      </c>
      <c r="M207" s="72" t="s">
        <v>19</v>
      </c>
      <c r="N207" s="344"/>
      <c r="O207" s="345"/>
      <c r="P207" s="2"/>
      <c r="Q207" s="269">
        <v>1</v>
      </c>
      <c r="R207" s="132"/>
      <c r="T207" s="140" t="s">
        <v>18</v>
      </c>
      <c r="U207" s="139"/>
      <c r="X207" s="268">
        <v>9.1058073043823242</v>
      </c>
      <c r="Y207" s="268">
        <f t="shared" si="16"/>
        <v>9.1058073043823242</v>
      </c>
      <c r="Z207" s="132" t="str">
        <f t="shared" si="20"/>
        <v/>
      </c>
    </row>
    <row r="208" spans="1:26" s="138" customFormat="1" ht="221" x14ac:dyDescent="0.2">
      <c r="A208" s="6">
        <f t="shared" si="19"/>
        <v>91</v>
      </c>
      <c r="B208" s="341" t="s">
        <v>342</v>
      </c>
      <c r="C208" s="9" t="s">
        <v>342</v>
      </c>
      <c r="D208" s="14" t="s">
        <v>855</v>
      </c>
      <c r="E208" s="12">
        <f t="shared" si="17"/>
        <v>401</v>
      </c>
      <c r="F208" s="14" t="s">
        <v>1156</v>
      </c>
      <c r="G208" s="12">
        <f t="shared" si="18"/>
        <v>433</v>
      </c>
      <c r="H208" s="28" t="s">
        <v>30</v>
      </c>
      <c r="I208" s="12" t="s">
        <v>19</v>
      </c>
      <c r="J208" s="12" t="s">
        <v>19</v>
      </c>
      <c r="K208" s="12" t="s">
        <v>31</v>
      </c>
      <c r="L208" s="23" t="s">
        <v>318</v>
      </c>
      <c r="M208" s="72" t="s">
        <v>19</v>
      </c>
      <c r="N208" s="344"/>
      <c r="O208" s="345"/>
      <c r="P208" s="2"/>
      <c r="Q208" s="269">
        <v>1</v>
      </c>
      <c r="R208" s="132"/>
      <c r="T208" s="140" t="s">
        <v>18</v>
      </c>
      <c r="U208" s="139"/>
      <c r="X208" s="268">
        <v>11.21794319152832</v>
      </c>
      <c r="Y208" s="268">
        <f t="shared" si="16"/>
        <v>11.21794319152832</v>
      </c>
      <c r="Z208" s="132" t="str">
        <f t="shared" si="20"/>
        <v/>
      </c>
    </row>
    <row r="209" spans="1:26" s="138" customFormat="1" ht="220" customHeight="1" x14ac:dyDescent="0.2">
      <c r="A209" s="6">
        <f t="shared" si="19"/>
        <v>92</v>
      </c>
      <c r="B209" s="341" t="s">
        <v>343</v>
      </c>
      <c r="C209" s="9" t="s">
        <v>343</v>
      </c>
      <c r="D209" s="14" t="s">
        <v>914</v>
      </c>
      <c r="E209" s="12">
        <f t="shared" si="17"/>
        <v>360</v>
      </c>
      <c r="F209" s="14" t="s">
        <v>1157</v>
      </c>
      <c r="G209" s="12">
        <f t="shared" si="18"/>
        <v>398</v>
      </c>
      <c r="H209" s="28" t="s">
        <v>30</v>
      </c>
      <c r="I209" s="12" t="s">
        <v>19</v>
      </c>
      <c r="J209" s="12" t="s">
        <v>19</v>
      </c>
      <c r="K209" s="12" t="s">
        <v>31</v>
      </c>
      <c r="L209" s="23" t="s">
        <v>318</v>
      </c>
      <c r="M209" s="72" t="s">
        <v>19</v>
      </c>
      <c r="N209" s="344"/>
      <c r="O209" s="345"/>
      <c r="P209" s="2"/>
      <c r="Q209" s="269">
        <v>1</v>
      </c>
      <c r="R209" s="132"/>
      <c r="T209" s="140" t="s">
        <v>18</v>
      </c>
      <c r="U209" s="139"/>
      <c r="W209" s="153"/>
      <c r="X209" s="268">
        <v>6.2936897277832031</v>
      </c>
      <c r="Y209" s="268">
        <f t="shared" ref="Y209:Y240" si="21">IF(X209="","",X209*Q209)</f>
        <v>6.2936897277832031</v>
      </c>
      <c r="Z209" s="132" t="str">
        <f t="shared" si="20"/>
        <v/>
      </c>
    </row>
    <row r="210" spans="1:26" s="138" customFormat="1" ht="204" x14ac:dyDescent="0.2">
      <c r="A210" s="6">
        <f t="shared" si="19"/>
        <v>93</v>
      </c>
      <c r="B210" s="341" t="s">
        <v>344</v>
      </c>
      <c r="C210" s="9" t="s">
        <v>344</v>
      </c>
      <c r="D210" s="14" t="s">
        <v>345</v>
      </c>
      <c r="E210" s="12">
        <f t="shared" si="17"/>
        <v>335</v>
      </c>
      <c r="F210" s="14" t="s">
        <v>1158</v>
      </c>
      <c r="G210" s="12">
        <f t="shared" si="18"/>
        <v>345</v>
      </c>
      <c r="H210" s="28" t="s">
        <v>30</v>
      </c>
      <c r="I210" s="12" t="s">
        <v>19</v>
      </c>
      <c r="J210" s="12" t="s">
        <v>19</v>
      </c>
      <c r="K210" s="12" t="s">
        <v>31</v>
      </c>
      <c r="L210" s="23" t="s">
        <v>318</v>
      </c>
      <c r="M210" s="72" t="s">
        <v>19</v>
      </c>
      <c r="N210" s="344"/>
      <c r="O210" s="345"/>
      <c r="P210" s="2"/>
      <c r="Q210" s="269">
        <v>1</v>
      </c>
      <c r="R210" s="132"/>
      <c r="T210" s="140" t="s">
        <v>18</v>
      </c>
      <c r="U210" s="139"/>
      <c r="X210" s="268">
        <v>9.0649547576904297</v>
      </c>
      <c r="Y210" s="268">
        <f t="shared" si="21"/>
        <v>9.0649547576904297</v>
      </c>
      <c r="Z210" s="132" t="str">
        <f t="shared" si="20"/>
        <v/>
      </c>
    </row>
    <row r="211" spans="1:26" s="138" customFormat="1" ht="409.6" x14ac:dyDescent="0.2">
      <c r="A211" s="38">
        <f t="shared" si="19"/>
        <v>94</v>
      </c>
      <c r="B211" s="177" t="s">
        <v>346</v>
      </c>
      <c r="C211" s="137" t="s">
        <v>347</v>
      </c>
      <c r="D211" s="581" t="s">
        <v>915</v>
      </c>
      <c r="E211" s="143">
        <f t="shared" ref="E211:E228" si="22">LEN(D211)</f>
        <v>1361</v>
      </c>
      <c r="F211" s="457" t="s">
        <v>1312</v>
      </c>
      <c r="G211" s="143">
        <f t="shared" ref="G211:G228" si="23">LEN(F211)</f>
        <v>1514</v>
      </c>
      <c r="H211" s="152" t="s">
        <v>141</v>
      </c>
      <c r="I211" s="143" t="s">
        <v>19</v>
      </c>
      <c r="J211" s="143" t="s">
        <v>19</v>
      </c>
      <c r="K211" s="143" t="s">
        <v>142</v>
      </c>
      <c r="L211" s="142" t="s">
        <v>348</v>
      </c>
      <c r="M211" s="212" t="s">
        <v>879</v>
      </c>
      <c r="N211" s="142" t="s">
        <v>349</v>
      </c>
      <c r="O211" s="76"/>
      <c r="P211" s="151"/>
      <c r="Q211" s="264">
        <v>1</v>
      </c>
      <c r="R211" s="132"/>
      <c r="T211" s="444" t="s">
        <v>26</v>
      </c>
      <c r="U211" s="139"/>
      <c r="X211" s="267">
        <v>52.174358367919922</v>
      </c>
      <c r="Y211" s="267">
        <f t="shared" si="21"/>
        <v>52.174358367919922</v>
      </c>
      <c r="Z211" s="132">
        <f t="shared" si="20"/>
        <v>52.174358367919922</v>
      </c>
    </row>
    <row r="212" spans="1:26" s="138" customFormat="1" ht="187" x14ac:dyDescent="0.2">
      <c r="A212" s="331">
        <f t="shared" si="19"/>
        <v>95</v>
      </c>
      <c r="B212" s="229" t="s">
        <v>350</v>
      </c>
      <c r="C212" s="176" t="s">
        <v>350</v>
      </c>
      <c r="D212" s="150" t="s">
        <v>351</v>
      </c>
      <c r="E212" s="126">
        <f t="shared" si="22"/>
        <v>327</v>
      </c>
      <c r="F212" s="199" t="s">
        <v>1159</v>
      </c>
      <c r="G212" s="126">
        <f t="shared" si="23"/>
        <v>513</v>
      </c>
      <c r="H212" s="149" t="s">
        <v>30</v>
      </c>
      <c r="I212" s="127" t="s">
        <v>19</v>
      </c>
      <c r="J212" s="127" t="s">
        <v>19</v>
      </c>
      <c r="K212" s="127" t="s">
        <v>31</v>
      </c>
      <c r="L212" s="148" t="s">
        <v>1247</v>
      </c>
      <c r="M212" s="212" t="s">
        <v>19</v>
      </c>
      <c r="N212" s="148" t="s">
        <v>1246</v>
      </c>
      <c r="O212" s="37"/>
      <c r="P212" s="147"/>
      <c r="Q212" s="264">
        <v>1</v>
      </c>
      <c r="R212" s="132"/>
      <c r="T212" s="444" t="s">
        <v>26</v>
      </c>
      <c r="U212" s="139"/>
      <c r="X212" s="267">
        <v>1.2871023416519165</v>
      </c>
      <c r="Y212" s="267">
        <f t="shared" si="21"/>
        <v>1.2871023416519165</v>
      </c>
      <c r="Z212" s="132">
        <f t="shared" si="20"/>
        <v>1.2871023416519165</v>
      </c>
    </row>
    <row r="213" spans="1:26" s="138" customFormat="1" ht="102" x14ac:dyDescent="0.2">
      <c r="A213" s="6">
        <f t="shared" si="19"/>
        <v>96</v>
      </c>
      <c r="B213" s="228" t="s">
        <v>352</v>
      </c>
      <c r="C213" s="237" t="s">
        <v>352</v>
      </c>
      <c r="D213" s="584" t="s">
        <v>1245</v>
      </c>
      <c r="E213" s="12">
        <f t="shared" si="22"/>
        <v>179</v>
      </c>
      <c r="F213" s="582" t="s">
        <v>1160</v>
      </c>
      <c r="G213" s="12">
        <f t="shared" si="23"/>
        <v>200</v>
      </c>
      <c r="H213" s="28" t="s">
        <v>30</v>
      </c>
      <c r="I213" s="12" t="s">
        <v>19</v>
      </c>
      <c r="J213" s="12" t="s">
        <v>19</v>
      </c>
      <c r="K213" s="12" t="s">
        <v>31</v>
      </c>
      <c r="L213" s="23" t="s">
        <v>353</v>
      </c>
      <c r="M213" s="72" t="s">
        <v>19</v>
      </c>
      <c r="N213" s="23" t="s">
        <v>354</v>
      </c>
      <c r="O213" s="23"/>
      <c r="P213" s="119"/>
      <c r="Q213" s="269">
        <v>1</v>
      </c>
      <c r="R213" s="132"/>
      <c r="T213" s="140" t="s">
        <v>18</v>
      </c>
      <c r="U213" s="139"/>
      <c r="X213" s="268">
        <v>5.6449732780456543</v>
      </c>
      <c r="Y213" s="268">
        <f t="shared" si="21"/>
        <v>5.6449732780456543</v>
      </c>
      <c r="Z213" s="132" t="str">
        <f t="shared" si="20"/>
        <v/>
      </c>
    </row>
    <row r="214" spans="1:26" s="138" customFormat="1" ht="102" x14ac:dyDescent="0.2">
      <c r="A214" s="6">
        <f t="shared" si="19"/>
        <v>97</v>
      </c>
      <c r="B214" s="228" t="s">
        <v>355</v>
      </c>
      <c r="C214" s="237" t="s">
        <v>355</v>
      </c>
      <c r="D214" s="474" t="s">
        <v>938</v>
      </c>
      <c r="E214" s="12">
        <f t="shared" si="22"/>
        <v>292</v>
      </c>
      <c r="F214" s="582" t="s">
        <v>1162</v>
      </c>
      <c r="G214" s="12">
        <f t="shared" si="23"/>
        <v>300</v>
      </c>
      <c r="H214" s="28" t="s">
        <v>92</v>
      </c>
      <c r="I214" s="12" t="s">
        <v>19</v>
      </c>
      <c r="J214" s="12" t="s">
        <v>19</v>
      </c>
      <c r="K214" s="12" t="s">
        <v>22</v>
      </c>
      <c r="L214" s="23" t="s">
        <v>356</v>
      </c>
      <c r="M214" s="72" t="s">
        <v>19</v>
      </c>
      <c r="N214" s="23" t="s">
        <v>357</v>
      </c>
      <c r="O214" s="23"/>
      <c r="P214" s="118"/>
      <c r="Q214" s="269">
        <v>1</v>
      </c>
      <c r="R214" s="132"/>
      <c r="T214" s="140" t="s">
        <v>18</v>
      </c>
      <c r="U214" s="139"/>
      <c r="X214" s="268">
        <v>26.998960494995117</v>
      </c>
      <c r="Y214" s="268">
        <f t="shared" si="21"/>
        <v>26.998960494995117</v>
      </c>
      <c r="Z214" s="132" t="str">
        <f t="shared" si="20"/>
        <v/>
      </c>
    </row>
    <row r="215" spans="1:26" s="138" customFormat="1" ht="102" x14ac:dyDescent="0.2">
      <c r="A215" s="6">
        <f t="shared" si="19"/>
        <v>98</v>
      </c>
      <c r="B215" s="228" t="s">
        <v>358</v>
      </c>
      <c r="C215" s="237" t="s">
        <v>358</v>
      </c>
      <c r="D215" s="582" t="s">
        <v>1161</v>
      </c>
      <c r="E215" s="12">
        <f t="shared" si="22"/>
        <v>267</v>
      </c>
      <c r="F215" s="582" t="s">
        <v>1163</v>
      </c>
      <c r="G215" s="12">
        <f t="shared" si="23"/>
        <v>263</v>
      </c>
      <c r="H215" s="28" t="s">
        <v>92</v>
      </c>
      <c r="I215" s="12" t="s">
        <v>19</v>
      </c>
      <c r="J215" s="12" t="s">
        <v>19</v>
      </c>
      <c r="K215" s="12" t="s">
        <v>22</v>
      </c>
      <c r="L215" s="23" t="s">
        <v>778</v>
      </c>
      <c r="M215" s="72" t="s">
        <v>19</v>
      </c>
      <c r="N215" s="23" t="s">
        <v>777</v>
      </c>
      <c r="O215" s="23"/>
      <c r="P215" s="118"/>
      <c r="Q215" s="269">
        <v>1</v>
      </c>
      <c r="R215" s="132"/>
      <c r="T215" s="140" t="s">
        <v>18</v>
      </c>
      <c r="U215" s="139"/>
      <c r="X215" s="268">
        <v>18.273832321166992</v>
      </c>
      <c r="Y215" s="268">
        <f t="shared" si="21"/>
        <v>18.273832321166992</v>
      </c>
      <c r="Z215" s="132" t="str">
        <f t="shared" si="20"/>
        <v/>
      </c>
    </row>
    <row r="216" spans="1:26" s="138" customFormat="1" ht="85" x14ac:dyDescent="0.2">
      <c r="A216" s="6">
        <f t="shared" si="19"/>
        <v>99</v>
      </c>
      <c r="B216" s="228" t="s">
        <v>775</v>
      </c>
      <c r="C216" s="237" t="s">
        <v>775</v>
      </c>
      <c r="D216" s="582" t="s">
        <v>939</v>
      </c>
      <c r="E216" s="12">
        <f t="shared" si="22"/>
        <v>251</v>
      </c>
      <c r="F216" s="582" t="s">
        <v>1164</v>
      </c>
      <c r="G216" s="12">
        <f t="shared" si="23"/>
        <v>246</v>
      </c>
      <c r="H216" s="28" t="s">
        <v>92</v>
      </c>
      <c r="I216" s="12" t="s">
        <v>19</v>
      </c>
      <c r="J216" s="12" t="s">
        <v>19</v>
      </c>
      <c r="K216" s="12" t="s">
        <v>22</v>
      </c>
      <c r="L216" s="23" t="s">
        <v>359</v>
      </c>
      <c r="M216" s="72" t="s">
        <v>19</v>
      </c>
      <c r="N216" s="23" t="s">
        <v>360</v>
      </c>
      <c r="O216" s="23"/>
      <c r="P216" s="118"/>
      <c r="Q216" s="269">
        <v>1</v>
      </c>
      <c r="R216" s="132"/>
      <c r="T216" s="140" t="s">
        <v>18</v>
      </c>
      <c r="U216" s="139"/>
      <c r="X216" s="268">
        <v>16.352115631103516</v>
      </c>
      <c r="Y216" s="268">
        <f t="shared" si="21"/>
        <v>16.352115631103516</v>
      </c>
      <c r="Z216" s="132" t="str">
        <f t="shared" si="20"/>
        <v/>
      </c>
    </row>
    <row r="217" spans="1:26" s="138" customFormat="1" ht="85" x14ac:dyDescent="0.2">
      <c r="A217" s="6">
        <f t="shared" si="19"/>
        <v>100</v>
      </c>
      <c r="B217" s="228" t="s">
        <v>361</v>
      </c>
      <c r="C217" s="237" t="s">
        <v>361</v>
      </c>
      <c r="D217" s="584" t="s">
        <v>1244</v>
      </c>
      <c r="E217" s="12">
        <f t="shared" si="22"/>
        <v>220</v>
      </c>
      <c r="F217" s="584" t="s">
        <v>1232</v>
      </c>
      <c r="G217" s="12">
        <f t="shared" si="23"/>
        <v>226</v>
      </c>
      <c r="H217" s="28" t="s">
        <v>92</v>
      </c>
      <c r="I217" s="12" t="s">
        <v>19</v>
      </c>
      <c r="J217" s="12" t="s">
        <v>19</v>
      </c>
      <c r="K217" s="12" t="s">
        <v>22</v>
      </c>
      <c r="L217" s="23" t="s">
        <v>362</v>
      </c>
      <c r="M217" s="72" t="s">
        <v>19</v>
      </c>
      <c r="N217" s="23" t="s">
        <v>363</v>
      </c>
      <c r="O217" s="23"/>
      <c r="P217" s="118"/>
      <c r="Q217" s="269">
        <v>1</v>
      </c>
      <c r="R217" s="132"/>
      <c r="T217" s="140" t="s">
        <v>18</v>
      </c>
      <c r="U217" s="139"/>
      <c r="X217" s="268">
        <v>14.01507568359375</v>
      </c>
      <c r="Y217" s="268">
        <f t="shared" si="21"/>
        <v>14.01507568359375</v>
      </c>
      <c r="Z217" s="132" t="str">
        <f t="shared" si="20"/>
        <v/>
      </c>
    </row>
    <row r="218" spans="1:26" s="138" customFormat="1" ht="102" x14ac:dyDescent="0.2">
      <c r="A218" s="6">
        <f t="shared" si="19"/>
        <v>101</v>
      </c>
      <c r="B218" s="228" t="s">
        <v>364</v>
      </c>
      <c r="C218" s="237" t="s">
        <v>364</v>
      </c>
      <c r="D218" s="397" t="s">
        <v>940</v>
      </c>
      <c r="E218" s="12">
        <f t="shared" si="22"/>
        <v>273</v>
      </c>
      <c r="F218" s="582" t="s">
        <v>1165</v>
      </c>
      <c r="G218" s="12">
        <f t="shared" si="23"/>
        <v>296</v>
      </c>
      <c r="H218" s="28" t="s">
        <v>92</v>
      </c>
      <c r="I218" s="12" t="s">
        <v>19</v>
      </c>
      <c r="J218" s="12" t="s">
        <v>19</v>
      </c>
      <c r="K218" s="12" t="s">
        <v>22</v>
      </c>
      <c r="L218" s="23" t="s">
        <v>365</v>
      </c>
      <c r="M218" s="72" t="s">
        <v>19</v>
      </c>
      <c r="N218" s="23" t="s">
        <v>366</v>
      </c>
      <c r="O218" s="23"/>
      <c r="P218" s="118"/>
      <c r="Q218" s="269">
        <v>1</v>
      </c>
      <c r="R218" s="132"/>
      <c r="T218" s="140" t="s">
        <v>18</v>
      </c>
      <c r="U218" s="139"/>
      <c r="X218" s="268">
        <v>17.227466583251953</v>
      </c>
      <c r="Y218" s="268">
        <f t="shared" si="21"/>
        <v>17.227466583251953</v>
      </c>
      <c r="Z218" s="132" t="str">
        <f t="shared" si="20"/>
        <v/>
      </c>
    </row>
    <row r="219" spans="1:26" s="138" customFormat="1" ht="102" x14ac:dyDescent="0.2">
      <c r="A219" s="6">
        <f t="shared" si="19"/>
        <v>102</v>
      </c>
      <c r="B219" s="228" t="s">
        <v>367</v>
      </c>
      <c r="C219" s="237" t="s">
        <v>367</v>
      </c>
      <c r="D219" s="397" t="s">
        <v>941</v>
      </c>
      <c r="E219" s="12">
        <f t="shared" si="22"/>
        <v>307</v>
      </c>
      <c r="F219" s="582" t="s">
        <v>1166</v>
      </c>
      <c r="G219" s="12">
        <f t="shared" si="23"/>
        <v>324</v>
      </c>
      <c r="H219" s="28" t="s">
        <v>92</v>
      </c>
      <c r="I219" s="12" t="s">
        <v>19</v>
      </c>
      <c r="J219" s="12" t="s">
        <v>19</v>
      </c>
      <c r="K219" s="12" t="s">
        <v>22</v>
      </c>
      <c r="L219" s="23" t="s">
        <v>368</v>
      </c>
      <c r="M219" s="72" t="s">
        <v>19</v>
      </c>
      <c r="N219" s="23" t="s">
        <v>369</v>
      </c>
      <c r="O219" s="23"/>
      <c r="P219" s="118"/>
      <c r="Q219" s="269">
        <v>1</v>
      </c>
      <c r="R219" s="132"/>
      <c r="T219" s="140" t="s">
        <v>18</v>
      </c>
      <c r="U219" s="139"/>
      <c r="X219" s="268">
        <v>19.492774716706517</v>
      </c>
      <c r="Y219" s="268">
        <f t="shared" si="21"/>
        <v>19.492774716706517</v>
      </c>
      <c r="Z219" s="132" t="str">
        <f t="shared" si="20"/>
        <v/>
      </c>
    </row>
    <row r="220" spans="1:26" s="138" customFormat="1" ht="102" x14ac:dyDescent="0.2">
      <c r="A220" s="6">
        <f t="shared" si="19"/>
        <v>103</v>
      </c>
      <c r="B220" s="228" t="s">
        <v>370</v>
      </c>
      <c r="C220" s="237" t="s">
        <v>370</v>
      </c>
      <c r="D220" s="397" t="s">
        <v>942</v>
      </c>
      <c r="E220" s="12">
        <f t="shared" si="22"/>
        <v>292</v>
      </c>
      <c r="F220" s="582" t="s">
        <v>1167</v>
      </c>
      <c r="G220" s="12">
        <f t="shared" si="23"/>
        <v>306</v>
      </c>
      <c r="H220" s="28" t="s">
        <v>92</v>
      </c>
      <c r="I220" s="12" t="s">
        <v>19</v>
      </c>
      <c r="J220" s="12" t="s">
        <v>19</v>
      </c>
      <c r="K220" s="12" t="s">
        <v>22</v>
      </c>
      <c r="L220" s="23" t="s">
        <v>371</v>
      </c>
      <c r="M220" s="72" t="s">
        <v>19</v>
      </c>
      <c r="N220" s="23" t="s">
        <v>372</v>
      </c>
      <c r="O220" s="23"/>
      <c r="P220" s="118"/>
      <c r="Q220" s="269">
        <v>1</v>
      </c>
      <c r="R220" s="132"/>
      <c r="T220" s="140" t="s">
        <v>18</v>
      </c>
      <c r="U220" s="139"/>
      <c r="X220" s="268">
        <v>14.174134254455566</v>
      </c>
      <c r="Y220" s="268">
        <f t="shared" si="21"/>
        <v>14.174134254455566</v>
      </c>
      <c r="Z220" s="132" t="str">
        <f t="shared" si="20"/>
        <v/>
      </c>
    </row>
    <row r="221" spans="1:26" s="138" customFormat="1" ht="102" x14ac:dyDescent="0.2">
      <c r="A221" s="6">
        <f t="shared" si="19"/>
        <v>104</v>
      </c>
      <c r="B221" s="228" t="s">
        <v>373</v>
      </c>
      <c r="C221" s="237" t="s">
        <v>373</v>
      </c>
      <c r="D221" s="582" t="s">
        <v>1168</v>
      </c>
      <c r="E221" s="12">
        <f t="shared" si="22"/>
        <v>262</v>
      </c>
      <c r="F221" s="582" t="s">
        <v>1169</v>
      </c>
      <c r="G221" s="12">
        <f t="shared" si="23"/>
        <v>290</v>
      </c>
      <c r="H221" s="28" t="s">
        <v>92</v>
      </c>
      <c r="I221" s="12" t="s">
        <v>19</v>
      </c>
      <c r="J221" s="12" t="s">
        <v>19</v>
      </c>
      <c r="K221" s="12" t="s">
        <v>22</v>
      </c>
      <c r="L221" s="23" t="s">
        <v>374</v>
      </c>
      <c r="M221" s="72" t="s">
        <v>19</v>
      </c>
      <c r="N221" s="23" t="s">
        <v>375</v>
      </c>
      <c r="O221" s="23"/>
      <c r="P221" s="118"/>
      <c r="Q221" s="269">
        <v>1</v>
      </c>
      <c r="R221" s="132"/>
      <c r="T221" s="140" t="s">
        <v>18</v>
      </c>
      <c r="U221" s="139"/>
      <c r="X221" s="268">
        <v>13.378625869750977</v>
      </c>
      <c r="Y221" s="268">
        <f t="shared" si="21"/>
        <v>13.378625869750977</v>
      </c>
      <c r="Z221" s="132" t="str">
        <f t="shared" si="20"/>
        <v/>
      </c>
    </row>
    <row r="222" spans="1:26" s="138" customFormat="1" ht="102" x14ac:dyDescent="0.2">
      <c r="A222" s="6"/>
      <c r="B222" s="228" t="s">
        <v>376</v>
      </c>
      <c r="C222" s="237" t="s">
        <v>376</v>
      </c>
      <c r="D222" s="582" t="s">
        <v>948</v>
      </c>
      <c r="E222" s="12">
        <f t="shared" si="22"/>
        <v>257</v>
      </c>
      <c r="F222" s="30" t="s">
        <v>1233</v>
      </c>
      <c r="G222" s="12">
        <f t="shared" si="23"/>
        <v>329</v>
      </c>
      <c r="H222" s="28" t="s">
        <v>92</v>
      </c>
      <c r="I222" s="12" t="s">
        <v>19</v>
      </c>
      <c r="J222" s="12" t="s">
        <v>19</v>
      </c>
      <c r="K222" s="12" t="s">
        <v>22</v>
      </c>
      <c r="L222" s="23" t="s">
        <v>945</v>
      </c>
      <c r="M222" s="72" t="s">
        <v>19</v>
      </c>
      <c r="N222" s="23" t="s">
        <v>944</v>
      </c>
      <c r="O222" s="23"/>
      <c r="P222" s="118"/>
      <c r="Q222" s="269">
        <v>1</v>
      </c>
      <c r="R222" s="132"/>
      <c r="T222" s="140" t="s">
        <v>18</v>
      </c>
      <c r="U222" s="139"/>
      <c r="X222" s="268">
        <v>12.756523132324219</v>
      </c>
      <c r="Y222" s="268">
        <f t="shared" si="21"/>
        <v>12.756523132324219</v>
      </c>
      <c r="Z222" s="132" t="str">
        <f t="shared" si="20"/>
        <v/>
      </c>
    </row>
    <row r="223" spans="1:26" s="138" customFormat="1" ht="85" x14ac:dyDescent="0.2">
      <c r="A223" s="6">
        <f>A221+1</f>
        <v>105</v>
      </c>
      <c r="B223" s="228" t="s">
        <v>943</v>
      </c>
      <c r="C223" s="237" t="s">
        <v>943</v>
      </c>
      <c r="D223" s="352" t="s">
        <v>377</v>
      </c>
      <c r="E223" s="12">
        <f t="shared" si="22"/>
        <v>204</v>
      </c>
      <c r="F223" s="582" t="s">
        <v>1170</v>
      </c>
      <c r="G223" s="12">
        <f t="shared" si="23"/>
        <v>204</v>
      </c>
      <c r="H223" s="28" t="s">
        <v>30</v>
      </c>
      <c r="I223" s="12" t="s">
        <v>19</v>
      </c>
      <c r="J223" s="12" t="s">
        <v>19</v>
      </c>
      <c r="K223" s="12" t="s">
        <v>31</v>
      </c>
      <c r="L223" s="23" t="s">
        <v>378</v>
      </c>
      <c r="M223" s="72" t="s">
        <v>19</v>
      </c>
      <c r="N223" s="23" t="s">
        <v>379</v>
      </c>
      <c r="O223" s="23"/>
      <c r="P223" s="118"/>
      <c r="Q223" s="269">
        <v>1</v>
      </c>
      <c r="R223" s="132"/>
      <c r="T223" s="140" t="s">
        <v>18</v>
      </c>
      <c r="U223" s="139"/>
      <c r="X223" s="268">
        <v>5.8349170684814453</v>
      </c>
      <c r="Y223" s="268">
        <f t="shared" si="21"/>
        <v>5.8349170684814453</v>
      </c>
      <c r="Z223" s="132" t="str">
        <f t="shared" si="20"/>
        <v/>
      </c>
    </row>
    <row r="224" spans="1:26" s="138" customFormat="1" ht="68" x14ac:dyDescent="0.2">
      <c r="A224" s="6">
        <f>A223+1</f>
        <v>106</v>
      </c>
      <c r="B224" s="228" t="s">
        <v>380</v>
      </c>
      <c r="C224" s="237" t="s">
        <v>380</v>
      </c>
      <c r="D224" s="352" t="s">
        <v>381</v>
      </c>
      <c r="E224" s="12">
        <f t="shared" si="22"/>
        <v>169</v>
      </c>
      <c r="F224" s="582" t="s">
        <v>1171</v>
      </c>
      <c r="G224" s="12">
        <f t="shared" si="23"/>
        <v>205</v>
      </c>
      <c r="H224" s="107" t="s">
        <v>92</v>
      </c>
      <c r="I224" s="12" t="s">
        <v>19</v>
      </c>
      <c r="J224" s="12" t="s">
        <v>19</v>
      </c>
      <c r="K224" s="12" t="s">
        <v>22</v>
      </c>
      <c r="L224" s="23" t="s">
        <v>382</v>
      </c>
      <c r="M224" s="72" t="s">
        <v>19</v>
      </c>
      <c r="N224" s="23" t="s">
        <v>383</v>
      </c>
      <c r="O224" s="23"/>
      <c r="P224" s="118"/>
      <c r="Q224" s="269">
        <v>1</v>
      </c>
      <c r="R224" s="132"/>
      <c r="T224" s="140" t="s">
        <v>18</v>
      </c>
      <c r="U224" s="139"/>
      <c r="X224" s="268">
        <v>28.608445494708722</v>
      </c>
      <c r="Y224" s="268">
        <f t="shared" si="21"/>
        <v>28.608445494708722</v>
      </c>
      <c r="Z224" s="132" t="str">
        <f t="shared" si="20"/>
        <v/>
      </c>
    </row>
    <row r="225" spans="1:26" s="138" customFormat="1" ht="85" x14ac:dyDescent="0.2">
      <c r="A225" s="6">
        <f>A224+1</f>
        <v>107</v>
      </c>
      <c r="B225" s="228" t="s">
        <v>384</v>
      </c>
      <c r="C225" s="237" t="s">
        <v>384</v>
      </c>
      <c r="D225" s="352" t="s">
        <v>385</v>
      </c>
      <c r="E225" s="12">
        <f t="shared" si="22"/>
        <v>192</v>
      </c>
      <c r="F225" s="582" t="s">
        <v>1172</v>
      </c>
      <c r="G225" s="12">
        <f t="shared" si="23"/>
        <v>239</v>
      </c>
      <c r="H225" s="107" t="s">
        <v>92</v>
      </c>
      <c r="I225" s="12" t="s">
        <v>19</v>
      </c>
      <c r="J225" s="12" t="s">
        <v>19</v>
      </c>
      <c r="K225" s="12" t="s">
        <v>22</v>
      </c>
      <c r="L225" s="23" t="s">
        <v>386</v>
      </c>
      <c r="M225" s="72" t="s">
        <v>19</v>
      </c>
      <c r="N225" s="23" t="s">
        <v>392</v>
      </c>
      <c r="O225" s="23"/>
      <c r="P225" s="118"/>
      <c r="Q225" s="269">
        <v>1</v>
      </c>
      <c r="R225" s="132"/>
      <c r="T225" s="140" t="s">
        <v>18</v>
      </c>
      <c r="U225" s="139"/>
      <c r="X225" s="268">
        <v>14.618206024169922</v>
      </c>
      <c r="Y225" s="268">
        <f t="shared" si="21"/>
        <v>14.618206024169922</v>
      </c>
      <c r="Z225" s="132" t="str">
        <f t="shared" si="20"/>
        <v/>
      </c>
    </row>
    <row r="226" spans="1:26" s="138" customFormat="1" ht="85" x14ac:dyDescent="0.2">
      <c r="A226" s="6">
        <f>A225+1</f>
        <v>108</v>
      </c>
      <c r="B226" s="230" t="s">
        <v>387</v>
      </c>
      <c r="C226" s="231" t="s">
        <v>387</v>
      </c>
      <c r="D226" s="352" t="s">
        <v>388</v>
      </c>
      <c r="E226" s="12">
        <f t="shared" si="22"/>
        <v>178</v>
      </c>
      <c r="F226" s="582" t="s">
        <v>1173</v>
      </c>
      <c r="G226" s="12">
        <f t="shared" si="23"/>
        <v>221</v>
      </c>
      <c r="H226" s="107" t="s">
        <v>92</v>
      </c>
      <c r="I226" s="12" t="s">
        <v>19</v>
      </c>
      <c r="J226" s="12" t="s">
        <v>19</v>
      </c>
      <c r="K226" s="12" t="s">
        <v>22</v>
      </c>
      <c r="L226" s="23" t="s">
        <v>389</v>
      </c>
      <c r="M226" s="72" t="s">
        <v>19</v>
      </c>
      <c r="N226" s="23" t="s">
        <v>657</v>
      </c>
      <c r="O226" s="23"/>
      <c r="P226" s="118"/>
      <c r="Q226" s="269">
        <v>1</v>
      </c>
      <c r="R226" s="132"/>
      <c r="T226" s="140" t="s">
        <v>18</v>
      </c>
      <c r="U226" s="139"/>
      <c r="X226" s="268">
        <v>13.777663230895996</v>
      </c>
      <c r="Y226" s="268">
        <f t="shared" si="21"/>
        <v>13.777663230895996</v>
      </c>
      <c r="Z226" s="132" t="str">
        <f t="shared" si="20"/>
        <v/>
      </c>
    </row>
    <row r="227" spans="1:26" s="138" customFormat="1" ht="85" x14ac:dyDescent="0.2">
      <c r="A227" s="6">
        <f>A226+1</f>
        <v>109</v>
      </c>
      <c r="B227" s="228" t="s">
        <v>390</v>
      </c>
      <c r="C227" s="237" t="s">
        <v>390</v>
      </c>
      <c r="D227" s="352" t="s">
        <v>391</v>
      </c>
      <c r="E227" s="12">
        <f t="shared" si="22"/>
        <v>169</v>
      </c>
      <c r="F227" s="582" t="s">
        <v>1174</v>
      </c>
      <c r="G227" s="12">
        <f t="shared" si="23"/>
        <v>223</v>
      </c>
      <c r="H227" s="107" t="s">
        <v>92</v>
      </c>
      <c r="I227" s="12" t="s">
        <v>19</v>
      </c>
      <c r="J227" s="12" t="s">
        <v>19</v>
      </c>
      <c r="K227" s="12" t="s">
        <v>22</v>
      </c>
      <c r="L227" s="23" t="s">
        <v>779</v>
      </c>
      <c r="M227" s="72" t="s">
        <v>19</v>
      </c>
      <c r="N227" s="23" t="s">
        <v>1243</v>
      </c>
      <c r="O227" s="23"/>
      <c r="P227" s="119"/>
      <c r="Q227" s="269">
        <v>1</v>
      </c>
      <c r="R227" s="132"/>
      <c r="T227" s="140" t="s">
        <v>18</v>
      </c>
      <c r="U227" s="139"/>
      <c r="X227" s="268">
        <v>12.399773597717285</v>
      </c>
      <c r="Y227" s="268">
        <f t="shared" si="21"/>
        <v>12.399773597717285</v>
      </c>
      <c r="Z227" s="132" t="str">
        <f t="shared" si="20"/>
        <v/>
      </c>
    </row>
    <row r="228" spans="1:26" s="138" customFormat="1" ht="86" thickBot="1" x14ac:dyDescent="0.25">
      <c r="A228" s="6">
        <f>A227+1</f>
        <v>110</v>
      </c>
      <c r="B228" s="228" t="s">
        <v>776</v>
      </c>
      <c r="C228" s="237" t="s">
        <v>776</v>
      </c>
      <c r="D228" s="33" t="s">
        <v>393</v>
      </c>
      <c r="E228" s="12">
        <f t="shared" si="22"/>
        <v>190</v>
      </c>
      <c r="F228" s="33" t="s">
        <v>1175</v>
      </c>
      <c r="G228" s="12">
        <f t="shared" si="23"/>
        <v>246</v>
      </c>
      <c r="H228" s="107" t="s">
        <v>92</v>
      </c>
      <c r="I228" s="16" t="s">
        <v>19</v>
      </c>
      <c r="J228" s="16" t="s">
        <v>19</v>
      </c>
      <c r="K228" s="12" t="s">
        <v>22</v>
      </c>
      <c r="L228" s="21" t="s">
        <v>1242</v>
      </c>
      <c r="M228" s="72" t="s">
        <v>19</v>
      </c>
      <c r="N228" s="21" t="s">
        <v>1241</v>
      </c>
      <c r="O228" s="21"/>
      <c r="P228" s="119"/>
      <c r="Q228" s="269">
        <v>1</v>
      </c>
      <c r="R228" s="132"/>
      <c r="T228" s="140" t="s">
        <v>18</v>
      </c>
      <c r="U228" s="139"/>
      <c r="X228" s="268">
        <v>13.343881607055664</v>
      </c>
      <c r="Y228" s="268">
        <f t="shared" si="21"/>
        <v>13.343881607055664</v>
      </c>
      <c r="Z228" s="132" t="str">
        <f t="shared" si="20"/>
        <v/>
      </c>
    </row>
    <row r="229" spans="1:26" s="435" customFormat="1" ht="17" thickBot="1" x14ac:dyDescent="0.25">
      <c r="A229" s="608" t="s">
        <v>394</v>
      </c>
      <c r="B229" s="609"/>
      <c r="C229" s="609"/>
      <c r="D229" s="609"/>
      <c r="E229" s="609"/>
      <c r="F229" s="609"/>
      <c r="G229" s="609"/>
      <c r="H229" s="609"/>
      <c r="I229" s="609"/>
      <c r="J229" s="609"/>
      <c r="K229" s="609"/>
      <c r="L229" s="609"/>
      <c r="M229" s="609"/>
      <c r="N229" s="609"/>
      <c r="O229" s="609"/>
      <c r="P229" s="610"/>
      <c r="Q229" s="264"/>
      <c r="R229" s="446"/>
      <c r="T229" s="444"/>
      <c r="U229" s="447"/>
      <c r="X229" s="267"/>
      <c r="Y229" s="267" t="str">
        <f t="shared" si="21"/>
        <v/>
      </c>
      <c r="Z229" s="446" t="str">
        <f t="shared" si="20"/>
        <v/>
      </c>
    </row>
    <row r="230" spans="1:26" s="225" customFormat="1" ht="255" x14ac:dyDescent="0.2">
      <c r="A230" s="330">
        <f>A228+1</f>
        <v>111</v>
      </c>
      <c r="B230" s="227" t="s">
        <v>395</v>
      </c>
      <c r="C230" s="137" t="s">
        <v>395</v>
      </c>
      <c r="D230" s="136" t="s">
        <v>934</v>
      </c>
      <c r="E230" s="135">
        <f>LEN(D230)</f>
        <v>222</v>
      </c>
      <c r="F230" s="199" t="s">
        <v>1176</v>
      </c>
      <c r="G230" s="135">
        <f>LEN(F230)</f>
        <v>201</v>
      </c>
      <c r="H230" s="145" t="s">
        <v>30</v>
      </c>
      <c r="I230" s="135" t="s">
        <v>19</v>
      </c>
      <c r="J230" s="143" t="s">
        <v>1240</v>
      </c>
      <c r="K230" s="143" t="s">
        <v>31</v>
      </c>
      <c r="L230" s="134" t="s">
        <v>1239</v>
      </c>
      <c r="M230" s="212" t="s">
        <v>19</v>
      </c>
      <c r="N230" s="134" t="s">
        <v>1238</v>
      </c>
      <c r="O230" s="78"/>
      <c r="P230" s="1"/>
      <c r="Q230" s="264">
        <v>1</v>
      </c>
      <c r="R230" s="133"/>
      <c r="T230" s="448" t="s">
        <v>26</v>
      </c>
      <c r="U230" s="219"/>
      <c r="X230" s="271">
        <v>14.472773551940918</v>
      </c>
      <c r="Y230" s="267">
        <f t="shared" si="21"/>
        <v>14.472773551940918</v>
      </c>
      <c r="Z230" s="132">
        <f t="shared" si="20"/>
        <v>14.472773551940918</v>
      </c>
    </row>
    <row r="231" spans="1:26" s="138" customFormat="1" ht="409.6" x14ac:dyDescent="0.2">
      <c r="A231" s="38">
        <f>A230+1</f>
        <v>112</v>
      </c>
      <c r="B231" s="227" t="s">
        <v>396</v>
      </c>
      <c r="C231" s="430" t="s">
        <v>746</v>
      </c>
      <c r="D231" s="414" t="s">
        <v>935</v>
      </c>
      <c r="E231" s="143">
        <f>LEN(D231)</f>
        <v>1207</v>
      </c>
      <c r="F231" s="457" t="s">
        <v>1313</v>
      </c>
      <c r="G231" s="143">
        <f>LEN(F231)</f>
        <v>1395</v>
      </c>
      <c r="H231" s="144" t="s">
        <v>180</v>
      </c>
      <c r="I231" s="143" t="s">
        <v>19</v>
      </c>
      <c r="J231" s="143" t="s">
        <v>19</v>
      </c>
      <c r="K231" s="143" t="s">
        <v>842</v>
      </c>
      <c r="L231" s="142" t="s">
        <v>843</v>
      </c>
      <c r="M231" s="212" t="s">
        <v>880</v>
      </c>
      <c r="N231" s="141" t="s">
        <v>844</v>
      </c>
      <c r="O231" s="166"/>
      <c r="P231" s="2"/>
      <c r="Q231" s="264">
        <v>1</v>
      </c>
      <c r="R231" s="132"/>
      <c r="T231" s="444" t="s">
        <v>26</v>
      </c>
      <c r="U231" s="139"/>
      <c r="X231" s="267">
        <v>33.740764617919922</v>
      </c>
      <c r="Y231" s="267">
        <f t="shared" si="21"/>
        <v>33.740764617919922</v>
      </c>
      <c r="Z231" s="132">
        <f t="shared" si="20"/>
        <v>33.740764617919922</v>
      </c>
    </row>
    <row r="232" spans="1:26" s="138" customFormat="1" x14ac:dyDescent="0.2">
      <c r="A232" s="104"/>
      <c r="B232" s="255"/>
      <c r="C232" s="91"/>
      <c r="D232" s="112"/>
      <c r="E232" s="94"/>
      <c r="F232" s="94"/>
      <c r="G232" s="94"/>
      <c r="H232" s="105"/>
      <c r="I232" s="94"/>
      <c r="J232" s="94"/>
      <c r="K232" s="94"/>
      <c r="L232" s="86"/>
      <c r="M232" s="71"/>
      <c r="N232" s="254"/>
      <c r="O232" s="254"/>
      <c r="P232" s="2"/>
      <c r="Q232" s="269">
        <v>1</v>
      </c>
      <c r="R232" s="132"/>
      <c r="T232" s="140"/>
      <c r="U232" s="139"/>
      <c r="X232" s="268"/>
      <c r="Y232" s="268" t="str">
        <f t="shared" si="21"/>
        <v/>
      </c>
      <c r="Z232" s="132" t="str">
        <f t="shared" si="20"/>
        <v/>
      </c>
    </row>
    <row r="233" spans="1:26" s="138" customFormat="1" ht="306" x14ac:dyDescent="0.2">
      <c r="A233" s="358">
        <f>A231+1</f>
        <v>113</v>
      </c>
      <c r="B233" s="177" t="s">
        <v>397</v>
      </c>
      <c r="C233" s="144" t="s">
        <v>768</v>
      </c>
      <c r="D233" s="414" t="s">
        <v>747</v>
      </c>
      <c r="E233" s="126">
        <f>LEN(D233)</f>
        <v>497</v>
      </c>
      <c r="F233" s="563" t="s">
        <v>1234</v>
      </c>
      <c r="G233" s="126">
        <f>LEN(F233)</f>
        <v>575</v>
      </c>
      <c r="H233" s="431" t="s">
        <v>180</v>
      </c>
      <c r="I233" s="126" t="s">
        <v>19</v>
      </c>
      <c r="J233" s="126" t="s">
        <v>19</v>
      </c>
      <c r="K233" s="126" t="s">
        <v>748</v>
      </c>
      <c r="L233" s="409" t="s">
        <v>1237</v>
      </c>
      <c r="M233" s="212" t="s">
        <v>881</v>
      </c>
      <c r="N233" s="409" t="s">
        <v>1236</v>
      </c>
      <c r="O233" s="86"/>
      <c r="P233" s="2"/>
      <c r="Q233" s="269">
        <v>1</v>
      </c>
      <c r="R233" s="132"/>
      <c r="T233" s="444" t="s">
        <v>26</v>
      </c>
      <c r="U233" s="139"/>
      <c r="X233" s="267">
        <v>14.550599098205566</v>
      </c>
      <c r="Y233" s="267">
        <f t="shared" si="21"/>
        <v>14.550599098205566</v>
      </c>
      <c r="Z233" s="132">
        <f t="shared" si="20"/>
        <v>14.550599098205566</v>
      </c>
    </row>
    <row r="234" spans="1:26" s="138" customFormat="1" ht="255" x14ac:dyDescent="0.2">
      <c r="A234" s="358">
        <f>A233+1</f>
        <v>114</v>
      </c>
      <c r="B234" s="432" t="s">
        <v>663</v>
      </c>
      <c r="C234" s="433" t="s">
        <v>663</v>
      </c>
      <c r="D234" s="414" t="s">
        <v>749</v>
      </c>
      <c r="E234" s="126">
        <f>LEN(D234)</f>
        <v>460</v>
      </c>
      <c r="F234" s="460" t="s">
        <v>1177</v>
      </c>
      <c r="G234" s="126">
        <f>LEN(F234)</f>
        <v>491</v>
      </c>
      <c r="H234" s="431" t="s">
        <v>30</v>
      </c>
      <c r="I234" s="126" t="s">
        <v>19</v>
      </c>
      <c r="J234" s="434" t="s">
        <v>19</v>
      </c>
      <c r="K234" s="126" t="s">
        <v>31</v>
      </c>
      <c r="L234" s="428" t="s">
        <v>1235</v>
      </c>
      <c r="M234" s="212" t="s">
        <v>19</v>
      </c>
      <c r="N234" s="142" t="s">
        <v>750</v>
      </c>
      <c r="O234" s="71"/>
      <c r="P234" s="2"/>
      <c r="Q234" s="269">
        <v>1</v>
      </c>
      <c r="R234" s="132"/>
      <c r="T234" s="444" t="s">
        <v>26</v>
      </c>
      <c r="U234" s="139"/>
      <c r="X234" s="267">
        <v>10.812456130981445</v>
      </c>
      <c r="Y234" s="267">
        <f t="shared" si="21"/>
        <v>10.812456130981445</v>
      </c>
      <c r="Z234" s="132">
        <f t="shared" si="20"/>
        <v>10.812456130981445</v>
      </c>
    </row>
    <row r="235" spans="1:26" s="138" customFormat="1" x14ac:dyDescent="0.2">
      <c r="A235" s="104"/>
      <c r="B235" s="255"/>
      <c r="C235" s="91"/>
      <c r="D235" s="112"/>
      <c r="E235" s="94"/>
      <c r="F235" s="94"/>
      <c r="G235" s="94"/>
      <c r="H235" s="105"/>
      <c r="I235" s="94"/>
      <c r="J235" s="94"/>
      <c r="K235" s="94"/>
      <c r="L235" s="86"/>
      <c r="M235" s="71"/>
      <c r="N235" s="254"/>
      <c r="O235" s="360"/>
      <c r="P235" s="42"/>
      <c r="Q235" s="269">
        <v>1</v>
      </c>
      <c r="R235" s="132"/>
      <c r="T235" s="140"/>
      <c r="U235" s="139"/>
      <c r="X235" s="268"/>
      <c r="Y235" s="268" t="str">
        <f t="shared" si="21"/>
        <v/>
      </c>
      <c r="Z235" s="132" t="str">
        <f t="shared" si="20"/>
        <v/>
      </c>
    </row>
    <row r="236" spans="1:26" s="138" customFormat="1" ht="187" x14ac:dyDescent="0.2">
      <c r="A236" s="32"/>
      <c r="B236" s="44" t="s">
        <v>664</v>
      </c>
      <c r="C236" s="436" t="s">
        <v>936</v>
      </c>
      <c r="D236" s="389" t="s">
        <v>668</v>
      </c>
      <c r="E236" s="15">
        <f>LEN(D236)</f>
        <v>188</v>
      </c>
      <c r="F236" s="475" t="s">
        <v>1178</v>
      </c>
      <c r="G236" s="15">
        <f>LEN(F236)</f>
        <v>222</v>
      </c>
      <c r="H236" s="392" t="s">
        <v>141</v>
      </c>
      <c r="I236" s="15" t="s">
        <v>19</v>
      </c>
      <c r="J236" s="437" t="s">
        <v>19</v>
      </c>
      <c r="K236" s="15" t="s">
        <v>687</v>
      </c>
      <c r="L236" s="34" t="s">
        <v>686</v>
      </c>
      <c r="M236" s="72" t="s">
        <v>937</v>
      </c>
      <c r="N236" s="23" t="s">
        <v>688</v>
      </c>
      <c r="O236" s="361"/>
      <c r="P236" s="63"/>
      <c r="Q236" s="269">
        <v>1</v>
      </c>
      <c r="R236" s="132"/>
      <c r="T236" s="140" t="s">
        <v>18</v>
      </c>
      <c r="U236" s="139"/>
      <c r="X236" s="268">
        <v>10.812456130981445</v>
      </c>
      <c r="Y236" s="268">
        <f t="shared" si="21"/>
        <v>10.812456130981445</v>
      </c>
      <c r="Z236" s="132" t="str">
        <f t="shared" si="20"/>
        <v/>
      </c>
    </row>
    <row r="237" spans="1:26" s="138" customFormat="1" ht="17" thickBot="1" x14ac:dyDescent="0.25">
      <c r="A237" s="104"/>
      <c r="B237" s="255"/>
      <c r="C237" s="91"/>
      <c r="D237" s="112"/>
      <c r="E237" s="94"/>
      <c r="F237" s="94"/>
      <c r="G237" s="94"/>
      <c r="H237" s="105"/>
      <c r="I237" s="94"/>
      <c r="J237" s="94"/>
      <c r="K237" s="94"/>
      <c r="L237" s="86"/>
      <c r="M237" s="71"/>
      <c r="N237" s="254"/>
      <c r="O237" s="254"/>
      <c r="P237" s="2"/>
      <c r="Q237" s="269">
        <v>1</v>
      </c>
      <c r="R237" s="132"/>
      <c r="T237" s="140"/>
      <c r="U237" s="139"/>
      <c r="X237" s="268"/>
      <c r="Y237" s="268" t="str">
        <f t="shared" si="21"/>
        <v/>
      </c>
      <c r="Z237" s="132" t="str">
        <f t="shared" si="20"/>
        <v/>
      </c>
    </row>
    <row r="238" spans="1:26" s="435" customFormat="1" ht="17" thickBot="1" x14ac:dyDescent="0.25">
      <c r="A238" s="608" t="s">
        <v>398</v>
      </c>
      <c r="B238" s="609"/>
      <c r="C238" s="609"/>
      <c r="D238" s="609"/>
      <c r="E238" s="609"/>
      <c r="F238" s="609"/>
      <c r="G238" s="609"/>
      <c r="H238" s="609"/>
      <c r="I238" s="609"/>
      <c r="J238" s="609"/>
      <c r="K238" s="609"/>
      <c r="L238" s="609"/>
      <c r="M238" s="609"/>
      <c r="N238" s="609"/>
      <c r="O238" s="609"/>
      <c r="P238" s="610"/>
      <c r="Q238" s="264"/>
      <c r="R238" s="446"/>
      <c r="T238" s="444"/>
      <c r="U238" s="447"/>
      <c r="X238" s="267"/>
      <c r="Y238" s="267" t="str">
        <f t="shared" si="21"/>
        <v/>
      </c>
      <c r="Z238" s="446" t="str">
        <f t="shared" si="20"/>
        <v/>
      </c>
    </row>
    <row r="239" spans="1:26" s="138" customFormat="1" ht="119" x14ac:dyDescent="0.2">
      <c r="A239" s="90" t="s">
        <v>19</v>
      </c>
      <c r="B239" s="227" t="s">
        <v>399</v>
      </c>
      <c r="C239" s="137" t="s">
        <v>399</v>
      </c>
      <c r="D239" s="136" t="s">
        <v>400</v>
      </c>
      <c r="E239" s="135">
        <f t="shared" ref="E239:E245" si="24">LEN(D239)</f>
        <v>162</v>
      </c>
      <c r="F239" s="476" t="s">
        <v>1179</v>
      </c>
      <c r="G239" s="135">
        <f t="shared" ref="G239:G245" si="25">LEN(F239)</f>
        <v>181</v>
      </c>
      <c r="H239" s="135" t="s">
        <v>30</v>
      </c>
      <c r="I239" s="135" t="s">
        <v>19</v>
      </c>
      <c r="J239" s="135" t="s">
        <v>19</v>
      </c>
      <c r="K239" s="135" t="s">
        <v>31</v>
      </c>
      <c r="L239" s="134" t="s">
        <v>923</v>
      </c>
      <c r="M239" s="212" t="s">
        <v>19</v>
      </c>
      <c r="N239" s="134" t="s">
        <v>922</v>
      </c>
      <c r="O239" s="78"/>
      <c r="P239" s="1"/>
      <c r="Q239" s="264">
        <v>1</v>
      </c>
      <c r="R239" s="132"/>
      <c r="T239" s="444" t="s">
        <v>26</v>
      </c>
      <c r="U239" s="139"/>
      <c r="X239" s="267">
        <v>14.946464538574219</v>
      </c>
      <c r="Y239" s="267">
        <f t="shared" si="21"/>
        <v>14.946464538574219</v>
      </c>
      <c r="Z239" s="132">
        <f t="shared" si="20"/>
        <v>14.946464538574219</v>
      </c>
    </row>
    <row r="240" spans="1:26" s="282" customFormat="1" ht="137.25" customHeight="1" x14ac:dyDescent="0.2">
      <c r="A240" s="275"/>
      <c r="B240" s="438" t="s">
        <v>401</v>
      </c>
      <c r="C240" s="439" t="s">
        <v>401</v>
      </c>
      <c r="D240" s="440" t="s">
        <v>402</v>
      </c>
      <c r="E240" s="441">
        <f t="shared" si="24"/>
        <v>144</v>
      </c>
      <c r="F240" s="477" t="s">
        <v>1180</v>
      </c>
      <c r="G240" s="441">
        <f t="shared" si="25"/>
        <v>141</v>
      </c>
      <c r="H240" s="441" t="s">
        <v>30</v>
      </c>
      <c r="I240" s="441" t="s">
        <v>19</v>
      </c>
      <c r="J240" s="441" t="s">
        <v>19</v>
      </c>
      <c r="K240" s="441" t="s">
        <v>31</v>
      </c>
      <c r="L240" s="276" t="s">
        <v>403</v>
      </c>
      <c r="M240" s="72" t="s">
        <v>19</v>
      </c>
      <c r="N240" s="276" t="s">
        <v>404</v>
      </c>
      <c r="O240" s="276"/>
      <c r="P240" s="277"/>
      <c r="Q240" s="329">
        <v>1</v>
      </c>
      <c r="R240" s="281"/>
      <c r="T240" s="283" t="s">
        <v>405</v>
      </c>
      <c r="U240" s="284"/>
      <c r="X240" s="278">
        <v>16.684934616088867</v>
      </c>
      <c r="Y240" s="268">
        <f t="shared" si="21"/>
        <v>16.684934616088867</v>
      </c>
      <c r="Z240" s="132" t="str">
        <f t="shared" si="20"/>
        <v/>
      </c>
    </row>
    <row r="241" spans="1:26" s="287" customFormat="1" ht="187" x14ac:dyDescent="0.2">
      <c r="A241" s="285"/>
      <c r="B241" s="438" t="s">
        <v>406</v>
      </c>
      <c r="C241" s="439" t="s">
        <v>406</v>
      </c>
      <c r="D241" s="440" t="s">
        <v>971</v>
      </c>
      <c r="E241" s="441">
        <f t="shared" si="24"/>
        <v>235</v>
      </c>
      <c r="F241" s="477" t="s">
        <v>1181</v>
      </c>
      <c r="G241" s="441">
        <f t="shared" si="25"/>
        <v>260</v>
      </c>
      <c r="H241" s="441" t="s">
        <v>64</v>
      </c>
      <c r="I241" s="441" t="s">
        <v>19</v>
      </c>
      <c r="J241" s="441" t="s">
        <v>19</v>
      </c>
      <c r="K241" s="441" t="s">
        <v>65</v>
      </c>
      <c r="L241" s="276" t="s">
        <v>407</v>
      </c>
      <c r="M241" s="72" t="s">
        <v>19</v>
      </c>
      <c r="N241" s="276" t="s">
        <v>408</v>
      </c>
      <c r="O241" s="276"/>
      <c r="P241" s="277"/>
      <c r="Q241" s="329">
        <v>1</v>
      </c>
      <c r="R241" s="286"/>
      <c r="T241" s="283" t="s">
        <v>405</v>
      </c>
      <c r="U241" s="288"/>
      <c r="X241" s="278">
        <v>15.116804122924805</v>
      </c>
      <c r="Y241" s="268">
        <f t="shared" ref="Y241:Y248" si="26">IF(X241="","",X241*Q241)</f>
        <v>15.116804122924805</v>
      </c>
      <c r="Z241" s="132" t="str">
        <f t="shared" si="20"/>
        <v/>
      </c>
    </row>
    <row r="242" spans="1:26" s="287" customFormat="1" ht="51" x14ac:dyDescent="0.2">
      <c r="A242" s="285"/>
      <c r="B242" s="438" t="s">
        <v>409</v>
      </c>
      <c r="C242" s="439" t="s">
        <v>409</v>
      </c>
      <c r="D242" s="442" t="s">
        <v>751</v>
      </c>
      <c r="E242" s="441">
        <f t="shared" si="24"/>
        <v>71</v>
      </c>
      <c r="F242" s="477" t="s">
        <v>1182</v>
      </c>
      <c r="G242" s="441">
        <f t="shared" si="25"/>
        <v>93</v>
      </c>
      <c r="H242" s="441" t="s">
        <v>21</v>
      </c>
      <c r="I242" s="443" t="s">
        <v>19</v>
      </c>
      <c r="J242" s="443" t="s">
        <v>19</v>
      </c>
      <c r="K242" s="443" t="s">
        <v>65</v>
      </c>
      <c r="L242" s="276" t="s">
        <v>410</v>
      </c>
      <c r="M242" s="72" t="s">
        <v>19</v>
      </c>
      <c r="N242" s="276" t="s">
        <v>411</v>
      </c>
      <c r="O242" s="276"/>
      <c r="P242" s="277"/>
      <c r="Q242" s="329">
        <v>1</v>
      </c>
      <c r="R242" s="286"/>
      <c r="T242" s="283" t="s">
        <v>405</v>
      </c>
      <c r="U242" s="288"/>
      <c r="X242" s="278">
        <v>25.539003372192383</v>
      </c>
      <c r="Y242" s="268">
        <f t="shared" si="26"/>
        <v>25.539003372192383</v>
      </c>
      <c r="Z242" s="132" t="str">
        <f t="shared" si="20"/>
        <v/>
      </c>
    </row>
    <row r="243" spans="1:26" s="287" customFormat="1" ht="68" x14ac:dyDescent="0.2">
      <c r="A243" s="285"/>
      <c r="B243" s="438" t="s">
        <v>412</v>
      </c>
      <c r="C243" s="439" t="s">
        <v>412</v>
      </c>
      <c r="D243" s="442" t="s">
        <v>752</v>
      </c>
      <c r="E243" s="441">
        <f t="shared" si="24"/>
        <v>92</v>
      </c>
      <c r="F243" s="477" t="s">
        <v>1183</v>
      </c>
      <c r="G243" s="441">
        <f t="shared" si="25"/>
        <v>128</v>
      </c>
      <c r="H243" s="441" t="s">
        <v>21</v>
      </c>
      <c r="I243" s="441" t="s">
        <v>19</v>
      </c>
      <c r="J243" s="441" t="s">
        <v>19</v>
      </c>
      <c r="K243" s="443" t="s">
        <v>22</v>
      </c>
      <c r="L243" s="276" t="s">
        <v>413</v>
      </c>
      <c r="M243" s="72" t="s">
        <v>19</v>
      </c>
      <c r="N243" s="276" t="s">
        <v>414</v>
      </c>
      <c r="O243" s="276"/>
      <c r="P243" s="277"/>
      <c r="Q243" s="329">
        <v>1</v>
      </c>
      <c r="R243" s="286"/>
      <c r="T243" s="283" t="s">
        <v>405</v>
      </c>
      <c r="U243" s="288"/>
      <c r="X243" s="278">
        <v>13.714834213256836</v>
      </c>
      <c r="Y243" s="268">
        <f t="shared" si="26"/>
        <v>13.714834213256836</v>
      </c>
      <c r="Z243" s="132" t="str">
        <f t="shared" si="20"/>
        <v/>
      </c>
    </row>
    <row r="244" spans="1:26" s="288" customFormat="1" ht="187" x14ac:dyDescent="0.2">
      <c r="A244" s="328"/>
      <c r="B244" s="289" t="s">
        <v>415</v>
      </c>
      <c r="C244" s="290" t="s">
        <v>416</v>
      </c>
      <c r="D244" s="391" t="s">
        <v>859</v>
      </c>
      <c r="E244" s="292">
        <f t="shared" si="24"/>
        <v>166</v>
      </c>
      <c r="F244" s="477" t="s">
        <v>1317</v>
      </c>
      <c r="G244" s="292">
        <f t="shared" si="25"/>
        <v>186</v>
      </c>
      <c r="H244" s="292" t="s">
        <v>141</v>
      </c>
      <c r="I244" s="292" t="s">
        <v>19</v>
      </c>
      <c r="J244" s="292" t="s">
        <v>19</v>
      </c>
      <c r="K244" s="292" t="s">
        <v>142</v>
      </c>
      <c r="L244" s="293" t="s">
        <v>417</v>
      </c>
      <c r="M244" s="212" t="s">
        <v>19</v>
      </c>
      <c r="N244" s="294" t="s">
        <v>418</v>
      </c>
      <c r="O244" s="276"/>
      <c r="P244" s="295"/>
      <c r="Q244" s="279">
        <v>1</v>
      </c>
      <c r="R244" s="286"/>
      <c r="T244" s="445" t="s">
        <v>98</v>
      </c>
      <c r="X244" s="455">
        <v>19.354913711547852</v>
      </c>
      <c r="Y244" s="267">
        <f t="shared" si="26"/>
        <v>19.354913711547852</v>
      </c>
      <c r="Z244" s="132" t="str">
        <f t="shared" si="20"/>
        <v/>
      </c>
    </row>
    <row r="245" spans="1:26" s="288" customFormat="1" ht="120" customHeight="1" x14ac:dyDescent="0.2">
      <c r="A245" s="328"/>
      <c r="B245" s="289" t="s">
        <v>419</v>
      </c>
      <c r="C245" s="290" t="s">
        <v>420</v>
      </c>
      <c r="D245" s="291" t="s">
        <v>858</v>
      </c>
      <c r="E245" s="292">
        <f t="shared" si="24"/>
        <v>130</v>
      </c>
      <c r="F245" s="477" t="s">
        <v>1316</v>
      </c>
      <c r="G245" s="292">
        <f t="shared" si="25"/>
        <v>147</v>
      </c>
      <c r="H245" s="292" t="s">
        <v>141</v>
      </c>
      <c r="I245" s="292" t="s">
        <v>19</v>
      </c>
      <c r="J245" s="292" t="s">
        <v>19</v>
      </c>
      <c r="K245" s="292" t="s">
        <v>142</v>
      </c>
      <c r="L245" s="293" t="s">
        <v>421</v>
      </c>
      <c r="M245" s="212" t="s">
        <v>19</v>
      </c>
      <c r="N245" s="294" t="s">
        <v>422</v>
      </c>
      <c r="O245" s="276"/>
      <c r="P245" s="295"/>
      <c r="Q245" s="279">
        <v>1</v>
      </c>
      <c r="R245" s="286"/>
      <c r="T245" s="445" t="s">
        <v>98</v>
      </c>
      <c r="X245" s="455">
        <v>15.889399528503418</v>
      </c>
      <c r="Y245" s="267">
        <f t="shared" si="26"/>
        <v>15.889399528503418</v>
      </c>
      <c r="Z245" s="132" t="str">
        <f t="shared" si="20"/>
        <v/>
      </c>
    </row>
    <row r="246" spans="1:26" s="130" customFormat="1" x14ac:dyDescent="0.2">
      <c r="A246" s="253"/>
      <c r="B246" s="252"/>
      <c r="C246" s="251"/>
      <c r="D246" s="250"/>
      <c r="E246" s="249"/>
      <c r="G246" s="249"/>
      <c r="H246" s="249"/>
      <c r="I246" s="248"/>
      <c r="J246" s="248"/>
      <c r="K246" s="248"/>
      <c r="L246" s="247"/>
      <c r="M246" s="76"/>
      <c r="N246" s="247"/>
      <c r="O246" s="246"/>
      <c r="P246" s="245"/>
      <c r="Q246" s="269">
        <v>1</v>
      </c>
      <c r="R246" s="132"/>
      <c r="T246" s="131"/>
      <c r="X246" s="272"/>
      <c r="Y246" s="268" t="str">
        <f t="shared" si="26"/>
        <v/>
      </c>
      <c r="Z246" s="132" t="str">
        <f t="shared" si="20"/>
        <v/>
      </c>
    </row>
    <row r="247" spans="1:26" s="225" customFormat="1" ht="103" thickBot="1" x14ac:dyDescent="0.25">
      <c r="A247" s="327" t="s">
        <v>19</v>
      </c>
      <c r="B247" s="226" t="s">
        <v>423</v>
      </c>
      <c r="C247" s="128" t="s">
        <v>423</v>
      </c>
      <c r="D247" s="583" t="s">
        <v>424</v>
      </c>
      <c r="E247" s="127">
        <f>LEN(D247)</f>
        <v>158</v>
      </c>
      <c r="F247" s="606" t="s">
        <v>1314</v>
      </c>
      <c r="G247" s="127">
        <f>LEN(F247)</f>
        <v>169</v>
      </c>
      <c r="H247" s="127" t="s">
        <v>30</v>
      </c>
      <c r="I247" s="127" t="s">
        <v>19</v>
      </c>
      <c r="J247" s="127" t="s">
        <v>19</v>
      </c>
      <c r="K247" s="127" t="s">
        <v>31</v>
      </c>
      <c r="L247" s="148" t="s">
        <v>425</v>
      </c>
      <c r="M247" s="212" t="s">
        <v>19</v>
      </c>
      <c r="N247" s="244" t="s">
        <v>19</v>
      </c>
      <c r="O247" s="113"/>
      <c r="P247" s="243"/>
      <c r="Q247" s="264">
        <v>1</v>
      </c>
      <c r="R247" s="132"/>
      <c r="T247" s="444" t="s">
        <v>26</v>
      </c>
      <c r="U247" s="139"/>
      <c r="X247" s="267">
        <v>17.309154088391789</v>
      </c>
      <c r="Y247" s="267">
        <f t="shared" si="26"/>
        <v>17.309154088391789</v>
      </c>
      <c r="Z247" s="132">
        <f t="shared" si="20"/>
        <v>17.309154088391789</v>
      </c>
    </row>
    <row r="248" spans="1:26" s="138" customFormat="1" ht="35" thickBot="1" x14ac:dyDescent="0.25">
      <c r="A248" s="326" t="s">
        <v>19</v>
      </c>
      <c r="B248" s="224" t="s">
        <v>426</v>
      </c>
      <c r="C248" s="125" t="s">
        <v>426</v>
      </c>
      <c r="D248" s="124" t="s">
        <v>1315</v>
      </c>
      <c r="E248" s="123">
        <f>LEN(D248)</f>
        <v>141</v>
      </c>
      <c r="F248" s="124" t="s">
        <v>1184</v>
      </c>
      <c r="G248" s="123">
        <f>LEN(F248)</f>
        <v>152</v>
      </c>
      <c r="H248" s="123" t="s">
        <v>19</v>
      </c>
      <c r="I248" s="123" t="s">
        <v>19</v>
      </c>
      <c r="J248" s="123" t="s">
        <v>19</v>
      </c>
      <c r="K248" s="123" t="s">
        <v>19</v>
      </c>
      <c r="L248" s="122" t="s">
        <v>19</v>
      </c>
      <c r="M248" s="122"/>
      <c r="N248" s="121" t="s">
        <v>19</v>
      </c>
      <c r="O248" s="88"/>
      <c r="P248" s="89"/>
      <c r="Q248" s="264">
        <v>1</v>
      </c>
      <c r="R248" s="139"/>
      <c r="T248" s="140" t="s">
        <v>18</v>
      </c>
      <c r="U248" s="139"/>
      <c r="X248" s="273"/>
      <c r="Y248" s="267" t="str">
        <f t="shared" si="26"/>
        <v/>
      </c>
      <c r="Z248" s="132" t="str">
        <f t="shared" si="20"/>
        <v/>
      </c>
    </row>
    <row r="249" spans="1:26" x14ac:dyDescent="0.2">
      <c r="X249" s="325"/>
    </row>
    <row r="250" spans="1:26" ht="17" thickBot="1" x14ac:dyDescent="0.25"/>
    <row r="251" spans="1:26" ht="18" customHeight="1" thickBot="1" x14ac:dyDescent="0.25">
      <c r="D251" s="223" t="s">
        <v>427</v>
      </c>
      <c r="E251" s="222"/>
      <c r="F251" s="223"/>
      <c r="G251" s="222"/>
      <c r="H251" s="222"/>
      <c r="I251" s="222"/>
      <c r="J251" s="222"/>
      <c r="K251" s="222"/>
      <c r="L251" s="222"/>
      <c r="M251" s="222"/>
      <c r="N251" s="222"/>
      <c r="O251" s="222"/>
      <c r="P251" s="222"/>
      <c r="Q251" s="319"/>
      <c r="X251" s="320"/>
      <c r="Y251" s="452">
        <f>(SUM(Y5:Y249))/60</f>
        <v>34.930701048420261</v>
      </c>
      <c r="Z251" s="451">
        <f>SUM(Z2:Z248)/60</f>
        <v>17.196160773249527</v>
      </c>
    </row>
    <row r="252" spans="1:26" ht="18" hidden="1" thickBot="1" x14ac:dyDescent="0.25">
      <c r="D252" s="324" t="s">
        <v>428</v>
      </c>
      <c r="E252" s="323"/>
      <c r="F252" s="324"/>
      <c r="G252" s="323"/>
      <c r="H252" s="323"/>
      <c r="I252" s="323"/>
      <c r="J252" s="323"/>
      <c r="K252" s="323"/>
      <c r="L252" s="323"/>
      <c r="M252" s="323"/>
      <c r="N252" s="323"/>
      <c r="O252" s="323"/>
      <c r="P252" s="323"/>
      <c r="Q252" s="321"/>
      <c r="X252" s="322"/>
      <c r="Y252" s="453">
        <f>(SUM(Y6:Y158)+SUM(Y179:Y249))/60</f>
        <v>34.831057879374811</v>
      </c>
    </row>
    <row r="253" spans="1:26" ht="18" thickBot="1" x14ac:dyDescent="0.25">
      <c r="D253" s="223" t="s">
        <v>429</v>
      </c>
      <c r="E253" s="222"/>
      <c r="F253" s="223"/>
      <c r="G253" s="222"/>
      <c r="H253" s="222"/>
      <c r="I253" s="222"/>
      <c r="J253" s="222"/>
      <c r="K253" s="222"/>
      <c r="L253" s="222"/>
      <c r="M253" s="222"/>
      <c r="N253" s="222"/>
      <c r="O253" s="222"/>
      <c r="P253" s="222"/>
      <c r="Q253" s="319"/>
      <c r="X253" s="320"/>
      <c r="Y253" s="454">
        <f>(SUM(Y6:Y26)+SUM(Y35:Y158)+SUM(Y178:Y239)+SUM(Y246:Y249))/60</f>
        <v>31.326843238916378</v>
      </c>
    </row>
  </sheetData>
  <sheetProtection algorithmName="SHA-512" hashValue="Ju1WngyrZvA6Vv9Ymz1d/t3BsEbu6yW0WYCCh7JrNBZU+F9aLan8u3TaBdE4grIalHICl+2Zek/nDwJMOTISag==" saltValue="xs3h/OhkUsRRY/R2cGJ5DQ==" spinCount="100000" sheet="1" formatCells="0" formatRows="0" insertRows="0" deleteRows="0"/>
  <mergeCells count="22">
    <mergeCell ref="N36:N37"/>
    <mergeCell ref="A41:P41"/>
    <mergeCell ref="P48:P50"/>
    <mergeCell ref="A1:P1"/>
    <mergeCell ref="A2:O2"/>
    <mergeCell ref="P2:P3"/>
    <mergeCell ref="A4:P4"/>
    <mergeCell ref="A21:P21"/>
    <mergeCell ref="A58:P58"/>
    <mergeCell ref="P65:P66"/>
    <mergeCell ref="P77:P78"/>
    <mergeCell ref="P89:P90"/>
    <mergeCell ref="A170:P170"/>
    <mergeCell ref="A229:P229"/>
    <mergeCell ref="A238:P238"/>
    <mergeCell ref="A100:P100"/>
    <mergeCell ref="A129:P129"/>
    <mergeCell ref="A137:P137"/>
    <mergeCell ref="A151:P151"/>
    <mergeCell ref="A159:P159"/>
    <mergeCell ref="A178:P178"/>
    <mergeCell ref="P118:P121"/>
  </mergeCells>
  <conditionalFormatting sqref="B148">
    <cfRule type="duplicateValues" dxfId="241" priority="660"/>
  </conditionalFormatting>
  <conditionalFormatting sqref="B148">
    <cfRule type="duplicateValues" dxfId="240" priority="661"/>
  </conditionalFormatting>
  <conditionalFormatting sqref="B14 B16:B19">
    <cfRule type="duplicateValues" dxfId="239" priority="659"/>
  </conditionalFormatting>
  <conditionalFormatting sqref="B20">
    <cfRule type="duplicateValues" dxfId="238" priority="658"/>
  </conditionalFormatting>
  <conditionalFormatting sqref="B66 B69">
    <cfRule type="duplicateValues" dxfId="237" priority="656"/>
  </conditionalFormatting>
  <conditionalFormatting sqref="B78 B81">
    <cfRule type="duplicateValues" dxfId="236" priority="654"/>
  </conditionalFormatting>
  <conditionalFormatting sqref="B90">
    <cfRule type="duplicateValues" dxfId="235" priority="652"/>
  </conditionalFormatting>
  <conditionalFormatting sqref="B115:B117">
    <cfRule type="duplicateValues" dxfId="234" priority="649"/>
  </conditionalFormatting>
  <conditionalFormatting sqref="B155:B156">
    <cfRule type="duplicateValues" dxfId="233" priority="647"/>
  </conditionalFormatting>
  <conditionalFormatting sqref="B162:B163">
    <cfRule type="duplicateValues" dxfId="232" priority="646"/>
  </conditionalFormatting>
  <conditionalFormatting sqref="B173:B176">
    <cfRule type="duplicateValues" dxfId="231" priority="645"/>
  </conditionalFormatting>
  <conditionalFormatting sqref="B185">
    <cfRule type="duplicateValues" dxfId="230" priority="643"/>
  </conditionalFormatting>
  <conditionalFormatting sqref="B186">
    <cfRule type="duplicateValues" dxfId="229" priority="641"/>
  </conditionalFormatting>
  <conditionalFormatting sqref="B188">
    <cfRule type="duplicateValues" dxfId="228" priority="639"/>
  </conditionalFormatting>
  <conditionalFormatting sqref="B190">
    <cfRule type="duplicateValues" dxfId="227" priority="637"/>
  </conditionalFormatting>
  <conditionalFormatting sqref="B212">
    <cfRule type="duplicateValues" dxfId="226" priority="635"/>
  </conditionalFormatting>
  <conditionalFormatting sqref="B124">
    <cfRule type="duplicateValues" dxfId="225" priority="662"/>
  </conditionalFormatting>
  <conditionalFormatting sqref="B50:B51">
    <cfRule type="duplicateValues" dxfId="224" priority="630"/>
  </conditionalFormatting>
  <conditionalFormatting sqref="B145">
    <cfRule type="duplicateValues" dxfId="223" priority="663"/>
  </conditionalFormatting>
  <conditionalFormatting sqref="D44">
    <cfRule type="cellIs" dxfId="222" priority="629" operator="notEqual">
      <formula>$D$44</formula>
    </cfRule>
  </conditionalFormatting>
  <conditionalFormatting sqref="B54:B55">
    <cfRule type="duplicateValues" dxfId="221" priority="628"/>
  </conditionalFormatting>
  <conditionalFormatting sqref="B77">
    <cfRule type="duplicateValues" dxfId="220" priority="623"/>
  </conditionalFormatting>
  <conditionalFormatting sqref="B126">
    <cfRule type="duplicateValues" dxfId="219" priority="620"/>
  </conditionalFormatting>
  <conditionalFormatting sqref="B160">
    <cfRule type="duplicateValues" dxfId="218" priority="618"/>
  </conditionalFormatting>
  <conditionalFormatting sqref="B158">
    <cfRule type="duplicateValues" dxfId="217" priority="617"/>
  </conditionalFormatting>
  <conditionalFormatting sqref="B247:B252 B239 B230:B233 B187 B171:B172 B132:B133 B135 B2:B3 B152:B154 B70:B72 B82:B84 B123 B140:B144 B147:B148 B157 B164:B168 B179:B184 B189 B191 B44 B52:B53 B5 B24:B27 B211 B56:B57 B89 B96:B98 B106:B108 B7:B14 B29:B33 B46:B47 B39:B40 B254:B1048576 B60 B64:B65 B16:B20">
    <cfRule type="duplicateValues" dxfId="216" priority="665"/>
  </conditionalFormatting>
  <conditionalFormatting sqref="B99">
    <cfRule type="duplicateValues" dxfId="215" priority="616"/>
  </conditionalFormatting>
  <conditionalFormatting sqref="D240:D246">
    <cfRule type="expression" dxfId="214" priority="612" stopIfTrue="1">
      <formula>$A240="begin group"</formula>
    </cfRule>
  </conditionalFormatting>
  <conditionalFormatting sqref="D240:D246">
    <cfRule type="expression" dxfId="213" priority="609" stopIfTrue="1">
      <formula>$A240="begin repeat"</formula>
    </cfRule>
  </conditionalFormatting>
  <conditionalFormatting sqref="D240:D246">
    <cfRule type="expression" dxfId="212" priority="606" stopIfTrue="1">
      <formula>$A240="text"</formula>
    </cfRule>
  </conditionalFormatting>
  <conditionalFormatting sqref="D240:D246">
    <cfRule type="expression" dxfId="211" priority="604" stopIfTrue="1">
      <formula>$A240="integer"</formula>
    </cfRule>
  </conditionalFormatting>
  <conditionalFormatting sqref="D240:D246">
    <cfRule type="expression" dxfId="210" priority="602" stopIfTrue="1">
      <formula>$A240="decimal"</formula>
    </cfRule>
  </conditionalFormatting>
  <conditionalFormatting sqref="D240:D246">
    <cfRule type="expression" dxfId="209" priority="600" stopIfTrue="1">
      <formula>OR(AND(LEFT($A240, 16)="select_multiple ", LEN($A240)&gt;16, NOT(ISNUMBER(SEARCH(" ", $A240, 17)))), AND(LEFT($A240, 11)="select_one ", LEN($A240)&gt;11, NOT(ISNUMBER(SEARCH(" ", $A240, 12)))))</formula>
    </cfRule>
  </conditionalFormatting>
  <conditionalFormatting sqref="D240:D246">
    <cfRule type="expression" dxfId="208" priority="592" stopIfTrue="1">
      <formula>$A240="note"</formula>
    </cfRule>
    <cfRule type="expression" dxfId="207" priority="594" stopIfTrue="1">
      <formula>$A240="barcode"</formula>
    </cfRule>
    <cfRule type="expression" dxfId="206" priority="596" stopIfTrue="1">
      <formula>$A240="geopoint"</formula>
    </cfRule>
  </conditionalFormatting>
  <conditionalFormatting sqref="D240:D246">
    <cfRule type="expression" dxfId="205" priority="589" stopIfTrue="1">
      <formula>OR($A240="date", $A240="datetime")</formula>
    </cfRule>
  </conditionalFormatting>
  <conditionalFormatting sqref="D240:D246">
    <cfRule type="expression" dxfId="204" priority="587" stopIfTrue="1">
      <formula>$A240="image"</formula>
    </cfRule>
  </conditionalFormatting>
  <conditionalFormatting sqref="D240:D246">
    <cfRule type="expression" dxfId="203" priority="585" stopIfTrue="1">
      <formula>OR($A240="audio", $A240="video")</formula>
    </cfRule>
  </conditionalFormatting>
  <conditionalFormatting sqref="D240:D246">
    <cfRule type="expression" dxfId="202" priority="586" stopIfTrue="1">
      <formula>OR($A240="audio", $A240="video")</formula>
    </cfRule>
    <cfRule type="expression" dxfId="201" priority="588" stopIfTrue="1">
      <formula>$A240="image"</formula>
    </cfRule>
    <cfRule type="expression" dxfId="200" priority="590" stopIfTrue="1">
      <formula>OR($A240="date", $A240="datetime")</formula>
    </cfRule>
    <cfRule type="expression" dxfId="199" priority="591" stopIfTrue="1">
      <formula>OR($A240="calculate", $A240="calculate_here")</formula>
    </cfRule>
    <cfRule type="expression" dxfId="198" priority="593" stopIfTrue="1">
      <formula>$A240="note"</formula>
    </cfRule>
    <cfRule type="expression" dxfId="197" priority="595" stopIfTrue="1">
      <formula>$A240="barcode"</formula>
    </cfRule>
    <cfRule type="expression" dxfId="196" priority="597" stopIfTrue="1">
      <formula>$A240="geopoint"</formula>
    </cfRule>
    <cfRule type="expression" dxfId="195" priority="598" stopIfTrue="1">
      <formula>OR($A240="audio audit", $A240="text audit")</formula>
    </cfRule>
    <cfRule type="expression" dxfId="194" priority="599" stopIfTrue="1">
      <formula>OR($A240="username", $A240="phonenumber", $A240="start", $A240="end", $A240="deviceid", $A240="subscriberid", $A240="simserial")</formula>
    </cfRule>
    <cfRule type="expression" dxfId="193" priority="601" stopIfTrue="1">
      <formula>OR(AND(LEFT($A240, 16)="select_multiple ", LEN($A240)&gt;16, NOT(ISNUMBER(SEARCH(" ", $A240, 17)))), AND(LEFT($A240, 11)="select_one ", LEN($A240)&gt;11, NOT(ISNUMBER(SEARCH(" ", $A240, 12)))))</formula>
    </cfRule>
    <cfRule type="expression" dxfId="192" priority="603" stopIfTrue="1">
      <formula>$A240="decimal"</formula>
    </cfRule>
    <cfRule type="expression" dxfId="191" priority="605" stopIfTrue="1">
      <formula>$A240="integer"</formula>
    </cfRule>
    <cfRule type="expression" dxfId="190" priority="607" stopIfTrue="1">
      <formula>$A240="text"</formula>
    </cfRule>
    <cfRule type="expression" dxfId="189" priority="608" stopIfTrue="1">
      <formula>$A240="end repeat"</formula>
    </cfRule>
    <cfRule type="expression" dxfId="188" priority="610" stopIfTrue="1">
      <formula>$A240="begin repeat"</formula>
    </cfRule>
    <cfRule type="expression" dxfId="187" priority="611" stopIfTrue="1">
      <formula>$A240="end group"</formula>
    </cfRule>
    <cfRule type="expression" dxfId="186" priority="613" stopIfTrue="1">
      <formula>$A240="begin group"</formula>
    </cfRule>
  </conditionalFormatting>
  <conditionalFormatting sqref="D27:D32">
    <cfRule type="expression" dxfId="185" priority="583" stopIfTrue="1">
      <formula>$A27="begin group"</formula>
    </cfRule>
  </conditionalFormatting>
  <conditionalFormatting sqref="D27:D32">
    <cfRule type="expression" dxfId="184" priority="580" stopIfTrue="1">
      <formula>$A27="begin repeat"</formula>
    </cfRule>
  </conditionalFormatting>
  <conditionalFormatting sqref="D27:D32">
    <cfRule type="expression" dxfId="183" priority="577" stopIfTrue="1">
      <formula>$A27="text"</formula>
    </cfRule>
  </conditionalFormatting>
  <conditionalFormatting sqref="D27:D32">
    <cfRule type="expression" dxfId="182" priority="575" stopIfTrue="1">
      <formula>$A27="integer"</formula>
    </cfRule>
  </conditionalFormatting>
  <conditionalFormatting sqref="D27:D32">
    <cfRule type="expression" dxfId="181" priority="573" stopIfTrue="1">
      <formula>$A27="decimal"</formula>
    </cfRule>
  </conditionalFormatting>
  <conditionalFormatting sqref="D27:D32">
    <cfRule type="expression" dxfId="180" priority="571" stopIfTrue="1">
      <formula>OR(AND(LEFT($A27, 16)="select_multiple ", LEN($A27)&gt;16, NOT(ISNUMBER(SEARCH(" ", $A27, 17)))), AND(LEFT($A27, 11)="select_one ", LEN($A27)&gt;11, NOT(ISNUMBER(SEARCH(" ", $A27, 12)))))</formula>
    </cfRule>
  </conditionalFormatting>
  <conditionalFormatting sqref="D27:D32">
    <cfRule type="expression" dxfId="179" priority="563" stopIfTrue="1">
      <formula>$A27="note"</formula>
    </cfRule>
    <cfRule type="expression" dxfId="178" priority="565" stopIfTrue="1">
      <formula>$A27="barcode"</formula>
    </cfRule>
    <cfRule type="expression" dxfId="177" priority="567" stopIfTrue="1">
      <formula>$A27="geopoint"</formula>
    </cfRule>
  </conditionalFormatting>
  <conditionalFormatting sqref="D27:D32">
    <cfRule type="expression" dxfId="176" priority="560" stopIfTrue="1">
      <formula>OR($A27="date", $A27="datetime")</formula>
    </cfRule>
  </conditionalFormatting>
  <conditionalFormatting sqref="D27:D32">
    <cfRule type="expression" dxfId="175" priority="558" stopIfTrue="1">
      <formula>$A27="image"</formula>
    </cfRule>
  </conditionalFormatting>
  <conditionalFormatting sqref="D27:D32">
    <cfRule type="expression" dxfId="174" priority="556" stopIfTrue="1">
      <formula>OR($A27="audio", $A27="video")</formula>
    </cfRule>
  </conditionalFormatting>
  <conditionalFormatting sqref="D27:D32">
    <cfRule type="expression" dxfId="173" priority="557" stopIfTrue="1">
      <formula>OR($A27="audio", $A27="video")</formula>
    </cfRule>
    <cfRule type="expression" dxfId="172" priority="559" stopIfTrue="1">
      <formula>$A27="image"</formula>
    </cfRule>
    <cfRule type="expression" dxfId="171" priority="561" stopIfTrue="1">
      <formula>OR($A27="date", $A27="datetime")</formula>
    </cfRule>
    <cfRule type="expression" dxfId="170" priority="562" stopIfTrue="1">
      <formula>OR($A27="calculate", $A27="calculate_here")</formula>
    </cfRule>
    <cfRule type="expression" dxfId="169" priority="564" stopIfTrue="1">
      <formula>$A27="note"</formula>
    </cfRule>
    <cfRule type="expression" dxfId="168" priority="566" stopIfTrue="1">
      <formula>$A27="barcode"</formula>
    </cfRule>
    <cfRule type="expression" dxfId="167" priority="568" stopIfTrue="1">
      <formula>$A27="geopoint"</formula>
    </cfRule>
    <cfRule type="expression" dxfId="166" priority="569" stopIfTrue="1">
      <formula>OR($A27="audio audit", $A27="text audit")</formula>
    </cfRule>
    <cfRule type="expression" dxfId="165" priority="570" stopIfTrue="1">
      <formula>OR($A27="username", $A27="phonenumber", $A27="start", $A27="end", $A27="deviceid", $A27="subscriberid", $A27="simserial")</formula>
    </cfRule>
    <cfRule type="expression" dxfId="164" priority="572" stopIfTrue="1">
      <formula>OR(AND(LEFT($A27, 16)="select_multiple ", LEN($A27)&gt;16, NOT(ISNUMBER(SEARCH(" ", $A27, 17)))), AND(LEFT($A27, 11)="select_one ", LEN($A27)&gt;11, NOT(ISNUMBER(SEARCH(" ", $A27, 12)))))</formula>
    </cfRule>
    <cfRule type="expression" dxfId="163" priority="574" stopIfTrue="1">
      <formula>$A27="decimal"</formula>
    </cfRule>
    <cfRule type="expression" dxfId="162" priority="576" stopIfTrue="1">
      <formula>$A27="integer"</formula>
    </cfRule>
    <cfRule type="expression" dxfId="161" priority="578" stopIfTrue="1">
      <formula>$A27="text"</formula>
    </cfRule>
    <cfRule type="expression" dxfId="160" priority="579" stopIfTrue="1">
      <formula>$A27="end repeat"</formula>
    </cfRule>
    <cfRule type="expression" dxfId="159" priority="581" stopIfTrue="1">
      <formula>$A27="begin repeat"</formula>
    </cfRule>
    <cfRule type="expression" dxfId="158" priority="582" stopIfTrue="1">
      <formula>$A27="end group"</formula>
    </cfRule>
    <cfRule type="expression" dxfId="157" priority="584" stopIfTrue="1">
      <formula>$A27="begin group"</formula>
    </cfRule>
  </conditionalFormatting>
  <conditionalFormatting sqref="D33">
    <cfRule type="expression" dxfId="156" priority="554" stopIfTrue="1">
      <formula>$A33="begin group"</formula>
    </cfRule>
  </conditionalFormatting>
  <conditionalFormatting sqref="D33">
    <cfRule type="expression" dxfId="155" priority="551" stopIfTrue="1">
      <formula>$A33="begin repeat"</formula>
    </cfRule>
  </conditionalFormatting>
  <conditionalFormatting sqref="D33">
    <cfRule type="expression" dxfId="154" priority="548" stopIfTrue="1">
      <formula>$A33="text"</formula>
    </cfRule>
  </conditionalFormatting>
  <conditionalFormatting sqref="D33">
    <cfRule type="expression" dxfId="153" priority="546" stopIfTrue="1">
      <formula>$A33="integer"</formula>
    </cfRule>
  </conditionalFormatting>
  <conditionalFormatting sqref="D33">
    <cfRule type="expression" dxfId="152" priority="544" stopIfTrue="1">
      <formula>$A33="decimal"</formula>
    </cfRule>
  </conditionalFormatting>
  <conditionalFormatting sqref="D33">
    <cfRule type="expression" dxfId="151" priority="542" stopIfTrue="1">
      <formula>OR(AND(LEFT($A33, 16)="select_multiple ", LEN($A33)&gt;16, NOT(ISNUMBER(SEARCH(" ", $A33, 17)))), AND(LEFT($A33, 11)="select_one ", LEN($A33)&gt;11, NOT(ISNUMBER(SEARCH(" ", $A33, 12)))))</formula>
    </cfRule>
  </conditionalFormatting>
  <conditionalFormatting sqref="D33">
    <cfRule type="expression" dxfId="150" priority="534" stopIfTrue="1">
      <formula>$A33="note"</formula>
    </cfRule>
    <cfRule type="expression" dxfId="149" priority="536" stopIfTrue="1">
      <formula>$A33="barcode"</formula>
    </cfRule>
    <cfRule type="expression" dxfId="148" priority="538" stopIfTrue="1">
      <formula>$A33="geopoint"</formula>
    </cfRule>
  </conditionalFormatting>
  <conditionalFormatting sqref="D33">
    <cfRule type="expression" dxfId="147" priority="531" stopIfTrue="1">
      <formula>OR($A33="date", $A33="datetime")</formula>
    </cfRule>
  </conditionalFormatting>
  <conditionalFormatting sqref="D33">
    <cfRule type="expression" dxfId="146" priority="529" stopIfTrue="1">
      <formula>$A33="image"</formula>
    </cfRule>
  </conditionalFormatting>
  <conditionalFormatting sqref="D33">
    <cfRule type="expression" dxfId="145" priority="527" stopIfTrue="1">
      <formula>OR($A33="audio", $A33="video")</formula>
    </cfRule>
  </conditionalFormatting>
  <conditionalFormatting sqref="D33">
    <cfRule type="expression" dxfId="144" priority="528" stopIfTrue="1">
      <formula>OR($A33="audio", $A33="video")</formula>
    </cfRule>
    <cfRule type="expression" dxfId="143" priority="530" stopIfTrue="1">
      <formula>$A33="image"</formula>
    </cfRule>
    <cfRule type="expression" dxfId="142" priority="532" stopIfTrue="1">
      <formula>OR($A33="date", $A33="datetime")</formula>
    </cfRule>
    <cfRule type="expression" dxfId="141" priority="533" stopIfTrue="1">
      <formula>OR($A33="calculate", $A33="calculate_here")</formula>
    </cfRule>
    <cfRule type="expression" dxfId="140" priority="535" stopIfTrue="1">
      <formula>$A33="note"</formula>
    </cfRule>
    <cfRule type="expression" dxfId="139" priority="537" stopIfTrue="1">
      <formula>$A33="barcode"</formula>
    </cfRule>
    <cfRule type="expression" dxfId="138" priority="539" stopIfTrue="1">
      <formula>$A33="geopoint"</formula>
    </cfRule>
    <cfRule type="expression" dxfId="137" priority="540" stopIfTrue="1">
      <formula>OR($A33="audio audit", $A33="text audit")</formula>
    </cfRule>
    <cfRule type="expression" dxfId="136" priority="541" stopIfTrue="1">
      <formula>OR($A33="username", $A33="phonenumber", $A33="start", $A33="end", $A33="deviceid", $A33="subscriberid", $A33="simserial")</formula>
    </cfRule>
    <cfRule type="expression" dxfId="135" priority="543" stopIfTrue="1">
      <formula>OR(AND(LEFT($A33, 16)="select_multiple ", LEN($A33)&gt;16, NOT(ISNUMBER(SEARCH(" ", $A33, 17)))), AND(LEFT($A33, 11)="select_one ", LEN($A33)&gt;11, NOT(ISNUMBER(SEARCH(" ", $A33, 12)))))</formula>
    </cfRule>
    <cfRule type="expression" dxfId="134" priority="545" stopIfTrue="1">
      <formula>$A33="decimal"</formula>
    </cfRule>
    <cfRule type="expression" dxfId="133" priority="547" stopIfTrue="1">
      <formula>$A33="integer"</formula>
    </cfRule>
    <cfRule type="expression" dxfId="132" priority="549" stopIfTrue="1">
      <formula>$A33="text"</formula>
    </cfRule>
    <cfRule type="expression" dxfId="131" priority="550" stopIfTrue="1">
      <formula>$A33="end repeat"</formula>
    </cfRule>
    <cfRule type="expression" dxfId="130" priority="552" stopIfTrue="1">
      <formula>$A33="begin repeat"</formula>
    </cfRule>
    <cfRule type="expression" dxfId="129" priority="553" stopIfTrue="1">
      <formula>$A33="end group"</formula>
    </cfRule>
    <cfRule type="expression" dxfId="128" priority="555" stopIfTrue="1">
      <formula>$A33="begin group"</formula>
    </cfRule>
  </conditionalFormatting>
  <conditionalFormatting sqref="B149">
    <cfRule type="duplicateValues" dxfId="127" priority="666"/>
  </conditionalFormatting>
  <conditionalFormatting sqref="B127">
    <cfRule type="duplicateValues" dxfId="126" priority="667"/>
  </conditionalFormatting>
  <conditionalFormatting sqref="B222">
    <cfRule type="duplicateValues" dxfId="125" priority="523"/>
  </conditionalFormatting>
  <conditionalFormatting sqref="B228">
    <cfRule type="duplicateValues" dxfId="124" priority="522"/>
  </conditionalFormatting>
  <conditionalFormatting sqref="B226">
    <cfRule type="duplicateValues" dxfId="123" priority="521"/>
  </conditionalFormatting>
  <conditionalFormatting sqref="B213:B221 B223:B225">
    <cfRule type="duplicateValues" dxfId="122" priority="668"/>
  </conditionalFormatting>
  <conditionalFormatting sqref="B28">
    <cfRule type="duplicateValues" dxfId="121" priority="516"/>
  </conditionalFormatting>
  <conditionalFormatting sqref="B134">
    <cfRule type="duplicateValues" dxfId="120" priority="513"/>
  </conditionalFormatting>
  <conditionalFormatting sqref="B139">
    <cfRule type="duplicateValues" dxfId="119" priority="512"/>
  </conditionalFormatting>
  <conditionalFormatting sqref="B161">
    <cfRule type="duplicateValues" dxfId="118" priority="511"/>
  </conditionalFormatting>
  <conditionalFormatting sqref="B177">
    <cfRule type="duplicateValues" dxfId="117" priority="510"/>
  </conditionalFormatting>
  <conditionalFormatting sqref="B48">
    <cfRule type="duplicateValues" dxfId="116" priority="670"/>
  </conditionalFormatting>
  <conditionalFormatting sqref="B49">
    <cfRule type="duplicateValues" dxfId="115" priority="672"/>
  </conditionalFormatting>
  <conditionalFormatting sqref="B34:B35">
    <cfRule type="duplicateValues" dxfId="114" priority="509"/>
  </conditionalFormatting>
  <conditionalFormatting sqref="D34:D35">
    <cfRule type="expression" dxfId="113" priority="507" stopIfTrue="1">
      <formula>$A34="begin group"</formula>
    </cfRule>
  </conditionalFormatting>
  <conditionalFormatting sqref="D34:D35">
    <cfRule type="expression" dxfId="112" priority="504" stopIfTrue="1">
      <formula>$A34="begin repeat"</formula>
    </cfRule>
  </conditionalFormatting>
  <conditionalFormatting sqref="D34:D35">
    <cfRule type="expression" dxfId="111" priority="501" stopIfTrue="1">
      <formula>$A34="text"</formula>
    </cfRule>
  </conditionalFormatting>
  <conditionalFormatting sqref="D34:D35">
    <cfRule type="expression" dxfId="110" priority="499" stopIfTrue="1">
      <formula>$A34="integer"</formula>
    </cfRule>
  </conditionalFormatting>
  <conditionalFormatting sqref="D34:D35">
    <cfRule type="expression" dxfId="109" priority="497" stopIfTrue="1">
      <formula>$A34="decimal"</formula>
    </cfRule>
  </conditionalFormatting>
  <conditionalFormatting sqref="D34:D35">
    <cfRule type="expression" dxfId="108" priority="495" stopIfTrue="1">
      <formula>OR(AND(LEFT($A34, 16)="select_multiple ", LEN($A34)&gt;16, NOT(ISNUMBER(SEARCH(" ", $A34, 17)))), AND(LEFT($A34, 11)="select_one ", LEN($A34)&gt;11, NOT(ISNUMBER(SEARCH(" ", $A34, 12)))))</formula>
    </cfRule>
  </conditionalFormatting>
  <conditionalFormatting sqref="D34:D35">
    <cfRule type="expression" dxfId="107" priority="487" stopIfTrue="1">
      <formula>$A34="note"</formula>
    </cfRule>
    <cfRule type="expression" dxfId="106" priority="489" stopIfTrue="1">
      <formula>$A34="barcode"</formula>
    </cfRule>
    <cfRule type="expression" dxfId="105" priority="491" stopIfTrue="1">
      <formula>$A34="geopoint"</formula>
    </cfRule>
  </conditionalFormatting>
  <conditionalFormatting sqref="D34:D35">
    <cfRule type="expression" dxfId="104" priority="484" stopIfTrue="1">
      <formula>OR($A34="date", $A34="datetime")</formula>
    </cfRule>
  </conditionalFormatting>
  <conditionalFormatting sqref="D34:D35">
    <cfRule type="expression" dxfId="103" priority="482" stopIfTrue="1">
      <formula>$A34="image"</formula>
    </cfRule>
  </conditionalFormatting>
  <conditionalFormatting sqref="D34:D35">
    <cfRule type="expression" dxfId="102" priority="480" stopIfTrue="1">
      <formula>OR($A34="audio", $A34="video")</formula>
    </cfRule>
  </conditionalFormatting>
  <conditionalFormatting sqref="D34:D35">
    <cfRule type="expression" dxfId="101" priority="481" stopIfTrue="1">
      <formula>OR($A34="audio", $A34="video")</formula>
    </cfRule>
    <cfRule type="expression" dxfId="100" priority="483" stopIfTrue="1">
      <formula>$A34="image"</formula>
    </cfRule>
    <cfRule type="expression" dxfId="99" priority="485" stopIfTrue="1">
      <formula>OR($A34="date", $A34="datetime")</formula>
    </cfRule>
    <cfRule type="expression" dxfId="98" priority="486" stopIfTrue="1">
      <formula>OR($A34="calculate", $A34="calculate_here")</formula>
    </cfRule>
    <cfRule type="expression" dxfId="97" priority="488" stopIfTrue="1">
      <formula>$A34="note"</formula>
    </cfRule>
    <cfRule type="expression" dxfId="96" priority="490" stopIfTrue="1">
      <formula>$A34="barcode"</formula>
    </cfRule>
    <cfRule type="expression" dxfId="95" priority="492" stopIfTrue="1">
      <formula>$A34="geopoint"</formula>
    </cfRule>
    <cfRule type="expression" dxfId="94" priority="493" stopIfTrue="1">
      <formula>OR($A34="audio audit", $A34="text audit")</formula>
    </cfRule>
    <cfRule type="expression" dxfId="93" priority="494" stopIfTrue="1">
      <formula>OR($A34="username", $A34="phonenumber", $A34="start", $A34="end", $A34="deviceid", $A34="subscriberid", $A34="simserial")</formula>
    </cfRule>
    <cfRule type="expression" dxfId="92" priority="496" stopIfTrue="1">
      <formula>OR(AND(LEFT($A34, 16)="select_multiple ", LEN($A34)&gt;16, NOT(ISNUMBER(SEARCH(" ", $A34, 17)))), AND(LEFT($A34, 11)="select_one ", LEN($A34)&gt;11, NOT(ISNUMBER(SEARCH(" ", $A34, 12)))))</formula>
    </cfRule>
    <cfRule type="expression" dxfId="91" priority="498" stopIfTrue="1">
      <formula>$A34="decimal"</formula>
    </cfRule>
    <cfRule type="expression" dxfId="90" priority="500" stopIfTrue="1">
      <formula>$A34="integer"</formula>
    </cfRule>
    <cfRule type="expression" dxfId="89" priority="502" stopIfTrue="1">
      <formula>$A34="text"</formula>
    </cfRule>
    <cfRule type="expression" dxfId="88" priority="503" stopIfTrue="1">
      <formula>$A34="end repeat"</formula>
    </cfRule>
    <cfRule type="expression" dxfId="87" priority="505" stopIfTrue="1">
      <formula>$A34="begin repeat"</formula>
    </cfRule>
    <cfRule type="expression" dxfId="86" priority="506" stopIfTrue="1">
      <formula>$A34="end group"</formula>
    </cfRule>
    <cfRule type="expression" dxfId="85" priority="508" stopIfTrue="1">
      <formula>$A34="begin group"</formula>
    </cfRule>
  </conditionalFormatting>
  <conditionalFormatting sqref="B95">
    <cfRule type="duplicateValues" dxfId="84" priority="476"/>
  </conditionalFormatting>
  <conditionalFormatting sqref="B122">
    <cfRule type="duplicateValues" dxfId="83" priority="475"/>
  </conditionalFormatting>
  <conditionalFormatting sqref="B128">
    <cfRule type="duplicateValues" dxfId="82" priority="474"/>
  </conditionalFormatting>
  <conditionalFormatting sqref="B146">
    <cfRule type="duplicateValues" dxfId="81" priority="473"/>
  </conditionalFormatting>
  <conditionalFormatting sqref="B150">
    <cfRule type="duplicateValues" dxfId="80" priority="472"/>
  </conditionalFormatting>
  <conditionalFormatting sqref="B169">
    <cfRule type="duplicateValues" dxfId="79" priority="471"/>
  </conditionalFormatting>
  <conditionalFormatting sqref="B237">
    <cfRule type="duplicateValues" dxfId="78" priority="470"/>
  </conditionalFormatting>
  <conditionalFormatting sqref="B114">
    <cfRule type="duplicateValues" dxfId="77" priority="469"/>
  </conditionalFormatting>
  <conditionalFormatting sqref="B125">
    <cfRule type="duplicateValues" dxfId="76" priority="465"/>
  </conditionalFormatting>
  <conditionalFormatting sqref="B253">
    <cfRule type="duplicateValues" dxfId="75" priority="433"/>
  </conditionalFormatting>
  <conditionalFormatting sqref="B130:B131">
    <cfRule type="duplicateValues" dxfId="74" priority="709"/>
  </conditionalFormatting>
  <conditionalFormatting sqref="B235">
    <cfRule type="duplicateValues" dxfId="73" priority="432"/>
  </conditionalFormatting>
  <conditionalFormatting sqref="B76">
    <cfRule type="duplicateValues" dxfId="72" priority="791"/>
  </conditionalFormatting>
  <conditionalFormatting sqref="B88">
    <cfRule type="duplicateValues" dxfId="71" priority="829"/>
  </conditionalFormatting>
  <conditionalFormatting sqref="B68">
    <cfRule type="duplicateValues" dxfId="70" priority="296"/>
  </conditionalFormatting>
  <conditionalFormatting sqref="B67">
    <cfRule type="duplicateValues" dxfId="69" priority="294"/>
  </conditionalFormatting>
  <conditionalFormatting sqref="B80">
    <cfRule type="duplicateValues" dxfId="68" priority="288"/>
  </conditionalFormatting>
  <conditionalFormatting sqref="B79">
    <cfRule type="duplicateValues" dxfId="67" priority="287"/>
  </conditionalFormatting>
  <conditionalFormatting sqref="B92">
    <cfRule type="duplicateValues" dxfId="66" priority="286"/>
  </conditionalFormatting>
  <conditionalFormatting sqref="B91">
    <cfRule type="duplicateValues" dxfId="65" priority="285"/>
  </conditionalFormatting>
  <conditionalFormatting sqref="B93">
    <cfRule type="duplicateValues" dxfId="64" priority="283"/>
  </conditionalFormatting>
  <conditionalFormatting sqref="B94">
    <cfRule type="duplicateValues" dxfId="63" priority="284"/>
  </conditionalFormatting>
  <conditionalFormatting sqref="B110">
    <cfRule type="duplicateValues" dxfId="62" priority="280"/>
  </conditionalFormatting>
  <conditionalFormatting sqref="C39:C40">
    <cfRule type="duplicateValues" dxfId="61" priority="935"/>
  </conditionalFormatting>
  <conditionalFormatting sqref="C66 C69">
    <cfRule type="duplicateValues" dxfId="60" priority="936"/>
  </conditionalFormatting>
  <conditionalFormatting sqref="C78 C81">
    <cfRule type="duplicateValues" dxfId="59" priority="938"/>
  </conditionalFormatting>
  <conditionalFormatting sqref="C90">
    <cfRule type="duplicateValues" dxfId="58" priority="940"/>
  </conditionalFormatting>
  <conditionalFormatting sqref="C97">
    <cfRule type="duplicateValues" dxfId="57" priority="941"/>
  </conditionalFormatting>
  <conditionalFormatting sqref="C115:C117">
    <cfRule type="duplicateValues" dxfId="56" priority="942"/>
  </conditionalFormatting>
  <conditionalFormatting sqref="C173">
    <cfRule type="duplicateValues" dxfId="55" priority="943"/>
  </conditionalFormatting>
  <conditionalFormatting sqref="C185">
    <cfRule type="duplicateValues" dxfId="54" priority="944"/>
  </conditionalFormatting>
  <conditionalFormatting sqref="C186">
    <cfRule type="duplicateValues" dxfId="53" priority="945"/>
  </conditionalFormatting>
  <conditionalFormatting sqref="C188">
    <cfRule type="duplicateValues" dxfId="52" priority="946"/>
  </conditionalFormatting>
  <conditionalFormatting sqref="C190">
    <cfRule type="duplicateValues" dxfId="51" priority="947"/>
  </conditionalFormatting>
  <conditionalFormatting sqref="C212">
    <cfRule type="duplicateValues" dxfId="50" priority="948"/>
  </conditionalFormatting>
  <conditionalFormatting sqref="C56">
    <cfRule type="duplicateValues" dxfId="49" priority="949"/>
  </conditionalFormatting>
  <conditionalFormatting sqref="C57">
    <cfRule type="duplicateValues" dxfId="48" priority="950"/>
  </conditionalFormatting>
  <conditionalFormatting sqref="C50:C51">
    <cfRule type="duplicateValues" dxfId="47" priority="951"/>
  </conditionalFormatting>
  <conditionalFormatting sqref="C54:C55">
    <cfRule type="duplicateValues" dxfId="46" priority="952"/>
  </conditionalFormatting>
  <conditionalFormatting sqref="C126">
    <cfRule type="duplicateValues" dxfId="45" priority="953"/>
  </conditionalFormatting>
  <conditionalFormatting sqref="B227 C213:C221 C223:C225">
    <cfRule type="duplicateValues" dxfId="44" priority="954"/>
  </conditionalFormatting>
  <conditionalFormatting sqref="C149">
    <cfRule type="duplicateValues" dxfId="43" priority="957"/>
  </conditionalFormatting>
  <conditionalFormatting sqref="C127">
    <cfRule type="duplicateValues" dxfId="42" priority="958"/>
  </conditionalFormatting>
  <conditionalFormatting sqref="C222">
    <cfRule type="duplicateValues" dxfId="41" priority="959"/>
  </conditionalFormatting>
  <conditionalFormatting sqref="C227">
    <cfRule type="duplicateValues" dxfId="40" priority="960"/>
  </conditionalFormatting>
  <conditionalFormatting sqref="C228">
    <cfRule type="duplicateValues" dxfId="39" priority="961"/>
  </conditionalFormatting>
  <conditionalFormatting sqref="C226">
    <cfRule type="duplicateValues" dxfId="38" priority="962"/>
  </conditionalFormatting>
  <conditionalFormatting sqref="C27">
    <cfRule type="duplicateValues" dxfId="37" priority="963"/>
  </conditionalFormatting>
  <conditionalFormatting sqref="C28">
    <cfRule type="duplicateValues" dxfId="36" priority="964"/>
  </conditionalFormatting>
  <conditionalFormatting sqref="C29:C30 C32:C33">
    <cfRule type="duplicateValues" dxfId="35" priority="965"/>
  </conditionalFormatting>
  <conditionalFormatting sqref="C48">
    <cfRule type="duplicateValues" dxfId="34" priority="967"/>
  </conditionalFormatting>
  <conditionalFormatting sqref="C49">
    <cfRule type="duplicateValues" dxfId="33" priority="968"/>
  </conditionalFormatting>
  <conditionalFormatting sqref="C34:C35">
    <cfRule type="duplicateValues" dxfId="32" priority="969"/>
  </conditionalFormatting>
  <conditionalFormatting sqref="C31">
    <cfRule type="duplicateValues" dxfId="31" priority="970"/>
  </conditionalFormatting>
  <conditionalFormatting sqref="C114">
    <cfRule type="duplicateValues" dxfId="30" priority="971"/>
  </conditionalFormatting>
  <conditionalFormatting sqref="C110">
    <cfRule type="duplicateValues" dxfId="29" priority="972"/>
  </conditionalFormatting>
  <conditionalFormatting sqref="C130">
    <cfRule type="duplicateValues" dxfId="28" priority="973"/>
  </conditionalFormatting>
  <conditionalFormatting sqref="C64">
    <cfRule type="duplicateValues" dxfId="27" priority="975"/>
  </conditionalFormatting>
  <conditionalFormatting sqref="C76">
    <cfRule type="duplicateValues" dxfId="26" priority="977"/>
  </conditionalFormatting>
  <conditionalFormatting sqref="C88">
    <cfRule type="duplicateValues" dxfId="25" priority="979"/>
  </conditionalFormatting>
  <conditionalFormatting sqref="C92">
    <cfRule type="duplicateValues" dxfId="24" priority="980"/>
  </conditionalFormatting>
  <conditionalFormatting sqref="C91">
    <cfRule type="duplicateValues" dxfId="23" priority="981"/>
  </conditionalFormatting>
  <conditionalFormatting sqref="C68">
    <cfRule type="duplicateValues" dxfId="22" priority="982"/>
  </conditionalFormatting>
  <conditionalFormatting sqref="C67">
    <cfRule type="duplicateValues" dxfId="21" priority="983"/>
  </conditionalFormatting>
  <conditionalFormatting sqref="C80">
    <cfRule type="duplicateValues" dxfId="20" priority="984"/>
  </conditionalFormatting>
  <conditionalFormatting sqref="C79">
    <cfRule type="duplicateValues" dxfId="19" priority="985"/>
  </conditionalFormatting>
  <conditionalFormatting sqref="C93">
    <cfRule type="duplicateValues" dxfId="18" priority="986"/>
  </conditionalFormatting>
  <conditionalFormatting sqref="B36:B37">
    <cfRule type="duplicateValues" dxfId="17" priority="279"/>
  </conditionalFormatting>
  <conditionalFormatting sqref="B61:B63">
    <cfRule type="duplicateValues" dxfId="16" priority="278"/>
  </conditionalFormatting>
  <conditionalFormatting sqref="C63">
    <cfRule type="duplicateValues" dxfId="15" priority="277"/>
  </conditionalFormatting>
  <conditionalFormatting sqref="C61">
    <cfRule type="duplicateValues" dxfId="14" priority="276"/>
  </conditionalFormatting>
  <conditionalFormatting sqref="C62">
    <cfRule type="duplicateValues" dxfId="13" priority="275"/>
  </conditionalFormatting>
  <conditionalFormatting sqref="B73:B75">
    <cfRule type="duplicateValues" dxfId="12" priority="274"/>
  </conditionalFormatting>
  <conditionalFormatting sqref="C75">
    <cfRule type="duplicateValues" dxfId="11" priority="273"/>
  </conditionalFormatting>
  <conditionalFormatting sqref="C73">
    <cfRule type="duplicateValues" dxfId="10" priority="272"/>
  </conditionalFormatting>
  <conditionalFormatting sqref="C74">
    <cfRule type="duplicateValues" dxfId="9" priority="271"/>
  </conditionalFormatting>
  <conditionalFormatting sqref="B85:B87">
    <cfRule type="duplicateValues" dxfId="8" priority="270"/>
  </conditionalFormatting>
  <conditionalFormatting sqref="C85:C87">
    <cfRule type="duplicateValues" dxfId="7" priority="269"/>
  </conditionalFormatting>
  <conditionalFormatting sqref="B38">
    <cfRule type="duplicateValues" dxfId="6" priority="268"/>
  </conditionalFormatting>
  <conditionalFormatting sqref="B136">
    <cfRule type="duplicateValues" dxfId="5" priority="267"/>
  </conditionalFormatting>
  <conditionalFormatting sqref="C179">
    <cfRule type="duplicateValues" dxfId="4" priority="61"/>
  </conditionalFormatting>
  <conditionalFormatting sqref="B15">
    <cfRule type="duplicateValues" dxfId="3" priority="1"/>
  </conditionalFormatting>
  <conditionalFormatting sqref="B15">
    <cfRule type="duplicateValues" dxfId="2" priority="2"/>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activeCell="D69" sqref="D69"/>
      <selection pane="bottomLeft" activeCell="C4" sqref="C4"/>
    </sheetView>
  </sheetViews>
  <sheetFormatPr baseColWidth="10" defaultColWidth="10.83203125" defaultRowHeight="15" x14ac:dyDescent="0.2"/>
  <cols>
    <col min="1" max="2" width="10.83203125" style="585"/>
    <col min="3" max="3" width="15.1640625" style="602" customWidth="1"/>
    <col min="4" max="4" width="10.83203125" style="603" hidden="1" customWidth="1"/>
    <col min="5" max="5" width="10.83203125" style="603"/>
    <col min="6" max="6" width="41.6640625" style="585" customWidth="1"/>
    <col min="7" max="7" width="46.6640625" style="604" customWidth="1"/>
    <col min="8" max="16384" width="10.83203125" style="585"/>
  </cols>
  <sheetData>
    <row r="2" spans="2:7" x14ac:dyDescent="0.2">
      <c r="C2" s="586"/>
      <c r="D2" s="587"/>
      <c r="E2" s="587"/>
      <c r="F2" s="588"/>
      <c r="G2" s="589"/>
    </row>
    <row r="3" spans="2:7" ht="32" x14ac:dyDescent="0.2">
      <c r="B3" s="590"/>
      <c r="C3" s="591" t="s">
        <v>430</v>
      </c>
      <c r="D3" s="592" t="s">
        <v>431</v>
      </c>
      <c r="E3" s="592" t="s">
        <v>432</v>
      </c>
      <c r="F3" s="592" t="s">
        <v>433</v>
      </c>
      <c r="G3" s="591" t="s">
        <v>983</v>
      </c>
    </row>
    <row r="4" spans="2:7" ht="16" x14ac:dyDescent="0.2">
      <c r="B4" s="590"/>
      <c r="C4" s="564"/>
      <c r="D4" s="593" cm="1">
        <f t="array" ref="D4:D93">_xlfn.SEQUENCE(90,1,1,1)</f>
        <v>1</v>
      </c>
      <c r="E4" s="594" t="s">
        <v>434</v>
      </c>
      <c r="F4" s="593" t="s">
        <v>435</v>
      </c>
      <c r="G4" s="595" t="s">
        <v>984</v>
      </c>
    </row>
    <row r="5" spans="2:7" ht="16" x14ac:dyDescent="0.2">
      <c r="B5" s="590"/>
      <c r="C5" s="564"/>
      <c r="D5" s="593">
        <v>2</v>
      </c>
      <c r="E5" s="594" t="s">
        <v>436</v>
      </c>
      <c r="F5" s="593" t="s">
        <v>437</v>
      </c>
      <c r="G5" s="595" t="s">
        <v>985</v>
      </c>
    </row>
    <row r="6" spans="2:7" ht="16" x14ac:dyDescent="0.2">
      <c r="B6" s="590"/>
      <c r="C6" s="564"/>
      <c r="D6" s="593">
        <v>3</v>
      </c>
      <c r="E6" s="594" t="s">
        <v>438</v>
      </c>
      <c r="F6" s="593" t="s">
        <v>439</v>
      </c>
      <c r="G6" s="595" t="s">
        <v>986</v>
      </c>
    </row>
    <row r="7" spans="2:7" ht="16" x14ac:dyDescent="0.2">
      <c r="B7" s="590"/>
      <c r="C7" s="564"/>
      <c r="D7" s="593">
        <v>4</v>
      </c>
      <c r="E7" s="594" t="s">
        <v>440</v>
      </c>
      <c r="F7" s="593" t="s">
        <v>441</v>
      </c>
      <c r="G7" s="595" t="s">
        <v>987</v>
      </c>
    </row>
    <row r="8" spans="2:7" ht="16" x14ac:dyDescent="0.2">
      <c r="B8" s="590"/>
      <c r="C8" s="564"/>
      <c r="D8" s="593">
        <v>5</v>
      </c>
      <c r="E8" s="594" t="s">
        <v>442</v>
      </c>
      <c r="F8" s="593" t="s">
        <v>443</v>
      </c>
      <c r="G8" s="595" t="s">
        <v>988</v>
      </c>
    </row>
    <row r="9" spans="2:7" ht="16" x14ac:dyDescent="0.2">
      <c r="B9" s="590"/>
      <c r="C9" s="564"/>
      <c r="D9" s="593">
        <v>6</v>
      </c>
      <c r="E9" s="594" t="s">
        <v>444</v>
      </c>
      <c r="F9" s="593" t="s">
        <v>445</v>
      </c>
      <c r="G9" s="595" t="s">
        <v>989</v>
      </c>
    </row>
    <row r="10" spans="2:7" ht="16" x14ac:dyDescent="0.2">
      <c r="B10" s="590"/>
      <c r="C10" s="347"/>
      <c r="D10" s="593">
        <v>7</v>
      </c>
      <c r="E10" s="594" t="s">
        <v>446</v>
      </c>
      <c r="F10" s="596" t="s">
        <v>447</v>
      </c>
      <c r="G10" s="597" t="s">
        <v>990</v>
      </c>
    </row>
    <row r="11" spans="2:7" ht="16" x14ac:dyDescent="0.2">
      <c r="B11" s="590"/>
      <c r="C11" s="564"/>
      <c r="D11" s="593">
        <v>8</v>
      </c>
      <c r="E11" s="594" t="s">
        <v>448</v>
      </c>
      <c r="F11" s="593" t="s">
        <v>449</v>
      </c>
      <c r="G11" s="595" t="s">
        <v>991</v>
      </c>
    </row>
    <row r="12" spans="2:7" ht="16" x14ac:dyDescent="0.2">
      <c r="B12" s="590"/>
      <c r="C12" s="564"/>
      <c r="D12" s="593">
        <v>9</v>
      </c>
      <c r="E12" s="594" t="s">
        <v>450</v>
      </c>
      <c r="F12" s="593" t="s">
        <v>451</v>
      </c>
      <c r="G12" s="595" t="s">
        <v>992</v>
      </c>
    </row>
    <row r="13" spans="2:7" ht="16" x14ac:dyDescent="0.2">
      <c r="B13" s="590"/>
      <c r="C13" s="564"/>
      <c r="D13" s="593">
        <v>10</v>
      </c>
      <c r="E13" s="594" t="s">
        <v>452</v>
      </c>
      <c r="F13" s="593" t="s">
        <v>453</v>
      </c>
      <c r="G13" s="595" t="s">
        <v>993</v>
      </c>
    </row>
    <row r="14" spans="2:7" ht="16" x14ac:dyDescent="0.2">
      <c r="B14" s="590"/>
      <c r="C14" s="564"/>
      <c r="D14" s="593">
        <v>11</v>
      </c>
      <c r="E14" s="594" t="s">
        <v>454</v>
      </c>
      <c r="F14" s="593" t="s">
        <v>455</v>
      </c>
      <c r="G14" s="595" t="s">
        <v>994</v>
      </c>
    </row>
    <row r="15" spans="2:7" ht="16" x14ac:dyDescent="0.2">
      <c r="B15" s="590"/>
      <c r="C15" s="564"/>
      <c r="D15" s="593">
        <v>12</v>
      </c>
      <c r="E15" s="594" t="s">
        <v>456</v>
      </c>
      <c r="F15" s="593" t="s">
        <v>457</v>
      </c>
      <c r="G15" s="595" t="s">
        <v>995</v>
      </c>
    </row>
    <row r="16" spans="2:7" ht="16" x14ac:dyDescent="0.2">
      <c r="B16" s="590"/>
      <c r="C16" s="564"/>
      <c r="D16" s="593">
        <v>13</v>
      </c>
      <c r="E16" s="594" t="s">
        <v>458</v>
      </c>
      <c r="F16" s="593" t="s">
        <v>459</v>
      </c>
      <c r="G16" s="595" t="s">
        <v>459</v>
      </c>
    </row>
    <row r="17" spans="2:7" ht="16" x14ac:dyDescent="0.2">
      <c r="B17" s="590"/>
      <c r="C17" s="347"/>
      <c r="D17" s="593">
        <v>14</v>
      </c>
      <c r="E17" s="594" t="s">
        <v>460</v>
      </c>
      <c r="F17" s="596" t="s">
        <v>461</v>
      </c>
      <c r="G17" s="597" t="s">
        <v>996</v>
      </c>
    </row>
    <row r="18" spans="2:7" ht="16" x14ac:dyDescent="0.2">
      <c r="B18" s="590"/>
      <c r="C18" s="564"/>
      <c r="D18" s="593">
        <v>15</v>
      </c>
      <c r="E18" s="594" t="s">
        <v>462</v>
      </c>
      <c r="F18" s="593" t="s">
        <v>463</v>
      </c>
      <c r="G18" s="595" t="s">
        <v>997</v>
      </c>
    </row>
    <row r="19" spans="2:7" ht="16" x14ac:dyDescent="0.2">
      <c r="B19" s="590"/>
      <c r="C19" s="564"/>
      <c r="D19" s="593">
        <v>16</v>
      </c>
      <c r="E19" s="594" t="s">
        <v>464</v>
      </c>
      <c r="F19" s="593" t="s">
        <v>465</v>
      </c>
      <c r="G19" s="595" t="s">
        <v>998</v>
      </c>
    </row>
    <row r="20" spans="2:7" ht="16" x14ac:dyDescent="0.2">
      <c r="B20" s="590"/>
      <c r="C20" s="564"/>
      <c r="D20" s="593">
        <v>17</v>
      </c>
      <c r="E20" s="594" t="s">
        <v>466</v>
      </c>
      <c r="F20" s="593" t="s">
        <v>467</v>
      </c>
      <c r="G20" s="595" t="s">
        <v>999</v>
      </c>
    </row>
    <row r="21" spans="2:7" ht="16" x14ac:dyDescent="0.2">
      <c r="B21" s="590"/>
      <c r="C21" s="564"/>
      <c r="D21" s="593">
        <v>18</v>
      </c>
      <c r="E21" s="594" t="s">
        <v>468</v>
      </c>
      <c r="F21" s="593" t="s">
        <v>469</v>
      </c>
      <c r="G21" s="595" t="s">
        <v>975</v>
      </c>
    </row>
    <row r="22" spans="2:7" ht="16" x14ac:dyDescent="0.2">
      <c r="B22" s="590"/>
      <c r="C22" s="564"/>
      <c r="D22" s="593">
        <v>19</v>
      </c>
      <c r="E22" s="594" t="s">
        <v>470</v>
      </c>
      <c r="F22" s="593" t="s">
        <v>471</v>
      </c>
      <c r="G22" s="595" t="s">
        <v>1000</v>
      </c>
    </row>
    <row r="23" spans="2:7" ht="16" x14ac:dyDescent="0.2">
      <c r="B23" s="590"/>
      <c r="C23" s="564"/>
      <c r="D23" s="593">
        <v>20</v>
      </c>
      <c r="E23" s="594" t="s">
        <v>472</v>
      </c>
      <c r="F23" s="593" t="s">
        <v>473</v>
      </c>
      <c r="G23" s="595" t="s">
        <v>1001</v>
      </c>
    </row>
    <row r="24" spans="2:7" ht="16" x14ac:dyDescent="0.2">
      <c r="B24" s="590"/>
      <c r="C24" s="564"/>
      <c r="D24" s="593">
        <v>21</v>
      </c>
      <c r="E24" s="594" t="s">
        <v>474</v>
      </c>
      <c r="F24" s="593" t="s">
        <v>475</v>
      </c>
      <c r="G24" s="595" t="s">
        <v>1001</v>
      </c>
    </row>
    <row r="25" spans="2:7" ht="16" x14ac:dyDescent="0.2">
      <c r="B25" s="590"/>
      <c r="C25" s="347"/>
      <c r="D25" s="593">
        <v>22</v>
      </c>
      <c r="E25" s="594" t="s">
        <v>476</v>
      </c>
      <c r="F25" s="596" t="s">
        <v>477</v>
      </c>
      <c r="G25" s="597" t="s">
        <v>1002</v>
      </c>
    </row>
    <row r="26" spans="2:7" ht="16" x14ac:dyDescent="0.2">
      <c r="B26" s="590"/>
      <c r="C26" s="564"/>
      <c r="D26" s="593">
        <v>23</v>
      </c>
      <c r="E26" s="594" t="s">
        <v>478</v>
      </c>
      <c r="F26" s="593" t="s">
        <v>479</v>
      </c>
      <c r="G26" s="595" t="s">
        <v>1003</v>
      </c>
    </row>
    <row r="27" spans="2:7" ht="16" x14ac:dyDescent="0.2">
      <c r="B27" s="590"/>
      <c r="C27" s="564"/>
      <c r="D27" s="593">
        <v>24</v>
      </c>
      <c r="E27" s="594" t="s">
        <v>480</v>
      </c>
      <c r="F27" s="593" t="s">
        <v>481</v>
      </c>
      <c r="G27" s="595" t="s">
        <v>1004</v>
      </c>
    </row>
    <row r="28" spans="2:7" ht="16" x14ac:dyDescent="0.2">
      <c r="B28" s="590"/>
      <c r="C28" s="564"/>
      <c r="D28" s="593">
        <v>25</v>
      </c>
      <c r="E28" s="594" t="s">
        <v>482</v>
      </c>
      <c r="F28" s="593" t="s">
        <v>483</v>
      </c>
      <c r="G28" s="595" t="s">
        <v>1005</v>
      </c>
    </row>
    <row r="29" spans="2:7" ht="16" x14ac:dyDescent="0.2">
      <c r="B29" s="590"/>
      <c r="C29" s="564"/>
      <c r="D29" s="593">
        <v>26</v>
      </c>
      <c r="E29" s="594" t="s">
        <v>484</v>
      </c>
      <c r="F29" s="593" t="s">
        <v>485</v>
      </c>
      <c r="G29" s="595" t="s">
        <v>1006</v>
      </c>
    </row>
    <row r="30" spans="2:7" ht="16" x14ac:dyDescent="0.2">
      <c r="B30" s="590"/>
      <c r="C30" s="564"/>
      <c r="D30" s="593">
        <v>27</v>
      </c>
      <c r="E30" s="594" t="s">
        <v>486</v>
      </c>
      <c r="F30" s="593" t="s">
        <v>487</v>
      </c>
      <c r="G30" s="595" t="s">
        <v>1007</v>
      </c>
    </row>
    <row r="31" spans="2:7" ht="16" x14ac:dyDescent="0.2">
      <c r="B31" s="590"/>
      <c r="C31" s="564"/>
      <c r="D31" s="593">
        <v>28</v>
      </c>
      <c r="E31" s="594" t="s">
        <v>488</v>
      </c>
      <c r="F31" s="593" t="s">
        <v>489</v>
      </c>
      <c r="G31" s="595" t="s">
        <v>489</v>
      </c>
    </row>
    <row r="32" spans="2:7" ht="16" x14ac:dyDescent="0.2">
      <c r="B32" s="590"/>
      <c r="C32" s="564"/>
      <c r="D32" s="593">
        <v>29</v>
      </c>
      <c r="E32" s="594" t="s">
        <v>490</v>
      </c>
      <c r="F32" s="593" t="s">
        <v>491</v>
      </c>
      <c r="G32" s="595" t="s">
        <v>1008</v>
      </c>
    </row>
    <row r="33" spans="2:7" ht="32" x14ac:dyDescent="0.2">
      <c r="B33" s="590"/>
      <c r="C33" s="564"/>
      <c r="D33" s="593">
        <v>30</v>
      </c>
      <c r="E33" s="594" t="s">
        <v>492</v>
      </c>
      <c r="F33" s="593" t="s">
        <v>828</v>
      </c>
      <c r="G33" s="595" t="s">
        <v>1009</v>
      </c>
    </row>
    <row r="34" spans="2:7" ht="16" x14ac:dyDescent="0.2">
      <c r="B34" s="590"/>
      <c r="C34" s="564"/>
      <c r="D34" s="593">
        <v>31</v>
      </c>
      <c r="E34" s="594" t="s">
        <v>493</v>
      </c>
      <c r="F34" s="593" t="s">
        <v>494</v>
      </c>
      <c r="G34" s="595" t="s">
        <v>1010</v>
      </c>
    </row>
    <row r="35" spans="2:7" ht="16" x14ac:dyDescent="0.2">
      <c r="B35" s="590"/>
      <c r="C35" s="347"/>
      <c r="D35" s="593">
        <v>32</v>
      </c>
      <c r="E35" s="594" t="s">
        <v>495</v>
      </c>
      <c r="F35" s="596" t="s">
        <v>496</v>
      </c>
      <c r="G35" s="597" t="s">
        <v>1011</v>
      </c>
    </row>
    <row r="36" spans="2:7" ht="16" x14ac:dyDescent="0.2">
      <c r="B36" s="590"/>
      <c r="C36" s="564"/>
      <c r="D36" s="593">
        <v>33</v>
      </c>
      <c r="E36" s="594" t="s">
        <v>497</v>
      </c>
      <c r="F36" s="593" t="s">
        <v>498</v>
      </c>
      <c r="G36" s="595" t="s">
        <v>976</v>
      </c>
    </row>
    <row r="37" spans="2:7" ht="16" x14ac:dyDescent="0.2">
      <c r="B37" s="590"/>
      <c r="C37" s="564"/>
      <c r="D37" s="593">
        <v>34</v>
      </c>
      <c r="E37" s="594" t="s">
        <v>499</v>
      </c>
      <c r="F37" s="593" t="s">
        <v>500</v>
      </c>
      <c r="G37" s="595" t="s">
        <v>1012</v>
      </c>
    </row>
    <row r="38" spans="2:7" ht="16" x14ac:dyDescent="0.2">
      <c r="B38" s="590"/>
      <c r="C38" s="564"/>
      <c r="D38" s="593">
        <v>35</v>
      </c>
      <c r="E38" s="594" t="s">
        <v>501</v>
      </c>
      <c r="F38" s="593" t="s">
        <v>502</v>
      </c>
      <c r="G38" s="595" t="s">
        <v>1013</v>
      </c>
    </row>
    <row r="39" spans="2:7" ht="16" x14ac:dyDescent="0.2">
      <c r="B39" s="590"/>
      <c r="C39" s="564"/>
      <c r="D39" s="593">
        <v>36</v>
      </c>
      <c r="E39" s="594" t="s">
        <v>503</v>
      </c>
      <c r="F39" s="593" t="s">
        <v>504</v>
      </c>
      <c r="G39" s="595" t="s">
        <v>1014</v>
      </c>
    </row>
    <row r="40" spans="2:7" ht="16" x14ac:dyDescent="0.2">
      <c r="B40" s="590"/>
      <c r="C40" s="564"/>
      <c r="D40" s="593">
        <v>37</v>
      </c>
      <c r="E40" s="594" t="s">
        <v>505</v>
      </c>
      <c r="F40" s="593" t="s">
        <v>506</v>
      </c>
      <c r="G40" s="595" t="s">
        <v>1015</v>
      </c>
    </row>
    <row r="41" spans="2:7" ht="16" x14ac:dyDescent="0.2">
      <c r="B41" s="590"/>
      <c r="C41" s="564"/>
      <c r="D41" s="593">
        <v>38</v>
      </c>
      <c r="E41" s="594" t="s">
        <v>507</v>
      </c>
      <c r="F41" s="593" t="s">
        <v>508</v>
      </c>
      <c r="G41" s="595" t="s">
        <v>508</v>
      </c>
    </row>
    <row r="42" spans="2:7" ht="16" x14ac:dyDescent="0.2">
      <c r="B42" s="590"/>
      <c r="C42" s="564"/>
      <c r="D42" s="593">
        <v>39</v>
      </c>
      <c r="E42" s="594" t="s">
        <v>509</v>
      </c>
      <c r="F42" s="593" t="s">
        <v>510</v>
      </c>
      <c r="G42" s="595" t="s">
        <v>1016</v>
      </c>
    </row>
    <row r="43" spans="2:7" ht="16" x14ac:dyDescent="0.2">
      <c r="B43" s="590"/>
      <c r="C43" s="564"/>
      <c r="D43" s="593">
        <v>40</v>
      </c>
      <c r="E43" s="594" t="s">
        <v>511</v>
      </c>
      <c r="F43" s="593" t="s">
        <v>512</v>
      </c>
      <c r="G43" s="595" t="s">
        <v>1017</v>
      </c>
    </row>
    <row r="44" spans="2:7" ht="16" x14ac:dyDescent="0.2">
      <c r="B44" s="590"/>
      <c r="C44" s="564"/>
      <c r="D44" s="593">
        <v>41</v>
      </c>
      <c r="E44" s="594" t="s">
        <v>513</v>
      </c>
      <c r="F44" s="593" t="s">
        <v>514</v>
      </c>
      <c r="G44" s="595" t="s">
        <v>1018</v>
      </c>
    </row>
    <row r="45" spans="2:7" ht="16" x14ac:dyDescent="0.2">
      <c r="B45" s="590"/>
      <c r="C45" s="564"/>
      <c r="D45" s="593">
        <v>42</v>
      </c>
      <c r="E45" s="594" t="s">
        <v>515</v>
      </c>
      <c r="F45" s="593" t="s">
        <v>516</v>
      </c>
      <c r="G45" s="595" t="s">
        <v>1019</v>
      </c>
    </row>
    <row r="46" spans="2:7" ht="16" x14ac:dyDescent="0.2">
      <c r="B46" s="590"/>
      <c r="C46" s="564"/>
      <c r="D46" s="593">
        <v>43</v>
      </c>
      <c r="E46" s="594" t="s">
        <v>517</v>
      </c>
      <c r="F46" s="593" t="s">
        <v>518</v>
      </c>
      <c r="G46" s="595" t="s">
        <v>1020</v>
      </c>
    </row>
    <row r="47" spans="2:7" ht="16" x14ac:dyDescent="0.2">
      <c r="B47" s="590"/>
      <c r="C47" s="347"/>
      <c r="D47" s="593">
        <v>44</v>
      </c>
      <c r="E47" s="594" t="s">
        <v>519</v>
      </c>
      <c r="F47" s="596" t="s">
        <v>520</v>
      </c>
      <c r="G47" s="597" t="s">
        <v>1021</v>
      </c>
    </row>
    <row r="48" spans="2:7" ht="16" x14ac:dyDescent="0.2">
      <c r="B48" s="590"/>
      <c r="C48" s="564"/>
      <c r="D48" s="593">
        <v>45</v>
      </c>
      <c r="E48" s="594" t="s">
        <v>521</v>
      </c>
      <c r="F48" s="593" t="s">
        <v>522</v>
      </c>
      <c r="G48" s="595" t="s">
        <v>1022</v>
      </c>
    </row>
    <row r="49" spans="2:7" ht="16" x14ac:dyDescent="0.2">
      <c r="B49" s="590"/>
      <c r="C49" s="564"/>
      <c r="D49" s="593">
        <v>46</v>
      </c>
      <c r="E49" s="594" t="s">
        <v>523</v>
      </c>
      <c r="F49" s="593" t="s">
        <v>524</v>
      </c>
      <c r="G49" s="595" t="s">
        <v>1023</v>
      </c>
    </row>
    <row r="50" spans="2:7" ht="16" x14ac:dyDescent="0.2">
      <c r="B50" s="590"/>
      <c r="C50" s="564"/>
      <c r="D50" s="593">
        <v>47</v>
      </c>
      <c r="E50" s="594" t="s">
        <v>525</v>
      </c>
      <c r="F50" s="593" t="s">
        <v>526</v>
      </c>
      <c r="G50" s="595" t="s">
        <v>1024</v>
      </c>
    </row>
    <row r="51" spans="2:7" ht="16" x14ac:dyDescent="0.2">
      <c r="B51" s="590"/>
      <c r="C51" s="564"/>
      <c r="D51" s="593">
        <v>48</v>
      </c>
      <c r="E51" s="594" t="s">
        <v>527</v>
      </c>
      <c r="F51" s="593" t="s">
        <v>528</v>
      </c>
      <c r="G51" s="595" t="s">
        <v>1025</v>
      </c>
    </row>
    <row r="52" spans="2:7" ht="16" x14ac:dyDescent="0.2">
      <c r="B52" s="590"/>
      <c r="C52" s="347"/>
      <c r="D52" s="593">
        <v>49</v>
      </c>
      <c r="E52" s="594" t="s">
        <v>529</v>
      </c>
      <c r="F52" s="596" t="s">
        <v>530</v>
      </c>
      <c r="G52" s="597" t="s">
        <v>1026</v>
      </c>
    </row>
    <row r="53" spans="2:7" ht="16" x14ac:dyDescent="0.2">
      <c r="B53" s="590"/>
      <c r="C53" s="564"/>
      <c r="D53" s="593">
        <v>50</v>
      </c>
      <c r="E53" s="594" t="s">
        <v>531</v>
      </c>
      <c r="F53" s="593" t="s">
        <v>532</v>
      </c>
      <c r="G53" s="595" t="s">
        <v>1027</v>
      </c>
    </row>
    <row r="54" spans="2:7" ht="16" x14ac:dyDescent="0.2">
      <c r="B54" s="590"/>
      <c r="C54" s="564"/>
      <c r="D54" s="593">
        <v>51</v>
      </c>
      <c r="E54" s="594" t="s">
        <v>533</v>
      </c>
      <c r="F54" s="593" t="s">
        <v>534</v>
      </c>
      <c r="G54" s="595" t="s">
        <v>1028</v>
      </c>
    </row>
    <row r="55" spans="2:7" ht="16" x14ac:dyDescent="0.2">
      <c r="B55" s="590"/>
      <c r="C55" s="564"/>
      <c r="D55" s="593">
        <v>52</v>
      </c>
      <c r="E55" s="594" t="s">
        <v>535</v>
      </c>
      <c r="F55" s="593" t="s">
        <v>536</v>
      </c>
      <c r="G55" s="595" t="s">
        <v>536</v>
      </c>
    </row>
    <row r="56" spans="2:7" ht="16" x14ac:dyDescent="0.2">
      <c r="B56" s="590"/>
      <c r="C56" s="564"/>
      <c r="D56" s="593">
        <v>53</v>
      </c>
      <c r="E56" s="594" t="s">
        <v>537</v>
      </c>
      <c r="F56" s="593" t="s">
        <v>538</v>
      </c>
      <c r="G56" s="595" t="s">
        <v>538</v>
      </c>
    </row>
    <row r="57" spans="2:7" ht="16" x14ac:dyDescent="0.2">
      <c r="B57" s="590"/>
      <c r="C57" s="564"/>
      <c r="D57" s="593">
        <v>54</v>
      </c>
      <c r="E57" s="594" t="s">
        <v>539</v>
      </c>
      <c r="F57" s="593" t="s">
        <v>540</v>
      </c>
      <c r="G57" s="595" t="s">
        <v>1029</v>
      </c>
    </row>
    <row r="58" spans="2:7" ht="16" x14ac:dyDescent="0.2">
      <c r="B58" s="590"/>
      <c r="C58" s="564"/>
      <c r="D58" s="593">
        <v>55</v>
      </c>
      <c r="E58" s="594" t="s">
        <v>541</v>
      </c>
      <c r="F58" s="593" t="s">
        <v>542</v>
      </c>
      <c r="G58" s="595" t="s">
        <v>1030</v>
      </c>
    </row>
    <row r="59" spans="2:7" ht="16" x14ac:dyDescent="0.2">
      <c r="B59" s="590"/>
      <c r="C59" s="564"/>
      <c r="D59" s="593">
        <v>56</v>
      </c>
      <c r="E59" s="594" t="s">
        <v>543</v>
      </c>
      <c r="F59" s="593" t="s">
        <v>544</v>
      </c>
      <c r="G59" s="595" t="s">
        <v>1031</v>
      </c>
    </row>
    <row r="60" spans="2:7" ht="16" x14ac:dyDescent="0.2">
      <c r="B60" s="590"/>
      <c r="C60" s="564"/>
      <c r="D60" s="593">
        <v>57</v>
      </c>
      <c r="E60" s="594" t="s">
        <v>545</v>
      </c>
      <c r="F60" s="593" t="s">
        <v>546</v>
      </c>
      <c r="G60" s="595" t="s">
        <v>1032</v>
      </c>
    </row>
    <row r="61" spans="2:7" ht="16" x14ac:dyDescent="0.2">
      <c r="B61" s="590"/>
      <c r="C61" s="564"/>
      <c r="D61" s="593">
        <v>58</v>
      </c>
      <c r="E61" s="594" t="s">
        <v>547</v>
      </c>
      <c r="F61" s="593" t="s">
        <v>548</v>
      </c>
      <c r="G61" s="595" t="s">
        <v>1033</v>
      </c>
    </row>
    <row r="62" spans="2:7" ht="16" x14ac:dyDescent="0.2">
      <c r="B62" s="590"/>
      <c r="C62" s="564"/>
      <c r="D62" s="593">
        <v>59</v>
      </c>
      <c r="E62" s="594" t="s">
        <v>549</v>
      </c>
      <c r="F62" s="593" t="s">
        <v>550</v>
      </c>
      <c r="G62" s="595" t="s">
        <v>1034</v>
      </c>
    </row>
    <row r="63" spans="2:7" ht="16" x14ac:dyDescent="0.2">
      <c r="B63" s="590"/>
      <c r="C63" s="564"/>
      <c r="D63" s="593">
        <v>60</v>
      </c>
      <c r="E63" s="594" t="s">
        <v>551</v>
      </c>
      <c r="F63" s="593" t="s">
        <v>552</v>
      </c>
      <c r="G63" s="595" t="s">
        <v>1035</v>
      </c>
    </row>
    <row r="64" spans="2:7" ht="16" x14ac:dyDescent="0.2">
      <c r="B64" s="590"/>
      <c r="C64" s="564"/>
      <c r="D64" s="593">
        <v>61</v>
      </c>
      <c r="E64" s="594" t="s">
        <v>553</v>
      </c>
      <c r="F64" s="593" t="s">
        <v>554</v>
      </c>
      <c r="G64" s="595" t="s">
        <v>1036</v>
      </c>
    </row>
    <row r="65" spans="2:7" ht="16" x14ac:dyDescent="0.2">
      <c r="B65" s="590"/>
      <c r="C65" s="564"/>
      <c r="D65" s="593">
        <v>62</v>
      </c>
      <c r="E65" s="594" t="s">
        <v>555</v>
      </c>
      <c r="F65" s="593" t="s">
        <v>556</v>
      </c>
      <c r="G65" s="595" t="s">
        <v>1037</v>
      </c>
    </row>
    <row r="66" spans="2:7" ht="16" x14ac:dyDescent="0.2">
      <c r="B66" s="590"/>
      <c r="C66" s="564"/>
      <c r="D66" s="593">
        <v>63</v>
      </c>
      <c r="E66" s="594" t="s">
        <v>557</v>
      </c>
      <c r="F66" s="593" t="s">
        <v>558</v>
      </c>
      <c r="G66" s="595" t="s">
        <v>1038</v>
      </c>
    </row>
    <row r="67" spans="2:7" ht="16" x14ac:dyDescent="0.2">
      <c r="B67" s="590"/>
      <c r="C67" s="564"/>
      <c r="D67" s="593">
        <v>64</v>
      </c>
      <c r="E67" s="594" t="s">
        <v>559</v>
      </c>
      <c r="F67" s="593" t="s">
        <v>560</v>
      </c>
      <c r="G67" s="595" t="s">
        <v>1039</v>
      </c>
    </row>
    <row r="68" spans="2:7" ht="16" x14ac:dyDescent="0.2">
      <c r="B68" s="590"/>
      <c r="C68" s="564"/>
      <c r="D68" s="593">
        <v>65</v>
      </c>
      <c r="E68" s="594" t="s">
        <v>561</v>
      </c>
      <c r="F68" s="593" t="s">
        <v>562</v>
      </c>
      <c r="G68" s="595" t="s">
        <v>1040</v>
      </c>
    </row>
    <row r="69" spans="2:7" ht="16" x14ac:dyDescent="0.2">
      <c r="B69" s="590"/>
      <c r="C69" s="564"/>
      <c r="D69" s="593">
        <v>66</v>
      </c>
      <c r="E69" s="594" t="s">
        <v>563</v>
      </c>
      <c r="F69" s="593" t="s">
        <v>564</v>
      </c>
      <c r="G69" s="595" t="s">
        <v>1041</v>
      </c>
    </row>
    <row r="70" spans="2:7" ht="16" x14ac:dyDescent="0.2">
      <c r="B70" s="590"/>
      <c r="C70" s="564"/>
      <c r="D70" s="593">
        <v>67</v>
      </c>
      <c r="E70" s="594" t="s">
        <v>565</v>
      </c>
      <c r="F70" s="593" t="s">
        <v>827</v>
      </c>
      <c r="G70" s="595" t="s">
        <v>977</v>
      </c>
    </row>
    <row r="71" spans="2:7" ht="16" x14ac:dyDescent="0.2">
      <c r="B71" s="590"/>
      <c r="C71" s="347"/>
      <c r="D71" s="593">
        <v>68</v>
      </c>
      <c r="E71" s="594" t="s">
        <v>566</v>
      </c>
      <c r="F71" s="596" t="s">
        <v>567</v>
      </c>
      <c r="G71" s="597" t="s">
        <v>1042</v>
      </c>
    </row>
    <row r="72" spans="2:7" ht="16" x14ac:dyDescent="0.2">
      <c r="B72" s="590"/>
      <c r="C72" s="564"/>
      <c r="D72" s="593">
        <v>69</v>
      </c>
      <c r="E72" s="594" t="s">
        <v>568</v>
      </c>
      <c r="F72" s="593" t="s">
        <v>569</v>
      </c>
      <c r="G72" s="595" t="s">
        <v>1043</v>
      </c>
    </row>
    <row r="73" spans="2:7" ht="16" x14ac:dyDescent="0.2">
      <c r="B73" s="590"/>
      <c r="C73" s="564"/>
      <c r="D73" s="593">
        <v>70</v>
      </c>
      <c r="E73" s="594" t="s">
        <v>570</v>
      </c>
      <c r="F73" s="593" t="s">
        <v>571</v>
      </c>
      <c r="G73" s="595" t="s">
        <v>1044</v>
      </c>
    </row>
    <row r="74" spans="2:7" ht="16" x14ac:dyDescent="0.2">
      <c r="B74" s="590"/>
      <c r="C74" s="564"/>
      <c r="D74" s="593">
        <v>71</v>
      </c>
      <c r="E74" s="594" t="s">
        <v>572</v>
      </c>
      <c r="F74" s="593" t="s">
        <v>573</v>
      </c>
      <c r="G74" s="595" t="s">
        <v>1045</v>
      </c>
    </row>
    <row r="75" spans="2:7" ht="16" x14ac:dyDescent="0.2">
      <c r="B75" s="590"/>
      <c r="C75" s="564"/>
      <c r="D75" s="593">
        <v>72</v>
      </c>
      <c r="E75" s="594" t="s">
        <v>574</v>
      </c>
      <c r="F75" s="593" t="s">
        <v>575</v>
      </c>
      <c r="G75" s="595" t="s">
        <v>1046</v>
      </c>
    </row>
    <row r="76" spans="2:7" ht="16" x14ac:dyDescent="0.2">
      <c r="B76" s="590"/>
      <c r="C76" s="564"/>
      <c r="D76" s="593">
        <v>73</v>
      </c>
      <c r="E76" s="594" t="s">
        <v>576</v>
      </c>
      <c r="F76" s="593" t="s">
        <v>577</v>
      </c>
      <c r="G76" s="595" t="s">
        <v>1047</v>
      </c>
    </row>
    <row r="77" spans="2:7" ht="16" x14ac:dyDescent="0.2">
      <c r="B77" s="590"/>
      <c r="C77" s="564"/>
      <c r="D77" s="593">
        <v>74</v>
      </c>
      <c r="E77" s="594" t="s">
        <v>578</v>
      </c>
      <c r="F77" s="593" t="s">
        <v>579</v>
      </c>
      <c r="G77" s="595" t="s">
        <v>1048</v>
      </c>
    </row>
    <row r="78" spans="2:7" ht="16" x14ac:dyDescent="0.2">
      <c r="B78" s="590"/>
      <c r="C78" s="564"/>
      <c r="D78" s="593">
        <v>75</v>
      </c>
      <c r="E78" s="594" t="s">
        <v>580</v>
      </c>
      <c r="F78" s="593" t="s">
        <v>581</v>
      </c>
      <c r="G78" s="595" t="s">
        <v>1049</v>
      </c>
    </row>
    <row r="79" spans="2:7" ht="16" x14ac:dyDescent="0.2">
      <c r="B79" s="590"/>
      <c r="C79" s="564"/>
      <c r="D79" s="593">
        <v>76</v>
      </c>
      <c r="E79" s="594" t="s">
        <v>582</v>
      </c>
      <c r="F79" s="593" t="s">
        <v>583</v>
      </c>
      <c r="G79" s="595" t="s">
        <v>1050</v>
      </c>
    </row>
    <row r="80" spans="2:7" ht="16" x14ac:dyDescent="0.2">
      <c r="B80" s="590"/>
      <c r="C80" s="347"/>
      <c r="D80" s="593">
        <v>77</v>
      </c>
      <c r="E80" s="594" t="s">
        <v>584</v>
      </c>
      <c r="F80" s="596" t="s">
        <v>585</v>
      </c>
      <c r="G80" s="597" t="s">
        <v>1051</v>
      </c>
    </row>
    <row r="81" spans="2:7" ht="16" x14ac:dyDescent="0.2">
      <c r="B81" s="590"/>
      <c r="C81" s="564"/>
      <c r="D81" s="593">
        <v>78</v>
      </c>
      <c r="E81" s="594" t="s">
        <v>586</v>
      </c>
      <c r="F81" s="593" t="s">
        <v>587</v>
      </c>
      <c r="G81" s="595" t="s">
        <v>978</v>
      </c>
    </row>
    <row r="82" spans="2:7" ht="16" x14ac:dyDescent="0.2">
      <c r="B82" s="590"/>
      <c r="C82" s="564"/>
      <c r="D82" s="593">
        <v>79</v>
      </c>
      <c r="E82" s="594" t="s">
        <v>588</v>
      </c>
      <c r="F82" s="593" t="s">
        <v>589</v>
      </c>
      <c r="G82" s="595" t="s">
        <v>979</v>
      </c>
    </row>
    <row r="83" spans="2:7" ht="16" x14ac:dyDescent="0.2">
      <c r="B83" s="590"/>
      <c r="C83" s="564"/>
      <c r="D83" s="593">
        <v>80</v>
      </c>
      <c r="E83" s="594" t="s">
        <v>590</v>
      </c>
      <c r="F83" s="593" t="s">
        <v>591</v>
      </c>
      <c r="G83" s="595" t="s">
        <v>1052</v>
      </c>
    </row>
    <row r="84" spans="2:7" ht="16" x14ac:dyDescent="0.2">
      <c r="B84" s="590"/>
      <c r="C84" s="564"/>
      <c r="D84" s="593">
        <v>81</v>
      </c>
      <c r="E84" s="594" t="s">
        <v>592</v>
      </c>
      <c r="F84" s="593" t="s">
        <v>593</v>
      </c>
      <c r="G84" s="595" t="s">
        <v>1053</v>
      </c>
    </row>
    <row r="85" spans="2:7" ht="16" x14ac:dyDescent="0.2">
      <c r="B85" s="590"/>
      <c r="C85" s="564"/>
      <c r="D85" s="593">
        <v>82</v>
      </c>
      <c r="E85" s="594" t="s">
        <v>594</v>
      </c>
      <c r="F85" s="593" t="s">
        <v>595</v>
      </c>
      <c r="G85" s="595" t="s">
        <v>1054</v>
      </c>
    </row>
    <row r="86" spans="2:7" ht="16" x14ac:dyDescent="0.2">
      <c r="B86" s="590"/>
      <c r="C86" s="347"/>
      <c r="D86" s="593">
        <v>83</v>
      </c>
      <c r="E86" s="594" t="s">
        <v>596</v>
      </c>
      <c r="F86" s="596" t="s">
        <v>597</v>
      </c>
      <c r="G86" s="597" t="s">
        <v>1055</v>
      </c>
    </row>
    <row r="87" spans="2:7" ht="16" x14ac:dyDescent="0.2">
      <c r="B87" s="590"/>
      <c r="C87" s="564"/>
      <c r="D87" s="593">
        <v>84</v>
      </c>
      <c r="E87" s="594" t="s">
        <v>598</v>
      </c>
      <c r="F87" s="593" t="s">
        <v>599</v>
      </c>
      <c r="G87" s="595" t="s">
        <v>1056</v>
      </c>
    </row>
    <row r="88" spans="2:7" ht="16" x14ac:dyDescent="0.2">
      <c r="B88" s="590"/>
      <c r="C88" s="564"/>
      <c r="D88" s="593">
        <v>85</v>
      </c>
      <c r="E88" s="594" t="s">
        <v>600</v>
      </c>
      <c r="F88" s="593" t="s">
        <v>601</v>
      </c>
      <c r="G88" s="595" t="s">
        <v>1057</v>
      </c>
    </row>
    <row r="89" spans="2:7" ht="16" x14ac:dyDescent="0.2">
      <c r="B89" s="590"/>
      <c r="C89" s="564"/>
      <c r="D89" s="593">
        <v>86</v>
      </c>
      <c r="E89" s="594" t="s">
        <v>602</v>
      </c>
      <c r="F89" s="593" t="s">
        <v>603</v>
      </c>
      <c r="G89" s="595" t="s">
        <v>1058</v>
      </c>
    </row>
    <row r="90" spans="2:7" ht="16" x14ac:dyDescent="0.2">
      <c r="B90" s="590"/>
      <c r="C90" s="564"/>
      <c r="D90" s="593">
        <v>87</v>
      </c>
      <c r="E90" s="594" t="s">
        <v>604</v>
      </c>
      <c r="F90" s="593" t="s">
        <v>605</v>
      </c>
      <c r="G90" s="595" t="s">
        <v>1059</v>
      </c>
    </row>
    <row r="91" spans="2:7" ht="16" x14ac:dyDescent="0.2">
      <c r="B91" s="590"/>
      <c r="C91" s="564"/>
      <c r="D91" s="593">
        <v>88</v>
      </c>
      <c r="E91" s="594" t="s">
        <v>606</v>
      </c>
      <c r="F91" s="593" t="s">
        <v>607</v>
      </c>
      <c r="G91" s="595" t="s">
        <v>1060</v>
      </c>
    </row>
    <row r="92" spans="2:7" ht="16" x14ac:dyDescent="0.2">
      <c r="B92" s="590"/>
      <c r="C92" s="564"/>
      <c r="D92" s="593">
        <v>89</v>
      </c>
      <c r="E92" s="594" t="s">
        <v>608</v>
      </c>
      <c r="F92" s="593" t="s">
        <v>609</v>
      </c>
      <c r="G92" s="595" t="s">
        <v>609</v>
      </c>
    </row>
    <row r="93" spans="2:7" ht="16" x14ac:dyDescent="0.2">
      <c r="B93" s="590"/>
      <c r="C93" s="347"/>
      <c r="D93" s="593">
        <v>90</v>
      </c>
      <c r="E93" s="594" t="s">
        <v>610</v>
      </c>
      <c r="F93" s="596" t="s">
        <v>611</v>
      </c>
      <c r="G93" s="597" t="s">
        <v>1061</v>
      </c>
    </row>
    <row r="94" spans="2:7" x14ac:dyDescent="0.2">
      <c r="C94" s="598"/>
      <c r="D94" s="599"/>
      <c r="E94" s="599"/>
      <c r="F94" s="600"/>
      <c r="G94" s="601"/>
    </row>
  </sheetData>
  <sheetProtection algorithmName="SHA-512" hashValue="k+zu0l0CH8D+4sN1LQE0k21MQnvGxVyTROfT2Ajcz4laz31yio/4tB7h1urrjlOj8yhnz5mGkdjwN0TwMfSyIg==" saltValue="phQPxT0MREmMTRW3ny5u6w==" spinCount="100000" sheet="1" selectLockedCells="1"/>
  <autoFilter ref="C3:F93" xr:uid="{00000000-0001-0000-0200-000000000000}"/>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zoomScale="109" zoomScaleNormal="90" workbookViewId="0">
      <selection activeCell="E13" sqref="E13"/>
    </sheetView>
  </sheetViews>
  <sheetFormatPr baseColWidth="10" defaultColWidth="10.83203125" defaultRowHeight="16" x14ac:dyDescent="0.2"/>
  <cols>
    <col min="1" max="1" width="10.83203125" style="489"/>
    <col min="2" max="2" width="8.83203125" style="489" customWidth="1"/>
    <col min="3" max="3" width="27.6640625" style="489" customWidth="1"/>
    <col min="4" max="5" width="28" style="489" customWidth="1"/>
    <col min="6" max="7" width="51.1640625" style="562" customWidth="1"/>
    <col min="8" max="9" width="22.83203125" style="489" customWidth="1"/>
    <col min="10" max="11" width="10.83203125" style="489"/>
    <col min="12" max="12" width="44" style="489" customWidth="1"/>
    <col min="13" max="16384" width="10.83203125" style="489"/>
  </cols>
  <sheetData>
    <row r="1" spans="1:13" ht="40" customHeight="1" thickBot="1" x14ac:dyDescent="0.25">
      <c r="C1" s="490"/>
      <c r="D1" s="490"/>
      <c r="E1" s="490"/>
      <c r="F1" s="491"/>
      <c r="G1" s="491"/>
      <c r="H1" s="490"/>
      <c r="I1" s="490"/>
    </row>
    <row r="2" spans="1:13" ht="17" thickBot="1" x14ac:dyDescent="0.25">
      <c r="A2" s="492"/>
      <c r="B2" s="493"/>
      <c r="C2" s="494" t="s">
        <v>612</v>
      </c>
      <c r="D2" s="495" t="s">
        <v>974</v>
      </c>
      <c r="E2" s="496" t="s">
        <v>980</v>
      </c>
      <c r="F2" s="497" t="s">
        <v>973</v>
      </c>
      <c r="G2" s="498" t="s">
        <v>981</v>
      </c>
      <c r="H2" s="495" t="s">
        <v>972</v>
      </c>
      <c r="I2" s="499" t="s">
        <v>982</v>
      </c>
      <c r="J2" s="500"/>
    </row>
    <row r="3" spans="1:13" ht="32.25" customHeight="1" x14ac:dyDescent="0.2">
      <c r="A3" s="492"/>
      <c r="B3" s="630" t="s">
        <v>613</v>
      </c>
      <c r="C3" s="501" t="s">
        <v>614</v>
      </c>
      <c r="D3" s="566"/>
      <c r="E3" s="478"/>
      <c r="F3" s="502" t="s">
        <v>615</v>
      </c>
      <c r="G3" s="503" t="s">
        <v>1185</v>
      </c>
      <c r="H3" s="504" t="s">
        <v>616</v>
      </c>
      <c r="I3" s="505" t="s">
        <v>616</v>
      </c>
      <c r="J3" s="500"/>
    </row>
    <row r="4" spans="1:13" ht="32" x14ac:dyDescent="0.2">
      <c r="A4" s="492"/>
      <c r="B4" s="631"/>
      <c r="C4" s="506" t="s">
        <v>617</v>
      </c>
      <c r="D4" s="567"/>
      <c r="E4" s="479"/>
      <c r="F4" s="507" t="s">
        <v>618</v>
      </c>
      <c r="G4" s="503" t="s">
        <v>1186</v>
      </c>
      <c r="H4" s="508" t="s">
        <v>619</v>
      </c>
      <c r="I4" s="509" t="s">
        <v>1201</v>
      </c>
      <c r="J4" s="500"/>
    </row>
    <row r="5" spans="1:13" ht="80" x14ac:dyDescent="0.2">
      <c r="A5" s="492"/>
      <c r="B5" s="631"/>
      <c r="C5" s="506" t="s">
        <v>620</v>
      </c>
      <c r="D5" s="565" t="str">
        <f>IF(E5="el año pasado","last year",IF(E5="un año normal","a normal year",""))</f>
        <v/>
      </c>
      <c r="E5" s="485"/>
      <c r="F5" s="507" t="s">
        <v>621</v>
      </c>
      <c r="G5" s="503" t="s">
        <v>1187</v>
      </c>
      <c r="H5" s="508" t="s">
        <v>622</v>
      </c>
      <c r="I5" s="509" t="s">
        <v>1202</v>
      </c>
      <c r="J5" s="500"/>
    </row>
    <row r="6" spans="1:13" ht="76" customHeight="1" x14ac:dyDescent="0.2">
      <c r="A6" s="492"/>
      <c r="B6" s="631"/>
      <c r="C6" s="506" t="s">
        <v>623</v>
      </c>
      <c r="D6" s="353"/>
      <c r="E6" s="479"/>
      <c r="F6" s="511" t="s">
        <v>624</v>
      </c>
      <c r="G6" s="512" t="s">
        <v>1188</v>
      </c>
      <c r="H6" s="513" t="s">
        <v>625</v>
      </c>
      <c r="I6" s="514" t="s">
        <v>1203</v>
      </c>
      <c r="J6" s="500"/>
      <c r="K6" s="515"/>
    </row>
    <row r="7" spans="1:13" ht="84.5" customHeight="1" x14ac:dyDescent="0.2">
      <c r="A7" s="492"/>
      <c r="B7" s="631"/>
      <c r="C7" s="506" t="s">
        <v>969</v>
      </c>
      <c r="D7" s="510" t="str">
        <f>IF(E7="todavía no está en temporada","Not yet in season",IF(E7="preparación de tierra","land preparation",IF(E7="plantación","Planting",IF(E7="crecimiento temprano","Early growing",IF(E7="crecimiento","Growing",IF(E7="maduración","Maturing",IF(E7="cosecha","Harvesting",IF(E7="terminado recientemente","Recently Finished",""))))))))</f>
        <v/>
      </c>
      <c r="E7" s="605"/>
      <c r="F7" s="511" t="s">
        <v>626</v>
      </c>
      <c r="G7" s="512" t="s">
        <v>1189</v>
      </c>
      <c r="H7" s="513" t="s">
        <v>627</v>
      </c>
      <c r="I7" s="514" t="s">
        <v>1204</v>
      </c>
      <c r="J7" s="500"/>
    </row>
    <row r="8" spans="1:13" ht="76" customHeight="1" x14ac:dyDescent="0.2">
      <c r="A8" s="492"/>
      <c r="B8" s="631"/>
      <c r="C8" s="516" t="s">
        <v>628</v>
      </c>
      <c r="D8" s="486"/>
      <c r="E8" s="487"/>
      <c r="F8" s="517" t="s">
        <v>629</v>
      </c>
      <c r="G8" s="518" t="s">
        <v>1190</v>
      </c>
      <c r="H8" s="513" t="s">
        <v>630</v>
      </c>
      <c r="I8" s="514" t="s">
        <v>1205</v>
      </c>
      <c r="J8" s="500"/>
    </row>
    <row r="9" spans="1:13" ht="50.25" customHeight="1" thickBot="1" x14ac:dyDescent="0.25">
      <c r="A9" s="492"/>
      <c r="B9" s="632"/>
      <c r="C9" s="519" t="s">
        <v>658</v>
      </c>
      <c r="D9" s="520" t="str">
        <f>IF(E9&lt;&gt;"",E9,"")</f>
        <v/>
      </c>
      <c r="E9" s="488"/>
      <c r="F9" s="521" t="s">
        <v>654</v>
      </c>
      <c r="G9" s="522" t="s">
        <v>1191</v>
      </c>
      <c r="H9" s="523">
        <v>0.2</v>
      </c>
      <c r="I9" s="524">
        <v>0.2</v>
      </c>
      <c r="J9" s="500"/>
    </row>
    <row r="10" spans="1:13" ht="32.25" customHeight="1" x14ac:dyDescent="0.2">
      <c r="A10" s="492"/>
      <c r="B10" s="630" t="s">
        <v>631</v>
      </c>
      <c r="C10" s="525" t="s">
        <v>632</v>
      </c>
      <c r="D10" s="574" t="str">
        <f>IF(E10&lt;&gt;"",E10,"")</f>
        <v/>
      </c>
      <c r="E10" s="575"/>
      <c r="F10" s="526" t="s">
        <v>633</v>
      </c>
      <c r="G10" s="527" t="s">
        <v>1192</v>
      </c>
      <c r="H10" s="528" t="s">
        <v>634</v>
      </c>
      <c r="I10" s="529" t="s">
        <v>1206</v>
      </c>
      <c r="J10" s="500"/>
    </row>
    <row r="11" spans="1:13" ht="94" customHeight="1" x14ac:dyDescent="0.2">
      <c r="A11" s="492"/>
      <c r="B11" s="631"/>
      <c r="C11" s="530" t="s">
        <v>635</v>
      </c>
      <c r="D11" s="568" t="str">
        <f>IF(E11&lt;&gt;"",E11,"")</f>
        <v/>
      </c>
      <c r="E11" s="569"/>
      <c r="F11" s="531" t="s">
        <v>636</v>
      </c>
      <c r="G11" s="532" t="s">
        <v>1193</v>
      </c>
      <c r="H11" s="571">
        <v>5</v>
      </c>
      <c r="I11" s="572">
        <v>5</v>
      </c>
      <c r="J11" s="500"/>
      <c r="L11" s="490"/>
    </row>
    <row r="12" spans="1:13" ht="158.25" customHeight="1" x14ac:dyDescent="0.2">
      <c r="A12" s="492"/>
      <c r="B12" s="631"/>
      <c r="C12" s="506" t="s">
        <v>637</v>
      </c>
      <c r="D12" s="568" t="str">
        <f>IF(E12&lt;&gt;"",E12,"")</f>
        <v/>
      </c>
      <c r="E12" s="570"/>
      <c r="F12" s="511" t="s">
        <v>638</v>
      </c>
      <c r="G12" s="533" t="s">
        <v>1194</v>
      </c>
      <c r="H12" s="573">
        <v>5000000</v>
      </c>
      <c r="I12" s="572">
        <v>5000000</v>
      </c>
      <c r="J12" s="500"/>
      <c r="K12" s="492"/>
      <c r="L12" s="534"/>
      <c r="M12" s="500"/>
    </row>
    <row r="13" spans="1:13" ht="116.25" customHeight="1" x14ac:dyDescent="0.2">
      <c r="A13" s="492"/>
      <c r="B13" s="631"/>
      <c r="C13" s="530" t="s">
        <v>639</v>
      </c>
      <c r="D13" s="568" t="str">
        <f>IF(E13&lt;&gt;"",E13,"")</f>
        <v/>
      </c>
      <c r="E13" s="569"/>
      <c r="F13" s="517" t="s">
        <v>640</v>
      </c>
      <c r="G13" s="532" t="s">
        <v>1195</v>
      </c>
      <c r="H13" s="573">
        <v>1200000</v>
      </c>
      <c r="I13" s="572">
        <v>1200000</v>
      </c>
      <c r="J13" s="500"/>
      <c r="L13" s="535"/>
    </row>
    <row r="14" spans="1:13" ht="50.25" customHeight="1" x14ac:dyDescent="0.2">
      <c r="A14" s="492"/>
      <c r="B14" s="631"/>
      <c r="C14" s="516" t="s">
        <v>641</v>
      </c>
      <c r="D14" s="353"/>
      <c r="E14" s="479"/>
      <c r="F14" s="511" t="s">
        <v>642</v>
      </c>
      <c r="G14" s="518" t="s">
        <v>1196</v>
      </c>
      <c r="H14" s="513" t="s">
        <v>643</v>
      </c>
      <c r="I14" s="514" t="s">
        <v>1207</v>
      </c>
      <c r="J14" s="500"/>
    </row>
    <row r="15" spans="1:13" ht="50.25" customHeight="1" thickBot="1" x14ac:dyDescent="0.25">
      <c r="A15" s="492"/>
      <c r="B15" s="632"/>
      <c r="C15" s="536" t="s">
        <v>644</v>
      </c>
      <c r="D15" s="354"/>
      <c r="E15" s="480"/>
      <c r="F15" s="537" t="s">
        <v>645</v>
      </c>
      <c r="G15" s="538" t="s">
        <v>1197</v>
      </c>
      <c r="H15" s="539" t="s">
        <v>646</v>
      </c>
      <c r="I15" s="540" t="s">
        <v>1208</v>
      </c>
      <c r="J15" s="500"/>
    </row>
    <row r="16" spans="1:13" ht="5.5" customHeight="1" thickBot="1" x14ac:dyDescent="0.25">
      <c r="A16" s="492"/>
      <c r="B16" s="541"/>
      <c r="C16" s="542"/>
      <c r="D16" s="543"/>
      <c r="E16" s="544"/>
      <c r="F16" s="545"/>
      <c r="G16" s="546"/>
      <c r="H16" s="547"/>
      <c r="I16" s="548"/>
      <c r="J16" s="500"/>
    </row>
    <row r="17" spans="1:10" ht="144.5" customHeight="1" x14ac:dyDescent="0.2">
      <c r="A17" s="492"/>
      <c r="B17" s="627" t="s">
        <v>647</v>
      </c>
      <c r="C17" s="549" t="s">
        <v>648</v>
      </c>
      <c r="D17" s="550">
        <f>IF(E17="","",E17)</f>
        <v>0.91</v>
      </c>
      <c r="E17" s="355">
        <v>0.91</v>
      </c>
      <c r="F17" s="551" t="s">
        <v>649</v>
      </c>
      <c r="G17" s="552" t="s">
        <v>1199</v>
      </c>
      <c r="H17" s="481">
        <v>0.91</v>
      </c>
      <c r="I17" s="484">
        <v>0.91</v>
      </c>
      <c r="J17" s="500"/>
    </row>
    <row r="18" spans="1:10" ht="140.5" customHeight="1" x14ac:dyDescent="0.2">
      <c r="A18" s="492"/>
      <c r="B18" s="628"/>
      <c r="C18" s="553" t="s">
        <v>650</v>
      </c>
      <c r="D18" s="554">
        <f>IF(E18="","",E18)</f>
        <v>0.91</v>
      </c>
      <c r="E18" s="356">
        <v>0.91</v>
      </c>
      <c r="F18" s="555" t="s">
        <v>651</v>
      </c>
      <c r="G18" s="556" t="s">
        <v>1198</v>
      </c>
      <c r="H18" s="482">
        <v>0.91</v>
      </c>
      <c r="I18" s="109">
        <v>0.91</v>
      </c>
      <c r="J18" s="500"/>
    </row>
    <row r="19" spans="1:10" ht="145" thickBot="1" x14ac:dyDescent="0.25">
      <c r="A19" s="492"/>
      <c r="B19" s="629"/>
      <c r="C19" s="557" t="s">
        <v>652</v>
      </c>
      <c r="D19" s="558">
        <f>IF(E19="","",E19)</f>
        <v>0.05</v>
      </c>
      <c r="E19" s="357">
        <v>0.05</v>
      </c>
      <c r="F19" s="559" t="s">
        <v>653</v>
      </c>
      <c r="G19" s="560" t="s">
        <v>1200</v>
      </c>
      <c r="H19" s="483">
        <v>0.05</v>
      </c>
      <c r="I19" s="110">
        <v>0.05</v>
      </c>
      <c r="J19" s="500"/>
    </row>
    <row r="20" spans="1:10" x14ac:dyDescent="0.2">
      <c r="B20" s="535"/>
      <c r="C20" s="535"/>
      <c r="D20" s="535"/>
      <c r="E20" s="535"/>
      <c r="F20" s="561"/>
      <c r="G20" s="561"/>
      <c r="H20" s="535"/>
      <c r="I20" s="535"/>
    </row>
  </sheetData>
  <sheetProtection algorithmName="SHA-512" hashValue="SQ8AX+7wgfRgOxPIEZahWoW3KRZSGPwJYrMShloxtbFd+8Zp950sjyFJrgcTD+qxYkeZ1aj3pdZ0M0XrqCx6rg==" saltValue="Q6+dLvZl4Ts44So7KrinMg==" spinCount="100000" sheet="1" formatCells="0"/>
  <dataConsolidate link="1"/>
  <mergeCells count="3">
    <mergeCell ref="B17:B19"/>
    <mergeCell ref="B3:B9"/>
    <mergeCell ref="B10:B15"/>
  </mergeCells>
  <dataValidations count="2">
    <dataValidation type="list" allowBlank="1" showInputMessage="1" showErrorMessage="1" sqref="E5" xr:uid="{F7B2ADF0-EC4F-324F-B4BD-D43A91B13333}">
      <formula1>"el año pasado, un año normal"</formula1>
    </dataValidation>
    <dataValidation type="list" allowBlank="1" showInputMessage="1" showErrorMessage="1" sqref="E7" xr:uid="{7AE983FF-BDC5-8345-9932-AC2CADE0A644}">
      <formula1>"todavía no está en temporada, preparación de tierra, plantación, crecimiento temprano, crecimiento, maduración, cosecha, terminado recientemente"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36B137-5CF2-43EE-A8CA-ED4DE3DC60C8}">
  <ds:schemaRefs>
    <ds:schemaRef ds:uri="651ac188-b77a-445d-b0b3-bedb0cff8e72"/>
    <ds:schemaRef ds:uri="http://purl.org/dc/elements/1.1/"/>
    <ds:schemaRef ds:uri="http://schemas.microsoft.com/office/infopath/2007/PartnerControls"/>
    <ds:schemaRef ds:uri="http://www.w3.org/XML/1998/namespace"/>
    <ds:schemaRef ds:uri="http://purl.org/dc/dcmitype/"/>
    <ds:schemaRef ds:uri="http://purl.org/dc/terms/"/>
    <ds:schemaRef ds:uri="4efa6d18-7e22-4963-b4bf-16e1a76dd523"/>
    <ds:schemaRef ds:uri="http://schemas.microsoft.com/office/2006/documentManagement/types"/>
    <ds:schemaRef ds:uri="http://schemas.microsoft.com/office/2006/metadata/properties"/>
    <ds:schemaRef ds:uri="http://schemas.openxmlformats.org/package/2006/metadata/core-properties"/>
  </ds:schemaRefs>
</ds:datastoreItem>
</file>

<file path=customXml/itemProps2.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3.xml><?xml version="1.0" encoding="utf-8"?>
<ds:datastoreItem xmlns:ds="http://schemas.openxmlformats.org/officeDocument/2006/customXml" ds:itemID="{9B6A2913-11A4-49D2-8BB2-9D410BE6DC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2023-03-07T16:07:35Z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